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p.c\MACRO\"/>
    </mc:Choice>
  </mc:AlternateContent>
  <xr:revisionPtr revIDLastSave="0" documentId="13_ncr:1_{B7CC69BE-8776-4D07-B1F3-F112FECC4D6A}" xr6:coauthVersionLast="47" xr6:coauthVersionMax="47" xr10:uidLastSave="{00000000-0000-0000-0000-000000000000}"/>
  <bookViews>
    <workbookView xWindow="-20610" yWindow="-120" windowWidth="20730" windowHeight="11160" activeTab="1" xr2:uid="{5F75E5D6-B5D0-49E3-9233-57BC21A1FDAA}"/>
  </bookViews>
  <sheets>
    <sheet name="HOME" sheetId="1" r:id="rId1"/>
    <sheet name="TEMP1" sheetId="80" r:id="rId2"/>
    <sheet name="TEMP2" sheetId="81" r:id="rId3"/>
    <sheet name="TEMP3" sheetId="82" r:id="rId4"/>
    <sheet name="TEMP4" sheetId="83" r:id="rId5"/>
    <sheet name="TEMP5" sheetId="84" r:id="rId6"/>
    <sheet name="CBA" sheetId="85" r:id="rId7"/>
  </sheets>
  <functionGroups builtInGroupCount="19"/>
  <definedNames>
    <definedName name="_xlnm._FilterDatabase" localSheetId="1" hidden="1">TEMP1!$A$1:$Q$6492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2" i="80" l="1"/>
  <c r="Q3" i="80"/>
  <c r="Q4" i="80"/>
  <c r="Q5" i="80"/>
  <c r="Q6" i="80"/>
  <c r="Q7" i="80"/>
  <c r="Q8" i="80"/>
  <c r="Q9" i="80"/>
  <c r="Q10" i="80"/>
  <c r="Q11" i="80"/>
  <c r="Q12" i="80"/>
  <c r="Q13" i="80"/>
  <c r="Q14" i="80"/>
  <c r="Q15" i="80"/>
  <c r="Q16" i="80"/>
  <c r="Q17" i="80"/>
  <c r="Q18" i="80"/>
  <c r="Q19" i="80"/>
  <c r="Q20" i="80"/>
  <c r="Q21" i="80"/>
  <c r="Q22" i="80"/>
  <c r="Q23" i="80"/>
  <c r="Q24" i="80"/>
  <c r="Q25" i="80"/>
  <c r="Q26" i="80"/>
  <c r="Q27" i="80"/>
  <c r="Q28" i="80"/>
  <c r="Q29" i="80"/>
  <c r="Q30" i="80"/>
  <c r="Q31" i="80"/>
  <c r="Q32" i="80"/>
  <c r="Q33" i="80"/>
  <c r="Q34" i="80"/>
  <c r="Q35" i="80"/>
  <c r="Q36" i="80"/>
  <c r="Q37" i="80"/>
  <c r="Q38" i="80"/>
  <c r="Q39" i="80"/>
  <c r="Q40" i="80"/>
  <c r="Q41" i="80"/>
  <c r="Q42" i="80"/>
  <c r="Q43" i="80"/>
  <c r="Q44" i="80"/>
  <c r="Q45" i="80"/>
  <c r="Q46" i="80"/>
  <c r="Q47" i="80"/>
  <c r="Q48" i="80"/>
  <c r="Q49" i="80"/>
  <c r="Q50" i="80"/>
  <c r="Q51" i="80"/>
  <c r="Q52" i="80"/>
  <c r="Q53" i="80"/>
  <c r="Q54" i="80"/>
  <c r="Q55" i="80"/>
  <c r="Q56" i="80"/>
  <c r="Q57" i="80"/>
  <c r="Q58" i="80"/>
  <c r="Q59" i="80"/>
  <c r="Q60" i="80"/>
  <c r="Q61" i="80"/>
  <c r="Q62" i="80"/>
  <c r="Q63" i="80"/>
  <c r="Q64" i="80"/>
  <c r="Q65" i="80"/>
  <c r="Q66" i="80"/>
  <c r="Q67" i="80"/>
  <c r="Q68" i="80"/>
  <c r="Q69" i="80"/>
  <c r="Q70" i="80"/>
  <c r="Q71" i="80"/>
  <c r="Q72" i="80"/>
  <c r="Q73" i="80"/>
  <c r="Q74" i="80"/>
  <c r="Q75" i="80"/>
  <c r="Q76" i="80"/>
  <c r="Q77" i="80"/>
  <c r="Q78" i="80"/>
  <c r="Q79" i="80"/>
  <c r="Q80" i="80"/>
  <c r="Q81" i="80"/>
  <c r="Q82" i="80"/>
  <c r="Q83" i="80"/>
  <c r="Q84" i="80"/>
  <c r="Q85" i="80"/>
  <c r="Q86" i="80"/>
  <c r="Q87" i="80"/>
  <c r="Q88" i="80"/>
  <c r="Q89" i="80"/>
  <c r="Q90" i="80"/>
  <c r="Q91" i="80"/>
  <c r="Q92" i="80"/>
  <c r="Q93" i="80"/>
  <c r="Q94" i="80"/>
  <c r="Q95" i="80"/>
  <c r="Q96" i="80"/>
  <c r="Q97" i="80"/>
  <c r="Q98" i="80"/>
  <c r="Q99" i="80"/>
  <c r="Q100" i="80"/>
  <c r="Q101" i="80"/>
  <c r="Q102" i="80"/>
  <c r="Q103" i="80"/>
  <c r="Q104" i="80"/>
  <c r="Q105" i="80"/>
  <c r="Q106" i="80"/>
  <c r="Q107" i="80"/>
  <c r="Q108" i="80"/>
  <c r="Q109" i="80"/>
  <c r="Q110" i="80"/>
  <c r="Q111" i="80"/>
  <c r="Q112" i="80"/>
  <c r="Q113" i="80"/>
  <c r="Q114" i="80"/>
  <c r="Q115" i="80"/>
  <c r="Q116" i="80"/>
  <c r="Q117" i="80"/>
  <c r="Q118" i="80"/>
  <c r="Q119" i="80"/>
  <c r="Q120" i="80"/>
  <c r="Q121" i="80"/>
  <c r="Q122" i="80"/>
  <c r="Q123" i="80"/>
  <c r="Q124" i="80"/>
  <c r="Q125" i="80"/>
  <c r="Q126" i="80"/>
  <c r="Q127" i="80"/>
  <c r="Q128" i="80"/>
  <c r="Q129" i="80"/>
  <c r="Q130" i="80"/>
  <c r="Q131" i="80"/>
  <c r="Q132" i="80"/>
  <c r="Q133" i="80"/>
  <c r="Q134" i="80"/>
  <c r="Q135" i="80"/>
  <c r="Q136" i="80"/>
  <c r="Q137" i="80"/>
  <c r="Q138" i="80"/>
  <c r="Q139" i="80"/>
  <c r="Q140" i="80"/>
  <c r="Q141" i="80"/>
  <c r="Q142" i="80"/>
  <c r="Q143" i="80"/>
  <c r="Q144" i="80"/>
  <c r="Q145" i="80"/>
  <c r="Q146" i="80"/>
  <c r="Q147" i="80"/>
  <c r="Q148" i="80"/>
  <c r="Q149" i="80"/>
  <c r="Q150" i="80"/>
  <c r="Q151" i="80"/>
  <c r="Q152" i="80"/>
  <c r="Q153" i="80"/>
  <c r="Q154" i="80"/>
  <c r="Q155" i="80"/>
  <c r="Q156" i="80"/>
  <c r="Q157" i="80"/>
  <c r="Q158" i="80"/>
  <c r="Q159" i="80"/>
  <c r="Q160" i="80"/>
  <c r="Q161" i="80"/>
  <c r="Q162" i="80"/>
  <c r="Q163" i="80"/>
  <c r="Q164" i="80"/>
  <c r="Q165" i="80"/>
  <c r="Q166" i="80"/>
  <c r="Q167" i="80"/>
  <c r="Q168" i="80"/>
  <c r="Q169" i="80"/>
  <c r="Q170" i="80"/>
  <c r="Q171" i="80"/>
  <c r="Q172" i="80"/>
  <c r="Q173" i="80"/>
  <c r="Q174" i="80"/>
  <c r="Q175" i="80"/>
  <c r="Q176" i="80"/>
  <c r="Q177" i="80"/>
  <c r="Q178" i="80"/>
  <c r="Q179" i="80"/>
  <c r="Q180" i="80"/>
  <c r="Q181" i="80"/>
  <c r="Q182" i="80"/>
  <c r="Q183" i="80"/>
  <c r="Q184" i="80"/>
  <c r="Q185" i="80"/>
  <c r="Q186" i="80"/>
  <c r="Q187" i="80"/>
  <c r="Q188" i="80"/>
  <c r="Q189" i="80"/>
  <c r="Q190" i="80"/>
  <c r="Q191" i="80"/>
  <c r="Q192" i="80"/>
  <c r="Q193" i="80"/>
  <c r="Q194" i="80"/>
  <c r="Q195" i="80"/>
  <c r="Q196" i="80"/>
  <c r="Q197" i="80"/>
  <c r="Q198" i="80"/>
  <c r="Q199" i="80"/>
  <c r="Q200" i="80"/>
  <c r="Q201" i="80"/>
  <c r="Q202" i="80"/>
  <c r="Q203" i="80"/>
  <c r="Q204" i="80"/>
  <c r="Q205" i="80"/>
  <c r="Q206" i="80"/>
  <c r="Q207" i="80"/>
  <c r="Q208" i="80"/>
  <c r="Q209" i="80"/>
  <c r="Q210" i="80"/>
  <c r="Q211" i="80"/>
  <c r="Q212" i="80"/>
  <c r="Q213" i="80"/>
  <c r="Q214" i="80"/>
  <c r="Q215" i="80"/>
  <c r="Q216" i="80"/>
  <c r="Q217" i="80"/>
  <c r="Q218" i="80"/>
  <c r="Q219" i="80"/>
  <c r="Q220" i="80"/>
  <c r="Q221" i="80"/>
  <c r="Q222" i="80"/>
  <c r="Q223" i="80"/>
  <c r="Q224" i="80"/>
  <c r="Q225" i="80"/>
  <c r="Q226" i="80"/>
  <c r="Q227" i="80"/>
  <c r="Q228" i="80"/>
  <c r="Q229" i="80"/>
  <c r="Q230" i="80"/>
  <c r="Q231" i="80"/>
  <c r="Q232" i="80"/>
  <c r="Q233" i="80"/>
  <c r="Q234" i="80"/>
  <c r="Q235" i="80"/>
  <c r="Q236" i="80"/>
  <c r="Q237" i="80"/>
  <c r="Q238" i="80"/>
  <c r="Q239" i="80"/>
  <c r="Q240" i="80"/>
  <c r="Q241" i="80"/>
  <c r="Q242" i="80"/>
  <c r="Q243" i="80"/>
  <c r="Q244" i="80"/>
  <c r="Q245" i="80"/>
  <c r="Q246" i="80"/>
  <c r="Q247" i="80"/>
  <c r="Q248" i="80"/>
  <c r="Q249" i="80"/>
  <c r="Q250" i="80"/>
  <c r="Q251" i="80"/>
  <c r="Q252" i="80"/>
  <c r="Q253" i="80"/>
  <c r="Q254" i="80"/>
  <c r="Q255" i="80"/>
  <c r="Q256" i="80"/>
  <c r="Q257" i="80"/>
  <c r="Q258" i="80"/>
  <c r="Q259" i="80"/>
  <c r="Q260" i="80"/>
  <c r="Q261" i="80"/>
  <c r="Q262" i="80"/>
  <c r="Q263" i="80"/>
  <c r="Q264" i="80"/>
  <c r="Q265" i="80"/>
  <c r="Q266" i="80"/>
  <c r="Q267" i="80"/>
  <c r="Q268" i="80"/>
  <c r="Q269" i="80"/>
  <c r="Q270" i="80"/>
  <c r="Q271" i="80"/>
  <c r="Q272" i="80"/>
  <c r="Q273" i="80"/>
  <c r="Q274" i="80"/>
  <c r="Q275" i="80"/>
  <c r="Q276" i="80"/>
  <c r="Q277" i="80"/>
  <c r="Q278" i="80"/>
  <c r="Q279" i="80"/>
  <c r="Q280" i="80"/>
  <c r="Q281" i="80"/>
  <c r="Q282" i="80"/>
  <c r="Q283" i="80"/>
  <c r="Q284" i="80"/>
  <c r="Q285" i="80"/>
  <c r="Q286" i="80"/>
  <c r="Q287" i="80"/>
  <c r="Q288" i="80"/>
  <c r="Q289" i="80"/>
  <c r="Q290" i="80"/>
  <c r="Q291" i="80"/>
  <c r="Q292" i="80"/>
  <c r="Q293" i="80"/>
  <c r="Q294" i="80"/>
  <c r="Q295" i="80"/>
  <c r="Q296" i="80"/>
  <c r="Q297" i="80"/>
  <c r="Q298" i="80"/>
  <c r="Q299" i="80"/>
  <c r="Q300" i="80"/>
  <c r="Q301" i="80"/>
  <c r="Q302" i="80"/>
  <c r="Q303" i="80"/>
  <c r="Q304" i="80"/>
  <c r="Q305" i="80"/>
  <c r="Q306" i="80"/>
  <c r="Q307" i="80"/>
  <c r="Q308" i="80"/>
  <c r="Q309" i="80"/>
  <c r="Q310" i="80"/>
  <c r="Q311" i="80"/>
  <c r="Q312" i="80"/>
  <c r="Q313" i="80"/>
  <c r="Q314" i="80"/>
  <c r="Q315" i="80"/>
  <c r="Q316" i="80"/>
  <c r="Q317" i="80"/>
  <c r="Q318" i="80"/>
  <c r="Q319" i="80"/>
  <c r="Q320" i="80"/>
  <c r="Q321" i="80"/>
  <c r="Q322" i="80"/>
  <c r="Q323" i="80"/>
  <c r="Q324" i="80"/>
  <c r="Q325" i="80"/>
  <c r="Q326" i="80"/>
  <c r="Q327" i="80"/>
  <c r="Q328" i="80"/>
  <c r="Q329" i="80"/>
  <c r="Q330" i="80"/>
  <c r="Q331" i="80"/>
  <c r="Q332" i="80"/>
  <c r="Q333" i="80"/>
  <c r="Q334" i="80"/>
  <c r="Q335" i="80"/>
  <c r="Q336" i="80"/>
  <c r="Q337" i="80"/>
  <c r="Q338" i="80"/>
  <c r="Q339" i="80"/>
  <c r="Q340" i="80"/>
  <c r="Q341" i="80"/>
  <c r="Q342" i="80"/>
  <c r="Q343" i="80"/>
  <c r="Q344" i="80"/>
  <c r="Q345" i="80"/>
  <c r="Q346" i="80"/>
  <c r="Q347" i="80"/>
  <c r="Q348" i="80"/>
  <c r="Q349" i="80"/>
  <c r="Q350" i="80"/>
  <c r="Q351" i="80"/>
  <c r="Q352" i="80"/>
  <c r="Q353" i="80"/>
  <c r="Q354" i="80"/>
  <c r="Q355" i="80"/>
  <c r="Q356" i="80"/>
  <c r="Q357" i="80"/>
  <c r="Q358" i="80"/>
  <c r="Q359" i="80"/>
  <c r="Q360" i="80"/>
  <c r="Q361" i="80"/>
  <c r="Q362" i="80"/>
  <c r="Q363" i="80"/>
  <c r="Q364" i="80"/>
  <c r="Q365" i="80"/>
  <c r="Q366" i="80"/>
  <c r="Q367" i="80"/>
  <c r="Q368" i="80"/>
  <c r="Q369" i="80"/>
  <c r="Q370" i="80"/>
  <c r="Q371" i="80"/>
  <c r="Q372" i="80"/>
  <c r="Q373" i="80"/>
  <c r="Q374" i="80"/>
  <c r="Q375" i="80"/>
  <c r="Q376" i="80"/>
  <c r="Q377" i="80"/>
  <c r="Q378" i="80"/>
  <c r="Q379" i="80"/>
  <c r="Q380" i="80"/>
  <c r="Q381" i="80"/>
  <c r="Q382" i="80"/>
  <c r="Q383" i="80"/>
  <c r="Q384" i="80"/>
  <c r="Q385" i="80"/>
  <c r="Q386" i="80"/>
  <c r="Q387" i="80"/>
  <c r="Q388" i="80"/>
  <c r="Q389" i="80"/>
  <c r="Q390" i="80"/>
  <c r="Q391" i="80"/>
  <c r="Q392" i="80"/>
  <c r="Q393" i="80"/>
  <c r="Q394" i="80"/>
  <c r="Q395" i="80"/>
  <c r="Q396" i="80"/>
  <c r="Q397" i="80"/>
  <c r="Q398" i="80"/>
  <c r="Q399" i="80"/>
  <c r="Q400" i="80"/>
  <c r="Q401" i="80"/>
  <c r="Q402" i="80"/>
  <c r="Q403" i="80"/>
  <c r="Q404" i="80"/>
  <c r="Q405" i="80"/>
  <c r="Q406" i="80"/>
  <c r="Q407" i="80"/>
  <c r="Q408" i="80"/>
  <c r="Q409" i="80"/>
  <c r="Q410" i="80"/>
  <c r="Q411" i="80"/>
  <c r="Q412" i="80"/>
  <c r="Q413" i="80"/>
  <c r="Q414" i="80"/>
  <c r="Q415" i="80"/>
  <c r="Q416" i="80"/>
  <c r="Q417" i="80"/>
  <c r="Q418" i="80"/>
  <c r="Q419" i="80"/>
  <c r="Q420" i="80"/>
  <c r="Q421" i="80"/>
  <c r="Q422" i="80"/>
  <c r="Q423" i="80"/>
  <c r="Q424" i="80"/>
  <c r="Q425" i="80"/>
  <c r="Q426" i="80"/>
  <c r="Q427" i="80"/>
  <c r="Q428" i="80"/>
  <c r="Q429" i="80"/>
  <c r="Q430" i="80"/>
  <c r="Q431" i="80"/>
  <c r="Q432" i="80"/>
  <c r="Q433" i="80"/>
  <c r="Q434" i="80"/>
  <c r="Q435" i="80"/>
  <c r="Q436" i="80"/>
  <c r="Q437" i="80"/>
  <c r="Q438" i="80"/>
  <c r="Q439" i="80"/>
  <c r="Q440" i="80"/>
  <c r="Q441" i="80"/>
  <c r="Q442" i="80"/>
  <c r="Q443" i="80"/>
  <c r="Q444" i="80"/>
  <c r="Q445" i="80"/>
  <c r="Q446" i="80"/>
  <c r="Q447" i="80"/>
  <c r="Q448" i="80"/>
  <c r="Q449" i="80"/>
  <c r="Q450" i="80"/>
  <c r="Q451" i="80"/>
  <c r="Q452" i="80"/>
  <c r="Q453" i="80"/>
  <c r="Q454" i="80"/>
  <c r="Q455" i="80"/>
  <c r="Q456" i="80"/>
  <c r="Q457" i="80"/>
  <c r="Q458" i="80"/>
  <c r="Q459" i="80"/>
  <c r="Q460" i="80"/>
  <c r="Q461" i="80"/>
  <c r="Q462" i="80"/>
  <c r="Q463" i="80"/>
  <c r="Q464" i="80"/>
  <c r="Q465" i="80"/>
  <c r="Q466" i="80"/>
  <c r="Q467" i="80"/>
  <c r="Q468" i="80"/>
  <c r="Q469" i="80"/>
  <c r="Q470" i="80"/>
  <c r="Q471" i="80"/>
  <c r="Q472" i="80"/>
  <c r="Q473" i="80"/>
  <c r="Q474" i="80"/>
  <c r="Q475" i="80"/>
  <c r="Q476" i="80"/>
  <c r="Q477" i="80"/>
  <c r="Q478" i="80"/>
  <c r="Q479" i="80"/>
  <c r="Q480" i="80"/>
  <c r="Q481" i="80"/>
  <c r="Q482" i="80"/>
  <c r="Q483" i="80"/>
  <c r="Q484" i="80"/>
  <c r="Q485" i="80"/>
  <c r="Q486" i="80"/>
  <c r="Q487" i="80"/>
  <c r="Q488" i="80"/>
  <c r="Q489" i="80"/>
  <c r="Q490" i="80"/>
  <c r="Q491" i="80"/>
  <c r="Q492" i="80"/>
  <c r="Q493" i="80"/>
  <c r="Q494" i="80"/>
  <c r="Q495" i="80"/>
  <c r="Q496" i="80"/>
  <c r="Q497" i="80"/>
  <c r="Q498" i="80"/>
  <c r="Q499" i="80"/>
  <c r="Q500" i="80"/>
  <c r="Q501" i="80"/>
  <c r="Q502" i="80"/>
  <c r="Q503" i="80"/>
  <c r="Q504" i="80"/>
  <c r="Q505" i="80"/>
  <c r="Q506" i="80"/>
  <c r="Q507" i="80"/>
  <c r="Q508" i="80"/>
  <c r="Q509" i="80"/>
  <c r="Q510" i="80"/>
  <c r="Q511" i="80"/>
  <c r="Q512" i="80"/>
  <c r="Q513" i="80"/>
  <c r="Q514" i="80"/>
  <c r="Q515" i="80"/>
  <c r="Q516" i="80"/>
  <c r="Q517" i="80"/>
  <c r="Q518" i="80"/>
  <c r="Q519" i="80"/>
  <c r="Q520" i="80"/>
  <c r="Q521" i="80"/>
  <c r="Q522" i="80"/>
  <c r="Q523" i="80"/>
  <c r="Q524" i="80"/>
  <c r="Q525" i="80"/>
  <c r="Q526" i="80"/>
  <c r="Q527" i="80"/>
  <c r="Q528" i="80"/>
  <c r="Q529" i="80"/>
  <c r="Q530" i="80"/>
  <c r="Q531" i="80"/>
  <c r="Q532" i="80"/>
  <c r="Q533" i="80"/>
  <c r="Q534" i="80"/>
  <c r="Q535" i="80"/>
  <c r="Q536" i="80"/>
  <c r="Q537" i="80"/>
  <c r="Q538" i="80"/>
  <c r="Q539" i="80"/>
  <c r="Q540" i="80"/>
  <c r="Q541" i="80"/>
  <c r="Q542" i="80"/>
  <c r="Q543" i="80"/>
  <c r="Q544" i="80"/>
  <c r="Q545" i="80"/>
  <c r="Q546" i="80"/>
  <c r="Q547" i="80"/>
  <c r="Q548" i="80"/>
  <c r="Q549" i="80"/>
  <c r="Q550" i="80"/>
  <c r="Q551" i="80"/>
  <c r="Q552" i="80"/>
  <c r="Q553" i="80"/>
  <c r="Q554" i="80"/>
  <c r="Q555" i="80"/>
  <c r="Q556" i="80"/>
  <c r="Q557" i="80"/>
  <c r="Q558" i="80"/>
  <c r="Q559" i="80"/>
  <c r="Q560" i="80"/>
  <c r="Q561" i="80"/>
  <c r="Q562" i="80"/>
  <c r="Q563" i="80"/>
  <c r="Q564" i="80"/>
  <c r="Q565" i="80"/>
  <c r="Q566" i="80"/>
  <c r="Q567" i="80"/>
  <c r="Q568" i="80"/>
  <c r="Q569" i="80"/>
  <c r="Q570" i="80"/>
  <c r="Q571" i="80"/>
  <c r="Q572" i="80"/>
  <c r="Q573" i="80"/>
  <c r="Q574" i="80"/>
  <c r="Q575" i="80"/>
  <c r="Q576" i="80"/>
  <c r="Q577" i="80"/>
  <c r="Q578" i="80"/>
  <c r="Q579" i="80"/>
  <c r="Q580" i="80"/>
  <c r="Q581" i="80"/>
  <c r="Q582" i="80"/>
  <c r="Q583" i="80"/>
  <c r="Q584" i="80"/>
  <c r="Q585" i="80"/>
  <c r="Q586" i="80"/>
  <c r="Q587" i="80"/>
  <c r="Q588" i="80"/>
  <c r="Q589" i="80"/>
  <c r="Q590" i="80"/>
  <c r="Q591" i="80"/>
  <c r="Q592" i="80"/>
  <c r="Q593" i="80"/>
  <c r="Q594" i="80"/>
  <c r="Q595" i="80"/>
  <c r="Q596" i="80"/>
  <c r="Q597" i="80"/>
  <c r="Q598" i="80"/>
  <c r="Q599" i="80"/>
  <c r="Q600" i="80"/>
  <c r="Q601" i="80"/>
  <c r="Q602" i="80"/>
  <c r="Q603" i="80"/>
  <c r="Q604" i="80"/>
  <c r="Q605" i="80"/>
  <c r="Q606" i="80"/>
  <c r="Q607" i="80"/>
  <c r="Q608" i="80"/>
  <c r="Q609" i="80"/>
  <c r="Q610" i="80"/>
  <c r="Q611" i="80"/>
  <c r="Q612" i="80"/>
  <c r="Q613" i="80"/>
  <c r="Q614" i="80"/>
  <c r="Q615" i="80"/>
  <c r="Q616" i="80"/>
  <c r="Q617" i="80"/>
  <c r="Q618" i="80"/>
  <c r="Q619" i="80"/>
  <c r="Q620" i="80"/>
  <c r="Q621" i="80"/>
  <c r="Q622" i="80"/>
  <c r="Q623" i="80"/>
  <c r="Q624" i="80"/>
  <c r="Q625" i="80"/>
  <c r="Q626" i="80"/>
  <c r="Q627" i="80"/>
  <c r="Q628" i="80"/>
  <c r="Q629" i="80"/>
  <c r="Q630" i="80"/>
  <c r="Q631" i="80"/>
  <c r="Q632" i="80"/>
  <c r="Q633" i="80"/>
  <c r="Q634" i="80"/>
  <c r="Q635" i="80"/>
  <c r="Q636" i="80"/>
  <c r="Q637" i="80"/>
  <c r="Q638" i="80"/>
  <c r="Q639" i="80"/>
  <c r="Q640" i="80"/>
  <c r="Q641" i="80"/>
  <c r="Q642" i="80"/>
  <c r="Q643" i="80"/>
  <c r="Q644" i="80"/>
  <c r="Q645" i="80"/>
  <c r="Q646" i="80"/>
  <c r="Q647" i="80"/>
  <c r="Q648" i="80"/>
  <c r="Q649" i="80"/>
  <c r="Q650" i="80"/>
  <c r="Q651" i="80"/>
  <c r="Q652" i="80"/>
  <c r="Q653" i="80"/>
  <c r="Q654" i="80"/>
  <c r="Q655" i="80"/>
  <c r="Q656" i="80"/>
  <c r="Q657" i="80"/>
  <c r="Q658" i="80"/>
  <c r="Q659" i="80"/>
  <c r="Q660" i="80"/>
  <c r="Q661" i="80"/>
  <c r="Q662" i="80"/>
  <c r="Q663" i="80"/>
  <c r="Q664" i="80"/>
  <c r="Q665" i="80"/>
  <c r="Q666" i="80"/>
  <c r="Q667" i="80"/>
  <c r="Q668" i="80"/>
  <c r="Q669" i="80"/>
  <c r="Q670" i="80"/>
  <c r="Q671" i="80"/>
  <c r="Q672" i="80"/>
  <c r="Q673" i="80"/>
  <c r="Q674" i="80"/>
  <c r="Q675" i="80"/>
  <c r="Q676" i="80"/>
  <c r="Q677" i="80"/>
  <c r="Q678" i="80"/>
  <c r="Q679" i="80"/>
  <c r="Q680" i="80"/>
  <c r="Q681" i="80"/>
  <c r="Q682" i="80"/>
  <c r="Q683" i="80"/>
  <c r="Q684" i="80"/>
  <c r="Q685" i="80"/>
  <c r="Q686" i="80"/>
  <c r="Q687" i="80"/>
  <c r="Q688" i="80"/>
  <c r="Q689" i="80"/>
  <c r="Q690" i="80"/>
  <c r="Q691" i="80"/>
  <c r="Q692" i="80"/>
  <c r="Q693" i="80"/>
  <c r="Q694" i="80"/>
  <c r="Q695" i="80"/>
  <c r="Q696" i="80"/>
  <c r="Q697" i="80"/>
  <c r="Q698" i="80"/>
  <c r="Q699" i="80"/>
  <c r="Q700" i="80"/>
  <c r="Q701" i="80"/>
  <c r="Q702" i="80"/>
  <c r="Q703" i="80"/>
  <c r="Q704" i="80"/>
  <c r="Q705" i="80"/>
  <c r="Q706" i="80"/>
  <c r="Q707" i="80"/>
  <c r="Q708" i="80"/>
  <c r="Q709" i="80"/>
  <c r="Q710" i="80"/>
  <c r="Q711" i="80"/>
  <c r="Q712" i="80"/>
  <c r="Q713" i="80"/>
  <c r="Q714" i="80"/>
  <c r="Q715" i="80"/>
  <c r="Q716" i="80"/>
  <c r="Q717" i="80"/>
  <c r="Q718" i="80"/>
  <c r="Q719" i="80"/>
  <c r="Q720" i="80"/>
  <c r="Q721" i="80"/>
  <c r="Q722" i="80"/>
  <c r="Q723" i="80"/>
  <c r="Q724" i="80"/>
  <c r="Q725" i="80"/>
  <c r="Q726" i="80"/>
  <c r="Q727" i="80"/>
  <c r="Q728" i="80"/>
  <c r="Q729" i="80"/>
  <c r="Q730" i="80"/>
  <c r="Q731" i="80"/>
  <c r="Q732" i="80"/>
  <c r="Q733" i="80"/>
  <c r="Q734" i="80"/>
  <c r="Q735" i="80"/>
  <c r="Q736" i="80"/>
  <c r="Q737" i="80"/>
  <c r="Q738" i="80"/>
  <c r="Q739" i="80"/>
  <c r="Q740" i="80"/>
  <c r="Q741" i="80"/>
  <c r="Q742" i="80"/>
  <c r="Q743" i="80"/>
  <c r="Q744" i="80"/>
  <c r="Q745" i="80"/>
  <c r="Q746" i="80"/>
  <c r="Q747" i="80"/>
  <c r="Q748" i="80"/>
  <c r="Q749" i="80"/>
  <c r="Q750" i="80"/>
  <c r="Q751" i="80"/>
  <c r="Q752" i="80"/>
  <c r="Q753" i="80"/>
  <c r="Q754" i="80"/>
  <c r="Q755" i="80"/>
  <c r="Q756" i="80"/>
  <c r="Q757" i="80"/>
  <c r="Q758" i="80"/>
  <c r="Q759" i="80"/>
  <c r="Q760" i="80"/>
  <c r="Q761" i="80"/>
  <c r="Q762" i="80"/>
  <c r="Q763" i="80"/>
  <c r="Q764" i="80"/>
  <c r="Q765" i="80"/>
  <c r="Q766" i="80"/>
  <c r="Q767" i="80"/>
  <c r="Q768" i="80"/>
  <c r="Q769" i="80"/>
  <c r="Q770" i="80"/>
  <c r="Q771" i="80"/>
  <c r="Q772" i="80"/>
  <c r="Q773" i="80"/>
  <c r="Q774" i="80"/>
  <c r="Q775" i="80"/>
  <c r="Q776" i="80"/>
  <c r="Q777" i="80"/>
  <c r="Q778" i="80"/>
  <c r="Q779" i="80"/>
  <c r="Q780" i="80"/>
  <c r="Q781" i="80"/>
  <c r="Q782" i="80"/>
  <c r="Q783" i="80"/>
  <c r="Q784" i="80"/>
  <c r="Q785" i="80"/>
  <c r="Q786" i="80"/>
  <c r="Q787" i="80"/>
  <c r="Q788" i="80"/>
  <c r="Q789" i="80"/>
  <c r="Q790" i="80"/>
  <c r="Q791" i="80"/>
  <c r="Q792" i="80"/>
  <c r="Q793" i="80"/>
  <c r="Q794" i="80"/>
  <c r="Q795" i="80"/>
  <c r="Q796" i="80"/>
  <c r="Q797" i="80"/>
  <c r="Q798" i="80"/>
  <c r="Q799" i="80"/>
  <c r="Q800" i="80"/>
  <c r="Q801" i="80"/>
  <c r="Q802" i="80"/>
  <c r="Q803" i="80"/>
  <c r="Q804" i="80"/>
  <c r="Q805" i="80"/>
  <c r="Q806" i="80"/>
  <c r="Q807" i="80"/>
  <c r="Q808" i="80"/>
  <c r="Q809" i="80"/>
  <c r="Q810" i="80"/>
  <c r="Q811" i="80"/>
  <c r="Q812" i="80"/>
  <c r="Q813" i="80"/>
  <c r="Q814" i="80"/>
  <c r="Q815" i="80"/>
  <c r="Q816" i="80"/>
  <c r="Q817" i="80"/>
  <c r="Q818" i="80"/>
  <c r="Q819" i="80"/>
  <c r="Q820" i="80"/>
  <c r="Q821" i="80"/>
  <c r="Q822" i="80"/>
  <c r="Q823" i="80"/>
  <c r="Q824" i="80"/>
  <c r="Q825" i="80"/>
  <c r="Q826" i="80"/>
  <c r="Q827" i="80"/>
  <c r="Q828" i="80"/>
  <c r="Q829" i="80"/>
  <c r="Q830" i="80"/>
  <c r="Q831" i="80"/>
  <c r="Q832" i="80"/>
  <c r="Q833" i="80"/>
  <c r="Q834" i="80"/>
  <c r="Q835" i="80"/>
  <c r="Q836" i="80"/>
  <c r="Q837" i="80"/>
  <c r="Q838" i="80"/>
  <c r="Q839" i="80"/>
  <c r="Q840" i="80"/>
  <c r="Q841" i="80"/>
  <c r="Q842" i="80"/>
  <c r="Q843" i="80"/>
  <c r="Q844" i="80"/>
  <c r="Q845" i="80"/>
  <c r="Q846" i="80"/>
  <c r="Q847" i="80"/>
  <c r="Q848" i="80"/>
  <c r="Q849" i="80"/>
  <c r="Q850" i="80"/>
  <c r="Q851" i="80"/>
  <c r="Q852" i="80"/>
  <c r="Q853" i="80"/>
  <c r="Q854" i="80"/>
  <c r="Q855" i="80"/>
  <c r="Q856" i="80"/>
  <c r="Q857" i="80"/>
  <c r="Q858" i="80"/>
  <c r="Q859" i="80"/>
  <c r="Q860" i="80"/>
  <c r="Q861" i="80"/>
  <c r="Q862" i="80"/>
  <c r="Q863" i="80"/>
  <c r="Q864" i="80"/>
  <c r="Q865" i="80"/>
  <c r="Q866" i="80"/>
  <c r="Q867" i="80"/>
  <c r="Q868" i="80"/>
  <c r="Q869" i="80"/>
  <c r="Q870" i="80"/>
  <c r="Q871" i="80"/>
  <c r="Q872" i="80"/>
  <c r="Q873" i="80"/>
  <c r="Q874" i="80"/>
  <c r="Q875" i="80"/>
  <c r="Q876" i="80"/>
  <c r="Q877" i="80"/>
  <c r="Q878" i="80"/>
  <c r="Q879" i="80"/>
  <c r="Q880" i="80"/>
  <c r="Q881" i="80"/>
  <c r="Q882" i="80"/>
  <c r="Q883" i="80"/>
  <c r="Q884" i="80"/>
  <c r="Q885" i="80"/>
  <c r="Q886" i="80"/>
  <c r="Q887" i="80"/>
  <c r="Q888" i="80"/>
  <c r="Q889" i="80"/>
  <c r="Q890" i="80"/>
  <c r="Q891" i="80"/>
  <c r="Q892" i="80"/>
  <c r="Q893" i="80"/>
  <c r="Q894" i="80"/>
  <c r="Q895" i="80"/>
  <c r="Q896" i="80"/>
  <c r="Q897" i="80"/>
  <c r="Q898" i="80"/>
  <c r="Q899" i="80"/>
  <c r="Q900" i="80"/>
  <c r="Q901" i="80"/>
  <c r="Q902" i="80"/>
  <c r="Q903" i="80"/>
  <c r="Q904" i="80"/>
  <c r="Q905" i="80"/>
  <c r="Q906" i="80"/>
  <c r="Q907" i="80"/>
  <c r="Q908" i="80"/>
  <c r="Q909" i="80"/>
  <c r="Q910" i="80"/>
  <c r="Q911" i="80"/>
  <c r="Q912" i="80"/>
  <c r="Q913" i="80"/>
  <c r="Q914" i="80"/>
  <c r="Q915" i="80"/>
  <c r="Q916" i="80"/>
  <c r="Q917" i="80"/>
  <c r="Q918" i="80"/>
  <c r="Q919" i="80"/>
  <c r="Q920" i="80"/>
  <c r="Q921" i="80"/>
  <c r="Q922" i="80"/>
  <c r="Q923" i="80"/>
  <c r="Q924" i="80"/>
  <c r="Q925" i="80"/>
  <c r="Q926" i="80"/>
  <c r="Q927" i="80"/>
  <c r="Q928" i="80"/>
  <c r="Q929" i="80"/>
  <c r="Q930" i="80"/>
  <c r="Q931" i="80"/>
  <c r="Q932" i="80"/>
  <c r="Q933" i="80"/>
  <c r="Q934" i="80"/>
  <c r="Q935" i="80"/>
  <c r="Q936" i="80"/>
  <c r="Q937" i="80"/>
  <c r="Q938" i="80"/>
  <c r="Q939" i="80"/>
  <c r="Q940" i="80"/>
  <c r="Q941" i="80"/>
  <c r="Q942" i="80"/>
  <c r="Q943" i="80"/>
  <c r="Q944" i="80"/>
  <c r="Q945" i="80"/>
  <c r="Q946" i="80"/>
  <c r="Q947" i="80"/>
  <c r="Q948" i="80"/>
  <c r="Q949" i="80"/>
  <c r="Q950" i="80"/>
  <c r="Q951" i="80"/>
  <c r="Q952" i="80"/>
  <c r="Q953" i="80"/>
  <c r="Q954" i="80"/>
  <c r="Q955" i="80"/>
  <c r="Q956" i="80"/>
  <c r="Q957" i="80"/>
  <c r="Q958" i="80"/>
  <c r="Q959" i="80"/>
  <c r="Q960" i="80"/>
  <c r="Q961" i="80"/>
  <c r="Q962" i="80"/>
  <c r="Q963" i="80"/>
  <c r="Q964" i="80"/>
  <c r="Q965" i="80"/>
  <c r="Q966" i="80"/>
  <c r="Q967" i="80"/>
  <c r="Q968" i="80"/>
  <c r="Q969" i="80"/>
  <c r="Q970" i="80"/>
  <c r="Q971" i="80"/>
  <c r="Q972" i="80"/>
  <c r="Q973" i="80"/>
  <c r="Q974" i="80"/>
  <c r="Q975" i="80"/>
  <c r="Q976" i="80"/>
  <c r="Q977" i="80"/>
  <c r="Q978" i="80"/>
  <c r="Q979" i="80"/>
  <c r="Q980" i="80"/>
  <c r="Q981" i="80"/>
  <c r="Q982" i="80"/>
  <c r="Q983" i="80"/>
  <c r="Q984" i="80"/>
  <c r="Q985" i="80"/>
  <c r="Q986" i="80"/>
  <c r="Q987" i="80"/>
  <c r="Q988" i="80"/>
  <c r="Q989" i="80"/>
  <c r="Q990" i="80"/>
  <c r="Q991" i="80"/>
  <c r="Q992" i="80"/>
  <c r="Q993" i="80"/>
  <c r="Q994" i="80"/>
  <c r="Q995" i="80"/>
  <c r="Q996" i="80"/>
  <c r="Q997" i="80"/>
  <c r="Q998" i="80"/>
  <c r="Q999" i="80"/>
  <c r="Q1000" i="80"/>
  <c r="Q1001" i="80"/>
  <c r="Q1002" i="80"/>
  <c r="Q1003" i="80"/>
  <c r="Q1004" i="80"/>
  <c r="Q1005" i="80"/>
  <c r="Q1006" i="80"/>
  <c r="Q1007" i="80"/>
  <c r="Q1008" i="80"/>
  <c r="Q1009" i="80"/>
  <c r="Q1010" i="80"/>
  <c r="Q1011" i="80"/>
  <c r="Q1012" i="80"/>
  <c r="Q1013" i="80"/>
  <c r="Q1014" i="80"/>
  <c r="Q1015" i="80"/>
  <c r="Q1016" i="80"/>
  <c r="Q1017" i="80"/>
  <c r="Q1018" i="80"/>
  <c r="Q1019" i="80"/>
  <c r="Q1020" i="80"/>
  <c r="Q1021" i="80"/>
  <c r="Q1022" i="80"/>
  <c r="Q1023" i="80"/>
  <c r="Q1024" i="80"/>
  <c r="Q1025" i="80"/>
  <c r="Q1026" i="80"/>
  <c r="Q1027" i="80"/>
  <c r="Q1028" i="80"/>
  <c r="Q1029" i="80"/>
  <c r="Q1030" i="80"/>
  <c r="Q1031" i="80"/>
  <c r="Q1032" i="80"/>
  <c r="Q1033" i="80"/>
  <c r="Q1034" i="80"/>
  <c r="Q1035" i="80"/>
  <c r="Q1036" i="80"/>
  <c r="Q1037" i="80"/>
  <c r="Q1038" i="80"/>
  <c r="Q1039" i="80"/>
  <c r="Q1040" i="80"/>
  <c r="Q1041" i="80"/>
  <c r="Q1042" i="80"/>
  <c r="Q1043" i="80"/>
  <c r="Q1044" i="80"/>
  <c r="Q1045" i="80"/>
  <c r="Q1046" i="80"/>
  <c r="Q1047" i="80"/>
  <c r="Q1048" i="80"/>
  <c r="Q1049" i="80"/>
  <c r="Q1050" i="80"/>
  <c r="Q1051" i="80"/>
  <c r="Q1052" i="80"/>
  <c r="Q1053" i="80"/>
  <c r="Q1054" i="80"/>
  <c r="Q1055" i="80"/>
  <c r="Q1056" i="80"/>
  <c r="Q1057" i="80"/>
  <c r="Q1058" i="80"/>
  <c r="Q1059" i="80"/>
  <c r="Q1060" i="80"/>
  <c r="Q1061" i="80"/>
  <c r="Q1062" i="80"/>
  <c r="Q1063" i="80"/>
  <c r="Q1064" i="80"/>
  <c r="Q1065" i="80"/>
  <c r="Q1066" i="80"/>
  <c r="Q1067" i="80"/>
  <c r="Q1068" i="80"/>
  <c r="Q1069" i="80"/>
  <c r="Q1070" i="80"/>
  <c r="Q1071" i="80"/>
  <c r="Q1072" i="80"/>
  <c r="Q1073" i="80"/>
  <c r="Q1074" i="80"/>
  <c r="Q1075" i="80"/>
  <c r="Q1076" i="80"/>
  <c r="Q1077" i="80"/>
  <c r="Q1078" i="80"/>
  <c r="Q1079" i="80"/>
  <c r="Q1080" i="80"/>
  <c r="Q1081" i="80"/>
  <c r="Q1082" i="80"/>
  <c r="Q1083" i="80"/>
  <c r="Q1084" i="80"/>
  <c r="Q1085" i="80"/>
  <c r="Q1086" i="80"/>
  <c r="Q1087" i="80"/>
  <c r="Q1088" i="80"/>
  <c r="Q1089" i="80"/>
  <c r="Q1090" i="80"/>
  <c r="Q1091" i="80"/>
  <c r="Q1092" i="80"/>
  <c r="Q1093" i="80"/>
  <c r="Q1094" i="80"/>
  <c r="Q1095" i="80"/>
  <c r="Q1096" i="80"/>
  <c r="Q1097" i="80"/>
  <c r="Q1098" i="80"/>
  <c r="Q1099" i="80"/>
  <c r="Q1100" i="80"/>
  <c r="Q1101" i="80"/>
  <c r="Q1102" i="80"/>
  <c r="Q1103" i="80"/>
  <c r="Q1104" i="80"/>
  <c r="Q1105" i="80"/>
  <c r="Q1106" i="80"/>
  <c r="Q1107" i="80"/>
  <c r="Q1108" i="80"/>
  <c r="Q1109" i="80"/>
  <c r="Q1110" i="80"/>
  <c r="Q1111" i="80"/>
  <c r="Q1112" i="80"/>
  <c r="Q1113" i="80"/>
  <c r="Q1114" i="80"/>
  <c r="Q1115" i="80"/>
  <c r="Q1116" i="80"/>
  <c r="Q1117" i="80"/>
  <c r="Q1118" i="80"/>
  <c r="Q1119" i="80"/>
  <c r="Q1120" i="80"/>
  <c r="Q1121" i="80"/>
  <c r="Q1122" i="80"/>
  <c r="Q1123" i="80"/>
  <c r="Q1124" i="80"/>
  <c r="Q1125" i="80"/>
  <c r="Q1126" i="80"/>
  <c r="Q1127" i="80"/>
  <c r="Q1128" i="80"/>
  <c r="Q1129" i="80"/>
  <c r="Q1130" i="80"/>
  <c r="Q1131" i="80"/>
  <c r="Q1132" i="80"/>
  <c r="Q1133" i="80"/>
  <c r="Q1134" i="80"/>
  <c r="Q1135" i="80"/>
  <c r="Q1136" i="80"/>
  <c r="Q1137" i="80"/>
  <c r="Q1138" i="80"/>
  <c r="Q1139" i="80"/>
  <c r="Q1140" i="80"/>
  <c r="Q1141" i="80"/>
  <c r="Q1142" i="80"/>
  <c r="Q1143" i="80"/>
  <c r="Q1144" i="80"/>
  <c r="Q1145" i="80"/>
  <c r="Q1146" i="80"/>
  <c r="Q1147" i="80"/>
  <c r="Q1148" i="80"/>
  <c r="Q1149" i="80"/>
  <c r="Q1150" i="80"/>
  <c r="Q1151" i="80"/>
  <c r="Q1152" i="80"/>
  <c r="Q1153" i="80"/>
  <c r="Q1154" i="80"/>
  <c r="Q1155" i="80"/>
  <c r="Q1156" i="80"/>
  <c r="Q1157" i="80"/>
  <c r="Q1158" i="80"/>
  <c r="Q1159" i="80"/>
  <c r="Q1160" i="80"/>
  <c r="Q1161" i="80"/>
  <c r="Q1162" i="80"/>
  <c r="Q1163" i="80"/>
  <c r="Q1164" i="80"/>
  <c r="Q1165" i="80"/>
  <c r="Q1166" i="80"/>
  <c r="Q1167" i="80"/>
  <c r="Q1168" i="80"/>
  <c r="Q1169" i="80"/>
  <c r="Q1170" i="80"/>
  <c r="Q1171" i="80"/>
  <c r="Q1172" i="80"/>
  <c r="Q1173" i="80"/>
  <c r="Q1174" i="80"/>
  <c r="Q1175" i="80"/>
  <c r="Q1176" i="80"/>
  <c r="Q1177" i="80"/>
  <c r="Q1178" i="80"/>
  <c r="Q1179" i="80"/>
  <c r="Q1180" i="80"/>
  <c r="Q1181" i="80"/>
  <c r="Q1182" i="80"/>
  <c r="Q1183" i="80"/>
  <c r="Q1184" i="80"/>
  <c r="Q1185" i="80"/>
  <c r="Q1186" i="80"/>
  <c r="Q1187" i="80"/>
  <c r="Q1188" i="80"/>
  <c r="Q1189" i="80"/>
  <c r="Q1190" i="80"/>
  <c r="Q1191" i="80"/>
  <c r="Q1192" i="80"/>
  <c r="Q1193" i="80"/>
  <c r="Q1194" i="80"/>
  <c r="Q1195" i="80"/>
  <c r="Q1196" i="80"/>
  <c r="Q1197" i="80"/>
  <c r="Q1198" i="80"/>
  <c r="Q1199" i="80"/>
  <c r="Q1200" i="80"/>
  <c r="Q1201" i="80"/>
  <c r="Q1202" i="80"/>
  <c r="Q1203" i="80"/>
  <c r="Q1204" i="80"/>
  <c r="Q1205" i="80"/>
  <c r="Q1206" i="80"/>
  <c r="Q1207" i="80"/>
  <c r="Q1208" i="80"/>
  <c r="Q1209" i="80"/>
  <c r="Q1210" i="80"/>
  <c r="Q1211" i="80"/>
  <c r="Q1212" i="80"/>
  <c r="Q1213" i="80"/>
  <c r="Q1214" i="80"/>
  <c r="Q1215" i="80"/>
  <c r="Q1216" i="80"/>
  <c r="Q1217" i="80"/>
  <c r="Q1218" i="80"/>
  <c r="Q1219" i="80"/>
  <c r="Q1220" i="80"/>
  <c r="Q1221" i="80"/>
  <c r="Q1222" i="80"/>
  <c r="Q1223" i="80"/>
  <c r="Q1224" i="80"/>
  <c r="Q1225" i="80"/>
  <c r="Q1226" i="80"/>
  <c r="Q1227" i="80"/>
  <c r="Q1228" i="80"/>
  <c r="Q1229" i="80"/>
  <c r="Q1230" i="80"/>
  <c r="Q1231" i="80"/>
  <c r="Q1232" i="80"/>
  <c r="Q1233" i="80"/>
  <c r="Q1234" i="80"/>
  <c r="Q1235" i="80"/>
  <c r="Q1236" i="80"/>
  <c r="Q1237" i="80"/>
  <c r="Q1238" i="80"/>
  <c r="Q1239" i="80"/>
  <c r="Q1240" i="80"/>
  <c r="Q1241" i="80"/>
  <c r="Q1242" i="80"/>
  <c r="Q1243" i="80"/>
  <c r="Q1244" i="80"/>
  <c r="Q1245" i="80"/>
  <c r="Q1246" i="80"/>
  <c r="Q1247" i="80"/>
  <c r="Q1248" i="80"/>
  <c r="Q1249" i="80"/>
  <c r="Q1250" i="80"/>
  <c r="Q1251" i="80"/>
  <c r="Q1252" i="80"/>
  <c r="Q1253" i="80"/>
  <c r="Q1254" i="80"/>
  <c r="Q1255" i="80"/>
  <c r="Q1256" i="80"/>
  <c r="Q1257" i="80"/>
  <c r="Q1258" i="80"/>
  <c r="Q1259" i="80"/>
  <c r="Q1260" i="80"/>
  <c r="Q1261" i="80"/>
  <c r="Q1262" i="80"/>
  <c r="Q1263" i="80"/>
  <c r="Q1264" i="80"/>
  <c r="Q1265" i="80"/>
  <c r="Q1266" i="80"/>
  <c r="Q1267" i="80"/>
  <c r="Q1268" i="80"/>
  <c r="Q1269" i="80"/>
  <c r="Q1270" i="80"/>
  <c r="Q1271" i="80"/>
  <c r="Q1272" i="80"/>
  <c r="Q1273" i="80"/>
  <c r="Q1274" i="80"/>
  <c r="Q1275" i="80"/>
  <c r="Q1276" i="80"/>
  <c r="Q1277" i="80"/>
  <c r="Q1278" i="80"/>
  <c r="Q1279" i="80"/>
  <c r="Q1280" i="80"/>
  <c r="Q1281" i="80"/>
  <c r="Q1282" i="80"/>
  <c r="Q1283" i="80"/>
  <c r="Q1284" i="80"/>
  <c r="Q1285" i="80"/>
  <c r="Q1286" i="80"/>
  <c r="Q1287" i="80"/>
  <c r="Q1288" i="80"/>
  <c r="Q1289" i="80"/>
  <c r="Q1290" i="80"/>
  <c r="Q1291" i="80"/>
  <c r="Q1292" i="80"/>
  <c r="Q1293" i="80"/>
  <c r="Q1294" i="80"/>
  <c r="Q1295" i="80"/>
  <c r="Q1296" i="80"/>
  <c r="Q1297" i="80"/>
  <c r="Q1298" i="80"/>
  <c r="Q1299" i="80"/>
  <c r="Q1300" i="80"/>
  <c r="Q1301" i="80"/>
  <c r="Q1302" i="80"/>
  <c r="Q1303" i="80"/>
  <c r="Q1304" i="80"/>
  <c r="Q1305" i="80"/>
  <c r="Q1306" i="80"/>
  <c r="Q1307" i="80"/>
  <c r="Q1308" i="80"/>
  <c r="Q1309" i="80"/>
  <c r="Q1310" i="80"/>
  <c r="Q1311" i="80"/>
  <c r="Q1312" i="80"/>
  <c r="Q1313" i="80"/>
  <c r="Q1314" i="80"/>
  <c r="Q1315" i="80"/>
  <c r="Q1316" i="80"/>
  <c r="Q1317" i="80"/>
  <c r="Q1318" i="80"/>
  <c r="Q1319" i="80"/>
  <c r="Q1320" i="80"/>
  <c r="Q1321" i="80"/>
  <c r="Q1322" i="80"/>
  <c r="Q1323" i="80"/>
  <c r="Q1324" i="80"/>
  <c r="Q1325" i="80"/>
  <c r="Q1326" i="80"/>
  <c r="Q1327" i="80"/>
  <c r="Q1328" i="80"/>
  <c r="Q1329" i="80"/>
  <c r="Q1330" i="80"/>
  <c r="Q1331" i="80"/>
  <c r="Q1332" i="80"/>
  <c r="Q1333" i="80"/>
  <c r="Q1334" i="80"/>
  <c r="Q1335" i="80"/>
  <c r="Q1336" i="80"/>
  <c r="Q1337" i="80"/>
  <c r="Q1338" i="80"/>
  <c r="Q1339" i="80"/>
  <c r="Q1340" i="80"/>
  <c r="Q1341" i="80"/>
  <c r="Q1342" i="80"/>
  <c r="Q1343" i="80"/>
  <c r="Q1344" i="80"/>
  <c r="Q1345" i="80"/>
  <c r="Q1346" i="80"/>
  <c r="Q1347" i="80"/>
  <c r="Q1348" i="80"/>
  <c r="Q1349" i="80"/>
  <c r="Q1350" i="80"/>
  <c r="Q1351" i="80"/>
  <c r="Q1352" i="80"/>
  <c r="Q1353" i="80"/>
  <c r="Q1354" i="80"/>
  <c r="Q1355" i="80"/>
  <c r="Q1356" i="80"/>
  <c r="Q1357" i="80"/>
  <c r="Q1358" i="80"/>
  <c r="Q1359" i="80"/>
  <c r="Q1360" i="80"/>
  <c r="Q1361" i="80"/>
  <c r="Q1362" i="80"/>
  <c r="Q1363" i="80"/>
  <c r="Q1364" i="80"/>
  <c r="Q1365" i="80"/>
  <c r="Q1366" i="80"/>
  <c r="Q1367" i="80"/>
  <c r="Q1368" i="80"/>
  <c r="Q1369" i="80"/>
  <c r="Q1370" i="80"/>
  <c r="Q1371" i="80"/>
  <c r="Q1372" i="80"/>
  <c r="Q1373" i="80"/>
  <c r="Q1374" i="80"/>
  <c r="Q1375" i="80"/>
  <c r="Q1376" i="80"/>
  <c r="Q1377" i="80"/>
  <c r="Q1378" i="80"/>
  <c r="Q1379" i="80"/>
  <c r="Q1380" i="80"/>
  <c r="Q1381" i="80"/>
  <c r="Q1382" i="80"/>
  <c r="Q1383" i="80"/>
  <c r="Q1384" i="80"/>
  <c r="Q1385" i="80"/>
  <c r="Q1386" i="80"/>
  <c r="Q1387" i="80"/>
  <c r="Q1388" i="80"/>
  <c r="Q1389" i="80"/>
  <c r="Q1390" i="80"/>
  <c r="Q1391" i="80"/>
  <c r="Q1392" i="80"/>
  <c r="Q1393" i="80"/>
  <c r="Q1394" i="80"/>
  <c r="Q1395" i="80"/>
  <c r="Q1396" i="80"/>
  <c r="Q1397" i="80"/>
  <c r="Q1398" i="80"/>
  <c r="Q1399" i="80"/>
  <c r="Q1400" i="80"/>
  <c r="Q1401" i="80"/>
  <c r="Q1402" i="80"/>
  <c r="Q1403" i="80"/>
  <c r="Q1404" i="80"/>
  <c r="Q1405" i="80"/>
  <c r="Q1406" i="80"/>
  <c r="Q1407" i="80"/>
  <c r="Q1408" i="80"/>
  <c r="Q1409" i="80"/>
  <c r="Q1410" i="80"/>
  <c r="Q1411" i="80"/>
  <c r="Q1412" i="80"/>
  <c r="Q1413" i="80"/>
  <c r="Q1414" i="80"/>
  <c r="Q1415" i="80"/>
  <c r="Q1416" i="80"/>
  <c r="Q1417" i="80"/>
  <c r="Q1418" i="80"/>
  <c r="Q1419" i="80"/>
  <c r="Q1420" i="80"/>
  <c r="Q1421" i="80"/>
  <c r="Q1422" i="80"/>
  <c r="Q1423" i="80"/>
  <c r="Q1424" i="80"/>
  <c r="Q1425" i="80"/>
  <c r="Q1426" i="80"/>
  <c r="Q1427" i="80"/>
  <c r="Q1428" i="80"/>
  <c r="Q1429" i="80"/>
  <c r="Q1430" i="80"/>
  <c r="Q1431" i="80"/>
  <c r="Q1432" i="80"/>
  <c r="Q1433" i="80"/>
  <c r="Q1434" i="80"/>
  <c r="Q1435" i="80"/>
  <c r="Q1436" i="80"/>
  <c r="Q1437" i="80"/>
  <c r="Q1438" i="80"/>
  <c r="Q1439" i="80"/>
  <c r="Q1440" i="80"/>
  <c r="Q1441" i="80"/>
  <c r="Q1442" i="80"/>
  <c r="Q1443" i="80"/>
  <c r="Q1444" i="80"/>
  <c r="Q1445" i="80"/>
  <c r="Q1446" i="80"/>
  <c r="Q1447" i="80"/>
  <c r="Q1448" i="80"/>
  <c r="Q1449" i="80"/>
  <c r="Q1450" i="80"/>
  <c r="Q1451" i="80"/>
  <c r="Q1452" i="80"/>
  <c r="Q1453" i="80"/>
  <c r="Q1454" i="80"/>
  <c r="Q1455" i="80"/>
  <c r="Q1456" i="80"/>
  <c r="Q1457" i="80"/>
  <c r="Q1458" i="80"/>
  <c r="Q1459" i="80"/>
  <c r="Q1460" i="80"/>
  <c r="Q1461" i="80"/>
  <c r="Q1462" i="80"/>
  <c r="Q1463" i="80"/>
  <c r="Q1464" i="80"/>
  <c r="Q1465" i="80"/>
  <c r="Q1466" i="80"/>
  <c r="Q1467" i="80"/>
  <c r="Q1468" i="80"/>
  <c r="Q1469" i="80"/>
  <c r="Q1470" i="80"/>
  <c r="Q1471" i="80"/>
  <c r="Q1472" i="80"/>
  <c r="Q1473" i="80"/>
  <c r="Q1474" i="80"/>
  <c r="Q1475" i="80"/>
  <c r="Q1476" i="80"/>
  <c r="Q1477" i="80"/>
  <c r="Q1478" i="80"/>
  <c r="Q1479" i="80"/>
  <c r="Q1480" i="80"/>
  <c r="Q1481" i="80"/>
  <c r="Q1482" i="80"/>
  <c r="Q1483" i="80"/>
  <c r="Q1484" i="80"/>
  <c r="Q1485" i="80"/>
  <c r="Q1486" i="80"/>
  <c r="Q1487" i="80"/>
  <c r="Q1488" i="80"/>
  <c r="Q1489" i="80"/>
  <c r="Q1490" i="80"/>
  <c r="Q1491" i="80"/>
  <c r="Q1492" i="80"/>
  <c r="Q1493" i="80"/>
  <c r="Q1494" i="80"/>
  <c r="Q1495" i="80"/>
  <c r="Q1496" i="80"/>
  <c r="Q1497" i="80"/>
  <c r="Q1498" i="80"/>
  <c r="Q1499" i="80"/>
  <c r="Q1500" i="80"/>
  <c r="Q1501" i="80"/>
  <c r="Q1502" i="80"/>
  <c r="Q1503" i="80"/>
  <c r="Q1504" i="80"/>
  <c r="Q1505" i="80"/>
  <c r="Q1506" i="80"/>
  <c r="Q1507" i="80"/>
  <c r="Q1508" i="80"/>
  <c r="Q1509" i="80"/>
  <c r="Q1510" i="80"/>
  <c r="Q1511" i="80"/>
  <c r="Q1512" i="80"/>
  <c r="Q1513" i="80"/>
  <c r="Q1514" i="80"/>
  <c r="Q1515" i="80"/>
  <c r="Q1516" i="80"/>
  <c r="Q1517" i="80"/>
  <c r="Q1518" i="80"/>
  <c r="Q1519" i="80"/>
  <c r="Q1520" i="80"/>
  <c r="Q1521" i="80"/>
  <c r="Q1522" i="80"/>
  <c r="Q1523" i="80"/>
  <c r="Q1524" i="80"/>
  <c r="Q1525" i="80"/>
  <c r="Q1526" i="80"/>
  <c r="Q1527" i="80"/>
  <c r="Q1528" i="80"/>
  <c r="Q1529" i="80"/>
  <c r="Q1530" i="80"/>
  <c r="Q1531" i="80"/>
  <c r="Q1532" i="80"/>
  <c r="Q1533" i="80"/>
  <c r="Q1534" i="80"/>
  <c r="Q1535" i="80"/>
  <c r="Q1536" i="80"/>
  <c r="Q1537" i="80"/>
  <c r="Q1538" i="80"/>
  <c r="Q1539" i="80"/>
  <c r="Q1540" i="80"/>
  <c r="Q1541" i="80"/>
  <c r="Q1542" i="80"/>
  <c r="Q1543" i="80"/>
  <c r="Q1544" i="80"/>
  <c r="Q1545" i="80"/>
  <c r="Q1546" i="80"/>
  <c r="Q1547" i="80"/>
  <c r="Q1548" i="80"/>
  <c r="Q1549" i="80"/>
  <c r="Q1550" i="80"/>
  <c r="Q1551" i="80"/>
  <c r="Q1552" i="80"/>
  <c r="Q1553" i="80"/>
  <c r="Q1554" i="80"/>
  <c r="Q1555" i="80"/>
  <c r="Q1556" i="80"/>
  <c r="Q1557" i="80"/>
  <c r="Q1558" i="80"/>
  <c r="Q1559" i="80"/>
  <c r="Q1560" i="80"/>
  <c r="Q1561" i="80"/>
  <c r="Q1562" i="80"/>
  <c r="Q1563" i="80"/>
  <c r="Q1564" i="80"/>
  <c r="Q1565" i="80"/>
  <c r="Q1566" i="80"/>
  <c r="Q1567" i="80"/>
  <c r="Q1568" i="80"/>
  <c r="Q1569" i="80"/>
  <c r="Q1570" i="80"/>
  <c r="Q1571" i="80"/>
  <c r="Q1572" i="80"/>
  <c r="Q1573" i="80"/>
  <c r="Q1574" i="80"/>
  <c r="Q1575" i="80"/>
  <c r="Q1576" i="80"/>
  <c r="Q1577" i="80"/>
  <c r="Q1578" i="80"/>
  <c r="Q1579" i="80"/>
  <c r="Q1580" i="80"/>
  <c r="Q1581" i="80"/>
  <c r="Q1582" i="80"/>
  <c r="Q1583" i="80"/>
  <c r="Q1584" i="80"/>
  <c r="Q1585" i="80"/>
  <c r="Q1586" i="80"/>
  <c r="Q1587" i="80"/>
  <c r="Q1588" i="80"/>
  <c r="Q1589" i="80"/>
  <c r="Q1590" i="80"/>
  <c r="Q1591" i="80"/>
  <c r="Q1592" i="80"/>
  <c r="Q1593" i="80"/>
  <c r="Q1594" i="80"/>
  <c r="Q1595" i="80"/>
  <c r="Q1596" i="80"/>
  <c r="Q1597" i="80"/>
  <c r="Q1598" i="80"/>
  <c r="Q1599" i="80"/>
  <c r="Q1600" i="80"/>
  <c r="Q1601" i="80"/>
  <c r="Q1602" i="80"/>
  <c r="Q1603" i="80"/>
  <c r="Q1604" i="80"/>
  <c r="Q1605" i="80"/>
  <c r="Q1606" i="80"/>
  <c r="Q1607" i="80"/>
  <c r="Q1608" i="80"/>
  <c r="Q1609" i="80"/>
  <c r="Q1610" i="80"/>
  <c r="Q1611" i="80"/>
  <c r="Q1612" i="80"/>
  <c r="Q1613" i="80"/>
  <c r="Q1614" i="80"/>
  <c r="Q1615" i="80"/>
  <c r="Q1616" i="80"/>
  <c r="Q1617" i="80"/>
  <c r="Q1618" i="80"/>
  <c r="Q1619" i="80"/>
  <c r="Q1620" i="80"/>
  <c r="Q1621" i="80"/>
  <c r="Q1622" i="80"/>
  <c r="Q1623" i="80"/>
  <c r="Q1624" i="80"/>
  <c r="Q1625" i="80"/>
  <c r="Q1626" i="80"/>
  <c r="Q1627" i="80"/>
  <c r="Q1628" i="80"/>
  <c r="Q1629" i="80"/>
  <c r="Q1630" i="80"/>
  <c r="Q1631" i="80"/>
  <c r="Q1632" i="80"/>
  <c r="Q1633" i="80"/>
  <c r="Q1634" i="80"/>
  <c r="Q1635" i="80"/>
  <c r="Q1636" i="80"/>
  <c r="Q1637" i="80"/>
  <c r="Q1638" i="80"/>
  <c r="Q1639" i="80"/>
  <c r="Q1640" i="80"/>
  <c r="Q1641" i="80"/>
  <c r="Q1642" i="80"/>
  <c r="Q1643" i="80"/>
  <c r="Q1644" i="80"/>
  <c r="Q1645" i="80"/>
  <c r="Q1646" i="80"/>
  <c r="Q1647" i="80"/>
  <c r="Q1648" i="80"/>
  <c r="Q1649" i="80"/>
  <c r="Q1650" i="80"/>
  <c r="Q1651" i="80"/>
  <c r="Q1652" i="80"/>
  <c r="Q1653" i="80"/>
  <c r="Q1654" i="80"/>
  <c r="Q1655" i="80"/>
  <c r="Q1656" i="80"/>
  <c r="Q1657" i="80"/>
  <c r="Q1658" i="80"/>
  <c r="Q1659" i="80"/>
  <c r="Q1660" i="80"/>
  <c r="Q1661" i="80"/>
  <c r="Q1662" i="80"/>
  <c r="Q1663" i="80"/>
  <c r="Q1664" i="80"/>
  <c r="Q1665" i="80"/>
  <c r="Q1666" i="80"/>
  <c r="Q1667" i="80"/>
  <c r="Q1668" i="80"/>
  <c r="Q1669" i="80"/>
  <c r="Q1670" i="80"/>
  <c r="Q1671" i="80"/>
  <c r="Q1672" i="80"/>
  <c r="Q1673" i="80"/>
  <c r="Q1674" i="80"/>
  <c r="Q1675" i="80"/>
  <c r="Q1676" i="80"/>
  <c r="Q1677" i="80"/>
  <c r="Q1678" i="80"/>
  <c r="Q1679" i="80"/>
  <c r="Q1680" i="80"/>
  <c r="Q1681" i="80"/>
  <c r="Q1682" i="80"/>
  <c r="Q1683" i="80"/>
  <c r="Q1684" i="80"/>
  <c r="Q1685" i="80"/>
  <c r="Q1686" i="80"/>
  <c r="Q1687" i="80"/>
  <c r="Q1688" i="80"/>
  <c r="Q1689" i="80"/>
  <c r="Q1690" i="80"/>
  <c r="Q1691" i="80"/>
  <c r="Q1692" i="80"/>
  <c r="Q1693" i="80"/>
  <c r="Q1694" i="80"/>
  <c r="Q1695" i="80"/>
  <c r="Q1696" i="80"/>
  <c r="Q1697" i="80"/>
  <c r="Q1698" i="80"/>
  <c r="Q1699" i="80"/>
  <c r="Q1700" i="80"/>
  <c r="Q1701" i="80"/>
  <c r="Q1702" i="80"/>
  <c r="Q1703" i="80"/>
  <c r="Q1704" i="80"/>
  <c r="Q1705" i="80"/>
  <c r="Q1706" i="80"/>
  <c r="Q1707" i="80"/>
  <c r="Q1708" i="80"/>
  <c r="Q1709" i="80"/>
  <c r="Q1710" i="80"/>
  <c r="Q1711" i="80"/>
  <c r="Q1712" i="80"/>
  <c r="Q1713" i="80"/>
  <c r="Q1714" i="80"/>
  <c r="Q1715" i="80"/>
  <c r="Q1716" i="80"/>
  <c r="Q1717" i="80"/>
  <c r="Q1718" i="80"/>
  <c r="Q1719" i="80"/>
  <c r="Q1720" i="80"/>
  <c r="Q1721" i="80"/>
  <c r="Q1722" i="80"/>
  <c r="Q1723" i="80"/>
  <c r="Q1724" i="80"/>
  <c r="Q1725" i="80"/>
  <c r="Q1726" i="80"/>
  <c r="Q1727" i="80"/>
  <c r="Q1728" i="80"/>
  <c r="Q1729" i="80"/>
  <c r="Q1730" i="80"/>
  <c r="Q1731" i="80"/>
  <c r="Q1732" i="80"/>
  <c r="Q1733" i="80"/>
  <c r="Q1734" i="80"/>
  <c r="Q1735" i="80"/>
  <c r="Q1736" i="80"/>
  <c r="Q1737" i="80"/>
  <c r="Q1738" i="80"/>
  <c r="Q1739" i="80"/>
  <c r="Q1740" i="80"/>
  <c r="Q1741" i="80"/>
  <c r="Q1742" i="80"/>
  <c r="Q1743" i="80"/>
  <c r="Q1744" i="80"/>
  <c r="Q1745" i="80"/>
  <c r="Q1746" i="80"/>
  <c r="Q1747" i="80"/>
  <c r="Q1748" i="80"/>
  <c r="Q1749" i="80"/>
  <c r="Q1750" i="80"/>
  <c r="Q1751" i="80"/>
  <c r="Q1752" i="80"/>
  <c r="Q1753" i="80"/>
  <c r="Q1754" i="80"/>
  <c r="Q1755" i="80"/>
  <c r="Q1756" i="80"/>
  <c r="Q1757" i="80"/>
  <c r="Q1758" i="80"/>
  <c r="Q1759" i="80"/>
  <c r="Q1760" i="80"/>
  <c r="Q1761" i="80"/>
  <c r="Q1762" i="80"/>
  <c r="Q1763" i="80"/>
  <c r="Q1764" i="80"/>
  <c r="Q1765" i="80"/>
  <c r="Q1766" i="80"/>
  <c r="Q1767" i="80"/>
  <c r="Q1768" i="80"/>
  <c r="Q1769" i="80"/>
  <c r="Q1770" i="80"/>
  <c r="Q1771" i="80"/>
  <c r="Q1772" i="80"/>
  <c r="Q1773" i="80"/>
  <c r="Q1774" i="80"/>
  <c r="Q1775" i="80"/>
  <c r="Q1776" i="80"/>
  <c r="Q1777" i="80"/>
  <c r="Q1778" i="80"/>
  <c r="Q1779" i="80"/>
  <c r="Q1780" i="80"/>
  <c r="Q1781" i="80"/>
  <c r="Q1782" i="80"/>
  <c r="Q1783" i="80"/>
  <c r="Q1784" i="80"/>
  <c r="Q1785" i="80"/>
  <c r="Q1786" i="80"/>
  <c r="Q1787" i="80"/>
  <c r="Q1788" i="80"/>
  <c r="Q1789" i="80"/>
  <c r="Q1790" i="80"/>
  <c r="Q1791" i="80"/>
  <c r="Q1792" i="80"/>
  <c r="Q1793" i="80"/>
  <c r="Q1794" i="80"/>
  <c r="Q1795" i="80"/>
  <c r="Q1796" i="80"/>
  <c r="Q1797" i="80"/>
  <c r="Q1798" i="80"/>
  <c r="Q1799" i="80"/>
  <c r="Q1800" i="80"/>
  <c r="Q1801" i="80"/>
  <c r="Q1802" i="80"/>
  <c r="Q1803" i="80"/>
  <c r="Q1804" i="80"/>
  <c r="Q1805" i="80"/>
  <c r="Q1806" i="80"/>
  <c r="Q1807" i="80"/>
  <c r="Q1808" i="80"/>
  <c r="Q1809" i="80"/>
  <c r="Q1810" i="80"/>
  <c r="Q1811" i="80"/>
  <c r="Q1812" i="80"/>
  <c r="Q1813" i="80"/>
  <c r="Q1814" i="80"/>
  <c r="Q1815" i="80"/>
  <c r="Q1816" i="80"/>
  <c r="Q1817" i="80"/>
  <c r="Q1818" i="80"/>
  <c r="Q1819" i="80"/>
  <c r="Q1820" i="80"/>
  <c r="Q1821" i="80"/>
  <c r="Q1822" i="80"/>
  <c r="Q1823" i="80"/>
  <c r="Q1824" i="80"/>
  <c r="Q1825" i="80"/>
  <c r="Q1826" i="80"/>
  <c r="Q1827" i="80"/>
  <c r="Q1828" i="80"/>
  <c r="Q1829" i="80"/>
  <c r="Q1830" i="80"/>
  <c r="Q1831" i="80"/>
  <c r="Q1832" i="80"/>
  <c r="Q1833" i="80"/>
  <c r="Q1834" i="80"/>
  <c r="Q1835" i="80"/>
  <c r="Q1836" i="80"/>
  <c r="Q1837" i="80"/>
  <c r="Q1838" i="80"/>
  <c r="Q1839" i="80"/>
  <c r="Q1840" i="80"/>
  <c r="Q1841" i="80"/>
  <c r="Q1842" i="80"/>
  <c r="Q1843" i="80"/>
  <c r="Q1844" i="80"/>
  <c r="Q1845" i="80"/>
  <c r="Q1846" i="80"/>
  <c r="Q1847" i="80"/>
  <c r="Q1848" i="80"/>
  <c r="Q1849" i="80"/>
  <c r="Q1850" i="80"/>
  <c r="Q1851" i="80"/>
  <c r="Q1852" i="80"/>
  <c r="Q1853" i="80"/>
  <c r="Q1854" i="80"/>
  <c r="Q1855" i="80"/>
  <c r="Q1856" i="80"/>
  <c r="Q1857" i="80"/>
  <c r="Q1858" i="80"/>
  <c r="Q1859" i="80"/>
  <c r="Q1860" i="80"/>
  <c r="Q1861" i="80"/>
  <c r="Q1862" i="80"/>
  <c r="Q1863" i="80"/>
  <c r="Q1864" i="80"/>
  <c r="Q1865" i="80"/>
  <c r="Q1866" i="80"/>
  <c r="Q1867" i="80"/>
  <c r="Q1868" i="80"/>
  <c r="Q1869" i="80"/>
  <c r="Q1870" i="80"/>
  <c r="Q1871" i="80"/>
  <c r="Q1872" i="80"/>
  <c r="Q1873" i="80"/>
  <c r="Q1874" i="80"/>
  <c r="Q1875" i="80"/>
  <c r="Q1876" i="80"/>
  <c r="Q1877" i="80"/>
  <c r="Q1878" i="80"/>
  <c r="Q1879" i="80"/>
  <c r="Q1880" i="80"/>
  <c r="Q1881" i="80"/>
  <c r="Q1882" i="80"/>
  <c r="Q1883" i="80"/>
  <c r="Q1884" i="80"/>
  <c r="Q1885" i="80"/>
  <c r="Q1886" i="80"/>
  <c r="Q1887" i="80"/>
  <c r="Q1888" i="80"/>
  <c r="Q1889" i="80"/>
  <c r="Q1890" i="80"/>
  <c r="Q1891" i="80"/>
  <c r="Q1892" i="80"/>
  <c r="Q1893" i="80"/>
  <c r="Q1894" i="80"/>
  <c r="Q1895" i="80"/>
  <c r="Q1896" i="80"/>
  <c r="Q1897" i="80"/>
  <c r="Q1898" i="80"/>
  <c r="Q1899" i="80"/>
  <c r="Q1900" i="80"/>
  <c r="Q1901" i="80"/>
  <c r="Q1902" i="80"/>
  <c r="Q1903" i="80"/>
  <c r="Q1904" i="80"/>
  <c r="Q1905" i="80"/>
  <c r="Q1906" i="80"/>
  <c r="Q1907" i="80"/>
  <c r="Q1908" i="80"/>
  <c r="Q1909" i="80"/>
  <c r="Q1910" i="80"/>
  <c r="Q1911" i="80"/>
  <c r="Q1912" i="80"/>
  <c r="Q1913" i="80"/>
  <c r="Q1914" i="80"/>
  <c r="Q1915" i="80"/>
  <c r="Q1916" i="80"/>
  <c r="Q1917" i="80"/>
  <c r="Q1918" i="80"/>
  <c r="Q1919" i="80"/>
  <c r="Q1920" i="80"/>
  <c r="Q1921" i="80"/>
  <c r="Q1922" i="80"/>
  <c r="Q1923" i="80"/>
  <c r="Q1924" i="80"/>
  <c r="Q1925" i="80"/>
  <c r="Q1926" i="80"/>
  <c r="Q1927" i="80"/>
  <c r="Q1928" i="80"/>
  <c r="Q1929" i="80"/>
  <c r="Q1930" i="80"/>
  <c r="Q1931" i="80"/>
  <c r="Q1932" i="80"/>
  <c r="Q1933" i="80"/>
  <c r="Q1934" i="80"/>
  <c r="Q1935" i="80"/>
  <c r="Q1936" i="80"/>
  <c r="Q1937" i="80"/>
  <c r="Q1938" i="80"/>
  <c r="Q1939" i="80"/>
  <c r="Q1940" i="80"/>
  <c r="Q1941" i="80"/>
  <c r="Q1942" i="80"/>
  <c r="Q1943" i="80"/>
  <c r="Q1944" i="80"/>
  <c r="Q1945" i="80"/>
  <c r="Q1946" i="80"/>
  <c r="Q1947" i="80"/>
  <c r="Q1948" i="80"/>
  <c r="Q1949" i="80"/>
  <c r="Q1950" i="80"/>
  <c r="Q1951" i="80"/>
  <c r="Q1952" i="80"/>
  <c r="Q1953" i="80"/>
  <c r="Q1954" i="80"/>
  <c r="Q1955" i="80"/>
  <c r="Q1956" i="80"/>
  <c r="Q1957" i="80"/>
  <c r="Q1958" i="80"/>
  <c r="Q1959" i="80"/>
  <c r="Q1960" i="80"/>
  <c r="Q1961" i="80"/>
  <c r="Q1962" i="80"/>
  <c r="Q1963" i="80"/>
  <c r="Q1964" i="80"/>
  <c r="Q1965" i="80"/>
  <c r="Q1966" i="80"/>
  <c r="Q1967" i="80"/>
  <c r="Q1968" i="80"/>
  <c r="Q1969" i="80"/>
  <c r="Q1970" i="80"/>
  <c r="Q1971" i="80"/>
  <c r="Q1972" i="80"/>
  <c r="Q1973" i="80"/>
  <c r="Q1974" i="80"/>
  <c r="Q1975" i="80"/>
  <c r="Q1976" i="80"/>
  <c r="Q1977" i="80"/>
  <c r="Q1978" i="80"/>
  <c r="Q1979" i="80"/>
  <c r="Q1980" i="80"/>
  <c r="Q1981" i="80"/>
  <c r="Q1982" i="80"/>
  <c r="Q1983" i="80"/>
  <c r="Q1984" i="80"/>
  <c r="Q1985" i="80"/>
  <c r="Q1986" i="80"/>
  <c r="Q1987" i="80"/>
  <c r="Q1988" i="80"/>
  <c r="Q1989" i="80"/>
  <c r="Q1990" i="80"/>
  <c r="Q1991" i="80"/>
  <c r="Q1992" i="80"/>
  <c r="Q1993" i="80"/>
  <c r="Q1994" i="80"/>
  <c r="Q1995" i="80"/>
  <c r="Q1996" i="80"/>
  <c r="Q1997" i="80"/>
  <c r="Q1998" i="80"/>
  <c r="Q1999" i="80"/>
  <c r="Q2000" i="80"/>
  <c r="Q2001" i="80"/>
  <c r="Q2002" i="80"/>
  <c r="Q2003" i="80"/>
  <c r="Q2004" i="80"/>
  <c r="Q2005" i="80"/>
  <c r="Q2006" i="80"/>
  <c r="Q2007" i="80"/>
  <c r="Q2008" i="80"/>
  <c r="Q2009" i="80"/>
  <c r="Q2010" i="80"/>
  <c r="Q2011" i="80"/>
  <c r="Q2012" i="80"/>
  <c r="Q2013" i="80"/>
  <c r="Q2014" i="80"/>
  <c r="Q2015" i="80"/>
  <c r="Q2016" i="80"/>
  <c r="Q2017" i="80"/>
  <c r="Q2018" i="80"/>
  <c r="Q2019" i="80"/>
  <c r="Q2020" i="80"/>
  <c r="Q2021" i="80"/>
  <c r="Q2022" i="80"/>
  <c r="Q2023" i="80"/>
  <c r="Q2024" i="80"/>
  <c r="Q2025" i="80"/>
  <c r="Q2026" i="80"/>
  <c r="Q2027" i="80"/>
  <c r="Q2028" i="80"/>
  <c r="Q2029" i="80"/>
  <c r="Q2030" i="80"/>
  <c r="Q2031" i="80"/>
  <c r="Q2032" i="80"/>
  <c r="Q2033" i="80"/>
  <c r="Q2034" i="80"/>
  <c r="Q2035" i="80"/>
  <c r="Q2036" i="80"/>
  <c r="Q2037" i="80"/>
  <c r="Q2038" i="80"/>
  <c r="Q2039" i="80"/>
  <c r="Q2040" i="80"/>
  <c r="Q2041" i="80"/>
  <c r="Q2042" i="80"/>
  <c r="Q2043" i="80"/>
  <c r="Q2044" i="80"/>
  <c r="Q2045" i="80"/>
  <c r="Q2046" i="80"/>
  <c r="Q2047" i="80"/>
  <c r="Q2048" i="80"/>
  <c r="Q2049" i="80"/>
  <c r="Q2050" i="80"/>
  <c r="Q2051" i="80"/>
  <c r="Q2052" i="80"/>
  <c r="Q2053" i="80"/>
  <c r="Q2054" i="80"/>
  <c r="Q2055" i="80"/>
  <c r="Q2056" i="80"/>
  <c r="Q2057" i="80"/>
  <c r="Q2058" i="80"/>
  <c r="Q2059" i="80"/>
  <c r="Q2060" i="80"/>
  <c r="Q2061" i="80"/>
  <c r="Q2062" i="80"/>
  <c r="Q2063" i="80"/>
  <c r="Q2064" i="80"/>
  <c r="Q2065" i="80"/>
  <c r="Q2066" i="80"/>
  <c r="Q2067" i="80"/>
  <c r="Q2068" i="80"/>
  <c r="Q2069" i="80"/>
  <c r="Q2070" i="80"/>
  <c r="Q2071" i="80"/>
  <c r="Q2072" i="80"/>
  <c r="Q2073" i="80"/>
  <c r="Q2074" i="80"/>
  <c r="Q2075" i="80"/>
  <c r="Q2076" i="80"/>
  <c r="Q2077" i="80"/>
  <c r="Q2078" i="80"/>
  <c r="Q2079" i="80"/>
  <c r="Q2080" i="80"/>
  <c r="Q2081" i="80"/>
  <c r="Q2082" i="80"/>
  <c r="Q2083" i="80"/>
  <c r="Q2084" i="80"/>
  <c r="Q2085" i="80"/>
  <c r="Q2086" i="80"/>
  <c r="Q2087" i="80"/>
  <c r="Q2088" i="80"/>
  <c r="Q2089" i="80"/>
  <c r="Q2090" i="80"/>
  <c r="Q2091" i="80"/>
  <c r="Q2092" i="80"/>
  <c r="Q2093" i="80"/>
  <c r="Q2094" i="80"/>
  <c r="Q2095" i="80"/>
  <c r="Q2096" i="80"/>
  <c r="Q2097" i="80"/>
  <c r="Q2098" i="80"/>
  <c r="Q2099" i="80"/>
  <c r="Q2100" i="80"/>
  <c r="Q2101" i="80"/>
  <c r="Q2102" i="80"/>
  <c r="Q2103" i="80"/>
  <c r="Q2104" i="80"/>
  <c r="Q2105" i="80"/>
  <c r="Q2106" i="80"/>
  <c r="Q2107" i="80"/>
  <c r="Q2108" i="80"/>
  <c r="Q2109" i="80"/>
  <c r="Q2110" i="80"/>
  <c r="Q2111" i="80"/>
  <c r="Q2112" i="80"/>
  <c r="Q2113" i="80"/>
  <c r="Q2114" i="80"/>
  <c r="Q2115" i="80"/>
  <c r="Q2116" i="80"/>
  <c r="Q2117" i="80"/>
  <c r="Q2118" i="80"/>
  <c r="Q2119" i="80"/>
  <c r="Q2120" i="80"/>
  <c r="Q2121" i="80"/>
  <c r="Q2122" i="80"/>
  <c r="Q2123" i="80"/>
  <c r="Q2124" i="80"/>
  <c r="Q2125" i="80"/>
  <c r="Q2126" i="80"/>
  <c r="Q2127" i="80"/>
  <c r="Q2128" i="80"/>
  <c r="Q2129" i="80"/>
  <c r="Q2130" i="80"/>
  <c r="Q2131" i="80"/>
  <c r="Q2132" i="80"/>
  <c r="Q2133" i="80"/>
  <c r="Q2134" i="80"/>
  <c r="Q2135" i="80"/>
  <c r="Q2136" i="80"/>
  <c r="Q2137" i="80"/>
  <c r="Q2138" i="80"/>
  <c r="Q2139" i="80"/>
  <c r="Q2140" i="80"/>
  <c r="Q2141" i="80"/>
  <c r="Q2142" i="80"/>
  <c r="Q2143" i="80"/>
  <c r="Q2144" i="80"/>
  <c r="Q2145" i="80"/>
  <c r="Q2146" i="80"/>
  <c r="Q2147" i="80"/>
  <c r="Q2148" i="80"/>
  <c r="Q2149" i="80"/>
  <c r="Q2150" i="80"/>
  <c r="Q2151" i="80"/>
  <c r="Q2152" i="80"/>
  <c r="Q2153" i="80"/>
  <c r="Q2154" i="80"/>
  <c r="Q2155" i="80"/>
  <c r="Q2156" i="80"/>
  <c r="Q2157" i="80"/>
  <c r="Q2158" i="80"/>
  <c r="Q2159" i="80"/>
  <c r="Q2160" i="80"/>
  <c r="Q2161" i="80"/>
  <c r="Q2162" i="80"/>
  <c r="Q2163" i="80"/>
  <c r="Q2164" i="80"/>
  <c r="Q2165" i="80"/>
  <c r="Q2166" i="80"/>
  <c r="Q2167" i="80"/>
  <c r="Q2168" i="80"/>
  <c r="Q2169" i="80"/>
  <c r="Q2170" i="80"/>
  <c r="Q2171" i="80"/>
  <c r="Q2172" i="80"/>
  <c r="Q2173" i="80"/>
  <c r="Q2174" i="80"/>
  <c r="Q2175" i="80"/>
  <c r="Q2176" i="80"/>
  <c r="Q2177" i="80"/>
  <c r="Q2178" i="80"/>
  <c r="Q2179" i="80"/>
  <c r="Q2180" i="80"/>
  <c r="Q2181" i="80"/>
  <c r="Q2182" i="80"/>
  <c r="Q2183" i="80"/>
  <c r="Q2184" i="80"/>
  <c r="Q2185" i="80"/>
  <c r="Q2186" i="80"/>
  <c r="Q2187" i="80"/>
  <c r="Q2188" i="80"/>
  <c r="Q2189" i="80"/>
  <c r="Q2190" i="80"/>
  <c r="Q2191" i="80"/>
  <c r="Q2192" i="80"/>
  <c r="Q2193" i="80"/>
  <c r="Q2194" i="80"/>
  <c r="Q2195" i="80"/>
  <c r="Q2196" i="80"/>
  <c r="Q2197" i="80"/>
  <c r="Q2198" i="80"/>
  <c r="Q2199" i="80"/>
  <c r="Q2200" i="80"/>
  <c r="Q2201" i="80"/>
  <c r="Q2202" i="80"/>
  <c r="Q2203" i="80"/>
  <c r="Q2204" i="80"/>
  <c r="Q2205" i="80"/>
  <c r="Q2206" i="80"/>
  <c r="Q2207" i="80"/>
  <c r="Q2208" i="80"/>
  <c r="Q2209" i="80"/>
  <c r="Q2210" i="80"/>
  <c r="Q2211" i="80"/>
  <c r="Q2212" i="80"/>
  <c r="Q2213" i="80"/>
  <c r="Q2214" i="80"/>
  <c r="Q2215" i="80"/>
  <c r="Q2216" i="80"/>
  <c r="Q2217" i="80"/>
  <c r="Q2218" i="80"/>
  <c r="Q2219" i="80"/>
  <c r="Q2220" i="80"/>
  <c r="Q2221" i="80"/>
  <c r="Q2222" i="80"/>
  <c r="Q2223" i="80"/>
  <c r="Q2224" i="80"/>
  <c r="Q2225" i="80"/>
  <c r="Q2226" i="80"/>
  <c r="Q2227" i="80"/>
  <c r="Q2228" i="80"/>
  <c r="Q2229" i="80"/>
  <c r="Q2230" i="80"/>
  <c r="Q2231" i="80"/>
  <c r="Q2232" i="80"/>
  <c r="Q2233" i="80"/>
  <c r="Q2234" i="80"/>
  <c r="Q2235" i="80"/>
  <c r="Q2236" i="80"/>
  <c r="Q2237" i="80"/>
  <c r="Q2238" i="80"/>
  <c r="Q2239" i="80"/>
  <c r="Q2240" i="80"/>
  <c r="Q2241" i="80"/>
  <c r="Q2242" i="80"/>
  <c r="Q2243" i="80"/>
  <c r="Q2244" i="80"/>
  <c r="Q2245" i="80"/>
  <c r="Q2246" i="80"/>
  <c r="Q2247" i="80"/>
  <c r="Q2248" i="80"/>
  <c r="Q2249" i="80"/>
  <c r="Q2250" i="80"/>
  <c r="Q2251" i="80"/>
  <c r="Q2252" i="80"/>
  <c r="Q2253" i="80"/>
  <c r="Q2254" i="80"/>
  <c r="Q2255" i="80"/>
  <c r="Q2256" i="80"/>
  <c r="Q2257" i="80"/>
  <c r="Q2258" i="80"/>
  <c r="Q2259" i="80"/>
  <c r="Q2260" i="80"/>
  <c r="Q2261" i="80"/>
  <c r="Q2262" i="80"/>
  <c r="Q2263" i="80"/>
  <c r="Q2264" i="80"/>
  <c r="Q2265" i="80"/>
  <c r="Q2266" i="80"/>
  <c r="Q2267" i="80"/>
  <c r="Q2268" i="80"/>
  <c r="Q2269" i="80"/>
  <c r="Q2270" i="80"/>
  <c r="Q2271" i="80"/>
  <c r="Q2272" i="80"/>
  <c r="Q2273" i="80"/>
  <c r="Q2274" i="80"/>
  <c r="Q2275" i="80"/>
  <c r="Q2276" i="80"/>
  <c r="Q2277" i="80"/>
  <c r="Q2278" i="80"/>
  <c r="Q2279" i="80"/>
  <c r="Q2280" i="80"/>
  <c r="Q2281" i="80"/>
  <c r="Q2282" i="80"/>
  <c r="Q2283" i="80"/>
  <c r="Q2284" i="80"/>
  <c r="Q2285" i="80"/>
  <c r="Q2286" i="80"/>
  <c r="Q2287" i="80"/>
  <c r="Q2288" i="80"/>
  <c r="Q2289" i="80"/>
  <c r="Q2290" i="80"/>
  <c r="Q2291" i="80"/>
  <c r="Q2292" i="80"/>
  <c r="Q2293" i="80"/>
  <c r="Q2294" i="80"/>
  <c r="Q2295" i="80"/>
  <c r="Q2296" i="80"/>
  <c r="Q2297" i="80"/>
  <c r="Q2298" i="80"/>
  <c r="Q2299" i="80"/>
  <c r="Q2300" i="80"/>
  <c r="Q2301" i="80"/>
  <c r="Q2302" i="80"/>
  <c r="Q2303" i="80"/>
  <c r="Q2304" i="80"/>
  <c r="Q2305" i="80"/>
  <c r="Q2306" i="80"/>
  <c r="Q2307" i="80"/>
  <c r="Q2308" i="80"/>
  <c r="Q2309" i="80"/>
  <c r="Q2310" i="80"/>
  <c r="Q2311" i="80"/>
  <c r="Q2312" i="80"/>
  <c r="Q2313" i="80"/>
  <c r="Q2314" i="80"/>
  <c r="Q2315" i="80"/>
  <c r="Q2316" i="80"/>
  <c r="Q2317" i="80"/>
  <c r="Q2318" i="80"/>
  <c r="Q2319" i="80"/>
  <c r="Q2320" i="80"/>
  <c r="Q2321" i="80"/>
  <c r="Q2322" i="80"/>
  <c r="Q2323" i="80"/>
  <c r="Q2324" i="80"/>
  <c r="Q2325" i="80"/>
  <c r="Q2326" i="80"/>
  <c r="Q2327" i="80"/>
  <c r="Q2328" i="80"/>
  <c r="Q2329" i="80"/>
  <c r="Q2330" i="80"/>
  <c r="Q2331" i="80"/>
  <c r="Q2332" i="80"/>
  <c r="Q2333" i="80"/>
  <c r="Q2334" i="80"/>
  <c r="Q2335" i="80"/>
  <c r="Q2336" i="80"/>
  <c r="Q2337" i="80"/>
  <c r="Q2338" i="80"/>
  <c r="Q2339" i="80"/>
  <c r="Q2340" i="80"/>
  <c r="Q2341" i="80"/>
  <c r="Q2342" i="80"/>
  <c r="Q2343" i="80"/>
  <c r="Q2344" i="80"/>
  <c r="Q2345" i="80"/>
  <c r="Q2346" i="80"/>
  <c r="Q2347" i="80"/>
  <c r="Q2348" i="80"/>
  <c r="Q2349" i="80"/>
  <c r="Q2350" i="80"/>
  <c r="Q2351" i="80"/>
  <c r="Q2352" i="80"/>
  <c r="Q2353" i="80"/>
  <c r="Q2354" i="80"/>
  <c r="Q2355" i="80"/>
  <c r="Q2356" i="80"/>
  <c r="Q2357" i="80"/>
  <c r="Q2358" i="80"/>
  <c r="Q2359" i="80"/>
  <c r="Q2360" i="80"/>
  <c r="Q2361" i="80"/>
  <c r="Q2362" i="80"/>
  <c r="Q2363" i="80"/>
  <c r="Q2364" i="80"/>
  <c r="Q2365" i="80"/>
  <c r="Q2366" i="80"/>
  <c r="Q2367" i="80"/>
  <c r="Q2368" i="80"/>
  <c r="Q2369" i="80"/>
  <c r="Q2370" i="80"/>
  <c r="Q2371" i="80"/>
  <c r="Q2372" i="80"/>
  <c r="Q2373" i="80"/>
  <c r="Q2374" i="80"/>
  <c r="Q2375" i="80"/>
  <c r="Q2376" i="80"/>
  <c r="Q2377" i="80"/>
  <c r="Q2378" i="80"/>
  <c r="Q2379" i="80"/>
  <c r="Q2380" i="80"/>
  <c r="Q2381" i="80"/>
  <c r="Q2382" i="80"/>
  <c r="Q2383" i="80"/>
  <c r="Q2384" i="80"/>
  <c r="Q2385" i="80"/>
  <c r="Q2386" i="80"/>
  <c r="Q2387" i="80"/>
  <c r="Q2388" i="80"/>
  <c r="Q2389" i="80"/>
  <c r="Q2390" i="80"/>
  <c r="Q2391" i="80"/>
  <c r="Q2392" i="80"/>
  <c r="Q2393" i="80"/>
  <c r="Q2394" i="80"/>
  <c r="Q2395" i="80"/>
  <c r="Q2396" i="80"/>
  <c r="Q2397" i="80"/>
  <c r="Q2398" i="80"/>
  <c r="Q2399" i="80"/>
  <c r="Q2400" i="80"/>
  <c r="Q2401" i="80"/>
  <c r="Q2402" i="80"/>
  <c r="Q2403" i="80"/>
  <c r="Q2404" i="80"/>
  <c r="Q2405" i="80"/>
  <c r="Q2406" i="80"/>
  <c r="Q2407" i="80"/>
  <c r="Q2408" i="80"/>
  <c r="Q2409" i="80"/>
  <c r="Q2410" i="80"/>
  <c r="Q2411" i="80"/>
  <c r="Q2412" i="80"/>
  <c r="Q2413" i="80"/>
  <c r="Q2414" i="80"/>
  <c r="Q2415" i="80"/>
  <c r="Q2416" i="80"/>
  <c r="Q2417" i="80"/>
  <c r="Q2418" i="80"/>
  <c r="Q2419" i="80"/>
  <c r="Q2420" i="80"/>
  <c r="Q2421" i="80"/>
  <c r="Q2422" i="80"/>
  <c r="Q2423" i="80"/>
  <c r="Q2424" i="80"/>
  <c r="Q2425" i="80"/>
  <c r="Q2426" i="80"/>
  <c r="Q2427" i="80"/>
  <c r="Q2428" i="80"/>
  <c r="Q2429" i="80"/>
  <c r="Q2430" i="80"/>
  <c r="Q2431" i="80"/>
  <c r="Q2432" i="80"/>
  <c r="Q2433" i="80"/>
  <c r="Q2434" i="80"/>
  <c r="Q2435" i="80"/>
  <c r="Q2436" i="80"/>
  <c r="Q2437" i="80"/>
  <c r="Q2438" i="80"/>
  <c r="Q2439" i="80"/>
  <c r="Q2440" i="80"/>
  <c r="Q2441" i="80"/>
  <c r="Q2442" i="80"/>
  <c r="Q2443" i="80"/>
  <c r="Q2444" i="80"/>
  <c r="Q2445" i="80"/>
  <c r="Q2446" i="80"/>
  <c r="Q2447" i="80"/>
  <c r="Q2448" i="80"/>
  <c r="Q2449" i="80"/>
  <c r="Q2450" i="80"/>
  <c r="Q2451" i="80"/>
  <c r="Q2452" i="80"/>
  <c r="Q2453" i="80"/>
  <c r="Q2454" i="80"/>
  <c r="Q2455" i="80"/>
  <c r="Q2456" i="80"/>
  <c r="Q2457" i="80"/>
  <c r="Q2458" i="80"/>
  <c r="Q2459" i="80"/>
  <c r="Q2460" i="80"/>
  <c r="Q2461" i="80"/>
  <c r="Q2462" i="80"/>
  <c r="Q2463" i="80"/>
  <c r="Q2464" i="80"/>
  <c r="Q2465" i="80"/>
  <c r="Q2466" i="80"/>
  <c r="Q2467" i="80"/>
  <c r="Q2468" i="80"/>
  <c r="Q2469" i="80"/>
  <c r="Q2470" i="80"/>
  <c r="Q2471" i="80"/>
  <c r="Q2472" i="80"/>
  <c r="Q2473" i="80"/>
  <c r="Q2474" i="80"/>
  <c r="Q2475" i="80"/>
  <c r="Q2476" i="80"/>
  <c r="Q2477" i="80"/>
  <c r="Q2478" i="80"/>
  <c r="Q2479" i="80"/>
  <c r="Q2480" i="80"/>
  <c r="Q2481" i="80"/>
  <c r="Q2482" i="80"/>
  <c r="Q2483" i="80"/>
  <c r="Q2484" i="80"/>
  <c r="Q2485" i="80"/>
  <c r="Q2486" i="80"/>
  <c r="Q2487" i="80"/>
  <c r="Q2488" i="80"/>
  <c r="Q2489" i="80"/>
  <c r="Q2490" i="80"/>
  <c r="Q2491" i="80"/>
  <c r="Q2492" i="80"/>
  <c r="Q2493" i="80"/>
  <c r="Q2494" i="80"/>
  <c r="Q2495" i="80"/>
  <c r="Q2496" i="80"/>
  <c r="Q2497" i="80"/>
  <c r="Q2498" i="80"/>
  <c r="Q2499" i="80"/>
  <c r="Q2500" i="80"/>
  <c r="Q2501" i="80"/>
  <c r="Q2502" i="80"/>
  <c r="Q2503" i="80"/>
  <c r="Q2504" i="80"/>
  <c r="Q2505" i="80"/>
  <c r="Q2506" i="80"/>
  <c r="Q2507" i="80"/>
  <c r="Q2508" i="80"/>
  <c r="Q2509" i="80"/>
  <c r="Q2510" i="80"/>
  <c r="Q2511" i="80"/>
  <c r="Q2512" i="80"/>
  <c r="Q2513" i="80"/>
  <c r="Q2514" i="80"/>
  <c r="Q2515" i="80"/>
  <c r="Q2516" i="80"/>
  <c r="Q2517" i="80"/>
  <c r="Q2518" i="80"/>
  <c r="Q2519" i="80"/>
  <c r="Q2520" i="80"/>
  <c r="Q2521" i="80"/>
  <c r="Q2522" i="80"/>
  <c r="Q2523" i="80"/>
  <c r="Q2524" i="80"/>
  <c r="Q2525" i="80"/>
  <c r="Q2526" i="80"/>
  <c r="Q2527" i="80"/>
  <c r="Q2528" i="80"/>
  <c r="Q2529" i="80"/>
  <c r="Q2530" i="80"/>
  <c r="Q2531" i="80"/>
  <c r="Q2532" i="80"/>
  <c r="Q2533" i="80"/>
  <c r="Q2534" i="80"/>
  <c r="Q2535" i="80"/>
  <c r="Q2536" i="80"/>
  <c r="Q2537" i="80"/>
  <c r="Q2538" i="80"/>
  <c r="Q2539" i="80"/>
  <c r="Q2540" i="80"/>
  <c r="Q2541" i="80"/>
  <c r="Q2542" i="80"/>
  <c r="Q2543" i="80"/>
  <c r="Q2544" i="80"/>
  <c r="Q2545" i="80"/>
  <c r="Q2546" i="80"/>
  <c r="Q2547" i="80"/>
  <c r="Q2548" i="80"/>
  <c r="Q2549" i="80"/>
  <c r="Q2550" i="80"/>
  <c r="Q2551" i="80"/>
  <c r="Q2552" i="80"/>
  <c r="Q2553" i="80"/>
  <c r="Q2554" i="80"/>
  <c r="Q2555" i="80"/>
  <c r="Q2556" i="80"/>
  <c r="Q2557" i="80"/>
  <c r="Q2558" i="80"/>
  <c r="Q2559" i="80"/>
  <c r="Q2560" i="80"/>
  <c r="Q2561" i="80"/>
  <c r="Q2562" i="80"/>
  <c r="Q2563" i="80"/>
  <c r="Q2564" i="80"/>
  <c r="Q2565" i="80"/>
  <c r="Q2566" i="80"/>
  <c r="Q2567" i="80"/>
  <c r="Q2568" i="80"/>
  <c r="Q2569" i="80"/>
  <c r="Q2570" i="80"/>
  <c r="Q2571" i="80"/>
  <c r="Q2572" i="80"/>
  <c r="Q2573" i="80"/>
  <c r="Q2574" i="80"/>
  <c r="Q2575" i="80"/>
  <c r="Q2576" i="80"/>
  <c r="Q2577" i="80"/>
  <c r="Q2578" i="80"/>
  <c r="Q2579" i="80"/>
  <c r="Q2580" i="80"/>
  <c r="Q2581" i="80"/>
  <c r="Q2582" i="80"/>
  <c r="Q2583" i="80"/>
  <c r="Q2584" i="80"/>
  <c r="Q2585" i="80"/>
  <c r="Q2586" i="80"/>
  <c r="Q2587" i="80"/>
  <c r="Q2588" i="80"/>
  <c r="Q2589" i="80"/>
  <c r="Q2590" i="80"/>
  <c r="Q2591" i="80"/>
  <c r="Q2592" i="80"/>
  <c r="Q2593" i="80"/>
  <c r="Q2594" i="80"/>
  <c r="Q2595" i="80"/>
  <c r="Q2596" i="80"/>
  <c r="Q2597" i="80"/>
  <c r="Q2598" i="80"/>
  <c r="Q2599" i="80"/>
  <c r="Q2600" i="80"/>
  <c r="Q2601" i="80"/>
  <c r="Q2602" i="80"/>
  <c r="Q2603" i="80"/>
  <c r="Q2604" i="80"/>
  <c r="Q2605" i="80"/>
  <c r="Q2606" i="80"/>
  <c r="Q2607" i="80"/>
  <c r="Q2608" i="80"/>
  <c r="Q2609" i="80"/>
  <c r="Q2610" i="80"/>
  <c r="Q2611" i="80"/>
  <c r="Q2612" i="80"/>
  <c r="Q2613" i="80"/>
  <c r="Q2614" i="80"/>
  <c r="Q2615" i="80"/>
  <c r="Q2616" i="80"/>
  <c r="Q2617" i="80"/>
  <c r="Q2618" i="80"/>
  <c r="Q2619" i="80"/>
  <c r="Q2620" i="80"/>
  <c r="Q2621" i="80"/>
  <c r="Q2622" i="80"/>
  <c r="Q2623" i="80"/>
  <c r="Q2624" i="80"/>
  <c r="Q2625" i="80"/>
  <c r="Q2626" i="80"/>
  <c r="Q2627" i="80"/>
  <c r="Q2628" i="80"/>
  <c r="Q2629" i="80"/>
  <c r="Q2630" i="80"/>
  <c r="Q2631" i="80"/>
  <c r="Q2632" i="80"/>
  <c r="Q2633" i="80"/>
  <c r="Q2634" i="80"/>
  <c r="Q2635" i="80"/>
  <c r="Q2636" i="80"/>
  <c r="Q2637" i="80"/>
  <c r="Q2638" i="80"/>
  <c r="Q2639" i="80"/>
  <c r="Q2640" i="80"/>
  <c r="Q2641" i="80"/>
  <c r="Q2642" i="80"/>
  <c r="Q2643" i="80"/>
  <c r="Q2644" i="80"/>
  <c r="Q2645" i="80"/>
  <c r="Q2646" i="80"/>
  <c r="Q2647" i="80"/>
  <c r="Q2648" i="80"/>
  <c r="Q2649" i="80"/>
  <c r="Q2650" i="80"/>
  <c r="Q2651" i="80"/>
  <c r="Q2652" i="80"/>
  <c r="Q2653" i="80"/>
  <c r="Q2654" i="80"/>
  <c r="Q2655" i="80"/>
  <c r="Q2656" i="80"/>
  <c r="Q2657" i="80"/>
  <c r="Q2658" i="80"/>
  <c r="Q2659" i="80"/>
  <c r="Q2660" i="80"/>
  <c r="Q2661" i="80"/>
  <c r="Q2662" i="80"/>
  <c r="Q2663" i="80"/>
  <c r="Q2664" i="80"/>
  <c r="Q2665" i="80"/>
  <c r="Q2666" i="80"/>
  <c r="Q2667" i="80"/>
  <c r="Q2668" i="80"/>
  <c r="Q2669" i="80"/>
  <c r="Q2670" i="80"/>
  <c r="Q2671" i="80"/>
  <c r="Q2672" i="80"/>
  <c r="Q2673" i="80"/>
  <c r="Q2674" i="80"/>
  <c r="Q2675" i="80"/>
  <c r="Q2676" i="80"/>
  <c r="Q2677" i="80"/>
  <c r="Q2678" i="80"/>
  <c r="Q2679" i="80"/>
  <c r="Q2680" i="80"/>
  <c r="Q2681" i="80"/>
  <c r="Q2682" i="80"/>
  <c r="Q2683" i="80"/>
  <c r="Q2684" i="80"/>
  <c r="Q2685" i="80"/>
  <c r="Q2686" i="80"/>
  <c r="Q2687" i="80"/>
  <c r="Q2688" i="80"/>
  <c r="Q2689" i="80"/>
  <c r="Q2690" i="80"/>
  <c r="Q2691" i="80"/>
  <c r="Q2692" i="80"/>
  <c r="Q2693" i="80"/>
  <c r="Q2694" i="80"/>
  <c r="Q2695" i="80"/>
  <c r="Q2696" i="80"/>
  <c r="Q2697" i="80"/>
  <c r="Q2698" i="80"/>
  <c r="Q2699" i="80"/>
  <c r="Q2700" i="80"/>
  <c r="Q2701" i="80"/>
  <c r="Q2702" i="80"/>
  <c r="Q2703" i="80"/>
  <c r="Q2704" i="80"/>
  <c r="Q2705" i="80"/>
  <c r="Q2706" i="80"/>
  <c r="Q2707" i="80"/>
  <c r="Q2708" i="80"/>
  <c r="Q2709" i="80"/>
  <c r="Q2710" i="80"/>
  <c r="Q2711" i="80"/>
  <c r="Q2712" i="80"/>
  <c r="Q2713" i="80"/>
  <c r="Q2714" i="80"/>
  <c r="Q2715" i="80"/>
  <c r="Q2716" i="80"/>
  <c r="Q2717" i="80"/>
  <c r="Q2718" i="80"/>
  <c r="Q2719" i="80"/>
  <c r="Q2720" i="80"/>
  <c r="Q2721" i="80"/>
  <c r="Q2722" i="80"/>
  <c r="Q2723" i="80"/>
  <c r="Q2724" i="80"/>
  <c r="Q2725" i="80"/>
  <c r="Q2726" i="80"/>
  <c r="Q2727" i="80"/>
  <c r="Q2728" i="80"/>
  <c r="Q2729" i="80"/>
  <c r="Q2730" i="80"/>
  <c r="Q2731" i="80"/>
  <c r="Q2732" i="80"/>
  <c r="Q2733" i="80"/>
  <c r="Q2734" i="80"/>
  <c r="Q2735" i="80"/>
  <c r="Q2736" i="80"/>
  <c r="Q2737" i="80"/>
  <c r="Q2738" i="80"/>
  <c r="Q2739" i="80"/>
  <c r="Q2740" i="80"/>
  <c r="Q2741" i="80"/>
  <c r="Q2742" i="80"/>
  <c r="Q2743" i="80"/>
  <c r="Q2744" i="80"/>
  <c r="Q2745" i="80"/>
  <c r="Q2746" i="80"/>
  <c r="Q2747" i="80"/>
  <c r="Q2748" i="80"/>
  <c r="Q2749" i="80"/>
  <c r="Q2750" i="80"/>
  <c r="Q2751" i="80"/>
  <c r="Q2752" i="80"/>
  <c r="Q2753" i="80"/>
  <c r="Q2754" i="80"/>
  <c r="Q2755" i="80"/>
  <c r="Q2756" i="80"/>
  <c r="Q2757" i="80"/>
  <c r="Q2758" i="80"/>
  <c r="Q2759" i="80"/>
  <c r="Q2760" i="80"/>
  <c r="Q2761" i="80"/>
  <c r="Q2762" i="80"/>
  <c r="Q2763" i="80"/>
  <c r="Q2764" i="80"/>
  <c r="Q2765" i="80"/>
  <c r="Q2766" i="80"/>
  <c r="Q2767" i="80"/>
  <c r="Q2768" i="80"/>
  <c r="Q2769" i="80"/>
  <c r="Q2770" i="80"/>
  <c r="Q2771" i="80"/>
  <c r="Q2772" i="80"/>
  <c r="Q2773" i="80"/>
  <c r="Q2774" i="80"/>
  <c r="Q2775" i="80"/>
  <c r="Q2776" i="80"/>
  <c r="Q2777" i="80"/>
  <c r="Q2778" i="80"/>
  <c r="Q2779" i="80"/>
  <c r="Q2780" i="80"/>
  <c r="Q2781" i="80"/>
  <c r="Q2782" i="80"/>
  <c r="Q2783" i="80"/>
  <c r="Q2784" i="80"/>
  <c r="Q2785" i="80"/>
  <c r="Q2786" i="80"/>
  <c r="Q2787" i="80"/>
  <c r="Q2788" i="80"/>
  <c r="Q2789" i="80"/>
  <c r="Q2790" i="80"/>
  <c r="Q2791" i="80"/>
  <c r="Q2792" i="80"/>
  <c r="Q2793" i="80"/>
  <c r="Q2794" i="80"/>
  <c r="Q2795" i="80"/>
  <c r="Q2796" i="80"/>
  <c r="Q2797" i="80"/>
  <c r="Q2798" i="80"/>
  <c r="Q2799" i="80"/>
  <c r="Q2800" i="80"/>
  <c r="Q2801" i="80"/>
  <c r="Q2802" i="80"/>
  <c r="Q2803" i="80"/>
  <c r="Q2804" i="80"/>
  <c r="Q2805" i="80"/>
  <c r="Q2806" i="80"/>
  <c r="Q2807" i="80"/>
  <c r="Q2808" i="80"/>
  <c r="Q2809" i="80"/>
  <c r="Q2810" i="80"/>
  <c r="Q2811" i="80"/>
  <c r="Q2812" i="80"/>
  <c r="Q2813" i="80"/>
  <c r="Q2814" i="80"/>
  <c r="Q2815" i="80"/>
  <c r="Q2816" i="80"/>
  <c r="Q2817" i="80"/>
  <c r="Q2818" i="80"/>
  <c r="Q2819" i="80"/>
  <c r="Q2820" i="80"/>
  <c r="Q2821" i="80"/>
  <c r="Q2822" i="80"/>
  <c r="Q2823" i="80"/>
  <c r="Q2824" i="80"/>
  <c r="Q2825" i="80"/>
  <c r="Q2826" i="80"/>
  <c r="Q2827" i="80"/>
  <c r="Q2828" i="80"/>
  <c r="Q2829" i="80"/>
  <c r="Q2830" i="80"/>
  <c r="Q2831" i="80"/>
  <c r="Q2832" i="80"/>
  <c r="Q2833" i="80"/>
  <c r="Q2834" i="80"/>
  <c r="Q2835" i="80"/>
  <c r="Q2836" i="80"/>
  <c r="Q2837" i="80"/>
  <c r="Q2838" i="80"/>
  <c r="Q2839" i="80"/>
  <c r="Q2840" i="80"/>
  <c r="Q2841" i="80"/>
  <c r="Q2842" i="80"/>
  <c r="Q2843" i="80"/>
  <c r="Q2844" i="80"/>
  <c r="Q2845" i="80"/>
  <c r="Q2846" i="80"/>
  <c r="Q2847" i="80"/>
  <c r="Q2848" i="80"/>
  <c r="Q2849" i="80"/>
  <c r="Q2850" i="80"/>
  <c r="Q2851" i="80"/>
  <c r="Q2852" i="80"/>
  <c r="Q2853" i="80"/>
  <c r="Q2854" i="80"/>
  <c r="Q2855" i="80"/>
  <c r="Q2856" i="80"/>
  <c r="Q2857" i="80"/>
  <c r="Q2858" i="80"/>
  <c r="Q2859" i="80"/>
  <c r="Q2860" i="80"/>
  <c r="Q2861" i="80"/>
  <c r="Q2862" i="80"/>
  <c r="Q2863" i="80"/>
  <c r="Q2864" i="80"/>
  <c r="Q2865" i="80"/>
  <c r="Q2866" i="80"/>
  <c r="Q2867" i="80"/>
  <c r="Q2868" i="80"/>
  <c r="Q2869" i="80"/>
  <c r="Q2870" i="80"/>
  <c r="Q2871" i="80"/>
  <c r="Q2872" i="80"/>
  <c r="Q2873" i="80"/>
  <c r="Q2874" i="80"/>
  <c r="Q2875" i="80"/>
  <c r="Q2876" i="80"/>
  <c r="Q2877" i="80"/>
  <c r="Q2878" i="80"/>
  <c r="Q2879" i="80"/>
  <c r="Q2880" i="80"/>
  <c r="Q2881" i="80"/>
  <c r="Q2882" i="80"/>
  <c r="Q2883" i="80"/>
  <c r="Q2884" i="80"/>
  <c r="Q2885" i="80"/>
  <c r="Q2886" i="80"/>
  <c r="Q2887" i="80"/>
  <c r="Q2888" i="80"/>
  <c r="Q2889" i="80"/>
  <c r="Q2890" i="80"/>
  <c r="Q2891" i="80"/>
  <c r="Q2892" i="80"/>
  <c r="Q2893" i="80"/>
  <c r="Q2894" i="80"/>
  <c r="Q2895" i="80"/>
  <c r="Q2896" i="80"/>
  <c r="Q2897" i="80"/>
  <c r="Q2898" i="80"/>
  <c r="Q2899" i="80"/>
  <c r="Q2900" i="80"/>
  <c r="Q2901" i="80"/>
  <c r="Q2902" i="80"/>
  <c r="Q2903" i="80"/>
  <c r="Q2904" i="80"/>
  <c r="Q2905" i="80"/>
  <c r="Q2906" i="80"/>
  <c r="Q2907" i="80"/>
  <c r="Q2908" i="80"/>
  <c r="Q2909" i="80"/>
  <c r="Q2910" i="80"/>
  <c r="Q2911" i="80"/>
  <c r="Q2912" i="80"/>
  <c r="Q2913" i="80"/>
  <c r="Q2914" i="80"/>
  <c r="Q2915" i="80"/>
  <c r="Q2916" i="80"/>
  <c r="Q2917" i="80"/>
  <c r="Q2918" i="80"/>
  <c r="Q2919" i="80"/>
  <c r="Q2920" i="80"/>
  <c r="Q2921" i="80"/>
  <c r="Q2922" i="80"/>
  <c r="Q2923" i="80"/>
  <c r="Q2924" i="80"/>
  <c r="Q2925" i="80"/>
  <c r="Q2926" i="80"/>
  <c r="Q2927" i="80"/>
  <c r="Q2928" i="80"/>
  <c r="Q2929" i="80"/>
  <c r="Q2930" i="80"/>
  <c r="Q2931" i="80"/>
  <c r="Q2932" i="80"/>
  <c r="Q2933" i="80"/>
  <c r="Q2934" i="80"/>
  <c r="Q2935" i="80"/>
  <c r="Q2936" i="80"/>
  <c r="Q2937" i="80"/>
  <c r="Q2938" i="80"/>
  <c r="Q2939" i="80"/>
  <c r="Q2940" i="80"/>
  <c r="Q2941" i="80"/>
  <c r="Q2942" i="80"/>
  <c r="Q2943" i="80"/>
  <c r="Q2944" i="80"/>
  <c r="Q2945" i="80"/>
  <c r="Q2946" i="80"/>
  <c r="Q2947" i="80"/>
  <c r="Q2948" i="80"/>
  <c r="Q2949" i="80"/>
  <c r="Q2950" i="80"/>
  <c r="Q2951" i="80"/>
  <c r="Q2952" i="80"/>
  <c r="Q2953" i="80"/>
  <c r="Q2954" i="80"/>
  <c r="Q2955" i="80"/>
  <c r="Q2956" i="80"/>
  <c r="Q2957" i="80"/>
  <c r="Q2958" i="80"/>
  <c r="Q2959" i="80"/>
  <c r="Q2960" i="80"/>
  <c r="Q2961" i="80"/>
  <c r="Q2962" i="80"/>
  <c r="Q2963" i="80"/>
  <c r="Q2964" i="80"/>
  <c r="Q2965" i="80"/>
  <c r="Q2966" i="80"/>
  <c r="Q2967" i="80"/>
  <c r="Q2968" i="80"/>
  <c r="Q2969" i="80"/>
  <c r="Q2970" i="80"/>
  <c r="Q2971" i="80"/>
  <c r="Q2972" i="80"/>
  <c r="Q2973" i="80"/>
  <c r="Q2974" i="80"/>
  <c r="Q2975" i="80"/>
  <c r="Q2976" i="80"/>
  <c r="Q2977" i="80"/>
  <c r="Q2978" i="80"/>
  <c r="Q2979" i="80"/>
  <c r="Q2980" i="80"/>
  <c r="Q2981" i="80"/>
  <c r="Q2982" i="80"/>
  <c r="Q2983" i="80"/>
  <c r="Q2984" i="80"/>
  <c r="Q2985" i="80"/>
  <c r="Q2986" i="80"/>
  <c r="Q2987" i="80"/>
  <c r="Q2988" i="80"/>
  <c r="Q2989" i="80"/>
  <c r="Q2990" i="80"/>
  <c r="Q2991" i="80"/>
  <c r="Q2992" i="80"/>
  <c r="Q2993" i="80"/>
  <c r="Q2994" i="80"/>
  <c r="Q2995" i="80"/>
  <c r="Q2996" i="80"/>
  <c r="Q2997" i="80"/>
  <c r="Q2998" i="80"/>
  <c r="Q2999" i="80"/>
  <c r="Q3000" i="80"/>
  <c r="Q3001" i="80"/>
  <c r="Q3002" i="80"/>
  <c r="Q3003" i="80"/>
  <c r="Q3004" i="80"/>
  <c r="Q3005" i="80"/>
  <c r="Q3006" i="80"/>
  <c r="Q3007" i="80"/>
  <c r="Q3008" i="80"/>
  <c r="Q3009" i="80"/>
  <c r="Q3010" i="80"/>
  <c r="Q3011" i="80"/>
  <c r="Q3012" i="80"/>
  <c r="Q3013" i="80"/>
  <c r="Q3014" i="80"/>
  <c r="Q3015" i="80"/>
  <c r="Q3016" i="80"/>
  <c r="Q3017" i="80"/>
  <c r="Q3018" i="80"/>
  <c r="Q3019" i="80"/>
  <c r="Q3020" i="80"/>
  <c r="Q3021" i="80"/>
  <c r="Q3022" i="80"/>
  <c r="Q3023" i="80"/>
  <c r="Q3024" i="80"/>
  <c r="Q3025" i="80"/>
  <c r="Q3026" i="80"/>
  <c r="Q3027" i="80"/>
  <c r="Q3028" i="80"/>
  <c r="Q3029" i="80"/>
  <c r="Q3030" i="80"/>
  <c r="Q3031" i="80"/>
  <c r="Q3032" i="80"/>
  <c r="Q3033" i="80"/>
  <c r="Q3034" i="80"/>
  <c r="Q3035" i="80"/>
  <c r="Q3036" i="80"/>
  <c r="Q3037" i="80"/>
  <c r="Q3038" i="80"/>
  <c r="Q3039" i="80"/>
  <c r="Q3040" i="80"/>
  <c r="Q3041" i="80"/>
  <c r="Q3042" i="80"/>
  <c r="Q3043" i="80"/>
  <c r="Q3044" i="80"/>
  <c r="Q3045" i="80"/>
  <c r="Q3046" i="80"/>
  <c r="Q3047" i="80"/>
  <c r="Q3048" i="80"/>
  <c r="Q3049" i="80"/>
  <c r="Q3050" i="80"/>
  <c r="Q3051" i="80"/>
  <c r="Q3052" i="80"/>
  <c r="Q3053" i="80"/>
  <c r="Q3054" i="80"/>
  <c r="Q3055" i="80"/>
  <c r="Q3056" i="80"/>
  <c r="Q3057" i="80"/>
  <c r="Q3058" i="80"/>
  <c r="Q3059" i="80"/>
  <c r="Q3060" i="80"/>
  <c r="Q3061" i="80"/>
  <c r="Q3062" i="80"/>
  <c r="Q3063" i="80"/>
  <c r="Q3064" i="80"/>
  <c r="Q3065" i="80"/>
  <c r="Q3066" i="80"/>
  <c r="Q3067" i="80"/>
  <c r="Q3068" i="80"/>
  <c r="Q3069" i="80"/>
  <c r="Q3070" i="80"/>
  <c r="Q3071" i="80"/>
  <c r="Q3072" i="80"/>
  <c r="Q3073" i="80"/>
  <c r="Q3074" i="80"/>
  <c r="Q3075" i="80"/>
  <c r="Q3076" i="80"/>
  <c r="Q3077" i="80"/>
  <c r="Q3078" i="80"/>
  <c r="Q3079" i="80"/>
  <c r="Q3080" i="80"/>
  <c r="Q3081" i="80"/>
  <c r="Q3082" i="80"/>
  <c r="Q3083" i="80"/>
  <c r="Q3084" i="80"/>
  <c r="Q3085" i="80"/>
  <c r="Q3086" i="80"/>
  <c r="Q3087" i="80"/>
  <c r="Q3088" i="80"/>
  <c r="Q3089" i="80"/>
  <c r="Q3090" i="80"/>
  <c r="Q3091" i="80"/>
  <c r="Q3092" i="80"/>
  <c r="Q3093" i="80"/>
  <c r="Q3094" i="80"/>
  <c r="Q3095" i="80"/>
  <c r="Q3096" i="80"/>
  <c r="Q3097" i="80"/>
  <c r="Q3098" i="80"/>
  <c r="Q3099" i="80"/>
  <c r="Q3100" i="80"/>
  <c r="Q3101" i="80"/>
  <c r="Q3102" i="80"/>
  <c r="Q3103" i="80"/>
  <c r="Q3104" i="80"/>
  <c r="Q3105" i="80"/>
  <c r="Q3106" i="80"/>
  <c r="Q3107" i="80"/>
  <c r="Q3108" i="80"/>
  <c r="Q3109" i="80"/>
  <c r="Q3110" i="80"/>
  <c r="Q3111" i="80"/>
  <c r="Q3112" i="80"/>
  <c r="Q3113" i="80"/>
  <c r="Q3114" i="80"/>
  <c r="Q3115" i="80"/>
  <c r="Q3116" i="80"/>
  <c r="Q3117" i="80"/>
  <c r="Q3118" i="80"/>
  <c r="Q3119" i="80"/>
  <c r="Q3120" i="80"/>
  <c r="Q3121" i="80"/>
  <c r="Q3122" i="80"/>
  <c r="Q3123" i="80"/>
  <c r="Q3124" i="80"/>
  <c r="Q3125" i="80"/>
  <c r="Q3126" i="80"/>
  <c r="Q3127" i="80"/>
  <c r="Q3128" i="80"/>
  <c r="Q3129" i="80"/>
  <c r="Q3130" i="80"/>
  <c r="Q3131" i="80"/>
  <c r="Q3132" i="80"/>
  <c r="Q3133" i="80"/>
  <c r="Q3134" i="80"/>
  <c r="Q3135" i="80"/>
  <c r="Q3136" i="80"/>
  <c r="Q3137" i="80"/>
  <c r="Q3138" i="80"/>
  <c r="Q3139" i="80"/>
  <c r="Q3140" i="80"/>
  <c r="Q3141" i="80"/>
  <c r="Q3142" i="80"/>
  <c r="Q3143" i="80"/>
  <c r="Q3144" i="80"/>
  <c r="Q3145" i="80"/>
  <c r="Q3146" i="80"/>
  <c r="Q3147" i="80"/>
  <c r="Q3148" i="80"/>
  <c r="Q3149" i="80"/>
  <c r="Q3150" i="80"/>
  <c r="Q3151" i="80"/>
  <c r="Q3152" i="80"/>
  <c r="Q3153" i="80"/>
  <c r="Q3154" i="80"/>
  <c r="Q3155" i="80"/>
  <c r="Q3156" i="80"/>
  <c r="Q3157" i="80"/>
  <c r="Q3158" i="80"/>
  <c r="Q3159" i="80"/>
  <c r="Q3160" i="80"/>
  <c r="Q3161" i="80"/>
  <c r="Q3162" i="80"/>
  <c r="Q3163" i="80"/>
  <c r="Q3164" i="80"/>
  <c r="Q3165" i="80"/>
  <c r="Q3166" i="80"/>
  <c r="Q3167" i="80"/>
  <c r="Q3168" i="80"/>
  <c r="Q3169" i="80"/>
  <c r="Q3170" i="80"/>
  <c r="Q3171" i="80"/>
  <c r="Q3172" i="80"/>
  <c r="Q3173" i="80"/>
  <c r="Q3174" i="80"/>
  <c r="Q3175" i="80"/>
  <c r="Q3176" i="80"/>
  <c r="Q3177" i="80"/>
  <c r="Q3178" i="80"/>
  <c r="Q3179" i="80"/>
  <c r="Q3180" i="80"/>
  <c r="Q3181" i="80"/>
  <c r="Q3182" i="80"/>
  <c r="Q3183" i="80"/>
  <c r="Q3184" i="80"/>
  <c r="Q3185" i="80"/>
  <c r="Q3186" i="80"/>
  <c r="Q3187" i="80"/>
  <c r="Q3188" i="80"/>
  <c r="Q3189" i="80"/>
  <c r="Q3190" i="80"/>
  <c r="Q3191" i="80"/>
  <c r="Q3192" i="80"/>
  <c r="Q3193" i="80"/>
  <c r="Q3194" i="80"/>
  <c r="Q3195" i="80"/>
  <c r="Q3196" i="80"/>
  <c r="Q3197" i="80"/>
  <c r="Q3198" i="80"/>
  <c r="Q3199" i="80"/>
  <c r="Q3200" i="80"/>
  <c r="Q3201" i="80"/>
  <c r="Q3202" i="80"/>
  <c r="Q3203" i="80"/>
  <c r="Q3204" i="80"/>
  <c r="Q3205" i="80"/>
  <c r="Q3206" i="80"/>
  <c r="Q3207" i="80"/>
  <c r="Q3208" i="80"/>
  <c r="Q3209" i="80"/>
  <c r="Q3210" i="80"/>
  <c r="Q3211" i="80"/>
  <c r="Q3212" i="80"/>
  <c r="Q3213" i="80"/>
  <c r="Q3214" i="80"/>
  <c r="Q3215" i="80"/>
  <c r="Q3216" i="80"/>
  <c r="Q3217" i="80"/>
  <c r="Q3218" i="80"/>
  <c r="Q3219" i="80"/>
  <c r="Q3220" i="80"/>
  <c r="Q3221" i="80"/>
  <c r="Q3222" i="80"/>
  <c r="Q3223" i="80"/>
  <c r="Q3224" i="80"/>
  <c r="Q3225" i="80"/>
  <c r="Q3226" i="80"/>
  <c r="Q3227" i="80"/>
  <c r="Q3228" i="80"/>
  <c r="Q3229" i="80"/>
  <c r="Q3230" i="80"/>
  <c r="Q3231" i="80"/>
  <c r="Q3232" i="80"/>
  <c r="Q3233" i="80"/>
  <c r="Q3234" i="80"/>
  <c r="Q3235" i="80"/>
  <c r="Q3236" i="80"/>
  <c r="Q3237" i="80"/>
  <c r="Q3238" i="80"/>
  <c r="Q3239" i="80"/>
  <c r="Q3240" i="80"/>
  <c r="Q3241" i="80"/>
  <c r="Q3242" i="80"/>
  <c r="Q3243" i="80"/>
  <c r="Q3244" i="80"/>
  <c r="Q3245" i="80"/>
  <c r="Q3246" i="80"/>
  <c r="Q3247" i="80"/>
  <c r="Q3248" i="80"/>
  <c r="Q3249" i="80"/>
  <c r="Q3250" i="80"/>
  <c r="Q3251" i="80"/>
  <c r="Q3252" i="80"/>
  <c r="Q3253" i="80"/>
  <c r="Q3254" i="80"/>
  <c r="Q3255" i="80"/>
  <c r="Q3256" i="80"/>
  <c r="Q3257" i="80"/>
  <c r="Q3258" i="80"/>
  <c r="Q3259" i="80"/>
  <c r="Q3260" i="80"/>
  <c r="Q3261" i="80"/>
  <c r="Q3262" i="80"/>
  <c r="Q3263" i="80"/>
  <c r="Q3264" i="80"/>
  <c r="Q3265" i="80"/>
  <c r="Q3266" i="80"/>
  <c r="Q3267" i="80"/>
  <c r="Q3268" i="80"/>
  <c r="Q3269" i="80"/>
  <c r="Q3270" i="80"/>
  <c r="Q3271" i="80"/>
  <c r="Q3272" i="80"/>
  <c r="Q3273" i="80"/>
  <c r="Q3274" i="80"/>
  <c r="Q3275" i="80"/>
  <c r="Q3276" i="80"/>
  <c r="Q3277" i="80"/>
  <c r="Q3278" i="80"/>
  <c r="Q3279" i="80"/>
  <c r="Q3280" i="80"/>
  <c r="Q3281" i="80"/>
  <c r="Q3282" i="80"/>
  <c r="Q3283" i="80"/>
  <c r="Q3284" i="80"/>
  <c r="Q3285" i="80"/>
  <c r="Q3286" i="80"/>
  <c r="Q3287" i="80"/>
  <c r="Q3288" i="80"/>
  <c r="Q3289" i="80"/>
  <c r="Q3290" i="80"/>
  <c r="Q3291" i="80"/>
  <c r="Q3292" i="80"/>
  <c r="Q3293" i="80"/>
  <c r="Q3294" i="80"/>
  <c r="Q3295" i="80"/>
  <c r="Q3296" i="80"/>
  <c r="Q3297" i="80"/>
  <c r="Q3298" i="80"/>
  <c r="Q3299" i="80"/>
  <c r="Q3300" i="80"/>
  <c r="Q3301" i="80"/>
  <c r="Q3302" i="80"/>
  <c r="Q3303" i="80"/>
  <c r="Q3304" i="80"/>
  <c r="Q3305" i="80"/>
  <c r="Q3306" i="80"/>
  <c r="Q3307" i="80"/>
  <c r="Q3308" i="80"/>
  <c r="Q3309" i="80"/>
  <c r="Q3310" i="80"/>
  <c r="Q3311" i="80"/>
  <c r="Q3312" i="80"/>
  <c r="Q3313" i="80"/>
  <c r="Q3314" i="80"/>
  <c r="Q3315" i="80"/>
  <c r="Q3316" i="80"/>
  <c r="Q3317" i="80"/>
  <c r="Q3318" i="80"/>
  <c r="Q3319" i="80"/>
  <c r="Q3320" i="80"/>
  <c r="Q3321" i="80"/>
  <c r="Q3322" i="80"/>
  <c r="Q3323" i="80"/>
  <c r="Q3324" i="80"/>
  <c r="Q3325" i="80"/>
  <c r="Q3326" i="80"/>
  <c r="Q3327" i="80"/>
  <c r="Q3328" i="80"/>
  <c r="Q3329" i="80"/>
  <c r="Q3330" i="80"/>
  <c r="Q3331" i="80"/>
  <c r="Q3332" i="80"/>
  <c r="Q3333" i="80"/>
  <c r="Q3334" i="80"/>
  <c r="Q3335" i="80"/>
  <c r="Q3336" i="80"/>
  <c r="Q3337" i="80"/>
  <c r="Q3338" i="80"/>
  <c r="Q3339" i="80"/>
  <c r="Q3340" i="80"/>
  <c r="Q3341" i="80"/>
  <c r="Q3342" i="80"/>
  <c r="Q3343" i="80"/>
  <c r="Q3344" i="80"/>
  <c r="Q3345" i="80"/>
  <c r="Q3346" i="80"/>
  <c r="Q3347" i="80"/>
  <c r="Q3348" i="80"/>
  <c r="Q3349" i="80"/>
  <c r="Q3350" i="80"/>
  <c r="Q3351" i="80"/>
  <c r="Q3352" i="80"/>
  <c r="Q3353" i="80"/>
  <c r="Q3354" i="80"/>
  <c r="Q3355" i="80"/>
  <c r="Q3356" i="80"/>
  <c r="Q3357" i="80"/>
  <c r="Q3358" i="80"/>
  <c r="Q3359" i="80"/>
  <c r="Q3360" i="80"/>
  <c r="Q3361" i="80"/>
  <c r="Q3362" i="80"/>
  <c r="Q3363" i="80"/>
  <c r="Q3364" i="80"/>
  <c r="Q3365" i="80"/>
  <c r="Q3366" i="80"/>
  <c r="Q3367" i="80"/>
  <c r="Q3368" i="80"/>
  <c r="Q3369" i="80"/>
  <c r="Q3370" i="80"/>
  <c r="Q3371" i="80"/>
  <c r="Q3372" i="80"/>
  <c r="Q3373" i="80"/>
  <c r="Q3374" i="80"/>
  <c r="Q3375" i="80"/>
  <c r="Q3376" i="80"/>
  <c r="Q3377" i="80"/>
  <c r="Q3378" i="80"/>
  <c r="Q3379" i="80"/>
  <c r="Q3380" i="80"/>
  <c r="Q3381" i="80"/>
  <c r="Q3382" i="80"/>
  <c r="Q3383" i="80"/>
  <c r="Q3384" i="80"/>
  <c r="Q3385" i="80"/>
  <c r="Q3386" i="80"/>
  <c r="Q3387" i="80"/>
  <c r="Q3388" i="80"/>
  <c r="Q3389" i="80"/>
  <c r="Q3390" i="80"/>
  <c r="Q3391" i="80"/>
  <c r="Q3392" i="80"/>
  <c r="Q3393" i="80"/>
  <c r="Q3394" i="80"/>
  <c r="Q3395" i="80"/>
  <c r="Q3396" i="80"/>
  <c r="Q3397" i="80"/>
  <c r="Q3398" i="80"/>
  <c r="Q3399" i="80"/>
  <c r="Q3400" i="80"/>
  <c r="Q3401" i="80"/>
  <c r="Q3402" i="80"/>
  <c r="Q3403" i="80"/>
  <c r="Q3404" i="80"/>
  <c r="Q3405" i="80"/>
  <c r="Q3406" i="80"/>
  <c r="Q3407" i="80"/>
  <c r="Q3408" i="80"/>
  <c r="Q3409" i="80"/>
  <c r="Q3410" i="80"/>
  <c r="Q3411" i="80"/>
  <c r="Q3412" i="80"/>
  <c r="Q3413" i="80"/>
  <c r="Q3414" i="80"/>
  <c r="Q3415" i="80"/>
  <c r="Q3416" i="80"/>
  <c r="Q3417" i="80"/>
  <c r="Q3418" i="80"/>
  <c r="Q3419" i="80"/>
  <c r="Q3420" i="80"/>
  <c r="Q3421" i="80"/>
  <c r="Q3422" i="80"/>
  <c r="Q3423" i="80"/>
  <c r="Q3424" i="80"/>
  <c r="Q3425" i="80"/>
  <c r="Q3426" i="80"/>
  <c r="Q3427" i="80"/>
  <c r="Q3428" i="80"/>
  <c r="Q3429" i="80"/>
  <c r="Q3430" i="80"/>
  <c r="Q3431" i="80"/>
  <c r="Q3432" i="80"/>
  <c r="Q3433" i="80"/>
  <c r="Q3434" i="80"/>
  <c r="Q3435" i="80"/>
  <c r="Q3436" i="80"/>
  <c r="Q3437" i="80"/>
  <c r="Q3438" i="80"/>
  <c r="Q3439" i="80"/>
  <c r="Q3440" i="80"/>
  <c r="Q3441" i="80"/>
  <c r="Q3442" i="80"/>
  <c r="Q3443" i="80"/>
  <c r="Q3444" i="80"/>
  <c r="Q3445" i="80"/>
  <c r="Q3446" i="80"/>
  <c r="Q3447" i="80"/>
  <c r="Q3448" i="80"/>
  <c r="Q3449" i="80"/>
  <c r="Q3450" i="80"/>
  <c r="Q3451" i="80"/>
  <c r="Q3452" i="80"/>
  <c r="Q3453" i="80"/>
  <c r="Q3454" i="80"/>
  <c r="Q3455" i="80"/>
  <c r="Q3456" i="80"/>
  <c r="Q3457" i="80"/>
  <c r="Q3458" i="80"/>
  <c r="Q3459" i="80"/>
  <c r="Q3460" i="80"/>
  <c r="Q3461" i="80"/>
  <c r="Q3462" i="80"/>
  <c r="Q3463" i="80"/>
  <c r="Q3464" i="80"/>
  <c r="Q3465" i="80"/>
  <c r="Q3466" i="80"/>
  <c r="Q3467" i="80"/>
  <c r="Q3468" i="80"/>
  <c r="Q3469" i="80"/>
  <c r="Q3470" i="80"/>
  <c r="Q3471" i="80"/>
  <c r="Q3472" i="80"/>
  <c r="Q3473" i="80"/>
  <c r="Q3474" i="80"/>
  <c r="Q3475" i="80"/>
  <c r="Q3476" i="80"/>
  <c r="Q3477" i="80"/>
  <c r="Q3478" i="80"/>
  <c r="Q3479" i="80"/>
  <c r="Q3480" i="80"/>
  <c r="Q3481" i="80"/>
  <c r="Q3482" i="80"/>
  <c r="Q3483" i="80"/>
  <c r="Q3484" i="80"/>
  <c r="Q3485" i="80"/>
  <c r="Q3486" i="80"/>
  <c r="Q3487" i="80"/>
  <c r="Q3488" i="80"/>
  <c r="Q3489" i="80"/>
  <c r="Q3490" i="80"/>
  <c r="Q3491" i="80"/>
  <c r="Q3492" i="80"/>
  <c r="Q3493" i="80"/>
  <c r="Q3494" i="80"/>
  <c r="Q3495" i="80"/>
  <c r="Q3496" i="80"/>
  <c r="Q3497" i="80"/>
  <c r="Q3498" i="80"/>
  <c r="Q3499" i="80"/>
  <c r="Q3500" i="80"/>
  <c r="Q3501" i="80"/>
  <c r="Q3502" i="80"/>
  <c r="Q3503" i="80"/>
  <c r="Q3504" i="80"/>
  <c r="Q3505" i="80"/>
  <c r="Q3506" i="80"/>
  <c r="Q3507" i="80"/>
  <c r="Q3508" i="80"/>
  <c r="Q3509" i="80"/>
  <c r="Q3510" i="80"/>
  <c r="Q3511" i="80"/>
  <c r="Q3512" i="80"/>
  <c r="Q3513" i="80"/>
  <c r="Q3514" i="80"/>
  <c r="Q3515" i="80"/>
  <c r="Q3516" i="80"/>
  <c r="Q3517" i="80"/>
  <c r="Q3518" i="80"/>
  <c r="Q3519" i="80"/>
  <c r="Q3520" i="80"/>
  <c r="Q3521" i="80"/>
  <c r="Q3522" i="80"/>
  <c r="Q3523" i="80"/>
  <c r="Q3524" i="80"/>
  <c r="Q3525" i="80"/>
  <c r="Q3526" i="80"/>
  <c r="Q3527" i="80"/>
  <c r="Q3528" i="80"/>
  <c r="Q3529" i="80"/>
  <c r="Q3530" i="80"/>
  <c r="Q3531" i="80"/>
  <c r="Q3532" i="80"/>
  <c r="Q3533" i="80"/>
  <c r="Q3534" i="80"/>
  <c r="Q3535" i="80"/>
  <c r="Q3536" i="80"/>
  <c r="Q3537" i="80"/>
  <c r="Q3538" i="80"/>
  <c r="Q3539" i="80"/>
  <c r="Q3540" i="80"/>
  <c r="Q3541" i="80"/>
  <c r="Q3542" i="80"/>
  <c r="Q3543" i="80"/>
  <c r="Q3544" i="80"/>
  <c r="Q3545" i="80"/>
  <c r="Q3546" i="80"/>
  <c r="Q3547" i="80"/>
  <c r="Q3548" i="80"/>
  <c r="Q3549" i="80"/>
  <c r="Q3550" i="80"/>
  <c r="Q3551" i="80"/>
  <c r="Q3552" i="80"/>
  <c r="Q3553" i="80"/>
  <c r="Q3554" i="80"/>
  <c r="Q3555" i="80"/>
  <c r="Q3556" i="80"/>
  <c r="Q3557" i="80"/>
  <c r="Q3558" i="80"/>
  <c r="Q3559" i="80"/>
  <c r="Q3560" i="80"/>
  <c r="Q3561" i="80"/>
  <c r="Q3562" i="80"/>
  <c r="Q3563" i="80"/>
  <c r="Q3564" i="80"/>
  <c r="Q3565" i="80"/>
  <c r="Q3566" i="80"/>
  <c r="Q3567" i="80"/>
  <c r="Q3568" i="80"/>
  <c r="Q3569" i="80"/>
  <c r="Q3570" i="80"/>
  <c r="Q3571" i="80"/>
  <c r="Q3572" i="80"/>
  <c r="Q3573" i="80"/>
  <c r="Q3574" i="80"/>
  <c r="Q3575" i="80"/>
  <c r="Q3576" i="80"/>
  <c r="Q3577" i="80"/>
  <c r="Q3578" i="80"/>
  <c r="Q3579" i="80"/>
  <c r="Q3580" i="80"/>
  <c r="Q3581" i="80"/>
  <c r="Q3582" i="80"/>
  <c r="Q3583" i="80"/>
  <c r="Q3584" i="80"/>
  <c r="Q3585" i="80"/>
  <c r="Q3586" i="80"/>
  <c r="Q3587" i="80"/>
  <c r="Q3588" i="80"/>
  <c r="Q3589" i="80"/>
  <c r="Q3590" i="80"/>
  <c r="Q3591" i="80"/>
  <c r="Q3592" i="80"/>
  <c r="Q3593" i="80"/>
  <c r="Q3594" i="80"/>
  <c r="Q3595" i="80"/>
  <c r="Q3596" i="80"/>
  <c r="Q3597" i="80"/>
  <c r="Q3598" i="80"/>
  <c r="Q3599" i="80"/>
  <c r="Q3600" i="80"/>
  <c r="Q3601" i="80"/>
  <c r="Q3602" i="80"/>
  <c r="Q3603" i="80"/>
  <c r="Q3604" i="80"/>
  <c r="Q3605" i="80"/>
  <c r="Q3606" i="80"/>
  <c r="Q3607" i="80"/>
  <c r="Q3608" i="80"/>
  <c r="Q3609" i="80"/>
  <c r="Q3610" i="80"/>
  <c r="Q3611" i="80"/>
  <c r="Q3612" i="80"/>
  <c r="Q3613" i="80"/>
  <c r="Q3614" i="80"/>
  <c r="Q3615" i="80"/>
  <c r="Q3616" i="80"/>
  <c r="Q3617" i="80"/>
  <c r="Q3618" i="80"/>
  <c r="Q3619" i="80"/>
  <c r="Q3620" i="80"/>
  <c r="Q3621" i="80"/>
  <c r="Q3622" i="80"/>
  <c r="Q3623" i="80"/>
  <c r="Q3624" i="80"/>
  <c r="Q3625" i="80"/>
  <c r="Q3626" i="80"/>
  <c r="Q3627" i="80"/>
  <c r="Q3628" i="80"/>
  <c r="Q3629" i="80"/>
  <c r="Q3630" i="80"/>
  <c r="Q3631" i="80"/>
  <c r="Q3632" i="80"/>
  <c r="Q3633" i="80"/>
  <c r="Q3634" i="80"/>
  <c r="Q3635" i="80"/>
  <c r="Q3636" i="80"/>
  <c r="Q3637" i="80"/>
  <c r="Q3638" i="80"/>
  <c r="Q3639" i="80"/>
  <c r="Q3640" i="80"/>
  <c r="Q3641" i="80"/>
  <c r="Q3642" i="80"/>
  <c r="Q3643" i="80"/>
  <c r="Q3644" i="80"/>
  <c r="Q3645" i="80"/>
  <c r="Q3646" i="80"/>
  <c r="Q3647" i="80"/>
  <c r="Q3648" i="80"/>
  <c r="Q3649" i="80"/>
  <c r="Q3650" i="80"/>
  <c r="Q3651" i="80"/>
  <c r="Q3652" i="80"/>
  <c r="Q3653" i="80"/>
  <c r="Q3654" i="80"/>
  <c r="Q3655" i="80"/>
  <c r="Q3656" i="80"/>
  <c r="Q3657" i="80"/>
  <c r="Q3658" i="80"/>
  <c r="Q3659" i="80"/>
  <c r="Q3660" i="80"/>
  <c r="Q3661" i="80"/>
  <c r="Q3662" i="80"/>
  <c r="Q3663" i="80"/>
  <c r="Q3664" i="80"/>
  <c r="Q3665" i="80"/>
  <c r="Q3666" i="80"/>
  <c r="Q3667" i="80"/>
  <c r="Q3668" i="80"/>
  <c r="Q3669" i="80"/>
  <c r="Q3670" i="80"/>
  <c r="Q3671" i="80"/>
  <c r="Q3672" i="80"/>
  <c r="Q3673" i="80"/>
  <c r="Q3674" i="80"/>
  <c r="Q3675" i="80"/>
  <c r="Q3676" i="80"/>
  <c r="Q3677" i="80"/>
  <c r="Q3678" i="80"/>
  <c r="Q3679" i="80"/>
  <c r="Q3680" i="80"/>
  <c r="Q3681" i="80"/>
  <c r="Q3682" i="80"/>
  <c r="Q3683" i="80"/>
  <c r="Q3684" i="80"/>
  <c r="Q3685" i="80"/>
  <c r="Q3686" i="80"/>
  <c r="Q3687" i="80"/>
  <c r="Q3688" i="80"/>
  <c r="Q3689" i="80"/>
  <c r="Q3690" i="80"/>
  <c r="Q3691" i="80"/>
  <c r="Q3692" i="80"/>
  <c r="Q3693" i="80"/>
  <c r="Q3694" i="80"/>
  <c r="Q3695" i="80"/>
  <c r="Q3696" i="80"/>
  <c r="Q3697" i="80"/>
  <c r="Q3698" i="80"/>
  <c r="Q3699" i="80"/>
  <c r="Q3700" i="80"/>
  <c r="Q3701" i="80"/>
  <c r="Q3702" i="80"/>
  <c r="Q3703" i="80"/>
  <c r="Q3704" i="80"/>
  <c r="Q3705" i="80"/>
  <c r="Q3706" i="80"/>
  <c r="Q3707" i="80"/>
  <c r="Q3708" i="80"/>
  <c r="Q3709" i="80"/>
  <c r="Q3710" i="80"/>
  <c r="Q3711" i="80"/>
  <c r="Q3712" i="80"/>
  <c r="Q3713" i="80"/>
  <c r="Q3714" i="80"/>
  <c r="Q3715" i="80"/>
  <c r="Q3716" i="80"/>
  <c r="Q3717" i="80"/>
  <c r="Q3718" i="80"/>
  <c r="Q3719" i="80"/>
  <c r="Q3720" i="80"/>
  <c r="Q3721" i="80"/>
  <c r="Q3722" i="80"/>
  <c r="Q3723" i="80"/>
  <c r="Q3724" i="80"/>
  <c r="Q3725" i="80"/>
  <c r="Q3726" i="80"/>
  <c r="Q3727" i="80"/>
  <c r="Q3728" i="80"/>
  <c r="Q3729" i="80"/>
  <c r="Q3730" i="80"/>
  <c r="Q3731" i="80"/>
  <c r="Q3732" i="80"/>
  <c r="Q3733" i="80"/>
  <c r="Q3734" i="80"/>
  <c r="Q3735" i="80"/>
  <c r="Q3736" i="80"/>
  <c r="Q3737" i="80"/>
  <c r="Q3738" i="80"/>
  <c r="Q3739" i="80"/>
  <c r="Q3740" i="80"/>
  <c r="Q3741" i="80"/>
  <c r="Q3742" i="80"/>
  <c r="Q3743" i="80"/>
  <c r="Q3744" i="80"/>
  <c r="Q3745" i="80"/>
  <c r="Q3746" i="80"/>
  <c r="Q3747" i="80"/>
  <c r="Q3748" i="80"/>
  <c r="Q3749" i="80"/>
  <c r="Q3750" i="80"/>
  <c r="Q3751" i="80"/>
  <c r="Q3752" i="80"/>
  <c r="Q3753" i="80"/>
  <c r="Q3754" i="80"/>
  <c r="Q3755" i="80"/>
  <c r="Q3756" i="80"/>
  <c r="Q3757" i="80"/>
  <c r="Q3758" i="80"/>
  <c r="Q3759" i="80"/>
  <c r="Q3760" i="80"/>
  <c r="Q3761" i="80"/>
  <c r="Q3762" i="80"/>
  <c r="Q3763" i="80"/>
  <c r="Q3764" i="80"/>
  <c r="Q3765" i="80"/>
  <c r="Q3766" i="80"/>
  <c r="Q3767" i="80"/>
  <c r="Q3768" i="80"/>
  <c r="Q3769" i="80"/>
  <c r="Q3770" i="80"/>
  <c r="Q3771" i="80"/>
  <c r="Q3772" i="80"/>
  <c r="Q3773" i="80"/>
  <c r="Q3774" i="80"/>
  <c r="Q3775" i="80"/>
  <c r="Q3776" i="80"/>
  <c r="Q3777" i="80"/>
  <c r="Q3778" i="80"/>
  <c r="Q3779" i="80"/>
  <c r="Q3780" i="80"/>
  <c r="Q3781" i="80"/>
  <c r="Q3782" i="80"/>
  <c r="Q3783" i="80"/>
  <c r="Q3784" i="80"/>
  <c r="Q3785" i="80"/>
  <c r="Q3786" i="80"/>
  <c r="Q3787" i="80"/>
  <c r="Q3788" i="80"/>
  <c r="Q3789" i="80"/>
  <c r="Q3790" i="80"/>
  <c r="Q3791" i="80"/>
  <c r="Q3792" i="80"/>
  <c r="Q3793" i="80"/>
  <c r="Q3794" i="80"/>
  <c r="Q3795" i="80"/>
  <c r="Q3796" i="80"/>
  <c r="Q3797" i="80"/>
  <c r="Q3798" i="80"/>
  <c r="Q3799" i="80"/>
  <c r="Q3800" i="80"/>
  <c r="Q3801" i="80"/>
  <c r="Q3802" i="80"/>
  <c r="Q3803" i="80"/>
  <c r="Q3804" i="80"/>
  <c r="Q3805" i="80"/>
  <c r="Q3806" i="80"/>
  <c r="Q3807" i="80"/>
  <c r="Q3808" i="80"/>
  <c r="Q3809" i="80"/>
  <c r="Q3810" i="80"/>
  <c r="Q3811" i="80"/>
  <c r="Q3812" i="80"/>
  <c r="Q3813" i="80"/>
  <c r="Q3814" i="80"/>
  <c r="Q3815" i="80"/>
  <c r="Q3816" i="80"/>
  <c r="Q3817" i="80"/>
  <c r="Q3818" i="80"/>
  <c r="Q3819" i="80"/>
  <c r="Q3820" i="80"/>
  <c r="Q3821" i="80"/>
  <c r="Q3822" i="80"/>
  <c r="Q3823" i="80"/>
  <c r="Q3824" i="80"/>
  <c r="Q3825" i="80"/>
  <c r="Q3826" i="80"/>
  <c r="Q3827" i="80"/>
  <c r="Q3828" i="80"/>
  <c r="Q3829" i="80"/>
  <c r="Q3830" i="80"/>
  <c r="Q3831" i="80"/>
  <c r="Q3832" i="80"/>
  <c r="Q3833" i="80"/>
  <c r="Q3834" i="80"/>
  <c r="Q3835" i="80"/>
  <c r="Q3836" i="80"/>
  <c r="Q3837" i="80"/>
  <c r="Q3838" i="80"/>
  <c r="Q3839" i="80"/>
  <c r="Q3840" i="80"/>
  <c r="Q3841" i="80"/>
  <c r="Q3842" i="80"/>
  <c r="Q3843" i="80"/>
  <c r="Q3844" i="80"/>
  <c r="Q3845" i="80"/>
  <c r="Q3846" i="80"/>
  <c r="Q3847" i="80"/>
  <c r="Q3848" i="80"/>
  <c r="Q3849" i="80"/>
  <c r="Q3850" i="80"/>
  <c r="Q3851" i="80"/>
  <c r="Q3852" i="80"/>
  <c r="Q3853" i="80"/>
  <c r="Q3854" i="80"/>
  <c r="Q3855" i="80"/>
  <c r="Q3856" i="80"/>
  <c r="Q3857" i="80"/>
  <c r="Q3858" i="80"/>
  <c r="Q3859" i="80"/>
  <c r="Q3860" i="80"/>
  <c r="Q3861" i="80"/>
  <c r="Q3862" i="80"/>
  <c r="Q3863" i="80"/>
  <c r="Q3864" i="80"/>
  <c r="Q3865" i="80"/>
  <c r="Q3866" i="80"/>
  <c r="Q3867" i="80"/>
  <c r="Q3868" i="80"/>
  <c r="Q3869" i="80"/>
  <c r="Q3870" i="80"/>
  <c r="Q3871" i="80"/>
  <c r="Q3872" i="80"/>
  <c r="Q3873" i="80"/>
  <c r="Q3874" i="80"/>
  <c r="Q3875" i="80"/>
  <c r="Q3876" i="80"/>
  <c r="Q3877" i="80"/>
  <c r="Q3878" i="80"/>
  <c r="Q3879" i="80"/>
  <c r="Q3880" i="80"/>
  <c r="Q3881" i="80"/>
  <c r="Q3882" i="80"/>
  <c r="Q3883" i="80"/>
  <c r="Q3884" i="80"/>
  <c r="Q3885" i="80"/>
  <c r="Q3886" i="80"/>
  <c r="Q3887" i="80"/>
  <c r="Q3888" i="80"/>
  <c r="Q3889" i="80"/>
  <c r="Q3890" i="80"/>
  <c r="Q3891" i="80"/>
  <c r="Q3892" i="80"/>
  <c r="Q3893" i="80"/>
  <c r="Q3894" i="80"/>
  <c r="Q3895" i="80"/>
  <c r="Q3896" i="80"/>
  <c r="Q3897" i="80"/>
  <c r="Q3898" i="80"/>
  <c r="Q3899" i="80"/>
  <c r="Q3900" i="80"/>
  <c r="Q3901" i="80"/>
  <c r="Q3902" i="80"/>
  <c r="Q3903" i="80"/>
  <c r="Q3904" i="80"/>
  <c r="Q3905" i="80"/>
  <c r="Q3906" i="80"/>
  <c r="Q3907" i="80"/>
  <c r="Q3908" i="80"/>
  <c r="Q3909" i="80"/>
  <c r="Q3910" i="80"/>
  <c r="Q3911" i="80"/>
  <c r="Q3912" i="80"/>
  <c r="Q3913" i="80"/>
  <c r="Q3914" i="80"/>
  <c r="Q3915" i="80"/>
  <c r="Q3916" i="80"/>
  <c r="Q3917" i="80"/>
  <c r="Q3918" i="80"/>
  <c r="Q3919" i="80"/>
  <c r="Q3920" i="80"/>
  <c r="Q3921" i="80"/>
  <c r="Q3922" i="80"/>
  <c r="Q3923" i="80"/>
  <c r="Q3924" i="80"/>
  <c r="Q3925" i="80"/>
  <c r="Q3926" i="80"/>
  <c r="Q3927" i="80"/>
  <c r="Q3928" i="80"/>
  <c r="Q3929" i="80"/>
  <c r="Q3930" i="80"/>
  <c r="Q3931" i="80"/>
  <c r="Q3932" i="80"/>
  <c r="Q3933" i="80"/>
  <c r="Q3934" i="80"/>
  <c r="Q3935" i="80"/>
  <c r="Q3936" i="80"/>
  <c r="Q3937" i="80"/>
  <c r="Q3938" i="80"/>
  <c r="Q3939" i="80"/>
  <c r="Q3940" i="80"/>
  <c r="Q3941" i="80"/>
  <c r="Q3942" i="80"/>
  <c r="Q3943" i="80"/>
  <c r="Q3944" i="80"/>
  <c r="Q3945" i="80"/>
  <c r="Q3946" i="80"/>
  <c r="Q3947" i="80"/>
  <c r="Q3948" i="80"/>
  <c r="Q3949" i="80"/>
  <c r="Q3950" i="80"/>
  <c r="Q3951" i="80"/>
  <c r="Q3952" i="80"/>
  <c r="Q3953" i="80"/>
  <c r="Q3954" i="80"/>
  <c r="Q3955" i="80"/>
  <c r="Q3956" i="80"/>
  <c r="Q3957" i="80"/>
  <c r="Q3958" i="80"/>
  <c r="Q3959" i="80"/>
  <c r="Q3960" i="80"/>
  <c r="Q3961" i="80"/>
  <c r="Q3962" i="80"/>
  <c r="Q3963" i="80"/>
  <c r="Q3964" i="80"/>
  <c r="Q3965" i="80"/>
  <c r="Q3966" i="80"/>
  <c r="Q3967" i="80"/>
  <c r="Q3968" i="80"/>
  <c r="Q3969" i="80"/>
  <c r="Q3970" i="80"/>
  <c r="Q3971" i="80"/>
  <c r="Q3972" i="80"/>
  <c r="Q3973" i="80"/>
  <c r="Q3974" i="80"/>
  <c r="Q3975" i="80"/>
  <c r="Q3976" i="80"/>
  <c r="Q3977" i="80"/>
  <c r="Q3978" i="80"/>
  <c r="Q3979" i="80"/>
  <c r="Q3980" i="80"/>
  <c r="Q3981" i="80"/>
  <c r="Q3982" i="80"/>
  <c r="Q3983" i="80"/>
  <c r="Q3984" i="80"/>
  <c r="Q3985" i="80"/>
  <c r="Q3986" i="80"/>
  <c r="Q3987" i="80"/>
  <c r="Q3988" i="80"/>
  <c r="Q3989" i="80"/>
  <c r="Q3990" i="80"/>
  <c r="Q3991" i="80"/>
  <c r="Q3992" i="80"/>
  <c r="Q3993" i="80"/>
  <c r="Q3994" i="80"/>
  <c r="Q3995" i="80"/>
  <c r="Q3996" i="80"/>
  <c r="Q3997" i="80"/>
  <c r="Q3998" i="80"/>
  <c r="Q3999" i="80"/>
  <c r="Q4000" i="80"/>
  <c r="Q4001" i="80"/>
  <c r="Q4002" i="80"/>
  <c r="Q4003" i="80"/>
  <c r="Q4004" i="80"/>
  <c r="Q4005" i="80"/>
  <c r="Q4006" i="80"/>
  <c r="Q4007" i="80"/>
  <c r="Q4008" i="80"/>
  <c r="Q4009" i="80"/>
  <c r="Q4010" i="80"/>
  <c r="Q4011" i="80"/>
  <c r="Q4012" i="80"/>
  <c r="Q4013" i="80"/>
  <c r="Q4014" i="80"/>
  <c r="Q4015" i="80"/>
  <c r="Q4016" i="80"/>
  <c r="Q4017" i="80"/>
  <c r="Q4018" i="80"/>
  <c r="Q4019" i="80"/>
  <c r="Q4020" i="80"/>
  <c r="Q4021" i="80"/>
  <c r="Q4022" i="80"/>
  <c r="Q4023" i="80"/>
  <c r="Q4024" i="80"/>
  <c r="Q4025" i="80"/>
  <c r="Q4026" i="80"/>
  <c r="Q4027" i="80"/>
  <c r="Q4028" i="80"/>
  <c r="Q4029" i="80"/>
  <c r="Q4030" i="80"/>
  <c r="Q4031" i="80"/>
  <c r="Q4032" i="80"/>
  <c r="Q4033" i="80"/>
  <c r="Q4034" i="80"/>
  <c r="Q4035" i="80"/>
  <c r="Q4036" i="80"/>
  <c r="Q4037" i="80"/>
  <c r="Q4038" i="80"/>
  <c r="Q4039" i="80"/>
  <c r="Q4040" i="80"/>
  <c r="Q4041" i="80"/>
  <c r="Q4042" i="80"/>
  <c r="Q4043" i="80"/>
  <c r="Q4044" i="80"/>
  <c r="Q4045" i="80"/>
  <c r="Q4046" i="80"/>
  <c r="Q4047" i="80"/>
  <c r="Q4048" i="80"/>
  <c r="Q4049" i="80"/>
  <c r="Q4050" i="80"/>
  <c r="Q4051" i="80"/>
  <c r="Q4052" i="80"/>
  <c r="Q4053" i="80"/>
  <c r="Q4054" i="80"/>
  <c r="Q4055" i="80"/>
  <c r="Q4056" i="80"/>
  <c r="Q4057" i="80"/>
  <c r="Q4058" i="80"/>
  <c r="Q4059" i="80"/>
  <c r="Q4060" i="80"/>
  <c r="Q4061" i="80"/>
  <c r="Q4062" i="80"/>
  <c r="Q4063" i="80"/>
  <c r="Q4064" i="80"/>
  <c r="Q4065" i="80"/>
  <c r="Q4066" i="80"/>
  <c r="Q4067" i="80"/>
  <c r="Q4068" i="80"/>
  <c r="Q4069" i="80"/>
  <c r="Q4070" i="80"/>
  <c r="Q4071" i="80"/>
  <c r="Q4072" i="80"/>
  <c r="Q4073" i="80"/>
  <c r="Q4074" i="80"/>
  <c r="Q4075" i="80"/>
  <c r="Q4076" i="80"/>
  <c r="Q4077" i="80"/>
  <c r="Q4078" i="80"/>
  <c r="Q4079" i="80"/>
  <c r="Q4080" i="80"/>
  <c r="Q4081" i="80"/>
  <c r="Q4082" i="80"/>
  <c r="Q4083" i="80"/>
  <c r="Q4084" i="80"/>
  <c r="Q4085" i="80"/>
  <c r="Q4086" i="80"/>
  <c r="Q4087" i="80"/>
  <c r="Q4088" i="80"/>
  <c r="Q4089" i="80"/>
  <c r="Q4090" i="80"/>
  <c r="Q4091" i="80"/>
  <c r="Q4092" i="80"/>
  <c r="Q4093" i="80"/>
  <c r="Q4094" i="80"/>
  <c r="Q4095" i="80"/>
  <c r="Q4096" i="80"/>
  <c r="Q4097" i="80"/>
  <c r="Q4098" i="80"/>
  <c r="Q4099" i="80"/>
  <c r="Q4100" i="80"/>
  <c r="Q4101" i="80"/>
  <c r="Q4102" i="80"/>
  <c r="Q4103" i="80"/>
  <c r="Q4104" i="80"/>
  <c r="Q4105" i="80"/>
  <c r="Q4106" i="80"/>
  <c r="Q4107" i="80"/>
  <c r="Q4108" i="80"/>
  <c r="Q4109" i="80"/>
  <c r="Q4110" i="80"/>
  <c r="Q4111" i="80"/>
  <c r="Q4112" i="80"/>
  <c r="Q4113" i="80"/>
  <c r="Q4114" i="80"/>
  <c r="Q4115" i="80"/>
  <c r="Q4116" i="80"/>
  <c r="Q4117" i="80"/>
  <c r="Q4118" i="80"/>
  <c r="Q4119" i="80"/>
  <c r="Q4120" i="80"/>
  <c r="Q4121" i="80"/>
  <c r="Q4122" i="80"/>
  <c r="Q4123" i="80"/>
  <c r="Q4124" i="80"/>
  <c r="Q4125" i="80"/>
  <c r="Q4126" i="80"/>
  <c r="Q4127" i="80"/>
  <c r="Q4128" i="80"/>
  <c r="Q4129" i="80"/>
  <c r="Q4130" i="80"/>
  <c r="Q4131" i="80"/>
  <c r="Q4132" i="80"/>
  <c r="Q4133" i="80"/>
  <c r="Q4134" i="80"/>
  <c r="Q4135" i="80"/>
  <c r="Q4136" i="80"/>
  <c r="Q4137" i="80"/>
  <c r="Q4138" i="80"/>
  <c r="Q4139" i="80"/>
  <c r="Q4140" i="80"/>
  <c r="Q4141" i="80"/>
  <c r="Q4142" i="80"/>
  <c r="Q4143" i="80"/>
  <c r="Q4144" i="80"/>
  <c r="Q4145" i="80"/>
  <c r="Q4146" i="80"/>
  <c r="Q4147" i="80"/>
  <c r="Q4148" i="80"/>
  <c r="Q4149" i="80"/>
  <c r="Q4150" i="80"/>
  <c r="Q4151" i="80"/>
  <c r="Q4152" i="80"/>
  <c r="Q4153" i="80"/>
  <c r="Q4154" i="80"/>
  <c r="Q4155" i="80"/>
  <c r="Q4156" i="80"/>
  <c r="Q4157" i="80"/>
  <c r="Q4158" i="80"/>
  <c r="Q4159" i="80"/>
  <c r="Q4160" i="80"/>
  <c r="Q4161" i="80"/>
  <c r="Q4162" i="80"/>
  <c r="Q4163" i="80"/>
  <c r="Q4164" i="80"/>
  <c r="Q4165" i="80"/>
  <c r="Q4166" i="80"/>
  <c r="Q4167" i="80"/>
  <c r="Q4168" i="80"/>
  <c r="Q4169" i="80"/>
  <c r="Q4170" i="80"/>
  <c r="Q4171" i="80"/>
  <c r="Q4172" i="80"/>
  <c r="Q4173" i="80"/>
  <c r="Q4174" i="80"/>
  <c r="Q4175" i="80"/>
  <c r="Q4176" i="80"/>
  <c r="Q4177" i="80"/>
  <c r="Q4178" i="80"/>
  <c r="Q4179" i="80"/>
  <c r="Q4180" i="80"/>
  <c r="Q4181" i="80"/>
  <c r="Q4182" i="80"/>
  <c r="Q4183" i="80"/>
  <c r="Q4184" i="80"/>
  <c r="Q4185" i="80"/>
  <c r="Q4186" i="80"/>
  <c r="Q4187" i="80"/>
  <c r="Q4188" i="80"/>
  <c r="Q4189" i="80"/>
  <c r="Q4190" i="80"/>
  <c r="Q4191" i="80"/>
  <c r="Q4192" i="80"/>
  <c r="Q4193" i="80"/>
  <c r="Q4194" i="80"/>
  <c r="Q4195" i="80"/>
  <c r="Q4196" i="80"/>
  <c r="Q4197" i="80"/>
  <c r="Q4198" i="80"/>
  <c r="Q4199" i="80"/>
  <c r="Q4200" i="80"/>
  <c r="Q4201" i="80"/>
  <c r="Q4202" i="80"/>
  <c r="Q4203" i="80"/>
  <c r="Q4204" i="80"/>
  <c r="Q4205" i="80"/>
  <c r="Q4206" i="80"/>
  <c r="Q4207" i="80"/>
  <c r="Q4208" i="80"/>
  <c r="Q4209" i="80"/>
  <c r="Q4210" i="80"/>
  <c r="Q4211" i="80"/>
  <c r="Q4212" i="80"/>
  <c r="Q4213" i="80"/>
  <c r="Q4214" i="80"/>
  <c r="Q4215" i="80"/>
  <c r="Q4216" i="80"/>
  <c r="Q4217" i="80"/>
  <c r="Q4218" i="80"/>
  <c r="Q4219" i="80"/>
  <c r="Q4220" i="80"/>
  <c r="Q4221" i="80"/>
  <c r="Q4222" i="80"/>
  <c r="Q4223" i="80"/>
  <c r="Q4224" i="80"/>
  <c r="Q4225" i="80"/>
  <c r="Q4226" i="80"/>
  <c r="Q4227" i="80"/>
  <c r="Q4228" i="80"/>
  <c r="Q4229" i="80"/>
  <c r="Q4230" i="80"/>
  <c r="Q4231" i="80"/>
  <c r="Q4232" i="80"/>
  <c r="Q4233" i="80"/>
  <c r="Q4234" i="80"/>
  <c r="Q4235" i="80"/>
  <c r="Q4236" i="80"/>
  <c r="Q4237" i="80"/>
  <c r="Q4238" i="80"/>
  <c r="Q4239" i="80"/>
  <c r="Q4240" i="80"/>
  <c r="Q4241" i="80"/>
  <c r="Q4242" i="80"/>
  <c r="Q4243" i="80"/>
  <c r="Q4244" i="80"/>
  <c r="Q4245" i="80"/>
  <c r="Q4246" i="80"/>
  <c r="Q4247" i="80"/>
  <c r="Q4248" i="80"/>
  <c r="Q4249" i="80"/>
  <c r="Q4250" i="80"/>
  <c r="Q4251" i="80"/>
  <c r="Q4252" i="80"/>
  <c r="Q4253" i="80"/>
  <c r="Q4254" i="80"/>
  <c r="Q4255" i="80"/>
  <c r="Q4256" i="80"/>
  <c r="Q4257" i="80"/>
  <c r="Q4258" i="80"/>
  <c r="Q4259" i="80"/>
  <c r="Q4260" i="80"/>
  <c r="Q4261" i="80"/>
  <c r="Q4262" i="80"/>
  <c r="Q4263" i="80"/>
  <c r="Q4264" i="80"/>
  <c r="Q4265" i="80"/>
  <c r="Q4266" i="80"/>
  <c r="Q4267" i="80"/>
  <c r="Q4268" i="80"/>
  <c r="Q4269" i="80"/>
  <c r="Q4270" i="80"/>
  <c r="Q4271" i="80"/>
  <c r="Q4272" i="80"/>
  <c r="Q4273" i="80"/>
  <c r="Q4274" i="80"/>
  <c r="Q4275" i="80"/>
  <c r="Q4276" i="80"/>
  <c r="Q4277" i="80"/>
  <c r="Q4278" i="80"/>
  <c r="Q4279" i="80"/>
  <c r="Q4280" i="80"/>
  <c r="Q4281" i="80"/>
  <c r="Q4282" i="80"/>
  <c r="Q4283" i="80"/>
  <c r="Q4284" i="80"/>
  <c r="Q4285" i="80"/>
  <c r="Q4286" i="80"/>
  <c r="Q4287" i="80"/>
  <c r="Q4288" i="80"/>
  <c r="Q4289" i="80"/>
  <c r="Q4290" i="80"/>
  <c r="Q4291" i="80"/>
  <c r="Q4292" i="80"/>
  <c r="Q4293" i="80"/>
  <c r="Q4294" i="80"/>
  <c r="Q4295" i="80"/>
  <c r="Q4296" i="80"/>
  <c r="Q4297" i="80"/>
  <c r="Q4298" i="80"/>
  <c r="Q4299" i="80"/>
  <c r="Q4300" i="80"/>
  <c r="Q4301" i="80"/>
  <c r="Q4302" i="80"/>
  <c r="Q4303" i="80"/>
  <c r="Q4304" i="80"/>
  <c r="Q4305" i="80"/>
  <c r="Q4306" i="80"/>
  <c r="Q4307" i="80"/>
  <c r="Q4308" i="80"/>
  <c r="Q4309" i="80"/>
  <c r="Q4310" i="80"/>
  <c r="Q4311" i="80"/>
  <c r="Q4312" i="80"/>
  <c r="Q4313" i="80"/>
  <c r="Q4314" i="80"/>
  <c r="Q4315" i="80"/>
  <c r="Q4316" i="80"/>
  <c r="Q4317" i="80"/>
  <c r="Q4318" i="80"/>
  <c r="Q4319" i="80"/>
  <c r="Q4320" i="80"/>
  <c r="Q4321" i="80"/>
  <c r="Q4322" i="80"/>
  <c r="Q4323" i="80"/>
  <c r="Q4324" i="80"/>
  <c r="Q4325" i="80"/>
  <c r="Q4326" i="80"/>
  <c r="Q4327" i="80"/>
  <c r="Q4328" i="80"/>
  <c r="Q4329" i="80"/>
  <c r="Q4330" i="80"/>
  <c r="Q4331" i="80"/>
  <c r="Q4332" i="80"/>
  <c r="Q4333" i="80"/>
  <c r="Q4334" i="80"/>
  <c r="Q4335" i="80"/>
  <c r="Q4336" i="80"/>
  <c r="Q4337" i="80"/>
  <c r="Q4338" i="80"/>
  <c r="Q4339" i="80"/>
  <c r="Q4340" i="80"/>
  <c r="Q4341" i="80"/>
  <c r="Q4342" i="80"/>
  <c r="Q4343" i="80"/>
  <c r="Q4344" i="80"/>
  <c r="Q4345" i="80"/>
  <c r="Q4346" i="80"/>
  <c r="Q4347" i="80"/>
  <c r="Q4348" i="80"/>
  <c r="Q4349" i="80"/>
  <c r="Q4350" i="80"/>
  <c r="Q4351" i="80"/>
  <c r="Q4352" i="80"/>
  <c r="Q4353" i="80"/>
  <c r="Q4354" i="80"/>
  <c r="Q4355" i="80"/>
  <c r="Q4356" i="80"/>
  <c r="Q4357" i="80"/>
  <c r="Q4358" i="80"/>
  <c r="Q4359" i="80"/>
  <c r="Q4360" i="80"/>
  <c r="Q4361" i="80"/>
  <c r="Q4362" i="80"/>
  <c r="Q4363" i="80"/>
  <c r="Q4364" i="80"/>
  <c r="Q4365" i="80"/>
  <c r="Q4366" i="80"/>
  <c r="Q4367" i="80"/>
  <c r="Q4368" i="80"/>
  <c r="Q4369" i="80"/>
  <c r="Q4370" i="80"/>
  <c r="Q4371" i="80"/>
  <c r="Q4372" i="80"/>
  <c r="Q4373" i="80"/>
  <c r="Q4374" i="80"/>
  <c r="Q4375" i="80"/>
  <c r="Q4376" i="80"/>
  <c r="Q4377" i="80"/>
  <c r="Q4378" i="80"/>
  <c r="Q4379" i="80"/>
  <c r="Q4380" i="80"/>
  <c r="Q4381" i="80"/>
  <c r="Q4382" i="80"/>
  <c r="Q4383" i="80"/>
  <c r="Q4384" i="80"/>
  <c r="Q4385" i="80"/>
  <c r="Q4386" i="80"/>
  <c r="Q4387" i="80"/>
  <c r="Q4388" i="80"/>
  <c r="Q4389" i="80"/>
  <c r="Q4390" i="80"/>
  <c r="Q4391" i="80"/>
  <c r="Q4392" i="80"/>
  <c r="Q4393" i="80"/>
  <c r="Q4394" i="80"/>
  <c r="Q4395" i="80"/>
  <c r="Q4396" i="80"/>
  <c r="Q4397" i="80"/>
  <c r="Q4398" i="80"/>
  <c r="Q4399" i="80"/>
  <c r="Q4400" i="80"/>
  <c r="Q4401" i="80"/>
  <c r="Q4402" i="80"/>
  <c r="Q4403" i="80"/>
  <c r="Q4404" i="80"/>
  <c r="Q4405" i="80"/>
  <c r="Q4406" i="80"/>
  <c r="Q4407" i="80"/>
  <c r="Q4408" i="80"/>
  <c r="Q4409" i="80"/>
  <c r="Q4410" i="80"/>
  <c r="Q4411" i="80"/>
  <c r="Q4412" i="80"/>
  <c r="Q4413" i="80"/>
  <c r="Q4414" i="80"/>
  <c r="Q4415" i="80"/>
  <c r="Q4416" i="80"/>
  <c r="Q4417" i="80"/>
  <c r="Q4418" i="80"/>
  <c r="Q4419" i="80"/>
  <c r="Q4420" i="80"/>
  <c r="Q4421" i="80"/>
  <c r="Q4422" i="80"/>
  <c r="Q4423" i="80"/>
  <c r="Q4424" i="80"/>
  <c r="Q4425" i="80"/>
  <c r="Q4426" i="80"/>
  <c r="Q4427" i="80"/>
  <c r="Q4428" i="80"/>
  <c r="Q4429" i="80"/>
  <c r="Q4430" i="80"/>
  <c r="Q4431" i="80"/>
  <c r="Q4432" i="80"/>
  <c r="Q4433" i="80"/>
  <c r="Q4434" i="80"/>
  <c r="Q4435" i="80"/>
  <c r="Q4436" i="80"/>
  <c r="Q4437" i="80"/>
  <c r="Q4438" i="80"/>
  <c r="Q4439" i="80"/>
  <c r="Q4440" i="80"/>
  <c r="Q4441" i="80"/>
  <c r="Q4442" i="80"/>
  <c r="Q4443" i="80"/>
  <c r="Q4444" i="80"/>
  <c r="Q4445" i="80"/>
  <c r="Q4446" i="80"/>
  <c r="Q4447" i="80"/>
  <c r="Q4448" i="80"/>
  <c r="Q4449" i="80"/>
  <c r="Q4450" i="80"/>
  <c r="Q4451" i="80"/>
  <c r="Q4452" i="80"/>
  <c r="Q4453" i="80"/>
  <c r="Q4454" i="80"/>
  <c r="Q4455" i="80"/>
  <c r="Q4456" i="80"/>
  <c r="Q4457" i="80"/>
  <c r="Q4458" i="80"/>
  <c r="Q4459" i="80"/>
  <c r="Q4460" i="80"/>
  <c r="Q4461" i="80"/>
  <c r="Q4462" i="80"/>
  <c r="Q4463" i="80"/>
  <c r="Q4464" i="80"/>
  <c r="Q4465" i="80"/>
  <c r="Q4466" i="80"/>
  <c r="Q4467" i="80"/>
  <c r="Q4468" i="80"/>
  <c r="Q4469" i="80"/>
  <c r="Q4470" i="80"/>
  <c r="Q4471" i="80"/>
  <c r="Q4472" i="80"/>
  <c r="Q4473" i="80"/>
  <c r="Q4474" i="80"/>
  <c r="Q4475" i="80"/>
  <c r="Q4476" i="80"/>
  <c r="Q4477" i="80"/>
  <c r="Q4478" i="80"/>
  <c r="Q4479" i="80"/>
  <c r="Q4480" i="80"/>
  <c r="Q4481" i="80"/>
  <c r="Q4482" i="80"/>
  <c r="Q4483" i="80"/>
  <c r="Q4484" i="80"/>
  <c r="Q4485" i="80"/>
  <c r="Q4486" i="80"/>
  <c r="Q4487" i="80"/>
  <c r="Q4488" i="80"/>
  <c r="Q4489" i="80"/>
  <c r="Q4490" i="80"/>
  <c r="Q4491" i="80"/>
  <c r="Q4492" i="80"/>
  <c r="Q4493" i="80"/>
  <c r="Q4494" i="80"/>
  <c r="Q4495" i="80"/>
  <c r="Q4496" i="80"/>
  <c r="Q4497" i="80"/>
  <c r="Q4498" i="80"/>
  <c r="Q4499" i="80"/>
  <c r="Q4500" i="80"/>
  <c r="Q4501" i="80"/>
  <c r="Q4502" i="80"/>
  <c r="Q4503" i="80"/>
  <c r="Q4504" i="80"/>
  <c r="Q4505" i="80"/>
  <c r="Q4506" i="80"/>
  <c r="Q4507" i="80"/>
  <c r="Q4508" i="80"/>
  <c r="Q4509" i="80"/>
  <c r="Q4510" i="80"/>
  <c r="Q4511" i="80"/>
  <c r="Q4512" i="80"/>
  <c r="Q4513" i="80"/>
  <c r="Q4514" i="80"/>
  <c r="Q4515" i="80"/>
  <c r="Q4516" i="80"/>
  <c r="Q4517" i="80"/>
  <c r="Q4518" i="80"/>
  <c r="Q4519" i="80"/>
  <c r="Q4520" i="80"/>
  <c r="Q4521" i="80"/>
  <c r="Q4522" i="80"/>
  <c r="Q4523" i="80"/>
  <c r="Q4524" i="80"/>
  <c r="Q4525" i="80"/>
  <c r="Q4526" i="80"/>
  <c r="Q4527" i="80"/>
  <c r="Q4528" i="80"/>
  <c r="Q4529" i="80"/>
  <c r="Q4530" i="80"/>
  <c r="Q4531" i="80"/>
  <c r="Q4532" i="80"/>
  <c r="Q4533" i="80"/>
  <c r="Q4534" i="80"/>
  <c r="Q4535" i="80"/>
  <c r="Q4536" i="80"/>
  <c r="Q4537" i="80"/>
  <c r="Q4538" i="80"/>
  <c r="Q4539" i="80"/>
  <c r="Q4540" i="80"/>
  <c r="Q4541" i="80"/>
  <c r="Q4542" i="80"/>
  <c r="Q4543" i="80"/>
  <c r="Q4544" i="80"/>
  <c r="Q4545" i="80"/>
  <c r="Q4546" i="80"/>
  <c r="Q4547" i="80"/>
  <c r="Q4548" i="80"/>
  <c r="Q4549" i="80"/>
  <c r="Q4550" i="80"/>
  <c r="Q4551" i="80"/>
  <c r="Q4552" i="80"/>
  <c r="Q4553" i="80"/>
  <c r="Q4554" i="80"/>
  <c r="Q4555" i="80"/>
  <c r="Q4556" i="80"/>
  <c r="Q4557" i="80"/>
  <c r="Q4558" i="80"/>
  <c r="Q4559" i="80"/>
  <c r="Q4560" i="80"/>
  <c r="Q4561" i="80"/>
  <c r="Q4562" i="80"/>
  <c r="Q4563" i="80"/>
  <c r="Q4564" i="80"/>
  <c r="Q4565" i="80"/>
  <c r="Q4566" i="80"/>
  <c r="Q4567" i="80"/>
  <c r="Q4568" i="80"/>
  <c r="Q4569" i="80"/>
  <c r="Q4570" i="80"/>
  <c r="Q4571" i="80"/>
  <c r="Q4572" i="80"/>
  <c r="Q4573" i="80"/>
  <c r="Q4574" i="80"/>
  <c r="Q4575" i="80"/>
  <c r="Q4576" i="80"/>
  <c r="Q4577" i="80"/>
  <c r="Q4578" i="80"/>
  <c r="Q4579" i="80"/>
  <c r="Q4580" i="80"/>
  <c r="Q4581" i="80"/>
  <c r="Q4582" i="80"/>
  <c r="Q4583" i="80"/>
  <c r="Q4584" i="80"/>
  <c r="Q4585" i="80"/>
  <c r="Q4586" i="80"/>
  <c r="Q4587" i="80"/>
  <c r="Q4588" i="80"/>
  <c r="Q4589" i="80"/>
  <c r="Q4590" i="80"/>
  <c r="Q4591" i="80"/>
  <c r="Q4592" i="80"/>
  <c r="Q4593" i="80"/>
  <c r="Q4594" i="80"/>
  <c r="Q4595" i="80"/>
  <c r="Q4596" i="80"/>
  <c r="Q4597" i="80"/>
  <c r="Q4598" i="80"/>
  <c r="Q4599" i="80"/>
  <c r="Q4600" i="80"/>
  <c r="Q4601" i="80"/>
  <c r="Q4602" i="80"/>
  <c r="Q4603" i="80"/>
  <c r="Q4604" i="80"/>
  <c r="Q4605" i="80"/>
  <c r="Q4606" i="80"/>
  <c r="Q4607" i="80"/>
  <c r="Q4608" i="80"/>
  <c r="Q4609" i="80"/>
  <c r="Q4610" i="80"/>
  <c r="Q4611" i="80"/>
  <c r="Q4612" i="80"/>
  <c r="Q4613" i="80"/>
  <c r="Q4614" i="80"/>
  <c r="Q4615" i="80"/>
  <c r="Q4616" i="80"/>
  <c r="Q4617" i="80"/>
  <c r="Q4618" i="80"/>
  <c r="Q4619" i="80"/>
  <c r="Q4620" i="80"/>
  <c r="Q4621" i="80"/>
  <c r="Q4622" i="80"/>
  <c r="Q4623" i="80"/>
  <c r="Q4624" i="80"/>
  <c r="Q4625" i="80"/>
  <c r="Q4626" i="80"/>
  <c r="Q4627" i="80"/>
  <c r="Q4628" i="80"/>
  <c r="Q4629" i="80"/>
  <c r="Q4630" i="80"/>
  <c r="Q4631" i="80"/>
  <c r="Q4632" i="80"/>
  <c r="Q4633" i="80"/>
  <c r="Q4634" i="80"/>
  <c r="Q4635" i="80"/>
  <c r="Q4636" i="80"/>
  <c r="Q4637" i="80"/>
  <c r="Q4638" i="80"/>
  <c r="Q4639" i="80"/>
  <c r="Q4640" i="80"/>
  <c r="Q4641" i="80"/>
  <c r="Q4642" i="80"/>
  <c r="Q4643" i="80"/>
  <c r="Q4644" i="80"/>
  <c r="Q4645" i="80"/>
  <c r="Q4646" i="80"/>
  <c r="Q4647" i="80"/>
  <c r="Q4648" i="80"/>
  <c r="Q4649" i="80"/>
  <c r="Q4650" i="80"/>
  <c r="Q4651" i="80"/>
  <c r="Q4652" i="80"/>
  <c r="Q4653" i="80"/>
  <c r="Q4654" i="80"/>
  <c r="Q4655" i="80"/>
  <c r="Q4656" i="80"/>
  <c r="Q4657" i="80"/>
  <c r="Q4658" i="80"/>
  <c r="Q4659" i="80"/>
  <c r="Q4660" i="80"/>
  <c r="Q4661" i="80"/>
  <c r="Q4662" i="80"/>
  <c r="Q4663" i="80"/>
  <c r="Q4664" i="80"/>
  <c r="Q4665" i="80"/>
  <c r="Q4666" i="80"/>
  <c r="Q4667" i="80"/>
  <c r="Q4668" i="80"/>
  <c r="Q4669" i="80"/>
  <c r="Q4670" i="80"/>
  <c r="Q4671" i="80"/>
  <c r="Q4672" i="80"/>
  <c r="Q4673" i="80"/>
  <c r="Q4674" i="80"/>
  <c r="Q4675" i="80"/>
  <c r="Q4676" i="80"/>
  <c r="Q4677" i="80"/>
  <c r="Q4678" i="80"/>
  <c r="Q4679" i="80"/>
  <c r="Q4680" i="80"/>
  <c r="Q4681" i="80"/>
  <c r="Q4682" i="80"/>
  <c r="Q4683" i="80"/>
  <c r="Q4684" i="80"/>
  <c r="Q4685" i="80"/>
  <c r="Q4686" i="80"/>
  <c r="Q4687" i="80"/>
  <c r="Q4688" i="80"/>
  <c r="Q4689" i="80"/>
  <c r="Q4690" i="80"/>
  <c r="Q4691" i="80"/>
  <c r="Q4692" i="80"/>
  <c r="Q4693" i="80"/>
  <c r="Q4694" i="80"/>
  <c r="Q4695" i="80"/>
  <c r="Q4696" i="80"/>
  <c r="Q4697" i="80"/>
  <c r="Q4698" i="80"/>
  <c r="Q4699" i="80"/>
  <c r="Q4700" i="80"/>
  <c r="Q4701" i="80"/>
  <c r="Q4702" i="80"/>
  <c r="Q4703" i="80"/>
  <c r="Q4704" i="80"/>
  <c r="Q4705" i="80"/>
  <c r="Q4706" i="80"/>
  <c r="Q4707" i="80"/>
  <c r="Q4708" i="80"/>
  <c r="Q4709" i="80"/>
  <c r="Q4710" i="80"/>
  <c r="Q4711" i="80"/>
  <c r="Q4712" i="80"/>
  <c r="Q4713" i="80"/>
  <c r="Q4714" i="80"/>
  <c r="Q4715" i="80"/>
  <c r="Q4716" i="80"/>
  <c r="Q4717" i="80"/>
  <c r="Q4718" i="80"/>
  <c r="Q4719" i="80"/>
  <c r="Q4720" i="80"/>
  <c r="Q4721" i="80"/>
  <c r="Q4722" i="80"/>
  <c r="Q4723" i="80"/>
  <c r="Q4724" i="80"/>
  <c r="Q4725" i="80"/>
  <c r="Q4726" i="80"/>
  <c r="Q4727" i="80"/>
  <c r="Q4728" i="80"/>
  <c r="Q4729" i="80"/>
  <c r="Q4730" i="80"/>
  <c r="Q4731" i="80"/>
  <c r="Q4732" i="80"/>
  <c r="Q4733" i="80"/>
  <c r="Q4734" i="80"/>
  <c r="Q4735" i="80"/>
  <c r="Q4736" i="80"/>
  <c r="Q4737" i="80"/>
  <c r="Q4738" i="80"/>
  <c r="Q4739" i="80"/>
  <c r="Q4740" i="80"/>
  <c r="Q4741" i="80"/>
  <c r="Q4742" i="80"/>
  <c r="Q4743" i="80"/>
  <c r="Q4744" i="80"/>
  <c r="Q4745" i="80"/>
  <c r="Q4746" i="80"/>
  <c r="Q4747" i="80"/>
  <c r="Q4748" i="80"/>
  <c r="Q4749" i="80"/>
  <c r="Q4750" i="80"/>
  <c r="Q4751" i="80"/>
  <c r="Q4752" i="80"/>
  <c r="Q4753" i="80"/>
  <c r="Q4754" i="80"/>
  <c r="Q4755" i="80"/>
  <c r="Q4756" i="80"/>
  <c r="Q4757" i="80"/>
  <c r="Q4758" i="80"/>
  <c r="Q4759" i="80"/>
  <c r="Q4760" i="80"/>
  <c r="Q4761" i="80"/>
  <c r="Q4762" i="80"/>
  <c r="Q4763" i="80"/>
  <c r="Q4764" i="80"/>
  <c r="Q4765" i="80"/>
  <c r="Q4766" i="80"/>
  <c r="Q4767" i="80"/>
  <c r="Q4768" i="80"/>
  <c r="Q4769" i="80"/>
  <c r="Q4770" i="80"/>
  <c r="Q4771" i="80"/>
  <c r="Q4772" i="80"/>
  <c r="Q4773" i="80"/>
  <c r="Q4774" i="80"/>
  <c r="Q4775" i="80"/>
  <c r="Q4776" i="80"/>
  <c r="Q4777" i="80"/>
  <c r="Q4778" i="80"/>
  <c r="Q4779" i="80"/>
  <c r="Q4780" i="80"/>
  <c r="Q4781" i="80"/>
  <c r="Q4782" i="80"/>
  <c r="Q4783" i="80"/>
  <c r="Q4784" i="80"/>
  <c r="Q4785" i="80"/>
  <c r="Q4786" i="80"/>
  <c r="Q4787" i="80"/>
  <c r="Q4788" i="80"/>
  <c r="Q4789" i="80"/>
  <c r="Q4790" i="80"/>
  <c r="Q4791" i="80"/>
  <c r="Q4792" i="80"/>
  <c r="Q4793" i="80"/>
  <c r="Q4794" i="80"/>
  <c r="Q4795" i="80"/>
  <c r="Q4796" i="80"/>
  <c r="Q4797" i="80"/>
  <c r="Q4798" i="80"/>
  <c r="Q4799" i="80"/>
  <c r="Q4800" i="80"/>
  <c r="Q4801" i="80"/>
  <c r="Q4802" i="80"/>
  <c r="Q4803" i="80"/>
  <c r="Q4804" i="80"/>
  <c r="Q4805" i="80"/>
  <c r="Q4806" i="80"/>
  <c r="Q4807" i="80"/>
  <c r="Q4808" i="80"/>
  <c r="Q4809" i="80"/>
  <c r="Q4810" i="80"/>
  <c r="Q4811" i="80"/>
  <c r="Q4812" i="80"/>
  <c r="Q4813" i="80"/>
  <c r="Q4814" i="80"/>
  <c r="Q4815" i="80"/>
  <c r="Q4816" i="80"/>
  <c r="Q4817" i="80"/>
  <c r="Q4818" i="80"/>
  <c r="Q4819" i="80"/>
  <c r="Q4820" i="80"/>
  <c r="Q4821" i="80"/>
  <c r="Q4822" i="80"/>
  <c r="Q4823" i="80"/>
  <c r="Q4824" i="80"/>
  <c r="Q4825" i="80"/>
  <c r="Q4826" i="80"/>
  <c r="Q4827" i="80"/>
  <c r="Q4828" i="80"/>
  <c r="Q4829" i="80"/>
  <c r="Q4830" i="80"/>
  <c r="Q4831" i="80"/>
  <c r="Q4832" i="80"/>
  <c r="Q4833" i="80"/>
  <c r="Q4834" i="80"/>
  <c r="Q4835" i="80"/>
  <c r="Q4836" i="80"/>
  <c r="Q4837" i="80"/>
  <c r="Q4838" i="80"/>
  <c r="Q4839" i="80"/>
  <c r="Q4840" i="80"/>
  <c r="Q4841" i="80"/>
  <c r="Q4842" i="80"/>
  <c r="Q4843" i="80"/>
  <c r="Q4844" i="80"/>
  <c r="Q4845" i="80"/>
  <c r="Q4846" i="80"/>
  <c r="Q4847" i="80"/>
  <c r="Q4848" i="80"/>
  <c r="Q4849" i="80"/>
  <c r="Q4850" i="80"/>
  <c r="Q4851" i="80"/>
  <c r="Q4852" i="80"/>
  <c r="Q4853" i="80"/>
  <c r="Q4854" i="80"/>
  <c r="Q4855" i="80"/>
  <c r="Q4856" i="80"/>
  <c r="Q4857" i="80"/>
  <c r="Q4858" i="80"/>
  <c r="Q4859" i="80"/>
  <c r="Q4860" i="80"/>
  <c r="Q4861" i="80"/>
  <c r="Q4862" i="80"/>
  <c r="Q4863" i="80"/>
  <c r="Q4864" i="80"/>
  <c r="Q4865" i="80"/>
  <c r="Q4866" i="80"/>
  <c r="Q4867" i="80"/>
  <c r="Q4868" i="80"/>
  <c r="Q4869" i="80"/>
  <c r="Q4870" i="80"/>
  <c r="Q4871" i="80"/>
  <c r="Q4872" i="80"/>
  <c r="Q4873" i="80"/>
  <c r="Q4874" i="80"/>
  <c r="Q4875" i="80"/>
  <c r="Q4876" i="80"/>
  <c r="Q4877" i="80"/>
  <c r="Q4878" i="80"/>
  <c r="Q4879" i="80"/>
  <c r="Q4880" i="80"/>
  <c r="Q4881" i="80"/>
  <c r="Q4882" i="80"/>
  <c r="Q4883" i="80"/>
  <c r="Q4884" i="80"/>
  <c r="Q4885" i="80"/>
  <c r="Q4886" i="80"/>
  <c r="Q4887" i="80"/>
  <c r="Q4888" i="80"/>
  <c r="Q4889" i="80"/>
  <c r="Q4890" i="80"/>
  <c r="Q4891" i="80"/>
  <c r="Q4892" i="80"/>
  <c r="Q4893" i="80"/>
  <c r="Q4894" i="80"/>
  <c r="Q4895" i="80"/>
  <c r="Q4896" i="80"/>
  <c r="Q4897" i="80"/>
  <c r="Q4898" i="80"/>
  <c r="Q4899" i="80"/>
  <c r="Q4900" i="80"/>
  <c r="Q4901" i="80"/>
  <c r="Q4902" i="80"/>
  <c r="Q4903" i="80"/>
  <c r="Q4904" i="80"/>
  <c r="Q4905" i="80"/>
  <c r="Q4906" i="80"/>
  <c r="Q4907" i="80"/>
  <c r="Q4908" i="80"/>
  <c r="Q4909" i="80"/>
  <c r="Q4910" i="80"/>
  <c r="Q4911" i="80"/>
  <c r="Q4912" i="80"/>
  <c r="Q4913" i="80"/>
  <c r="Q4914" i="80"/>
  <c r="Q4915" i="80"/>
  <c r="Q4916" i="80"/>
  <c r="Q4917" i="80"/>
  <c r="Q4918" i="80"/>
  <c r="Q4919" i="80"/>
  <c r="Q4920" i="80"/>
  <c r="Q4921" i="80"/>
  <c r="Q4922" i="80"/>
  <c r="Q4923" i="80"/>
  <c r="Q4924" i="80"/>
  <c r="Q4925" i="80"/>
  <c r="Q4926" i="80"/>
  <c r="Q4927" i="80"/>
  <c r="Q4928" i="80"/>
  <c r="Q4929" i="80"/>
  <c r="Q4930" i="80"/>
  <c r="Q4931" i="80"/>
  <c r="Q4932" i="80"/>
  <c r="Q4933" i="80"/>
  <c r="Q4934" i="80"/>
  <c r="Q4935" i="80"/>
  <c r="Q4936" i="80"/>
  <c r="Q4937" i="80"/>
  <c r="Q4938" i="80"/>
  <c r="Q4939" i="80"/>
  <c r="Q4940" i="80"/>
  <c r="Q4941" i="80"/>
  <c r="Q4942" i="80"/>
  <c r="Q4943" i="80"/>
  <c r="Q4944" i="80"/>
  <c r="Q4945" i="80"/>
  <c r="Q4946" i="80"/>
  <c r="Q4947" i="80"/>
  <c r="Q4948" i="80"/>
  <c r="Q4949" i="80"/>
  <c r="Q4950" i="80"/>
  <c r="Q4951" i="80"/>
  <c r="Q4952" i="80"/>
  <c r="Q4953" i="80"/>
  <c r="Q4954" i="80"/>
  <c r="Q4955" i="80"/>
  <c r="Q4956" i="80"/>
  <c r="Q4957" i="80"/>
  <c r="Q4958" i="80"/>
  <c r="Q4959" i="80"/>
  <c r="Q4960" i="80"/>
  <c r="Q4961" i="80"/>
  <c r="Q4962" i="80"/>
  <c r="Q4963" i="80"/>
  <c r="Q4964" i="80"/>
  <c r="Q4965" i="80"/>
  <c r="Q4966" i="80"/>
  <c r="Q4967" i="80"/>
  <c r="Q4968" i="80"/>
  <c r="Q4969" i="80"/>
  <c r="Q4970" i="80"/>
  <c r="Q4971" i="80"/>
  <c r="Q4972" i="80"/>
  <c r="Q4973" i="80"/>
  <c r="Q4974" i="80"/>
  <c r="Q4975" i="80"/>
  <c r="Q4976" i="80"/>
  <c r="Q4977" i="80"/>
  <c r="Q4978" i="80"/>
  <c r="Q4979" i="80"/>
  <c r="Q4980" i="80"/>
  <c r="Q4981" i="80"/>
  <c r="Q4982" i="80"/>
  <c r="Q4983" i="80"/>
  <c r="Q4984" i="80"/>
  <c r="Q4985" i="80"/>
  <c r="Q4986" i="80"/>
  <c r="Q4987" i="80"/>
  <c r="Q4988" i="80"/>
  <c r="Q4989" i="80"/>
  <c r="Q4990" i="80"/>
  <c r="Q4991" i="80"/>
  <c r="Q4992" i="80"/>
  <c r="Q4993" i="80"/>
  <c r="Q4994" i="80"/>
  <c r="Q4995" i="80"/>
  <c r="Q4996" i="80"/>
  <c r="Q4997" i="80"/>
  <c r="Q4998" i="80"/>
  <c r="Q4999" i="80"/>
  <c r="Q5000" i="80"/>
  <c r="Q5001" i="80"/>
  <c r="Q5002" i="80"/>
  <c r="Q5003" i="80"/>
  <c r="Q5004" i="80"/>
  <c r="Q5005" i="80"/>
  <c r="Q5006" i="80"/>
  <c r="Q5007" i="80"/>
  <c r="Q5008" i="80"/>
  <c r="Q5009" i="80"/>
  <c r="Q5010" i="80"/>
  <c r="Q5011" i="80"/>
  <c r="Q5012" i="80"/>
  <c r="Q5013" i="80"/>
  <c r="Q5014" i="80"/>
  <c r="Q5015" i="80"/>
  <c r="Q5016" i="80"/>
  <c r="Q5017" i="80"/>
  <c r="Q5018" i="80"/>
  <c r="Q5019" i="80"/>
  <c r="Q5020" i="80"/>
  <c r="Q5021" i="80"/>
  <c r="Q5022" i="80"/>
  <c r="Q5023" i="80"/>
  <c r="Q5024" i="80"/>
  <c r="Q5025" i="80"/>
  <c r="Q5026" i="80"/>
  <c r="Q5027" i="80"/>
  <c r="Q5028" i="80"/>
  <c r="Q5029" i="80"/>
  <c r="Q5030" i="80"/>
  <c r="Q5031" i="80"/>
  <c r="Q5032" i="80"/>
  <c r="Q5033" i="80"/>
  <c r="Q5034" i="80"/>
  <c r="Q5035" i="80"/>
  <c r="Q5036" i="80"/>
  <c r="Q5037" i="80"/>
  <c r="Q5038" i="80"/>
  <c r="Q5039" i="80"/>
  <c r="Q5040" i="80"/>
  <c r="Q5041" i="80"/>
  <c r="Q5042" i="80"/>
  <c r="Q5043" i="80"/>
  <c r="Q5044" i="80"/>
  <c r="Q5045" i="80"/>
  <c r="Q5046" i="80"/>
  <c r="Q5047" i="80"/>
  <c r="Q5048" i="80"/>
  <c r="Q5049" i="80"/>
  <c r="Q5050" i="80"/>
  <c r="Q5051" i="80"/>
  <c r="Q5052" i="80"/>
  <c r="Q5053" i="80"/>
  <c r="Q5054" i="80"/>
  <c r="Q5055" i="80"/>
  <c r="Q5056" i="80"/>
  <c r="Q5057" i="80"/>
  <c r="Q5058" i="80"/>
  <c r="Q5059" i="80"/>
  <c r="Q5060" i="80"/>
  <c r="Q5061" i="80"/>
  <c r="Q5062" i="80"/>
  <c r="Q5063" i="80"/>
  <c r="Q5064" i="80"/>
  <c r="Q5065" i="80"/>
  <c r="Q5066" i="80"/>
  <c r="Q5067" i="80"/>
  <c r="Q5068" i="80"/>
  <c r="Q5069" i="80"/>
  <c r="Q5070" i="80"/>
  <c r="Q5071" i="80"/>
  <c r="Q5072" i="80"/>
  <c r="Q5073" i="80"/>
  <c r="Q5074" i="80"/>
  <c r="Q5075" i="80"/>
  <c r="Q5076" i="80"/>
  <c r="Q5077" i="80"/>
  <c r="Q5078" i="80"/>
  <c r="Q5079" i="80"/>
  <c r="Q5080" i="80"/>
  <c r="Q5081" i="80"/>
  <c r="Q5082" i="80"/>
  <c r="Q5083" i="80"/>
  <c r="Q5084" i="80"/>
  <c r="Q5085" i="80"/>
  <c r="Q5086" i="80"/>
  <c r="Q5087" i="80"/>
  <c r="Q5088" i="80"/>
  <c r="Q5089" i="80"/>
  <c r="Q5090" i="80"/>
  <c r="Q5091" i="80"/>
  <c r="Q5092" i="80"/>
  <c r="Q5093" i="80"/>
  <c r="Q5094" i="80"/>
  <c r="Q5095" i="80"/>
  <c r="Q5096" i="80"/>
  <c r="Q5097" i="80"/>
  <c r="Q5098" i="80"/>
  <c r="Q5099" i="80"/>
  <c r="Q5100" i="80"/>
  <c r="Q5101" i="80"/>
  <c r="Q5102" i="80"/>
  <c r="Q5103" i="80"/>
  <c r="Q5104" i="80"/>
  <c r="Q5105" i="80"/>
  <c r="Q5106" i="80"/>
  <c r="Q5107" i="80"/>
  <c r="Q5108" i="80"/>
  <c r="Q5109" i="80"/>
  <c r="Q5110" i="80"/>
  <c r="Q5111" i="80"/>
  <c r="Q5112" i="80"/>
  <c r="Q5113" i="80"/>
  <c r="Q5114" i="80"/>
  <c r="Q5115" i="80"/>
  <c r="Q5116" i="80"/>
  <c r="Q5117" i="80"/>
  <c r="Q5118" i="80"/>
  <c r="Q5119" i="80"/>
  <c r="Q5120" i="80"/>
  <c r="Q5121" i="80"/>
  <c r="Q5122" i="80"/>
  <c r="Q5123" i="80"/>
  <c r="Q5124" i="80"/>
  <c r="Q5125" i="80"/>
  <c r="Q5126" i="80"/>
  <c r="Q5127" i="80"/>
  <c r="Q5128" i="80"/>
  <c r="Q5129" i="80"/>
  <c r="Q5130" i="80"/>
  <c r="Q5131" i="80"/>
  <c r="Q5132" i="80"/>
  <c r="Q5133" i="80"/>
  <c r="Q5134" i="80"/>
  <c r="Q5135" i="80"/>
  <c r="Q5136" i="80"/>
  <c r="Q5137" i="80"/>
  <c r="Q5138" i="80"/>
  <c r="Q5139" i="80"/>
  <c r="Q5140" i="80"/>
  <c r="Q5141" i="80"/>
  <c r="Q5142" i="80"/>
  <c r="Q5143" i="80"/>
  <c r="Q5144" i="80"/>
  <c r="Q5145" i="80"/>
  <c r="Q5146" i="80"/>
  <c r="Q5147" i="80"/>
  <c r="Q5148" i="80"/>
  <c r="Q5149" i="80"/>
  <c r="Q5150" i="80"/>
  <c r="Q5151" i="80"/>
  <c r="Q5152" i="80"/>
  <c r="Q5153" i="80"/>
  <c r="Q5154" i="80"/>
  <c r="Q5155" i="80"/>
  <c r="Q5156" i="80"/>
  <c r="Q5157" i="80"/>
  <c r="Q5158" i="80"/>
  <c r="Q5159" i="80"/>
  <c r="Q5160" i="80"/>
  <c r="Q5161" i="80"/>
  <c r="Q5162" i="80"/>
  <c r="Q5163" i="80"/>
  <c r="Q5164" i="80"/>
  <c r="Q5165" i="80"/>
  <c r="Q5166" i="80"/>
  <c r="Q5167" i="80"/>
  <c r="Q5168" i="80"/>
  <c r="Q5169" i="80"/>
  <c r="Q5170" i="80"/>
  <c r="Q5171" i="80"/>
  <c r="Q5172" i="80"/>
  <c r="Q5173" i="80"/>
  <c r="Q5174" i="80"/>
  <c r="Q5175" i="80"/>
  <c r="Q5176" i="80"/>
  <c r="Q5177" i="80"/>
  <c r="Q5178" i="80"/>
  <c r="Q5179" i="80"/>
  <c r="Q5180" i="80"/>
  <c r="Q5181" i="80"/>
  <c r="Q5182" i="80"/>
  <c r="Q5183" i="80"/>
  <c r="Q5184" i="80"/>
  <c r="Q5185" i="80"/>
  <c r="Q5186" i="80"/>
  <c r="Q5187" i="80"/>
  <c r="Q5188" i="80"/>
  <c r="Q5189" i="80"/>
  <c r="Q5190" i="80"/>
  <c r="Q5191" i="80"/>
  <c r="Q5192" i="80"/>
  <c r="Q5193" i="80"/>
  <c r="Q5194" i="80"/>
  <c r="Q5195" i="80"/>
  <c r="Q5196" i="80"/>
  <c r="Q5197" i="80"/>
  <c r="Q5198" i="80"/>
  <c r="Q5199" i="80"/>
  <c r="Q5200" i="80"/>
  <c r="Q5201" i="80"/>
  <c r="Q5202" i="80"/>
  <c r="Q5203" i="80"/>
  <c r="Q5204" i="80"/>
  <c r="Q5205" i="80"/>
  <c r="Q5206" i="80"/>
  <c r="Q5207" i="80"/>
  <c r="Q5208" i="80"/>
  <c r="Q5209" i="80"/>
  <c r="Q5210" i="80"/>
  <c r="Q5211" i="80"/>
  <c r="Q5212" i="80"/>
  <c r="Q5213" i="80"/>
  <c r="Q5214" i="80"/>
  <c r="Q5215" i="80"/>
  <c r="Q5216" i="80"/>
  <c r="Q5217" i="80"/>
  <c r="Q5218" i="80"/>
  <c r="Q5219" i="80"/>
  <c r="Q5220" i="80"/>
  <c r="Q5221" i="80"/>
  <c r="Q5222" i="80"/>
  <c r="Q5223" i="80"/>
  <c r="Q5224" i="80"/>
  <c r="Q5225" i="80"/>
  <c r="Q5226" i="80"/>
  <c r="Q5227" i="80"/>
  <c r="Q5228" i="80"/>
  <c r="Q5229" i="80"/>
  <c r="Q5230" i="80"/>
  <c r="Q5231" i="80"/>
  <c r="Q5232" i="80"/>
  <c r="Q5233" i="80"/>
  <c r="Q5234" i="80"/>
  <c r="Q5235" i="80"/>
  <c r="Q5236" i="80"/>
  <c r="Q5237" i="80"/>
  <c r="Q5238" i="80"/>
  <c r="Q5239" i="80"/>
  <c r="Q5240" i="80"/>
  <c r="Q5241" i="80"/>
  <c r="Q5242" i="80"/>
  <c r="Q5243" i="80"/>
  <c r="Q5244" i="80"/>
  <c r="Q5245" i="80"/>
  <c r="Q5246" i="80"/>
  <c r="Q5247" i="80"/>
  <c r="Q5248" i="80"/>
  <c r="Q5249" i="80"/>
  <c r="Q5250" i="80"/>
  <c r="Q5251" i="80"/>
  <c r="Q5252" i="80"/>
  <c r="Q5253" i="80"/>
  <c r="Q5254" i="80"/>
  <c r="Q5255" i="80"/>
  <c r="Q5256" i="80"/>
  <c r="Q5257" i="80"/>
  <c r="Q5258" i="80"/>
  <c r="Q5259" i="80"/>
  <c r="Q5260" i="80"/>
  <c r="Q5261" i="80"/>
  <c r="Q5262" i="80"/>
  <c r="Q5263" i="80"/>
  <c r="Q5264" i="80"/>
  <c r="Q5265" i="80"/>
  <c r="Q5266" i="80"/>
  <c r="Q5267" i="80"/>
  <c r="Q5268" i="80"/>
  <c r="Q5269" i="80"/>
  <c r="Q5270" i="80"/>
  <c r="Q5271" i="80"/>
  <c r="Q5272" i="80"/>
  <c r="Q5273" i="80"/>
  <c r="Q5274" i="80"/>
  <c r="Q5275" i="80"/>
  <c r="Q5276" i="80"/>
  <c r="Q5277" i="80"/>
  <c r="Q5278" i="80"/>
  <c r="Q5279" i="80"/>
  <c r="Q5280" i="80"/>
  <c r="Q5281" i="80"/>
  <c r="Q5282" i="80"/>
  <c r="Q5283" i="80"/>
  <c r="Q5284" i="80"/>
  <c r="Q5285" i="80"/>
  <c r="Q5286" i="80"/>
  <c r="Q5287" i="80"/>
  <c r="Q5288" i="80"/>
  <c r="Q5289" i="80"/>
  <c r="Q5290" i="80"/>
  <c r="Q5291" i="80"/>
  <c r="Q5292" i="80"/>
  <c r="Q5293" i="80"/>
  <c r="Q5294" i="80"/>
  <c r="Q5295" i="80"/>
  <c r="Q5296" i="80"/>
  <c r="Q5297" i="80"/>
  <c r="Q5298" i="80"/>
  <c r="Q5299" i="80"/>
  <c r="Q5300" i="80"/>
  <c r="Q5301" i="80"/>
  <c r="Q5302" i="80"/>
  <c r="Q5303" i="80"/>
  <c r="Q5304" i="80"/>
  <c r="Q5305" i="80"/>
  <c r="Q5306" i="80"/>
  <c r="Q5307" i="80"/>
  <c r="Q5308" i="80"/>
  <c r="Q5309" i="80"/>
  <c r="Q5310" i="80"/>
  <c r="Q5311" i="80"/>
  <c r="Q5312" i="80"/>
  <c r="Q5313" i="80"/>
  <c r="Q5314" i="80"/>
  <c r="Q5315" i="80"/>
  <c r="Q5316" i="80"/>
  <c r="Q5317" i="80"/>
  <c r="Q5318" i="80"/>
  <c r="Q5319" i="80"/>
  <c r="Q5320" i="80"/>
  <c r="Q5321" i="80"/>
  <c r="Q5322" i="80"/>
  <c r="Q5323" i="80"/>
  <c r="Q5324" i="80"/>
  <c r="Q5325" i="80"/>
  <c r="Q5326" i="80"/>
  <c r="Q5327" i="80"/>
  <c r="Q5328" i="80"/>
  <c r="Q5329" i="80"/>
  <c r="Q5330" i="80"/>
  <c r="Q5331" i="80"/>
  <c r="Q5332" i="80"/>
  <c r="Q5333" i="80"/>
  <c r="Q5334" i="80"/>
  <c r="Q5335" i="80"/>
  <c r="Q5336" i="80"/>
  <c r="Q5337" i="80"/>
  <c r="Q5338" i="80"/>
  <c r="Q5339" i="80"/>
  <c r="Q5340" i="80"/>
  <c r="Q5341" i="80"/>
  <c r="Q5342" i="80"/>
  <c r="Q5343" i="80"/>
  <c r="Q5344" i="80"/>
  <c r="Q5345" i="80"/>
  <c r="Q5346" i="80"/>
  <c r="Q5347" i="80"/>
  <c r="Q5348" i="80"/>
  <c r="Q5349" i="80"/>
  <c r="Q5350" i="80"/>
  <c r="Q5351" i="80"/>
  <c r="Q5352" i="80"/>
  <c r="Q5353" i="80"/>
  <c r="Q5354" i="80"/>
  <c r="Q5355" i="80"/>
  <c r="Q5356" i="80"/>
  <c r="Q5357" i="80"/>
  <c r="Q5358" i="80"/>
  <c r="Q5359" i="80"/>
  <c r="Q5360" i="80"/>
  <c r="Q5361" i="80"/>
  <c r="Q5362" i="80"/>
  <c r="Q5363" i="80"/>
  <c r="Q5364" i="80"/>
  <c r="Q5365" i="80"/>
  <c r="Q5366" i="80"/>
  <c r="Q5367" i="80"/>
  <c r="Q5368" i="80"/>
  <c r="Q5369" i="80"/>
  <c r="Q5370" i="80"/>
  <c r="Q5371" i="80"/>
  <c r="Q5372" i="80"/>
  <c r="Q5373" i="80"/>
  <c r="Q5374" i="80"/>
  <c r="Q5375" i="80"/>
  <c r="Q5376" i="80"/>
  <c r="Q5377" i="80"/>
  <c r="Q5378" i="80"/>
  <c r="Q5379" i="80"/>
  <c r="Q5380" i="80"/>
  <c r="Q5381" i="80"/>
  <c r="Q5382" i="80"/>
  <c r="Q5383" i="80"/>
  <c r="Q5384" i="80"/>
  <c r="Q5385" i="80"/>
  <c r="Q5386" i="80"/>
  <c r="Q5387" i="80"/>
  <c r="Q5388" i="80"/>
  <c r="Q5389" i="80"/>
  <c r="Q5390" i="80"/>
  <c r="Q5391" i="80"/>
  <c r="Q5392" i="80"/>
  <c r="Q5393" i="80"/>
  <c r="Q5394" i="80"/>
  <c r="Q5395" i="80"/>
  <c r="Q5396" i="80"/>
  <c r="Q5397" i="80"/>
  <c r="Q5398" i="80"/>
  <c r="Q5399" i="80"/>
  <c r="Q5400" i="80"/>
  <c r="Q5401" i="80"/>
  <c r="Q5402" i="80"/>
  <c r="Q5403" i="80"/>
  <c r="Q5404" i="80"/>
  <c r="Q5405" i="80"/>
  <c r="Q5406" i="80"/>
  <c r="Q5407" i="80"/>
  <c r="Q5408" i="80"/>
  <c r="Q5409" i="80"/>
  <c r="Q5410" i="80"/>
  <c r="Q5411" i="80"/>
  <c r="Q5412" i="80"/>
  <c r="Q5413" i="80"/>
  <c r="Q5414" i="80"/>
  <c r="Q5415" i="80"/>
  <c r="Q5416" i="80"/>
  <c r="Q5417" i="80"/>
  <c r="Q5418" i="80"/>
  <c r="Q5419" i="80"/>
  <c r="Q5420" i="80"/>
  <c r="Q5421" i="80"/>
  <c r="Q5422" i="80"/>
  <c r="Q5423" i="80"/>
  <c r="Q5424" i="80"/>
  <c r="Q5425" i="80"/>
  <c r="Q5426" i="80"/>
  <c r="Q5427" i="80"/>
  <c r="Q5428" i="80"/>
  <c r="Q5429" i="80"/>
  <c r="Q5430" i="80"/>
  <c r="Q5431" i="80"/>
  <c r="Q5432" i="80"/>
  <c r="Q5433" i="80"/>
  <c r="Q5434" i="80"/>
  <c r="Q5435" i="80"/>
  <c r="Q5436" i="80"/>
  <c r="Q5437" i="80"/>
  <c r="Q5438" i="80"/>
  <c r="Q5439" i="80"/>
  <c r="Q5440" i="80"/>
  <c r="Q5441" i="80"/>
  <c r="Q5442" i="80"/>
  <c r="Q5443" i="80"/>
  <c r="Q5444" i="80"/>
  <c r="Q5445" i="80"/>
  <c r="Q5446" i="80"/>
  <c r="Q5447" i="80"/>
  <c r="Q5448" i="80"/>
  <c r="Q5449" i="80"/>
  <c r="Q5450" i="80"/>
  <c r="Q5451" i="80"/>
  <c r="Q5452" i="80"/>
  <c r="Q5453" i="80"/>
  <c r="Q5454" i="80"/>
  <c r="Q5455" i="80"/>
  <c r="Q5456" i="80"/>
  <c r="Q5457" i="80"/>
  <c r="Q5458" i="80"/>
  <c r="Q5459" i="80"/>
  <c r="Q5460" i="80"/>
  <c r="Q5461" i="80"/>
  <c r="Q5462" i="80"/>
  <c r="Q5463" i="80"/>
  <c r="Q5464" i="80"/>
  <c r="Q5465" i="80"/>
  <c r="Q5466" i="80"/>
  <c r="Q5467" i="80"/>
  <c r="Q5468" i="80"/>
  <c r="Q5469" i="80"/>
  <c r="Q5470" i="80"/>
  <c r="Q5471" i="80"/>
  <c r="Q5472" i="80"/>
  <c r="Q5473" i="80"/>
  <c r="Q5474" i="80"/>
  <c r="Q5475" i="80"/>
  <c r="Q5476" i="80"/>
  <c r="Q5477" i="80"/>
  <c r="Q5478" i="80"/>
  <c r="Q5479" i="80"/>
  <c r="Q5480" i="80"/>
  <c r="Q5481" i="80"/>
  <c r="Q5482" i="80"/>
  <c r="Q5483" i="80"/>
  <c r="Q5484" i="80"/>
  <c r="Q5485" i="80"/>
  <c r="Q5486" i="80"/>
  <c r="Q5487" i="80"/>
  <c r="Q5488" i="80"/>
  <c r="Q5489" i="80"/>
  <c r="Q5490" i="80"/>
  <c r="Q5491" i="80"/>
  <c r="Q5492" i="80"/>
  <c r="Q5493" i="80"/>
  <c r="Q5494" i="80"/>
  <c r="Q5495" i="80"/>
  <c r="Q5496" i="80"/>
  <c r="Q5497" i="80"/>
  <c r="Q5498" i="80"/>
  <c r="Q5499" i="80"/>
  <c r="Q5500" i="80"/>
  <c r="Q5501" i="80"/>
  <c r="Q5502" i="80"/>
  <c r="Q5503" i="80"/>
  <c r="Q5504" i="80"/>
  <c r="Q5505" i="80"/>
  <c r="Q5506" i="80"/>
  <c r="Q5507" i="80"/>
  <c r="Q5508" i="80"/>
  <c r="Q5509" i="80"/>
  <c r="Q5510" i="80"/>
  <c r="Q5511" i="80"/>
  <c r="Q5512" i="80"/>
  <c r="Q5513" i="80"/>
  <c r="Q5514" i="80"/>
  <c r="Q5515" i="80"/>
  <c r="Q5516" i="80"/>
  <c r="Q5517" i="80"/>
  <c r="Q5518" i="80"/>
  <c r="Q5519" i="80"/>
  <c r="Q5520" i="80"/>
  <c r="Q5521" i="80"/>
  <c r="Q5522" i="80"/>
  <c r="Q5523" i="80"/>
  <c r="Q5524" i="80"/>
  <c r="Q5525" i="80"/>
  <c r="Q5526" i="80"/>
  <c r="Q5527" i="80"/>
  <c r="Q5528" i="80"/>
  <c r="Q5529" i="80"/>
  <c r="Q5530" i="80"/>
  <c r="Q5531" i="80"/>
  <c r="Q5532" i="80"/>
  <c r="Q5533" i="80"/>
  <c r="Q5534" i="80"/>
  <c r="Q5535" i="80"/>
  <c r="Q5536" i="80"/>
  <c r="Q5537" i="80"/>
  <c r="Q5538" i="80"/>
  <c r="Q5539" i="80"/>
  <c r="Q5540" i="80"/>
  <c r="Q5541" i="80"/>
  <c r="Q5542" i="80"/>
  <c r="Q5543" i="80"/>
  <c r="Q5544" i="80"/>
  <c r="Q5545" i="80"/>
  <c r="Q5546" i="80"/>
  <c r="Q5547" i="80"/>
  <c r="Q5548" i="80"/>
  <c r="Q5549" i="80"/>
  <c r="Q5550" i="80"/>
  <c r="Q5551" i="80"/>
  <c r="Q5552" i="80"/>
  <c r="Q5553" i="80"/>
  <c r="Q5554" i="80"/>
  <c r="Q5555" i="80"/>
  <c r="Q5556" i="80"/>
  <c r="Q5557" i="80"/>
  <c r="Q5558" i="80"/>
  <c r="Q5559" i="80"/>
  <c r="Q5560" i="80"/>
  <c r="Q5561" i="80"/>
  <c r="Q5562" i="80"/>
  <c r="Q5563" i="80"/>
  <c r="Q5564" i="80"/>
  <c r="Q5565" i="80"/>
  <c r="Q5566" i="80"/>
  <c r="Q5567" i="80"/>
  <c r="Q5568" i="80"/>
  <c r="Q5569" i="80"/>
  <c r="Q5570" i="80"/>
  <c r="Q5571" i="80"/>
  <c r="Q5572" i="80"/>
  <c r="Q5573" i="80"/>
  <c r="Q5574" i="80"/>
  <c r="Q5575" i="80"/>
  <c r="Q5576" i="80"/>
  <c r="Q5577" i="80"/>
  <c r="Q5578" i="80"/>
  <c r="Q5579" i="80"/>
  <c r="Q5580" i="80"/>
  <c r="Q5581" i="80"/>
  <c r="Q5582" i="80"/>
  <c r="Q5583" i="80"/>
  <c r="Q5584" i="80"/>
  <c r="Q5585" i="80"/>
  <c r="Q5586" i="80"/>
  <c r="Q5587" i="80"/>
  <c r="Q5588" i="80"/>
  <c r="Q5589" i="80"/>
  <c r="Q5590" i="80"/>
  <c r="Q5591" i="80"/>
  <c r="Q5592" i="80"/>
  <c r="Q5593" i="80"/>
  <c r="Q5594" i="80"/>
  <c r="Q5595" i="80"/>
  <c r="Q5596" i="80"/>
  <c r="Q5597" i="80"/>
  <c r="Q5598" i="80"/>
  <c r="Q5599" i="80"/>
  <c r="Q5600" i="80"/>
  <c r="Q5601" i="80"/>
  <c r="Q5602" i="80"/>
  <c r="Q5603" i="80"/>
  <c r="Q5604" i="80"/>
  <c r="Q5605" i="80"/>
  <c r="Q5606" i="80"/>
  <c r="Q5607" i="80"/>
  <c r="Q5608" i="80"/>
  <c r="Q5609" i="80"/>
  <c r="Q5610" i="80"/>
  <c r="Q5611" i="80"/>
  <c r="Q5612" i="80"/>
  <c r="Q5613" i="80"/>
  <c r="Q5614" i="80"/>
  <c r="Q5615" i="80"/>
  <c r="Q5616" i="80"/>
  <c r="Q5617" i="80"/>
  <c r="Q5618" i="80"/>
  <c r="Q5619" i="80"/>
  <c r="Q5620" i="80"/>
  <c r="Q5621" i="80"/>
  <c r="Q5622" i="80"/>
  <c r="Q5623" i="80"/>
  <c r="Q5624" i="80"/>
  <c r="Q5625" i="80"/>
  <c r="Q5626" i="80"/>
  <c r="Q5627" i="80"/>
  <c r="Q5628" i="80"/>
  <c r="Q5629" i="80"/>
  <c r="Q5630" i="80"/>
  <c r="Q5631" i="80"/>
  <c r="Q5632" i="80"/>
  <c r="Q5633" i="80"/>
  <c r="Q5634" i="80"/>
  <c r="Q5635" i="80"/>
  <c r="Q5636" i="80"/>
  <c r="Q5637" i="80"/>
  <c r="Q5638" i="80"/>
  <c r="Q5639" i="80"/>
  <c r="Q5640" i="80"/>
  <c r="Q5641" i="80"/>
  <c r="Q5642" i="80"/>
  <c r="Q5643" i="80"/>
  <c r="Q5644" i="80"/>
  <c r="Q5645" i="80"/>
  <c r="Q5646" i="80"/>
  <c r="Q5647" i="80"/>
  <c r="Q5648" i="80"/>
  <c r="Q5649" i="80"/>
  <c r="Q5650" i="80"/>
  <c r="Q5651" i="80"/>
  <c r="Q5652" i="80"/>
  <c r="Q5653" i="80"/>
  <c r="Q5654" i="80"/>
  <c r="Q5655" i="80"/>
  <c r="Q5656" i="80"/>
  <c r="Q5657" i="80"/>
  <c r="Q5658" i="80"/>
  <c r="Q5659" i="80"/>
  <c r="Q5660" i="80"/>
  <c r="Q5661" i="80"/>
  <c r="Q5662" i="80"/>
  <c r="Q5663" i="80"/>
  <c r="Q5664" i="80"/>
  <c r="Q5665" i="80"/>
  <c r="Q5666" i="80"/>
  <c r="Q5667" i="80"/>
  <c r="Q5668" i="80"/>
  <c r="Q5669" i="80"/>
  <c r="Q5670" i="80"/>
  <c r="Q5671" i="80"/>
  <c r="Q5672" i="80"/>
  <c r="Q5673" i="80"/>
  <c r="Q5674" i="80"/>
  <c r="Q5675" i="80"/>
  <c r="Q5676" i="80"/>
  <c r="Q5677" i="80"/>
  <c r="Q5678" i="80"/>
  <c r="Q5679" i="80"/>
  <c r="Q5680" i="80"/>
  <c r="Q5681" i="80"/>
  <c r="Q5682" i="80"/>
  <c r="Q5683" i="80"/>
  <c r="Q5684" i="80"/>
  <c r="Q5685" i="80"/>
  <c r="Q5686" i="80"/>
  <c r="Q5687" i="80"/>
  <c r="Q5688" i="80"/>
  <c r="Q5689" i="80"/>
  <c r="Q5690" i="80"/>
  <c r="Q5691" i="80"/>
  <c r="Q5692" i="80"/>
  <c r="Q5693" i="80"/>
  <c r="Q5694" i="80"/>
  <c r="Q5695" i="80"/>
  <c r="Q5696" i="80"/>
  <c r="Q5697" i="80"/>
  <c r="Q5698" i="80"/>
  <c r="Q5699" i="80"/>
  <c r="Q5700" i="80"/>
  <c r="Q5701" i="80"/>
  <c r="Q5702" i="80"/>
  <c r="Q5703" i="80"/>
  <c r="Q5704" i="80"/>
  <c r="Q5705" i="80"/>
  <c r="Q5706" i="80"/>
  <c r="Q5707" i="80"/>
  <c r="Q5708" i="80"/>
  <c r="Q5709" i="80"/>
  <c r="Q5710" i="80"/>
  <c r="Q5711" i="80"/>
  <c r="Q5712" i="80"/>
  <c r="Q5713" i="80"/>
  <c r="Q5714" i="80"/>
  <c r="Q5715" i="80"/>
  <c r="Q5716" i="80"/>
  <c r="Q5717" i="80"/>
  <c r="Q5718" i="80"/>
  <c r="Q5719" i="80"/>
  <c r="Q5720" i="80"/>
  <c r="Q5721" i="80"/>
  <c r="Q5722" i="80"/>
  <c r="Q5723" i="80"/>
  <c r="Q5724" i="80"/>
  <c r="Q5725" i="80"/>
  <c r="Q5726" i="80"/>
  <c r="Q5727" i="80"/>
  <c r="Q5728" i="80"/>
  <c r="Q5729" i="80"/>
  <c r="Q5730" i="80"/>
  <c r="Q5731" i="80"/>
  <c r="Q5732" i="80"/>
  <c r="Q5733" i="80"/>
  <c r="Q5734" i="80"/>
  <c r="Q5735" i="80"/>
  <c r="Q5736" i="80"/>
  <c r="Q5737" i="80"/>
  <c r="Q5738" i="80"/>
  <c r="Q5739" i="80"/>
  <c r="Q5740" i="80"/>
  <c r="Q5741" i="80"/>
  <c r="Q5742" i="80"/>
  <c r="Q5743" i="80"/>
  <c r="Q5744" i="80"/>
  <c r="Q5745" i="80"/>
  <c r="Q5746" i="80"/>
  <c r="Q5747" i="80"/>
  <c r="Q5748" i="80"/>
  <c r="Q5749" i="80"/>
  <c r="Q5750" i="80"/>
  <c r="Q5751" i="80"/>
  <c r="Q5752" i="80"/>
  <c r="Q5753" i="80"/>
  <c r="Q5754" i="80"/>
  <c r="Q5755" i="80"/>
  <c r="Q5756" i="80"/>
  <c r="Q5757" i="80"/>
  <c r="Q5758" i="80"/>
  <c r="Q5759" i="80"/>
  <c r="Q5760" i="80"/>
  <c r="Q5761" i="80"/>
  <c r="Q5762" i="80"/>
  <c r="Q5763" i="80"/>
  <c r="Q5764" i="80"/>
  <c r="Q5765" i="80"/>
  <c r="Q5766" i="80"/>
  <c r="Q5767" i="80"/>
  <c r="Q5768" i="80"/>
  <c r="Q5769" i="80"/>
  <c r="Q5770" i="80"/>
  <c r="Q5771" i="80"/>
  <c r="Q5772" i="80"/>
  <c r="Q5773" i="80"/>
  <c r="Q5774" i="80"/>
  <c r="Q5775" i="80"/>
  <c r="Q5776" i="80"/>
  <c r="Q5777" i="80"/>
  <c r="Q5778" i="80"/>
  <c r="Q5779" i="80"/>
  <c r="Q5780" i="80"/>
  <c r="Q5781" i="80"/>
  <c r="Q5782" i="80"/>
  <c r="Q5783" i="80"/>
  <c r="Q5784" i="80"/>
  <c r="Q5785" i="80"/>
  <c r="Q5786" i="80"/>
  <c r="Q5787" i="80"/>
  <c r="Q5788" i="80"/>
  <c r="Q5789" i="80"/>
  <c r="Q5790" i="80"/>
  <c r="Q5791" i="80"/>
  <c r="Q5792" i="80"/>
  <c r="Q5793" i="80"/>
  <c r="Q5794" i="80"/>
  <c r="Q5795" i="80"/>
  <c r="Q5796" i="80"/>
  <c r="Q5797" i="80"/>
  <c r="Q5798" i="80"/>
  <c r="Q5799" i="80"/>
  <c r="Q5800" i="80"/>
  <c r="Q5801" i="80"/>
  <c r="Q5802" i="80"/>
  <c r="Q5803" i="80"/>
  <c r="Q5804" i="80"/>
  <c r="Q5805" i="80"/>
  <c r="Q5806" i="80"/>
  <c r="Q5807" i="80"/>
  <c r="Q5808" i="80"/>
  <c r="Q5809" i="80"/>
  <c r="Q5810" i="80"/>
  <c r="Q5811" i="80"/>
  <c r="Q5812" i="80"/>
  <c r="Q5813" i="80"/>
  <c r="Q5814" i="80"/>
  <c r="Q5815" i="80"/>
  <c r="Q5816" i="80"/>
  <c r="Q5817" i="80"/>
  <c r="Q5818" i="80"/>
  <c r="Q5819" i="80"/>
  <c r="Q5820" i="80"/>
  <c r="Q5821" i="80"/>
  <c r="Q5822" i="80"/>
  <c r="Q5823" i="80"/>
  <c r="Q5824" i="80"/>
  <c r="Q5825" i="80"/>
  <c r="Q5826" i="80"/>
  <c r="Q5827" i="80"/>
  <c r="Q5828" i="80"/>
  <c r="Q5829" i="80"/>
  <c r="Q5830" i="80"/>
  <c r="Q5831" i="80"/>
  <c r="Q5832" i="80"/>
  <c r="Q5833" i="80"/>
  <c r="Q5834" i="80"/>
  <c r="Q5835" i="80"/>
  <c r="Q5836" i="80"/>
  <c r="Q5837" i="80"/>
  <c r="Q5838" i="80"/>
  <c r="Q5839" i="80"/>
  <c r="Q5840" i="80"/>
  <c r="Q5841" i="80"/>
  <c r="Q5842" i="80"/>
  <c r="Q5843" i="80"/>
  <c r="Q5844" i="80"/>
  <c r="Q5845" i="80"/>
  <c r="Q5846" i="80"/>
  <c r="Q5847" i="80"/>
  <c r="Q5848" i="80"/>
  <c r="Q5849" i="80"/>
  <c r="Q5850" i="80"/>
  <c r="Q5851" i="80"/>
  <c r="Q5852" i="80"/>
  <c r="Q5853" i="80"/>
  <c r="Q5854" i="80"/>
  <c r="Q5855" i="80"/>
  <c r="Q5856" i="80"/>
  <c r="Q5857" i="80"/>
  <c r="Q5858" i="80"/>
  <c r="Q5859" i="80"/>
  <c r="Q5860" i="80"/>
  <c r="Q5861" i="80"/>
  <c r="Q5862" i="80"/>
  <c r="Q5863" i="80"/>
  <c r="Q5864" i="80"/>
  <c r="Q5865" i="80"/>
  <c r="Q5866" i="80"/>
  <c r="Q5867" i="80"/>
  <c r="Q5868" i="80"/>
  <c r="Q5869" i="80"/>
  <c r="Q5870" i="80"/>
  <c r="Q5871" i="80"/>
  <c r="Q5872" i="80"/>
  <c r="Q5873" i="80"/>
  <c r="Q5874" i="80"/>
  <c r="Q5875" i="80"/>
  <c r="Q5876" i="80"/>
  <c r="Q5877" i="80"/>
  <c r="Q5878" i="80"/>
  <c r="Q5879" i="80"/>
  <c r="Q5880" i="80"/>
  <c r="Q5881" i="80"/>
  <c r="Q5882" i="80"/>
  <c r="Q5883" i="80"/>
  <c r="Q5884" i="80"/>
  <c r="Q5885" i="80"/>
  <c r="Q5886" i="80"/>
  <c r="Q5887" i="80"/>
  <c r="Q5888" i="80"/>
  <c r="Q5889" i="80"/>
  <c r="Q5890" i="80"/>
  <c r="Q5891" i="80"/>
  <c r="Q5892" i="80"/>
  <c r="Q5893" i="80"/>
  <c r="Q5894" i="80"/>
  <c r="Q5895" i="80"/>
  <c r="Q5896" i="80"/>
  <c r="Q5897" i="80"/>
  <c r="Q5898" i="80"/>
  <c r="Q5899" i="80"/>
  <c r="Q5900" i="80"/>
  <c r="Q5901" i="80"/>
  <c r="Q5902" i="80"/>
  <c r="Q5903" i="80"/>
  <c r="Q5904" i="80"/>
  <c r="Q5905" i="80"/>
  <c r="Q5906" i="80"/>
  <c r="Q5907" i="80"/>
  <c r="Q5908" i="80"/>
  <c r="Q5909" i="80"/>
  <c r="Q5910" i="80"/>
  <c r="Q5911" i="80"/>
  <c r="Q5912" i="80"/>
  <c r="Q5913" i="80"/>
  <c r="Q5914" i="80"/>
  <c r="Q5915" i="80"/>
  <c r="Q5916" i="80"/>
  <c r="Q5917" i="80"/>
  <c r="Q5918" i="80"/>
  <c r="Q5919" i="80"/>
  <c r="Q5920" i="80"/>
  <c r="Q5921" i="80"/>
  <c r="Q5922" i="80"/>
  <c r="Q5923" i="80"/>
  <c r="Q5924" i="80"/>
  <c r="Q5925" i="80"/>
  <c r="Q5926" i="80"/>
  <c r="Q5927" i="80"/>
  <c r="Q5928" i="80"/>
  <c r="Q5929" i="80"/>
  <c r="Q5930" i="80"/>
  <c r="Q5931" i="80"/>
  <c r="Q5932" i="80"/>
  <c r="Q5933" i="80"/>
  <c r="Q5934" i="80"/>
  <c r="Q5935" i="80"/>
  <c r="Q5936" i="80"/>
  <c r="Q5937" i="80"/>
  <c r="Q5938" i="80"/>
  <c r="Q5939" i="80"/>
  <c r="Q5940" i="80"/>
  <c r="Q5941" i="80"/>
  <c r="Q5942" i="80"/>
  <c r="Q5943" i="80"/>
  <c r="Q5944" i="80"/>
  <c r="Q5945" i="80"/>
  <c r="Q5946" i="80"/>
  <c r="Q5947" i="80"/>
  <c r="Q5948" i="80"/>
  <c r="Q5949" i="80"/>
  <c r="Q5950" i="80"/>
  <c r="Q5951" i="80"/>
  <c r="Q5952" i="80"/>
  <c r="Q5953" i="80"/>
  <c r="Q5954" i="80"/>
  <c r="Q5955" i="80"/>
  <c r="Q5956" i="80"/>
  <c r="Q5957" i="80"/>
  <c r="Q5958" i="80"/>
  <c r="Q5959" i="80"/>
  <c r="Q5960" i="80"/>
  <c r="Q5961" i="80"/>
  <c r="Q5962" i="80"/>
  <c r="Q5963" i="80"/>
  <c r="Q5964" i="80"/>
  <c r="Q5965" i="80"/>
  <c r="Q5966" i="80"/>
  <c r="Q5967" i="80"/>
  <c r="Q5968" i="80"/>
  <c r="Q5969" i="80"/>
  <c r="Q5970" i="80"/>
  <c r="Q5971" i="80"/>
  <c r="Q5972" i="80"/>
  <c r="Q5973" i="80"/>
  <c r="Q5974" i="80"/>
  <c r="Q5975" i="80"/>
  <c r="Q5976" i="80"/>
  <c r="Q5977" i="80"/>
  <c r="Q5978" i="80"/>
  <c r="Q5979" i="80"/>
  <c r="Q5980" i="80"/>
  <c r="Q5981" i="80"/>
  <c r="Q5982" i="80"/>
  <c r="Q5983" i="80"/>
  <c r="Q5984" i="80"/>
  <c r="Q5985" i="80"/>
  <c r="Q5986" i="80"/>
  <c r="Q5987" i="80"/>
  <c r="Q5988" i="80"/>
  <c r="Q5989" i="80"/>
  <c r="Q5990" i="80"/>
  <c r="Q5991" i="80"/>
  <c r="Q5992" i="80"/>
  <c r="Q5993" i="80"/>
  <c r="Q5994" i="80"/>
  <c r="Q5995" i="80"/>
  <c r="Q5996" i="80"/>
  <c r="Q5997" i="80"/>
  <c r="Q5998" i="80"/>
  <c r="Q5999" i="80"/>
  <c r="Q6000" i="80"/>
  <c r="Q6001" i="80"/>
  <c r="Q6002" i="80"/>
  <c r="Q6003" i="80"/>
  <c r="Q6004" i="80"/>
  <c r="Q6005" i="80"/>
  <c r="Q6006" i="80"/>
  <c r="Q6007" i="80"/>
  <c r="Q6008" i="80"/>
  <c r="Q6009" i="80"/>
  <c r="Q6010" i="80"/>
  <c r="Q6011" i="80"/>
  <c r="Q6012" i="80"/>
  <c r="Q6013" i="80"/>
  <c r="Q6014" i="80"/>
  <c r="Q6015" i="80"/>
  <c r="Q6016" i="80"/>
  <c r="Q6017" i="80"/>
  <c r="Q6018" i="80"/>
  <c r="Q6019" i="80"/>
  <c r="Q6020" i="80"/>
  <c r="Q6021" i="80"/>
  <c r="Q6022" i="80"/>
  <c r="Q6023" i="80"/>
  <c r="Q6024" i="80"/>
  <c r="Q6025" i="80"/>
  <c r="Q6026" i="80"/>
  <c r="Q6027" i="80"/>
  <c r="Q6028" i="80"/>
  <c r="Q6029" i="80"/>
  <c r="Q6030" i="80"/>
  <c r="Q6031" i="80"/>
  <c r="Q6032" i="80"/>
  <c r="Q6033" i="80"/>
  <c r="Q6034" i="80"/>
  <c r="Q6035" i="80"/>
  <c r="Q6036" i="80"/>
  <c r="Q6037" i="80"/>
  <c r="Q6038" i="80"/>
  <c r="Q6039" i="80"/>
  <c r="Q6040" i="80"/>
  <c r="Q6041" i="80"/>
  <c r="Q6042" i="80"/>
  <c r="Q6043" i="80"/>
  <c r="Q6044" i="80"/>
  <c r="Q6045" i="80"/>
  <c r="Q6046" i="80"/>
  <c r="Q6047" i="80"/>
  <c r="Q6048" i="80"/>
  <c r="Q6049" i="80"/>
  <c r="Q6050" i="80"/>
  <c r="Q6051" i="80"/>
  <c r="Q6052" i="80"/>
  <c r="Q6053" i="80"/>
  <c r="Q6054" i="80"/>
  <c r="Q6055" i="80"/>
  <c r="Q6056" i="80"/>
  <c r="Q6057" i="80"/>
  <c r="Q6058" i="80"/>
  <c r="Q6059" i="80"/>
  <c r="Q6060" i="80"/>
  <c r="Q6061" i="80"/>
  <c r="Q6062" i="80"/>
  <c r="Q6063" i="80"/>
  <c r="Q6064" i="80"/>
  <c r="Q6065" i="80"/>
  <c r="Q6066" i="80"/>
  <c r="Q6067" i="80"/>
  <c r="Q6068" i="80"/>
  <c r="Q6069" i="80"/>
  <c r="Q6070" i="80"/>
  <c r="Q6071" i="80"/>
  <c r="Q6072" i="80"/>
  <c r="Q6073" i="80"/>
  <c r="Q6074" i="80"/>
  <c r="Q6075" i="80"/>
  <c r="Q6076" i="80"/>
  <c r="Q6077" i="80"/>
  <c r="Q6078" i="80"/>
  <c r="Q6079" i="80"/>
  <c r="Q6080" i="80"/>
  <c r="Q6081" i="80"/>
  <c r="Q6082" i="80"/>
  <c r="Q6083" i="80"/>
  <c r="Q6084" i="80"/>
  <c r="Q6085" i="80"/>
  <c r="Q6086" i="80"/>
  <c r="Q6087" i="80"/>
  <c r="Q6088" i="80"/>
  <c r="Q6089" i="80"/>
  <c r="Q6090" i="80"/>
  <c r="Q6091" i="80"/>
  <c r="Q6092" i="80"/>
  <c r="Q6093" i="80"/>
  <c r="Q6094" i="80"/>
  <c r="Q6095" i="80"/>
  <c r="Q6096" i="80"/>
  <c r="Q6097" i="80"/>
  <c r="Q6098" i="80"/>
  <c r="Q6099" i="80"/>
  <c r="Q6100" i="80"/>
  <c r="Q6101" i="80"/>
  <c r="Q6102" i="80"/>
  <c r="Q6103" i="80"/>
  <c r="Q6104" i="80"/>
  <c r="Q6105" i="80"/>
  <c r="Q6106" i="80"/>
  <c r="Q6107" i="80"/>
  <c r="Q6108" i="80"/>
  <c r="Q6109" i="80"/>
  <c r="Q6110" i="80"/>
  <c r="Q6111" i="80"/>
  <c r="Q6112" i="80"/>
  <c r="Q6113" i="80"/>
  <c r="Q6114" i="80"/>
  <c r="Q6115" i="80"/>
  <c r="Q6116" i="80"/>
  <c r="Q6117" i="80"/>
  <c r="Q6118" i="80"/>
  <c r="Q6119" i="80"/>
  <c r="Q6120" i="80"/>
  <c r="Q6121" i="80"/>
  <c r="Q6122" i="80"/>
  <c r="Q6123" i="80"/>
  <c r="Q6124" i="80"/>
  <c r="Q6125" i="80"/>
  <c r="Q6126" i="80"/>
  <c r="Q6127" i="80"/>
  <c r="Q6128" i="80"/>
  <c r="Q6129" i="80"/>
  <c r="Q6130" i="80"/>
  <c r="Q6131" i="80"/>
  <c r="Q6132" i="80"/>
  <c r="Q6133" i="80"/>
  <c r="Q6134" i="80"/>
  <c r="Q6135" i="80"/>
  <c r="Q6136" i="80"/>
  <c r="Q6137" i="80"/>
  <c r="Q6138" i="80"/>
  <c r="Q6139" i="80"/>
  <c r="Q6140" i="80"/>
  <c r="Q6141" i="80"/>
  <c r="Q6142" i="80"/>
  <c r="Q6143" i="80"/>
  <c r="Q6144" i="80"/>
  <c r="Q6145" i="80"/>
  <c r="Q6146" i="80"/>
  <c r="Q6147" i="80"/>
  <c r="Q6148" i="80"/>
  <c r="Q6149" i="80"/>
  <c r="Q6150" i="80"/>
  <c r="Q6151" i="80"/>
  <c r="Q6152" i="80"/>
  <c r="Q6153" i="80"/>
  <c r="Q6154" i="80"/>
  <c r="Q6155" i="80"/>
  <c r="Q6156" i="80"/>
  <c r="Q6157" i="80"/>
  <c r="Q6158" i="80"/>
  <c r="Q6159" i="80"/>
  <c r="Q6160" i="80"/>
  <c r="Q6161" i="80"/>
  <c r="Q6162" i="80"/>
  <c r="Q6163" i="80"/>
  <c r="Q6164" i="80"/>
  <c r="Q6165" i="80"/>
  <c r="Q6166" i="80"/>
  <c r="Q6167" i="80"/>
  <c r="Q6168" i="80"/>
  <c r="Q6169" i="80"/>
  <c r="Q6170" i="80"/>
  <c r="Q6171" i="80"/>
  <c r="Q6172" i="80"/>
  <c r="Q6173" i="80"/>
  <c r="Q6174" i="80"/>
  <c r="Q6175" i="80"/>
  <c r="Q6176" i="80"/>
  <c r="Q6177" i="80"/>
  <c r="Q6178" i="80"/>
  <c r="Q6179" i="80"/>
  <c r="Q6180" i="80"/>
  <c r="Q6181" i="80"/>
  <c r="Q6182" i="80"/>
  <c r="Q6183" i="80"/>
  <c r="Q6184" i="80"/>
  <c r="Q6185" i="80"/>
  <c r="Q6186" i="80"/>
  <c r="Q6187" i="80"/>
  <c r="Q6188" i="80"/>
  <c r="Q6189" i="80"/>
  <c r="Q6190" i="80"/>
  <c r="Q6191" i="80"/>
  <c r="Q6192" i="80"/>
  <c r="Q6193" i="80"/>
  <c r="Q6194" i="80"/>
  <c r="Q6195" i="80"/>
  <c r="Q6196" i="80"/>
  <c r="Q6197" i="80"/>
  <c r="Q6198" i="80"/>
  <c r="Q6199" i="80"/>
  <c r="Q6200" i="80"/>
  <c r="Q6201" i="80"/>
  <c r="Q6202" i="80"/>
  <c r="Q6203" i="80"/>
  <c r="Q6204" i="80"/>
  <c r="Q6205" i="80"/>
  <c r="Q6206" i="80"/>
  <c r="Q6207" i="80"/>
  <c r="Q6208" i="80"/>
  <c r="Q6209" i="80"/>
  <c r="Q6210" i="80"/>
  <c r="Q6211" i="80"/>
  <c r="Q6212" i="80"/>
  <c r="Q6213" i="80"/>
  <c r="Q6214" i="80"/>
  <c r="Q6215" i="80"/>
  <c r="Q6216" i="80"/>
  <c r="Q6217" i="80"/>
  <c r="Q6218" i="80"/>
  <c r="Q6219" i="80"/>
  <c r="Q6220" i="80"/>
  <c r="Q6221" i="80"/>
  <c r="Q6222" i="80"/>
  <c r="Q6223" i="80"/>
  <c r="Q6224" i="80"/>
  <c r="Q6225" i="80"/>
  <c r="Q6226" i="80"/>
  <c r="Q6227" i="80"/>
  <c r="Q6228" i="80"/>
  <c r="Q6229" i="80"/>
  <c r="Q6230" i="80"/>
  <c r="Q6231" i="80"/>
  <c r="Q6232" i="80"/>
  <c r="Q6233" i="80"/>
  <c r="Q6234" i="80"/>
  <c r="Q6235" i="80"/>
  <c r="Q6236" i="80"/>
  <c r="Q6237" i="80"/>
  <c r="Q6238" i="80"/>
  <c r="Q6239" i="80"/>
  <c r="Q6240" i="80"/>
  <c r="Q6241" i="80"/>
  <c r="Q6242" i="80"/>
  <c r="Q6243" i="80"/>
  <c r="Q6244" i="80"/>
  <c r="Q6245" i="80"/>
  <c r="Q6246" i="80"/>
  <c r="Q6247" i="80"/>
  <c r="Q6248" i="80"/>
  <c r="Q6249" i="80"/>
  <c r="Q6250" i="80"/>
  <c r="Q6251" i="80"/>
  <c r="Q6252" i="80"/>
  <c r="Q6253" i="80"/>
  <c r="Q6254" i="80"/>
  <c r="Q6255" i="80"/>
  <c r="Q6256" i="80"/>
  <c r="Q6257" i="80"/>
  <c r="Q6258" i="80"/>
  <c r="Q6259" i="80"/>
  <c r="Q6260" i="80"/>
  <c r="Q6261" i="80"/>
  <c r="Q6262" i="80"/>
  <c r="Q6263" i="80"/>
  <c r="Q6264" i="80"/>
  <c r="Q6265" i="80"/>
  <c r="Q6266" i="80"/>
  <c r="Q6267" i="80"/>
  <c r="Q6268" i="80"/>
  <c r="Q6269" i="80"/>
  <c r="Q6270" i="80"/>
  <c r="Q6271" i="80"/>
  <c r="Q6272" i="80"/>
  <c r="Q6273" i="80"/>
  <c r="Q6274" i="80"/>
  <c r="Q6275" i="80"/>
  <c r="Q6276" i="80"/>
  <c r="Q6277" i="80"/>
  <c r="Q6278" i="80"/>
  <c r="Q6279" i="80"/>
  <c r="Q6280" i="80"/>
  <c r="Q6281" i="80"/>
  <c r="Q6282" i="80"/>
  <c r="Q6283" i="80"/>
  <c r="Q6284" i="80"/>
  <c r="Q6285" i="80"/>
  <c r="Q6286" i="80"/>
  <c r="Q6287" i="80"/>
  <c r="Q6288" i="80"/>
  <c r="Q6289" i="80"/>
  <c r="Q6290" i="80"/>
  <c r="Q6291" i="80"/>
  <c r="Q6292" i="80"/>
  <c r="Q6293" i="80"/>
  <c r="Q6294" i="80"/>
  <c r="Q6295" i="80"/>
  <c r="Q6296" i="80"/>
  <c r="Q6297" i="80"/>
  <c r="Q6298" i="80"/>
  <c r="Q6299" i="80"/>
  <c r="Q6300" i="80"/>
  <c r="Q6301" i="80"/>
  <c r="Q6302" i="80"/>
  <c r="Q6303" i="80"/>
  <c r="Q6304" i="80"/>
  <c r="Q6305" i="80"/>
  <c r="Q6306" i="80"/>
  <c r="Q6307" i="80"/>
  <c r="Q6308" i="80"/>
  <c r="Q6309" i="80"/>
  <c r="Q6310" i="80"/>
  <c r="Q6311" i="80"/>
  <c r="Q6312" i="80"/>
  <c r="Q6313" i="80"/>
  <c r="Q6314" i="80"/>
  <c r="Q6315" i="80"/>
  <c r="Q6316" i="80"/>
  <c r="Q6317" i="80"/>
  <c r="Q6318" i="80"/>
  <c r="Q6319" i="80"/>
  <c r="Q6320" i="80"/>
  <c r="Q6321" i="80"/>
  <c r="Q6322" i="80"/>
  <c r="Q6323" i="80"/>
  <c r="Q6324" i="80"/>
  <c r="Q6325" i="80"/>
  <c r="Q6326" i="80"/>
  <c r="Q6327" i="80"/>
  <c r="Q6328" i="80"/>
  <c r="Q6329" i="80"/>
  <c r="Q6330" i="80"/>
  <c r="Q6331" i="80"/>
  <c r="Q6332" i="80"/>
  <c r="Q6333" i="80"/>
  <c r="Q6334" i="80"/>
  <c r="Q6335" i="80"/>
  <c r="Q6336" i="80"/>
  <c r="Q6337" i="80"/>
  <c r="Q6338" i="80"/>
  <c r="Q6339" i="80"/>
  <c r="Q6340" i="80"/>
  <c r="Q6341" i="80"/>
  <c r="Q6342" i="80"/>
  <c r="Q6343" i="80"/>
  <c r="Q6344" i="80"/>
  <c r="Q6345" i="80"/>
  <c r="Q6346" i="80"/>
  <c r="Q6347" i="80"/>
  <c r="Q6348" i="80"/>
  <c r="Q6349" i="80"/>
  <c r="Q6350" i="80"/>
  <c r="Q6351" i="80"/>
  <c r="Q6352" i="80"/>
  <c r="Q6353" i="80"/>
  <c r="Q6354" i="80"/>
  <c r="Q6355" i="80"/>
  <c r="Q6356" i="80"/>
  <c r="Q6357" i="80"/>
  <c r="Q6358" i="80"/>
  <c r="Q6359" i="80"/>
  <c r="Q6360" i="80"/>
  <c r="Q6361" i="80"/>
  <c r="Q6362" i="80"/>
  <c r="Q6363" i="80"/>
  <c r="Q6364" i="80"/>
  <c r="Q6365" i="80"/>
  <c r="Q6366" i="80"/>
  <c r="Q6367" i="80"/>
  <c r="Q6368" i="80"/>
  <c r="Q6369" i="80"/>
  <c r="Q6370" i="80"/>
  <c r="Q6371" i="80"/>
  <c r="Q6372" i="80"/>
  <c r="Q6373" i="80"/>
  <c r="Q6374" i="80"/>
  <c r="Q6375" i="80"/>
  <c r="Q6376" i="80"/>
  <c r="Q6377" i="80"/>
  <c r="Q6378" i="80"/>
  <c r="Q6379" i="80"/>
  <c r="Q6380" i="80"/>
  <c r="Q6381" i="80"/>
  <c r="Q6382" i="80"/>
  <c r="Q6383" i="80"/>
  <c r="Q6384" i="80"/>
  <c r="Q6385" i="80"/>
  <c r="Q6386" i="80"/>
  <c r="Q6387" i="80"/>
  <c r="Q6388" i="80"/>
  <c r="Q6389" i="80"/>
  <c r="Q6390" i="80"/>
  <c r="Q6391" i="80"/>
  <c r="Q6392" i="80"/>
  <c r="Q6393" i="80"/>
  <c r="Q6394" i="80"/>
  <c r="Q6395" i="80"/>
  <c r="Q6396" i="80"/>
  <c r="Q6397" i="80"/>
  <c r="Q6398" i="80"/>
  <c r="Q6399" i="80"/>
  <c r="Q6400" i="80"/>
  <c r="Q6401" i="80"/>
  <c r="Q6402" i="80"/>
  <c r="Q6403" i="80"/>
  <c r="Q6404" i="80"/>
  <c r="Q6405" i="80"/>
  <c r="Q6406" i="80"/>
  <c r="Q6407" i="80"/>
  <c r="Q6408" i="80"/>
  <c r="Q6409" i="80"/>
  <c r="Q6410" i="80"/>
  <c r="Q6411" i="80"/>
  <c r="Q6412" i="80"/>
  <c r="Q6413" i="80"/>
  <c r="Q6414" i="80"/>
  <c r="Q6415" i="80"/>
  <c r="Q6416" i="80"/>
  <c r="Q6417" i="80"/>
  <c r="Q6418" i="80"/>
  <c r="Q6419" i="80"/>
  <c r="Q6420" i="80"/>
  <c r="Q6421" i="80"/>
  <c r="Q6422" i="80"/>
  <c r="Q6423" i="80"/>
  <c r="Q6424" i="80"/>
  <c r="Q6425" i="80"/>
  <c r="Q6426" i="80"/>
  <c r="Q6427" i="80"/>
  <c r="Q6428" i="80"/>
  <c r="Q6429" i="80"/>
  <c r="Q6430" i="80"/>
  <c r="Q6431" i="80"/>
  <c r="Q6432" i="80"/>
  <c r="Q6433" i="80"/>
  <c r="Q6434" i="80"/>
  <c r="Q6435" i="80"/>
  <c r="Q6436" i="80"/>
  <c r="Q6437" i="80"/>
  <c r="Q6438" i="80"/>
  <c r="Q6439" i="80"/>
  <c r="Q6440" i="80"/>
  <c r="Q6441" i="80"/>
  <c r="Q6442" i="80"/>
  <c r="Q6443" i="80"/>
  <c r="Q6444" i="80"/>
  <c r="Q6445" i="80"/>
  <c r="Q6446" i="80"/>
  <c r="Q6447" i="80"/>
  <c r="Q6448" i="80"/>
  <c r="Q6449" i="80"/>
  <c r="Q6450" i="80"/>
  <c r="Q6451" i="80"/>
  <c r="Q6452" i="80"/>
  <c r="Q6453" i="80"/>
  <c r="Q6454" i="80"/>
  <c r="Q6455" i="80"/>
  <c r="Q6456" i="80"/>
  <c r="Q6457" i="80"/>
  <c r="Q6458" i="80"/>
  <c r="Q6459" i="80"/>
  <c r="Q6460" i="80"/>
  <c r="Q6461" i="80"/>
  <c r="Q6462" i="80"/>
  <c r="Q6463" i="80"/>
  <c r="Q6464" i="80"/>
  <c r="Q6465" i="80"/>
  <c r="Q6466" i="80"/>
  <c r="Q6467" i="80"/>
  <c r="Q6468" i="80"/>
  <c r="Q6469" i="80"/>
  <c r="Q6470" i="80"/>
  <c r="Q6471" i="80"/>
  <c r="Q6472" i="80"/>
  <c r="Q6473" i="80"/>
  <c r="Q6474" i="80"/>
  <c r="Q6475" i="80"/>
  <c r="Q6476" i="80"/>
  <c r="Q6477" i="80"/>
  <c r="Q6478" i="80"/>
  <c r="Q6479" i="80"/>
  <c r="Q6480" i="80"/>
  <c r="Q6481" i="80"/>
  <c r="Q6482" i="80"/>
  <c r="Q6483" i="80"/>
  <c r="Q6484" i="80"/>
  <c r="Q6485" i="80"/>
  <c r="Q6486" i="80"/>
  <c r="Q6487" i="80"/>
  <c r="Q6488" i="80"/>
  <c r="Q6489" i="80"/>
  <c r="Q6490" i="80"/>
  <c r="Q6491" i="80"/>
  <c r="Q6492" i="80"/>
  <c r="E9" i="85"/>
  <c r="O6492" i="80"/>
  <c r="N6492" i="80"/>
  <c r="O6491" i="80"/>
  <c r="N6491" i="80"/>
  <c r="O6490" i="80"/>
  <c r="N6490" i="80"/>
  <c r="O6489" i="80"/>
  <c r="N6489" i="80"/>
  <c r="O6488" i="80"/>
  <c r="N6488" i="80"/>
  <c r="O6487" i="80"/>
  <c r="N6487" i="80"/>
  <c r="O6486" i="80"/>
  <c r="N6486" i="80"/>
  <c r="O6485" i="80"/>
  <c r="N6485" i="80"/>
  <c r="O6484" i="80"/>
  <c r="N6484" i="80"/>
  <c r="O6483" i="80"/>
  <c r="N6483" i="80"/>
  <c r="O6482" i="80"/>
  <c r="N6482" i="80"/>
  <c r="O6481" i="80"/>
  <c r="N6481" i="80"/>
  <c r="O6480" i="80"/>
  <c r="N6480" i="80"/>
  <c r="O6479" i="80"/>
  <c r="N6479" i="80"/>
  <c r="O6478" i="80"/>
  <c r="N6478" i="80"/>
  <c r="O6477" i="80"/>
  <c r="N6477" i="80"/>
  <c r="O6476" i="80"/>
  <c r="N6476" i="80"/>
  <c r="O6475" i="80"/>
  <c r="N6475" i="80"/>
  <c r="O6474" i="80"/>
  <c r="N6474" i="80"/>
  <c r="O6473" i="80"/>
  <c r="N6473" i="80"/>
  <c r="O6472" i="80"/>
  <c r="N6472" i="80"/>
  <c r="O6471" i="80"/>
  <c r="N6471" i="80"/>
  <c r="O6470" i="80"/>
  <c r="N6470" i="80"/>
  <c r="O6469" i="80"/>
  <c r="N6469" i="80"/>
  <c r="O6468" i="80"/>
  <c r="N6468" i="80"/>
  <c r="O6467" i="80"/>
  <c r="N6467" i="80"/>
  <c r="O6466" i="80"/>
  <c r="N6466" i="80"/>
  <c r="O6465" i="80"/>
  <c r="N6465" i="80"/>
  <c r="O6464" i="80"/>
  <c r="N6464" i="80"/>
  <c r="O6463" i="80"/>
  <c r="N6463" i="80"/>
  <c r="O6462" i="80"/>
  <c r="N6462" i="80"/>
  <c r="O6461" i="80"/>
  <c r="N6461" i="80"/>
  <c r="O6460" i="80"/>
  <c r="N6460" i="80"/>
  <c r="O6459" i="80"/>
  <c r="N6459" i="80"/>
  <c r="O6458" i="80"/>
  <c r="N6458" i="80"/>
  <c r="O6457" i="80"/>
  <c r="N6457" i="80"/>
  <c r="O6456" i="80"/>
  <c r="N6456" i="80"/>
  <c r="O6455" i="80"/>
  <c r="N6455" i="80"/>
  <c r="O6454" i="80"/>
  <c r="N6454" i="80"/>
  <c r="O6453" i="80"/>
  <c r="N6453" i="80"/>
  <c r="O6452" i="80"/>
  <c r="N6452" i="80"/>
  <c r="O6451" i="80"/>
  <c r="N6451" i="80"/>
  <c r="O6450" i="80"/>
  <c r="N6450" i="80"/>
  <c r="O6449" i="80"/>
  <c r="N6449" i="80"/>
  <c r="O6448" i="80"/>
  <c r="N6448" i="80"/>
  <c r="O6447" i="80"/>
  <c r="N6447" i="80"/>
  <c r="O6446" i="80"/>
  <c r="N6446" i="80"/>
  <c r="O6445" i="80"/>
  <c r="N6445" i="80"/>
  <c r="O6444" i="80"/>
  <c r="N6444" i="80"/>
  <c r="O6443" i="80"/>
  <c r="N6443" i="80"/>
  <c r="O6442" i="80"/>
  <c r="N6442" i="80"/>
  <c r="O6441" i="80"/>
  <c r="N6441" i="80"/>
  <c r="O6440" i="80"/>
  <c r="N6440" i="80"/>
  <c r="O6439" i="80"/>
  <c r="N6439" i="80"/>
  <c r="O6438" i="80"/>
  <c r="N6438" i="80"/>
  <c r="O6437" i="80"/>
  <c r="N6437" i="80"/>
  <c r="O6436" i="80"/>
  <c r="N6436" i="80"/>
  <c r="O6435" i="80"/>
  <c r="N6435" i="80"/>
  <c r="O6434" i="80"/>
  <c r="N6434" i="80"/>
  <c r="O6433" i="80"/>
  <c r="N6433" i="80"/>
  <c r="O6432" i="80"/>
  <c r="N6432" i="80"/>
  <c r="O6431" i="80"/>
  <c r="N6431" i="80"/>
  <c r="O6430" i="80"/>
  <c r="N6430" i="80"/>
  <c r="O6429" i="80"/>
  <c r="N6429" i="80"/>
  <c r="O6428" i="80"/>
  <c r="N6428" i="80"/>
  <c r="O6427" i="80"/>
  <c r="N6427" i="80"/>
  <c r="O6426" i="80"/>
  <c r="N6426" i="80"/>
  <c r="O6425" i="80"/>
  <c r="N6425" i="80"/>
  <c r="O6424" i="80"/>
  <c r="N6424" i="80"/>
  <c r="O6423" i="80"/>
  <c r="N6423" i="80"/>
  <c r="O6422" i="80"/>
  <c r="N6422" i="80"/>
  <c r="O6421" i="80"/>
  <c r="N6421" i="80"/>
  <c r="O6420" i="80"/>
  <c r="N6420" i="80"/>
  <c r="O6419" i="80"/>
  <c r="N6419" i="80"/>
  <c r="O6418" i="80"/>
  <c r="N6418" i="80"/>
  <c r="O6417" i="80"/>
  <c r="N6417" i="80"/>
  <c r="O6416" i="80"/>
  <c r="N6416" i="80"/>
  <c r="O6415" i="80"/>
  <c r="N6415" i="80"/>
  <c r="O6414" i="80"/>
  <c r="N6414" i="80"/>
  <c r="O6413" i="80"/>
  <c r="N6413" i="80"/>
  <c r="O6412" i="80"/>
  <c r="N6412" i="80"/>
  <c r="O6411" i="80"/>
  <c r="N6411" i="80"/>
  <c r="O6410" i="80"/>
  <c r="N6410" i="80"/>
  <c r="O6409" i="80"/>
  <c r="N6409" i="80"/>
  <c r="O6408" i="80"/>
  <c r="N6408" i="80"/>
  <c r="O6407" i="80"/>
  <c r="N6407" i="80"/>
  <c r="O6406" i="80"/>
  <c r="N6406" i="80"/>
  <c r="O6405" i="80"/>
  <c r="N6405" i="80"/>
  <c r="O6404" i="80"/>
  <c r="N6404" i="80"/>
  <c r="O6403" i="80"/>
  <c r="N6403" i="80"/>
  <c r="O6402" i="80"/>
  <c r="N6402" i="80"/>
  <c r="O6401" i="80"/>
  <c r="N6401" i="80"/>
  <c r="O6400" i="80"/>
  <c r="N6400" i="80"/>
  <c r="O6399" i="80"/>
  <c r="N6399" i="80"/>
  <c r="O6398" i="80"/>
  <c r="N6398" i="80"/>
  <c r="O6397" i="80"/>
  <c r="N6397" i="80"/>
  <c r="O6396" i="80"/>
  <c r="N6396" i="80"/>
  <c r="O6395" i="80"/>
  <c r="N6395" i="80"/>
  <c r="O6394" i="80"/>
  <c r="N6394" i="80"/>
  <c r="O6393" i="80"/>
  <c r="N6393" i="80"/>
  <c r="O6392" i="80"/>
  <c r="N6392" i="80"/>
  <c r="O6391" i="80"/>
  <c r="N6391" i="80"/>
  <c r="O6390" i="80"/>
  <c r="N6390" i="80"/>
  <c r="O6389" i="80"/>
  <c r="N6389" i="80"/>
  <c r="O6388" i="80"/>
  <c r="N6388" i="80"/>
  <c r="O6387" i="80"/>
  <c r="N6387" i="80"/>
  <c r="O6386" i="80"/>
  <c r="N6386" i="80"/>
  <c r="O6385" i="80"/>
  <c r="N6385" i="80"/>
  <c r="O6384" i="80"/>
  <c r="N6384" i="80"/>
  <c r="O6383" i="80"/>
  <c r="N6383" i="80"/>
  <c r="O6382" i="80"/>
  <c r="N6382" i="80"/>
  <c r="O6381" i="80"/>
  <c r="N6381" i="80"/>
  <c r="O6380" i="80"/>
  <c r="N6380" i="80"/>
  <c r="O6379" i="80"/>
  <c r="N6379" i="80"/>
  <c r="O6378" i="80"/>
  <c r="N6378" i="80"/>
  <c r="O6377" i="80"/>
  <c r="N6377" i="80"/>
  <c r="O6376" i="80"/>
  <c r="N6376" i="80"/>
  <c r="O6375" i="80"/>
  <c r="N6375" i="80"/>
  <c r="O6374" i="80"/>
  <c r="N6374" i="80"/>
  <c r="O6373" i="80"/>
  <c r="N6373" i="80"/>
  <c r="O6372" i="80"/>
  <c r="N6372" i="80"/>
  <c r="O6371" i="80"/>
  <c r="N6371" i="80"/>
  <c r="O6370" i="80"/>
  <c r="N6370" i="80"/>
  <c r="O6369" i="80"/>
  <c r="N6369" i="80"/>
  <c r="O6368" i="80"/>
  <c r="N6368" i="80"/>
  <c r="O6367" i="80"/>
  <c r="N6367" i="80"/>
  <c r="O6366" i="80"/>
  <c r="N6366" i="80"/>
  <c r="O6365" i="80"/>
  <c r="N6365" i="80"/>
  <c r="O6364" i="80"/>
  <c r="N6364" i="80"/>
  <c r="O6363" i="80"/>
  <c r="N6363" i="80"/>
  <c r="O6362" i="80"/>
  <c r="N6362" i="80"/>
  <c r="O6361" i="80"/>
  <c r="N6361" i="80"/>
  <c r="O6360" i="80"/>
  <c r="N6360" i="80"/>
  <c r="O6359" i="80"/>
  <c r="N6359" i="80"/>
  <c r="O6358" i="80"/>
  <c r="N6358" i="80"/>
  <c r="O6357" i="80"/>
  <c r="N6357" i="80"/>
  <c r="O6356" i="80"/>
  <c r="N6356" i="80"/>
  <c r="O6355" i="80"/>
  <c r="N6355" i="80"/>
  <c r="O6354" i="80"/>
  <c r="N6354" i="80"/>
  <c r="O6353" i="80"/>
  <c r="N6353" i="80"/>
  <c r="O6352" i="80"/>
  <c r="N6352" i="80"/>
  <c r="O6351" i="80"/>
  <c r="N6351" i="80"/>
  <c r="O6350" i="80"/>
  <c r="N6350" i="80"/>
  <c r="O6349" i="80"/>
  <c r="N6349" i="80"/>
  <c r="O6348" i="80"/>
  <c r="N6348" i="80"/>
  <c r="O6347" i="80"/>
  <c r="N6347" i="80"/>
  <c r="O6346" i="80"/>
  <c r="N6346" i="80"/>
  <c r="O6345" i="80"/>
  <c r="N6345" i="80"/>
  <c r="O6344" i="80"/>
  <c r="N6344" i="80"/>
  <c r="O6343" i="80"/>
  <c r="N6343" i="80"/>
  <c r="O6342" i="80"/>
  <c r="N6342" i="80"/>
  <c r="O6341" i="80"/>
  <c r="N6341" i="80"/>
  <c r="O6340" i="80"/>
  <c r="N6340" i="80"/>
  <c r="O6339" i="80"/>
  <c r="N6339" i="80"/>
  <c r="O6338" i="80"/>
  <c r="N6338" i="80"/>
  <c r="O6337" i="80"/>
  <c r="N6337" i="80"/>
  <c r="O6336" i="80"/>
  <c r="N6336" i="80"/>
  <c r="O6335" i="80"/>
  <c r="N6335" i="80"/>
  <c r="O6334" i="80"/>
  <c r="N6334" i="80"/>
  <c r="O6333" i="80"/>
  <c r="N6333" i="80"/>
  <c r="O6332" i="80"/>
  <c r="N6332" i="80"/>
  <c r="O6331" i="80"/>
  <c r="N6331" i="80"/>
  <c r="O6330" i="80"/>
  <c r="N6330" i="80"/>
  <c r="O6329" i="80"/>
  <c r="N6329" i="80"/>
  <c r="O6328" i="80"/>
  <c r="N6328" i="80"/>
  <c r="O6327" i="80"/>
  <c r="N6327" i="80"/>
  <c r="O6326" i="80"/>
  <c r="N6326" i="80"/>
  <c r="O6325" i="80"/>
  <c r="N6325" i="80"/>
  <c r="O6324" i="80"/>
  <c r="N6324" i="80"/>
  <c r="O6323" i="80"/>
  <c r="N6323" i="80"/>
  <c r="O6322" i="80"/>
  <c r="N6322" i="80"/>
  <c r="O6321" i="80"/>
  <c r="N6321" i="80"/>
  <c r="O6320" i="80"/>
  <c r="N6320" i="80"/>
  <c r="O6319" i="80"/>
  <c r="N6319" i="80"/>
  <c r="O6318" i="80"/>
  <c r="N6318" i="80"/>
  <c r="O6317" i="80"/>
  <c r="N6317" i="80"/>
  <c r="O6316" i="80"/>
  <c r="N6316" i="80"/>
  <c r="O6315" i="80"/>
  <c r="N6315" i="80"/>
  <c r="O6314" i="80"/>
  <c r="N6314" i="80"/>
  <c r="O6313" i="80"/>
  <c r="N6313" i="80"/>
  <c r="O6312" i="80"/>
  <c r="N6312" i="80"/>
  <c r="O6311" i="80"/>
  <c r="N6311" i="80"/>
  <c r="O6310" i="80"/>
  <c r="N6310" i="80"/>
  <c r="O6309" i="80"/>
  <c r="N6309" i="80"/>
  <c r="O6308" i="80"/>
  <c r="N6308" i="80"/>
  <c r="O6307" i="80"/>
  <c r="N6307" i="80"/>
  <c r="O6306" i="80"/>
  <c r="N6306" i="80"/>
  <c r="O6305" i="80"/>
  <c r="N6305" i="80"/>
  <c r="O6304" i="80"/>
  <c r="N6304" i="80"/>
  <c r="O6303" i="80"/>
  <c r="N6303" i="80"/>
  <c r="O6302" i="80"/>
  <c r="N6302" i="80"/>
  <c r="O6301" i="80"/>
  <c r="N6301" i="80"/>
  <c r="O6300" i="80"/>
  <c r="N6300" i="80"/>
  <c r="O6299" i="80"/>
  <c r="N6299" i="80"/>
  <c r="O6298" i="80"/>
  <c r="N6298" i="80"/>
  <c r="O6297" i="80"/>
  <c r="N6297" i="80"/>
  <c r="O6296" i="80"/>
  <c r="N6296" i="80"/>
  <c r="O6295" i="80"/>
  <c r="N6295" i="80"/>
  <c r="O6294" i="80"/>
  <c r="N6294" i="80"/>
  <c r="O6293" i="80"/>
  <c r="N6293" i="80"/>
  <c r="O6292" i="80"/>
  <c r="N6292" i="80"/>
  <c r="O6291" i="80"/>
  <c r="N6291" i="80"/>
  <c r="O6290" i="80"/>
  <c r="N6290" i="80"/>
  <c r="O6289" i="80"/>
  <c r="N6289" i="80"/>
  <c r="O6288" i="80"/>
  <c r="N6288" i="80"/>
  <c r="O6287" i="80"/>
  <c r="N6287" i="80"/>
  <c r="O6286" i="80"/>
  <c r="N6286" i="80"/>
  <c r="O6285" i="80"/>
  <c r="N6285" i="80"/>
  <c r="O6284" i="80"/>
  <c r="N6284" i="80"/>
  <c r="O6283" i="80"/>
  <c r="N6283" i="80"/>
  <c r="O6282" i="80"/>
  <c r="N6282" i="80"/>
  <c r="O6281" i="80"/>
  <c r="N6281" i="80"/>
  <c r="O6280" i="80"/>
  <c r="N6280" i="80"/>
  <c r="O6279" i="80"/>
  <c r="N6279" i="80"/>
  <c r="O6278" i="80"/>
  <c r="N6278" i="80"/>
  <c r="O6277" i="80"/>
  <c r="N6277" i="80"/>
  <c r="O6276" i="80"/>
  <c r="N6276" i="80"/>
  <c r="O6275" i="80"/>
  <c r="N6275" i="80"/>
  <c r="O6274" i="80"/>
  <c r="N6274" i="80"/>
  <c r="O6273" i="80"/>
  <c r="N6273" i="80"/>
  <c r="O6272" i="80"/>
  <c r="N6272" i="80"/>
  <c r="O6271" i="80"/>
  <c r="N6271" i="80"/>
  <c r="O6270" i="80"/>
  <c r="N6270" i="80"/>
  <c r="O6269" i="80"/>
  <c r="N6269" i="80"/>
  <c r="O6268" i="80"/>
  <c r="N6268" i="80"/>
  <c r="O6267" i="80"/>
  <c r="N6267" i="80"/>
  <c r="O6266" i="80"/>
  <c r="N6266" i="80"/>
  <c r="O6265" i="80"/>
  <c r="N6265" i="80"/>
  <c r="O6264" i="80"/>
  <c r="N6264" i="80"/>
  <c r="O6263" i="80"/>
  <c r="N6263" i="80"/>
  <c r="O6262" i="80"/>
  <c r="N6262" i="80"/>
  <c r="O6261" i="80"/>
  <c r="N6261" i="80"/>
  <c r="O6260" i="80"/>
  <c r="N6260" i="80"/>
  <c r="O6259" i="80"/>
  <c r="N6259" i="80"/>
  <c r="O6258" i="80"/>
  <c r="N6258" i="80"/>
  <c r="O6257" i="80"/>
  <c r="N6257" i="80"/>
  <c r="O6256" i="80"/>
  <c r="N6256" i="80"/>
  <c r="O6255" i="80"/>
  <c r="N6255" i="80"/>
  <c r="O6254" i="80"/>
  <c r="N6254" i="80"/>
  <c r="O6253" i="80"/>
  <c r="N6253" i="80"/>
  <c r="O6252" i="80"/>
  <c r="N6252" i="80"/>
  <c r="O6251" i="80"/>
  <c r="N6251" i="80"/>
  <c r="O6250" i="80"/>
  <c r="N6250" i="80"/>
  <c r="O6249" i="80"/>
  <c r="N6249" i="80"/>
  <c r="O6248" i="80"/>
  <c r="N6248" i="80"/>
  <c r="O6247" i="80"/>
  <c r="N6247" i="80"/>
  <c r="O6246" i="80"/>
  <c r="N6246" i="80"/>
  <c r="O6245" i="80"/>
  <c r="N6245" i="80"/>
  <c r="O6244" i="80"/>
  <c r="N6244" i="80"/>
  <c r="O6243" i="80"/>
  <c r="N6243" i="80"/>
  <c r="O6242" i="80"/>
  <c r="N6242" i="80"/>
  <c r="O6241" i="80"/>
  <c r="N6241" i="80"/>
  <c r="O6240" i="80"/>
  <c r="N6240" i="80"/>
  <c r="O6239" i="80"/>
  <c r="N6239" i="80"/>
  <c r="O6238" i="80"/>
  <c r="N6238" i="80"/>
  <c r="O6237" i="80"/>
  <c r="N6237" i="80"/>
  <c r="O6236" i="80"/>
  <c r="N6236" i="80"/>
  <c r="O6235" i="80"/>
  <c r="N6235" i="80"/>
  <c r="O6234" i="80"/>
  <c r="N6234" i="80"/>
  <c r="O6233" i="80"/>
  <c r="N6233" i="80"/>
  <c r="O6232" i="80"/>
  <c r="N6232" i="80"/>
  <c r="O6231" i="80"/>
  <c r="N6231" i="80"/>
  <c r="O6230" i="80"/>
  <c r="N6230" i="80"/>
  <c r="O6229" i="80"/>
  <c r="N6229" i="80"/>
  <c r="O6228" i="80"/>
  <c r="N6228" i="80"/>
  <c r="O6227" i="80"/>
  <c r="N6227" i="80"/>
  <c r="O6226" i="80"/>
  <c r="N6226" i="80"/>
  <c r="O6225" i="80"/>
  <c r="N6225" i="80"/>
  <c r="O6224" i="80"/>
  <c r="N6224" i="80"/>
  <c r="O6223" i="80"/>
  <c r="N6223" i="80"/>
  <c r="O6222" i="80"/>
  <c r="N6222" i="80"/>
  <c r="O6221" i="80"/>
  <c r="N6221" i="80"/>
  <c r="O6220" i="80"/>
  <c r="N6220" i="80"/>
  <c r="O6219" i="80"/>
  <c r="N6219" i="80"/>
  <c r="O6218" i="80"/>
  <c r="N6218" i="80"/>
  <c r="O6217" i="80"/>
  <c r="N6217" i="80"/>
  <c r="O6216" i="80"/>
  <c r="N6216" i="80"/>
  <c r="O6215" i="80"/>
  <c r="N6215" i="80"/>
  <c r="O6214" i="80"/>
  <c r="N6214" i="80"/>
  <c r="O6213" i="80"/>
  <c r="N6213" i="80"/>
  <c r="O6212" i="80"/>
  <c r="N6212" i="80"/>
  <c r="O6211" i="80"/>
  <c r="N6211" i="80"/>
  <c r="O6210" i="80"/>
  <c r="N6210" i="80"/>
  <c r="O6209" i="80"/>
  <c r="N6209" i="80"/>
  <c r="O6208" i="80"/>
  <c r="N6208" i="80"/>
  <c r="O6207" i="80"/>
  <c r="N6207" i="80"/>
  <c r="O6206" i="80"/>
  <c r="N6206" i="80"/>
  <c r="O6205" i="80"/>
  <c r="N6205" i="80"/>
  <c r="O6204" i="80"/>
  <c r="N6204" i="80"/>
  <c r="O6203" i="80"/>
  <c r="N6203" i="80"/>
  <c r="O6202" i="80"/>
  <c r="N6202" i="80"/>
  <c r="O6201" i="80"/>
  <c r="N6201" i="80"/>
  <c r="O6200" i="80"/>
  <c r="N6200" i="80"/>
  <c r="O6199" i="80"/>
  <c r="N6199" i="80"/>
  <c r="O6198" i="80"/>
  <c r="N6198" i="80"/>
  <c r="O6197" i="80"/>
  <c r="N6197" i="80"/>
  <c r="O6196" i="80"/>
  <c r="N6196" i="80"/>
  <c r="O6195" i="80"/>
  <c r="N6195" i="80"/>
  <c r="O6194" i="80"/>
  <c r="N6194" i="80"/>
  <c r="O6193" i="80"/>
  <c r="N6193" i="80"/>
  <c r="O6192" i="80"/>
  <c r="N6192" i="80"/>
  <c r="O6191" i="80"/>
  <c r="N6191" i="80"/>
  <c r="O6190" i="80"/>
  <c r="N6190" i="80"/>
  <c r="O6189" i="80"/>
  <c r="N6189" i="80"/>
  <c r="O6188" i="80"/>
  <c r="N6188" i="80"/>
  <c r="O6187" i="80"/>
  <c r="N6187" i="80"/>
  <c r="O6186" i="80"/>
  <c r="N6186" i="80"/>
  <c r="O6185" i="80"/>
  <c r="N6185" i="80"/>
  <c r="O6184" i="80"/>
  <c r="N6184" i="80"/>
  <c r="O6183" i="80"/>
  <c r="N6183" i="80"/>
  <c r="O6182" i="80"/>
  <c r="N6182" i="80"/>
  <c r="O6181" i="80"/>
  <c r="N6181" i="80"/>
  <c r="O6180" i="80"/>
  <c r="N6180" i="80"/>
  <c r="O6179" i="80"/>
  <c r="N6179" i="80"/>
  <c r="O6178" i="80"/>
  <c r="N6178" i="80"/>
  <c r="O6177" i="80"/>
  <c r="N6177" i="80"/>
  <c r="O6176" i="80"/>
  <c r="N6176" i="80"/>
  <c r="O6175" i="80"/>
  <c r="N6175" i="80"/>
  <c r="O6174" i="80"/>
  <c r="N6174" i="80"/>
  <c r="O6173" i="80"/>
  <c r="N6173" i="80"/>
  <c r="O6172" i="80"/>
  <c r="N6172" i="80"/>
  <c r="O6171" i="80"/>
  <c r="N6171" i="80"/>
  <c r="O6170" i="80"/>
  <c r="N6170" i="80"/>
  <c r="O6169" i="80"/>
  <c r="N6169" i="80"/>
  <c r="O6168" i="80"/>
  <c r="N6168" i="80"/>
  <c r="O6167" i="80"/>
  <c r="N6167" i="80"/>
  <c r="O6166" i="80"/>
  <c r="N6166" i="80"/>
  <c r="O6165" i="80"/>
  <c r="N6165" i="80"/>
  <c r="O6164" i="80"/>
  <c r="N6164" i="80"/>
  <c r="O6163" i="80"/>
  <c r="N6163" i="80"/>
  <c r="O6162" i="80"/>
  <c r="N6162" i="80"/>
  <c r="O6161" i="80"/>
  <c r="N6161" i="80"/>
  <c r="O6160" i="80"/>
  <c r="N6160" i="80"/>
  <c r="O6159" i="80"/>
  <c r="N6159" i="80"/>
  <c r="O6158" i="80"/>
  <c r="N6158" i="80"/>
  <c r="O6157" i="80"/>
  <c r="N6157" i="80"/>
  <c r="O6156" i="80"/>
  <c r="N6156" i="80"/>
  <c r="O6155" i="80"/>
  <c r="N6155" i="80"/>
  <c r="O6154" i="80"/>
  <c r="N6154" i="80"/>
  <c r="O6153" i="80"/>
  <c r="N6153" i="80"/>
  <c r="O6152" i="80"/>
  <c r="N6152" i="80"/>
  <c r="O6151" i="80"/>
  <c r="N6151" i="80"/>
  <c r="O6150" i="80"/>
  <c r="N6150" i="80"/>
  <c r="O6149" i="80"/>
  <c r="N6149" i="80"/>
  <c r="O6148" i="80"/>
  <c r="N6148" i="80"/>
  <c r="O6147" i="80"/>
  <c r="N6147" i="80"/>
  <c r="O6146" i="80"/>
  <c r="N6146" i="80"/>
  <c r="O6145" i="80"/>
  <c r="N6145" i="80"/>
  <c r="O6144" i="80"/>
  <c r="N6144" i="80"/>
  <c r="O6143" i="80"/>
  <c r="N6143" i="80"/>
  <c r="O6142" i="80"/>
  <c r="N6142" i="80"/>
  <c r="O6141" i="80"/>
  <c r="N6141" i="80"/>
  <c r="O6140" i="80"/>
  <c r="N6140" i="80"/>
  <c r="O6139" i="80"/>
  <c r="N6139" i="80"/>
  <c r="O6138" i="80"/>
  <c r="N6138" i="80"/>
  <c r="O6137" i="80"/>
  <c r="N6137" i="80"/>
  <c r="O6136" i="80"/>
  <c r="N6136" i="80"/>
  <c r="O6135" i="80"/>
  <c r="N6135" i="80"/>
  <c r="O6134" i="80"/>
  <c r="N6134" i="80"/>
  <c r="O6133" i="80"/>
  <c r="N6133" i="80"/>
  <c r="O6132" i="80"/>
  <c r="N6132" i="80"/>
  <c r="O6131" i="80"/>
  <c r="N6131" i="80"/>
  <c r="O6130" i="80"/>
  <c r="N6130" i="80"/>
  <c r="O6129" i="80"/>
  <c r="N6129" i="80"/>
  <c r="O6128" i="80"/>
  <c r="N6128" i="80"/>
  <c r="O6127" i="80"/>
  <c r="N6127" i="80"/>
  <c r="O6126" i="80"/>
  <c r="N6126" i="80"/>
  <c r="O6125" i="80"/>
  <c r="N6125" i="80"/>
  <c r="O6124" i="80"/>
  <c r="N6124" i="80"/>
  <c r="O6123" i="80"/>
  <c r="N6123" i="80"/>
  <c r="O6122" i="80"/>
  <c r="N6122" i="80"/>
  <c r="O6121" i="80"/>
  <c r="N6121" i="80"/>
  <c r="O6120" i="80"/>
  <c r="N6120" i="80"/>
  <c r="O6119" i="80"/>
  <c r="N6119" i="80"/>
  <c r="O6118" i="80"/>
  <c r="N6118" i="80"/>
  <c r="O6117" i="80"/>
  <c r="N6117" i="80"/>
  <c r="O6116" i="80"/>
  <c r="N6116" i="80"/>
  <c r="O6115" i="80"/>
  <c r="N6115" i="80"/>
  <c r="O6114" i="80"/>
  <c r="N6114" i="80"/>
  <c r="O6113" i="80"/>
  <c r="N6113" i="80"/>
  <c r="O6112" i="80"/>
  <c r="N6112" i="80"/>
  <c r="O6111" i="80"/>
  <c r="N6111" i="80"/>
  <c r="O6110" i="80"/>
  <c r="N6110" i="80"/>
  <c r="O6109" i="80"/>
  <c r="N6109" i="80"/>
  <c r="O6108" i="80"/>
  <c r="N6108" i="80"/>
  <c r="O6107" i="80"/>
  <c r="N6107" i="80"/>
  <c r="O6106" i="80"/>
  <c r="N6106" i="80"/>
  <c r="O6105" i="80"/>
  <c r="N6105" i="80"/>
  <c r="O6104" i="80"/>
  <c r="N6104" i="80"/>
  <c r="O6103" i="80"/>
  <c r="N6103" i="80"/>
  <c r="O6102" i="80"/>
  <c r="N6102" i="80"/>
  <c r="O6101" i="80"/>
  <c r="N6101" i="80"/>
  <c r="O6100" i="80"/>
  <c r="N6100" i="80"/>
  <c r="O6099" i="80"/>
  <c r="N6099" i="80"/>
  <c r="O6098" i="80"/>
  <c r="N6098" i="80"/>
  <c r="O6097" i="80"/>
  <c r="N6097" i="80"/>
  <c r="O6096" i="80"/>
  <c r="N6096" i="80"/>
  <c r="O6095" i="80"/>
  <c r="N6095" i="80"/>
  <c r="O6094" i="80"/>
  <c r="N6094" i="80"/>
  <c r="O6093" i="80"/>
  <c r="N6093" i="80"/>
  <c r="O6092" i="80"/>
  <c r="N6092" i="80"/>
  <c r="O6091" i="80"/>
  <c r="N6091" i="80"/>
  <c r="O6090" i="80"/>
  <c r="N6090" i="80"/>
  <c r="O6089" i="80"/>
  <c r="N6089" i="80"/>
  <c r="O6088" i="80"/>
  <c r="N6088" i="80"/>
  <c r="O6087" i="80"/>
  <c r="N6087" i="80"/>
  <c r="O6086" i="80"/>
  <c r="N6086" i="80"/>
  <c r="O6085" i="80"/>
  <c r="N6085" i="80"/>
  <c r="O6084" i="80"/>
  <c r="N6084" i="80"/>
  <c r="O6083" i="80"/>
  <c r="N6083" i="80"/>
  <c r="O6082" i="80"/>
  <c r="N6082" i="80"/>
  <c r="O6081" i="80"/>
  <c r="N6081" i="80"/>
  <c r="O6080" i="80"/>
  <c r="N6080" i="80"/>
  <c r="O6079" i="80"/>
  <c r="N6079" i="80"/>
  <c r="O6078" i="80"/>
  <c r="N6078" i="80"/>
  <c r="O6077" i="80"/>
  <c r="N6077" i="80"/>
  <c r="O6076" i="80"/>
  <c r="N6076" i="80"/>
  <c r="O6075" i="80"/>
  <c r="N6075" i="80"/>
  <c r="O6074" i="80"/>
  <c r="N6074" i="80"/>
  <c r="O6073" i="80"/>
  <c r="N6073" i="80"/>
  <c r="O6072" i="80"/>
  <c r="N6072" i="80"/>
  <c r="O6071" i="80"/>
  <c r="N6071" i="80"/>
  <c r="O6070" i="80"/>
  <c r="N6070" i="80"/>
  <c r="O6069" i="80"/>
  <c r="N6069" i="80"/>
  <c r="O6068" i="80"/>
  <c r="N6068" i="80"/>
  <c r="O6067" i="80"/>
  <c r="N6067" i="80"/>
  <c r="O6066" i="80"/>
  <c r="N6066" i="80"/>
  <c r="O6065" i="80"/>
  <c r="N6065" i="80"/>
  <c r="O6064" i="80"/>
  <c r="N6064" i="80"/>
  <c r="O6063" i="80"/>
  <c r="N6063" i="80"/>
  <c r="O6062" i="80"/>
  <c r="N6062" i="80"/>
  <c r="O6061" i="80"/>
  <c r="N6061" i="80"/>
  <c r="O6060" i="80"/>
  <c r="N6060" i="80"/>
  <c r="O6059" i="80"/>
  <c r="N6059" i="80"/>
  <c r="O6058" i="80"/>
  <c r="N6058" i="80"/>
  <c r="O6057" i="80"/>
  <c r="N6057" i="80"/>
  <c r="O6056" i="80"/>
  <c r="N6056" i="80"/>
  <c r="O6055" i="80"/>
  <c r="N6055" i="80"/>
  <c r="O6054" i="80"/>
  <c r="N6054" i="80"/>
  <c r="O6053" i="80"/>
  <c r="N6053" i="80"/>
  <c r="O6052" i="80"/>
  <c r="N6052" i="80"/>
  <c r="O6051" i="80"/>
  <c r="N6051" i="80"/>
  <c r="O6050" i="80"/>
  <c r="N6050" i="80"/>
  <c r="O6049" i="80"/>
  <c r="N6049" i="80"/>
  <c r="O6048" i="80"/>
  <c r="N6048" i="80"/>
  <c r="O6047" i="80"/>
  <c r="N6047" i="80"/>
  <c r="O6046" i="80"/>
  <c r="N6046" i="80"/>
  <c r="O6045" i="80"/>
  <c r="N6045" i="80"/>
  <c r="O6044" i="80"/>
  <c r="N6044" i="80"/>
  <c r="O6043" i="80"/>
  <c r="N6043" i="80"/>
  <c r="O6042" i="80"/>
  <c r="N6042" i="80"/>
  <c r="O6041" i="80"/>
  <c r="N6041" i="80"/>
  <c r="O6040" i="80"/>
  <c r="N6040" i="80"/>
  <c r="O6039" i="80"/>
  <c r="N6039" i="80"/>
  <c r="O6038" i="80"/>
  <c r="N6038" i="80"/>
  <c r="O6037" i="80"/>
  <c r="N6037" i="80"/>
  <c r="O6036" i="80"/>
  <c r="N6036" i="80"/>
  <c r="O6035" i="80"/>
  <c r="N6035" i="80"/>
  <c r="O6034" i="80"/>
  <c r="N6034" i="80"/>
  <c r="O6033" i="80"/>
  <c r="N6033" i="80"/>
  <c r="O6032" i="80"/>
  <c r="N6032" i="80"/>
  <c r="O6031" i="80"/>
  <c r="N6031" i="80"/>
  <c r="O6030" i="80"/>
  <c r="N6030" i="80"/>
  <c r="O6029" i="80"/>
  <c r="N6029" i="80"/>
  <c r="O6028" i="80"/>
  <c r="N6028" i="80"/>
  <c r="O6027" i="80"/>
  <c r="N6027" i="80"/>
  <c r="O6026" i="80"/>
  <c r="N6026" i="80"/>
  <c r="O6025" i="80"/>
  <c r="N6025" i="80"/>
  <c r="O6024" i="80"/>
  <c r="N6024" i="80"/>
  <c r="O6023" i="80"/>
  <c r="N6023" i="80"/>
  <c r="O6022" i="80"/>
  <c r="N6022" i="80"/>
  <c r="O6021" i="80"/>
  <c r="N6021" i="80"/>
  <c r="O6020" i="80"/>
  <c r="N6020" i="80"/>
  <c r="O6019" i="80"/>
  <c r="N6019" i="80"/>
  <c r="O6018" i="80"/>
  <c r="N6018" i="80"/>
  <c r="O6017" i="80"/>
  <c r="N6017" i="80"/>
  <c r="O6016" i="80"/>
  <c r="N6016" i="80"/>
  <c r="O6015" i="80"/>
  <c r="N6015" i="80"/>
  <c r="O6014" i="80"/>
  <c r="N6014" i="80"/>
  <c r="O6013" i="80"/>
  <c r="N6013" i="80"/>
  <c r="O6012" i="80"/>
  <c r="N6012" i="80"/>
  <c r="O6011" i="80"/>
  <c r="N6011" i="80"/>
  <c r="O6010" i="80"/>
  <c r="N6010" i="80"/>
  <c r="O6009" i="80"/>
  <c r="N6009" i="80"/>
  <c r="O6008" i="80"/>
  <c r="N6008" i="80"/>
  <c r="O6007" i="80"/>
  <c r="N6007" i="80"/>
  <c r="O6006" i="80"/>
  <c r="N6006" i="80"/>
  <c r="O6005" i="80"/>
  <c r="N6005" i="80"/>
  <c r="O6004" i="80"/>
  <c r="N6004" i="80"/>
  <c r="O6003" i="80"/>
  <c r="N6003" i="80"/>
  <c r="O6002" i="80"/>
  <c r="N6002" i="80"/>
  <c r="O6001" i="80"/>
  <c r="N6001" i="80"/>
  <c r="O6000" i="80"/>
  <c r="N6000" i="80"/>
  <c r="O5999" i="80"/>
  <c r="N5999" i="80"/>
  <c r="O5998" i="80"/>
  <c r="N5998" i="80"/>
  <c r="O5997" i="80"/>
  <c r="N5997" i="80"/>
  <c r="O5996" i="80"/>
  <c r="N5996" i="80"/>
  <c r="O5995" i="80"/>
  <c r="N5995" i="80"/>
  <c r="O5994" i="80"/>
  <c r="N5994" i="80"/>
  <c r="O5993" i="80"/>
  <c r="N5993" i="80"/>
  <c r="O5992" i="80"/>
  <c r="N5992" i="80"/>
  <c r="O5991" i="80"/>
  <c r="N5991" i="80"/>
  <c r="O5990" i="80"/>
  <c r="N5990" i="80"/>
  <c r="O5989" i="80"/>
  <c r="N5989" i="80"/>
  <c r="O5988" i="80"/>
  <c r="N5988" i="80"/>
  <c r="O5987" i="80"/>
  <c r="N5987" i="80"/>
  <c r="O5986" i="80"/>
  <c r="N5986" i="80"/>
  <c r="O5985" i="80"/>
  <c r="N5985" i="80"/>
  <c r="O5984" i="80"/>
  <c r="N5984" i="80"/>
  <c r="O5983" i="80"/>
  <c r="N5983" i="80"/>
  <c r="O5982" i="80"/>
  <c r="N5982" i="80"/>
  <c r="O5981" i="80"/>
  <c r="N5981" i="80"/>
  <c r="O5980" i="80"/>
  <c r="N5980" i="80"/>
  <c r="O5979" i="80"/>
  <c r="N5979" i="80"/>
  <c r="O5978" i="80"/>
  <c r="N5978" i="80"/>
  <c r="O5977" i="80"/>
  <c r="N5977" i="80"/>
  <c r="O5976" i="80"/>
  <c r="N5976" i="80"/>
  <c r="O5975" i="80"/>
  <c r="N5975" i="80"/>
  <c r="O5974" i="80"/>
  <c r="N5974" i="80"/>
  <c r="O5973" i="80"/>
  <c r="N5973" i="80"/>
  <c r="O5972" i="80"/>
  <c r="N5972" i="80"/>
  <c r="O5971" i="80"/>
  <c r="N5971" i="80"/>
  <c r="O5970" i="80"/>
  <c r="N5970" i="80"/>
  <c r="O5969" i="80"/>
  <c r="N5969" i="80"/>
  <c r="O5968" i="80"/>
  <c r="N5968" i="80"/>
  <c r="O5967" i="80"/>
  <c r="N5967" i="80"/>
  <c r="O5966" i="80"/>
  <c r="N5966" i="80"/>
  <c r="O5965" i="80"/>
  <c r="N5965" i="80"/>
  <c r="O5964" i="80"/>
  <c r="N5964" i="80"/>
  <c r="O5963" i="80"/>
  <c r="N5963" i="80"/>
  <c r="O5962" i="80"/>
  <c r="N5962" i="80"/>
  <c r="O5961" i="80"/>
  <c r="N5961" i="80"/>
  <c r="O5960" i="80"/>
  <c r="N5960" i="80"/>
  <c r="O5959" i="80"/>
  <c r="N5959" i="80"/>
  <c r="O5958" i="80"/>
  <c r="N5958" i="80"/>
  <c r="O5957" i="80"/>
  <c r="N5957" i="80"/>
  <c r="O5956" i="80"/>
  <c r="N5956" i="80"/>
  <c r="O5955" i="80"/>
  <c r="N5955" i="80"/>
  <c r="O5954" i="80"/>
  <c r="N5954" i="80"/>
  <c r="O5953" i="80"/>
  <c r="N5953" i="80"/>
  <c r="O5952" i="80"/>
  <c r="N5952" i="80"/>
  <c r="O5951" i="80"/>
  <c r="N5951" i="80"/>
  <c r="O5950" i="80"/>
  <c r="N5950" i="80"/>
  <c r="O5949" i="80"/>
  <c r="N5949" i="80"/>
  <c r="O5948" i="80"/>
  <c r="N5948" i="80"/>
  <c r="O5947" i="80"/>
  <c r="N5947" i="80"/>
  <c r="O5946" i="80"/>
  <c r="N5946" i="80"/>
  <c r="O5945" i="80"/>
  <c r="N5945" i="80"/>
  <c r="O5944" i="80"/>
  <c r="N5944" i="80"/>
  <c r="O5943" i="80"/>
  <c r="N5943" i="80"/>
  <c r="O5942" i="80"/>
  <c r="N5942" i="80"/>
  <c r="O5941" i="80"/>
  <c r="N5941" i="80"/>
  <c r="O5940" i="80"/>
  <c r="N5940" i="80"/>
  <c r="O5939" i="80"/>
  <c r="N5939" i="80"/>
  <c r="O5938" i="80"/>
  <c r="N5938" i="80"/>
  <c r="O5937" i="80"/>
  <c r="N5937" i="80"/>
  <c r="O5936" i="80"/>
  <c r="N5936" i="80"/>
  <c r="O5935" i="80"/>
  <c r="N5935" i="80"/>
  <c r="O5934" i="80"/>
  <c r="N5934" i="80"/>
  <c r="O5933" i="80"/>
  <c r="N5933" i="80"/>
  <c r="O5932" i="80"/>
  <c r="N5932" i="80"/>
  <c r="O5931" i="80"/>
  <c r="N5931" i="80"/>
  <c r="O5930" i="80"/>
  <c r="N5930" i="80"/>
  <c r="O5929" i="80"/>
  <c r="N5929" i="80"/>
  <c r="O5928" i="80"/>
  <c r="N5928" i="80"/>
  <c r="O5927" i="80"/>
  <c r="N5927" i="80"/>
  <c r="O5926" i="80"/>
  <c r="N5926" i="80"/>
  <c r="O5925" i="80"/>
  <c r="N5925" i="80"/>
  <c r="O5924" i="80"/>
  <c r="N5924" i="80"/>
  <c r="O5923" i="80"/>
  <c r="N5923" i="80"/>
  <c r="O5922" i="80"/>
  <c r="N5922" i="80"/>
  <c r="O5921" i="80"/>
  <c r="N5921" i="80"/>
  <c r="O5920" i="80"/>
  <c r="N5920" i="80"/>
  <c r="O5919" i="80"/>
  <c r="N5919" i="80"/>
  <c r="O5918" i="80"/>
  <c r="N5918" i="80"/>
  <c r="O5917" i="80"/>
  <c r="N5917" i="80"/>
  <c r="O5916" i="80"/>
  <c r="N5916" i="80"/>
  <c r="O5915" i="80"/>
  <c r="N5915" i="80"/>
  <c r="O5914" i="80"/>
  <c r="N5914" i="80"/>
  <c r="O5913" i="80"/>
  <c r="N5913" i="80"/>
  <c r="O5912" i="80"/>
  <c r="N5912" i="80"/>
  <c r="O5911" i="80"/>
  <c r="N5911" i="80"/>
  <c r="O5910" i="80"/>
  <c r="N5910" i="80"/>
  <c r="O5909" i="80"/>
  <c r="N5909" i="80"/>
  <c r="O5908" i="80"/>
  <c r="N5908" i="80"/>
  <c r="O5907" i="80"/>
  <c r="N5907" i="80"/>
  <c r="O5906" i="80"/>
  <c r="N5906" i="80"/>
  <c r="O5905" i="80"/>
  <c r="N5905" i="80"/>
  <c r="O5904" i="80"/>
  <c r="N5904" i="80"/>
  <c r="O5903" i="80"/>
  <c r="N5903" i="80"/>
  <c r="O5902" i="80"/>
  <c r="N5902" i="80"/>
  <c r="O5901" i="80"/>
  <c r="N5901" i="80"/>
  <c r="O5900" i="80"/>
  <c r="N5900" i="80"/>
  <c r="O5899" i="80"/>
  <c r="N5899" i="80"/>
  <c r="O5898" i="80"/>
  <c r="N5898" i="80"/>
  <c r="O5897" i="80"/>
  <c r="N5897" i="80"/>
  <c r="O5896" i="80"/>
  <c r="N5896" i="80"/>
  <c r="O5895" i="80"/>
  <c r="N5895" i="80"/>
  <c r="O5894" i="80"/>
  <c r="N5894" i="80"/>
  <c r="O5893" i="80"/>
  <c r="N5893" i="80"/>
  <c r="O5892" i="80"/>
  <c r="N5892" i="80"/>
  <c r="O5891" i="80"/>
  <c r="N5891" i="80"/>
  <c r="O5890" i="80"/>
  <c r="N5890" i="80"/>
  <c r="O5889" i="80"/>
  <c r="N5889" i="80"/>
  <c r="O5888" i="80"/>
  <c r="N5888" i="80"/>
  <c r="O5887" i="80"/>
  <c r="N5887" i="80"/>
  <c r="O5886" i="80"/>
  <c r="N5886" i="80"/>
  <c r="O5885" i="80"/>
  <c r="N5885" i="80"/>
  <c r="O5884" i="80"/>
  <c r="N5884" i="80"/>
  <c r="O5883" i="80"/>
  <c r="N5883" i="80"/>
  <c r="O5882" i="80"/>
  <c r="N5882" i="80"/>
  <c r="O5881" i="80"/>
  <c r="N5881" i="80"/>
  <c r="O5880" i="80"/>
  <c r="N5880" i="80"/>
  <c r="O5879" i="80"/>
  <c r="N5879" i="80"/>
  <c r="O5878" i="80"/>
  <c r="N5878" i="80"/>
  <c r="O5877" i="80"/>
  <c r="N5877" i="80"/>
  <c r="O5876" i="80"/>
  <c r="N5876" i="80"/>
  <c r="O5875" i="80"/>
  <c r="N5875" i="80"/>
  <c r="O5874" i="80"/>
  <c r="N5874" i="80"/>
  <c r="O5873" i="80"/>
  <c r="N5873" i="80"/>
  <c r="O5872" i="80"/>
  <c r="N5872" i="80"/>
  <c r="O5871" i="80"/>
  <c r="N5871" i="80"/>
  <c r="O5870" i="80"/>
  <c r="N5870" i="80"/>
  <c r="O5869" i="80"/>
  <c r="N5869" i="80"/>
  <c r="O5868" i="80"/>
  <c r="N5868" i="80"/>
  <c r="O5867" i="80"/>
  <c r="N5867" i="80"/>
  <c r="O5866" i="80"/>
  <c r="N5866" i="80"/>
  <c r="O5865" i="80"/>
  <c r="N5865" i="80"/>
  <c r="O5864" i="80"/>
  <c r="N5864" i="80"/>
  <c r="O5863" i="80"/>
  <c r="N5863" i="80"/>
  <c r="O5862" i="80"/>
  <c r="N5862" i="80"/>
  <c r="O5861" i="80"/>
  <c r="N5861" i="80"/>
  <c r="O5860" i="80"/>
  <c r="N5860" i="80"/>
  <c r="O5859" i="80"/>
  <c r="N5859" i="80"/>
  <c r="O5858" i="80"/>
  <c r="N5858" i="80"/>
  <c r="O5857" i="80"/>
  <c r="N5857" i="80"/>
  <c r="O5856" i="80"/>
  <c r="N5856" i="80"/>
  <c r="O5855" i="80"/>
  <c r="N5855" i="80"/>
  <c r="O5854" i="80"/>
  <c r="N5854" i="80"/>
  <c r="O5853" i="80"/>
  <c r="N5853" i="80"/>
  <c r="O5852" i="80"/>
  <c r="N5852" i="80"/>
  <c r="O5851" i="80"/>
  <c r="N5851" i="80"/>
  <c r="O5850" i="80"/>
  <c r="N5850" i="80"/>
  <c r="O5849" i="80"/>
  <c r="N5849" i="80"/>
  <c r="O5848" i="80"/>
  <c r="N5848" i="80"/>
  <c r="O5847" i="80"/>
  <c r="N5847" i="80"/>
  <c r="O5846" i="80"/>
  <c r="N5846" i="80"/>
  <c r="O5845" i="80"/>
  <c r="N5845" i="80"/>
  <c r="O5844" i="80"/>
  <c r="N5844" i="80"/>
  <c r="O5843" i="80"/>
  <c r="N5843" i="80"/>
  <c r="O5842" i="80"/>
  <c r="N5842" i="80"/>
  <c r="O5841" i="80"/>
  <c r="N5841" i="80"/>
  <c r="O5840" i="80"/>
  <c r="N5840" i="80"/>
  <c r="O5839" i="80"/>
  <c r="N5839" i="80"/>
  <c r="O5838" i="80"/>
  <c r="N5838" i="80"/>
  <c r="O5837" i="80"/>
  <c r="N5837" i="80"/>
  <c r="O5836" i="80"/>
  <c r="N5836" i="80"/>
  <c r="O5835" i="80"/>
  <c r="N5835" i="80"/>
  <c r="O5834" i="80"/>
  <c r="N5834" i="80"/>
  <c r="O5833" i="80"/>
  <c r="N5833" i="80"/>
  <c r="O5832" i="80"/>
  <c r="N5832" i="80"/>
  <c r="O5831" i="80"/>
  <c r="N5831" i="80"/>
  <c r="O5830" i="80"/>
  <c r="N5830" i="80"/>
  <c r="O5829" i="80"/>
  <c r="N5829" i="80"/>
  <c r="O5828" i="80"/>
  <c r="N5828" i="80"/>
  <c r="O5827" i="80"/>
  <c r="N5827" i="80"/>
  <c r="O5826" i="80"/>
  <c r="N5826" i="80"/>
  <c r="O5825" i="80"/>
  <c r="N5825" i="80"/>
  <c r="O5824" i="80"/>
  <c r="N5824" i="80"/>
  <c r="O5823" i="80"/>
  <c r="N5823" i="80"/>
  <c r="O5822" i="80"/>
  <c r="N5822" i="80"/>
  <c r="O5821" i="80"/>
  <c r="N5821" i="80"/>
  <c r="O5820" i="80"/>
  <c r="N5820" i="80"/>
  <c r="O5819" i="80"/>
  <c r="N5819" i="80"/>
  <c r="O5818" i="80"/>
  <c r="N5818" i="80"/>
  <c r="O5817" i="80"/>
  <c r="N5817" i="80"/>
  <c r="O5816" i="80"/>
  <c r="N5816" i="80"/>
  <c r="O5815" i="80"/>
  <c r="N5815" i="80"/>
  <c r="O5814" i="80"/>
  <c r="N5814" i="80"/>
  <c r="O5813" i="80"/>
  <c r="N5813" i="80"/>
  <c r="O5812" i="80"/>
  <c r="N5812" i="80"/>
  <c r="O5811" i="80"/>
  <c r="N5811" i="80"/>
  <c r="O5810" i="80"/>
  <c r="N5810" i="80"/>
  <c r="O5809" i="80"/>
  <c r="N5809" i="80"/>
  <c r="O5808" i="80"/>
  <c r="N5808" i="80"/>
  <c r="O5807" i="80"/>
  <c r="N5807" i="80"/>
  <c r="O5806" i="80"/>
  <c r="N5806" i="80"/>
  <c r="O5805" i="80"/>
  <c r="N5805" i="80"/>
  <c r="O5804" i="80"/>
  <c r="N5804" i="80"/>
  <c r="O5803" i="80"/>
  <c r="N5803" i="80"/>
  <c r="O5802" i="80"/>
  <c r="N5802" i="80"/>
  <c r="O5801" i="80"/>
  <c r="N5801" i="80"/>
  <c r="O5800" i="80"/>
  <c r="N5800" i="80"/>
  <c r="O5799" i="80"/>
  <c r="N5799" i="80"/>
  <c r="O5798" i="80"/>
  <c r="N5798" i="80"/>
  <c r="O5797" i="80"/>
  <c r="N5797" i="80"/>
  <c r="O5796" i="80"/>
  <c r="N5796" i="80"/>
  <c r="O5795" i="80"/>
  <c r="N5795" i="80"/>
  <c r="O5794" i="80"/>
  <c r="N5794" i="80"/>
  <c r="O5793" i="80"/>
  <c r="N5793" i="80"/>
  <c r="O5792" i="80"/>
  <c r="N5792" i="80"/>
  <c r="O5791" i="80"/>
  <c r="N5791" i="80"/>
  <c r="O5790" i="80"/>
  <c r="N5790" i="80"/>
  <c r="O5789" i="80"/>
  <c r="N5789" i="80"/>
  <c r="O5788" i="80"/>
  <c r="N5788" i="80"/>
  <c r="O5787" i="80"/>
  <c r="N5787" i="80"/>
  <c r="O5786" i="80"/>
  <c r="N5786" i="80"/>
  <c r="O5785" i="80"/>
  <c r="N5785" i="80"/>
  <c r="O5784" i="80"/>
  <c r="N5784" i="80"/>
  <c r="O5783" i="80"/>
  <c r="N5783" i="80"/>
  <c r="O5782" i="80"/>
  <c r="N5782" i="80"/>
  <c r="O5781" i="80"/>
  <c r="N5781" i="80"/>
  <c r="O5780" i="80"/>
  <c r="N5780" i="80"/>
  <c r="O5779" i="80"/>
  <c r="N5779" i="80"/>
  <c r="O5778" i="80"/>
  <c r="N5778" i="80"/>
  <c r="O5777" i="80"/>
  <c r="N5777" i="80"/>
  <c r="O5776" i="80"/>
  <c r="N5776" i="80"/>
  <c r="O5775" i="80"/>
  <c r="N5775" i="80"/>
  <c r="O5774" i="80"/>
  <c r="N5774" i="80"/>
  <c r="O5773" i="80"/>
  <c r="N5773" i="80"/>
  <c r="O5772" i="80"/>
  <c r="N5772" i="80"/>
  <c r="O5771" i="80"/>
  <c r="N5771" i="80"/>
  <c r="O5770" i="80"/>
  <c r="N5770" i="80"/>
  <c r="O5769" i="80"/>
  <c r="N5769" i="80"/>
  <c r="O5768" i="80"/>
  <c r="N5768" i="80"/>
  <c r="O5767" i="80"/>
  <c r="N5767" i="80"/>
  <c r="O5766" i="80"/>
  <c r="N5766" i="80"/>
  <c r="O5765" i="80"/>
  <c r="N5765" i="80"/>
  <c r="O5764" i="80"/>
  <c r="N5764" i="80"/>
  <c r="O5763" i="80"/>
  <c r="N5763" i="80"/>
  <c r="O5762" i="80"/>
  <c r="N5762" i="80"/>
  <c r="O5761" i="80"/>
  <c r="N5761" i="80"/>
  <c r="O5760" i="80"/>
  <c r="N5760" i="80"/>
  <c r="O5759" i="80"/>
  <c r="N5759" i="80"/>
  <c r="O5758" i="80"/>
  <c r="N5758" i="80"/>
  <c r="O5757" i="80"/>
  <c r="N5757" i="80"/>
  <c r="O5756" i="80"/>
  <c r="N5756" i="80"/>
  <c r="O5755" i="80"/>
  <c r="N5755" i="80"/>
  <c r="O5754" i="80"/>
  <c r="N5754" i="80"/>
  <c r="O5753" i="80"/>
  <c r="N5753" i="80"/>
  <c r="O5752" i="80"/>
  <c r="N5752" i="80"/>
  <c r="O5751" i="80"/>
  <c r="N5751" i="80"/>
  <c r="O5750" i="80"/>
  <c r="N5750" i="80"/>
  <c r="O5749" i="80"/>
  <c r="N5749" i="80"/>
  <c r="O5748" i="80"/>
  <c r="N5748" i="80"/>
  <c r="O5747" i="80"/>
  <c r="N5747" i="80"/>
  <c r="O5746" i="80"/>
  <c r="N5746" i="80"/>
  <c r="O5745" i="80"/>
  <c r="N5745" i="80"/>
  <c r="O5744" i="80"/>
  <c r="N5744" i="80"/>
  <c r="O5743" i="80"/>
  <c r="N5743" i="80"/>
  <c r="O5742" i="80"/>
  <c r="N5742" i="80"/>
  <c r="O5741" i="80"/>
  <c r="N5741" i="80"/>
  <c r="O5740" i="80"/>
  <c r="N5740" i="80"/>
  <c r="O5739" i="80"/>
  <c r="N5739" i="80"/>
  <c r="O5738" i="80"/>
  <c r="N5738" i="80"/>
  <c r="O5737" i="80"/>
  <c r="N5737" i="80"/>
  <c r="O5736" i="80"/>
  <c r="N5736" i="80"/>
  <c r="O5735" i="80"/>
  <c r="N5735" i="80"/>
  <c r="O5734" i="80"/>
  <c r="N5734" i="80"/>
  <c r="O5733" i="80"/>
  <c r="N5733" i="80"/>
  <c r="O5732" i="80"/>
  <c r="N5732" i="80"/>
  <c r="O5731" i="80"/>
  <c r="N5731" i="80"/>
  <c r="O5730" i="80"/>
  <c r="N5730" i="80"/>
  <c r="O5729" i="80"/>
  <c r="N5729" i="80"/>
  <c r="O5728" i="80"/>
  <c r="N5728" i="80"/>
  <c r="O5727" i="80"/>
  <c r="N5727" i="80"/>
  <c r="O5726" i="80"/>
  <c r="N5726" i="80"/>
  <c r="O5725" i="80"/>
  <c r="N5725" i="80"/>
  <c r="O5724" i="80"/>
  <c r="N5724" i="80"/>
  <c r="O5723" i="80"/>
  <c r="N5723" i="80"/>
  <c r="O5722" i="80"/>
  <c r="N5722" i="80"/>
  <c r="O5721" i="80"/>
  <c r="N5721" i="80"/>
  <c r="O5720" i="80"/>
  <c r="N5720" i="80"/>
  <c r="O5719" i="80"/>
  <c r="N5719" i="80"/>
  <c r="O5718" i="80"/>
  <c r="N5718" i="80"/>
  <c r="O5717" i="80"/>
  <c r="N5717" i="80"/>
  <c r="O5716" i="80"/>
  <c r="N5716" i="80"/>
  <c r="O5715" i="80"/>
  <c r="N5715" i="80"/>
  <c r="O5714" i="80"/>
  <c r="N5714" i="80"/>
  <c r="O5713" i="80"/>
  <c r="N5713" i="80"/>
  <c r="O5712" i="80"/>
  <c r="N5712" i="80"/>
  <c r="O5711" i="80"/>
  <c r="N5711" i="80"/>
  <c r="O5710" i="80"/>
  <c r="N5710" i="80"/>
  <c r="O5709" i="80"/>
  <c r="N5709" i="80"/>
  <c r="O5708" i="80"/>
  <c r="N5708" i="80"/>
  <c r="O5707" i="80"/>
  <c r="N5707" i="80"/>
  <c r="O5706" i="80"/>
  <c r="N5706" i="80"/>
  <c r="O5705" i="80"/>
  <c r="N5705" i="80"/>
  <c r="O5704" i="80"/>
  <c r="N5704" i="80"/>
  <c r="O5703" i="80"/>
  <c r="N5703" i="80"/>
  <c r="O5702" i="80"/>
  <c r="N5702" i="80"/>
  <c r="O5701" i="80"/>
  <c r="N5701" i="80"/>
  <c r="O5700" i="80"/>
  <c r="N5700" i="80"/>
  <c r="O5699" i="80"/>
  <c r="N5699" i="80"/>
  <c r="O5698" i="80"/>
  <c r="N5698" i="80"/>
  <c r="O5697" i="80"/>
  <c r="N5697" i="80"/>
  <c r="O5696" i="80"/>
  <c r="N5696" i="80"/>
  <c r="O5695" i="80"/>
  <c r="N5695" i="80"/>
  <c r="O5694" i="80"/>
  <c r="N5694" i="80"/>
  <c r="O5693" i="80"/>
  <c r="N5693" i="80"/>
  <c r="O5692" i="80"/>
  <c r="N5692" i="80"/>
  <c r="O5691" i="80"/>
  <c r="N5691" i="80"/>
  <c r="O5690" i="80"/>
  <c r="N5690" i="80"/>
  <c r="O5689" i="80"/>
  <c r="N5689" i="80"/>
  <c r="O5688" i="80"/>
  <c r="N5688" i="80"/>
  <c r="O5687" i="80"/>
  <c r="N5687" i="80"/>
  <c r="O5686" i="80"/>
  <c r="N5686" i="80"/>
  <c r="O5685" i="80"/>
  <c r="N5685" i="80"/>
  <c r="O5684" i="80"/>
  <c r="N5684" i="80"/>
  <c r="O5683" i="80"/>
  <c r="N5683" i="80"/>
  <c r="O5682" i="80"/>
  <c r="N5682" i="80"/>
  <c r="O5681" i="80"/>
  <c r="N5681" i="80"/>
  <c r="O5680" i="80"/>
  <c r="N5680" i="80"/>
  <c r="O5679" i="80"/>
  <c r="N5679" i="80"/>
  <c r="O5678" i="80"/>
  <c r="N5678" i="80"/>
  <c r="O5677" i="80"/>
  <c r="N5677" i="80"/>
  <c r="O5676" i="80"/>
  <c r="N5676" i="80"/>
  <c r="O5675" i="80"/>
  <c r="N5675" i="80"/>
  <c r="O5674" i="80"/>
  <c r="N5674" i="80"/>
  <c r="O5673" i="80"/>
  <c r="N5673" i="80"/>
  <c r="O5672" i="80"/>
  <c r="N5672" i="80"/>
  <c r="O5671" i="80"/>
  <c r="N5671" i="80"/>
  <c r="O5670" i="80"/>
  <c r="N5670" i="80"/>
  <c r="O5669" i="80"/>
  <c r="N5669" i="80"/>
  <c r="O5668" i="80"/>
  <c r="N5668" i="80"/>
  <c r="O5667" i="80"/>
  <c r="N5667" i="80"/>
  <c r="O5666" i="80"/>
  <c r="N5666" i="80"/>
  <c r="O5665" i="80"/>
  <c r="N5665" i="80"/>
  <c r="O5664" i="80"/>
  <c r="N5664" i="80"/>
  <c r="O5663" i="80"/>
  <c r="N5663" i="80"/>
  <c r="O5662" i="80"/>
  <c r="N5662" i="80"/>
  <c r="O5661" i="80"/>
  <c r="N5661" i="80"/>
  <c r="O5660" i="80"/>
  <c r="N5660" i="80"/>
  <c r="O5659" i="80"/>
  <c r="N5659" i="80"/>
  <c r="O5658" i="80"/>
  <c r="N5658" i="80"/>
  <c r="O5657" i="80"/>
  <c r="N5657" i="80"/>
  <c r="O5656" i="80"/>
  <c r="N5656" i="80"/>
  <c r="O5655" i="80"/>
  <c r="N5655" i="80"/>
  <c r="O5654" i="80"/>
  <c r="N5654" i="80"/>
  <c r="O5653" i="80"/>
  <c r="N5653" i="80"/>
  <c r="O5652" i="80"/>
  <c r="N5652" i="80"/>
  <c r="O5651" i="80"/>
  <c r="N5651" i="80"/>
  <c r="O5650" i="80"/>
  <c r="N5650" i="80"/>
  <c r="O5649" i="80"/>
  <c r="N5649" i="80"/>
  <c r="O5648" i="80"/>
  <c r="N5648" i="80"/>
  <c r="O5647" i="80"/>
  <c r="N5647" i="80"/>
  <c r="O5646" i="80"/>
  <c r="N5646" i="80"/>
  <c r="O5645" i="80"/>
  <c r="N5645" i="80"/>
  <c r="O5644" i="80"/>
  <c r="N5644" i="80"/>
  <c r="O5643" i="80"/>
  <c r="N5643" i="80"/>
  <c r="O5642" i="80"/>
  <c r="N5642" i="80"/>
  <c r="O5641" i="80"/>
  <c r="N5641" i="80"/>
  <c r="O5640" i="80"/>
  <c r="N5640" i="80"/>
  <c r="O5639" i="80"/>
  <c r="N5639" i="80"/>
  <c r="O5638" i="80"/>
  <c r="N5638" i="80"/>
  <c r="O5637" i="80"/>
  <c r="N5637" i="80"/>
  <c r="O5636" i="80"/>
  <c r="N5636" i="80"/>
  <c r="O5635" i="80"/>
  <c r="N5635" i="80"/>
  <c r="O5634" i="80"/>
  <c r="N5634" i="80"/>
  <c r="O5633" i="80"/>
  <c r="N5633" i="80"/>
  <c r="O5632" i="80"/>
  <c r="N5632" i="80"/>
  <c r="O5631" i="80"/>
  <c r="N5631" i="80"/>
  <c r="O5630" i="80"/>
  <c r="N5630" i="80"/>
  <c r="O5629" i="80"/>
  <c r="N5629" i="80"/>
  <c r="O5628" i="80"/>
  <c r="N5628" i="80"/>
  <c r="O5627" i="80"/>
  <c r="N5627" i="80"/>
  <c r="O5626" i="80"/>
  <c r="N5626" i="80"/>
  <c r="O5625" i="80"/>
  <c r="N5625" i="80"/>
  <c r="O5624" i="80"/>
  <c r="N5624" i="80"/>
  <c r="O5623" i="80"/>
  <c r="N5623" i="80"/>
  <c r="O5622" i="80"/>
  <c r="N5622" i="80"/>
  <c r="O5621" i="80"/>
  <c r="N5621" i="80"/>
  <c r="O5620" i="80"/>
  <c r="N5620" i="80"/>
  <c r="O5619" i="80"/>
  <c r="N5619" i="80"/>
  <c r="O5618" i="80"/>
  <c r="N5618" i="80"/>
  <c r="O5617" i="80"/>
  <c r="N5617" i="80"/>
  <c r="O5616" i="80"/>
  <c r="N5616" i="80"/>
  <c r="O5615" i="80"/>
  <c r="N5615" i="80"/>
  <c r="O5614" i="80"/>
  <c r="N5614" i="80"/>
  <c r="O5613" i="80"/>
  <c r="N5613" i="80"/>
  <c r="O5612" i="80"/>
  <c r="N5612" i="80"/>
  <c r="O5611" i="80"/>
  <c r="N5611" i="80"/>
  <c r="O5610" i="80"/>
  <c r="N5610" i="80"/>
  <c r="O5609" i="80"/>
  <c r="N5609" i="80"/>
  <c r="O5608" i="80"/>
  <c r="N5608" i="80"/>
  <c r="O5607" i="80"/>
  <c r="N5607" i="80"/>
  <c r="O5606" i="80"/>
  <c r="N5606" i="80"/>
  <c r="O5605" i="80"/>
  <c r="N5605" i="80"/>
  <c r="O5604" i="80"/>
  <c r="N5604" i="80"/>
  <c r="O5603" i="80"/>
  <c r="N5603" i="80"/>
  <c r="O5602" i="80"/>
  <c r="N5602" i="80"/>
  <c r="O5601" i="80"/>
  <c r="N5601" i="80"/>
  <c r="O5600" i="80"/>
  <c r="N5600" i="80"/>
  <c r="O5599" i="80"/>
  <c r="N5599" i="80"/>
  <c r="O5598" i="80"/>
  <c r="N5598" i="80"/>
  <c r="O5597" i="80"/>
  <c r="N5597" i="80"/>
  <c r="O5596" i="80"/>
  <c r="N5596" i="80"/>
  <c r="O5595" i="80"/>
  <c r="N5595" i="80"/>
  <c r="O5594" i="80"/>
  <c r="N5594" i="80"/>
  <c r="O5593" i="80"/>
  <c r="N5593" i="80"/>
  <c r="O5592" i="80"/>
  <c r="N5592" i="80"/>
  <c r="O5591" i="80"/>
  <c r="N5591" i="80"/>
  <c r="O5590" i="80"/>
  <c r="N5590" i="80"/>
  <c r="O5589" i="80"/>
  <c r="N5589" i="80"/>
  <c r="O5588" i="80"/>
  <c r="N5588" i="80"/>
  <c r="O5587" i="80"/>
  <c r="N5587" i="80"/>
  <c r="O5586" i="80"/>
  <c r="N5586" i="80"/>
  <c r="O5585" i="80"/>
  <c r="N5585" i="80"/>
  <c r="O5584" i="80"/>
  <c r="N5584" i="80"/>
  <c r="O5583" i="80"/>
  <c r="N5583" i="80"/>
  <c r="O5582" i="80"/>
  <c r="N5582" i="80"/>
  <c r="O5581" i="80"/>
  <c r="N5581" i="80"/>
  <c r="O5580" i="80"/>
  <c r="N5580" i="80"/>
  <c r="O5579" i="80"/>
  <c r="N5579" i="80"/>
  <c r="O5578" i="80"/>
  <c r="N5578" i="80"/>
  <c r="O5577" i="80"/>
  <c r="N5577" i="80"/>
  <c r="O5576" i="80"/>
  <c r="N5576" i="80"/>
  <c r="O5575" i="80"/>
  <c r="N5575" i="80"/>
  <c r="O5574" i="80"/>
  <c r="N5574" i="80"/>
  <c r="O5573" i="80"/>
  <c r="N5573" i="80"/>
  <c r="O5572" i="80"/>
  <c r="N5572" i="80"/>
  <c r="O5571" i="80"/>
  <c r="N5571" i="80"/>
  <c r="O5570" i="80"/>
  <c r="N5570" i="80"/>
  <c r="O5569" i="80"/>
  <c r="N5569" i="80"/>
  <c r="O5568" i="80"/>
  <c r="N5568" i="80"/>
  <c r="O5567" i="80"/>
  <c r="N5567" i="80"/>
  <c r="O5566" i="80"/>
  <c r="N5566" i="80"/>
  <c r="O5565" i="80"/>
  <c r="N5565" i="80"/>
  <c r="O5564" i="80"/>
  <c r="N5564" i="80"/>
  <c r="O5563" i="80"/>
  <c r="N5563" i="80"/>
  <c r="O5562" i="80"/>
  <c r="N5562" i="80"/>
  <c r="O5561" i="80"/>
  <c r="N5561" i="80"/>
  <c r="O5560" i="80"/>
  <c r="N5560" i="80"/>
  <c r="O5559" i="80"/>
  <c r="N5559" i="80"/>
  <c r="O5558" i="80"/>
  <c r="N5558" i="80"/>
  <c r="O5557" i="80"/>
  <c r="N5557" i="80"/>
  <c r="O5556" i="80"/>
  <c r="N5556" i="80"/>
  <c r="O5555" i="80"/>
  <c r="N5555" i="80"/>
  <c r="O5554" i="80"/>
  <c r="N5554" i="80"/>
  <c r="O5553" i="80"/>
  <c r="N5553" i="80"/>
  <c r="O5552" i="80"/>
  <c r="N5552" i="80"/>
  <c r="O5551" i="80"/>
  <c r="N5551" i="80"/>
  <c r="O5550" i="80"/>
  <c r="N5550" i="80"/>
  <c r="O5549" i="80"/>
  <c r="N5549" i="80"/>
  <c r="O5548" i="80"/>
  <c r="N5548" i="80"/>
  <c r="O5547" i="80"/>
  <c r="N5547" i="80"/>
  <c r="O5546" i="80"/>
  <c r="N5546" i="80"/>
  <c r="O5545" i="80"/>
  <c r="N5545" i="80"/>
  <c r="O5544" i="80"/>
  <c r="N5544" i="80"/>
  <c r="O5543" i="80"/>
  <c r="N5543" i="80"/>
  <c r="O5542" i="80"/>
  <c r="N5542" i="80"/>
  <c r="O5541" i="80"/>
  <c r="N5541" i="80"/>
  <c r="O5540" i="80"/>
  <c r="N5540" i="80"/>
  <c r="O5539" i="80"/>
  <c r="N5539" i="80"/>
  <c r="O5538" i="80"/>
  <c r="N5538" i="80"/>
  <c r="O5537" i="80"/>
  <c r="N5537" i="80"/>
  <c r="O5536" i="80"/>
  <c r="N5536" i="80"/>
  <c r="O5535" i="80"/>
  <c r="N5535" i="80"/>
  <c r="O5534" i="80"/>
  <c r="N5534" i="80"/>
  <c r="O5533" i="80"/>
  <c r="N5533" i="80"/>
  <c r="O5532" i="80"/>
  <c r="N5532" i="80"/>
  <c r="O5531" i="80"/>
  <c r="N5531" i="80"/>
  <c r="O5530" i="80"/>
  <c r="N5530" i="80"/>
  <c r="P5530" i="80" s="1"/>
  <c r="O5529" i="80"/>
  <c r="N5529" i="80"/>
  <c r="O5528" i="80"/>
  <c r="N5528" i="80"/>
  <c r="O5527" i="80"/>
  <c r="N5527" i="80"/>
  <c r="O5526" i="80"/>
  <c r="N5526" i="80"/>
  <c r="O5525" i="80"/>
  <c r="N5525" i="80"/>
  <c r="O5524" i="80"/>
  <c r="N5524" i="80"/>
  <c r="O5523" i="80"/>
  <c r="N5523" i="80"/>
  <c r="O5522" i="80"/>
  <c r="N5522" i="80"/>
  <c r="O5521" i="80"/>
  <c r="N5521" i="80"/>
  <c r="O5520" i="80"/>
  <c r="N5520" i="80"/>
  <c r="O5519" i="80"/>
  <c r="N5519" i="80"/>
  <c r="O5518" i="80"/>
  <c r="N5518" i="80"/>
  <c r="P5518" i="80" s="1"/>
  <c r="O5517" i="80"/>
  <c r="N5517" i="80"/>
  <c r="O5516" i="80"/>
  <c r="N5516" i="80"/>
  <c r="O5515" i="80"/>
  <c r="N5515" i="80"/>
  <c r="O5514" i="80"/>
  <c r="N5514" i="80"/>
  <c r="O5513" i="80"/>
  <c r="N5513" i="80"/>
  <c r="O5512" i="80"/>
  <c r="N5512" i="80"/>
  <c r="O5511" i="80"/>
  <c r="N5511" i="80"/>
  <c r="O5510" i="80"/>
  <c r="N5510" i="80"/>
  <c r="O5509" i="80"/>
  <c r="N5509" i="80"/>
  <c r="O5508" i="80"/>
  <c r="N5508" i="80"/>
  <c r="O5507" i="80"/>
  <c r="N5507" i="80"/>
  <c r="O5506" i="80"/>
  <c r="N5506" i="80"/>
  <c r="O5505" i="80"/>
  <c r="N5505" i="80"/>
  <c r="O5504" i="80"/>
  <c r="N5504" i="80"/>
  <c r="O5503" i="80"/>
  <c r="N5503" i="80"/>
  <c r="O5502" i="80"/>
  <c r="N5502" i="80"/>
  <c r="O5501" i="80"/>
  <c r="N5501" i="80"/>
  <c r="O5500" i="80"/>
  <c r="N5500" i="80"/>
  <c r="O5499" i="80"/>
  <c r="N5499" i="80"/>
  <c r="O5498" i="80"/>
  <c r="N5498" i="80"/>
  <c r="O5497" i="80"/>
  <c r="N5497" i="80"/>
  <c r="O5496" i="80"/>
  <c r="N5496" i="80"/>
  <c r="O5495" i="80"/>
  <c r="N5495" i="80"/>
  <c r="O5494" i="80"/>
  <c r="N5494" i="80"/>
  <c r="O5493" i="80"/>
  <c r="N5493" i="80"/>
  <c r="O5492" i="80"/>
  <c r="N5492" i="80"/>
  <c r="O5491" i="80"/>
  <c r="N5491" i="80"/>
  <c r="O5490" i="80"/>
  <c r="N5490" i="80"/>
  <c r="O5489" i="80"/>
  <c r="N5489" i="80"/>
  <c r="O5488" i="80"/>
  <c r="N5488" i="80"/>
  <c r="O5487" i="80"/>
  <c r="N5487" i="80"/>
  <c r="O5486" i="80"/>
  <c r="N5486" i="80"/>
  <c r="O5485" i="80"/>
  <c r="N5485" i="80"/>
  <c r="O5484" i="80"/>
  <c r="N5484" i="80"/>
  <c r="O5483" i="80"/>
  <c r="N5483" i="80"/>
  <c r="O5482" i="80"/>
  <c r="N5482" i="80"/>
  <c r="O5481" i="80"/>
  <c r="N5481" i="80"/>
  <c r="O5480" i="80"/>
  <c r="N5480" i="80"/>
  <c r="O5479" i="80"/>
  <c r="N5479" i="80"/>
  <c r="O5478" i="80"/>
  <c r="N5478" i="80"/>
  <c r="O5477" i="80"/>
  <c r="N5477" i="80"/>
  <c r="O5476" i="80"/>
  <c r="N5476" i="80"/>
  <c r="O5475" i="80"/>
  <c r="N5475" i="80"/>
  <c r="O5474" i="80"/>
  <c r="N5474" i="80"/>
  <c r="O5473" i="80"/>
  <c r="N5473" i="80"/>
  <c r="O5472" i="80"/>
  <c r="N5472" i="80"/>
  <c r="O5471" i="80"/>
  <c r="N5471" i="80"/>
  <c r="O5470" i="80"/>
  <c r="N5470" i="80"/>
  <c r="O5469" i="80"/>
  <c r="N5469" i="80"/>
  <c r="O5468" i="80"/>
  <c r="N5468" i="80"/>
  <c r="O5467" i="80"/>
  <c r="N5467" i="80"/>
  <c r="O5466" i="80"/>
  <c r="N5466" i="80"/>
  <c r="O5465" i="80"/>
  <c r="N5465" i="80"/>
  <c r="O5464" i="80"/>
  <c r="N5464" i="80"/>
  <c r="O5463" i="80"/>
  <c r="N5463" i="80"/>
  <c r="O5462" i="80"/>
  <c r="N5462" i="80"/>
  <c r="O5461" i="80"/>
  <c r="N5461" i="80"/>
  <c r="O5460" i="80"/>
  <c r="N5460" i="80"/>
  <c r="O5459" i="80"/>
  <c r="N5459" i="80"/>
  <c r="O5458" i="80"/>
  <c r="N5458" i="80"/>
  <c r="O5457" i="80"/>
  <c r="N5457" i="80"/>
  <c r="O5456" i="80"/>
  <c r="N5456" i="80"/>
  <c r="O5455" i="80"/>
  <c r="N5455" i="80"/>
  <c r="O5454" i="80"/>
  <c r="N5454" i="80"/>
  <c r="O5453" i="80"/>
  <c r="N5453" i="80"/>
  <c r="O5452" i="80"/>
  <c r="N5452" i="80"/>
  <c r="O5451" i="80"/>
  <c r="N5451" i="80"/>
  <c r="O5450" i="80"/>
  <c r="N5450" i="80"/>
  <c r="O5449" i="80"/>
  <c r="N5449" i="80"/>
  <c r="O5448" i="80"/>
  <c r="N5448" i="80"/>
  <c r="O5447" i="80"/>
  <c r="N5447" i="80"/>
  <c r="O5446" i="80"/>
  <c r="N5446" i="80"/>
  <c r="O5445" i="80"/>
  <c r="N5445" i="80"/>
  <c r="O5444" i="80"/>
  <c r="N5444" i="80"/>
  <c r="O5443" i="80"/>
  <c r="N5443" i="80"/>
  <c r="O5442" i="80"/>
  <c r="N5442" i="80"/>
  <c r="O5441" i="80"/>
  <c r="N5441" i="80"/>
  <c r="O5440" i="80"/>
  <c r="N5440" i="80"/>
  <c r="O5439" i="80"/>
  <c r="N5439" i="80"/>
  <c r="O5438" i="80"/>
  <c r="N5438" i="80"/>
  <c r="O5437" i="80"/>
  <c r="N5437" i="80"/>
  <c r="O5436" i="80"/>
  <c r="N5436" i="80"/>
  <c r="O5435" i="80"/>
  <c r="N5435" i="80"/>
  <c r="O5434" i="80"/>
  <c r="N5434" i="80"/>
  <c r="O5433" i="80"/>
  <c r="N5433" i="80"/>
  <c r="O5432" i="80"/>
  <c r="N5432" i="80"/>
  <c r="O5431" i="80"/>
  <c r="N5431" i="80"/>
  <c r="O5430" i="80"/>
  <c r="N5430" i="80"/>
  <c r="O5429" i="80"/>
  <c r="N5429" i="80"/>
  <c r="O5428" i="80"/>
  <c r="N5428" i="80"/>
  <c r="O5427" i="80"/>
  <c r="N5427" i="80"/>
  <c r="O5426" i="80"/>
  <c r="N5426" i="80"/>
  <c r="O5425" i="80"/>
  <c r="N5425" i="80"/>
  <c r="O5424" i="80"/>
  <c r="N5424" i="80"/>
  <c r="O5423" i="80"/>
  <c r="N5423" i="80"/>
  <c r="O5422" i="80"/>
  <c r="N5422" i="80"/>
  <c r="O5421" i="80"/>
  <c r="N5421" i="80"/>
  <c r="O5420" i="80"/>
  <c r="N5420" i="80"/>
  <c r="O5419" i="80"/>
  <c r="N5419" i="80"/>
  <c r="O5418" i="80"/>
  <c r="N5418" i="80"/>
  <c r="O5417" i="80"/>
  <c r="N5417" i="80"/>
  <c r="O5416" i="80"/>
  <c r="N5416" i="80"/>
  <c r="O5415" i="80"/>
  <c r="N5415" i="80"/>
  <c r="O5414" i="80"/>
  <c r="N5414" i="80"/>
  <c r="O5413" i="80"/>
  <c r="N5413" i="80"/>
  <c r="O5412" i="80"/>
  <c r="N5412" i="80"/>
  <c r="O5411" i="80"/>
  <c r="N5411" i="80"/>
  <c r="O5410" i="80"/>
  <c r="N5410" i="80"/>
  <c r="O5409" i="80"/>
  <c r="N5409" i="80"/>
  <c r="O5408" i="80"/>
  <c r="N5408" i="80"/>
  <c r="O5407" i="80"/>
  <c r="N5407" i="80"/>
  <c r="O5406" i="80"/>
  <c r="N5406" i="80"/>
  <c r="O5405" i="80"/>
  <c r="N5405" i="80"/>
  <c r="O5404" i="80"/>
  <c r="N5404" i="80"/>
  <c r="O5403" i="80"/>
  <c r="N5403" i="80"/>
  <c r="O5402" i="80"/>
  <c r="N5402" i="80"/>
  <c r="O5401" i="80"/>
  <c r="N5401" i="80"/>
  <c r="O5400" i="80"/>
  <c r="N5400" i="80"/>
  <c r="O5399" i="80"/>
  <c r="N5399" i="80"/>
  <c r="O5398" i="80"/>
  <c r="N5398" i="80"/>
  <c r="O5397" i="80"/>
  <c r="N5397" i="80"/>
  <c r="O5396" i="80"/>
  <c r="N5396" i="80"/>
  <c r="O5395" i="80"/>
  <c r="N5395" i="80"/>
  <c r="O5394" i="80"/>
  <c r="N5394" i="80"/>
  <c r="O5393" i="80"/>
  <c r="N5393" i="80"/>
  <c r="O5392" i="80"/>
  <c r="N5392" i="80"/>
  <c r="O5391" i="80"/>
  <c r="N5391" i="80"/>
  <c r="O5390" i="80"/>
  <c r="N5390" i="80"/>
  <c r="O5389" i="80"/>
  <c r="N5389" i="80"/>
  <c r="O5388" i="80"/>
  <c r="N5388" i="80"/>
  <c r="O5387" i="80"/>
  <c r="N5387" i="80"/>
  <c r="O5386" i="80"/>
  <c r="N5386" i="80"/>
  <c r="O5385" i="80"/>
  <c r="N5385" i="80"/>
  <c r="O5384" i="80"/>
  <c r="N5384" i="80"/>
  <c r="O5383" i="80"/>
  <c r="N5383" i="80"/>
  <c r="O5382" i="80"/>
  <c r="N5382" i="80"/>
  <c r="O5381" i="80"/>
  <c r="N5381" i="80"/>
  <c r="O5380" i="80"/>
  <c r="N5380" i="80"/>
  <c r="O5379" i="80"/>
  <c r="N5379" i="80"/>
  <c r="O5378" i="80"/>
  <c r="N5378" i="80"/>
  <c r="O5377" i="80"/>
  <c r="N5377" i="80"/>
  <c r="O5376" i="80"/>
  <c r="N5376" i="80"/>
  <c r="O5375" i="80"/>
  <c r="N5375" i="80"/>
  <c r="O5374" i="80"/>
  <c r="N5374" i="80"/>
  <c r="O5373" i="80"/>
  <c r="N5373" i="80"/>
  <c r="O5372" i="80"/>
  <c r="N5372" i="80"/>
  <c r="O5371" i="80"/>
  <c r="N5371" i="80"/>
  <c r="O5370" i="80"/>
  <c r="N5370" i="80"/>
  <c r="O5369" i="80"/>
  <c r="N5369" i="80"/>
  <c r="O5368" i="80"/>
  <c r="N5368" i="80"/>
  <c r="O5367" i="80"/>
  <c r="N5367" i="80"/>
  <c r="O5366" i="80"/>
  <c r="N5366" i="80"/>
  <c r="O5365" i="80"/>
  <c r="N5365" i="80"/>
  <c r="O5364" i="80"/>
  <c r="N5364" i="80"/>
  <c r="O5363" i="80"/>
  <c r="N5363" i="80"/>
  <c r="O5362" i="80"/>
  <c r="N5362" i="80"/>
  <c r="O5361" i="80"/>
  <c r="N5361" i="80"/>
  <c r="O5360" i="80"/>
  <c r="N5360" i="80"/>
  <c r="O5359" i="80"/>
  <c r="N5359" i="80"/>
  <c r="O5358" i="80"/>
  <c r="N5358" i="80"/>
  <c r="O5357" i="80"/>
  <c r="N5357" i="80"/>
  <c r="O5356" i="80"/>
  <c r="N5356" i="80"/>
  <c r="O5355" i="80"/>
  <c r="N5355" i="80"/>
  <c r="O5354" i="80"/>
  <c r="N5354" i="80"/>
  <c r="O5353" i="80"/>
  <c r="N5353" i="80"/>
  <c r="O5352" i="80"/>
  <c r="N5352" i="80"/>
  <c r="O5351" i="80"/>
  <c r="N5351" i="80"/>
  <c r="O5350" i="80"/>
  <c r="N5350" i="80"/>
  <c r="O5349" i="80"/>
  <c r="N5349" i="80"/>
  <c r="O5348" i="80"/>
  <c r="N5348" i="80"/>
  <c r="O5347" i="80"/>
  <c r="N5347" i="80"/>
  <c r="O5346" i="80"/>
  <c r="N5346" i="80"/>
  <c r="O5345" i="80"/>
  <c r="N5345" i="80"/>
  <c r="O5344" i="80"/>
  <c r="N5344" i="80"/>
  <c r="O5343" i="80"/>
  <c r="N5343" i="80"/>
  <c r="O5342" i="80"/>
  <c r="N5342" i="80"/>
  <c r="O5341" i="80"/>
  <c r="N5341" i="80"/>
  <c r="O5340" i="80"/>
  <c r="N5340" i="80"/>
  <c r="O5339" i="80"/>
  <c r="N5339" i="80"/>
  <c r="O5338" i="80"/>
  <c r="N5338" i="80"/>
  <c r="O5337" i="80"/>
  <c r="N5337" i="80"/>
  <c r="O5336" i="80"/>
  <c r="N5336" i="80"/>
  <c r="O5335" i="80"/>
  <c r="N5335" i="80"/>
  <c r="O5334" i="80"/>
  <c r="N5334" i="80"/>
  <c r="O5333" i="80"/>
  <c r="N5333" i="80"/>
  <c r="O5332" i="80"/>
  <c r="N5332" i="80"/>
  <c r="O5331" i="80"/>
  <c r="N5331" i="80"/>
  <c r="O5330" i="80"/>
  <c r="N5330" i="80"/>
  <c r="O5329" i="80"/>
  <c r="N5329" i="80"/>
  <c r="O5328" i="80"/>
  <c r="N5328" i="80"/>
  <c r="O5327" i="80"/>
  <c r="N5327" i="80"/>
  <c r="O5326" i="80"/>
  <c r="N5326" i="80"/>
  <c r="O5325" i="80"/>
  <c r="N5325" i="80"/>
  <c r="O5324" i="80"/>
  <c r="N5324" i="80"/>
  <c r="O5323" i="80"/>
  <c r="N5323" i="80"/>
  <c r="O5322" i="80"/>
  <c r="N5322" i="80"/>
  <c r="O5321" i="80"/>
  <c r="N5321" i="80"/>
  <c r="O5320" i="80"/>
  <c r="N5320" i="80"/>
  <c r="O5319" i="80"/>
  <c r="N5319" i="80"/>
  <c r="O5318" i="80"/>
  <c r="N5318" i="80"/>
  <c r="O5317" i="80"/>
  <c r="N5317" i="80"/>
  <c r="O5316" i="80"/>
  <c r="N5316" i="80"/>
  <c r="O5315" i="80"/>
  <c r="N5315" i="80"/>
  <c r="O5314" i="80"/>
  <c r="N5314" i="80"/>
  <c r="O5313" i="80"/>
  <c r="N5313" i="80"/>
  <c r="O5312" i="80"/>
  <c r="N5312" i="80"/>
  <c r="O5311" i="80"/>
  <c r="N5311" i="80"/>
  <c r="O5310" i="80"/>
  <c r="N5310" i="80"/>
  <c r="O5309" i="80"/>
  <c r="N5309" i="80"/>
  <c r="O5308" i="80"/>
  <c r="N5308" i="80"/>
  <c r="O5307" i="80"/>
  <c r="N5307" i="80"/>
  <c r="O5306" i="80"/>
  <c r="N5306" i="80"/>
  <c r="O5305" i="80"/>
  <c r="N5305" i="80"/>
  <c r="O5304" i="80"/>
  <c r="N5304" i="80"/>
  <c r="O5303" i="80"/>
  <c r="N5303" i="80"/>
  <c r="O5302" i="80"/>
  <c r="N5302" i="80"/>
  <c r="O5301" i="80"/>
  <c r="N5301" i="80"/>
  <c r="O5300" i="80"/>
  <c r="N5300" i="80"/>
  <c r="O5299" i="80"/>
  <c r="N5299" i="80"/>
  <c r="O5298" i="80"/>
  <c r="N5298" i="80"/>
  <c r="O5297" i="80"/>
  <c r="N5297" i="80"/>
  <c r="O5296" i="80"/>
  <c r="N5296" i="80"/>
  <c r="O5295" i="80"/>
  <c r="N5295" i="80"/>
  <c r="O5294" i="80"/>
  <c r="N5294" i="80"/>
  <c r="O5293" i="80"/>
  <c r="N5293" i="80"/>
  <c r="O5292" i="80"/>
  <c r="N5292" i="80"/>
  <c r="O5291" i="80"/>
  <c r="N5291" i="80"/>
  <c r="O5290" i="80"/>
  <c r="N5290" i="80"/>
  <c r="O5289" i="80"/>
  <c r="N5289" i="80"/>
  <c r="O5288" i="80"/>
  <c r="N5288" i="80"/>
  <c r="O5287" i="80"/>
  <c r="N5287" i="80"/>
  <c r="O5286" i="80"/>
  <c r="N5286" i="80"/>
  <c r="O5285" i="80"/>
  <c r="N5285" i="80"/>
  <c r="O5284" i="80"/>
  <c r="N5284" i="80"/>
  <c r="O5283" i="80"/>
  <c r="N5283" i="80"/>
  <c r="O5282" i="80"/>
  <c r="N5282" i="80"/>
  <c r="O5281" i="80"/>
  <c r="N5281" i="80"/>
  <c r="O5280" i="80"/>
  <c r="N5280" i="80"/>
  <c r="O5279" i="80"/>
  <c r="N5279" i="80"/>
  <c r="O5278" i="80"/>
  <c r="N5278" i="80"/>
  <c r="O5277" i="80"/>
  <c r="N5277" i="80"/>
  <c r="O5276" i="80"/>
  <c r="N5276" i="80"/>
  <c r="O5275" i="80"/>
  <c r="N5275" i="80"/>
  <c r="O5274" i="80"/>
  <c r="N5274" i="80"/>
  <c r="O5273" i="80"/>
  <c r="N5273" i="80"/>
  <c r="O5272" i="80"/>
  <c r="N5272" i="80"/>
  <c r="O5271" i="80"/>
  <c r="N5271" i="80"/>
  <c r="O5270" i="80"/>
  <c r="N5270" i="80"/>
  <c r="O5269" i="80"/>
  <c r="N5269" i="80"/>
  <c r="O5268" i="80"/>
  <c r="N5268" i="80"/>
  <c r="O5267" i="80"/>
  <c r="N5267" i="80"/>
  <c r="O5266" i="80"/>
  <c r="N5266" i="80"/>
  <c r="O5265" i="80"/>
  <c r="N5265" i="80"/>
  <c r="O5264" i="80"/>
  <c r="N5264" i="80"/>
  <c r="O5263" i="80"/>
  <c r="N5263" i="80"/>
  <c r="O5262" i="80"/>
  <c r="N5262" i="80"/>
  <c r="O5261" i="80"/>
  <c r="N5261" i="80"/>
  <c r="O5260" i="80"/>
  <c r="N5260" i="80"/>
  <c r="O5259" i="80"/>
  <c r="N5259" i="80"/>
  <c r="O5258" i="80"/>
  <c r="N5258" i="80"/>
  <c r="O5257" i="80"/>
  <c r="N5257" i="80"/>
  <c r="O5256" i="80"/>
  <c r="N5256" i="80"/>
  <c r="O5255" i="80"/>
  <c r="N5255" i="80"/>
  <c r="O5254" i="80"/>
  <c r="N5254" i="80"/>
  <c r="O5253" i="80"/>
  <c r="N5253" i="80"/>
  <c r="O5252" i="80"/>
  <c r="N5252" i="80"/>
  <c r="O5251" i="80"/>
  <c r="N5251" i="80"/>
  <c r="O5250" i="80"/>
  <c r="N5250" i="80"/>
  <c r="O5249" i="80"/>
  <c r="N5249" i="80"/>
  <c r="O5248" i="80"/>
  <c r="N5248" i="80"/>
  <c r="O5247" i="80"/>
  <c r="N5247" i="80"/>
  <c r="O5246" i="80"/>
  <c r="N5246" i="80"/>
  <c r="O5245" i="80"/>
  <c r="N5245" i="80"/>
  <c r="O5244" i="80"/>
  <c r="N5244" i="80"/>
  <c r="O5243" i="80"/>
  <c r="N5243" i="80"/>
  <c r="O5242" i="80"/>
  <c r="N5242" i="80"/>
  <c r="O5241" i="80"/>
  <c r="N5241" i="80"/>
  <c r="O5240" i="80"/>
  <c r="N5240" i="80"/>
  <c r="O5239" i="80"/>
  <c r="N5239" i="80"/>
  <c r="O5238" i="80"/>
  <c r="N5238" i="80"/>
  <c r="O5237" i="80"/>
  <c r="N5237" i="80"/>
  <c r="O5236" i="80"/>
  <c r="N5236" i="80"/>
  <c r="O5235" i="80"/>
  <c r="N5235" i="80"/>
  <c r="O5234" i="80"/>
  <c r="N5234" i="80"/>
  <c r="O5233" i="80"/>
  <c r="N5233" i="80"/>
  <c r="O5232" i="80"/>
  <c r="N5232" i="80"/>
  <c r="O5231" i="80"/>
  <c r="N5231" i="80"/>
  <c r="O5230" i="80"/>
  <c r="N5230" i="80"/>
  <c r="O5229" i="80"/>
  <c r="N5229" i="80"/>
  <c r="O5228" i="80"/>
  <c r="N5228" i="80"/>
  <c r="O5227" i="80"/>
  <c r="N5227" i="80"/>
  <c r="O5226" i="80"/>
  <c r="N5226" i="80"/>
  <c r="O5225" i="80"/>
  <c r="N5225" i="80"/>
  <c r="O5224" i="80"/>
  <c r="N5224" i="80"/>
  <c r="O5223" i="80"/>
  <c r="N5223" i="80"/>
  <c r="O5222" i="80"/>
  <c r="N5222" i="80"/>
  <c r="O5221" i="80"/>
  <c r="N5221" i="80"/>
  <c r="O5220" i="80"/>
  <c r="N5220" i="80"/>
  <c r="O5219" i="80"/>
  <c r="N5219" i="80"/>
  <c r="O5218" i="80"/>
  <c r="N5218" i="80"/>
  <c r="O5217" i="80"/>
  <c r="N5217" i="80"/>
  <c r="O5216" i="80"/>
  <c r="N5216" i="80"/>
  <c r="O5215" i="80"/>
  <c r="N5215" i="80"/>
  <c r="O5214" i="80"/>
  <c r="N5214" i="80"/>
  <c r="O5213" i="80"/>
  <c r="N5213" i="80"/>
  <c r="O5212" i="80"/>
  <c r="N5212" i="80"/>
  <c r="O5211" i="80"/>
  <c r="N5211" i="80"/>
  <c r="O5210" i="80"/>
  <c r="N5210" i="80"/>
  <c r="O5209" i="80"/>
  <c r="N5209" i="80"/>
  <c r="O5208" i="80"/>
  <c r="N5208" i="80"/>
  <c r="O5207" i="80"/>
  <c r="N5207" i="80"/>
  <c r="O5206" i="80"/>
  <c r="N5206" i="80"/>
  <c r="O5205" i="80"/>
  <c r="N5205" i="80"/>
  <c r="O5204" i="80"/>
  <c r="N5204" i="80"/>
  <c r="O5203" i="80"/>
  <c r="N5203" i="80"/>
  <c r="O5202" i="80"/>
  <c r="N5202" i="80"/>
  <c r="O5201" i="80"/>
  <c r="N5201" i="80"/>
  <c r="O5200" i="80"/>
  <c r="N5200" i="80"/>
  <c r="O5199" i="80"/>
  <c r="N5199" i="80"/>
  <c r="O5198" i="80"/>
  <c r="N5198" i="80"/>
  <c r="O5197" i="80"/>
  <c r="N5197" i="80"/>
  <c r="O5196" i="80"/>
  <c r="N5196" i="80"/>
  <c r="O5195" i="80"/>
  <c r="N5195" i="80"/>
  <c r="O5194" i="80"/>
  <c r="N5194" i="80"/>
  <c r="O5193" i="80"/>
  <c r="N5193" i="80"/>
  <c r="O5192" i="80"/>
  <c r="N5192" i="80"/>
  <c r="O5191" i="80"/>
  <c r="N5191" i="80"/>
  <c r="O5190" i="80"/>
  <c r="N5190" i="80"/>
  <c r="O5189" i="80"/>
  <c r="N5189" i="80"/>
  <c r="O5188" i="80"/>
  <c r="N5188" i="80"/>
  <c r="O5187" i="80"/>
  <c r="N5187" i="80"/>
  <c r="O5186" i="80"/>
  <c r="N5186" i="80"/>
  <c r="O5185" i="80"/>
  <c r="N5185" i="80"/>
  <c r="O5184" i="80"/>
  <c r="N5184" i="80"/>
  <c r="O5183" i="80"/>
  <c r="N5183" i="80"/>
  <c r="O5182" i="80"/>
  <c r="N5182" i="80"/>
  <c r="O5181" i="80"/>
  <c r="N5181" i="80"/>
  <c r="O5180" i="80"/>
  <c r="N5180" i="80"/>
  <c r="O5179" i="80"/>
  <c r="N5179" i="80"/>
  <c r="O5178" i="80"/>
  <c r="N5178" i="80"/>
  <c r="O5177" i="80"/>
  <c r="N5177" i="80"/>
  <c r="O5176" i="80"/>
  <c r="N5176" i="80"/>
  <c r="O5175" i="80"/>
  <c r="N5175" i="80"/>
  <c r="O5174" i="80"/>
  <c r="N5174" i="80"/>
  <c r="O5173" i="80"/>
  <c r="N5173" i="80"/>
  <c r="O5172" i="80"/>
  <c r="N5172" i="80"/>
  <c r="O5171" i="80"/>
  <c r="N5171" i="80"/>
  <c r="O5170" i="80"/>
  <c r="N5170" i="80"/>
  <c r="O5169" i="80"/>
  <c r="N5169" i="80"/>
  <c r="O5168" i="80"/>
  <c r="N5168" i="80"/>
  <c r="O5167" i="80"/>
  <c r="N5167" i="80"/>
  <c r="O5166" i="80"/>
  <c r="N5166" i="80"/>
  <c r="O5165" i="80"/>
  <c r="N5165" i="80"/>
  <c r="O5164" i="80"/>
  <c r="N5164" i="80"/>
  <c r="O5163" i="80"/>
  <c r="N5163" i="80"/>
  <c r="O5162" i="80"/>
  <c r="N5162" i="80"/>
  <c r="O5161" i="80"/>
  <c r="N5161" i="80"/>
  <c r="O5160" i="80"/>
  <c r="N5160" i="80"/>
  <c r="O5159" i="80"/>
  <c r="N5159" i="80"/>
  <c r="O5158" i="80"/>
  <c r="N5158" i="80"/>
  <c r="O5157" i="80"/>
  <c r="N5157" i="80"/>
  <c r="O5156" i="80"/>
  <c r="N5156" i="80"/>
  <c r="O5155" i="80"/>
  <c r="N5155" i="80"/>
  <c r="O5154" i="80"/>
  <c r="N5154" i="80"/>
  <c r="O5153" i="80"/>
  <c r="N5153" i="80"/>
  <c r="O5152" i="80"/>
  <c r="N5152" i="80"/>
  <c r="O5151" i="80"/>
  <c r="N5151" i="80"/>
  <c r="O5150" i="80"/>
  <c r="N5150" i="80"/>
  <c r="O5149" i="80"/>
  <c r="N5149" i="80"/>
  <c r="O5148" i="80"/>
  <c r="N5148" i="80"/>
  <c r="O5147" i="80"/>
  <c r="N5147" i="80"/>
  <c r="O5146" i="80"/>
  <c r="N5146" i="80"/>
  <c r="O5145" i="80"/>
  <c r="N5145" i="80"/>
  <c r="O5144" i="80"/>
  <c r="N5144" i="80"/>
  <c r="O5143" i="80"/>
  <c r="N5143" i="80"/>
  <c r="O5142" i="80"/>
  <c r="N5142" i="80"/>
  <c r="O5141" i="80"/>
  <c r="N5141" i="80"/>
  <c r="O5140" i="80"/>
  <c r="N5140" i="80"/>
  <c r="O5139" i="80"/>
  <c r="N5139" i="80"/>
  <c r="O5138" i="80"/>
  <c r="N5138" i="80"/>
  <c r="O5137" i="80"/>
  <c r="N5137" i="80"/>
  <c r="O5136" i="80"/>
  <c r="N5136" i="80"/>
  <c r="O5135" i="80"/>
  <c r="N5135" i="80"/>
  <c r="O5134" i="80"/>
  <c r="N5134" i="80"/>
  <c r="O5133" i="80"/>
  <c r="N5133" i="80"/>
  <c r="O5132" i="80"/>
  <c r="N5132" i="80"/>
  <c r="O5131" i="80"/>
  <c r="N5131" i="80"/>
  <c r="O5130" i="80"/>
  <c r="N5130" i="80"/>
  <c r="O5129" i="80"/>
  <c r="N5129" i="80"/>
  <c r="O5128" i="80"/>
  <c r="N5128" i="80"/>
  <c r="O5127" i="80"/>
  <c r="N5127" i="80"/>
  <c r="O5126" i="80"/>
  <c r="N5126" i="80"/>
  <c r="O5125" i="80"/>
  <c r="N5125" i="80"/>
  <c r="O5124" i="80"/>
  <c r="N5124" i="80"/>
  <c r="O5123" i="80"/>
  <c r="N5123" i="80"/>
  <c r="O5122" i="80"/>
  <c r="N5122" i="80"/>
  <c r="O5121" i="80"/>
  <c r="N5121" i="80"/>
  <c r="O5120" i="80"/>
  <c r="N5120" i="80"/>
  <c r="O5119" i="80"/>
  <c r="N5119" i="80"/>
  <c r="O5118" i="80"/>
  <c r="N5118" i="80"/>
  <c r="O5117" i="80"/>
  <c r="N5117" i="80"/>
  <c r="O5116" i="80"/>
  <c r="N5116" i="80"/>
  <c r="O5115" i="80"/>
  <c r="N5115" i="80"/>
  <c r="O5114" i="80"/>
  <c r="N5114" i="80"/>
  <c r="O5113" i="80"/>
  <c r="N5113" i="80"/>
  <c r="O5112" i="80"/>
  <c r="N5112" i="80"/>
  <c r="O5111" i="80"/>
  <c r="N5111" i="80"/>
  <c r="O5110" i="80"/>
  <c r="N5110" i="80"/>
  <c r="O5109" i="80"/>
  <c r="N5109" i="80"/>
  <c r="O5108" i="80"/>
  <c r="N5108" i="80"/>
  <c r="O5107" i="80"/>
  <c r="N5107" i="80"/>
  <c r="O5106" i="80"/>
  <c r="N5106" i="80"/>
  <c r="O5105" i="80"/>
  <c r="N5105" i="80"/>
  <c r="O5104" i="80"/>
  <c r="N5104" i="80"/>
  <c r="P5104" i="80" s="1"/>
  <c r="O5103" i="80"/>
  <c r="N5103" i="80"/>
  <c r="O5102" i="80"/>
  <c r="N5102" i="80"/>
  <c r="O5101" i="80"/>
  <c r="N5101" i="80"/>
  <c r="O5100" i="80"/>
  <c r="N5100" i="80"/>
  <c r="O5099" i="80"/>
  <c r="N5099" i="80"/>
  <c r="O5098" i="80"/>
  <c r="N5098" i="80"/>
  <c r="O5097" i="80"/>
  <c r="N5097" i="80"/>
  <c r="O5096" i="80"/>
  <c r="N5096" i="80"/>
  <c r="O5095" i="80"/>
  <c r="N5095" i="80"/>
  <c r="O5094" i="80"/>
  <c r="N5094" i="80"/>
  <c r="O5093" i="80"/>
  <c r="N5093" i="80"/>
  <c r="O5092" i="80"/>
  <c r="N5092" i="80"/>
  <c r="O5091" i="80"/>
  <c r="N5091" i="80"/>
  <c r="O5090" i="80"/>
  <c r="N5090" i="80"/>
  <c r="O5089" i="80"/>
  <c r="N5089" i="80"/>
  <c r="O5088" i="80"/>
  <c r="N5088" i="80"/>
  <c r="O5087" i="80"/>
  <c r="N5087" i="80"/>
  <c r="O5086" i="80"/>
  <c r="N5086" i="80"/>
  <c r="O5085" i="80"/>
  <c r="N5085" i="80"/>
  <c r="O5084" i="80"/>
  <c r="N5084" i="80"/>
  <c r="O5083" i="80"/>
  <c r="N5083" i="80"/>
  <c r="O5082" i="80"/>
  <c r="N5082" i="80"/>
  <c r="O5081" i="80"/>
  <c r="N5081" i="80"/>
  <c r="O5080" i="80"/>
  <c r="N5080" i="80"/>
  <c r="O5079" i="80"/>
  <c r="N5079" i="80"/>
  <c r="O5078" i="80"/>
  <c r="N5078" i="80"/>
  <c r="O5077" i="80"/>
  <c r="N5077" i="80"/>
  <c r="O5076" i="80"/>
  <c r="N5076" i="80"/>
  <c r="O5075" i="80"/>
  <c r="N5075" i="80"/>
  <c r="O5074" i="80"/>
  <c r="N5074" i="80"/>
  <c r="O5073" i="80"/>
  <c r="N5073" i="80"/>
  <c r="O5072" i="80"/>
  <c r="N5072" i="80"/>
  <c r="O5071" i="80"/>
  <c r="N5071" i="80"/>
  <c r="O5070" i="80"/>
  <c r="N5070" i="80"/>
  <c r="O5069" i="80"/>
  <c r="N5069" i="80"/>
  <c r="O5068" i="80"/>
  <c r="N5068" i="80"/>
  <c r="O5067" i="80"/>
  <c r="N5067" i="80"/>
  <c r="O5066" i="80"/>
  <c r="N5066" i="80"/>
  <c r="O5065" i="80"/>
  <c r="N5065" i="80"/>
  <c r="O5064" i="80"/>
  <c r="N5064" i="80"/>
  <c r="P5064" i="80" s="1"/>
  <c r="O5063" i="80"/>
  <c r="N5063" i="80"/>
  <c r="O5062" i="80"/>
  <c r="N5062" i="80"/>
  <c r="O5061" i="80"/>
  <c r="N5061" i="80"/>
  <c r="O5060" i="80"/>
  <c r="N5060" i="80"/>
  <c r="O5059" i="80"/>
  <c r="N5059" i="80"/>
  <c r="O5058" i="80"/>
  <c r="N5058" i="80"/>
  <c r="O5057" i="80"/>
  <c r="N5057" i="80"/>
  <c r="O5056" i="80"/>
  <c r="N5056" i="80"/>
  <c r="P5056" i="80" s="1"/>
  <c r="O5055" i="80"/>
  <c r="N5055" i="80"/>
  <c r="O5054" i="80"/>
  <c r="N5054" i="80"/>
  <c r="O5053" i="80"/>
  <c r="N5053" i="80"/>
  <c r="O5052" i="80"/>
  <c r="N5052" i="80"/>
  <c r="O5051" i="80"/>
  <c r="N5051" i="80"/>
  <c r="O5050" i="80"/>
  <c r="N5050" i="80"/>
  <c r="O5049" i="80"/>
  <c r="N5049" i="80"/>
  <c r="O5048" i="80"/>
  <c r="N5048" i="80"/>
  <c r="O5047" i="80"/>
  <c r="N5047" i="80"/>
  <c r="O5046" i="80"/>
  <c r="N5046" i="80"/>
  <c r="O5045" i="80"/>
  <c r="N5045" i="80"/>
  <c r="O5044" i="80"/>
  <c r="N5044" i="80"/>
  <c r="O5043" i="80"/>
  <c r="N5043" i="80"/>
  <c r="O5042" i="80"/>
  <c r="N5042" i="80"/>
  <c r="O5041" i="80"/>
  <c r="N5041" i="80"/>
  <c r="O5040" i="80"/>
  <c r="N5040" i="80"/>
  <c r="O5039" i="80"/>
  <c r="N5039" i="80"/>
  <c r="O5038" i="80"/>
  <c r="N5038" i="80"/>
  <c r="P5038" i="80" s="1"/>
  <c r="O5037" i="80"/>
  <c r="N5037" i="80"/>
  <c r="O5036" i="80"/>
  <c r="N5036" i="80"/>
  <c r="O5035" i="80"/>
  <c r="N5035" i="80"/>
  <c r="O5034" i="80"/>
  <c r="N5034" i="80"/>
  <c r="O5033" i="80"/>
  <c r="N5033" i="80"/>
  <c r="O5032" i="80"/>
  <c r="N5032" i="80"/>
  <c r="O5031" i="80"/>
  <c r="N5031" i="80"/>
  <c r="O5030" i="80"/>
  <c r="N5030" i="80"/>
  <c r="O5029" i="80"/>
  <c r="N5029" i="80"/>
  <c r="O5028" i="80"/>
  <c r="N5028" i="80"/>
  <c r="O5027" i="80"/>
  <c r="N5027" i="80"/>
  <c r="O5026" i="80"/>
  <c r="N5026" i="80"/>
  <c r="O5025" i="80"/>
  <c r="N5025" i="80"/>
  <c r="O5024" i="80"/>
  <c r="N5024" i="80"/>
  <c r="O5023" i="80"/>
  <c r="N5023" i="80"/>
  <c r="O5022" i="80"/>
  <c r="N5022" i="80"/>
  <c r="O5021" i="80"/>
  <c r="N5021" i="80"/>
  <c r="O5020" i="80"/>
  <c r="N5020" i="80"/>
  <c r="O5019" i="80"/>
  <c r="N5019" i="80"/>
  <c r="O5018" i="80"/>
  <c r="N5018" i="80"/>
  <c r="O5017" i="80"/>
  <c r="N5017" i="80"/>
  <c r="O5016" i="80"/>
  <c r="N5016" i="80"/>
  <c r="O5015" i="80"/>
  <c r="N5015" i="80"/>
  <c r="O5014" i="80"/>
  <c r="N5014" i="80"/>
  <c r="O5013" i="80"/>
  <c r="N5013" i="80"/>
  <c r="O5012" i="80"/>
  <c r="N5012" i="80"/>
  <c r="O5011" i="80"/>
  <c r="N5011" i="80"/>
  <c r="O5010" i="80"/>
  <c r="N5010" i="80"/>
  <c r="O5009" i="80"/>
  <c r="N5009" i="80"/>
  <c r="O5008" i="80"/>
  <c r="N5008" i="80"/>
  <c r="O5007" i="80"/>
  <c r="N5007" i="80"/>
  <c r="O5006" i="80"/>
  <c r="N5006" i="80"/>
  <c r="O5005" i="80"/>
  <c r="N5005" i="80"/>
  <c r="O5004" i="80"/>
  <c r="N5004" i="80"/>
  <c r="O5003" i="80"/>
  <c r="N5003" i="80"/>
  <c r="O5002" i="80"/>
  <c r="N5002" i="80"/>
  <c r="O5001" i="80"/>
  <c r="N5001" i="80"/>
  <c r="O5000" i="80"/>
  <c r="N5000" i="80"/>
  <c r="O4999" i="80"/>
  <c r="N4999" i="80"/>
  <c r="O4998" i="80"/>
  <c r="N4998" i="80"/>
  <c r="O4997" i="80"/>
  <c r="N4997" i="80"/>
  <c r="O4996" i="80"/>
  <c r="N4996" i="80"/>
  <c r="O4995" i="80"/>
  <c r="N4995" i="80"/>
  <c r="O4994" i="80"/>
  <c r="N4994" i="80"/>
  <c r="O4993" i="80"/>
  <c r="N4993" i="80"/>
  <c r="O4992" i="80"/>
  <c r="N4992" i="80"/>
  <c r="O4991" i="80"/>
  <c r="N4991" i="80"/>
  <c r="O4990" i="80"/>
  <c r="N4990" i="80"/>
  <c r="O4989" i="80"/>
  <c r="N4989" i="80"/>
  <c r="O4988" i="80"/>
  <c r="N4988" i="80"/>
  <c r="O4987" i="80"/>
  <c r="N4987" i="80"/>
  <c r="O4986" i="80"/>
  <c r="N4986" i="80"/>
  <c r="O4985" i="80"/>
  <c r="N4985" i="80"/>
  <c r="O4984" i="80"/>
  <c r="N4984" i="80"/>
  <c r="O4983" i="80"/>
  <c r="N4983" i="80"/>
  <c r="O4982" i="80"/>
  <c r="N4982" i="80"/>
  <c r="O4981" i="80"/>
  <c r="N4981" i="80"/>
  <c r="O4980" i="80"/>
  <c r="N4980" i="80"/>
  <c r="O4979" i="80"/>
  <c r="N4979" i="80"/>
  <c r="O4978" i="80"/>
  <c r="N4978" i="80"/>
  <c r="O4977" i="80"/>
  <c r="N4977" i="80"/>
  <c r="O4976" i="80"/>
  <c r="N4976" i="80"/>
  <c r="O4975" i="80"/>
  <c r="N4975" i="80"/>
  <c r="O4974" i="80"/>
  <c r="N4974" i="80"/>
  <c r="O4973" i="80"/>
  <c r="N4973" i="80"/>
  <c r="O4972" i="80"/>
  <c r="N4972" i="80"/>
  <c r="O4971" i="80"/>
  <c r="N4971" i="80"/>
  <c r="O4970" i="80"/>
  <c r="N4970" i="80"/>
  <c r="O4969" i="80"/>
  <c r="N4969" i="80"/>
  <c r="O4968" i="80"/>
  <c r="N4968" i="80"/>
  <c r="O4967" i="80"/>
  <c r="N4967" i="80"/>
  <c r="O4966" i="80"/>
  <c r="N4966" i="80"/>
  <c r="O4965" i="80"/>
  <c r="N4965" i="80"/>
  <c r="O4964" i="80"/>
  <c r="N4964" i="80"/>
  <c r="O4963" i="80"/>
  <c r="N4963" i="80"/>
  <c r="O4962" i="80"/>
  <c r="N4962" i="80"/>
  <c r="O4961" i="80"/>
  <c r="N4961" i="80"/>
  <c r="O4960" i="80"/>
  <c r="N4960" i="80"/>
  <c r="O4959" i="80"/>
  <c r="N4959" i="80"/>
  <c r="O4958" i="80"/>
  <c r="N4958" i="80"/>
  <c r="O4957" i="80"/>
  <c r="N4957" i="80"/>
  <c r="O4956" i="80"/>
  <c r="N4956" i="80"/>
  <c r="O4955" i="80"/>
  <c r="N4955" i="80"/>
  <c r="O4954" i="80"/>
  <c r="N4954" i="80"/>
  <c r="O4953" i="80"/>
  <c r="N4953" i="80"/>
  <c r="O4952" i="80"/>
  <c r="N4952" i="80"/>
  <c r="O4951" i="80"/>
  <c r="N4951" i="80"/>
  <c r="O4950" i="80"/>
  <c r="N4950" i="80"/>
  <c r="O4949" i="80"/>
  <c r="N4949" i="80"/>
  <c r="O4948" i="80"/>
  <c r="N4948" i="80"/>
  <c r="O4947" i="80"/>
  <c r="N4947" i="80"/>
  <c r="O4946" i="80"/>
  <c r="N4946" i="80"/>
  <c r="O4945" i="80"/>
  <c r="N4945" i="80"/>
  <c r="O4944" i="80"/>
  <c r="N4944" i="80"/>
  <c r="O4943" i="80"/>
  <c r="N4943" i="80"/>
  <c r="O4942" i="80"/>
  <c r="N4942" i="80"/>
  <c r="O4941" i="80"/>
  <c r="N4941" i="80"/>
  <c r="O4940" i="80"/>
  <c r="N4940" i="80"/>
  <c r="O4939" i="80"/>
  <c r="N4939" i="80"/>
  <c r="O4938" i="80"/>
  <c r="N4938" i="80"/>
  <c r="O4937" i="80"/>
  <c r="N4937" i="80"/>
  <c r="O4936" i="80"/>
  <c r="N4936" i="80"/>
  <c r="O4935" i="80"/>
  <c r="N4935" i="80"/>
  <c r="O4934" i="80"/>
  <c r="N4934" i="80"/>
  <c r="O4933" i="80"/>
  <c r="N4933" i="80"/>
  <c r="O4932" i="80"/>
  <c r="N4932" i="80"/>
  <c r="O4931" i="80"/>
  <c r="N4931" i="80"/>
  <c r="O4930" i="80"/>
  <c r="N4930" i="80"/>
  <c r="O4929" i="80"/>
  <c r="N4929" i="80"/>
  <c r="O4928" i="80"/>
  <c r="N4928" i="80"/>
  <c r="O4927" i="80"/>
  <c r="N4927" i="80"/>
  <c r="O4926" i="80"/>
  <c r="N4926" i="80"/>
  <c r="O4925" i="80"/>
  <c r="N4925" i="80"/>
  <c r="O4924" i="80"/>
  <c r="N4924" i="80"/>
  <c r="O4923" i="80"/>
  <c r="N4923" i="80"/>
  <c r="O4922" i="80"/>
  <c r="N4922" i="80"/>
  <c r="O4921" i="80"/>
  <c r="N4921" i="80"/>
  <c r="O4920" i="80"/>
  <c r="N4920" i="80"/>
  <c r="O4919" i="80"/>
  <c r="N4919" i="80"/>
  <c r="O4918" i="80"/>
  <c r="N4918" i="80"/>
  <c r="O4917" i="80"/>
  <c r="N4917" i="80"/>
  <c r="O4916" i="80"/>
  <c r="N4916" i="80"/>
  <c r="O4915" i="80"/>
  <c r="N4915" i="80"/>
  <c r="O4914" i="80"/>
  <c r="N4914" i="80"/>
  <c r="O4913" i="80"/>
  <c r="N4913" i="80"/>
  <c r="O4912" i="80"/>
  <c r="N4912" i="80"/>
  <c r="O4911" i="80"/>
  <c r="N4911" i="80"/>
  <c r="O4910" i="80"/>
  <c r="N4910" i="80"/>
  <c r="O4909" i="80"/>
  <c r="N4909" i="80"/>
  <c r="O4908" i="80"/>
  <c r="N4908" i="80"/>
  <c r="O4907" i="80"/>
  <c r="N4907" i="80"/>
  <c r="O4906" i="80"/>
  <c r="N4906" i="80"/>
  <c r="O4905" i="80"/>
  <c r="N4905" i="80"/>
  <c r="O4904" i="80"/>
  <c r="N4904" i="80"/>
  <c r="O4903" i="80"/>
  <c r="N4903" i="80"/>
  <c r="O4902" i="80"/>
  <c r="N4902" i="80"/>
  <c r="O4901" i="80"/>
  <c r="N4901" i="80"/>
  <c r="O4900" i="80"/>
  <c r="N4900" i="80"/>
  <c r="O4899" i="80"/>
  <c r="N4899" i="80"/>
  <c r="O4898" i="80"/>
  <c r="N4898" i="80"/>
  <c r="O4897" i="80"/>
  <c r="N4897" i="80"/>
  <c r="O4896" i="80"/>
  <c r="N4896" i="80"/>
  <c r="O4895" i="80"/>
  <c r="N4895" i="80"/>
  <c r="O4894" i="80"/>
  <c r="N4894" i="80"/>
  <c r="O4893" i="80"/>
  <c r="N4893" i="80"/>
  <c r="O4892" i="80"/>
  <c r="N4892" i="80"/>
  <c r="O4891" i="80"/>
  <c r="N4891" i="80"/>
  <c r="O4890" i="80"/>
  <c r="N4890" i="80"/>
  <c r="O4889" i="80"/>
  <c r="N4889" i="80"/>
  <c r="O4888" i="80"/>
  <c r="N4888" i="80"/>
  <c r="O4887" i="80"/>
  <c r="N4887" i="80"/>
  <c r="O4886" i="80"/>
  <c r="N4886" i="80"/>
  <c r="O4885" i="80"/>
  <c r="N4885" i="80"/>
  <c r="O4884" i="80"/>
  <c r="N4884" i="80"/>
  <c r="O4883" i="80"/>
  <c r="N4883" i="80"/>
  <c r="O4882" i="80"/>
  <c r="N4882" i="80"/>
  <c r="O4881" i="80"/>
  <c r="N4881" i="80"/>
  <c r="O4880" i="80"/>
  <c r="N4880" i="80"/>
  <c r="O4879" i="80"/>
  <c r="N4879" i="80"/>
  <c r="O4878" i="80"/>
  <c r="N4878" i="80"/>
  <c r="O4877" i="80"/>
  <c r="N4877" i="80"/>
  <c r="O4876" i="80"/>
  <c r="N4876" i="80"/>
  <c r="O4875" i="80"/>
  <c r="N4875" i="80"/>
  <c r="O4874" i="80"/>
  <c r="N4874" i="80"/>
  <c r="O4873" i="80"/>
  <c r="N4873" i="80"/>
  <c r="O4872" i="80"/>
  <c r="N4872" i="80"/>
  <c r="O4871" i="80"/>
  <c r="N4871" i="80"/>
  <c r="O4870" i="80"/>
  <c r="N4870" i="80"/>
  <c r="O4869" i="80"/>
  <c r="N4869" i="80"/>
  <c r="O4868" i="80"/>
  <c r="N4868" i="80"/>
  <c r="O4867" i="80"/>
  <c r="N4867" i="80"/>
  <c r="O4866" i="80"/>
  <c r="N4866" i="80"/>
  <c r="O4865" i="80"/>
  <c r="N4865" i="80"/>
  <c r="O4864" i="80"/>
  <c r="N4864" i="80"/>
  <c r="O4863" i="80"/>
  <c r="N4863" i="80"/>
  <c r="O4862" i="80"/>
  <c r="N4862" i="80"/>
  <c r="O4861" i="80"/>
  <c r="N4861" i="80"/>
  <c r="O4860" i="80"/>
  <c r="N4860" i="80"/>
  <c r="O4859" i="80"/>
  <c r="N4859" i="80"/>
  <c r="O4858" i="80"/>
  <c r="N4858" i="80"/>
  <c r="O4857" i="80"/>
  <c r="N4857" i="80"/>
  <c r="O4856" i="80"/>
  <c r="N4856" i="80"/>
  <c r="O4855" i="80"/>
  <c r="N4855" i="80"/>
  <c r="O4854" i="80"/>
  <c r="N4854" i="80"/>
  <c r="O4853" i="80"/>
  <c r="N4853" i="80"/>
  <c r="O4852" i="80"/>
  <c r="N4852" i="80"/>
  <c r="O4851" i="80"/>
  <c r="N4851" i="80"/>
  <c r="O4850" i="80"/>
  <c r="N4850" i="80"/>
  <c r="O4849" i="80"/>
  <c r="N4849" i="80"/>
  <c r="O4848" i="80"/>
  <c r="N4848" i="80"/>
  <c r="O4847" i="80"/>
  <c r="N4847" i="80"/>
  <c r="O4846" i="80"/>
  <c r="N4846" i="80"/>
  <c r="O4845" i="80"/>
  <c r="N4845" i="80"/>
  <c r="O4844" i="80"/>
  <c r="N4844" i="80"/>
  <c r="O4843" i="80"/>
  <c r="N4843" i="80"/>
  <c r="O4842" i="80"/>
  <c r="N4842" i="80"/>
  <c r="O4841" i="80"/>
  <c r="N4841" i="80"/>
  <c r="O4840" i="80"/>
  <c r="N4840" i="80"/>
  <c r="O4839" i="80"/>
  <c r="N4839" i="80"/>
  <c r="O4838" i="80"/>
  <c r="N4838" i="80"/>
  <c r="O4837" i="80"/>
  <c r="N4837" i="80"/>
  <c r="O4836" i="80"/>
  <c r="N4836" i="80"/>
  <c r="O4835" i="80"/>
  <c r="N4835" i="80"/>
  <c r="O4834" i="80"/>
  <c r="N4834" i="80"/>
  <c r="O4833" i="80"/>
  <c r="N4833" i="80"/>
  <c r="O4832" i="80"/>
  <c r="N4832" i="80"/>
  <c r="O4831" i="80"/>
  <c r="N4831" i="80"/>
  <c r="O4830" i="80"/>
  <c r="N4830" i="80"/>
  <c r="O4829" i="80"/>
  <c r="N4829" i="80"/>
  <c r="O4828" i="80"/>
  <c r="N4828" i="80"/>
  <c r="O4827" i="80"/>
  <c r="N4827" i="80"/>
  <c r="O4826" i="80"/>
  <c r="N4826" i="80"/>
  <c r="O4825" i="80"/>
  <c r="N4825" i="80"/>
  <c r="O4824" i="80"/>
  <c r="N4824" i="80"/>
  <c r="O4823" i="80"/>
  <c r="N4823" i="80"/>
  <c r="O4822" i="80"/>
  <c r="N4822" i="80"/>
  <c r="O4821" i="80"/>
  <c r="N4821" i="80"/>
  <c r="O4820" i="80"/>
  <c r="N4820" i="80"/>
  <c r="O4819" i="80"/>
  <c r="N4819" i="80"/>
  <c r="O4818" i="80"/>
  <c r="N4818" i="80"/>
  <c r="O4817" i="80"/>
  <c r="N4817" i="80"/>
  <c r="O4816" i="80"/>
  <c r="N4816" i="80"/>
  <c r="O4815" i="80"/>
  <c r="N4815" i="80"/>
  <c r="O4814" i="80"/>
  <c r="N4814" i="80"/>
  <c r="O4813" i="80"/>
  <c r="N4813" i="80"/>
  <c r="O4812" i="80"/>
  <c r="N4812" i="80"/>
  <c r="O4811" i="80"/>
  <c r="N4811" i="80"/>
  <c r="O4810" i="80"/>
  <c r="N4810" i="80"/>
  <c r="O4809" i="80"/>
  <c r="N4809" i="80"/>
  <c r="O4808" i="80"/>
  <c r="N4808" i="80"/>
  <c r="O4807" i="80"/>
  <c r="N4807" i="80"/>
  <c r="O4806" i="80"/>
  <c r="N4806" i="80"/>
  <c r="O4805" i="80"/>
  <c r="N4805" i="80"/>
  <c r="O4804" i="80"/>
  <c r="N4804" i="80"/>
  <c r="O4803" i="80"/>
  <c r="N4803" i="80"/>
  <c r="O4802" i="80"/>
  <c r="N4802" i="80"/>
  <c r="O4801" i="80"/>
  <c r="N4801" i="80"/>
  <c r="O4800" i="80"/>
  <c r="N4800" i="80"/>
  <c r="O4799" i="80"/>
  <c r="N4799" i="80"/>
  <c r="O4798" i="80"/>
  <c r="N4798" i="80"/>
  <c r="O4797" i="80"/>
  <c r="N4797" i="80"/>
  <c r="O4796" i="80"/>
  <c r="N4796" i="80"/>
  <c r="O4795" i="80"/>
  <c r="N4795" i="80"/>
  <c r="O4794" i="80"/>
  <c r="N4794" i="80"/>
  <c r="O4793" i="80"/>
  <c r="N4793" i="80"/>
  <c r="O4792" i="80"/>
  <c r="N4792" i="80"/>
  <c r="O4791" i="80"/>
  <c r="N4791" i="80"/>
  <c r="O4790" i="80"/>
  <c r="N4790" i="80"/>
  <c r="O4789" i="80"/>
  <c r="N4789" i="80"/>
  <c r="O4788" i="80"/>
  <c r="N4788" i="80"/>
  <c r="O4787" i="80"/>
  <c r="N4787" i="80"/>
  <c r="O4786" i="80"/>
  <c r="N4786" i="80"/>
  <c r="O4785" i="80"/>
  <c r="N4785" i="80"/>
  <c r="O4784" i="80"/>
  <c r="N4784" i="80"/>
  <c r="O4783" i="80"/>
  <c r="N4783" i="80"/>
  <c r="O4782" i="80"/>
  <c r="N4782" i="80"/>
  <c r="O4781" i="80"/>
  <c r="N4781" i="80"/>
  <c r="O4780" i="80"/>
  <c r="N4780" i="80"/>
  <c r="O4779" i="80"/>
  <c r="N4779" i="80"/>
  <c r="O4778" i="80"/>
  <c r="N4778" i="80"/>
  <c r="O4777" i="80"/>
  <c r="N4777" i="80"/>
  <c r="O4776" i="80"/>
  <c r="N4776" i="80"/>
  <c r="O4775" i="80"/>
  <c r="N4775" i="80"/>
  <c r="O4774" i="80"/>
  <c r="N4774" i="80"/>
  <c r="O4773" i="80"/>
  <c r="N4773" i="80"/>
  <c r="O4772" i="80"/>
  <c r="N4772" i="80"/>
  <c r="O4771" i="80"/>
  <c r="N4771" i="80"/>
  <c r="O4770" i="80"/>
  <c r="N4770" i="80"/>
  <c r="O4769" i="80"/>
  <c r="N4769" i="80"/>
  <c r="O4768" i="80"/>
  <c r="N4768" i="80"/>
  <c r="O4767" i="80"/>
  <c r="N4767" i="80"/>
  <c r="O4766" i="80"/>
  <c r="N4766" i="80"/>
  <c r="O4765" i="80"/>
  <c r="N4765" i="80"/>
  <c r="O4764" i="80"/>
  <c r="N4764" i="80"/>
  <c r="O4763" i="80"/>
  <c r="N4763" i="80"/>
  <c r="O4762" i="80"/>
  <c r="N4762" i="80"/>
  <c r="O4761" i="80"/>
  <c r="N4761" i="80"/>
  <c r="O4760" i="80"/>
  <c r="N4760" i="80"/>
  <c r="O4759" i="80"/>
  <c r="N4759" i="80"/>
  <c r="O4758" i="80"/>
  <c r="N4758" i="80"/>
  <c r="O4757" i="80"/>
  <c r="N4757" i="80"/>
  <c r="O4756" i="80"/>
  <c r="N4756" i="80"/>
  <c r="O4755" i="80"/>
  <c r="N4755" i="80"/>
  <c r="O4754" i="80"/>
  <c r="N4754" i="80"/>
  <c r="O4753" i="80"/>
  <c r="N4753" i="80"/>
  <c r="O4752" i="80"/>
  <c r="N4752" i="80"/>
  <c r="O4751" i="80"/>
  <c r="N4751" i="80"/>
  <c r="O4750" i="80"/>
  <c r="N4750" i="80"/>
  <c r="O4749" i="80"/>
  <c r="N4749" i="80"/>
  <c r="O4748" i="80"/>
  <c r="N4748" i="80"/>
  <c r="O4747" i="80"/>
  <c r="N4747" i="80"/>
  <c r="O4746" i="80"/>
  <c r="N4746" i="80"/>
  <c r="O4745" i="80"/>
  <c r="N4745" i="80"/>
  <c r="O4744" i="80"/>
  <c r="N4744" i="80"/>
  <c r="O4743" i="80"/>
  <c r="N4743" i="80"/>
  <c r="O4742" i="80"/>
  <c r="N4742" i="80"/>
  <c r="O4741" i="80"/>
  <c r="N4741" i="80"/>
  <c r="O4740" i="80"/>
  <c r="N4740" i="80"/>
  <c r="O4739" i="80"/>
  <c r="N4739" i="80"/>
  <c r="O4738" i="80"/>
  <c r="N4738" i="80"/>
  <c r="O4737" i="80"/>
  <c r="N4737" i="80"/>
  <c r="O4736" i="80"/>
  <c r="N4736" i="80"/>
  <c r="O4735" i="80"/>
  <c r="N4735" i="80"/>
  <c r="O4734" i="80"/>
  <c r="N4734" i="80"/>
  <c r="O4733" i="80"/>
  <c r="N4733" i="80"/>
  <c r="O4732" i="80"/>
  <c r="N4732" i="80"/>
  <c r="O4731" i="80"/>
  <c r="N4731" i="80"/>
  <c r="O4730" i="80"/>
  <c r="N4730" i="80"/>
  <c r="O4729" i="80"/>
  <c r="N4729" i="80"/>
  <c r="O4728" i="80"/>
  <c r="N4728" i="80"/>
  <c r="O4727" i="80"/>
  <c r="N4727" i="80"/>
  <c r="O4726" i="80"/>
  <c r="N4726" i="80"/>
  <c r="O4725" i="80"/>
  <c r="N4725" i="80"/>
  <c r="O4724" i="80"/>
  <c r="N4724" i="80"/>
  <c r="O4723" i="80"/>
  <c r="N4723" i="80"/>
  <c r="O4722" i="80"/>
  <c r="N4722" i="80"/>
  <c r="O4721" i="80"/>
  <c r="N4721" i="80"/>
  <c r="O4720" i="80"/>
  <c r="N4720" i="80"/>
  <c r="O4719" i="80"/>
  <c r="N4719" i="80"/>
  <c r="O4718" i="80"/>
  <c r="N4718" i="80"/>
  <c r="O4717" i="80"/>
  <c r="N4717" i="80"/>
  <c r="O4716" i="80"/>
  <c r="N4716" i="80"/>
  <c r="O4715" i="80"/>
  <c r="N4715" i="80"/>
  <c r="O4714" i="80"/>
  <c r="N4714" i="80"/>
  <c r="O4713" i="80"/>
  <c r="N4713" i="80"/>
  <c r="O4712" i="80"/>
  <c r="N4712" i="80"/>
  <c r="O4711" i="80"/>
  <c r="N4711" i="80"/>
  <c r="O4710" i="80"/>
  <c r="N4710" i="80"/>
  <c r="O4709" i="80"/>
  <c r="N4709" i="80"/>
  <c r="O4708" i="80"/>
  <c r="N4708" i="80"/>
  <c r="O4707" i="80"/>
  <c r="N4707" i="80"/>
  <c r="O4706" i="80"/>
  <c r="N4706" i="80"/>
  <c r="O4705" i="80"/>
  <c r="N4705" i="80"/>
  <c r="O4704" i="80"/>
  <c r="N4704" i="80"/>
  <c r="O4703" i="80"/>
  <c r="N4703" i="80"/>
  <c r="O4702" i="80"/>
  <c r="N4702" i="80"/>
  <c r="O4701" i="80"/>
  <c r="N4701" i="80"/>
  <c r="O4700" i="80"/>
  <c r="N4700" i="80"/>
  <c r="O4699" i="80"/>
  <c r="N4699" i="80"/>
  <c r="O4698" i="80"/>
  <c r="N4698" i="80"/>
  <c r="O4697" i="80"/>
  <c r="N4697" i="80"/>
  <c r="O4696" i="80"/>
  <c r="N4696" i="80"/>
  <c r="O4695" i="80"/>
  <c r="N4695" i="80"/>
  <c r="O4694" i="80"/>
  <c r="N4694" i="80"/>
  <c r="O4693" i="80"/>
  <c r="N4693" i="80"/>
  <c r="O4692" i="80"/>
  <c r="N4692" i="80"/>
  <c r="O4691" i="80"/>
  <c r="N4691" i="80"/>
  <c r="O4690" i="80"/>
  <c r="N4690" i="80"/>
  <c r="O4689" i="80"/>
  <c r="N4689" i="80"/>
  <c r="O4688" i="80"/>
  <c r="N4688" i="80"/>
  <c r="O4687" i="80"/>
  <c r="N4687" i="80"/>
  <c r="O4686" i="80"/>
  <c r="N4686" i="80"/>
  <c r="O4685" i="80"/>
  <c r="N4685" i="80"/>
  <c r="O4684" i="80"/>
  <c r="N4684" i="80"/>
  <c r="O4683" i="80"/>
  <c r="N4683" i="80"/>
  <c r="O4682" i="80"/>
  <c r="N4682" i="80"/>
  <c r="O4681" i="80"/>
  <c r="N4681" i="80"/>
  <c r="O4680" i="80"/>
  <c r="N4680" i="80"/>
  <c r="O4679" i="80"/>
  <c r="N4679" i="80"/>
  <c r="O4678" i="80"/>
  <c r="N4678" i="80"/>
  <c r="O4677" i="80"/>
  <c r="N4677" i="80"/>
  <c r="O4676" i="80"/>
  <c r="N4676" i="80"/>
  <c r="O4675" i="80"/>
  <c r="N4675" i="80"/>
  <c r="O4674" i="80"/>
  <c r="N4674" i="80"/>
  <c r="O4673" i="80"/>
  <c r="N4673" i="80"/>
  <c r="O4672" i="80"/>
  <c r="N4672" i="80"/>
  <c r="O4671" i="80"/>
  <c r="N4671" i="80"/>
  <c r="O4670" i="80"/>
  <c r="N4670" i="80"/>
  <c r="O4669" i="80"/>
  <c r="N4669" i="80"/>
  <c r="O4668" i="80"/>
  <c r="N4668" i="80"/>
  <c r="O4667" i="80"/>
  <c r="N4667" i="80"/>
  <c r="O4666" i="80"/>
  <c r="N4666" i="80"/>
  <c r="O4665" i="80"/>
  <c r="N4665" i="80"/>
  <c r="P4665" i="80" s="1"/>
  <c r="O4664" i="80"/>
  <c r="N4664" i="80"/>
  <c r="O4663" i="80"/>
  <c r="N4663" i="80"/>
  <c r="O4662" i="80"/>
  <c r="N4662" i="80"/>
  <c r="O4661" i="80"/>
  <c r="N4661" i="80"/>
  <c r="O4660" i="80"/>
  <c r="N4660" i="80"/>
  <c r="O4659" i="80"/>
  <c r="N4659" i="80"/>
  <c r="O4658" i="80"/>
  <c r="N4658" i="80"/>
  <c r="O4657" i="80"/>
  <c r="N4657" i="80"/>
  <c r="O4656" i="80"/>
  <c r="N4656" i="80"/>
  <c r="O4655" i="80"/>
  <c r="N4655" i="80"/>
  <c r="O4654" i="80"/>
  <c r="N4654" i="80"/>
  <c r="O4653" i="80"/>
  <c r="N4653" i="80"/>
  <c r="O4652" i="80"/>
  <c r="N4652" i="80"/>
  <c r="O4651" i="80"/>
  <c r="N4651" i="80"/>
  <c r="O4650" i="80"/>
  <c r="N4650" i="80"/>
  <c r="O4649" i="80"/>
  <c r="N4649" i="80"/>
  <c r="O4648" i="80"/>
  <c r="N4648" i="80"/>
  <c r="O4647" i="80"/>
  <c r="N4647" i="80"/>
  <c r="O4646" i="80"/>
  <c r="N4646" i="80"/>
  <c r="O4645" i="80"/>
  <c r="N4645" i="80"/>
  <c r="O4644" i="80"/>
  <c r="N4644" i="80"/>
  <c r="O4643" i="80"/>
  <c r="N4643" i="80"/>
  <c r="O4642" i="80"/>
  <c r="N4642" i="80"/>
  <c r="O4641" i="80"/>
  <c r="N4641" i="80"/>
  <c r="O4640" i="80"/>
  <c r="N4640" i="80"/>
  <c r="O4639" i="80"/>
  <c r="N4639" i="80"/>
  <c r="O4638" i="80"/>
  <c r="N4638" i="80"/>
  <c r="O4637" i="80"/>
  <c r="N4637" i="80"/>
  <c r="O4636" i="80"/>
  <c r="N4636" i="80"/>
  <c r="O4635" i="80"/>
  <c r="N4635" i="80"/>
  <c r="O4634" i="80"/>
  <c r="N4634" i="80"/>
  <c r="O4633" i="80"/>
  <c r="N4633" i="80"/>
  <c r="O4632" i="80"/>
  <c r="N4632" i="80"/>
  <c r="O4631" i="80"/>
  <c r="N4631" i="80"/>
  <c r="O4630" i="80"/>
  <c r="N4630" i="80"/>
  <c r="O4629" i="80"/>
  <c r="N4629" i="80"/>
  <c r="O4628" i="80"/>
  <c r="N4628" i="80"/>
  <c r="O4627" i="80"/>
  <c r="N4627" i="80"/>
  <c r="O4626" i="80"/>
  <c r="N4626" i="80"/>
  <c r="O4625" i="80"/>
  <c r="N4625" i="80"/>
  <c r="O4624" i="80"/>
  <c r="N4624" i="80"/>
  <c r="O4623" i="80"/>
  <c r="N4623" i="80"/>
  <c r="P4623" i="80" s="1"/>
  <c r="O4622" i="80"/>
  <c r="N4622" i="80"/>
  <c r="O4621" i="80"/>
  <c r="N4621" i="80"/>
  <c r="O4620" i="80"/>
  <c r="N4620" i="80"/>
  <c r="O4619" i="80"/>
  <c r="N4619" i="80"/>
  <c r="O4618" i="80"/>
  <c r="N4618" i="80"/>
  <c r="O4617" i="80"/>
  <c r="N4617" i="80"/>
  <c r="P4617" i="80" s="1"/>
  <c r="O4616" i="80"/>
  <c r="N4616" i="80"/>
  <c r="O4615" i="80"/>
  <c r="N4615" i="80"/>
  <c r="O4614" i="80"/>
  <c r="N4614" i="80"/>
  <c r="O4613" i="80"/>
  <c r="N4613" i="80"/>
  <c r="O4612" i="80"/>
  <c r="N4612" i="80"/>
  <c r="O4611" i="80"/>
  <c r="N4611" i="80"/>
  <c r="O4610" i="80"/>
  <c r="N4610" i="80"/>
  <c r="O4609" i="80"/>
  <c r="N4609" i="80"/>
  <c r="O4608" i="80"/>
  <c r="N4608" i="80"/>
  <c r="O4607" i="80"/>
  <c r="N4607" i="80"/>
  <c r="O4606" i="80"/>
  <c r="N4606" i="80"/>
  <c r="O4605" i="80"/>
  <c r="N4605" i="80"/>
  <c r="O4604" i="80"/>
  <c r="N4604" i="80"/>
  <c r="O4603" i="80"/>
  <c r="N4603" i="80"/>
  <c r="O4602" i="80"/>
  <c r="N4602" i="80"/>
  <c r="O4601" i="80"/>
  <c r="N4601" i="80"/>
  <c r="O4600" i="80"/>
  <c r="N4600" i="80"/>
  <c r="O4599" i="80"/>
  <c r="N4599" i="80"/>
  <c r="O4598" i="80"/>
  <c r="N4598" i="80"/>
  <c r="O4597" i="80"/>
  <c r="N4597" i="80"/>
  <c r="O4596" i="80"/>
  <c r="N4596" i="80"/>
  <c r="O4595" i="80"/>
  <c r="N4595" i="80"/>
  <c r="O4594" i="80"/>
  <c r="N4594" i="80"/>
  <c r="O4593" i="80"/>
  <c r="N4593" i="80"/>
  <c r="O4592" i="80"/>
  <c r="N4592" i="80"/>
  <c r="O4591" i="80"/>
  <c r="N4591" i="80"/>
  <c r="O4590" i="80"/>
  <c r="N4590" i="80"/>
  <c r="O4589" i="80"/>
  <c r="N4589" i="80"/>
  <c r="O4588" i="80"/>
  <c r="N4588" i="80"/>
  <c r="O4587" i="80"/>
  <c r="N4587" i="80"/>
  <c r="O4586" i="80"/>
  <c r="N4586" i="80"/>
  <c r="O4585" i="80"/>
  <c r="N4585" i="80"/>
  <c r="O4584" i="80"/>
  <c r="N4584" i="80"/>
  <c r="O4583" i="80"/>
  <c r="N4583" i="80"/>
  <c r="O4582" i="80"/>
  <c r="N4582" i="80"/>
  <c r="O4581" i="80"/>
  <c r="N4581" i="80"/>
  <c r="O4580" i="80"/>
  <c r="N4580" i="80"/>
  <c r="O4579" i="80"/>
  <c r="N4579" i="80"/>
  <c r="O4578" i="80"/>
  <c r="N4578" i="80"/>
  <c r="O4577" i="80"/>
  <c r="N4577" i="80"/>
  <c r="O4576" i="80"/>
  <c r="N4576" i="80"/>
  <c r="O4575" i="80"/>
  <c r="N4575" i="80"/>
  <c r="O4574" i="80"/>
  <c r="N4574" i="80"/>
  <c r="O4573" i="80"/>
  <c r="N4573" i="80"/>
  <c r="O4572" i="80"/>
  <c r="N4572" i="80"/>
  <c r="O4571" i="80"/>
  <c r="N4571" i="80"/>
  <c r="O4570" i="80"/>
  <c r="N4570" i="80"/>
  <c r="O4569" i="80"/>
  <c r="N4569" i="80"/>
  <c r="O4568" i="80"/>
  <c r="N4568" i="80"/>
  <c r="O4567" i="80"/>
  <c r="N4567" i="80"/>
  <c r="O4566" i="80"/>
  <c r="N4566" i="80"/>
  <c r="O4565" i="80"/>
  <c r="N4565" i="80"/>
  <c r="O4564" i="80"/>
  <c r="N4564" i="80"/>
  <c r="O4563" i="80"/>
  <c r="N4563" i="80"/>
  <c r="O4562" i="80"/>
  <c r="N4562" i="80"/>
  <c r="O4561" i="80"/>
  <c r="N4561" i="80"/>
  <c r="O4560" i="80"/>
  <c r="N4560" i="80"/>
  <c r="O4559" i="80"/>
  <c r="N4559" i="80"/>
  <c r="O4558" i="80"/>
  <c r="N4558" i="80"/>
  <c r="O4557" i="80"/>
  <c r="N4557" i="80"/>
  <c r="O4556" i="80"/>
  <c r="N4556" i="80"/>
  <c r="O4555" i="80"/>
  <c r="N4555" i="80"/>
  <c r="O4554" i="80"/>
  <c r="N4554" i="80"/>
  <c r="O4553" i="80"/>
  <c r="N4553" i="80"/>
  <c r="O4552" i="80"/>
  <c r="N4552" i="80"/>
  <c r="O4551" i="80"/>
  <c r="N4551" i="80"/>
  <c r="O4550" i="80"/>
  <c r="N4550" i="80"/>
  <c r="O4549" i="80"/>
  <c r="N4549" i="80"/>
  <c r="O4548" i="80"/>
  <c r="N4548" i="80"/>
  <c r="O4547" i="80"/>
  <c r="N4547" i="80"/>
  <c r="O4546" i="80"/>
  <c r="N4546" i="80"/>
  <c r="O4545" i="80"/>
  <c r="N4545" i="80"/>
  <c r="O4544" i="80"/>
  <c r="N4544" i="80"/>
  <c r="O4543" i="80"/>
  <c r="N4543" i="80"/>
  <c r="O4542" i="80"/>
  <c r="N4542" i="80"/>
  <c r="O4541" i="80"/>
  <c r="N4541" i="80"/>
  <c r="O4540" i="80"/>
  <c r="N4540" i="80"/>
  <c r="O4539" i="80"/>
  <c r="N4539" i="80"/>
  <c r="O4538" i="80"/>
  <c r="N4538" i="80"/>
  <c r="O4537" i="80"/>
  <c r="N4537" i="80"/>
  <c r="O4536" i="80"/>
  <c r="N4536" i="80"/>
  <c r="O4535" i="80"/>
  <c r="N4535" i="80"/>
  <c r="O4534" i="80"/>
  <c r="N4534" i="80"/>
  <c r="O4533" i="80"/>
  <c r="N4533" i="80"/>
  <c r="O4532" i="80"/>
  <c r="N4532" i="80"/>
  <c r="O4531" i="80"/>
  <c r="N4531" i="80"/>
  <c r="O4530" i="80"/>
  <c r="N4530" i="80"/>
  <c r="O4529" i="80"/>
  <c r="N4529" i="80"/>
  <c r="O4528" i="80"/>
  <c r="N4528" i="80"/>
  <c r="O4527" i="80"/>
  <c r="N4527" i="80"/>
  <c r="O4526" i="80"/>
  <c r="N4526" i="80"/>
  <c r="O4525" i="80"/>
  <c r="N4525" i="80"/>
  <c r="O4524" i="80"/>
  <c r="N4524" i="80"/>
  <c r="O4523" i="80"/>
  <c r="N4523" i="80"/>
  <c r="O4522" i="80"/>
  <c r="N4522" i="80"/>
  <c r="O4521" i="80"/>
  <c r="N4521" i="80"/>
  <c r="O4520" i="80"/>
  <c r="N4520" i="80"/>
  <c r="O4519" i="80"/>
  <c r="N4519" i="80"/>
  <c r="O4518" i="80"/>
  <c r="N4518" i="80"/>
  <c r="O4517" i="80"/>
  <c r="N4517" i="80"/>
  <c r="O4516" i="80"/>
  <c r="N4516" i="80"/>
  <c r="O4515" i="80"/>
  <c r="N4515" i="80"/>
  <c r="O4514" i="80"/>
  <c r="N4514" i="80"/>
  <c r="O4513" i="80"/>
  <c r="N4513" i="80"/>
  <c r="O4512" i="80"/>
  <c r="N4512" i="80"/>
  <c r="O4511" i="80"/>
  <c r="N4511" i="80"/>
  <c r="O4510" i="80"/>
  <c r="N4510" i="80"/>
  <c r="O4509" i="80"/>
  <c r="N4509" i="80"/>
  <c r="O4508" i="80"/>
  <c r="N4508" i="80"/>
  <c r="O4507" i="80"/>
  <c r="N4507" i="80"/>
  <c r="O4506" i="80"/>
  <c r="N4506" i="80"/>
  <c r="O4505" i="80"/>
  <c r="N4505" i="80"/>
  <c r="O4504" i="80"/>
  <c r="N4504" i="80"/>
  <c r="O4503" i="80"/>
  <c r="N4503" i="80"/>
  <c r="O4502" i="80"/>
  <c r="N4502" i="80"/>
  <c r="O4501" i="80"/>
  <c r="N4501" i="80"/>
  <c r="O4500" i="80"/>
  <c r="N4500" i="80"/>
  <c r="O4499" i="80"/>
  <c r="N4499" i="80"/>
  <c r="O4498" i="80"/>
  <c r="N4498" i="80"/>
  <c r="O4497" i="80"/>
  <c r="N4497" i="80"/>
  <c r="O4496" i="80"/>
  <c r="N4496" i="80"/>
  <c r="O4495" i="80"/>
  <c r="N4495" i="80"/>
  <c r="O4494" i="80"/>
  <c r="N4494" i="80"/>
  <c r="O4493" i="80"/>
  <c r="N4493" i="80"/>
  <c r="O4492" i="80"/>
  <c r="N4492" i="80"/>
  <c r="O4491" i="80"/>
  <c r="N4491" i="80"/>
  <c r="O4490" i="80"/>
  <c r="N4490" i="80"/>
  <c r="O4489" i="80"/>
  <c r="N4489" i="80"/>
  <c r="O4488" i="80"/>
  <c r="N4488" i="80"/>
  <c r="O4487" i="80"/>
  <c r="N4487" i="80"/>
  <c r="O4486" i="80"/>
  <c r="N4486" i="80"/>
  <c r="O4485" i="80"/>
  <c r="N4485" i="80"/>
  <c r="O4484" i="80"/>
  <c r="N4484" i="80"/>
  <c r="O4483" i="80"/>
  <c r="N4483" i="80"/>
  <c r="O4482" i="80"/>
  <c r="N4482" i="80"/>
  <c r="O4481" i="80"/>
  <c r="N4481" i="80"/>
  <c r="O4480" i="80"/>
  <c r="N4480" i="80"/>
  <c r="O4479" i="80"/>
  <c r="N4479" i="80"/>
  <c r="O4478" i="80"/>
  <c r="N4478" i="80"/>
  <c r="O4477" i="80"/>
  <c r="N4477" i="80"/>
  <c r="O4476" i="80"/>
  <c r="N4476" i="80"/>
  <c r="O4475" i="80"/>
  <c r="N4475" i="80"/>
  <c r="O4474" i="80"/>
  <c r="N4474" i="80"/>
  <c r="O4473" i="80"/>
  <c r="N4473" i="80"/>
  <c r="O4472" i="80"/>
  <c r="N4472" i="80"/>
  <c r="O4471" i="80"/>
  <c r="N4471" i="80"/>
  <c r="O4470" i="80"/>
  <c r="N4470" i="80"/>
  <c r="O4469" i="80"/>
  <c r="N4469" i="80"/>
  <c r="O4468" i="80"/>
  <c r="N4468" i="80"/>
  <c r="O4467" i="80"/>
  <c r="N4467" i="80"/>
  <c r="O4466" i="80"/>
  <c r="N4466" i="80"/>
  <c r="O4465" i="80"/>
  <c r="N4465" i="80"/>
  <c r="O4464" i="80"/>
  <c r="N4464" i="80"/>
  <c r="O4463" i="80"/>
  <c r="N4463" i="80"/>
  <c r="O4462" i="80"/>
  <c r="N4462" i="80"/>
  <c r="O4461" i="80"/>
  <c r="N4461" i="80"/>
  <c r="O4460" i="80"/>
  <c r="N4460" i="80"/>
  <c r="O4459" i="80"/>
  <c r="N4459" i="80"/>
  <c r="O4458" i="80"/>
  <c r="N4458" i="80"/>
  <c r="O4457" i="80"/>
  <c r="N4457" i="80"/>
  <c r="O4456" i="80"/>
  <c r="N4456" i="80"/>
  <c r="O4455" i="80"/>
  <c r="N4455" i="80"/>
  <c r="O4454" i="80"/>
  <c r="N4454" i="80"/>
  <c r="O4453" i="80"/>
  <c r="N4453" i="80"/>
  <c r="O4452" i="80"/>
  <c r="N4452" i="80"/>
  <c r="O4451" i="80"/>
  <c r="N4451" i="80"/>
  <c r="O4450" i="80"/>
  <c r="N4450" i="80"/>
  <c r="O4449" i="80"/>
  <c r="N4449" i="80"/>
  <c r="O4448" i="80"/>
  <c r="N4448" i="80"/>
  <c r="O4447" i="80"/>
  <c r="N4447" i="80"/>
  <c r="O4446" i="80"/>
  <c r="N4446" i="80"/>
  <c r="O4445" i="80"/>
  <c r="N4445" i="80"/>
  <c r="O4444" i="80"/>
  <c r="N4444" i="80"/>
  <c r="O4443" i="80"/>
  <c r="N4443" i="80"/>
  <c r="O4442" i="80"/>
  <c r="N4442" i="80"/>
  <c r="O4441" i="80"/>
  <c r="N4441" i="80"/>
  <c r="O4440" i="80"/>
  <c r="N4440" i="80"/>
  <c r="O4439" i="80"/>
  <c r="N4439" i="80"/>
  <c r="O4438" i="80"/>
  <c r="N4438" i="80"/>
  <c r="O4437" i="80"/>
  <c r="N4437" i="80"/>
  <c r="O4436" i="80"/>
  <c r="N4436" i="80"/>
  <c r="O4435" i="80"/>
  <c r="N4435" i="80"/>
  <c r="O4434" i="80"/>
  <c r="N4434" i="80"/>
  <c r="O4433" i="80"/>
  <c r="N4433" i="80"/>
  <c r="O4432" i="80"/>
  <c r="N4432" i="80"/>
  <c r="O4431" i="80"/>
  <c r="N4431" i="80"/>
  <c r="P4431" i="80" s="1"/>
  <c r="O4430" i="80"/>
  <c r="N4430" i="80"/>
  <c r="O4429" i="80"/>
  <c r="N4429" i="80"/>
  <c r="O4428" i="80"/>
  <c r="N4428" i="80"/>
  <c r="O4427" i="80"/>
  <c r="N4427" i="80"/>
  <c r="O4426" i="80"/>
  <c r="N4426" i="80"/>
  <c r="O4425" i="80"/>
  <c r="N4425" i="80"/>
  <c r="O4424" i="80"/>
  <c r="N4424" i="80"/>
  <c r="O4423" i="80"/>
  <c r="N4423" i="80"/>
  <c r="O4422" i="80"/>
  <c r="N4422" i="80"/>
  <c r="O4421" i="80"/>
  <c r="N4421" i="80"/>
  <c r="O4420" i="80"/>
  <c r="N4420" i="80"/>
  <c r="O4419" i="80"/>
  <c r="N4419" i="80"/>
  <c r="P4419" i="80" s="1"/>
  <c r="O4418" i="80"/>
  <c r="N4418" i="80"/>
  <c r="O4417" i="80"/>
  <c r="N4417" i="80"/>
  <c r="O4416" i="80"/>
  <c r="N4416" i="80"/>
  <c r="O4415" i="80"/>
  <c r="N4415" i="80"/>
  <c r="O4414" i="80"/>
  <c r="N4414" i="80"/>
  <c r="O4413" i="80"/>
  <c r="N4413" i="80"/>
  <c r="O4412" i="80"/>
  <c r="N4412" i="80"/>
  <c r="O4411" i="80"/>
  <c r="N4411" i="80"/>
  <c r="O4410" i="80"/>
  <c r="N4410" i="80"/>
  <c r="O4409" i="80"/>
  <c r="N4409" i="80"/>
  <c r="O4408" i="80"/>
  <c r="N4408" i="80"/>
  <c r="O4407" i="80"/>
  <c r="N4407" i="80"/>
  <c r="P4407" i="80" s="1"/>
  <c r="O4406" i="80"/>
  <c r="N4406" i="80"/>
  <c r="O4405" i="80"/>
  <c r="N4405" i="80"/>
  <c r="O4404" i="80"/>
  <c r="N4404" i="80"/>
  <c r="O4403" i="80"/>
  <c r="N4403" i="80"/>
  <c r="O4402" i="80"/>
  <c r="N4402" i="80"/>
  <c r="O4401" i="80"/>
  <c r="N4401" i="80"/>
  <c r="O4400" i="80"/>
  <c r="N4400" i="80"/>
  <c r="O4399" i="80"/>
  <c r="N4399" i="80"/>
  <c r="O4398" i="80"/>
  <c r="N4398" i="80"/>
  <c r="O4397" i="80"/>
  <c r="N4397" i="80"/>
  <c r="O4396" i="80"/>
  <c r="N4396" i="80"/>
  <c r="O4395" i="80"/>
  <c r="N4395" i="80"/>
  <c r="P4395" i="80" s="1"/>
  <c r="O4394" i="80"/>
  <c r="N4394" i="80"/>
  <c r="O4393" i="80"/>
  <c r="N4393" i="80"/>
  <c r="O4392" i="80"/>
  <c r="N4392" i="80"/>
  <c r="O4391" i="80"/>
  <c r="N4391" i="80"/>
  <c r="O4390" i="80"/>
  <c r="N4390" i="80"/>
  <c r="O4389" i="80"/>
  <c r="N4389" i="80"/>
  <c r="O4388" i="80"/>
  <c r="N4388" i="80"/>
  <c r="O4387" i="80"/>
  <c r="N4387" i="80"/>
  <c r="O4386" i="80"/>
  <c r="N4386" i="80"/>
  <c r="O4385" i="80"/>
  <c r="N4385" i="80"/>
  <c r="O4384" i="80"/>
  <c r="N4384" i="80"/>
  <c r="O4383" i="80"/>
  <c r="N4383" i="80"/>
  <c r="P4383" i="80" s="1"/>
  <c r="O4382" i="80"/>
  <c r="N4382" i="80"/>
  <c r="O4381" i="80"/>
  <c r="N4381" i="80"/>
  <c r="O4380" i="80"/>
  <c r="N4380" i="80"/>
  <c r="O4379" i="80"/>
  <c r="N4379" i="80"/>
  <c r="O4378" i="80"/>
  <c r="N4378" i="80"/>
  <c r="O4377" i="80"/>
  <c r="N4377" i="80"/>
  <c r="O4376" i="80"/>
  <c r="N4376" i="80"/>
  <c r="O4375" i="80"/>
  <c r="N4375" i="80"/>
  <c r="O4374" i="80"/>
  <c r="N4374" i="80"/>
  <c r="O4373" i="80"/>
  <c r="N4373" i="80"/>
  <c r="O4372" i="80"/>
  <c r="N4372" i="80"/>
  <c r="O4371" i="80"/>
  <c r="N4371" i="80"/>
  <c r="O4370" i="80"/>
  <c r="N4370" i="80"/>
  <c r="O4369" i="80"/>
  <c r="N4369" i="80"/>
  <c r="O4368" i="80"/>
  <c r="N4368" i="80"/>
  <c r="O4367" i="80"/>
  <c r="N4367" i="80"/>
  <c r="O4366" i="80"/>
  <c r="N4366" i="80"/>
  <c r="O4365" i="80"/>
  <c r="N4365" i="80"/>
  <c r="O4364" i="80"/>
  <c r="N4364" i="80"/>
  <c r="O4363" i="80"/>
  <c r="N4363" i="80"/>
  <c r="O4362" i="80"/>
  <c r="N4362" i="80"/>
  <c r="O4361" i="80"/>
  <c r="N4361" i="80"/>
  <c r="O4360" i="80"/>
  <c r="N4360" i="80"/>
  <c r="O4359" i="80"/>
  <c r="N4359" i="80"/>
  <c r="O4358" i="80"/>
  <c r="N4358" i="80"/>
  <c r="O4357" i="80"/>
  <c r="N4357" i="80"/>
  <c r="O4356" i="80"/>
  <c r="N4356" i="80"/>
  <c r="O4355" i="80"/>
  <c r="N4355" i="80"/>
  <c r="O4354" i="80"/>
  <c r="N4354" i="80"/>
  <c r="O4353" i="80"/>
  <c r="N4353" i="80"/>
  <c r="O4352" i="80"/>
  <c r="N4352" i="80"/>
  <c r="O4351" i="80"/>
  <c r="N4351" i="80"/>
  <c r="O4350" i="80"/>
  <c r="N4350" i="80"/>
  <c r="O4349" i="80"/>
  <c r="N4349" i="80"/>
  <c r="O4348" i="80"/>
  <c r="N4348" i="80"/>
  <c r="O4347" i="80"/>
  <c r="N4347" i="80"/>
  <c r="O4346" i="80"/>
  <c r="N4346" i="80"/>
  <c r="O4345" i="80"/>
  <c r="N4345" i="80"/>
  <c r="O4344" i="80"/>
  <c r="N4344" i="80"/>
  <c r="O4343" i="80"/>
  <c r="N4343" i="80"/>
  <c r="O4342" i="80"/>
  <c r="N4342" i="80"/>
  <c r="O4341" i="80"/>
  <c r="N4341" i="80"/>
  <c r="O4340" i="80"/>
  <c r="N4340" i="80"/>
  <c r="O4339" i="80"/>
  <c r="N4339" i="80"/>
  <c r="O4338" i="80"/>
  <c r="N4338" i="80"/>
  <c r="O4337" i="80"/>
  <c r="N4337" i="80"/>
  <c r="O4336" i="80"/>
  <c r="N4336" i="80"/>
  <c r="O4335" i="80"/>
  <c r="N4335" i="80"/>
  <c r="P4335" i="80" s="1"/>
  <c r="O4334" i="80"/>
  <c r="N4334" i="80"/>
  <c r="O4333" i="80"/>
  <c r="N4333" i="80"/>
  <c r="O4332" i="80"/>
  <c r="N4332" i="80"/>
  <c r="O4331" i="80"/>
  <c r="N4331" i="80"/>
  <c r="O4330" i="80"/>
  <c r="N4330" i="80"/>
  <c r="O4329" i="80"/>
  <c r="N4329" i="80"/>
  <c r="O4328" i="80"/>
  <c r="N4328" i="80"/>
  <c r="O4327" i="80"/>
  <c r="N4327" i="80"/>
  <c r="O4326" i="80"/>
  <c r="N4326" i="80"/>
  <c r="O4325" i="80"/>
  <c r="N4325" i="80"/>
  <c r="O4324" i="80"/>
  <c r="N4324" i="80"/>
  <c r="O4323" i="80"/>
  <c r="N4323" i="80"/>
  <c r="P4323" i="80" s="1"/>
  <c r="O4322" i="80"/>
  <c r="N4322" i="80"/>
  <c r="O4321" i="80"/>
  <c r="N4321" i="80"/>
  <c r="O4320" i="80"/>
  <c r="N4320" i="80"/>
  <c r="O4319" i="80"/>
  <c r="N4319" i="80"/>
  <c r="O4318" i="80"/>
  <c r="N4318" i="80"/>
  <c r="O4317" i="80"/>
  <c r="N4317" i="80"/>
  <c r="O4316" i="80"/>
  <c r="N4316" i="80"/>
  <c r="O4315" i="80"/>
  <c r="N4315" i="80"/>
  <c r="O4314" i="80"/>
  <c r="N4314" i="80"/>
  <c r="O4313" i="80"/>
  <c r="N4313" i="80"/>
  <c r="O4312" i="80"/>
  <c r="N4312" i="80"/>
  <c r="O4311" i="80"/>
  <c r="N4311" i="80"/>
  <c r="O4310" i="80"/>
  <c r="N4310" i="80"/>
  <c r="O4309" i="80"/>
  <c r="N4309" i="80"/>
  <c r="O4308" i="80"/>
  <c r="N4308" i="80"/>
  <c r="O4307" i="80"/>
  <c r="N4307" i="80"/>
  <c r="O4306" i="80"/>
  <c r="N4306" i="80"/>
  <c r="O4305" i="80"/>
  <c r="N4305" i="80"/>
  <c r="O4304" i="80"/>
  <c r="N4304" i="80"/>
  <c r="O4303" i="80"/>
  <c r="N4303" i="80"/>
  <c r="O4302" i="80"/>
  <c r="N4302" i="80"/>
  <c r="O4301" i="80"/>
  <c r="N4301" i="80"/>
  <c r="O4300" i="80"/>
  <c r="N4300" i="80"/>
  <c r="O4299" i="80"/>
  <c r="N4299" i="80"/>
  <c r="O4298" i="80"/>
  <c r="N4298" i="80"/>
  <c r="O4297" i="80"/>
  <c r="N4297" i="80"/>
  <c r="O4296" i="80"/>
  <c r="N4296" i="80"/>
  <c r="O4295" i="80"/>
  <c r="N4295" i="80"/>
  <c r="O4294" i="80"/>
  <c r="N4294" i="80"/>
  <c r="O4293" i="80"/>
  <c r="N4293" i="80"/>
  <c r="O4292" i="80"/>
  <c r="N4292" i="80"/>
  <c r="O4291" i="80"/>
  <c r="N4291" i="80"/>
  <c r="O4290" i="80"/>
  <c r="N4290" i="80"/>
  <c r="O4289" i="80"/>
  <c r="N4289" i="80"/>
  <c r="O4288" i="80"/>
  <c r="N4288" i="80"/>
  <c r="O4287" i="80"/>
  <c r="N4287" i="80"/>
  <c r="O4286" i="80"/>
  <c r="N4286" i="80"/>
  <c r="O4285" i="80"/>
  <c r="N4285" i="80"/>
  <c r="O4284" i="80"/>
  <c r="N4284" i="80"/>
  <c r="O4283" i="80"/>
  <c r="N4283" i="80"/>
  <c r="O4282" i="80"/>
  <c r="N4282" i="80"/>
  <c r="O4281" i="80"/>
  <c r="N4281" i="80"/>
  <c r="O4280" i="80"/>
  <c r="N4280" i="80"/>
  <c r="O4279" i="80"/>
  <c r="N4279" i="80"/>
  <c r="O4278" i="80"/>
  <c r="N4278" i="80"/>
  <c r="O4277" i="80"/>
  <c r="N4277" i="80"/>
  <c r="O4276" i="80"/>
  <c r="N4276" i="80"/>
  <c r="O4275" i="80"/>
  <c r="N4275" i="80"/>
  <c r="P4275" i="80" s="1"/>
  <c r="O4274" i="80"/>
  <c r="N4274" i="80"/>
  <c r="O4273" i="80"/>
  <c r="N4273" i="80"/>
  <c r="O4272" i="80"/>
  <c r="N4272" i="80"/>
  <c r="O4271" i="80"/>
  <c r="N4271" i="80"/>
  <c r="O4270" i="80"/>
  <c r="N4270" i="80"/>
  <c r="O4269" i="80"/>
  <c r="N4269" i="80"/>
  <c r="O4268" i="80"/>
  <c r="N4268" i="80"/>
  <c r="O4267" i="80"/>
  <c r="N4267" i="80"/>
  <c r="O4266" i="80"/>
  <c r="N4266" i="80"/>
  <c r="O4265" i="80"/>
  <c r="N4265" i="80"/>
  <c r="O4264" i="80"/>
  <c r="N4264" i="80"/>
  <c r="O4263" i="80"/>
  <c r="N4263" i="80"/>
  <c r="O4262" i="80"/>
  <c r="N4262" i="80"/>
  <c r="O4261" i="80"/>
  <c r="N4261" i="80"/>
  <c r="O4260" i="80"/>
  <c r="N4260" i="80"/>
  <c r="O4259" i="80"/>
  <c r="N4259" i="80"/>
  <c r="O4258" i="80"/>
  <c r="N4258" i="80"/>
  <c r="O4257" i="80"/>
  <c r="N4257" i="80"/>
  <c r="P4257" i="80" s="1"/>
  <c r="O4256" i="80"/>
  <c r="N4256" i="80"/>
  <c r="O4255" i="80"/>
  <c r="N4255" i="80"/>
  <c r="O4254" i="80"/>
  <c r="N4254" i="80"/>
  <c r="O4253" i="80"/>
  <c r="N4253" i="80"/>
  <c r="O4252" i="80"/>
  <c r="N4252" i="80"/>
  <c r="O4251" i="80"/>
  <c r="N4251" i="80"/>
  <c r="P4251" i="80" s="1"/>
  <c r="O4250" i="80"/>
  <c r="N4250" i="80"/>
  <c r="O4249" i="80"/>
  <c r="N4249" i="80"/>
  <c r="O4248" i="80"/>
  <c r="N4248" i="80"/>
  <c r="O4247" i="80"/>
  <c r="N4247" i="80"/>
  <c r="O4246" i="80"/>
  <c r="N4246" i="80"/>
  <c r="O4245" i="80"/>
  <c r="N4245" i="80"/>
  <c r="O4244" i="80"/>
  <c r="N4244" i="80"/>
  <c r="O4243" i="80"/>
  <c r="N4243" i="80"/>
  <c r="O4242" i="80"/>
  <c r="N4242" i="80"/>
  <c r="O4241" i="80"/>
  <c r="N4241" i="80"/>
  <c r="O4240" i="80"/>
  <c r="N4240" i="80"/>
  <c r="O4239" i="80"/>
  <c r="N4239" i="80"/>
  <c r="P4239" i="80" s="1"/>
  <c r="O4238" i="80"/>
  <c r="N4238" i="80"/>
  <c r="O4237" i="80"/>
  <c r="N4237" i="80"/>
  <c r="O4236" i="80"/>
  <c r="N4236" i="80"/>
  <c r="O4235" i="80"/>
  <c r="N4235" i="80"/>
  <c r="O4234" i="80"/>
  <c r="N4234" i="80"/>
  <c r="O4233" i="80"/>
  <c r="N4233" i="80"/>
  <c r="P4233" i="80" s="1"/>
  <c r="O4232" i="80"/>
  <c r="N4232" i="80"/>
  <c r="O4231" i="80"/>
  <c r="N4231" i="80"/>
  <c r="O4230" i="80"/>
  <c r="N4230" i="80"/>
  <c r="O4229" i="80"/>
  <c r="N4229" i="80"/>
  <c r="O4228" i="80"/>
  <c r="N4228" i="80"/>
  <c r="O4227" i="80"/>
  <c r="N4227" i="80"/>
  <c r="O4226" i="80"/>
  <c r="N4226" i="80"/>
  <c r="O4225" i="80"/>
  <c r="N4225" i="80"/>
  <c r="O4224" i="80"/>
  <c r="N4224" i="80"/>
  <c r="O4223" i="80"/>
  <c r="N4223" i="80"/>
  <c r="O4222" i="80"/>
  <c r="N4222" i="80"/>
  <c r="O4221" i="80"/>
  <c r="N4221" i="80"/>
  <c r="O4220" i="80"/>
  <c r="N4220" i="80"/>
  <c r="O4219" i="80"/>
  <c r="N4219" i="80"/>
  <c r="O4218" i="80"/>
  <c r="N4218" i="80"/>
  <c r="O4217" i="80"/>
  <c r="N4217" i="80"/>
  <c r="O4216" i="80"/>
  <c r="N4216" i="80"/>
  <c r="O4215" i="80"/>
  <c r="N4215" i="80"/>
  <c r="O4214" i="80"/>
  <c r="N4214" i="80"/>
  <c r="O4213" i="80"/>
  <c r="N4213" i="80"/>
  <c r="O4212" i="80"/>
  <c r="N4212" i="80"/>
  <c r="O4211" i="80"/>
  <c r="N4211" i="80"/>
  <c r="O4210" i="80"/>
  <c r="N4210" i="80"/>
  <c r="O4209" i="80"/>
  <c r="N4209" i="80"/>
  <c r="O4208" i="80"/>
  <c r="N4208" i="80"/>
  <c r="O4207" i="80"/>
  <c r="N4207" i="80"/>
  <c r="O4206" i="80"/>
  <c r="N4206" i="80"/>
  <c r="O4205" i="80"/>
  <c r="N4205" i="80"/>
  <c r="O4204" i="80"/>
  <c r="N4204" i="80"/>
  <c r="O4203" i="80"/>
  <c r="N4203" i="80"/>
  <c r="O4202" i="80"/>
  <c r="N4202" i="80"/>
  <c r="O4201" i="80"/>
  <c r="N4201" i="80"/>
  <c r="O4200" i="80"/>
  <c r="N4200" i="80"/>
  <c r="O4199" i="80"/>
  <c r="N4199" i="80"/>
  <c r="O4198" i="80"/>
  <c r="N4198" i="80"/>
  <c r="O4197" i="80"/>
  <c r="N4197" i="80"/>
  <c r="O4196" i="80"/>
  <c r="N4196" i="80"/>
  <c r="O4195" i="80"/>
  <c r="N4195" i="80"/>
  <c r="O4194" i="80"/>
  <c r="N4194" i="80"/>
  <c r="O4193" i="80"/>
  <c r="N4193" i="80"/>
  <c r="O4192" i="80"/>
  <c r="N4192" i="80"/>
  <c r="O4191" i="80"/>
  <c r="N4191" i="80"/>
  <c r="O4190" i="80"/>
  <c r="N4190" i="80"/>
  <c r="O4189" i="80"/>
  <c r="N4189" i="80"/>
  <c r="O4188" i="80"/>
  <c r="N4188" i="80"/>
  <c r="O4187" i="80"/>
  <c r="N4187" i="80"/>
  <c r="O4186" i="80"/>
  <c r="N4186" i="80"/>
  <c r="O4185" i="80"/>
  <c r="N4185" i="80"/>
  <c r="O4184" i="80"/>
  <c r="N4184" i="80"/>
  <c r="O4183" i="80"/>
  <c r="N4183" i="80"/>
  <c r="O4182" i="80"/>
  <c r="N4182" i="80"/>
  <c r="O4181" i="80"/>
  <c r="N4181" i="80"/>
  <c r="O4180" i="80"/>
  <c r="N4180" i="80"/>
  <c r="O4179" i="80"/>
  <c r="N4179" i="80"/>
  <c r="O4178" i="80"/>
  <c r="N4178" i="80"/>
  <c r="O4177" i="80"/>
  <c r="N4177" i="80"/>
  <c r="O4176" i="80"/>
  <c r="N4176" i="80"/>
  <c r="O4175" i="80"/>
  <c r="N4175" i="80"/>
  <c r="O4174" i="80"/>
  <c r="N4174" i="80"/>
  <c r="O4173" i="80"/>
  <c r="N4173" i="80"/>
  <c r="O4172" i="80"/>
  <c r="N4172" i="80"/>
  <c r="O4171" i="80"/>
  <c r="N4171" i="80"/>
  <c r="O4170" i="80"/>
  <c r="N4170" i="80"/>
  <c r="O4169" i="80"/>
  <c r="N4169" i="80"/>
  <c r="O4168" i="80"/>
  <c r="N4168" i="80"/>
  <c r="O4167" i="80"/>
  <c r="N4167" i="80"/>
  <c r="O4166" i="80"/>
  <c r="N4166" i="80"/>
  <c r="O4165" i="80"/>
  <c r="N4165" i="80"/>
  <c r="O4164" i="80"/>
  <c r="N4164" i="80"/>
  <c r="O4163" i="80"/>
  <c r="N4163" i="80"/>
  <c r="O4162" i="80"/>
  <c r="N4162" i="80"/>
  <c r="O4161" i="80"/>
  <c r="N4161" i="80"/>
  <c r="O4160" i="80"/>
  <c r="N4160" i="80"/>
  <c r="O4159" i="80"/>
  <c r="N4159" i="80"/>
  <c r="O4158" i="80"/>
  <c r="N4158" i="80"/>
  <c r="O4157" i="80"/>
  <c r="N4157" i="80"/>
  <c r="O4156" i="80"/>
  <c r="N4156" i="80"/>
  <c r="O4155" i="80"/>
  <c r="N4155" i="80"/>
  <c r="O4154" i="80"/>
  <c r="N4154" i="80"/>
  <c r="O4153" i="80"/>
  <c r="N4153" i="80"/>
  <c r="O4152" i="80"/>
  <c r="N4152" i="80"/>
  <c r="O4151" i="80"/>
  <c r="N4151" i="80"/>
  <c r="O4150" i="80"/>
  <c r="N4150" i="80"/>
  <c r="O4149" i="80"/>
  <c r="N4149" i="80"/>
  <c r="O4148" i="80"/>
  <c r="N4148" i="80"/>
  <c r="O4147" i="80"/>
  <c r="N4147" i="80"/>
  <c r="O4146" i="80"/>
  <c r="N4146" i="80"/>
  <c r="O4145" i="80"/>
  <c r="N4145" i="80"/>
  <c r="O4144" i="80"/>
  <c r="N4144" i="80"/>
  <c r="O4143" i="80"/>
  <c r="N4143" i="80"/>
  <c r="O4142" i="80"/>
  <c r="N4142" i="80"/>
  <c r="O4141" i="80"/>
  <c r="N4141" i="80"/>
  <c r="O4140" i="80"/>
  <c r="N4140" i="80"/>
  <c r="O4139" i="80"/>
  <c r="N4139" i="80"/>
  <c r="O4138" i="80"/>
  <c r="N4138" i="80"/>
  <c r="O4137" i="80"/>
  <c r="N4137" i="80"/>
  <c r="O4136" i="80"/>
  <c r="N4136" i="80"/>
  <c r="O4135" i="80"/>
  <c r="N4135" i="80"/>
  <c r="O4134" i="80"/>
  <c r="N4134" i="80"/>
  <c r="O4133" i="80"/>
  <c r="N4133" i="80"/>
  <c r="O4132" i="80"/>
  <c r="N4132" i="80"/>
  <c r="O4131" i="80"/>
  <c r="N4131" i="80"/>
  <c r="O4130" i="80"/>
  <c r="N4130" i="80"/>
  <c r="O4129" i="80"/>
  <c r="N4129" i="80"/>
  <c r="O4128" i="80"/>
  <c r="N4128" i="80"/>
  <c r="O4127" i="80"/>
  <c r="N4127" i="80"/>
  <c r="O4126" i="80"/>
  <c r="N4126" i="80"/>
  <c r="O4125" i="80"/>
  <c r="N4125" i="80"/>
  <c r="O4124" i="80"/>
  <c r="N4124" i="80"/>
  <c r="O4123" i="80"/>
  <c r="N4123" i="80"/>
  <c r="O4122" i="80"/>
  <c r="N4122" i="80"/>
  <c r="O4121" i="80"/>
  <c r="N4121" i="80"/>
  <c r="O4120" i="80"/>
  <c r="N4120" i="80"/>
  <c r="O4119" i="80"/>
  <c r="N4119" i="80"/>
  <c r="O4118" i="80"/>
  <c r="N4118" i="80"/>
  <c r="O4117" i="80"/>
  <c r="N4117" i="80"/>
  <c r="O4116" i="80"/>
  <c r="N4116" i="80"/>
  <c r="O4115" i="80"/>
  <c r="N4115" i="80"/>
  <c r="O4114" i="80"/>
  <c r="N4114" i="80"/>
  <c r="O4113" i="80"/>
  <c r="N4113" i="80"/>
  <c r="O4112" i="80"/>
  <c r="N4112" i="80"/>
  <c r="O4111" i="80"/>
  <c r="N4111" i="80"/>
  <c r="O4110" i="80"/>
  <c r="N4110" i="80"/>
  <c r="O4109" i="80"/>
  <c r="N4109" i="80"/>
  <c r="O4108" i="80"/>
  <c r="N4108" i="80"/>
  <c r="O4107" i="80"/>
  <c r="N4107" i="80"/>
  <c r="O4106" i="80"/>
  <c r="N4106" i="80"/>
  <c r="O4105" i="80"/>
  <c r="N4105" i="80"/>
  <c r="O4104" i="80"/>
  <c r="N4104" i="80"/>
  <c r="O4103" i="80"/>
  <c r="N4103" i="80"/>
  <c r="O4102" i="80"/>
  <c r="N4102" i="80"/>
  <c r="O4101" i="80"/>
  <c r="N4101" i="80"/>
  <c r="O4100" i="80"/>
  <c r="N4100" i="80"/>
  <c r="O4099" i="80"/>
  <c r="N4099" i="80"/>
  <c r="O4098" i="80"/>
  <c r="N4098" i="80"/>
  <c r="O4097" i="80"/>
  <c r="N4097" i="80"/>
  <c r="O4096" i="80"/>
  <c r="N4096" i="80"/>
  <c r="O4095" i="80"/>
  <c r="N4095" i="80"/>
  <c r="O4094" i="80"/>
  <c r="N4094" i="80"/>
  <c r="O4093" i="80"/>
  <c r="N4093" i="80"/>
  <c r="O4092" i="80"/>
  <c r="N4092" i="80"/>
  <c r="O4091" i="80"/>
  <c r="N4091" i="80"/>
  <c r="O4090" i="80"/>
  <c r="N4090" i="80"/>
  <c r="O4089" i="80"/>
  <c r="N4089" i="80"/>
  <c r="O4088" i="80"/>
  <c r="N4088" i="80"/>
  <c r="O4087" i="80"/>
  <c r="N4087" i="80"/>
  <c r="O4086" i="80"/>
  <c r="N4086" i="80"/>
  <c r="O4085" i="80"/>
  <c r="N4085" i="80"/>
  <c r="O4084" i="80"/>
  <c r="N4084" i="80"/>
  <c r="O4083" i="80"/>
  <c r="N4083" i="80"/>
  <c r="O4082" i="80"/>
  <c r="N4082" i="80"/>
  <c r="O4081" i="80"/>
  <c r="N4081" i="80"/>
  <c r="O4080" i="80"/>
  <c r="N4080" i="80"/>
  <c r="O4079" i="80"/>
  <c r="N4079" i="80"/>
  <c r="O4078" i="80"/>
  <c r="N4078" i="80"/>
  <c r="O4077" i="80"/>
  <c r="N4077" i="80"/>
  <c r="O4076" i="80"/>
  <c r="N4076" i="80"/>
  <c r="O4075" i="80"/>
  <c r="N4075" i="80"/>
  <c r="O4074" i="80"/>
  <c r="N4074" i="80"/>
  <c r="O4073" i="80"/>
  <c r="N4073" i="80"/>
  <c r="O4072" i="80"/>
  <c r="N4072" i="80"/>
  <c r="O4071" i="80"/>
  <c r="N4071" i="80"/>
  <c r="O4070" i="80"/>
  <c r="N4070" i="80"/>
  <c r="O4069" i="80"/>
  <c r="N4069" i="80"/>
  <c r="O4068" i="80"/>
  <c r="N4068" i="80"/>
  <c r="O4067" i="80"/>
  <c r="N4067" i="80"/>
  <c r="O4066" i="80"/>
  <c r="N4066" i="80"/>
  <c r="O4065" i="80"/>
  <c r="N4065" i="80"/>
  <c r="O4064" i="80"/>
  <c r="N4064" i="80"/>
  <c r="O4063" i="80"/>
  <c r="N4063" i="80"/>
  <c r="O4062" i="80"/>
  <c r="N4062" i="80"/>
  <c r="O4061" i="80"/>
  <c r="N4061" i="80"/>
  <c r="O4060" i="80"/>
  <c r="N4060" i="80"/>
  <c r="O4059" i="80"/>
  <c r="N4059" i="80"/>
  <c r="O4058" i="80"/>
  <c r="N4058" i="80"/>
  <c r="O4057" i="80"/>
  <c r="N4057" i="80"/>
  <c r="O4056" i="80"/>
  <c r="N4056" i="80"/>
  <c r="O4055" i="80"/>
  <c r="N4055" i="80"/>
  <c r="O4054" i="80"/>
  <c r="N4054" i="80"/>
  <c r="O4053" i="80"/>
  <c r="N4053" i="80"/>
  <c r="O4052" i="80"/>
  <c r="N4052" i="80"/>
  <c r="O4051" i="80"/>
  <c r="N4051" i="80"/>
  <c r="O4050" i="80"/>
  <c r="N4050" i="80"/>
  <c r="O4049" i="80"/>
  <c r="N4049" i="80"/>
  <c r="P4049" i="80" s="1"/>
  <c r="O4048" i="80"/>
  <c r="N4048" i="80"/>
  <c r="O4047" i="80"/>
  <c r="N4047" i="80"/>
  <c r="O4046" i="80"/>
  <c r="N4046" i="80"/>
  <c r="O4045" i="80"/>
  <c r="N4045" i="80"/>
  <c r="O4044" i="80"/>
  <c r="N4044" i="80"/>
  <c r="O4043" i="80"/>
  <c r="N4043" i="80"/>
  <c r="O4042" i="80"/>
  <c r="N4042" i="80"/>
  <c r="O4041" i="80"/>
  <c r="N4041" i="80"/>
  <c r="O4040" i="80"/>
  <c r="N4040" i="80"/>
  <c r="O4039" i="80"/>
  <c r="N4039" i="80"/>
  <c r="O4038" i="80"/>
  <c r="N4038" i="80"/>
  <c r="O4037" i="80"/>
  <c r="N4037" i="80"/>
  <c r="O4036" i="80"/>
  <c r="N4036" i="80"/>
  <c r="O4035" i="80"/>
  <c r="N4035" i="80"/>
  <c r="O4034" i="80"/>
  <c r="N4034" i="80"/>
  <c r="O4033" i="80"/>
  <c r="N4033" i="80"/>
  <c r="O4032" i="80"/>
  <c r="N4032" i="80"/>
  <c r="O4031" i="80"/>
  <c r="N4031" i="80"/>
  <c r="O4030" i="80"/>
  <c r="N4030" i="80"/>
  <c r="O4029" i="80"/>
  <c r="N4029" i="80"/>
  <c r="O4028" i="80"/>
  <c r="N4028" i="80"/>
  <c r="O4027" i="80"/>
  <c r="N4027" i="80"/>
  <c r="O4026" i="80"/>
  <c r="N4026" i="80"/>
  <c r="P4026" i="80" s="1"/>
  <c r="O4025" i="80"/>
  <c r="N4025" i="80"/>
  <c r="P4025" i="80" s="1"/>
  <c r="O4024" i="80"/>
  <c r="N4024" i="80"/>
  <c r="O4023" i="80"/>
  <c r="N4023" i="80"/>
  <c r="O4022" i="80"/>
  <c r="N4022" i="80"/>
  <c r="O4021" i="80"/>
  <c r="N4021" i="80"/>
  <c r="O4020" i="80"/>
  <c r="N4020" i="80"/>
  <c r="P4020" i="80" s="1"/>
  <c r="O4019" i="80"/>
  <c r="N4019" i="80"/>
  <c r="O4018" i="80"/>
  <c r="N4018" i="80"/>
  <c r="O4017" i="80"/>
  <c r="N4017" i="80"/>
  <c r="O4016" i="80"/>
  <c r="N4016" i="80"/>
  <c r="O4015" i="80"/>
  <c r="N4015" i="80"/>
  <c r="O4014" i="80"/>
  <c r="N4014" i="80"/>
  <c r="O4013" i="80"/>
  <c r="N4013" i="80"/>
  <c r="P4013" i="80" s="1"/>
  <c r="O4012" i="80"/>
  <c r="N4012" i="80"/>
  <c r="O4011" i="80"/>
  <c r="N4011" i="80"/>
  <c r="O4010" i="80"/>
  <c r="N4010" i="80"/>
  <c r="O4009" i="80"/>
  <c r="N4009" i="80"/>
  <c r="O4008" i="80"/>
  <c r="N4008" i="80"/>
  <c r="P4008" i="80" s="1"/>
  <c r="O4007" i="80"/>
  <c r="N4007" i="80"/>
  <c r="O4006" i="80"/>
  <c r="N4006" i="80"/>
  <c r="O4005" i="80"/>
  <c r="N4005" i="80"/>
  <c r="O4004" i="80"/>
  <c r="N4004" i="80"/>
  <c r="O4003" i="80"/>
  <c r="N4003" i="80"/>
  <c r="O4002" i="80"/>
  <c r="N4002" i="80"/>
  <c r="O4001" i="80"/>
  <c r="N4001" i="80"/>
  <c r="O4000" i="80"/>
  <c r="N4000" i="80"/>
  <c r="O3999" i="80"/>
  <c r="N3999" i="80"/>
  <c r="O3998" i="80"/>
  <c r="N3998" i="80"/>
  <c r="O3997" i="80"/>
  <c r="N3997" i="80"/>
  <c r="O3996" i="80"/>
  <c r="N3996" i="80"/>
  <c r="P3996" i="80" s="1"/>
  <c r="O3995" i="80"/>
  <c r="N3995" i="80"/>
  <c r="O3994" i="80"/>
  <c r="N3994" i="80"/>
  <c r="O3993" i="80"/>
  <c r="N3993" i="80"/>
  <c r="O3992" i="80"/>
  <c r="N3992" i="80"/>
  <c r="O3991" i="80"/>
  <c r="N3991" i="80"/>
  <c r="O3990" i="80"/>
  <c r="N3990" i="80"/>
  <c r="O3989" i="80"/>
  <c r="N3989" i="80"/>
  <c r="O3988" i="80"/>
  <c r="N3988" i="80"/>
  <c r="O3987" i="80"/>
  <c r="N3987" i="80"/>
  <c r="O3986" i="80"/>
  <c r="N3986" i="80"/>
  <c r="O3985" i="80"/>
  <c r="N3985" i="80"/>
  <c r="O3984" i="80"/>
  <c r="N3984" i="80"/>
  <c r="O3983" i="80"/>
  <c r="N3983" i="80"/>
  <c r="O3982" i="80"/>
  <c r="N3982" i="80"/>
  <c r="O3981" i="80"/>
  <c r="N3981" i="80"/>
  <c r="O3980" i="80"/>
  <c r="N3980" i="80"/>
  <c r="O3979" i="80"/>
  <c r="N3979" i="80"/>
  <c r="O3978" i="80"/>
  <c r="N3978" i="80"/>
  <c r="O3977" i="80"/>
  <c r="N3977" i="80"/>
  <c r="O3976" i="80"/>
  <c r="N3976" i="80"/>
  <c r="O3975" i="80"/>
  <c r="N3975" i="80"/>
  <c r="O3974" i="80"/>
  <c r="N3974" i="80"/>
  <c r="O3973" i="80"/>
  <c r="N3973" i="80"/>
  <c r="O3972" i="80"/>
  <c r="N3972" i="80"/>
  <c r="P3972" i="80" s="1"/>
  <c r="O3971" i="80"/>
  <c r="N3971" i="80"/>
  <c r="O3970" i="80"/>
  <c r="N3970" i="80"/>
  <c r="O3969" i="80"/>
  <c r="N3969" i="80"/>
  <c r="O3968" i="80"/>
  <c r="N3968" i="80"/>
  <c r="O3967" i="80"/>
  <c r="N3967" i="80"/>
  <c r="O3966" i="80"/>
  <c r="N3966" i="80"/>
  <c r="O3965" i="80"/>
  <c r="N3965" i="80"/>
  <c r="O3964" i="80"/>
  <c r="N3964" i="80"/>
  <c r="O3963" i="80"/>
  <c r="N3963" i="80"/>
  <c r="O3962" i="80"/>
  <c r="N3962" i="80"/>
  <c r="O3961" i="80"/>
  <c r="N3961" i="80"/>
  <c r="O3960" i="80"/>
  <c r="N3960" i="80"/>
  <c r="P3960" i="80" s="1"/>
  <c r="O3959" i="80"/>
  <c r="N3959" i="80"/>
  <c r="O3958" i="80"/>
  <c r="N3958" i="80"/>
  <c r="O3957" i="80"/>
  <c r="N3957" i="80"/>
  <c r="O3956" i="80"/>
  <c r="N3956" i="80"/>
  <c r="O3955" i="80"/>
  <c r="N3955" i="80"/>
  <c r="O3954" i="80"/>
  <c r="N3954" i="80"/>
  <c r="P3954" i="80" s="1"/>
  <c r="O3953" i="80"/>
  <c r="N3953" i="80"/>
  <c r="O3952" i="80"/>
  <c r="N3952" i="80"/>
  <c r="O3951" i="80"/>
  <c r="N3951" i="80"/>
  <c r="O3950" i="80"/>
  <c r="N3950" i="80"/>
  <c r="O3949" i="80"/>
  <c r="N3949" i="80"/>
  <c r="O3948" i="80"/>
  <c r="N3948" i="80"/>
  <c r="P3948" i="80" s="1"/>
  <c r="O3947" i="80"/>
  <c r="N3947" i="80"/>
  <c r="O3946" i="80"/>
  <c r="N3946" i="80"/>
  <c r="O3945" i="80"/>
  <c r="N3945" i="80"/>
  <c r="O3944" i="80"/>
  <c r="N3944" i="80"/>
  <c r="O3943" i="80"/>
  <c r="N3943" i="80"/>
  <c r="P3943" i="80" s="1"/>
  <c r="O3942" i="80"/>
  <c r="N3942" i="80"/>
  <c r="O3941" i="80"/>
  <c r="N3941" i="80"/>
  <c r="O3940" i="80"/>
  <c r="N3940" i="80"/>
  <c r="O3939" i="80"/>
  <c r="N3939" i="80"/>
  <c r="O3938" i="80"/>
  <c r="N3938" i="80"/>
  <c r="O3937" i="80"/>
  <c r="N3937" i="80"/>
  <c r="O3936" i="80"/>
  <c r="N3936" i="80"/>
  <c r="O3935" i="80"/>
  <c r="N3935" i="80"/>
  <c r="O3934" i="80"/>
  <c r="N3934" i="80"/>
  <c r="O3933" i="80"/>
  <c r="N3933" i="80"/>
  <c r="O3932" i="80"/>
  <c r="N3932" i="80"/>
  <c r="O3931" i="80"/>
  <c r="N3931" i="80"/>
  <c r="O3930" i="80"/>
  <c r="N3930" i="80"/>
  <c r="O3929" i="80"/>
  <c r="N3929" i="80"/>
  <c r="O3928" i="80"/>
  <c r="N3928" i="80"/>
  <c r="O3927" i="80"/>
  <c r="N3927" i="80"/>
  <c r="O3926" i="80"/>
  <c r="N3926" i="80"/>
  <c r="O3925" i="80"/>
  <c r="N3925" i="80"/>
  <c r="O3924" i="80"/>
  <c r="N3924" i="80"/>
  <c r="O3923" i="80"/>
  <c r="N3923" i="80"/>
  <c r="O3922" i="80"/>
  <c r="N3922" i="80"/>
  <c r="O3921" i="80"/>
  <c r="N3921" i="80"/>
  <c r="O3920" i="80"/>
  <c r="N3920" i="80"/>
  <c r="O3919" i="80"/>
  <c r="N3919" i="80"/>
  <c r="O3918" i="80"/>
  <c r="N3918" i="80"/>
  <c r="O3917" i="80"/>
  <c r="N3917" i="80"/>
  <c r="O3916" i="80"/>
  <c r="N3916" i="80"/>
  <c r="O3915" i="80"/>
  <c r="N3915" i="80"/>
  <c r="O3914" i="80"/>
  <c r="N3914" i="80"/>
  <c r="O3913" i="80"/>
  <c r="N3913" i="80"/>
  <c r="O3912" i="80"/>
  <c r="N3912" i="80"/>
  <c r="O3911" i="80"/>
  <c r="N3911" i="80"/>
  <c r="O3910" i="80"/>
  <c r="N3910" i="80"/>
  <c r="O3909" i="80"/>
  <c r="N3909" i="80"/>
  <c r="O3908" i="80"/>
  <c r="N3908" i="80"/>
  <c r="O3907" i="80"/>
  <c r="N3907" i="80"/>
  <c r="O3906" i="80"/>
  <c r="N3906" i="80"/>
  <c r="O3905" i="80"/>
  <c r="N3905" i="80"/>
  <c r="O3904" i="80"/>
  <c r="N3904" i="80"/>
  <c r="O3903" i="80"/>
  <c r="N3903" i="80"/>
  <c r="O3902" i="80"/>
  <c r="N3902" i="80"/>
  <c r="O3901" i="80"/>
  <c r="N3901" i="80"/>
  <c r="O3900" i="80"/>
  <c r="N3900" i="80"/>
  <c r="O3899" i="80"/>
  <c r="N3899" i="80"/>
  <c r="O3898" i="80"/>
  <c r="N3898" i="80"/>
  <c r="O3897" i="80"/>
  <c r="N3897" i="80"/>
  <c r="O3896" i="80"/>
  <c r="N3896" i="80"/>
  <c r="O3895" i="80"/>
  <c r="N3895" i="80"/>
  <c r="O3894" i="80"/>
  <c r="N3894" i="80"/>
  <c r="O3893" i="80"/>
  <c r="N3893" i="80"/>
  <c r="O3892" i="80"/>
  <c r="N3892" i="80"/>
  <c r="O3891" i="80"/>
  <c r="N3891" i="80"/>
  <c r="O3890" i="80"/>
  <c r="N3890" i="80"/>
  <c r="O3889" i="80"/>
  <c r="N3889" i="80"/>
  <c r="O3888" i="80"/>
  <c r="N3888" i="80"/>
  <c r="O3887" i="80"/>
  <c r="N3887" i="80"/>
  <c r="O3886" i="80"/>
  <c r="N3886" i="80"/>
  <c r="O3885" i="80"/>
  <c r="N3885" i="80"/>
  <c r="O3884" i="80"/>
  <c r="N3884" i="80"/>
  <c r="O3883" i="80"/>
  <c r="N3883" i="80"/>
  <c r="O3882" i="80"/>
  <c r="N3882" i="80"/>
  <c r="O3881" i="80"/>
  <c r="N3881" i="80"/>
  <c r="O3880" i="80"/>
  <c r="N3880" i="80"/>
  <c r="O3879" i="80"/>
  <c r="N3879" i="80"/>
  <c r="O3878" i="80"/>
  <c r="N3878" i="80"/>
  <c r="O3877" i="80"/>
  <c r="N3877" i="80"/>
  <c r="O3876" i="80"/>
  <c r="N3876" i="80"/>
  <c r="O3875" i="80"/>
  <c r="N3875" i="80"/>
  <c r="O3874" i="80"/>
  <c r="N3874" i="80"/>
  <c r="O3873" i="80"/>
  <c r="N3873" i="80"/>
  <c r="O3872" i="80"/>
  <c r="N3872" i="80"/>
  <c r="O3871" i="80"/>
  <c r="N3871" i="80"/>
  <c r="O3870" i="80"/>
  <c r="N3870" i="80"/>
  <c r="O3869" i="80"/>
  <c r="N3869" i="80"/>
  <c r="O3868" i="80"/>
  <c r="N3868" i="80"/>
  <c r="O3867" i="80"/>
  <c r="N3867" i="80"/>
  <c r="O3866" i="80"/>
  <c r="N3866" i="80"/>
  <c r="O3865" i="80"/>
  <c r="N3865" i="80"/>
  <c r="O3864" i="80"/>
  <c r="N3864" i="80"/>
  <c r="O3863" i="80"/>
  <c r="N3863" i="80"/>
  <c r="O3862" i="80"/>
  <c r="N3862" i="80"/>
  <c r="O3861" i="80"/>
  <c r="N3861" i="80"/>
  <c r="O3860" i="80"/>
  <c r="N3860" i="80"/>
  <c r="O3859" i="80"/>
  <c r="N3859" i="80"/>
  <c r="O3858" i="80"/>
  <c r="N3858" i="80"/>
  <c r="O3857" i="80"/>
  <c r="N3857" i="80"/>
  <c r="O3856" i="80"/>
  <c r="N3856" i="80"/>
  <c r="P3856" i="80" s="1"/>
  <c r="O3855" i="80"/>
  <c r="N3855" i="80"/>
  <c r="O3854" i="80"/>
  <c r="N3854" i="80"/>
  <c r="O3853" i="80"/>
  <c r="N3853" i="80"/>
  <c r="O3852" i="80"/>
  <c r="N3852" i="80"/>
  <c r="O3851" i="80"/>
  <c r="N3851" i="80"/>
  <c r="O3850" i="80"/>
  <c r="N3850" i="80"/>
  <c r="P3850" i="80" s="1"/>
  <c r="O3849" i="80"/>
  <c r="N3849" i="80"/>
  <c r="O3848" i="80"/>
  <c r="N3848" i="80"/>
  <c r="O3847" i="80"/>
  <c r="N3847" i="80"/>
  <c r="P3847" i="80" s="1"/>
  <c r="O3846" i="80"/>
  <c r="N3846" i="80"/>
  <c r="O3845" i="80"/>
  <c r="N3845" i="80"/>
  <c r="O3844" i="80"/>
  <c r="N3844" i="80"/>
  <c r="O3843" i="80"/>
  <c r="N3843" i="80"/>
  <c r="O3842" i="80"/>
  <c r="N3842" i="80"/>
  <c r="O3841" i="80"/>
  <c r="N3841" i="80"/>
  <c r="P3841" i="80" s="1"/>
  <c r="O3840" i="80"/>
  <c r="N3840" i="80"/>
  <c r="O3839" i="80"/>
  <c r="N3839" i="80"/>
  <c r="O3838" i="80"/>
  <c r="N3838" i="80"/>
  <c r="O3837" i="80"/>
  <c r="N3837" i="80"/>
  <c r="O3836" i="80"/>
  <c r="N3836" i="80"/>
  <c r="O3835" i="80"/>
  <c r="N3835" i="80"/>
  <c r="O3834" i="80"/>
  <c r="N3834" i="80"/>
  <c r="O3833" i="80"/>
  <c r="N3833" i="80"/>
  <c r="O3832" i="80"/>
  <c r="N3832" i="80"/>
  <c r="O3831" i="80"/>
  <c r="N3831" i="80"/>
  <c r="O3830" i="80"/>
  <c r="N3830" i="80"/>
  <c r="O3829" i="80"/>
  <c r="N3829" i="80"/>
  <c r="O3828" i="80"/>
  <c r="N3828" i="80"/>
  <c r="O3827" i="80"/>
  <c r="N3827" i="80"/>
  <c r="O3826" i="80"/>
  <c r="N3826" i="80"/>
  <c r="O3825" i="80"/>
  <c r="N3825" i="80"/>
  <c r="O3824" i="80"/>
  <c r="N3824" i="80"/>
  <c r="O3823" i="80"/>
  <c r="N3823" i="80"/>
  <c r="O3822" i="80"/>
  <c r="N3822" i="80"/>
  <c r="O3821" i="80"/>
  <c r="N3821" i="80"/>
  <c r="O3820" i="80"/>
  <c r="N3820" i="80"/>
  <c r="O3819" i="80"/>
  <c r="N3819" i="80"/>
  <c r="O3818" i="80"/>
  <c r="N3818" i="80"/>
  <c r="O3817" i="80"/>
  <c r="N3817" i="80"/>
  <c r="O3816" i="80"/>
  <c r="N3816" i="80"/>
  <c r="O3815" i="80"/>
  <c r="N3815" i="80"/>
  <c r="O3814" i="80"/>
  <c r="N3814" i="80"/>
  <c r="O3813" i="80"/>
  <c r="N3813" i="80"/>
  <c r="O3812" i="80"/>
  <c r="N3812" i="80"/>
  <c r="O3811" i="80"/>
  <c r="N3811" i="80"/>
  <c r="P3811" i="80" s="1"/>
  <c r="O3810" i="80"/>
  <c r="N3810" i="80"/>
  <c r="O3809" i="80"/>
  <c r="N3809" i="80"/>
  <c r="O3808" i="80"/>
  <c r="N3808" i="80"/>
  <c r="P3808" i="80" s="1"/>
  <c r="O3807" i="80"/>
  <c r="N3807" i="80"/>
  <c r="O3806" i="80"/>
  <c r="N3806" i="80"/>
  <c r="O3805" i="80"/>
  <c r="N3805" i="80"/>
  <c r="O3804" i="80"/>
  <c r="N3804" i="80"/>
  <c r="O3803" i="80"/>
  <c r="N3803" i="80"/>
  <c r="O3802" i="80"/>
  <c r="N3802" i="80"/>
  <c r="O3801" i="80"/>
  <c r="N3801" i="80"/>
  <c r="O3800" i="80"/>
  <c r="N3800" i="80"/>
  <c r="O3799" i="80"/>
  <c r="N3799" i="80"/>
  <c r="O3798" i="80"/>
  <c r="N3798" i="80"/>
  <c r="O3797" i="80"/>
  <c r="N3797" i="80"/>
  <c r="O3796" i="80"/>
  <c r="N3796" i="80"/>
  <c r="O3795" i="80"/>
  <c r="N3795" i="80"/>
  <c r="O3794" i="80"/>
  <c r="N3794" i="80"/>
  <c r="O3793" i="80"/>
  <c r="N3793" i="80"/>
  <c r="O3792" i="80"/>
  <c r="N3792" i="80"/>
  <c r="O3791" i="80"/>
  <c r="N3791" i="80"/>
  <c r="O3790" i="80"/>
  <c r="N3790" i="80"/>
  <c r="O3789" i="80"/>
  <c r="N3789" i="80"/>
  <c r="O3788" i="80"/>
  <c r="N3788" i="80"/>
  <c r="O3787" i="80"/>
  <c r="N3787" i="80"/>
  <c r="O3786" i="80"/>
  <c r="N3786" i="80"/>
  <c r="O3785" i="80"/>
  <c r="N3785" i="80"/>
  <c r="O3784" i="80"/>
  <c r="N3784" i="80"/>
  <c r="O3783" i="80"/>
  <c r="N3783" i="80"/>
  <c r="O3782" i="80"/>
  <c r="N3782" i="80"/>
  <c r="O3781" i="80"/>
  <c r="N3781" i="80"/>
  <c r="O3780" i="80"/>
  <c r="N3780" i="80"/>
  <c r="O3779" i="80"/>
  <c r="N3779" i="80"/>
  <c r="O3778" i="80"/>
  <c r="N3778" i="80"/>
  <c r="O3777" i="80"/>
  <c r="N3777" i="80"/>
  <c r="O3776" i="80"/>
  <c r="N3776" i="80"/>
  <c r="O3775" i="80"/>
  <c r="N3775" i="80"/>
  <c r="O3774" i="80"/>
  <c r="N3774" i="80"/>
  <c r="O3773" i="80"/>
  <c r="N3773" i="80"/>
  <c r="O3772" i="80"/>
  <c r="N3772" i="80"/>
  <c r="O3771" i="80"/>
  <c r="N3771" i="80"/>
  <c r="O3770" i="80"/>
  <c r="N3770" i="80"/>
  <c r="O3769" i="80"/>
  <c r="N3769" i="80"/>
  <c r="O3768" i="80"/>
  <c r="N3768" i="80"/>
  <c r="O3767" i="80"/>
  <c r="N3767" i="80"/>
  <c r="O3766" i="80"/>
  <c r="N3766" i="80"/>
  <c r="O3765" i="80"/>
  <c r="N3765" i="80"/>
  <c r="O3764" i="80"/>
  <c r="N3764" i="80"/>
  <c r="O3763" i="80"/>
  <c r="N3763" i="80"/>
  <c r="O3762" i="80"/>
  <c r="N3762" i="80"/>
  <c r="O3761" i="80"/>
  <c r="N3761" i="80"/>
  <c r="O3760" i="80"/>
  <c r="N3760" i="80"/>
  <c r="O3759" i="80"/>
  <c r="N3759" i="80"/>
  <c r="O3758" i="80"/>
  <c r="N3758" i="80"/>
  <c r="O3757" i="80"/>
  <c r="N3757" i="80"/>
  <c r="O3756" i="80"/>
  <c r="N3756" i="80"/>
  <c r="O3755" i="80"/>
  <c r="N3755" i="80"/>
  <c r="P3755" i="80" s="1"/>
  <c r="O3754" i="80"/>
  <c r="N3754" i="80"/>
  <c r="O3753" i="80"/>
  <c r="N3753" i="80"/>
  <c r="O3752" i="80"/>
  <c r="N3752" i="80"/>
  <c r="O3751" i="80"/>
  <c r="N3751" i="80"/>
  <c r="O3750" i="80"/>
  <c r="N3750" i="80"/>
  <c r="O3749" i="80"/>
  <c r="N3749" i="80"/>
  <c r="P3749" i="80" s="1"/>
  <c r="O3748" i="80"/>
  <c r="N3748" i="80"/>
  <c r="O3747" i="80"/>
  <c r="N3747" i="80"/>
  <c r="O3746" i="80"/>
  <c r="N3746" i="80"/>
  <c r="O3745" i="80"/>
  <c r="N3745" i="80"/>
  <c r="O3744" i="80"/>
  <c r="N3744" i="80"/>
  <c r="O3743" i="80"/>
  <c r="N3743" i="80"/>
  <c r="P3743" i="80" s="1"/>
  <c r="O3742" i="80"/>
  <c r="N3742" i="80"/>
  <c r="O3741" i="80"/>
  <c r="N3741" i="80"/>
  <c r="O3740" i="80"/>
  <c r="N3740" i="80"/>
  <c r="O3739" i="80"/>
  <c r="N3739" i="80"/>
  <c r="O3738" i="80"/>
  <c r="N3738" i="80"/>
  <c r="O3737" i="80"/>
  <c r="N3737" i="80"/>
  <c r="P3737" i="80" s="1"/>
  <c r="O3736" i="80"/>
  <c r="N3736" i="80"/>
  <c r="O3735" i="80"/>
  <c r="N3735" i="80"/>
  <c r="O3734" i="80"/>
  <c r="N3734" i="80"/>
  <c r="O3733" i="80"/>
  <c r="N3733" i="80"/>
  <c r="O3732" i="80"/>
  <c r="N3732" i="80"/>
  <c r="O3731" i="80"/>
  <c r="N3731" i="80"/>
  <c r="P3731" i="80" s="1"/>
  <c r="O3730" i="80"/>
  <c r="N3730" i="80"/>
  <c r="O3729" i="80"/>
  <c r="N3729" i="80"/>
  <c r="O3728" i="80"/>
  <c r="N3728" i="80"/>
  <c r="O3727" i="80"/>
  <c r="N3727" i="80"/>
  <c r="O3726" i="80"/>
  <c r="N3726" i="80"/>
  <c r="O3725" i="80"/>
  <c r="N3725" i="80"/>
  <c r="P3725" i="80" s="1"/>
  <c r="O3724" i="80"/>
  <c r="N3724" i="80"/>
  <c r="O3723" i="80"/>
  <c r="N3723" i="80"/>
  <c r="O3722" i="80"/>
  <c r="N3722" i="80"/>
  <c r="O3721" i="80"/>
  <c r="N3721" i="80"/>
  <c r="O3720" i="80"/>
  <c r="N3720" i="80"/>
  <c r="O3719" i="80"/>
  <c r="N3719" i="80"/>
  <c r="P3719" i="80" s="1"/>
  <c r="O3718" i="80"/>
  <c r="N3718" i="80"/>
  <c r="O3717" i="80"/>
  <c r="N3717" i="80"/>
  <c r="O3716" i="80"/>
  <c r="N3716" i="80"/>
  <c r="O3715" i="80"/>
  <c r="N3715" i="80"/>
  <c r="O3714" i="80"/>
  <c r="N3714" i="80"/>
  <c r="O3713" i="80"/>
  <c r="N3713" i="80"/>
  <c r="P3713" i="80" s="1"/>
  <c r="O3712" i="80"/>
  <c r="N3712" i="80"/>
  <c r="O3711" i="80"/>
  <c r="N3711" i="80"/>
  <c r="O3710" i="80"/>
  <c r="N3710" i="80"/>
  <c r="O3709" i="80"/>
  <c r="N3709" i="80"/>
  <c r="O3708" i="80"/>
  <c r="N3708" i="80"/>
  <c r="O3707" i="80"/>
  <c r="N3707" i="80"/>
  <c r="P3707" i="80" s="1"/>
  <c r="O3706" i="80"/>
  <c r="N3706" i="80"/>
  <c r="O3705" i="80"/>
  <c r="N3705" i="80"/>
  <c r="O3704" i="80"/>
  <c r="N3704" i="80"/>
  <c r="O3703" i="80"/>
  <c r="N3703" i="80"/>
  <c r="O3702" i="80"/>
  <c r="N3702" i="80"/>
  <c r="O3701" i="80"/>
  <c r="N3701" i="80"/>
  <c r="P3701" i="80" s="1"/>
  <c r="O3700" i="80"/>
  <c r="N3700" i="80"/>
  <c r="O3699" i="80"/>
  <c r="N3699" i="80"/>
  <c r="O3698" i="80"/>
  <c r="N3698" i="80"/>
  <c r="O3697" i="80"/>
  <c r="N3697" i="80"/>
  <c r="O3696" i="80"/>
  <c r="N3696" i="80"/>
  <c r="O3695" i="80"/>
  <c r="N3695" i="80"/>
  <c r="P3695" i="80" s="1"/>
  <c r="O3694" i="80"/>
  <c r="N3694" i="80"/>
  <c r="O3693" i="80"/>
  <c r="N3693" i="80"/>
  <c r="O3692" i="80"/>
  <c r="N3692" i="80"/>
  <c r="O3691" i="80"/>
  <c r="N3691" i="80"/>
  <c r="O3690" i="80"/>
  <c r="N3690" i="80"/>
  <c r="O3689" i="80"/>
  <c r="N3689" i="80"/>
  <c r="P3689" i="80" s="1"/>
  <c r="O3688" i="80"/>
  <c r="N3688" i="80"/>
  <c r="O3687" i="80"/>
  <c r="N3687" i="80"/>
  <c r="O3686" i="80"/>
  <c r="N3686" i="80"/>
  <c r="O3685" i="80"/>
  <c r="N3685" i="80"/>
  <c r="O3684" i="80"/>
  <c r="N3684" i="80"/>
  <c r="O3683" i="80"/>
  <c r="N3683" i="80"/>
  <c r="P3683" i="80" s="1"/>
  <c r="O3682" i="80"/>
  <c r="N3682" i="80"/>
  <c r="O3681" i="80"/>
  <c r="N3681" i="80"/>
  <c r="O3680" i="80"/>
  <c r="N3680" i="80"/>
  <c r="O3679" i="80"/>
  <c r="N3679" i="80"/>
  <c r="O3678" i="80"/>
  <c r="N3678" i="80"/>
  <c r="O3677" i="80"/>
  <c r="N3677" i="80"/>
  <c r="P3677" i="80" s="1"/>
  <c r="O3676" i="80"/>
  <c r="N3676" i="80"/>
  <c r="O3675" i="80"/>
  <c r="N3675" i="80"/>
  <c r="O3674" i="80"/>
  <c r="N3674" i="80"/>
  <c r="O3673" i="80"/>
  <c r="N3673" i="80"/>
  <c r="O3672" i="80"/>
  <c r="N3672" i="80"/>
  <c r="O3671" i="80"/>
  <c r="N3671" i="80"/>
  <c r="P3671" i="80" s="1"/>
  <c r="O3670" i="80"/>
  <c r="N3670" i="80"/>
  <c r="O3669" i="80"/>
  <c r="N3669" i="80"/>
  <c r="O3668" i="80"/>
  <c r="N3668" i="80"/>
  <c r="O3667" i="80"/>
  <c r="N3667" i="80"/>
  <c r="O3666" i="80"/>
  <c r="N3666" i="80"/>
  <c r="O3665" i="80"/>
  <c r="N3665" i="80"/>
  <c r="P3665" i="80" s="1"/>
  <c r="O3664" i="80"/>
  <c r="N3664" i="80"/>
  <c r="O3663" i="80"/>
  <c r="N3663" i="80"/>
  <c r="O3662" i="80"/>
  <c r="N3662" i="80"/>
  <c r="O3661" i="80"/>
  <c r="N3661" i="80"/>
  <c r="O3660" i="80"/>
  <c r="N3660" i="80"/>
  <c r="O3659" i="80"/>
  <c r="N3659" i="80"/>
  <c r="P3659" i="80" s="1"/>
  <c r="O3658" i="80"/>
  <c r="N3658" i="80"/>
  <c r="O3657" i="80"/>
  <c r="N3657" i="80"/>
  <c r="O3656" i="80"/>
  <c r="N3656" i="80"/>
  <c r="O3655" i="80"/>
  <c r="N3655" i="80"/>
  <c r="O3654" i="80"/>
  <c r="N3654" i="80"/>
  <c r="O3653" i="80"/>
  <c r="N3653" i="80"/>
  <c r="P3653" i="80" s="1"/>
  <c r="O3652" i="80"/>
  <c r="N3652" i="80"/>
  <c r="O3651" i="80"/>
  <c r="N3651" i="80"/>
  <c r="O3650" i="80"/>
  <c r="N3650" i="80"/>
  <c r="O3649" i="80"/>
  <c r="N3649" i="80"/>
  <c r="O3648" i="80"/>
  <c r="N3648" i="80"/>
  <c r="O3647" i="80"/>
  <c r="N3647" i="80"/>
  <c r="P3647" i="80" s="1"/>
  <c r="O3646" i="80"/>
  <c r="N3646" i="80"/>
  <c r="O3645" i="80"/>
  <c r="N3645" i="80"/>
  <c r="O3644" i="80"/>
  <c r="N3644" i="80"/>
  <c r="O3643" i="80"/>
  <c r="N3643" i="80"/>
  <c r="O3642" i="80"/>
  <c r="N3642" i="80"/>
  <c r="O3641" i="80"/>
  <c r="N3641" i="80"/>
  <c r="P3641" i="80" s="1"/>
  <c r="O3640" i="80"/>
  <c r="N3640" i="80"/>
  <c r="O3639" i="80"/>
  <c r="N3639" i="80"/>
  <c r="O3638" i="80"/>
  <c r="N3638" i="80"/>
  <c r="O3637" i="80"/>
  <c r="N3637" i="80"/>
  <c r="O3636" i="80"/>
  <c r="N3636" i="80"/>
  <c r="O3635" i="80"/>
  <c r="N3635" i="80"/>
  <c r="P3635" i="80" s="1"/>
  <c r="O3634" i="80"/>
  <c r="N3634" i="80"/>
  <c r="O3633" i="80"/>
  <c r="N3633" i="80"/>
  <c r="O3632" i="80"/>
  <c r="N3632" i="80"/>
  <c r="O3631" i="80"/>
  <c r="N3631" i="80"/>
  <c r="O3630" i="80"/>
  <c r="N3630" i="80"/>
  <c r="O3629" i="80"/>
  <c r="N3629" i="80"/>
  <c r="P3629" i="80" s="1"/>
  <c r="O3628" i="80"/>
  <c r="N3628" i="80"/>
  <c r="O3627" i="80"/>
  <c r="N3627" i="80"/>
  <c r="O3626" i="80"/>
  <c r="N3626" i="80"/>
  <c r="O3625" i="80"/>
  <c r="N3625" i="80"/>
  <c r="O3624" i="80"/>
  <c r="N3624" i="80"/>
  <c r="O3623" i="80"/>
  <c r="N3623" i="80"/>
  <c r="P3623" i="80" s="1"/>
  <c r="O3622" i="80"/>
  <c r="N3622" i="80"/>
  <c r="O3621" i="80"/>
  <c r="N3621" i="80"/>
  <c r="O3620" i="80"/>
  <c r="N3620" i="80"/>
  <c r="O3619" i="80"/>
  <c r="N3619" i="80"/>
  <c r="O3618" i="80"/>
  <c r="N3618" i="80"/>
  <c r="O3617" i="80"/>
  <c r="N3617" i="80"/>
  <c r="P3617" i="80" s="1"/>
  <c r="O3616" i="80"/>
  <c r="N3616" i="80"/>
  <c r="O3615" i="80"/>
  <c r="N3615" i="80"/>
  <c r="O3614" i="80"/>
  <c r="N3614" i="80"/>
  <c r="O3613" i="80"/>
  <c r="N3613" i="80"/>
  <c r="O3612" i="80"/>
  <c r="N3612" i="80"/>
  <c r="O3611" i="80"/>
  <c r="N3611" i="80"/>
  <c r="P3611" i="80" s="1"/>
  <c r="O3610" i="80"/>
  <c r="N3610" i="80"/>
  <c r="O3609" i="80"/>
  <c r="N3609" i="80"/>
  <c r="O3608" i="80"/>
  <c r="N3608" i="80"/>
  <c r="O3607" i="80"/>
  <c r="N3607" i="80"/>
  <c r="O3606" i="80"/>
  <c r="N3606" i="80"/>
  <c r="O3605" i="80"/>
  <c r="N3605" i="80"/>
  <c r="P3605" i="80" s="1"/>
  <c r="O3604" i="80"/>
  <c r="N3604" i="80"/>
  <c r="O3603" i="80"/>
  <c r="N3603" i="80"/>
  <c r="O3602" i="80"/>
  <c r="N3602" i="80"/>
  <c r="O3601" i="80"/>
  <c r="N3601" i="80"/>
  <c r="O3600" i="80"/>
  <c r="N3600" i="80"/>
  <c r="O3599" i="80"/>
  <c r="N3599" i="80"/>
  <c r="P3599" i="80" s="1"/>
  <c r="O3598" i="80"/>
  <c r="N3598" i="80"/>
  <c r="O3597" i="80"/>
  <c r="N3597" i="80"/>
  <c r="O3596" i="80"/>
  <c r="N3596" i="80"/>
  <c r="O3595" i="80"/>
  <c r="N3595" i="80"/>
  <c r="O3594" i="80"/>
  <c r="N3594" i="80"/>
  <c r="O3593" i="80"/>
  <c r="N3593" i="80"/>
  <c r="P3593" i="80" s="1"/>
  <c r="O3592" i="80"/>
  <c r="N3592" i="80"/>
  <c r="O3591" i="80"/>
  <c r="N3591" i="80"/>
  <c r="O3590" i="80"/>
  <c r="N3590" i="80"/>
  <c r="O3589" i="80"/>
  <c r="N3589" i="80"/>
  <c r="P3589" i="80" s="1"/>
  <c r="O3588" i="80"/>
  <c r="N3588" i="80"/>
  <c r="O3587" i="80"/>
  <c r="N3587" i="80"/>
  <c r="O3586" i="80"/>
  <c r="N3586" i="80"/>
  <c r="O3585" i="80"/>
  <c r="N3585" i="80"/>
  <c r="O3584" i="80"/>
  <c r="N3584" i="80"/>
  <c r="O3583" i="80"/>
  <c r="N3583" i="80"/>
  <c r="O3582" i="80"/>
  <c r="N3582" i="80"/>
  <c r="O3581" i="80"/>
  <c r="N3581" i="80"/>
  <c r="P3581" i="80" s="1"/>
  <c r="O3580" i="80"/>
  <c r="N3580" i="80"/>
  <c r="O3579" i="80"/>
  <c r="N3579" i="80"/>
  <c r="O3578" i="80"/>
  <c r="N3578" i="80"/>
  <c r="O3577" i="80"/>
  <c r="N3577" i="80"/>
  <c r="O3576" i="80"/>
  <c r="N3576" i="80"/>
  <c r="O3575" i="80"/>
  <c r="N3575" i="80"/>
  <c r="P3575" i="80" s="1"/>
  <c r="O3574" i="80"/>
  <c r="N3574" i="80"/>
  <c r="O3573" i="80"/>
  <c r="N3573" i="80"/>
  <c r="O3572" i="80"/>
  <c r="N3572" i="80"/>
  <c r="O3571" i="80"/>
  <c r="N3571" i="80"/>
  <c r="O3570" i="80"/>
  <c r="N3570" i="80"/>
  <c r="O3569" i="80"/>
  <c r="N3569" i="80"/>
  <c r="P3569" i="80" s="1"/>
  <c r="O3568" i="80"/>
  <c r="N3568" i="80"/>
  <c r="O3567" i="80"/>
  <c r="N3567" i="80"/>
  <c r="O3566" i="80"/>
  <c r="N3566" i="80"/>
  <c r="O3565" i="80"/>
  <c r="N3565" i="80"/>
  <c r="O3564" i="80"/>
  <c r="N3564" i="80"/>
  <c r="O3563" i="80"/>
  <c r="N3563" i="80"/>
  <c r="O3562" i="80"/>
  <c r="N3562" i="80"/>
  <c r="O3561" i="80"/>
  <c r="N3561" i="80"/>
  <c r="O3560" i="80"/>
  <c r="N3560" i="80"/>
  <c r="O3559" i="80"/>
  <c r="N3559" i="80"/>
  <c r="O3558" i="80"/>
  <c r="N3558" i="80"/>
  <c r="O3557" i="80"/>
  <c r="N3557" i="80"/>
  <c r="O3556" i="80"/>
  <c r="N3556" i="80"/>
  <c r="O3555" i="80"/>
  <c r="N3555" i="80"/>
  <c r="O3554" i="80"/>
  <c r="N3554" i="80"/>
  <c r="O3553" i="80"/>
  <c r="N3553" i="80"/>
  <c r="O3552" i="80"/>
  <c r="N3552" i="80"/>
  <c r="O3551" i="80"/>
  <c r="N3551" i="80"/>
  <c r="O3550" i="80"/>
  <c r="N3550" i="80"/>
  <c r="O3549" i="80"/>
  <c r="N3549" i="80"/>
  <c r="O3548" i="80"/>
  <c r="N3548" i="80"/>
  <c r="O3547" i="80"/>
  <c r="N3547" i="80"/>
  <c r="O3546" i="80"/>
  <c r="N3546" i="80"/>
  <c r="O3545" i="80"/>
  <c r="N3545" i="80"/>
  <c r="O3544" i="80"/>
  <c r="N3544" i="80"/>
  <c r="O3543" i="80"/>
  <c r="N3543" i="80"/>
  <c r="O3542" i="80"/>
  <c r="N3542" i="80"/>
  <c r="O3541" i="80"/>
  <c r="N3541" i="80"/>
  <c r="O3540" i="80"/>
  <c r="N3540" i="80"/>
  <c r="O3539" i="80"/>
  <c r="N3539" i="80"/>
  <c r="O3538" i="80"/>
  <c r="N3538" i="80"/>
  <c r="O3537" i="80"/>
  <c r="N3537" i="80"/>
  <c r="O3536" i="80"/>
  <c r="N3536" i="80"/>
  <c r="O3535" i="80"/>
  <c r="N3535" i="80"/>
  <c r="O3534" i="80"/>
  <c r="N3534" i="80"/>
  <c r="O3533" i="80"/>
  <c r="N3533" i="80"/>
  <c r="O3532" i="80"/>
  <c r="N3532" i="80"/>
  <c r="O3531" i="80"/>
  <c r="N3531" i="80"/>
  <c r="O3530" i="80"/>
  <c r="N3530" i="80"/>
  <c r="O3529" i="80"/>
  <c r="N3529" i="80"/>
  <c r="O3528" i="80"/>
  <c r="N3528" i="80"/>
  <c r="O3527" i="80"/>
  <c r="N3527" i="80"/>
  <c r="O3526" i="80"/>
  <c r="N3526" i="80"/>
  <c r="O3525" i="80"/>
  <c r="N3525" i="80"/>
  <c r="O3524" i="80"/>
  <c r="N3524" i="80"/>
  <c r="O3523" i="80"/>
  <c r="N3523" i="80"/>
  <c r="O3522" i="80"/>
  <c r="N3522" i="80"/>
  <c r="O3521" i="80"/>
  <c r="N3521" i="80"/>
  <c r="O3520" i="80"/>
  <c r="N3520" i="80"/>
  <c r="O3519" i="80"/>
  <c r="N3519" i="80"/>
  <c r="O3518" i="80"/>
  <c r="N3518" i="80"/>
  <c r="O3517" i="80"/>
  <c r="N3517" i="80"/>
  <c r="P3517" i="80" s="1"/>
  <c r="O3516" i="80"/>
  <c r="N3516" i="80"/>
  <c r="O3515" i="80"/>
  <c r="N3515" i="80"/>
  <c r="O3514" i="80"/>
  <c r="N3514" i="80"/>
  <c r="O3513" i="80"/>
  <c r="N3513" i="80"/>
  <c r="O3512" i="80"/>
  <c r="N3512" i="80"/>
  <c r="O3511" i="80"/>
  <c r="N3511" i="80"/>
  <c r="P3511" i="80" s="1"/>
  <c r="O3510" i="80"/>
  <c r="N3510" i="80"/>
  <c r="O3509" i="80"/>
  <c r="N3509" i="80"/>
  <c r="O3508" i="80"/>
  <c r="N3508" i="80"/>
  <c r="O3507" i="80"/>
  <c r="N3507" i="80"/>
  <c r="O3506" i="80"/>
  <c r="N3506" i="80"/>
  <c r="O3505" i="80"/>
  <c r="N3505" i="80"/>
  <c r="O3504" i="80"/>
  <c r="N3504" i="80"/>
  <c r="O3503" i="80"/>
  <c r="N3503" i="80"/>
  <c r="O3502" i="80"/>
  <c r="N3502" i="80"/>
  <c r="O3501" i="80"/>
  <c r="N3501" i="80"/>
  <c r="O3500" i="80"/>
  <c r="N3500" i="80"/>
  <c r="O3499" i="80"/>
  <c r="N3499" i="80"/>
  <c r="O3498" i="80"/>
  <c r="N3498" i="80"/>
  <c r="O3497" i="80"/>
  <c r="N3497" i="80"/>
  <c r="O3496" i="80"/>
  <c r="N3496" i="80"/>
  <c r="O3495" i="80"/>
  <c r="N3495" i="80"/>
  <c r="O3494" i="80"/>
  <c r="N3494" i="80"/>
  <c r="O3493" i="80"/>
  <c r="N3493" i="80"/>
  <c r="O3492" i="80"/>
  <c r="N3492" i="80"/>
  <c r="O3491" i="80"/>
  <c r="N3491" i="80"/>
  <c r="O3490" i="80"/>
  <c r="N3490" i="80"/>
  <c r="O3489" i="80"/>
  <c r="N3489" i="80"/>
  <c r="O3488" i="80"/>
  <c r="N3488" i="80"/>
  <c r="O3487" i="80"/>
  <c r="N3487" i="80"/>
  <c r="O3486" i="80"/>
  <c r="N3486" i="80"/>
  <c r="O3485" i="80"/>
  <c r="N3485" i="80"/>
  <c r="O3484" i="80"/>
  <c r="N3484" i="80"/>
  <c r="O3483" i="80"/>
  <c r="N3483" i="80"/>
  <c r="O3482" i="80"/>
  <c r="N3482" i="80"/>
  <c r="O3481" i="80"/>
  <c r="N3481" i="80"/>
  <c r="O3480" i="80"/>
  <c r="N3480" i="80"/>
  <c r="O3479" i="80"/>
  <c r="N3479" i="80"/>
  <c r="O3478" i="80"/>
  <c r="N3478" i="80"/>
  <c r="O3477" i="80"/>
  <c r="N3477" i="80"/>
  <c r="O3476" i="80"/>
  <c r="N3476" i="80"/>
  <c r="O3475" i="80"/>
  <c r="N3475" i="80"/>
  <c r="O3474" i="80"/>
  <c r="N3474" i="80"/>
  <c r="O3473" i="80"/>
  <c r="N3473" i="80"/>
  <c r="O3472" i="80"/>
  <c r="N3472" i="80"/>
  <c r="O3471" i="80"/>
  <c r="N3471" i="80"/>
  <c r="O3470" i="80"/>
  <c r="N3470" i="80"/>
  <c r="O3469" i="80"/>
  <c r="N3469" i="80"/>
  <c r="O3468" i="80"/>
  <c r="N3468" i="80"/>
  <c r="O3467" i="80"/>
  <c r="N3467" i="80"/>
  <c r="O3466" i="80"/>
  <c r="N3466" i="80"/>
  <c r="O3465" i="80"/>
  <c r="N3465" i="80"/>
  <c r="O3464" i="80"/>
  <c r="N3464" i="80"/>
  <c r="O3463" i="80"/>
  <c r="N3463" i="80"/>
  <c r="O3462" i="80"/>
  <c r="N3462" i="80"/>
  <c r="O3461" i="80"/>
  <c r="N3461" i="80"/>
  <c r="O3460" i="80"/>
  <c r="N3460" i="80"/>
  <c r="O3459" i="80"/>
  <c r="N3459" i="80"/>
  <c r="O3458" i="80"/>
  <c r="N3458" i="80"/>
  <c r="O3457" i="80"/>
  <c r="N3457" i="80"/>
  <c r="O3456" i="80"/>
  <c r="N3456" i="80"/>
  <c r="O3455" i="80"/>
  <c r="N3455" i="80"/>
  <c r="O3454" i="80"/>
  <c r="N3454" i="80"/>
  <c r="O3453" i="80"/>
  <c r="N3453" i="80"/>
  <c r="O3452" i="80"/>
  <c r="N3452" i="80"/>
  <c r="O3451" i="80"/>
  <c r="N3451" i="80"/>
  <c r="O3450" i="80"/>
  <c r="N3450" i="80"/>
  <c r="O3449" i="80"/>
  <c r="N3449" i="80"/>
  <c r="O3448" i="80"/>
  <c r="N3448" i="80"/>
  <c r="O3447" i="80"/>
  <c r="N3447" i="80"/>
  <c r="O3446" i="80"/>
  <c r="N3446" i="80"/>
  <c r="O3445" i="80"/>
  <c r="N3445" i="80"/>
  <c r="O3444" i="80"/>
  <c r="N3444" i="80"/>
  <c r="O3443" i="80"/>
  <c r="N3443" i="80"/>
  <c r="O3442" i="80"/>
  <c r="N3442" i="80"/>
  <c r="O3441" i="80"/>
  <c r="N3441" i="80"/>
  <c r="O3440" i="80"/>
  <c r="N3440" i="80"/>
  <c r="O3439" i="80"/>
  <c r="N3439" i="80"/>
  <c r="O3438" i="80"/>
  <c r="N3438" i="80"/>
  <c r="O3437" i="80"/>
  <c r="N3437" i="80"/>
  <c r="O3436" i="80"/>
  <c r="N3436" i="80"/>
  <c r="O3435" i="80"/>
  <c r="N3435" i="80"/>
  <c r="O3434" i="80"/>
  <c r="N3434" i="80"/>
  <c r="O3433" i="80"/>
  <c r="N3433" i="80"/>
  <c r="O3432" i="80"/>
  <c r="N3432" i="80"/>
  <c r="O3431" i="80"/>
  <c r="N3431" i="80"/>
  <c r="O3430" i="80"/>
  <c r="N3430" i="80"/>
  <c r="O3429" i="80"/>
  <c r="N3429" i="80"/>
  <c r="O3428" i="80"/>
  <c r="N3428" i="80"/>
  <c r="O3427" i="80"/>
  <c r="N3427" i="80"/>
  <c r="O3426" i="80"/>
  <c r="N3426" i="80"/>
  <c r="O3425" i="80"/>
  <c r="N3425" i="80"/>
  <c r="O3424" i="80"/>
  <c r="N3424" i="80"/>
  <c r="O3423" i="80"/>
  <c r="N3423" i="80"/>
  <c r="O3422" i="80"/>
  <c r="N3422" i="80"/>
  <c r="O3421" i="80"/>
  <c r="N3421" i="80"/>
  <c r="O3420" i="80"/>
  <c r="N3420" i="80"/>
  <c r="O3419" i="80"/>
  <c r="N3419" i="80"/>
  <c r="O3418" i="80"/>
  <c r="N3418" i="80"/>
  <c r="O3417" i="80"/>
  <c r="N3417" i="80"/>
  <c r="O3416" i="80"/>
  <c r="N3416" i="80"/>
  <c r="O3415" i="80"/>
  <c r="N3415" i="80"/>
  <c r="O3414" i="80"/>
  <c r="N3414" i="80"/>
  <c r="O3413" i="80"/>
  <c r="N3413" i="80"/>
  <c r="O3412" i="80"/>
  <c r="N3412" i="80"/>
  <c r="O3411" i="80"/>
  <c r="N3411" i="80"/>
  <c r="O3410" i="80"/>
  <c r="N3410" i="80"/>
  <c r="O3409" i="80"/>
  <c r="N3409" i="80"/>
  <c r="O3408" i="80"/>
  <c r="N3408" i="80"/>
  <c r="O3407" i="80"/>
  <c r="N3407" i="80"/>
  <c r="O3406" i="80"/>
  <c r="N3406" i="80"/>
  <c r="O3405" i="80"/>
  <c r="N3405" i="80"/>
  <c r="O3404" i="80"/>
  <c r="N3404" i="80"/>
  <c r="O3403" i="80"/>
  <c r="N3403" i="80"/>
  <c r="O3402" i="80"/>
  <c r="N3402" i="80"/>
  <c r="O3401" i="80"/>
  <c r="N3401" i="80"/>
  <c r="O3400" i="80"/>
  <c r="N3400" i="80"/>
  <c r="O3399" i="80"/>
  <c r="N3399" i="80"/>
  <c r="O3398" i="80"/>
  <c r="N3398" i="80"/>
  <c r="O3397" i="80"/>
  <c r="N3397" i="80"/>
  <c r="O3396" i="80"/>
  <c r="N3396" i="80"/>
  <c r="O3395" i="80"/>
  <c r="N3395" i="80"/>
  <c r="O3394" i="80"/>
  <c r="N3394" i="80"/>
  <c r="O3393" i="80"/>
  <c r="N3393" i="80"/>
  <c r="O3392" i="80"/>
  <c r="N3392" i="80"/>
  <c r="O3391" i="80"/>
  <c r="N3391" i="80"/>
  <c r="O3390" i="80"/>
  <c r="N3390" i="80"/>
  <c r="O3389" i="80"/>
  <c r="N3389" i="80"/>
  <c r="O3388" i="80"/>
  <c r="N3388" i="80"/>
  <c r="O3387" i="80"/>
  <c r="N3387" i="80"/>
  <c r="O3386" i="80"/>
  <c r="N3386" i="80"/>
  <c r="O3385" i="80"/>
  <c r="N3385" i="80"/>
  <c r="O3384" i="80"/>
  <c r="N3384" i="80"/>
  <c r="O3383" i="80"/>
  <c r="N3383" i="80"/>
  <c r="O3382" i="80"/>
  <c r="N3382" i="80"/>
  <c r="O3381" i="80"/>
  <c r="N3381" i="80"/>
  <c r="O3380" i="80"/>
  <c r="N3380" i="80"/>
  <c r="O3379" i="80"/>
  <c r="N3379" i="80"/>
  <c r="O3378" i="80"/>
  <c r="N3378" i="80"/>
  <c r="O3377" i="80"/>
  <c r="N3377" i="80"/>
  <c r="O3376" i="80"/>
  <c r="N3376" i="80"/>
  <c r="O3375" i="80"/>
  <c r="N3375" i="80"/>
  <c r="O3374" i="80"/>
  <c r="N3374" i="80"/>
  <c r="O3373" i="80"/>
  <c r="N3373" i="80"/>
  <c r="O3372" i="80"/>
  <c r="N3372" i="80"/>
  <c r="O3371" i="80"/>
  <c r="N3371" i="80"/>
  <c r="O3370" i="80"/>
  <c r="N3370" i="80"/>
  <c r="O3369" i="80"/>
  <c r="N3369" i="80"/>
  <c r="O3368" i="80"/>
  <c r="N3368" i="80"/>
  <c r="O3367" i="80"/>
  <c r="N3367" i="80"/>
  <c r="O3366" i="80"/>
  <c r="N3366" i="80"/>
  <c r="O3365" i="80"/>
  <c r="N3365" i="80"/>
  <c r="O3364" i="80"/>
  <c r="N3364" i="80"/>
  <c r="O3363" i="80"/>
  <c r="N3363" i="80"/>
  <c r="O3362" i="80"/>
  <c r="N3362" i="80"/>
  <c r="O3361" i="80"/>
  <c r="N3361" i="80"/>
  <c r="O3360" i="80"/>
  <c r="N3360" i="80"/>
  <c r="O3359" i="80"/>
  <c r="N3359" i="80"/>
  <c r="O3358" i="80"/>
  <c r="N3358" i="80"/>
  <c r="O3357" i="80"/>
  <c r="N3357" i="80"/>
  <c r="O3356" i="80"/>
  <c r="N3356" i="80"/>
  <c r="O3355" i="80"/>
  <c r="N3355" i="80"/>
  <c r="O3354" i="80"/>
  <c r="N3354" i="80"/>
  <c r="O3353" i="80"/>
  <c r="N3353" i="80"/>
  <c r="O3352" i="80"/>
  <c r="N3352" i="80"/>
  <c r="O3351" i="80"/>
  <c r="N3351" i="80"/>
  <c r="O3350" i="80"/>
  <c r="N3350" i="80"/>
  <c r="O3349" i="80"/>
  <c r="N3349" i="80"/>
  <c r="O3348" i="80"/>
  <c r="N3348" i="80"/>
  <c r="O3347" i="80"/>
  <c r="N3347" i="80"/>
  <c r="O3346" i="80"/>
  <c r="N3346" i="80"/>
  <c r="O3345" i="80"/>
  <c r="N3345" i="80"/>
  <c r="O3344" i="80"/>
  <c r="N3344" i="80"/>
  <c r="O3343" i="80"/>
  <c r="N3343" i="80"/>
  <c r="O3342" i="80"/>
  <c r="N3342" i="80"/>
  <c r="O3341" i="80"/>
  <c r="N3341" i="80"/>
  <c r="O3340" i="80"/>
  <c r="N3340" i="80"/>
  <c r="O3339" i="80"/>
  <c r="N3339" i="80"/>
  <c r="O3338" i="80"/>
  <c r="N3338" i="80"/>
  <c r="O3337" i="80"/>
  <c r="N3337" i="80"/>
  <c r="O3336" i="80"/>
  <c r="N3336" i="80"/>
  <c r="O3335" i="80"/>
  <c r="N3335" i="80"/>
  <c r="O3334" i="80"/>
  <c r="N3334" i="80"/>
  <c r="O3333" i="80"/>
  <c r="N3333" i="80"/>
  <c r="O3332" i="80"/>
  <c r="N3332" i="80"/>
  <c r="O3331" i="80"/>
  <c r="N3331" i="80"/>
  <c r="O3330" i="80"/>
  <c r="N3330" i="80"/>
  <c r="O3329" i="80"/>
  <c r="N3329" i="80"/>
  <c r="O3328" i="80"/>
  <c r="N3328" i="80"/>
  <c r="O3327" i="80"/>
  <c r="N3327" i="80"/>
  <c r="O3326" i="80"/>
  <c r="N3326" i="80"/>
  <c r="O3325" i="80"/>
  <c r="N3325" i="80"/>
  <c r="O3324" i="80"/>
  <c r="N3324" i="80"/>
  <c r="O3323" i="80"/>
  <c r="N3323" i="80"/>
  <c r="O3322" i="80"/>
  <c r="N3322" i="80"/>
  <c r="O3321" i="80"/>
  <c r="N3321" i="80"/>
  <c r="O3320" i="80"/>
  <c r="N3320" i="80"/>
  <c r="O3319" i="80"/>
  <c r="N3319" i="80"/>
  <c r="O3318" i="80"/>
  <c r="N3318" i="80"/>
  <c r="O3317" i="80"/>
  <c r="N3317" i="80"/>
  <c r="O3316" i="80"/>
  <c r="N3316" i="80"/>
  <c r="O3315" i="80"/>
  <c r="N3315" i="80"/>
  <c r="O3314" i="80"/>
  <c r="N3314" i="80"/>
  <c r="O3313" i="80"/>
  <c r="N3313" i="80"/>
  <c r="O3312" i="80"/>
  <c r="N3312" i="80"/>
  <c r="O3311" i="80"/>
  <c r="N3311" i="80"/>
  <c r="O3310" i="80"/>
  <c r="N3310" i="80"/>
  <c r="O3309" i="80"/>
  <c r="N3309" i="80"/>
  <c r="O3308" i="80"/>
  <c r="N3308" i="80"/>
  <c r="O3307" i="80"/>
  <c r="N3307" i="80"/>
  <c r="O3306" i="80"/>
  <c r="N3306" i="80"/>
  <c r="O3305" i="80"/>
  <c r="N3305" i="80"/>
  <c r="O3304" i="80"/>
  <c r="N3304" i="80"/>
  <c r="O3303" i="80"/>
  <c r="N3303" i="80"/>
  <c r="O3302" i="80"/>
  <c r="N3302" i="80"/>
  <c r="O3301" i="80"/>
  <c r="N3301" i="80"/>
  <c r="O3300" i="80"/>
  <c r="N3300" i="80"/>
  <c r="O3299" i="80"/>
  <c r="N3299" i="80"/>
  <c r="O3298" i="80"/>
  <c r="N3298" i="80"/>
  <c r="O3297" i="80"/>
  <c r="N3297" i="80"/>
  <c r="O3296" i="80"/>
  <c r="N3296" i="80"/>
  <c r="O3295" i="80"/>
  <c r="N3295" i="80"/>
  <c r="O3294" i="80"/>
  <c r="N3294" i="80"/>
  <c r="O3293" i="80"/>
  <c r="N3293" i="80"/>
  <c r="O3292" i="80"/>
  <c r="N3292" i="80"/>
  <c r="O3291" i="80"/>
  <c r="N3291" i="80"/>
  <c r="O3290" i="80"/>
  <c r="N3290" i="80"/>
  <c r="O3289" i="80"/>
  <c r="N3289" i="80"/>
  <c r="O3288" i="80"/>
  <c r="N3288" i="80"/>
  <c r="O3287" i="80"/>
  <c r="N3287" i="80"/>
  <c r="O3286" i="80"/>
  <c r="N3286" i="80"/>
  <c r="O3285" i="80"/>
  <c r="N3285" i="80"/>
  <c r="O3284" i="80"/>
  <c r="N3284" i="80"/>
  <c r="O3283" i="80"/>
  <c r="N3283" i="80"/>
  <c r="O3282" i="80"/>
  <c r="N3282" i="80"/>
  <c r="O3281" i="80"/>
  <c r="N3281" i="80"/>
  <c r="O3280" i="80"/>
  <c r="N3280" i="80"/>
  <c r="O3279" i="80"/>
  <c r="N3279" i="80"/>
  <c r="P3279" i="80" s="1"/>
  <c r="O3278" i="80"/>
  <c r="N3278" i="80"/>
  <c r="O3277" i="80"/>
  <c r="N3277" i="80"/>
  <c r="O3276" i="80"/>
  <c r="N3276" i="80"/>
  <c r="O3275" i="80"/>
  <c r="N3275" i="80"/>
  <c r="O3274" i="80"/>
  <c r="N3274" i="80"/>
  <c r="O3273" i="80"/>
  <c r="N3273" i="80"/>
  <c r="O3272" i="80"/>
  <c r="N3272" i="80"/>
  <c r="O3271" i="80"/>
  <c r="N3271" i="80"/>
  <c r="O3270" i="80"/>
  <c r="N3270" i="80"/>
  <c r="O3269" i="80"/>
  <c r="N3269" i="80"/>
  <c r="O3268" i="80"/>
  <c r="N3268" i="80"/>
  <c r="O3267" i="80"/>
  <c r="N3267" i="80"/>
  <c r="O3266" i="80"/>
  <c r="N3266" i="80"/>
  <c r="O3265" i="80"/>
  <c r="N3265" i="80"/>
  <c r="O3264" i="80"/>
  <c r="N3264" i="80"/>
  <c r="O3263" i="80"/>
  <c r="N3263" i="80"/>
  <c r="O3262" i="80"/>
  <c r="N3262" i="80"/>
  <c r="O3261" i="80"/>
  <c r="N3261" i="80"/>
  <c r="P3261" i="80" s="1"/>
  <c r="O3260" i="80"/>
  <c r="N3260" i="80"/>
  <c r="O3259" i="80"/>
  <c r="N3259" i="80"/>
  <c r="O3258" i="80"/>
  <c r="N3258" i="80"/>
  <c r="O3257" i="80"/>
  <c r="N3257" i="80"/>
  <c r="O3256" i="80"/>
  <c r="N3256" i="80"/>
  <c r="O3255" i="80"/>
  <c r="N3255" i="80"/>
  <c r="P3255" i="80" s="1"/>
  <c r="O3254" i="80"/>
  <c r="N3254" i="80"/>
  <c r="O3253" i="80"/>
  <c r="N3253" i="80"/>
  <c r="O3252" i="80"/>
  <c r="N3252" i="80"/>
  <c r="O3251" i="80"/>
  <c r="N3251" i="80"/>
  <c r="O3250" i="80"/>
  <c r="N3250" i="80"/>
  <c r="O3249" i="80"/>
  <c r="N3249" i="80"/>
  <c r="P3249" i="80" s="1"/>
  <c r="O3248" i="80"/>
  <c r="N3248" i="80"/>
  <c r="O3247" i="80"/>
  <c r="N3247" i="80"/>
  <c r="O3246" i="80"/>
  <c r="N3246" i="80"/>
  <c r="O3245" i="80"/>
  <c r="N3245" i="80"/>
  <c r="O3244" i="80"/>
  <c r="N3244" i="80"/>
  <c r="O3243" i="80"/>
  <c r="N3243" i="80"/>
  <c r="O3242" i="80"/>
  <c r="N3242" i="80"/>
  <c r="O3241" i="80"/>
  <c r="N3241" i="80"/>
  <c r="O3240" i="80"/>
  <c r="N3240" i="80"/>
  <c r="O3239" i="80"/>
  <c r="N3239" i="80"/>
  <c r="O3238" i="80"/>
  <c r="N3238" i="80"/>
  <c r="O3237" i="80"/>
  <c r="N3237" i="80"/>
  <c r="O3236" i="80"/>
  <c r="N3236" i="80"/>
  <c r="O3235" i="80"/>
  <c r="N3235" i="80"/>
  <c r="O3234" i="80"/>
  <c r="N3234" i="80"/>
  <c r="O3233" i="80"/>
  <c r="N3233" i="80"/>
  <c r="O3232" i="80"/>
  <c r="N3232" i="80"/>
  <c r="O3231" i="80"/>
  <c r="N3231" i="80"/>
  <c r="O3230" i="80"/>
  <c r="N3230" i="80"/>
  <c r="O3229" i="80"/>
  <c r="N3229" i="80"/>
  <c r="O3228" i="80"/>
  <c r="N3228" i="80"/>
  <c r="O3227" i="80"/>
  <c r="N3227" i="80"/>
  <c r="O3226" i="80"/>
  <c r="N3226" i="80"/>
  <c r="O3225" i="80"/>
  <c r="N3225" i="80"/>
  <c r="O3224" i="80"/>
  <c r="N3224" i="80"/>
  <c r="O3223" i="80"/>
  <c r="N3223" i="80"/>
  <c r="O3222" i="80"/>
  <c r="N3222" i="80"/>
  <c r="O3221" i="80"/>
  <c r="N3221" i="80"/>
  <c r="O3220" i="80"/>
  <c r="N3220" i="80"/>
  <c r="O3219" i="80"/>
  <c r="N3219" i="80"/>
  <c r="O3218" i="80"/>
  <c r="N3218" i="80"/>
  <c r="O3217" i="80"/>
  <c r="N3217" i="80"/>
  <c r="O3216" i="80"/>
  <c r="N3216" i="80"/>
  <c r="O3215" i="80"/>
  <c r="N3215" i="80"/>
  <c r="O3214" i="80"/>
  <c r="N3214" i="80"/>
  <c r="O3213" i="80"/>
  <c r="N3213" i="80"/>
  <c r="O3212" i="80"/>
  <c r="N3212" i="80"/>
  <c r="O3211" i="80"/>
  <c r="N3211" i="80"/>
  <c r="O3210" i="80"/>
  <c r="N3210" i="80"/>
  <c r="O3209" i="80"/>
  <c r="N3209" i="80"/>
  <c r="O3208" i="80"/>
  <c r="N3208" i="80"/>
  <c r="O3207" i="80"/>
  <c r="N3207" i="80"/>
  <c r="O3206" i="80"/>
  <c r="N3206" i="80"/>
  <c r="O3205" i="80"/>
  <c r="N3205" i="80"/>
  <c r="O3204" i="80"/>
  <c r="N3204" i="80"/>
  <c r="O3203" i="80"/>
  <c r="N3203" i="80"/>
  <c r="O3202" i="80"/>
  <c r="N3202" i="80"/>
  <c r="O3201" i="80"/>
  <c r="N3201" i="80"/>
  <c r="O3200" i="80"/>
  <c r="N3200" i="80"/>
  <c r="O3199" i="80"/>
  <c r="N3199" i="80"/>
  <c r="O3198" i="80"/>
  <c r="N3198" i="80"/>
  <c r="O3197" i="80"/>
  <c r="N3197" i="80"/>
  <c r="O3196" i="80"/>
  <c r="N3196" i="80"/>
  <c r="O3195" i="80"/>
  <c r="N3195" i="80"/>
  <c r="O3194" i="80"/>
  <c r="N3194" i="80"/>
  <c r="O3193" i="80"/>
  <c r="N3193" i="80"/>
  <c r="O3192" i="80"/>
  <c r="N3192" i="80"/>
  <c r="O3191" i="80"/>
  <c r="N3191" i="80"/>
  <c r="O3190" i="80"/>
  <c r="N3190" i="80"/>
  <c r="O3189" i="80"/>
  <c r="N3189" i="80"/>
  <c r="O3188" i="80"/>
  <c r="N3188" i="80"/>
  <c r="O3187" i="80"/>
  <c r="N3187" i="80"/>
  <c r="O3186" i="80"/>
  <c r="N3186" i="80"/>
  <c r="O3185" i="80"/>
  <c r="N3185" i="80"/>
  <c r="O3184" i="80"/>
  <c r="N3184" i="80"/>
  <c r="O3183" i="80"/>
  <c r="N3183" i="80"/>
  <c r="O3182" i="80"/>
  <c r="N3182" i="80"/>
  <c r="O3181" i="80"/>
  <c r="N3181" i="80"/>
  <c r="O3180" i="80"/>
  <c r="N3180" i="80"/>
  <c r="O3179" i="80"/>
  <c r="N3179" i="80"/>
  <c r="O3178" i="80"/>
  <c r="N3178" i="80"/>
  <c r="O3177" i="80"/>
  <c r="N3177" i="80"/>
  <c r="O3176" i="80"/>
  <c r="N3176" i="80"/>
  <c r="O3175" i="80"/>
  <c r="N3175" i="80"/>
  <c r="O3174" i="80"/>
  <c r="N3174" i="80"/>
  <c r="O3173" i="80"/>
  <c r="N3173" i="80"/>
  <c r="O3172" i="80"/>
  <c r="N3172" i="80"/>
  <c r="O3171" i="80"/>
  <c r="N3171" i="80"/>
  <c r="O3170" i="80"/>
  <c r="N3170" i="80"/>
  <c r="O3169" i="80"/>
  <c r="N3169" i="80"/>
  <c r="O3168" i="80"/>
  <c r="N3168" i="80"/>
  <c r="O3167" i="80"/>
  <c r="N3167" i="80"/>
  <c r="O3166" i="80"/>
  <c r="N3166" i="80"/>
  <c r="O3165" i="80"/>
  <c r="N3165" i="80"/>
  <c r="O3164" i="80"/>
  <c r="N3164" i="80"/>
  <c r="O3163" i="80"/>
  <c r="N3163" i="80"/>
  <c r="O3162" i="80"/>
  <c r="N3162" i="80"/>
  <c r="O3161" i="80"/>
  <c r="N3161" i="80"/>
  <c r="O3160" i="80"/>
  <c r="N3160" i="80"/>
  <c r="O3159" i="80"/>
  <c r="N3159" i="80"/>
  <c r="O3158" i="80"/>
  <c r="N3158" i="80"/>
  <c r="O3157" i="80"/>
  <c r="N3157" i="80"/>
  <c r="O3156" i="80"/>
  <c r="N3156" i="80"/>
  <c r="O3155" i="80"/>
  <c r="N3155" i="80"/>
  <c r="O3154" i="80"/>
  <c r="N3154" i="80"/>
  <c r="O3153" i="80"/>
  <c r="N3153" i="80"/>
  <c r="O3152" i="80"/>
  <c r="N3152" i="80"/>
  <c r="O3151" i="80"/>
  <c r="N3151" i="80"/>
  <c r="O3150" i="80"/>
  <c r="N3150" i="80"/>
  <c r="O3149" i="80"/>
  <c r="N3149" i="80"/>
  <c r="O3148" i="80"/>
  <c r="N3148" i="80"/>
  <c r="O3147" i="80"/>
  <c r="N3147" i="80"/>
  <c r="O3146" i="80"/>
  <c r="N3146" i="80"/>
  <c r="O3145" i="80"/>
  <c r="N3145" i="80"/>
  <c r="O3144" i="80"/>
  <c r="N3144" i="80"/>
  <c r="O3143" i="80"/>
  <c r="N3143" i="80"/>
  <c r="O3142" i="80"/>
  <c r="N3142" i="80"/>
  <c r="P3142" i="80" s="1"/>
  <c r="O3141" i="80"/>
  <c r="N3141" i="80"/>
  <c r="O3140" i="80"/>
  <c r="N3140" i="80"/>
  <c r="O3139" i="80"/>
  <c r="N3139" i="80"/>
  <c r="O3138" i="80"/>
  <c r="N3138" i="80"/>
  <c r="O3137" i="80"/>
  <c r="N3137" i="80"/>
  <c r="O3136" i="80"/>
  <c r="N3136" i="80"/>
  <c r="O3135" i="80"/>
  <c r="N3135" i="80"/>
  <c r="O3134" i="80"/>
  <c r="N3134" i="80"/>
  <c r="O3133" i="80"/>
  <c r="N3133" i="80"/>
  <c r="O3132" i="80"/>
  <c r="N3132" i="80"/>
  <c r="O3131" i="80"/>
  <c r="N3131" i="80"/>
  <c r="O3130" i="80"/>
  <c r="N3130" i="80"/>
  <c r="O3129" i="80"/>
  <c r="N3129" i="80"/>
  <c r="O3128" i="80"/>
  <c r="N3128" i="80"/>
  <c r="O3127" i="80"/>
  <c r="N3127" i="80"/>
  <c r="O3126" i="80"/>
  <c r="N3126" i="80"/>
  <c r="O3125" i="80"/>
  <c r="N3125" i="80"/>
  <c r="O3124" i="80"/>
  <c r="N3124" i="80"/>
  <c r="O3123" i="80"/>
  <c r="N3123" i="80"/>
  <c r="O3122" i="80"/>
  <c r="N3122" i="80"/>
  <c r="O3121" i="80"/>
  <c r="N3121" i="80"/>
  <c r="O3120" i="80"/>
  <c r="N3120" i="80"/>
  <c r="O3119" i="80"/>
  <c r="N3119" i="80"/>
  <c r="O3118" i="80"/>
  <c r="N3118" i="80"/>
  <c r="O3117" i="80"/>
  <c r="N3117" i="80"/>
  <c r="O3116" i="80"/>
  <c r="N3116" i="80"/>
  <c r="O3115" i="80"/>
  <c r="N3115" i="80"/>
  <c r="O3114" i="80"/>
  <c r="N3114" i="80"/>
  <c r="O3113" i="80"/>
  <c r="N3113" i="80"/>
  <c r="O3112" i="80"/>
  <c r="N3112" i="80"/>
  <c r="O3111" i="80"/>
  <c r="N3111" i="80"/>
  <c r="O3110" i="80"/>
  <c r="N3110" i="80"/>
  <c r="O3109" i="80"/>
  <c r="N3109" i="80"/>
  <c r="O3108" i="80"/>
  <c r="N3108" i="80"/>
  <c r="O3107" i="80"/>
  <c r="N3107" i="80"/>
  <c r="O3106" i="80"/>
  <c r="N3106" i="80"/>
  <c r="P3106" i="80" s="1"/>
  <c r="O3105" i="80"/>
  <c r="N3105" i="80"/>
  <c r="O3104" i="80"/>
  <c r="N3104" i="80"/>
  <c r="O3103" i="80"/>
  <c r="N3103" i="80"/>
  <c r="O3102" i="80"/>
  <c r="N3102" i="80"/>
  <c r="O3101" i="80"/>
  <c r="N3101" i="80"/>
  <c r="O3100" i="80"/>
  <c r="N3100" i="80"/>
  <c r="O3099" i="80"/>
  <c r="N3099" i="80"/>
  <c r="O3098" i="80"/>
  <c r="N3098" i="80"/>
  <c r="O3097" i="80"/>
  <c r="N3097" i="80"/>
  <c r="O3096" i="80"/>
  <c r="N3096" i="80"/>
  <c r="O3095" i="80"/>
  <c r="N3095" i="80"/>
  <c r="O3094" i="80"/>
  <c r="N3094" i="80"/>
  <c r="P3094" i="80" s="1"/>
  <c r="O3093" i="80"/>
  <c r="N3093" i="80"/>
  <c r="O3092" i="80"/>
  <c r="N3092" i="80"/>
  <c r="O3091" i="80"/>
  <c r="N3091" i="80"/>
  <c r="O3090" i="80"/>
  <c r="N3090" i="80"/>
  <c r="O3089" i="80"/>
  <c r="N3089" i="80"/>
  <c r="O3088" i="80"/>
  <c r="N3088" i="80"/>
  <c r="O3087" i="80"/>
  <c r="N3087" i="80"/>
  <c r="O3086" i="80"/>
  <c r="N3086" i="80"/>
  <c r="O3085" i="80"/>
  <c r="N3085" i="80"/>
  <c r="O3084" i="80"/>
  <c r="N3084" i="80"/>
  <c r="O3083" i="80"/>
  <c r="N3083" i="80"/>
  <c r="O3082" i="80"/>
  <c r="N3082" i="80"/>
  <c r="O3081" i="80"/>
  <c r="N3081" i="80"/>
  <c r="O3080" i="80"/>
  <c r="N3080" i="80"/>
  <c r="O3079" i="80"/>
  <c r="N3079" i="80"/>
  <c r="O3078" i="80"/>
  <c r="N3078" i="80"/>
  <c r="O3077" i="80"/>
  <c r="N3077" i="80"/>
  <c r="O3076" i="80"/>
  <c r="N3076" i="80"/>
  <c r="O3075" i="80"/>
  <c r="N3075" i="80"/>
  <c r="O3074" i="80"/>
  <c r="N3074" i="80"/>
  <c r="O3073" i="80"/>
  <c r="N3073" i="80"/>
  <c r="O3072" i="80"/>
  <c r="N3072" i="80"/>
  <c r="O3071" i="80"/>
  <c r="N3071" i="80"/>
  <c r="O3070" i="80"/>
  <c r="N3070" i="80"/>
  <c r="O3069" i="80"/>
  <c r="N3069" i="80"/>
  <c r="O3068" i="80"/>
  <c r="N3068" i="80"/>
  <c r="O3067" i="80"/>
  <c r="N3067" i="80"/>
  <c r="O3066" i="80"/>
  <c r="N3066" i="80"/>
  <c r="O3065" i="80"/>
  <c r="N3065" i="80"/>
  <c r="O3064" i="80"/>
  <c r="N3064" i="80"/>
  <c r="O3063" i="80"/>
  <c r="N3063" i="80"/>
  <c r="O3062" i="80"/>
  <c r="N3062" i="80"/>
  <c r="O3061" i="80"/>
  <c r="N3061" i="80"/>
  <c r="O3060" i="80"/>
  <c r="N3060" i="80"/>
  <c r="O3059" i="80"/>
  <c r="N3059" i="80"/>
  <c r="O3058" i="80"/>
  <c r="N3058" i="80"/>
  <c r="O3057" i="80"/>
  <c r="N3057" i="80"/>
  <c r="O3056" i="80"/>
  <c r="N3056" i="80"/>
  <c r="O3055" i="80"/>
  <c r="N3055" i="80"/>
  <c r="O3054" i="80"/>
  <c r="N3054" i="80"/>
  <c r="O3053" i="80"/>
  <c r="N3053" i="80"/>
  <c r="O3052" i="80"/>
  <c r="N3052" i="80"/>
  <c r="O3051" i="80"/>
  <c r="N3051" i="80"/>
  <c r="O3050" i="80"/>
  <c r="N3050" i="80"/>
  <c r="O3049" i="80"/>
  <c r="N3049" i="80"/>
  <c r="O3048" i="80"/>
  <c r="N3048" i="80"/>
  <c r="O3047" i="80"/>
  <c r="N3047" i="80"/>
  <c r="O3046" i="80"/>
  <c r="N3046" i="80"/>
  <c r="O3045" i="80"/>
  <c r="N3045" i="80"/>
  <c r="O3044" i="80"/>
  <c r="N3044" i="80"/>
  <c r="O3043" i="80"/>
  <c r="N3043" i="80"/>
  <c r="O3042" i="80"/>
  <c r="N3042" i="80"/>
  <c r="O3041" i="80"/>
  <c r="N3041" i="80"/>
  <c r="O3040" i="80"/>
  <c r="N3040" i="80"/>
  <c r="O3039" i="80"/>
  <c r="N3039" i="80"/>
  <c r="O3038" i="80"/>
  <c r="N3038" i="80"/>
  <c r="O3037" i="80"/>
  <c r="N3037" i="80"/>
  <c r="O3036" i="80"/>
  <c r="N3036" i="80"/>
  <c r="O3035" i="80"/>
  <c r="N3035" i="80"/>
  <c r="O3034" i="80"/>
  <c r="N3034" i="80"/>
  <c r="O3033" i="80"/>
  <c r="N3033" i="80"/>
  <c r="O3032" i="80"/>
  <c r="N3032" i="80"/>
  <c r="O3031" i="80"/>
  <c r="N3031" i="80"/>
  <c r="O3030" i="80"/>
  <c r="N3030" i="80"/>
  <c r="O3029" i="80"/>
  <c r="N3029" i="80"/>
  <c r="O3028" i="80"/>
  <c r="N3028" i="80"/>
  <c r="O3027" i="80"/>
  <c r="N3027" i="80"/>
  <c r="O3026" i="80"/>
  <c r="N3026" i="80"/>
  <c r="O3025" i="80"/>
  <c r="N3025" i="80"/>
  <c r="O3024" i="80"/>
  <c r="N3024" i="80"/>
  <c r="O3023" i="80"/>
  <c r="N3023" i="80"/>
  <c r="O3022" i="80"/>
  <c r="N3022" i="80"/>
  <c r="O3021" i="80"/>
  <c r="N3021" i="80"/>
  <c r="O3020" i="80"/>
  <c r="N3020" i="80"/>
  <c r="O3019" i="80"/>
  <c r="N3019" i="80"/>
  <c r="O3018" i="80"/>
  <c r="N3018" i="80"/>
  <c r="O3017" i="80"/>
  <c r="N3017" i="80"/>
  <c r="O3016" i="80"/>
  <c r="N3016" i="80"/>
  <c r="O3015" i="80"/>
  <c r="N3015" i="80"/>
  <c r="O3014" i="80"/>
  <c r="N3014" i="80"/>
  <c r="O3013" i="80"/>
  <c r="N3013" i="80"/>
  <c r="O3012" i="80"/>
  <c r="N3012" i="80"/>
  <c r="O3011" i="80"/>
  <c r="N3011" i="80"/>
  <c r="O3010" i="80"/>
  <c r="N3010" i="80"/>
  <c r="O3009" i="80"/>
  <c r="N3009" i="80"/>
  <c r="O3008" i="80"/>
  <c r="N3008" i="80"/>
  <c r="O3007" i="80"/>
  <c r="N3007" i="80"/>
  <c r="O3006" i="80"/>
  <c r="N3006" i="80"/>
  <c r="O3005" i="80"/>
  <c r="N3005" i="80"/>
  <c r="O3004" i="80"/>
  <c r="N3004" i="80"/>
  <c r="O3003" i="80"/>
  <c r="N3003" i="80"/>
  <c r="O3002" i="80"/>
  <c r="N3002" i="80"/>
  <c r="O3001" i="80"/>
  <c r="N3001" i="80"/>
  <c r="O3000" i="80"/>
  <c r="N3000" i="80"/>
  <c r="O2999" i="80"/>
  <c r="N2999" i="80"/>
  <c r="O2998" i="80"/>
  <c r="N2998" i="80"/>
  <c r="O2997" i="80"/>
  <c r="N2997" i="80"/>
  <c r="O2996" i="80"/>
  <c r="N2996" i="80"/>
  <c r="O2995" i="80"/>
  <c r="N2995" i="80"/>
  <c r="O2994" i="80"/>
  <c r="N2994" i="80"/>
  <c r="O2993" i="80"/>
  <c r="N2993" i="80"/>
  <c r="O2992" i="80"/>
  <c r="N2992" i="80"/>
  <c r="O2991" i="80"/>
  <c r="N2991" i="80"/>
  <c r="O2990" i="80"/>
  <c r="N2990" i="80"/>
  <c r="O2989" i="80"/>
  <c r="N2989" i="80"/>
  <c r="O2988" i="80"/>
  <c r="N2988" i="80"/>
  <c r="O2987" i="80"/>
  <c r="N2987" i="80"/>
  <c r="O2986" i="80"/>
  <c r="N2986" i="80"/>
  <c r="O2985" i="80"/>
  <c r="N2985" i="80"/>
  <c r="O2984" i="80"/>
  <c r="N2984" i="80"/>
  <c r="O2983" i="80"/>
  <c r="N2983" i="80"/>
  <c r="O2982" i="80"/>
  <c r="N2982" i="80"/>
  <c r="O2981" i="80"/>
  <c r="N2981" i="80"/>
  <c r="O2980" i="80"/>
  <c r="N2980" i="80"/>
  <c r="O2979" i="80"/>
  <c r="N2979" i="80"/>
  <c r="O2978" i="80"/>
  <c r="N2978" i="80"/>
  <c r="O2977" i="80"/>
  <c r="N2977" i="80"/>
  <c r="O2976" i="80"/>
  <c r="N2976" i="80"/>
  <c r="O2975" i="80"/>
  <c r="N2975" i="80"/>
  <c r="O2974" i="80"/>
  <c r="N2974" i="80"/>
  <c r="O2973" i="80"/>
  <c r="N2973" i="80"/>
  <c r="O2972" i="80"/>
  <c r="N2972" i="80"/>
  <c r="O2971" i="80"/>
  <c r="N2971" i="80"/>
  <c r="O2970" i="80"/>
  <c r="N2970" i="80"/>
  <c r="O2969" i="80"/>
  <c r="N2969" i="80"/>
  <c r="O2968" i="80"/>
  <c r="N2968" i="80"/>
  <c r="O2967" i="80"/>
  <c r="N2967" i="80"/>
  <c r="O2966" i="80"/>
  <c r="N2966" i="80"/>
  <c r="O2965" i="80"/>
  <c r="N2965" i="80"/>
  <c r="O2964" i="80"/>
  <c r="N2964" i="80"/>
  <c r="O2963" i="80"/>
  <c r="N2963" i="80"/>
  <c r="O2962" i="80"/>
  <c r="N2962" i="80"/>
  <c r="O2961" i="80"/>
  <c r="N2961" i="80"/>
  <c r="O2960" i="80"/>
  <c r="N2960" i="80"/>
  <c r="O2959" i="80"/>
  <c r="N2959" i="80"/>
  <c r="O2958" i="80"/>
  <c r="N2958" i="80"/>
  <c r="O2957" i="80"/>
  <c r="N2957" i="80"/>
  <c r="O2956" i="80"/>
  <c r="N2956" i="80"/>
  <c r="O2955" i="80"/>
  <c r="N2955" i="80"/>
  <c r="O2954" i="80"/>
  <c r="N2954" i="80"/>
  <c r="O2953" i="80"/>
  <c r="N2953" i="80"/>
  <c r="O2952" i="80"/>
  <c r="N2952" i="80"/>
  <c r="O2951" i="80"/>
  <c r="N2951" i="80"/>
  <c r="O2950" i="80"/>
  <c r="N2950" i="80"/>
  <c r="O2949" i="80"/>
  <c r="N2949" i="80"/>
  <c r="O2948" i="80"/>
  <c r="N2948" i="80"/>
  <c r="O2947" i="80"/>
  <c r="N2947" i="80"/>
  <c r="O2946" i="80"/>
  <c r="N2946" i="80"/>
  <c r="O2945" i="80"/>
  <c r="N2945" i="80"/>
  <c r="O2944" i="80"/>
  <c r="N2944" i="80"/>
  <c r="O2943" i="80"/>
  <c r="N2943" i="80"/>
  <c r="O2942" i="80"/>
  <c r="N2942" i="80"/>
  <c r="O2941" i="80"/>
  <c r="N2941" i="80"/>
  <c r="O2940" i="80"/>
  <c r="N2940" i="80"/>
  <c r="O2939" i="80"/>
  <c r="N2939" i="80"/>
  <c r="O2938" i="80"/>
  <c r="N2938" i="80"/>
  <c r="O2937" i="80"/>
  <c r="N2937" i="80"/>
  <c r="O2936" i="80"/>
  <c r="N2936" i="80"/>
  <c r="O2935" i="80"/>
  <c r="N2935" i="80"/>
  <c r="O2934" i="80"/>
  <c r="N2934" i="80"/>
  <c r="O2933" i="80"/>
  <c r="N2933" i="80"/>
  <c r="O2932" i="80"/>
  <c r="N2932" i="80"/>
  <c r="O2931" i="80"/>
  <c r="N2931" i="80"/>
  <c r="O2930" i="80"/>
  <c r="N2930" i="80"/>
  <c r="O2929" i="80"/>
  <c r="N2929" i="80"/>
  <c r="O2928" i="80"/>
  <c r="N2928" i="80"/>
  <c r="O2927" i="80"/>
  <c r="N2927" i="80"/>
  <c r="O2926" i="80"/>
  <c r="N2926" i="80"/>
  <c r="O2925" i="80"/>
  <c r="N2925" i="80"/>
  <c r="O2924" i="80"/>
  <c r="N2924" i="80"/>
  <c r="O2923" i="80"/>
  <c r="N2923" i="80"/>
  <c r="O2922" i="80"/>
  <c r="N2922" i="80"/>
  <c r="O2921" i="80"/>
  <c r="N2921" i="80"/>
  <c r="O2920" i="80"/>
  <c r="N2920" i="80"/>
  <c r="O2919" i="80"/>
  <c r="N2919" i="80"/>
  <c r="O2918" i="80"/>
  <c r="N2918" i="80"/>
  <c r="O2917" i="80"/>
  <c r="N2917" i="80"/>
  <c r="O2916" i="80"/>
  <c r="N2916" i="80"/>
  <c r="O2915" i="80"/>
  <c r="N2915" i="80"/>
  <c r="O2914" i="80"/>
  <c r="N2914" i="80"/>
  <c r="O2913" i="80"/>
  <c r="N2913" i="80"/>
  <c r="O2912" i="80"/>
  <c r="N2912" i="80"/>
  <c r="O2911" i="80"/>
  <c r="N2911" i="80"/>
  <c r="O2910" i="80"/>
  <c r="N2910" i="80"/>
  <c r="O2909" i="80"/>
  <c r="N2909" i="80"/>
  <c r="O2908" i="80"/>
  <c r="N2908" i="80"/>
  <c r="O2907" i="80"/>
  <c r="N2907" i="80"/>
  <c r="O2906" i="80"/>
  <c r="N2906" i="80"/>
  <c r="O2905" i="80"/>
  <c r="N2905" i="80"/>
  <c r="O2904" i="80"/>
  <c r="N2904" i="80"/>
  <c r="O2903" i="80"/>
  <c r="N2903" i="80"/>
  <c r="O2902" i="80"/>
  <c r="N2902" i="80"/>
  <c r="O2901" i="80"/>
  <c r="N2901" i="80"/>
  <c r="O2900" i="80"/>
  <c r="N2900" i="80"/>
  <c r="O2899" i="80"/>
  <c r="N2899" i="80"/>
  <c r="O2898" i="80"/>
  <c r="N2898" i="80"/>
  <c r="O2897" i="80"/>
  <c r="N2897" i="80"/>
  <c r="O2896" i="80"/>
  <c r="N2896" i="80"/>
  <c r="O2895" i="80"/>
  <c r="N2895" i="80"/>
  <c r="O2894" i="80"/>
  <c r="N2894" i="80"/>
  <c r="O2893" i="80"/>
  <c r="N2893" i="80"/>
  <c r="O2892" i="80"/>
  <c r="N2892" i="80"/>
  <c r="O2891" i="80"/>
  <c r="N2891" i="80"/>
  <c r="O2890" i="80"/>
  <c r="N2890" i="80"/>
  <c r="O2889" i="80"/>
  <c r="N2889" i="80"/>
  <c r="O2888" i="80"/>
  <c r="N2888" i="80"/>
  <c r="O2887" i="80"/>
  <c r="N2887" i="80"/>
  <c r="O2886" i="80"/>
  <c r="N2886" i="80"/>
  <c r="O2885" i="80"/>
  <c r="N2885" i="80"/>
  <c r="O2884" i="80"/>
  <c r="N2884" i="80"/>
  <c r="O2883" i="80"/>
  <c r="N2883" i="80"/>
  <c r="O2882" i="80"/>
  <c r="N2882" i="80"/>
  <c r="O2881" i="80"/>
  <c r="N2881" i="80"/>
  <c r="O2880" i="80"/>
  <c r="N2880" i="80"/>
  <c r="O2879" i="80"/>
  <c r="N2879" i="80"/>
  <c r="O2878" i="80"/>
  <c r="N2878" i="80"/>
  <c r="O2877" i="80"/>
  <c r="N2877" i="80"/>
  <c r="O2876" i="80"/>
  <c r="N2876" i="80"/>
  <c r="O2875" i="80"/>
  <c r="N2875" i="80"/>
  <c r="O2874" i="80"/>
  <c r="N2874" i="80"/>
  <c r="O2873" i="80"/>
  <c r="N2873" i="80"/>
  <c r="O2872" i="80"/>
  <c r="N2872" i="80"/>
  <c r="O2871" i="80"/>
  <c r="N2871" i="80"/>
  <c r="O2870" i="80"/>
  <c r="N2870" i="80"/>
  <c r="O2869" i="80"/>
  <c r="N2869" i="80"/>
  <c r="O2868" i="80"/>
  <c r="N2868" i="80"/>
  <c r="O2867" i="80"/>
  <c r="N2867" i="80"/>
  <c r="O2866" i="80"/>
  <c r="N2866" i="80"/>
  <c r="O2865" i="80"/>
  <c r="N2865" i="80"/>
  <c r="O2864" i="80"/>
  <c r="N2864" i="80"/>
  <c r="O2863" i="80"/>
  <c r="N2863" i="80"/>
  <c r="O2862" i="80"/>
  <c r="N2862" i="80"/>
  <c r="O2861" i="80"/>
  <c r="N2861" i="80"/>
  <c r="O2860" i="80"/>
  <c r="N2860" i="80"/>
  <c r="O2859" i="80"/>
  <c r="N2859" i="80"/>
  <c r="O2858" i="80"/>
  <c r="N2858" i="80"/>
  <c r="O2857" i="80"/>
  <c r="N2857" i="80"/>
  <c r="O2856" i="80"/>
  <c r="N2856" i="80"/>
  <c r="O2855" i="80"/>
  <c r="N2855" i="80"/>
  <c r="O2854" i="80"/>
  <c r="N2854" i="80"/>
  <c r="O2853" i="80"/>
  <c r="N2853" i="80"/>
  <c r="O2852" i="80"/>
  <c r="N2852" i="80"/>
  <c r="O2851" i="80"/>
  <c r="N2851" i="80"/>
  <c r="O2850" i="80"/>
  <c r="N2850" i="80"/>
  <c r="O2849" i="80"/>
  <c r="N2849" i="80"/>
  <c r="O2848" i="80"/>
  <c r="N2848" i="80"/>
  <c r="O2847" i="80"/>
  <c r="N2847" i="80"/>
  <c r="O2846" i="80"/>
  <c r="N2846" i="80"/>
  <c r="O2845" i="80"/>
  <c r="N2845" i="80"/>
  <c r="O2844" i="80"/>
  <c r="N2844" i="80"/>
  <c r="O2843" i="80"/>
  <c r="N2843" i="80"/>
  <c r="O2842" i="80"/>
  <c r="N2842" i="80"/>
  <c r="O2841" i="80"/>
  <c r="N2841" i="80"/>
  <c r="O2840" i="80"/>
  <c r="N2840" i="80"/>
  <c r="O2839" i="80"/>
  <c r="N2839" i="80"/>
  <c r="O2838" i="80"/>
  <c r="N2838" i="80"/>
  <c r="O2837" i="80"/>
  <c r="N2837" i="80"/>
  <c r="O2836" i="80"/>
  <c r="N2836" i="80"/>
  <c r="O2835" i="80"/>
  <c r="N2835" i="80"/>
  <c r="O2834" i="80"/>
  <c r="N2834" i="80"/>
  <c r="O2833" i="80"/>
  <c r="N2833" i="80"/>
  <c r="O2832" i="80"/>
  <c r="N2832" i="80"/>
  <c r="O2831" i="80"/>
  <c r="N2831" i="80"/>
  <c r="O2830" i="80"/>
  <c r="N2830" i="80"/>
  <c r="O2829" i="80"/>
  <c r="N2829" i="80"/>
  <c r="O2828" i="80"/>
  <c r="N2828" i="80"/>
  <c r="O2827" i="80"/>
  <c r="N2827" i="80"/>
  <c r="O2826" i="80"/>
  <c r="N2826" i="80"/>
  <c r="O2825" i="80"/>
  <c r="N2825" i="80"/>
  <c r="O2824" i="80"/>
  <c r="N2824" i="80"/>
  <c r="O2823" i="80"/>
  <c r="N2823" i="80"/>
  <c r="O2822" i="80"/>
  <c r="N2822" i="80"/>
  <c r="O2821" i="80"/>
  <c r="N2821" i="80"/>
  <c r="O2820" i="80"/>
  <c r="N2820" i="80"/>
  <c r="O2819" i="80"/>
  <c r="N2819" i="80"/>
  <c r="O2818" i="80"/>
  <c r="N2818" i="80"/>
  <c r="O2817" i="80"/>
  <c r="N2817" i="80"/>
  <c r="O2816" i="80"/>
  <c r="N2816" i="80"/>
  <c r="O2815" i="80"/>
  <c r="N2815" i="80"/>
  <c r="O2814" i="80"/>
  <c r="N2814" i="80"/>
  <c r="O2813" i="80"/>
  <c r="N2813" i="80"/>
  <c r="O2812" i="80"/>
  <c r="N2812" i="80"/>
  <c r="O2811" i="80"/>
  <c r="N2811" i="80"/>
  <c r="O2810" i="80"/>
  <c r="N2810" i="80"/>
  <c r="O2809" i="80"/>
  <c r="N2809" i="80"/>
  <c r="O2808" i="80"/>
  <c r="N2808" i="80"/>
  <c r="O2807" i="80"/>
  <c r="N2807" i="80"/>
  <c r="O2806" i="80"/>
  <c r="N2806" i="80"/>
  <c r="O2805" i="80"/>
  <c r="N2805" i="80"/>
  <c r="O2804" i="80"/>
  <c r="N2804" i="80"/>
  <c r="O2803" i="80"/>
  <c r="N2803" i="80"/>
  <c r="O2802" i="80"/>
  <c r="N2802" i="80"/>
  <c r="O2801" i="80"/>
  <c r="N2801" i="80"/>
  <c r="O2800" i="80"/>
  <c r="N2800" i="80"/>
  <c r="O2799" i="80"/>
  <c r="N2799" i="80"/>
  <c r="O2798" i="80"/>
  <c r="N2798" i="80"/>
  <c r="O2797" i="80"/>
  <c r="N2797" i="80"/>
  <c r="O2796" i="80"/>
  <c r="N2796" i="80"/>
  <c r="O2795" i="80"/>
  <c r="N2795" i="80"/>
  <c r="O2794" i="80"/>
  <c r="N2794" i="80"/>
  <c r="O2793" i="80"/>
  <c r="N2793" i="80"/>
  <c r="O2792" i="80"/>
  <c r="N2792" i="80"/>
  <c r="O2791" i="80"/>
  <c r="N2791" i="80"/>
  <c r="O2790" i="80"/>
  <c r="N2790" i="80"/>
  <c r="O2789" i="80"/>
  <c r="N2789" i="80"/>
  <c r="O2788" i="80"/>
  <c r="N2788" i="80"/>
  <c r="O2787" i="80"/>
  <c r="N2787" i="80"/>
  <c r="O2786" i="80"/>
  <c r="N2786" i="80"/>
  <c r="O2785" i="80"/>
  <c r="N2785" i="80"/>
  <c r="O2784" i="80"/>
  <c r="N2784" i="80"/>
  <c r="O2783" i="80"/>
  <c r="N2783" i="80"/>
  <c r="O2782" i="80"/>
  <c r="N2782" i="80"/>
  <c r="O2781" i="80"/>
  <c r="N2781" i="80"/>
  <c r="O2780" i="80"/>
  <c r="N2780" i="80"/>
  <c r="O2779" i="80"/>
  <c r="N2779" i="80"/>
  <c r="O2778" i="80"/>
  <c r="N2778" i="80"/>
  <c r="O2777" i="80"/>
  <c r="N2777" i="80"/>
  <c r="O2776" i="80"/>
  <c r="N2776" i="80"/>
  <c r="O2775" i="80"/>
  <c r="N2775" i="80"/>
  <c r="O2774" i="80"/>
  <c r="N2774" i="80"/>
  <c r="O2773" i="80"/>
  <c r="N2773" i="80"/>
  <c r="O2772" i="80"/>
  <c r="N2772" i="80"/>
  <c r="O2771" i="80"/>
  <c r="N2771" i="80"/>
  <c r="O2770" i="80"/>
  <c r="N2770" i="80"/>
  <c r="O2769" i="80"/>
  <c r="N2769" i="80"/>
  <c r="O2768" i="80"/>
  <c r="N2768" i="80"/>
  <c r="O2767" i="80"/>
  <c r="N2767" i="80"/>
  <c r="O2766" i="80"/>
  <c r="N2766" i="80"/>
  <c r="O2765" i="80"/>
  <c r="N2765" i="80"/>
  <c r="O2764" i="80"/>
  <c r="N2764" i="80"/>
  <c r="O2763" i="80"/>
  <c r="N2763" i="80"/>
  <c r="O2762" i="80"/>
  <c r="N2762" i="80"/>
  <c r="O2761" i="80"/>
  <c r="N2761" i="80"/>
  <c r="O2760" i="80"/>
  <c r="N2760" i="80"/>
  <c r="O2759" i="80"/>
  <c r="N2759" i="80"/>
  <c r="O2758" i="80"/>
  <c r="N2758" i="80"/>
  <c r="O2757" i="80"/>
  <c r="N2757" i="80"/>
  <c r="O2756" i="80"/>
  <c r="N2756" i="80"/>
  <c r="O2755" i="80"/>
  <c r="N2755" i="80"/>
  <c r="O2754" i="80"/>
  <c r="N2754" i="80"/>
  <c r="O2753" i="80"/>
  <c r="N2753" i="80"/>
  <c r="O2752" i="80"/>
  <c r="N2752" i="80"/>
  <c r="O2751" i="80"/>
  <c r="N2751" i="80"/>
  <c r="O2750" i="80"/>
  <c r="N2750" i="80"/>
  <c r="O2749" i="80"/>
  <c r="N2749" i="80"/>
  <c r="O2748" i="80"/>
  <c r="N2748" i="80"/>
  <c r="O2747" i="80"/>
  <c r="N2747" i="80"/>
  <c r="O2746" i="80"/>
  <c r="N2746" i="80"/>
  <c r="O2745" i="80"/>
  <c r="N2745" i="80"/>
  <c r="O2744" i="80"/>
  <c r="N2744" i="80"/>
  <c r="O2743" i="80"/>
  <c r="N2743" i="80"/>
  <c r="O2742" i="80"/>
  <c r="N2742" i="80"/>
  <c r="O2741" i="80"/>
  <c r="N2741" i="80"/>
  <c r="O2740" i="80"/>
  <c r="N2740" i="80"/>
  <c r="O2739" i="80"/>
  <c r="N2739" i="80"/>
  <c r="O2738" i="80"/>
  <c r="N2738" i="80"/>
  <c r="O2737" i="80"/>
  <c r="N2737" i="80"/>
  <c r="O2736" i="80"/>
  <c r="N2736" i="80"/>
  <c r="O2735" i="80"/>
  <c r="N2735" i="80"/>
  <c r="O2734" i="80"/>
  <c r="N2734" i="80"/>
  <c r="O2733" i="80"/>
  <c r="N2733" i="80"/>
  <c r="O2732" i="80"/>
  <c r="N2732" i="80"/>
  <c r="O2731" i="80"/>
  <c r="N2731" i="80"/>
  <c r="O2730" i="80"/>
  <c r="N2730" i="80"/>
  <c r="O2729" i="80"/>
  <c r="N2729" i="80"/>
  <c r="O2728" i="80"/>
  <c r="N2728" i="80"/>
  <c r="O2727" i="80"/>
  <c r="N2727" i="80"/>
  <c r="O2726" i="80"/>
  <c r="N2726" i="80"/>
  <c r="O2725" i="80"/>
  <c r="N2725" i="80"/>
  <c r="O2724" i="80"/>
  <c r="N2724" i="80"/>
  <c r="O2723" i="80"/>
  <c r="N2723" i="80"/>
  <c r="O2722" i="80"/>
  <c r="N2722" i="80"/>
  <c r="O2721" i="80"/>
  <c r="N2721" i="80"/>
  <c r="P2721" i="80" s="1"/>
  <c r="O2720" i="80"/>
  <c r="N2720" i="80"/>
  <c r="O2719" i="80"/>
  <c r="N2719" i="80"/>
  <c r="O2718" i="80"/>
  <c r="N2718" i="80"/>
  <c r="O2717" i="80"/>
  <c r="N2717" i="80"/>
  <c r="O2716" i="80"/>
  <c r="N2716" i="80"/>
  <c r="O2715" i="80"/>
  <c r="N2715" i="80"/>
  <c r="O2714" i="80"/>
  <c r="N2714" i="80"/>
  <c r="O2713" i="80"/>
  <c r="N2713" i="80"/>
  <c r="O2712" i="80"/>
  <c r="N2712" i="80"/>
  <c r="O2711" i="80"/>
  <c r="N2711" i="80"/>
  <c r="O2710" i="80"/>
  <c r="N2710" i="80"/>
  <c r="O2709" i="80"/>
  <c r="N2709" i="80"/>
  <c r="O2708" i="80"/>
  <c r="N2708" i="80"/>
  <c r="O2707" i="80"/>
  <c r="N2707" i="80"/>
  <c r="O2706" i="80"/>
  <c r="N2706" i="80"/>
  <c r="O2705" i="80"/>
  <c r="N2705" i="80"/>
  <c r="O2704" i="80"/>
  <c r="N2704" i="80"/>
  <c r="O2703" i="80"/>
  <c r="N2703" i="80"/>
  <c r="O2702" i="80"/>
  <c r="N2702" i="80"/>
  <c r="O2701" i="80"/>
  <c r="N2701" i="80"/>
  <c r="O2700" i="80"/>
  <c r="N2700" i="80"/>
  <c r="O2699" i="80"/>
  <c r="N2699" i="80"/>
  <c r="O2698" i="80"/>
  <c r="N2698" i="80"/>
  <c r="O2697" i="80"/>
  <c r="N2697" i="80"/>
  <c r="O2696" i="80"/>
  <c r="N2696" i="80"/>
  <c r="O2695" i="80"/>
  <c r="N2695" i="80"/>
  <c r="O2694" i="80"/>
  <c r="N2694" i="80"/>
  <c r="O2693" i="80"/>
  <c r="N2693" i="80"/>
  <c r="O2692" i="80"/>
  <c r="N2692" i="80"/>
  <c r="O2691" i="80"/>
  <c r="N2691" i="80"/>
  <c r="O2690" i="80"/>
  <c r="N2690" i="80"/>
  <c r="O2689" i="80"/>
  <c r="N2689" i="80"/>
  <c r="O2688" i="80"/>
  <c r="N2688" i="80"/>
  <c r="O2687" i="80"/>
  <c r="N2687" i="80"/>
  <c r="O2686" i="80"/>
  <c r="N2686" i="80"/>
  <c r="O2685" i="80"/>
  <c r="N2685" i="80"/>
  <c r="O2684" i="80"/>
  <c r="N2684" i="80"/>
  <c r="O2683" i="80"/>
  <c r="N2683" i="80"/>
  <c r="O2682" i="80"/>
  <c r="N2682" i="80"/>
  <c r="O2681" i="80"/>
  <c r="N2681" i="80"/>
  <c r="O2680" i="80"/>
  <c r="N2680" i="80"/>
  <c r="O2679" i="80"/>
  <c r="N2679" i="80"/>
  <c r="O2678" i="80"/>
  <c r="N2678" i="80"/>
  <c r="O2677" i="80"/>
  <c r="N2677" i="80"/>
  <c r="O2676" i="80"/>
  <c r="N2676" i="80"/>
  <c r="O2675" i="80"/>
  <c r="N2675" i="80"/>
  <c r="O2674" i="80"/>
  <c r="N2674" i="80"/>
  <c r="O2673" i="80"/>
  <c r="N2673" i="80"/>
  <c r="O2672" i="80"/>
  <c r="N2672" i="80"/>
  <c r="O2671" i="80"/>
  <c r="N2671" i="80"/>
  <c r="O2670" i="80"/>
  <c r="N2670" i="80"/>
  <c r="O2669" i="80"/>
  <c r="N2669" i="80"/>
  <c r="O2668" i="80"/>
  <c r="N2668" i="80"/>
  <c r="O2667" i="80"/>
  <c r="N2667" i="80"/>
  <c r="O2666" i="80"/>
  <c r="N2666" i="80"/>
  <c r="O2665" i="80"/>
  <c r="N2665" i="80"/>
  <c r="O2664" i="80"/>
  <c r="N2664" i="80"/>
  <c r="O2663" i="80"/>
  <c r="N2663" i="80"/>
  <c r="O2662" i="80"/>
  <c r="N2662" i="80"/>
  <c r="O2661" i="80"/>
  <c r="N2661" i="80"/>
  <c r="O2660" i="80"/>
  <c r="N2660" i="80"/>
  <c r="O2659" i="80"/>
  <c r="N2659" i="80"/>
  <c r="O2658" i="80"/>
  <c r="N2658" i="80"/>
  <c r="O2657" i="80"/>
  <c r="N2657" i="80"/>
  <c r="O2656" i="80"/>
  <c r="N2656" i="80"/>
  <c r="O2655" i="80"/>
  <c r="N2655" i="80"/>
  <c r="O2654" i="80"/>
  <c r="N2654" i="80"/>
  <c r="O2653" i="80"/>
  <c r="N2653" i="80"/>
  <c r="O2652" i="80"/>
  <c r="N2652" i="80"/>
  <c r="O2651" i="80"/>
  <c r="N2651" i="80"/>
  <c r="O2650" i="80"/>
  <c r="N2650" i="80"/>
  <c r="O2649" i="80"/>
  <c r="N2649" i="80"/>
  <c r="O2648" i="80"/>
  <c r="N2648" i="80"/>
  <c r="O2647" i="80"/>
  <c r="N2647" i="80"/>
  <c r="O2646" i="80"/>
  <c r="N2646" i="80"/>
  <c r="O2645" i="80"/>
  <c r="N2645" i="80"/>
  <c r="O2644" i="80"/>
  <c r="N2644" i="80"/>
  <c r="O2643" i="80"/>
  <c r="N2643" i="80"/>
  <c r="O2642" i="80"/>
  <c r="N2642" i="80"/>
  <c r="O2641" i="80"/>
  <c r="N2641" i="80"/>
  <c r="O2640" i="80"/>
  <c r="N2640" i="80"/>
  <c r="O2639" i="80"/>
  <c r="N2639" i="80"/>
  <c r="O2638" i="80"/>
  <c r="N2638" i="80"/>
  <c r="O2637" i="80"/>
  <c r="N2637" i="80"/>
  <c r="O2636" i="80"/>
  <c r="N2636" i="80"/>
  <c r="O2635" i="80"/>
  <c r="N2635" i="80"/>
  <c r="O2634" i="80"/>
  <c r="N2634" i="80"/>
  <c r="O2633" i="80"/>
  <c r="N2633" i="80"/>
  <c r="O2632" i="80"/>
  <c r="N2632" i="80"/>
  <c r="O2631" i="80"/>
  <c r="N2631" i="80"/>
  <c r="O2630" i="80"/>
  <c r="N2630" i="80"/>
  <c r="O2629" i="80"/>
  <c r="N2629" i="80"/>
  <c r="O2628" i="80"/>
  <c r="N2628" i="80"/>
  <c r="O2627" i="80"/>
  <c r="N2627" i="80"/>
  <c r="O2626" i="80"/>
  <c r="N2626" i="80"/>
  <c r="O2625" i="80"/>
  <c r="N2625" i="80"/>
  <c r="O2624" i="80"/>
  <c r="N2624" i="80"/>
  <c r="O2623" i="80"/>
  <c r="N2623" i="80"/>
  <c r="O2622" i="80"/>
  <c r="N2622" i="80"/>
  <c r="O2621" i="80"/>
  <c r="N2621" i="80"/>
  <c r="O2620" i="80"/>
  <c r="N2620" i="80"/>
  <c r="O2619" i="80"/>
  <c r="N2619" i="80"/>
  <c r="O2618" i="80"/>
  <c r="N2618" i="80"/>
  <c r="O2617" i="80"/>
  <c r="N2617" i="80"/>
  <c r="O2616" i="80"/>
  <c r="N2616" i="80"/>
  <c r="O2615" i="80"/>
  <c r="N2615" i="80"/>
  <c r="O2614" i="80"/>
  <c r="N2614" i="80"/>
  <c r="O2613" i="80"/>
  <c r="N2613" i="80"/>
  <c r="O2612" i="80"/>
  <c r="N2612" i="80"/>
  <c r="O2611" i="80"/>
  <c r="N2611" i="80"/>
  <c r="O2610" i="80"/>
  <c r="N2610" i="80"/>
  <c r="O2609" i="80"/>
  <c r="N2609" i="80"/>
  <c r="O2608" i="80"/>
  <c r="N2608" i="80"/>
  <c r="O2607" i="80"/>
  <c r="N2607" i="80"/>
  <c r="O2606" i="80"/>
  <c r="N2606" i="80"/>
  <c r="O2605" i="80"/>
  <c r="N2605" i="80"/>
  <c r="O2604" i="80"/>
  <c r="N2604" i="80"/>
  <c r="O2603" i="80"/>
  <c r="N2603" i="80"/>
  <c r="O2602" i="80"/>
  <c r="N2602" i="80"/>
  <c r="O2601" i="80"/>
  <c r="N2601" i="80"/>
  <c r="O2600" i="80"/>
  <c r="N2600" i="80"/>
  <c r="O2599" i="80"/>
  <c r="N2599" i="80"/>
  <c r="O2598" i="80"/>
  <c r="N2598" i="80"/>
  <c r="O2597" i="80"/>
  <c r="N2597" i="80"/>
  <c r="O2596" i="80"/>
  <c r="N2596" i="80"/>
  <c r="O2595" i="80"/>
  <c r="N2595" i="80"/>
  <c r="O2594" i="80"/>
  <c r="N2594" i="80"/>
  <c r="O2593" i="80"/>
  <c r="N2593" i="80"/>
  <c r="O2592" i="80"/>
  <c r="N2592" i="80"/>
  <c r="O2591" i="80"/>
  <c r="N2591" i="80"/>
  <c r="O2590" i="80"/>
  <c r="N2590" i="80"/>
  <c r="O2589" i="80"/>
  <c r="N2589" i="80"/>
  <c r="O2588" i="80"/>
  <c r="N2588" i="80"/>
  <c r="O2587" i="80"/>
  <c r="N2587" i="80"/>
  <c r="O2586" i="80"/>
  <c r="N2586" i="80"/>
  <c r="O2585" i="80"/>
  <c r="N2585" i="80"/>
  <c r="O2584" i="80"/>
  <c r="N2584" i="80"/>
  <c r="O2583" i="80"/>
  <c r="N2583" i="80"/>
  <c r="O2582" i="80"/>
  <c r="N2582" i="80"/>
  <c r="O2581" i="80"/>
  <c r="N2581" i="80"/>
  <c r="O2580" i="80"/>
  <c r="N2580" i="80"/>
  <c r="O2579" i="80"/>
  <c r="N2579" i="80"/>
  <c r="O2578" i="80"/>
  <c r="N2578" i="80"/>
  <c r="O2577" i="80"/>
  <c r="N2577" i="80"/>
  <c r="O2576" i="80"/>
  <c r="N2576" i="80"/>
  <c r="O2575" i="80"/>
  <c r="N2575" i="80"/>
  <c r="O2574" i="80"/>
  <c r="N2574" i="80"/>
  <c r="O2573" i="80"/>
  <c r="N2573" i="80"/>
  <c r="O2572" i="80"/>
  <c r="N2572" i="80"/>
  <c r="O2571" i="80"/>
  <c r="N2571" i="80"/>
  <c r="O2570" i="80"/>
  <c r="N2570" i="80"/>
  <c r="O2569" i="80"/>
  <c r="N2569" i="80"/>
  <c r="O2568" i="80"/>
  <c r="N2568" i="80"/>
  <c r="O2567" i="80"/>
  <c r="N2567" i="80"/>
  <c r="O2566" i="80"/>
  <c r="N2566" i="80"/>
  <c r="O2565" i="80"/>
  <c r="N2565" i="80"/>
  <c r="O2564" i="80"/>
  <c r="N2564" i="80"/>
  <c r="O2563" i="80"/>
  <c r="N2563" i="80"/>
  <c r="O2562" i="80"/>
  <c r="N2562" i="80"/>
  <c r="O2561" i="80"/>
  <c r="N2561" i="80"/>
  <c r="O2560" i="80"/>
  <c r="N2560" i="80"/>
  <c r="O2559" i="80"/>
  <c r="N2559" i="80"/>
  <c r="O2558" i="80"/>
  <c r="N2558" i="80"/>
  <c r="O2557" i="80"/>
  <c r="N2557" i="80"/>
  <c r="O2556" i="80"/>
  <c r="N2556" i="80"/>
  <c r="O2555" i="80"/>
  <c r="N2555" i="80"/>
  <c r="O2554" i="80"/>
  <c r="N2554" i="80"/>
  <c r="O2553" i="80"/>
  <c r="N2553" i="80"/>
  <c r="O2552" i="80"/>
  <c r="N2552" i="80"/>
  <c r="O2551" i="80"/>
  <c r="N2551" i="80"/>
  <c r="O2550" i="80"/>
  <c r="N2550" i="80"/>
  <c r="O2549" i="80"/>
  <c r="N2549" i="80"/>
  <c r="O2548" i="80"/>
  <c r="N2548" i="80"/>
  <c r="O2547" i="80"/>
  <c r="N2547" i="80"/>
  <c r="O2546" i="80"/>
  <c r="N2546" i="80"/>
  <c r="O2545" i="80"/>
  <c r="N2545" i="80"/>
  <c r="O2544" i="80"/>
  <c r="N2544" i="80"/>
  <c r="O2543" i="80"/>
  <c r="N2543" i="80"/>
  <c r="O2542" i="80"/>
  <c r="N2542" i="80"/>
  <c r="O2541" i="80"/>
  <c r="N2541" i="80"/>
  <c r="O2540" i="80"/>
  <c r="N2540" i="80"/>
  <c r="O2539" i="80"/>
  <c r="N2539" i="80"/>
  <c r="O2538" i="80"/>
  <c r="N2538" i="80"/>
  <c r="O2537" i="80"/>
  <c r="N2537" i="80"/>
  <c r="O2536" i="80"/>
  <c r="N2536" i="80"/>
  <c r="O2535" i="80"/>
  <c r="N2535" i="80"/>
  <c r="O2534" i="80"/>
  <c r="N2534" i="80"/>
  <c r="O2533" i="80"/>
  <c r="N2533" i="80"/>
  <c r="O2532" i="80"/>
  <c r="N2532" i="80"/>
  <c r="O2531" i="80"/>
  <c r="N2531" i="80"/>
  <c r="O2530" i="80"/>
  <c r="N2530" i="80"/>
  <c r="O2529" i="80"/>
  <c r="N2529" i="80"/>
  <c r="O2528" i="80"/>
  <c r="N2528" i="80"/>
  <c r="O2527" i="80"/>
  <c r="N2527" i="80"/>
  <c r="O2526" i="80"/>
  <c r="N2526" i="80"/>
  <c r="O2525" i="80"/>
  <c r="N2525" i="80"/>
  <c r="O2524" i="80"/>
  <c r="N2524" i="80"/>
  <c r="O2523" i="80"/>
  <c r="N2523" i="80"/>
  <c r="O2522" i="80"/>
  <c r="N2522" i="80"/>
  <c r="O2521" i="80"/>
  <c r="N2521" i="80"/>
  <c r="O2520" i="80"/>
  <c r="N2520" i="80"/>
  <c r="O2519" i="80"/>
  <c r="N2519" i="80"/>
  <c r="O2518" i="80"/>
  <c r="N2518" i="80"/>
  <c r="O2517" i="80"/>
  <c r="N2517" i="80"/>
  <c r="O2516" i="80"/>
  <c r="N2516" i="80"/>
  <c r="O2515" i="80"/>
  <c r="N2515" i="80"/>
  <c r="O2514" i="80"/>
  <c r="N2514" i="80"/>
  <c r="O2513" i="80"/>
  <c r="N2513" i="80"/>
  <c r="O2512" i="80"/>
  <c r="N2512" i="80"/>
  <c r="O2511" i="80"/>
  <c r="N2511" i="80"/>
  <c r="O2510" i="80"/>
  <c r="N2510" i="80"/>
  <c r="O2509" i="80"/>
  <c r="N2509" i="80"/>
  <c r="O2508" i="80"/>
  <c r="N2508" i="80"/>
  <c r="O2507" i="80"/>
  <c r="N2507" i="80"/>
  <c r="O2506" i="80"/>
  <c r="N2506" i="80"/>
  <c r="O2505" i="80"/>
  <c r="N2505" i="80"/>
  <c r="O2504" i="80"/>
  <c r="N2504" i="80"/>
  <c r="O2503" i="80"/>
  <c r="N2503" i="80"/>
  <c r="O2502" i="80"/>
  <c r="N2502" i="80"/>
  <c r="O2501" i="80"/>
  <c r="N2501" i="80"/>
  <c r="O2500" i="80"/>
  <c r="N2500" i="80"/>
  <c r="O2499" i="80"/>
  <c r="N2499" i="80"/>
  <c r="O2498" i="80"/>
  <c r="N2498" i="80"/>
  <c r="O2497" i="80"/>
  <c r="N2497" i="80"/>
  <c r="O2496" i="80"/>
  <c r="N2496" i="80"/>
  <c r="O2495" i="80"/>
  <c r="N2495" i="80"/>
  <c r="O2494" i="80"/>
  <c r="N2494" i="80"/>
  <c r="O2493" i="80"/>
  <c r="N2493" i="80"/>
  <c r="O2492" i="80"/>
  <c r="N2492" i="80"/>
  <c r="O2491" i="80"/>
  <c r="N2491" i="80"/>
  <c r="O2490" i="80"/>
  <c r="N2490" i="80"/>
  <c r="O2489" i="80"/>
  <c r="N2489" i="80"/>
  <c r="O2488" i="80"/>
  <c r="N2488" i="80"/>
  <c r="O2487" i="80"/>
  <c r="N2487" i="80"/>
  <c r="O2486" i="80"/>
  <c r="N2486" i="80"/>
  <c r="O2485" i="80"/>
  <c r="N2485" i="80"/>
  <c r="O2484" i="80"/>
  <c r="N2484" i="80"/>
  <c r="O2483" i="80"/>
  <c r="N2483" i="80"/>
  <c r="O2482" i="80"/>
  <c r="N2482" i="80"/>
  <c r="O2481" i="80"/>
  <c r="N2481" i="80"/>
  <c r="O2480" i="80"/>
  <c r="N2480" i="80"/>
  <c r="O2479" i="80"/>
  <c r="N2479" i="80"/>
  <c r="O2478" i="80"/>
  <c r="N2478" i="80"/>
  <c r="O2477" i="80"/>
  <c r="N2477" i="80"/>
  <c r="O2476" i="80"/>
  <c r="N2476" i="80"/>
  <c r="O2475" i="80"/>
  <c r="N2475" i="80"/>
  <c r="O2474" i="80"/>
  <c r="N2474" i="80"/>
  <c r="O2473" i="80"/>
  <c r="N2473" i="80"/>
  <c r="O2472" i="80"/>
  <c r="N2472" i="80"/>
  <c r="O2471" i="80"/>
  <c r="N2471" i="80"/>
  <c r="O2470" i="80"/>
  <c r="N2470" i="80"/>
  <c r="O2469" i="80"/>
  <c r="N2469" i="80"/>
  <c r="O2468" i="80"/>
  <c r="N2468" i="80"/>
  <c r="O2467" i="80"/>
  <c r="N2467" i="80"/>
  <c r="O2466" i="80"/>
  <c r="N2466" i="80"/>
  <c r="O2465" i="80"/>
  <c r="N2465" i="80"/>
  <c r="O2464" i="80"/>
  <c r="N2464" i="80"/>
  <c r="O2463" i="80"/>
  <c r="N2463" i="80"/>
  <c r="O2462" i="80"/>
  <c r="N2462" i="80"/>
  <c r="O2461" i="80"/>
  <c r="N2461" i="80"/>
  <c r="O2460" i="80"/>
  <c r="N2460" i="80"/>
  <c r="O2459" i="80"/>
  <c r="N2459" i="80"/>
  <c r="O2458" i="80"/>
  <c r="N2458" i="80"/>
  <c r="O2457" i="80"/>
  <c r="N2457" i="80"/>
  <c r="O2456" i="80"/>
  <c r="N2456" i="80"/>
  <c r="O2455" i="80"/>
  <c r="N2455" i="80"/>
  <c r="O2454" i="80"/>
  <c r="N2454" i="80"/>
  <c r="O2453" i="80"/>
  <c r="N2453" i="80"/>
  <c r="O2452" i="80"/>
  <c r="N2452" i="80"/>
  <c r="O2451" i="80"/>
  <c r="N2451" i="80"/>
  <c r="O2450" i="80"/>
  <c r="N2450" i="80"/>
  <c r="O2449" i="80"/>
  <c r="N2449" i="80"/>
  <c r="O2448" i="80"/>
  <c r="N2448" i="80"/>
  <c r="O2447" i="80"/>
  <c r="N2447" i="80"/>
  <c r="O2446" i="80"/>
  <c r="N2446" i="80"/>
  <c r="O2445" i="80"/>
  <c r="N2445" i="80"/>
  <c r="O2444" i="80"/>
  <c r="N2444" i="80"/>
  <c r="O2443" i="80"/>
  <c r="N2443" i="80"/>
  <c r="O2442" i="80"/>
  <c r="N2442" i="80"/>
  <c r="O2441" i="80"/>
  <c r="N2441" i="80"/>
  <c r="O2440" i="80"/>
  <c r="N2440" i="80"/>
  <c r="O2439" i="80"/>
  <c r="N2439" i="80"/>
  <c r="O2438" i="80"/>
  <c r="N2438" i="80"/>
  <c r="O2437" i="80"/>
  <c r="N2437" i="80"/>
  <c r="O2436" i="80"/>
  <c r="N2436" i="80"/>
  <c r="O2435" i="80"/>
  <c r="N2435" i="80"/>
  <c r="O2434" i="80"/>
  <c r="N2434" i="80"/>
  <c r="O2433" i="80"/>
  <c r="N2433" i="80"/>
  <c r="O2432" i="80"/>
  <c r="N2432" i="80"/>
  <c r="O2431" i="80"/>
  <c r="N2431" i="80"/>
  <c r="O2430" i="80"/>
  <c r="N2430" i="80"/>
  <c r="O2429" i="80"/>
  <c r="N2429" i="80"/>
  <c r="O2428" i="80"/>
  <c r="N2428" i="80"/>
  <c r="O2427" i="80"/>
  <c r="N2427" i="80"/>
  <c r="O2426" i="80"/>
  <c r="N2426" i="80"/>
  <c r="O2425" i="80"/>
  <c r="N2425" i="80"/>
  <c r="O2424" i="80"/>
  <c r="N2424" i="80"/>
  <c r="O2423" i="80"/>
  <c r="N2423" i="80"/>
  <c r="O2422" i="80"/>
  <c r="N2422" i="80"/>
  <c r="O2421" i="80"/>
  <c r="N2421" i="80"/>
  <c r="O2420" i="80"/>
  <c r="N2420" i="80"/>
  <c r="O2419" i="80"/>
  <c r="N2419" i="80"/>
  <c r="O2418" i="80"/>
  <c r="N2418" i="80"/>
  <c r="O2417" i="80"/>
  <c r="N2417" i="80"/>
  <c r="O2416" i="80"/>
  <c r="N2416" i="80"/>
  <c r="O2415" i="80"/>
  <c r="N2415" i="80"/>
  <c r="O2414" i="80"/>
  <c r="N2414" i="80"/>
  <c r="O2413" i="80"/>
  <c r="N2413" i="80"/>
  <c r="O2412" i="80"/>
  <c r="N2412" i="80"/>
  <c r="O2411" i="80"/>
  <c r="N2411" i="80"/>
  <c r="O2410" i="80"/>
  <c r="N2410" i="80"/>
  <c r="O2409" i="80"/>
  <c r="N2409" i="80"/>
  <c r="O2408" i="80"/>
  <c r="N2408" i="80"/>
  <c r="O2407" i="80"/>
  <c r="N2407" i="80"/>
  <c r="O2406" i="80"/>
  <c r="N2406" i="80"/>
  <c r="O2405" i="80"/>
  <c r="N2405" i="80"/>
  <c r="O2404" i="80"/>
  <c r="N2404" i="80"/>
  <c r="O2403" i="80"/>
  <c r="N2403" i="80"/>
  <c r="O2402" i="80"/>
  <c r="N2402" i="80"/>
  <c r="O2401" i="80"/>
  <c r="N2401" i="80"/>
  <c r="O2400" i="80"/>
  <c r="N2400" i="80"/>
  <c r="O2399" i="80"/>
  <c r="N2399" i="80"/>
  <c r="O2398" i="80"/>
  <c r="N2398" i="80"/>
  <c r="O2397" i="80"/>
  <c r="N2397" i="80"/>
  <c r="O2396" i="80"/>
  <c r="N2396" i="80"/>
  <c r="O2395" i="80"/>
  <c r="N2395" i="80"/>
  <c r="O2394" i="80"/>
  <c r="N2394" i="80"/>
  <c r="O2393" i="80"/>
  <c r="N2393" i="80"/>
  <c r="O2392" i="80"/>
  <c r="N2392" i="80"/>
  <c r="O2391" i="80"/>
  <c r="N2391" i="80"/>
  <c r="O2390" i="80"/>
  <c r="N2390" i="80"/>
  <c r="O2389" i="80"/>
  <c r="N2389" i="80"/>
  <c r="O2388" i="80"/>
  <c r="N2388" i="80"/>
  <c r="O2387" i="80"/>
  <c r="N2387" i="80"/>
  <c r="O2386" i="80"/>
  <c r="N2386" i="80"/>
  <c r="O2385" i="80"/>
  <c r="N2385" i="80"/>
  <c r="O2384" i="80"/>
  <c r="N2384" i="80"/>
  <c r="O2383" i="80"/>
  <c r="N2383" i="80"/>
  <c r="O2382" i="80"/>
  <c r="N2382" i="80"/>
  <c r="O2381" i="80"/>
  <c r="N2381" i="80"/>
  <c r="O2380" i="80"/>
  <c r="N2380" i="80"/>
  <c r="O2379" i="80"/>
  <c r="N2379" i="80"/>
  <c r="O2378" i="80"/>
  <c r="N2378" i="80"/>
  <c r="O2377" i="80"/>
  <c r="N2377" i="80"/>
  <c r="O2376" i="80"/>
  <c r="N2376" i="80"/>
  <c r="O2375" i="80"/>
  <c r="N2375" i="80"/>
  <c r="O2374" i="80"/>
  <c r="N2374" i="80"/>
  <c r="O2373" i="80"/>
  <c r="N2373" i="80"/>
  <c r="O2372" i="80"/>
  <c r="N2372" i="80"/>
  <c r="O2371" i="80"/>
  <c r="N2371" i="80"/>
  <c r="O2370" i="80"/>
  <c r="N2370" i="80"/>
  <c r="O2369" i="80"/>
  <c r="N2369" i="80"/>
  <c r="O2368" i="80"/>
  <c r="N2368" i="80"/>
  <c r="O2367" i="80"/>
  <c r="N2367" i="80"/>
  <c r="O2366" i="80"/>
  <c r="N2366" i="80"/>
  <c r="O2365" i="80"/>
  <c r="N2365" i="80"/>
  <c r="O2364" i="80"/>
  <c r="N2364" i="80"/>
  <c r="O2363" i="80"/>
  <c r="N2363" i="80"/>
  <c r="O2362" i="80"/>
  <c r="N2362" i="80"/>
  <c r="O2361" i="80"/>
  <c r="N2361" i="80"/>
  <c r="O2360" i="80"/>
  <c r="N2360" i="80"/>
  <c r="O2359" i="80"/>
  <c r="N2359" i="80"/>
  <c r="O2358" i="80"/>
  <c r="N2358" i="80"/>
  <c r="O2357" i="80"/>
  <c r="N2357" i="80"/>
  <c r="O2356" i="80"/>
  <c r="N2356" i="80"/>
  <c r="O2355" i="80"/>
  <c r="N2355" i="80"/>
  <c r="O2354" i="80"/>
  <c r="N2354" i="80"/>
  <c r="O2353" i="80"/>
  <c r="N2353" i="80"/>
  <c r="O2352" i="80"/>
  <c r="N2352" i="80"/>
  <c r="O2351" i="80"/>
  <c r="N2351" i="80"/>
  <c r="O2350" i="80"/>
  <c r="N2350" i="80"/>
  <c r="O2349" i="80"/>
  <c r="N2349" i="80"/>
  <c r="O2348" i="80"/>
  <c r="N2348" i="80"/>
  <c r="O2347" i="80"/>
  <c r="N2347" i="80"/>
  <c r="O2346" i="80"/>
  <c r="N2346" i="80"/>
  <c r="O2345" i="80"/>
  <c r="N2345" i="80"/>
  <c r="O2344" i="80"/>
  <c r="N2344" i="80"/>
  <c r="O2343" i="80"/>
  <c r="N2343" i="80"/>
  <c r="O2342" i="80"/>
  <c r="N2342" i="80"/>
  <c r="O2341" i="80"/>
  <c r="N2341" i="80"/>
  <c r="O2340" i="80"/>
  <c r="N2340" i="80"/>
  <c r="O2339" i="80"/>
  <c r="N2339" i="80"/>
  <c r="O2338" i="80"/>
  <c r="N2338" i="80"/>
  <c r="O2337" i="80"/>
  <c r="N2337" i="80"/>
  <c r="O2336" i="80"/>
  <c r="N2336" i="80"/>
  <c r="O2335" i="80"/>
  <c r="N2335" i="80"/>
  <c r="O2334" i="80"/>
  <c r="N2334" i="80"/>
  <c r="O2333" i="80"/>
  <c r="N2333" i="80"/>
  <c r="O2332" i="80"/>
  <c r="N2332" i="80"/>
  <c r="O2331" i="80"/>
  <c r="N2331" i="80"/>
  <c r="O2330" i="80"/>
  <c r="N2330" i="80"/>
  <c r="O2329" i="80"/>
  <c r="N2329" i="80"/>
  <c r="O2328" i="80"/>
  <c r="N2328" i="80"/>
  <c r="O2327" i="80"/>
  <c r="N2327" i="80"/>
  <c r="O2326" i="80"/>
  <c r="N2326" i="80"/>
  <c r="O2325" i="80"/>
  <c r="N2325" i="80"/>
  <c r="O2324" i="80"/>
  <c r="N2324" i="80"/>
  <c r="O2323" i="80"/>
  <c r="N2323" i="80"/>
  <c r="O2322" i="80"/>
  <c r="N2322" i="80"/>
  <c r="O2321" i="80"/>
  <c r="N2321" i="80"/>
  <c r="O2320" i="80"/>
  <c r="N2320" i="80"/>
  <c r="O2319" i="80"/>
  <c r="N2319" i="80"/>
  <c r="O2318" i="80"/>
  <c r="N2318" i="80"/>
  <c r="O2317" i="80"/>
  <c r="N2317" i="80"/>
  <c r="O2316" i="80"/>
  <c r="N2316" i="80"/>
  <c r="O2315" i="80"/>
  <c r="N2315" i="80"/>
  <c r="O2314" i="80"/>
  <c r="N2314" i="80"/>
  <c r="O2313" i="80"/>
  <c r="N2313" i="80"/>
  <c r="O2312" i="80"/>
  <c r="N2312" i="80"/>
  <c r="O2311" i="80"/>
  <c r="N2311" i="80"/>
  <c r="O2310" i="80"/>
  <c r="N2310" i="80"/>
  <c r="O2309" i="80"/>
  <c r="N2309" i="80"/>
  <c r="O2308" i="80"/>
  <c r="N2308" i="80"/>
  <c r="O2307" i="80"/>
  <c r="N2307" i="80"/>
  <c r="O2306" i="80"/>
  <c r="N2306" i="80"/>
  <c r="O2305" i="80"/>
  <c r="N2305" i="80"/>
  <c r="O2304" i="80"/>
  <c r="N2304" i="80"/>
  <c r="O2303" i="80"/>
  <c r="N2303" i="80"/>
  <c r="O2302" i="80"/>
  <c r="N2302" i="80"/>
  <c r="O2301" i="80"/>
  <c r="N2301" i="80"/>
  <c r="O2300" i="80"/>
  <c r="N2300" i="80"/>
  <c r="O2299" i="80"/>
  <c r="N2299" i="80"/>
  <c r="O2298" i="80"/>
  <c r="N2298" i="80"/>
  <c r="O2297" i="80"/>
  <c r="N2297" i="80"/>
  <c r="O2296" i="80"/>
  <c r="N2296" i="80"/>
  <c r="O2295" i="80"/>
  <c r="N2295" i="80"/>
  <c r="O2294" i="80"/>
  <c r="N2294" i="80"/>
  <c r="O2293" i="80"/>
  <c r="N2293" i="80"/>
  <c r="O2292" i="80"/>
  <c r="N2292" i="80"/>
  <c r="O2291" i="80"/>
  <c r="N2291" i="80"/>
  <c r="O2290" i="80"/>
  <c r="N2290" i="80"/>
  <c r="O2289" i="80"/>
  <c r="N2289" i="80"/>
  <c r="O2288" i="80"/>
  <c r="N2288" i="80"/>
  <c r="O2287" i="80"/>
  <c r="N2287" i="80"/>
  <c r="O2286" i="80"/>
  <c r="N2286" i="80"/>
  <c r="O2285" i="80"/>
  <c r="N2285" i="80"/>
  <c r="O2284" i="80"/>
  <c r="N2284" i="80"/>
  <c r="O2283" i="80"/>
  <c r="N2283" i="80"/>
  <c r="O2282" i="80"/>
  <c r="N2282" i="80"/>
  <c r="O2281" i="80"/>
  <c r="N2281" i="80"/>
  <c r="O2280" i="80"/>
  <c r="N2280" i="80"/>
  <c r="O2279" i="80"/>
  <c r="N2279" i="80"/>
  <c r="O2278" i="80"/>
  <c r="N2278" i="80"/>
  <c r="O2277" i="80"/>
  <c r="N2277" i="80"/>
  <c r="O2276" i="80"/>
  <c r="N2276" i="80"/>
  <c r="O2275" i="80"/>
  <c r="N2275" i="80"/>
  <c r="O2274" i="80"/>
  <c r="N2274" i="80"/>
  <c r="O2273" i="80"/>
  <c r="N2273" i="80"/>
  <c r="O2272" i="80"/>
  <c r="N2272" i="80"/>
  <c r="O2271" i="80"/>
  <c r="N2271" i="80"/>
  <c r="O2270" i="80"/>
  <c r="N2270" i="80"/>
  <c r="O2269" i="80"/>
  <c r="N2269" i="80"/>
  <c r="O2268" i="80"/>
  <c r="N2268" i="80"/>
  <c r="O2267" i="80"/>
  <c r="N2267" i="80"/>
  <c r="O2266" i="80"/>
  <c r="N2266" i="80"/>
  <c r="O2265" i="80"/>
  <c r="N2265" i="80"/>
  <c r="O2264" i="80"/>
  <c r="N2264" i="80"/>
  <c r="O2263" i="80"/>
  <c r="N2263" i="80"/>
  <c r="O2262" i="80"/>
  <c r="N2262" i="80"/>
  <c r="O2261" i="80"/>
  <c r="N2261" i="80"/>
  <c r="O2260" i="80"/>
  <c r="N2260" i="80"/>
  <c r="O2259" i="80"/>
  <c r="N2259" i="80"/>
  <c r="O2258" i="80"/>
  <c r="N2258" i="80"/>
  <c r="O2257" i="80"/>
  <c r="N2257" i="80"/>
  <c r="O2256" i="80"/>
  <c r="N2256" i="80"/>
  <c r="O2255" i="80"/>
  <c r="N2255" i="80"/>
  <c r="O2254" i="80"/>
  <c r="N2254" i="80"/>
  <c r="O2253" i="80"/>
  <c r="N2253" i="80"/>
  <c r="O2252" i="80"/>
  <c r="N2252" i="80"/>
  <c r="O2251" i="80"/>
  <c r="N2251" i="80"/>
  <c r="O2250" i="80"/>
  <c r="N2250" i="80"/>
  <c r="O2249" i="80"/>
  <c r="N2249" i="80"/>
  <c r="O2248" i="80"/>
  <c r="N2248" i="80"/>
  <c r="O2247" i="80"/>
  <c r="N2247" i="80"/>
  <c r="O2246" i="80"/>
  <c r="N2246" i="80"/>
  <c r="O2245" i="80"/>
  <c r="N2245" i="80"/>
  <c r="O2244" i="80"/>
  <c r="N2244" i="80"/>
  <c r="O2243" i="80"/>
  <c r="N2243" i="80"/>
  <c r="O2242" i="80"/>
  <c r="N2242" i="80"/>
  <c r="O2241" i="80"/>
  <c r="N2241" i="80"/>
  <c r="O2240" i="80"/>
  <c r="N2240" i="80"/>
  <c r="O2239" i="80"/>
  <c r="N2239" i="80"/>
  <c r="O2238" i="80"/>
  <c r="N2238" i="80"/>
  <c r="O2237" i="80"/>
  <c r="N2237" i="80"/>
  <c r="O2236" i="80"/>
  <c r="N2236" i="80"/>
  <c r="O2235" i="80"/>
  <c r="N2235" i="80"/>
  <c r="O2234" i="80"/>
  <c r="N2234" i="80"/>
  <c r="O2233" i="80"/>
  <c r="N2233" i="80"/>
  <c r="O2232" i="80"/>
  <c r="N2232" i="80"/>
  <c r="O2231" i="80"/>
  <c r="N2231" i="80"/>
  <c r="O2230" i="80"/>
  <c r="N2230" i="80"/>
  <c r="O2229" i="80"/>
  <c r="N2229" i="80"/>
  <c r="O2228" i="80"/>
  <c r="N2228" i="80"/>
  <c r="O2227" i="80"/>
  <c r="N2227" i="80"/>
  <c r="O2226" i="80"/>
  <c r="N2226" i="80"/>
  <c r="O2225" i="80"/>
  <c r="N2225" i="80"/>
  <c r="O2224" i="80"/>
  <c r="N2224" i="80"/>
  <c r="O2223" i="80"/>
  <c r="N2223" i="80"/>
  <c r="O2222" i="80"/>
  <c r="N2222" i="80"/>
  <c r="O2221" i="80"/>
  <c r="N2221" i="80"/>
  <c r="O2220" i="80"/>
  <c r="N2220" i="80"/>
  <c r="O2219" i="80"/>
  <c r="N2219" i="80"/>
  <c r="O2218" i="80"/>
  <c r="N2218" i="80"/>
  <c r="O2217" i="80"/>
  <c r="N2217" i="80"/>
  <c r="O2216" i="80"/>
  <c r="N2216" i="80"/>
  <c r="O2215" i="80"/>
  <c r="N2215" i="80"/>
  <c r="O2214" i="80"/>
  <c r="N2214" i="80"/>
  <c r="O2213" i="80"/>
  <c r="N2213" i="80"/>
  <c r="O2212" i="80"/>
  <c r="N2212" i="80"/>
  <c r="O2211" i="80"/>
  <c r="N2211" i="80"/>
  <c r="O2210" i="80"/>
  <c r="N2210" i="80"/>
  <c r="O2209" i="80"/>
  <c r="N2209" i="80"/>
  <c r="O2208" i="80"/>
  <c r="N2208" i="80"/>
  <c r="O2207" i="80"/>
  <c r="N2207" i="80"/>
  <c r="O2206" i="80"/>
  <c r="N2206" i="80"/>
  <c r="O2205" i="80"/>
  <c r="N2205" i="80"/>
  <c r="O2204" i="80"/>
  <c r="N2204" i="80"/>
  <c r="O2203" i="80"/>
  <c r="N2203" i="80"/>
  <c r="O2202" i="80"/>
  <c r="N2202" i="80"/>
  <c r="O2201" i="80"/>
  <c r="N2201" i="80"/>
  <c r="O2200" i="80"/>
  <c r="N2200" i="80"/>
  <c r="O2199" i="80"/>
  <c r="N2199" i="80"/>
  <c r="O2198" i="80"/>
  <c r="N2198" i="80"/>
  <c r="O2197" i="80"/>
  <c r="N2197" i="80"/>
  <c r="O2196" i="80"/>
  <c r="N2196" i="80"/>
  <c r="O2195" i="80"/>
  <c r="N2195" i="80"/>
  <c r="O2194" i="80"/>
  <c r="N2194" i="80"/>
  <c r="O2193" i="80"/>
  <c r="N2193" i="80"/>
  <c r="O2192" i="80"/>
  <c r="N2192" i="80"/>
  <c r="O2191" i="80"/>
  <c r="N2191" i="80"/>
  <c r="O2190" i="80"/>
  <c r="N2190" i="80"/>
  <c r="O2189" i="80"/>
  <c r="N2189" i="80"/>
  <c r="O2188" i="80"/>
  <c r="N2188" i="80"/>
  <c r="O2187" i="80"/>
  <c r="N2187" i="80"/>
  <c r="O2186" i="80"/>
  <c r="N2186" i="80"/>
  <c r="O2185" i="80"/>
  <c r="N2185" i="80"/>
  <c r="O2184" i="80"/>
  <c r="N2184" i="80"/>
  <c r="O2183" i="80"/>
  <c r="N2183" i="80"/>
  <c r="O2182" i="80"/>
  <c r="N2182" i="80"/>
  <c r="O2181" i="80"/>
  <c r="N2181" i="80"/>
  <c r="O2180" i="80"/>
  <c r="N2180" i="80"/>
  <c r="O2179" i="80"/>
  <c r="N2179" i="80"/>
  <c r="O2178" i="80"/>
  <c r="N2178" i="80"/>
  <c r="O2177" i="80"/>
  <c r="N2177" i="80"/>
  <c r="O2176" i="80"/>
  <c r="N2176" i="80"/>
  <c r="O2175" i="80"/>
  <c r="N2175" i="80"/>
  <c r="O2174" i="80"/>
  <c r="N2174" i="80"/>
  <c r="O2173" i="80"/>
  <c r="N2173" i="80"/>
  <c r="O2172" i="80"/>
  <c r="N2172" i="80"/>
  <c r="O2171" i="80"/>
  <c r="N2171" i="80"/>
  <c r="O2170" i="80"/>
  <c r="N2170" i="80"/>
  <c r="O2169" i="80"/>
  <c r="N2169" i="80"/>
  <c r="O2168" i="80"/>
  <c r="N2168" i="80"/>
  <c r="O2167" i="80"/>
  <c r="N2167" i="80"/>
  <c r="O2166" i="80"/>
  <c r="N2166" i="80"/>
  <c r="O2165" i="80"/>
  <c r="N2165" i="80"/>
  <c r="O2164" i="80"/>
  <c r="N2164" i="80"/>
  <c r="O2163" i="80"/>
  <c r="N2163" i="80"/>
  <c r="O2162" i="80"/>
  <c r="N2162" i="80"/>
  <c r="O2161" i="80"/>
  <c r="N2161" i="80"/>
  <c r="O2160" i="80"/>
  <c r="N2160" i="80"/>
  <c r="O2159" i="80"/>
  <c r="N2159" i="80"/>
  <c r="O2158" i="80"/>
  <c r="N2158" i="80"/>
  <c r="O2157" i="80"/>
  <c r="N2157" i="80"/>
  <c r="O2156" i="80"/>
  <c r="N2156" i="80"/>
  <c r="O2155" i="80"/>
  <c r="N2155" i="80"/>
  <c r="O2154" i="80"/>
  <c r="N2154" i="80"/>
  <c r="O2153" i="80"/>
  <c r="N2153" i="80"/>
  <c r="O2152" i="80"/>
  <c r="N2152" i="80"/>
  <c r="O2151" i="80"/>
  <c r="N2151" i="80"/>
  <c r="O2150" i="80"/>
  <c r="N2150" i="80"/>
  <c r="O2149" i="80"/>
  <c r="N2149" i="80"/>
  <c r="O2148" i="80"/>
  <c r="N2148" i="80"/>
  <c r="O2147" i="80"/>
  <c r="N2147" i="80"/>
  <c r="O2146" i="80"/>
  <c r="N2146" i="80"/>
  <c r="O2145" i="80"/>
  <c r="N2145" i="80"/>
  <c r="O2144" i="80"/>
  <c r="N2144" i="80"/>
  <c r="O2143" i="80"/>
  <c r="N2143" i="80"/>
  <c r="O2142" i="80"/>
  <c r="N2142" i="80"/>
  <c r="O2141" i="80"/>
  <c r="N2141" i="80"/>
  <c r="O2140" i="80"/>
  <c r="N2140" i="80"/>
  <c r="O2139" i="80"/>
  <c r="N2139" i="80"/>
  <c r="O2138" i="80"/>
  <c r="N2138" i="80"/>
  <c r="O2137" i="80"/>
  <c r="N2137" i="80"/>
  <c r="O2136" i="80"/>
  <c r="N2136" i="80"/>
  <c r="O2135" i="80"/>
  <c r="N2135" i="80"/>
  <c r="O2134" i="80"/>
  <c r="N2134" i="80"/>
  <c r="O2133" i="80"/>
  <c r="N2133" i="80"/>
  <c r="O2132" i="80"/>
  <c r="N2132" i="80"/>
  <c r="O2131" i="80"/>
  <c r="N2131" i="80"/>
  <c r="O2130" i="80"/>
  <c r="N2130" i="80"/>
  <c r="O2129" i="80"/>
  <c r="N2129" i="80"/>
  <c r="O2128" i="80"/>
  <c r="N2128" i="80"/>
  <c r="O2127" i="80"/>
  <c r="N2127" i="80"/>
  <c r="O2126" i="80"/>
  <c r="N2126" i="80"/>
  <c r="O2125" i="80"/>
  <c r="N2125" i="80"/>
  <c r="O2124" i="80"/>
  <c r="N2124" i="80"/>
  <c r="O2123" i="80"/>
  <c r="N2123" i="80"/>
  <c r="O2122" i="80"/>
  <c r="N2122" i="80"/>
  <c r="O2121" i="80"/>
  <c r="N2121" i="80"/>
  <c r="O2120" i="80"/>
  <c r="N2120" i="80"/>
  <c r="O2119" i="80"/>
  <c r="N2119" i="80"/>
  <c r="O2118" i="80"/>
  <c r="N2118" i="80"/>
  <c r="O2117" i="80"/>
  <c r="N2117" i="80"/>
  <c r="O2116" i="80"/>
  <c r="N2116" i="80"/>
  <c r="O2115" i="80"/>
  <c r="N2115" i="80"/>
  <c r="O2114" i="80"/>
  <c r="N2114" i="80"/>
  <c r="O2113" i="80"/>
  <c r="N2113" i="80"/>
  <c r="O2112" i="80"/>
  <c r="N2112" i="80"/>
  <c r="O2111" i="80"/>
  <c r="N2111" i="80"/>
  <c r="O2110" i="80"/>
  <c r="N2110" i="80"/>
  <c r="O2109" i="80"/>
  <c r="N2109" i="80"/>
  <c r="O2108" i="80"/>
  <c r="N2108" i="80"/>
  <c r="O2107" i="80"/>
  <c r="N2107" i="80"/>
  <c r="O2106" i="80"/>
  <c r="N2106" i="80"/>
  <c r="O2105" i="80"/>
  <c r="N2105" i="80"/>
  <c r="O2104" i="80"/>
  <c r="N2104" i="80"/>
  <c r="O2103" i="80"/>
  <c r="N2103" i="80"/>
  <c r="O2102" i="80"/>
  <c r="N2102" i="80"/>
  <c r="O2101" i="80"/>
  <c r="N2101" i="80"/>
  <c r="O2100" i="80"/>
  <c r="N2100" i="80"/>
  <c r="O2099" i="80"/>
  <c r="N2099" i="80"/>
  <c r="O2098" i="80"/>
  <c r="N2098" i="80"/>
  <c r="O2097" i="80"/>
  <c r="N2097" i="80"/>
  <c r="O2096" i="80"/>
  <c r="N2096" i="80"/>
  <c r="O2095" i="80"/>
  <c r="N2095" i="80"/>
  <c r="O2094" i="80"/>
  <c r="N2094" i="80"/>
  <c r="O2093" i="80"/>
  <c r="N2093" i="80"/>
  <c r="O2092" i="80"/>
  <c r="N2092" i="80"/>
  <c r="O2091" i="80"/>
  <c r="N2091" i="80"/>
  <c r="O2090" i="80"/>
  <c r="N2090" i="80"/>
  <c r="O2089" i="80"/>
  <c r="N2089" i="80"/>
  <c r="O2088" i="80"/>
  <c r="N2088" i="80"/>
  <c r="O2087" i="80"/>
  <c r="N2087" i="80"/>
  <c r="O2086" i="80"/>
  <c r="N2086" i="80"/>
  <c r="O2085" i="80"/>
  <c r="N2085" i="80"/>
  <c r="O2084" i="80"/>
  <c r="N2084" i="80"/>
  <c r="O2083" i="80"/>
  <c r="N2083" i="80"/>
  <c r="O2082" i="80"/>
  <c r="N2082" i="80"/>
  <c r="O2081" i="80"/>
  <c r="N2081" i="80"/>
  <c r="O2080" i="80"/>
  <c r="N2080" i="80"/>
  <c r="O2079" i="80"/>
  <c r="N2079" i="80"/>
  <c r="O2078" i="80"/>
  <c r="N2078" i="80"/>
  <c r="O2077" i="80"/>
  <c r="N2077" i="80"/>
  <c r="O2076" i="80"/>
  <c r="N2076" i="80"/>
  <c r="O2075" i="80"/>
  <c r="N2075" i="80"/>
  <c r="O2074" i="80"/>
  <c r="N2074" i="80"/>
  <c r="O2073" i="80"/>
  <c r="N2073" i="80"/>
  <c r="O2072" i="80"/>
  <c r="N2072" i="80"/>
  <c r="O2071" i="80"/>
  <c r="N2071" i="80"/>
  <c r="O2070" i="80"/>
  <c r="N2070" i="80"/>
  <c r="O2069" i="80"/>
  <c r="N2069" i="80"/>
  <c r="O2068" i="80"/>
  <c r="N2068" i="80"/>
  <c r="O2067" i="80"/>
  <c r="N2067" i="80"/>
  <c r="O2066" i="80"/>
  <c r="N2066" i="80"/>
  <c r="O2065" i="80"/>
  <c r="N2065" i="80"/>
  <c r="O2064" i="80"/>
  <c r="N2064" i="80"/>
  <c r="O2063" i="80"/>
  <c r="N2063" i="80"/>
  <c r="O2062" i="80"/>
  <c r="N2062" i="80"/>
  <c r="O2061" i="80"/>
  <c r="N2061" i="80"/>
  <c r="O2060" i="80"/>
  <c r="N2060" i="80"/>
  <c r="O2059" i="80"/>
  <c r="N2059" i="80"/>
  <c r="O2058" i="80"/>
  <c r="N2058" i="80"/>
  <c r="O2057" i="80"/>
  <c r="N2057" i="80"/>
  <c r="O2056" i="80"/>
  <c r="N2056" i="80"/>
  <c r="O2055" i="80"/>
  <c r="N2055" i="80"/>
  <c r="O2054" i="80"/>
  <c r="N2054" i="80"/>
  <c r="O2053" i="80"/>
  <c r="N2053" i="80"/>
  <c r="O2052" i="80"/>
  <c r="N2052" i="80"/>
  <c r="O2051" i="80"/>
  <c r="N2051" i="80"/>
  <c r="O2050" i="80"/>
  <c r="N2050" i="80"/>
  <c r="O2049" i="80"/>
  <c r="N2049" i="80"/>
  <c r="O2048" i="80"/>
  <c r="N2048" i="80"/>
  <c r="O2047" i="80"/>
  <c r="N2047" i="80"/>
  <c r="O2046" i="80"/>
  <c r="N2046" i="80"/>
  <c r="O2045" i="80"/>
  <c r="N2045" i="80"/>
  <c r="O2044" i="80"/>
  <c r="N2044" i="80"/>
  <c r="O2043" i="80"/>
  <c r="N2043" i="80"/>
  <c r="O2042" i="80"/>
  <c r="N2042" i="80"/>
  <c r="O2041" i="80"/>
  <c r="N2041" i="80"/>
  <c r="O2040" i="80"/>
  <c r="N2040" i="80"/>
  <c r="O2039" i="80"/>
  <c r="N2039" i="80"/>
  <c r="O2038" i="80"/>
  <c r="N2038" i="80"/>
  <c r="O2037" i="80"/>
  <c r="N2037" i="80"/>
  <c r="O2036" i="80"/>
  <c r="N2036" i="80"/>
  <c r="O2035" i="80"/>
  <c r="N2035" i="80"/>
  <c r="O2034" i="80"/>
  <c r="N2034" i="80"/>
  <c r="O2033" i="80"/>
  <c r="N2033" i="80"/>
  <c r="O2032" i="80"/>
  <c r="N2032" i="80"/>
  <c r="O2031" i="80"/>
  <c r="N2031" i="80"/>
  <c r="O2030" i="80"/>
  <c r="N2030" i="80"/>
  <c r="O2029" i="80"/>
  <c r="N2029" i="80"/>
  <c r="O2028" i="80"/>
  <c r="N2028" i="80"/>
  <c r="O2027" i="80"/>
  <c r="N2027" i="80"/>
  <c r="O2026" i="80"/>
  <c r="N2026" i="80"/>
  <c r="O2025" i="80"/>
  <c r="N2025" i="80"/>
  <c r="O2024" i="80"/>
  <c r="N2024" i="80"/>
  <c r="O2023" i="80"/>
  <c r="N2023" i="80"/>
  <c r="O2022" i="80"/>
  <c r="N2022" i="80"/>
  <c r="O2021" i="80"/>
  <c r="N2021" i="80"/>
  <c r="O2020" i="80"/>
  <c r="N2020" i="80"/>
  <c r="O2019" i="80"/>
  <c r="N2019" i="80"/>
  <c r="O2018" i="80"/>
  <c r="N2018" i="80"/>
  <c r="O2017" i="80"/>
  <c r="N2017" i="80"/>
  <c r="O2016" i="80"/>
  <c r="N2016" i="80"/>
  <c r="O2015" i="80"/>
  <c r="N2015" i="80"/>
  <c r="O2014" i="80"/>
  <c r="N2014" i="80"/>
  <c r="O2013" i="80"/>
  <c r="N2013" i="80"/>
  <c r="O2012" i="80"/>
  <c r="N2012" i="80"/>
  <c r="O2011" i="80"/>
  <c r="N2011" i="80"/>
  <c r="O2010" i="80"/>
  <c r="N2010" i="80"/>
  <c r="O2009" i="80"/>
  <c r="N2009" i="80"/>
  <c r="O2008" i="80"/>
  <c r="N2008" i="80"/>
  <c r="O2007" i="80"/>
  <c r="N2007" i="80"/>
  <c r="O2006" i="80"/>
  <c r="N2006" i="80"/>
  <c r="O2005" i="80"/>
  <c r="N2005" i="80"/>
  <c r="O2004" i="80"/>
  <c r="N2004" i="80"/>
  <c r="O2003" i="80"/>
  <c r="N2003" i="80"/>
  <c r="O2002" i="80"/>
  <c r="N2002" i="80"/>
  <c r="O2001" i="80"/>
  <c r="N2001" i="80"/>
  <c r="O2000" i="80"/>
  <c r="N2000" i="80"/>
  <c r="O1999" i="80"/>
  <c r="N1999" i="80"/>
  <c r="O1998" i="80"/>
  <c r="N1998" i="80"/>
  <c r="O1997" i="80"/>
  <c r="N1997" i="80"/>
  <c r="O1996" i="80"/>
  <c r="N1996" i="80"/>
  <c r="O1995" i="80"/>
  <c r="N1995" i="80"/>
  <c r="O1994" i="80"/>
  <c r="N1994" i="80"/>
  <c r="O1993" i="80"/>
  <c r="N1993" i="80"/>
  <c r="O1992" i="80"/>
  <c r="N1992" i="80"/>
  <c r="O1991" i="80"/>
  <c r="N1991" i="80"/>
  <c r="O1990" i="80"/>
  <c r="N1990" i="80"/>
  <c r="O1989" i="80"/>
  <c r="N1989" i="80"/>
  <c r="O1988" i="80"/>
  <c r="N1988" i="80"/>
  <c r="O1987" i="80"/>
  <c r="N1987" i="80"/>
  <c r="O1986" i="80"/>
  <c r="N1986" i="80"/>
  <c r="O1985" i="80"/>
  <c r="N1985" i="80"/>
  <c r="O1984" i="80"/>
  <c r="N1984" i="80"/>
  <c r="O1983" i="80"/>
  <c r="N1983" i="80"/>
  <c r="O1982" i="80"/>
  <c r="N1982" i="80"/>
  <c r="O1981" i="80"/>
  <c r="N1981" i="80"/>
  <c r="O1980" i="80"/>
  <c r="N1980" i="80"/>
  <c r="O1979" i="80"/>
  <c r="N1979" i="80"/>
  <c r="O1978" i="80"/>
  <c r="N1978" i="80"/>
  <c r="O1977" i="80"/>
  <c r="N1977" i="80"/>
  <c r="O1976" i="80"/>
  <c r="N1976" i="80"/>
  <c r="O1975" i="80"/>
  <c r="N1975" i="80"/>
  <c r="O1974" i="80"/>
  <c r="N1974" i="80"/>
  <c r="O1973" i="80"/>
  <c r="N1973" i="80"/>
  <c r="O1972" i="80"/>
  <c r="N1972" i="80"/>
  <c r="O1971" i="80"/>
  <c r="N1971" i="80"/>
  <c r="O1970" i="80"/>
  <c r="N1970" i="80"/>
  <c r="O1969" i="80"/>
  <c r="N1969" i="80"/>
  <c r="O1968" i="80"/>
  <c r="N1968" i="80"/>
  <c r="O1967" i="80"/>
  <c r="N1967" i="80"/>
  <c r="O1966" i="80"/>
  <c r="N1966" i="80"/>
  <c r="O1965" i="80"/>
  <c r="N1965" i="80"/>
  <c r="O1964" i="80"/>
  <c r="N1964" i="80"/>
  <c r="O1963" i="80"/>
  <c r="N1963" i="80"/>
  <c r="O1962" i="80"/>
  <c r="N1962" i="80"/>
  <c r="O1961" i="80"/>
  <c r="N1961" i="80"/>
  <c r="O1960" i="80"/>
  <c r="N1960" i="80"/>
  <c r="O1959" i="80"/>
  <c r="N1959" i="80"/>
  <c r="O1958" i="80"/>
  <c r="N1958" i="80"/>
  <c r="O1957" i="80"/>
  <c r="N1957" i="80"/>
  <c r="O1956" i="80"/>
  <c r="N1956" i="80"/>
  <c r="O1955" i="80"/>
  <c r="N1955" i="80"/>
  <c r="O1954" i="80"/>
  <c r="N1954" i="80"/>
  <c r="O1953" i="80"/>
  <c r="N1953" i="80"/>
  <c r="O1952" i="80"/>
  <c r="N1952" i="80"/>
  <c r="O1951" i="80"/>
  <c r="N1951" i="80"/>
  <c r="O1950" i="80"/>
  <c r="N1950" i="80"/>
  <c r="O1949" i="80"/>
  <c r="N1949" i="80"/>
  <c r="O1948" i="80"/>
  <c r="N1948" i="80"/>
  <c r="O1947" i="80"/>
  <c r="N1947" i="80"/>
  <c r="O1946" i="80"/>
  <c r="N1946" i="80"/>
  <c r="O1945" i="80"/>
  <c r="N1945" i="80"/>
  <c r="O1944" i="80"/>
  <c r="N1944" i="80"/>
  <c r="O1943" i="80"/>
  <c r="N1943" i="80"/>
  <c r="O1942" i="80"/>
  <c r="N1942" i="80"/>
  <c r="O1941" i="80"/>
  <c r="N1941" i="80"/>
  <c r="O1940" i="80"/>
  <c r="N1940" i="80"/>
  <c r="O1939" i="80"/>
  <c r="N1939" i="80"/>
  <c r="O1938" i="80"/>
  <c r="N1938" i="80"/>
  <c r="O1937" i="80"/>
  <c r="N1937" i="80"/>
  <c r="O1936" i="80"/>
  <c r="N1936" i="80"/>
  <c r="O1935" i="80"/>
  <c r="N1935" i="80"/>
  <c r="O1934" i="80"/>
  <c r="N1934" i="80"/>
  <c r="O1933" i="80"/>
  <c r="N1933" i="80"/>
  <c r="O1932" i="80"/>
  <c r="N1932" i="80"/>
  <c r="O1931" i="80"/>
  <c r="N1931" i="80"/>
  <c r="O1930" i="80"/>
  <c r="N1930" i="80"/>
  <c r="O1929" i="80"/>
  <c r="N1929" i="80"/>
  <c r="O1928" i="80"/>
  <c r="N1928" i="80"/>
  <c r="O1927" i="80"/>
  <c r="N1927" i="80"/>
  <c r="O1926" i="80"/>
  <c r="N1926" i="80"/>
  <c r="O1925" i="80"/>
  <c r="N1925" i="80"/>
  <c r="O1924" i="80"/>
  <c r="N1924" i="80"/>
  <c r="O1923" i="80"/>
  <c r="N1923" i="80"/>
  <c r="O1922" i="80"/>
  <c r="N1922" i="80"/>
  <c r="O1921" i="80"/>
  <c r="N1921" i="80"/>
  <c r="O1920" i="80"/>
  <c r="N1920" i="80"/>
  <c r="O1919" i="80"/>
  <c r="N1919" i="80"/>
  <c r="O1918" i="80"/>
  <c r="N1918" i="80"/>
  <c r="O1917" i="80"/>
  <c r="N1917" i="80"/>
  <c r="O1916" i="80"/>
  <c r="N1916" i="80"/>
  <c r="O1915" i="80"/>
  <c r="N1915" i="80"/>
  <c r="O1914" i="80"/>
  <c r="N1914" i="80"/>
  <c r="O1913" i="80"/>
  <c r="N1913" i="80"/>
  <c r="O1912" i="80"/>
  <c r="N1912" i="80"/>
  <c r="O1911" i="80"/>
  <c r="N1911" i="80"/>
  <c r="O1910" i="80"/>
  <c r="N1910" i="80"/>
  <c r="O1909" i="80"/>
  <c r="N1909" i="80"/>
  <c r="O1908" i="80"/>
  <c r="N1908" i="80"/>
  <c r="O1907" i="80"/>
  <c r="N1907" i="80"/>
  <c r="O1906" i="80"/>
  <c r="N1906" i="80"/>
  <c r="O1905" i="80"/>
  <c r="N1905" i="80"/>
  <c r="O1904" i="80"/>
  <c r="N1904" i="80"/>
  <c r="O1903" i="80"/>
  <c r="N1903" i="80"/>
  <c r="O1902" i="80"/>
  <c r="N1902" i="80"/>
  <c r="O1901" i="80"/>
  <c r="N1901" i="80"/>
  <c r="O1900" i="80"/>
  <c r="N1900" i="80"/>
  <c r="O1899" i="80"/>
  <c r="N1899" i="80"/>
  <c r="O1898" i="80"/>
  <c r="N1898" i="80"/>
  <c r="O1897" i="80"/>
  <c r="N1897" i="80"/>
  <c r="O1896" i="80"/>
  <c r="N1896" i="80"/>
  <c r="O1895" i="80"/>
  <c r="N1895" i="80"/>
  <c r="O1894" i="80"/>
  <c r="N1894" i="80"/>
  <c r="O1893" i="80"/>
  <c r="N1893" i="80"/>
  <c r="O1892" i="80"/>
  <c r="N1892" i="80"/>
  <c r="O1891" i="80"/>
  <c r="N1891" i="80"/>
  <c r="O1890" i="80"/>
  <c r="N1890" i="80"/>
  <c r="O1889" i="80"/>
  <c r="N1889" i="80"/>
  <c r="O1888" i="80"/>
  <c r="N1888" i="80"/>
  <c r="O1887" i="80"/>
  <c r="N1887" i="80"/>
  <c r="O1886" i="80"/>
  <c r="N1886" i="80"/>
  <c r="O1885" i="80"/>
  <c r="N1885" i="80"/>
  <c r="O1884" i="80"/>
  <c r="N1884" i="80"/>
  <c r="O1883" i="80"/>
  <c r="N1883" i="80"/>
  <c r="O1882" i="80"/>
  <c r="N1882" i="80"/>
  <c r="O1881" i="80"/>
  <c r="N1881" i="80"/>
  <c r="O1880" i="80"/>
  <c r="N1880" i="80"/>
  <c r="O1879" i="80"/>
  <c r="N1879" i="80"/>
  <c r="O1878" i="80"/>
  <c r="N1878" i="80"/>
  <c r="O1877" i="80"/>
  <c r="N1877" i="80"/>
  <c r="O1876" i="80"/>
  <c r="N1876" i="80"/>
  <c r="O1875" i="80"/>
  <c r="N1875" i="80"/>
  <c r="O1874" i="80"/>
  <c r="N1874" i="80"/>
  <c r="O1873" i="80"/>
  <c r="N1873" i="80"/>
  <c r="O1872" i="80"/>
  <c r="N1872" i="80"/>
  <c r="O1871" i="80"/>
  <c r="N1871" i="80"/>
  <c r="O1870" i="80"/>
  <c r="N1870" i="80"/>
  <c r="O1869" i="80"/>
  <c r="N1869" i="80"/>
  <c r="O1868" i="80"/>
  <c r="N1868" i="80"/>
  <c r="O1867" i="80"/>
  <c r="N1867" i="80"/>
  <c r="O1866" i="80"/>
  <c r="N1866" i="80"/>
  <c r="O1865" i="80"/>
  <c r="N1865" i="80"/>
  <c r="O1864" i="80"/>
  <c r="N1864" i="80"/>
  <c r="O1863" i="80"/>
  <c r="N1863" i="80"/>
  <c r="O1862" i="80"/>
  <c r="N1862" i="80"/>
  <c r="O1861" i="80"/>
  <c r="N1861" i="80"/>
  <c r="O1860" i="80"/>
  <c r="N1860" i="80"/>
  <c r="O1859" i="80"/>
  <c r="N1859" i="80"/>
  <c r="O1858" i="80"/>
  <c r="N1858" i="80"/>
  <c r="O1857" i="80"/>
  <c r="N1857" i="80"/>
  <c r="O1856" i="80"/>
  <c r="N1856" i="80"/>
  <c r="O1855" i="80"/>
  <c r="N1855" i="80"/>
  <c r="O1854" i="80"/>
  <c r="N1854" i="80"/>
  <c r="O1853" i="80"/>
  <c r="N1853" i="80"/>
  <c r="O1852" i="80"/>
  <c r="N1852" i="80"/>
  <c r="O1851" i="80"/>
  <c r="N1851" i="80"/>
  <c r="O1850" i="80"/>
  <c r="N1850" i="80"/>
  <c r="O1849" i="80"/>
  <c r="N1849" i="80"/>
  <c r="O1848" i="80"/>
  <c r="N1848" i="80"/>
  <c r="O1847" i="80"/>
  <c r="N1847" i="80"/>
  <c r="O1846" i="80"/>
  <c r="N1846" i="80"/>
  <c r="O1845" i="80"/>
  <c r="N1845" i="80"/>
  <c r="O1844" i="80"/>
  <c r="N1844" i="80"/>
  <c r="O1843" i="80"/>
  <c r="N1843" i="80"/>
  <c r="O1842" i="80"/>
  <c r="N1842" i="80"/>
  <c r="O1841" i="80"/>
  <c r="N1841" i="80"/>
  <c r="O1840" i="80"/>
  <c r="N1840" i="80"/>
  <c r="O1839" i="80"/>
  <c r="N1839" i="80"/>
  <c r="O1838" i="80"/>
  <c r="N1838" i="80"/>
  <c r="O1837" i="80"/>
  <c r="N1837" i="80"/>
  <c r="O1836" i="80"/>
  <c r="N1836" i="80"/>
  <c r="O1835" i="80"/>
  <c r="N1835" i="80"/>
  <c r="O1834" i="80"/>
  <c r="N1834" i="80"/>
  <c r="O1833" i="80"/>
  <c r="N1833" i="80"/>
  <c r="O1832" i="80"/>
  <c r="N1832" i="80"/>
  <c r="O1831" i="80"/>
  <c r="N1831" i="80"/>
  <c r="O1830" i="80"/>
  <c r="N1830" i="80"/>
  <c r="O1829" i="80"/>
  <c r="N1829" i="80"/>
  <c r="O1828" i="80"/>
  <c r="N1828" i="80"/>
  <c r="O1827" i="80"/>
  <c r="N1827" i="80"/>
  <c r="O1826" i="80"/>
  <c r="N1826" i="80"/>
  <c r="O1825" i="80"/>
  <c r="N1825" i="80"/>
  <c r="O1824" i="80"/>
  <c r="N1824" i="80"/>
  <c r="O1823" i="80"/>
  <c r="N1823" i="80"/>
  <c r="O1822" i="80"/>
  <c r="N1822" i="80"/>
  <c r="O1821" i="80"/>
  <c r="N1821" i="80"/>
  <c r="O1820" i="80"/>
  <c r="N1820" i="80"/>
  <c r="O1819" i="80"/>
  <c r="N1819" i="80"/>
  <c r="O1818" i="80"/>
  <c r="N1818" i="80"/>
  <c r="O1817" i="80"/>
  <c r="N1817" i="80"/>
  <c r="O1816" i="80"/>
  <c r="N1816" i="80"/>
  <c r="O1815" i="80"/>
  <c r="N1815" i="80"/>
  <c r="O1814" i="80"/>
  <c r="N1814" i="80"/>
  <c r="O1813" i="80"/>
  <c r="N1813" i="80"/>
  <c r="O1812" i="80"/>
  <c r="N1812" i="80"/>
  <c r="O1811" i="80"/>
  <c r="N1811" i="80"/>
  <c r="O1810" i="80"/>
  <c r="N1810" i="80"/>
  <c r="O1809" i="80"/>
  <c r="N1809" i="80"/>
  <c r="O1808" i="80"/>
  <c r="N1808" i="80"/>
  <c r="O1807" i="80"/>
  <c r="N1807" i="80"/>
  <c r="O1806" i="80"/>
  <c r="N1806" i="80"/>
  <c r="O1805" i="80"/>
  <c r="N1805" i="80"/>
  <c r="O1804" i="80"/>
  <c r="N1804" i="80"/>
  <c r="O1803" i="80"/>
  <c r="N1803" i="80"/>
  <c r="O1802" i="80"/>
  <c r="N1802" i="80"/>
  <c r="O1801" i="80"/>
  <c r="N1801" i="80"/>
  <c r="O1800" i="80"/>
  <c r="N1800" i="80"/>
  <c r="O1799" i="80"/>
  <c r="N1799" i="80"/>
  <c r="O1798" i="80"/>
  <c r="N1798" i="80"/>
  <c r="O1797" i="80"/>
  <c r="N1797" i="80"/>
  <c r="O1796" i="80"/>
  <c r="N1796" i="80"/>
  <c r="O1795" i="80"/>
  <c r="N1795" i="80"/>
  <c r="O1794" i="80"/>
  <c r="N1794" i="80"/>
  <c r="O1793" i="80"/>
  <c r="N1793" i="80"/>
  <c r="O1792" i="80"/>
  <c r="N1792" i="80"/>
  <c r="O1791" i="80"/>
  <c r="N1791" i="80"/>
  <c r="O1790" i="80"/>
  <c r="N1790" i="80"/>
  <c r="O1789" i="80"/>
  <c r="N1789" i="80"/>
  <c r="O1788" i="80"/>
  <c r="N1788" i="80"/>
  <c r="O1787" i="80"/>
  <c r="N1787" i="80"/>
  <c r="O1786" i="80"/>
  <c r="N1786" i="80"/>
  <c r="O1785" i="80"/>
  <c r="N1785" i="80"/>
  <c r="O1784" i="80"/>
  <c r="N1784" i="80"/>
  <c r="O1783" i="80"/>
  <c r="N1783" i="80"/>
  <c r="O1782" i="80"/>
  <c r="N1782" i="80"/>
  <c r="O1781" i="80"/>
  <c r="N1781" i="80"/>
  <c r="O1780" i="80"/>
  <c r="N1780" i="80"/>
  <c r="O1779" i="80"/>
  <c r="N1779" i="80"/>
  <c r="O1778" i="80"/>
  <c r="N1778" i="80"/>
  <c r="O1777" i="80"/>
  <c r="N1777" i="80"/>
  <c r="O1776" i="80"/>
  <c r="N1776" i="80"/>
  <c r="O1775" i="80"/>
  <c r="N1775" i="80"/>
  <c r="O1774" i="80"/>
  <c r="N1774" i="80"/>
  <c r="O1773" i="80"/>
  <c r="N1773" i="80"/>
  <c r="O1772" i="80"/>
  <c r="N1772" i="80"/>
  <c r="O1771" i="80"/>
  <c r="N1771" i="80"/>
  <c r="O1770" i="80"/>
  <c r="N1770" i="80"/>
  <c r="O1769" i="80"/>
  <c r="N1769" i="80"/>
  <c r="O1768" i="80"/>
  <c r="N1768" i="80"/>
  <c r="O1767" i="80"/>
  <c r="N1767" i="80"/>
  <c r="O1766" i="80"/>
  <c r="N1766" i="80"/>
  <c r="O1765" i="80"/>
  <c r="N1765" i="80"/>
  <c r="O1764" i="80"/>
  <c r="N1764" i="80"/>
  <c r="O1763" i="80"/>
  <c r="N1763" i="80"/>
  <c r="O1762" i="80"/>
  <c r="N1762" i="80"/>
  <c r="O1761" i="80"/>
  <c r="N1761" i="80"/>
  <c r="O1760" i="80"/>
  <c r="N1760" i="80"/>
  <c r="O1759" i="80"/>
  <c r="N1759" i="80"/>
  <c r="O1758" i="80"/>
  <c r="N1758" i="80"/>
  <c r="O1757" i="80"/>
  <c r="N1757" i="80"/>
  <c r="O1756" i="80"/>
  <c r="N1756" i="80"/>
  <c r="O1755" i="80"/>
  <c r="N1755" i="80"/>
  <c r="O1754" i="80"/>
  <c r="N1754" i="80"/>
  <c r="O1753" i="80"/>
  <c r="N1753" i="80"/>
  <c r="O1752" i="80"/>
  <c r="N1752" i="80"/>
  <c r="O1751" i="80"/>
  <c r="N1751" i="80"/>
  <c r="O1750" i="80"/>
  <c r="N1750" i="80"/>
  <c r="O1749" i="80"/>
  <c r="N1749" i="80"/>
  <c r="O1748" i="80"/>
  <c r="N1748" i="80"/>
  <c r="O1747" i="80"/>
  <c r="N1747" i="80"/>
  <c r="O1746" i="80"/>
  <c r="N1746" i="80"/>
  <c r="O1745" i="80"/>
  <c r="N1745" i="80"/>
  <c r="O1744" i="80"/>
  <c r="N1744" i="80"/>
  <c r="O1743" i="80"/>
  <c r="N1743" i="80"/>
  <c r="O1742" i="80"/>
  <c r="N1742" i="80"/>
  <c r="O1741" i="80"/>
  <c r="N1741" i="80"/>
  <c r="O1740" i="80"/>
  <c r="N1740" i="80"/>
  <c r="O1739" i="80"/>
  <c r="N1739" i="80"/>
  <c r="O1738" i="80"/>
  <c r="N1738" i="80"/>
  <c r="O1737" i="80"/>
  <c r="N1737" i="80"/>
  <c r="O1736" i="80"/>
  <c r="N1736" i="80"/>
  <c r="O1735" i="80"/>
  <c r="N1735" i="80"/>
  <c r="O1734" i="80"/>
  <c r="N1734" i="80"/>
  <c r="O1733" i="80"/>
  <c r="N1733" i="80"/>
  <c r="O1732" i="80"/>
  <c r="N1732" i="80"/>
  <c r="O1731" i="80"/>
  <c r="N1731" i="80"/>
  <c r="O1730" i="80"/>
  <c r="N1730" i="80"/>
  <c r="O1729" i="80"/>
  <c r="N1729" i="80"/>
  <c r="O1728" i="80"/>
  <c r="N1728" i="80"/>
  <c r="O1727" i="80"/>
  <c r="N1727" i="80"/>
  <c r="O1726" i="80"/>
  <c r="N1726" i="80"/>
  <c r="O1725" i="80"/>
  <c r="N1725" i="80"/>
  <c r="O1724" i="80"/>
  <c r="N1724" i="80"/>
  <c r="O1723" i="80"/>
  <c r="N1723" i="80"/>
  <c r="O1722" i="80"/>
  <c r="N1722" i="80"/>
  <c r="O1721" i="80"/>
  <c r="N1721" i="80"/>
  <c r="O1720" i="80"/>
  <c r="N1720" i="80"/>
  <c r="O1719" i="80"/>
  <c r="N1719" i="80"/>
  <c r="O1718" i="80"/>
  <c r="N1718" i="80"/>
  <c r="O1717" i="80"/>
  <c r="N1717" i="80"/>
  <c r="O1716" i="80"/>
  <c r="N1716" i="80"/>
  <c r="O1715" i="80"/>
  <c r="N1715" i="80"/>
  <c r="O1714" i="80"/>
  <c r="N1714" i="80"/>
  <c r="O1713" i="80"/>
  <c r="N1713" i="80"/>
  <c r="O1712" i="80"/>
  <c r="N1712" i="80"/>
  <c r="O1711" i="80"/>
  <c r="N1711" i="80"/>
  <c r="O1710" i="80"/>
  <c r="N1710" i="80"/>
  <c r="O1709" i="80"/>
  <c r="N1709" i="80"/>
  <c r="O1708" i="80"/>
  <c r="N1708" i="80"/>
  <c r="O1707" i="80"/>
  <c r="N1707" i="80"/>
  <c r="O1706" i="80"/>
  <c r="N1706" i="80"/>
  <c r="O1705" i="80"/>
  <c r="N1705" i="80"/>
  <c r="O1704" i="80"/>
  <c r="N1704" i="80"/>
  <c r="O1703" i="80"/>
  <c r="N1703" i="80"/>
  <c r="O1702" i="80"/>
  <c r="N1702" i="80"/>
  <c r="O1701" i="80"/>
  <c r="N1701" i="80"/>
  <c r="O1700" i="80"/>
  <c r="N1700" i="80"/>
  <c r="O1699" i="80"/>
  <c r="N1699" i="80"/>
  <c r="O1698" i="80"/>
  <c r="N1698" i="80"/>
  <c r="O1697" i="80"/>
  <c r="N1697" i="80"/>
  <c r="O1696" i="80"/>
  <c r="N1696" i="80"/>
  <c r="O1695" i="80"/>
  <c r="N1695" i="80"/>
  <c r="O1694" i="80"/>
  <c r="N1694" i="80"/>
  <c r="O1693" i="80"/>
  <c r="N1693" i="80"/>
  <c r="O1692" i="80"/>
  <c r="N1692" i="80"/>
  <c r="O1691" i="80"/>
  <c r="N1691" i="80"/>
  <c r="O1690" i="80"/>
  <c r="N1690" i="80"/>
  <c r="O1689" i="80"/>
  <c r="N1689" i="80"/>
  <c r="O1688" i="80"/>
  <c r="N1688" i="80"/>
  <c r="O1687" i="80"/>
  <c r="N1687" i="80"/>
  <c r="O1686" i="80"/>
  <c r="N1686" i="80"/>
  <c r="O1685" i="80"/>
  <c r="N1685" i="80"/>
  <c r="O1684" i="80"/>
  <c r="N1684" i="80"/>
  <c r="O1683" i="80"/>
  <c r="N1683" i="80"/>
  <c r="O1682" i="80"/>
  <c r="N1682" i="80"/>
  <c r="O1681" i="80"/>
  <c r="N1681" i="80"/>
  <c r="O1680" i="80"/>
  <c r="N1680" i="80"/>
  <c r="O1679" i="80"/>
  <c r="N1679" i="80"/>
  <c r="O1678" i="80"/>
  <c r="N1678" i="80"/>
  <c r="O1677" i="80"/>
  <c r="N1677" i="80"/>
  <c r="O1676" i="80"/>
  <c r="N1676" i="80"/>
  <c r="O1675" i="80"/>
  <c r="N1675" i="80"/>
  <c r="O1674" i="80"/>
  <c r="N1674" i="80"/>
  <c r="O1673" i="80"/>
  <c r="N1673" i="80"/>
  <c r="O1672" i="80"/>
  <c r="N1672" i="80"/>
  <c r="O1671" i="80"/>
  <c r="N1671" i="80"/>
  <c r="O1670" i="80"/>
  <c r="N1670" i="80"/>
  <c r="O1669" i="80"/>
  <c r="N1669" i="80"/>
  <c r="O1668" i="80"/>
  <c r="N1668" i="80"/>
  <c r="O1667" i="80"/>
  <c r="N1667" i="80"/>
  <c r="O1666" i="80"/>
  <c r="N1666" i="80"/>
  <c r="O1665" i="80"/>
  <c r="N1665" i="80"/>
  <c r="O1664" i="80"/>
  <c r="N1664" i="80"/>
  <c r="O1663" i="80"/>
  <c r="N1663" i="80"/>
  <c r="O1662" i="80"/>
  <c r="N1662" i="80"/>
  <c r="O1661" i="80"/>
  <c r="N1661" i="80"/>
  <c r="O1660" i="80"/>
  <c r="N1660" i="80"/>
  <c r="O1659" i="80"/>
  <c r="N1659" i="80"/>
  <c r="O1658" i="80"/>
  <c r="N1658" i="80"/>
  <c r="O1657" i="80"/>
  <c r="N1657" i="80"/>
  <c r="O1656" i="80"/>
  <c r="N1656" i="80"/>
  <c r="O1655" i="80"/>
  <c r="N1655" i="80"/>
  <c r="O1654" i="80"/>
  <c r="N1654" i="80"/>
  <c r="O1653" i="80"/>
  <c r="N1653" i="80"/>
  <c r="O1652" i="80"/>
  <c r="N1652" i="80"/>
  <c r="O1651" i="80"/>
  <c r="N1651" i="80"/>
  <c r="O1650" i="80"/>
  <c r="N1650" i="80"/>
  <c r="O1649" i="80"/>
  <c r="N1649" i="80"/>
  <c r="O1648" i="80"/>
  <c r="N1648" i="80"/>
  <c r="O1647" i="80"/>
  <c r="N1647" i="80"/>
  <c r="O1646" i="80"/>
  <c r="N1646" i="80"/>
  <c r="O1645" i="80"/>
  <c r="N1645" i="80"/>
  <c r="O1644" i="80"/>
  <c r="N1644" i="80"/>
  <c r="O1643" i="80"/>
  <c r="N1643" i="80"/>
  <c r="O1642" i="80"/>
  <c r="N1642" i="80"/>
  <c r="O1641" i="80"/>
  <c r="N1641" i="80"/>
  <c r="O1640" i="80"/>
  <c r="N1640" i="80"/>
  <c r="O1639" i="80"/>
  <c r="N1639" i="80"/>
  <c r="O1638" i="80"/>
  <c r="N1638" i="80"/>
  <c r="O1637" i="80"/>
  <c r="N1637" i="80"/>
  <c r="O1636" i="80"/>
  <c r="N1636" i="80"/>
  <c r="O1635" i="80"/>
  <c r="N1635" i="80"/>
  <c r="O1634" i="80"/>
  <c r="N1634" i="80"/>
  <c r="O1633" i="80"/>
  <c r="N1633" i="80"/>
  <c r="O1632" i="80"/>
  <c r="N1632" i="80"/>
  <c r="O1631" i="80"/>
  <c r="N1631" i="80"/>
  <c r="O1630" i="80"/>
  <c r="N1630" i="80"/>
  <c r="O1629" i="80"/>
  <c r="N1629" i="80"/>
  <c r="O1628" i="80"/>
  <c r="N1628" i="80"/>
  <c r="O1627" i="80"/>
  <c r="N1627" i="80"/>
  <c r="O1626" i="80"/>
  <c r="N1626" i="80"/>
  <c r="O1625" i="80"/>
  <c r="N1625" i="80"/>
  <c r="O1624" i="80"/>
  <c r="N1624" i="80"/>
  <c r="O1623" i="80"/>
  <c r="N1623" i="80"/>
  <c r="O1622" i="80"/>
  <c r="N1622" i="80"/>
  <c r="O1621" i="80"/>
  <c r="N1621" i="80"/>
  <c r="O1620" i="80"/>
  <c r="N1620" i="80"/>
  <c r="O1619" i="80"/>
  <c r="N1619" i="80"/>
  <c r="O1618" i="80"/>
  <c r="N1618" i="80"/>
  <c r="O1617" i="80"/>
  <c r="N1617" i="80"/>
  <c r="O1616" i="80"/>
  <c r="N1616" i="80"/>
  <c r="O1615" i="80"/>
  <c r="N1615" i="80"/>
  <c r="O1614" i="80"/>
  <c r="N1614" i="80"/>
  <c r="O1613" i="80"/>
  <c r="N1613" i="80"/>
  <c r="O1612" i="80"/>
  <c r="N1612" i="80"/>
  <c r="O1611" i="80"/>
  <c r="N1611" i="80"/>
  <c r="O1610" i="80"/>
  <c r="N1610" i="80"/>
  <c r="O1609" i="80"/>
  <c r="N1609" i="80"/>
  <c r="O1608" i="80"/>
  <c r="N1608" i="80"/>
  <c r="O1607" i="80"/>
  <c r="N1607" i="80"/>
  <c r="O1606" i="80"/>
  <c r="N1606" i="80"/>
  <c r="O1605" i="80"/>
  <c r="N1605" i="80"/>
  <c r="O1604" i="80"/>
  <c r="N1604" i="80"/>
  <c r="O1603" i="80"/>
  <c r="N1603" i="80"/>
  <c r="O1602" i="80"/>
  <c r="N1602" i="80"/>
  <c r="O1601" i="80"/>
  <c r="N1601" i="80"/>
  <c r="O1600" i="80"/>
  <c r="N1600" i="80"/>
  <c r="O1599" i="80"/>
  <c r="N1599" i="80"/>
  <c r="O1598" i="80"/>
  <c r="N1598" i="80"/>
  <c r="O1597" i="80"/>
  <c r="N1597" i="80"/>
  <c r="O1596" i="80"/>
  <c r="N1596" i="80"/>
  <c r="O1595" i="80"/>
  <c r="N1595" i="80"/>
  <c r="O1594" i="80"/>
  <c r="N1594" i="80"/>
  <c r="O1593" i="80"/>
  <c r="N1593" i="80"/>
  <c r="O1592" i="80"/>
  <c r="N1592" i="80"/>
  <c r="O1591" i="80"/>
  <c r="N1591" i="80"/>
  <c r="O1590" i="80"/>
  <c r="N1590" i="80"/>
  <c r="O1589" i="80"/>
  <c r="N1589" i="80"/>
  <c r="O1588" i="80"/>
  <c r="N1588" i="80"/>
  <c r="O1587" i="80"/>
  <c r="N1587" i="80"/>
  <c r="O1586" i="80"/>
  <c r="N1586" i="80"/>
  <c r="O1585" i="80"/>
  <c r="N1585" i="80"/>
  <c r="O1584" i="80"/>
  <c r="N1584" i="80"/>
  <c r="O1583" i="80"/>
  <c r="N1583" i="80"/>
  <c r="O1582" i="80"/>
  <c r="N1582" i="80"/>
  <c r="O1581" i="80"/>
  <c r="N1581" i="80"/>
  <c r="O1580" i="80"/>
  <c r="N1580" i="80"/>
  <c r="O1579" i="80"/>
  <c r="N1579" i="80"/>
  <c r="O1578" i="80"/>
  <c r="N1578" i="80"/>
  <c r="O1577" i="80"/>
  <c r="N1577" i="80"/>
  <c r="O1576" i="80"/>
  <c r="N1576" i="80"/>
  <c r="O1575" i="80"/>
  <c r="N1575" i="80"/>
  <c r="O1574" i="80"/>
  <c r="N1574" i="80"/>
  <c r="O1573" i="80"/>
  <c r="N1573" i="80"/>
  <c r="O1572" i="80"/>
  <c r="N1572" i="80"/>
  <c r="O1571" i="80"/>
  <c r="N1571" i="80"/>
  <c r="O1570" i="80"/>
  <c r="N1570" i="80"/>
  <c r="O1569" i="80"/>
  <c r="N1569" i="80"/>
  <c r="O1568" i="80"/>
  <c r="N1568" i="80"/>
  <c r="O1567" i="80"/>
  <c r="N1567" i="80"/>
  <c r="O1566" i="80"/>
  <c r="N1566" i="80"/>
  <c r="O1565" i="80"/>
  <c r="N1565" i="80"/>
  <c r="O1564" i="80"/>
  <c r="N1564" i="80"/>
  <c r="O1563" i="80"/>
  <c r="N1563" i="80"/>
  <c r="O1562" i="80"/>
  <c r="N1562" i="80"/>
  <c r="O1561" i="80"/>
  <c r="N1561" i="80"/>
  <c r="O1560" i="80"/>
  <c r="N1560" i="80"/>
  <c r="O1559" i="80"/>
  <c r="N1559" i="80"/>
  <c r="O1558" i="80"/>
  <c r="N1558" i="80"/>
  <c r="O1557" i="80"/>
  <c r="N1557" i="80"/>
  <c r="O1556" i="80"/>
  <c r="N1556" i="80"/>
  <c r="O1555" i="80"/>
  <c r="N1555" i="80"/>
  <c r="O1554" i="80"/>
  <c r="N1554" i="80"/>
  <c r="O1553" i="80"/>
  <c r="N1553" i="80"/>
  <c r="O1552" i="80"/>
  <c r="N1552" i="80"/>
  <c r="O1551" i="80"/>
  <c r="N1551" i="80"/>
  <c r="O1550" i="80"/>
  <c r="N1550" i="80"/>
  <c r="O1549" i="80"/>
  <c r="N1549" i="80"/>
  <c r="O1548" i="80"/>
  <c r="N1548" i="80"/>
  <c r="O1547" i="80"/>
  <c r="N1547" i="80"/>
  <c r="O1546" i="80"/>
  <c r="N1546" i="80"/>
  <c r="O1545" i="80"/>
  <c r="N1545" i="80"/>
  <c r="O1544" i="80"/>
  <c r="N1544" i="80"/>
  <c r="O1543" i="80"/>
  <c r="N1543" i="80"/>
  <c r="O1542" i="80"/>
  <c r="N1542" i="80"/>
  <c r="O1541" i="80"/>
  <c r="N1541" i="80"/>
  <c r="O1540" i="80"/>
  <c r="N1540" i="80"/>
  <c r="O1539" i="80"/>
  <c r="N1539" i="80"/>
  <c r="O1538" i="80"/>
  <c r="N1538" i="80"/>
  <c r="O1537" i="80"/>
  <c r="N1537" i="80"/>
  <c r="O1536" i="80"/>
  <c r="N1536" i="80"/>
  <c r="O1535" i="80"/>
  <c r="N1535" i="80"/>
  <c r="O1534" i="80"/>
  <c r="N1534" i="80"/>
  <c r="O1533" i="80"/>
  <c r="N1533" i="80"/>
  <c r="O1532" i="80"/>
  <c r="N1532" i="80"/>
  <c r="O1531" i="80"/>
  <c r="N1531" i="80"/>
  <c r="O1530" i="80"/>
  <c r="N1530" i="80"/>
  <c r="O1529" i="80"/>
  <c r="N1529" i="80"/>
  <c r="O1528" i="80"/>
  <c r="N1528" i="80"/>
  <c r="O1527" i="80"/>
  <c r="N1527" i="80"/>
  <c r="O1526" i="80"/>
  <c r="N1526" i="80"/>
  <c r="O1525" i="80"/>
  <c r="N1525" i="80"/>
  <c r="O1524" i="80"/>
  <c r="N1524" i="80"/>
  <c r="O1523" i="80"/>
  <c r="N1523" i="80"/>
  <c r="O1522" i="80"/>
  <c r="N1522" i="80"/>
  <c r="O1521" i="80"/>
  <c r="N1521" i="80"/>
  <c r="O1520" i="80"/>
  <c r="N1520" i="80"/>
  <c r="O1519" i="80"/>
  <c r="N1519" i="80"/>
  <c r="O1518" i="80"/>
  <c r="N1518" i="80"/>
  <c r="O1517" i="80"/>
  <c r="N1517" i="80"/>
  <c r="O1516" i="80"/>
  <c r="N1516" i="80"/>
  <c r="O1515" i="80"/>
  <c r="N1515" i="80"/>
  <c r="O1514" i="80"/>
  <c r="N1514" i="80"/>
  <c r="O1513" i="80"/>
  <c r="N1513" i="80"/>
  <c r="O1512" i="80"/>
  <c r="N1512" i="80"/>
  <c r="O1511" i="80"/>
  <c r="N1511" i="80"/>
  <c r="O1510" i="80"/>
  <c r="N1510" i="80"/>
  <c r="O1509" i="80"/>
  <c r="N1509" i="80"/>
  <c r="O1508" i="80"/>
  <c r="N1508" i="80"/>
  <c r="O1507" i="80"/>
  <c r="N1507" i="80"/>
  <c r="O1506" i="80"/>
  <c r="N1506" i="80"/>
  <c r="O1505" i="80"/>
  <c r="N1505" i="80"/>
  <c r="O1504" i="80"/>
  <c r="N1504" i="80"/>
  <c r="O1503" i="80"/>
  <c r="N1503" i="80"/>
  <c r="O1502" i="80"/>
  <c r="N1502" i="80"/>
  <c r="O1501" i="80"/>
  <c r="N1501" i="80"/>
  <c r="O1500" i="80"/>
  <c r="N1500" i="80"/>
  <c r="O1499" i="80"/>
  <c r="N1499" i="80"/>
  <c r="O1498" i="80"/>
  <c r="N1498" i="80"/>
  <c r="O1497" i="80"/>
  <c r="N1497" i="80"/>
  <c r="O1496" i="80"/>
  <c r="N1496" i="80"/>
  <c r="O1495" i="80"/>
  <c r="N1495" i="80"/>
  <c r="O1494" i="80"/>
  <c r="N1494" i="80"/>
  <c r="O1493" i="80"/>
  <c r="N1493" i="80"/>
  <c r="O1492" i="80"/>
  <c r="N1492" i="80"/>
  <c r="O1491" i="80"/>
  <c r="N1491" i="80"/>
  <c r="O1490" i="80"/>
  <c r="N1490" i="80"/>
  <c r="O1489" i="80"/>
  <c r="N1489" i="80"/>
  <c r="O1488" i="80"/>
  <c r="N1488" i="80"/>
  <c r="O1487" i="80"/>
  <c r="N1487" i="80"/>
  <c r="O1486" i="80"/>
  <c r="N1486" i="80"/>
  <c r="O1485" i="80"/>
  <c r="N1485" i="80"/>
  <c r="O1484" i="80"/>
  <c r="N1484" i="80"/>
  <c r="O1483" i="80"/>
  <c r="N1483" i="80"/>
  <c r="O1482" i="80"/>
  <c r="N1482" i="80"/>
  <c r="O1481" i="80"/>
  <c r="N1481" i="80"/>
  <c r="O1480" i="80"/>
  <c r="N1480" i="80"/>
  <c r="O1479" i="80"/>
  <c r="N1479" i="80"/>
  <c r="O1478" i="80"/>
  <c r="N1478" i="80"/>
  <c r="O1477" i="80"/>
  <c r="N1477" i="80"/>
  <c r="O1476" i="80"/>
  <c r="N1476" i="80"/>
  <c r="O1475" i="80"/>
  <c r="N1475" i="80"/>
  <c r="O1474" i="80"/>
  <c r="N1474" i="80"/>
  <c r="O1473" i="80"/>
  <c r="N1473" i="80"/>
  <c r="O1472" i="80"/>
  <c r="N1472" i="80"/>
  <c r="O1471" i="80"/>
  <c r="N1471" i="80"/>
  <c r="O1470" i="80"/>
  <c r="N1470" i="80"/>
  <c r="O1469" i="80"/>
  <c r="N1469" i="80"/>
  <c r="O1468" i="80"/>
  <c r="N1468" i="80"/>
  <c r="O1467" i="80"/>
  <c r="N1467" i="80"/>
  <c r="O1466" i="80"/>
  <c r="N1466" i="80"/>
  <c r="O1465" i="80"/>
  <c r="N1465" i="80"/>
  <c r="O1464" i="80"/>
  <c r="N1464" i="80"/>
  <c r="O1463" i="80"/>
  <c r="N1463" i="80"/>
  <c r="O1462" i="80"/>
  <c r="N1462" i="80"/>
  <c r="O1461" i="80"/>
  <c r="N1461" i="80"/>
  <c r="O1460" i="80"/>
  <c r="N1460" i="80"/>
  <c r="O1459" i="80"/>
  <c r="N1459" i="80"/>
  <c r="O1458" i="80"/>
  <c r="N1458" i="80"/>
  <c r="O1457" i="80"/>
  <c r="N1457" i="80"/>
  <c r="O1456" i="80"/>
  <c r="N1456" i="80"/>
  <c r="O1455" i="80"/>
  <c r="N1455" i="80"/>
  <c r="O1454" i="80"/>
  <c r="N1454" i="80"/>
  <c r="O1453" i="80"/>
  <c r="N1453" i="80"/>
  <c r="O1452" i="80"/>
  <c r="N1452" i="80"/>
  <c r="O1451" i="80"/>
  <c r="N1451" i="80"/>
  <c r="O1450" i="80"/>
  <c r="N1450" i="80"/>
  <c r="O1449" i="80"/>
  <c r="N1449" i="80"/>
  <c r="O1448" i="80"/>
  <c r="N1448" i="80"/>
  <c r="O1447" i="80"/>
  <c r="N1447" i="80"/>
  <c r="O1446" i="80"/>
  <c r="N1446" i="80"/>
  <c r="O1445" i="80"/>
  <c r="N1445" i="80"/>
  <c r="O1444" i="80"/>
  <c r="N1444" i="80"/>
  <c r="O1443" i="80"/>
  <c r="N1443" i="80"/>
  <c r="O1442" i="80"/>
  <c r="N1442" i="80"/>
  <c r="O1441" i="80"/>
  <c r="N1441" i="80"/>
  <c r="O1440" i="80"/>
  <c r="N1440" i="80"/>
  <c r="O1439" i="80"/>
  <c r="N1439" i="80"/>
  <c r="O1438" i="80"/>
  <c r="N1438" i="80"/>
  <c r="O1437" i="80"/>
  <c r="N1437" i="80"/>
  <c r="O1436" i="80"/>
  <c r="N1436" i="80"/>
  <c r="O1435" i="80"/>
  <c r="N1435" i="80"/>
  <c r="O1434" i="80"/>
  <c r="N1434" i="80"/>
  <c r="O1433" i="80"/>
  <c r="N1433" i="80"/>
  <c r="O1432" i="80"/>
  <c r="N1432" i="80"/>
  <c r="O1431" i="80"/>
  <c r="N1431" i="80"/>
  <c r="O1430" i="80"/>
  <c r="N1430" i="80"/>
  <c r="O1429" i="80"/>
  <c r="N1429" i="80"/>
  <c r="O1428" i="80"/>
  <c r="N1428" i="80"/>
  <c r="O1427" i="80"/>
  <c r="N1427" i="80"/>
  <c r="O1426" i="80"/>
  <c r="N1426" i="80"/>
  <c r="O1425" i="80"/>
  <c r="N1425" i="80"/>
  <c r="O1424" i="80"/>
  <c r="N1424" i="80"/>
  <c r="O1423" i="80"/>
  <c r="N1423" i="80"/>
  <c r="O1422" i="80"/>
  <c r="N1422" i="80"/>
  <c r="O1421" i="80"/>
  <c r="N1421" i="80"/>
  <c r="O1420" i="80"/>
  <c r="N1420" i="80"/>
  <c r="O1419" i="80"/>
  <c r="N1419" i="80"/>
  <c r="O1418" i="80"/>
  <c r="N1418" i="80"/>
  <c r="O1417" i="80"/>
  <c r="N1417" i="80"/>
  <c r="O1416" i="80"/>
  <c r="N1416" i="80"/>
  <c r="O1415" i="80"/>
  <c r="N1415" i="80"/>
  <c r="O1414" i="80"/>
  <c r="N1414" i="80"/>
  <c r="O1413" i="80"/>
  <c r="N1413" i="80"/>
  <c r="O1412" i="80"/>
  <c r="N1412" i="80"/>
  <c r="O1411" i="80"/>
  <c r="N1411" i="80"/>
  <c r="O1410" i="80"/>
  <c r="N1410" i="80"/>
  <c r="O1409" i="80"/>
  <c r="N1409" i="80"/>
  <c r="O1408" i="80"/>
  <c r="N1408" i="80"/>
  <c r="O1407" i="80"/>
  <c r="N1407" i="80"/>
  <c r="O1406" i="80"/>
  <c r="N1406" i="80"/>
  <c r="O1405" i="80"/>
  <c r="N1405" i="80"/>
  <c r="O1404" i="80"/>
  <c r="N1404" i="80"/>
  <c r="O1403" i="80"/>
  <c r="N1403" i="80"/>
  <c r="O1402" i="80"/>
  <c r="N1402" i="80"/>
  <c r="O1401" i="80"/>
  <c r="N1401" i="80"/>
  <c r="O1400" i="80"/>
  <c r="N1400" i="80"/>
  <c r="O1399" i="80"/>
  <c r="N1399" i="80"/>
  <c r="O1398" i="80"/>
  <c r="N1398" i="80"/>
  <c r="O1397" i="80"/>
  <c r="N1397" i="80"/>
  <c r="O1396" i="80"/>
  <c r="N1396" i="80"/>
  <c r="O1395" i="80"/>
  <c r="N1395" i="80"/>
  <c r="P1395" i="80" s="1"/>
  <c r="O1394" i="80"/>
  <c r="N1394" i="80"/>
  <c r="O1393" i="80"/>
  <c r="N1393" i="80"/>
  <c r="O1392" i="80"/>
  <c r="N1392" i="80"/>
  <c r="O1391" i="80"/>
  <c r="N1391" i="80"/>
  <c r="O1390" i="80"/>
  <c r="N1390" i="80"/>
  <c r="O1389" i="80"/>
  <c r="N1389" i="80"/>
  <c r="O1388" i="80"/>
  <c r="N1388" i="80"/>
  <c r="O1387" i="80"/>
  <c r="N1387" i="80"/>
  <c r="O1386" i="80"/>
  <c r="N1386" i="80"/>
  <c r="O1385" i="80"/>
  <c r="N1385" i="80"/>
  <c r="O1384" i="80"/>
  <c r="N1384" i="80"/>
  <c r="O1383" i="80"/>
  <c r="N1383" i="80"/>
  <c r="O1382" i="80"/>
  <c r="N1382" i="80"/>
  <c r="O1381" i="80"/>
  <c r="N1381" i="80"/>
  <c r="O1380" i="80"/>
  <c r="N1380" i="80"/>
  <c r="O1379" i="80"/>
  <c r="N1379" i="80"/>
  <c r="O1378" i="80"/>
  <c r="N1378" i="80"/>
  <c r="O1377" i="80"/>
  <c r="N1377" i="80"/>
  <c r="O1376" i="80"/>
  <c r="N1376" i="80"/>
  <c r="O1375" i="80"/>
  <c r="N1375" i="80"/>
  <c r="O1374" i="80"/>
  <c r="N1374" i="80"/>
  <c r="O1373" i="80"/>
  <c r="N1373" i="80"/>
  <c r="O1372" i="80"/>
  <c r="N1372" i="80"/>
  <c r="O1371" i="80"/>
  <c r="N1371" i="80"/>
  <c r="O1370" i="80"/>
  <c r="N1370" i="80"/>
  <c r="O1369" i="80"/>
  <c r="N1369" i="80"/>
  <c r="O1368" i="80"/>
  <c r="N1368" i="80"/>
  <c r="O1367" i="80"/>
  <c r="N1367" i="80"/>
  <c r="O1366" i="80"/>
  <c r="N1366" i="80"/>
  <c r="O1365" i="80"/>
  <c r="N1365" i="80"/>
  <c r="O1364" i="80"/>
  <c r="N1364" i="80"/>
  <c r="O1363" i="80"/>
  <c r="N1363" i="80"/>
  <c r="O1362" i="80"/>
  <c r="N1362" i="80"/>
  <c r="O1361" i="80"/>
  <c r="N1361" i="80"/>
  <c r="O1360" i="80"/>
  <c r="N1360" i="80"/>
  <c r="O1359" i="80"/>
  <c r="N1359" i="80"/>
  <c r="O1358" i="80"/>
  <c r="N1358" i="80"/>
  <c r="O1357" i="80"/>
  <c r="N1357" i="80"/>
  <c r="O1356" i="80"/>
  <c r="N1356" i="80"/>
  <c r="O1355" i="80"/>
  <c r="N1355" i="80"/>
  <c r="O1354" i="80"/>
  <c r="N1354" i="80"/>
  <c r="O1353" i="80"/>
  <c r="N1353" i="80"/>
  <c r="O1352" i="80"/>
  <c r="N1352" i="80"/>
  <c r="O1351" i="80"/>
  <c r="N1351" i="80"/>
  <c r="O1350" i="80"/>
  <c r="N1350" i="80"/>
  <c r="O1349" i="80"/>
  <c r="N1349" i="80"/>
  <c r="O1348" i="80"/>
  <c r="N1348" i="80"/>
  <c r="O1347" i="80"/>
  <c r="N1347" i="80"/>
  <c r="O1346" i="80"/>
  <c r="N1346" i="80"/>
  <c r="O1345" i="80"/>
  <c r="N1345" i="80"/>
  <c r="O1344" i="80"/>
  <c r="N1344" i="80"/>
  <c r="O1343" i="80"/>
  <c r="N1343" i="80"/>
  <c r="O1342" i="80"/>
  <c r="N1342" i="80"/>
  <c r="O1341" i="80"/>
  <c r="N1341" i="80"/>
  <c r="O1340" i="80"/>
  <c r="N1340" i="80"/>
  <c r="O1339" i="80"/>
  <c r="N1339" i="80"/>
  <c r="O1338" i="80"/>
  <c r="N1338" i="80"/>
  <c r="O1337" i="80"/>
  <c r="N1337" i="80"/>
  <c r="O1336" i="80"/>
  <c r="N1336" i="80"/>
  <c r="O1335" i="80"/>
  <c r="N1335" i="80"/>
  <c r="O1334" i="80"/>
  <c r="N1334" i="80"/>
  <c r="O1333" i="80"/>
  <c r="N1333" i="80"/>
  <c r="O1332" i="80"/>
  <c r="N1332" i="80"/>
  <c r="O1331" i="80"/>
  <c r="N1331" i="80"/>
  <c r="O1330" i="80"/>
  <c r="N1330" i="80"/>
  <c r="O1329" i="80"/>
  <c r="N1329" i="80"/>
  <c r="O1328" i="80"/>
  <c r="N1328" i="80"/>
  <c r="O1327" i="80"/>
  <c r="N1327" i="80"/>
  <c r="O1326" i="80"/>
  <c r="N1326" i="80"/>
  <c r="O1325" i="80"/>
  <c r="N1325" i="80"/>
  <c r="O1324" i="80"/>
  <c r="N1324" i="80"/>
  <c r="O1323" i="80"/>
  <c r="N1323" i="80"/>
  <c r="O1322" i="80"/>
  <c r="N1322" i="80"/>
  <c r="O1321" i="80"/>
  <c r="N1321" i="80"/>
  <c r="O1320" i="80"/>
  <c r="N1320" i="80"/>
  <c r="O1319" i="80"/>
  <c r="N1319" i="80"/>
  <c r="O1318" i="80"/>
  <c r="N1318" i="80"/>
  <c r="O1317" i="80"/>
  <c r="N1317" i="80"/>
  <c r="O1316" i="80"/>
  <c r="N1316" i="80"/>
  <c r="O1315" i="80"/>
  <c r="N1315" i="80"/>
  <c r="O1314" i="80"/>
  <c r="N1314" i="80"/>
  <c r="O1313" i="80"/>
  <c r="N1313" i="80"/>
  <c r="O1312" i="80"/>
  <c r="N1312" i="80"/>
  <c r="O1311" i="80"/>
  <c r="N1311" i="80"/>
  <c r="O1310" i="80"/>
  <c r="N1310" i="80"/>
  <c r="O1309" i="80"/>
  <c r="N1309" i="80"/>
  <c r="O1308" i="80"/>
  <c r="N1308" i="80"/>
  <c r="O1307" i="80"/>
  <c r="N1307" i="80"/>
  <c r="O1306" i="80"/>
  <c r="N1306" i="80"/>
  <c r="O1305" i="80"/>
  <c r="N1305" i="80"/>
  <c r="O1304" i="80"/>
  <c r="N1304" i="80"/>
  <c r="O1303" i="80"/>
  <c r="N1303" i="80"/>
  <c r="O1302" i="80"/>
  <c r="N1302" i="80"/>
  <c r="O1301" i="80"/>
  <c r="N1301" i="80"/>
  <c r="O1300" i="80"/>
  <c r="N1300" i="80"/>
  <c r="O1299" i="80"/>
  <c r="N1299" i="80"/>
  <c r="O1298" i="80"/>
  <c r="N1298" i="80"/>
  <c r="O1297" i="80"/>
  <c r="N1297" i="80"/>
  <c r="O1296" i="80"/>
  <c r="N1296" i="80"/>
  <c r="O1295" i="80"/>
  <c r="N1295" i="80"/>
  <c r="O1294" i="80"/>
  <c r="N1294" i="80"/>
  <c r="O1293" i="80"/>
  <c r="N1293" i="80"/>
  <c r="O1292" i="80"/>
  <c r="N1292" i="80"/>
  <c r="O1291" i="80"/>
  <c r="N1291" i="80"/>
  <c r="O1290" i="80"/>
  <c r="N1290" i="80"/>
  <c r="O1289" i="80"/>
  <c r="N1289" i="80"/>
  <c r="O1288" i="80"/>
  <c r="N1288" i="80"/>
  <c r="O1287" i="80"/>
  <c r="N1287" i="80"/>
  <c r="O1286" i="80"/>
  <c r="N1286" i="80"/>
  <c r="O1285" i="80"/>
  <c r="N1285" i="80"/>
  <c r="O1284" i="80"/>
  <c r="N1284" i="80"/>
  <c r="O1283" i="80"/>
  <c r="N1283" i="80"/>
  <c r="O1282" i="80"/>
  <c r="N1282" i="80"/>
  <c r="O1281" i="80"/>
  <c r="N1281" i="80"/>
  <c r="O1280" i="80"/>
  <c r="N1280" i="80"/>
  <c r="O1279" i="80"/>
  <c r="N1279" i="80"/>
  <c r="O1278" i="80"/>
  <c r="N1278" i="80"/>
  <c r="O1277" i="80"/>
  <c r="N1277" i="80"/>
  <c r="O1276" i="80"/>
  <c r="N1276" i="80"/>
  <c r="O1275" i="80"/>
  <c r="N1275" i="80"/>
  <c r="O1274" i="80"/>
  <c r="N1274" i="80"/>
  <c r="O1273" i="80"/>
  <c r="N1273" i="80"/>
  <c r="O1272" i="80"/>
  <c r="N1272" i="80"/>
  <c r="O1271" i="80"/>
  <c r="N1271" i="80"/>
  <c r="O1270" i="80"/>
  <c r="N1270" i="80"/>
  <c r="O1269" i="80"/>
  <c r="N1269" i="80"/>
  <c r="O1268" i="80"/>
  <c r="N1268" i="80"/>
  <c r="O1267" i="80"/>
  <c r="N1267" i="80"/>
  <c r="O1266" i="80"/>
  <c r="N1266" i="80"/>
  <c r="O1265" i="80"/>
  <c r="N1265" i="80"/>
  <c r="O1264" i="80"/>
  <c r="N1264" i="80"/>
  <c r="O1263" i="80"/>
  <c r="N1263" i="80"/>
  <c r="O1262" i="80"/>
  <c r="N1262" i="80"/>
  <c r="O1261" i="80"/>
  <c r="N1261" i="80"/>
  <c r="O1260" i="80"/>
  <c r="N1260" i="80"/>
  <c r="O1259" i="80"/>
  <c r="N1259" i="80"/>
  <c r="O1258" i="80"/>
  <c r="N1258" i="80"/>
  <c r="O1257" i="80"/>
  <c r="N1257" i="80"/>
  <c r="O1256" i="80"/>
  <c r="N1256" i="80"/>
  <c r="O1255" i="80"/>
  <c r="N1255" i="80"/>
  <c r="O1254" i="80"/>
  <c r="N1254" i="80"/>
  <c r="O1253" i="80"/>
  <c r="N1253" i="80"/>
  <c r="O1252" i="80"/>
  <c r="N1252" i="80"/>
  <c r="O1251" i="80"/>
  <c r="N1251" i="80"/>
  <c r="O1250" i="80"/>
  <c r="N1250" i="80"/>
  <c r="O1249" i="80"/>
  <c r="N1249" i="80"/>
  <c r="O1248" i="80"/>
  <c r="N1248" i="80"/>
  <c r="O1247" i="80"/>
  <c r="N1247" i="80"/>
  <c r="O1246" i="80"/>
  <c r="N1246" i="80"/>
  <c r="O1245" i="80"/>
  <c r="N1245" i="80"/>
  <c r="O1244" i="80"/>
  <c r="N1244" i="80"/>
  <c r="O1243" i="80"/>
  <c r="N1243" i="80"/>
  <c r="O1242" i="80"/>
  <c r="N1242" i="80"/>
  <c r="O1241" i="80"/>
  <c r="N1241" i="80"/>
  <c r="O1240" i="80"/>
  <c r="N1240" i="80"/>
  <c r="O1239" i="80"/>
  <c r="N1239" i="80"/>
  <c r="O1238" i="80"/>
  <c r="N1238" i="80"/>
  <c r="O1237" i="80"/>
  <c r="N1237" i="80"/>
  <c r="O1236" i="80"/>
  <c r="N1236" i="80"/>
  <c r="O1235" i="80"/>
  <c r="N1235" i="80"/>
  <c r="O1234" i="80"/>
  <c r="N1234" i="80"/>
  <c r="O1233" i="80"/>
  <c r="N1233" i="80"/>
  <c r="O1232" i="80"/>
  <c r="N1232" i="80"/>
  <c r="O1231" i="80"/>
  <c r="N1231" i="80"/>
  <c r="O1230" i="80"/>
  <c r="N1230" i="80"/>
  <c r="O1229" i="80"/>
  <c r="N1229" i="80"/>
  <c r="O1228" i="80"/>
  <c r="N1228" i="80"/>
  <c r="O1227" i="80"/>
  <c r="N1227" i="80"/>
  <c r="O1226" i="80"/>
  <c r="N1226" i="80"/>
  <c r="O1225" i="80"/>
  <c r="N1225" i="80"/>
  <c r="O1224" i="80"/>
  <c r="N1224" i="80"/>
  <c r="O1223" i="80"/>
  <c r="N1223" i="80"/>
  <c r="O1222" i="80"/>
  <c r="N1222" i="80"/>
  <c r="O1221" i="80"/>
  <c r="N1221" i="80"/>
  <c r="O1220" i="80"/>
  <c r="N1220" i="80"/>
  <c r="O1219" i="80"/>
  <c r="N1219" i="80"/>
  <c r="P1219" i="80" s="1"/>
  <c r="O1218" i="80"/>
  <c r="N1218" i="80"/>
  <c r="O1217" i="80"/>
  <c r="N1217" i="80"/>
  <c r="O1216" i="80"/>
  <c r="N1216" i="80"/>
  <c r="O1215" i="80"/>
  <c r="N1215" i="80"/>
  <c r="O1214" i="80"/>
  <c r="N1214" i="80"/>
  <c r="O1213" i="80"/>
  <c r="N1213" i="80"/>
  <c r="P1213" i="80" s="1"/>
  <c r="O1212" i="80"/>
  <c r="N1212" i="80"/>
  <c r="O1211" i="80"/>
  <c r="N1211" i="80"/>
  <c r="O1210" i="80"/>
  <c r="N1210" i="80"/>
  <c r="O1209" i="80"/>
  <c r="N1209" i="80"/>
  <c r="O1208" i="80"/>
  <c r="N1208" i="80"/>
  <c r="O1207" i="80"/>
  <c r="N1207" i="80"/>
  <c r="O1206" i="80"/>
  <c r="N1206" i="80"/>
  <c r="O1205" i="80"/>
  <c r="N1205" i="80"/>
  <c r="O1204" i="80"/>
  <c r="N1204" i="80"/>
  <c r="O1203" i="80"/>
  <c r="N1203" i="80"/>
  <c r="O1202" i="80"/>
  <c r="N1202" i="80"/>
  <c r="O1201" i="80"/>
  <c r="N1201" i="80"/>
  <c r="O1200" i="80"/>
  <c r="N1200" i="80"/>
  <c r="O1199" i="80"/>
  <c r="N1199" i="80"/>
  <c r="O1198" i="80"/>
  <c r="N1198" i="80"/>
  <c r="O1197" i="80"/>
  <c r="N1197" i="80"/>
  <c r="O1196" i="80"/>
  <c r="N1196" i="80"/>
  <c r="O1195" i="80"/>
  <c r="N1195" i="80"/>
  <c r="P1195" i="80" s="1"/>
  <c r="O1194" i="80"/>
  <c r="N1194" i="80"/>
  <c r="O1193" i="80"/>
  <c r="N1193" i="80"/>
  <c r="O1192" i="80"/>
  <c r="N1192" i="80"/>
  <c r="O1191" i="80"/>
  <c r="N1191" i="80"/>
  <c r="O1190" i="80"/>
  <c r="N1190" i="80"/>
  <c r="O1189" i="80"/>
  <c r="N1189" i="80"/>
  <c r="O1188" i="80"/>
  <c r="N1188" i="80"/>
  <c r="O1187" i="80"/>
  <c r="N1187" i="80"/>
  <c r="O1186" i="80"/>
  <c r="N1186" i="80"/>
  <c r="O1185" i="80"/>
  <c r="N1185" i="80"/>
  <c r="O1184" i="80"/>
  <c r="N1184" i="80"/>
  <c r="O1183" i="80"/>
  <c r="N1183" i="80"/>
  <c r="O1182" i="80"/>
  <c r="N1182" i="80"/>
  <c r="O1181" i="80"/>
  <c r="N1181" i="80"/>
  <c r="P1181" i="80" s="1"/>
  <c r="O1180" i="80"/>
  <c r="N1180" i="80"/>
  <c r="O1179" i="80"/>
  <c r="N1179" i="80"/>
  <c r="O1178" i="80"/>
  <c r="N1178" i="80"/>
  <c r="O1177" i="80"/>
  <c r="N1177" i="80"/>
  <c r="O1176" i="80"/>
  <c r="N1176" i="80"/>
  <c r="O1175" i="80"/>
  <c r="N1175" i="80"/>
  <c r="O1174" i="80"/>
  <c r="N1174" i="80"/>
  <c r="O1173" i="80"/>
  <c r="N1173" i="80"/>
  <c r="O1172" i="80"/>
  <c r="N1172" i="80"/>
  <c r="O1171" i="80"/>
  <c r="N1171" i="80"/>
  <c r="O1170" i="80"/>
  <c r="N1170" i="80"/>
  <c r="O1169" i="80"/>
  <c r="N1169" i="80"/>
  <c r="O1168" i="80"/>
  <c r="N1168" i="80"/>
  <c r="O1167" i="80"/>
  <c r="N1167" i="80"/>
  <c r="O1166" i="80"/>
  <c r="N1166" i="80"/>
  <c r="O1165" i="80"/>
  <c r="N1165" i="80"/>
  <c r="O1164" i="80"/>
  <c r="N1164" i="80"/>
  <c r="O1163" i="80"/>
  <c r="N1163" i="80"/>
  <c r="O1162" i="80"/>
  <c r="N1162" i="80"/>
  <c r="O1161" i="80"/>
  <c r="N1161" i="80"/>
  <c r="O1160" i="80"/>
  <c r="N1160" i="80"/>
  <c r="O1159" i="80"/>
  <c r="N1159" i="80"/>
  <c r="O1158" i="80"/>
  <c r="N1158" i="80"/>
  <c r="O1157" i="80"/>
  <c r="N1157" i="80"/>
  <c r="O1156" i="80"/>
  <c r="N1156" i="80"/>
  <c r="O1155" i="80"/>
  <c r="N1155" i="80"/>
  <c r="O1154" i="80"/>
  <c r="N1154" i="80"/>
  <c r="O1153" i="80"/>
  <c r="N1153" i="80"/>
  <c r="O1152" i="80"/>
  <c r="N1152" i="80"/>
  <c r="O1151" i="80"/>
  <c r="N1151" i="80"/>
  <c r="O1150" i="80"/>
  <c r="N1150" i="80"/>
  <c r="O1149" i="80"/>
  <c r="N1149" i="80"/>
  <c r="O1148" i="80"/>
  <c r="N1148" i="80"/>
  <c r="O1147" i="80"/>
  <c r="N1147" i="80"/>
  <c r="O1146" i="80"/>
  <c r="N1146" i="80"/>
  <c r="O1145" i="80"/>
  <c r="N1145" i="80"/>
  <c r="O1144" i="80"/>
  <c r="N1144" i="80"/>
  <c r="O1143" i="80"/>
  <c r="N1143" i="80"/>
  <c r="O1142" i="80"/>
  <c r="N1142" i="80"/>
  <c r="O1141" i="80"/>
  <c r="N1141" i="80"/>
  <c r="O1140" i="80"/>
  <c r="N1140" i="80"/>
  <c r="O1139" i="80"/>
  <c r="N1139" i="80"/>
  <c r="O1138" i="80"/>
  <c r="N1138" i="80"/>
  <c r="O1137" i="80"/>
  <c r="N1137" i="80"/>
  <c r="O1136" i="80"/>
  <c r="N1136" i="80"/>
  <c r="O1135" i="80"/>
  <c r="N1135" i="80"/>
  <c r="O1134" i="80"/>
  <c r="N1134" i="80"/>
  <c r="O1133" i="80"/>
  <c r="N1133" i="80"/>
  <c r="O1132" i="80"/>
  <c r="N1132" i="80"/>
  <c r="O1131" i="80"/>
  <c r="N1131" i="80"/>
  <c r="O1130" i="80"/>
  <c r="N1130" i="80"/>
  <c r="O1129" i="80"/>
  <c r="N1129" i="80"/>
  <c r="P1129" i="80" s="1"/>
  <c r="O1128" i="80"/>
  <c r="N1128" i="80"/>
  <c r="O1127" i="80"/>
  <c r="N1127" i="80"/>
  <c r="O1126" i="80"/>
  <c r="N1126" i="80"/>
  <c r="O1125" i="80"/>
  <c r="N1125" i="80"/>
  <c r="O1124" i="80"/>
  <c r="N1124" i="80"/>
  <c r="O1123" i="80"/>
  <c r="N1123" i="80"/>
  <c r="O1122" i="80"/>
  <c r="N1122" i="80"/>
  <c r="O1121" i="80"/>
  <c r="N1121" i="80"/>
  <c r="O1120" i="80"/>
  <c r="N1120" i="80"/>
  <c r="O1119" i="80"/>
  <c r="N1119" i="80"/>
  <c r="O1118" i="80"/>
  <c r="N1118" i="80"/>
  <c r="O1117" i="80"/>
  <c r="N1117" i="80"/>
  <c r="O1116" i="80"/>
  <c r="N1116" i="80"/>
  <c r="O1115" i="80"/>
  <c r="N1115" i="80"/>
  <c r="O1114" i="80"/>
  <c r="N1114" i="80"/>
  <c r="O1113" i="80"/>
  <c r="N1113" i="80"/>
  <c r="O1112" i="80"/>
  <c r="N1112" i="80"/>
  <c r="O1111" i="80"/>
  <c r="N1111" i="80"/>
  <c r="P1111" i="80" s="1"/>
  <c r="O1110" i="80"/>
  <c r="N1110" i="80"/>
  <c r="O1109" i="80"/>
  <c r="N1109" i="80"/>
  <c r="O1108" i="80"/>
  <c r="N1108" i="80"/>
  <c r="O1107" i="80"/>
  <c r="N1107" i="80"/>
  <c r="O1106" i="80"/>
  <c r="N1106" i="80"/>
  <c r="O1105" i="80"/>
  <c r="N1105" i="80"/>
  <c r="P1105" i="80" s="1"/>
  <c r="O1104" i="80"/>
  <c r="N1104" i="80"/>
  <c r="O1103" i="80"/>
  <c r="N1103" i="80"/>
  <c r="O1102" i="80"/>
  <c r="N1102" i="80"/>
  <c r="O1101" i="80"/>
  <c r="N1101" i="80"/>
  <c r="O1100" i="80"/>
  <c r="N1100" i="80"/>
  <c r="O1099" i="80"/>
  <c r="N1099" i="80"/>
  <c r="O1098" i="80"/>
  <c r="N1098" i="80"/>
  <c r="O1097" i="80"/>
  <c r="N1097" i="80"/>
  <c r="O1096" i="80"/>
  <c r="N1096" i="80"/>
  <c r="O1095" i="80"/>
  <c r="N1095" i="80"/>
  <c r="O1094" i="80"/>
  <c r="N1094" i="80"/>
  <c r="O1093" i="80"/>
  <c r="N1093" i="80"/>
  <c r="O1092" i="80"/>
  <c r="N1092" i="80"/>
  <c r="O1091" i="80"/>
  <c r="N1091" i="80"/>
  <c r="O1090" i="80"/>
  <c r="N1090" i="80"/>
  <c r="O1089" i="80"/>
  <c r="N1089" i="80"/>
  <c r="O1088" i="80"/>
  <c r="N1088" i="80"/>
  <c r="O1087" i="80"/>
  <c r="N1087" i="80"/>
  <c r="O1086" i="80"/>
  <c r="N1086" i="80"/>
  <c r="O1085" i="80"/>
  <c r="N1085" i="80"/>
  <c r="O1084" i="80"/>
  <c r="N1084" i="80"/>
  <c r="O1083" i="80"/>
  <c r="N1083" i="80"/>
  <c r="O1082" i="80"/>
  <c r="N1082" i="80"/>
  <c r="O1081" i="80"/>
  <c r="N1081" i="80"/>
  <c r="O1080" i="80"/>
  <c r="N1080" i="80"/>
  <c r="O1079" i="80"/>
  <c r="N1079" i="80"/>
  <c r="O1078" i="80"/>
  <c r="N1078" i="80"/>
  <c r="O1077" i="80"/>
  <c r="N1077" i="80"/>
  <c r="O1076" i="80"/>
  <c r="N1076" i="80"/>
  <c r="O1075" i="80"/>
  <c r="N1075" i="80"/>
  <c r="O1074" i="80"/>
  <c r="N1074" i="80"/>
  <c r="O1073" i="80"/>
  <c r="N1073" i="80"/>
  <c r="O1072" i="80"/>
  <c r="N1072" i="80"/>
  <c r="O1071" i="80"/>
  <c r="N1071" i="80"/>
  <c r="O1070" i="80"/>
  <c r="N1070" i="80"/>
  <c r="O1069" i="80"/>
  <c r="N1069" i="80"/>
  <c r="O1068" i="80"/>
  <c r="N1068" i="80"/>
  <c r="O1067" i="80"/>
  <c r="N1067" i="80"/>
  <c r="O1066" i="80"/>
  <c r="N1066" i="80"/>
  <c r="O1065" i="80"/>
  <c r="N1065" i="80"/>
  <c r="O1064" i="80"/>
  <c r="N1064" i="80"/>
  <c r="O1063" i="80"/>
  <c r="N1063" i="80"/>
  <c r="O1062" i="80"/>
  <c r="N1062" i="80"/>
  <c r="O1061" i="80"/>
  <c r="N1061" i="80"/>
  <c r="O1060" i="80"/>
  <c r="N1060" i="80"/>
  <c r="O1059" i="80"/>
  <c r="N1059" i="80"/>
  <c r="O1058" i="80"/>
  <c r="N1058" i="80"/>
  <c r="O1057" i="80"/>
  <c r="N1057" i="80"/>
  <c r="O1056" i="80"/>
  <c r="N1056" i="80"/>
  <c r="O1055" i="80"/>
  <c r="N1055" i="80"/>
  <c r="O1054" i="80"/>
  <c r="N1054" i="80"/>
  <c r="O1053" i="80"/>
  <c r="N1053" i="80"/>
  <c r="O1052" i="80"/>
  <c r="N1052" i="80"/>
  <c r="O1051" i="80"/>
  <c r="N1051" i="80"/>
  <c r="O1050" i="80"/>
  <c r="N1050" i="80"/>
  <c r="O1049" i="80"/>
  <c r="N1049" i="80"/>
  <c r="O1048" i="80"/>
  <c r="N1048" i="80"/>
  <c r="O1047" i="80"/>
  <c r="N1047" i="80"/>
  <c r="O1046" i="80"/>
  <c r="N1046" i="80"/>
  <c r="O1045" i="80"/>
  <c r="N1045" i="80"/>
  <c r="O1044" i="80"/>
  <c r="N1044" i="80"/>
  <c r="O1043" i="80"/>
  <c r="N1043" i="80"/>
  <c r="O1042" i="80"/>
  <c r="N1042" i="80"/>
  <c r="O1041" i="80"/>
  <c r="N1041" i="80"/>
  <c r="O1040" i="80"/>
  <c r="N1040" i="80"/>
  <c r="O1039" i="80"/>
  <c r="N1039" i="80"/>
  <c r="O1038" i="80"/>
  <c r="N1038" i="80"/>
  <c r="O1037" i="80"/>
  <c r="N1037" i="80"/>
  <c r="O1036" i="80"/>
  <c r="N1036" i="80"/>
  <c r="O1035" i="80"/>
  <c r="N1035" i="80"/>
  <c r="O1034" i="80"/>
  <c r="N1034" i="80"/>
  <c r="O1033" i="80"/>
  <c r="N1033" i="80"/>
  <c r="O1032" i="80"/>
  <c r="N1032" i="80"/>
  <c r="O1031" i="80"/>
  <c r="N1031" i="80"/>
  <c r="O1030" i="80"/>
  <c r="N1030" i="80"/>
  <c r="O1029" i="80"/>
  <c r="N1029" i="80"/>
  <c r="O1028" i="80"/>
  <c r="N1028" i="80"/>
  <c r="O1027" i="80"/>
  <c r="N1027" i="80"/>
  <c r="O1026" i="80"/>
  <c r="N1026" i="80"/>
  <c r="O1025" i="80"/>
  <c r="N1025" i="80"/>
  <c r="O1024" i="80"/>
  <c r="N1024" i="80"/>
  <c r="O1023" i="80"/>
  <c r="N1023" i="80"/>
  <c r="O1022" i="80"/>
  <c r="N1022" i="80"/>
  <c r="O1021" i="80"/>
  <c r="N1021" i="80"/>
  <c r="O1020" i="80"/>
  <c r="N1020" i="80"/>
  <c r="O1019" i="80"/>
  <c r="N1019" i="80"/>
  <c r="O1018" i="80"/>
  <c r="N1018" i="80"/>
  <c r="O1017" i="80"/>
  <c r="N1017" i="80"/>
  <c r="O1016" i="80"/>
  <c r="N1016" i="80"/>
  <c r="O1015" i="80"/>
  <c r="N1015" i="80"/>
  <c r="O1014" i="80"/>
  <c r="N1014" i="80"/>
  <c r="O1013" i="80"/>
  <c r="N1013" i="80"/>
  <c r="O1012" i="80"/>
  <c r="N1012" i="80"/>
  <c r="O1011" i="80"/>
  <c r="N1011" i="80"/>
  <c r="O1010" i="80"/>
  <c r="N1010" i="80"/>
  <c r="O1009" i="80"/>
  <c r="N1009" i="80"/>
  <c r="O1008" i="80"/>
  <c r="N1008" i="80"/>
  <c r="O1007" i="80"/>
  <c r="N1007" i="80"/>
  <c r="O1006" i="80"/>
  <c r="N1006" i="80"/>
  <c r="O1005" i="80"/>
  <c r="N1005" i="80"/>
  <c r="O1004" i="80"/>
  <c r="N1004" i="80"/>
  <c r="O1003" i="80"/>
  <c r="N1003" i="80"/>
  <c r="O1002" i="80"/>
  <c r="N1002" i="80"/>
  <c r="O1001" i="80"/>
  <c r="N1001" i="80"/>
  <c r="O1000" i="80"/>
  <c r="N1000" i="80"/>
  <c r="O999" i="80"/>
  <c r="N999" i="80"/>
  <c r="O998" i="80"/>
  <c r="N998" i="80"/>
  <c r="O997" i="80"/>
  <c r="N997" i="80"/>
  <c r="O996" i="80"/>
  <c r="N996" i="80"/>
  <c r="O995" i="80"/>
  <c r="N995" i="80"/>
  <c r="O994" i="80"/>
  <c r="N994" i="80"/>
  <c r="O993" i="80"/>
  <c r="N993" i="80"/>
  <c r="O992" i="80"/>
  <c r="N992" i="80"/>
  <c r="O991" i="80"/>
  <c r="N991" i="80"/>
  <c r="O990" i="80"/>
  <c r="N990" i="80"/>
  <c r="O989" i="80"/>
  <c r="N989" i="80"/>
  <c r="O988" i="80"/>
  <c r="N988" i="80"/>
  <c r="O987" i="80"/>
  <c r="N987" i="80"/>
  <c r="O986" i="80"/>
  <c r="N986" i="80"/>
  <c r="O985" i="80"/>
  <c r="N985" i="80"/>
  <c r="O984" i="80"/>
  <c r="N984" i="80"/>
  <c r="O983" i="80"/>
  <c r="N983" i="80"/>
  <c r="O982" i="80"/>
  <c r="N982" i="80"/>
  <c r="O981" i="80"/>
  <c r="N981" i="80"/>
  <c r="O980" i="80"/>
  <c r="N980" i="80"/>
  <c r="O979" i="80"/>
  <c r="N979" i="80"/>
  <c r="O978" i="80"/>
  <c r="N978" i="80"/>
  <c r="O977" i="80"/>
  <c r="N977" i="80"/>
  <c r="O976" i="80"/>
  <c r="N976" i="80"/>
  <c r="O975" i="80"/>
  <c r="N975" i="80"/>
  <c r="O974" i="80"/>
  <c r="N974" i="80"/>
  <c r="O973" i="80"/>
  <c r="N973" i="80"/>
  <c r="O972" i="80"/>
  <c r="N972" i="80"/>
  <c r="O971" i="80"/>
  <c r="N971" i="80"/>
  <c r="O970" i="80"/>
  <c r="N970" i="80"/>
  <c r="O969" i="80"/>
  <c r="N969" i="80"/>
  <c r="O968" i="80"/>
  <c r="N968" i="80"/>
  <c r="O967" i="80"/>
  <c r="N967" i="80"/>
  <c r="O966" i="80"/>
  <c r="N966" i="80"/>
  <c r="O965" i="80"/>
  <c r="N965" i="80"/>
  <c r="O964" i="80"/>
  <c r="N964" i="80"/>
  <c r="O963" i="80"/>
  <c r="N963" i="80"/>
  <c r="O962" i="80"/>
  <c r="N962" i="80"/>
  <c r="O961" i="80"/>
  <c r="N961" i="80"/>
  <c r="O960" i="80"/>
  <c r="N960" i="80"/>
  <c r="O959" i="80"/>
  <c r="N959" i="80"/>
  <c r="O958" i="80"/>
  <c r="N958" i="80"/>
  <c r="O957" i="80"/>
  <c r="N957" i="80"/>
  <c r="O956" i="80"/>
  <c r="N956" i="80"/>
  <c r="O955" i="80"/>
  <c r="N955" i="80"/>
  <c r="O954" i="80"/>
  <c r="N954" i="80"/>
  <c r="O953" i="80"/>
  <c r="N953" i="80"/>
  <c r="O952" i="80"/>
  <c r="N952" i="80"/>
  <c r="O951" i="80"/>
  <c r="N951" i="80"/>
  <c r="O950" i="80"/>
  <c r="N950" i="80"/>
  <c r="O949" i="80"/>
  <c r="N949" i="80"/>
  <c r="O948" i="80"/>
  <c r="N948" i="80"/>
  <c r="O947" i="80"/>
  <c r="N947" i="80"/>
  <c r="O946" i="80"/>
  <c r="N946" i="80"/>
  <c r="O945" i="80"/>
  <c r="N945" i="80"/>
  <c r="O944" i="80"/>
  <c r="N944" i="80"/>
  <c r="O943" i="80"/>
  <c r="N943" i="80"/>
  <c r="O942" i="80"/>
  <c r="N942" i="80"/>
  <c r="O941" i="80"/>
  <c r="N941" i="80"/>
  <c r="O940" i="80"/>
  <c r="N940" i="80"/>
  <c r="O939" i="80"/>
  <c r="N939" i="80"/>
  <c r="O938" i="80"/>
  <c r="N938" i="80"/>
  <c r="O937" i="80"/>
  <c r="N937" i="80"/>
  <c r="O936" i="80"/>
  <c r="N936" i="80"/>
  <c r="O935" i="80"/>
  <c r="N935" i="80"/>
  <c r="O934" i="80"/>
  <c r="N934" i="80"/>
  <c r="O933" i="80"/>
  <c r="N933" i="80"/>
  <c r="O932" i="80"/>
  <c r="N932" i="80"/>
  <c r="O931" i="80"/>
  <c r="N931" i="80"/>
  <c r="O930" i="80"/>
  <c r="N930" i="80"/>
  <c r="O929" i="80"/>
  <c r="N929" i="80"/>
  <c r="O928" i="80"/>
  <c r="N928" i="80"/>
  <c r="O927" i="80"/>
  <c r="N927" i="80"/>
  <c r="O926" i="80"/>
  <c r="N926" i="80"/>
  <c r="O925" i="80"/>
  <c r="N925" i="80"/>
  <c r="O924" i="80"/>
  <c r="N924" i="80"/>
  <c r="O923" i="80"/>
  <c r="N923" i="80"/>
  <c r="O922" i="80"/>
  <c r="N922" i="80"/>
  <c r="O921" i="80"/>
  <c r="N921" i="80"/>
  <c r="O920" i="80"/>
  <c r="N920" i="80"/>
  <c r="O919" i="80"/>
  <c r="N919" i="80"/>
  <c r="O918" i="80"/>
  <c r="N918" i="80"/>
  <c r="O917" i="80"/>
  <c r="N917" i="80"/>
  <c r="O916" i="80"/>
  <c r="N916" i="80"/>
  <c r="O915" i="80"/>
  <c r="N915" i="80"/>
  <c r="O914" i="80"/>
  <c r="N914" i="80"/>
  <c r="O913" i="80"/>
  <c r="N913" i="80"/>
  <c r="O912" i="80"/>
  <c r="N912" i="80"/>
  <c r="O911" i="80"/>
  <c r="N911" i="80"/>
  <c r="O910" i="80"/>
  <c r="N910" i="80"/>
  <c r="O909" i="80"/>
  <c r="N909" i="80"/>
  <c r="O908" i="80"/>
  <c r="N908" i="80"/>
  <c r="O907" i="80"/>
  <c r="N907" i="80"/>
  <c r="O906" i="80"/>
  <c r="N906" i="80"/>
  <c r="O905" i="80"/>
  <c r="N905" i="80"/>
  <c r="O904" i="80"/>
  <c r="N904" i="80"/>
  <c r="O903" i="80"/>
  <c r="N903" i="80"/>
  <c r="O902" i="80"/>
  <c r="N902" i="80"/>
  <c r="O901" i="80"/>
  <c r="N901" i="80"/>
  <c r="O900" i="80"/>
  <c r="N900" i="80"/>
  <c r="O899" i="80"/>
  <c r="N899" i="80"/>
  <c r="O898" i="80"/>
  <c r="N898" i="80"/>
  <c r="O897" i="80"/>
  <c r="N897" i="80"/>
  <c r="O896" i="80"/>
  <c r="N896" i="80"/>
  <c r="O895" i="80"/>
  <c r="N895" i="80"/>
  <c r="O894" i="80"/>
  <c r="N894" i="80"/>
  <c r="O893" i="80"/>
  <c r="N893" i="80"/>
  <c r="O892" i="80"/>
  <c r="N892" i="80"/>
  <c r="O891" i="80"/>
  <c r="N891" i="80"/>
  <c r="O890" i="80"/>
  <c r="N890" i="80"/>
  <c r="O889" i="80"/>
  <c r="N889" i="80"/>
  <c r="O888" i="80"/>
  <c r="N888" i="80"/>
  <c r="O887" i="80"/>
  <c r="N887" i="80"/>
  <c r="O886" i="80"/>
  <c r="N886" i="80"/>
  <c r="O885" i="80"/>
  <c r="N885" i="80"/>
  <c r="O884" i="80"/>
  <c r="N884" i="80"/>
  <c r="O883" i="80"/>
  <c r="N883" i="80"/>
  <c r="O882" i="80"/>
  <c r="N882" i="80"/>
  <c r="O881" i="80"/>
  <c r="N881" i="80"/>
  <c r="O880" i="80"/>
  <c r="N880" i="80"/>
  <c r="O879" i="80"/>
  <c r="N879" i="80"/>
  <c r="O878" i="80"/>
  <c r="N878" i="80"/>
  <c r="O877" i="80"/>
  <c r="N877" i="80"/>
  <c r="O876" i="80"/>
  <c r="N876" i="80"/>
  <c r="O875" i="80"/>
  <c r="N875" i="80"/>
  <c r="O874" i="80"/>
  <c r="N874" i="80"/>
  <c r="O873" i="80"/>
  <c r="N873" i="80"/>
  <c r="O872" i="80"/>
  <c r="N872" i="80"/>
  <c r="O871" i="80"/>
  <c r="N871" i="80"/>
  <c r="O870" i="80"/>
  <c r="N870" i="80"/>
  <c r="O869" i="80"/>
  <c r="N869" i="80"/>
  <c r="O868" i="80"/>
  <c r="N868" i="80"/>
  <c r="O867" i="80"/>
  <c r="N867" i="80"/>
  <c r="O866" i="80"/>
  <c r="N866" i="80"/>
  <c r="O865" i="80"/>
  <c r="N865" i="80"/>
  <c r="O864" i="80"/>
  <c r="N864" i="80"/>
  <c r="O863" i="80"/>
  <c r="N863" i="80"/>
  <c r="O862" i="80"/>
  <c r="N862" i="80"/>
  <c r="O861" i="80"/>
  <c r="N861" i="80"/>
  <c r="O860" i="80"/>
  <c r="N860" i="80"/>
  <c r="O859" i="80"/>
  <c r="N859" i="80"/>
  <c r="O858" i="80"/>
  <c r="N858" i="80"/>
  <c r="O857" i="80"/>
  <c r="N857" i="80"/>
  <c r="O856" i="80"/>
  <c r="N856" i="80"/>
  <c r="O855" i="80"/>
  <c r="N855" i="80"/>
  <c r="O854" i="80"/>
  <c r="N854" i="80"/>
  <c r="O853" i="80"/>
  <c r="N853" i="80"/>
  <c r="O852" i="80"/>
  <c r="N852" i="80"/>
  <c r="O851" i="80"/>
  <c r="N851" i="80"/>
  <c r="O850" i="80"/>
  <c r="N850" i="80"/>
  <c r="O849" i="80"/>
  <c r="N849" i="80"/>
  <c r="O848" i="80"/>
  <c r="N848" i="80"/>
  <c r="O847" i="80"/>
  <c r="N847" i="80"/>
  <c r="O846" i="80"/>
  <c r="N846" i="80"/>
  <c r="O845" i="80"/>
  <c r="N845" i="80"/>
  <c r="O844" i="80"/>
  <c r="N844" i="80"/>
  <c r="O843" i="80"/>
  <c r="N843" i="80"/>
  <c r="O842" i="80"/>
  <c r="N842" i="80"/>
  <c r="O841" i="80"/>
  <c r="N841" i="80"/>
  <c r="O840" i="80"/>
  <c r="N840" i="80"/>
  <c r="O839" i="80"/>
  <c r="N839" i="80"/>
  <c r="O838" i="80"/>
  <c r="N838" i="80"/>
  <c r="O837" i="80"/>
  <c r="N837" i="80"/>
  <c r="O836" i="80"/>
  <c r="N836" i="80"/>
  <c r="O835" i="80"/>
  <c r="N835" i="80"/>
  <c r="O834" i="80"/>
  <c r="N834" i="80"/>
  <c r="O833" i="80"/>
  <c r="N833" i="80"/>
  <c r="O832" i="80"/>
  <c r="N832" i="80"/>
  <c r="O831" i="80"/>
  <c r="N831" i="80"/>
  <c r="O830" i="80"/>
  <c r="N830" i="80"/>
  <c r="O829" i="80"/>
  <c r="N829" i="80"/>
  <c r="O828" i="80"/>
  <c r="N828" i="80"/>
  <c r="O827" i="80"/>
  <c r="N827" i="80"/>
  <c r="O826" i="80"/>
  <c r="N826" i="80"/>
  <c r="O825" i="80"/>
  <c r="N825" i="80"/>
  <c r="O824" i="80"/>
  <c r="N824" i="80"/>
  <c r="O823" i="80"/>
  <c r="N823" i="80"/>
  <c r="O822" i="80"/>
  <c r="N822" i="80"/>
  <c r="O821" i="80"/>
  <c r="N821" i="80"/>
  <c r="O820" i="80"/>
  <c r="N820" i="80"/>
  <c r="O819" i="80"/>
  <c r="N819" i="80"/>
  <c r="O818" i="80"/>
  <c r="N818" i="80"/>
  <c r="O817" i="80"/>
  <c r="N817" i="80"/>
  <c r="O816" i="80"/>
  <c r="N816" i="80"/>
  <c r="O815" i="80"/>
  <c r="N815" i="80"/>
  <c r="O814" i="80"/>
  <c r="N814" i="80"/>
  <c r="O813" i="80"/>
  <c r="N813" i="80"/>
  <c r="O812" i="80"/>
  <c r="N812" i="80"/>
  <c r="O811" i="80"/>
  <c r="N811" i="80"/>
  <c r="O810" i="80"/>
  <c r="N810" i="80"/>
  <c r="O809" i="80"/>
  <c r="N809" i="80"/>
  <c r="O808" i="80"/>
  <c r="N808" i="80"/>
  <c r="O807" i="80"/>
  <c r="N807" i="80"/>
  <c r="O806" i="80"/>
  <c r="N806" i="80"/>
  <c r="O805" i="80"/>
  <c r="N805" i="80"/>
  <c r="O804" i="80"/>
  <c r="N804" i="80"/>
  <c r="O803" i="80"/>
  <c r="N803" i="80"/>
  <c r="O802" i="80"/>
  <c r="N802" i="80"/>
  <c r="O801" i="80"/>
  <c r="N801" i="80"/>
  <c r="O800" i="80"/>
  <c r="N800" i="80"/>
  <c r="O799" i="80"/>
  <c r="N799" i="80"/>
  <c r="O798" i="80"/>
  <c r="N798" i="80"/>
  <c r="O797" i="80"/>
  <c r="N797" i="80"/>
  <c r="O796" i="80"/>
  <c r="N796" i="80"/>
  <c r="O795" i="80"/>
  <c r="N795" i="80"/>
  <c r="O794" i="80"/>
  <c r="N794" i="80"/>
  <c r="O793" i="80"/>
  <c r="N793" i="80"/>
  <c r="O792" i="80"/>
  <c r="N792" i="80"/>
  <c r="O791" i="80"/>
  <c r="N791" i="80"/>
  <c r="O790" i="80"/>
  <c r="N790" i="80"/>
  <c r="O789" i="80"/>
  <c r="N789" i="80"/>
  <c r="O788" i="80"/>
  <c r="N788" i="80"/>
  <c r="O787" i="80"/>
  <c r="N787" i="80"/>
  <c r="P787" i="80" s="1"/>
  <c r="O786" i="80"/>
  <c r="N786" i="80"/>
  <c r="O785" i="80"/>
  <c r="N785" i="80"/>
  <c r="O784" i="80"/>
  <c r="N784" i="80"/>
  <c r="O783" i="80"/>
  <c r="N783" i="80"/>
  <c r="O782" i="80"/>
  <c r="N782" i="80"/>
  <c r="O781" i="80"/>
  <c r="N781" i="80"/>
  <c r="P781" i="80" s="1"/>
  <c r="O780" i="80"/>
  <c r="N780" i="80"/>
  <c r="O779" i="80"/>
  <c r="N779" i="80"/>
  <c r="O778" i="80"/>
  <c r="N778" i="80"/>
  <c r="O777" i="80"/>
  <c r="N777" i="80"/>
  <c r="O776" i="80"/>
  <c r="N776" i="80"/>
  <c r="O775" i="80"/>
  <c r="N775" i="80"/>
  <c r="P775" i="80" s="1"/>
  <c r="O774" i="80"/>
  <c r="N774" i="80"/>
  <c r="O773" i="80"/>
  <c r="N773" i="80"/>
  <c r="O772" i="80"/>
  <c r="N772" i="80"/>
  <c r="O771" i="80"/>
  <c r="N771" i="80"/>
  <c r="O770" i="80"/>
  <c r="N770" i="80"/>
  <c r="O769" i="80"/>
  <c r="N769" i="80"/>
  <c r="P769" i="80" s="1"/>
  <c r="O768" i="80"/>
  <c r="N768" i="80"/>
  <c r="O767" i="80"/>
  <c r="N767" i="80"/>
  <c r="O766" i="80"/>
  <c r="N766" i="80"/>
  <c r="O765" i="80"/>
  <c r="N765" i="80"/>
  <c r="O764" i="80"/>
  <c r="N764" i="80"/>
  <c r="O763" i="80"/>
  <c r="N763" i="80"/>
  <c r="P763" i="80" s="1"/>
  <c r="O762" i="80"/>
  <c r="N762" i="80"/>
  <c r="O761" i="80"/>
  <c r="N761" i="80"/>
  <c r="O760" i="80"/>
  <c r="N760" i="80"/>
  <c r="O759" i="80"/>
  <c r="N759" i="80"/>
  <c r="O758" i="80"/>
  <c r="N758" i="80"/>
  <c r="O757" i="80"/>
  <c r="N757" i="80"/>
  <c r="P757" i="80" s="1"/>
  <c r="O756" i="80"/>
  <c r="N756" i="80"/>
  <c r="O755" i="80"/>
  <c r="N755" i="80"/>
  <c r="O754" i="80"/>
  <c r="N754" i="80"/>
  <c r="O753" i="80"/>
  <c r="N753" i="80"/>
  <c r="O752" i="80"/>
  <c r="N752" i="80"/>
  <c r="O751" i="80"/>
  <c r="N751" i="80"/>
  <c r="P751" i="80" s="1"/>
  <c r="O750" i="80"/>
  <c r="N750" i="80"/>
  <c r="O749" i="80"/>
  <c r="N749" i="80"/>
  <c r="O748" i="80"/>
  <c r="N748" i="80"/>
  <c r="O747" i="80"/>
  <c r="N747" i="80"/>
  <c r="O746" i="80"/>
  <c r="N746" i="80"/>
  <c r="O745" i="80"/>
  <c r="N745" i="80"/>
  <c r="P745" i="80" s="1"/>
  <c r="O744" i="80"/>
  <c r="N744" i="80"/>
  <c r="O743" i="80"/>
  <c r="N743" i="80"/>
  <c r="O742" i="80"/>
  <c r="N742" i="80"/>
  <c r="O741" i="80"/>
  <c r="N741" i="80"/>
  <c r="O740" i="80"/>
  <c r="N740" i="80"/>
  <c r="O739" i="80"/>
  <c r="N739" i="80"/>
  <c r="P739" i="80" s="1"/>
  <c r="O738" i="80"/>
  <c r="N738" i="80"/>
  <c r="O737" i="80"/>
  <c r="N737" i="80"/>
  <c r="O736" i="80"/>
  <c r="N736" i="80"/>
  <c r="O735" i="80"/>
  <c r="N735" i="80"/>
  <c r="O734" i="80"/>
  <c r="N734" i="80"/>
  <c r="O733" i="80"/>
  <c r="N733" i="80"/>
  <c r="P733" i="80" s="1"/>
  <c r="O732" i="80"/>
  <c r="N732" i="80"/>
  <c r="O731" i="80"/>
  <c r="N731" i="80"/>
  <c r="O730" i="80"/>
  <c r="N730" i="80"/>
  <c r="O729" i="80"/>
  <c r="N729" i="80"/>
  <c r="O728" i="80"/>
  <c r="N728" i="80"/>
  <c r="O727" i="80"/>
  <c r="N727" i="80"/>
  <c r="P727" i="80" s="1"/>
  <c r="O726" i="80"/>
  <c r="N726" i="80"/>
  <c r="O725" i="80"/>
  <c r="N725" i="80"/>
  <c r="O724" i="80"/>
  <c r="N724" i="80"/>
  <c r="O723" i="80"/>
  <c r="N723" i="80"/>
  <c r="O722" i="80"/>
  <c r="N722" i="80"/>
  <c r="O721" i="80"/>
  <c r="N721" i="80"/>
  <c r="P721" i="80" s="1"/>
  <c r="O720" i="80"/>
  <c r="N720" i="80"/>
  <c r="O719" i="80"/>
  <c r="N719" i="80"/>
  <c r="O718" i="80"/>
  <c r="N718" i="80"/>
  <c r="O717" i="80"/>
  <c r="N717" i="80"/>
  <c r="O716" i="80"/>
  <c r="N716" i="80"/>
  <c r="O715" i="80"/>
  <c r="N715" i="80"/>
  <c r="P715" i="80" s="1"/>
  <c r="O714" i="80"/>
  <c r="N714" i="80"/>
  <c r="O713" i="80"/>
  <c r="N713" i="80"/>
  <c r="O712" i="80"/>
  <c r="N712" i="80"/>
  <c r="O711" i="80"/>
  <c r="N711" i="80"/>
  <c r="O710" i="80"/>
  <c r="N710" i="80"/>
  <c r="O709" i="80"/>
  <c r="N709" i="80"/>
  <c r="P709" i="80" s="1"/>
  <c r="O708" i="80"/>
  <c r="N708" i="80"/>
  <c r="O707" i="80"/>
  <c r="N707" i="80"/>
  <c r="O706" i="80"/>
  <c r="N706" i="80"/>
  <c r="O705" i="80"/>
  <c r="N705" i="80"/>
  <c r="O704" i="80"/>
  <c r="N704" i="80"/>
  <c r="O703" i="80"/>
  <c r="N703" i="80"/>
  <c r="P703" i="80" s="1"/>
  <c r="O702" i="80"/>
  <c r="N702" i="80"/>
  <c r="O701" i="80"/>
  <c r="N701" i="80"/>
  <c r="O700" i="80"/>
  <c r="N700" i="80"/>
  <c r="O699" i="80"/>
  <c r="N699" i="80"/>
  <c r="O698" i="80"/>
  <c r="N698" i="80"/>
  <c r="O697" i="80"/>
  <c r="N697" i="80"/>
  <c r="P697" i="80" s="1"/>
  <c r="O696" i="80"/>
  <c r="N696" i="80"/>
  <c r="O695" i="80"/>
  <c r="N695" i="80"/>
  <c r="O694" i="80"/>
  <c r="N694" i="80"/>
  <c r="O693" i="80"/>
  <c r="N693" i="80"/>
  <c r="O692" i="80"/>
  <c r="N692" i="80"/>
  <c r="O691" i="80"/>
  <c r="N691" i="80"/>
  <c r="P691" i="80" s="1"/>
  <c r="O690" i="80"/>
  <c r="N690" i="80"/>
  <c r="O689" i="80"/>
  <c r="N689" i="80"/>
  <c r="O688" i="80"/>
  <c r="N688" i="80"/>
  <c r="O687" i="80"/>
  <c r="N687" i="80"/>
  <c r="O686" i="80"/>
  <c r="N686" i="80"/>
  <c r="O685" i="80"/>
  <c r="N685" i="80"/>
  <c r="P685" i="80" s="1"/>
  <c r="O684" i="80"/>
  <c r="N684" i="80"/>
  <c r="O683" i="80"/>
  <c r="N683" i="80"/>
  <c r="O682" i="80"/>
  <c r="N682" i="80"/>
  <c r="O681" i="80"/>
  <c r="N681" i="80"/>
  <c r="O680" i="80"/>
  <c r="N680" i="80"/>
  <c r="O679" i="80"/>
  <c r="N679" i="80"/>
  <c r="P679" i="80" s="1"/>
  <c r="O678" i="80"/>
  <c r="N678" i="80"/>
  <c r="O677" i="80"/>
  <c r="N677" i="80"/>
  <c r="O676" i="80"/>
  <c r="N676" i="80"/>
  <c r="O675" i="80"/>
  <c r="N675" i="80"/>
  <c r="O674" i="80"/>
  <c r="N674" i="80"/>
  <c r="O673" i="80"/>
  <c r="N673" i="80"/>
  <c r="P673" i="80" s="1"/>
  <c r="O672" i="80"/>
  <c r="N672" i="80"/>
  <c r="O671" i="80"/>
  <c r="N671" i="80"/>
  <c r="O670" i="80"/>
  <c r="N670" i="80"/>
  <c r="O669" i="80"/>
  <c r="N669" i="80"/>
  <c r="O668" i="80"/>
  <c r="N668" i="80"/>
  <c r="O667" i="80"/>
  <c r="N667" i="80"/>
  <c r="P667" i="80" s="1"/>
  <c r="O666" i="80"/>
  <c r="N666" i="80"/>
  <c r="O665" i="80"/>
  <c r="N665" i="80"/>
  <c r="O664" i="80"/>
  <c r="N664" i="80"/>
  <c r="O663" i="80"/>
  <c r="N663" i="80"/>
  <c r="O662" i="80"/>
  <c r="N662" i="80"/>
  <c r="O661" i="80"/>
  <c r="N661" i="80"/>
  <c r="P661" i="80" s="1"/>
  <c r="O660" i="80"/>
  <c r="N660" i="80"/>
  <c r="O659" i="80"/>
  <c r="N659" i="80"/>
  <c r="O658" i="80"/>
  <c r="N658" i="80"/>
  <c r="O657" i="80"/>
  <c r="N657" i="80"/>
  <c r="O656" i="80"/>
  <c r="N656" i="80"/>
  <c r="O655" i="80"/>
  <c r="N655" i="80"/>
  <c r="P655" i="80" s="1"/>
  <c r="O654" i="80"/>
  <c r="N654" i="80"/>
  <c r="O653" i="80"/>
  <c r="N653" i="80"/>
  <c r="O652" i="80"/>
  <c r="N652" i="80"/>
  <c r="O651" i="80"/>
  <c r="N651" i="80"/>
  <c r="O650" i="80"/>
  <c r="N650" i="80"/>
  <c r="O649" i="80"/>
  <c r="N649" i="80"/>
  <c r="P649" i="80" s="1"/>
  <c r="O648" i="80"/>
  <c r="N648" i="80"/>
  <c r="O647" i="80"/>
  <c r="N647" i="80"/>
  <c r="O646" i="80"/>
  <c r="N646" i="80"/>
  <c r="O645" i="80"/>
  <c r="N645" i="80"/>
  <c r="O644" i="80"/>
  <c r="N644" i="80"/>
  <c r="O643" i="80"/>
  <c r="N643" i="80"/>
  <c r="P643" i="80" s="1"/>
  <c r="O642" i="80"/>
  <c r="N642" i="80"/>
  <c r="O641" i="80"/>
  <c r="N641" i="80"/>
  <c r="O640" i="80"/>
  <c r="N640" i="80"/>
  <c r="O639" i="80"/>
  <c r="N639" i="80"/>
  <c r="O638" i="80"/>
  <c r="N638" i="80"/>
  <c r="O637" i="80"/>
  <c r="N637" i="80"/>
  <c r="P637" i="80" s="1"/>
  <c r="O636" i="80"/>
  <c r="N636" i="80"/>
  <c r="O635" i="80"/>
  <c r="N635" i="80"/>
  <c r="O634" i="80"/>
  <c r="N634" i="80"/>
  <c r="O633" i="80"/>
  <c r="N633" i="80"/>
  <c r="O632" i="80"/>
  <c r="N632" i="80"/>
  <c r="O631" i="80"/>
  <c r="N631" i="80"/>
  <c r="P631" i="80" s="1"/>
  <c r="O630" i="80"/>
  <c r="N630" i="80"/>
  <c r="O629" i="80"/>
  <c r="N629" i="80"/>
  <c r="O628" i="80"/>
  <c r="N628" i="80"/>
  <c r="O627" i="80"/>
  <c r="N627" i="80"/>
  <c r="O626" i="80"/>
  <c r="N626" i="80"/>
  <c r="O625" i="80"/>
  <c r="N625" i="80"/>
  <c r="P625" i="80" s="1"/>
  <c r="O624" i="80"/>
  <c r="N624" i="80"/>
  <c r="O623" i="80"/>
  <c r="N623" i="80"/>
  <c r="O622" i="80"/>
  <c r="N622" i="80"/>
  <c r="O621" i="80"/>
  <c r="N621" i="80"/>
  <c r="O620" i="80"/>
  <c r="N620" i="80"/>
  <c r="O619" i="80"/>
  <c r="N619" i="80"/>
  <c r="P619" i="80" s="1"/>
  <c r="O618" i="80"/>
  <c r="N618" i="80"/>
  <c r="O617" i="80"/>
  <c r="N617" i="80"/>
  <c r="O616" i="80"/>
  <c r="N616" i="80"/>
  <c r="O615" i="80"/>
  <c r="N615" i="80"/>
  <c r="O614" i="80"/>
  <c r="N614" i="80"/>
  <c r="O613" i="80"/>
  <c r="N613" i="80"/>
  <c r="P613" i="80" s="1"/>
  <c r="O612" i="80"/>
  <c r="N612" i="80"/>
  <c r="O611" i="80"/>
  <c r="N611" i="80"/>
  <c r="O610" i="80"/>
  <c r="N610" i="80"/>
  <c r="O609" i="80"/>
  <c r="N609" i="80"/>
  <c r="O608" i="80"/>
  <c r="N608" i="80"/>
  <c r="O607" i="80"/>
  <c r="N607" i="80"/>
  <c r="P607" i="80" s="1"/>
  <c r="O606" i="80"/>
  <c r="N606" i="80"/>
  <c r="O605" i="80"/>
  <c r="N605" i="80"/>
  <c r="O604" i="80"/>
  <c r="N604" i="80"/>
  <c r="O603" i="80"/>
  <c r="N603" i="80"/>
  <c r="O602" i="80"/>
  <c r="N602" i="80"/>
  <c r="O601" i="80"/>
  <c r="N601" i="80"/>
  <c r="P601" i="80" s="1"/>
  <c r="O600" i="80"/>
  <c r="N600" i="80"/>
  <c r="O599" i="80"/>
  <c r="N599" i="80"/>
  <c r="O598" i="80"/>
  <c r="N598" i="80"/>
  <c r="O597" i="80"/>
  <c r="N597" i="80"/>
  <c r="O596" i="80"/>
  <c r="N596" i="80"/>
  <c r="O595" i="80"/>
  <c r="N595" i="80"/>
  <c r="P595" i="80" s="1"/>
  <c r="O594" i="80"/>
  <c r="N594" i="80"/>
  <c r="O593" i="80"/>
  <c r="N593" i="80"/>
  <c r="O592" i="80"/>
  <c r="N592" i="80"/>
  <c r="O591" i="80"/>
  <c r="N591" i="80"/>
  <c r="O590" i="80"/>
  <c r="N590" i="80"/>
  <c r="O589" i="80"/>
  <c r="N589" i="80"/>
  <c r="P589" i="80" s="1"/>
  <c r="O588" i="80"/>
  <c r="N588" i="80"/>
  <c r="O587" i="80"/>
  <c r="N587" i="80"/>
  <c r="O586" i="80"/>
  <c r="N586" i="80"/>
  <c r="O585" i="80"/>
  <c r="N585" i="80"/>
  <c r="O584" i="80"/>
  <c r="N584" i="80"/>
  <c r="O583" i="80"/>
  <c r="N583" i="80"/>
  <c r="P583" i="80" s="1"/>
  <c r="O582" i="80"/>
  <c r="N582" i="80"/>
  <c r="O581" i="80"/>
  <c r="N581" i="80"/>
  <c r="O580" i="80"/>
  <c r="N580" i="80"/>
  <c r="O579" i="80"/>
  <c r="N579" i="80"/>
  <c r="O578" i="80"/>
  <c r="N578" i="80"/>
  <c r="O577" i="80"/>
  <c r="N577" i="80"/>
  <c r="P577" i="80" s="1"/>
  <c r="O576" i="80"/>
  <c r="N576" i="80"/>
  <c r="O575" i="80"/>
  <c r="N575" i="80"/>
  <c r="O574" i="80"/>
  <c r="N574" i="80"/>
  <c r="O573" i="80"/>
  <c r="N573" i="80"/>
  <c r="O572" i="80"/>
  <c r="N572" i="80"/>
  <c r="O571" i="80"/>
  <c r="N571" i="80"/>
  <c r="P571" i="80" s="1"/>
  <c r="O570" i="80"/>
  <c r="N570" i="80"/>
  <c r="O569" i="80"/>
  <c r="N569" i="80"/>
  <c r="O568" i="80"/>
  <c r="N568" i="80"/>
  <c r="O567" i="80"/>
  <c r="N567" i="80"/>
  <c r="O566" i="80"/>
  <c r="N566" i="80"/>
  <c r="O565" i="80"/>
  <c r="N565" i="80"/>
  <c r="P565" i="80" s="1"/>
  <c r="O564" i="80"/>
  <c r="N564" i="80"/>
  <c r="O563" i="80"/>
  <c r="N563" i="80"/>
  <c r="O562" i="80"/>
  <c r="N562" i="80"/>
  <c r="O561" i="80"/>
  <c r="N561" i="80"/>
  <c r="O560" i="80"/>
  <c r="N560" i="80"/>
  <c r="O559" i="80"/>
  <c r="N559" i="80"/>
  <c r="O558" i="80"/>
  <c r="N558" i="80"/>
  <c r="O557" i="80"/>
  <c r="N557" i="80"/>
  <c r="O556" i="80"/>
  <c r="N556" i="80"/>
  <c r="O555" i="80"/>
  <c r="N555" i="80"/>
  <c r="O554" i="80"/>
  <c r="N554" i="80"/>
  <c r="O553" i="80"/>
  <c r="N553" i="80"/>
  <c r="O552" i="80"/>
  <c r="N552" i="80"/>
  <c r="O551" i="80"/>
  <c r="N551" i="80"/>
  <c r="O550" i="80"/>
  <c r="N550" i="80"/>
  <c r="O549" i="80"/>
  <c r="N549" i="80"/>
  <c r="O548" i="80"/>
  <c r="N548" i="80"/>
  <c r="O547" i="80"/>
  <c r="N547" i="80"/>
  <c r="P547" i="80" s="1"/>
  <c r="O546" i="80"/>
  <c r="N546" i="80"/>
  <c r="O545" i="80"/>
  <c r="N545" i="80"/>
  <c r="O544" i="80"/>
  <c r="N544" i="80"/>
  <c r="O543" i="80"/>
  <c r="N543" i="80"/>
  <c r="O542" i="80"/>
  <c r="N542" i="80"/>
  <c r="O541" i="80"/>
  <c r="N541" i="80"/>
  <c r="O540" i="80"/>
  <c r="N540" i="80"/>
  <c r="O539" i="80"/>
  <c r="N539" i="80"/>
  <c r="O538" i="80"/>
  <c r="N538" i="80"/>
  <c r="O537" i="80"/>
  <c r="N537" i="80"/>
  <c r="O536" i="80"/>
  <c r="N536" i="80"/>
  <c r="O535" i="80"/>
  <c r="N535" i="80"/>
  <c r="O534" i="80"/>
  <c r="N534" i="80"/>
  <c r="O533" i="80"/>
  <c r="N533" i="80"/>
  <c r="O532" i="80"/>
  <c r="N532" i="80"/>
  <c r="O531" i="80"/>
  <c r="N531" i="80"/>
  <c r="O530" i="80"/>
  <c r="N530" i="80"/>
  <c r="O529" i="80"/>
  <c r="N529" i="80"/>
  <c r="O528" i="80"/>
  <c r="N528" i="80"/>
  <c r="O527" i="80"/>
  <c r="N527" i="80"/>
  <c r="O526" i="80"/>
  <c r="N526" i="80"/>
  <c r="O525" i="80"/>
  <c r="N525" i="80"/>
  <c r="O524" i="80"/>
  <c r="N524" i="80"/>
  <c r="O523" i="80"/>
  <c r="N523" i="80"/>
  <c r="O522" i="80"/>
  <c r="N522" i="80"/>
  <c r="O521" i="80"/>
  <c r="N521" i="80"/>
  <c r="O520" i="80"/>
  <c r="N520" i="80"/>
  <c r="O519" i="80"/>
  <c r="N519" i="80"/>
  <c r="O518" i="80"/>
  <c r="N518" i="80"/>
  <c r="O517" i="80"/>
  <c r="N517" i="80"/>
  <c r="O516" i="80"/>
  <c r="N516" i="80"/>
  <c r="O515" i="80"/>
  <c r="N515" i="80"/>
  <c r="O514" i="80"/>
  <c r="N514" i="80"/>
  <c r="O513" i="80"/>
  <c r="N513" i="80"/>
  <c r="O512" i="80"/>
  <c r="N512" i="80"/>
  <c r="O511" i="80"/>
  <c r="N511" i="80"/>
  <c r="P511" i="80" s="1"/>
  <c r="O510" i="80"/>
  <c r="N510" i="80"/>
  <c r="O509" i="80"/>
  <c r="N509" i="80"/>
  <c r="O508" i="80"/>
  <c r="N508" i="80"/>
  <c r="O507" i="80"/>
  <c r="N507" i="80"/>
  <c r="O506" i="80"/>
  <c r="N506" i="80"/>
  <c r="O505" i="80"/>
  <c r="N505" i="80"/>
  <c r="O504" i="80"/>
  <c r="N504" i="80"/>
  <c r="O503" i="80"/>
  <c r="N503" i="80"/>
  <c r="O502" i="80"/>
  <c r="N502" i="80"/>
  <c r="O501" i="80"/>
  <c r="N501" i="80"/>
  <c r="O500" i="80"/>
  <c r="N500" i="80"/>
  <c r="O499" i="80"/>
  <c r="N499" i="80"/>
  <c r="P499" i="80" s="1"/>
  <c r="O498" i="80"/>
  <c r="N498" i="80"/>
  <c r="O497" i="80"/>
  <c r="N497" i="80"/>
  <c r="O496" i="80"/>
  <c r="N496" i="80"/>
  <c r="O495" i="80"/>
  <c r="N495" i="80"/>
  <c r="O494" i="80"/>
  <c r="N494" i="80"/>
  <c r="O493" i="80"/>
  <c r="N493" i="80"/>
  <c r="O492" i="80"/>
  <c r="N492" i="80"/>
  <c r="O491" i="80"/>
  <c r="N491" i="80"/>
  <c r="O490" i="80"/>
  <c r="N490" i="80"/>
  <c r="O489" i="80"/>
  <c r="N489" i="80"/>
  <c r="O488" i="80"/>
  <c r="N488" i="80"/>
  <c r="O487" i="80"/>
  <c r="N487" i="80"/>
  <c r="O486" i="80"/>
  <c r="N486" i="80"/>
  <c r="O485" i="80"/>
  <c r="N485" i="80"/>
  <c r="O484" i="80"/>
  <c r="N484" i="80"/>
  <c r="O483" i="80"/>
  <c r="N483" i="80"/>
  <c r="O482" i="80"/>
  <c r="N482" i="80"/>
  <c r="O481" i="80"/>
  <c r="N481" i="80"/>
  <c r="O480" i="80"/>
  <c r="N480" i="80"/>
  <c r="O479" i="80"/>
  <c r="N479" i="80"/>
  <c r="O478" i="80"/>
  <c r="N478" i="80"/>
  <c r="O477" i="80"/>
  <c r="N477" i="80"/>
  <c r="O476" i="80"/>
  <c r="N476" i="80"/>
  <c r="O475" i="80"/>
  <c r="N475" i="80"/>
  <c r="P475" i="80" s="1"/>
  <c r="O474" i="80"/>
  <c r="N474" i="80"/>
  <c r="O473" i="80"/>
  <c r="N473" i="80"/>
  <c r="O472" i="80"/>
  <c r="N472" i="80"/>
  <c r="O471" i="80"/>
  <c r="N471" i="80"/>
  <c r="O470" i="80"/>
  <c r="N470" i="80"/>
  <c r="O469" i="80"/>
  <c r="N469" i="80"/>
  <c r="O468" i="80"/>
  <c r="N468" i="80"/>
  <c r="O467" i="80"/>
  <c r="N467" i="80"/>
  <c r="O466" i="80"/>
  <c r="N466" i="80"/>
  <c r="O465" i="80"/>
  <c r="N465" i="80"/>
  <c r="O464" i="80"/>
  <c r="N464" i="80"/>
  <c r="O463" i="80"/>
  <c r="N463" i="80"/>
  <c r="O462" i="80"/>
  <c r="N462" i="80"/>
  <c r="O461" i="80"/>
  <c r="N461" i="80"/>
  <c r="O460" i="80"/>
  <c r="N460" i="80"/>
  <c r="O459" i="80"/>
  <c r="N459" i="80"/>
  <c r="O458" i="80"/>
  <c r="N458" i="80"/>
  <c r="O457" i="80"/>
  <c r="N457" i="80"/>
  <c r="O456" i="80"/>
  <c r="N456" i="80"/>
  <c r="O455" i="80"/>
  <c r="N455" i="80"/>
  <c r="O454" i="80"/>
  <c r="N454" i="80"/>
  <c r="O453" i="80"/>
  <c r="N453" i="80"/>
  <c r="O452" i="80"/>
  <c r="N452" i="80"/>
  <c r="O451" i="80"/>
  <c r="N451" i="80"/>
  <c r="O450" i="80"/>
  <c r="N450" i="80"/>
  <c r="O449" i="80"/>
  <c r="N449" i="80"/>
  <c r="O448" i="80"/>
  <c r="N448" i="80"/>
  <c r="O447" i="80"/>
  <c r="N447" i="80"/>
  <c r="O446" i="80"/>
  <c r="N446" i="80"/>
  <c r="O445" i="80"/>
  <c r="N445" i="80"/>
  <c r="O444" i="80"/>
  <c r="N444" i="80"/>
  <c r="O443" i="80"/>
  <c r="N443" i="80"/>
  <c r="O442" i="80"/>
  <c r="N442" i="80"/>
  <c r="O441" i="80"/>
  <c r="N441" i="80"/>
  <c r="O440" i="80"/>
  <c r="N440" i="80"/>
  <c r="O439" i="80"/>
  <c r="N439" i="80"/>
  <c r="O438" i="80"/>
  <c r="N438" i="80"/>
  <c r="O437" i="80"/>
  <c r="N437" i="80"/>
  <c r="O436" i="80"/>
  <c r="N436" i="80"/>
  <c r="O435" i="80"/>
  <c r="N435" i="80"/>
  <c r="O434" i="80"/>
  <c r="N434" i="80"/>
  <c r="O433" i="80"/>
  <c r="N433" i="80"/>
  <c r="O432" i="80"/>
  <c r="N432" i="80"/>
  <c r="O431" i="80"/>
  <c r="N431" i="80"/>
  <c r="O430" i="80"/>
  <c r="N430" i="80"/>
  <c r="O429" i="80"/>
  <c r="N429" i="80"/>
  <c r="O428" i="80"/>
  <c r="N428" i="80"/>
  <c r="O427" i="80"/>
  <c r="N427" i="80"/>
  <c r="O426" i="80"/>
  <c r="N426" i="80"/>
  <c r="O425" i="80"/>
  <c r="N425" i="80"/>
  <c r="O424" i="80"/>
  <c r="N424" i="80"/>
  <c r="O423" i="80"/>
  <c r="N423" i="80"/>
  <c r="O422" i="80"/>
  <c r="N422" i="80"/>
  <c r="O421" i="80"/>
  <c r="N421" i="80"/>
  <c r="O420" i="80"/>
  <c r="N420" i="80"/>
  <c r="O419" i="80"/>
  <c r="N419" i="80"/>
  <c r="O418" i="80"/>
  <c r="N418" i="80"/>
  <c r="O417" i="80"/>
  <c r="N417" i="80"/>
  <c r="O416" i="80"/>
  <c r="N416" i="80"/>
  <c r="O415" i="80"/>
  <c r="N415" i="80"/>
  <c r="O414" i="80"/>
  <c r="N414" i="80"/>
  <c r="O413" i="80"/>
  <c r="N413" i="80"/>
  <c r="O412" i="80"/>
  <c r="N412" i="80"/>
  <c r="O411" i="80"/>
  <c r="N411" i="80"/>
  <c r="O410" i="80"/>
  <c r="N410" i="80"/>
  <c r="O409" i="80"/>
  <c r="N409" i="80"/>
  <c r="O408" i="80"/>
  <c r="N408" i="80"/>
  <c r="O407" i="80"/>
  <c r="N407" i="80"/>
  <c r="O406" i="80"/>
  <c r="N406" i="80"/>
  <c r="O405" i="80"/>
  <c r="N405" i="80"/>
  <c r="O404" i="80"/>
  <c r="N404" i="80"/>
  <c r="O403" i="80"/>
  <c r="N403" i="80"/>
  <c r="O402" i="80"/>
  <c r="N402" i="80"/>
  <c r="O401" i="80"/>
  <c r="N401" i="80"/>
  <c r="O400" i="80"/>
  <c r="N400" i="80"/>
  <c r="O399" i="80"/>
  <c r="N399" i="80"/>
  <c r="O398" i="80"/>
  <c r="N398" i="80"/>
  <c r="O397" i="80"/>
  <c r="N397" i="80"/>
  <c r="O396" i="80"/>
  <c r="N396" i="80"/>
  <c r="O395" i="80"/>
  <c r="N395" i="80"/>
  <c r="O394" i="80"/>
  <c r="N394" i="80"/>
  <c r="O393" i="80"/>
  <c r="N393" i="80"/>
  <c r="O392" i="80"/>
  <c r="N392" i="80"/>
  <c r="O391" i="80"/>
  <c r="N391" i="80"/>
  <c r="O390" i="80"/>
  <c r="N390" i="80"/>
  <c r="O389" i="80"/>
  <c r="N389" i="80"/>
  <c r="O388" i="80"/>
  <c r="N388" i="80"/>
  <c r="O387" i="80"/>
  <c r="N387" i="80"/>
  <c r="O386" i="80"/>
  <c r="N386" i="80"/>
  <c r="O385" i="80"/>
  <c r="N385" i="80"/>
  <c r="O384" i="80"/>
  <c r="N384" i="80"/>
  <c r="O383" i="80"/>
  <c r="N383" i="80"/>
  <c r="O382" i="80"/>
  <c r="N382" i="80"/>
  <c r="O381" i="80"/>
  <c r="N381" i="80"/>
  <c r="O380" i="80"/>
  <c r="N380" i="80"/>
  <c r="O379" i="80"/>
  <c r="N379" i="80"/>
  <c r="O378" i="80"/>
  <c r="N378" i="80"/>
  <c r="O377" i="80"/>
  <c r="N377" i="80"/>
  <c r="O376" i="80"/>
  <c r="N376" i="80"/>
  <c r="O375" i="80"/>
  <c r="N375" i="80"/>
  <c r="O374" i="80"/>
  <c r="N374" i="80"/>
  <c r="O373" i="80"/>
  <c r="N373" i="80"/>
  <c r="O372" i="80"/>
  <c r="N372" i="80"/>
  <c r="O371" i="80"/>
  <c r="N371" i="80"/>
  <c r="O370" i="80"/>
  <c r="N370" i="80"/>
  <c r="O369" i="80"/>
  <c r="N369" i="80"/>
  <c r="O368" i="80"/>
  <c r="N368" i="80"/>
  <c r="O367" i="80"/>
  <c r="N367" i="80"/>
  <c r="O366" i="80"/>
  <c r="N366" i="80"/>
  <c r="O365" i="80"/>
  <c r="N365" i="80"/>
  <c r="O364" i="80"/>
  <c r="N364" i="80"/>
  <c r="O363" i="80"/>
  <c r="N363" i="80"/>
  <c r="O362" i="80"/>
  <c r="N362" i="80"/>
  <c r="O361" i="80"/>
  <c r="N361" i="80"/>
  <c r="O360" i="80"/>
  <c r="N360" i="80"/>
  <c r="O359" i="80"/>
  <c r="N359" i="80"/>
  <c r="O358" i="80"/>
  <c r="N358" i="80"/>
  <c r="O357" i="80"/>
  <c r="N357" i="80"/>
  <c r="O356" i="80"/>
  <c r="N356" i="80"/>
  <c r="O355" i="80"/>
  <c r="N355" i="80"/>
  <c r="O354" i="80"/>
  <c r="N354" i="80"/>
  <c r="O353" i="80"/>
  <c r="N353" i="80"/>
  <c r="O352" i="80"/>
  <c r="N352" i="80"/>
  <c r="O351" i="80"/>
  <c r="N351" i="80"/>
  <c r="O350" i="80"/>
  <c r="N350" i="80"/>
  <c r="O349" i="80"/>
  <c r="N349" i="80"/>
  <c r="O348" i="80"/>
  <c r="N348" i="80"/>
  <c r="O347" i="80"/>
  <c r="N347" i="80"/>
  <c r="O346" i="80"/>
  <c r="N346" i="80"/>
  <c r="O345" i="80"/>
  <c r="N345" i="80"/>
  <c r="O344" i="80"/>
  <c r="N344" i="80"/>
  <c r="O343" i="80"/>
  <c r="N343" i="80"/>
  <c r="O342" i="80"/>
  <c r="N342" i="80"/>
  <c r="O341" i="80"/>
  <c r="N341" i="80"/>
  <c r="O340" i="80"/>
  <c r="N340" i="80"/>
  <c r="O339" i="80"/>
  <c r="N339" i="80"/>
  <c r="O338" i="80"/>
  <c r="N338" i="80"/>
  <c r="O337" i="80"/>
  <c r="N337" i="80"/>
  <c r="O336" i="80"/>
  <c r="N336" i="80"/>
  <c r="O335" i="80"/>
  <c r="N335" i="80"/>
  <c r="O334" i="80"/>
  <c r="N334" i="80"/>
  <c r="O333" i="80"/>
  <c r="N333" i="80"/>
  <c r="O332" i="80"/>
  <c r="N332" i="80"/>
  <c r="O331" i="80"/>
  <c r="N331" i="80"/>
  <c r="O330" i="80"/>
  <c r="N330" i="80"/>
  <c r="O329" i="80"/>
  <c r="N329" i="80"/>
  <c r="O328" i="80"/>
  <c r="N328" i="80"/>
  <c r="O327" i="80"/>
  <c r="N327" i="80"/>
  <c r="O326" i="80"/>
  <c r="N326" i="80"/>
  <c r="O325" i="80"/>
  <c r="N325" i="80"/>
  <c r="O324" i="80"/>
  <c r="N324" i="80"/>
  <c r="O323" i="80"/>
  <c r="N323" i="80"/>
  <c r="O322" i="80"/>
  <c r="N322" i="80"/>
  <c r="O321" i="80"/>
  <c r="N321" i="80"/>
  <c r="O320" i="80"/>
  <c r="N320" i="80"/>
  <c r="O319" i="80"/>
  <c r="N319" i="80"/>
  <c r="O318" i="80"/>
  <c r="N318" i="80"/>
  <c r="O317" i="80"/>
  <c r="N317" i="80"/>
  <c r="O316" i="80"/>
  <c r="N316" i="80"/>
  <c r="O315" i="80"/>
  <c r="N315" i="80"/>
  <c r="O314" i="80"/>
  <c r="N314" i="80"/>
  <c r="O313" i="80"/>
  <c r="N313" i="80"/>
  <c r="O312" i="80"/>
  <c r="N312" i="80"/>
  <c r="O311" i="80"/>
  <c r="N311" i="80"/>
  <c r="O310" i="80"/>
  <c r="N310" i="80"/>
  <c r="O309" i="80"/>
  <c r="N309" i="80"/>
  <c r="O308" i="80"/>
  <c r="N308" i="80"/>
  <c r="O307" i="80"/>
  <c r="N307" i="80"/>
  <c r="O306" i="80"/>
  <c r="N306" i="80"/>
  <c r="O305" i="80"/>
  <c r="N305" i="80"/>
  <c r="O304" i="80"/>
  <c r="N304" i="80"/>
  <c r="O303" i="80"/>
  <c r="N303" i="80"/>
  <c r="O302" i="80"/>
  <c r="N302" i="80"/>
  <c r="O301" i="80"/>
  <c r="N301" i="80"/>
  <c r="O300" i="80"/>
  <c r="N300" i="80"/>
  <c r="O299" i="80"/>
  <c r="N299" i="80"/>
  <c r="O298" i="80"/>
  <c r="N298" i="80"/>
  <c r="O297" i="80"/>
  <c r="N297" i="80"/>
  <c r="O296" i="80"/>
  <c r="N296" i="80"/>
  <c r="O295" i="80"/>
  <c r="N295" i="80"/>
  <c r="O294" i="80"/>
  <c r="N294" i="80"/>
  <c r="O293" i="80"/>
  <c r="N293" i="80"/>
  <c r="O292" i="80"/>
  <c r="N292" i="80"/>
  <c r="O291" i="80"/>
  <c r="N291" i="80"/>
  <c r="O290" i="80"/>
  <c r="N290" i="80"/>
  <c r="O289" i="80"/>
  <c r="N289" i="80"/>
  <c r="O288" i="80"/>
  <c r="N288" i="80"/>
  <c r="O287" i="80"/>
  <c r="N287" i="80"/>
  <c r="O286" i="80"/>
  <c r="N286" i="80"/>
  <c r="O285" i="80"/>
  <c r="N285" i="80"/>
  <c r="O284" i="80"/>
  <c r="N284" i="80"/>
  <c r="O283" i="80"/>
  <c r="N283" i="80"/>
  <c r="O282" i="80"/>
  <c r="N282" i="80"/>
  <c r="O281" i="80"/>
  <c r="N281" i="80"/>
  <c r="O280" i="80"/>
  <c r="N280" i="80"/>
  <c r="O279" i="80"/>
  <c r="N279" i="80"/>
  <c r="O278" i="80"/>
  <c r="N278" i="80"/>
  <c r="O277" i="80"/>
  <c r="N277" i="80"/>
  <c r="O276" i="80"/>
  <c r="N276" i="80"/>
  <c r="O275" i="80"/>
  <c r="N275" i="80"/>
  <c r="O274" i="80"/>
  <c r="N274" i="80"/>
  <c r="O273" i="80"/>
  <c r="N273" i="80"/>
  <c r="O272" i="80"/>
  <c r="N272" i="80"/>
  <c r="O271" i="80"/>
  <c r="N271" i="80"/>
  <c r="O270" i="80"/>
  <c r="N270" i="80"/>
  <c r="O269" i="80"/>
  <c r="N269" i="80"/>
  <c r="O268" i="80"/>
  <c r="N268" i="80"/>
  <c r="O267" i="80"/>
  <c r="N267" i="80"/>
  <c r="O266" i="80"/>
  <c r="N266" i="80"/>
  <c r="O265" i="80"/>
  <c r="N265" i="80"/>
  <c r="O264" i="80"/>
  <c r="N264" i="80"/>
  <c r="O263" i="80"/>
  <c r="N263" i="80"/>
  <c r="O262" i="80"/>
  <c r="N262" i="80"/>
  <c r="O261" i="80"/>
  <c r="N261" i="80"/>
  <c r="O260" i="80"/>
  <c r="N260" i="80"/>
  <c r="O259" i="80"/>
  <c r="N259" i="80"/>
  <c r="O258" i="80"/>
  <c r="N258" i="80"/>
  <c r="O257" i="80"/>
  <c r="N257" i="80"/>
  <c r="O256" i="80"/>
  <c r="N256" i="80"/>
  <c r="O255" i="80"/>
  <c r="N255" i="80"/>
  <c r="O254" i="80"/>
  <c r="N254" i="80"/>
  <c r="O253" i="80"/>
  <c r="N253" i="80"/>
  <c r="O252" i="80"/>
  <c r="N252" i="80"/>
  <c r="O251" i="80"/>
  <c r="N251" i="80"/>
  <c r="O250" i="80"/>
  <c r="N250" i="80"/>
  <c r="O249" i="80"/>
  <c r="N249" i="80"/>
  <c r="O248" i="80"/>
  <c r="N248" i="80"/>
  <c r="O247" i="80"/>
  <c r="N247" i="80"/>
  <c r="O246" i="80"/>
  <c r="N246" i="80"/>
  <c r="O245" i="80"/>
  <c r="N245" i="80"/>
  <c r="O244" i="80"/>
  <c r="N244" i="80"/>
  <c r="O243" i="80"/>
  <c r="N243" i="80"/>
  <c r="O242" i="80"/>
  <c r="N242" i="80"/>
  <c r="O241" i="80"/>
  <c r="N241" i="80"/>
  <c r="O240" i="80"/>
  <c r="N240" i="80"/>
  <c r="O239" i="80"/>
  <c r="N239" i="80"/>
  <c r="O238" i="80"/>
  <c r="N238" i="80"/>
  <c r="O237" i="80"/>
  <c r="N237" i="80"/>
  <c r="O236" i="80"/>
  <c r="N236" i="80"/>
  <c r="O235" i="80"/>
  <c r="N235" i="80"/>
  <c r="O234" i="80"/>
  <c r="N234" i="80"/>
  <c r="O233" i="80"/>
  <c r="N233" i="80"/>
  <c r="O232" i="80"/>
  <c r="N232" i="80"/>
  <c r="O231" i="80"/>
  <c r="N231" i="80"/>
  <c r="O230" i="80"/>
  <c r="N230" i="80"/>
  <c r="O229" i="80"/>
  <c r="N229" i="80"/>
  <c r="O228" i="80"/>
  <c r="N228" i="80"/>
  <c r="O227" i="80"/>
  <c r="N227" i="80"/>
  <c r="O226" i="80"/>
  <c r="N226" i="80"/>
  <c r="O225" i="80"/>
  <c r="N225" i="80"/>
  <c r="O224" i="80"/>
  <c r="N224" i="80"/>
  <c r="O223" i="80"/>
  <c r="N223" i="80"/>
  <c r="O222" i="80"/>
  <c r="N222" i="80"/>
  <c r="O221" i="80"/>
  <c r="N221" i="80"/>
  <c r="O220" i="80"/>
  <c r="N220" i="80"/>
  <c r="O219" i="80"/>
  <c r="N219" i="80"/>
  <c r="O218" i="80"/>
  <c r="N218" i="80"/>
  <c r="O217" i="80"/>
  <c r="N217" i="80"/>
  <c r="O216" i="80"/>
  <c r="N216" i="80"/>
  <c r="O215" i="80"/>
  <c r="N215" i="80"/>
  <c r="O214" i="80"/>
  <c r="N214" i="80"/>
  <c r="O213" i="80"/>
  <c r="N213" i="80"/>
  <c r="O212" i="80"/>
  <c r="N212" i="80"/>
  <c r="O211" i="80"/>
  <c r="N211" i="80"/>
  <c r="O210" i="80"/>
  <c r="N210" i="80"/>
  <c r="O209" i="80"/>
  <c r="N209" i="80"/>
  <c r="O208" i="80"/>
  <c r="N208" i="80"/>
  <c r="O207" i="80"/>
  <c r="N207" i="80"/>
  <c r="O206" i="80"/>
  <c r="N206" i="80"/>
  <c r="O205" i="80"/>
  <c r="N205" i="80"/>
  <c r="O204" i="80"/>
  <c r="N204" i="80"/>
  <c r="O203" i="80"/>
  <c r="N203" i="80"/>
  <c r="O202" i="80"/>
  <c r="N202" i="80"/>
  <c r="O201" i="80"/>
  <c r="N201" i="80"/>
  <c r="O200" i="80"/>
  <c r="N200" i="80"/>
  <c r="O199" i="80"/>
  <c r="N199" i="80"/>
  <c r="O198" i="80"/>
  <c r="N198" i="80"/>
  <c r="O197" i="80"/>
  <c r="N197" i="80"/>
  <c r="O196" i="80"/>
  <c r="N196" i="80"/>
  <c r="O195" i="80"/>
  <c r="N195" i="80"/>
  <c r="O194" i="80"/>
  <c r="N194" i="80"/>
  <c r="O193" i="80"/>
  <c r="N193" i="80"/>
  <c r="O192" i="80"/>
  <c r="N192" i="80"/>
  <c r="O191" i="80"/>
  <c r="N191" i="80"/>
  <c r="O190" i="80"/>
  <c r="N190" i="80"/>
  <c r="O189" i="80"/>
  <c r="N189" i="80"/>
  <c r="O188" i="80"/>
  <c r="N188" i="80"/>
  <c r="O187" i="80"/>
  <c r="N187" i="80"/>
  <c r="O186" i="80"/>
  <c r="N186" i="80"/>
  <c r="O185" i="80"/>
  <c r="N185" i="80"/>
  <c r="O184" i="80"/>
  <c r="N184" i="80"/>
  <c r="O183" i="80"/>
  <c r="N183" i="80"/>
  <c r="O182" i="80"/>
  <c r="N182" i="80"/>
  <c r="O181" i="80"/>
  <c r="N181" i="80"/>
  <c r="O180" i="80"/>
  <c r="N180" i="80"/>
  <c r="O179" i="80"/>
  <c r="N179" i="80"/>
  <c r="O178" i="80"/>
  <c r="N178" i="80"/>
  <c r="O177" i="80"/>
  <c r="N177" i="80"/>
  <c r="O176" i="80"/>
  <c r="N176" i="80"/>
  <c r="O175" i="80"/>
  <c r="N175" i="80"/>
  <c r="O174" i="80"/>
  <c r="N174" i="80"/>
  <c r="O173" i="80"/>
  <c r="N173" i="80"/>
  <c r="O172" i="80"/>
  <c r="N172" i="80"/>
  <c r="O171" i="80"/>
  <c r="N171" i="80"/>
  <c r="O170" i="80"/>
  <c r="N170" i="80"/>
  <c r="O169" i="80"/>
  <c r="N169" i="80"/>
  <c r="O168" i="80"/>
  <c r="N168" i="80"/>
  <c r="O167" i="80"/>
  <c r="N167" i="80"/>
  <c r="O166" i="80"/>
  <c r="N166" i="80"/>
  <c r="O165" i="80"/>
  <c r="N165" i="80"/>
  <c r="O164" i="80"/>
  <c r="N164" i="80"/>
  <c r="O163" i="80"/>
  <c r="N163" i="80"/>
  <c r="O162" i="80"/>
  <c r="N162" i="80"/>
  <c r="O161" i="80"/>
  <c r="N161" i="80"/>
  <c r="O160" i="80"/>
  <c r="N160" i="80"/>
  <c r="O159" i="80"/>
  <c r="N159" i="80"/>
  <c r="O158" i="80"/>
  <c r="N158" i="80"/>
  <c r="O157" i="80"/>
  <c r="N157" i="80"/>
  <c r="O156" i="80"/>
  <c r="N156" i="80"/>
  <c r="O155" i="80"/>
  <c r="N155" i="80"/>
  <c r="O154" i="80"/>
  <c r="N154" i="80"/>
  <c r="O153" i="80"/>
  <c r="N153" i="80"/>
  <c r="O152" i="80"/>
  <c r="N152" i="80"/>
  <c r="O151" i="80"/>
  <c r="N151" i="80"/>
  <c r="O150" i="80"/>
  <c r="N150" i="80"/>
  <c r="O149" i="80"/>
  <c r="N149" i="80"/>
  <c r="O148" i="80"/>
  <c r="N148" i="80"/>
  <c r="O147" i="80"/>
  <c r="N147" i="80"/>
  <c r="O146" i="80"/>
  <c r="N146" i="80"/>
  <c r="O145" i="80"/>
  <c r="N145" i="80"/>
  <c r="P145" i="80" s="1"/>
  <c r="O144" i="80"/>
  <c r="N144" i="80"/>
  <c r="O143" i="80"/>
  <c r="N143" i="80"/>
  <c r="O142" i="80"/>
  <c r="N142" i="80"/>
  <c r="O141" i="80"/>
  <c r="N141" i="80"/>
  <c r="O140" i="80"/>
  <c r="N140" i="80"/>
  <c r="O139" i="80"/>
  <c r="N139" i="80"/>
  <c r="O138" i="80"/>
  <c r="N138" i="80"/>
  <c r="O137" i="80"/>
  <c r="N137" i="80"/>
  <c r="O136" i="80"/>
  <c r="N136" i="80"/>
  <c r="O135" i="80"/>
  <c r="N135" i="80"/>
  <c r="O134" i="80"/>
  <c r="N134" i="80"/>
  <c r="O133" i="80"/>
  <c r="N133" i="80"/>
  <c r="O132" i="80"/>
  <c r="N132" i="80"/>
  <c r="O131" i="80"/>
  <c r="N131" i="80"/>
  <c r="O130" i="80"/>
  <c r="N130" i="80"/>
  <c r="O129" i="80"/>
  <c r="N129" i="80"/>
  <c r="O128" i="80"/>
  <c r="N128" i="80"/>
  <c r="O127" i="80"/>
  <c r="N127" i="80"/>
  <c r="O126" i="80"/>
  <c r="N126" i="80"/>
  <c r="O125" i="80"/>
  <c r="N125" i="80"/>
  <c r="O124" i="80"/>
  <c r="N124" i="80"/>
  <c r="O123" i="80"/>
  <c r="N123" i="80"/>
  <c r="O122" i="80"/>
  <c r="N122" i="80"/>
  <c r="O121" i="80"/>
  <c r="N121" i="80"/>
  <c r="O120" i="80"/>
  <c r="N120" i="80"/>
  <c r="O119" i="80"/>
  <c r="N119" i="80"/>
  <c r="O118" i="80"/>
  <c r="N118" i="80"/>
  <c r="O117" i="80"/>
  <c r="N117" i="80"/>
  <c r="O116" i="80"/>
  <c r="N116" i="80"/>
  <c r="O115" i="80"/>
  <c r="N115" i="80"/>
  <c r="O114" i="80"/>
  <c r="N114" i="80"/>
  <c r="O113" i="80"/>
  <c r="N113" i="80"/>
  <c r="O112" i="80"/>
  <c r="N112" i="80"/>
  <c r="O111" i="80"/>
  <c r="N111" i="80"/>
  <c r="O110" i="80"/>
  <c r="N110" i="80"/>
  <c r="O109" i="80"/>
  <c r="N109" i="80"/>
  <c r="O108" i="80"/>
  <c r="N108" i="80"/>
  <c r="O107" i="80"/>
  <c r="N107" i="80"/>
  <c r="O106" i="80"/>
  <c r="N106" i="80"/>
  <c r="O105" i="80"/>
  <c r="N105" i="80"/>
  <c r="O104" i="80"/>
  <c r="N104" i="80"/>
  <c r="O103" i="80"/>
  <c r="N103" i="80"/>
  <c r="O102" i="80"/>
  <c r="N102" i="80"/>
  <c r="O101" i="80"/>
  <c r="N101" i="80"/>
  <c r="O100" i="80"/>
  <c r="N100" i="80"/>
  <c r="O99" i="80"/>
  <c r="N99" i="80"/>
  <c r="O98" i="80"/>
  <c r="N98" i="80"/>
  <c r="O97" i="80"/>
  <c r="N97" i="80"/>
  <c r="O96" i="80"/>
  <c r="N96" i="80"/>
  <c r="O95" i="80"/>
  <c r="N95" i="80"/>
  <c r="O94" i="80"/>
  <c r="N94" i="80"/>
  <c r="O93" i="80"/>
  <c r="N93" i="80"/>
  <c r="O92" i="80"/>
  <c r="N92" i="80"/>
  <c r="O91" i="80"/>
  <c r="N91" i="80"/>
  <c r="O90" i="80"/>
  <c r="N90" i="80"/>
  <c r="O89" i="80"/>
  <c r="N89" i="80"/>
  <c r="O88" i="80"/>
  <c r="N88" i="80"/>
  <c r="O87" i="80"/>
  <c r="N87" i="80"/>
  <c r="O86" i="80"/>
  <c r="N86" i="80"/>
  <c r="O85" i="80"/>
  <c r="N85" i="80"/>
  <c r="O84" i="80"/>
  <c r="N84" i="80"/>
  <c r="O83" i="80"/>
  <c r="N83" i="80"/>
  <c r="O82" i="80"/>
  <c r="N82" i="80"/>
  <c r="O81" i="80"/>
  <c r="N81" i="80"/>
  <c r="O80" i="80"/>
  <c r="N80" i="80"/>
  <c r="O79" i="80"/>
  <c r="N79" i="80"/>
  <c r="O78" i="80"/>
  <c r="N78" i="80"/>
  <c r="O77" i="80"/>
  <c r="N77" i="80"/>
  <c r="O76" i="80"/>
  <c r="N76" i="80"/>
  <c r="O75" i="80"/>
  <c r="N75" i="80"/>
  <c r="O74" i="80"/>
  <c r="N74" i="80"/>
  <c r="O73" i="80"/>
  <c r="N73" i="80"/>
  <c r="O72" i="80"/>
  <c r="N72" i="80"/>
  <c r="O71" i="80"/>
  <c r="N71" i="80"/>
  <c r="O70" i="80"/>
  <c r="N70" i="80"/>
  <c r="O69" i="80"/>
  <c r="N69" i="80"/>
  <c r="O68" i="80"/>
  <c r="N68" i="80"/>
  <c r="O67" i="80"/>
  <c r="N67" i="80"/>
  <c r="O66" i="80"/>
  <c r="N66" i="80"/>
  <c r="O65" i="80"/>
  <c r="N65" i="80"/>
  <c r="O64" i="80"/>
  <c r="N64" i="80"/>
  <c r="O63" i="80"/>
  <c r="N63" i="80"/>
  <c r="O62" i="80"/>
  <c r="N62" i="80"/>
  <c r="O61" i="80"/>
  <c r="N61" i="80"/>
  <c r="O60" i="80"/>
  <c r="N60" i="80"/>
  <c r="O59" i="80"/>
  <c r="N59" i="80"/>
  <c r="O58" i="80"/>
  <c r="N58" i="80"/>
  <c r="O57" i="80"/>
  <c r="N57" i="80"/>
  <c r="O56" i="80"/>
  <c r="N56" i="80"/>
  <c r="O55" i="80"/>
  <c r="N55" i="80"/>
  <c r="O54" i="80"/>
  <c r="N54" i="80"/>
  <c r="O53" i="80"/>
  <c r="N53" i="80"/>
  <c r="O52" i="80"/>
  <c r="N52" i="80"/>
  <c r="O51" i="80"/>
  <c r="N51" i="80"/>
  <c r="O50" i="80"/>
  <c r="N50" i="80"/>
  <c r="O49" i="80"/>
  <c r="N49" i="80"/>
  <c r="O48" i="80"/>
  <c r="N48" i="80"/>
  <c r="O47" i="80"/>
  <c r="N47" i="80"/>
  <c r="O46" i="80"/>
  <c r="N46" i="80"/>
  <c r="O45" i="80"/>
  <c r="N45" i="80"/>
  <c r="O44" i="80"/>
  <c r="N44" i="80"/>
  <c r="O43" i="80"/>
  <c r="N43" i="80"/>
  <c r="O42" i="80"/>
  <c r="N42" i="80"/>
  <c r="O41" i="80"/>
  <c r="N41" i="80"/>
  <c r="O40" i="80"/>
  <c r="N40" i="80"/>
  <c r="O39" i="80"/>
  <c r="N39" i="80"/>
  <c r="O38" i="80"/>
  <c r="N38" i="80"/>
  <c r="O37" i="80"/>
  <c r="N37" i="80"/>
  <c r="O36" i="80"/>
  <c r="N36" i="80"/>
  <c r="O35" i="80"/>
  <c r="N35" i="80"/>
  <c r="O34" i="80"/>
  <c r="N34" i="80"/>
  <c r="O33" i="80"/>
  <c r="N33" i="80"/>
  <c r="O32" i="80"/>
  <c r="N32" i="80"/>
  <c r="O31" i="80"/>
  <c r="N31" i="80"/>
  <c r="O30" i="80"/>
  <c r="N30" i="80"/>
  <c r="O29" i="80"/>
  <c r="N29" i="80"/>
  <c r="O28" i="80"/>
  <c r="N28" i="80"/>
  <c r="O27" i="80"/>
  <c r="N27" i="80"/>
  <c r="O26" i="80"/>
  <c r="N26" i="80"/>
  <c r="O25" i="80"/>
  <c r="N25" i="80"/>
  <c r="O24" i="80"/>
  <c r="N24" i="80"/>
  <c r="O23" i="80"/>
  <c r="N23" i="80"/>
  <c r="O22" i="80"/>
  <c r="N22" i="80"/>
  <c r="O21" i="80"/>
  <c r="N21" i="80"/>
  <c r="O20" i="80"/>
  <c r="N20" i="80"/>
  <c r="O19" i="80"/>
  <c r="N19" i="80"/>
  <c r="O18" i="80"/>
  <c r="N18" i="80"/>
  <c r="O17" i="80"/>
  <c r="N17" i="80"/>
  <c r="O16" i="80"/>
  <c r="N16" i="80"/>
  <c r="O15" i="80"/>
  <c r="N15" i="80"/>
  <c r="O14" i="80"/>
  <c r="N14" i="80"/>
  <c r="O13" i="80"/>
  <c r="N13" i="80"/>
  <c r="O12" i="80"/>
  <c r="N12" i="80"/>
  <c r="O11" i="80"/>
  <c r="N11" i="80"/>
  <c r="O10" i="80"/>
  <c r="N10" i="80"/>
  <c r="O9" i="80"/>
  <c r="N9" i="80"/>
  <c r="O8" i="80"/>
  <c r="N8" i="80"/>
  <c r="O7" i="80"/>
  <c r="N7" i="80"/>
  <c r="O6" i="80"/>
  <c r="N6" i="80"/>
  <c r="O5" i="80"/>
  <c r="N5" i="80"/>
  <c r="O4" i="80"/>
  <c r="N4" i="80"/>
  <c r="O3" i="80"/>
  <c r="N3" i="80"/>
  <c r="O2" i="80"/>
  <c r="N2" i="80"/>
  <c r="P5580" i="80" l="1"/>
  <c r="P4347" i="80"/>
  <c r="P3761" i="80"/>
  <c r="P2698" i="80"/>
  <c r="P2722" i="80"/>
  <c r="P2758" i="80"/>
  <c r="P2848" i="80"/>
  <c r="P2854" i="80"/>
  <c r="P2860" i="80"/>
  <c r="P2866" i="80"/>
  <c r="P2872" i="80"/>
  <c r="P2902" i="80"/>
  <c r="P2908" i="80"/>
  <c r="P2914" i="80"/>
  <c r="P4287" i="80"/>
  <c r="P4293" i="80"/>
  <c r="P4299" i="80"/>
  <c r="P4671" i="80"/>
  <c r="P5128" i="80"/>
  <c r="P2063" i="80"/>
  <c r="P4032" i="80"/>
  <c r="P4050" i="80"/>
  <c r="P4062" i="80"/>
  <c r="P4074" i="80"/>
  <c r="P1289" i="80"/>
  <c r="P4080" i="80"/>
  <c r="P4086" i="80"/>
  <c r="P5082" i="80"/>
  <c r="P5262" i="80"/>
  <c r="P5268" i="80"/>
  <c r="F8" i="85"/>
  <c r="F10" i="85"/>
  <c r="F9" i="85"/>
  <c r="G8" i="85"/>
  <c r="G10" i="85"/>
  <c r="G9" i="85"/>
  <c r="P2745" i="80"/>
  <c r="P2817" i="80"/>
  <c r="P4359" i="80"/>
  <c r="P2920" i="80"/>
  <c r="P2926" i="80"/>
  <c r="P2950" i="80"/>
  <c r="P2956" i="80"/>
  <c r="P2998" i="80"/>
  <c r="P3010" i="80"/>
  <c r="P3022" i="80"/>
  <c r="P3070" i="80"/>
  <c r="P3082" i="80"/>
  <c r="P3154" i="80"/>
  <c r="P3190" i="80"/>
  <c r="P3202" i="80"/>
  <c r="P3214" i="80"/>
  <c r="P3220" i="80"/>
  <c r="P3592" i="80"/>
  <c r="P3598" i="80"/>
  <c r="P3604" i="80"/>
  <c r="P3610" i="80"/>
  <c r="P3616" i="80"/>
  <c r="P3622" i="80"/>
  <c r="P3628" i="80"/>
  <c r="P3634" i="80"/>
  <c r="P3640" i="80"/>
  <c r="P3646" i="80"/>
  <c r="P3652" i="80"/>
  <c r="P3658" i="80"/>
  <c r="P3664" i="80"/>
  <c r="P5062" i="80"/>
  <c r="P5302" i="80"/>
  <c r="P1187" i="80"/>
  <c r="P903" i="80"/>
  <c r="P909" i="80"/>
  <c r="P1131" i="80"/>
  <c r="P1149" i="80"/>
  <c r="P1155" i="80"/>
  <c r="P1407" i="80"/>
  <c r="P1419" i="80"/>
  <c r="P1431" i="80"/>
  <c r="P1467" i="80"/>
  <c r="P1869" i="80"/>
  <c r="P58" i="80"/>
  <c r="P64" i="80"/>
  <c r="P70" i="80"/>
  <c r="P82" i="80"/>
  <c r="P88" i="80"/>
  <c r="P112" i="80"/>
  <c r="P124" i="80"/>
  <c r="P136" i="80"/>
  <c r="P454" i="80"/>
  <c r="P478" i="80"/>
  <c r="P490" i="80"/>
  <c r="P496" i="80"/>
  <c r="P508" i="80"/>
  <c r="P532" i="80"/>
  <c r="P544" i="80"/>
  <c r="P562" i="80"/>
  <c r="P568" i="80"/>
  <c r="P574" i="80"/>
  <c r="P580" i="80"/>
  <c r="P586" i="80"/>
  <c r="P592" i="80"/>
  <c r="P598" i="80"/>
  <c r="P604" i="80"/>
  <c r="P610" i="80"/>
  <c r="P616" i="80"/>
  <c r="P622" i="80"/>
  <c r="P628" i="80"/>
  <c r="P634" i="80"/>
  <c r="P640" i="80"/>
  <c r="P646" i="80"/>
  <c r="P652" i="80"/>
  <c r="P658" i="80"/>
  <c r="P664" i="80"/>
  <c r="P670" i="80"/>
  <c r="P676" i="80"/>
  <c r="P682" i="80"/>
  <c r="P688" i="80"/>
  <c r="P694" i="80"/>
  <c r="P5290" i="80"/>
  <c r="P2297" i="80"/>
  <c r="P2717" i="80"/>
  <c r="P2729" i="80"/>
  <c r="P3263" i="80"/>
  <c r="P3269" i="80"/>
  <c r="P3353" i="80"/>
  <c r="P3359" i="80"/>
  <c r="P3377" i="80"/>
  <c r="P3383" i="80"/>
  <c r="P3389" i="80"/>
  <c r="P3515" i="80"/>
  <c r="P3557" i="80"/>
  <c r="P3563" i="80"/>
  <c r="P4517" i="80"/>
  <c r="P5099" i="80"/>
  <c r="P5105" i="80"/>
  <c r="P5225" i="80"/>
  <c r="P5231" i="80"/>
  <c r="P5237" i="80"/>
  <c r="P5249" i="80"/>
  <c r="P2772" i="80"/>
  <c r="P2778" i="80"/>
  <c r="P2784" i="80"/>
  <c r="P2790" i="80"/>
  <c r="P446" i="80"/>
  <c r="P2931" i="80"/>
  <c r="P2937" i="80"/>
  <c r="P2949" i="80"/>
  <c r="P2961" i="80"/>
  <c r="P2979" i="80"/>
  <c r="P2985" i="80"/>
  <c r="P3009" i="80"/>
  <c r="P3285" i="80"/>
  <c r="P3327" i="80"/>
  <c r="P4371" i="80"/>
  <c r="P1295" i="80"/>
  <c r="P1991" i="80"/>
  <c r="P2303" i="80"/>
  <c r="P2705" i="80"/>
  <c r="P5286" i="80"/>
  <c r="P5364" i="80"/>
  <c r="C8" i="85"/>
  <c r="C9" i="85"/>
  <c r="C10" i="85"/>
  <c r="D8" i="85"/>
  <c r="D9" i="85"/>
  <c r="P1161" i="80"/>
  <c r="P4311" i="80"/>
  <c r="P4677" i="80"/>
  <c r="P4683" i="80"/>
  <c r="P4689" i="80"/>
  <c r="D10" i="85"/>
  <c r="P1685" i="80"/>
  <c r="P1691" i="80"/>
  <c r="P5088" i="80"/>
  <c r="B8" i="85"/>
  <c r="B10" i="85"/>
  <c r="B9" i="85"/>
  <c r="E8" i="85"/>
  <c r="E10" i="85"/>
  <c r="P3027" i="80"/>
  <c r="P3291" i="80"/>
  <c r="P3046" i="80"/>
  <c r="P3166" i="80"/>
  <c r="P3226" i="80"/>
  <c r="P1602" i="80"/>
  <c r="P20" i="80"/>
  <c r="P38" i="80"/>
  <c r="P44" i="80"/>
  <c r="P68" i="80"/>
  <c r="P74" i="80"/>
  <c r="P98" i="80"/>
  <c r="P104" i="80"/>
  <c r="P110" i="80"/>
  <c r="P128" i="80"/>
  <c r="P134" i="80"/>
  <c r="P152" i="80"/>
  <c r="P3458" i="80"/>
  <c r="P3464" i="80"/>
  <c r="P3500" i="80"/>
  <c r="P3506" i="80"/>
  <c r="P3512" i="80"/>
  <c r="P3542" i="80"/>
  <c r="P3590" i="80"/>
  <c r="P3596" i="80"/>
  <c r="P3602" i="80"/>
  <c r="P3608" i="80"/>
  <c r="P3614" i="80"/>
  <c r="P3620" i="80"/>
  <c r="P3626" i="80"/>
  <c r="P3632" i="80"/>
  <c r="P3638" i="80"/>
  <c r="P3644" i="80"/>
  <c r="P3650" i="80"/>
  <c r="P3656" i="80"/>
  <c r="P3806" i="80"/>
  <c r="P3812" i="80"/>
  <c r="P3860" i="80"/>
  <c r="P3980" i="80"/>
  <c r="P3998" i="80"/>
  <c r="P4004" i="80"/>
  <c r="P4034" i="80"/>
  <c r="P4040" i="80"/>
  <c r="P4046" i="80"/>
  <c r="P4052" i="80"/>
  <c r="P4058" i="80"/>
  <c r="P4064" i="80"/>
  <c r="P4070" i="80"/>
  <c r="P4076" i="80"/>
  <c r="P4082" i="80"/>
  <c r="P4088" i="80"/>
  <c r="P4094" i="80"/>
  <c r="P4100" i="80"/>
  <c r="P4106" i="80"/>
  <c r="P4112" i="80"/>
  <c r="P4118" i="80"/>
  <c r="P4124" i="80"/>
  <c r="P4130" i="80"/>
  <c r="P4136" i="80"/>
  <c r="P4142" i="80"/>
  <c r="P4148" i="80"/>
  <c r="P4154" i="80"/>
  <c r="P4166" i="80"/>
  <c r="P4172" i="80"/>
  <c r="P5132" i="80"/>
  <c r="P5246" i="80"/>
  <c r="P5288" i="80"/>
  <c r="P5378" i="80"/>
  <c r="P5582" i="80"/>
  <c r="P5600" i="80"/>
  <c r="P5606" i="80"/>
  <c r="P5612" i="80"/>
  <c r="P5648" i="80"/>
  <c r="P5654" i="80"/>
  <c r="P5660" i="80"/>
  <c r="P5666" i="80"/>
  <c r="P5672" i="80"/>
  <c r="P5678" i="80"/>
  <c r="P5684" i="80"/>
  <c r="P5690" i="80"/>
  <c r="P5696" i="80"/>
  <c r="P5702" i="80"/>
  <c r="P5708" i="80"/>
  <c r="P5714" i="80"/>
  <c r="P5720" i="80"/>
  <c r="P5726" i="80"/>
  <c r="P5732" i="80"/>
  <c r="P5738" i="80"/>
  <c r="P5744" i="80"/>
  <c r="P5750" i="80"/>
  <c r="P5756" i="80"/>
  <c r="P5762" i="80"/>
  <c r="P5768" i="80"/>
  <c r="P5774" i="80"/>
  <c r="P5780" i="80"/>
  <c r="P5786" i="80"/>
  <c r="P5792" i="80"/>
  <c r="P6068" i="80"/>
  <c r="P6074" i="80"/>
  <c r="P6140" i="80"/>
  <c r="P6404" i="80"/>
  <c r="P6410" i="80"/>
  <c r="P6452" i="80"/>
  <c r="P6458" i="80"/>
  <c r="P6464" i="80"/>
  <c r="P6476" i="80"/>
  <c r="P6488" i="80"/>
  <c r="P5938" i="80"/>
  <c r="P5944" i="80"/>
  <c r="P5950" i="80"/>
  <c r="P5968" i="80"/>
  <c r="P6082" i="80"/>
  <c r="P6112" i="80"/>
  <c r="P6118" i="80"/>
  <c r="P3767" i="80"/>
  <c r="P3773" i="80"/>
  <c r="P4031" i="80"/>
  <c r="P4061" i="80"/>
  <c r="P5418" i="80"/>
  <c r="P452" i="80"/>
  <c r="P4178" i="80"/>
  <c r="P4214" i="80"/>
  <c r="P4238" i="80"/>
  <c r="P4244" i="80"/>
  <c r="P4256" i="80"/>
  <c r="P4268" i="80"/>
  <c r="P4280" i="80"/>
  <c r="P4292" i="80"/>
  <c r="P4304" i="80"/>
  <c r="P4316" i="80"/>
  <c r="P4328" i="80"/>
  <c r="P4340" i="80"/>
  <c r="P4352" i="80"/>
  <c r="P4358" i="80"/>
  <c r="P4364" i="80"/>
  <c r="P4370" i="80"/>
  <c r="P4376" i="80"/>
  <c r="P4382" i="80"/>
  <c r="P4388" i="80"/>
  <c r="P4394" i="80"/>
  <c r="P4400" i="80"/>
  <c r="P4406" i="80"/>
  <c r="P4412" i="80"/>
  <c r="P4418" i="80"/>
  <c r="P4424" i="80"/>
  <c r="P4430" i="80"/>
  <c r="P4496" i="80"/>
  <c r="P4568" i="80"/>
  <c r="P4604" i="80"/>
  <c r="P4610" i="80"/>
  <c r="P4616" i="80"/>
  <c r="P5798" i="80"/>
  <c r="P5804" i="80"/>
  <c r="P5810" i="80"/>
  <c r="P5816" i="80"/>
  <c r="P5822" i="80"/>
  <c r="P5828" i="80"/>
  <c r="P5834" i="80"/>
  <c r="P5840" i="80"/>
  <c r="P6146" i="80"/>
  <c r="P1443" i="80"/>
  <c r="P1939" i="80"/>
  <c r="P5338" i="80"/>
  <c r="P5470" i="80"/>
  <c r="P6298" i="80"/>
  <c r="P6364" i="80"/>
  <c r="P4073" i="80"/>
  <c r="P1606" i="80"/>
  <c r="P1690" i="80"/>
  <c r="P2566" i="80"/>
  <c r="P2608" i="80"/>
  <c r="P2638" i="80"/>
  <c r="P3258" i="80"/>
  <c r="P3241" i="80"/>
  <c r="P841" i="80"/>
  <c r="P871" i="80"/>
  <c r="P5347" i="80"/>
  <c r="P5359" i="80"/>
  <c r="P5371" i="80"/>
  <c r="P4010" i="80"/>
  <c r="P4508" i="80"/>
  <c r="P6361" i="80"/>
  <c r="P470" i="80"/>
  <c r="P1694" i="80"/>
  <c r="P2180" i="80"/>
  <c r="P2456" i="80"/>
  <c r="P2462" i="80"/>
  <c r="P2480" i="80"/>
  <c r="P2492" i="80"/>
  <c r="P2528" i="80"/>
  <c r="P2534" i="80"/>
  <c r="P2546" i="80"/>
  <c r="P2570" i="80"/>
  <c r="P1479" i="80"/>
  <c r="P1515" i="80"/>
  <c r="P1881" i="80"/>
  <c r="P1917" i="80"/>
  <c r="P4455" i="80"/>
  <c r="P4479" i="80"/>
  <c r="P4695" i="80"/>
  <c r="P4707" i="80"/>
  <c r="P4713" i="80"/>
  <c r="P4725" i="80"/>
  <c r="P4737" i="80"/>
  <c r="P4833" i="80"/>
  <c r="P2453" i="80"/>
  <c r="P3785" i="80"/>
  <c r="P3791" i="80"/>
  <c r="P3941" i="80"/>
  <c r="P4079" i="80"/>
  <c r="P4085" i="80"/>
  <c r="P5021" i="80"/>
  <c r="P5123" i="80"/>
  <c r="P5261" i="80"/>
  <c r="P3126" i="80"/>
  <c r="P4668" i="80"/>
  <c r="P4680" i="80"/>
  <c r="P4758" i="80"/>
  <c r="P4764" i="80"/>
  <c r="P4770" i="80"/>
  <c r="P55" i="80"/>
  <c r="P793" i="80"/>
  <c r="P799" i="80"/>
  <c r="P823" i="80"/>
  <c r="P877" i="80"/>
  <c r="P883" i="80"/>
  <c r="P1393" i="80"/>
  <c r="P1471" i="80"/>
  <c r="P1483" i="80"/>
  <c r="P1507" i="80"/>
  <c r="P1519" i="80"/>
  <c r="P1555" i="80"/>
  <c r="P1567" i="80"/>
  <c r="P1699" i="80"/>
  <c r="P1819" i="80"/>
  <c r="P1825" i="80"/>
  <c r="P1831" i="80"/>
  <c r="P1867" i="80"/>
  <c r="P3816" i="80"/>
  <c r="P4560" i="80"/>
  <c r="P4896" i="80"/>
  <c r="P3523" i="80"/>
  <c r="P3859" i="80"/>
  <c r="P3961" i="80"/>
  <c r="P2841" i="80"/>
  <c r="P3033" i="80"/>
  <c r="P3057" i="80"/>
  <c r="P3075" i="80"/>
  <c r="P3081" i="80"/>
  <c r="P3105" i="80"/>
  <c r="P3297" i="80"/>
  <c r="P3417" i="80"/>
  <c r="P3423" i="80"/>
  <c r="P3429" i="80"/>
  <c r="P3441" i="80"/>
  <c r="P3447" i="80"/>
  <c r="P3591" i="80"/>
  <c r="P3849" i="80"/>
  <c r="P3855" i="80"/>
  <c r="P3873" i="80"/>
  <c r="P3945" i="80"/>
  <c r="P3957" i="80"/>
  <c r="P3963" i="80"/>
  <c r="P3981" i="80"/>
  <c r="P4005" i="80"/>
  <c r="P4443" i="80"/>
  <c r="P700" i="80"/>
  <c r="P850" i="80"/>
  <c r="P856" i="80"/>
  <c r="P874" i="80"/>
  <c r="P1540" i="80"/>
  <c r="P1552" i="80"/>
  <c r="P1564" i="80"/>
  <c r="P1588" i="80"/>
  <c r="P1996" i="80"/>
  <c r="P2044" i="80"/>
  <c r="P2050" i="80"/>
  <c r="P2056" i="80"/>
  <c r="P2068" i="80"/>
  <c r="P2140" i="80"/>
  <c r="P2146" i="80"/>
  <c r="P2152" i="80"/>
  <c r="P2158" i="80"/>
  <c r="P2164" i="80"/>
  <c r="P2176" i="80"/>
  <c r="P2248" i="80"/>
  <c r="P2260" i="80"/>
  <c r="P2284" i="80"/>
  <c r="P2290" i="80"/>
  <c r="P2296" i="80"/>
  <c r="P2308" i="80"/>
  <c r="P2320" i="80"/>
  <c r="P2326" i="80"/>
  <c r="P2332" i="80"/>
  <c r="P2338" i="80"/>
  <c r="P2350" i="80"/>
  <c r="P2452" i="80"/>
  <c r="P2458" i="80"/>
  <c r="P2464" i="80"/>
  <c r="P2470" i="80"/>
  <c r="P2482" i="80"/>
  <c r="P2488" i="80"/>
  <c r="P2494" i="80"/>
  <c r="P2506" i="80"/>
  <c r="P2512" i="80"/>
  <c r="P2518" i="80"/>
  <c r="P2524" i="80"/>
  <c r="P2530" i="80"/>
  <c r="P2536" i="80"/>
  <c r="P2548" i="80"/>
  <c r="P5439" i="80"/>
  <c r="P5925" i="80"/>
  <c r="P443" i="80"/>
  <c r="P863" i="80"/>
  <c r="P869" i="80"/>
  <c r="P971" i="80"/>
  <c r="P1817" i="80"/>
  <c r="P2855" i="80"/>
  <c r="P2885" i="80"/>
  <c r="P2915" i="80"/>
  <c r="P5267" i="80"/>
  <c r="P822" i="80"/>
  <c r="P906" i="80"/>
  <c r="P930" i="80"/>
  <c r="P936" i="80"/>
  <c r="P1086" i="80"/>
  <c r="P1092" i="80"/>
  <c r="P1098" i="80"/>
  <c r="P1200" i="80"/>
  <c r="P1212" i="80"/>
  <c r="P1218" i="80"/>
  <c r="P1224" i="80"/>
  <c r="P1236" i="80"/>
  <c r="P1242" i="80"/>
  <c r="P1248" i="80"/>
  <c r="P1260" i="80"/>
  <c r="P1266" i="80"/>
  <c r="P1272" i="80"/>
  <c r="P1278" i="80"/>
  <c r="P1398" i="80"/>
  <c r="P1404" i="80"/>
  <c r="P1434" i="80"/>
  <c r="P1440" i="80"/>
  <c r="P1446" i="80"/>
  <c r="P1680" i="80"/>
  <c r="P1692" i="80"/>
  <c r="P1794" i="80"/>
  <c r="P1950" i="80"/>
  <c r="P1956" i="80"/>
  <c r="P1980" i="80"/>
  <c r="P2364" i="80"/>
  <c r="P2454" i="80"/>
  <c r="P2460" i="80"/>
  <c r="P2466" i="80"/>
  <c r="P2472" i="80"/>
  <c r="P2490" i="80"/>
  <c r="P2496" i="80"/>
  <c r="P3857" i="80"/>
  <c r="P3953" i="80"/>
  <c r="P3977" i="80"/>
  <c r="P5903" i="80"/>
  <c r="P6047" i="80"/>
  <c r="P6389" i="80"/>
  <c r="P4794" i="80"/>
  <c r="P459" i="80"/>
  <c r="P2714" i="80"/>
  <c r="P2738" i="80"/>
  <c r="P2750" i="80"/>
  <c r="P2810" i="80"/>
  <c r="P2876" i="80"/>
  <c r="P2882" i="80"/>
  <c r="P3014" i="80"/>
  <c r="P3026" i="80"/>
  <c r="P3038" i="80"/>
  <c r="P3062" i="80"/>
  <c r="P3074" i="80"/>
  <c r="P3086" i="80"/>
  <c r="P3110" i="80"/>
  <c r="P3122" i="80"/>
  <c r="P3134" i="80"/>
  <c r="P3146" i="80"/>
  <c r="P3158" i="80"/>
  <c r="P3242" i="80"/>
  <c r="P3248" i="80"/>
  <c r="P3260" i="80"/>
  <c r="P3266" i="80"/>
  <c r="P3272" i="80"/>
  <c r="P3290" i="80"/>
  <c r="P3296" i="80"/>
  <c r="P3302" i="80"/>
  <c r="P3308" i="80"/>
  <c r="P3314" i="80"/>
  <c r="P3320" i="80"/>
  <c r="P3368" i="80"/>
  <c r="P3410" i="80"/>
  <c r="P3416" i="80"/>
  <c r="P1851" i="80"/>
  <c r="P1863" i="80"/>
  <c r="P2043" i="80"/>
  <c r="P2067" i="80"/>
  <c r="P3896" i="80"/>
  <c r="P1684" i="80"/>
  <c r="P2356" i="80"/>
  <c r="P2554" i="80"/>
  <c r="P2584" i="80"/>
  <c r="P3885" i="80"/>
  <c r="P1648" i="80"/>
  <c r="P2770" i="80"/>
  <c r="P2794" i="80"/>
  <c r="P2818" i="80"/>
  <c r="P2824" i="80"/>
  <c r="P4467" i="80"/>
  <c r="P6387" i="80"/>
  <c r="P6465" i="80"/>
  <c r="P1811" i="80"/>
  <c r="P2704" i="80"/>
  <c r="P462" i="80"/>
  <c r="P2111" i="80"/>
  <c r="P2819" i="80"/>
  <c r="P2843" i="80"/>
  <c r="P2861" i="80"/>
  <c r="P2897" i="80"/>
  <c r="P2921" i="80"/>
  <c r="P3245" i="80"/>
  <c r="P3281" i="80"/>
  <c r="P3287" i="80"/>
  <c r="P3305" i="80"/>
  <c r="P3311" i="80"/>
  <c r="P3317" i="80"/>
  <c r="P3365" i="80"/>
  <c r="P3401" i="80"/>
  <c r="P3407" i="80"/>
  <c r="P3413" i="80"/>
  <c r="P3425" i="80"/>
  <c r="P3431" i="80"/>
  <c r="P3455" i="80"/>
  <c r="P3533" i="80"/>
  <c r="P3779" i="80"/>
  <c r="P4504" i="80"/>
  <c r="P4936" i="80"/>
  <c r="P5110" i="80"/>
  <c r="P5308" i="80"/>
  <c r="P5974" i="80"/>
  <c r="P5986" i="80"/>
  <c r="P6040" i="80"/>
  <c r="P6058" i="80"/>
  <c r="P6130" i="80"/>
  <c r="P2304" i="80"/>
  <c r="P3929" i="80"/>
  <c r="P1225" i="80"/>
  <c r="P6269" i="80"/>
  <c r="P3924" i="80"/>
  <c r="P4728" i="80"/>
  <c r="P854" i="80"/>
  <c r="P956" i="80"/>
  <c r="P1220" i="80"/>
  <c r="P1226" i="80"/>
  <c r="P1232" i="80"/>
  <c r="P1244" i="80"/>
  <c r="P1250" i="80"/>
  <c r="P1256" i="80"/>
  <c r="P1262" i="80"/>
  <c r="P1268" i="80"/>
  <c r="P1274" i="80"/>
  <c r="P1670" i="80"/>
  <c r="P1676" i="80"/>
  <c r="P1682" i="80"/>
  <c r="P1874" i="80"/>
  <c r="P1880" i="80"/>
  <c r="P1898" i="80"/>
  <c r="P1904" i="80"/>
  <c r="P2000" i="80"/>
  <c r="P2042" i="80"/>
  <c r="P2048" i="80"/>
  <c r="P2066" i="80"/>
  <c r="P2078" i="80"/>
  <c r="P2210" i="80"/>
  <c r="P2270" i="80"/>
  <c r="P2300" i="80"/>
  <c r="P2312" i="80"/>
  <c r="P2318" i="80"/>
  <c r="P2366" i="80"/>
  <c r="P2372" i="80"/>
  <c r="P3895" i="80"/>
  <c r="P3907" i="80"/>
  <c r="P3913" i="80"/>
  <c r="P4608" i="80"/>
  <c r="P5322" i="80"/>
  <c r="P6468" i="80"/>
  <c r="P3872" i="80"/>
  <c r="P3884" i="80"/>
  <c r="P3914" i="80"/>
  <c r="P3920" i="80"/>
  <c r="P4189" i="80"/>
  <c r="P4213" i="80"/>
  <c r="P4225" i="80"/>
  <c r="P4237" i="80"/>
  <c r="P4243" i="80"/>
  <c r="P4255" i="80"/>
  <c r="P4267" i="80"/>
  <c r="P4279" i="80"/>
  <c r="P4291" i="80"/>
  <c r="P4303" i="80"/>
  <c r="P4315" i="80"/>
  <c r="P4327" i="80"/>
  <c r="P4339" i="80"/>
  <c r="P4747" i="80"/>
  <c r="P4759" i="80"/>
  <c r="P4777" i="80"/>
  <c r="P4783" i="80"/>
  <c r="P5239" i="80"/>
  <c r="P5245" i="80"/>
  <c r="P5587" i="80"/>
  <c r="P5599" i="80"/>
  <c r="P5605" i="80"/>
  <c r="P5647" i="80"/>
  <c r="P5653" i="80"/>
  <c r="P5659" i="80"/>
  <c r="P5665" i="80"/>
  <c r="P5671" i="80"/>
  <c r="P5677" i="80"/>
  <c r="P5683" i="80"/>
  <c r="P5689" i="80"/>
  <c r="P5695" i="80"/>
  <c r="P5701" i="80"/>
  <c r="P5707" i="80"/>
  <c r="P5713" i="80"/>
  <c r="P5719" i="80"/>
  <c r="P5725" i="80"/>
  <c r="P5731" i="80"/>
  <c r="P5737" i="80"/>
  <c r="P5743" i="80"/>
  <c r="P5749" i="80"/>
  <c r="P5755" i="80"/>
  <c r="P5761" i="80"/>
  <c r="P5767" i="80"/>
  <c r="P5773" i="80"/>
  <c r="P5779" i="80"/>
  <c r="P5785" i="80"/>
  <c r="P5791" i="80"/>
  <c r="P5797" i="80"/>
  <c r="P5803" i="80"/>
  <c r="P5809" i="80"/>
  <c r="P5815" i="80"/>
  <c r="P5821" i="80"/>
  <c r="P5905" i="80"/>
  <c r="P828" i="80"/>
  <c r="P834" i="80"/>
  <c r="P858" i="80"/>
  <c r="P870" i="80"/>
  <c r="P893" i="80"/>
  <c r="P2188" i="80"/>
  <c r="P2560" i="80"/>
  <c r="P2602" i="80"/>
  <c r="P2632" i="80"/>
  <c r="P3944" i="80"/>
  <c r="P3968" i="80"/>
  <c r="P1452" i="80"/>
  <c r="P4556" i="80"/>
  <c r="P4826" i="80"/>
  <c r="P4964" i="80"/>
  <c r="P5048" i="80"/>
  <c r="P5054" i="80"/>
  <c r="P5060" i="80"/>
  <c r="P5066" i="80"/>
  <c r="P5180" i="80"/>
  <c r="P5306" i="80"/>
  <c r="P5420" i="80"/>
  <c r="P5432" i="80"/>
  <c r="P5444" i="80"/>
  <c r="P5552" i="80"/>
  <c r="P5558" i="80"/>
  <c r="P5930" i="80"/>
  <c r="P5972" i="80"/>
  <c r="P1386" i="80"/>
  <c r="P2609" i="80"/>
  <c r="P2681" i="80"/>
  <c r="P3904" i="80"/>
  <c r="P3910" i="80"/>
  <c r="P3916" i="80"/>
  <c r="P3987" i="80"/>
  <c r="P4035" i="80"/>
  <c r="P4851" i="80"/>
  <c r="P4863" i="80"/>
  <c r="P4869" i="80"/>
  <c r="P4881" i="80"/>
  <c r="P4887" i="80"/>
  <c r="P4929" i="80"/>
  <c r="P4935" i="80"/>
  <c r="P5049" i="80"/>
  <c r="P5097" i="80"/>
  <c r="P5103" i="80"/>
  <c r="P5121" i="80"/>
  <c r="P5127" i="80"/>
  <c r="P5211" i="80"/>
  <c r="P5277" i="80"/>
  <c r="P6063" i="80"/>
  <c r="P6087" i="80"/>
  <c r="P6093" i="80"/>
  <c r="P6117" i="80"/>
  <c r="P6123" i="80"/>
  <c r="P6135" i="80"/>
  <c r="P6147" i="80"/>
  <c r="P6273" i="80"/>
  <c r="P6285" i="80"/>
  <c r="P6291" i="80"/>
  <c r="P3851" i="80"/>
  <c r="P3958" i="80"/>
  <c r="P3964" i="80"/>
  <c r="P3976" i="80"/>
  <c r="P4503" i="80"/>
  <c r="P4515" i="80"/>
  <c r="P117" i="80"/>
  <c r="P536" i="80"/>
  <c r="P3833" i="80"/>
  <c r="P3869" i="80"/>
  <c r="P3875" i="80"/>
  <c r="P3887" i="80"/>
  <c r="P3911" i="80"/>
  <c r="P3917" i="80"/>
  <c r="P3923" i="80"/>
  <c r="P4576" i="80"/>
  <c r="P4588" i="80"/>
  <c r="P4600" i="80"/>
  <c r="P4606" i="80"/>
  <c r="P4630" i="80"/>
  <c r="P4636" i="80"/>
  <c r="P4642" i="80"/>
  <c r="P4648" i="80"/>
  <c r="P4660" i="80"/>
  <c r="P4810" i="80"/>
  <c r="P4858" i="80"/>
  <c r="P4876" i="80"/>
  <c r="P4966" i="80"/>
  <c r="P22" i="80"/>
  <c r="P3276" i="80"/>
  <c r="P3282" i="80"/>
  <c r="P3288" i="80"/>
  <c r="P3330" i="80"/>
  <c r="P3336" i="80"/>
  <c r="P3354" i="80"/>
  <c r="P3366" i="80"/>
  <c r="P3384" i="80"/>
  <c r="P3432" i="80"/>
  <c r="P3474" i="80"/>
  <c r="P3480" i="80"/>
  <c r="P3486" i="80"/>
  <c r="P3498" i="80"/>
  <c r="P5140" i="80"/>
  <c r="P5146" i="80"/>
  <c r="P6400" i="80"/>
  <c r="P6406" i="80"/>
  <c r="P843" i="80"/>
  <c r="P855" i="80"/>
  <c r="P861" i="80"/>
  <c r="P902" i="80"/>
  <c r="P1100" i="80"/>
  <c r="P1856" i="80"/>
  <c r="P1981" i="80"/>
  <c r="P1993" i="80"/>
  <c r="P2143" i="80"/>
  <c r="P2149" i="80"/>
  <c r="P2167" i="80"/>
  <c r="P2203" i="80"/>
  <c r="P2221" i="80"/>
  <c r="P2227" i="80"/>
  <c r="P2239" i="80"/>
  <c r="P2245" i="80"/>
  <c r="P2251" i="80"/>
  <c r="P2287" i="80"/>
  <c r="P2323" i="80"/>
  <c r="P2335" i="80"/>
  <c r="P2347" i="80"/>
  <c r="P2353" i="80"/>
  <c r="P2359" i="80"/>
  <c r="P2371" i="80"/>
  <c r="P2557" i="80"/>
  <c r="P2569" i="80"/>
  <c r="P3870" i="80"/>
  <c r="P3876" i="80"/>
  <c r="P3882" i="80"/>
  <c r="P3888" i="80"/>
  <c r="P3936" i="80"/>
  <c r="P4007" i="80"/>
  <c r="P4829" i="80"/>
  <c r="P5057" i="80"/>
  <c r="P5129" i="80"/>
  <c r="P5273" i="80"/>
  <c r="P5291" i="80"/>
  <c r="P5303" i="80"/>
  <c r="P5315" i="80"/>
  <c r="P5423" i="80"/>
  <c r="P5939" i="80"/>
  <c r="P5969" i="80"/>
  <c r="P5981" i="80"/>
  <c r="P5987" i="80"/>
  <c r="P6011" i="80"/>
  <c r="P6023" i="80"/>
  <c r="P6059" i="80"/>
  <c r="P6221" i="80"/>
  <c r="P6245" i="80"/>
  <c r="P6251" i="80"/>
  <c r="P6257" i="80"/>
  <c r="P6353" i="80"/>
  <c r="P6413" i="80"/>
  <c r="P6419" i="80"/>
  <c r="P4163" i="80"/>
  <c r="P4217" i="80"/>
  <c r="P4229" i="80"/>
  <c r="P4241" i="80"/>
  <c r="P4559" i="80"/>
  <c r="P4607" i="80"/>
  <c r="P4619" i="80"/>
  <c r="P1695" i="80"/>
  <c r="P1731" i="80"/>
  <c r="P1785" i="80"/>
  <c r="P2228" i="80"/>
  <c r="P2737" i="80"/>
  <c r="P2785" i="80"/>
  <c r="P3829" i="80"/>
  <c r="P4512" i="80"/>
  <c r="P5934" i="80"/>
  <c r="P5976" i="80"/>
  <c r="P5982" i="80"/>
  <c r="P6012" i="80"/>
  <c r="P6018" i="80"/>
  <c r="P6024" i="80"/>
  <c r="P6162" i="80"/>
  <c r="P6186" i="80"/>
  <c r="P6192" i="80"/>
  <c r="P6210" i="80"/>
  <c r="P6222" i="80"/>
  <c r="P6234" i="80"/>
  <c r="P6240" i="80"/>
  <c r="P6258" i="80"/>
  <c r="P6264" i="80"/>
  <c r="P6318" i="80"/>
  <c r="P6336" i="80"/>
  <c r="P6" i="80"/>
  <c r="P30" i="80"/>
  <c r="P36" i="80"/>
  <c r="P144" i="80"/>
  <c r="P922" i="80"/>
  <c r="P928" i="80"/>
  <c r="P1114" i="80"/>
  <c r="P1132" i="80"/>
  <c r="P1156" i="80"/>
  <c r="P1168" i="80"/>
  <c r="P1180" i="80"/>
  <c r="P1216" i="80"/>
  <c r="P1468" i="80"/>
  <c r="P1600" i="80"/>
  <c r="P2264" i="80"/>
  <c r="P2576" i="80"/>
  <c r="P3877" i="80"/>
  <c r="P3925" i="80"/>
  <c r="P4854" i="80"/>
  <c r="P73" i="80"/>
  <c r="P133" i="80"/>
  <c r="P169" i="80"/>
  <c r="P175" i="80"/>
  <c r="P265" i="80"/>
  <c r="P271" i="80"/>
  <c r="P277" i="80"/>
  <c r="P283" i="80"/>
  <c r="P289" i="80"/>
  <c r="P295" i="80"/>
  <c r="P301" i="80"/>
  <c r="P307" i="80"/>
  <c r="P313" i="80"/>
  <c r="P319" i="80"/>
  <c r="P325" i="80"/>
  <c r="P331" i="80"/>
  <c r="P337" i="80"/>
  <c r="P427" i="80"/>
  <c r="P4" i="80"/>
  <c r="P272" i="80"/>
  <c r="P284" i="80"/>
  <c r="P296" i="80"/>
  <c r="P308" i="80"/>
  <c r="P320" i="80"/>
  <c r="P332" i="80"/>
  <c r="P344" i="80"/>
  <c r="P356" i="80"/>
  <c r="P368" i="80"/>
  <c r="P380" i="80"/>
  <c r="P392" i="80"/>
  <c r="P404" i="80"/>
  <c r="P416" i="80"/>
  <c r="P267" i="80"/>
  <c r="P273" i="80"/>
  <c r="P279" i="80"/>
  <c r="P285" i="80"/>
  <c r="P291" i="80"/>
  <c r="P297" i="80"/>
  <c r="P303" i="80"/>
  <c r="P309" i="80"/>
  <c r="P315" i="80"/>
  <c r="P321" i="80"/>
  <c r="P327" i="80"/>
  <c r="P333" i="80"/>
  <c r="P339" i="80"/>
  <c r="P345" i="80"/>
  <c r="P351" i="80"/>
  <c r="P357" i="80"/>
  <c r="P363" i="80"/>
  <c r="P369" i="80"/>
  <c r="P375" i="80"/>
  <c r="P381" i="80"/>
  <c r="P387" i="80"/>
  <c r="P393" i="80"/>
  <c r="P399" i="80"/>
  <c r="P405" i="80"/>
  <c r="P411" i="80"/>
  <c r="P417" i="80"/>
  <c r="P423" i="80"/>
  <c r="P429" i="80"/>
  <c r="P46" i="80"/>
  <c r="P160" i="80"/>
  <c r="P184" i="80"/>
  <c r="P430" i="80"/>
  <c r="P436" i="80"/>
  <c r="P3840" i="80"/>
  <c r="P23" i="80"/>
  <c r="P29" i="80"/>
  <c r="P101" i="80"/>
  <c r="P113" i="80"/>
  <c r="P119" i="80"/>
  <c r="P125" i="80"/>
  <c r="P438" i="80"/>
  <c r="P468" i="80"/>
  <c r="P898" i="80"/>
  <c r="P915" i="80"/>
  <c r="P945" i="80"/>
  <c r="P1089" i="80"/>
  <c r="P1095" i="80"/>
  <c r="P1112" i="80"/>
  <c r="P1124" i="80"/>
  <c r="P1436" i="80"/>
  <c r="P1448" i="80"/>
  <c r="P1686" i="80"/>
  <c r="P2091" i="80"/>
  <c r="P2127" i="80"/>
  <c r="P2139" i="80"/>
  <c r="P2163" i="80"/>
  <c r="P2169" i="80"/>
  <c r="P2187" i="80"/>
  <c r="P2193" i="80"/>
  <c r="P2199" i="80"/>
  <c r="P2205" i="80"/>
  <c r="P2211" i="80"/>
  <c r="P2223" i="80"/>
  <c r="P2235" i="80"/>
  <c r="P2253" i="80"/>
  <c r="P2259" i="80"/>
  <c r="P2265" i="80"/>
  <c r="P2283" i="80"/>
  <c r="P2289" i="80"/>
  <c r="P2295" i="80"/>
  <c r="P2313" i="80"/>
  <c r="P2319" i="80"/>
  <c r="P2325" i="80"/>
  <c r="P2331" i="80"/>
  <c r="P2337" i="80"/>
  <c r="P2343" i="80"/>
  <c r="P2373" i="80"/>
  <c r="P2815" i="80"/>
  <c r="P2899" i="80"/>
  <c r="P2905" i="80"/>
  <c r="P2917" i="80"/>
  <c r="P2929" i="80"/>
  <c r="P2947" i="80"/>
  <c r="P2995" i="80"/>
  <c r="P3001" i="80"/>
  <c r="P3043" i="80"/>
  <c r="P3049" i="80"/>
  <c r="P3073" i="80"/>
  <c r="P3091" i="80"/>
  <c r="P3121" i="80"/>
  <c r="P3139" i="80"/>
  <c r="P3145" i="80"/>
  <c r="P3169" i="80"/>
  <c r="P3175" i="80"/>
  <c r="P3187" i="80"/>
  <c r="P3193" i="80"/>
  <c r="P3205" i="80"/>
  <c r="P3822" i="80"/>
  <c r="P3828" i="80"/>
  <c r="P3834" i="80"/>
  <c r="P3845" i="80"/>
  <c r="P3892" i="80"/>
  <c r="P3933" i="80"/>
  <c r="P3939" i="80"/>
  <c r="P3992" i="80"/>
  <c r="P4572" i="80"/>
  <c r="P4632" i="80"/>
  <c r="P4715" i="80"/>
  <c r="P4733" i="80"/>
  <c r="P4762" i="80"/>
  <c r="P4996" i="80"/>
  <c r="P5224" i="80"/>
  <c r="P5565" i="80"/>
  <c r="P5931" i="80"/>
  <c r="P5943" i="80"/>
  <c r="P5955" i="80"/>
  <c r="P5979" i="80"/>
  <c r="P5991" i="80"/>
  <c r="P5997" i="80"/>
  <c r="P6003" i="80"/>
  <c r="P6015" i="80"/>
  <c r="P6039" i="80"/>
  <c r="P6427" i="80"/>
  <c r="P492" i="80"/>
  <c r="P833" i="80"/>
  <c r="P905" i="80"/>
  <c r="P994" i="80"/>
  <c r="P1000" i="80"/>
  <c r="P1006" i="80"/>
  <c r="P1012" i="80"/>
  <c r="P1024" i="80"/>
  <c r="P1036" i="80"/>
  <c r="P1054" i="80"/>
  <c r="P1060" i="80"/>
  <c r="P1066" i="80"/>
  <c r="P1084" i="80"/>
  <c r="P1895" i="80"/>
  <c r="P1931" i="80"/>
  <c r="P2888" i="80"/>
  <c r="P2894" i="80"/>
  <c r="P2918" i="80"/>
  <c r="P2924" i="80"/>
  <c r="P2930" i="80"/>
  <c r="P3170" i="80"/>
  <c r="P3236" i="80"/>
  <c r="P3265" i="80"/>
  <c r="P3289" i="80"/>
  <c r="P3385" i="80"/>
  <c r="P3817" i="80"/>
  <c r="P3864" i="80"/>
  <c r="P3893" i="80"/>
  <c r="P3934" i="80"/>
  <c r="P3940" i="80"/>
  <c r="P3993" i="80"/>
  <c r="P4531" i="80"/>
  <c r="P4769" i="80"/>
  <c r="P5332" i="80"/>
  <c r="P5350" i="80"/>
  <c r="P5356" i="80"/>
  <c r="P5368" i="80"/>
  <c r="P6326" i="80"/>
  <c r="P1228" i="80"/>
  <c r="P1234" i="80"/>
  <c r="P1240" i="80"/>
  <c r="P1366" i="80"/>
  <c r="P2793" i="80"/>
  <c r="P4491" i="80"/>
  <c r="P4497" i="80"/>
  <c r="P4514" i="80"/>
  <c r="P4520" i="80"/>
  <c r="P4532" i="80"/>
  <c r="P4579" i="80"/>
  <c r="P4776" i="80"/>
  <c r="P5447" i="80"/>
  <c r="P5513" i="80"/>
  <c r="P5537" i="80"/>
  <c r="P5914" i="80"/>
  <c r="P846" i="80"/>
  <c r="P1843" i="80"/>
  <c r="P1855" i="80"/>
  <c r="P1861" i="80"/>
  <c r="P2087" i="80"/>
  <c r="P2369" i="80"/>
  <c r="P2465" i="80"/>
  <c r="P2471" i="80"/>
  <c r="P2680" i="80"/>
  <c r="P3111" i="80"/>
  <c r="P3123" i="80"/>
  <c r="P3171" i="80"/>
  <c r="P3177" i="80"/>
  <c r="P3201" i="80"/>
  <c r="P3824" i="80"/>
  <c r="P3830" i="80"/>
  <c r="P3836" i="80"/>
  <c r="P3865" i="80"/>
  <c r="P3894" i="80"/>
  <c r="P3905" i="80"/>
  <c r="P3935" i="80"/>
  <c r="P3982" i="80"/>
  <c r="P3988" i="80"/>
  <c r="P4932" i="80"/>
  <c r="P5016" i="80"/>
  <c r="P6029" i="80"/>
  <c r="P6035" i="80"/>
  <c r="P6220" i="80"/>
  <c r="P6238" i="80"/>
  <c r="P6333" i="80"/>
  <c r="P6477" i="80"/>
  <c r="P894" i="80"/>
  <c r="P918" i="80"/>
  <c r="P1193" i="80"/>
  <c r="P1301" i="80"/>
  <c r="P1307" i="80"/>
  <c r="P1313" i="80"/>
  <c r="P1319" i="80"/>
  <c r="P1325" i="80"/>
  <c r="P1331" i="80"/>
  <c r="P1337" i="80"/>
  <c r="P1343" i="80"/>
  <c r="P1349" i="80"/>
  <c r="P1355" i="80"/>
  <c r="P1385" i="80"/>
  <c r="P1796" i="80"/>
  <c r="P1808" i="80"/>
  <c r="P2728" i="80"/>
  <c r="P2734" i="80"/>
  <c r="P2776" i="80"/>
  <c r="P2782" i="80"/>
  <c r="P2788" i="80"/>
  <c r="P3333" i="80"/>
  <c r="P3339" i="80"/>
  <c r="P3345" i="80"/>
  <c r="P3351" i="80"/>
  <c r="P3369" i="80"/>
  <c r="P3375" i="80"/>
  <c r="P3381" i="80"/>
  <c r="P3453" i="80"/>
  <c r="P3465" i="80"/>
  <c r="P3477" i="80"/>
  <c r="P3483" i="80"/>
  <c r="P3489" i="80"/>
  <c r="P3842" i="80"/>
  <c r="P3848" i="80"/>
  <c r="P3854" i="80"/>
  <c r="P3871" i="80"/>
  <c r="P3912" i="80"/>
  <c r="P3947" i="80"/>
  <c r="P3959" i="80"/>
  <c r="P3965" i="80"/>
  <c r="P3971" i="80"/>
  <c r="P4006" i="80"/>
  <c r="P4198" i="80"/>
  <c r="P4789" i="80"/>
  <c r="P4801" i="80"/>
  <c r="P4807" i="80"/>
  <c r="P4813" i="80"/>
  <c r="P4837" i="80"/>
  <c r="P4855" i="80"/>
  <c r="P4897" i="80"/>
  <c r="P4909" i="80"/>
  <c r="P4915" i="80"/>
  <c r="P4921" i="80"/>
  <c r="P4939" i="80"/>
  <c r="P4945" i="80"/>
  <c r="P4951" i="80"/>
  <c r="P4975" i="80"/>
  <c r="P4987" i="80"/>
  <c r="P4993" i="80"/>
  <c r="P5005" i="80"/>
  <c r="P5226" i="80"/>
  <c r="P5358" i="80"/>
  <c r="P5502" i="80"/>
  <c r="P5921" i="80"/>
  <c r="P5927" i="80"/>
  <c r="P6065" i="80"/>
  <c r="P6071" i="80"/>
  <c r="P6131" i="80"/>
  <c r="P6149" i="80"/>
  <c r="P6167" i="80"/>
  <c r="P6179" i="80"/>
  <c r="P6197" i="80"/>
  <c r="P6263" i="80"/>
  <c r="P6334" i="80"/>
  <c r="P6405" i="80"/>
  <c r="P1987" i="80"/>
  <c r="P2052" i="80"/>
  <c r="P2316" i="80"/>
  <c r="P2746" i="80"/>
  <c r="P3813" i="80"/>
  <c r="P3819" i="80"/>
  <c r="P3825" i="80"/>
  <c r="P3831" i="80"/>
  <c r="P3837" i="80"/>
  <c r="P3983" i="80"/>
  <c r="P3989" i="80"/>
  <c r="P3995" i="80"/>
  <c r="P6394" i="80"/>
  <c r="P842" i="80"/>
  <c r="P866" i="80"/>
  <c r="P1020" i="80"/>
  <c r="P1284" i="80"/>
  <c r="P1290" i="80"/>
  <c r="P1296" i="80"/>
  <c r="P1302" i="80"/>
  <c r="P1308" i="80"/>
  <c r="P1654" i="80"/>
  <c r="P1660" i="80"/>
  <c r="P1737" i="80"/>
  <c r="P2244" i="80"/>
  <c r="P2328" i="80"/>
  <c r="P2352" i="80"/>
  <c r="P2806" i="80"/>
  <c r="P2842" i="80"/>
  <c r="P2974" i="80"/>
  <c r="P4516" i="80"/>
  <c r="P4528" i="80"/>
  <c r="P4540" i="80"/>
  <c r="P4552" i="80"/>
  <c r="P4558" i="80"/>
  <c r="P4659" i="80"/>
  <c r="P4742" i="80"/>
  <c r="P4748" i="80"/>
  <c r="P4754" i="80"/>
  <c r="P4970" i="80"/>
  <c r="P4976" i="80"/>
  <c r="P4982" i="80"/>
  <c r="P5006" i="80"/>
  <c r="P5012" i="80"/>
  <c r="P5335" i="80"/>
  <c r="P5449" i="80"/>
  <c r="P5928" i="80"/>
  <c r="P6054" i="80"/>
  <c r="P6317" i="80"/>
  <c r="P884" i="80"/>
  <c r="P890" i="80"/>
  <c r="P1976" i="80"/>
  <c r="P1982" i="80"/>
  <c r="P2263" i="80"/>
  <c r="P2670" i="80"/>
  <c r="P3490" i="80"/>
  <c r="P3538" i="80"/>
  <c r="P3814" i="80"/>
  <c r="P3820" i="80"/>
  <c r="P3838" i="80"/>
  <c r="P3901" i="80"/>
  <c r="P3937" i="80"/>
  <c r="P3984" i="80"/>
  <c r="P4001" i="80"/>
  <c r="P6156" i="80"/>
  <c r="P6443" i="80"/>
  <c r="P1518" i="80"/>
  <c r="P1554" i="80"/>
  <c r="P4511" i="80"/>
  <c r="P4541" i="80"/>
  <c r="P5252" i="80"/>
  <c r="P5390" i="80"/>
  <c r="P5396" i="80"/>
  <c r="P5414" i="80"/>
  <c r="P1058" i="80"/>
  <c r="P1064" i="80"/>
  <c r="P1070" i="80"/>
  <c r="P1076" i="80"/>
  <c r="P1082" i="80"/>
  <c r="P1834" i="80"/>
  <c r="P2378" i="80"/>
  <c r="P2402" i="80"/>
  <c r="P2420" i="80"/>
  <c r="P2426" i="80"/>
  <c r="P2450" i="80"/>
  <c r="P2641" i="80"/>
  <c r="P3839" i="80"/>
  <c r="P3862" i="80"/>
  <c r="P3868" i="80"/>
  <c r="P3908" i="80"/>
  <c r="P3926" i="80"/>
  <c r="P3932" i="80"/>
  <c r="P3938" i="80"/>
  <c r="P3949" i="80"/>
  <c r="P3973" i="80"/>
  <c r="P3985" i="80"/>
  <c r="P4577" i="80"/>
  <c r="P4743" i="80"/>
  <c r="P4749" i="80"/>
  <c r="P4797" i="80"/>
  <c r="P4809" i="80"/>
  <c r="P5217" i="80"/>
  <c r="P5241" i="80"/>
  <c r="P5348" i="80"/>
  <c r="P5846" i="80"/>
  <c r="P5852" i="80"/>
  <c r="P5858" i="80"/>
  <c r="P5864" i="80"/>
  <c r="P5906" i="80"/>
  <c r="P5912" i="80"/>
  <c r="P6402" i="80"/>
  <c r="P6414" i="80"/>
  <c r="P6426" i="80"/>
  <c r="P6432" i="80"/>
  <c r="P1280" i="80"/>
  <c r="P1286" i="80"/>
  <c r="P1292" i="80"/>
  <c r="P1298" i="80"/>
  <c r="P1304" i="80"/>
  <c r="P1310" i="80"/>
  <c r="P1316" i="80"/>
  <c r="P1322" i="80"/>
  <c r="P1328" i="80"/>
  <c r="P1334" i="80"/>
  <c r="P1340" i="80"/>
  <c r="P1346" i="80"/>
  <c r="P1382" i="80"/>
  <c r="P1615" i="80"/>
  <c r="P1715" i="80"/>
  <c r="P1721" i="80"/>
  <c r="P1745" i="80"/>
  <c r="P1948" i="80"/>
  <c r="P1954" i="80"/>
  <c r="P1960" i="80"/>
  <c r="P2360" i="80"/>
  <c r="P2731" i="80"/>
  <c r="P3810" i="80"/>
  <c r="P3909" i="80"/>
  <c r="P3915" i="80"/>
  <c r="P3921" i="80"/>
  <c r="P3956" i="80"/>
  <c r="P3962" i="80"/>
  <c r="P4045" i="80"/>
  <c r="P4057" i="80"/>
  <c r="P4069" i="80"/>
  <c r="P4081" i="80"/>
  <c r="P4087" i="80"/>
  <c r="P4093" i="80"/>
  <c r="P49" i="80"/>
  <c r="P91" i="80"/>
  <c r="P115" i="80"/>
  <c r="P121" i="80"/>
  <c r="P162" i="80"/>
  <c r="P168" i="80"/>
  <c r="P216" i="80"/>
  <c r="P234" i="80"/>
  <c r="P240" i="80"/>
  <c r="P246" i="80"/>
  <c r="P264" i="80"/>
  <c r="P426" i="80"/>
  <c r="P455" i="80"/>
  <c r="P461" i="80"/>
  <c r="P467" i="80"/>
  <c r="P514" i="80"/>
  <c r="P526" i="80"/>
  <c r="P889" i="80"/>
  <c r="P895" i="80"/>
  <c r="P901" i="80"/>
  <c r="P26" i="80"/>
  <c r="P62" i="80"/>
  <c r="P838" i="80"/>
  <c r="P867" i="80"/>
  <c r="P873" i="80"/>
  <c r="P146" i="80"/>
  <c r="P516" i="80"/>
  <c r="P528" i="80"/>
  <c r="P546" i="80"/>
  <c r="P564" i="80"/>
  <c r="P570" i="80"/>
  <c r="P576" i="80"/>
  <c r="P582" i="80"/>
  <c r="P588" i="80"/>
  <c r="P594" i="80"/>
  <c r="P600" i="80"/>
  <c r="P606" i="80"/>
  <c r="P612" i="80"/>
  <c r="P618" i="80"/>
  <c r="P624" i="80"/>
  <c r="P630" i="80"/>
  <c r="P636" i="80"/>
  <c r="P642" i="80"/>
  <c r="P648" i="80"/>
  <c r="P654" i="80"/>
  <c r="P660" i="80"/>
  <c r="P666" i="80"/>
  <c r="P672" i="80"/>
  <c r="P678" i="80"/>
  <c r="P684" i="80"/>
  <c r="P690" i="80"/>
  <c r="P696" i="80"/>
  <c r="P702" i="80"/>
  <c r="P708" i="80"/>
  <c r="P714" i="80"/>
  <c r="P720" i="80"/>
  <c r="P839" i="80"/>
  <c r="P845" i="80"/>
  <c r="P891" i="80"/>
  <c r="P919" i="80"/>
  <c r="P34" i="80"/>
  <c r="P129" i="80"/>
  <c r="P194" i="80"/>
  <c r="P200" i="80"/>
  <c r="P206" i="80"/>
  <c r="P435" i="80"/>
  <c r="P458" i="80"/>
  <c r="P494" i="80"/>
  <c r="P500" i="80"/>
  <c r="P512" i="80"/>
  <c r="P524" i="80"/>
  <c r="P829" i="80"/>
  <c r="P835" i="80"/>
  <c r="P950" i="80"/>
  <c r="P7" i="80"/>
  <c r="P13" i="80"/>
  <c r="P42" i="80"/>
  <c r="P48" i="80"/>
  <c r="P54" i="80"/>
  <c r="P149" i="80"/>
  <c r="P442" i="80"/>
  <c r="P471" i="80"/>
  <c r="P477" i="80"/>
  <c r="P531" i="80"/>
  <c r="P537" i="80"/>
  <c r="P561" i="80"/>
  <c r="P567" i="80"/>
  <c r="P573" i="80"/>
  <c r="P579" i="80"/>
  <c r="P585" i="80"/>
  <c r="P591" i="80"/>
  <c r="P597" i="80"/>
  <c r="P603" i="80"/>
  <c r="P609" i="80"/>
  <c r="P615" i="80"/>
  <c r="P621" i="80"/>
  <c r="P627" i="80"/>
  <c r="P633" i="80"/>
  <c r="P639" i="80"/>
  <c r="P645" i="80"/>
  <c r="P651" i="80"/>
  <c r="P657" i="80"/>
  <c r="P663" i="80"/>
  <c r="P669" i="80"/>
  <c r="P882" i="80"/>
  <c r="P37" i="80"/>
  <c r="P78" i="80"/>
  <c r="P132" i="80"/>
  <c r="P185" i="80"/>
  <c r="P191" i="80"/>
  <c r="P203" i="80"/>
  <c r="P215" i="80"/>
  <c r="P251" i="80"/>
  <c r="P263" i="80"/>
  <c r="P911" i="80"/>
  <c r="P917" i="80"/>
  <c r="P969" i="80"/>
  <c r="P1136" i="80"/>
  <c r="P1184" i="80"/>
  <c r="P1196" i="80"/>
  <c r="P851" i="80"/>
  <c r="P857" i="80"/>
  <c r="P879" i="80"/>
  <c r="P1185" i="80"/>
  <c r="P1197" i="80"/>
  <c r="P1209" i="80"/>
  <c r="P1275" i="80"/>
  <c r="P1281" i="80"/>
  <c r="P1287" i="80"/>
  <c r="P1406" i="80"/>
  <c r="P1418" i="80"/>
  <c r="P1466" i="80"/>
  <c r="P1484" i="80"/>
  <c r="P1496" i="80"/>
  <c r="P1532" i="80"/>
  <c r="P1544" i="80"/>
  <c r="P1592" i="80"/>
  <c r="P1885" i="80"/>
  <c r="P1891" i="80"/>
  <c r="P1897" i="80"/>
  <c r="P1903" i="80"/>
  <c r="P1909" i="80"/>
  <c r="P1915" i="80"/>
  <c r="P1921" i="80"/>
  <c r="P1927" i="80"/>
  <c r="P1933" i="80"/>
  <c r="P2008" i="80"/>
  <c r="P2175" i="80"/>
  <c r="P2247" i="80"/>
  <c r="P2301" i="80"/>
  <c r="P2348" i="80"/>
  <c r="P2377" i="80"/>
  <c r="P2395" i="80"/>
  <c r="P2401" i="80"/>
  <c r="P2413" i="80"/>
  <c r="P2419" i="80"/>
  <c r="P2425" i="80"/>
  <c r="P2443" i="80"/>
  <c r="P2449" i="80"/>
  <c r="P2544" i="80"/>
  <c r="P2568" i="80"/>
  <c r="P2580" i="80"/>
  <c r="P2598" i="80"/>
  <c r="P2633" i="80"/>
  <c r="P2686" i="80"/>
  <c r="P2710" i="80"/>
  <c r="P2716" i="80"/>
  <c r="P2733" i="80"/>
  <c r="P2839" i="80"/>
  <c r="P2845" i="80"/>
  <c r="P2851" i="80"/>
  <c r="P2863" i="80"/>
  <c r="P2869" i="80"/>
  <c r="P1610" i="80"/>
  <c r="P1622" i="80"/>
  <c r="P1803" i="80"/>
  <c r="P2122" i="80"/>
  <c r="P2616" i="80"/>
  <c r="P2628" i="80"/>
  <c r="P830" i="80"/>
  <c r="P836" i="80"/>
  <c r="P847" i="80"/>
  <c r="P853" i="80"/>
  <c r="P875" i="80"/>
  <c r="P914" i="80"/>
  <c r="P960" i="80"/>
  <c r="P966" i="80"/>
  <c r="P972" i="80"/>
  <c r="P1056" i="80"/>
  <c r="P1068" i="80"/>
  <c r="P1115" i="80"/>
  <c r="P1133" i="80"/>
  <c r="P1145" i="80"/>
  <c r="P1354" i="80"/>
  <c r="P1396" i="80"/>
  <c r="P1408" i="80"/>
  <c r="P1414" i="80"/>
  <c r="P1420" i="80"/>
  <c r="P1438" i="80"/>
  <c r="P1444" i="80"/>
  <c r="P1456" i="80"/>
  <c r="P1611" i="80"/>
  <c r="P1623" i="80"/>
  <c r="P1733" i="80"/>
  <c r="P1739" i="80"/>
  <c r="P1827" i="80"/>
  <c r="P1845" i="80"/>
  <c r="P1946" i="80"/>
  <c r="P2004" i="80"/>
  <c r="P2010" i="80"/>
  <c r="P2022" i="80"/>
  <c r="P2028" i="80"/>
  <c r="P2034" i="80"/>
  <c r="P2058" i="80"/>
  <c r="P2076" i="80"/>
  <c r="P2105" i="80"/>
  <c r="P2123" i="80"/>
  <c r="P2135" i="80"/>
  <c r="P2147" i="80"/>
  <c r="P2159" i="80"/>
  <c r="P2171" i="80"/>
  <c r="P2207" i="80"/>
  <c r="P2219" i="80"/>
  <c r="P2231" i="80"/>
  <c r="P2267" i="80"/>
  <c r="P2279" i="80"/>
  <c r="P2285" i="80"/>
  <c r="P2361" i="80"/>
  <c r="P2367" i="80"/>
  <c r="P2384" i="80"/>
  <c r="P2498" i="80"/>
  <c r="P2516" i="80"/>
  <c r="P2617" i="80"/>
  <c r="P2640" i="80"/>
  <c r="P2694" i="80"/>
  <c r="P2752" i="80"/>
  <c r="P2769" i="80"/>
  <c r="P2805" i="80"/>
  <c r="P2834" i="80"/>
  <c r="P2846" i="80"/>
  <c r="P706" i="80"/>
  <c r="P712" i="80"/>
  <c r="P718" i="80"/>
  <c r="P724" i="80"/>
  <c r="P730" i="80"/>
  <c r="P736" i="80"/>
  <c r="P742" i="80"/>
  <c r="P748" i="80"/>
  <c r="P754" i="80"/>
  <c r="P760" i="80"/>
  <c r="P766" i="80"/>
  <c r="P772" i="80"/>
  <c r="P778" i="80"/>
  <c r="P784" i="80"/>
  <c r="P790" i="80"/>
  <c r="P796" i="80"/>
  <c r="P802" i="80"/>
  <c r="P808" i="80"/>
  <c r="P814" i="80"/>
  <c r="P820" i="80"/>
  <c r="P881" i="80"/>
  <c r="P887" i="80"/>
  <c r="P904" i="80"/>
  <c r="P944" i="80"/>
  <c r="P991" i="80"/>
  <c r="P1003" i="80"/>
  <c r="P1021" i="80"/>
  <c r="P1152" i="80"/>
  <c r="P1164" i="80"/>
  <c r="P1457" i="80"/>
  <c r="P1463" i="80"/>
  <c r="P1516" i="80"/>
  <c r="P1612" i="80"/>
  <c r="P1624" i="80"/>
  <c r="P1636" i="80"/>
  <c r="P1787" i="80"/>
  <c r="P1793" i="80"/>
  <c r="P1858" i="80"/>
  <c r="P1899" i="80"/>
  <c r="P1911" i="80"/>
  <c r="P1947" i="80"/>
  <c r="P2023" i="80"/>
  <c r="P2029" i="80"/>
  <c r="P2035" i="80"/>
  <c r="P2041" i="80"/>
  <c r="P2071" i="80"/>
  <c r="P2077" i="80"/>
  <c r="P2118" i="80"/>
  <c r="P2124" i="80"/>
  <c r="P2130" i="80"/>
  <c r="P2136" i="80"/>
  <c r="P2142" i="80"/>
  <c r="P2172" i="80"/>
  <c r="P2178" i="80"/>
  <c r="P2184" i="80"/>
  <c r="P2190" i="80"/>
  <c r="P2196" i="80"/>
  <c r="P2208" i="80"/>
  <c r="P2214" i="80"/>
  <c r="P2220" i="80"/>
  <c r="P2226" i="80"/>
  <c r="P2232" i="80"/>
  <c r="P2238" i="80"/>
  <c r="P2250" i="80"/>
  <c r="P2268" i="80"/>
  <c r="P2280" i="80"/>
  <c r="P2309" i="80"/>
  <c r="P2362" i="80"/>
  <c r="P2618" i="80"/>
  <c r="P2700" i="80"/>
  <c r="P2712" i="80"/>
  <c r="P2724" i="80"/>
  <c r="P2735" i="80"/>
  <c r="P2741" i="80"/>
  <c r="P2747" i="80"/>
  <c r="P2753" i="80"/>
  <c r="P2812" i="80"/>
  <c r="P1314" i="80"/>
  <c r="P1320" i="80"/>
  <c r="P1326" i="80"/>
  <c r="P1332" i="80"/>
  <c r="P1338" i="80"/>
  <c r="P1356" i="80"/>
  <c r="P1362" i="80"/>
  <c r="P1368" i="80"/>
  <c r="P1469" i="80"/>
  <c r="P1475" i="80"/>
  <c r="P1481" i="80"/>
  <c r="P1487" i="80"/>
  <c r="P1505" i="80"/>
  <c r="P1565" i="80"/>
  <c r="P1672" i="80"/>
  <c r="P1689" i="80"/>
  <c r="P1729" i="80"/>
  <c r="P1735" i="80"/>
  <c r="P1746" i="80"/>
  <c r="P1823" i="80"/>
  <c r="P1829" i="80"/>
  <c r="P1835" i="80"/>
  <c r="P1841" i="80"/>
  <c r="P1906" i="80"/>
  <c r="P2083" i="80"/>
  <c r="P2298" i="80"/>
  <c r="P2321" i="80"/>
  <c r="P2333" i="80"/>
  <c r="P2345" i="80"/>
  <c r="P2351" i="80"/>
  <c r="P2357" i="80"/>
  <c r="P2374" i="80"/>
  <c r="P2380" i="80"/>
  <c r="P2386" i="80"/>
  <c r="P2392" i="80"/>
  <c r="P2398" i="80"/>
  <c r="P2410" i="80"/>
  <c r="P2416" i="80"/>
  <c r="P2422" i="80"/>
  <c r="P2428" i="80"/>
  <c r="P2434" i="80"/>
  <c r="P2713" i="80"/>
  <c r="P2719" i="80"/>
  <c r="P2759" i="80"/>
  <c r="P2765" i="80"/>
  <c r="P2830" i="80"/>
  <c r="P1165" i="80"/>
  <c r="P1171" i="80"/>
  <c r="P1177" i="80"/>
  <c r="P2642" i="80"/>
  <c r="P2648" i="80"/>
  <c r="P2672" i="80"/>
  <c r="P2690" i="80"/>
  <c r="P2725" i="80"/>
  <c r="P2736" i="80"/>
  <c r="P2742" i="80"/>
  <c r="P2795" i="80"/>
  <c r="P2801" i="80"/>
  <c r="P2807" i="80"/>
  <c r="P2813" i="80"/>
  <c r="P1243" i="80"/>
  <c r="P1249" i="80"/>
  <c r="P1261" i="80"/>
  <c r="P1369" i="80"/>
  <c r="P1387" i="80"/>
  <c r="P1482" i="80"/>
  <c r="P1488" i="80"/>
  <c r="P1494" i="80"/>
  <c r="P1500" i="80"/>
  <c r="P1512" i="80"/>
  <c r="P1584" i="80"/>
  <c r="P1661" i="80"/>
  <c r="P1747" i="80"/>
  <c r="P1771" i="80"/>
  <c r="P1818" i="80"/>
  <c r="P1847" i="80"/>
  <c r="P1859" i="80"/>
  <c r="P1871" i="80"/>
  <c r="P1877" i="80"/>
  <c r="P1883" i="80"/>
  <c r="P1889" i="80"/>
  <c r="P1907" i="80"/>
  <c r="P1913" i="80"/>
  <c r="P1937" i="80"/>
  <c r="P1978" i="80"/>
  <c r="P1995" i="80"/>
  <c r="P2299" i="80"/>
  <c r="P2322" i="80"/>
  <c r="P2334" i="80"/>
  <c r="P2340" i="80"/>
  <c r="P2346" i="80"/>
  <c r="P2363" i="80"/>
  <c r="P2429" i="80"/>
  <c r="P2500" i="80"/>
  <c r="P1148" i="80"/>
  <c r="P1154" i="80"/>
  <c r="P1160" i="80"/>
  <c r="P1423" i="80"/>
  <c r="P1435" i="80"/>
  <c r="P1644" i="80"/>
  <c r="P1701" i="80"/>
  <c r="P1713" i="80"/>
  <c r="P1866" i="80"/>
  <c r="P1943" i="80"/>
  <c r="P1967" i="80"/>
  <c r="P2013" i="80"/>
  <c r="P2025" i="80"/>
  <c r="P2031" i="80"/>
  <c r="P2102" i="80"/>
  <c r="P2120" i="80"/>
  <c r="P2126" i="80"/>
  <c r="P2132" i="80"/>
  <c r="P2156" i="80"/>
  <c r="P2162" i="80"/>
  <c r="P2192" i="80"/>
  <c r="P2216" i="80"/>
  <c r="P2234" i="80"/>
  <c r="P2246" i="80"/>
  <c r="P2276" i="80"/>
  <c r="P2288" i="80"/>
  <c r="P2294" i="80"/>
  <c r="P2311" i="80"/>
  <c r="P2370" i="80"/>
  <c r="P2477" i="80"/>
  <c r="P2501" i="80"/>
  <c r="P2525" i="80"/>
  <c r="P2537" i="80"/>
  <c r="P2590" i="80"/>
  <c r="P2614" i="80"/>
  <c r="P2620" i="80"/>
  <c r="P2626" i="80"/>
  <c r="P2749" i="80"/>
  <c r="P2755" i="80"/>
  <c r="P1696" i="80"/>
  <c r="P1837" i="80"/>
  <c r="P1890" i="80"/>
  <c r="P1914" i="80"/>
  <c r="P1938" i="80"/>
  <c r="P2430" i="80"/>
  <c r="P2442" i="80"/>
  <c r="P2585" i="80"/>
  <c r="P2650" i="80"/>
  <c r="P2656" i="80"/>
  <c r="P2662" i="80"/>
  <c r="P2668" i="80"/>
  <c r="P2674" i="80"/>
  <c r="P2767" i="80"/>
  <c r="P2832" i="80"/>
  <c r="P2838" i="80"/>
  <c r="P2844" i="80"/>
  <c r="P2850" i="80"/>
  <c r="P2934" i="80"/>
  <c r="P2940" i="80"/>
  <c r="P2946" i="80"/>
  <c r="P2952" i="80"/>
  <c r="P3541" i="80"/>
  <c r="P3547" i="80"/>
  <c r="P3553" i="80"/>
  <c r="P3821" i="80"/>
  <c r="P3827" i="80"/>
  <c r="P3844" i="80"/>
  <c r="P3861" i="80"/>
  <c r="P3867" i="80"/>
  <c r="P3878" i="80"/>
  <c r="P3889" i="80"/>
  <c r="P3900" i="80"/>
  <c r="P3906" i="80"/>
  <c r="P3928" i="80"/>
  <c r="P3950" i="80"/>
  <c r="P3967" i="80"/>
  <c r="P3978" i="80"/>
  <c r="P4000" i="80"/>
  <c r="P4011" i="80"/>
  <c r="P4017" i="80"/>
  <c r="P4507" i="80"/>
  <c r="P4513" i="80"/>
  <c r="P4525" i="80"/>
  <c r="P4537" i="80"/>
  <c r="P4566" i="80"/>
  <c r="P4571" i="80"/>
  <c r="P4611" i="80"/>
  <c r="P4635" i="80"/>
  <c r="P4647" i="80"/>
  <c r="P4652" i="80"/>
  <c r="P4842" i="80"/>
  <c r="P4872" i="80"/>
  <c r="P4878" i="80"/>
  <c r="P4890" i="80"/>
  <c r="P4938" i="80"/>
  <c r="P4944" i="80"/>
  <c r="P4962" i="80"/>
  <c r="P3129" i="80"/>
  <c r="P3213" i="80"/>
  <c r="P3225" i="80"/>
  <c r="P3231" i="80"/>
  <c r="P3237" i="80"/>
  <c r="P3805" i="80"/>
  <c r="P3890" i="80"/>
  <c r="P3918" i="80"/>
  <c r="P3979" i="80"/>
  <c r="P3990" i="80"/>
  <c r="P4174" i="80"/>
  <c r="P4543" i="80"/>
  <c r="P3058" i="80"/>
  <c r="P3321" i="80"/>
  <c r="P3823" i="80"/>
  <c r="P4091" i="80"/>
  <c r="P4097" i="80"/>
  <c r="P4103" i="80"/>
  <c r="P4109" i="80"/>
  <c r="P4115" i="80"/>
  <c r="P4121" i="80"/>
  <c r="P4127" i="80"/>
  <c r="P4133" i="80"/>
  <c r="P4139" i="80"/>
  <c r="P4222" i="80"/>
  <c r="P4544" i="80"/>
  <c r="P4550" i="80"/>
  <c r="P4567" i="80"/>
  <c r="P4578" i="80"/>
  <c r="P4584" i="80"/>
  <c r="P4613" i="80"/>
  <c r="P4624" i="80"/>
  <c r="P4755" i="80"/>
  <c r="P4803" i="80"/>
  <c r="P4814" i="80"/>
  <c r="P5040" i="80"/>
  <c r="P5070" i="80"/>
  <c r="P5076" i="80"/>
  <c r="P2986" i="80"/>
  <c r="P3292" i="80"/>
  <c r="P3298" i="80"/>
  <c r="P3304" i="80"/>
  <c r="P3352" i="80"/>
  <c r="P3400" i="80"/>
  <c r="P3418" i="80"/>
  <c r="P3430" i="80"/>
  <c r="P3448" i="80"/>
  <c r="P3496" i="80"/>
  <c r="P3579" i="80"/>
  <c r="P3835" i="80"/>
  <c r="P3846" i="80"/>
  <c r="P3863" i="80"/>
  <c r="P3880" i="80"/>
  <c r="P3891" i="80"/>
  <c r="P3902" i="80"/>
  <c r="P3919" i="80"/>
  <c r="P3930" i="80"/>
  <c r="P3952" i="80"/>
  <c r="P3974" i="80"/>
  <c r="P3991" i="80"/>
  <c r="P4002" i="80"/>
  <c r="P4019" i="80"/>
  <c r="P4521" i="80"/>
  <c r="P4631" i="80"/>
  <c r="P4637" i="80"/>
  <c r="P4696" i="80"/>
  <c r="P4702" i="80"/>
  <c r="P4714" i="80"/>
  <c r="P4732" i="80"/>
  <c r="P4838" i="80"/>
  <c r="P4862" i="80"/>
  <c r="P4898" i="80"/>
  <c r="P4904" i="80"/>
  <c r="P4934" i="80"/>
  <c r="P2963" i="80"/>
  <c r="P2969" i="80"/>
  <c r="P2981" i="80"/>
  <c r="P2993" i="80"/>
  <c r="P3011" i="80"/>
  <c r="P3017" i="80"/>
  <c r="P3041" i="80"/>
  <c r="P3047" i="80"/>
  <c r="P3059" i="80"/>
  <c r="P3065" i="80"/>
  <c r="P3107" i="80"/>
  <c r="P3113" i="80"/>
  <c r="P3137" i="80"/>
  <c r="P3143" i="80"/>
  <c r="P3155" i="80"/>
  <c r="P3161" i="80"/>
  <c r="P3185" i="80"/>
  <c r="P3221" i="80"/>
  <c r="P3233" i="80"/>
  <c r="P3239" i="80"/>
  <c r="P3597" i="80"/>
  <c r="P3603" i="80"/>
  <c r="P3609" i="80"/>
  <c r="P3615" i="80"/>
  <c r="P3807" i="80"/>
  <c r="P3818" i="80"/>
  <c r="P3852" i="80"/>
  <c r="P3858" i="80"/>
  <c r="P3886" i="80"/>
  <c r="P3969" i="80"/>
  <c r="P3986" i="80"/>
  <c r="P4092" i="80"/>
  <c r="P4098" i="80"/>
  <c r="P4104" i="80"/>
  <c r="P4110" i="80"/>
  <c r="P4116" i="80"/>
  <c r="P4122" i="80"/>
  <c r="P4128" i="80"/>
  <c r="P4134" i="80"/>
  <c r="P4140" i="80"/>
  <c r="P4146" i="80"/>
  <c r="P4152" i="80"/>
  <c r="P4510" i="80"/>
  <c r="P4545" i="80"/>
  <c r="P4614" i="80"/>
  <c r="P4620" i="80"/>
  <c r="P4655" i="80"/>
  <c r="P4750" i="80"/>
  <c r="P4798" i="80"/>
  <c r="P3461" i="80"/>
  <c r="P3485" i="80"/>
  <c r="P3897" i="80"/>
  <c r="P3931" i="80"/>
  <c r="P3942" i="80"/>
  <c r="P4003" i="80"/>
  <c r="P2958" i="80"/>
  <c r="P2988" i="80"/>
  <c r="P2994" i="80"/>
  <c r="P3006" i="80"/>
  <c r="P3030" i="80"/>
  <c r="P3042" i="80"/>
  <c r="P3078" i="80"/>
  <c r="P3090" i="80"/>
  <c r="P3102" i="80"/>
  <c r="P3138" i="80"/>
  <c r="P3150" i="80"/>
  <c r="P3174" i="80"/>
  <c r="P3186" i="80"/>
  <c r="P3198" i="80"/>
  <c r="P3204" i="80"/>
  <c r="P3210" i="80"/>
  <c r="P3222" i="80"/>
  <c r="P3228" i="80"/>
  <c r="P3449" i="80"/>
  <c r="P3670" i="80"/>
  <c r="P3676" i="80"/>
  <c r="P3682" i="80"/>
  <c r="P3688" i="80"/>
  <c r="P3881" i="80"/>
  <c r="P3997" i="80"/>
  <c r="P4099" i="80"/>
  <c r="P4105" i="80"/>
  <c r="P4111" i="80"/>
  <c r="P4117" i="80"/>
  <c r="P4123" i="80"/>
  <c r="P4129" i="80"/>
  <c r="P4135" i="80"/>
  <c r="P4141" i="80"/>
  <c r="P4147" i="80"/>
  <c r="P4206" i="80"/>
  <c r="P4248" i="80"/>
  <c r="P4260" i="80"/>
  <c r="P4272" i="80"/>
  <c r="P4284" i="80"/>
  <c r="P4296" i="80"/>
  <c r="P4308" i="80"/>
  <c r="P4320" i="80"/>
  <c r="P4332" i="80"/>
  <c r="P4344" i="80"/>
  <c r="P4350" i="80"/>
  <c r="P4356" i="80"/>
  <c r="P4362" i="80"/>
  <c r="P4368" i="80"/>
  <c r="P4374" i="80"/>
  <c r="P4380" i="80"/>
  <c r="P4386" i="80"/>
  <c r="P4392" i="80"/>
  <c r="P4398" i="80"/>
  <c r="P4404" i="80"/>
  <c r="P4410" i="80"/>
  <c r="P4416" i="80"/>
  <c r="P4422" i="80"/>
  <c r="P4428" i="80"/>
  <c r="P4434" i="80"/>
  <c r="P4440" i="80"/>
  <c r="P4446" i="80"/>
  <c r="P4452" i="80"/>
  <c r="P4458" i="80"/>
  <c r="P4464" i="80"/>
  <c r="P4470" i="80"/>
  <c r="P4476" i="80"/>
  <c r="P4482" i="80"/>
  <c r="P4488" i="80"/>
  <c r="P4494" i="80"/>
  <c r="P4505" i="80"/>
  <c r="P4563" i="80"/>
  <c r="P4569" i="80"/>
  <c r="P4580" i="80"/>
  <c r="P4592" i="80"/>
  <c r="P4609" i="80"/>
  <c r="P4621" i="80"/>
  <c r="P4650" i="80"/>
  <c r="P4656" i="80"/>
  <c r="P4667" i="80"/>
  <c r="P4685" i="80"/>
  <c r="P4727" i="80"/>
  <c r="P4839" i="80"/>
  <c r="P4857" i="80"/>
  <c r="P3853" i="80"/>
  <c r="P4009" i="80"/>
  <c r="P4021" i="80"/>
  <c r="P4033" i="80"/>
  <c r="P4523" i="80"/>
  <c r="P4535" i="80"/>
  <c r="P4575" i="80"/>
  <c r="P4639" i="80"/>
  <c r="P4698" i="80"/>
  <c r="P4846" i="80"/>
  <c r="P4870" i="80"/>
  <c r="P4924" i="80"/>
  <c r="P3295" i="80"/>
  <c r="P3301" i="80"/>
  <c r="P3307" i="80"/>
  <c r="P3313" i="80"/>
  <c r="P3319" i="80"/>
  <c r="P3325" i="80"/>
  <c r="P3337" i="80"/>
  <c r="P3343" i="80"/>
  <c r="P3349" i="80"/>
  <c r="P3361" i="80"/>
  <c r="P3367" i="80"/>
  <c r="P3391" i="80"/>
  <c r="P3397" i="80"/>
  <c r="P3409" i="80"/>
  <c r="P3415" i="80"/>
  <c r="P3433" i="80"/>
  <c r="P3439" i="80"/>
  <c r="P3445" i="80"/>
  <c r="P3493" i="80"/>
  <c r="P3522" i="80"/>
  <c r="P3534" i="80"/>
  <c r="P3540" i="80"/>
  <c r="P3558" i="80"/>
  <c r="P3576" i="80"/>
  <c r="P3582" i="80"/>
  <c r="P3809" i="80"/>
  <c r="P3815" i="80"/>
  <c r="P3826" i="80"/>
  <c r="P3832" i="80"/>
  <c r="P3843" i="80"/>
  <c r="P3866" i="80"/>
  <c r="P3883" i="80"/>
  <c r="P3899" i="80"/>
  <c r="P3955" i="80"/>
  <c r="P3966" i="80"/>
  <c r="P4196" i="80"/>
  <c r="P4524" i="80"/>
  <c r="P4565" i="80"/>
  <c r="P4599" i="80"/>
  <c r="P4628" i="80"/>
  <c r="P4651" i="80"/>
  <c r="P4663" i="80"/>
  <c r="P4687" i="80"/>
  <c r="P4699" i="80"/>
  <c r="P4823" i="80"/>
  <c r="P4841" i="80"/>
  <c r="P4859" i="80"/>
  <c r="P4871" i="80"/>
  <c r="P4877" i="80"/>
  <c r="P4889" i="80"/>
  <c r="P4925" i="80"/>
  <c r="P4931" i="80"/>
  <c r="P4968" i="80"/>
  <c r="P4986" i="80"/>
  <c r="P4992" i="80"/>
  <c r="P5010" i="80"/>
  <c r="P5171" i="80"/>
  <c r="P5182" i="80"/>
  <c r="P5188" i="80"/>
  <c r="P5194" i="80"/>
  <c r="P5206" i="80"/>
  <c r="P5260" i="80"/>
  <c r="P5272" i="80"/>
  <c r="P5295" i="80"/>
  <c r="P5307" i="80"/>
  <c r="P5313" i="80"/>
  <c r="P5389" i="80"/>
  <c r="P5395" i="80"/>
  <c r="P5401" i="80"/>
  <c r="P5424" i="80"/>
  <c r="P5472" i="80"/>
  <c r="P5478" i="80"/>
  <c r="P5556" i="80"/>
  <c r="P5628" i="80"/>
  <c r="P5646" i="80"/>
  <c r="P5652" i="80"/>
  <c r="P5658" i="80"/>
  <c r="P5664" i="80"/>
  <c r="P5670" i="80"/>
  <c r="P5676" i="80"/>
  <c r="P5682" i="80"/>
  <c r="P5688" i="80"/>
  <c r="P5694" i="80"/>
  <c r="P5700" i="80"/>
  <c r="P5706" i="80"/>
  <c r="P5712" i="80"/>
  <c r="P5718" i="80"/>
  <c r="P5724" i="80"/>
  <c r="P5730" i="80"/>
  <c r="P5736" i="80"/>
  <c r="P5742" i="80"/>
  <c r="P5748" i="80"/>
  <c r="P5754" i="80"/>
  <c r="P5760" i="80"/>
  <c r="P5766" i="80"/>
  <c r="P5772" i="80"/>
  <c r="P5778" i="80"/>
  <c r="P5784" i="80"/>
  <c r="P5790" i="80"/>
  <c r="P5796" i="80"/>
  <c r="P5802" i="80"/>
  <c r="P5808" i="80"/>
  <c r="P5814" i="80"/>
  <c r="P5820" i="80"/>
  <c r="P5826" i="80"/>
  <c r="P5832" i="80"/>
  <c r="P5838" i="80"/>
  <c r="P5844" i="80"/>
  <c r="P5850" i="80"/>
  <c r="P5856" i="80"/>
  <c r="P5862" i="80"/>
  <c r="P5868" i="80"/>
  <c r="P5874" i="80"/>
  <c r="P5880" i="80"/>
  <c r="P5886" i="80"/>
  <c r="P5892" i="80"/>
  <c r="P5898" i="80"/>
  <c r="P5904" i="80"/>
  <c r="P5922" i="80"/>
  <c r="P6166" i="80"/>
  <c r="P6172" i="80"/>
  <c r="P6196" i="80"/>
  <c r="P6202" i="80"/>
  <c r="P6226" i="80"/>
  <c r="P6244" i="80"/>
  <c r="P6268" i="80"/>
  <c r="P6321" i="80"/>
  <c r="P6368" i="80"/>
  <c r="P6397" i="80"/>
  <c r="P6409" i="80"/>
  <c r="P6421" i="80"/>
  <c r="P6445" i="80"/>
  <c r="P6457" i="80"/>
  <c r="P6463" i="80"/>
  <c r="P6475" i="80"/>
  <c r="P5331" i="80"/>
  <c r="P5354" i="80"/>
  <c r="P5419" i="80"/>
  <c r="P5443" i="80"/>
  <c r="P5503" i="80"/>
  <c r="P5527" i="80"/>
  <c r="P5551" i="80"/>
  <c r="P5946" i="80"/>
  <c r="P5964" i="80"/>
  <c r="P6143" i="80"/>
  <c r="P6274" i="80"/>
  <c r="P6292" i="80"/>
  <c r="P6310" i="80"/>
  <c r="P6434" i="80"/>
  <c r="P4946" i="80"/>
  <c r="P4952" i="80"/>
  <c r="P4958" i="80"/>
  <c r="P5136" i="80"/>
  <c r="P5142" i="80"/>
  <c r="P5148" i="80"/>
  <c r="P5154" i="80"/>
  <c r="P5166" i="80"/>
  <c r="P5172" i="80"/>
  <c r="P5178" i="80"/>
  <c r="P5184" i="80"/>
  <c r="P5238" i="80"/>
  <c r="P5244" i="80"/>
  <c r="P5384" i="80"/>
  <c r="P5486" i="80"/>
  <c r="P5534" i="80"/>
  <c r="P5546" i="80"/>
  <c r="P5899" i="80"/>
  <c r="P5917" i="80"/>
  <c r="P5923" i="80"/>
  <c r="P5947" i="80"/>
  <c r="P5971" i="80"/>
  <c r="P5989" i="80"/>
  <c r="P6007" i="80"/>
  <c r="P6031" i="80"/>
  <c r="P6060" i="80"/>
  <c r="P6150" i="80"/>
  <c r="P6293" i="80"/>
  <c r="P6305" i="80"/>
  <c r="P6369" i="80"/>
  <c r="P6417" i="80"/>
  <c r="P5042" i="80"/>
  <c r="P5078" i="80"/>
  <c r="P5415" i="80"/>
  <c r="P5451" i="80"/>
  <c r="P5499" i="80"/>
  <c r="P5900" i="80"/>
  <c r="P5924" i="80"/>
  <c r="P5936" i="80"/>
  <c r="P5942" i="80"/>
  <c r="P6026" i="80"/>
  <c r="P6073" i="80"/>
  <c r="P6079" i="80"/>
  <c r="P6151" i="80"/>
  <c r="P6180" i="80"/>
  <c r="P6198" i="80"/>
  <c r="P6282" i="80"/>
  <c r="P6306" i="80"/>
  <c r="P6341" i="80"/>
  <c r="P6382" i="80"/>
  <c r="P6412" i="80"/>
  <c r="P6442" i="80"/>
  <c r="P5001" i="80"/>
  <c r="P5007" i="80"/>
  <c r="P5156" i="80"/>
  <c r="P5162" i="80"/>
  <c r="P5174" i="80"/>
  <c r="P5386" i="80"/>
  <c r="P5398" i="80"/>
  <c r="P5404" i="80"/>
  <c r="P5583" i="80"/>
  <c r="P5589" i="80"/>
  <c r="P5601" i="80"/>
  <c r="P5649" i="80"/>
  <c r="P5655" i="80"/>
  <c r="P5661" i="80"/>
  <c r="P5667" i="80"/>
  <c r="P5673" i="80"/>
  <c r="P5679" i="80"/>
  <c r="P5685" i="80"/>
  <c r="P5691" i="80"/>
  <c r="P5697" i="80"/>
  <c r="P5703" i="80"/>
  <c r="P5709" i="80"/>
  <c r="P5715" i="80"/>
  <c r="P5721" i="80"/>
  <c r="P5727" i="80"/>
  <c r="P5733" i="80"/>
  <c r="P5739" i="80"/>
  <c r="P5745" i="80"/>
  <c r="P5751" i="80"/>
  <c r="P5757" i="80"/>
  <c r="P5763" i="80"/>
  <c r="P5769" i="80"/>
  <c r="P5775" i="80"/>
  <c r="P5781" i="80"/>
  <c r="P5787" i="80"/>
  <c r="P5793" i="80"/>
  <c r="P5799" i="80"/>
  <c r="P5805" i="80"/>
  <c r="P5811" i="80"/>
  <c r="P5817" i="80"/>
  <c r="P5823" i="80"/>
  <c r="P5829" i="80"/>
  <c r="P5835" i="80"/>
  <c r="P5841" i="80"/>
  <c r="P5847" i="80"/>
  <c r="P5853" i="80"/>
  <c r="P5859" i="80"/>
  <c r="P5865" i="80"/>
  <c r="P5871" i="80"/>
  <c r="P5877" i="80"/>
  <c r="P5883" i="80"/>
  <c r="P5889" i="80"/>
  <c r="P5895" i="80"/>
  <c r="P5901" i="80"/>
  <c r="P6235" i="80"/>
  <c r="P6330" i="80"/>
  <c r="P6365" i="80"/>
  <c r="P6460" i="80"/>
  <c r="P6472" i="80"/>
  <c r="P6484" i="80"/>
  <c r="P5175" i="80"/>
  <c r="P5204" i="80"/>
  <c r="P5210" i="80"/>
  <c r="P5270" i="80"/>
  <c r="P5293" i="80"/>
  <c r="P5363" i="80"/>
  <c r="P5375" i="80"/>
  <c r="P5381" i="80"/>
  <c r="P5434" i="80"/>
  <c r="P5440" i="80"/>
  <c r="P5548" i="80"/>
  <c r="P5554" i="80"/>
  <c r="P5590" i="80"/>
  <c r="P5596" i="80"/>
  <c r="P5602" i="80"/>
  <c r="P5896" i="80"/>
  <c r="P5902" i="80"/>
  <c r="P5920" i="80"/>
  <c r="P6176" i="80"/>
  <c r="P6218" i="80"/>
  <c r="P6236" i="80"/>
  <c r="P6260" i="80"/>
  <c r="P6266" i="80"/>
  <c r="P6289" i="80"/>
  <c r="P6301" i="80"/>
  <c r="P6319" i="80"/>
  <c r="P6378" i="80"/>
  <c r="P6384" i="80"/>
  <c r="P6401" i="80"/>
  <c r="P6461" i="80"/>
  <c r="P6473" i="80"/>
  <c r="P6479" i="80"/>
  <c r="P6485" i="80"/>
  <c r="P6491" i="80"/>
  <c r="P5044" i="80"/>
  <c r="P5080" i="80"/>
  <c r="P5158" i="80"/>
  <c r="P5176" i="80"/>
  <c r="P5276" i="80"/>
  <c r="P5382" i="80"/>
  <c r="P5406" i="80"/>
  <c r="P5459" i="80"/>
  <c r="P5555" i="80"/>
  <c r="P5585" i="80"/>
  <c r="P5603" i="80"/>
  <c r="P5897" i="80"/>
  <c r="P5909" i="80"/>
  <c r="P5962" i="80"/>
  <c r="P6004" i="80"/>
  <c r="P6022" i="80"/>
  <c r="P6052" i="80"/>
  <c r="P6314" i="80"/>
  <c r="P6320" i="80"/>
  <c r="P6337" i="80"/>
  <c r="P6367" i="80"/>
  <c r="P6379" i="80"/>
  <c r="P6444" i="80"/>
  <c r="P6462" i="80"/>
  <c r="P6474" i="80"/>
  <c r="P6480" i="80"/>
  <c r="P6486" i="80"/>
  <c r="P12" i="80"/>
  <c r="P18" i="80"/>
  <c r="P52" i="80"/>
  <c r="P57" i="80"/>
  <c r="P80" i="80"/>
  <c r="P226" i="80"/>
  <c r="P232" i="80"/>
  <c r="P238" i="80"/>
  <c r="P244" i="80"/>
  <c r="P453" i="80"/>
  <c r="P476" i="80"/>
  <c r="P488" i="80"/>
  <c r="P552" i="80"/>
  <c r="P860" i="80"/>
  <c r="P876" i="80"/>
  <c r="P908" i="80"/>
  <c r="P958" i="80"/>
  <c r="P1053" i="80"/>
  <c r="P1153" i="80"/>
  <c r="P1188" i="80"/>
  <c r="P1194" i="80"/>
  <c r="P1217" i="80"/>
  <c r="P1229" i="80"/>
  <c r="P1235" i="80"/>
  <c r="P1241" i="80"/>
  <c r="P1259" i="80"/>
  <c r="P1265" i="80"/>
  <c r="P1271" i="80"/>
  <c r="P1277" i="80"/>
  <c r="P1283" i="80"/>
  <c r="P280" i="80"/>
  <c r="P304" i="80"/>
  <c r="P316" i="80"/>
  <c r="P328" i="80"/>
  <c r="P340" i="80"/>
  <c r="P352" i="80"/>
  <c r="P364" i="80"/>
  <c r="P376" i="80"/>
  <c r="P388" i="80"/>
  <c r="P400" i="80"/>
  <c r="P412" i="80"/>
  <c r="P506" i="80"/>
  <c r="P988" i="80"/>
  <c r="P292" i="80"/>
  <c r="P2" i="80"/>
  <c r="P76" i="80"/>
  <c r="P81" i="80"/>
  <c r="P192" i="80"/>
  <c r="P269" i="80"/>
  <c r="P275" i="80"/>
  <c r="P281" i="80"/>
  <c r="P287" i="80"/>
  <c r="P293" i="80"/>
  <c r="P299" i="80"/>
  <c r="P305" i="80"/>
  <c r="P311" i="80"/>
  <c r="P317" i="80"/>
  <c r="P323" i="80"/>
  <c r="P329" i="80"/>
  <c r="P335" i="80"/>
  <c r="P341" i="80"/>
  <c r="P347" i="80"/>
  <c r="P353" i="80"/>
  <c r="P359" i="80"/>
  <c r="P365" i="80"/>
  <c r="P437" i="80"/>
  <c r="P460" i="80"/>
  <c r="P466" i="80"/>
  <c r="P548" i="80"/>
  <c r="P554" i="80"/>
  <c r="P560" i="80"/>
  <c r="P650" i="80"/>
  <c r="P662" i="80"/>
  <c r="P668" i="80"/>
  <c r="P674" i="80"/>
  <c r="P680" i="80"/>
  <c r="P686" i="80"/>
  <c r="P692" i="80"/>
  <c r="P698" i="80"/>
  <c r="P704" i="80"/>
  <c r="P710" i="80"/>
  <c r="P716" i="80"/>
  <c r="P722" i="80"/>
  <c r="P728" i="80"/>
  <c r="P734" i="80"/>
  <c r="P740" i="80"/>
  <c r="P746" i="80"/>
  <c r="P752" i="80"/>
  <c r="P758" i="80"/>
  <c r="P764" i="80"/>
  <c r="P770" i="80"/>
  <c r="P776" i="80"/>
  <c r="P782" i="80"/>
  <c r="P788" i="80"/>
  <c r="P794" i="80"/>
  <c r="P800" i="80"/>
  <c r="P806" i="80"/>
  <c r="P812" i="80"/>
  <c r="P818" i="80"/>
  <c r="P840" i="80"/>
  <c r="P888" i="80"/>
  <c r="P899" i="80"/>
  <c r="P937" i="80"/>
  <c r="P948" i="80"/>
  <c r="P954" i="80"/>
  <c r="P1137" i="80"/>
  <c r="P1172" i="80"/>
  <c r="P1178" i="80"/>
  <c r="P1201" i="80"/>
  <c r="P14" i="80"/>
  <c r="P60" i="80"/>
  <c r="P65" i="80"/>
  <c r="P71" i="80"/>
  <c r="P252" i="80"/>
  <c r="P675" i="80"/>
  <c r="P681" i="80"/>
  <c r="P687" i="80"/>
  <c r="P693" i="80"/>
  <c r="P699" i="80"/>
  <c r="P705" i="80"/>
  <c r="P711" i="80"/>
  <c r="P717" i="80"/>
  <c r="P723" i="80"/>
  <c r="P729" i="80"/>
  <c r="P735" i="80"/>
  <c r="P741" i="80"/>
  <c r="P747" i="80"/>
  <c r="P753" i="80"/>
  <c r="P759" i="80"/>
  <c r="P765" i="80"/>
  <c r="P771" i="80"/>
  <c r="P777" i="80"/>
  <c r="P783" i="80"/>
  <c r="P789" i="80"/>
  <c r="P795" i="80"/>
  <c r="P801" i="80"/>
  <c r="P807" i="80"/>
  <c r="P813" i="80"/>
  <c r="P819" i="80"/>
  <c r="P852" i="80"/>
  <c r="P862" i="80"/>
  <c r="P868" i="80"/>
  <c r="P878" i="80"/>
  <c r="P900" i="80"/>
  <c r="P910" i="80"/>
  <c r="P916" i="80"/>
  <c r="P921" i="80"/>
  <c r="P932" i="80"/>
  <c r="P938" i="80"/>
  <c r="P990" i="80"/>
  <c r="P996" i="80"/>
  <c r="P1026" i="80"/>
  <c r="P1085" i="80"/>
  <c r="P1091" i="80"/>
  <c r="P1097" i="80"/>
  <c r="P1120" i="80"/>
  <c r="P1138" i="80"/>
  <c r="P1144" i="80"/>
  <c r="P1179" i="80"/>
  <c r="P1202" i="80"/>
  <c r="P1208" i="80"/>
  <c r="P9" i="80"/>
  <c r="P21" i="80"/>
  <c r="P32" i="80"/>
  <c r="P66" i="80"/>
  <c r="P259" i="80"/>
  <c r="P276" i="80"/>
  <c r="P288" i="80"/>
  <c r="P300" i="80"/>
  <c r="P312" i="80"/>
  <c r="P324" i="80"/>
  <c r="P336" i="80"/>
  <c r="P348" i="80"/>
  <c r="P360" i="80"/>
  <c r="P372" i="80"/>
  <c r="P384" i="80"/>
  <c r="P396" i="80"/>
  <c r="P408" i="80"/>
  <c r="P420" i="80"/>
  <c r="P444" i="80"/>
  <c r="P450" i="80"/>
  <c r="P502" i="80"/>
  <c r="P520" i="80"/>
  <c r="P10" i="80"/>
  <c r="P16" i="80"/>
  <c r="P50" i="80"/>
  <c r="P84" i="80"/>
  <c r="P148" i="80"/>
  <c r="P153" i="80"/>
  <c r="P159" i="80"/>
  <c r="P171" i="80"/>
  <c r="P183" i="80"/>
  <c r="P224" i="80"/>
  <c r="P242" i="80"/>
  <c r="P248" i="80"/>
  <c r="P254" i="80"/>
  <c r="P439" i="80"/>
  <c r="P445" i="80"/>
  <c r="P451" i="80"/>
  <c r="P474" i="80"/>
  <c r="P527" i="80"/>
  <c r="P825" i="80"/>
  <c r="P831" i="80"/>
  <c r="P885" i="80"/>
  <c r="P1057" i="80"/>
  <c r="P1063" i="80"/>
  <c r="P1116" i="80"/>
  <c r="P1122" i="80"/>
  <c r="P1128" i="80"/>
  <c r="P1163" i="80"/>
  <c r="P1186" i="80"/>
  <c r="P1192" i="80"/>
  <c r="P1227" i="80"/>
  <c r="P1233" i="80"/>
  <c r="P1245" i="80"/>
  <c r="P1251" i="80"/>
  <c r="P1257" i="80"/>
  <c r="P1263" i="80"/>
  <c r="P1269" i="80"/>
  <c r="P5" i="80"/>
  <c r="P28" i="80"/>
  <c r="P39" i="80"/>
  <c r="P96" i="80"/>
  <c r="P120" i="80"/>
  <c r="P137" i="80"/>
  <c r="P143" i="80"/>
  <c r="P428" i="80"/>
  <c r="P434" i="80"/>
  <c r="P469" i="80"/>
  <c r="P498" i="80"/>
  <c r="P504" i="80"/>
  <c r="P510" i="80"/>
  <c r="P545" i="80"/>
  <c r="P563" i="80"/>
  <c r="P569" i="80"/>
  <c r="P575" i="80"/>
  <c r="P581" i="80"/>
  <c r="P587" i="80"/>
  <c r="P593" i="80"/>
  <c r="P599" i="80"/>
  <c r="P605" i="80"/>
  <c r="P611" i="80"/>
  <c r="P617" i="80"/>
  <c r="P623" i="80"/>
  <c r="P629" i="80"/>
  <c r="P635" i="80"/>
  <c r="P641" i="80"/>
  <c r="P647" i="80"/>
  <c r="P653" i="80"/>
  <c r="P659" i="80"/>
  <c r="P665" i="80"/>
  <c r="P671" i="80"/>
  <c r="P677" i="80"/>
  <c r="P683" i="80"/>
  <c r="P689" i="80"/>
  <c r="P695" i="80"/>
  <c r="P701" i="80"/>
  <c r="P707" i="80"/>
  <c r="P713" i="80"/>
  <c r="P719" i="80"/>
  <c r="P725" i="80"/>
  <c r="P731" i="80"/>
  <c r="P737" i="80"/>
  <c r="P743" i="80"/>
  <c r="P749" i="80"/>
  <c r="P755" i="80"/>
  <c r="P761" i="80"/>
  <c r="P767" i="80"/>
  <c r="P773" i="80"/>
  <c r="P779" i="80"/>
  <c r="P785" i="80"/>
  <c r="P791" i="80"/>
  <c r="P797" i="80"/>
  <c r="P803" i="80"/>
  <c r="P809" i="80"/>
  <c r="P815" i="80"/>
  <c r="P821" i="80"/>
  <c r="P826" i="80"/>
  <c r="P837" i="80"/>
  <c r="P934" i="80"/>
  <c r="P940" i="80"/>
  <c r="P992" i="80"/>
  <c r="P1004" i="80"/>
  <c r="P1022" i="80"/>
  <c r="P1028" i="80"/>
  <c r="P1034" i="80"/>
  <c r="P1087" i="80"/>
  <c r="P1093" i="80"/>
  <c r="P1099" i="80"/>
  <c r="P1140" i="80"/>
  <c r="P1169" i="80"/>
  <c r="P1204" i="80"/>
  <c r="P1210" i="80"/>
  <c r="P172" i="80"/>
  <c r="P726" i="80"/>
  <c r="P732" i="80"/>
  <c r="P738" i="80"/>
  <c r="P744" i="80"/>
  <c r="P750" i="80"/>
  <c r="P756" i="80"/>
  <c r="P762" i="80"/>
  <c r="P768" i="80"/>
  <c r="P774" i="80"/>
  <c r="P780" i="80"/>
  <c r="P786" i="80"/>
  <c r="P792" i="80"/>
  <c r="P798" i="80"/>
  <c r="P804" i="80"/>
  <c r="P810" i="80"/>
  <c r="P816" i="80"/>
  <c r="P827" i="80"/>
  <c r="P849" i="80"/>
  <c r="P859" i="80"/>
  <c r="P865" i="80"/>
  <c r="P886" i="80"/>
  <c r="P897" i="80"/>
  <c r="P907" i="80"/>
  <c r="P913" i="80"/>
  <c r="P929" i="80"/>
  <c r="P941" i="80"/>
  <c r="P957" i="80"/>
  <c r="P1023" i="80"/>
  <c r="P1035" i="80"/>
  <c r="P1052" i="80"/>
  <c r="P1147" i="80"/>
  <c r="P1170" i="80"/>
  <c r="P1176" i="80"/>
  <c r="P1211" i="80"/>
  <c r="P1389" i="80"/>
  <c r="P1430" i="80"/>
  <c r="P1566" i="80"/>
  <c r="P1590" i="80"/>
  <c r="P1666" i="80"/>
  <c r="P1781" i="80"/>
  <c r="P1839" i="80"/>
  <c r="P2047" i="80"/>
  <c r="P2215" i="80"/>
  <c r="P2317" i="80"/>
  <c r="P2339" i="80"/>
  <c r="P2448" i="80"/>
  <c r="P2594" i="80"/>
  <c r="P2600" i="80"/>
  <c r="P2652" i="80"/>
  <c r="P1378" i="80"/>
  <c r="P1667" i="80"/>
  <c r="P1723" i="80"/>
  <c r="P1782" i="80"/>
  <c r="P2542" i="80"/>
  <c r="P2664" i="80"/>
  <c r="P2676" i="80"/>
  <c r="P2761" i="80"/>
  <c r="P1344" i="80"/>
  <c r="P1478" i="80"/>
  <c r="P1502" i="80"/>
  <c r="P1514" i="80"/>
  <c r="P1614" i="80"/>
  <c r="P1626" i="80"/>
  <c r="P2024" i="80"/>
  <c r="P2170" i="80"/>
  <c r="P2307" i="80"/>
  <c r="P2329" i="80"/>
  <c r="P2572" i="80"/>
  <c r="P2578" i="80"/>
  <c r="P2624" i="80"/>
  <c r="P2665" i="80"/>
  <c r="P2688" i="80"/>
  <c r="P2762" i="80"/>
  <c r="P2773" i="80"/>
  <c r="P2779" i="80"/>
  <c r="P2825" i="80"/>
  <c r="P1373" i="80"/>
  <c r="P1526" i="80"/>
  <c r="P1562" i="80"/>
  <c r="P1650" i="80"/>
  <c r="P1875" i="80"/>
  <c r="P2106" i="80"/>
  <c r="P2390" i="80"/>
  <c r="P2408" i="80"/>
  <c r="P2485" i="80"/>
  <c r="P2596" i="80"/>
  <c r="P2689" i="80"/>
  <c r="P2718" i="80"/>
  <c r="P2723" i="80"/>
  <c r="P2740" i="80"/>
  <c r="P2757" i="80"/>
  <c r="P2808" i="80"/>
  <c r="P2814" i="80"/>
  <c r="P2831" i="80"/>
  <c r="P2837" i="80"/>
  <c r="P1267" i="80"/>
  <c r="P1273" i="80"/>
  <c r="P1279" i="80"/>
  <c r="P1285" i="80"/>
  <c r="P1291" i="80"/>
  <c r="P1297" i="80"/>
  <c r="P1303" i="80"/>
  <c r="P1309" i="80"/>
  <c r="P1315" i="80"/>
  <c r="P1321" i="80"/>
  <c r="P1327" i="80"/>
  <c r="P1333" i="80"/>
  <c r="P1339" i="80"/>
  <c r="P1345" i="80"/>
  <c r="P1374" i="80"/>
  <c r="P1380" i="80"/>
  <c r="P1397" i="80"/>
  <c r="P1403" i="80"/>
  <c r="P1409" i="80"/>
  <c r="P1415" i="80"/>
  <c r="P1432" i="80"/>
  <c r="P1527" i="80"/>
  <c r="P1539" i="80"/>
  <c r="P1563" i="80"/>
  <c r="P1574" i="80"/>
  <c r="P1586" i="80"/>
  <c r="P1604" i="80"/>
  <c r="P1651" i="80"/>
  <c r="P1662" i="80"/>
  <c r="P1795" i="80"/>
  <c r="P1801" i="80"/>
  <c r="P1807" i="80"/>
  <c r="P1853" i="80"/>
  <c r="P1882" i="80"/>
  <c r="P1887" i="80"/>
  <c r="P1893" i="80"/>
  <c r="P1905" i="80"/>
  <c r="P1922" i="80"/>
  <c r="P1928" i="80"/>
  <c r="P1945" i="80"/>
  <c r="P1962" i="80"/>
  <c r="P1974" i="80"/>
  <c r="P2002" i="80"/>
  <c r="P2095" i="80"/>
  <c r="P2107" i="80"/>
  <c r="P2183" i="80"/>
  <c r="P2241" i="80"/>
  <c r="P2252" i="80"/>
  <c r="P2275" i="80"/>
  <c r="P2286" i="80"/>
  <c r="P2291" i="80"/>
  <c r="P2302" i="80"/>
  <c r="P2324" i="80"/>
  <c r="P2341" i="80"/>
  <c r="P2368" i="80"/>
  <c r="P2444" i="80"/>
  <c r="P2508" i="80"/>
  <c r="P2514" i="80"/>
  <c r="P2526" i="80"/>
  <c r="P2538" i="80"/>
  <c r="P2550" i="80"/>
  <c r="P2561" i="80"/>
  <c r="P2573" i="80"/>
  <c r="P2666" i="80"/>
  <c r="P2774" i="80"/>
  <c r="P2786" i="80"/>
  <c r="P2797" i="80"/>
  <c r="P2803" i="80"/>
  <c r="P2820" i="80"/>
  <c r="P2826" i="80"/>
  <c r="P1357" i="80"/>
  <c r="P1363" i="80"/>
  <c r="P1421" i="80"/>
  <c r="P1480" i="80"/>
  <c r="P1486" i="80"/>
  <c r="P1492" i="80"/>
  <c r="P1504" i="80"/>
  <c r="P1575" i="80"/>
  <c r="P1587" i="80"/>
  <c r="P1628" i="80"/>
  <c r="P1640" i="80"/>
  <c r="P1663" i="80"/>
  <c r="P1697" i="80"/>
  <c r="P1813" i="80"/>
  <c r="P1842" i="80"/>
  <c r="P1865" i="80"/>
  <c r="P1951" i="80"/>
  <c r="P2020" i="80"/>
  <c r="P2061" i="80"/>
  <c r="P2084" i="80"/>
  <c r="P2090" i="80"/>
  <c r="P2125" i="80"/>
  <c r="P2131" i="80"/>
  <c r="P2137" i="80"/>
  <c r="P2154" i="80"/>
  <c r="P2166" i="80"/>
  <c r="P2194" i="80"/>
  <c r="P2200" i="80"/>
  <c r="P2206" i="80"/>
  <c r="P2230" i="80"/>
  <c r="P2236" i="80"/>
  <c r="P2281" i="80"/>
  <c r="P2292" i="80"/>
  <c r="P2314" i="80"/>
  <c r="P2336" i="80"/>
  <c r="P2342" i="80"/>
  <c r="P2358" i="80"/>
  <c r="P2468" i="80"/>
  <c r="P2474" i="80"/>
  <c r="P2515" i="80"/>
  <c r="P2521" i="80"/>
  <c r="P2533" i="80"/>
  <c r="P2545" i="80"/>
  <c r="P2556" i="80"/>
  <c r="P2574" i="80"/>
  <c r="P2644" i="80"/>
  <c r="P2696" i="80"/>
  <c r="P2730" i="80"/>
  <c r="P2764" i="80"/>
  <c r="P2781" i="80"/>
  <c r="P2798" i="80"/>
  <c r="P2809" i="80"/>
  <c r="P2821" i="80"/>
  <c r="P2827" i="80"/>
  <c r="P1352" i="80"/>
  <c r="P1522" i="80"/>
  <c r="P1528" i="80"/>
  <c r="P1558" i="80"/>
  <c r="P1658" i="80"/>
  <c r="P1709" i="80"/>
  <c r="P1755" i="80"/>
  <c r="P1923" i="80"/>
  <c r="P1929" i="80"/>
  <c r="P1963" i="80"/>
  <c r="P2079" i="80"/>
  <c r="P2404" i="80"/>
  <c r="P1293" i="80"/>
  <c r="P1299" i="80"/>
  <c r="P1305" i="80"/>
  <c r="P1311" i="80"/>
  <c r="P1317" i="80"/>
  <c r="P1323" i="80"/>
  <c r="P1329" i="80"/>
  <c r="P1335" i="80"/>
  <c r="P1341" i="80"/>
  <c r="P1347" i="80"/>
  <c r="P1353" i="80"/>
  <c r="P1358" i="80"/>
  <c r="P1370" i="80"/>
  <c r="P1411" i="80"/>
  <c r="P1422" i="80"/>
  <c r="P1458" i="80"/>
  <c r="P1517" i="80"/>
  <c r="P1523" i="80"/>
  <c r="P1529" i="80"/>
  <c r="P1553" i="80"/>
  <c r="P1559" i="80"/>
  <c r="P1570" i="80"/>
  <c r="P1576" i="80"/>
  <c r="P1659" i="80"/>
  <c r="P1698" i="80"/>
  <c r="P1762" i="80"/>
  <c r="P1779" i="80"/>
  <c r="P1791" i="80"/>
  <c r="P1826" i="80"/>
  <c r="P1832" i="80"/>
  <c r="P1849" i="80"/>
  <c r="P1901" i="80"/>
  <c r="P1930" i="80"/>
  <c r="P1935" i="80"/>
  <c r="P1941" i="80"/>
  <c r="P1964" i="80"/>
  <c r="P1998" i="80"/>
  <c r="P2039" i="80"/>
  <c r="P2074" i="80"/>
  <c r="P2080" i="80"/>
  <c r="P2103" i="80"/>
  <c r="P2115" i="80"/>
  <c r="P2144" i="80"/>
  <c r="P2155" i="80"/>
  <c r="P2173" i="80"/>
  <c r="P2179" i="80"/>
  <c r="P2195" i="80"/>
  <c r="P2243" i="80"/>
  <c r="P2271" i="80"/>
  <c r="P2293" i="80"/>
  <c r="P2315" i="80"/>
  <c r="P2381" i="80"/>
  <c r="P2393" i="80"/>
  <c r="P2399" i="80"/>
  <c r="P2405" i="80"/>
  <c r="P2417" i="80"/>
  <c r="P2423" i="80"/>
  <c r="P2440" i="80"/>
  <c r="P2446" i="80"/>
  <c r="P2522" i="80"/>
  <c r="P2592" i="80"/>
  <c r="P2857" i="80"/>
  <c r="P2552" i="80"/>
  <c r="P2593" i="80"/>
  <c r="P2604" i="80"/>
  <c r="P2622" i="80"/>
  <c r="P2692" i="80"/>
  <c r="P2726" i="80"/>
  <c r="P2743" i="80"/>
  <c r="P2748" i="80"/>
  <c r="P2754" i="80"/>
  <c r="P1252" i="80"/>
  <c r="P1258" i="80"/>
  <c r="P1264" i="80"/>
  <c r="P1270" i="80"/>
  <c r="P1276" i="80"/>
  <c r="P1282" i="80"/>
  <c r="P1288" i="80"/>
  <c r="P1294" i="80"/>
  <c r="P1300" i="80"/>
  <c r="P1306" i="80"/>
  <c r="P1312" i="80"/>
  <c r="P1318" i="80"/>
  <c r="P1365" i="80"/>
  <c r="P1394" i="80"/>
  <c r="P1459" i="80"/>
  <c r="P1506" i="80"/>
  <c r="P1536" i="80"/>
  <c r="P1548" i="80"/>
  <c r="P1601" i="80"/>
  <c r="P1607" i="80"/>
  <c r="P1618" i="80"/>
  <c r="P1642" i="80"/>
  <c r="P1722" i="80"/>
  <c r="P1751" i="80"/>
  <c r="P1763" i="80"/>
  <c r="P1769" i="80"/>
  <c r="P1786" i="80"/>
  <c r="P1810" i="80"/>
  <c r="P1821" i="80"/>
  <c r="P1833" i="80"/>
  <c r="P1850" i="80"/>
  <c r="P1873" i="80"/>
  <c r="P1879" i="80"/>
  <c r="P1919" i="80"/>
  <c r="P1925" i="80"/>
  <c r="P1965" i="80"/>
  <c r="P1977" i="80"/>
  <c r="P1999" i="80"/>
  <c r="P2046" i="80"/>
  <c r="P2092" i="80"/>
  <c r="P2098" i="80"/>
  <c r="P2104" i="80"/>
  <c r="P2110" i="80"/>
  <c r="P2116" i="80"/>
  <c r="P2151" i="80"/>
  <c r="P2174" i="80"/>
  <c r="P2186" i="80"/>
  <c r="P2191" i="80"/>
  <c r="P2255" i="80"/>
  <c r="P2266" i="80"/>
  <c r="P2272" i="80"/>
  <c r="P2278" i="80"/>
  <c r="P2305" i="80"/>
  <c r="P2327" i="80"/>
  <c r="P2344" i="80"/>
  <c r="P2349" i="80"/>
  <c r="P2355" i="80"/>
  <c r="P2365" i="80"/>
  <c r="P2376" i="80"/>
  <c r="P2382" i="80"/>
  <c r="P2388" i="80"/>
  <c r="P2394" i="80"/>
  <c r="P2400" i="80"/>
  <c r="P2418" i="80"/>
  <c r="P2424" i="80"/>
  <c r="P2476" i="80"/>
  <c r="P2646" i="80"/>
  <c r="P2657" i="80"/>
  <c r="P2760" i="80"/>
  <c r="P2766" i="80"/>
  <c r="P2771" i="80"/>
  <c r="P2783" i="80"/>
  <c r="P2789" i="80"/>
  <c r="P2800" i="80"/>
  <c r="P2829" i="80"/>
  <c r="P2777" i="80"/>
  <c r="P2822" i="80"/>
  <c r="P2833" i="80"/>
  <c r="P2856" i="80"/>
  <c r="P2862" i="80"/>
  <c r="P2874" i="80"/>
  <c r="P2886" i="80"/>
  <c r="P2892" i="80"/>
  <c r="P2898" i="80"/>
  <c r="P2999" i="80"/>
  <c r="P3034" i="80"/>
  <c r="P3063" i="80"/>
  <c r="P3098" i="80"/>
  <c r="P3127" i="80"/>
  <c r="P3162" i="80"/>
  <c r="P3191" i="80"/>
  <c r="P3209" i="80"/>
  <c r="P3250" i="80"/>
  <c r="P3256" i="80"/>
  <c r="P3268" i="80"/>
  <c r="P3274" i="80"/>
  <c r="P3286" i="80"/>
  <c r="P3309" i="80"/>
  <c r="P3338" i="80"/>
  <c r="P3350" i="80"/>
  <c r="P3373" i="80"/>
  <c r="P3402" i="80"/>
  <c r="P3414" i="80"/>
  <c r="P3437" i="80"/>
  <c r="P3466" i="80"/>
  <c r="P3472" i="80"/>
  <c r="P3478" i="80"/>
  <c r="P3513" i="80"/>
  <c r="P3525" i="80"/>
  <c r="P3531" i="80"/>
  <c r="P4028" i="80"/>
  <c r="P4259" i="80"/>
  <c r="P4271" i="80"/>
  <c r="P4277" i="80"/>
  <c r="P4283" i="80"/>
  <c r="P4295" i="80"/>
  <c r="P4307" i="80"/>
  <c r="P4319" i="80"/>
  <c r="P4331" i="80"/>
  <c r="P4343" i="80"/>
  <c r="P4355" i="80"/>
  <c r="P4367" i="80"/>
  <c r="P4379" i="80"/>
  <c r="P4391" i="80"/>
  <c r="P4403" i="80"/>
  <c r="P4415" i="80"/>
  <c r="P4427" i="80"/>
  <c r="P4439" i="80"/>
  <c r="P4451" i="80"/>
  <c r="P4463" i="80"/>
  <c r="P4475" i="80"/>
  <c r="P4487" i="80"/>
  <c r="P4493" i="80"/>
  <c r="P4526" i="80"/>
  <c r="P4549" i="80"/>
  <c r="P4582" i="80"/>
  <c r="P4587" i="80"/>
  <c r="P4593" i="80"/>
  <c r="P4615" i="80"/>
  <c r="P4626" i="80"/>
  <c r="P4701" i="80"/>
  <c r="P3662" i="80"/>
  <c r="P3668" i="80"/>
  <c r="P3674" i="80"/>
  <c r="P3680" i="80"/>
  <c r="P3686" i="80"/>
  <c r="P3692" i="80"/>
  <c r="P3698" i="80"/>
  <c r="P3704" i="80"/>
  <c r="P3710" i="80"/>
  <c r="P3716" i="80"/>
  <c r="P3722" i="80"/>
  <c r="P3728" i="80"/>
  <c r="P3734" i="80"/>
  <c r="P3740" i="80"/>
  <c r="P3746" i="80"/>
  <c r="P3752" i="80"/>
  <c r="P3758" i="80"/>
  <c r="P3764" i="80"/>
  <c r="P3770" i="80"/>
  <c r="P3776" i="80"/>
  <c r="P3782" i="80"/>
  <c r="P3788" i="80"/>
  <c r="P3794" i="80"/>
  <c r="P3800" i="80"/>
  <c r="P4201" i="80"/>
  <c r="P4218" i="80"/>
  <c r="P4499" i="80"/>
  <c r="P4555" i="80"/>
  <c r="P2953" i="80"/>
  <c r="P3018" i="80"/>
  <c r="P3240" i="80"/>
  <c r="P3257" i="80"/>
  <c r="P3293" i="80"/>
  <c r="P3322" i="80"/>
  <c r="P3328" i="80"/>
  <c r="P3334" i="80"/>
  <c r="P3357" i="80"/>
  <c r="P3386" i="80"/>
  <c r="P3398" i="80"/>
  <c r="P3421" i="80"/>
  <c r="P3450" i="80"/>
  <c r="P3462" i="80"/>
  <c r="P3497" i="80"/>
  <c r="P3585" i="80"/>
  <c r="P4023" i="80"/>
  <c r="P4029" i="80"/>
  <c r="P4041" i="80"/>
  <c r="P4047" i="80"/>
  <c r="P4053" i="80"/>
  <c r="P4059" i="80"/>
  <c r="P4065" i="80"/>
  <c r="P4071" i="80"/>
  <c r="P4077" i="80"/>
  <c r="P4083" i="80"/>
  <c r="P4089" i="80"/>
  <c r="P4095" i="80"/>
  <c r="P4101" i="80"/>
  <c r="P4107" i="80"/>
  <c r="P4113" i="80"/>
  <c r="P4119" i="80"/>
  <c r="P4125" i="80"/>
  <c r="P4131" i="80"/>
  <c r="P4137" i="80"/>
  <c r="P4143" i="80"/>
  <c r="P4149" i="80"/>
  <c r="P4155" i="80"/>
  <c r="P4185" i="80"/>
  <c r="P4190" i="80"/>
  <c r="P4230" i="80"/>
  <c r="P4500" i="80"/>
  <c r="P4527" i="80"/>
  <c r="P4533" i="80"/>
  <c r="P4589" i="80"/>
  <c r="P4622" i="80"/>
  <c r="P4644" i="80"/>
  <c r="P3573" i="80"/>
  <c r="P3621" i="80"/>
  <c r="P3627" i="80"/>
  <c r="P3633" i="80"/>
  <c r="P3645" i="80"/>
  <c r="P3651" i="80"/>
  <c r="P3657" i="80"/>
  <c r="P3663" i="80"/>
  <c r="P3669" i="80"/>
  <c r="P3675" i="80"/>
  <c r="P3681" i="80"/>
  <c r="P3687" i="80"/>
  <c r="P3693" i="80"/>
  <c r="P3699" i="80"/>
  <c r="P3705" i="80"/>
  <c r="P3711" i="80"/>
  <c r="P3717" i="80"/>
  <c r="P3723" i="80"/>
  <c r="P3729" i="80"/>
  <c r="P3735" i="80"/>
  <c r="P3741" i="80"/>
  <c r="P3747" i="80"/>
  <c r="P3753" i="80"/>
  <c r="P3759" i="80"/>
  <c r="P3765" i="80"/>
  <c r="P3771" i="80"/>
  <c r="P3777" i="80"/>
  <c r="P3783" i="80"/>
  <c r="P3789" i="80"/>
  <c r="P3795" i="80"/>
  <c r="P3801" i="80"/>
  <c r="P4030" i="80"/>
  <c r="P2791" i="80"/>
  <c r="P2796" i="80"/>
  <c r="P2802" i="80"/>
  <c r="P2836" i="80"/>
  <c r="P2853" i="80"/>
  <c r="P2858" i="80"/>
  <c r="P2966" i="80"/>
  <c r="P2972" i="80"/>
  <c r="P2978" i="80"/>
  <c r="P2984" i="80"/>
  <c r="P3025" i="80"/>
  <c r="P3054" i="80"/>
  <c r="P3089" i="80"/>
  <c r="P3118" i="80"/>
  <c r="P3153" i="80"/>
  <c r="P3182" i="80"/>
  <c r="P3217" i="80"/>
  <c r="P3229" i="80"/>
  <c r="P3323" i="80"/>
  <c r="P3329" i="80"/>
  <c r="P3335" i="80"/>
  <c r="P3393" i="80"/>
  <c r="P3399" i="80"/>
  <c r="P3457" i="80"/>
  <c r="P3463" i="80"/>
  <c r="P3509" i="80"/>
  <c r="P3574" i="80"/>
  <c r="P3874" i="80"/>
  <c r="P3879" i="80"/>
  <c r="P3898" i="80"/>
  <c r="P3903" i="80"/>
  <c r="P3922" i="80"/>
  <c r="P3927" i="80"/>
  <c r="P3946" i="80"/>
  <c r="P3951" i="80"/>
  <c r="P3970" i="80"/>
  <c r="P3975" i="80"/>
  <c r="P3994" i="80"/>
  <c r="P3999" i="80"/>
  <c r="P4036" i="80"/>
  <c r="P4042" i="80"/>
  <c r="P4048" i="80"/>
  <c r="P4054" i="80"/>
  <c r="P4060" i="80"/>
  <c r="P4066" i="80"/>
  <c r="P4072" i="80"/>
  <c r="P4078" i="80"/>
  <c r="P4084" i="80"/>
  <c r="P4090" i="80"/>
  <c r="P4096" i="80"/>
  <c r="P4102" i="80"/>
  <c r="P4108" i="80"/>
  <c r="P4114" i="80"/>
  <c r="P4120" i="80"/>
  <c r="P4126" i="80"/>
  <c r="P4132" i="80"/>
  <c r="P4138" i="80"/>
  <c r="P4144" i="80"/>
  <c r="P4150" i="80"/>
  <c r="P4345" i="80"/>
  <c r="P4357" i="80"/>
  <c r="P4369" i="80"/>
  <c r="P4381" i="80"/>
  <c r="P4393" i="80"/>
  <c r="P4405" i="80"/>
  <c r="P4417" i="80"/>
  <c r="P4429" i="80"/>
  <c r="P4441" i="80"/>
  <c r="P4453" i="80"/>
  <c r="P4465" i="80"/>
  <c r="P4477" i="80"/>
  <c r="P4489" i="80"/>
  <c r="P4495" i="80"/>
  <c r="P4501" i="80"/>
  <c r="P4551" i="80"/>
  <c r="P4562" i="80"/>
  <c r="P4573" i="80"/>
  <c r="P4590" i="80"/>
  <c r="P4595" i="80"/>
  <c r="P4601" i="80"/>
  <c r="P4612" i="80"/>
  <c r="P4645" i="80"/>
  <c r="P2883" i="80"/>
  <c r="P2889" i="80"/>
  <c r="P3002" i="80"/>
  <c r="P3031" i="80"/>
  <c r="P3066" i="80"/>
  <c r="P3095" i="80"/>
  <c r="P3130" i="80"/>
  <c r="P3159" i="80"/>
  <c r="P3194" i="80"/>
  <c r="P3206" i="80"/>
  <c r="P3212" i="80"/>
  <c r="P3253" i="80"/>
  <c r="P3271" i="80"/>
  <c r="P3277" i="80"/>
  <c r="P3306" i="80"/>
  <c r="P3318" i="80"/>
  <c r="P3341" i="80"/>
  <c r="P3370" i="80"/>
  <c r="P3382" i="80"/>
  <c r="P3405" i="80"/>
  <c r="P3434" i="80"/>
  <c r="P3446" i="80"/>
  <c r="P3475" i="80"/>
  <c r="P3528" i="80"/>
  <c r="P3694" i="80"/>
  <c r="P3700" i="80"/>
  <c r="P3706" i="80"/>
  <c r="P3712" i="80"/>
  <c r="P3718" i="80"/>
  <c r="P3724" i="80"/>
  <c r="P3730" i="80"/>
  <c r="P3736" i="80"/>
  <c r="P3742" i="80"/>
  <c r="P3748" i="80"/>
  <c r="P3754" i="80"/>
  <c r="P3760" i="80"/>
  <c r="P3766" i="80"/>
  <c r="P3772" i="80"/>
  <c r="P3778" i="80"/>
  <c r="P3784" i="80"/>
  <c r="P3790" i="80"/>
  <c r="P3796" i="80"/>
  <c r="P3802" i="80"/>
  <c r="P4436" i="80"/>
  <c r="P4442" i="80"/>
  <c r="P4448" i="80"/>
  <c r="P4454" i="80"/>
  <c r="P4460" i="80"/>
  <c r="P4466" i="80"/>
  <c r="P4472" i="80"/>
  <c r="P4478" i="80"/>
  <c r="P4484" i="80"/>
  <c r="P4490" i="80"/>
  <c r="P4518" i="80"/>
  <c r="P4546" i="80"/>
  <c r="P4557" i="80"/>
  <c r="P4596" i="80"/>
  <c r="P4145" i="80"/>
  <c r="P4151" i="80"/>
  <c r="P4181" i="80"/>
  <c r="P4187" i="80"/>
  <c r="P4226" i="80"/>
  <c r="P4502" i="80"/>
  <c r="P4529" i="80"/>
  <c r="P4574" i="80"/>
  <c r="P4585" i="80"/>
  <c r="P3797" i="80"/>
  <c r="P2849" i="80"/>
  <c r="P2962" i="80"/>
  <c r="P3015" i="80"/>
  <c r="P3050" i="80"/>
  <c r="P3079" i="80"/>
  <c r="P3114" i="80"/>
  <c r="P3178" i="80"/>
  <c r="P4519" i="80"/>
  <c r="P4530" i="80"/>
  <c r="P4536" i="80"/>
  <c r="P3097" i="80"/>
  <c r="P3524" i="80"/>
  <c r="P3559" i="80"/>
  <c r="P3565" i="80"/>
  <c r="P4027" i="80"/>
  <c r="P4228" i="80"/>
  <c r="P4234" i="80"/>
  <c r="P4548" i="80"/>
  <c r="P4581" i="80"/>
  <c r="P4598" i="80"/>
  <c r="P4603" i="80"/>
  <c r="P4682" i="80"/>
  <c r="P3232" i="80"/>
  <c r="P3273" i="80"/>
  <c r="P3303" i="80"/>
  <c r="P4153" i="80"/>
  <c r="P4159" i="80"/>
  <c r="P4165" i="80"/>
  <c r="P4177" i="80"/>
  <c r="P4223" i="80"/>
  <c r="P4498" i="80"/>
  <c r="P4669" i="80"/>
  <c r="P4710" i="80"/>
  <c r="P4721" i="80"/>
  <c r="P4738" i="80"/>
  <c r="P4744" i="80"/>
  <c r="P4761" i="80"/>
  <c r="P4779" i="80"/>
  <c r="P4785" i="80"/>
  <c r="P4791" i="80"/>
  <c r="P4825" i="80"/>
  <c r="P4831" i="80"/>
  <c r="P4894" i="80"/>
  <c r="P4906" i="80"/>
  <c r="P4912" i="80"/>
  <c r="P4918" i="80"/>
  <c r="P5029" i="80"/>
  <c r="P5075" i="80"/>
  <c r="P5086" i="80"/>
  <c r="P5092" i="80"/>
  <c r="P5098" i="80"/>
  <c r="P5116" i="80"/>
  <c r="P5122" i="80"/>
  <c r="P5134" i="80"/>
  <c r="P5152" i="80"/>
  <c r="P5216" i="80"/>
  <c r="P5222" i="80"/>
  <c r="P5234" i="80"/>
  <c r="P5251" i="80"/>
  <c r="P5257" i="80"/>
  <c r="P5274" i="80"/>
  <c r="P5280" i="80"/>
  <c r="P5333" i="80"/>
  <c r="P5379" i="80"/>
  <c r="P5426" i="80"/>
  <c r="P5467" i="80"/>
  <c r="P5484" i="80"/>
  <c r="P5490" i="80"/>
  <c r="P5508" i="80"/>
  <c r="P5514" i="80"/>
  <c r="P5520" i="80"/>
  <c r="P5526" i="80"/>
  <c r="P5574" i="80"/>
  <c r="P5621" i="80"/>
  <c r="P5644" i="80"/>
  <c r="P5913" i="80"/>
  <c r="P5952" i="80"/>
  <c r="P5958" i="80"/>
  <c r="P5975" i="80"/>
  <c r="P5999" i="80"/>
  <c r="P6028" i="80"/>
  <c r="P6034" i="80"/>
  <c r="P6045" i="80"/>
  <c r="P6084" i="80"/>
  <c r="P6096" i="80"/>
  <c r="P6102" i="80"/>
  <c r="P6108" i="80"/>
  <c r="P6126" i="80"/>
  <c r="P6154" i="80"/>
  <c r="P6189" i="80"/>
  <c r="P6195" i="80"/>
  <c r="P6212" i="80"/>
  <c r="P6252" i="80"/>
  <c r="P6270" i="80"/>
  <c r="P6304" i="80"/>
  <c r="P6316" i="80"/>
  <c r="P6366" i="80"/>
  <c r="P6407" i="80"/>
  <c r="P6430" i="80"/>
  <c r="P6436" i="80"/>
  <c r="P6453" i="80"/>
  <c r="P6470" i="80"/>
  <c r="P5223" i="80"/>
  <c r="P5263" i="80"/>
  <c r="P5269" i="80"/>
  <c r="P5310" i="80"/>
  <c r="P5316" i="80"/>
  <c r="P5362" i="80"/>
  <c r="P5374" i="80"/>
  <c r="P5391" i="80"/>
  <c r="P5403" i="80"/>
  <c r="P5450" i="80"/>
  <c r="P5491" i="80"/>
  <c r="P5515" i="80"/>
  <c r="P5533" i="80"/>
  <c r="P5545" i="80"/>
  <c r="P5586" i="80"/>
  <c r="P5633" i="80"/>
  <c r="P5908" i="80"/>
  <c r="P4711" i="80"/>
  <c r="P4716" i="80"/>
  <c r="P4722" i="80"/>
  <c r="P4745" i="80"/>
  <c r="P4774" i="80"/>
  <c r="P4786" i="80"/>
  <c r="P4860" i="80"/>
  <c r="P4866" i="80"/>
  <c r="P4930" i="80"/>
  <c r="P4942" i="80"/>
  <c r="P4959" i="80"/>
  <c r="P4994" i="80"/>
  <c r="P5018" i="80"/>
  <c r="P5030" i="80"/>
  <c r="P5036" i="80"/>
  <c r="P5058" i="80"/>
  <c r="P5141" i="80"/>
  <c r="P5147" i="80"/>
  <c r="P5164" i="80"/>
  <c r="P5170" i="80"/>
  <c r="P5200" i="80"/>
  <c r="P5229" i="80"/>
  <c r="P5240" i="80"/>
  <c r="P5258" i="80"/>
  <c r="P5275" i="80"/>
  <c r="P5281" i="80"/>
  <c r="P5287" i="80"/>
  <c r="P5328" i="80"/>
  <c r="P5351" i="80"/>
  <c r="P5421" i="80"/>
  <c r="P5427" i="80"/>
  <c r="P5462" i="80"/>
  <c r="P5474" i="80"/>
  <c r="P5569" i="80"/>
  <c r="P5616" i="80"/>
  <c r="P5622" i="80"/>
  <c r="P5988" i="80"/>
  <c r="P6000" i="80"/>
  <c r="P6097" i="80"/>
  <c r="P6103" i="80"/>
  <c r="P6115" i="80"/>
  <c r="P6121" i="80"/>
  <c r="P6127" i="80"/>
  <c r="P6144" i="80"/>
  <c r="P6155" i="80"/>
  <c r="P6190" i="80"/>
  <c r="P6253" i="80"/>
  <c r="P6265" i="80"/>
  <c r="P6288" i="80"/>
  <c r="P6311" i="80"/>
  <c r="P6328" i="80"/>
  <c r="P6339" i="80"/>
  <c r="P6350" i="80"/>
  <c r="P6356" i="80"/>
  <c r="P6362" i="80"/>
  <c r="P6373" i="80"/>
  <c r="P6425" i="80"/>
  <c r="P6448" i="80"/>
  <c r="P5959" i="80"/>
  <c r="P6046" i="80"/>
  <c r="P6437" i="80"/>
  <c r="P6449" i="80"/>
  <c r="P4534" i="80"/>
  <c r="P4539" i="80"/>
  <c r="P4561" i="80"/>
  <c r="P4583" i="80"/>
  <c r="P4594" i="80"/>
  <c r="P4605" i="80"/>
  <c r="P4643" i="80"/>
  <c r="P4706" i="80"/>
  <c r="P4717" i="80"/>
  <c r="P4723" i="80"/>
  <c r="P4734" i="80"/>
  <c r="P4746" i="80"/>
  <c r="P4775" i="80"/>
  <c r="P4781" i="80"/>
  <c r="P4793" i="80"/>
  <c r="P4827" i="80"/>
  <c r="P4850" i="80"/>
  <c r="P4861" i="80"/>
  <c r="P4867" i="80"/>
  <c r="P4914" i="80"/>
  <c r="P4920" i="80"/>
  <c r="P4937" i="80"/>
  <c r="P4948" i="80"/>
  <c r="P4960" i="80"/>
  <c r="P5031" i="80"/>
  <c r="P5077" i="80"/>
  <c r="P5094" i="80"/>
  <c r="P5106" i="80"/>
  <c r="P5112" i="80"/>
  <c r="P5118" i="80"/>
  <c r="P5130" i="80"/>
  <c r="P5195" i="80"/>
  <c r="P5201" i="80"/>
  <c r="P5212" i="80"/>
  <c r="P5236" i="80"/>
  <c r="P5253" i="80"/>
  <c r="P5264" i="80"/>
  <c r="P5282" i="80"/>
  <c r="P5299" i="80"/>
  <c r="P5311" i="80"/>
  <c r="P5323" i="80"/>
  <c r="P5329" i="80"/>
  <c r="P5340" i="80"/>
  <c r="P5392" i="80"/>
  <c r="P5410" i="80"/>
  <c r="P5416" i="80"/>
  <c r="P5422" i="80"/>
  <c r="P5469" i="80"/>
  <c r="P5475" i="80"/>
  <c r="P5492" i="80"/>
  <c r="P5504" i="80"/>
  <c r="P5516" i="80"/>
  <c r="P5522" i="80"/>
  <c r="P5528" i="80"/>
  <c r="P5570" i="80"/>
  <c r="P5617" i="80"/>
  <c r="P5640" i="80"/>
  <c r="P5915" i="80"/>
  <c r="P5926" i="80"/>
  <c r="P5960" i="80"/>
  <c r="P6019" i="80"/>
  <c r="P6075" i="80"/>
  <c r="P6092" i="80"/>
  <c r="P6098" i="80"/>
  <c r="P6110" i="80"/>
  <c r="P6122" i="80"/>
  <c r="P6145" i="80"/>
  <c r="P6173" i="80"/>
  <c r="P6208" i="80"/>
  <c r="P6214" i="80"/>
  <c r="P6230" i="80"/>
  <c r="P6272" i="80"/>
  <c r="P6294" i="80"/>
  <c r="P6323" i="80"/>
  <c r="P6340" i="80"/>
  <c r="P6374" i="80"/>
  <c r="P6466" i="80"/>
  <c r="P4666" i="80"/>
  <c r="P4678" i="80"/>
  <c r="P4684" i="80"/>
  <c r="P4690" i="80"/>
  <c r="P4735" i="80"/>
  <c r="P4799" i="80"/>
  <c r="P4805" i="80"/>
  <c r="P4822" i="80"/>
  <c r="P4845" i="80"/>
  <c r="P4873" i="80"/>
  <c r="P4972" i="80"/>
  <c r="P4978" i="80"/>
  <c r="P4984" i="80"/>
  <c r="P4990" i="80"/>
  <c r="P5002" i="80"/>
  <c r="P5008" i="80"/>
  <c r="P5248" i="80"/>
  <c r="P5265" i="80"/>
  <c r="P5294" i="80"/>
  <c r="P5300" i="80"/>
  <c r="P5341" i="80"/>
  <c r="P5370" i="80"/>
  <c r="P5376" i="80"/>
  <c r="P5387" i="80"/>
  <c r="P5399" i="80"/>
  <c r="P5417" i="80"/>
  <c r="P5827" i="80"/>
  <c r="P5833" i="80"/>
  <c r="P5839" i="80"/>
  <c r="P5845" i="80"/>
  <c r="P5851" i="80"/>
  <c r="P5857" i="80"/>
  <c r="P5863" i="80"/>
  <c r="P5869" i="80"/>
  <c r="P5875" i="80"/>
  <c r="P5881" i="80"/>
  <c r="P5887" i="80"/>
  <c r="P5893" i="80"/>
  <c r="P5910" i="80"/>
  <c r="P5916" i="80"/>
  <c r="P5932" i="80"/>
  <c r="P5966" i="80"/>
  <c r="P5978" i="80"/>
  <c r="P5984" i="80"/>
  <c r="P5990" i="80"/>
  <c r="P6002" i="80"/>
  <c r="P6008" i="80"/>
  <c r="P6025" i="80"/>
  <c r="P6134" i="80"/>
  <c r="P6174" i="80"/>
  <c r="P6203" i="80"/>
  <c r="P6209" i="80"/>
  <c r="P6225" i="80"/>
  <c r="P6237" i="80"/>
  <c r="P6284" i="80"/>
  <c r="P6346" i="80"/>
  <c r="P6381" i="80"/>
  <c r="P6415" i="80"/>
  <c r="P6450" i="80"/>
  <c r="P6467" i="80"/>
  <c r="P6490" i="80"/>
  <c r="P5487" i="80"/>
  <c r="P5511" i="80"/>
  <c r="P5523" i="80"/>
  <c r="P5553" i="80"/>
  <c r="P5588" i="80"/>
  <c r="P5618" i="80"/>
  <c r="P6478" i="80"/>
  <c r="P4661" i="80"/>
  <c r="P4673" i="80"/>
  <c r="P4679" i="80"/>
  <c r="P4730" i="80"/>
  <c r="P4753" i="80"/>
  <c r="P4811" i="80"/>
  <c r="P4834" i="80"/>
  <c r="P4840" i="80"/>
  <c r="P4874" i="80"/>
  <c r="P4886" i="80"/>
  <c r="P4927" i="80"/>
  <c r="P4933" i="80"/>
  <c r="P4950" i="80"/>
  <c r="P4997" i="80"/>
  <c r="P5003" i="80"/>
  <c r="P5032" i="80"/>
  <c r="P5072" i="80"/>
  <c r="P5084" i="80"/>
  <c r="P5090" i="80"/>
  <c r="P5102" i="80"/>
  <c r="P5108" i="80"/>
  <c r="P5114" i="80"/>
  <c r="P5126" i="80"/>
  <c r="P5190" i="80"/>
  <c r="P5196" i="80"/>
  <c r="P5202" i="80"/>
  <c r="P5243" i="80"/>
  <c r="P5283" i="80"/>
  <c r="P5330" i="80"/>
  <c r="P5336" i="80"/>
  <c r="P5342" i="80"/>
  <c r="P5435" i="80"/>
  <c r="P5458" i="80"/>
  <c r="P5464" i="80"/>
  <c r="P5870" i="80"/>
  <c r="P5876" i="80"/>
  <c r="P5882" i="80"/>
  <c r="P5888" i="80"/>
  <c r="P5894" i="80"/>
  <c r="P6020" i="80"/>
  <c r="P6042" i="80"/>
  <c r="P6099" i="80"/>
  <c r="P6111" i="80"/>
  <c r="P6175" i="80"/>
  <c r="P6232" i="80"/>
  <c r="P6290" i="80"/>
  <c r="P6347" i="80"/>
  <c r="P6376" i="80"/>
  <c r="P6398" i="80"/>
  <c r="P6422" i="80"/>
  <c r="P6433" i="80"/>
  <c r="P5027" i="80"/>
  <c r="P5033" i="80"/>
  <c r="P5073" i="80"/>
  <c r="P5138" i="80"/>
  <c r="P5150" i="80"/>
  <c r="P5209" i="80"/>
  <c r="P5232" i="80"/>
  <c r="P5255" i="80"/>
  <c r="P5319" i="80"/>
  <c r="P5383" i="80"/>
  <c r="P5388" i="80"/>
  <c r="P5430" i="80"/>
  <c r="P5442" i="80"/>
  <c r="P5465" i="80"/>
  <c r="P5471" i="80"/>
  <c r="P5482" i="80"/>
  <c r="P5488" i="80"/>
  <c r="P5506" i="80"/>
  <c r="P5512" i="80"/>
  <c r="P5536" i="80"/>
  <c r="P5560" i="80"/>
  <c r="P5566" i="80"/>
  <c r="P5619" i="80"/>
  <c r="P5636" i="80"/>
  <c r="P5956" i="80"/>
  <c r="P6048" i="80"/>
  <c r="P6250" i="80"/>
  <c r="P6331" i="80"/>
  <c r="P6388" i="80"/>
  <c r="P6428" i="80"/>
  <c r="P4795" i="80"/>
  <c r="P4892" i="80"/>
  <c r="P4922" i="80"/>
  <c r="P5998" i="80"/>
  <c r="P6055" i="80"/>
  <c r="P6106" i="80"/>
  <c r="P6193" i="80"/>
  <c r="P6492" i="80"/>
  <c r="P4509" i="80"/>
  <c r="P4542" i="80"/>
  <c r="P4547" i="80"/>
  <c r="P4553" i="80"/>
  <c r="P4564" i="80"/>
  <c r="P4591" i="80"/>
  <c r="P4597" i="80"/>
  <c r="P4640" i="80"/>
  <c r="P4686" i="80"/>
  <c r="P4703" i="80"/>
  <c r="P4709" i="80"/>
  <c r="P4778" i="80"/>
  <c r="P4796" i="80"/>
  <c r="P4824" i="80"/>
  <c r="P4830" i="80"/>
  <c r="P4835" i="80"/>
  <c r="P4847" i="80"/>
  <c r="P4853" i="80"/>
  <c r="P4940" i="80"/>
  <c r="P5022" i="80"/>
  <c r="P5034" i="80"/>
  <c r="P5151" i="80"/>
  <c r="P5186" i="80"/>
  <c r="P5198" i="80"/>
  <c r="P5233" i="80"/>
  <c r="P5250" i="80"/>
  <c r="P5256" i="80"/>
  <c r="P5279" i="80"/>
  <c r="P5285" i="80"/>
  <c r="P5296" i="80"/>
  <c r="P5343" i="80"/>
  <c r="P5360" i="80"/>
  <c r="P5425" i="80"/>
  <c r="P5448" i="80"/>
  <c r="P5454" i="80"/>
  <c r="P5466" i="80"/>
  <c r="P5483" i="80"/>
  <c r="P5495" i="80"/>
  <c r="P5519" i="80"/>
  <c r="P5531" i="80"/>
  <c r="P5573" i="80"/>
  <c r="P5584" i="80"/>
  <c r="P5918" i="80"/>
  <c r="P5929" i="80"/>
  <c r="P5951" i="80"/>
  <c r="P5957" i="80"/>
  <c r="P5963" i="80"/>
  <c r="P6016" i="80"/>
  <c r="P6044" i="80"/>
  <c r="P6078" i="80"/>
  <c r="P6083" i="80"/>
  <c r="P6089" i="80"/>
  <c r="P6095" i="80"/>
  <c r="P6101" i="80"/>
  <c r="P6107" i="80"/>
  <c r="P6113" i="80"/>
  <c r="P6119" i="80"/>
  <c r="P6136" i="80"/>
  <c r="P6142" i="80"/>
  <c r="P6170" i="80"/>
  <c r="P6188" i="80"/>
  <c r="P6205" i="80"/>
  <c r="P6233" i="80"/>
  <c r="P6275" i="80"/>
  <c r="P6286" i="80"/>
  <c r="P6332" i="80"/>
  <c r="P6342" i="80"/>
  <c r="P6348" i="80"/>
  <c r="P6354" i="80"/>
  <c r="P6360" i="80"/>
  <c r="P6377" i="80"/>
  <c r="P6429" i="80"/>
  <c r="P6446" i="80"/>
  <c r="P15" i="80"/>
  <c r="P31" i="80"/>
  <c r="P47" i="80"/>
  <c r="P63" i="80"/>
  <c r="P79" i="80"/>
  <c r="P90" i="80"/>
  <c r="P118" i="80"/>
  <c r="P140" i="80"/>
  <c r="P151" i="80"/>
  <c r="P156" i="80"/>
  <c r="P174" i="80"/>
  <c r="P180" i="80"/>
  <c r="P220" i="80"/>
  <c r="P53" i="80"/>
  <c r="P69" i="80"/>
  <c r="P85" i="80"/>
  <c r="P11" i="80"/>
  <c r="P27" i="80"/>
  <c r="P43" i="80"/>
  <c r="P59" i="80"/>
  <c r="P75" i="80"/>
  <c r="P86" i="80"/>
  <c r="P97" i="80"/>
  <c r="P108" i="80"/>
  <c r="P141" i="80"/>
  <c r="P158" i="80"/>
  <c r="P164" i="80"/>
  <c r="P187" i="80"/>
  <c r="P199" i="80"/>
  <c r="P204" i="80"/>
  <c r="P222" i="80"/>
  <c r="P228" i="80"/>
  <c r="P17" i="80"/>
  <c r="P33" i="80"/>
  <c r="P92" i="80"/>
  <c r="P103" i="80"/>
  <c r="P114" i="80"/>
  <c r="P176" i="80"/>
  <c r="P109" i="80"/>
  <c r="P188" i="80"/>
  <c r="P93" i="80"/>
  <c r="P8" i="80"/>
  <c r="P24" i="80"/>
  <c r="P40" i="80"/>
  <c r="P45" i="80"/>
  <c r="P56" i="80"/>
  <c r="P61" i="80"/>
  <c r="P72" i="80"/>
  <c r="P77" i="80"/>
  <c r="P94" i="80"/>
  <c r="P116" i="80"/>
  <c r="P127" i="80"/>
  <c r="P138" i="80"/>
  <c r="P178" i="80"/>
  <c r="P201" i="80"/>
  <c r="P207" i="80"/>
  <c r="P3" i="80"/>
  <c r="P19" i="80"/>
  <c r="P35" i="80"/>
  <c r="P51" i="80"/>
  <c r="P67" i="80"/>
  <c r="P83" i="80"/>
  <c r="P100" i="80"/>
  <c r="P105" i="80"/>
  <c r="P122" i="80"/>
  <c r="P155" i="80"/>
  <c r="P167" i="80"/>
  <c r="P190" i="80"/>
  <c r="P196" i="80"/>
  <c r="P249" i="80"/>
  <c r="P255" i="80"/>
  <c r="P25" i="80"/>
  <c r="P41" i="80"/>
  <c r="P89" i="80"/>
  <c r="P95" i="80"/>
  <c r="P139" i="80"/>
  <c r="P343" i="80"/>
  <c r="P349" i="80"/>
  <c r="P355" i="80"/>
  <c r="P361" i="80"/>
  <c r="P367" i="80"/>
  <c r="P373" i="80"/>
  <c r="P379" i="80"/>
  <c r="P385" i="80"/>
  <c r="P391" i="80"/>
  <c r="P397" i="80"/>
  <c r="P403" i="80"/>
  <c r="P409" i="80"/>
  <c r="P415" i="80"/>
  <c r="P421" i="80"/>
  <c r="P432" i="80"/>
  <c r="P448" i="80"/>
  <c r="P464" i="80"/>
  <c r="P480" i="80"/>
  <c r="P486" i="80"/>
  <c r="P491" i="80"/>
  <c r="P518" i="80"/>
  <c r="P927" i="80"/>
  <c r="P964" i="80"/>
  <c r="P975" i="80"/>
  <c r="P987" i="80"/>
  <c r="P1010" i="80"/>
  <c r="P1016" i="80"/>
  <c r="P1039" i="80"/>
  <c r="P1051" i="80"/>
  <c r="P1074" i="80"/>
  <c r="P1080" i="80"/>
  <c r="P1103" i="80"/>
  <c r="P1109" i="80"/>
  <c r="P1360" i="80"/>
  <c r="P1372" i="80"/>
  <c r="P1383" i="80"/>
  <c r="P1400" i="80"/>
  <c r="P1538" i="80"/>
  <c r="P1578" i="80"/>
  <c r="P1596" i="80"/>
  <c r="P1613" i="80"/>
  <c r="P1619" i="80"/>
  <c r="P1630" i="80"/>
  <c r="P1687" i="80"/>
  <c r="P1765" i="80"/>
  <c r="P219" i="80"/>
  <c r="P231" i="80"/>
  <c r="P236" i="80"/>
  <c r="P260" i="80"/>
  <c r="P1350" i="80"/>
  <c r="P1361" i="80"/>
  <c r="P1401" i="80"/>
  <c r="P1412" i="80"/>
  <c r="P1464" i="80"/>
  <c r="P1498" i="80"/>
  <c r="P1550" i="80"/>
  <c r="P1556" i="80"/>
  <c r="P1579" i="80"/>
  <c r="P1608" i="80"/>
  <c r="P1625" i="80"/>
  <c r="P1631" i="80"/>
  <c r="P1671" i="80"/>
  <c r="P1693" i="80"/>
  <c r="P1710" i="80"/>
  <c r="P1743" i="80"/>
  <c r="P1748" i="80"/>
  <c r="P1754" i="80"/>
  <c r="P1760" i="80"/>
  <c r="P1777" i="80"/>
  <c r="P1783" i="80"/>
  <c r="P1799" i="80"/>
  <c r="P1805" i="80"/>
  <c r="P2099" i="80"/>
  <c r="P208" i="80"/>
  <c r="P243" i="80"/>
  <c r="P266" i="80"/>
  <c r="P278" i="80"/>
  <c r="P290" i="80"/>
  <c r="P302" i="80"/>
  <c r="P314" i="80"/>
  <c r="P326" i="80"/>
  <c r="P338" i="80"/>
  <c r="P350" i="80"/>
  <c r="P362" i="80"/>
  <c r="P374" i="80"/>
  <c r="P386" i="80"/>
  <c r="P398" i="80"/>
  <c r="P410" i="80"/>
  <c r="P422" i="80"/>
  <c r="P433" i="80"/>
  <c r="P449" i="80"/>
  <c r="P465" i="80"/>
  <c r="P487" i="80"/>
  <c r="P503" i="80"/>
  <c r="P530" i="80"/>
  <c r="P553" i="80"/>
  <c r="P848" i="80"/>
  <c r="P896" i="80"/>
  <c r="P933" i="80"/>
  <c r="P949" i="80"/>
  <c r="P959" i="80"/>
  <c r="P965" i="80"/>
  <c r="P976" i="80"/>
  <c r="P1005" i="80"/>
  <c r="P1040" i="80"/>
  <c r="P1069" i="80"/>
  <c r="P1075" i="80"/>
  <c r="P1081" i="80"/>
  <c r="P1104" i="80"/>
  <c r="P1121" i="80"/>
  <c r="P1127" i="80"/>
  <c r="P1143" i="80"/>
  <c r="P1159" i="80"/>
  <c r="P1175" i="80"/>
  <c r="P1191" i="80"/>
  <c r="P1207" i="80"/>
  <c r="P1223" i="80"/>
  <c r="P1239" i="80"/>
  <c r="P1255" i="80"/>
  <c r="P1379" i="80"/>
  <c r="P1384" i="80"/>
  <c r="P1390" i="80"/>
  <c r="P1424" i="80"/>
  <c r="P1447" i="80"/>
  <c r="P1470" i="80"/>
  <c r="P1476" i="80"/>
  <c r="P1493" i="80"/>
  <c r="P1499" i="80"/>
  <c r="P1510" i="80"/>
  <c r="P1551" i="80"/>
  <c r="P1568" i="80"/>
  <c r="P1591" i="80"/>
  <c r="P1620" i="80"/>
  <c r="P1637" i="80"/>
  <c r="P1643" i="80"/>
  <c r="P1688" i="80"/>
  <c r="P1738" i="80"/>
  <c r="P1857" i="80"/>
  <c r="P2030" i="80"/>
  <c r="P2222" i="80"/>
  <c r="P805" i="80"/>
  <c r="P811" i="80"/>
  <c r="P817" i="80"/>
  <c r="P844" i="80"/>
  <c r="P892" i="80"/>
  <c r="P939" i="80"/>
  <c r="P955" i="80"/>
  <c r="P1511" i="80"/>
  <c r="P1580" i="80"/>
  <c r="P1603" i="80"/>
  <c r="P1632" i="80"/>
  <c r="P1649" i="80"/>
  <c r="P1655" i="80"/>
  <c r="P1683" i="80"/>
  <c r="P1705" i="80"/>
  <c r="P1711" i="80"/>
  <c r="P1727" i="80"/>
  <c r="P1749" i="80"/>
  <c r="P1761" i="80"/>
  <c r="P1806" i="80"/>
  <c r="P2094" i="80"/>
  <c r="P1402" i="80"/>
  <c r="P1442" i="80"/>
  <c r="P1534" i="80"/>
  <c r="P227" i="80"/>
  <c r="P250" i="80"/>
  <c r="P256" i="80"/>
  <c r="P262" i="80"/>
  <c r="P482" i="80"/>
  <c r="P515" i="80"/>
  <c r="P989" i="80"/>
  <c r="P1059" i="80"/>
  <c r="P1065" i="80"/>
  <c r="P1088" i="80"/>
  <c r="P1139" i="80"/>
  <c r="P1203" i="80"/>
  <c r="P1454" i="80"/>
  <c r="P1460" i="80"/>
  <c r="P1535" i="80"/>
  <c r="P1546" i="80"/>
  <c r="P1598" i="80"/>
  <c r="P1627" i="80"/>
  <c r="P1638" i="80"/>
  <c r="P1656" i="80"/>
  <c r="P1678" i="80"/>
  <c r="P1700" i="80"/>
  <c r="P1773" i="80"/>
  <c r="P2119" i="80"/>
  <c r="P2148" i="80"/>
  <c r="P210" i="80"/>
  <c r="P233" i="80"/>
  <c r="P239" i="80"/>
  <c r="P274" i="80"/>
  <c r="P286" i="80"/>
  <c r="P298" i="80"/>
  <c r="P310" i="80"/>
  <c r="P322" i="80"/>
  <c r="P334" i="80"/>
  <c r="P346" i="80"/>
  <c r="P358" i="80"/>
  <c r="P370" i="80"/>
  <c r="P382" i="80"/>
  <c r="P394" i="80"/>
  <c r="P406" i="80"/>
  <c r="P418" i="80"/>
  <c r="P424" i="80"/>
  <c r="P440" i="80"/>
  <c r="P456" i="80"/>
  <c r="P472" i="80"/>
  <c r="P483" i="80"/>
  <c r="P538" i="80"/>
  <c r="P832" i="80"/>
  <c r="P880" i="80"/>
  <c r="P924" i="80"/>
  <c r="P961" i="80"/>
  <c r="P978" i="80"/>
  <c r="P984" i="80"/>
  <c r="P1007" i="80"/>
  <c r="P1019" i="80"/>
  <c r="P1042" i="80"/>
  <c r="P1048" i="80"/>
  <c r="P1071" i="80"/>
  <c r="P1077" i="80"/>
  <c r="P1083" i="80"/>
  <c r="P1106" i="80"/>
  <c r="P1117" i="80"/>
  <c r="P1123" i="80"/>
  <c r="P1134" i="80"/>
  <c r="P1150" i="80"/>
  <c r="P1166" i="80"/>
  <c r="P1182" i="80"/>
  <c r="P1198" i="80"/>
  <c r="P1214" i="80"/>
  <c r="P1230" i="80"/>
  <c r="P1246" i="80"/>
  <c r="P1392" i="80"/>
  <c r="P1426" i="80"/>
  <c r="P1455" i="80"/>
  <c r="P1472" i="80"/>
  <c r="P1495" i="80"/>
  <c r="P1524" i="80"/>
  <c r="P1541" i="80"/>
  <c r="P1547" i="80"/>
  <c r="P1599" i="80"/>
  <c r="P1616" i="80"/>
  <c r="P1639" i="80"/>
  <c r="P1668" i="80"/>
  <c r="P1673" i="80"/>
  <c r="P1679" i="80"/>
  <c r="P1364" i="80"/>
  <c r="P1381" i="80"/>
  <c r="P1802" i="80"/>
  <c r="P2114" i="80"/>
  <c r="P371" i="80"/>
  <c r="P377" i="80"/>
  <c r="P383" i="80"/>
  <c r="P389" i="80"/>
  <c r="P395" i="80"/>
  <c r="P401" i="80"/>
  <c r="P407" i="80"/>
  <c r="P413" i="80"/>
  <c r="P419" i="80"/>
  <c r="P425" i="80"/>
  <c r="P441" i="80"/>
  <c r="P457" i="80"/>
  <c r="P473" i="80"/>
  <c r="P484" i="80"/>
  <c r="P522" i="80"/>
  <c r="P556" i="80"/>
  <c r="P824" i="80"/>
  <c r="P872" i="80"/>
  <c r="P920" i="80"/>
  <c r="P925" i="80"/>
  <c r="P946" i="80"/>
  <c r="P952" i="80"/>
  <c r="P962" i="80"/>
  <c r="P968" i="80"/>
  <c r="P973" i="80"/>
  <c r="P1008" i="80"/>
  <c r="P1037" i="80"/>
  <c r="P1072" i="80"/>
  <c r="P1101" i="80"/>
  <c r="P1107" i="80"/>
  <c r="P1118" i="80"/>
  <c r="P1135" i="80"/>
  <c r="P1151" i="80"/>
  <c r="P1167" i="80"/>
  <c r="P1183" i="80"/>
  <c r="P1199" i="80"/>
  <c r="P1215" i="80"/>
  <c r="P1231" i="80"/>
  <c r="P1247" i="80"/>
  <c r="P1427" i="80"/>
  <c r="P1450" i="80"/>
  <c r="P1490" i="80"/>
  <c r="P1530" i="80"/>
  <c r="P1571" i="80"/>
  <c r="P1582" i="80"/>
  <c r="P1634" i="80"/>
  <c r="P1707" i="80"/>
  <c r="P1757" i="80"/>
  <c r="P217" i="80"/>
  <c r="P223" i="80"/>
  <c r="P258" i="80"/>
  <c r="P1032" i="80"/>
  <c r="P1055" i="80"/>
  <c r="P1061" i="80"/>
  <c r="P1067" i="80"/>
  <c r="P1090" i="80"/>
  <c r="P1096" i="80"/>
  <c r="P1113" i="80"/>
  <c r="P1130" i="80"/>
  <c r="P1146" i="80"/>
  <c r="P1162" i="80"/>
  <c r="P1324" i="80"/>
  <c r="P1330" i="80"/>
  <c r="P1336" i="80"/>
  <c r="P1342" i="80"/>
  <c r="P1348" i="80"/>
  <c r="P1359" i="80"/>
  <c r="P1376" i="80"/>
  <c r="P1410" i="80"/>
  <c r="P1416" i="80"/>
  <c r="P1433" i="80"/>
  <c r="P1439" i="80"/>
  <c r="P1462" i="80"/>
  <c r="P1491" i="80"/>
  <c r="P1508" i="80"/>
  <c r="P1531" i="80"/>
  <c r="P1542" i="80"/>
  <c r="P1560" i="80"/>
  <c r="P1577" i="80"/>
  <c r="P1583" i="80"/>
  <c r="P1594" i="80"/>
  <c r="P1635" i="80"/>
  <c r="P1646" i="80"/>
  <c r="P1652" i="80"/>
  <c r="P1674" i="80"/>
  <c r="P1719" i="80"/>
  <c r="P1724" i="80"/>
  <c r="P1730" i="80"/>
  <c r="P1736" i="80"/>
  <c r="P1741" i="80"/>
  <c r="P1758" i="80"/>
  <c r="P1809" i="80"/>
  <c r="P212" i="80"/>
  <c r="P235" i="80"/>
  <c r="P247" i="80"/>
  <c r="P270" i="80"/>
  <c r="P282" i="80"/>
  <c r="P294" i="80"/>
  <c r="P306" i="80"/>
  <c r="P318" i="80"/>
  <c r="P330" i="80"/>
  <c r="P342" i="80"/>
  <c r="P354" i="80"/>
  <c r="P366" i="80"/>
  <c r="P378" i="80"/>
  <c r="P390" i="80"/>
  <c r="P402" i="80"/>
  <c r="P414" i="80"/>
  <c r="P431" i="80"/>
  <c r="P447" i="80"/>
  <c r="P463" i="80"/>
  <c r="P479" i="80"/>
  <c r="P507" i="80"/>
  <c r="P523" i="80"/>
  <c r="P540" i="80"/>
  <c r="P864" i="80"/>
  <c r="P912" i="80"/>
  <c r="P926" i="80"/>
  <c r="P942" i="80"/>
  <c r="P947" i="80"/>
  <c r="P953" i="80"/>
  <c r="P974" i="80"/>
  <c r="P980" i="80"/>
  <c r="P1038" i="80"/>
  <c r="P1044" i="80"/>
  <c r="P1050" i="80"/>
  <c r="P1073" i="80"/>
  <c r="P1079" i="80"/>
  <c r="P1102" i="80"/>
  <c r="P1108" i="80"/>
  <c r="P1119" i="80"/>
  <c r="P1125" i="80"/>
  <c r="P1141" i="80"/>
  <c r="P1157" i="80"/>
  <c r="P1173" i="80"/>
  <c r="P1189" i="80"/>
  <c r="P1205" i="80"/>
  <c r="P1221" i="80"/>
  <c r="P1237" i="80"/>
  <c r="P1253" i="80"/>
  <c r="P1371" i="80"/>
  <c r="P1377" i="80"/>
  <c r="P1388" i="80"/>
  <c r="P1405" i="80"/>
  <c r="P1428" i="80"/>
  <c r="P1445" i="80"/>
  <c r="P1451" i="80"/>
  <c r="P1474" i="80"/>
  <c r="P1503" i="80"/>
  <c r="P1520" i="80"/>
  <c r="P1543" i="80"/>
  <c r="P1572" i="80"/>
  <c r="P1589" i="80"/>
  <c r="P1595" i="80"/>
  <c r="P1647" i="80"/>
  <c r="P1664" i="80"/>
  <c r="P1675" i="80"/>
  <c r="P1770" i="80"/>
  <c r="P2168" i="80"/>
  <c r="P2202" i="80"/>
  <c r="P1972" i="80"/>
  <c r="P1983" i="80"/>
  <c r="P1994" i="80"/>
  <c r="P2096" i="80"/>
  <c r="P2121" i="80"/>
  <c r="P2160" i="80"/>
  <c r="P2185" i="80"/>
  <c r="P2204" i="80"/>
  <c r="P2224" i="80"/>
  <c r="P2254" i="80"/>
  <c r="P2306" i="80"/>
  <c r="P2354" i="80"/>
  <c r="P2437" i="80"/>
  <c r="P2509" i="80"/>
  <c r="P2520" i="80"/>
  <c r="P2563" i="80"/>
  <c r="P2611" i="80"/>
  <c r="P2659" i="80"/>
  <c r="P2727" i="80"/>
  <c r="P2732" i="80"/>
  <c r="P2751" i="80"/>
  <c r="P2756" i="80"/>
  <c r="P2775" i="80"/>
  <c r="P2780" i="80"/>
  <c r="P2799" i="80"/>
  <c r="P2804" i="80"/>
  <c r="P2823" i="80"/>
  <c r="P2828" i="80"/>
  <c r="P2847" i="80"/>
  <c r="P2852" i="80"/>
  <c r="P2867" i="80"/>
  <c r="P2873" i="80"/>
  <c r="P2890" i="80"/>
  <c r="P2954" i="80"/>
  <c r="P2983" i="80"/>
  <c r="P3000" i="80"/>
  <c r="P3016" i="80"/>
  <c r="P3032" i="80"/>
  <c r="P3048" i="80"/>
  <c r="P3064" i="80"/>
  <c r="P3080" i="80"/>
  <c r="P3096" i="80"/>
  <c r="P3112" i="80"/>
  <c r="P3128" i="80"/>
  <c r="P3144" i="80"/>
  <c r="P3160" i="80"/>
  <c r="P3176" i="80"/>
  <c r="P3192" i="80"/>
  <c r="P3203" i="80"/>
  <c r="P3219" i="80"/>
  <c r="P3230" i="80"/>
  <c r="P3247" i="80"/>
  <c r="P2059" i="80"/>
  <c r="P1844" i="80"/>
  <c r="P1892" i="80"/>
  <c r="P1940" i="80"/>
  <c r="P1984" i="80"/>
  <c r="P2005" i="80"/>
  <c r="P2049" i="80"/>
  <c r="P2060" i="80"/>
  <c r="P2082" i="80"/>
  <c r="P2097" i="80"/>
  <c r="P2432" i="80"/>
  <c r="P2504" i="80"/>
  <c r="P2558" i="80"/>
  <c r="P2606" i="80"/>
  <c r="P2654" i="80"/>
  <c r="P2702" i="80"/>
  <c r="P2240" i="80"/>
  <c r="P2438" i="80"/>
  <c r="P2510" i="80"/>
  <c r="P2532" i="80"/>
  <c r="P2564" i="80"/>
  <c r="P2591" i="80"/>
  <c r="P2612" i="80"/>
  <c r="P2639" i="80"/>
  <c r="P2660" i="80"/>
  <c r="P2687" i="80"/>
  <c r="P2708" i="80"/>
  <c r="P2868" i="80"/>
  <c r="P2880" i="80"/>
  <c r="P2938" i="80"/>
  <c r="P2990" i="80"/>
  <c r="P3215" i="80"/>
  <c r="P3254" i="80"/>
  <c r="P3545" i="80"/>
  <c r="P3551" i="80"/>
  <c r="P2011" i="80"/>
  <c r="P2055" i="80"/>
  <c r="P2389" i="80"/>
  <c r="P2461" i="80"/>
  <c r="P1703" i="80"/>
  <c r="P1725" i="80"/>
  <c r="P1753" i="80"/>
  <c r="P1759" i="80"/>
  <c r="P1775" i="80"/>
  <c r="P1797" i="80"/>
  <c r="P1830" i="80"/>
  <c r="P1878" i="80"/>
  <c r="P1926" i="80"/>
  <c r="P1957" i="80"/>
  <c r="P2001" i="80"/>
  <c r="P2012" i="80"/>
  <c r="P2018" i="80"/>
  <c r="P2072" i="80"/>
  <c r="P2108" i="80"/>
  <c r="P2138" i="80"/>
  <c r="P2157" i="80"/>
  <c r="P2182" i="80"/>
  <c r="P2256" i="80"/>
  <c r="P2406" i="80"/>
  <c r="P2467" i="80"/>
  <c r="P2473" i="80"/>
  <c r="P2478" i="80"/>
  <c r="P2489" i="80"/>
  <c r="P2495" i="80"/>
  <c r="P2549" i="80"/>
  <c r="P2581" i="80"/>
  <c r="P2586" i="80"/>
  <c r="P2597" i="80"/>
  <c r="P2629" i="80"/>
  <c r="P2634" i="80"/>
  <c r="P2645" i="80"/>
  <c r="P2677" i="80"/>
  <c r="P2682" i="80"/>
  <c r="P2693" i="80"/>
  <c r="P2875" i="80"/>
  <c r="P2881" i="80"/>
  <c r="P2904" i="80"/>
  <c r="P2910" i="80"/>
  <c r="P2933" i="80"/>
  <c r="P2945" i="80"/>
  <c r="P2968" i="80"/>
  <c r="P2997" i="80"/>
  <c r="P3013" i="80"/>
  <c r="P3029" i="80"/>
  <c r="P3045" i="80"/>
  <c r="P3061" i="80"/>
  <c r="P3077" i="80"/>
  <c r="P3093" i="80"/>
  <c r="P3109" i="80"/>
  <c r="P3125" i="80"/>
  <c r="P3141" i="80"/>
  <c r="P3157" i="80"/>
  <c r="P3173" i="80"/>
  <c r="P3189" i="80"/>
  <c r="P3216" i="80"/>
  <c r="P3238" i="80"/>
  <c r="P3284" i="80"/>
  <c r="P1952" i="80"/>
  <c r="P1975" i="80"/>
  <c r="P1986" i="80"/>
  <c r="P2007" i="80"/>
  <c r="P2073" i="80"/>
  <c r="P2089" i="80"/>
  <c r="P2128" i="80"/>
  <c r="P2197" i="80"/>
  <c r="P2212" i="80"/>
  <c r="P2217" i="80"/>
  <c r="P2242" i="80"/>
  <c r="P2262" i="80"/>
  <c r="P2282" i="80"/>
  <c r="P2330" i="80"/>
  <c r="P2412" i="80"/>
  <c r="P2484" i="80"/>
  <c r="P2539" i="80"/>
  <c r="P2587" i="80"/>
  <c r="P2635" i="80"/>
  <c r="P2683" i="80"/>
  <c r="P2715" i="80"/>
  <c r="P2720" i="80"/>
  <c r="P2739" i="80"/>
  <c r="P2744" i="80"/>
  <c r="P2763" i="80"/>
  <c r="P2768" i="80"/>
  <c r="P2787" i="80"/>
  <c r="P2792" i="80"/>
  <c r="P2811" i="80"/>
  <c r="P2816" i="80"/>
  <c r="P2835" i="80"/>
  <c r="P2840" i="80"/>
  <c r="P2859" i="80"/>
  <c r="P2864" i="80"/>
  <c r="P2870" i="80"/>
  <c r="P2922" i="80"/>
  <c r="P3211" i="80"/>
  <c r="P3227" i="80"/>
  <c r="P3244" i="80"/>
  <c r="P3494" i="80"/>
  <c r="P4015" i="80"/>
  <c r="P1815" i="80"/>
  <c r="P1820" i="80"/>
  <c r="P1868" i="80"/>
  <c r="P1916" i="80"/>
  <c r="P1953" i="80"/>
  <c r="P1970" i="80"/>
  <c r="P2036" i="80"/>
  <c r="P2134" i="80"/>
  <c r="P2198" i="80"/>
  <c r="P2396" i="80"/>
  <c r="P2582" i="80"/>
  <c r="P2630" i="80"/>
  <c r="P2678" i="80"/>
  <c r="P1959" i="80"/>
  <c r="P2218" i="80"/>
  <c r="P2233" i="80"/>
  <c r="P2258" i="80"/>
  <c r="P2375" i="80"/>
  <c r="P2441" i="80"/>
  <c r="P2447" i="80"/>
  <c r="P2491" i="80"/>
  <c r="P2497" i="80"/>
  <c r="P2502" i="80"/>
  <c r="P2513" i="80"/>
  <c r="P2540" i="80"/>
  <c r="P2567" i="80"/>
  <c r="P2588" i="80"/>
  <c r="P2615" i="80"/>
  <c r="P2636" i="80"/>
  <c r="P2663" i="80"/>
  <c r="P2684" i="80"/>
  <c r="P2711" i="80"/>
  <c r="P2906" i="80"/>
  <c r="P2970" i="80"/>
  <c r="P3004" i="80"/>
  <c r="P3020" i="80"/>
  <c r="P3036" i="80"/>
  <c r="P3052" i="80"/>
  <c r="P3068" i="80"/>
  <c r="P3084" i="80"/>
  <c r="P3100" i="80"/>
  <c r="P3116" i="80"/>
  <c r="P3132" i="80"/>
  <c r="P3148" i="80"/>
  <c r="P3164" i="80"/>
  <c r="P3180" i="80"/>
  <c r="P3196" i="80"/>
  <c r="P3207" i="80"/>
  <c r="P3223" i="80"/>
  <c r="P2026" i="80"/>
  <c r="P2100" i="80"/>
  <c r="P2436" i="80"/>
  <c r="P3218" i="80"/>
  <c r="P1706" i="80"/>
  <c r="P1712" i="80"/>
  <c r="P1717" i="80"/>
  <c r="P1734" i="80"/>
  <c r="P1767" i="80"/>
  <c r="P1772" i="80"/>
  <c r="P1778" i="80"/>
  <c r="P1784" i="80"/>
  <c r="P1789" i="80"/>
  <c r="P1854" i="80"/>
  <c r="P1902" i="80"/>
  <c r="P1988" i="80"/>
  <c r="P2015" i="80"/>
  <c r="P2032" i="80"/>
  <c r="P2053" i="80"/>
  <c r="P2070" i="80"/>
  <c r="P2075" i="80"/>
  <c r="P2145" i="80"/>
  <c r="P2150" i="80"/>
  <c r="P2269" i="80"/>
  <c r="P2274" i="80"/>
  <c r="P2310" i="80"/>
  <c r="P2414" i="80"/>
  <c r="P2486" i="80"/>
  <c r="P2562" i="80"/>
  <c r="P2605" i="80"/>
  <c r="P2610" i="80"/>
  <c r="P2621" i="80"/>
  <c r="P2653" i="80"/>
  <c r="P2658" i="80"/>
  <c r="P2669" i="80"/>
  <c r="P2701" i="80"/>
  <c r="P2706" i="80"/>
  <c r="P2878" i="80"/>
  <c r="P2901" i="80"/>
  <c r="P2913" i="80"/>
  <c r="P2936" i="80"/>
  <c r="P2942" i="80"/>
  <c r="P2965" i="80"/>
  <c r="P2977" i="80"/>
  <c r="P2982" i="80"/>
  <c r="P3208" i="80"/>
  <c r="P3224" i="80"/>
  <c r="P3252" i="80"/>
  <c r="P3300" i="80"/>
  <c r="P3316" i="80"/>
  <c r="P3332" i="80"/>
  <c r="P3348" i="80"/>
  <c r="P3364" i="80"/>
  <c r="P3380" i="80"/>
  <c r="P3396" i="80"/>
  <c r="P3412" i="80"/>
  <c r="P3428" i="80"/>
  <c r="P3444" i="80"/>
  <c r="P3460" i="80"/>
  <c r="P3488" i="80"/>
  <c r="P3499" i="80"/>
  <c r="P3505" i="80"/>
  <c r="P3539" i="80"/>
  <c r="P4024" i="80"/>
  <c r="P3264" i="80"/>
  <c r="P3280" i="80"/>
  <c r="P3312" i="80"/>
  <c r="P3344" i="80"/>
  <c r="P3360" i="80"/>
  <c r="P3376" i="80"/>
  <c r="P3392" i="80"/>
  <c r="P3408" i="80"/>
  <c r="P3424" i="80"/>
  <c r="P3440" i="80"/>
  <c r="P3456" i="80"/>
  <c r="P3495" i="80"/>
  <c r="P3529" i="80"/>
  <c r="P3639" i="80"/>
  <c r="P4202" i="80"/>
  <c r="P3243" i="80"/>
  <c r="P3259" i="80"/>
  <c r="P3275" i="80"/>
  <c r="P3355" i="80"/>
  <c r="P3371" i="80"/>
  <c r="P3387" i="80"/>
  <c r="P3403" i="80"/>
  <c r="P3419" i="80"/>
  <c r="P3435" i="80"/>
  <c r="P3451" i="80"/>
  <c r="P3467" i="80"/>
  <c r="P3473" i="80"/>
  <c r="P3501" i="80"/>
  <c r="P3507" i="80"/>
  <c r="P3518" i="80"/>
  <c r="P3535" i="80"/>
  <c r="P4016" i="80"/>
  <c r="P3270" i="80"/>
  <c r="P3324" i="80"/>
  <c r="P3340" i="80"/>
  <c r="P3356" i="80"/>
  <c r="P3372" i="80"/>
  <c r="P3388" i="80"/>
  <c r="P3404" i="80"/>
  <c r="P3420" i="80"/>
  <c r="P3436" i="80"/>
  <c r="P3452" i="80"/>
  <c r="P3468" i="80"/>
  <c r="P3491" i="80"/>
  <c r="P3502" i="80"/>
  <c r="P3519" i="80"/>
  <c r="P3530" i="80"/>
  <c r="P3536" i="80"/>
  <c r="P4012" i="80"/>
  <c r="P3803" i="80"/>
  <c r="P4022" i="80"/>
  <c r="P4037" i="80"/>
  <c r="P4043" i="80"/>
  <c r="P4055" i="80"/>
  <c r="P4067" i="80"/>
  <c r="P3234" i="80"/>
  <c r="P3346" i="80"/>
  <c r="P3362" i="80"/>
  <c r="P3378" i="80"/>
  <c r="P3394" i="80"/>
  <c r="P3426" i="80"/>
  <c r="P3442" i="80"/>
  <c r="P3469" i="80"/>
  <c r="P3492" i="80"/>
  <c r="P3514" i="80"/>
  <c r="P3520" i="80"/>
  <c r="P3537" i="80"/>
  <c r="P3481" i="80"/>
  <c r="P3526" i="80"/>
  <c r="P3543" i="80"/>
  <c r="P3549" i="80"/>
  <c r="P3560" i="80"/>
  <c r="P3566" i="80"/>
  <c r="P3577" i="80"/>
  <c r="P3583" i="80"/>
  <c r="P3594" i="80"/>
  <c r="P3600" i="80"/>
  <c r="P3606" i="80"/>
  <c r="P3612" i="80"/>
  <c r="P3618" i="80"/>
  <c r="P3624" i="80"/>
  <c r="P3630" i="80"/>
  <c r="P3636" i="80"/>
  <c r="P3642" i="80"/>
  <c r="P3648" i="80"/>
  <c r="P3654" i="80"/>
  <c r="P3660" i="80"/>
  <c r="P3666" i="80"/>
  <c r="P3672" i="80"/>
  <c r="P3678" i="80"/>
  <c r="P3684" i="80"/>
  <c r="P3690" i="80"/>
  <c r="P3696" i="80"/>
  <c r="P3702" i="80"/>
  <c r="P3708" i="80"/>
  <c r="P3714" i="80"/>
  <c r="P3720" i="80"/>
  <c r="P3726" i="80"/>
  <c r="P3732" i="80"/>
  <c r="P3738" i="80"/>
  <c r="P3744" i="80"/>
  <c r="P3750" i="80"/>
  <c r="P3756" i="80"/>
  <c r="P3762" i="80"/>
  <c r="P3768" i="80"/>
  <c r="P3774" i="80"/>
  <c r="P3780" i="80"/>
  <c r="P3786" i="80"/>
  <c r="P3792" i="80"/>
  <c r="P3798" i="80"/>
  <c r="P3804" i="80"/>
  <c r="P4018" i="80"/>
  <c r="P4038" i="80"/>
  <c r="P4044" i="80"/>
  <c r="P4056" i="80"/>
  <c r="P4068" i="80"/>
  <c r="P3235" i="80"/>
  <c r="P3251" i="80"/>
  <c r="P3267" i="80"/>
  <c r="P3283" i="80"/>
  <c r="P3299" i="80"/>
  <c r="P3315" i="80"/>
  <c r="P3331" i="80"/>
  <c r="P3347" i="80"/>
  <c r="P3363" i="80"/>
  <c r="P3379" i="80"/>
  <c r="P3395" i="80"/>
  <c r="P3411" i="80"/>
  <c r="P3427" i="80"/>
  <c r="P3443" i="80"/>
  <c r="P3459" i="80"/>
  <c r="P3470" i="80"/>
  <c r="P3487" i="80"/>
  <c r="P3504" i="80"/>
  <c r="P3521" i="80"/>
  <c r="P3246" i="80"/>
  <c r="P3262" i="80"/>
  <c r="P3278" i="80"/>
  <c r="P3294" i="80"/>
  <c r="P3310" i="80"/>
  <c r="P3326" i="80"/>
  <c r="P3342" i="80"/>
  <c r="P3358" i="80"/>
  <c r="P3374" i="80"/>
  <c r="P3390" i="80"/>
  <c r="P3406" i="80"/>
  <c r="P3422" i="80"/>
  <c r="P3438" i="80"/>
  <c r="P3454" i="80"/>
  <c r="P3476" i="80"/>
  <c r="P3482" i="80"/>
  <c r="P3510" i="80"/>
  <c r="P3516" i="80"/>
  <c r="P3544" i="80"/>
  <c r="P3550" i="80"/>
  <c r="P3561" i="80"/>
  <c r="P3567" i="80"/>
  <c r="P3649" i="80"/>
  <c r="P3655" i="80"/>
  <c r="P3661" i="80"/>
  <c r="P3667" i="80"/>
  <c r="P3673" i="80"/>
  <c r="P3679" i="80"/>
  <c r="P3685" i="80"/>
  <c r="P3691" i="80"/>
  <c r="P3697" i="80"/>
  <c r="P3703" i="80"/>
  <c r="P3709" i="80"/>
  <c r="P3715" i="80"/>
  <c r="P3721" i="80"/>
  <c r="P3727" i="80"/>
  <c r="P3733" i="80"/>
  <c r="P3739" i="80"/>
  <c r="P3745" i="80"/>
  <c r="P3751" i="80"/>
  <c r="P3757" i="80"/>
  <c r="P3763" i="80"/>
  <c r="P3769" i="80"/>
  <c r="P3775" i="80"/>
  <c r="P3781" i="80"/>
  <c r="P3787" i="80"/>
  <c r="P3793" i="80"/>
  <c r="P3799" i="80"/>
  <c r="P4014" i="80"/>
  <c r="P4039" i="80"/>
  <c r="P4051" i="80"/>
  <c r="P4063" i="80"/>
  <c r="P4075" i="80"/>
  <c r="P4170" i="80"/>
  <c r="P4192" i="80"/>
  <c r="P4160" i="80"/>
  <c r="P4209" i="80"/>
  <c r="P4220" i="80"/>
  <c r="P4253" i="80"/>
  <c r="P4265" i="80"/>
  <c r="P4289" i="80"/>
  <c r="P4301" i="80"/>
  <c r="P4313" i="80"/>
  <c r="P4325" i="80"/>
  <c r="P4337" i="80"/>
  <c r="P4349" i="80"/>
  <c r="P4361" i="80"/>
  <c r="P4373" i="80"/>
  <c r="P4385" i="80"/>
  <c r="P4397" i="80"/>
  <c r="P4409" i="80"/>
  <c r="P4421" i="80"/>
  <c r="P4433" i="80"/>
  <c r="P4445" i="80"/>
  <c r="P4457" i="80"/>
  <c r="P4469" i="80"/>
  <c r="P4481" i="80"/>
  <c r="P4641" i="80"/>
  <c r="P4646" i="80"/>
  <c r="P4670" i="80"/>
  <c r="P4675" i="80"/>
  <c r="P4681" i="80"/>
  <c r="P4691" i="80"/>
  <c r="P4763" i="80"/>
  <c r="P4780" i="80"/>
  <c r="P4182" i="80"/>
  <c r="P4193" i="80"/>
  <c r="P4199" i="80"/>
  <c r="P4204" i="80"/>
  <c r="P4210" i="80"/>
  <c r="P4215" i="80"/>
  <c r="P4221" i="80"/>
  <c r="P4627" i="80"/>
  <c r="P4697" i="80"/>
  <c r="P4161" i="80"/>
  <c r="P4351" i="80"/>
  <c r="P4363" i="80"/>
  <c r="P4375" i="80"/>
  <c r="P4387" i="80"/>
  <c r="P4399" i="80"/>
  <c r="P4411" i="80"/>
  <c r="P4423" i="80"/>
  <c r="P4435" i="80"/>
  <c r="P4447" i="80"/>
  <c r="P4459" i="80"/>
  <c r="P4471" i="80"/>
  <c r="P4483" i="80"/>
  <c r="P4162" i="80"/>
  <c r="P4167" i="80"/>
  <c r="P4173" i="80"/>
  <c r="P4194" i="80"/>
  <c r="P4205" i="80"/>
  <c r="P4211" i="80"/>
  <c r="P4216" i="80"/>
  <c r="P4249" i="80"/>
  <c r="P4261" i="80"/>
  <c r="P4273" i="80"/>
  <c r="P4285" i="80"/>
  <c r="P4297" i="80"/>
  <c r="P4309" i="80"/>
  <c r="P4321" i="80"/>
  <c r="P4333" i="80"/>
  <c r="P4506" i="80"/>
  <c r="P4522" i="80"/>
  <c r="P4538" i="80"/>
  <c r="P4554" i="80"/>
  <c r="P4570" i="80"/>
  <c r="P4586" i="80"/>
  <c r="P4602" i="80"/>
  <c r="P4618" i="80"/>
  <c r="P4633" i="80"/>
  <c r="P4638" i="80"/>
  <c r="P4657" i="80"/>
  <c r="P4662" i="80"/>
  <c r="P4693" i="80"/>
  <c r="P4718" i="80"/>
  <c r="P4729" i="80"/>
  <c r="P4739" i="80"/>
  <c r="P4765" i="80"/>
  <c r="P4782" i="80"/>
  <c r="P4157" i="80"/>
  <c r="P4168" i="80"/>
  <c r="P4629" i="80"/>
  <c r="P4634" i="80"/>
  <c r="P4653" i="80"/>
  <c r="P4658" i="80"/>
  <c r="P4694" i="80"/>
  <c r="P4719" i="80"/>
  <c r="P4766" i="80"/>
  <c r="P4806" i="80"/>
  <c r="P4158" i="80"/>
  <c r="P4169" i="80"/>
  <c r="P4245" i="80"/>
  <c r="P4269" i="80"/>
  <c r="P4281" i="80"/>
  <c r="P4305" i="80"/>
  <c r="P4317" i="80"/>
  <c r="P4329" i="80"/>
  <c r="P4341" i="80"/>
  <c r="P4353" i="80"/>
  <c r="P4365" i="80"/>
  <c r="P4377" i="80"/>
  <c r="P4389" i="80"/>
  <c r="P4401" i="80"/>
  <c r="P4413" i="80"/>
  <c r="P4425" i="80"/>
  <c r="P4437" i="80"/>
  <c r="P4449" i="80"/>
  <c r="P4461" i="80"/>
  <c r="P4473" i="80"/>
  <c r="P4485" i="80"/>
  <c r="P4649" i="80"/>
  <c r="P4654" i="80"/>
  <c r="P4741" i="80"/>
  <c r="P4767" i="80"/>
  <c r="P4175" i="80"/>
  <c r="P4180" i="80"/>
  <c r="P4186" i="80"/>
  <c r="P4191" i="80"/>
  <c r="P4197" i="80"/>
  <c r="P4235" i="80"/>
  <c r="P4240" i="80"/>
  <c r="P4252" i="80"/>
  <c r="P4264" i="80"/>
  <c r="P4276" i="80"/>
  <c r="P4288" i="80"/>
  <c r="P4300" i="80"/>
  <c r="P4312" i="80"/>
  <c r="P4324" i="80"/>
  <c r="P4336" i="80"/>
  <c r="P4348" i="80"/>
  <c r="P4354" i="80"/>
  <c r="P4360" i="80"/>
  <c r="P4366" i="80"/>
  <c r="P4372" i="80"/>
  <c r="P4378" i="80"/>
  <c r="P4384" i="80"/>
  <c r="P4390" i="80"/>
  <c r="P4396" i="80"/>
  <c r="P4402" i="80"/>
  <c r="P4408" i="80"/>
  <c r="P4414" i="80"/>
  <c r="P4420" i="80"/>
  <c r="P4426" i="80"/>
  <c r="P4432" i="80"/>
  <c r="P4438" i="80"/>
  <c r="P4444" i="80"/>
  <c r="P4450" i="80"/>
  <c r="P4456" i="80"/>
  <c r="P4462" i="80"/>
  <c r="P4468" i="80"/>
  <c r="P4474" i="80"/>
  <c r="P4480" i="80"/>
  <c r="P4486" i="80"/>
  <c r="P4492" i="80"/>
  <c r="P4625" i="80"/>
  <c r="P4674" i="80"/>
  <c r="P4700" i="80"/>
  <c r="P4705" i="80"/>
  <c r="P4726" i="80"/>
  <c r="P4731" i="80"/>
  <c r="P4751" i="80"/>
  <c r="P4757" i="80"/>
  <c r="P4773" i="80"/>
  <c r="P4790" i="80"/>
  <c r="P4815" i="80"/>
  <c r="P4821" i="80"/>
  <c r="P4852" i="80"/>
  <c r="P4888" i="80"/>
  <c r="P4899" i="80"/>
  <c r="P4916" i="80"/>
  <c r="P4961" i="80"/>
  <c r="P4977" i="80"/>
  <c r="P4988" i="80"/>
  <c r="P5068" i="80"/>
  <c r="P5074" i="80"/>
  <c r="P5101" i="80"/>
  <c r="P5149" i="80"/>
  <c r="P5197" i="80"/>
  <c r="P5219" i="80"/>
  <c r="P5230" i="80"/>
  <c r="P5235" i="80"/>
  <c r="P5254" i="80"/>
  <c r="P5259" i="80"/>
  <c r="P5278" i="80"/>
  <c r="P5324" i="80"/>
  <c r="P5361" i="80"/>
  <c r="P5366" i="80"/>
  <c r="P5377" i="80"/>
  <c r="P5397" i="80"/>
  <c r="P5402" i="80"/>
  <c r="P5407" i="80"/>
  <c r="P5441" i="80"/>
  <c r="P5446" i="80"/>
  <c r="P5456" i="80"/>
  <c r="P5473" i="80"/>
  <c r="P5500" i="80"/>
  <c r="P5517" i="80"/>
  <c r="P5529" i="80"/>
  <c r="P5540" i="80"/>
  <c r="P5592" i="80"/>
  <c r="P5598" i="80"/>
  <c r="P5615" i="80"/>
  <c r="P5620" i="80"/>
  <c r="P5632" i="80"/>
  <c r="P5638" i="80"/>
  <c r="P5941" i="80"/>
  <c r="P5967" i="80"/>
  <c r="P5983" i="80"/>
  <c r="P6014" i="80"/>
  <c r="P6030" i="80"/>
  <c r="P6051" i="80"/>
  <c r="P6067" i="80"/>
  <c r="P6088" i="80"/>
  <c r="P6094" i="80"/>
  <c r="P6120" i="80"/>
  <c r="P6125" i="80"/>
  <c r="P6141" i="80"/>
  <c r="P6168" i="80"/>
  <c r="P6227" i="80"/>
  <c r="P6243" i="80"/>
  <c r="P6312" i="80"/>
  <c r="P6359" i="80"/>
  <c r="P6380" i="80"/>
  <c r="P6395" i="80"/>
  <c r="P6416" i="80"/>
  <c r="P4883" i="80"/>
  <c r="P4956" i="80"/>
  <c r="P5028" i="80"/>
  <c r="P5208" i="80"/>
  <c r="P5304" i="80"/>
  <c r="P5320" i="80"/>
  <c r="P5346" i="80"/>
  <c r="P5367" i="80"/>
  <c r="P5372" i="80"/>
  <c r="P5408" i="80"/>
  <c r="P5463" i="80"/>
  <c r="P5468" i="80"/>
  <c r="P5535" i="80"/>
  <c r="P5564" i="80"/>
  <c r="P5576" i="80"/>
  <c r="P5604" i="80"/>
  <c r="P5994" i="80"/>
  <c r="P6062" i="80"/>
  <c r="P6157" i="80"/>
  <c r="P6185" i="80"/>
  <c r="P6217" i="80"/>
  <c r="P6254" i="80"/>
  <c r="P6281" i="80"/>
  <c r="P6322" i="80"/>
  <c r="P6338" i="80"/>
  <c r="P6385" i="80"/>
  <c r="P6390" i="80"/>
  <c r="P4900" i="80"/>
  <c r="P4957" i="80"/>
  <c r="P5055" i="80"/>
  <c r="P5081" i="80"/>
  <c r="P5096" i="80"/>
  <c r="P5144" i="80"/>
  <c r="P5192" i="80"/>
  <c r="P5214" i="80"/>
  <c r="P5220" i="80"/>
  <c r="P5284" i="80"/>
  <c r="P5305" i="80"/>
  <c r="P5321" i="80"/>
  <c r="P5326" i="80"/>
  <c r="P5436" i="80"/>
  <c r="P5452" i="80"/>
  <c r="P5479" i="80"/>
  <c r="P5496" i="80"/>
  <c r="P5507" i="80"/>
  <c r="P5524" i="80"/>
  <c r="P5547" i="80"/>
  <c r="P5571" i="80"/>
  <c r="P5948" i="80"/>
  <c r="P5995" i="80"/>
  <c r="P6005" i="80"/>
  <c r="P6010" i="80"/>
  <c r="P6036" i="80"/>
  <c r="P6116" i="80"/>
  <c r="P6169" i="80"/>
  <c r="P6206" i="80"/>
  <c r="P6228" i="80"/>
  <c r="P6302" i="80"/>
  <c r="P6313" i="80"/>
  <c r="P6349" i="80"/>
  <c r="P6396" i="80"/>
  <c r="P6454" i="80"/>
  <c r="P6469" i="80"/>
  <c r="P4879" i="80"/>
  <c r="P4901" i="80"/>
  <c r="P4907" i="80"/>
  <c r="P4973" i="80"/>
  <c r="P5145" i="80"/>
  <c r="P5160" i="80"/>
  <c r="P5193" i="80"/>
  <c r="P5221" i="80"/>
  <c r="P5497" i="80"/>
  <c r="P5542" i="80"/>
  <c r="P5634" i="80"/>
  <c r="P6032" i="80"/>
  <c r="P6037" i="80"/>
  <c r="P6069" i="80"/>
  <c r="P6090" i="80"/>
  <c r="P6132" i="80"/>
  <c r="P6137" i="80"/>
  <c r="P6158" i="80"/>
  <c r="P6164" i="80"/>
  <c r="P6223" i="80"/>
  <c r="P6271" i="80"/>
  <c r="P6276" i="80"/>
  <c r="P6297" i="80"/>
  <c r="P6308" i="80"/>
  <c r="P6329" i="80"/>
  <c r="P6370" i="80"/>
  <c r="P6386" i="80"/>
  <c r="P6438" i="80"/>
  <c r="P6455" i="80"/>
  <c r="P6489" i="80"/>
  <c r="P4771" i="80"/>
  <c r="P4792" i="80"/>
  <c r="P4802" i="80"/>
  <c r="P4812" i="80"/>
  <c r="P4817" i="80"/>
  <c r="P4828" i="80"/>
  <c r="P4843" i="80"/>
  <c r="P4885" i="80"/>
  <c r="P4979" i="80"/>
  <c r="P5050" i="80"/>
  <c r="P5124" i="80"/>
  <c r="P5199" i="80"/>
  <c r="P5301" i="80"/>
  <c r="P5327" i="80"/>
  <c r="P5352" i="80"/>
  <c r="P5394" i="80"/>
  <c r="P5431" i="80"/>
  <c r="P5480" i="80"/>
  <c r="P5933" i="80"/>
  <c r="P5949" i="80"/>
  <c r="P5996" i="80"/>
  <c r="P6006" i="80"/>
  <c r="P6053" i="80"/>
  <c r="P6371" i="80"/>
  <c r="P4787" i="80"/>
  <c r="P4818" i="80"/>
  <c r="P4844" i="80"/>
  <c r="P4849" i="80"/>
  <c r="P4875" i="80"/>
  <c r="P4902" i="80"/>
  <c r="P4908" i="80"/>
  <c r="P4985" i="80"/>
  <c r="P5051" i="80"/>
  <c r="P5125" i="80"/>
  <c r="P5173" i="80"/>
  <c r="P5227" i="80"/>
  <c r="P5242" i="80"/>
  <c r="P5247" i="80"/>
  <c r="P5266" i="80"/>
  <c r="P5271" i="80"/>
  <c r="P5353" i="80"/>
  <c r="P5438" i="80"/>
  <c r="P5481" i="80"/>
  <c r="P5498" i="80"/>
  <c r="P5543" i="80"/>
  <c r="P5549" i="80"/>
  <c r="P5572" i="80"/>
  <c r="P5635" i="80"/>
  <c r="P5919" i="80"/>
  <c r="P5954" i="80"/>
  <c r="P5970" i="80"/>
  <c r="P5980" i="80"/>
  <c r="P6017" i="80"/>
  <c r="P6027" i="80"/>
  <c r="P6038" i="80"/>
  <c r="P6043" i="80"/>
  <c r="P6064" i="80"/>
  <c r="P6070" i="80"/>
  <c r="P6091" i="80"/>
  <c r="P6138" i="80"/>
  <c r="P6187" i="80"/>
  <c r="P6224" i="80"/>
  <c r="P6256" i="80"/>
  <c r="P6277" i="80"/>
  <c r="P6283" i="80"/>
  <c r="P6324" i="80"/>
  <c r="P6345" i="80"/>
  <c r="P6418" i="80"/>
  <c r="P6424" i="80"/>
  <c r="P4947" i="80"/>
  <c r="P4980" i="80"/>
  <c r="P5009" i="80"/>
  <c r="P5014" i="80"/>
  <c r="P5025" i="80"/>
  <c r="P6262" i="80"/>
  <c r="P6309" i="80"/>
  <c r="P4865" i="80"/>
  <c r="P5312" i="80"/>
  <c r="P5349" i="80"/>
  <c r="P5380" i="80"/>
  <c r="P5400" i="80"/>
  <c r="P5411" i="80"/>
  <c r="P5460" i="80"/>
  <c r="P5476" i="80"/>
  <c r="P5493" i="80"/>
  <c r="P5510" i="80"/>
  <c r="P5521" i="80"/>
  <c r="P5532" i="80"/>
  <c r="P5538" i="80"/>
  <c r="P5544" i="80"/>
  <c r="P5550" i="80"/>
  <c r="P5561" i="80"/>
  <c r="P5624" i="80"/>
  <c r="P5630" i="80"/>
  <c r="P5911" i="80"/>
  <c r="P6086" i="80"/>
  <c r="P6139" i="80"/>
  <c r="P6160" i="80"/>
  <c r="P6182" i="80"/>
  <c r="P6278" i="80"/>
  <c r="P6299" i="80"/>
  <c r="P6325" i="80"/>
  <c r="P6372" i="80"/>
  <c r="P6393" i="80"/>
  <c r="P6435" i="80"/>
  <c r="P4804" i="80"/>
  <c r="P4819" i="80"/>
  <c r="P4926" i="80"/>
  <c r="P4954" i="80"/>
  <c r="P4981" i="80"/>
  <c r="P5046" i="80"/>
  <c r="P5052" i="80"/>
  <c r="P5120" i="80"/>
  <c r="P5168" i="80"/>
  <c r="P5228" i="80"/>
  <c r="P5907" i="80"/>
  <c r="P5935" i="80"/>
  <c r="P5992" i="80"/>
  <c r="P6161" i="80"/>
  <c r="P6177" i="80"/>
  <c r="P6215" i="80"/>
  <c r="P6241" i="80"/>
  <c r="P6246" i="80"/>
  <c r="P6352" i="80"/>
  <c r="P6357" i="80"/>
  <c r="P6481" i="80"/>
  <c r="P5004" i="80"/>
  <c r="P5020" i="80"/>
  <c r="P5053" i="80"/>
  <c r="P5079" i="80"/>
  <c r="P5153" i="80"/>
  <c r="P5169" i="80"/>
  <c r="P5292" i="80"/>
  <c r="P5318" i="80"/>
  <c r="P5334" i="80"/>
  <c r="P5339" i="80"/>
  <c r="P5344" i="80"/>
  <c r="P5355" i="80"/>
  <c r="P5412" i="80"/>
  <c r="P5428" i="80"/>
  <c r="P5445" i="80"/>
  <c r="P5455" i="80"/>
  <c r="P5489" i="80"/>
  <c r="P5494" i="80"/>
  <c r="P5505" i="80"/>
  <c r="P5539" i="80"/>
  <c r="P5557" i="80"/>
  <c r="P5608" i="80"/>
  <c r="P5614" i="80"/>
  <c r="P5631" i="80"/>
  <c r="P5637" i="80"/>
  <c r="P6050" i="80"/>
  <c r="P6066" i="80"/>
  <c r="P6420" i="80"/>
  <c r="P6441" i="80"/>
  <c r="P4882" i="80"/>
  <c r="P4910" i="80"/>
  <c r="P4955" i="80"/>
  <c r="P5100" i="80"/>
  <c r="P5218" i="80"/>
  <c r="P5298" i="80"/>
  <c r="P5314" i="80"/>
  <c r="P5940" i="80"/>
  <c r="P5977" i="80"/>
  <c r="P6072" i="80"/>
  <c r="P6077" i="80"/>
  <c r="P6114" i="80"/>
  <c r="P6178" i="80"/>
  <c r="P6184" i="80"/>
  <c r="P6204" i="80"/>
  <c r="P6216" i="80"/>
  <c r="P6242" i="80"/>
  <c r="P6280" i="80"/>
  <c r="P6300" i="80"/>
  <c r="P6358" i="80"/>
  <c r="P6482" i="80"/>
  <c r="P5937" i="80"/>
  <c r="P5985" i="80"/>
  <c r="P6033" i="80"/>
  <c r="P6165" i="80"/>
  <c r="P6194" i="80"/>
  <c r="P6213" i="80"/>
  <c r="P6261" i="80"/>
  <c r="P6483" i="80"/>
  <c r="P5973" i="80"/>
  <c r="P6021" i="80"/>
  <c r="P6056" i="80"/>
  <c r="P6061" i="80"/>
  <c r="P6080" i="80"/>
  <c r="P6085" i="80"/>
  <c r="P6104" i="80"/>
  <c r="P6109" i="80"/>
  <c r="P6128" i="80"/>
  <c r="P6133" i="80"/>
  <c r="P6152" i="80"/>
  <c r="P6181" i="80"/>
  <c r="P6200" i="80"/>
  <c r="P6229" i="80"/>
  <c r="P6248" i="80"/>
  <c r="P6296" i="80"/>
  <c r="P6344" i="80"/>
  <c r="P6392" i="80"/>
  <c r="P6440" i="80"/>
  <c r="P5965" i="80"/>
  <c r="P6013" i="80"/>
  <c r="P6057" i="80"/>
  <c r="P6076" i="80"/>
  <c r="P6081" i="80"/>
  <c r="P6100" i="80"/>
  <c r="P6105" i="80"/>
  <c r="P6124" i="80"/>
  <c r="P6129" i="80"/>
  <c r="P6148" i="80"/>
  <c r="P6153" i="80"/>
  <c r="P6191" i="80"/>
  <c r="P6201" i="80"/>
  <c r="P6239" i="80"/>
  <c r="P6249" i="80"/>
  <c r="P6287" i="80"/>
  <c r="P6335" i="80"/>
  <c r="P6383" i="80"/>
  <c r="P6431" i="80"/>
  <c r="P5961" i="80"/>
  <c r="P6009" i="80"/>
  <c r="P6408" i="80"/>
  <c r="P6456" i="80"/>
  <c r="P5953" i="80"/>
  <c r="P6001" i="80"/>
  <c r="P6049" i="80"/>
  <c r="P6159" i="80"/>
  <c r="P6207" i="80"/>
  <c r="P6255" i="80"/>
  <c r="P6303" i="80"/>
  <c r="P6351" i="80"/>
  <c r="P6399" i="80"/>
  <c r="P6447" i="80"/>
  <c r="P5945" i="80"/>
  <c r="P5993" i="80"/>
  <c r="P6041" i="80"/>
  <c r="P6183" i="80"/>
  <c r="P6231" i="80"/>
  <c r="P6279" i="80"/>
  <c r="P6327" i="80"/>
  <c r="P6375" i="80"/>
  <c r="P6423" i="80"/>
  <c r="P6471" i="80"/>
  <c r="P6171" i="80"/>
  <c r="P6219" i="80"/>
  <c r="P6267" i="80"/>
  <c r="P6315" i="80"/>
  <c r="P6363" i="80"/>
  <c r="P6411" i="80"/>
  <c r="P6459" i="80"/>
  <c r="P6163" i="80"/>
  <c r="P6211" i="80"/>
  <c r="P6259" i="80"/>
  <c r="P6307" i="80"/>
  <c r="P6355" i="80"/>
  <c r="P6403" i="80"/>
  <c r="P6451" i="80"/>
  <c r="P6199" i="80"/>
  <c r="P6247" i="80"/>
  <c r="P6295" i="80"/>
  <c r="P6343" i="80"/>
  <c r="P6391" i="80"/>
  <c r="P6439" i="80"/>
  <c r="P6487" i="80"/>
  <c r="P5297" i="80"/>
  <c r="P5345" i="80"/>
  <c r="P5393" i="80"/>
  <c r="P5289" i="80"/>
  <c r="P5337" i="80"/>
  <c r="P5385" i="80"/>
  <c r="P5325" i="80"/>
  <c r="P5373" i="80"/>
  <c r="P5413" i="80"/>
  <c r="P5437" i="80"/>
  <c r="P5461" i="80"/>
  <c r="P5485" i="80"/>
  <c r="P5509" i="80"/>
  <c r="P5369" i="80"/>
  <c r="P5317" i="80"/>
  <c r="P5365" i="80"/>
  <c r="P5409" i="80"/>
  <c r="P5433" i="80"/>
  <c r="P5457" i="80"/>
  <c r="P5525" i="80"/>
  <c r="P5541" i="80"/>
  <c r="P5568" i="80"/>
  <c r="P5309" i="80"/>
  <c r="P5357" i="80"/>
  <c r="P5405" i="80"/>
  <c r="P5429" i="80"/>
  <c r="P5453" i="80"/>
  <c r="P5477" i="80"/>
  <c r="P5501" i="80"/>
  <c r="P5563" i="80"/>
  <c r="P5575" i="80"/>
  <c r="P5591" i="80"/>
  <c r="P5607" i="80"/>
  <c r="P5623" i="80"/>
  <c r="P5639" i="80"/>
  <c r="P5650" i="80"/>
  <c r="P5656" i="80"/>
  <c r="P5662" i="80"/>
  <c r="P5668" i="80"/>
  <c r="P5674" i="80"/>
  <c r="P5680" i="80"/>
  <c r="P5686" i="80"/>
  <c r="P5692" i="80"/>
  <c r="P5698" i="80"/>
  <c r="P5704" i="80"/>
  <c r="P5710" i="80"/>
  <c r="P5716" i="80"/>
  <c r="P5722" i="80"/>
  <c r="P5728" i="80"/>
  <c r="P5734" i="80"/>
  <c r="P5740" i="80"/>
  <c r="P5746" i="80"/>
  <c r="P5752" i="80"/>
  <c r="P5758" i="80"/>
  <c r="P5764" i="80"/>
  <c r="P5770" i="80"/>
  <c r="P5776" i="80"/>
  <c r="P5782" i="80"/>
  <c r="P5788" i="80"/>
  <c r="P5794" i="80"/>
  <c r="P5800" i="80"/>
  <c r="P5806" i="80"/>
  <c r="P5812" i="80"/>
  <c r="P5818" i="80"/>
  <c r="P5824" i="80"/>
  <c r="P5830" i="80"/>
  <c r="P5836" i="80"/>
  <c r="P5842" i="80"/>
  <c r="P5848" i="80"/>
  <c r="P5854" i="80"/>
  <c r="P5860" i="80"/>
  <c r="P5866" i="80"/>
  <c r="P5872" i="80"/>
  <c r="P5878" i="80"/>
  <c r="P5884" i="80"/>
  <c r="P5890" i="80"/>
  <c r="P5581" i="80"/>
  <c r="P5597" i="80"/>
  <c r="P5613" i="80"/>
  <c r="P5629" i="80"/>
  <c r="P5645" i="80"/>
  <c r="P5651" i="80"/>
  <c r="P5657" i="80"/>
  <c r="P5663" i="80"/>
  <c r="P5669" i="80"/>
  <c r="P5675" i="80"/>
  <c r="P5681" i="80"/>
  <c r="P5687" i="80"/>
  <c r="P5693" i="80"/>
  <c r="P5699" i="80"/>
  <c r="P5705" i="80"/>
  <c r="P5711" i="80"/>
  <c r="P5717" i="80"/>
  <c r="P5723" i="80"/>
  <c r="P5729" i="80"/>
  <c r="P5735" i="80"/>
  <c r="P5741" i="80"/>
  <c r="P5747" i="80"/>
  <c r="P5753" i="80"/>
  <c r="P5759" i="80"/>
  <c r="P5765" i="80"/>
  <c r="P5771" i="80"/>
  <c r="P5777" i="80"/>
  <c r="P5783" i="80"/>
  <c r="P5789" i="80"/>
  <c r="P5795" i="80"/>
  <c r="P5801" i="80"/>
  <c r="P5807" i="80"/>
  <c r="P5813" i="80"/>
  <c r="P5819" i="80"/>
  <c r="P5825" i="80"/>
  <c r="P5831" i="80"/>
  <c r="P5837" i="80"/>
  <c r="P5843" i="80"/>
  <c r="P5849" i="80"/>
  <c r="P5855" i="80"/>
  <c r="P5861" i="80"/>
  <c r="P5867" i="80"/>
  <c r="P5873" i="80"/>
  <c r="P5879" i="80"/>
  <c r="P5885" i="80"/>
  <c r="P5891" i="80"/>
  <c r="P5562" i="80"/>
  <c r="P5567" i="80"/>
  <c r="P5577" i="80"/>
  <c r="P5593" i="80"/>
  <c r="P5609" i="80"/>
  <c r="P5625" i="80"/>
  <c r="P5641" i="80"/>
  <c r="P5578" i="80"/>
  <c r="P5594" i="80"/>
  <c r="P5610" i="80"/>
  <c r="P5626" i="80"/>
  <c r="P5642" i="80"/>
  <c r="P5559" i="80"/>
  <c r="P5579" i="80"/>
  <c r="P5595" i="80"/>
  <c r="P5611" i="80"/>
  <c r="P5627" i="80"/>
  <c r="P5643" i="80"/>
  <c r="P4664" i="80"/>
  <c r="P4712" i="80"/>
  <c r="P4760" i="80"/>
  <c r="P4808" i="80"/>
  <c r="P4856" i="80"/>
  <c r="P4891" i="80"/>
  <c r="P4911" i="80"/>
  <c r="P4995" i="80"/>
  <c r="P4708" i="80"/>
  <c r="P4756" i="80"/>
  <c r="P4704" i="80"/>
  <c r="P4752" i="80"/>
  <c r="P4800" i="80"/>
  <c r="P4848" i="80"/>
  <c r="P4971" i="80"/>
  <c r="P4692" i="80"/>
  <c r="P4740" i="80"/>
  <c r="P4788" i="80"/>
  <c r="P4836" i="80"/>
  <c r="P4884" i="80"/>
  <c r="P4903" i="80"/>
  <c r="P4913" i="80"/>
  <c r="P4928" i="80"/>
  <c r="P4953" i="80"/>
  <c r="P5024" i="80"/>
  <c r="P4688" i="80"/>
  <c r="P4736" i="80"/>
  <c r="P4784" i="80"/>
  <c r="P4832" i="80"/>
  <c r="P4880" i="80"/>
  <c r="P4923" i="80"/>
  <c r="P4963" i="80"/>
  <c r="P4983" i="80"/>
  <c r="P4998" i="80"/>
  <c r="P4676" i="80"/>
  <c r="P4724" i="80"/>
  <c r="P4772" i="80"/>
  <c r="P4820" i="80"/>
  <c r="P4868" i="80"/>
  <c r="P4905" i="80"/>
  <c r="P4949" i="80"/>
  <c r="P4969" i="80"/>
  <c r="P4974" i="80"/>
  <c r="P5026" i="80"/>
  <c r="P4672" i="80"/>
  <c r="P4720" i="80"/>
  <c r="P4768" i="80"/>
  <c r="P4816" i="80"/>
  <c r="P4864" i="80"/>
  <c r="P5000" i="80"/>
  <c r="P4893" i="80"/>
  <c r="P4917" i="80"/>
  <c r="P4941" i="80"/>
  <c r="P4965" i="80"/>
  <c r="P4989" i="80"/>
  <c r="P5013" i="80"/>
  <c r="P5037" i="80"/>
  <c r="P5061" i="80"/>
  <c r="P5085" i="80"/>
  <c r="P5109" i="80"/>
  <c r="P5133" i="80"/>
  <c r="P5157" i="80"/>
  <c r="P5181" i="80"/>
  <c r="P5205" i="80"/>
  <c r="P4999" i="80"/>
  <c r="P5023" i="80"/>
  <c r="P5047" i="80"/>
  <c r="P5071" i="80"/>
  <c r="P5095" i="80"/>
  <c r="P5119" i="80"/>
  <c r="P5143" i="80"/>
  <c r="P5167" i="80"/>
  <c r="P5191" i="80"/>
  <c r="P5215" i="80"/>
  <c r="P5177" i="80"/>
  <c r="P5019" i="80"/>
  <c r="P5043" i="80"/>
  <c r="P5067" i="80"/>
  <c r="P5091" i="80"/>
  <c r="P5115" i="80"/>
  <c r="P5139" i="80"/>
  <c r="P5163" i="80"/>
  <c r="P5187" i="80"/>
  <c r="P4895" i="80"/>
  <c r="P4919" i="80"/>
  <c r="P4943" i="80"/>
  <c r="P4967" i="80"/>
  <c r="P4991" i="80"/>
  <c r="P5015" i="80"/>
  <c r="P5039" i="80"/>
  <c r="P5063" i="80"/>
  <c r="P5087" i="80"/>
  <c r="P5111" i="80"/>
  <c r="P5135" i="80"/>
  <c r="P5159" i="80"/>
  <c r="P5183" i="80"/>
  <c r="P5207" i="80"/>
  <c r="P5011" i="80"/>
  <c r="P5035" i="80"/>
  <c r="P5059" i="80"/>
  <c r="P5083" i="80"/>
  <c r="P5107" i="80"/>
  <c r="P5131" i="80"/>
  <c r="P5155" i="80"/>
  <c r="P5179" i="80"/>
  <c r="P5203" i="80"/>
  <c r="P5045" i="80"/>
  <c r="P5069" i="80"/>
  <c r="P5093" i="80"/>
  <c r="P5117" i="80"/>
  <c r="P5165" i="80"/>
  <c r="P5189" i="80"/>
  <c r="P5213" i="80"/>
  <c r="P5017" i="80"/>
  <c r="P5041" i="80"/>
  <c r="P5065" i="80"/>
  <c r="P5089" i="80"/>
  <c r="P5113" i="80"/>
  <c r="P5137" i="80"/>
  <c r="P5161" i="80"/>
  <c r="P5185" i="80"/>
  <c r="P4242" i="80"/>
  <c r="P4258" i="80"/>
  <c r="P4274" i="80"/>
  <c r="P4290" i="80"/>
  <c r="P4306" i="80"/>
  <c r="P4322" i="80"/>
  <c r="P4338" i="80"/>
  <c r="P4171" i="80"/>
  <c r="P4176" i="80"/>
  <c r="P4195" i="80"/>
  <c r="P4200" i="80"/>
  <c r="P4219" i="80"/>
  <c r="P4224" i="80"/>
  <c r="P4254" i="80"/>
  <c r="P4270" i="80"/>
  <c r="P4286" i="80"/>
  <c r="P4302" i="80"/>
  <c r="P4318" i="80"/>
  <c r="P4334" i="80"/>
  <c r="P4250" i="80"/>
  <c r="P4266" i="80"/>
  <c r="P4282" i="80"/>
  <c r="P4298" i="80"/>
  <c r="P4314" i="80"/>
  <c r="P4330" i="80"/>
  <c r="P4346" i="80"/>
  <c r="P4164" i="80"/>
  <c r="P4183" i="80"/>
  <c r="P4188" i="80"/>
  <c r="P4207" i="80"/>
  <c r="P4212" i="80"/>
  <c r="P4231" i="80"/>
  <c r="P4236" i="80"/>
  <c r="P4246" i="80"/>
  <c r="P4262" i="80"/>
  <c r="P4278" i="80"/>
  <c r="P4294" i="80"/>
  <c r="P4310" i="80"/>
  <c r="P4326" i="80"/>
  <c r="P4342" i="80"/>
  <c r="P4156" i="80"/>
  <c r="P4179" i="80"/>
  <c r="P4184" i="80"/>
  <c r="P4203" i="80"/>
  <c r="P4208" i="80"/>
  <c r="P4227" i="80"/>
  <c r="P4232" i="80"/>
  <c r="P4247" i="80"/>
  <c r="P4263" i="80"/>
  <c r="P3479" i="80"/>
  <c r="P3484" i="80"/>
  <c r="P3503" i="80"/>
  <c r="P3508" i="80"/>
  <c r="P3527" i="80"/>
  <c r="P3532" i="80"/>
  <c r="P3552" i="80"/>
  <c r="P3568" i="80"/>
  <c r="P3584" i="80"/>
  <c r="P3595" i="80"/>
  <c r="P3601" i="80"/>
  <c r="P3607" i="80"/>
  <c r="P3613" i="80"/>
  <c r="P3619" i="80"/>
  <c r="P3625" i="80"/>
  <c r="P3631" i="80"/>
  <c r="P3637" i="80"/>
  <c r="P3643" i="80"/>
  <c r="P3471" i="80"/>
  <c r="P3548" i="80"/>
  <c r="P3564" i="80"/>
  <c r="P3580" i="80"/>
  <c r="P3554" i="80"/>
  <c r="P3570" i="80"/>
  <c r="P3586" i="80"/>
  <c r="P3555" i="80"/>
  <c r="P3571" i="80"/>
  <c r="P3587" i="80"/>
  <c r="P3556" i="80"/>
  <c r="P3572" i="80"/>
  <c r="P3588" i="80"/>
  <c r="P3546" i="80"/>
  <c r="P3562" i="80"/>
  <c r="P3578" i="80"/>
  <c r="P2877" i="80"/>
  <c r="P2887" i="80"/>
  <c r="P2903" i="80"/>
  <c r="P2919" i="80"/>
  <c r="P2935" i="80"/>
  <c r="P2951" i="80"/>
  <c r="P2967" i="80"/>
  <c r="P2893" i="80"/>
  <c r="P2909" i="80"/>
  <c r="P2925" i="80"/>
  <c r="P2941" i="80"/>
  <c r="P2957" i="80"/>
  <c r="P2973" i="80"/>
  <c r="P2989" i="80"/>
  <c r="P3005" i="80"/>
  <c r="P3021" i="80"/>
  <c r="P3037" i="80"/>
  <c r="P3053" i="80"/>
  <c r="P3069" i="80"/>
  <c r="P3085" i="80"/>
  <c r="P3101" i="80"/>
  <c r="P3117" i="80"/>
  <c r="P3133" i="80"/>
  <c r="P3149" i="80"/>
  <c r="P3165" i="80"/>
  <c r="P3181" i="80"/>
  <c r="P3197" i="80"/>
  <c r="P2865" i="80"/>
  <c r="P2879" i="80"/>
  <c r="P2884" i="80"/>
  <c r="P2900" i="80"/>
  <c r="P2916" i="80"/>
  <c r="P2932" i="80"/>
  <c r="P2948" i="80"/>
  <c r="P2964" i="80"/>
  <c r="P2980" i="80"/>
  <c r="P2996" i="80"/>
  <c r="P3012" i="80"/>
  <c r="P3028" i="80"/>
  <c r="P3044" i="80"/>
  <c r="P3060" i="80"/>
  <c r="P3076" i="80"/>
  <c r="P3092" i="80"/>
  <c r="P3108" i="80"/>
  <c r="P3124" i="80"/>
  <c r="P3140" i="80"/>
  <c r="P3156" i="80"/>
  <c r="P3172" i="80"/>
  <c r="P3188" i="80"/>
  <c r="P2895" i="80"/>
  <c r="P2911" i="80"/>
  <c r="P2927" i="80"/>
  <c r="P2943" i="80"/>
  <c r="P2959" i="80"/>
  <c r="P2975" i="80"/>
  <c r="P2991" i="80"/>
  <c r="P3007" i="80"/>
  <c r="P3023" i="80"/>
  <c r="P3039" i="80"/>
  <c r="P3055" i="80"/>
  <c r="P3071" i="80"/>
  <c r="P3087" i="80"/>
  <c r="P3103" i="80"/>
  <c r="P3119" i="80"/>
  <c r="P3135" i="80"/>
  <c r="P3151" i="80"/>
  <c r="P3167" i="80"/>
  <c r="P3183" i="80"/>
  <c r="P3199" i="80"/>
  <c r="P2896" i="80"/>
  <c r="P2912" i="80"/>
  <c r="P2928" i="80"/>
  <c r="P2944" i="80"/>
  <c r="P2960" i="80"/>
  <c r="P2976" i="80"/>
  <c r="P2992" i="80"/>
  <c r="P3008" i="80"/>
  <c r="P3024" i="80"/>
  <c r="P3040" i="80"/>
  <c r="P3056" i="80"/>
  <c r="P3072" i="80"/>
  <c r="P3088" i="80"/>
  <c r="P3104" i="80"/>
  <c r="P3120" i="80"/>
  <c r="P3136" i="80"/>
  <c r="P3152" i="80"/>
  <c r="P3168" i="80"/>
  <c r="P3184" i="80"/>
  <c r="P3200" i="80"/>
  <c r="P2871" i="80"/>
  <c r="P2891" i="80"/>
  <c r="P2907" i="80"/>
  <c r="P2923" i="80"/>
  <c r="P2939" i="80"/>
  <c r="P2955" i="80"/>
  <c r="P2971" i="80"/>
  <c r="P2987" i="80"/>
  <c r="P3003" i="80"/>
  <c r="P3019" i="80"/>
  <c r="P3035" i="80"/>
  <c r="P3051" i="80"/>
  <c r="P3067" i="80"/>
  <c r="P3083" i="80"/>
  <c r="P3099" i="80"/>
  <c r="P3115" i="80"/>
  <c r="P3131" i="80"/>
  <c r="P3147" i="80"/>
  <c r="P3163" i="80"/>
  <c r="P3179" i="80"/>
  <c r="P3195" i="80"/>
  <c r="P2397" i="80"/>
  <c r="P2421" i="80"/>
  <c r="P2445" i="80"/>
  <c r="P2469" i="80"/>
  <c r="P2493" i="80"/>
  <c r="P2517" i="80"/>
  <c r="P2541" i="80"/>
  <c r="P2565" i="80"/>
  <c r="P2589" i="80"/>
  <c r="P2613" i="80"/>
  <c r="P2637" i="80"/>
  <c r="P2661" i="80"/>
  <c r="P2685" i="80"/>
  <c r="P2709" i="80"/>
  <c r="P2383" i="80"/>
  <c r="P2407" i="80"/>
  <c r="P2431" i="80"/>
  <c r="P2455" i="80"/>
  <c r="P2479" i="80"/>
  <c r="P2503" i="80"/>
  <c r="P2527" i="80"/>
  <c r="P2551" i="80"/>
  <c r="P2575" i="80"/>
  <c r="P2599" i="80"/>
  <c r="P2623" i="80"/>
  <c r="P2647" i="80"/>
  <c r="P2671" i="80"/>
  <c r="P2695" i="80"/>
  <c r="P2379" i="80"/>
  <c r="P2403" i="80"/>
  <c r="P2427" i="80"/>
  <c r="P2451" i="80"/>
  <c r="P2475" i="80"/>
  <c r="P2499" i="80"/>
  <c r="P2523" i="80"/>
  <c r="P2547" i="80"/>
  <c r="P2571" i="80"/>
  <c r="P2595" i="80"/>
  <c r="P2619" i="80"/>
  <c r="P2643" i="80"/>
  <c r="P2667" i="80"/>
  <c r="P2691" i="80"/>
  <c r="P2519" i="80"/>
  <c r="P2543" i="80"/>
  <c r="P2385" i="80"/>
  <c r="P2409" i="80"/>
  <c r="P2433" i="80"/>
  <c r="P2457" i="80"/>
  <c r="P2481" i="80"/>
  <c r="P2505" i="80"/>
  <c r="P2529" i="80"/>
  <c r="P2553" i="80"/>
  <c r="P2577" i="80"/>
  <c r="P2601" i="80"/>
  <c r="P2625" i="80"/>
  <c r="P2649" i="80"/>
  <c r="P2673" i="80"/>
  <c r="P2697" i="80"/>
  <c r="P2707" i="80"/>
  <c r="P2391" i="80"/>
  <c r="P2415" i="80"/>
  <c r="P2439" i="80"/>
  <c r="P2463" i="80"/>
  <c r="P2487" i="80"/>
  <c r="P2511" i="80"/>
  <c r="P2535" i="80"/>
  <c r="P2559" i="80"/>
  <c r="P2583" i="80"/>
  <c r="P2607" i="80"/>
  <c r="P2631" i="80"/>
  <c r="P2655" i="80"/>
  <c r="P2679" i="80"/>
  <c r="P2703" i="80"/>
  <c r="P2387" i="80"/>
  <c r="P2411" i="80"/>
  <c r="P2435" i="80"/>
  <c r="P2459" i="80"/>
  <c r="P2483" i="80"/>
  <c r="P2507" i="80"/>
  <c r="P2531" i="80"/>
  <c r="P2555" i="80"/>
  <c r="P2579" i="80"/>
  <c r="P2603" i="80"/>
  <c r="P2627" i="80"/>
  <c r="P2651" i="80"/>
  <c r="P2675" i="80"/>
  <c r="P2699" i="80"/>
  <c r="P1708" i="80"/>
  <c r="P1732" i="80"/>
  <c r="P1756" i="80"/>
  <c r="P1780" i="80"/>
  <c r="P1804" i="80"/>
  <c r="P1828" i="80"/>
  <c r="P1852" i="80"/>
  <c r="P1876" i="80"/>
  <c r="P1900" i="80"/>
  <c r="P1924" i="80"/>
  <c r="P1718" i="80"/>
  <c r="P1742" i="80"/>
  <c r="P1766" i="80"/>
  <c r="P1790" i="80"/>
  <c r="P1814" i="80"/>
  <c r="P1838" i="80"/>
  <c r="P1862" i="80"/>
  <c r="P1886" i="80"/>
  <c r="P1910" i="80"/>
  <c r="P1934" i="80"/>
  <c r="P1958" i="80"/>
  <c r="P2006" i="80"/>
  <c r="P2054" i="80"/>
  <c r="P2101" i="80"/>
  <c r="P2129" i="80"/>
  <c r="P2153" i="80"/>
  <c r="P2177" i="80"/>
  <c r="P2201" i="80"/>
  <c r="P2225" i="80"/>
  <c r="P2249" i="80"/>
  <c r="P2273" i="80"/>
  <c r="P1704" i="80"/>
  <c r="P1728" i="80"/>
  <c r="P1752" i="80"/>
  <c r="P1776" i="80"/>
  <c r="P1800" i="80"/>
  <c r="P1824" i="80"/>
  <c r="P1848" i="80"/>
  <c r="P1872" i="80"/>
  <c r="P1896" i="80"/>
  <c r="P1920" i="80"/>
  <c r="P1944" i="80"/>
  <c r="P1968" i="80"/>
  <c r="P1992" i="80"/>
  <c r="P2016" i="80"/>
  <c r="P2040" i="80"/>
  <c r="P2064" i="80"/>
  <c r="P2088" i="80"/>
  <c r="P1714" i="80"/>
  <c r="P2112" i="80"/>
  <c r="P1720" i="80"/>
  <c r="P1744" i="80"/>
  <c r="P1768" i="80"/>
  <c r="P1792" i="80"/>
  <c r="P1816" i="80"/>
  <c r="P1840" i="80"/>
  <c r="P1864" i="80"/>
  <c r="P1888" i="80"/>
  <c r="P1912" i="80"/>
  <c r="P1936" i="80"/>
  <c r="P1955" i="80"/>
  <c r="P1979" i="80"/>
  <c r="P2003" i="80"/>
  <c r="P2027" i="80"/>
  <c r="P2051" i="80"/>
  <c r="P1716" i="80"/>
  <c r="P1740" i="80"/>
  <c r="P1764" i="80"/>
  <c r="P1788" i="80"/>
  <c r="P1812" i="80"/>
  <c r="P1836" i="80"/>
  <c r="P1860" i="80"/>
  <c r="P1884" i="80"/>
  <c r="P1908" i="80"/>
  <c r="P1932" i="80"/>
  <c r="P1702" i="80"/>
  <c r="P1726" i="80"/>
  <c r="P1750" i="80"/>
  <c r="P1774" i="80"/>
  <c r="P1798" i="80"/>
  <c r="P1822" i="80"/>
  <c r="P1846" i="80"/>
  <c r="P1870" i="80"/>
  <c r="P1894" i="80"/>
  <c r="P1918" i="80"/>
  <c r="P1942" i="80"/>
  <c r="P1961" i="80"/>
  <c r="P1966" i="80"/>
  <c r="P1971" i="80"/>
  <c r="P1985" i="80"/>
  <c r="P1990" i="80"/>
  <c r="P2009" i="80"/>
  <c r="P2014" i="80"/>
  <c r="P2019" i="80"/>
  <c r="P2033" i="80"/>
  <c r="P2038" i="80"/>
  <c r="P2057" i="80"/>
  <c r="P2062" i="80"/>
  <c r="P2081" i="80"/>
  <c r="P2086" i="80"/>
  <c r="P2109" i="80"/>
  <c r="P1973" i="80"/>
  <c r="P2021" i="80"/>
  <c r="P2069" i="80"/>
  <c r="P2117" i="80"/>
  <c r="P2165" i="80"/>
  <c r="P2213" i="80"/>
  <c r="P2261" i="80"/>
  <c r="P1969" i="80"/>
  <c r="P2017" i="80"/>
  <c r="P2065" i="80"/>
  <c r="P2113" i="80"/>
  <c r="P2161" i="80"/>
  <c r="P2209" i="80"/>
  <c r="P2257" i="80"/>
  <c r="P1949" i="80"/>
  <c r="P1997" i="80"/>
  <c r="P2045" i="80"/>
  <c r="P2093" i="80"/>
  <c r="P2141" i="80"/>
  <c r="P2189" i="80"/>
  <c r="P2237" i="80"/>
  <c r="P1989" i="80"/>
  <c r="P2037" i="80"/>
  <c r="P2085" i="80"/>
  <c r="P2133" i="80"/>
  <c r="P2181" i="80"/>
  <c r="P2229" i="80"/>
  <c r="P2277" i="80"/>
  <c r="P1375" i="80"/>
  <c r="P1429" i="80"/>
  <c r="P1453" i="80"/>
  <c r="P1477" i="80"/>
  <c r="P1501" i="80"/>
  <c r="P1525" i="80"/>
  <c r="P1549" i="80"/>
  <c r="P1573" i="80"/>
  <c r="P1597" i="80"/>
  <c r="P1621" i="80"/>
  <c r="P1645" i="80"/>
  <c r="P1669" i="80"/>
  <c r="P1367" i="80"/>
  <c r="P1425" i="80"/>
  <c r="P1449" i="80"/>
  <c r="P1473" i="80"/>
  <c r="P1497" i="80"/>
  <c r="P1521" i="80"/>
  <c r="P1545" i="80"/>
  <c r="P1569" i="80"/>
  <c r="P1593" i="80"/>
  <c r="P1617" i="80"/>
  <c r="P1641" i="80"/>
  <c r="P1665" i="80"/>
  <c r="P1351" i="80"/>
  <c r="P1399" i="80"/>
  <c r="P1417" i="80"/>
  <c r="P1441" i="80"/>
  <c r="P1465" i="80"/>
  <c r="P1489" i="80"/>
  <c r="P1513" i="80"/>
  <c r="P1537" i="80"/>
  <c r="P1561" i="80"/>
  <c r="P1585" i="80"/>
  <c r="P1609" i="80"/>
  <c r="P1633" i="80"/>
  <c r="P1657" i="80"/>
  <c r="P1681" i="80"/>
  <c r="P1391" i="80"/>
  <c r="P1413" i="80"/>
  <c r="P1437" i="80"/>
  <c r="P1461" i="80"/>
  <c r="P1485" i="80"/>
  <c r="P1509" i="80"/>
  <c r="P1533" i="80"/>
  <c r="P1557" i="80"/>
  <c r="P1581" i="80"/>
  <c r="P1605" i="80"/>
  <c r="P1629" i="80"/>
  <c r="P1653" i="80"/>
  <c r="P1677" i="80"/>
  <c r="P967" i="80"/>
  <c r="P977" i="80"/>
  <c r="P993" i="80"/>
  <c r="P1009" i="80"/>
  <c r="P1025" i="80"/>
  <c r="P1041" i="80"/>
  <c r="P963" i="80"/>
  <c r="P983" i="80"/>
  <c r="P999" i="80"/>
  <c r="P1015" i="80"/>
  <c r="P1031" i="80"/>
  <c r="P1047" i="80"/>
  <c r="P951" i="80"/>
  <c r="P979" i="80"/>
  <c r="P995" i="80"/>
  <c r="P1011" i="80"/>
  <c r="P1027" i="80"/>
  <c r="P1043" i="80"/>
  <c r="P943" i="80"/>
  <c r="P985" i="80"/>
  <c r="P1001" i="80"/>
  <c r="P1017" i="80"/>
  <c r="P1033" i="80"/>
  <c r="P1049" i="80"/>
  <c r="P935" i="80"/>
  <c r="P970" i="80"/>
  <c r="P986" i="80"/>
  <c r="P1002" i="80"/>
  <c r="P1018" i="80"/>
  <c r="P931" i="80"/>
  <c r="P981" i="80"/>
  <c r="P997" i="80"/>
  <c r="P1013" i="80"/>
  <c r="P1029" i="80"/>
  <c r="P1045" i="80"/>
  <c r="P923" i="80"/>
  <c r="P982" i="80"/>
  <c r="P998" i="80"/>
  <c r="P1014" i="80"/>
  <c r="P1030" i="80"/>
  <c r="P1046" i="80"/>
  <c r="P1062" i="80"/>
  <c r="P1078" i="80"/>
  <c r="P1094" i="80"/>
  <c r="P1110" i="80"/>
  <c r="P1126" i="80"/>
  <c r="P1142" i="80"/>
  <c r="P1158" i="80"/>
  <c r="P1174" i="80"/>
  <c r="P1190" i="80"/>
  <c r="P1206" i="80"/>
  <c r="P1222" i="80"/>
  <c r="P1238" i="80"/>
  <c r="P1254" i="80"/>
  <c r="P497" i="80"/>
  <c r="P521" i="80"/>
  <c r="P541" i="80"/>
  <c r="P557" i="80"/>
  <c r="P493" i="80"/>
  <c r="P517" i="80"/>
  <c r="P542" i="80"/>
  <c r="P558" i="80"/>
  <c r="P489" i="80"/>
  <c r="P513" i="80"/>
  <c r="P543" i="80"/>
  <c r="P559" i="80"/>
  <c r="P485" i="80"/>
  <c r="P509" i="80"/>
  <c r="P533" i="80"/>
  <c r="P549" i="80"/>
  <c r="P495" i="80"/>
  <c r="P519" i="80"/>
  <c r="P539" i="80"/>
  <c r="P555" i="80"/>
  <c r="P566" i="80"/>
  <c r="P572" i="80"/>
  <c r="P578" i="80"/>
  <c r="P584" i="80"/>
  <c r="P590" i="80"/>
  <c r="P596" i="80"/>
  <c r="P602" i="80"/>
  <c r="P608" i="80"/>
  <c r="P614" i="80"/>
  <c r="P620" i="80"/>
  <c r="P626" i="80"/>
  <c r="P632" i="80"/>
  <c r="P638" i="80"/>
  <c r="P644" i="80"/>
  <c r="P656" i="80"/>
  <c r="P481" i="80"/>
  <c r="P505" i="80"/>
  <c r="P529" i="80"/>
  <c r="P534" i="80"/>
  <c r="P550" i="80"/>
  <c r="P501" i="80"/>
  <c r="P525" i="80"/>
  <c r="P535" i="80"/>
  <c r="P551" i="80"/>
  <c r="P161" i="80"/>
  <c r="P177" i="80"/>
  <c r="P193" i="80"/>
  <c r="P209" i="80"/>
  <c r="P225" i="80"/>
  <c r="P241" i="80"/>
  <c r="P257" i="80"/>
  <c r="P268" i="80"/>
  <c r="P99" i="80"/>
  <c r="P123" i="80"/>
  <c r="P142" i="80"/>
  <c r="P147" i="80"/>
  <c r="P157" i="80"/>
  <c r="P173" i="80"/>
  <c r="P189" i="80"/>
  <c r="P205" i="80"/>
  <c r="P221" i="80"/>
  <c r="P237" i="80"/>
  <c r="P253" i="80"/>
  <c r="P163" i="80"/>
  <c r="P179" i="80"/>
  <c r="P195" i="80"/>
  <c r="P211" i="80"/>
  <c r="P154" i="80"/>
  <c r="P170" i="80"/>
  <c r="P186" i="80"/>
  <c r="P202" i="80"/>
  <c r="P218" i="80"/>
  <c r="P87" i="80"/>
  <c r="P106" i="80"/>
  <c r="P111" i="80"/>
  <c r="P130" i="80"/>
  <c r="P135" i="80"/>
  <c r="P165" i="80"/>
  <c r="P181" i="80"/>
  <c r="P197" i="80"/>
  <c r="P213" i="80"/>
  <c r="P229" i="80"/>
  <c r="P245" i="80"/>
  <c r="P261" i="80"/>
  <c r="P102" i="80"/>
  <c r="P107" i="80"/>
  <c r="P126" i="80"/>
  <c r="P131" i="80"/>
  <c r="P150" i="80"/>
  <c r="P166" i="80"/>
  <c r="P182" i="80"/>
  <c r="P198" i="80"/>
  <c r="P214" i="80"/>
  <c r="P230" i="80"/>
</calcChain>
</file>

<file path=xl/sharedStrings.xml><?xml version="1.0" encoding="utf-8"?>
<sst xmlns="http://schemas.openxmlformats.org/spreadsheetml/2006/main" count="39218" uniqueCount="2128">
  <si>
    <t>LOKASI FOLDER REPORT</t>
  </si>
  <si>
    <t>LOKASI FOLDER SUMMARY</t>
  </si>
  <si>
    <t>LOKASI FILE RESUME (SRC)</t>
  </si>
  <si>
    <t>\\10.8.0.35\Bersama\IT\SEPTIAN\p.c\MACRO\REPORT</t>
  </si>
  <si>
    <t>\\10.8.0.35\Bersama\IT\SEPTIAN\p.c\MACRO\SUMMARY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</si>
  <si>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</si>
  <si>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</si>
  <si>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</si>
  <si>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</si>
  <si>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</si>
  <si>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</si>
  <si>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</si>
  <si>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</si>
  <si>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</si>
  <si>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</si>
  <si>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</si>
  <si>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Desember</t>
  </si>
  <si>
    <t>Factory</t>
  </si>
  <si>
    <t>CBA</t>
  </si>
  <si>
    <t>CHW</t>
  </si>
  <si>
    <t>CJL</t>
  </si>
  <si>
    <t>CLN</t>
  </si>
  <si>
    <t>CNJ2</t>
  </si>
  <si>
    <t>CVA</t>
  </si>
  <si>
    <t>KLB</t>
  </si>
  <si>
    <t>MJ1</t>
  </si>
  <si>
    <t>MJ2</t>
  </si>
  <si>
    <t>CVA2</t>
  </si>
  <si>
    <t>Bulan</t>
  </si>
  <si>
    <t>Buyer</t>
  </si>
  <si>
    <t>Line</t>
  </si>
  <si>
    <t>Item</t>
  </si>
  <si>
    <t>Style</t>
  </si>
  <si>
    <t>CM (USD)</t>
  </si>
  <si>
    <t>Sum of QTY</t>
  </si>
  <si>
    <t>Sum of Amount.CM(USD)</t>
  </si>
  <si>
    <t>Sum of Cost.Proporsional(US)</t>
  </si>
  <si>
    <t>Sum of Profit.Lost(USD)</t>
  </si>
  <si>
    <t>FOB</t>
  </si>
  <si>
    <t>CMT</t>
  </si>
  <si>
    <t>Sum of FOB</t>
  </si>
  <si>
    <t>Sum of CMT</t>
  </si>
  <si>
    <t>Total Sales</t>
  </si>
  <si>
    <t>MARUBENI CORPORATION JEPANG</t>
  </si>
  <si>
    <t>L1</t>
  </si>
  <si>
    <t>CRPAN</t>
  </si>
  <si>
    <t>CRPANMCU5554      22R1</t>
  </si>
  <si>
    <t>LBLSN</t>
  </si>
  <si>
    <t>LBLSNMCU5560      22R1</t>
  </si>
  <si>
    <t>LBLSNMCU6550      22R1</t>
  </si>
  <si>
    <t>L2</t>
  </si>
  <si>
    <t>CRPANMCU6564      22R1</t>
  </si>
  <si>
    <t>CRPANMCUGA-3915   SN22</t>
  </si>
  <si>
    <t>LBLSNMCU5550      22R1</t>
  </si>
  <si>
    <t>SBLSN</t>
  </si>
  <si>
    <t>SBLSNMCU5561      22R1</t>
  </si>
  <si>
    <t>L3</t>
  </si>
  <si>
    <t>CRPANMCU5564      22R1</t>
  </si>
  <si>
    <t>PANTS</t>
  </si>
  <si>
    <t>PANTSMCU5552      22R1</t>
  </si>
  <si>
    <t>EIGERINDO MULTI PRODUK INDUSTR</t>
  </si>
  <si>
    <t xml:space="preserve">BRF  </t>
  </si>
  <si>
    <t>BRF  EIG910006580 LC22</t>
  </si>
  <si>
    <t xml:space="preserve">SSL  </t>
  </si>
  <si>
    <t>SSL  EIG910007576 LC22</t>
  </si>
  <si>
    <t>SHIRT</t>
  </si>
  <si>
    <t>SHIRTEIG910007674 LC22</t>
  </si>
  <si>
    <t>SSL  EIG910007641 22L2</t>
  </si>
  <si>
    <t>SWEAT</t>
  </si>
  <si>
    <t>SWEATEIG910007623 LC22</t>
  </si>
  <si>
    <t>MATSUOKA TRADING CO., LTD.</t>
  </si>
  <si>
    <t xml:space="preserve">JCT  </t>
  </si>
  <si>
    <t>JCT  MATSNW6502   23SS</t>
  </si>
  <si>
    <t>LPANT</t>
  </si>
  <si>
    <t>LPANTMATMIW6700   23S3</t>
  </si>
  <si>
    <t>LPANTMATSNW6702   23SS</t>
  </si>
  <si>
    <t>LPANTMATSNW7702   23S3</t>
  </si>
  <si>
    <t>SPANT</t>
  </si>
  <si>
    <t>SPANTMATATW-870   23S2</t>
  </si>
  <si>
    <t>SPANTMATSNA6802   23SS</t>
  </si>
  <si>
    <t>SPANTMATSNA7802   23S3</t>
  </si>
  <si>
    <t>SPANTMATATW-7179  23S2</t>
  </si>
  <si>
    <t>SPANTMATSNWC879   23S2</t>
  </si>
  <si>
    <t>GISTEX, PT</t>
  </si>
  <si>
    <t>JCT  MATSEW-11    23S2</t>
  </si>
  <si>
    <t>JCT  MATATW-721   23S2</t>
  </si>
  <si>
    <t>JCT  MATATW-811   23S2</t>
  </si>
  <si>
    <t>JCT  MATATW-821   23S2</t>
  </si>
  <si>
    <t>JCT  MATATW-821Q  23SS</t>
  </si>
  <si>
    <t>JCT  MATATW-823   23S2</t>
  </si>
  <si>
    <t>JCT  MATATW-831Q  23SS</t>
  </si>
  <si>
    <t>JCT  MATATW-843   23S2</t>
  </si>
  <si>
    <t>JCT  MATMIW6400   23S3</t>
  </si>
  <si>
    <t>JCT  MATMIW6401   23S3</t>
  </si>
  <si>
    <t>JCT  MATS732AAF   23S2</t>
  </si>
  <si>
    <t>JCT  MATS824AA    23S2</t>
  </si>
  <si>
    <t>JCT  MATSJW-742   23S2</t>
  </si>
  <si>
    <t>JCT  MATSJW-754   23S2</t>
  </si>
  <si>
    <t>JCT  MATSNW5500   23S2</t>
  </si>
  <si>
    <t>JCT  MATSNW7100   23SS</t>
  </si>
  <si>
    <t>JCT  MATSNW-724   23S2</t>
  </si>
  <si>
    <t>JCT  MATSNW-735   23S2</t>
  </si>
  <si>
    <t>JCT  MATSNW7410   23SS</t>
  </si>
  <si>
    <t>JCT  MATSNW7412   23SS</t>
  </si>
  <si>
    <t>JCT  MATSNW-745   23S2</t>
  </si>
  <si>
    <t>JCT  MATSNW7502   23SS</t>
  </si>
  <si>
    <t>JCT  MATSNW7510   23SS</t>
  </si>
  <si>
    <t>JCT  MATSNW-755   23S2</t>
  </si>
  <si>
    <t>JCT  MATSNW-794   23S2</t>
  </si>
  <si>
    <t>JCT  MATSNW845N   23S2</t>
  </si>
  <si>
    <t>JCT  MATSNWB805   23S2</t>
  </si>
  <si>
    <t>JCT  MATSNWB824D  23S2</t>
  </si>
  <si>
    <t>JCT  MATSNWE829   23S2</t>
  </si>
  <si>
    <t>JCT  MATSW5201    23S2</t>
  </si>
  <si>
    <t>JCT  MATSW5202Q   23SS</t>
  </si>
  <si>
    <t>JCT  MATSW5501    23S2</t>
  </si>
  <si>
    <t>LPANTMATATW-874Q  23SS</t>
  </si>
  <si>
    <t>LPANTMATSNW5701Q  23SS</t>
  </si>
  <si>
    <t>LPANTMATSNW6700   23S1</t>
  </si>
  <si>
    <t>LPANTMATSNW6704   23S1</t>
  </si>
  <si>
    <t>LPANTMATSNW7700   23SS</t>
  </si>
  <si>
    <t>LPANTMATSNW7702   23SS</t>
  </si>
  <si>
    <t>LPANTMATSNW7711   23SS</t>
  </si>
  <si>
    <t>LPANTMATSW5701Q   23SS</t>
  </si>
  <si>
    <t>PSHRT</t>
  </si>
  <si>
    <t>PSHRTMATSNR310    23S1</t>
  </si>
  <si>
    <t>SPANTMATATA-891   23S2</t>
  </si>
  <si>
    <t>SPANTMATATW-871   23S2</t>
  </si>
  <si>
    <t>SPANTMATSA5801Q   23SS</t>
  </si>
  <si>
    <t>SPANTMATSJW-1702  23S2</t>
  </si>
  <si>
    <t>SPANTMATSNA6800   23S1</t>
  </si>
  <si>
    <t>SPANTMATSNA6802   23S1</t>
  </si>
  <si>
    <t>SPANTMATSNA6804   23S1</t>
  </si>
  <si>
    <t>SPANTMATSNA7800   23SS</t>
  </si>
  <si>
    <t>SPANTMATSNA7802   23SS</t>
  </si>
  <si>
    <t>SPANTMATSNA7802T  23SS</t>
  </si>
  <si>
    <t>SPANTMATSNA7810   23SS</t>
  </si>
  <si>
    <t>SPANTMATSNA7811   23SS</t>
  </si>
  <si>
    <t>SPANTMATSNA7812   23SS</t>
  </si>
  <si>
    <t>SPANTMATSNR5801Q  23SS</t>
  </si>
  <si>
    <t>SPANTMATSNW871N   23S2</t>
  </si>
  <si>
    <t>SPANTMATSNW874F   23S2</t>
  </si>
  <si>
    <t>TSHRT</t>
  </si>
  <si>
    <t>TSHRTMATSJR603S   23S1</t>
  </si>
  <si>
    <t>TSHRTMATSJR616S   23S1</t>
  </si>
  <si>
    <t>TSHRTMATSNR300    23S1</t>
  </si>
  <si>
    <t>TSHRTMATSNR303    23S1</t>
  </si>
  <si>
    <t>TSHRTMATSNR603AS  23S1</t>
  </si>
  <si>
    <t>TSHRTMATSNR603S   23S1</t>
  </si>
  <si>
    <t>TSHRTMATSNR608HS  23S1</t>
  </si>
  <si>
    <t>TSHRTMATSNR616S   23S1</t>
  </si>
  <si>
    <t>TOYOTA TSUSHO CORPORATION</t>
  </si>
  <si>
    <t xml:space="preserve">LSL  </t>
  </si>
  <si>
    <t>LSL  TOY07002763  22AW</t>
  </si>
  <si>
    <t>H&amp;M</t>
  </si>
  <si>
    <t>BOXER</t>
  </si>
  <si>
    <t>BOXERHNM464469ME  /S7</t>
  </si>
  <si>
    <t>BOXERHNM464469NLBE/S7</t>
  </si>
  <si>
    <t>L4</t>
  </si>
  <si>
    <t>BOXERHNM464469DE  /S7</t>
  </si>
  <si>
    <t>L5</t>
  </si>
  <si>
    <t>BOXERHNM449387NLBE/S7</t>
  </si>
  <si>
    <t>BOXERHNM470181NLOE/S7</t>
  </si>
  <si>
    <t>L6</t>
  </si>
  <si>
    <t>L7</t>
  </si>
  <si>
    <t xml:space="preserve">FDWR </t>
  </si>
  <si>
    <t>FDWR MCU397-90    22R2</t>
  </si>
  <si>
    <t>UNIFM</t>
  </si>
  <si>
    <t>UNIFMMCUFUKUOKA397SN22</t>
  </si>
  <si>
    <t>UNIFMMCUH3N-DANSHISN22</t>
  </si>
  <si>
    <t xml:space="preserve">BAG  </t>
  </si>
  <si>
    <t>BAG  MCUFUKUOKA393SN22</t>
  </si>
  <si>
    <t>BAG  MCUKZN393-80 22R1</t>
  </si>
  <si>
    <t>BAG  MCUMAEBASI-39SN22</t>
  </si>
  <si>
    <t xml:space="preserve">HAT  </t>
  </si>
  <si>
    <t>HAT  MCUFUKUOKA391SN22</t>
  </si>
  <si>
    <t>HAT  MCUKZN392-80 SN22</t>
  </si>
  <si>
    <t>POUCH</t>
  </si>
  <si>
    <t>POUCHMCU393-91    22R5</t>
  </si>
  <si>
    <t xml:space="preserve">TOP  </t>
  </si>
  <si>
    <t>TOP  MCU133-98    22R6</t>
  </si>
  <si>
    <t>ASMARA KARYA ABADI, PT.</t>
  </si>
  <si>
    <t>SPANTARASH-FLEX 1 SN22</t>
  </si>
  <si>
    <t>SHIRTARAM ADR POLOSN22</t>
  </si>
  <si>
    <t>SHIRTARATS-FLEX 2 SN22</t>
  </si>
  <si>
    <t>KANMO RETAIL GROUP</t>
  </si>
  <si>
    <t>DRESS</t>
  </si>
  <si>
    <t>DRESSMOTEA578     LC22</t>
  </si>
  <si>
    <t>DRESSMOTEA438     LC22</t>
  </si>
  <si>
    <t>DRESSMOTEA514     LC22</t>
  </si>
  <si>
    <t>DRESSMOTEA606     LC22</t>
  </si>
  <si>
    <t xml:space="preserve">LEG  </t>
  </si>
  <si>
    <t>LEG  MOTEA472     LC22</t>
  </si>
  <si>
    <t>LEG  MOTEA705     LC22</t>
  </si>
  <si>
    <t>SPANTMOTEA417     LC22</t>
  </si>
  <si>
    <t>SPANTMOTEA584     LC22</t>
  </si>
  <si>
    <t>SPANTMOTEA730     LC22</t>
  </si>
  <si>
    <t>SPANTMOTEA732     LC22</t>
  </si>
  <si>
    <t>L8</t>
  </si>
  <si>
    <t>L9</t>
  </si>
  <si>
    <t>LEG  MOTEA555     LC22</t>
  </si>
  <si>
    <t>MARUBENI FASHION LINK LTD.</t>
  </si>
  <si>
    <t>TSHRTMFL08330     23SS</t>
  </si>
  <si>
    <t>TSHRTMFL34319     23SS</t>
  </si>
  <si>
    <t>TSHRTMFL34330     23SS</t>
  </si>
  <si>
    <t>TSHRTMFL38321     23SS</t>
  </si>
  <si>
    <t>SP-TS</t>
  </si>
  <si>
    <t>SP-TSMFL44303     23SS</t>
  </si>
  <si>
    <t>TSHRTMFL08319     23SS</t>
  </si>
  <si>
    <t>PSHRTMFL07ML301   23SS</t>
  </si>
  <si>
    <t>PSHRTMFL37ML301   23SS</t>
  </si>
  <si>
    <t>TSHRTMFL08321     23SS</t>
  </si>
  <si>
    <t>PENTEX LTD</t>
  </si>
  <si>
    <t xml:space="preserve">PANT </t>
  </si>
  <si>
    <t>PANT POSL60454    SN22</t>
  </si>
  <si>
    <t>PANT POSL60456    SN22</t>
  </si>
  <si>
    <t>PANT POSL60687    SN22</t>
  </si>
  <si>
    <t>PANT POSL660437   SN22</t>
  </si>
  <si>
    <t>ADIDAS TAIWAN LIMITED</t>
  </si>
  <si>
    <t>L1A</t>
  </si>
  <si>
    <t>BRF  ADSEY1019TW  SN22</t>
  </si>
  <si>
    <t>L1B</t>
  </si>
  <si>
    <t>L2A</t>
  </si>
  <si>
    <t>L2B</t>
  </si>
  <si>
    <t>L3A</t>
  </si>
  <si>
    <t>L3B</t>
  </si>
  <si>
    <t>AGRON, INC.</t>
  </si>
  <si>
    <t>BRF  ADSM5152357  22R8</t>
  </si>
  <si>
    <t>BRF  ADSM5152362  22R8</t>
  </si>
  <si>
    <t>BRF  ADSM5156184  22R8</t>
  </si>
  <si>
    <t>BRF  ADSM5156185XX22R8</t>
  </si>
  <si>
    <t>BRF  ADSM5156860  SN23</t>
  </si>
  <si>
    <t>BRF  ADSM5156185  22R8</t>
  </si>
  <si>
    <t>BRF  ADSM5151821  22R8</t>
  </si>
  <si>
    <t>BRF  ADSM5153205  22R8</t>
  </si>
  <si>
    <t>BRF  ADSM5154220  22R8</t>
  </si>
  <si>
    <t>BRF  ADSM5154336  22R8</t>
  </si>
  <si>
    <t>BRF  ADSM5156860XXSN23</t>
  </si>
  <si>
    <t>BRF  ADSMGB4293   22R8</t>
  </si>
  <si>
    <t>BRF  ADSM5151816  22R8</t>
  </si>
  <si>
    <t>BRF  ADSM5151816XX22R8</t>
  </si>
  <si>
    <t>BRF  ADSM5153202  22R8</t>
  </si>
  <si>
    <t>BRF  ADSM5153207  22R8</t>
  </si>
  <si>
    <t>BRF  ADSM5156194  22R8</t>
  </si>
  <si>
    <t>BRF  ADSM5156868  SN23</t>
  </si>
  <si>
    <t>BRF  ADSM5156868XXSN23</t>
  </si>
  <si>
    <t>BOXERHNM464469CH  /S7</t>
  </si>
  <si>
    <t>BOXERHNM464469ID  /S7</t>
  </si>
  <si>
    <t>BOXERHNM464469SE  /S7</t>
  </si>
  <si>
    <t xml:space="preserve">LWR  </t>
  </si>
  <si>
    <t>LWR  HNM454873LD  /S7</t>
  </si>
  <si>
    <t>LWR  HNM454873LH  /S7</t>
  </si>
  <si>
    <t>LWR  HNM454873NLOE/S7</t>
  </si>
  <si>
    <t>LWR  HNM454873OD  /S7</t>
  </si>
  <si>
    <t>LWR  HNM454873OF  /S7</t>
  </si>
  <si>
    <t>LWR  HNM454873OG  /S7</t>
  </si>
  <si>
    <t>LWR  HNM454873OI  /S7</t>
  </si>
  <si>
    <t>LWR  HNM454873OJ  /S7</t>
  </si>
  <si>
    <t>LWR  HNM454873OK  /S7</t>
  </si>
  <si>
    <t>LWR  HNM454873OO  /S7</t>
  </si>
  <si>
    <t>LWR  HNM454873OT  /S7</t>
  </si>
  <si>
    <t>LWR  HNM454873OU  /S7</t>
  </si>
  <si>
    <t>LWR  HNM454873SW  /S7</t>
  </si>
  <si>
    <t>LWR  HNM459710CA  /S7</t>
  </si>
  <si>
    <t>LWR  HNM459710CH  /S7</t>
  </si>
  <si>
    <t>LWR  HNM459710CO  /S7</t>
  </si>
  <si>
    <t>LWR  HNM459710DC  /S7</t>
  </si>
  <si>
    <t>LWR  HNM459710DE  /S7</t>
  </si>
  <si>
    <t>LWR  HNM459710DK  /S7</t>
  </si>
  <si>
    <t>LWR  HNM459710EC  /S7</t>
  </si>
  <si>
    <t>LWR  HNM459710IX  /S7</t>
  </si>
  <si>
    <t>LWR  HNM459710ME  /S7</t>
  </si>
  <si>
    <t>LWR  HNM459710MX  /S7</t>
  </si>
  <si>
    <t>LWR  HNM459710NLBE/S7</t>
  </si>
  <si>
    <t>LWR  HNM459710NLPL/S7</t>
  </si>
  <si>
    <t>LWR  HNM459710PA  /S7</t>
  </si>
  <si>
    <t>LWR  HNM459710RS  /S7</t>
  </si>
  <si>
    <t>LWR  HNM459710US  /S7</t>
  </si>
  <si>
    <t>LWR  HNM459712LD  /S7</t>
  </si>
  <si>
    <t>LWR  HNM459712OF  /S7</t>
  </si>
  <si>
    <t>LWR  HNM459712OG  /S7</t>
  </si>
  <si>
    <t>LWR  HNM459712OT  /S7</t>
  </si>
  <si>
    <t>LWR  HNM459712OU  /S7</t>
  </si>
  <si>
    <t>LWR  HNM459712SW  /S7</t>
  </si>
  <si>
    <t>BOXERHNM464469HR  /S7</t>
  </si>
  <si>
    <t>BOXERHNM464469RS  /S7</t>
  </si>
  <si>
    <t>HEXAPOLE COMPANY LIMITED</t>
  </si>
  <si>
    <t>L11</t>
  </si>
  <si>
    <t>LSPAN</t>
  </si>
  <si>
    <t>LSPANHEX3066      S23</t>
  </si>
  <si>
    <t>PANTSHEX3064      S23</t>
  </si>
  <si>
    <t>SPANTHEX3068      S23</t>
  </si>
  <si>
    <t>SPANTHEX3069      S23</t>
  </si>
  <si>
    <t>PANTSHEX3065      S23</t>
  </si>
  <si>
    <t>LSPANHEX3067      S23</t>
  </si>
  <si>
    <t>DRESSMOTEA407     LC22</t>
  </si>
  <si>
    <t>SP-TSMOTEA685     LC22</t>
  </si>
  <si>
    <t>TSHRTMOTEA795     LC22</t>
  </si>
  <si>
    <t>DRESSMOTEA409     LC22</t>
  </si>
  <si>
    <t>DRESSMOTEA589     LC22</t>
  </si>
  <si>
    <t>TSHRTMOTEA567     LC22</t>
  </si>
  <si>
    <t>L10</t>
  </si>
  <si>
    <t>LSVSH</t>
  </si>
  <si>
    <t>LSVSHMCUBEAUTY LS SN22</t>
  </si>
  <si>
    <t>LSVSHMCULS SHIRT  SN22</t>
  </si>
  <si>
    <t>SSVSH</t>
  </si>
  <si>
    <t>SSVSHMCUSS SHIRT  SN22</t>
  </si>
  <si>
    <t>FDWR MCU396-90    22R5</t>
  </si>
  <si>
    <t>TOP  MCU250-90    22R5</t>
  </si>
  <si>
    <t>TOP  MCU261-93    22R5</t>
  </si>
  <si>
    <t>L12</t>
  </si>
  <si>
    <t>JCT  MATSJW-725   23S2</t>
  </si>
  <si>
    <t>JCT  MATSNW6502   23S1</t>
  </si>
  <si>
    <t>JCT  MATSNW7404   23SS</t>
  </si>
  <si>
    <t>JCT  MATSNW849    23S2</t>
  </si>
  <si>
    <t>JCT  MATSNW8501   23S2</t>
  </si>
  <si>
    <t>LPANTMATSNW6701   23S1</t>
  </si>
  <si>
    <t>SPANTMATATW-771   23S2</t>
  </si>
  <si>
    <t>SPANTMATSJR-790   23S2</t>
  </si>
  <si>
    <t>SPANTMATSNW5700   23S2</t>
  </si>
  <si>
    <t>L13</t>
  </si>
  <si>
    <t>JCT  MATSNW7511   23SS</t>
  </si>
  <si>
    <t>SPANTMATS-1422R   23S2</t>
  </si>
  <si>
    <t>SPANTMATS1706HA   23S2</t>
  </si>
  <si>
    <t>SPANTMATSNW-1707  23S2</t>
  </si>
  <si>
    <t>SPANTMATSNW874    23S2</t>
  </si>
  <si>
    <t>SPANTMATSNW879N   23S2</t>
  </si>
  <si>
    <t>SPANTMATSW5701    23S2</t>
  </si>
  <si>
    <t>TSHRTMATSNR230S   23S3</t>
  </si>
  <si>
    <t>SHINATOMO</t>
  </si>
  <si>
    <t>JCT  DMO0050031031SU23</t>
  </si>
  <si>
    <t>JCT  SMO0050030901SU23</t>
  </si>
  <si>
    <t>JCT  SMO0050030911SU23</t>
  </si>
  <si>
    <t>JCT  SMO0050011901SU22</t>
  </si>
  <si>
    <t xml:space="preserve"> PT. MEGA PUTRA GARMENT</t>
  </si>
  <si>
    <t>BRF  MANSPARTA 1  LC22</t>
  </si>
  <si>
    <t>BRF  MANSPARTA 2  LC22</t>
  </si>
  <si>
    <t>BRF  MANSPARTA 3  LC22</t>
  </si>
  <si>
    <t>BRF  MANSPARTA 4  LC22</t>
  </si>
  <si>
    <t>ADIDAS COSTCO AUSTRALIA</t>
  </si>
  <si>
    <t>BRF  ADS5153447   SN23</t>
  </si>
  <si>
    <t>BRF  ADSM5156849  22R9</t>
  </si>
  <si>
    <t>BRF  ADSM5156849  SN23</t>
  </si>
  <si>
    <t>BRF  ADSM5156856  SN23</t>
  </si>
  <si>
    <t>BRF  ADSM5156857  SN23</t>
  </si>
  <si>
    <t>BRF  ADSM5156874  SN23</t>
  </si>
  <si>
    <t>BRF  ADSM5156850  SN23</t>
  </si>
  <si>
    <t>BRF  ADSM5156864  SN23</t>
  </si>
  <si>
    <t>BRF  ADSM5156871  SN23</t>
  </si>
  <si>
    <t>BRF  ADSM5156871XXSN23</t>
  </si>
  <si>
    <t>BRF  ADSM5157291  SN23</t>
  </si>
  <si>
    <t>BRF  ADSM5157291XXSN23</t>
  </si>
  <si>
    <t>BRF  ADSM5156850XXSN23</t>
  </si>
  <si>
    <t>BRF  ADSM5156851  SN23</t>
  </si>
  <si>
    <t>BRF  ADSM5156852  SN23</t>
  </si>
  <si>
    <t>BRF  ADSM5156873  SN23</t>
  </si>
  <si>
    <t>BRF  ADSM5156851XXSN23</t>
  </si>
  <si>
    <t>BRF  ADSM5156864XXSN23</t>
  </si>
  <si>
    <t>BOTTM</t>
  </si>
  <si>
    <t>BOTTMMCU155-98    22R6</t>
  </si>
  <si>
    <t>BOTTMMCU155-99    22R6</t>
  </si>
  <si>
    <t>TOP  MCU133-71    22R7</t>
  </si>
  <si>
    <t>TOP  MCU133-72    22R7</t>
  </si>
  <si>
    <t>TOP  MCU133-83    22R7</t>
  </si>
  <si>
    <t>TOP  MCU133-98    22R7</t>
  </si>
  <si>
    <t>BOTTMMCU154-91    22R7</t>
  </si>
  <si>
    <t>BOTTMMCU155-67    22R6</t>
  </si>
  <si>
    <t>BOTTMMCU155-72    22R7</t>
  </si>
  <si>
    <t>BOTTMMCU155-74    22R6</t>
  </si>
  <si>
    <t>BOTTMMCU155-85    22R7</t>
  </si>
  <si>
    <t>BOTTMMCU155-91    22R5</t>
  </si>
  <si>
    <t>BOTTMMCU155-91    22R7</t>
  </si>
  <si>
    <t>BOTTMMCU155-73    22R7</t>
  </si>
  <si>
    <t>BOTTMMCU155-98    22R7</t>
  </si>
  <si>
    <t>SHIRTMAXT61279    SN22</t>
  </si>
  <si>
    <t>TEIJIN FRONTIER CO., LTD SEC.</t>
  </si>
  <si>
    <t>JCT  TEI2101A211  23SS</t>
  </si>
  <si>
    <t>LPANTTEI2011C779  23SS</t>
  </si>
  <si>
    <t>SHIRTTEI2033A110  23S2</t>
  </si>
  <si>
    <t>SHIRTTEI2033A114  23S2</t>
  </si>
  <si>
    <t>SHIRTTEI2033A115  23S2</t>
  </si>
  <si>
    <t>SPANTTEI2011C778  23SS</t>
  </si>
  <si>
    <t>SSTSH</t>
  </si>
  <si>
    <t>SSTSHTEI2051A324  23SS</t>
  </si>
  <si>
    <t>TSHRTTEIAZ-717    23S2</t>
  </si>
  <si>
    <t>TSHRTTEIAZ-736    23S2</t>
  </si>
  <si>
    <t>LINE</t>
  </si>
  <si>
    <t>HEADER</t>
  </si>
  <si>
    <t>JANUARI</t>
  </si>
  <si>
    <t>INCOME</t>
  </si>
  <si>
    <t>COST</t>
  </si>
  <si>
    <t>PROFIT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</si>
  <si>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</si>
  <si>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</si>
  <si>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</si>
  <si>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</si>
  <si>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</si>
  <si>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</si>
  <si>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</si>
  <si>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</si>
  <si>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</si>
  <si>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</si>
  <si>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DESEMBER</t>
  </si>
  <si>
    <t>BUYER</t>
  </si>
  <si>
    <t>ITEM</t>
  </si>
  <si>
    <t>\\10.8.0.35\Bersama\IT\SEPTIAN\p.c\MACRO\Resume Perbulan 2023.xlsx</t>
  </si>
  <si>
    <t>DI SAMPING ADALAH CATATAN FACTORY DI MACRO LAIN</t>
  </si>
  <si>
    <t>SBLSNMCU5551      22R1</t>
  </si>
  <si>
    <t>PANTSMCU5553      22R1</t>
  </si>
  <si>
    <t>LEG  EIG910008262 LC22</t>
  </si>
  <si>
    <t>PANTSEIG910007536 22L1</t>
  </si>
  <si>
    <t>SPANTEIG910008383 LC22</t>
  </si>
  <si>
    <t>SWEATEIG910007623 22L1</t>
  </si>
  <si>
    <t>PT.VIGINDO INTIUSAHA PERDANA</t>
  </si>
  <si>
    <t xml:space="preserve">PJMA </t>
  </si>
  <si>
    <t>PJMA VGOWBYPJ     LC23</t>
  </si>
  <si>
    <t>JCT  MATSNW6401   23S1</t>
  </si>
  <si>
    <t>JCT  MATSNW821N   23S2</t>
  </si>
  <si>
    <t>SPANTMATSNA3800B  23SS</t>
  </si>
  <si>
    <t>TSHRTMATSNR611HS  23S1</t>
  </si>
  <si>
    <t>TOYOTA MARUI GAS</t>
  </si>
  <si>
    <t>LSL  TEITMG-1SH   22AW</t>
  </si>
  <si>
    <t>BOXERHNM464470NLOE/S7</t>
  </si>
  <si>
    <t>BOXERHNM480572DE  /S7</t>
  </si>
  <si>
    <t>UNIFMMCUKZN397-80 22R1</t>
  </si>
  <si>
    <t>BAG  MCUF1N       SN22</t>
  </si>
  <si>
    <t>BAG  MCUSENDAI-393SN23</t>
  </si>
  <si>
    <t>HAT  MCU391-90    22R8</t>
  </si>
  <si>
    <t>HAT  MCUC1N       SN22</t>
  </si>
  <si>
    <t>HAT  MCUMAEBASI C1SN22</t>
  </si>
  <si>
    <t>TOP  MCU133-91    22R8</t>
  </si>
  <si>
    <t>PANTSMCU155-98    22R8</t>
  </si>
  <si>
    <t>LEG  MOTEA452     LC22</t>
  </si>
  <si>
    <t>LEG  MOTEA691     LC22</t>
  </si>
  <si>
    <t>DRESSMOTEA437     LC22</t>
  </si>
  <si>
    <t>DRESSMOTEA607     LC22</t>
  </si>
  <si>
    <t>LEG  MOTEA511     LC22</t>
  </si>
  <si>
    <t>SPANTMOTEA711     LC22</t>
  </si>
  <si>
    <t>SPANTMOTEA731     LC22</t>
  </si>
  <si>
    <t>LEG  MFL24140     23AH</t>
  </si>
  <si>
    <t>LEG  MFL24351     23SS</t>
  </si>
  <si>
    <t>LEG  MFL24351ÿ.    23SS</t>
  </si>
  <si>
    <t>LEG  MFL54373N    23SS</t>
  </si>
  <si>
    <t>LEG  MFL54142     23AH</t>
  </si>
  <si>
    <t>LEG  MFL54354     23SS</t>
  </si>
  <si>
    <t>LEG  MFL24140N    23AH</t>
  </si>
  <si>
    <t>LEG  MFL54350     23SS</t>
  </si>
  <si>
    <t>BRF  ADSM5156860  22R9</t>
  </si>
  <si>
    <t>BRF  ADSM5156860XX22R9</t>
  </si>
  <si>
    <t>BRF  ADSM5156872  SN23</t>
  </si>
  <si>
    <t>BRF  ADSM5156872XXSN23</t>
  </si>
  <si>
    <t>BOXERHNM464469MY  /S7</t>
  </si>
  <si>
    <t>BOXERHNM464469NLGB/S7</t>
  </si>
  <si>
    <t>BOXERHNM464469NLPL/S7</t>
  </si>
  <si>
    <t>BOXERHNM469503LH  /S7</t>
  </si>
  <si>
    <t>BOXERHNM469503NH  /S7</t>
  </si>
  <si>
    <t>BOXERHNM469503NLOE/S7</t>
  </si>
  <si>
    <t>BOXERHNM469503OI  /S7</t>
  </si>
  <si>
    <t>BOXERHNM469503OJ  /S7</t>
  </si>
  <si>
    <t>BOXERHNM469503OK  /S7</t>
  </si>
  <si>
    <t>BOXERHNM469503OL  /S7</t>
  </si>
  <si>
    <t>BOXERHNM469503OO  /S7</t>
  </si>
  <si>
    <t>BOXERHNM469503OT  /S7</t>
  </si>
  <si>
    <t>BOXERHNM469503OU  /S7</t>
  </si>
  <si>
    <t>BOXERHNM469503SW  /S7</t>
  </si>
  <si>
    <t>LWR  HNM459710AU  /S7</t>
  </si>
  <si>
    <t>LWR  HNM459710CL  /S7</t>
  </si>
  <si>
    <t>LWR  HNM459710CN  /S7</t>
  </si>
  <si>
    <t>LWR  HNM459710ID  /S7</t>
  </si>
  <si>
    <t>LWR  HNM459710IN  /S7</t>
  </si>
  <si>
    <t>LWR  HNM459710KR  /S7</t>
  </si>
  <si>
    <t>LWR  HNM459710NLGB/S7</t>
  </si>
  <si>
    <t>LWR  HNM459710PE  /S7</t>
  </si>
  <si>
    <t>LWR  HNM459710SE  /S7</t>
  </si>
  <si>
    <t>LWR  HNM459710TR  /S7</t>
  </si>
  <si>
    <t>LWR  HNM459710TW  /S7</t>
  </si>
  <si>
    <t>LWR  HNM459710UY  /S7</t>
  </si>
  <si>
    <t>LWR  HNM459710ZA  /S7</t>
  </si>
  <si>
    <t>LWR  HNM459712LH  /S7</t>
  </si>
  <si>
    <t>LWR  HNM459712NLOE/S7</t>
  </si>
  <si>
    <t>LWR  HNM459712OD  /S7</t>
  </si>
  <si>
    <t>LWR  HNM459712OI  /S7</t>
  </si>
  <si>
    <t>LWR  HNM459712OJ  /S7</t>
  </si>
  <si>
    <t>LWR  HNM459712OK  /S7</t>
  </si>
  <si>
    <t>LWR  HNM459712OO  /S7</t>
  </si>
  <si>
    <t>BOXERHNM464469IN  /S7</t>
  </si>
  <si>
    <t>BOXERHNM464469TR  /S7</t>
  </si>
  <si>
    <t>BOXERHNM469503LD  /S7</t>
  </si>
  <si>
    <t>BOXERHNM469503OF  /S7</t>
  </si>
  <si>
    <t>DRESSMOTEA494     LC22</t>
  </si>
  <si>
    <t>LEG  MOTEC220     LC22</t>
  </si>
  <si>
    <t>TOP  MCU260-90    22R5</t>
  </si>
  <si>
    <t>TOP  MCU251-90    22R5</t>
  </si>
  <si>
    <t>LPANTMATATW871Q   23SS</t>
  </si>
  <si>
    <t>SPANTMATSEW-61    23S2</t>
  </si>
  <si>
    <t>BRF  ADSM5156850  22R9</t>
  </si>
  <si>
    <t>BRF  ADSM5156850XX22R9</t>
  </si>
  <si>
    <t>BRF  ADSM5156852  22R9</t>
  </si>
  <si>
    <t>BRF  ADSM5156856  22R9</t>
  </si>
  <si>
    <t>BRF  ADSM5156857  22R9</t>
  </si>
  <si>
    <t>BRF  ADSM5156864  22R9</t>
  </si>
  <si>
    <t>BRF  ADSM5156873  22R9</t>
  </si>
  <si>
    <t>BRF  ADSM5156874  22R9</t>
  </si>
  <si>
    <t>BRF  ADSM5156864XX22R9</t>
  </si>
  <si>
    <t>BRF  ADSM5157291  22R9</t>
  </si>
  <si>
    <t>BRF  ADSM5156871  22R9</t>
  </si>
  <si>
    <t>BRF  ADSM5156871XX22R9</t>
  </si>
  <si>
    <t>BRF  ADSM5156851  22R9</t>
  </si>
  <si>
    <t>BRF  ADSM5156851XX22R9</t>
  </si>
  <si>
    <t>BRF  ADSM5156868  22R9</t>
  </si>
  <si>
    <t>BRF  ADSM5156868XX22R9</t>
  </si>
  <si>
    <t>BRF  ADSM5156872  22R9</t>
  </si>
  <si>
    <t>BRF  ADSM5156872XX22R9</t>
  </si>
  <si>
    <t>TOP  MCU133-67    22R7</t>
  </si>
  <si>
    <t>TOP  MCU133-85    22R7</t>
  </si>
  <si>
    <t>TOP  MCU136-92    22R8</t>
  </si>
  <si>
    <t>TOP  MCU136-98    22R7</t>
  </si>
  <si>
    <t>BOTTMMCU155-67    22R7</t>
  </si>
  <si>
    <t>BOTTMMCU155-93    22R7</t>
  </si>
  <si>
    <t>BOTTMMCU155-95    22R7</t>
  </si>
  <si>
    <t>PANTSMCU155-78    22R8</t>
  </si>
  <si>
    <t>PANTSMCU154-92    22R8</t>
  </si>
  <si>
    <t>PANTSMCU155-95    22R8</t>
  </si>
  <si>
    <t>JCT  MCUGA-3910   22R2</t>
  </si>
  <si>
    <t>TOP  MCU133-98    SN23</t>
  </si>
  <si>
    <t>CRPANMCUGA-3915   22R2</t>
  </si>
  <si>
    <t>CRPANMCUGA-3916   22R2</t>
  </si>
  <si>
    <t>TOP  MCU133-97    SN23</t>
  </si>
  <si>
    <t>LEG  EIG910008264 LC22</t>
  </si>
  <si>
    <t>SPANTEIG910007293 LC22</t>
  </si>
  <si>
    <t>BRF  EIG910008946 LC23</t>
  </si>
  <si>
    <t>SPANTEIG910008449 LC22</t>
  </si>
  <si>
    <t>LEG  EIG910007251 23L1</t>
  </si>
  <si>
    <t>SWEATEIG910007623 LC23</t>
  </si>
  <si>
    <t>LSTSH</t>
  </si>
  <si>
    <t>LSTSHHEX5056959   23FW</t>
  </si>
  <si>
    <t>LSTSHHEX5057005   23FW</t>
  </si>
  <si>
    <t>SPANTMATSNA7802   24SS</t>
  </si>
  <si>
    <t>JCT  HEX6017362   23FW</t>
  </si>
  <si>
    <t>JCT  HEX6018294   23FW</t>
  </si>
  <si>
    <t>SPANTMOTEC011     LC22</t>
  </si>
  <si>
    <t>SPANTMOTEC029     LC22</t>
  </si>
  <si>
    <t>SPANTMOTEC043     LC22</t>
  </si>
  <si>
    <t>BOXERHNM502928DE  /S8</t>
  </si>
  <si>
    <t>FDWR MCU397-90    22R8</t>
  </si>
  <si>
    <t>FDWR MCU397-91    SN23</t>
  </si>
  <si>
    <t>FDWR MCU397-93    22R2</t>
  </si>
  <si>
    <t>FDWR MCU397-94    SN23</t>
  </si>
  <si>
    <t>TOP  MCU255-90    22R8</t>
  </si>
  <si>
    <t>HAT  MCU392-90    SN23</t>
  </si>
  <si>
    <t>HATCK</t>
  </si>
  <si>
    <t>HATCKMCU391-90    SN23</t>
  </si>
  <si>
    <t>HATCKMCU391-91    SN23</t>
  </si>
  <si>
    <t>HATCKMCU392-91    22R5</t>
  </si>
  <si>
    <t>HATCKMCU392-91    SN23</t>
  </si>
  <si>
    <t>NKTIE</t>
  </si>
  <si>
    <t>NKTIEMCU477-91    SN23</t>
  </si>
  <si>
    <t>POUCHMCU393-90    22R8</t>
  </si>
  <si>
    <t>POUCHMCU393-90    SN23</t>
  </si>
  <si>
    <t>POUCHMCU393-94    SN23</t>
  </si>
  <si>
    <t>FDWR MCU394-90    22R8</t>
  </si>
  <si>
    <t>FDWR MCU397-90    SN23</t>
  </si>
  <si>
    <t>PANTSMCU155-95    SN23</t>
  </si>
  <si>
    <t>PANTSMCU155-99    SN23</t>
  </si>
  <si>
    <t>PANTSMCU155-78    SN23</t>
  </si>
  <si>
    <t>PANTSMCU155-91    SN23</t>
  </si>
  <si>
    <t>PANTSMCU155-83    SN23</t>
  </si>
  <si>
    <t>PANTSMCU155-98    SN23</t>
  </si>
  <si>
    <t>LEG  MFL54145     23AH</t>
  </si>
  <si>
    <t>LEG  MFL54142N    23AH</t>
  </si>
  <si>
    <t xml:space="preserve">BLS  </t>
  </si>
  <si>
    <t>BLS  MAXMAXCT18296SN23</t>
  </si>
  <si>
    <t>BRF  ADS5151816   SN23</t>
  </si>
  <si>
    <t>BRF  ADS5151821   SN23</t>
  </si>
  <si>
    <t>BRF  ADS5151821XXLSN23</t>
  </si>
  <si>
    <t>BRF  ADS5151824   SN23</t>
  </si>
  <si>
    <t>BRF  ADS5152362   SN23</t>
  </si>
  <si>
    <t>BRF  ADS5155370   SN23</t>
  </si>
  <si>
    <t>BRF  ADS5155370XXLSN23</t>
  </si>
  <si>
    <t>BRF  ADS5156185   SN23</t>
  </si>
  <si>
    <t>BRF  ADSM5156850  23R1</t>
  </si>
  <si>
    <t>BRF  ADSM5156850XX23R1</t>
  </si>
  <si>
    <t>BRF  ADSM5156860  23R1</t>
  </si>
  <si>
    <t>BRF  ADSM5156860XX23R1</t>
  </si>
  <si>
    <t>BRF  ADSM5156868  23R1</t>
  </si>
  <si>
    <t>BRF  ADSM5156868XX23R1</t>
  </si>
  <si>
    <t>BRF  ADS5152388   SN23</t>
  </si>
  <si>
    <t>BRF  ADS5154338   SN23</t>
  </si>
  <si>
    <t>BRF  ADS5154338XXLSN23</t>
  </si>
  <si>
    <t>BRF  ADS5156870   SN23</t>
  </si>
  <si>
    <t>BRF  ADSGB4296    SN23</t>
  </si>
  <si>
    <t>BRF  ADS5152355   SN23</t>
  </si>
  <si>
    <t>BRF  ADS5152378   SN23</t>
  </si>
  <si>
    <t>BRF  ADS5154336   SN23</t>
  </si>
  <si>
    <t>BRF  ADS5156861   SN23</t>
  </si>
  <si>
    <t>LWR  HNM459710HK  /S7</t>
  </si>
  <si>
    <t>LWR  HNM459710JP  /S7</t>
  </si>
  <si>
    <t>LWR  HNM459710MY  /S7</t>
  </si>
  <si>
    <t>LWR  HNM459710PH  /S7</t>
  </si>
  <si>
    <t>LWR  HNM459710TH  /S7</t>
  </si>
  <si>
    <t>LWR  HNM459710VN  /S7</t>
  </si>
  <si>
    <t>BOXERHNM502928DK  /S8</t>
  </si>
  <si>
    <t>BOXERHNM502928ME  /S8</t>
  </si>
  <si>
    <t>BOXERHNM502928CO  /S8</t>
  </si>
  <si>
    <t>BOXERHNM502928DC  /S8</t>
  </si>
  <si>
    <t>SHIRTHNM422973AU  /S7</t>
  </si>
  <si>
    <t>SHIRTHNM422973PE  /S7</t>
  </si>
  <si>
    <t>SHIRTHNM422973UY  /S7</t>
  </si>
  <si>
    <t>SHIRTHNM422973ZA  /S7</t>
  </si>
  <si>
    <t>SHIRTHNM442359DK  /S7</t>
  </si>
  <si>
    <t>SHIRTHNM442359IN  /S7</t>
  </si>
  <si>
    <t>SHIRTHNM442359MY  /S7</t>
  </si>
  <si>
    <t>SHIRTHNM442359NLGB/S7</t>
  </si>
  <si>
    <t>SHIRTHNM442359SE  /S7</t>
  </si>
  <si>
    <t>SHIRTHNM442359VN  /S7</t>
  </si>
  <si>
    <t>DRESSMOTEC002     LC22</t>
  </si>
  <si>
    <t>DRESSMOTEC006     LC22</t>
  </si>
  <si>
    <t>DRESSMOTEC021     LC22</t>
  </si>
  <si>
    <t>DRESSMOTEC041     LC22</t>
  </si>
  <si>
    <t>LEG  MOTEC027     LC22</t>
  </si>
  <si>
    <t>LEG  MOTEC068     LC22</t>
  </si>
  <si>
    <t>SHIRTMOTEC051     LC22</t>
  </si>
  <si>
    <t>LEG  MOTEC009     LC22</t>
  </si>
  <si>
    <t>LEG  MOTEC042     LC22</t>
  </si>
  <si>
    <t>LEG  MOTEC055     LC22</t>
  </si>
  <si>
    <t>LEG  MOTEC065     LC22</t>
  </si>
  <si>
    <t>LEG  MOTEC066     LC22</t>
  </si>
  <si>
    <t>LEG  MOTEC067     LC22</t>
  </si>
  <si>
    <t>LEG  MOTEC179     LC22</t>
  </si>
  <si>
    <t>JCT  MCUZ7860024  SN22</t>
  </si>
  <si>
    <t>TOP  MCU261-90    22R7</t>
  </si>
  <si>
    <t>TOP  MCU261-92    22R8</t>
  </si>
  <si>
    <t>PANTSMCUZ7860025  SN22</t>
  </si>
  <si>
    <t>JCT  DMO0050031021SU23</t>
  </si>
  <si>
    <t>BRF  ADS5152388   23R1</t>
  </si>
  <si>
    <t>BRF  ADS5153203   SN23</t>
  </si>
  <si>
    <t>BRF  ADS5153207   23R1</t>
  </si>
  <si>
    <t>BRF  ADS5153207   SN23</t>
  </si>
  <si>
    <t>BRF  ADSM5156851  23R1</t>
  </si>
  <si>
    <t>BRF  ADSM5156851XX23R1</t>
  </si>
  <si>
    <t>BRF  ADSM5156852  23R1</t>
  </si>
  <si>
    <t>BRF  ADSM5156856  23R1</t>
  </si>
  <si>
    <t>BRF  ADSM5156871  23R1</t>
  </si>
  <si>
    <t>BRF  ADSM5156871XX23R1</t>
  </si>
  <si>
    <t>BRF  ADSM5156873  23R1</t>
  </si>
  <si>
    <t>BRF  ADSM5157291XX22R9</t>
  </si>
  <si>
    <t>BRF  ADS5153205   SN23</t>
  </si>
  <si>
    <t>BRF  ADSM5152370  SN23</t>
  </si>
  <si>
    <t>BRF  ADSM5156849  23R1</t>
  </si>
  <si>
    <t>BRF  ADSM5156872  23R1</t>
  </si>
  <si>
    <t>BRF  ADSM5156872XX23R1</t>
  </si>
  <si>
    <t>BRF  ADS5152357   23R1</t>
  </si>
  <si>
    <t>BRF  ADS5152357   23R2</t>
  </si>
  <si>
    <t>BRF  ADS5154404   SN23</t>
  </si>
  <si>
    <t>BRF  ADSM5152357  SN23</t>
  </si>
  <si>
    <t>BRF  ADS5153202   SN23</t>
  </si>
  <si>
    <t>BRF  ADS5156853   SN23</t>
  </si>
  <si>
    <t>BRF  ADS5156858   SN23</t>
  </si>
  <si>
    <t>BRF  ADSGC3032    SN23</t>
  </si>
  <si>
    <t>BRF  ADSM5156857  23R1</t>
  </si>
  <si>
    <t>BRF  ADSM5156864  23R1</t>
  </si>
  <si>
    <t>BRF  ADSM5156864XX23R1</t>
  </si>
  <si>
    <t>BRF  ADSM5156874  23R1</t>
  </si>
  <si>
    <t>BRF  ADSM5157291  23R1</t>
  </si>
  <si>
    <t>BRF  ADSM5157291XX23R1</t>
  </si>
  <si>
    <t>BRF  ADS5151821   23R1</t>
  </si>
  <si>
    <t>TOP  MCU133-78    22R8</t>
  </si>
  <si>
    <t>TOP  MCU133-93    22R8</t>
  </si>
  <si>
    <t>TOP  MCU133-95    22R7</t>
  </si>
  <si>
    <t>PANTSMCU155-61    22R8</t>
  </si>
  <si>
    <t>PANTSMCU155-71    22R8</t>
  </si>
  <si>
    <t>PANTSMCU155-83    22R8</t>
  </si>
  <si>
    <t>PANTSMCU155-85    22R8</t>
  </si>
  <si>
    <t>PANTSMCU155-99    22R8</t>
  </si>
  <si>
    <t>BOXERHNM502927LH  /S8</t>
  </si>
  <si>
    <t>BOXERHNM502927NLOE/S8</t>
  </si>
  <si>
    <t>BOXERHNM502927OD  /S8</t>
  </si>
  <si>
    <t>BOXERHNM502927OF  /S8</t>
  </si>
  <si>
    <t>BOXERHNM502927OG  /S8</t>
  </si>
  <si>
    <t>BOXERHNM502927OI  /S8</t>
  </si>
  <si>
    <t>BOXERHNM502927OJ  /S8</t>
  </si>
  <si>
    <t>BOXERHNM502927OK  /S8</t>
  </si>
  <si>
    <t>BOXERHNM502927OL  /S8</t>
  </si>
  <si>
    <t>BOXERHNM502927OO  /S8</t>
  </si>
  <si>
    <t>BOXERHNM502927OT  /S8</t>
  </si>
  <si>
    <t>BOXERHNM502927SW  /S8</t>
  </si>
  <si>
    <t>BOXERHNM502928NLBE/S8</t>
  </si>
  <si>
    <t>BOXERHNM502928RS  /S8</t>
  </si>
  <si>
    <t>BOXERHNM517319DR  /S8</t>
  </si>
  <si>
    <t>BOXERHNM517319NLOE/S8</t>
  </si>
  <si>
    <t>BOXERHNM517319OG  /S8</t>
  </si>
  <si>
    <t>BOXERHNM517319OT  /S8</t>
  </si>
  <si>
    <t>BOXERHNM517320DC  /S8</t>
  </si>
  <si>
    <t>BOXERHNM517320DK  /S8</t>
  </si>
  <si>
    <t>BOXERHNM517320ME  /S8</t>
  </si>
  <si>
    <t>BOXERHNM517320MX  /S8</t>
  </si>
  <si>
    <t>BOXERHNM523437DR  /S8</t>
  </si>
  <si>
    <t>BOXERHNM523437LD  /S8</t>
  </si>
  <si>
    <t>BOXERHNM523437OU  /S8</t>
  </si>
  <si>
    <t>BOXERHNM523438DE  /S8</t>
  </si>
  <si>
    <t>CRPANMCUGA-3916   SN23</t>
  </si>
  <si>
    <t>TOP  MCU133-74    SN23</t>
  </si>
  <si>
    <t>TOP  MCU133-78    SN23</t>
  </si>
  <si>
    <t>TOP  MCU133-83    SN23</t>
  </si>
  <si>
    <t>TOP  MCU133-85    SN23</t>
  </si>
  <si>
    <t>TOP  MCU133-92    SN23</t>
  </si>
  <si>
    <t>SSTSHHEX5057003   23FW</t>
  </si>
  <si>
    <t>SPANTMATSJA7802   24SS</t>
  </si>
  <si>
    <t>SPANTMATSNA7802T  24SS</t>
  </si>
  <si>
    <t>SPANTMATSNA7810   24SS</t>
  </si>
  <si>
    <t>SPANTMATSNA7888   24SS</t>
  </si>
  <si>
    <t>LPANTMATSNW7702   24SS</t>
  </si>
  <si>
    <t>LPANTMATSNW7702T  24SS</t>
  </si>
  <si>
    <t xml:space="preserve">TATO </t>
  </si>
  <si>
    <t>TATO MATSBS100    24S1</t>
  </si>
  <si>
    <t>PANTSHEX6018327   23FW</t>
  </si>
  <si>
    <t>FDWR MCU396-90    SN23</t>
  </si>
  <si>
    <t>TOP  MCU250-90    22R8</t>
  </si>
  <si>
    <t>TOP  MCU250-90    SN23</t>
  </si>
  <si>
    <t>TOP  MCU260-90    22R8</t>
  </si>
  <si>
    <t>NKTIEMCU477-90    SN23</t>
  </si>
  <si>
    <t>NKTIEMCU477-91    23R1</t>
  </si>
  <si>
    <t>POUCHMCU393-91    SN23</t>
  </si>
  <si>
    <t>DRESSMFL44101N    23AH</t>
  </si>
  <si>
    <t>LEG  MFL28145     23AH</t>
  </si>
  <si>
    <t>LEG  MFL58119     23AH</t>
  </si>
  <si>
    <t>LEG  MFL54145N    23AH</t>
  </si>
  <si>
    <t>LEG  MFL28116     23AH</t>
  </si>
  <si>
    <t>LEG  MFL28142     23AH</t>
  </si>
  <si>
    <t>LEG  MFL54151     23AH</t>
  </si>
  <si>
    <t>BRF  ADS5152355   23R1</t>
  </si>
  <si>
    <t>BRF  ADS5152358   SN23</t>
  </si>
  <si>
    <t>BRF  ADS5152362   23R1</t>
  </si>
  <si>
    <t>BRF  ADS5152367   SN23</t>
  </si>
  <si>
    <t>BRF  ADS5152376   SN23</t>
  </si>
  <si>
    <t>BRF  ADS5154227   SN23</t>
  </si>
  <si>
    <t>BRF  ADS5155034   SN23</t>
  </si>
  <si>
    <t>BRF  ADS5155034XXLSN23</t>
  </si>
  <si>
    <t>BRF  ADS5156185   23R1</t>
  </si>
  <si>
    <t>BRF  ADS5152378   23R1</t>
  </si>
  <si>
    <t>BRF  ADS5152378XXLSN23</t>
  </si>
  <si>
    <t>BRF  ADSGB4294    SN23</t>
  </si>
  <si>
    <t>BRF  ADSGB4297    SN23</t>
  </si>
  <si>
    <t>BRF  ADS5154343   SN23</t>
  </si>
  <si>
    <t>BRF  ADS5156187   SN23</t>
  </si>
  <si>
    <t>BRF  ADS5156187XXLSN23</t>
  </si>
  <si>
    <t>BRF  ADS5156191   SN23</t>
  </si>
  <si>
    <t>BRF  ADS5156191XXLSN23</t>
  </si>
  <si>
    <t>BOXERHNM502928CH  /S8</t>
  </si>
  <si>
    <t>BOXERHNM502928EC  /S8</t>
  </si>
  <si>
    <t>BOXERHNM502928ID  /S8</t>
  </si>
  <si>
    <t>BOXERHNM502928IX  /S8</t>
  </si>
  <si>
    <t>BOXERHNM502928MX  /S8</t>
  </si>
  <si>
    <t>BOXERHNM502928NLPL/S8</t>
  </si>
  <si>
    <t>BOXERHNM502928PA  /S8</t>
  </si>
  <si>
    <t>BOXERHNM502928TR  /S8</t>
  </si>
  <si>
    <t>BOXERHNM502927DR  /S8</t>
  </si>
  <si>
    <t>BOXERHNM502927LD  /S8</t>
  </si>
  <si>
    <t>BOXERHNM502927OU  /S8</t>
  </si>
  <si>
    <t>BOXERHNM502928HR  /S8</t>
  </si>
  <si>
    <t>BOXERHNM502928IN  /S8</t>
  </si>
  <si>
    <t>BOXERHNM502928MY  /S8</t>
  </si>
  <si>
    <t>BOXERHNM502928PH  /S8</t>
  </si>
  <si>
    <t>BOXERHNM502928SE  /S8</t>
  </si>
  <si>
    <t>BOXERHNM502928TH  /S8</t>
  </si>
  <si>
    <t>SHIRTHNM422973CL  /S7</t>
  </si>
  <si>
    <t>PANTSHEX6020518   23FW</t>
  </si>
  <si>
    <t>DRESSMOTEC037     LC22</t>
  </si>
  <si>
    <t>DRESSMOTEC049     LC22</t>
  </si>
  <si>
    <t>SHIRTMOTEC025     LC22</t>
  </si>
  <si>
    <t>SHIRTMOTEC176     LC22</t>
  </si>
  <si>
    <t>DRESSMOTEC172     LC22</t>
  </si>
  <si>
    <t>SHIRTMOTEC191     LC22</t>
  </si>
  <si>
    <t>TOP  MCU261-90    22R8</t>
  </si>
  <si>
    <t>TOP  MCU261-93    22R8</t>
  </si>
  <si>
    <t>JCT  MCUKZN407-90 SN23</t>
  </si>
  <si>
    <t>TOP  MCU251-90    22R8</t>
  </si>
  <si>
    <t>BRF  ADS5152388XXLSN23</t>
  </si>
  <si>
    <t>BRF  ADS5153207   23R2</t>
  </si>
  <si>
    <t>BRF  ADS5154214   SN23</t>
  </si>
  <si>
    <t>BRF  ADS5154214XXLSN23</t>
  </si>
  <si>
    <t>BRF  ADS5154220   SN23</t>
  </si>
  <si>
    <t>BRF  ADS5154338   23R1</t>
  </si>
  <si>
    <t>BRF  ADS5154343   23R1</t>
  </si>
  <si>
    <t>BRF  ADS5154343XXLSN23</t>
  </si>
  <si>
    <t>BRF  ADS5156180   SN23</t>
  </si>
  <si>
    <t>BRF  ADS5156180XXLSN23</t>
  </si>
  <si>
    <t>BRF  ADS5156183   SN23</t>
  </si>
  <si>
    <t>BRF  ADS5156849   23R2</t>
  </si>
  <si>
    <t>BRF  ADS5156874   23R2</t>
  </si>
  <si>
    <t>BRF  ADS5152382   SN23</t>
  </si>
  <si>
    <t>BRF  ADS5156860   23R2</t>
  </si>
  <si>
    <t>BRF  ADS5156860XXL23R2</t>
  </si>
  <si>
    <t>BRF  ADS5156868   23R2</t>
  </si>
  <si>
    <t>BRF  ADS5156868XXL23R2</t>
  </si>
  <si>
    <t>BRF  ADS5156871   23R2</t>
  </si>
  <si>
    <t>BRF  ADS5157291   23R2</t>
  </si>
  <si>
    <t>BRF  ADS5152370   23R1</t>
  </si>
  <si>
    <t>BRF  ADS5153203   23R1</t>
  </si>
  <si>
    <t>BRF  ADS5156851   23R2</t>
  </si>
  <si>
    <t>BRF  ADS5156864   23R2</t>
  </si>
  <si>
    <t>BRF  ADS5151821XXL23R1</t>
  </si>
  <si>
    <t>BRF  ADS5151824   23R1</t>
  </si>
  <si>
    <t>BRF  ADS5151824XXLSN23</t>
  </si>
  <si>
    <t>BRF  ADS5151835   SN23</t>
  </si>
  <si>
    <t>BRF  ADS5151835XXLSN23</t>
  </si>
  <si>
    <t>BRF  ADS5153211   SN23</t>
  </si>
  <si>
    <t>BRF  ADS5155370   23R1</t>
  </si>
  <si>
    <t>BRF  ADS5155370XXL23R1</t>
  </si>
  <si>
    <t>BRF  ADS5156870   23R1</t>
  </si>
  <si>
    <t>BRF  ADS5156857   23R2</t>
  </si>
  <si>
    <t>TOP  MCU133-92    22R8</t>
  </si>
  <si>
    <t>TOP  MCU133-95    22R8</t>
  </si>
  <si>
    <t>TOP  MCU133-99    22R8</t>
  </si>
  <si>
    <t>CRPANMCUGA-3915   SN23</t>
  </si>
  <si>
    <t>JCT  MCUGA-3910   SN23</t>
  </si>
  <si>
    <t>TOP  MCU133-61    SN23</t>
  </si>
  <si>
    <t>TOP  MCU133-72    SN23</t>
  </si>
  <si>
    <t>TOP  MCU133-91    SN23</t>
  </si>
  <si>
    <t>TOP  MCU133-93    SN23</t>
  </si>
  <si>
    <t>TOP  MCU133-98    22R8</t>
  </si>
  <si>
    <t>SPANTMATSNA3800B  24SS</t>
  </si>
  <si>
    <t>SPANTMATSNA3801   24SS</t>
  </si>
  <si>
    <t>SPANTMATSNA6804   24SS</t>
  </si>
  <si>
    <t>SPANTMATSNA6888   24SS</t>
  </si>
  <si>
    <t>SPANTMATSNA7800   24SS</t>
  </si>
  <si>
    <t>SPANTMATSNR5801Q. 24SS</t>
  </si>
  <si>
    <t>LPANTMATMIW177    24SS</t>
  </si>
  <si>
    <t>LPANTMATSJW7702   24SS</t>
  </si>
  <si>
    <t>LPANTMATSNW3701   24SS</t>
  </si>
  <si>
    <t>LPANTMATSNW7710   24SS</t>
  </si>
  <si>
    <t>JCT  MATSNW3501   24SS</t>
  </si>
  <si>
    <t>JCT  MATSNW6403   24SS</t>
  </si>
  <si>
    <t>JCT  MATSNW6502   24SS</t>
  </si>
  <si>
    <t>TSHRTMATSJR608S   24SS</t>
  </si>
  <si>
    <t>HBAND</t>
  </si>
  <si>
    <t>HBANDHEX5023727   23FW</t>
  </si>
  <si>
    <t>TIGHT</t>
  </si>
  <si>
    <t>TIGHTHEX6017360   23FW</t>
  </si>
  <si>
    <t>TIGHTHEX6024771   23FW</t>
  </si>
  <si>
    <t>TIGHTHEX6024812   23FW</t>
  </si>
  <si>
    <t>BOXERHNM523437NLOE/S8</t>
  </si>
  <si>
    <t>BOXERHNM523438NLBE/S8</t>
  </si>
  <si>
    <t>BOXERHNM523438NLGB/S8</t>
  </si>
  <si>
    <t>BOXERHNM517318CL  /S8</t>
  </si>
  <si>
    <t>BOXERHNM517320NLBE/S8</t>
  </si>
  <si>
    <t>FDWR MCU394-90    SN23</t>
  </si>
  <si>
    <t>TOP  MCU255-90    SN23</t>
  </si>
  <si>
    <t>HATCKMCU391-90    23R1</t>
  </si>
  <si>
    <t>POUCHMCU393-90    23R1</t>
  </si>
  <si>
    <t>FDWR MCU397-90    23R1</t>
  </si>
  <si>
    <t>TOP  MCU260-90    SN23</t>
  </si>
  <si>
    <t>TOP  MCU133-85    23R1</t>
  </si>
  <si>
    <t>TOP  MCU133-97    23R1</t>
  </si>
  <si>
    <t>TOP  MCU133-65    SN23</t>
  </si>
  <si>
    <t>BOTTMMCU155-98    23R1</t>
  </si>
  <si>
    <t>LEG  MFLG2805     23AH</t>
  </si>
  <si>
    <t>TSHRTMFL08116     23AH</t>
  </si>
  <si>
    <t>LEG  MFL58116     23AH</t>
  </si>
  <si>
    <t>LEG  MFLG2806     23AH</t>
  </si>
  <si>
    <t>TSHRTMFL34116     23AH</t>
  </si>
  <si>
    <t>BRF  ADS5152355XXLSN23</t>
  </si>
  <si>
    <t>BRF  ADS5152361   23R1</t>
  </si>
  <si>
    <t>BRF  ADS5152361   SN23</t>
  </si>
  <si>
    <t>BRF  ADS5152361XXLSN23</t>
  </si>
  <si>
    <t>BRF  ADS5152362.  23R2</t>
  </si>
  <si>
    <t>BRF  ADS5152376   23R1</t>
  </si>
  <si>
    <t>BRF  ADS5152376XXLSN23</t>
  </si>
  <si>
    <t>BRF  ADS5152377   SN23</t>
  </si>
  <si>
    <t>BRF  ADS5155034   23R1</t>
  </si>
  <si>
    <t>BRF  ADS5155037   23R1</t>
  </si>
  <si>
    <t>BRF  ADS5155037   SN23</t>
  </si>
  <si>
    <t>BRF  ADS5155037XXLSN23</t>
  </si>
  <si>
    <t>BRF  ADS5156185   23R2</t>
  </si>
  <si>
    <t>BRF  ADS5156187   23R1</t>
  </si>
  <si>
    <t>BRF  ADS5156187XXL23R1</t>
  </si>
  <si>
    <t>BRF  ADS5158039   SN23</t>
  </si>
  <si>
    <t>BRF  ADS5158043   SN23</t>
  </si>
  <si>
    <t>BRF  ADS5154227   23R1</t>
  </si>
  <si>
    <t>BRF  ADS5151816   23R1</t>
  </si>
  <si>
    <t>BRF  ADS5151821   23R2</t>
  </si>
  <si>
    <t>BRF  ADS5151821XXL23R2</t>
  </si>
  <si>
    <t>BRF  ADS5156185XXLSN23</t>
  </si>
  <si>
    <t>BRF  ADS5154214   23R1</t>
  </si>
  <si>
    <t>BRF  ADS5154214XXL23R1</t>
  </si>
  <si>
    <t>BRF  ADS5154220   23R1</t>
  </si>
  <si>
    <t>BRF  ADS5156180   23R1</t>
  </si>
  <si>
    <t>BRF  ADS5156183   23R1</t>
  </si>
  <si>
    <t>BRF  ADS5156191   23R1</t>
  </si>
  <si>
    <t>BRF  ADS5154212   SN23</t>
  </si>
  <si>
    <t>LWR  HNM507612CH  /S8</t>
  </si>
  <si>
    <t>LWR  HNM507612CO  /S8</t>
  </si>
  <si>
    <t>LWR  HNM507612DE  /S8</t>
  </si>
  <si>
    <t>LWR  HNM507612EC  /S8</t>
  </si>
  <si>
    <t>LWR  HNM507612HR  /S8</t>
  </si>
  <si>
    <t>LWR  HNM507612ME  /S8</t>
  </si>
  <si>
    <t>LWR  HNM507612MX  /S8</t>
  </si>
  <si>
    <t>LWR  HNM507612NLPL/S8</t>
  </si>
  <si>
    <t>LWR  HNM507612PA  /S8</t>
  </si>
  <si>
    <t>LWR  HNM507612RS  /S8</t>
  </si>
  <si>
    <t>LWR  HNM507612SE  /S8</t>
  </si>
  <si>
    <t>LWR  HNM507612US  /S8</t>
  </si>
  <si>
    <t>LWR  HNM507611NH  /S8</t>
  </si>
  <si>
    <t>LWR  HNM507611OI  /S8</t>
  </si>
  <si>
    <t>LWR  HNM507611OK  /S8</t>
  </si>
  <si>
    <t>LWR  HNM507611OO  /S8</t>
  </si>
  <si>
    <t>LWR  HNM507612CA  /S8</t>
  </si>
  <si>
    <t>LWR  HNM507612DC  /S8</t>
  </si>
  <si>
    <t>LWR  HNM507612IX  /S8</t>
  </si>
  <si>
    <t>BOXERHNM502928VN  /S8</t>
  </si>
  <si>
    <t>BOXERHNM517320CH  /S8</t>
  </si>
  <si>
    <t>BOXERHNM517320DE  /S8</t>
  </si>
  <si>
    <t>BOXERHNM517320HR  /S8</t>
  </si>
  <si>
    <t>BOXERHNM517320ID  /S8</t>
  </si>
  <si>
    <t>BOXERHNM517320IN  /S8</t>
  </si>
  <si>
    <t>BOXERHNM517320IX  /S8</t>
  </si>
  <si>
    <t>BOXERHNM517320JP  /S8</t>
  </si>
  <si>
    <t>BOXERHNM517320KR  /S8</t>
  </si>
  <si>
    <t>BOXERHNM517320NLGB/S8</t>
  </si>
  <si>
    <t>BOXERHNM517320NLPL/S8</t>
  </si>
  <si>
    <t>BOXERHNM517320PA  /S8</t>
  </si>
  <si>
    <t>BOXERHNM517320PH  /S8</t>
  </si>
  <si>
    <t>BOXERHNM517320RS  /S8</t>
  </si>
  <si>
    <t>BOXERHNM517320SE  /S8</t>
  </si>
  <si>
    <t>BOXERHNM517320TH  /S8</t>
  </si>
  <si>
    <t>BOXERHNM517320TR  /S8</t>
  </si>
  <si>
    <t>LWR  HNM507611LD  /S8</t>
  </si>
  <si>
    <t>LWR  HNM507612DK  /S8</t>
  </si>
  <si>
    <t>LWR  HNM507611DR  /S8</t>
  </si>
  <si>
    <t>LWR  HNM507611OD  /S8</t>
  </si>
  <si>
    <t>LWR  HNM507611OT  /S8</t>
  </si>
  <si>
    <t>LWR  HNM507611OU  /S8</t>
  </si>
  <si>
    <t>PANTSHEX6018574   23FW</t>
  </si>
  <si>
    <t>PANTSHEX6018590   23FW</t>
  </si>
  <si>
    <t>ARMWR</t>
  </si>
  <si>
    <t>ARMWRHEX5029977   23FW</t>
  </si>
  <si>
    <t>BANIE</t>
  </si>
  <si>
    <t>BANIEHEX6023004   23FW</t>
  </si>
  <si>
    <t>KNEWR</t>
  </si>
  <si>
    <t>KNEWRHEX5029980   23FW</t>
  </si>
  <si>
    <t>PANTSHEX5034829   23FW</t>
  </si>
  <si>
    <t>TS SS</t>
  </si>
  <si>
    <t>TS SSMOTEC185     LC22</t>
  </si>
  <si>
    <t>TOP  MCU261-92    22R5</t>
  </si>
  <si>
    <t>PANTSMCUZ4726020  SN23</t>
  </si>
  <si>
    <t>LSVSHMCUBEAUTY LS SN23</t>
  </si>
  <si>
    <t>LSVSHMCULS SHIRT  SN23</t>
  </si>
  <si>
    <t>MARUSA Co.,Ltd.</t>
  </si>
  <si>
    <t>FMALS</t>
  </si>
  <si>
    <t>FMALSMARPA-003-1  SN23</t>
  </si>
  <si>
    <t xml:space="preserve">SPL  </t>
  </si>
  <si>
    <t>SPL  MCUMARUSA    NV23</t>
  </si>
  <si>
    <t>RED WING SHOE COMPANY LLC</t>
  </si>
  <si>
    <t xml:space="preserve">CVRL </t>
  </si>
  <si>
    <t>CVRL RED61105-54  SN23</t>
  </si>
  <si>
    <t>SHINATOMO CO .,LTD</t>
  </si>
  <si>
    <t>LSJCT</t>
  </si>
  <si>
    <t>LSJCTSMO0050031051SN23</t>
  </si>
  <si>
    <t>BRF  ADS5158037   SN23</t>
  </si>
  <si>
    <t>BRF  ADS5158038   SN23</t>
  </si>
  <si>
    <t>BRF  ADS5152358   23R1</t>
  </si>
  <si>
    <t>BRF  ADS5152358XXLSN23</t>
  </si>
  <si>
    <t>BRF  ADS5152378   23R2</t>
  </si>
  <si>
    <t>BRF  ADS5153205   23R1</t>
  </si>
  <si>
    <t>BRF  ADS5153207   23R3</t>
  </si>
  <si>
    <t>BRF  ADS5156849   23R3</t>
  </si>
  <si>
    <t>BRF  ADS5156852   23R2</t>
  </si>
  <si>
    <t>BRF  ADS5156852   23R3</t>
  </si>
  <si>
    <t>BRF  ADS5156856   23R2</t>
  </si>
  <si>
    <t>BRF  ADS5156856   23R3</t>
  </si>
  <si>
    <t>BRF  ADS5156873   23R2</t>
  </si>
  <si>
    <t>BRF  ADS5156873   23R3</t>
  </si>
  <si>
    <t>BRF  ADS5156874   23R3</t>
  </si>
  <si>
    <t>BRF  ADSGB4294    23R1</t>
  </si>
  <si>
    <t>BRF  ADSGB4295    SN23</t>
  </si>
  <si>
    <t>BRF  ADSGB4296    23R1</t>
  </si>
  <si>
    <t>BRF  ADS5152367   23R1</t>
  </si>
  <si>
    <t>BRF  ADS5152367XXLSN23</t>
  </si>
  <si>
    <t>BRF  ADS5156850   23R2</t>
  </si>
  <si>
    <t>BRF  ADS5156850   23R3</t>
  </si>
  <si>
    <t>BRF  ADS5156850XXL23R2</t>
  </si>
  <si>
    <t>BRF  ADS5156851   23R3</t>
  </si>
  <si>
    <t>BRF  ADS5156860   23R3</t>
  </si>
  <si>
    <t>BRF  ADS5156860XXL23R3</t>
  </si>
  <si>
    <t>BRF  ADS5156868   23R3</t>
  </si>
  <si>
    <t>BRF  ADS5156872   23R2</t>
  </si>
  <si>
    <t>BRF  ADS5156872   23R3</t>
  </si>
  <si>
    <t>BRF  ADS5156872XXL23R2</t>
  </si>
  <si>
    <t>BRF  ADS5152357   23R3</t>
  </si>
  <si>
    <t>BRF  ADS5153203   23R2</t>
  </si>
  <si>
    <t>BRF  ADS5154404   23R1</t>
  </si>
  <si>
    <t>BRF  ADS5154404XXLSN23</t>
  </si>
  <si>
    <t>BRF  ADS5156864XXL23R2</t>
  </si>
  <si>
    <t>BRF  ADS5152355   23R2</t>
  </si>
  <si>
    <t>BRF  ADS5153204   SN23</t>
  </si>
  <si>
    <t>BRF  ADS5156861   23R1</t>
  </si>
  <si>
    <t>BRF  ADS5158041   SN23</t>
  </si>
  <si>
    <t>BRF  ADS5158042   SN23</t>
  </si>
  <si>
    <t>BRF  ADSGB4293    SN23</t>
  </si>
  <si>
    <t>BRF  ADS5152378XXL23R1</t>
  </si>
  <si>
    <t>BRF  ADS5156857   23R3</t>
  </si>
  <si>
    <t>TOP  MCU133-73    22R8</t>
  </si>
  <si>
    <t>TOP  MCU133-93    23R1</t>
  </si>
  <si>
    <t>TOP  MCU133-95    23R1</t>
  </si>
  <si>
    <t>TOP  MCU133-95    SN23</t>
  </si>
  <si>
    <t>SPANTMATATA-850Q  24SS</t>
  </si>
  <si>
    <t>SPANTMATSNA6800   24SS</t>
  </si>
  <si>
    <t>SPANTMATSNA6802   24SS</t>
  </si>
  <si>
    <t>SPANTMATSNA7811   24SS</t>
  </si>
  <si>
    <t>SPANTMATSNA7812   24SS</t>
  </si>
  <si>
    <t>LPANTMATATW-871   24SS</t>
  </si>
  <si>
    <t>LPANTMATSNW3700B  24SS</t>
  </si>
  <si>
    <t>LPANTMATSNW5701Q  24SS</t>
  </si>
  <si>
    <t>LPANTMATSNW6704   24SS</t>
  </si>
  <si>
    <t>LPANTMATSNW7700   24SS</t>
  </si>
  <si>
    <t>JCT  MATSNW3500B  24SS</t>
  </si>
  <si>
    <t>JCT  MATSNW6501   24SS</t>
  </si>
  <si>
    <t>JCT  MATSNW6504   24SS</t>
  </si>
  <si>
    <t>JCT  MATSNW7100   24SS</t>
  </si>
  <si>
    <t>JCT  MATSNW7102   24SS</t>
  </si>
  <si>
    <t>JCT  MATSNW7500   24SS</t>
  </si>
  <si>
    <t>TSHRTMATSNR110    24SS</t>
  </si>
  <si>
    <t>TSHRTMATSNR603S   24SS</t>
  </si>
  <si>
    <t>JCT  HEX6017368   23FW</t>
  </si>
  <si>
    <t>PANTSHEX6018330   23FW</t>
  </si>
  <si>
    <t>TIGHTHEX6018328   23FW</t>
  </si>
  <si>
    <t>FDWR MCU396-90    23R1</t>
  </si>
  <si>
    <t>FDWR MCU397-91    23R1</t>
  </si>
  <si>
    <t>UNIFMMCUKZN397-80 23R2</t>
  </si>
  <si>
    <t>HAT  MCU392-90    23R1</t>
  </si>
  <si>
    <t>HATCKMCU391-91    23R1</t>
  </si>
  <si>
    <t>TOP  MCU133-67    SN23</t>
  </si>
  <si>
    <t>TOP  MCU133-78    23R1</t>
  </si>
  <si>
    <t>TOP  MCU133-91    23R1</t>
  </si>
  <si>
    <t>TOP  MCU133-83    23R1</t>
  </si>
  <si>
    <t>TOP  MCU133-98    23R1</t>
  </si>
  <si>
    <t>BOTTMMCU155-78    23R1</t>
  </si>
  <si>
    <t>BOTTMMCU155-85    SN23</t>
  </si>
  <si>
    <t>BOTTMMCU155-91    23R1</t>
  </si>
  <si>
    <t>BOTTMMCU155-97    SN23</t>
  </si>
  <si>
    <t>BOTTMMCU155-99    23R1</t>
  </si>
  <si>
    <t>PANTSMCU155-74    SN23</t>
  </si>
  <si>
    <t>PANTSMCU155-78    23R2</t>
  </si>
  <si>
    <t>JC PENNEY</t>
  </si>
  <si>
    <t>LSTSHJCP304219USOLFL23</t>
  </si>
  <si>
    <t>LSTSHJCP304223USREFL23</t>
  </si>
  <si>
    <t>LSTSHJCP309917USOLFL23</t>
  </si>
  <si>
    <t>LEG  MFL24440     SP23</t>
  </si>
  <si>
    <t>LEG  MFLG5806     23AH</t>
  </si>
  <si>
    <t>LEG  MFLG5805     23AH</t>
  </si>
  <si>
    <t>BRF  ADS5152355   23R3</t>
  </si>
  <si>
    <t>BRF  ADS5152359   SN23</t>
  </si>
  <si>
    <t>BRF  ADS5152359XXLSN23</t>
  </si>
  <si>
    <t>BRF  ADS5152361   23R2</t>
  </si>
  <si>
    <t>BRF  ADS5152366   SN23</t>
  </si>
  <si>
    <t>BRF  ADS5152367   23R2</t>
  </si>
  <si>
    <t>BRF  ADS5152370   23R2</t>
  </si>
  <si>
    <t>BRF  ADS5152382   23R1</t>
  </si>
  <si>
    <t>BRF  ADS5152383   SN23</t>
  </si>
  <si>
    <t>BRF  ADS5155370   23R2</t>
  </si>
  <si>
    <t>BRF  ADS5158040   SN23</t>
  </si>
  <si>
    <t>BRF  ADS5151824   23R2</t>
  </si>
  <si>
    <t>BRF  ADS5151824XXL23R1</t>
  </si>
  <si>
    <t>BRF  ADS5151835   23R1</t>
  </si>
  <si>
    <t>BRF  ADS5151835XXL23R1</t>
  </si>
  <si>
    <t>BRF  ADS5152388   23R2</t>
  </si>
  <si>
    <t>BRF  ADS5152388XXL23R1</t>
  </si>
  <si>
    <t>BRF  ADS5152376   23R2</t>
  </si>
  <si>
    <t>BRF  ADS5152376XXL23R1</t>
  </si>
  <si>
    <t>BRF  ADS5154336   23R1</t>
  </si>
  <si>
    <t>BRF  ADS5154338   23R2</t>
  </si>
  <si>
    <t>BRF  ADS5154338XXL23R1</t>
  </si>
  <si>
    <t>BRF  ADS5154343   23R2</t>
  </si>
  <si>
    <t>LWR  HNM507611OJ  /S8</t>
  </si>
  <si>
    <t>LEGWR</t>
  </si>
  <si>
    <t>LEGWRHEX5029982   23FW</t>
  </si>
  <si>
    <t>SHIRTMOTEC174     LC22</t>
  </si>
  <si>
    <t>BLSON</t>
  </si>
  <si>
    <t>BLSONMCUZ4726012  SN23</t>
  </si>
  <si>
    <t>L14</t>
  </si>
  <si>
    <t>CVRL RED61105-54  23R1</t>
  </si>
  <si>
    <t>JCT  SMO0050030901SN23</t>
  </si>
  <si>
    <t>JCT  SMO0050012031WI23</t>
  </si>
  <si>
    <t>BRF  ADS5153211   23R1</t>
  </si>
  <si>
    <t>BRF  ADS5156190   SN23</t>
  </si>
  <si>
    <t>BRF  ADS5156849   23R4</t>
  </si>
  <si>
    <t>BRF  ADS5156857   23R4</t>
  </si>
  <si>
    <t>BRF  ADS5158044   SN23</t>
  </si>
  <si>
    <t>BRF  ADS5154214   23R2</t>
  </si>
  <si>
    <t>BRF  ADS5154220   23R2</t>
  </si>
  <si>
    <t>BRF  ADS5156180   23R2</t>
  </si>
  <si>
    <t>BRF  ADS5156191   23R2</t>
  </si>
  <si>
    <t>BRF  ADS5156859   SN23</t>
  </si>
  <si>
    <t>BRF  ADS5156859XXLSN23</t>
  </si>
  <si>
    <t>BRF  ADS5156864   23R3</t>
  </si>
  <si>
    <t>BRF  ADS5156871   23R3</t>
  </si>
  <si>
    <t>BRF  ADS5157290   SN23</t>
  </si>
  <si>
    <t>BRF  ADS5157290XXLSN23</t>
  </si>
  <si>
    <t>BRF  ADS5157291   23R3</t>
  </si>
  <si>
    <t>BRF  ADS5152357   23R4</t>
  </si>
  <si>
    <t>BRF  ADS5152366   23R1</t>
  </si>
  <si>
    <t>BRF  ADS5152382   23R2</t>
  </si>
  <si>
    <t>BRF  ADS5152388   23R3</t>
  </si>
  <si>
    <t>BRF  ADS5152388XXL23R2</t>
  </si>
  <si>
    <t>BRF  ADS5153205   23R2</t>
  </si>
  <si>
    <t>BRF  ADS5155370   23R3</t>
  </si>
  <si>
    <t>BRF  ADS5156870   23R2</t>
  </si>
  <si>
    <t>BRF  ADS5151816   23R2</t>
  </si>
  <si>
    <t>BRF  ADS5151816XXLSN23</t>
  </si>
  <si>
    <t>BRF  ADS5151824   23R3</t>
  </si>
  <si>
    <t>BRF  ADS5153202   23R1</t>
  </si>
  <si>
    <t>BRF  ADS5153204   23R1</t>
  </si>
  <si>
    <t>BRF  ADS5156194   SN23</t>
  </si>
  <si>
    <t>BRF  ADS5156861   23R2</t>
  </si>
  <si>
    <t>BRF  ADSIQ5505    SN23</t>
  </si>
  <si>
    <t>TOP  MCU133-78    23R2</t>
  </si>
  <si>
    <t>TOP  MCU133-83    23R2</t>
  </si>
  <si>
    <t>TOP  MCU133-85    23R2</t>
  </si>
  <si>
    <t>TOP  MCU133-91    23R2</t>
  </si>
  <si>
    <t>JCT  SMO0050011901SN23</t>
  </si>
  <si>
    <t>PANTSSMO0050030941SU23</t>
  </si>
  <si>
    <t>SPANTMATSJR-780   24SS</t>
  </si>
  <si>
    <t>SPANTMATSNR780    24SS</t>
  </si>
  <si>
    <t>SPANTMATSNR790    24SS</t>
  </si>
  <si>
    <t>LPANTMATATW871Q   24SS</t>
  </si>
  <si>
    <t>LPANTMATSNW6700   24SS</t>
  </si>
  <si>
    <t>LPANTMATSNW6702   24SS</t>
  </si>
  <si>
    <t>LPANTMATSNW7711   24SS</t>
  </si>
  <si>
    <t>JCT  MATATW-821   24SS</t>
  </si>
  <si>
    <t>JCT  MATSNW5501.  24SS</t>
  </si>
  <si>
    <t>JCT  MATSNW-735   24SS</t>
  </si>
  <si>
    <t>JCT  MATSNW7400   24SS</t>
  </si>
  <si>
    <t>JCT  MATSNW7402   24SS</t>
  </si>
  <si>
    <t>TSHRTMATSJR603S   24SS</t>
  </si>
  <si>
    <t>TSHRTMATSJR612S   24SS</t>
  </si>
  <si>
    <t>LSHRT</t>
  </si>
  <si>
    <t>LSHRTMCU25450     SN23</t>
  </si>
  <si>
    <t>FDWR MCU397-92    SN23</t>
  </si>
  <si>
    <t>FDWR MCU397-94    23R1</t>
  </si>
  <si>
    <t>HATCKMCU392-91    23R1</t>
  </si>
  <si>
    <t>HATCKMCU392-92    SN23</t>
  </si>
  <si>
    <t>HATCKMCU392-94    23R1</t>
  </si>
  <si>
    <t>NKTIEMCU477-90    23R1</t>
  </si>
  <si>
    <t>TOP  MCU133-99    SN23</t>
  </si>
  <si>
    <t>PANTSMCU154-92    SN23</t>
  </si>
  <si>
    <t>PANTSMCU155-91    23R2</t>
  </si>
  <si>
    <t>PANTSMCU155-95    23R1</t>
  </si>
  <si>
    <t>PANTSMCU155-98    23R2</t>
  </si>
  <si>
    <t>PANTSMCU155-93    SN23</t>
  </si>
  <si>
    <t>PANTSMCU155-99    23R2</t>
  </si>
  <si>
    <t>LEG  MFL24440N    SP23</t>
  </si>
  <si>
    <t>SPANTEIG910008722 LC23</t>
  </si>
  <si>
    <t>LSTSHJCP304223USOLFL23</t>
  </si>
  <si>
    <t>LSTSHJCP309918USOLFL23</t>
  </si>
  <si>
    <t>LEG  MFL24449N    SP24</t>
  </si>
  <si>
    <t>LEG  MFL28441     SP24</t>
  </si>
  <si>
    <t>LEG  MFL54441     SP24</t>
  </si>
  <si>
    <t>BRF  ADS5152358   23R2</t>
  </si>
  <si>
    <t>BRF  ADS5152358XXL23R1</t>
  </si>
  <si>
    <t>BRF  ADS5152359   23R1</t>
  </si>
  <si>
    <t>BRF  ADS5153202   23R2</t>
  </si>
  <si>
    <t>BRF  ADS5153203   23R3</t>
  </si>
  <si>
    <t>BRF  ADS5153204   23R2</t>
  </si>
  <si>
    <t>BRF  ADS5155037   23R2</t>
  </si>
  <si>
    <t>BRF  ADS5156187   23R2</t>
  </si>
  <si>
    <t>BRF  ADS5158037   23R1</t>
  </si>
  <si>
    <t>BRF  ADS5158042   23R1</t>
  </si>
  <si>
    <t>BRF  ADS5158043   23R1</t>
  </si>
  <si>
    <t>BRF  ADS5152376   23R3</t>
  </si>
  <si>
    <t>BRF  ADS5152354   SN23</t>
  </si>
  <si>
    <t>LSTSHJCP304219USREFL23</t>
  </si>
  <si>
    <t>LSTSHJCP304223USOPFL23</t>
  </si>
  <si>
    <t>LSTSHJCP309918USREFL23</t>
  </si>
  <si>
    <t>JCT  MCUZ7860024  SN23</t>
  </si>
  <si>
    <t>CVRL RED61105-57  23R1</t>
  </si>
  <si>
    <t>CVRL RED61105-54  23R2</t>
  </si>
  <si>
    <t>CVRL RED61105-57  SN23</t>
  </si>
  <si>
    <t>JCT  SMO0050030911SN23</t>
  </si>
  <si>
    <t>JCT  SMO0050031021SN23</t>
  </si>
  <si>
    <t>JCT  SMO0050012041SU23</t>
  </si>
  <si>
    <t>BRF  ADS5158040   23R1</t>
  </si>
  <si>
    <t>BRF  ADS5158040XXLSN23</t>
  </si>
  <si>
    <t>BRF  ADS5153207   23R4</t>
  </si>
  <si>
    <t>BRF  ADS5154336   23R2</t>
  </si>
  <si>
    <t>BRF  ADS5154336XXLSN23</t>
  </si>
  <si>
    <t>BRF  ADS5155034   23R2</t>
  </si>
  <si>
    <t>BRF  ADS5156190   23R1</t>
  </si>
  <si>
    <t>BRF  ADS5156850   23R4</t>
  </si>
  <si>
    <t>BRF  ADS5156850XXL23R3</t>
  </si>
  <si>
    <t>BRF  ADS5156852   23R4</t>
  </si>
  <si>
    <t>BRF  ADS5156856   23R4</t>
  </si>
  <si>
    <t>BRF  ADS5156860   23R4</t>
  </si>
  <si>
    <t>BRF  ADS5156868   23R4</t>
  </si>
  <si>
    <t>BRF  ADS5156868XXL23R3</t>
  </si>
  <si>
    <t>BRF  ADS5156873   23R4</t>
  </si>
  <si>
    <t>BRF  ADS5156874   23R4</t>
  </si>
  <si>
    <t>BRF  ADS5158037   23R2</t>
  </si>
  <si>
    <t>BRF  ADS5158037XXLSN23</t>
  </si>
  <si>
    <t>BRF  ADS5158043   23R2</t>
  </si>
  <si>
    <t>BRF  ADS5158043XXLSN23</t>
  </si>
  <si>
    <t>BRF  ADS5153205   23R3</t>
  </si>
  <si>
    <t>BRF  ADS5153205   23R4</t>
  </si>
  <si>
    <t>BRF  ADS5154212   23R1</t>
  </si>
  <si>
    <t>BRF  ADS5154214   23R3</t>
  </si>
  <si>
    <t>BRF  ADS5154220   23R3</t>
  </si>
  <si>
    <t>BRF  ADS5154338   23R3</t>
  </si>
  <si>
    <t>BRF  ADS5154338   23R4</t>
  </si>
  <si>
    <t>BRF  ADS5154343   23R3</t>
  </si>
  <si>
    <t>BRF  ADS5156180   23R3</t>
  </si>
  <si>
    <t>BRF  ADS5156183   23R2</t>
  </si>
  <si>
    <t>BRF  ADS5156191   23R3</t>
  </si>
  <si>
    <t>BRF  ADS5152362   23R3</t>
  </si>
  <si>
    <t>BRF  ADS5152362   23R4</t>
  </si>
  <si>
    <t>BRF  ADS5152377   23R1</t>
  </si>
  <si>
    <t>BRF  ADS5152377   23R2</t>
  </si>
  <si>
    <t>BRF  ADS5153203   23R4</t>
  </si>
  <si>
    <t>BRF  ADS5153211   23R2</t>
  </si>
  <si>
    <t>BRF  ADS5153211   23R3</t>
  </si>
  <si>
    <t>BRF  ADS5151821   23R3</t>
  </si>
  <si>
    <t>BRF  ADS5151821XXL23R3</t>
  </si>
  <si>
    <t>BRF  ADS5151824XXL23R2</t>
  </si>
  <si>
    <t>BRF  ADS5152378   23R3</t>
  </si>
  <si>
    <t>BRF  ADS5153204   23R3</t>
  </si>
  <si>
    <t>BRF  ADS5153207   23R5</t>
  </si>
  <si>
    <t>BRF  ADS5156190   23R2</t>
  </si>
  <si>
    <t>BRF  ADS5156194   23R1</t>
  </si>
  <si>
    <t>BRF  ADS5156858   23R1</t>
  </si>
  <si>
    <t>BRF  ADS5156861   23R3</t>
  </si>
  <si>
    <t>BRF  ADS5156870   23R3</t>
  </si>
  <si>
    <t>BRF  ADS5158041   23R2</t>
  </si>
  <si>
    <t>BRF  ADS5158042   23R2</t>
  </si>
  <si>
    <t>BRF  ADSGB4293    23R1</t>
  </si>
  <si>
    <t>BRF  ADS5156860XXL23R4</t>
  </si>
  <si>
    <t>CRPANMCUG-8015    SN23</t>
  </si>
  <si>
    <t>CRPANMCUGA-3915   23R1</t>
  </si>
  <si>
    <t>TOP  MCU133-95    23R2</t>
  </si>
  <si>
    <t>TOP  MCU133-98    23R2</t>
  </si>
  <si>
    <t>TOP  MCU136-98    SN23</t>
  </si>
  <si>
    <t>JCT  SMO005003090123R1</t>
  </si>
  <si>
    <t>PANTSSMO0050030951SU23</t>
  </si>
  <si>
    <t>SPANTMATATA-890   24SS</t>
  </si>
  <si>
    <t>SPANTMATATA-892Q  24SS</t>
  </si>
  <si>
    <t>SPANTMATSJR-780   24S1</t>
  </si>
  <si>
    <t>SPANTMATSJR-792   24SS</t>
  </si>
  <si>
    <t>SPANTMATSNA6801   24SS</t>
  </si>
  <si>
    <t>SPANTMATSNA6887   24SS</t>
  </si>
  <si>
    <t>JCT  MATSNW7510   24SS</t>
  </si>
  <si>
    <t>LPANTMATATW874Q   24SS</t>
  </si>
  <si>
    <t>LPANTMATSNW1706   24SS</t>
  </si>
  <si>
    <t>LPANTMATSNW6701   24SS</t>
  </si>
  <si>
    <t>LPANTMATSNW7704   24SS</t>
  </si>
  <si>
    <t>LPANTMATSNW7712   24SS</t>
  </si>
  <si>
    <t>JCT  MATSNW6401   24SS</t>
  </si>
  <si>
    <t>JCT  MATSNW6500   24SS</t>
  </si>
  <si>
    <t>JCT  MATSNW7202   24SS</t>
  </si>
  <si>
    <t>JCT  MATSNW7410   24SS</t>
  </si>
  <si>
    <t>JCT  MATSNW7412   24SS</t>
  </si>
  <si>
    <t>TSHRTMATSNR111    24SS</t>
  </si>
  <si>
    <t>TSHRTMATSNR112    24SS</t>
  </si>
  <si>
    <t>TSHRTMATSNR160    24SS</t>
  </si>
  <si>
    <t>BRF  EIG910009092 LC23</t>
  </si>
  <si>
    <t>TIGHTEIG910008716 LC23</t>
  </si>
  <si>
    <t>BOXERHNM523435AU  /S8</t>
  </si>
  <si>
    <t>BOXERHNM523435CL  /S8</t>
  </si>
  <si>
    <t>BOXERHNM523435PE  /S8</t>
  </si>
  <si>
    <t>BOXERHNM523435UY  /S8</t>
  </si>
  <si>
    <t>JCT  MCUKZN407-90 23R1</t>
  </si>
  <si>
    <t xml:space="preserve">ROBE </t>
  </si>
  <si>
    <t>ROBE MCU250-90    SN23</t>
  </si>
  <si>
    <t>UNIFMMCUKZN397-80 23R3</t>
  </si>
  <si>
    <t>BAG  MCUKZN393-80 SN23</t>
  </si>
  <si>
    <t xml:space="preserve">CAP  </t>
  </si>
  <si>
    <t>CAP  MCUKZN392-80 SN23</t>
  </si>
  <si>
    <t>NKTIEMCU477-91    23R2</t>
  </si>
  <si>
    <t>POUCHMCU393-90    23R2</t>
  </si>
  <si>
    <t>POUCHMCU393-92    23R1</t>
  </si>
  <si>
    <t>POUCHMCU393-94    23R1</t>
  </si>
  <si>
    <t>TOP  MCU133-61    23R1</t>
  </si>
  <si>
    <t>TOP  MCU133-72    22R5</t>
  </si>
  <si>
    <t>TOP  MCU133-78    22R4</t>
  </si>
  <si>
    <t>TOP  MCU133-91    22R4</t>
  </si>
  <si>
    <t>TOP  MCU133-91    22R5</t>
  </si>
  <si>
    <t>TOP  MCU133-91    23R3</t>
  </si>
  <si>
    <t>TOP  MCU133-93    23R2</t>
  </si>
  <si>
    <t>TOP  MCU133-97    23R2</t>
  </si>
  <si>
    <t>TOP  MCU133-99    23R1</t>
  </si>
  <si>
    <t>PANTSMCU155-65    SN23</t>
  </si>
  <si>
    <t>PANTSMCU155-71    SN23</t>
  </si>
  <si>
    <t>PANTSMCU155-95    23R2</t>
  </si>
  <si>
    <t>PANTSMCU155-97    SN23</t>
  </si>
  <si>
    <t>PANTSMCU155-98    23R3</t>
  </si>
  <si>
    <t>PANTSMCU155-78    23R3</t>
  </si>
  <si>
    <t>PANTSMCU155-91    23R3</t>
  </si>
  <si>
    <t>BOXERVIPWBYB51X3C LC23</t>
  </si>
  <si>
    <t>LPANTVIPWBYLW     LC23</t>
  </si>
  <si>
    <t>PJMA VIPWBYPJ LSLPLC23</t>
  </si>
  <si>
    <t>SPANTVIPWBYLW SP  LC23</t>
  </si>
  <si>
    <t>PANTSEIG910008637 LC23</t>
  </si>
  <si>
    <t>PANTSEIG910008721 LC23</t>
  </si>
  <si>
    <t>SPANTEIG910008640 LC23</t>
  </si>
  <si>
    <t xml:space="preserve">JOG  </t>
  </si>
  <si>
    <t>JOG  MOTFB926     AW23</t>
  </si>
  <si>
    <t>SPANTMOTFA301     AW23</t>
  </si>
  <si>
    <t>SPANTMOTFC587     AW23</t>
  </si>
  <si>
    <t>SPANTMOTFC873     AW23</t>
  </si>
  <si>
    <t>SSTSHMOTFC564     AW23</t>
  </si>
  <si>
    <t>TS SSMOTFA309     AW23</t>
  </si>
  <si>
    <t>TSHRTMOTFA306     AW23</t>
  </si>
  <si>
    <t>TS SSMOTFA299     AW23</t>
  </si>
  <si>
    <t>TSHRTMOTFA296     AW23</t>
  </si>
  <si>
    <t>LEG  MFL24340     SU24</t>
  </si>
  <si>
    <t>LEG  MFL54456     SP24</t>
  </si>
  <si>
    <t>LEG  MFL28407     SP23</t>
  </si>
  <si>
    <t>LEG  MFL27340     SU24</t>
  </si>
  <si>
    <t>LEG  MFL54407     SP23</t>
  </si>
  <si>
    <t>LEG  MFL58441     SP24</t>
  </si>
  <si>
    <t>BRF  ADS5152355   23R4</t>
  </si>
  <si>
    <t>BRF  ADS5152355XXL23R1</t>
  </si>
  <si>
    <t>BRF  ADS5152361   23R3</t>
  </si>
  <si>
    <t>BRF  ADS5152361XXL23R1</t>
  </si>
  <si>
    <t>BRF  ADS5152376   23R4</t>
  </si>
  <si>
    <t>BRF  ADS5154227   23R2</t>
  </si>
  <si>
    <t>BRF  ADS5154227XXLSN23</t>
  </si>
  <si>
    <t>BRF  ADS5155034   23R3</t>
  </si>
  <si>
    <t>BRF  ADS5155034XXL23R1</t>
  </si>
  <si>
    <t>BRF  ADS5155037   23R3</t>
  </si>
  <si>
    <t>BRF  ADS5156185   23R3</t>
  </si>
  <si>
    <t>BRF  ADS5156185XXL23R1</t>
  </si>
  <si>
    <t>BRF  ADS5156187   23R3</t>
  </si>
  <si>
    <t>BRF  ADS5152358   23R3</t>
  </si>
  <si>
    <t>BRF  ADS5152358XXL23R2</t>
  </si>
  <si>
    <t>BRF  ADS5152367   23R3</t>
  </si>
  <si>
    <t>BRF  ADS5152378   23R4</t>
  </si>
  <si>
    <t>BRF  ADS5152376XXL23R2</t>
  </si>
  <si>
    <t>BRF  ADS5151824   23R5</t>
  </si>
  <si>
    <t>BRF  ADS5155034   23R4</t>
  </si>
  <si>
    <t>BRF  ADS5156187   23R4</t>
  </si>
  <si>
    <t>BRF  ADS5156187XXL23R2</t>
  </si>
  <si>
    <t>PANTSEIG910005663 LC23</t>
  </si>
  <si>
    <t>PANTSEIG910007536 LC23</t>
  </si>
  <si>
    <t>SSL  EIG910007576 LC23</t>
  </si>
  <si>
    <t>SWEATEIG910007623 23L1</t>
  </si>
  <si>
    <t>PANTSMCU843-40    SN22</t>
  </si>
  <si>
    <t>PANTSMCU843-43    SN22</t>
  </si>
  <si>
    <t>ROBE MCU260-90    SN23</t>
  </si>
  <si>
    <t>TOP  MCU251-90    SN22</t>
  </si>
  <si>
    <t>TOP  MCU261-90    SN22</t>
  </si>
  <si>
    <t>TOP  MCU261-93    SN22</t>
  </si>
  <si>
    <t>SHIRTMAR24311     SN23</t>
  </si>
  <si>
    <t>SHIRTMAR24312     SN23</t>
  </si>
  <si>
    <t>SHIRTMAR23311     SN23</t>
  </si>
  <si>
    <t>CVRL RED61105-54  23R3</t>
  </si>
  <si>
    <t>CVRL RED61105-54  23R4</t>
  </si>
  <si>
    <t>CVRL RED61105-54  23R5</t>
  </si>
  <si>
    <t>CVRL RED61105-57  23R2</t>
  </si>
  <si>
    <t>CVRL RED61105-57  23R3</t>
  </si>
  <si>
    <t>CVRL RED61105-57  23R4</t>
  </si>
  <si>
    <t>CVRL RED61105-57  23R5</t>
  </si>
  <si>
    <t>JCT  SMO0050031031SN23</t>
  </si>
  <si>
    <t>JCT  SMO0050012051SU23</t>
  </si>
  <si>
    <t>BRF  ADS5152370   23R3</t>
  </si>
  <si>
    <t>BRF  ADS5153203   23R5</t>
  </si>
  <si>
    <t>BRF  ADS5152366   23R2</t>
  </si>
  <si>
    <t>BRF  ADS5152388   23R4</t>
  </si>
  <si>
    <t>BRF  ADS5154227   23R3</t>
  </si>
  <si>
    <t>BRF  ADS5154227XXL23R1</t>
  </si>
  <si>
    <t>BRF  ADS5155370   23R4</t>
  </si>
  <si>
    <t>BRF  ADS5155370XXL23R2</t>
  </si>
  <si>
    <t>BRF  ADS5156850   23R5</t>
  </si>
  <si>
    <t>BRF  ADS5156851   23R4</t>
  </si>
  <si>
    <t>BRF  ADS5156851   23R5</t>
  </si>
  <si>
    <t>BRF  ADS5156851XXL23R2</t>
  </si>
  <si>
    <t>BRF  ADS5156860   23R5</t>
  </si>
  <si>
    <t>BRF  ADS5156864   23R4</t>
  </si>
  <si>
    <t>BRF  ADS5156868   23R5</t>
  </si>
  <si>
    <t>BRF  ADS5156872   23R4</t>
  </si>
  <si>
    <t>BRF  ADS5156872XXL23R3</t>
  </si>
  <si>
    <t>BRF  ADS5158043   23R3</t>
  </si>
  <si>
    <t>BRF  ADS5152382   23R3</t>
  </si>
  <si>
    <t>BRF  ADS5154212   23R2</t>
  </si>
  <si>
    <t>BRF  ADS5154214   23R4</t>
  </si>
  <si>
    <t>BRF  ADS5154220   23R4</t>
  </si>
  <si>
    <t>BRF  ADS5154343   23R4</t>
  </si>
  <si>
    <t>BRF  ADS5154343XXL23R1</t>
  </si>
  <si>
    <t>BRF  ADS5156180   23R4</t>
  </si>
  <si>
    <t>BRF  ADS5156183   23R3</t>
  </si>
  <si>
    <t>BRF  ADS5156191   23R4</t>
  </si>
  <si>
    <t>BRF  ADS5156191XXL23R1</t>
  </si>
  <si>
    <t>BRF  ADS5156871   23R4</t>
  </si>
  <si>
    <t>BRF  ADS5156872   23R5</t>
  </si>
  <si>
    <t>BRF  ADS5158041   23R1</t>
  </si>
  <si>
    <t>BRF  ADS5152357   23R5</t>
  </si>
  <si>
    <t>BRF  ADS5152357   23R6</t>
  </si>
  <si>
    <t>BRF  ADS5154404   23R2</t>
  </si>
  <si>
    <t>BRF  ADS5155037   23R4</t>
  </si>
  <si>
    <t>BRF  ADS5155037XXL23R1</t>
  </si>
  <si>
    <t>BRF  ADS5156185   23R4</t>
  </si>
  <si>
    <t>BRF  ADS5156185XXL23R2</t>
  </si>
  <si>
    <t>BRF  ADS5151816   23R3</t>
  </si>
  <si>
    <t>BRF  ADS5151821   23R4</t>
  </si>
  <si>
    <t>BRF  ADS5151821XXL23R4</t>
  </si>
  <si>
    <t>BRF  ADS5151824   23R4</t>
  </si>
  <si>
    <t>BRF  ADS5151824XXL23R3</t>
  </si>
  <si>
    <t>BRF  ADS5151835   23R2</t>
  </si>
  <si>
    <t>BRF  ADS5151835XXL23R2</t>
  </si>
  <si>
    <t>BRF  ADS5152362   23R5</t>
  </si>
  <si>
    <t>BRF  ADS5152377   23R3</t>
  </si>
  <si>
    <t>BRF  ADS5153202   23R3</t>
  </si>
  <si>
    <t>BRF  ADS5158039   23R1</t>
  </si>
  <si>
    <t>BRF  ADS5158040   23R2</t>
  </si>
  <si>
    <t>BRF  ADS5158044   23R1</t>
  </si>
  <si>
    <t>BRF  ADS5152359   23R2</t>
  </si>
  <si>
    <t>BRF  ADS5152367   23R4</t>
  </si>
  <si>
    <t>JCT  MCUGA-3910   23R1</t>
  </si>
  <si>
    <t>TOP  MCU136-92    SN23</t>
  </si>
  <si>
    <t>JCT  SMO005003102123R1</t>
  </si>
  <si>
    <t>SPANTMATAJA-881   24SS</t>
  </si>
  <si>
    <t>SPANTMATATA-891   24SS</t>
  </si>
  <si>
    <t>SPANTMATSEA-62    24SS</t>
  </si>
  <si>
    <t>SPANTMATSJR-790   24SS</t>
  </si>
  <si>
    <t>SPANTMATSJR-792   24S1</t>
  </si>
  <si>
    <t>SPANTMATSJR-799   24SS</t>
  </si>
  <si>
    <t>SPANTMATSNA5800   24SS</t>
  </si>
  <si>
    <t>SPANTMATSNA891N   24SS</t>
  </si>
  <si>
    <t>SPANTMATSNA894    24SS</t>
  </si>
  <si>
    <t>SPANTMATSNA895N   24SS</t>
  </si>
  <si>
    <t>LPANTMATAJW-871   24SS</t>
  </si>
  <si>
    <t>LPANTMATATW-872   24SS</t>
  </si>
  <si>
    <t>LPANTMATATW872Q   24SS</t>
  </si>
  <si>
    <t>LPANTMATS-1422R   24SS</t>
  </si>
  <si>
    <t>LPANTMATSEW-61    24SS</t>
  </si>
  <si>
    <t>LPANTMATSJW-1706  24SS</t>
  </si>
  <si>
    <t>LPANTMATSJW-1707  24SS</t>
  </si>
  <si>
    <t>LPANTMATSNW-1276  24SS</t>
  </si>
  <si>
    <t>LPANTMATSNW6703   24SS</t>
  </si>
  <si>
    <t>JCT  MATATW-823Q  24SS</t>
  </si>
  <si>
    <t>JCT  MATATW-824Q  24SS</t>
  </si>
  <si>
    <t>JCT  MATSEW-11    24SS</t>
  </si>
  <si>
    <t>JCT  MATSNW6200   24SS</t>
  </si>
  <si>
    <t>JCT  MATSNW7502   24SS</t>
  </si>
  <si>
    <t>TSHRTMATSJR-607   24SS</t>
  </si>
  <si>
    <t>TSHRTMATSJR612S   24S1</t>
  </si>
  <si>
    <t>TSHRTMATSNR602S   24SS</t>
  </si>
  <si>
    <t>TSHRTMATSNR608HS  24SS</t>
  </si>
  <si>
    <t>TSHRTMATSNR608S   24SS</t>
  </si>
  <si>
    <t>TSHRTMATSNR611HS  24SS</t>
  </si>
  <si>
    <t>TSHRTMATSNR650AS  24SS</t>
  </si>
  <si>
    <t>TSHRTMATSNR650S   24SS</t>
  </si>
  <si>
    <t>GISTEX - GARMENT</t>
  </si>
  <si>
    <t>BOXERGTXBOXER LCL LC23</t>
  </si>
  <si>
    <t>JCT  MATATW-811   24SS</t>
  </si>
  <si>
    <t>JCT  MATS732AAF   24SS</t>
  </si>
  <si>
    <t>JCT  MATSNW-745   24SS</t>
  </si>
  <si>
    <t>JCT  MATSNW-754   24SS</t>
  </si>
  <si>
    <t>JCT  MATSNW-794   24SS</t>
  </si>
  <si>
    <t>JCT  MATSNW845N   24SS</t>
  </si>
  <si>
    <t>JCT  MATSNWB805   24SS</t>
  </si>
  <si>
    <t>JCT  MATSNWBE82   24SS</t>
  </si>
  <si>
    <t>CV. BI-ENSI FESYENINDO</t>
  </si>
  <si>
    <t>SSVSHBSIGL012     LC23</t>
  </si>
  <si>
    <t>SSVSHGTXSS HAWAI  LC23</t>
  </si>
  <si>
    <t>BOXERHNM523435ZA  /S8</t>
  </si>
  <si>
    <t>BOXERHNM700381CH  /S9</t>
  </si>
  <si>
    <t>BOXERHNM700381CO  /S9</t>
  </si>
  <si>
    <t>BOXERHNM700381DK  /S9</t>
  </si>
  <si>
    <t>BOXERHNM700381EC  /S9</t>
  </si>
  <si>
    <t>BOXERHNM700381IX  /S9</t>
  </si>
  <si>
    <t>BOXERHNM700381ME  /S9</t>
  </si>
  <si>
    <t>BOXERHNM700381MX  /S9</t>
  </si>
  <si>
    <t>BOXERHNM700381PA  /S9</t>
  </si>
  <si>
    <t>BOXERHNM700380DR  /S9</t>
  </si>
  <si>
    <t>BOXERHNM700380LD  /S9</t>
  </si>
  <si>
    <t>BOXERHNM700380OL  /S9</t>
  </si>
  <si>
    <t>BOXERHNM700381NLPL/S9</t>
  </si>
  <si>
    <t>BOXERHNM700381SE  /S9</t>
  </si>
  <si>
    <t>BOXERHNM700380OU  /S9</t>
  </si>
  <si>
    <t>BOXERHNM700381HR  /S9</t>
  </si>
  <si>
    <t>BOXERHNM700381ID  /S9</t>
  </si>
  <si>
    <t>BOXERHNM700381IN  /S9</t>
  </si>
  <si>
    <t>BOXERHNM700381RS  /S9</t>
  </si>
  <si>
    <t>HATCKMCU391-90    23R2</t>
  </si>
  <si>
    <t>HATCKMCU391-91    23R2</t>
  </si>
  <si>
    <t>HATCKMCU392-90    23R2</t>
  </si>
  <si>
    <t>HATCKMCU392-92    23R1</t>
  </si>
  <si>
    <t>HATCKMCU392-94    23R2</t>
  </si>
  <si>
    <t>NKTIEMCU477-90    23R2</t>
  </si>
  <si>
    <t>POUCHMCU393-91    23R1</t>
  </si>
  <si>
    <t>POUCHMCU393-91    23R2</t>
  </si>
  <si>
    <t>TOP  MCU133-95    23R3</t>
  </si>
  <si>
    <t>TOP  MCU133-98    23R3</t>
  </si>
  <si>
    <t>PT. FAJARINDO EKA MRIYAH JAYA</t>
  </si>
  <si>
    <t>PANTSFAZ4805      LC23</t>
  </si>
  <si>
    <t>PANTSFAZ4848      LC23</t>
  </si>
  <si>
    <t>LSL  EIG910008679 LC23</t>
  </si>
  <si>
    <t>PANTSEIG910005663 23L1</t>
  </si>
  <si>
    <t>SSL  EIG910007641 23L1</t>
  </si>
  <si>
    <t>SSL  EIG910007641 LC23</t>
  </si>
  <si>
    <t>LEG  MOTFA879     AW23</t>
  </si>
  <si>
    <t xml:space="preserve">LTL  </t>
  </si>
  <si>
    <t>LTL  MOTFA892     AW23</t>
  </si>
  <si>
    <t>TS SSMOTFC662     AW23</t>
  </si>
  <si>
    <t>SSTSHMOTFB901     AW23</t>
  </si>
  <si>
    <t>SSTSHMOTFB915     AW23</t>
  </si>
  <si>
    <t>SSTSHMOTFB920     AW23</t>
  </si>
  <si>
    <t>SSTSHMOTFC549     AW23</t>
  </si>
  <si>
    <t>SSTSHMOTFC553     AW23</t>
  </si>
  <si>
    <t>SSTSHMOTFC648     AW23</t>
  </si>
  <si>
    <t>TSHRTMOTFA303     AW23</t>
  </si>
  <si>
    <t>TSHRTMOTFA801     AW23</t>
  </si>
  <si>
    <t>TSHRTMOTFA807     AW23</t>
  </si>
  <si>
    <t>JOG  MOTFC575     AW23</t>
  </si>
  <si>
    <t>SPANTMOTFA308     AW23</t>
  </si>
  <si>
    <t>SPANTMOTFB923     AW23</t>
  </si>
  <si>
    <t>SPANTMOTFC866     AW23</t>
  </si>
  <si>
    <t>TSHRTMOTFA305     AW23</t>
  </si>
  <si>
    <t>SPANTMFL54305     SU24</t>
  </si>
  <si>
    <t>LEG  MFL28352     SU24</t>
  </si>
  <si>
    <t>LEG  MFL28354     SU24</t>
  </si>
  <si>
    <t>LEG  MFL54354     SU24</t>
  </si>
  <si>
    <t>LEG  MFL54352     SU24</t>
  </si>
  <si>
    <t>BRF  ADS5152358   23R4</t>
  </si>
  <si>
    <t>BRF  ADS5152358   23R5</t>
  </si>
  <si>
    <t>BRF  ADS5152358XXL23R3</t>
  </si>
  <si>
    <t>BRF  ADS5152358XXL23R4</t>
  </si>
  <si>
    <t>BRF  ADS5152361   23R4</t>
  </si>
  <si>
    <t>BRF  ADS5152361XXL23R2</t>
  </si>
  <si>
    <t>BRF  ADS5152367   23R6</t>
  </si>
  <si>
    <t>BRF  ADS5152367XXL23R2</t>
  </si>
  <si>
    <t>BRF  ADS5152378   23R5</t>
  </si>
  <si>
    <t>BRF  ADS5152378   23R6</t>
  </si>
  <si>
    <t>BRF  ADS5152378XXL23R2</t>
  </si>
  <si>
    <t>BRF  ADS5154227   23R4</t>
  </si>
  <si>
    <t>BRF  ADS5152362   23R6</t>
  </si>
  <si>
    <t>BRF  ADS5152376XXL23R3</t>
  </si>
  <si>
    <t>BRF  ADS5156870   23R4</t>
  </si>
  <si>
    <t>BRF  ADS5151816   23R4</t>
  </si>
  <si>
    <t>BRF  ADS5151816   23R5</t>
  </si>
  <si>
    <t>BRF  ADS5151816XXL23R1</t>
  </si>
  <si>
    <t>BRF  ADS5151816XXL23R2</t>
  </si>
  <si>
    <t>BRF  ADS5151821   23R5</t>
  </si>
  <si>
    <t>BRF  ADS5151821   23R6</t>
  </si>
  <si>
    <t>BRF  ADS5151821XXL23R5</t>
  </si>
  <si>
    <t>BRF  ADS5151821XXL23R6</t>
  </si>
  <si>
    <t>BRF  ADS5151824XXL23R4</t>
  </si>
  <si>
    <t>BRF  ADS5151835XXL23R3</t>
  </si>
  <si>
    <t>BRF  ADS5152370   23R5</t>
  </si>
  <si>
    <t>BRF  ADS5152388   23R6</t>
  </si>
  <si>
    <t>BRF  ADS5152388XXL23R4</t>
  </si>
  <si>
    <t>BRF  ADS5157983   SN23</t>
  </si>
  <si>
    <t>BRF  ADS5158006   SN23</t>
  </si>
  <si>
    <t>BRF  ADS5151835   23R3</t>
  </si>
  <si>
    <t>BRF  ADS5158004   SN23</t>
  </si>
  <si>
    <t>PANTSEIG910007536 23L1</t>
  </si>
  <si>
    <t>SWEATEIG910007623 23L2</t>
  </si>
  <si>
    <t>CVRL RED61105-54  23R6</t>
  </si>
  <si>
    <t>CVRL RED61105-57  23R6</t>
  </si>
  <si>
    <t>PT. RUMAH MEBEL NUSANTARA (IKE</t>
  </si>
  <si>
    <t>SHIRTRMNSHAPED LS LC23</t>
  </si>
  <si>
    <t>SHIRTRMNSHAPED SS LC23</t>
  </si>
  <si>
    <t>SHIRTRMNSTRAIGHT SLC23</t>
  </si>
  <si>
    <t>CVRL RED61105-57  23R7</t>
  </si>
  <si>
    <t>BRF  ADS5152355   23R7</t>
  </si>
  <si>
    <t>BRF  ADS5152370   23R4</t>
  </si>
  <si>
    <t>BRF  ADS5153205   23R6</t>
  </si>
  <si>
    <t>BRF  ADS5153207   23R6</t>
  </si>
  <si>
    <t>BRF  ADS5157996   SN23</t>
  </si>
  <si>
    <t>BRF  ADS5152367   23R5</t>
  </si>
  <si>
    <t>BRF  ADS5152367XXL23R1</t>
  </si>
  <si>
    <t>BRF  ADS5152376   23R5</t>
  </si>
  <si>
    <t>BRF  ADS5152388   23R5</t>
  </si>
  <si>
    <t>BRF  ADS5152388XXL23R3</t>
  </si>
  <si>
    <t>BRF  ADS5153205   23R5</t>
  </si>
  <si>
    <t>BRF  ADS5154343   23R5</t>
  </si>
  <si>
    <t>BRF  ADS5156858   23R2</t>
  </si>
  <si>
    <t>BRF  ADS5157979   SN23</t>
  </si>
  <si>
    <t>BRF  ADS5157990   SN23</t>
  </si>
  <si>
    <t>BRF  ADS5157991   SN23</t>
  </si>
  <si>
    <t>BRF  ADS5157993   SN23</t>
  </si>
  <si>
    <t>BRF  ADS5156864   23R5</t>
  </si>
  <si>
    <t>BRF  ADS5156864XXL23R3</t>
  </si>
  <si>
    <t>BRF  ADS5156871   23R5</t>
  </si>
  <si>
    <t>BRF  ADS5156871XXL23R2</t>
  </si>
  <si>
    <t>BRF  ADS5157291   23R4</t>
  </si>
  <si>
    <t>BRF  ADS5157291XXL23R2</t>
  </si>
  <si>
    <t>BRF  ADS5157997   SN23</t>
  </si>
  <si>
    <t>BRF  ADS5157997XXLSN23</t>
  </si>
  <si>
    <t>BRF  ADS5152357   23R7</t>
  </si>
  <si>
    <t>BRF  ADS5152357XXLSN23</t>
  </si>
  <si>
    <t>BRF  ADS5152366   23R3</t>
  </si>
  <si>
    <t>BRF  ADS5152382   23R4</t>
  </si>
  <si>
    <t>BRF  ADS5154404   23R3</t>
  </si>
  <si>
    <t>BRF  ADS5154404XXL23R1</t>
  </si>
  <si>
    <t>BRF  ADS5158003   SN23</t>
  </si>
  <si>
    <t>BRF  ADS5152355   23R5</t>
  </si>
  <si>
    <t>BRF  ADS5152355   23R6</t>
  </si>
  <si>
    <t>BRF  ADS5153202   23R4</t>
  </si>
  <si>
    <t>BRF  ADS5153204   23R4</t>
  </si>
  <si>
    <t>BRF  ADS5155037   23R5</t>
  </si>
  <si>
    <t>BRF  ADS5156853   23R1</t>
  </si>
  <si>
    <t>BRF  ADS5156861   23R4</t>
  </si>
  <si>
    <t>BRF  ADS5157978   SN23</t>
  </si>
  <si>
    <t>BRF  ADS5157981   SN23</t>
  </si>
  <si>
    <t>BRF  ADS5157996XXLSN23</t>
  </si>
  <si>
    <t>BRF  ADS5158009   SN23</t>
  </si>
  <si>
    <t>BRF  ADSGC3032    23R1</t>
  </si>
  <si>
    <t>BOXERHNM700380LH  /S9</t>
  </si>
  <si>
    <t>BOXERHNM700380NH  /S9</t>
  </si>
  <si>
    <t>BOXERHNM700380NLOE/S9</t>
  </si>
  <si>
    <t>BOXERHNM700380OF  /S9</t>
  </si>
  <si>
    <t>BOXERHNM700380OG  /S9</t>
  </si>
  <si>
    <t>BOXERHNM700381DE  /S9</t>
  </si>
  <si>
    <t>BOXERHNM700381PH  /S9</t>
  </si>
  <si>
    <t>BOXERHNM700381VN  /S9</t>
  </si>
  <si>
    <t>BOXERHNM729759CH  /S9</t>
  </si>
  <si>
    <t>BOXERHNM729759CO  /S9</t>
  </si>
  <si>
    <t>BOXERHNM729759DE  /S9</t>
  </si>
  <si>
    <t>BOXERHNM729759EC  /S9</t>
  </si>
  <si>
    <t>BOXERHNM729759ID  /S9</t>
  </si>
  <si>
    <t>BOXERHNM729759IX  /S9</t>
  </si>
  <si>
    <t>BOXERHNM729759ME  /S9</t>
  </si>
  <si>
    <t>BOXERHNM729759MX  /S9</t>
  </si>
  <si>
    <t>BOXERHNM729759NLBE/S9</t>
  </si>
  <si>
    <t>BOXERHNM729759NLPL/S9</t>
  </si>
  <si>
    <t>BOXERHNM729759PA  /S9</t>
  </si>
  <si>
    <t>BOXERHNM729759SE  /S9</t>
  </si>
  <si>
    <t>BOXERHNM729759TR  /S9</t>
  </si>
  <si>
    <t>CRPANMCUG-8015    23R1</t>
  </si>
  <si>
    <t>SPL  MCUCOCOS     NV23</t>
  </si>
  <si>
    <t>LSJCTSMO005003105123R1</t>
  </si>
  <si>
    <t>PANTSSMOB-1761    23R1</t>
  </si>
  <si>
    <t>PANTSSMOB-3263    23R1</t>
  </si>
  <si>
    <t>LPANTMATATW-771   24SS</t>
  </si>
  <si>
    <t>LPANTMATSNW2700   24SS</t>
  </si>
  <si>
    <t>LPANTMATSNW874    24SS</t>
  </si>
  <si>
    <t>SPANTMATATA-893   24SS</t>
  </si>
  <si>
    <t>SPANTMATSA5801    24SS</t>
  </si>
  <si>
    <t>SPANTMATSJRH793   24SS</t>
  </si>
  <si>
    <t>SPANTMATSNA2800   24SS</t>
  </si>
  <si>
    <t>SPANTMATSNA8800   24SS</t>
  </si>
  <si>
    <t>SPANTMATSNA899N   24SS</t>
  </si>
  <si>
    <t>LPANTMATATW-871   24S1</t>
  </si>
  <si>
    <t>LPANTMATSNW1700   24SS</t>
  </si>
  <si>
    <t>LPANTMATSNW1716   24SS</t>
  </si>
  <si>
    <t>LPANTMATSNW-1736  24SS</t>
  </si>
  <si>
    <t>LPANTMATSNW5700   24SS</t>
  </si>
  <si>
    <t>LPANTMATSNW871N   24SS</t>
  </si>
  <si>
    <t>LPANTMATSNW875N   24SS</t>
  </si>
  <si>
    <t>LPANTMATSW5701    24SS</t>
  </si>
  <si>
    <t>JCT  MATATW-831   24SS</t>
  </si>
  <si>
    <t>JCT  MATATW-831Q  24SS</t>
  </si>
  <si>
    <t>JCT  MATSJW-724   24SS</t>
  </si>
  <si>
    <t>JCT  MATSJW-725   24SS</t>
  </si>
  <si>
    <t>JCT  MATSJW-754   24SS</t>
  </si>
  <si>
    <t>JCT  MATSNW3401   24SS</t>
  </si>
  <si>
    <t>JCT  MATSNW6503   24SS</t>
  </si>
  <si>
    <t>JCT  MATSNW714    24SS</t>
  </si>
  <si>
    <t>JCT  MATSNW7511   24SS</t>
  </si>
  <si>
    <t>TSHRTMATSER603S   24SS</t>
  </si>
  <si>
    <t>TSHRTMATSJR301    24SS</t>
  </si>
  <si>
    <t>TSHRTMATSJR612HS  24SS</t>
  </si>
  <si>
    <t>TSHRTMATSJR616S   24SS</t>
  </si>
  <si>
    <t>TSHRTMATSJR-623   24SS</t>
  </si>
  <si>
    <t>TSHRTMATSJR-627   24SS</t>
  </si>
  <si>
    <t>TSHRTMATSNR230S   24SS</t>
  </si>
  <si>
    <t>TSHRTMATSNR301    24SS</t>
  </si>
  <si>
    <t>TSHRTMATSNR301T   24SS</t>
  </si>
  <si>
    <t>TSHRTMATSNR603AS  24SS</t>
  </si>
  <si>
    <t>TSHRTMATSNR612S   24SS</t>
  </si>
  <si>
    <t>TSHRTMATSNR-615   24SS</t>
  </si>
  <si>
    <t>TSHRTMATSNR616S   24SS</t>
  </si>
  <si>
    <t>TSHRTMATSNR626S   24SS</t>
  </si>
  <si>
    <t>JCT  MATAJW-821   24SS</t>
  </si>
  <si>
    <t>JCT  MATATW-823   24SS</t>
  </si>
  <si>
    <t>JCT  MATATW842    24SS</t>
  </si>
  <si>
    <t>JCT  MATSNW216    24SS</t>
  </si>
  <si>
    <t>JCT  MATSNW216L   24SS</t>
  </si>
  <si>
    <t>JCT  MATSNW2500   24SS</t>
  </si>
  <si>
    <t>JCT  MATSNW5500   24SS</t>
  </si>
  <si>
    <t>JCT  MATSNWC824   24SS</t>
  </si>
  <si>
    <t>JCT  MATSW5501    24SS</t>
  </si>
  <si>
    <t>BOXERHNM700380OD  /S9</t>
  </si>
  <si>
    <t>BOXERHNM700380OT  /S9</t>
  </si>
  <si>
    <t>BOXERHNM700380SW  /S9</t>
  </si>
  <si>
    <t>BOXERHNM700381NLBE/S9</t>
  </si>
  <si>
    <t>BOXERHNM700381NLGB/S9</t>
  </si>
  <si>
    <t>BOXERHNM700381TR  /S9</t>
  </si>
  <si>
    <t>BOXERHNM729757LD  /S9</t>
  </si>
  <si>
    <t>BOXERHNM700380OI  /S9</t>
  </si>
  <si>
    <t>BOXERHNM700380OO  /S9</t>
  </si>
  <si>
    <t>BOXERHNM700381MY  /S9</t>
  </si>
  <si>
    <t>FDWR MCU394-90    23R1</t>
  </si>
  <si>
    <t>ROBE MCU255-90    SN23</t>
  </si>
  <si>
    <t>ROBE MCU265-90    SN23</t>
  </si>
  <si>
    <t>HATCKMCUKAWASA 392SN23</t>
  </si>
  <si>
    <t>NKTIEMCU477-91    23R3</t>
  </si>
  <si>
    <t>POUCHMCU393-94    23R2</t>
  </si>
  <si>
    <t>SSVSHMCU8488      SN23</t>
  </si>
  <si>
    <t>TOP  MCU133-71    SN23</t>
  </si>
  <si>
    <t>TOP  MCU133-74    23R1</t>
  </si>
  <si>
    <t>TOP  MCU133-78    23R3</t>
  </si>
  <si>
    <t>TOP  MCU133-92    23R1</t>
  </si>
  <si>
    <t>TOP  MCU136-91    SN23</t>
  </si>
  <si>
    <t>LSL  EIG910007644 LC23</t>
  </si>
  <si>
    <t>SHIRTEIG910007674 LC23</t>
  </si>
  <si>
    <t>JOG  MOTFB911     AW23</t>
  </si>
  <si>
    <t>LEG  MOTFA885     AW23</t>
  </si>
  <si>
    <t>SSTSHMOTFB914     AW23</t>
  </si>
  <si>
    <t>SSTSHMOTFB935     AW23</t>
  </si>
  <si>
    <t>TSHRTMOTFA785     AW23</t>
  </si>
  <si>
    <t>TSHRTMFL08330     24SS</t>
  </si>
  <si>
    <t>SPANTMFL24336     SU24</t>
  </si>
  <si>
    <t>TSHRTMFL08321     24SS</t>
  </si>
  <si>
    <t>TSHRTMFL34321     24SS</t>
  </si>
  <si>
    <t>TSHRTMFL38321     24SS</t>
  </si>
  <si>
    <t>TSHRTMFL44370N    24SS</t>
  </si>
  <si>
    <t>BRF  ADS5152361   23R5</t>
  </si>
  <si>
    <t>BRF  ADS5153202   23R5</t>
  </si>
  <si>
    <t>BRF  ADS5153203   23R6</t>
  </si>
  <si>
    <t>BRF  ADS5153205   23R7</t>
  </si>
  <si>
    <t>BRF  ADS5157976   SN23</t>
  </si>
  <si>
    <t>BRF  ADS5157976XXLSN23</t>
  </si>
  <si>
    <t>BRF  ADS5158001   SN23</t>
  </si>
  <si>
    <t>BRF  ADS5158001XXLSN23</t>
  </si>
  <si>
    <t>BRF  ADS5158037   23R3</t>
  </si>
  <si>
    <t>BRF  ADS5158041   23R3</t>
  </si>
  <si>
    <t>BRF  ADS5158042   23R3</t>
  </si>
  <si>
    <t>BRF  ADS5158043   23R4</t>
  </si>
  <si>
    <t>BRF  ADS5152361   23R7</t>
  </si>
  <si>
    <t>BRF  ADS5152361XXL23R3</t>
  </si>
  <si>
    <t>BRF  ADS5155034   23R6</t>
  </si>
  <si>
    <t>BRF  ADS5152354   23R1</t>
  </si>
  <si>
    <t>BRF  ADS5152370   23R6</t>
  </si>
  <si>
    <t>BRF  ADS5155370   23R5</t>
  </si>
  <si>
    <t>BRF  ADS5157978   23R1</t>
  </si>
  <si>
    <t>BRF  ADS5157978XXL23R1</t>
  </si>
  <si>
    <t>BRF  ADS5157983XXLSN23</t>
  </si>
  <si>
    <t>BRF  ADS5157985   23R1</t>
  </si>
  <si>
    <t>BRF  ADS5157985XXL23R1</t>
  </si>
  <si>
    <t>BRF  ADS5157993   23R1</t>
  </si>
  <si>
    <t>BRF  ADS5157994   23R1</t>
  </si>
  <si>
    <t>BRF  ADS5157994   SN23</t>
  </si>
  <si>
    <t>BRF  ADS5157994XXLSN23</t>
  </si>
  <si>
    <t>BRF  ADS5157982   SN23</t>
  </si>
  <si>
    <t>BRF  ADS5157998   SN23</t>
  </si>
  <si>
    <t>TATO ADS5157998   23R1</t>
  </si>
  <si>
    <t>BRF  ADS5152387   SN23</t>
  </si>
  <si>
    <t>BRF  ADS5158004XXLSN23</t>
  </si>
  <si>
    <t>BRF  ADS5158005   SN23</t>
  </si>
  <si>
    <t>SSVSHBSI3SC005    LC23</t>
  </si>
  <si>
    <t>LPANTHEX3186      S24</t>
  </si>
  <si>
    <t>BRF  ADS5152376   23R6</t>
  </si>
  <si>
    <t>BRF  ADS5152376XXL23R4</t>
  </si>
  <si>
    <t>BRF  ADS5152388   23R7</t>
  </si>
  <si>
    <t>BRF  ADS5157979   23R1</t>
  </si>
  <si>
    <t>BRF  ADS5157990   23R1</t>
  </si>
  <si>
    <t>BRF  ADS5158009   23R1</t>
  </si>
  <si>
    <t>BRF  ADS5158009XXL23R1</t>
  </si>
  <si>
    <t>BRF  ADS5152367   23R7</t>
  </si>
  <si>
    <t>BRF  ADS5152378   23R7</t>
  </si>
  <si>
    <t>BRF  ADS5155034   23R5</t>
  </si>
  <si>
    <t>BRF  ADS5156187   23R5</t>
  </si>
  <si>
    <t>BRF  ADS5156187XXL23R3</t>
  </si>
  <si>
    <t>BRF  ADS5157977   23R1</t>
  </si>
  <si>
    <t>BRF  ADS5157977   SN23</t>
  </si>
  <si>
    <t>BRF  ADS5157977XXL23R1</t>
  </si>
  <si>
    <t>BRF  ADS5157977XXLSN23</t>
  </si>
  <si>
    <t>BRF  ADS5157980   SN23</t>
  </si>
  <si>
    <t>BRF  ADS5157980XXLSN23</t>
  </si>
  <si>
    <t>BRF  ADS5157984   23R1</t>
  </si>
  <si>
    <t>BRF  ADS5157984   SN23</t>
  </si>
  <si>
    <t>BRF  ADS5157991XXLSN23</t>
  </si>
  <si>
    <t>BRF  ADS5157992   23R1</t>
  </si>
  <si>
    <t>BRF  ADS5157992XXL23R1</t>
  </si>
  <si>
    <t>BRF  ADS5158007   23R1</t>
  </si>
  <si>
    <t>BRF  ADS5158007   SN23</t>
  </si>
  <si>
    <t>BRF  ADS5158007XXL23R1</t>
  </si>
  <si>
    <t>BRF  ADS5158007XXLSN23</t>
  </si>
  <si>
    <t>BRF  ADS5157976   23R1</t>
  </si>
  <si>
    <t>BRF  ADS5157976XXL23R1</t>
  </si>
  <si>
    <t>BRF  ADS5157985   SN23</t>
  </si>
  <si>
    <t>BRF  ADS5157985XXLSN23</t>
  </si>
  <si>
    <t>BRF  ADS5157991   23R1</t>
  </si>
  <si>
    <t>BRF  ADS5157992   SN23</t>
  </si>
  <si>
    <t>BRF  ADS5157992XXLSN23</t>
  </si>
  <si>
    <t>BRF  ADS5158002   SN23</t>
  </si>
  <si>
    <t>BRF  ADS5158002XXLSN23</t>
  </si>
  <si>
    <t>BRF  ADS5157987   SN23</t>
  </si>
  <si>
    <t>BRF  ADS5157987XXLSN23</t>
  </si>
  <si>
    <t>BRF  ADS5158001   23R1</t>
  </si>
  <si>
    <t>BRF  ADS5158001XXL23R1</t>
  </si>
  <si>
    <t>BRF  ADS5158003   23R1</t>
  </si>
  <si>
    <t>BRF  ADS5158003XXL23R1</t>
  </si>
  <si>
    <t>BRF  ADS5158003XXLSN23</t>
  </si>
  <si>
    <t>BRF  ADS5152355   23R8</t>
  </si>
  <si>
    <t>BRF  ADS5152358   23R6</t>
  </si>
  <si>
    <t>BRF  ADS5152358XXL23R5</t>
  </si>
  <si>
    <t>BRF  ADS5152361   23R6</t>
  </si>
  <si>
    <t>BRF  ADS5157978XXLSN23</t>
  </si>
  <si>
    <t>BRF  ADS5157981   23R1</t>
  </si>
  <si>
    <t>BRF  ADS5157996   23R1</t>
  </si>
  <si>
    <t>BRF  ADS5157996XXL23R1</t>
  </si>
  <si>
    <t>BRF  ADS5157997   23R1</t>
  </si>
  <si>
    <t>BRF  ADS5158009XXLSN23</t>
  </si>
  <si>
    <t>JCT  MCUGA-3930   SN24</t>
  </si>
  <si>
    <t>PANTSMCUG-8013    SN23</t>
  </si>
  <si>
    <t>CRPANMCUGA-3935   SN24</t>
  </si>
  <si>
    <t>TOP  MCU133-83    23R3</t>
  </si>
  <si>
    <t>TOP  MCU133-85    23R3</t>
  </si>
  <si>
    <t>TOP  MCU133-98    23R4</t>
  </si>
  <si>
    <t>JCT  SMO005003091123R1</t>
  </si>
  <si>
    <t>JCT  MATSNW6500   24S1</t>
  </si>
  <si>
    <t>JCT  MATSNW6504   24S1</t>
  </si>
  <si>
    <t>JCT  MATSNW849    24SS</t>
  </si>
  <si>
    <t>JCT  MATSNW8501   24SS</t>
  </si>
  <si>
    <t>LPANTMAT1R1A710   24SS</t>
  </si>
  <si>
    <t>SPANTMATSNA1800   24SS</t>
  </si>
  <si>
    <t>LPANTMATSNW1707   24SS</t>
  </si>
  <si>
    <t>LPANTMATSNW8700   24SS</t>
  </si>
  <si>
    <t>LPANTMATSNW8701   24SS</t>
  </si>
  <si>
    <t>LPANTMATSNW874F   24SS</t>
  </si>
  <si>
    <t>LPANTMATSNW879N   24SS</t>
  </si>
  <si>
    <t>LPANTMATSNWC879   24SS</t>
  </si>
  <si>
    <t>LPANTMATSW5701Q   24SS</t>
  </si>
  <si>
    <t>JCT  MAT1RCA710   24SS</t>
  </si>
  <si>
    <t>JCT  MAT1RSV720   24SS</t>
  </si>
  <si>
    <t>JCT  MATATW-721   24SS</t>
  </si>
  <si>
    <t>JCT  MATATW-821   24S1</t>
  </si>
  <si>
    <t>JCT  MATATW-843   24SS</t>
  </si>
  <si>
    <t>JCT  MATATW-843Q  24SS</t>
  </si>
  <si>
    <t>JCT  MATSNW7402   24S1</t>
  </si>
  <si>
    <t>JCT  MATSNW7410   24S1</t>
  </si>
  <si>
    <t>JCT  MATSNW8200   24SS</t>
  </si>
  <si>
    <t>JCT  MATSNWB824D  24SS</t>
  </si>
  <si>
    <t>JCT  MATSNWE829   24SS</t>
  </si>
  <si>
    <t>PSHRTMATSNR310    24SS</t>
  </si>
  <si>
    <t>TSHRTMAT9A010OW   24SS</t>
  </si>
  <si>
    <t>TSHRTMATSNR111    24S1</t>
  </si>
  <si>
    <t>TSHRTMATSNR112    24S1</t>
  </si>
  <si>
    <t>TSHRTMATSNR300    24SS</t>
  </si>
  <si>
    <t>TSHRTMATSNR301T2  24SS</t>
  </si>
  <si>
    <t>TSHRTMATSNR303    24SS</t>
  </si>
  <si>
    <t>TSHRTMATSNR330    24SS</t>
  </si>
  <si>
    <t>TSHRTMATSTC301    24SS</t>
  </si>
  <si>
    <t>JCT  MATATW-821Q  24SS</t>
  </si>
  <si>
    <t>JCT  MATS824AA    24SS</t>
  </si>
  <si>
    <t>JCT  MATSNW5400   24SS</t>
  </si>
  <si>
    <t>JCT  MATSNW6503   24S1</t>
  </si>
  <si>
    <t>JCT  MATSNW7404   24SS</t>
  </si>
  <si>
    <t>JCT  MATSNW7502   24S1</t>
  </si>
  <si>
    <t>JCT  MATSNW821N   24SS</t>
  </si>
  <si>
    <t>JCT  MATSNWB824   24SS</t>
  </si>
  <si>
    <t>AKUR PRATAMA, PT</t>
  </si>
  <si>
    <t>BOXERYGALIQUID2023LC23</t>
  </si>
  <si>
    <t>BOXERHNM700381TH  /S9</t>
  </si>
  <si>
    <t>BOXERHNM729759JP  /S9</t>
  </si>
  <si>
    <t>BOXERHNM729759KR  /S9</t>
  </si>
  <si>
    <t>BOXERHNM729759MY  /S9</t>
  </si>
  <si>
    <t>BOXERHNM729759TH  /S9</t>
  </si>
  <si>
    <t>FDWR MCU397-91    23R2</t>
  </si>
  <si>
    <t>FDWR MCU397-92    23R1</t>
  </si>
  <si>
    <t>FDWR MCU397-93    SN23</t>
  </si>
  <si>
    <t>FDWR MCU397-94    23R2</t>
  </si>
  <si>
    <t>JCT  MCUZ7860024  23R1</t>
  </si>
  <si>
    <t>HATCKMCU392-93    SN23</t>
  </si>
  <si>
    <t>PANTSMCU155-91    23R4</t>
  </si>
  <si>
    <t>POUCHMCU393-92    23R2</t>
  </si>
  <si>
    <t>TOP  MCU133-91    23R4</t>
  </si>
  <si>
    <t>PANTSMCU155-67    SN23</t>
  </si>
  <si>
    <t>PANTSMCU155-78    23R4</t>
  </si>
  <si>
    <t>PANTSMCU155-92    SN23</t>
  </si>
  <si>
    <t>PANTSMCU155-98    23R4</t>
  </si>
  <si>
    <t>PANTSMFL24MN301   SU24</t>
  </si>
  <si>
    <t>JOG  MOTFC576     AW23</t>
  </si>
  <si>
    <t>LSTSHMOTFC596     AW23</t>
  </si>
  <si>
    <t>PANTSMFL27MN301   SU24</t>
  </si>
  <si>
    <t>TSHRTMFL34330     24SS</t>
  </si>
  <si>
    <t>TSHRTMFL34380N    24SS</t>
  </si>
  <si>
    <t>TSHRTMFL08319     24SS</t>
  </si>
  <si>
    <t>TSHRTMFL34319     24SS</t>
  </si>
  <si>
    <t>BRF  ADS5151821   23R7</t>
  </si>
  <si>
    <t>BRF  ADS5151835   23R4</t>
  </si>
  <si>
    <t>BRF  ADS5151835XXL23R4</t>
  </si>
  <si>
    <t>BRF  ADS5152355   23R9</t>
  </si>
  <si>
    <t>BRF  ADS5152355XXL23R2</t>
  </si>
  <si>
    <t>BRF  ADS5152376   23R7</t>
  </si>
  <si>
    <t>BRF  ADS5152376   SN24</t>
  </si>
  <si>
    <t>BRF  ADS5152378   23R8</t>
  </si>
  <si>
    <t>BRF  ADS5155037   23R6</t>
  </si>
  <si>
    <t>BRF  ADS5157987   23R2</t>
  </si>
  <si>
    <t>BRF  ADS5158042   23R4</t>
  </si>
  <si>
    <t>BRF  ADS5152376XXLSN24</t>
  </si>
  <si>
    <t>BRF  ADS5152370   23R7</t>
  </si>
  <si>
    <t>BRF  ADS5152370XXLSN23</t>
  </si>
  <si>
    <t>BRF  ADS5155370   23R6</t>
  </si>
  <si>
    <t>BRF  ADS5158038   23R1</t>
  </si>
  <si>
    <t>BRF  ADS5158039   23R2</t>
  </si>
  <si>
    <t>BRF  ADS5158044   23R2</t>
  </si>
  <si>
    <t>BRF  ADS5158058   SN23</t>
  </si>
  <si>
    <t>BRF  ADS5152388   23R8</t>
  </si>
  <si>
    <t>BRF  ADS5152354   23R2</t>
  </si>
  <si>
    <t>BRF  ADS5156185   23R5</t>
  </si>
  <si>
    <t>BRF  ADS5156853   23R2</t>
  </si>
  <si>
    <t>BRF  ADS5156861   23R6</t>
  </si>
  <si>
    <t>BRF  ADS5156870   23R6</t>
  </si>
  <si>
    <t>BRF  ADS5157985   23R2</t>
  </si>
  <si>
    <t>BRF  ADS5157994   23R2</t>
  </si>
  <si>
    <t>BRF  ADS5157994XXL23R1</t>
  </si>
  <si>
    <t>CNECK</t>
  </si>
  <si>
    <t>CNECKADS5157982   23R1</t>
  </si>
  <si>
    <t>CNECKADS5157982   23R2</t>
  </si>
  <si>
    <t>TATO ADS5157998   23R2</t>
  </si>
  <si>
    <t>TATO ADS5158006   23R1</t>
  </si>
  <si>
    <t>TATO ADS5158006   23R2</t>
  </si>
  <si>
    <t>LPANTHEX3187      S24</t>
  </si>
  <si>
    <t>LPANTHEX3210      S24</t>
  </si>
  <si>
    <t>SPANTHEX3189      S24</t>
  </si>
  <si>
    <t>SPANTHEX3190      S24</t>
  </si>
  <si>
    <t>HDRKR</t>
  </si>
  <si>
    <t>HDRKRHEX3527      S24</t>
  </si>
  <si>
    <t>SPANTHEX3211      S24</t>
  </si>
  <si>
    <t>SPANTHEX3212      S24</t>
  </si>
  <si>
    <t>RED WING SHOE COMPANY</t>
  </si>
  <si>
    <t>CVRL RED61805-55  SN23</t>
  </si>
  <si>
    <t>CVRL RED61805-54  23R7</t>
  </si>
  <si>
    <t>CVRL RED61805-57  23R8</t>
  </si>
  <si>
    <t>BRF  ADS5151824   23R6</t>
  </si>
  <si>
    <t>BRF  ADS5153203   23R7</t>
  </si>
  <si>
    <t>BRF  ADS5153205   23R8</t>
  </si>
  <si>
    <t>BRF  ADS5153211   23R4</t>
  </si>
  <si>
    <t>BRF  ADS5153211   SN24</t>
  </si>
  <si>
    <t>BRF  ADS5156194   23R2</t>
  </si>
  <si>
    <t>BRF  ADS5152355   SN24</t>
  </si>
  <si>
    <t>BRF  ADS5155037   SN24</t>
  </si>
  <si>
    <t>BRF  ADS5156187   SN24</t>
  </si>
  <si>
    <t>BRF  ADS5157977   23R2</t>
  </si>
  <si>
    <t>BRF  ADS5157980   23R1</t>
  </si>
  <si>
    <t>BRF  ADS5157980   23R2</t>
  </si>
  <si>
    <t>BRF  ADS5157980XXL23R1</t>
  </si>
  <si>
    <t>BRF  ADS5157980XXL23R2</t>
  </si>
  <si>
    <t>BRF  ADS5157983   23R1</t>
  </si>
  <si>
    <t>BRF  ADS5157983   23R2</t>
  </si>
  <si>
    <t>BRF  ADS5157983XXL23R1</t>
  </si>
  <si>
    <t>BRF  ADS5157984   23R2</t>
  </si>
  <si>
    <t>BRF  ADS5157990   23R2</t>
  </si>
  <si>
    <t>BRF  ADS5157991   23R2</t>
  </si>
  <si>
    <t>BRF  ADS5157991XXL23R2</t>
  </si>
  <si>
    <t>BRF  ADS5157992   23R2</t>
  </si>
  <si>
    <t>BRF  ADS5157993   23R2</t>
  </si>
  <si>
    <t>BRF  ADS5157996   23R2</t>
  </si>
  <si>
    <t>BRF  ADS5158004   23R1</t>
  </si>
  <si>
    <t>BRF  ADS5158007   23R2</t>
  </si>
  <si>
    <t>BRF  ADS5158008   SN23</t>
  </si>
  <si>
    <t>BRF  ADS5158043   23R5</t>
  </si>
  <si>
    <t>BRF  ADS5152361   SN24</t>
  </si>
  <si>
    <t>BRF  ADS5157986   SN23</t>
  </si>
  <si>
    <t>BRF  ADS5157986XXLSN23</t>
  </si>
  <si>
    <t>BRF  ADS5157991XXL23R1</t>
  </si>
  <si>
    <t>BRF  ADS5157997   23R2</t>
  </si>
  <si>
    <t>BRF  ADS5158037   23R4</t>
  </si>
  <si>
    <t>BRF  ADS5153207   23R7</t>
  </si>
  <si>
    <t>BRF  ADS5157987   23R1</t>
  </si>
  <si>
    <t>BRF  ADS5157987XXL23R1</t>
  </si>
  <si>
    <t>BRF  ADS5158003   23R2</t>
  </si>
  <si>
    <t>BRF  ADS5152358   SN24</t>
  </si>
  <si>
    <t>BRF  ADS5152387   SN24</t>
  </si>
  <si>
    <t>BRF  ADS5153202   23R6</t>
  </si>
  <si>
    <t>BRF  ADS5153204   23R5</t>
  </si>
  <si>
    <t>BRF  ADS5156185   SN24</t>
  </si>
  <si>
    <t>BRF  ADS5156861   23R5</t>
  </si>
  <si>
    <t>BRF  ADS5156870   23R5</t>
  </si>
  <si>
    <t>BRF  ADS5157976   23R2</t>
  </si>
  <si>
    <t>BRF  ADS5157978   23R2</t>
  </si>
  <si>
    <t>BRF  ADS5157997XXL23R1</t>
  </si>
  <si>
    <t>BRF  ADS5158001   23R2</t>
  </si>
  <si>
    <t>BRF  ADS5158009   23R2</t>
  </si>
  <si>
    <t>BRF  ADS5158041   23R4</t>
  </si>
  <si>
    <t>BRF  ADSGB4297    23R1</t>
  </si>
  <si>
    <t>BRF  ADS5152358XXLSN24</t>
  </si>
  <si>
    <t>BRF  ADS5157979   23R2</t>
  </si>
  <si>
    <t>BRF  ADS5157996XXL23R2</t>
  </si>
  <si>
    <t>SPANTMCUGA-3936   SN23</t>
  </si>
  <si>
    <t>SPANTMATSA5801Q   24SS</t>
  </si>
  <si>
    <t>SPANTMATSNA6802   24S1</t>
  </si>
  <si>
    <t>SPANTMATSNA6804   24S1</t>
  </si>
  <si>
    <t>SPANTMATSNA6888   24S1</t>
  </si>
  <si>
    <t>SPANTMATSNA7810   24S1</t>
  </si>
  <si>
    <t>LPANTMATATW-870   24SS</t>
  </si>
  <si>
    <t>LPANTMATMIW177    24S1</t>
  </si>
  <si>
    <t>LPANTMATSNW6702   24S1</t>
  </si>
  <si>
    <t>LPANTMATSNW6704   24S1</t>
  </si>
  <si>
    <t>LPANTMATSNW7702   24S1</t>
  </si>
  <si>
    <t>SPANTMATATA-850   24SS</t>
  </si>
  <si>
    <t>SPANTMATATA-891Q  24SS</t>
  </si>
  <si>
    <t>SPANTMATATA-892   24SS</t>
  </si>
  <si>
    <t>JCT  MATSNW1500   24SS</t>
  </si>
  <si>
    <t>JCT  MATSNW7400   24S1</t>
  </si>
  <si>
    <t>JCT  MATSNW7412   24S1</t>
  </si>
  <si>
    <t>JCT  MATSNWE520   24SS</t>
  </si>
  <si>
    <t>JCT  MATSW5202Q   24SS</t>
  </si>
  <si>
    <t>SPANTMATSNA7800   24S1</t>
  </si>
  <si>
    <t>TSHRTMATSNR110    24S1</t>
  </si>
  <si>
    <t>JCT  MATSNW6403   24S1</t>
  </si>
  <si>
    <t>JCT  MATSNW7202   24S1</t>
  </si>
  <si>
    <t>JCT  MATSNW7500   24S1</t>
  </si>
  <si>
    <t>BOXERHNM759512JP  /S9</t>
  </si>
  <si>
    <t>BOXERHNM787584NH  /S9</t>
  </si>
  <si>
    <t>BOXERHNM787584NLOE/S9</t>
  </si>
  <si>
    <t>BOXERHNM787584OD  /S9</t>
  </si>
  <si>
    <t>BOXERHNM787584OF  /S9</t>
  </si>
  <si>
    <t>BOXERHNM787584OG  /S9</t>
  </si>
  <si>
    <t>BOXERHNM787584OI  /S9</t>
  </si>
  <si>
    <t>BOXERHNM787584OJ  /S9</t>
  </si>
  <si>
    <t>BOXERHNM787584OK  /S9</t>
  </si>
  <si>
    <t>BOXERHNM787584OO  /S9</t>
  </si>
  <si>
    <t>BOXERHNM787584OT  /S9</t>
  </si>
  <si>
    <t>BOXERHNM787584SW  /S9</t>
  </si>
  <si>
    <t>BOXERHNM797915NLOE/S9</t>
  </si>
  <si>
    <t>BOXERHNM797915OD  /S9</t>
  </si>
  <si>
    <t>BOXERHNM797915OF  /S9</t>
  </si>
  <si>
    <t>BOXERHNM797915OT  /S9</t>
  </si>
  <si>
    <t>BOXERHNM797915SW  /S9</t>
  </si>
  <si>
    <t>PANTSMCUZ7860025  SN23</t>
  </si>
  <si>
    <t>CAP  MCUKZN392-80 SN24</t>
  </si>
  <si>
    <t>TOP  MCU133-67    23R1</t>
  </si>
  <si>
    <t>TOP  MCU133-73    SN23</t>
  </si>
  <si>
    <t>TOP  MCU133-78    23R4</t>
  </si>
  <si>
    <t>TOP  MCU133-95    23R4</t>
  </si>
  <si>
    <t>TOP  MCU133-99    23R2</t>
  </si>
  <si>
    <t>PANTSMCU155-99    23R3</t>
  </si>
  <si>
    <t>PANTSMFL28MN301   SU24</t>
  </si>
  <si>
    <t>PANTSMFL57MN301   SU24</t>
  </si>
  <si>
    <t>PSHRTMFL07ML301   SU24</t>
  </si>
  <si>
    <t>PANTSMFL24M-G2803 SU24</t>
  </si>
  <si>
    <t>PANTSMFL24M-G5401 SU24</t>
  </si>
  <si>
    <t>PSHRTMFL37ML301   SU24</t>
  </si>
  <si>
    <t>BRF  ADS5152370   SN24</t>
  </si>
  <si>
    <t>BRF  ADS5152376   24R1</t>
  </si>
  <si>
    <t>BRF  ADS5152378   24R1</t>
  </si>
  <si>
    <t>BRF  ADS5152388   SN24</t>
  </si>
  <si>
    <t>BRF  ADS5155370   SN24</t>
  </si>
  <si>
    <t>BRF  ADS5158037   SN24</t>
  </si>
  <si>
    <t>BRF  ADS5158038   SN24</t>
  </si>
  <si>
    <t>BRF  ADS5158039   SN24</t>
  </si>
  <si>
    <t>BRF  ADS5158043   SN24</t>
  </si>
  <si>
    <t>BRF  ADS5158044   SN24</t>
  </si>
  <si>
    <t>BRF  ADS5158058   SN24</t>
  </si>
  <si>
    <t>BRF  ADS5158042   SN24</t>
  </si>
  <si>
    <t>BRF  ADS5152376XXL24R1</t>
  </si>
  <si>
    <t>BRF  ADS5152370   24R1</t>
  </si>
  <si>
    <t>BRF  ADS5152387   24R1</t>
  </si>
  <si>
    <t>BRF  ADS5153202   SN24</t>
  </si>
  <si>
    <t>BRF  ADS5153204   SN24</t>
  </si>
  <si>
    <t>BRF  ADS5155370   24R1</t>
  </si>
  <si>
    <t>BRF  ADS5157985   SN24</t>
  </si>
  <si>
    <t>BRF  ADS5157985XXLSN24</t>
  </si>
  <si>
    <t>BRF  ADS5157994   SN24</t>
  </si>
  <si>
    <t>BRF  ADS5157994XXLSN24</t>
  </si>
  <si>
    <t>BRF  ADS5158002   SN24</t>
  </si>
  <si>
    <t>CNECKADS5157982   SN24</t>
  </si>
  <si>
    <t>TATO ADS5157998   SN24</t>
  </si>
  <si>
    <t>LPANTHEX3209      1S24</t>
  </si>
  <si>
    <t>LPANTHEX3209      S24</t>
  </si>
  <si>
    <t>LSPANHEX3067      S24</t>
  </si>
  <si>
    <t>SPANTHEX3212      1S24</t>
  </si>
  <si>
    <t>LPANTHEX3210      1S24</t>
  </si>
  <si>
    <t>PT MERDEKA COOPER GOLD</t>
  </si>
  <si>
    <t>UNIFMBTRMMS_1     LC23</t>
  </si>
  <si>
    <t>CVRL RED61805-53  23R1</t>
  </si>
  <si>
    <t>CVRL RED61105-57  23R8</t>
  </si>
  <si>
    <t>CVRL RED61805-54  23R8</t>
  </si>
  <si>
    <t>CVRL RED61805-57  23R1</t>
  </si>
  <si>
    <t>CVRL RED61805-57  23R9</t>
  </si>
  <si>
    <t>BRF  ADS5153205   SN24</t>
  </si>
  <si>
    <t>BRF  ADS5153207   SN24</t>
  </si>
  <si>
    <t>BRF  ADS5156194   SN24</t>
  </si>
  <si>
    <t>BRF  ADS5156858   SN24</t>
  </si>
  <si>
    <t>BRF  ADS5158042   24R1</t>
  </si>
  <si>
    <t>BRF  ADS5152388   24R1</t>
  </si>
  <si>
    <t>BRF  ADS5152388XXLSN24</t>
  </si>
  <si>
    <t>BRF  ADS5155034   SN24</t>
  </si>
  <si>
    <t>BRF  ADS5157976   SN24</t>
  </si>
  <si>
    <t>BRF  ADS5157977   SN24</t>
  </si>
  <si>
    <t>BRF  ADS5157983   SN24</t>
  </si>
  <si>
    <t>BRF  ADS5157983XXLSN24</t>
  </si>
  <si>
    <t>BRF  ADS5157991   SN24</t>
  </si>
  <si>
    <t>BRF  ADS5157991XXLSN24</t>
  </si>
  <si>
    <t>BRF  ADS5157992   SN24</t>
  </si>
  <si>
    <t>BRF  ADS5157992XXLSN24</t>
  </si>
  <si>
    <t>BRF  ADS5158001   SN24</t>
  </si>
  <si>
    <t>BRF  ADS5158001XXLSN24</t>
  </si>
  <si>
    <t>BRF  ADS5158007   SN24</t>
  </si>
  <si>
    <t>BRF  ADS5158007XXLSN24</t>
  </si>
  <si>
    <t>BRF  ADS5158009   SN24</t>
  </si>
  <si>
    <t>BRF  ADS5158037   24R1</t>
  </si>
  <si>
    <t>BRF  ADS5158043   24R1</t>
  </si>
  <si>
    <t>BRF  ADS5158059   SN24</t>
  </si>
  <si>
    <t>BRF  ADS5151821   24R1</t>
  </si>
  <si>
    <t>BRF  ADS5151821XXLSN24</t>
  </si>
  <si>
    <t>BRF  ADS5151835   24R1</t>
  </si>
  <si>
    <t>BRF  ADS5152367   SN24</t>
  </si>
  <si>
    <t>BRF  ADS5157978   SN24</t>
  </si>
  <si>
    <t>BRF  ADS5157978XXLSN24</t>
  </si>
  <si>
    <t>BRF  ADS5157981   SN24</t>
  </si>
  <si>
    <t>BRF  ADS5157997   SN24</t>
  </si>
  <si>
    <t>BRF  ADS5152378   SN24</t>
  </si>
  <si>
    <t>BRF  ADS5152378XXLSN24</t>
  </si>
  <si>
    <t>BRF  ADS5157987   SN24</t>
  </si>
  <si>
    <t>BRF  ADS5157987XXLSN24</t>
  </si>
  <si>
    <t>BRF  ADS5157989   SN24</t>
  </si>
  <si>
    <t>BRF  ADS5157989XXLSN24</t>
  </si>
  <si>
    <t>BRF  ADS5157996   24R1</t>
  </si>
  <si>
    <t>BRF  ADS5158003   SN24</t>
  </si>
  <si>
    <t>BRF  ADS5158009   24R1</t>
  </si>
  <si>
    <t>BRF  ADS5151816   SN24</t>
  </si>
  <si>
    <t>BRF  ADS5151821   SN24</t>
  </si>
  <si>
    <t>BRF  ADS5151824   SN24</t>
  </si>
  <si>
    <t>BRF  ADS5151824XXLSN24</t>
  </si>
  <si>
    <t>BRF  ADS5151835   SN24</t>
  </si>
  <si>
    <t>BRF  ADS5153204   24R1</t>
  </si>
  <si>
    <t>BRF  ADS5153211   24R1</t>
  </si>
  <si>
    <t>BRF  ADS5156853   SN24</t>
  </si>
  <si>
    <t>BRF  ADS5156861   SN24</t>
  </si>
  <si>
    <t>BRF  ADS5156870   SN24</t>
  </si>
  <si>
    <t>BRF  ADS5157996   SN24</t>
  </si>
  <si>
    <t>BRF  ADS5157996XXLSN24</t>
  </si>
  <si>
    <t>BRF  ADSIQ5505    SN24</t>
  </si>
  <si>
    <t>BRF  ADSIR1039    SN24</t>
  </si>
  <si>
    <t>BRF  ADS5151816   24R1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</si>
</sst>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1"/>
    <xf numFmtId="3" fontId="0" fillId="0" borderId="0" xfId="0" applyNumberFormat="1"/>
    <xf numFmtId="40" fontId="0" fillId="0" borderId="0" xfId="0" applyNumberFormat="1"/>
    <xf numFmtId="38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center"/>
    </xf>
    <xf numFmtId="3" fontId="2" fillId="2" borderId="1" xfId="0" applyNumberFormat="1" applyFont="1" applyFill="1" applyBorder="1"/>
    <xf numFmtId="40" fontId="2" fillId="2" borderId="1" xfId="0" applyNumberFormat="1" applyFont="1" applyFill="1" applyBorder="1"/>
    <xf numFmtId="38" fontId="2" fillId="2" borderId="1" xfId="0" applyNumberFormat="1" applyFont="1" applyFill="1" applyBorder="1"/>
    <xf numFmtId="0" fontId="2" fillId="0" borderId="0" xfId="0" applyFont="1"/>
    <xf numFmtId="0" fontId="0" fillId="0" borderId="1" xfId="0" applyBorder="1"/>
    <xf numFmtId="0" fontId="0" fillId="0" borderId="1" xfId="0" applyBorder="1" applyAlignment="1">
      <alignment horizontal="center"/>
    </xf>
    <xf numFmtId="3" fontId="0" fillId="0" borderId="1" xfId="0" applyNumberFormat="1" applyBorder="1"/>
    <xf numFmtId="40" fontId="0" fillId="0" borderId="1" xfId="0" applyNumberFormat="1" applyBorder="1"/>
    <xf numFmtId="38" fontId="0" fillId="0" borderId="1" xfId="0" applyNumberFormat="1" applyBorder="1"/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SUMMARY" TargetMode="External"/><Relationship Id="rId1" Type="http://schemas.openxmlformats.org/officeDocument/2006/relationships/hyperlink" Target="REPOR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A1D6C-C09D-433B-A32A-99958298AA7C}">
  <sheetPr codeName="Sheet1"/>
  <dimension ref="A1:BT14"/>
  <sheetViews>
    <sheetView topLeftCell="U1" workbookViewId="0">
      <selection activeCell="Z2" sqref="Z2"/>
    </sheetView>
  </sheetViews>
  <sheetFormatPr defaultRowHeight="15" x14ac:dyDescent="0.25"/>
  <cols>
    <col min="25" max="25" width="52.140625" bestFit="1" customWidth="1"/>
    <col min="26" max="26" width="7.42578125" bestFit="1" customWidth="1"/>
    <col min="27" max="27" width="52" bestFit="1" customWidth="1"/>
    <col min="28" max="28" width="10.85546875" bestFit="1" customWidth="1"/>
    <col min="31" max="31" width="33.28515625" bestFit="1" customWidth="1"/>
    <col min="36" max="16384" width="9.140625" style="5"/>
  </cols>
  <sheetData>
    <row r="1" spans="25:72" x14ac:dyDescent="0.25">
      <c r="Y1" t="s">
        <v>406</v>
      </c>
      <c r="Z1" t="s">
        <v>17</v>
      </c>
      <c r="AA1" t="s">
        <v>2</v>
      </c>
      <c r="AB1" t="s">
        <v>28</v>
      </c>
      <c r="AJ1" s="5" t="s">
        <v>387</v>
      </c>
    </row>
    <row r="2" spans="25:72" x14ac:dyDescent="0.25">
      <c r="Z2" t="s">
        <v>18</v>
      </c>
      <c r="AA2" t="s">
        <v>405</v>
      </c>
      <c r="AB2" t="s">
        <v>5</v>
      </c>
      <c r="AJ2" s="5" t="s">
        <v>386</v>
      </c>
    </row>
    <row r="3" spans="25:72" x14ac:dyDescent="0.25">
      <c r="Z3" t="s">
        <v>19</v>
      </c>
      <c r="AB3" t="s">
        <v>6</v>
      </c>
      <c r="AJ3" s="6" t="s">
        <v>386</v>
      </c>
      <c r="AK3" s="6" t="s">
        <v>388</v>
      </c>
      <c r="AL3" s="6"/>
      <c r="AM3" s="6"/>
      <c r="AN3" s="6" t="s">
        <v>392</v>
      </c>
      <c r="AO3" s="6"/>
      <c r="AP3" s="6"/>
      <c r="AQ3" s="6" t="s">
        <v>393</v>
      </c>
      <c r="AR3" s="6"/>
      <c r="AS3" s="6"/>
      <c r="AT3" s="6" t="s">
        <v>394</v>
      </c>
      <c r="AU3" s="6"/>
      <c r="AV3" s="6"/>
      <c r="AW3" s="6" t="s">
        <v>395</v>
      </c>
      <c r="AX3" s="6"/>
      <c r="AY3" s="6"/>
      <c r="AZ3" s="6" t="s">
        <v>396</v>
      </c>
      <c r="BA3" s="6"/>
      <c r="BB3" s="6"/>
      <c r="BC3" s="6" t="s">
        <v>397</v>
      </c>
      <c r="BD3" s="6"/>
      <c r="BE3" s="6"/>
      <c r="BF3" s="6" t="s">
        <v>398</v>
      </c>
      <c r="BG3" s="6"/>
      <c r="BH3" s="6"/>
      <c r="BI3" s="6" t="s">
        <v>399</v>
      </c>
      <c r="BJ3" s="6"/>
      <c r="BK3" s="6"/>
      <c r="BL3" s="6" t="s">
        <v>400</v>
      </c>
      <c r="BM3" s="6"/>
      <c r="BN3" s="6"/>
      <c r="BO3" s="6" t="s">
        <v>401</v>
      </c>
      <c r="BP3" s="6"/>
      <c r="BQ3" s="6"/>
      <c r="BR3" s="6" t="s">
        <v>402</v>
      </c>
      <c r="BS3" s="6"/>
      <c r="BT3" s="6"/>
    </row>
    <row r="4" spans="25:72" x14ac:dyDescent="0.25">
      <c r="Z4" t="s">
        <v>20</v>
      </c>
      <c r="AA4" t="s">
        <v>0</v>
      </c>
      <c r="AB4" t="s">
        <v>7</v>
      </c>
      <c r="AJ4" s="6"/>
      <c r="AK4" s="5" t="s">
        <v>389</v>
      </c>
      <c r="AL4" s="5" t="s">
        <v>390</v>
      </c>
      <c r="AM4" s="5" t="s">
        <v>391</v>
      </c>
      <c r="AN4" s="5" t="s">
        <v>389</v>
      </c>
      <c r="AO4" s="5" t="s">
        <v>390</v>
      </c>
      <c r="AP4" s="5" t="s">
        <v>391</v>
      </c>
      <c r="AQ4" s="5" t="s">
        <v>389</v>
      </c>
      <c r="AR4" s="5" t="s">
        <v>390</v>
      </c>
      <c r="AS4" s="5" t="s">
        <v>391</v>
      </c>
      <c r="AT4" s="5" t="s">
        <v>389</v>
      </c>
      <c r="AU4" s="5" t="s">
        <v>390</v>
      </c>
      <c r="AV4" s="5" t="s">
        <v>391</v>
      </c>
      <c r="AW4" s="5" t="s">
        <v>389</v>
      </c>
      <c r="AX4" s="5" t="s">
        <v>390</v>
      </c>
      <c r="AY4" s="5" t="s">
        <v>391</v>
      </c>
      <c r="AZ4" s="5" t="s">
        <v>389</v>
      </c>
      <c r="BA4" s="5" t="s">
        <v>390</v>
      </c>
      <c r="BB4" s="5" t="s">
        <v>391</v>
      </c>
      <c r="BC4" s="5" t="s">
        <v>389</v>
      </c>
      <c r="BD4" s="5" t="s">
        <v>390</v>
      </c>
      <c r="BE4" s="5" t="s">
        <v>391</v>
      </c>
      <c r="BF4" s="5" t="s">
        <v>389</v>
      </c>
      <c r="BG4" s="5" t="s">
        <v>390</v>
      </c>
      <c r="BH4" s="5" t="s">
        <v>391</v>
      </c>
      <c r="BI4" s="5" t="s">
        <v>389</v>
      </c>
      <c r="BJ4" s="5" t="s">
        <v>390</v>
      </c>
      <c r="BK4" s="5" t="s">
        <v>391</v>
      </c>
      <c r="BL4" s="5" t="s">
        <v>389</v>
      </c>
      <c r="BM4" s="5" t="s">
        <v>390</v>
      </c>
      <c r="BN4" s="5" t="s">
        <v>391</v>
      </c>
      <c r="BO4" s="5" t="s">
        <v>389</v>
      </c>
      <c r="BP4" s="5" t="s">
        <v>390</v>
      </c>
      <c r="BQ4" s="5" t="s">
        <v>391</v>
      </c>
      <c r="BR4" s="5" t="s">
        <v>389</v>
      </c>
      <c r="BS4" s="5" t="s">
        <v>390</v>
      </c>
      <c r="BT4" s="5" t="s">
        <v>391</v>
      </c>
    </row>
    <row r="5" spans="25:72" x14ac:dyDescent="0.25">
      <c r="Z5" t="s">
        <v>21</v>
      </c>
      <c r="AA5" s="1" t="s">
        <v>3</v>
      </c>
      <c r="AB5" t="s">
        <v>8</v>
      </c>
    </row>
    <row r="6" spans="25:72" x14ac:dyDescent="0.25">
      <c r="Z6" t="s">
        <v>22</v>
      </c>
      <c r="AB6" t="s">
        <v>9</v>
      </c>
    </row>
    <row r="7" spans="25:72" x14ac:dyDescent="0.25">
      <c r="Z7" t="s">
        <v>23</v>
      </c>
      <c r="AA7" t="s">
        <v>1</v>
      </c>
      <c r="AB7" t="s">
        <v>10</v>
      </c>
      <c r="AJ7" s="5" t="s">
        <v>403</v>
      </c>
    </row>
    <row r="8" spans="25:72" x14ac:dyDescent="0.25">
      <c r="Z8" t="s">
        <v>27</v>
      </c>
      <c r="AA8" s="1" t="s">
        <v>4</v>
      </c>
      <c r="AB8" t="s">
        <v>11</v>
      </c>
      <c r="AJ8" s="6" t="s">
        <v>403</v>
      </c>
      <c r="AK8" s="6" t="s">
        <v>388</v>
      </c>
      <c r="AL8" s="6"/>
      <c r="AM8" s="6"/>
      <c r="AN8" s="6" t="s">
        <v>392</v>
      </c>
      <c r="AO8" s="6"/>
      <c r="AP8" s="6"/>
      <c r="AQ8" s="6" t="s">
        <v>393</v>
      </c>
      <c r="AR8" s="6"/>
      <c r="AS8" s="6"/>
      <c r="AT8" s="6" t="s">
        <v>394</v>
      </c>
      <c r="AU8" s="6"/>
      <c r="AV8" s="6"/>
      <c r="AW8" s="6" t="s">
        <v>395</v>
      </c>
      <c r="AX8" s="6"/>
      <c r="AY8" s="6"/>
      <c r="AZ8" s="6" t="s">
        <v>396</v>
      </c>
      <c r="BA8" s="6"/>
      <c r="BB8" s="6"/>
      <c r="BC8" s="6" t="s">
        <v>397</v>
      </c>
      <c r="BD8" s="6"/>
      <c r="BE8" s="6"/>
      <c r="BF8" s="6" t="s">
        <v>398</v>
      </c>
      <c r="BG8" s="6"/>
      <c r="BH8" s="6"/>
      <c r="BI8" s="6" t="s">
        <v>399</v>
      </c>
      <c r="BJ8" s="6"/>
      <c r="BK8" s="6"/>
      <c r="BL8" s="6" t="s">
        <v>400</v>
      </c>
      <c r="BM8" s="6"/>
      <c r="BN8" s="6"/>
      <c r="BO8" s="6" t="s">
        <v>401</v>
      </c>
      <c r="BP8" s="6"/>
      <c r="BQ8" s="6"/>
      <c r="BR8" s="6" t="s">
        <v>402</v>
      </c>
      <c r="BS8" s="6"/>
      <c r="BT8" s="6"/>
    </row>
    <row r="9" spans="25:72" x14ac:dyDescent="0.25">
      <c r="Z9" t="s">
        <v>24</v>
      </c>
      <c r="AB9" t="s">
        <v>12</v>
      </c>
      <c r="AJ9" s="6"/>
      <c r="AK9" s="5" t="s">
        <v>389</v>
      </c>
      <c r="AL9" s="5" t="s">
        <v>390</v>
      </c>
      <c r="AM9" s="5" t="s">
        <v>391</v>
      </c>
      <c r="AN9" s="5" t="s">
        <v>389</v>
      </c>
      <c r="AO9" s="5" t="s">
        <v>390</v>
      </c>
      <c r="AP9" s="5" t="s">
        <v>391</v>
      </c>
      <c r="AQ9" s="5" t="s">
        <v>389</v>
      </c>
      <c r="AR9" s="5" t="s">
        <v>390</v>
      </c>
      <c r="AS9" s="5" t="s">
        <v>391</v>
      </c>
      <c r="AT9" s="5" t="s">
        <v>389</v>
      </c>
      <c r="AU9" s="5" t="s">
        <v>390</v>
      </c>
      <c r="AV9" s="5" t="s">
        <v>391</v>
      </c>
      <c r="AW9" s="5" t="s">
        <v>389</v>
      </c>
      <c r="AX9" s="5" t="s">
        <v>390</v>
      </c>
      <c r="AY9" s="5" t="s">
        <v>391</v>
      </c>
      <c r="AZ9" s="5" t="s">
        <v>389</v>
      </c>
      <c r="BA9" s="5" t="s">
        <v>390</v>
      </c>
      <c r="BB9" s="5" t="s">
        <v>391</v>
      </c>
      <c r="BC9" s="5" t="s">
        <v>389</v>
      </c>
      <c r="BD9" s="5" t="s">
        <v>390</v>
      </c>
      <c r="BE9" s="5" t="s">
        <v>391</v>
      </c>
      <c r="BF9" s="5" t="s">
        <v>389</v>
      </c>
      <c r="BG9" s="5" t="s">
        <v>390</v>
      </c>
      <c r="BH9" s="5" t="s">
        <v>391</v>
      </c>
      <c r="BI9" s="5" t="s">
        <v>389</v>
      </c>
      <c r="BJ9" s="5" t="s">
        <v>390</v>
      </c>
      <c r="BK9" s="5" t="s">
        <v>391</v>
      </c>
      <c r="BL9" s="5" t="s">
        <v>389</v>
      </c>
      <c r="BM9" s="5" t="s">
        <v>390</v>
      </c>
      <c r="BN9" s="5" t="s">
        <v>391</v>
      </c>
      <c r="BO9" s="5" t="s">
        <v>389</v>
      </c>
      <c r="BP9" s="5" t="s">
        <v>390</v>
      </c>
      <c r="BQ9" s="5" t="s">
        <v>391</v>
      </c>
      <c r="BR9" s="5" t="s">
        <v>389</v>
      </c>
      <c r="BS9" s="5" t="s">
        <v>390</v>
      </c>
      <c r="BT9" s="5" t="s">
        <v>391</v>
      </c>
    </row>
    <row r="10" spans="25:72" x14ac:dyDescent="0.25">
      <c r="Z10" t="s">
        <v>25</v>
      </c>
      <c r="AB10" t="s">
        <v>13</v>
      </c>
    </row>
    <row r="11" spans="25:72" x14ac:dyDescent="0.25">
      <c r="Z11" t="s">
        <v>26</v>
      </c>
      <c r="AB11" t="s">
        <v>14</v>
      </c>
    </row>
    <row r="12" spans="25:72" x14ac:dyDescent="0.25">
      <c r="AB12" t="s">
        <v>15</v>
      </c>
      <c r="AJ12" s="5" t="s">
        <v>404</v>
      </c>
    </row>
    <row r="13" spans="25:72" x14ac:dyDescent="0.25">
      <c r="AB13" t="s">
        <v>16</v>
      </c>
      <c r="AJ13" s="6" t="s">
        <v>404</v>
      </c>
      <c r="AK13" s="6" t="s">
        <v>388</v>
      </c>
      <c r="AL13" s="6"/>
      <c r="AM13" s="6"/>
      <c r="AN13" s="6" t="s">
        <v>392</v>
      </c>
      <c r="AO13" s="6"/>
      <c r="AP13" s="6"/>
      <c r="AQ13" s="6" t="s">
        <v>393</v>
      </c>
      <c r="AR13" s="6"/>
      <c r="AS13" s="6"/>
      <c r="AT13" s="6" t="s">
        <v>394</v>
      </c>
      <c r="AU13" s="6"/>
      <c r="AV13" s="6"/>
      <c r="AW13" s="6" t="s">
        <v>395</v>
      </c>
      <c r="AX13" s="6"/>
      <c r="AY13" s="6"/>
      <c r="AZ13" s="6" t="s">
        <v>396</v>
      </c>
      <c r="BA13" s="6"/>
      <c r="BB13" s="6"/>
      <c r="BC13" s="6" t="s">
        <v>397</v>
      </c>
      <c r="BD13" s="6"/>
      <c r="BE13" s="6"/>
      <c r="BF13" s="6" t="s">
        <v>398</v>
      </c>
      <c r="BG13" s="6"/>
      <c r="BH13" s="6"/>
      <c r="BI13" s="6" t="s">
        <v>399</v>
      </c>
      <c r="BJ13" s="6"/>
      <c r="BK13" s="6"/>
      <c r="BL13" s="6" t="s">
        <v>400</v>
      </c>
      <c r="BM13" s="6"/>
      <c r="BN13" s="6"/>
      <c r="BO13" s="6" t="s">
        <v>401</v>
      </c>
      <c r="BP13" s="6"/>
      <c r="BQ13" s="6"/>
      <c r="BR13" s="6" t="s">
        <v>402</v>
      </c>
      <c r="BS13" s="6"/>
      <c r="BT13" s="6"/>
    </row>
    <row r="14" spans="25:72" x14ac:dyDescent="0.25">
      <c r="AJ14" s="6"/>
      <c r="AK14" s="5" t="s">
        <v>389</v>
      </c>
      <c r="AL14" s="5" t="s">
        <v>390</v>
      </c>
      <c r="AM14" s="5" t="s">
        <v>391</v>
      </c>
      <c r="AN14" s="5" t="s">
        <v>389</v>
      </c>
      <c r="AO14" s="5" t="s">
        <v>390</v>
      </c>
      <c r="AP14" s="5" t="s">
        <v>391</v>
      </c>
      <c r="AQ14" s="5" t="s">
        <v>389</v>
      </c>
      <c r="AR14" s="5" t="s">
        <v>390</v>
      </c>
      <c r="AS14" s="5" t="s">
        <v>391</v>
      </c>
      <c r="AT14" s="5" t="s">
        <v>389</v>
      </c>
      <c r="AU14" s="5" t="s">
        <v>390</v>
      </c>
      <c r="AV14" s="5" t="s">
        <v>391</v>
      </c>
      <c r="AW14" s="5" t="s">
        <v>389</v>
      </c>
      <c r="AX14" s="5" t="s">
        <v>390</v>
      </c>
      <c r="AY14" s="5" t="s">
        <v>391</v>
      </c>
      <c r="AZ14" s="5" t="s">
        <v>389</v>
      </c>
      <c r="BA14" s="5" t="s">
        <v>390</v>
      </c>
      <c r="BB14" s="5" t="s">
        <v>391</v>
      </c>
      <c r="BC14" s="5" t="s">
        <v>389</v>
      </c>
      <c r="BD14" s="5" t="s">
        <v>390</v>
      </c>
      <c r="BE14" s="5" t="s">
        <v>391</v>
      </c>
      <c r="BF14" s="5" t="s">
        <v>389</v>
      </c>
      <c r="BG14" s="5" t="s">
        <v>390</v>
      </c>
      <c r="BH14" s="5" t="s">
        <v>391</v>
      </c>
      <c r="BI14" s="5" t="s">
        <v>389</v>
      </c>
      <c r="BJ14" s="5" t="s">
        <v>390</v>
      </c>
      <c r="BK14" s="5" t="s">
        <v>391</v>
      </c>
      <c r="BL14" s="5" t="s">
        <v>389</v>
      </c>
      <c r="BM14" s="5" t="s">
        <v>390</v>
      </c>
      <c r="BN14" s="5" t="s">
        <v>391</v>
      </c>
      <c r="BO14" s="5" t="s">
        <v>389</v>
      </c>
      <c r="BP14" s="5" t="s">
        <v>390</v>
      </c>
      <c r="BQ14" s="5" t="s">
        <v>391</v>
      </c>
      <c r="BR14" s="5" t="s">
        <v>389</v>
      </c>
      <c r="BS14" s="5" t="s">
        <v>390</v>
      </c>
      <c r="BT14" s="5" t="s">
        <v>391</v>
      </c>
    </row>
  </sheetData>
  <mergeCells count="39">
    <mergeCell ref="AW3:AY3"/>
    <mergeCell ref="AJ3:AJ4"/>
    <mergeCell ref="AK3:AM3"/>
    <mergeCell ref="AN3:AP3"/>
    <mergeCell ref="AQ3:AS3"/>
    <mergeCell ref="AT3:AV3"/>
    <mergeCell ref="BR3:BT3"/>
    <mergeCell ref="AK8:AM8"/>
    <mergeCell ref="AN8:AP8"/>
    <mergeCell ref="AQ8:AS8"/>
    <mergeCell ref="AT8:AV8"/>
    <mergeCell ref="AW8:AY8"/>
    <mergeCell ref="AZ8:BB8"/>
    <mergeCell ref="BC8:BE8"/>
    <mergeCell ref="BF8:BH8"/>
    <mergeCell ref="BI8:BK8"/>
    <mergeCell ref="AZ3:BB3"/>
    <mergeCell ref="BC3:BE3"/>
    <mergeCell ref="BF3:BH3"/>
    <mergeCell ref="BI3:BK3"/>
    <mergeCell ref="BL3:BN3"/>
    <mergeCell ref="BO3:BQ3"/>
    <mergeCell ref="AJ8:AJ9"/>
    <mergeCell ref="AJ13:AJ14"/>
    <mergeCell ref="BL8:BN8"/>
    <mergeCell ref="BO8:BQ8"/>
    <mergeCell ref="BR8:BT8"/>
    <mergeCell ref="AK13:AM13"/>
    <mergeCell ref="AN13:AP13"/>
    <mergeCell ref="AQ13:AS13"/>
    <mergeCell ref="AT13:AV13"/>
    <mergeCell ref="AW13:AY13"/>
    <mergeCell ref="AZ13:BB13"/>
    <mergeCell ref="BC13:BE13"/>
    <mergeCell ref="BF13:BH13"/>
    <mergeCell ref="BI13:BK13"/>
    <mergeCell ref="BL13:BN13"/>
    <mergeCell ref="BO13:BQ13"/>
    <mergeCell ref="BR13:BT13"/>
  </mergeCells>
  <hyperlinks>
    <hyperlink ref="AA5" r:id="rId1" xr:uid="{B34F0DBF-1A4D-4465-AA37-DBD8705F2F38}"/>
    <hyperlink ref="AA8" r:id="rId2" xr:uid="{6FDD841F-857F-41E7-A2CF-3E9B7832580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3B199-643D-4132-A551-36720ABB1819}">
  <sheetPr codeName="Sheet35"/>
  <dimension ref="A1:Q6493"/>
  <sheetViews>
    <sheetView tabSelected="1" topLeftCell="F1" workbookViewId="0">
      <selection activeCell="Q3" sqref="Q3"/>
    </sheetView>
  </sheetViews>
  <sheetFormatPr defaultRowHeight="15" x14ac:dyDescent="0.25"/>
  <cols>
    <col min="1" max="1" width="10.85546875" bestFit="1" customWidth="1"/>
    <col min="2" max="2" width="7.42578125" bestFit="1" customWidth="1"/>
    <col min="3" max="3" width="33.28515625" bestFit="1" customWidth="1"/>
    <col min="4" max="4" width="4.7109375" bestFit="1" customWidth="1"/>
    <col min="5" max="5" width="8.140625" bestFit="1" customWidth="1"/>
    <col min="6" max="6" width="27.7109375" bestFit="1" customWidth="1"/>
    <col min="7" max="7" width="9.5703125" bestFit="1" customWidth="1"/>
    <col min="8" max="8" width="11.140625" bestFit="1" customWidth="1"/>
    <col min="9" max="9" width="23.85546875" bestFit="1" customWidth="1"/>
    <col min="10" max="10" width="27.7109375" bestFit="1" customWidth="1"/>
    <col min="11" max="11" width="22.28515625" bestFit="1" customWidth="1"/>
    <col min="12" max="13" width="6" bestFit="1" customWidth="1"/>
    <col min="14" max="14" width="11.140625" bestFit="1" customWidth="1"/>
    <col min="15" max="15" width="11.5703125" bestFit="1" customWidth="1"/>
    <col min="16" max="16" width="10.42578125" bestFit="1" customWidth="1"/>
    <col min="17" max="17" width="19.42578125" bestFit="1" customWidth="1"/>
  </cols>
  <sheetData>
    <row r="1" spans="1:17" x14ac:dyDescent="0.25">
      <c r="A1" t="s">
        <v>28</v>
      </c>
      <c r="B1" s="7" t="s">
        <v>17</v>
      </c>
      <c r="C1" s="7" t="s">
        <v>29</v>
      </c>
      <c r="D1" s="8" t="s">
        <v>30</v>
      </c>
      <c r="E1" s="7" t="s">
        <v>31</v>
      </c>
      <c r="F1" s="7" t="s">
        <v>32</v>
      </c>
      <c r="G1" s="7" t="s">
        <v>33</v>
      </c>
      <c r="H1" s="9" t="s">
        <v>34</v>
      </c>
      <c r="I1" s="10" t="s">
        <v>35</v>
      </c>
      <c r="J1" s="10" t="s">
        <v>36</v>
      </c>
      <c r="K1" s="10" t="s">
        <v>37</v>
      </c>
      <c r="L1" s="7" t="s">
        <v>38</v>
      </c>
      <c r="M1" s="7" t="s">
        <v>39</v>
      </c>
      <c r="N1" s="11" t="s">
        <v>40</v>
      </c>
      <c r="O1" s="11" t="s">
        <v>41</v>
      </c>
      <c r="P1" s="11" t="s">
        <v>42</v>
      </c>
      <c r="Q1" s="12"/>
    </row>
    <row r="2" spans="1:17" x14ac:dyDescent="0.25">
      <c r="A2" t="s">
        <v>388</v>
      </c>
      <c r="B2" s="13" t="s">
        <v>18</v>
      </c>
      <c r="C2" s="13" t="s">
        <v>43</v>
      </c>
      <c r="D2" s="14" t="s">
        <v>44</v>
      </c>
      <c r="E2" s="13" t="s">
        <v>45</v>
      </c>
      <c r="F2" s="13" t="s">
        <v>46</v>
      </c>
      <c r="G2" s="13">
        <v>3.8600000000000003</v>
      </c>
      <c r="H2" s="15">
        <v>1210</v>
      </c>
      <c r="I2" s="16">
        <v>4670.6000000000004</v>
      </c>
      <c r="J2" s="16">
        <v>6100.28</v>
      </c>
      <c r="K2" s="16">
        <v>-1429.6799999999998</v>
      </c>
      <c r="L2" s="13"/>
      <c r="M2" s="13">
        <v>4.24</v>
      </c>
      <c r="N2" s="17">
        <f t="shared" ref="N2:O59" si="0">$H2*L2</f>
        <v>0</v>
      </c>
      <c r="O2" s="17">
        <f t="shared" si="0"/>
        <v>5130.4000000000005</v>
      </c>
      <c r="P2" s="17">
        <f t="shared" ref="P2:P65" si="1">N2+O2</f>
        <v>5130.4000000000005</v>
      </c>
      <c r="Q2" t="str">
        <f>A2&amp;"-"&amp;B2&amp;"-"&amp;D2</f>
        <v>JANUARI-CBA-L1</v>
      </c>
    </row>
    <row r="3" spans="1:17" x14ac:dyDescent="0.25">
      <c r="A3" t="s">
        <v>388</v>
      </c>
      <c r="B3" s="13" t="s">
        <v>18</v>
      </c>
      <c r="C3" s="13" t="s">
        <v>43</v>
      </c>
      <c r="D3" s="14" t="s">
        <v>44</v>
      </c>
      <c r="E3" s="13" t="s">
        <v>47</v>
      </c>
      <c r="F3" s="13" t="s">
        <v>48</v>
      </c>
      <c r="G3" s="13">
        <v>4.1300000000000008</v>
      </c>
      <c r="H3" s="15">
        <v>2220</v>
      </c>
      <c r="I3" s="16">
        <v>9168.6</v>
      </c>
      <c r="J3" s="16">
        <v>8688.2799999999988</v>
      </c>
      <c r="K3" s="16">
        <v>480.32000000000011</v>
      </c>
      <c r="L3" s="13"/>
      <c r="M3" s="13">
        <v>4.5</v>
      </c>
      <c r="N3" s="17">
        <f t="shared" si="0"/>
        <v>0</v>
      </c>
      <c r="O3" s="17">
        <f t="shared" si="0"/>
        <v>9990</v>
      </c>
      <c r="P3" s="17">
        <f t="shared" si="1"/>
        <v>9990</v>
      </c>
      <c r="Q3" t="str">
        <f>A3&amp;"-"&amp;B3&amp;"-"&amp;D3</f>
        <v>JANUARI-CBA-L1</v>
      </c>
    </row>
    <row r="4" spans="1:17" x14ac:dyDescent="0.25">
      <c r="A4" t="s">
        <v>388</v>
      </c>
      <c r="B4" s="13" t="s">
        <v>18</v>
      </c>
      <c r="C4" s="13" t="s">
        <v>43</v>
      </c>
      <c r="D4" s="14" t="s">
        <v>44</v>
      </c>
      <c r="E4" s="13" t="s">
        <v>47</v>
      </c>
      <c r="F4" s="13" t="s">
        <v>49</v>
      </c>
      <c r="G4" s="13">
        <v>4.63</v>
      </c>
      <c r="H4" s="15">
        <v>220</v>
      </c>
      <c r="I4" s="16">
        <v>1018.6</v>
      </c>
      <c r="J4" s="16">
        <v>1294</v>
      </c>
      <c r="K4" s="16">
        <v>-275.39999999999998</v>
      </c>
      <c r="L4" s="13"/>
      <c r="M4" s="13">
        <v>5.01</v>
      </c>
      <c r="N4" s="17">
        <f t="shared" si="0"/>
        <v>0</v>
      </c>
      <c r="O4" s="17">
        <f t="shared" si="0"/>
        <v>1102.2</v>
      </c>
      <c r="P4" s="17">
        <f t="shared" si="1"/>
        <v>1102.2</v>
      </c>
      <c r="Q4" t="str">
        <f>A4&amp;"-"&amp;B4&amp;"-"&amp;D4</f>
        <v>JANUARI-CBA-L1</v>
      </c>
    </row>
    <row r="5" spans="1:17" x14ac:dyDescent="0.25">
      <c r="A5" t="s">
        <v>388</v>
      </c>
      <c r="B5" s="13" t="s">
        <v>18</v>
      </c>
      <c r="C5" s="13" t="s">
        <v>43</v>
      </c>
      <c r="D5" s="14" t="s">
        <v>50</v>
      </c>
      <c r="E5" s="13" t="s">
        <v>45</v>
      </c>
      <c r="F5" s="13" t="s">
        <v>51</v>
      </c>
      <c r="G5" s="13">
        <v>3.3299999999999987</v>
      </c>
      <c r="H5" s="15">
        <v>2670</v>
      </c>
      <c r="I5" s="16">
        <v>8891.1</v>
      </c>
      <c r="J5" s="16">
        <v>10052.814736842105</v>
      </c>
      <c r="K5" s="16">
        <v>-1161.7147368421056</v>
      </c>
      <c r="L5" s="13"/>
      <c r="M5" s="13">
        <v>3.7</v>
      </c>
      <c r="N5" s="17">
        <f t="shared" si="0"/>
        <v>0</v>
      </c>
      <c r="O5" s="17">
        <f t="shared" si="0"/>
        <v>9879</v>
      </c>
      <c r="P5" s="17">
        <f t="shared" si="1"/>
        <v>9879</v>
      </c>
      <c r="Q5" t="str">
        <f>A5&amp;"-"&amp;B5&amp;"-"&amp;D5</f>
        <v>JANUARI-CBA-L2</v>
      </c>
    </row>
    <row r="6" spans="1:17" x14ac:dyDescent="0.25">
      <c r="A6" t="s">
        <v>388</v>
      </c>
      <c r="B6" s="13" t="s">
        <v>18</v>
      </c>
      <c r="C6" s="13" t="s">
        <v>43</v>
      </c>
      <c r="D6" s="14" t="s">
        <v>50</v>
      </c>
      <c r="E6" s="13" t="s">
        <v>45</v>
      </c>
      <c r="F6" s="13" t="s">
        <v>52</v>
      </c>
      <c r="G6" s="13">
        <v>2.75</v>
      </c>
      <c r="H6" s="15">
        <v>421</v>
      </c>
      <c r="I6" s="16">
        <v>1157.75</v>
      </c>
      <c r="J6" s="16">
        <v>1685.6052631578948</v>
      </c>
      <c r="K6" s="16">
        <v>-527.8552631578948</v>
      </c>
      <c r="L6" s="13"/>
      <c r="M6" s="13">
        <v>3.1</v>
      </c>
      <c r="N6" s="17">
        <f t="shared" si="0"/>
        <v>0</v>
      </c>
      <c r="O6" s="17">
        <f t="shared" si="0"/>
        <v>1305.1000000000001</v>
      </c>
      <c r="P6" s="17">
        <f t="shared" si="1"/>
        <v>1305.1000000000001</v>
      </c>
      <c r="Q6" t="str">
        <f>A6&amp;"-"&amp;B6&amp;"-"&amp;D6</f>
        <v>JANUARI-CBA-L2</v>
      </c>
    </row>
    <row r="7" spans="1:17" x14ac:dyDescent="0.25">
      <c r="A7" t="s">
        <v>388</v>
      </c>
      <c r="B7" s="13" t="s">
        <v>18</v>
      </c>
      <c r="C7" s="13" t="s">
        <v>43</v>
      </c>
      <c r="D7" s="14" t="s">
        <v>50</v>
      </c>
      <c r="E7" s="13" t="s">
        <v>47</v>
      </c>
      <c r="F7" s="13" t="s">
        <v>53</v>
      </c>
      <c r="G7" s="13">
        <v>4.18</v>
      </c>
      <c r="H7" s="15">
        <v>176</v>
      </c>
      <c r="I7" s="16">
        <v>735.68</v>
      </c>
      <c r="J7" s="16">
        <v>1756.1399999999999</v>
      </c>
      <c r="K7" s="16">
        <v>-1020.46</v>
      </c>
      <c r="L7" s="13"/>
      <c r="M7" s="13">
        <v>4.55</v>
      </c>
      <c r="N7" s="17">
        <f t="shared" si="0"/>
        <v>0</v>
      </c>
      <c r="O7" s="17">
        <f t="shared" si="0"/>
        <v>800.8</v>
      </c>
      <c r="P7" s="17">
        <f t="shared" si="1"/>
        <v>800.8</v>
      </c>
      <c r="Q7" t="str">
        <f>A7&amp;"-"&amp;B7&amp;"-"&amp;D7</f>
        <v>JANUARI-CBA-L2</v>
      </c>
    </row>
    <row r="8" spans="1:17" x14ac:dyDescent="0.25">
      <c r="A8" t="s">
        <v>388</v>
      </c>
      <c r="B8" s="13" t="s">
        <v>18</v>
      </c>
      <c r="C8" s="13" t="s">
        <v>43</v>
      </c>
      <c r="D8" s="14" t="s">
        <v>50</v>
      </c>
      <c r="E8" s="13" t="s">
        <v>54</v>
      </c>
      <c r="F8" s="13" t="s">
        <v>55</v>
      </c>
      <c r="G8" s="13">
        <v>3.93</v>
      </c>
      <c r="H8" s="15">
        <v>510</v>
      </c>
      <c r="I8" s="16">
        <v>2004.3</v>
      </c>
      <c r="J8" s="16">
        <v>2588</v>
      </c>
      <c r="K8" s="16">
        <v>-583.70000000000005</v>
      </c>
      <c r="L8" s="13"/>
      <c r="M8" s="13">
        <v>4.3</v>
      </c>
      <c r="N8" s="17">
        <f t="shared" si="0"/>
        <v>0</v>
      </c>
      <c r="O8" s="17">
        <f t="shared" si="0"/>
        <v>2193</v>
      </c>
      <c r="P8" s="17">
        <f t="shared" si="1"/>
        <v>2193</v>
      </c>
      <c r="Q8" t="str">
        <f>A8&amp;"-"&amp;B8&amp;"-"&amp;D8</f>
        <v>JANUARI-CBA-L2</v>
      </c>
    </row>
    <row r="9" spans="1:17" x14ac:dyDescent="0.25">
      <c r="A9" t="s">
        <v>388</v>
      </c>
      <c r="B9" s="13" t="s">
        <v>18</v>
      </c>
      <c r="C9" s="13" t="s">
        <v>43</v>
      </c>
      <c r="D9" s="14" t="s">
        <v>56</v>
      </c>
      <c r="E9" s="13" t="s">
        <v>45</v>
      </c>
      <c r="F9" s="13" t="s">
        <v>57</v>
      </c>
      <c r="G9" s="13">
        <v>3.3299999999999992</v>
      </c>
      <c r="H9" s="15">
        <v>1130</v>
      </c>
      <c r="I9" s="16">
        <v>3762.9000000000005</v>
      </c>
      <c r="J9" s="16">
        <v>6100.28</v>
      </c>
      <c r="K9" s="16">
        <v>-2337.3799999999997</v>
      </c>
      <c r="L9" s="13"/>
      <c r="M9" s="13">
        <v>3.7</v>
      </c>
      <c r="N9" s="17">
        <f t="shared" si="0"/>
        <v>0</v>
      </c>
      <c r="O9" s="17">
        <f t="shared" si="0"/>
        <v>4181</v>
      </c>
      <c r="P9" s="17">
        <f t="shared" si="1"/>
        <v>4181</v>
      </c>
      <c r="Q9" t="str">
        <f>A9&amp;"-"&amp;B9&amp;"-"&amp;D9</f>
        <v>JANUARI-CBA-L3</v>
      </c>
    </row>
    <row r="10" spans="1:17" x14ac:dyDescent="0.25">
      <c r="A10" t="s">
        <v>388</v>
      </c>
      <c r="B10" s="13" t="s">
        <v>18</v>
      </c>
      <c r="C10" s="13" t="s">
        <v>43</v>
      </c>
      <c r="D10" s="14" t="s">
        <v>56</v>
      </c>
      <c r="E10" s="13" t="s">
        <v>58</v>
      </c>
      <c r="F10" s="13" t="s">
        <v>59</v>
      </c>
      <c r="G10" s="13">
        <v>2.4300000000000002</v>
      </c>
      <c r="H10" s="15">
        <v>2691</v>
      </c>
      <c r="I10" s="16">
        <v>6539.13</v>
      </c>
      <c r="J10" s="16">
        <v>9982.2799999999988</v>
      </c>
      <c r="K10" s="16">
        <v>-3443.1499999999992</v>
      </c>
      <c r="L10" s="13"/>
      <c r="M10" s="13">
        <v>2.75</v>
      </c>
      <c r="N10" s="17">
        <f t="shared" si="0"/>
        <v>0</v>
      </c>
      <c r="O10" s="17">
        <f t="shared" si="0"/>
        <v>7400.25</v>
      </c>
      <c r="P10" s="17">
        <f t="shared" si="1"/>
        <v>7400.25</v>
      </c>
      <c r="Q10" t="str">
        <f>A10&amp;"-"&amp;B10&amp;"-"&amp;D10</f>
        <v>JANUARI-CBA-L3</v>
      </c>
    </row>
    <row r="11" spans="1:17" x14ac:dyDescent="0.25">
      <c r="A11" t="s">
        <v>388</v>
      </c>
      <c r="B11" s="13" t="s">
        <v>19</v>
      </c>
      <c r="C11" s="13" t="s">
        <v>60</v>
      </c>
      <c r="D11" s="14" t="s">
        <v>50</v>
      </c>
      <c r="E11" s="13" t="s">
        <v>61</v>
      </c>
      <c r="F11" s="13" t="s">
        <v>62</v>
      </c>
      <c r="G11" s="13">
        <v>0.54999999999999993</v>
      </c>
      <c r="H11" s="15">
        <v>4048</v>
      </c>
      <c r="I11" s="16">
        <v>2226.4</v>
      </c>
      <c r="J11" s="16">
        <v>4264.0000000000009</v>
      </c>
      <c r="K11" s="16">
        <v>-2037.6000000000001</v>
      </c>
      <c r="L11" s="13">
        <v>1.61</v>
      </c>
      <c r="M11" s="13"/>
      <c r="N11" s="17">
        <f t="shared" si="0"/>
        <v>6517.2800000000007</v>
      </c>
      <c r="O11" s="17">
        <f t="shared" si="0"/>
        <v>0</v>
      </c>
      <c r="P11" s="17">
        <f t="shared" si="1"/>
        <v>6517.2800000000007</v>
      </c>
      <c r="Q11" t="str">
        <f>A11&amp;"-"&amp;B11&amp;"-"&amp;D11</f>
        <v>JANUARI-CHW-L2</v>
      </c>
    </row>
    <row r="12" spans="1:17" x14ac:dyDescent="0.25">
      <c r="A12" t="s">
        <v>388</v>
      </c>
      <c r="B12" s="13" t="s">
        <v>19</v>
      </c>
      <c r="C12" s="13" t="s">
        <v>60</v>
      </c>
      <c r="D12" s="14" t="s">
        <v>50</v>
      </c>
      <c r="E12" s="13" t="s">
        <v>63</v>
      </c>
      <c r="F12" s="13" t="s">
        <v>64</v>
      </c>
      <c r="G12" s="13">
        <v>2.0399999999999996</v>
      </c>
      <c r="H12" s="15">
        <v>3082</v>
      </c>
      <c r="I12" s="16">
        <v>6287.2799999999988</v>
      </c>
      <c r="J12" s="16">
        <v>6929</v>
      </c>
      <c r="K12" s="16">
        <v>-641.71999999999991</v>
      </c>
      <c r="L12" s="13">
        <v>4.79</v>
      </c>
      <c r="M12" s="13"/>
      <c r="N12" s="17">
        <f t="shared" si="0"/>
        <v>14762.78</v>
      </c>
      <c r="O12" s="17">
        <f t="shared" si="0"/>
        <v>0</v>
      </c>
      <c r="P12" s="17">
        <f t="shared" si="1"/>
        <v>14762.78</v>
      </c>
      <c r="Q12" t="str">
        <f>A12&amp;"-"&amp;B12&amp;"-"&amp;D12</f>
        <v>JANUARI-CHW-L2</v>
      </c>
    </row>
    <row r="13" spans="1:17" x14ac:dyDescent="0.25">
      <c r="A13" t="s">
        <v>388</v>
      </c>
      <c r="B13" s="13" t="s">
        <v>19</v>
      </c>
      <c r="C13" s="13" t="s">
        <v>60</v>
      </c>
      <c r="D13" s="14" t="s">
        <v>56</v>
      </c>
      <c r="E13" s="13" t="s">
        <v>65</v>
      </c>
      <c r="F13" s="13" t="s">
        <v>66</v>
      </c>
      <c r="G13" s="13">
        <v>2.1999999999999997</v>
      </c>
      <c r="H13" s="15">
        <v>2205</v>
      </c>
      <c r="I13" s="16">
        <v>4851</v>
      </c>
      <c r="J13" s="16">
        <v>3770.979929707732</v>
      </c>
      <c r="K13" s="16">
        <v>1080.020070292268</v>
      </c>
      <c r="L13" s="13"/>
      <c r="M13" s="13"/>
      <c r="N13" s="17">
        <f t="shared" si="0"/>
        <v>0</v>
      </c>
      <c r="O13" s="17">
        <f t="shared" si="0"/>
        <v>0</v>
      </c>
      <c r="P13" s="17">
        <f t="shared" si="1"/>
        <v>0</v>
      </c>
      <c r="Q13" t="str">
        <f>A13&amp;"-"&amp;B13&amp;"-"&amp;D13</f>
        <v>JANUARI-CHW-L3</v>
      </c>
    </row>
    <row r="14" spans="1:17" x14ac:dyDescent="0.25">
      <c r="A14" t="s">
        <v>388</v>
      </c>
      <c r="B14" s="13" t="s">
        <v>19</v>
      </c>
      <c r="C14" s="13" t="s">
        <v>60</v>
      </c>
      <c r="D14" s="14" t="s">
        <v>56</v>
      </c>
      <c r="E14" s="13" t="s">
        <v>63</v>
      </c>
      <c r="F14" s="13" t="s">
        <v>67</v>
      </c>
      <c r="G14" s="13">
        <v>1.83</v>
      </c>
      <c r="H14" s="15">
        <v>2069</v>
      </c>
      <c r="I14" s="16">
        <v>3786.2700000000009</v>
      </c>
      <c r="J14" s="16">
        <v>3651.7127443080817</v>
      </c>
      <c r="K14" s="16">
        <v>134.55725569191779</v>
      </c>
      <c r="L14" s="13">
        <v>3.96</v>
      </c>
      <c r="M14" s="13"/>
      <c r="N14" s="17">
        <f t="shared" si="0"/>
        <v>8193.24</v>
      </c>
      <c r="O14" s="17">
        <f t="shared" si="0"/>
        <v>0</v>
      </c>
      <c r="P14" s="17">
        <f t="shared" si="1"/>
        <v>8193.24</v>
      </c>
      <c r="Q14" t="str">
        <f>A14&amp;"-"&amp;B14&amp;"-"&amp;D14</f>
        <v>JANUARI-CHW-L3</v>
      </c>
    </row>
    <row r="15" spans="1:17" x14ac:dyDescent="0.25">
      <c r="A15" t="s">
        <v>388</v>
      </c>
      <c r="B15" s="13" t="s">
        <v>19</v>
      </c>
      <c r="C15" s="13" t="s">
        <v>60</v>
      </c>
      <c r="D15" s="14" t="s">
        <v>56</v>
      </c>
      <c r="E15" s="13" t="s">
        <v>68</v>
      </c>
      <c r="F15" s="13" t="s">
        <v>69</v>
      </c>
      <c r="G15" s="13">
        <v>3.7899999999999996</v>
      </c>
      <c r="H15" s="15">
        <v>626</v>
      </c>
      <c r="I15" s="16">
        <v>2372.54</v>
      </c>
      <c r="J15" s="16">
        <v>2108.9035477592806</v>
      </c>
      <c r="K15" s="16">
        <v>263.63645224071922</v>
      </c>
      <c r="L15" s="13">
        <v>9.7200000000000006</v>
      </c>
      <c r="M15" s="13"/>
      <c r="N15" s="17">
        <f t="shared" si="0"/>
        <v>6084.72</v>
      </c>
      <c r="O15" s="17">
        <f t="shared" si="0"/>
        <v>0</v>
      </c>
      <c r="P15" s="17">
        <f t="shared" si="1"/>
        <v>6084.72</v>
      </c>
      <c r="Q15" t="str">
        <f>A15&amp;"-"&amp;B15&amp;"-"&amp;D15</f>
        <v>JANUARI-CHW-L3</v>
      </c>
    </row>
    <row r="16" spans="1:17" x14ac:dyDescent="0.25">
      <c r="A16" t="s">
        <v>388</v>
      </c>
      <c r="B16" s="13" t="s">
        <v>19</v>
      </c>
      <c r="C16" s="13" t="s">
        <v>70</v>
      </c>
      <c r="D16" s="14" t="s">
        <v>44</v>
      </c>
      <c r="E16" s="13" t="s">
        <v>71</v>
      </c>
      <c r="F16" s="13" t="s">
        <v>72</v>
      </c>
      <c r="G16" s="13">
        <v>5</v>
      </c>
      <c r="H16" s="15">
        <v>422</v>
      </c>
      <c r="I16" s="16">
        <v>2110</v>
      </c>
      <c r="J16" s="16">
        <v>2286.2894736842104</v>
      </c>
      <c r="K16" s="16">
        <v>-176.28947368421052</v>
      </c>
      <c r="L16" s="13">
        <v>11.26</v>
      </c>
      <c r="M16" s="13"/>
      <c r="N16" s="17">
        <f t="shared" si="0"/>
        <v>4751.72</v>
      </c>
      <c r="O16" s="17">
        <f t="shared" si="0"/>
        <v>0</v>
      </c>
      <c r="P16" s="17">
        <f t="shared" si="1"/>
        <v>4751.72</v>
      </c>
      <c r="Q16" t="str">
        <f>A16&amp;"-"&amp;B16&amp;"-"&amp;D16</f>
        <v>JANUARI-CHW-L1</v>
      </c>
    </row>
    <row r="17" spans="1:17" x14ac:dyDescent="0.25">
      <c r="A17" t="s">
        <v>388</v>
      </c>
      <c r="B17" s="13" t="s">
        <v>19</v>
      </c>
      <c r="C17" s="13" t="s">
        <v>70</v>
      </c>
      <c r="D17" s="14" t="s">
        <v>44</v>
      </c>
      <c r="E17" s="13" t="s">
        <v>73</v>
      </c>
      <c r="F17" s="13" t="s">
        <v>74</v>
      </c>
      <c r="G17" s="13">
        <v>4.7</v>
      </c>
      <c r="H17" s="15">
        <v>2026</v>
      </c>
      <c r="I17" s="16">
        <v>9522.1999999999989</v>
      </c>
      <c r="J17" s="16">
        <v>4385.7629310344828</v>
      </c>
      <c r="K17" s="16">
        <v>5136.4370689655179</v>
      </c>
      <c r="L17" s="13">
        <v>9.7799999999999994</v>
      </c>
      <c r="M17" s="13"/>
      <c r="N17" s="17">
        <f t="shared" si="0"/>
        <v>19814.28</v>
      </c>
      <c r="O17" s="17">
        <f t="shared" si="0"/>
        <v>0</v>
      </c>
      <c r="P17" s="17">
        <f t="shared" si="1"/>
        <v>19814.28</v>
      </c>
      <c r="Q17" t="str">
        <f>A17&amp;"-"&amp;B17&amp;"-"&amp;D17</f>
        <v>JANUARI-CHW-L1</v>
      </c>
    </row>
    <row r="18" spans="1:17" x14ac:dyDescent="0.25">
      <c r="A18" t="s">
        <v>388</v>
      </c>
      <c r="B18" s="13" t="s">
        <v>19</v>
      </c>
      <c r="C18" s="13" t="s">
        <v>70</v>
      </c>
      <c r="D18" s="14" t="s">
        <v>44</v>
      </c>
      <c r="E18" s="13" t="s">
        <v>73</v>
      </c>
      <c r="F18" s="13" t="s">
        <v>75</v>
      </c>
      <c r="G18" s="13">
        <v>4.5</v>
      </c>
      <c r="H18" s="15">
        <v>412</v>
      </c>
      <c r="I18" s="16">
        <v>1854</v>
      </c>
      <c r="J18" s="16">
        <v>1253.731527093596</v>
      </c>
      <c r="K18" s="16">
        <v>600.26847290640399</v>
      </c>
      <c r="L18" s="13">
        <v>10</v>
      </c>
      <c r="M18" s="13"/>
      <c r="N18" s="17">
        <f t="shared" si="0"/>
        <v>4120</v>
      </c>
      <c r="O18" s="17">
        <f t="shared" si="0"/>
        <v>0</v>
      </c>
      <c r="P18" s="17">
        <f t="shared" si="1"/>
        <v>4120</v>
      </c>
      <c r="Q18" t="str">
        <f>A18&amp;"-"&amp;B18&amp;"-"&amp;D18</f>
        <v>JANUARI-CHW-L1</v>
      </c>
    </row>
    <row r="19" spans="1:17" x14ac:dyDescent="0.25">
      <c r="A19" t="s">
        <v>388</v>
      </c>
      <c r="B19" s="13" t="s">
        <v>19</v>
      </c>
      <c r="C19" s="13" t="s">
        <v>70</v>
      </c>
      <c r="D19" s="14" t="s">
        <v>44</v>
      </c>
      <c r="E19" s="13" t="s">
        <v>73</v>
      </c>
      <c r="F19" s="13" t="s">
        <v>76</v>
      </c>
      <c r="G19" s="13">
        <v>4.5</v>
      </c>
      <c r="H19" s="15">
        <v>300</v>
      </c>
      <c r="I19" s="16">
        <v>1350</v>
      </c>
      <c r="J19" s="16">
        <v>1132.625</v>
      </c>
      <c r="K19" s="16">
        <v>217.375</v>
      </c>
      <c r="L19" s="13">
        <v>10.91</v>
      </c>
      <c r="M19" s="13"/>
      <c r="N19" s="17">
        <f t="shared" si="0"/>
        <v>3273</v>
      </c>
      <c r="O19" s="17">
        <f t="shared" si="0"/>
        <v>0</v>
      </c>
      <c r="P19" s="17">
        <f t="shared" si="1"/>
        <v>3273</v>
      </c>
      <c r="Q19" t="str">
        <f>A19&amp;"-"&amp;B19&amp;"-"&amp;D19</f>
        <v>JANUARI-CHW-L1</v>
      </c>
    </row>
    <row r="20" spans="1:17" x14ac:dyDescent="0.25">
      <c r="A20" t="s">
        <v>388</v>
      </c>
      <c r="B20" s="13" t="s">
        <v>19</v>
      </c>
      <c r="C20" s="13" t="s">
        <v>70</v>
      </c>
      <c r="D20" s="14" t="s">
        <v>44</v>
      </c>
      <c r="E20" s="13" t="s">
        <v>77</v>
      </c>
      <c r="F20" s="13" t="s">
        <v>78</v>
      </c>
      <c r="G20" s="13">
        <v>4.5</v>
      </c>
      <c r="H20" s="15">
        <v>362</v>
      </c>
      <c r="I20" s="16">
        <v>1629</v>
      </c>
      <c r="J20" s="16">
        <v>995.4365763546798</v>
      </c>
      <c r="K20" s="16">
        <v>633.5634236453202</v>
      </c>
      <c r="L20" s="13">
        <v>11.59</v>
      </c>
      <c r="M20" s="13"/>
      <c r="N20" s="17">
        <f t="shared" si="0"/>
        <v>4195.58</v>
      </c>
      <c r="O20" s="17">
        <f t="shared" si="0"/>
        <v>0</v>
      </c>
      <c r="P20" s="17">
        <f t="shared" si="1"/>
        <v>4195.58</v>
      </c>
      <c r="Q20" t="str">
        <f>A20&amp;"-"&amp;B20&amp;"-"&amp;D20</f>
        <v>JANUARI-CHW-L1</v>
      </c>
    </row>
    <row r="21" spans="1:17" x14ac:dyDescent="0.25">
      <c r="A21" t="s">
        <v>388</v>
      </c>
      <c r="B21" s="13" t="s">
        <v>19</v>
      </c>
      <c r="C21" s="13" t="s">
        <v>70</v>
      </c>
      <c r="D21" s="14" t="s">
        <v>44</v>
      </c>
      <c r="E21" s="13" t="s">
        <v>77</v>
      </c>
      <c r="F21" s="13" t="s">
        <v>79</v>
      </c>
      <c r="G21" s="13">
        <v>3.7000000000000006</v>
      </c>
      <c r="H21" s="15">
        <v>427</v>
      </c>
      <c r="I21" s="16">
        <v>1579.9</v>
      </c>
      <c r="J21" s="16">
        <v>1026.9439655172414</v>
      </c>
      <c r="K21" s="16">
        <v>552.95603448275858</v>
      </c>
      <c r="L21" s="13">
        <v>7.68</v>
      </c>
      <c r="M21" s="13"/>
      <c r="N21" s="17">
        <f t="shared" si="0"/>
        <v>3279.3599999999997</v>
      </c>
      <c r="O21" s="17">
        <f t="shared" si="0"/>
        <v>0</v>
      </c>
      <c r="P21" s="17">
        <f t="shared" si="1"/>
        <v>3279.3599999999997</v>
      </c>
      <c r="Q21" t="str">
        <f>A21&amp;"-"&amp;B21&amp;"-"&amp;D21</f>
        <v>JANUARI-CHW-L1</v>
      </c>
    </row>
    <row r="22" spans="1:17" x14ac:dyDescent="0.25">
      <c r="A22" t="s">
        <v>388</v>
      </c>
      <c r="B22" s="13" t="s">
        <v>19</v>
      </c>
      <c r="C22" s="13" t="s">
        <v>70</v>
      </c>
      <c r="D22" s="14" t="s">
        <v>44</v>
      </c>
      <c r="E22" s="13" t="s">
        <v>77</v>
      </c>
      <c r="F22" s="13" t="s">
        <v>80</v>
      </c>
      <c r="G22" s="13">
        <v>3.7</v>
      </c>
      <c r="H22" s="15">
        <v>166</v>
      </c>
      <c r="I22" s="16">
        <v>614.20000000000005</v>
      </c>
      <c r="J22" s="16">
        <v>645.21052631578948</v>
      </c>
      <c r="K22" s="16">
        <v>-31.010526315789463</v>
      </c>
      <c r="L22" s="13">
        <v>8.4</v>
      </c>
      <c r="M22" s="13"/>
      <c r="N22" s="17">
        <f t="shared" si="0"/>
        <v>1394.4</v>
      </c>
      <c r="O22" s="17">
        <f t="shared" si="0"/>
        <v>0</v>
      </c>
      <c r="P22" s="17">
        <f t="shared" si="1"/>
        <v>1394.4</v>
      </c>
      <c r="Q22" t="str">
        <f>A22&amp;"-"&amp;B22&amp;"-"&amp;D22</f>
        <v>JANUARI-CHW-L1</v>
      </c>
    </row>
    <row r="23" spans="1:17" x14ac:dyDescent="0.25">
      <c r="A23" t="s">
        <v>388</v>
      </c>
      <c r="B23" s="13" t="s">
        <v>19</v>
      </c>
      <c r="C23" s="13" t="s">
        <v>70</v>
      </c>
      <c r="D23" s="14" t="s">
        <v>56</v>
      </c>
      <c r="E23" s="13" t="s">
        <v>77</v>
      </c>
      <c r="F23" s="13" t="s">
        <v>81</v>
      </c>
      <c r="G23" s="13">
        <v>4.5</v>
      </c>
      <c r="H23" s="15">
        <v>226</v>
      </c>
      <c r="I23" s="16">
        <v>1017</v>
      </c>
      <c r="J23" s="16">
        <v>977.11590610833866</v>
      </c>
      <c r="K23" s="16">
        <v>39.884093891661308</v>
      </c>
      <c r="L23" s="13">
        <v>12.33</v>
      </c>
      <c r="M23" s="13"/>
      <c r="N23" s="17">
        <f t="shared" si="0"/>
        <v>2786.58</v>
      </c>
      <c r="O23" s="17">
        <f t="shared" si="0"/>
        <v>0</v>
      </c>
      <c r="P23" s="17">
        <f t="shared" si="1"/>
        <v>2786.58</v>
      </c>
      <c r="Q23" t="str">
        <f>A23&amp;"-"&amp;B23&amp;"-"&amp;D23</f>
        <v>JANUARI-CHW-L3</v>
      </c>
    </row>
    <row r="24" spans="1:17" x14ac:dyDescent="0.25">
      <c r="A24" t="s">
        <v>388</v>
      </c>
      <c r="B24" s="13" t="s">
        <v>19</v>
      </c>
      <c r="C24" s="13" t="s">
        <v>70</v>
      </c>
      <c r="D24" s="14" t="s">
        <v>56</v>
      </c>
      <c r="E24" s="13" t="s">
        <v>77</v>
      </c>
      <c r="F24" s="13" t="s">
        <v>82</v>
      </c>
      <c r="G24" s="13">
        <v>4.5</v>
      </c>
      <c r="H24" s="15">
        <v>295</v>
      </c>
      <c r="I24" s="16">
        <v>1327.5</v>
      </c>
      <c r="J24" s="16">
        <v>1217.2878721165662</v>
      </c>
      <c r="K24" s="16">
        <v>110.21212788343364</v>
      </c>
      <c r="L24" s="13">
        <v>12.28</v>
      </c>
      <c r="M24" s="13"/>
      <c r="N24" s="17">
        <f t="shared" si="0"/>
        <v>3622.6</v>
      </c>
      <c r="O24" s="17">
        <f t="shared" si="0"/>
        <v>0</v>
      </c>
      <c r="P24" s="17">
        <f t="shared" si="1"/>
        <v>3622.6</v>
      </c>
      <c r="Q24" t="str">
        <f>A24&amp;"-"&amp;B24&amp;"-"&amp;D24</f>
        <v>JANUARI-CHW-L3</v>
      </c>
    </row>
    <row r="25" spans="1:17" x14ac:dyDescent="0.25">
      <c r="A25" t="s">
        <v>388</v>
      </c>
      <c r="B25" s="13" t="s">
        <v>20</v>
      </c>
      <c r="C25" s="13" t="s">
        <v>83</v>
      </c>
      <c r="D25" s="14" t="s">
        <v>56</v>
      </c>
      <c r="E25" s="13" t="s">
        <v>71</v>
      </c>
      <c r="F25" s="13" t="s">
        <v>84</v>
      </c>
      <c r="G25" s="13">
        <v>4.8</v>
      </c>
      <c r="H25" s="15">
        <v>5</v>
      </c>
      <c r="I25" s="16">
        <v>24</v>
      </c>
      <c r="J25" s="16">
        <v>35.123456790123456</v>
      </c>
      <c r="K25" s="16">
        <v>-11.123456790123456</v>
      </c>
      <c r="L25" s="13"/>
      <c r="M25" s="13"/>
      <c r="N25" s="17">
        <f t="shared" si="0"/>
        <v>0</v>
      </c>
      <c r="O25" s="17">
        <f t="shared" si="0"/>
        <v>0</v>
      </c>
      <c r="P25" s="17">
        <f t="shared" si="1"/>
        <v>0</v>
      </c>
      <c r="Q25" t="str">
        <f>A25&amp;"-"&amp;B25&amp;"-"&amp;D25</f>
        <v>JANUARI-CJL-L3</v>
      </c>
    </row>
    <row r="26" spans="1:17" x14ac:dyDescent="0.25">
      <c r="A26" t="s">
        <v>388</v>
      </c>
      <c r="B26" s="13" t="s">
        <v>20</v>
      </c>
      <c r="C26" s="13" t="s">
        <v>70</v>
      </c>
      <c r="D26" s="14" t="s">
        <v>56</v>
      </c>
      <c r="E26" s="13" t="s">
        <v>71</v>
      </c>
      <c r="F26" s="13" t="s">
        <v>85</v>
      </c>
      <c r="G26" s="13">
        <v>5</v>
      </c>
      <c r="H26" s="15">
        <v>6</v>
      </c>
      <c r="I26" s="16">
        <v>30</v>
      </c>
      <c r="J26" s="16">
        <v>42.148148148148145</v>
      </c>
      <c r="K26" s="16">
        <v>-12.148148148148145</v>
      </c>
      <c r="L26" s="13">
        <v>15.08</v>
      </c>
      <c r="M26" s="13"/>
      <c r="N26" s="17">
        <f t="shared" si="0"/>
        <v>90.48</v>
      </c>
      <c r="O26" s="17">
        <f t="shared" si="0"/>
        <v>0</v>
      </c>
      <c r="P26" s="17">
        <f t="shared" si="1"/>
        <v>90.48</v>
      </c>
      <c r="Q26" t="str">
        <f>A26&amp;"-"&amp;B26&amp;"-"&amp;D26</f>
        <v>JANUARI-CJL-L3</v>
      </c>
    </row>
    <row r="27" spans="1:17" x14ac:dyDescent="0.25">
      <c r="A27" t="s">
        <v>388</v>
      </c>
      <c r="B27" s="13" t="s">
        <v>20</v>
      </c>
      <c r="C27" s="13" t="s">
        <v>70</v>
      </c>
      <c r="D27" s="14" t="s">
        <v>56</v>
      </c>
      <c r="E27" s="13" t="s">
        <v>71</v>
      </c>
      <c r="F27" s="13" t="s">
        <v>86</v>
      </c>
      <c r="G27" s="13">
        <v>5</v>
      </c>
      <c r="H27" s="15">
        <v>1</v>
      </c>
      <c r="I27" s="16">
        <v>5</v>
      </c>
      <c r="J27" s="16">
        <v>13.440944881889763</v>
      </c>
      <c r="K27" s="16">
        <v>-8.440944881889763</v>
      </c>
      <c r="L27" s="13">
        <v>12.97</v>
      </c>
      <c r="M27" s="13"/>
      <c r="N27" s="17">
        <f t="shared" si="0"/>
        <v>12.97</v>
      </c>
      <c r="O27" s="17">
        <f t="shared" si="0"/>
        <v>0</v>
      </c>
      <c r="P27" s="17">
        <f t="shared" si="1"/>
        <v>12.97</v>
      </c>
      <c r="Q27" t="str">
        <f>A27&amp;"-"&amp;B27&amp;"-"&amp;D27</f>
        <v>JANUARI-CJL-L3</v>
      </c>
    </row>
    <row r="28" spans="1:17" x14ac:dyDescent="0.25">
      <c r="A28" t="s">
        <v>388</v>
      </c>
      <c r="B28" s="13" t="s">
        <v>20</v>
      </c>
      <c r="C28" s="13" t="s">
        <v>70</v>
      </c>
      <c r="D28" s="14" t="s">
        <v>56</v>
      </c>
      <c r="E28" s="13" t="s">
        <v>71</v>
      </c>
      <c r="F28" s="13" t="s">
        <v>87</v>
      </c>
      <c r="G28" s="13">
        <v>5</v>
      </c>
      <c r="H28" s="15">
        <v>8</v>
      </c>
      <c r="I28" s="16">
        <v>40</v>
      </c>
      <c r="J28" s="16">
        <v>71.359198282032921</v>
      </c>
      <c r="K28" s="16">
        <v>-31.359198282032924</v>
      </c>
      <c r="L28" s="13">
        <v>12.78</v>
      </c>
      <c r="M28" s="13"/>
      <c r="N28" s="17">
        <f t="shared" si="0"/>
        <v>102.24</v>
      </c>
      <c r="O28" s="17">
        <f t="shared" si="0"/>
        <v>0</v>
      </c>
      <c r="P28" s="17">
        <f t="shared" si="1"/>
        <v>102.24</v>
      </c>
      <c r="Q28" t="str">
        <f>A28&amp;"-"&amp;B28&amp;"-"&amp;D28</f>
        <v>JANUARI-CJL-L3</v>
      </c>
    </row>
    <row r="29" spans="1:17" x14ac:dyDescent="0.25">
      <c r="A29" t="s">
        <v>388</v>
      </c>
      <c r="B29" s="13" t="s">
        <v>20</v>
      </c>
      <c r="C29" s="13" t="s">
        <v>70</v>
      </c>
      <c r="D29" s="14" t="s">
        <v>56</v>
      </c>
      <c r="E29" s="13" t="s">
        <v>71</v>
      </c>
      <c r="F29" s="13" t="s">
        <v>88</v>
      </c>
      <c r="G29" s="13">
        <v>10</v>
      </c>
      <c r="H29" s="15">
        <v>1</v>
      </c>
      <c r="I29" s="16">
        <v>10</v>
      </c>
      <c r="J29" s="16">
        <v>13.440944881889763</v>
      </c>
      <c r="K29" s="16">
        <v>-3.440944881889763</v>
      </c>
      <c r="L29" s="13">
        <v>19.420000000000002</v>
      </c>
      <c r="M29" s="13"/>
      <c r="N29" s="17">
        <f t="shared" si="0"/>
        <v>19.420000000000002</v>
      </c>
      <c r="O29" s="17">
        <f t="shared" si="0"/>
        <v>0</v>
      </c>
      <c r="P29" s="17">
        <f t="shared" si="1"/>
        <v>19.420000000000002</v>
      </c>
      <c r="Q29" t="str">
        <f>A29&amp;"-"&amp;B29&amp;"-"&amp;D29</f>
        <v>JANUARI-CJL-L3</v>
      </c>
    </row>
    <row r="30" spans="1:17" x14ac:dyDescent="0.25">
      <c r="A30" t="s">
        <v>388</v>
      </c>
      <c r="B30" s="13" t="s">
        <v>20</v>
      </c>
      <c r="C30" s="13" t="s">
        <v>70</v>
      </c>
      <c r="D30" s="14" t="s">
        <v>56</v>
      </c>
      <c r="E30" s="13" t="s">
        <v>71</v>
      </c>
      <c r="F30" s="13" t="s">
        <v>89</v>
      </c>
      <c r="G30" s="13">
        <v>5</v>
      </c>
      <c r="H30" s="15">
        <v>4</v>
      </c>
      <c r="I30" s="16">
        <v>20</v>
      </c>
      <c r="J30" s="16">
        <v>32.062763063707948</v>
      </c>
      <c r="K30" s="16">
        <v>-12.062763063707948</v>
      </c>
      <c r="L30" s="13">
        <v>14.95</v>
      </c>
      <c r="M30" s="13"/>
      <c r="N30" s="17">
        <f t="shared" si="0"/>
        <v>59.8</v>
      </c>
      <c r="O30" s="17">
        <f t="shared" si="0"/>
        <v>0</v>
      </c>
      <c r="P30" s="17">
        <f t="shared" si="1"/>
        <v>59.8</v>
      </c>
      <c r="Q30" t="str">
        <f>A30&amp;"-"&amp;B30&amp;"-"&amp;D30</f>
        <v>JANUARI-CJL-L3</v>
      </c>
    </row>
    <row r="31" spans="1:17" x14ac:dyDescent="0.25">
      <c r="A31" t="s">
        <v>388</v>
      </c>
      <c r="B31" s="13" t="s">
        <v>20</v>
      </c>
      <c r="C31" s="13" t="s">
        <v>70</v>
      </c>
      <c r="D31" s="14" t="s">
        <v>56</v>
      </c>
      <c r="E31" s="13" t="s">
        <v>71</v>
      </c>
      <c r="F31" s="13" t="s">
        <v>90</v>
      </c>
      <c r="G31" s="13">
        <v>4.8</v>
      </c>
      <c r="H31" s="15">
        <v>5</v>
      </c>
      <c r="I31" s="16">
        <v>24</v>
      </c>
      <c r="J31" s="16">
        <v>67.204724409448815</v>
      </c>
      <c r="K31" s="16">
        <v>-43.204724409448815</v>
      </c>
      <c r="L31" s="13">
        <v>14.97</v>
      </c>
      <c r="M31" s="13"/>
      <c r="N31" s="17">
        <f t="shared" si="0"/>
        <v>74.850000000000009</v>
      </c>
      <c r="O31" s="17">
        <f t="shared" si="0"/>
        <v>0</v>
      </c>
      <c r="P31" s="17">
        <f t="shared" si="1"/>
        <v>74.850000000000009</v>
      </c>
      <c r="Q31" t="str">
        <f>A31&amp;"-"&amp;B31&amp;"-"&amp;D31</f>
        <v>JANUARI-CJL-L3</v>
      </c>
    </row>
    <row r="32" spans="1:17" x14ac:dyDescent="0.25">
      <c r="A32" t="s">
        <v>388</v>
      </c>
      <c r="B32" s="13" t="s">
        <v>20</v>
      </c>
      <c r="C32" s="13" t="s">
        <v>70</v>
      </c>
      <c r="D32" s="14" t="s">
        <v>56</v>
      </c>
      <c r="E32" s="13" t="s">
        <v>71</v>
      </c>
      <c r="F32" s="13" t="s">
        <v>91</v>
      </c>
      <c r="G32" s="13">
        <v>4.8</v>
      </c>
      <c r="H32" s="15">
        <v>3</v>
      </c>
      <c r="I32" s="16">
        <v>14.4</v>
      </c>
      <c r="J32" s="16">
        <v>18.621818181818185</v>
      </c>
      <c r="K32" s="16">
        <v>-4.2218181818181844</v>
      </c>
      <c r="L32" s="13">
        <v>14.4</v>
      </c>
      <c r="M32" s="13"/>
      <c r="N32" s="17">
        <f t="shared" si="0"/>
        <v>43.2</v>
      </c>
      <c r="O32" s="17">
        <f t="shared" si="0"/>
        <v>0</v>
      </c>
      <c r="P32" s="17">
        <f t="shared" si="1"/>
        <v>43.2</v>
      </c>
      <c r="Q32" t="str">
        <f>A32&amp;"-"&amp;B32&amp;"-"&amp;D32</f>
        <v>JANUARI-CJL-L3</v>
      </c>
    </row>
    <row r="33" spans="1:17" x14ac:dyDescent="0.25">
      <c r="A33" t="s">
        <v>388</v>
      </c>
      <c r="B33" s="13" t="s">
        <v>20</v>
      </c>
      <c r="C33" s="13" t="s">
        <v>70</v>
      </c>
      <c r="D33" s="14" t="s">
        <v>56</v>
      </c>
      <c r="E33" s="13" t="s">
        <v>71</v>
      </c>
      <c r="F33" s="13" t="s">
        <v>92</v>
      </c>
      <c r="G33" s="13">
        <v>5</v>
      </c>
      <c r="H33" s="15">
        <v>1000</v>
      </c>
      <c r="I33" s="16">
        <v>5000</v>
      </c>
      <c r="J33" s="16">
        <v>8255.9478723404263</v>
      </c>
      <c r="K33" s="16">
        <v>-3255.9478723404259</v>
      </c>
      <c r="L33" s="13">
        <v>11.11</v>
      </c>
      <c r="M33" s="13"/>
      <c r="N33" s="17">
        <f t="shared" si="0"/>
        <v>11110</v>
      </c>
      <c r="O33" s="17">
        <f t="shared" si="0"/>
        <v>0</v>
      </c>
      <c r="P33" s="17">
        <f t="shared" si="1"/>
        <v>11110</v>
      </c>
      <c r="Q33" t="str">
        <f>A33&amp;"-"&amp;B33&amp;"-"&amp;D33</f>
        <v>JANUARI-CJL-L3</v>
      </c>
    </row>
    <row r="34" spans="1:17" x14ac:dyDescent="0.25">
      <c r="A34" t="s">
        <v>388</v>
      </c>
      <c r="B34" s="13" t="s">
        <v>20</v>
      </c>
      <c r="C34" s="13" t="s">
        <v>70</v>
      </c>
      <c r="D34" s="14" t="s">
        <v>56</v>
      </c>
      <c r="E34" s="13" t="s">
        <v>71</v>
      </c>
      <c r="F34" s="13" t="s">
        <v>93</v>
      </c>
      <c r="G34" s="13">
        <v>5</v>
      </c>
      <c r="H34" s="15">
        <v>800</v>
      </c>
      <c r="I34" s="16">
        <v>4000</v>
      </c>
      <c r="J34" s="16">
        <v>6849.2590401438929</v>
      </c>
      <c r="K34" s="16">
        <v>-2849.2590401438933</v>
      </c>
      <c r="L34" s="13">
        <v>11.25</v>
      </c>
      <c r="M34" s="13"/>
      <c r="N34" s="17">
        <f t="shared" si="0"/>
        <v>9000</v>
      </c>
      <c r="O34" s="17">
        <f t="shared" si="0"/>
        <v>0</v>
      </c>
      <c r="P34" s="17">
        <f t="shared" si="1"/>
        <v>9000</v>
      </c>
      <c r="Q34" t="str">
        <f>A34&amp;"-"&amp;B34&amp;"-"&amp;D34</f>
        <v>JANUARI-CJL-L3</v>
      </c>
    </row>
    <row r="35" spans="1:17" x14ac:dyDescent="0.25">
      <c r="A35" t="s">
        <v>388</v>
      </c>
      <c r="B35" s="13" t="s">
        <v>20</v>
      </c>
      <c r="C35" s="13" t="s">
        <v>70</v>
      </c>
      <c r="D35" s="14" t="s">
        <v>56</v>
      </c>
      <c r="E35" s="13" t="s">
        <v>71</v>
      </c>
      <c r="F35" s="13" t="s">
        <v>94</v>
      </c>
      <c r="G35" s="13">
        <v>5</v>
      </c>
      <c r="H35" s="15">
        <v>6</v>
      </c>
      <c r="I35" s="16">
        <v>30</v>
      </c>
      <c r="J35" s="16">
        <v>42.148148148148145</v>
      </c>
      <c r="K35" s="16">
        <v>-12.148148148148145</v>
      </c>
      <c r="L35" s="13">
        <v>12.76</v>
      </c>
      <c r="M35" s="13"/>
      <c r="N35" s="17">
        <f t="shared" si="0"/>
        <v>76.56</v>
      </c>
      <c r="O35" s="17">
        <f t="shared" si="0"/>
        <v>0</v>
      </c>
      <c r="P35" s="17">
        <f t="shared" si="1"/>
        <v>76.56</v>
      </c>
      <c r="Q35" t="str">
        <f>A35&amp;"-"&amp;B35&amp;"-"&amp;D35</f>
        <v>JANUARI-CJL-L3</v>
      </c>
    </row>
    <row r="36" spans="1:17" x14ac:dyDescent="0.25">
      <c r="A36" t="s">
        <v>388</v>
      </c>
      <c r="B36" s="13" t="s">
        <v>20</v>
      </c>
      <c r="C36" s="13" t="s">
        <v>70</v>
      </c>
      <c r="D36" s="14" t="s">
        <v>56</v>
      </c>
      <c r="E36" s="13" t="s">
        <v>71</v>
      </c>
      <c r="F36" s="13" t="s">
        <v>95</v>
      </c>
      <c r="G36" s="13">
        <v>5</v>
      </c>
      <c r="H36" s="15">
        <v>285</v>
      </c>
      <c r="I36" s="16">
        <v>1425</v>
      </c>
      <c r="J36" s="16">
        <v>1768.605320342909</v>
      </c>
      <c r="K36" s="16">
        <v>-343.60532034290901</v>
      </c>
      <c r="L36" s="13">
        <v>14.27</v>
      </c>
      <c r="M36" s="13"/>
      <c r="N36" s="17">
        <f t="shared" si="0"/>
        <v>4066.95</v>
      </c>
      <c r="O36" s="17">
        <f t="shared" si="0"/>
        <v>0</v>
      </c>
      <c r="P36" s="17">
        <f t="shared" si="1"/>
        <v>4066.95</v>
      </c>
      <c r="Q36" t="str">
        <f>A36&amp;"-"&amp;B36&amp;"-"&amp;D36</f>
        <v>JANUARI-CJL-L3</v>
      </c>
    </row>
    <row r="37" spans="1:17" x14ac:dyDescent="0.25">
      <c r="A37" t="s">
        <v>388</v>
      </c>
      <c r="B37" s="13" t="s">
        <v>20</v>
      </c>
      <c r="C37" s="13" t="s">
        <v>70</v>
      </c>
      <c r="D37" s="14" t="s">
        <v>56</v>
      </c>
      <c r="E37" s="13" t="s">
        <v>71</v>
      </c>
      <c r="F37" s="13" t="s">
        <v>96</v>
      </c>
      <c r="G37" s="13">
        <v>5</v>
      </c>
      <c r="H37" s="15">
        <v>4</v>
      </c>
      <c r="I37" s="16">
        <v>20</v>
      </c>
      <c r="J37" s="16">
        <v>28.098765432098769</v>
      </c>
      <c r="K37" s="16">
        <v>-8.0987654320987694</v>
      </c>
      <c r="L37" s="13">
        <v>12.55</v>
      </c>
      <c r="M37" s="13"/>
      <c r="N37" s="17">
        <f t="shared" si="0"/>
        <v>50.2</v>
      </c>
      <c r="O37" s="17">
        <f t="shared" si="0"/>
        <v>0</v>
      </c>
      <c r="P37" s="17">
        <f t="shared" si="1"/>
        <v>50.2</v>
      </c>
      <c r="Q37" t="str">
        <f>A37&amp;"-"&amp;B37&amp;"-"&amp;D37</f>
        <v>JANUARI-CJL-L3</v>
      </c>
    </row>
    <row r="38" spans="1:17" x14ac:dyDescent="0.25">
      <c r="A38" t="s">
        <v>388</v>
      </c>
      <c r="B38" s="13" t="s">
        <v>20</v>
      </c>
      <c r="C38" s="13" t="s">
        <v>70</v>
      </c>
      <c r="D38" s="14" t="s">
        <v>56</v>
      </c>
      <c r="E38" s="13" t="s">
        <v>71</v>
      </c>
      <c r="F38" s="13" t="s">
        <v>97</v>
      </c>
      <c r="G38" s="13">
        <v>5</v>
      </c>
      <c r="H38" s="15">
        <v>1</v>
      </c>
      <c r="I38" s="16">
        <v>5</v>
      </c>
      <c r="J38" s="16">
        <v>7.0246913580246924</v>
      </c>
      <c r="K38" s="16">
        <v>-2.0246913580246924</v>
      </c>
      <c r="L38" s="13">
        <v>12.56</v>
      </c>
      <c r="M38" s="13"/>
      <c r="N38" s="17">
        <f t="shared" si="0"/>
        <v>12.56</v>
      </c>
      <c r="O38" s="17">
        <f t="shared" si="0"/>
        <v>0</v>
      </c>
      <c r="P38" s="17">
        <f t="shared" si="1"/>
        <v>12.56</v>
      </c>
      <c r="Q38" t="str">
        <f>A38&amp;"-"&amp;B38&amp;"-"&amp;D38</f>
        <v>JANUARI-CJL-L3</v>
      </c>
    </row>
    <row r="39" spans="1:17" x14ac:dyDescent="0.25">
      <c r="A39" t="s">
        <v>388</v>
      </c>
      <c r="B39" s="13" t="s">
        <v>20</v>
      </c>
      <c r="C39" s="13" t="s">
        <v>70</v>
      </c>
      <c r="D39" s="14" t="s">
        <v>56</v>
      </c>
      <c r="E39" s="13" t="s">
        <v>71</v>
      </c>
      <c r="F39" s="13" t="s">
        <v>98</v>
      </c>
      <c r="G39" s="13">
        <v>5</v>
      </c>
      <c r="H39" s="15">
        <v>11</v>
      </c>
      <c r="I39" s="16">
        <v>55</v>
      </c>
      <c r="J39" s="16">
        <v>5231.1923543123539</v>
      </c>
      <c r="K39" s="16">
        <v>-5176.1923543123539</v>
      </c>
      <c r="L39" s="13">
        <v>14.78</v>
      </c>
      <c r="M39" s="13"/>
      <c r="N39" s="17">
        <f t="shared" si="0"/>
        <v>162.57999999999998</v>
      </c>
      <c r="O39" s="17">
        <f t="shared" si="0"/>
        <v>0</v>
      </c>
      <c r="P39" s="17">
        <f t="shared" si="1"/>
        <v>162.57999999999998</v>
      </c>
      <c r="Q39" t="str">
        <f>A39&amp;"-"&amp;B39&amp;"-"&amp;D39</f>
        <v>JANUARI-CJL-L3</v>
      </c>
    </row>
    <row r="40" spans="1:17" x14ac:dyDescent="0.25">
      <c r="A40" t="s">
        <v>388</v>
      </c>
      <c r="B40" s="13" t="s">
        <v>20</v>
      </c>
      <c r="C40" s="13" t="s">
        <v>70</v>
      </c>
      <c r="D40" s="14" t="s">
        <v>56</v>
      </c>
      <c r="E40" s="13" t="s">
        <v>71</v>
      </c>
      <c r="F40" s="13" t="s">
        <v>99</v>
      </c>
      <c r="G40" s="13">
        <v>5</v>
      </c>
      <c r="H40" s="15">
        <v>1</v>
      </c>
      <c r="I40" s="16">
        <v>5</v>
      </c>
      <c r="J40" s="16">
        <v>7.0246913580246924</v>
      </c>
      <c r="K40" s="16">
        <v>-2.0246913580246924</v>
      </c>
      <c r="L40" s="13">
        <v>11.73</v>
      </c>
      <c r="M40" s="13"/>
      <c r="N40" s="17">
        <f t="shared" si="0"/>
        <v>11.73</v>
      </c>
      <c r="O40" s="17">
        <f t="shared" si="0"/>
        <v>0</v>
      </c>
      <c r="P40" s="17">
        <f t="shared" si="1"/>
        <v>11.73</v>
      </c>
      <c r="Q40" t="str">
        <f>A40&amp;"-"&amp;B40&amp;"-"&amp;D40</f>
        <v>JANUARI-CJL-L3</v>
      </c>
    </row>
    <row r="41" spans="1:17" x14ac:dyDescent="0.25">
      <c r="A41" t="s">
        <v>388</v>
      </c>
      <c r="B41" s="13" t="s">
        <v>20</v>
      </c>
      <c r="C41" s="13" t="s">
        <v>70</v>
      </c>
      <c r="D41" s="14" t="s">
        <v>56</v>
      </c>
      <c r="E41" s="13" t="s">
        <v>71</v>
      </c>
      <c r="F41" s="13" t="s">
        <v>100</v>
      </c>
      <c r="G41" s="13">
        <v>5</v>
      </c>
      <c r="H41" s="15">
        <v>8</v>
      </c>
      <c r="I41" s="16">
        <v>40</v>
      </c>
      <c r="J41" s="16">
        <v>49.658181818181816</v>
      </c>
      <c r="K41" s="16">
        <v>-9.6581818181818164</v>
      </c>
      <c r="L41" s="13">
        <v>12.53</v>
      </c>
      <c r="M41" s="13"/>
      <c r="N41" s="17">
        <f t="shared" si="0"/>
        <v>100.24</v>
      </c>
      <c r="O41" s="17">
        <f t="shared" si="0"/>
        <v>0</v>
      </c>
      <c r="P41" s="17">
        <f t="shared" si="1"/>
        <v>100.24</v>
      </c>
      <c r="Q41" t="str">
        <f>A41&amp;"-"&amp;B41&amp;"-"&amp;D41</f>
        <v>JANUARI-CJL-L3</v>
      </c>
    </row>
    <row r="42" spans="1:17" x14ac:dyDescent="0.25">
      <c r="A42" t="s">
        <v>388</v>
      </c>
      <c r="B42" s="13" t="s">
        <v>20</v>
      </c>
      <c r="C42" s="13" t="s">
        <v>70</v>
      </c>
      <c r="D42" s="14" t="s">
        <v>56</v>
      </c>
      <c r="E42" s="13" t="s">
        <v>71</v>
      </c>
      <c r="F42" s="13" t="s">
        <v>101</v>
      </c>
      <c r="G42" s="13">
        <v>5</v>
      </c>
      <c r="H42" s="15">
        <v>3</v>
      </c>
      <c r="I42" s="16">
        <v>15</v>
      </c>
      <c r="J42" s="16">
        <v>21.074074074074073</v>
      </c>
      <c r="K42" s="16">
        <v>-6.0740740740740726</v>
      </c>
      <c r="L42" s="13">
        <v>13.95</v>
      </c>
      <c r="M42" s="13"/>
      <c r="N42" s="17">
        <f t="shared" si="0"/>
        <v>41.849999999999994</v>
      </c>
      <c r="O42" s="17">
        <f t="shared" si="0"/>
        <v>0</v>
      </c>
      <c r="P42" s="17">
        <f t="shared" si="1"/>
        <v>41.849999999999994</v>
      </c>
      <c r="Q42" t="str">
        <f>A42&amp;"-"&amp;B42&amp;"-"&amp;D42</f>
        <v>JANUARI-CJL-L3</v>
      </c>
    </row>
    <row r="43" spans="1:17" x14ac:dyDescent="0.25">
      <c r="A43" t="s">
        <v>388</v>
      </c>
      <c r="B43" s="13" t="s">
        <v>20</v>
      </c>
      <c r="C43" s="13" t="s">
        <v>70</v>
      </c>
      <c r="D43" s="14" t="s">
        <v>56</v>
      </c>
      <c r="E43" s="13" t="s">
        <v>71</v>
      </c>
      <c r="F43" s="13" t="s">
        <v>102</v>
      </c>
      <c r="G43" s="13">
        <v>4.8</v>
      </c>
      <c r="H43" s="15">
        <v>6</v>
      </c>
      <c r="I43" s="16">
        <v>28.8</v>
      </c>
      <c r="J43" s="16">
        <v>45.52</v>
      </c>
      <c r="K43" s="16">
        <v>-16.720000000000002</v>
      </c>
      <c r="L43" s="13">
        <v>13.67</v>
      </c>
      <c r="M43" s="13"/>
      <c r="N43" s="17">
        <f t="shared" si="0"/>
        <v>82.02</v>
      </c>
      <c r="O43" s="17">
        <f t="shared" si="0"/>
        <v>0</v>
      </c>
      <c r="P43" s="17">
        <f t="shared" si="1"/>
        <v>82.02</v>
      </c>
      <c r="Q43" t="str">
        <f>A43&amp;"-"&amp;B43&amp;"-"&amp;D43</f>
        <v>JANUARI-CJL-L3</v>
      </c>
    </row>
    <row r="44" spans="1:17" x14ac:dyDescent="0.25">
      <c r="A44" t="s">
        <v>388</v>
      </c>
      <c r="B44" s="13" t="s">
        <v>20</v>
      </c>
      <c r="C44" s="13" t="s">
        <v>70</v>
      </c>
      <c r="D44" s="14" t="s">
        <v>56</v>
      </c>
      <c r="E44" s="13" t="s">
        <v>71</v>
      </c>
      <c r="F44" s="13" t="s">
        <v>103</v>
      </c>
      <c r="G44" s="13">
        <v>4.8</v>
      </c>
      <c r="H44" s="15">
        <v>3</v>
      </c>
      <c r="I44" s="16">
        <v>14.4</v>
      </c>
      <c r="J44" s="16">
        <v>21.074074074074073</v>
      </c>
      <c r="K44" s="16">
        <v>-6.6740740740740723</v>
      </c>
      <c r="L44" s="13">
        <v>12.86</v>
      </c>
      <c r="M44" s="13"/>
      <c r="N44" s="17">
        <f t="shared" si="0"/>
        <v>38.58</v>
      </c>
      <c r="O44" s="17">
        <f t="shared" si="0"/>
        <v>0</v>
      </c>
      <c r="P44" s="17">
        <f t="shared" si="1"/>
        <v>38.58</v>
      </c>
      <c r="Q44" t="str">
        <f>A44&amp;"-"&amp;B44&amp;"-"&amp;D44</f>
        <v>JANUARI-CJL-L3</v>
      </c>
    </row>
    <row r="45" spans="1:17" x14ac:dyDescent="0.25">
      <c r="A45" t="s">
        <v>388</v>
      </c>
      <c r="B45" s="13" t="s">
        <v>20</v>
      </c>
      <c r="C45" s="13" t="s">
        <v>70</v>
      </c>
      <c r="D45" s="14" t="s">
        <v>56</v>
      </c>
      <c r="E45" s="13" t="s">
        <v>71</v>
      </c>
      <c r="F45" s="13" t="s">
        <v>104</v>
      </c>
      <c r="G45" s="13">
        <v>5</v>
      </c>
      <c r="H45" s="15">
        <v>6</v>
      </c>
      <c r="I45" s="16">
        <v>30</v>
      </c>
      <c r="J45" s="16">
        <v>42.148148148148145</v>
      </c>
      <c r="K45" s="16">
        <v>-12.148148148148145</v>
      </c>
      <c r="L45" s="13">
        <v>14.4</v>
      </c>
      <c r="M45" s="13"/>
      <c r="N45" s="17">
        <f t="shared" si="0"/>
        <v>86.4</v>
      </c>
      <c r="O45" s="17">
        <f t="shared" si="0"/>
        <v>0</v>
      </c>
      <c r="P45" s="17">
        <f t="shared" si="1"/>
        <v>86.4</v>
      </c>
      <c r="Q45" t="str">
        <f>A45&amp;"-"&amp;B45&amp;"-"&amp;D45</f>
        <v>JANUARI-CJL-L3</v>
      </c>
    </row>
    <row r="46" spans="1:17" x14ac:dyDescent="0.25">
      <c r="A46" t="s">
        <v>388</v>
      </c>
      <c r="B46" s="13" t="s">
        <v>20</v>
      </c>
      <c r="C46" s="13" t="s">
        <v>70</v>
      </c>
      <c r="D46" s="14" t="s">
        <v>56</v>
      </c>
      <c r="E46" s="13" t="s">
        <v>71</v>
      </c>
      <c r="F46" s="13" t="s">
        <v>105</v>
      </c>
      <c r="G46" s="13">
        <v>5</v>
      </c>
      <c r="H46" s="15">
        <v>1</v>
      </c>
      <c r="I46" s="16">
        <v>5</v>
      </c>
      <c r="J46" s="16">
        <v>7.0246913580246924</v>
      </c>
      <c r="K46" s="16">
        <v>-2.0246913580246924</v>
      </c>
      <c r="L46" s="13">
        <v>11.87</v>
      </c>
      <c r="M46" s="13"/>
      <c r="N46" s="17">
        <f t="shared" si="0"/>
        <v>11.87</v>
      </c>
      <c r="O46" s="17">
        <f t="shared" si="0"/>
        <v>0</v>
      </c>
      <c r="P46" s="17">
        <f t="shared" si="1"/>
        <v>11.87</v>
      </c>
      <c r="Q46" t="str">
        <f>A46&amp;"-"&amp;B46&amp;"-"&amp;D46</f>
        <v>JANUARI-CJL-L3</v>
      </c>
    </row>
    <row r="47" spans="1:17" x14ac:dyDescent="0.25">
      <c r="A47" t="s">
        <v>388</v>
      </c>
      <c r="B47" s="13" t="s">
        <v>20</v>
      </c>
      <c r="C47" s="13" t="s">
        <v>70</v>
      </c>
      <c r="D47" s="14" t="s">
        <v>56</v>
      </c>
      <c r="E47" s="13" t="s">
        <v>71</v>
      </c>
      <c r="F47" s="13" t="s">
        <v>106</v>
      </c>
      <c r="G47" s="13">
        <v>5</v>
      </c>
      <c r="H47" s="15">
        <v>12</v>
      </c>
      <c r="I47" s="16">
        <v>60</v>
      </c>
      <c r="J47" s="16">
        <v>85.982222222222219</v>
      </c>
      <c r="K47" s="16">
        <v>-25.982222222222223</v>
      </c>
      <c r="L47" s="13">
        <v>12.76</v>
      </c>
      <c r="M47" s="13"/>
      <c r="N47" s="17">
        <f t="shared" si="0"/>
        <v>153.12</v>
      </c>
      <c r="O47" s="17">
        <f t="shared" si="0"/>
        <v>0</v>
      </c>
      <c r="P47" s="17">
        <f t="shared" si="1"/>
        <v>153.12</v>
      </c>
      <c r="Q47" t="str">
        <f>A47&amp;"-"&amp;B47&amp;"-"&amp;D47</f>
        <v>JANUARI-CJL-L3</v>
      </c>
    </row>
    <row r="48" spans="1:17" x14ac:dyDescent="0.25">
      <c r="A48" t="s">
        <v>388</v>
      </c>
      <c r="B48" s="13" t="s">
        <v>20</v>
      </c>
      <c r="C48" s="13" t="s">
        <v>70</v>
      </c>
      <c r="D48" s="14" t="s">
        <v>56</v>
      </c>
      <c r="E48" s="13" t="s">
        <v>71</v>
      </c>
      <c r="F48" s="13" t="s">
        <v>107</v>
      </c>
      <c r="G48" s="13">
        <v>5</v>
      </c>
      <c r="H48" s="15">
        <v>1</v>
      </c>
      <c r="I48" s="16">
        <v>5</v>
      </c>
      <c r="J48" s="16">
        <v>13.440944881889763</v>
      </c>
      <c r="K48" s="16">
        <v>-8.440944881889763</v>
      </c>
      <c r="L48" s="13">
        <v>14.89</v>
      </c>
      <c r="M48" s="13"/>
      <c r="N48" s="17">
        <f t="shared" si="0"/>
        <v>14.89</v>
      </c>
      <c r="O48" s="17">
        <f t="shared" si="0"/>
        <v>0</v>
      </c>
      <c r="P48" s="17">
        <f t="shared" si="1"/>
        <v>14.89</v>
      </c>
      <c r="Q48" t="str">
        <f>A48&amp;"-"&amp;B48&amp;"-"&amp;D48</f>
        <v>JANUARI-CJL-L3</v>
      </c>
    </row>
    <row r="49" spans="1:17" x14ac:dyDescent="0.25">
      <c r="A49" t="s">
        <v>388</v>
      </c>
      <c r="B49" s="13" t="s">
        <v>20</v>
      </c>
      <c r="C49" s="13" t="s">
        <v>70</v>
      </c>
      <c r="D49" s="14" t="s">
        <v>56</v>
      </c>
      <c r="E49" s="13" t="s">
        <v>71</v>
      </c>
      <c r="F49" s="13" t="s">
        <v>108</v>
      </c>
      <c r="G49" s="13">
        <v>5</v>
      </c>
      <c r="H49" s="15">
        <v>1</v>
      </c>
      <c r="I49" s="16">
        <v>5</v>
      </c>
      <c r="J49" s="16">
        <v>7.0246913580246924</v>
      </c>
      <c r="K49" s="16">
        <v>-2.0246913580246924</v>
      </c>
      <c r="L49" s="13">
        <v>14.41</v>
      </c>
      <c r="M49" s="13"/>
      <c r="N49" s="17">
        <f t="shared" si="0"/>
        <v>14.41</v>
      </c>
      <c r="O49" s="17">
        <f t="shared" si="0"/>
        <v>0</v>
      </c>
      <c r="P49" s="17">
        <f t="shared" si="1"/>
        <v>14.41</v>
      </c>
      <c r="Q49" t="str">
        <f>A49&amp;"-"&amp;B49&amp;"-"&amp;D49</f>
        <v>JANUARI-CJL-L3</v>
      </c>
    </row>
    <row r="50" spans="1:17" x14ac:dyDescent="0.25">
      <c r="A50" t="s">
        <v>388</v>
      </c>
      <c r="B50" s="13" t="s">
        <v>20</v>
      </c>
      <c r="C50" s="13" t="s">
        <v>70</v>
      </c>
      <c r="D50" s="14" t="s">
        <v>56</v>
      </c>
      <c r="E50" s="13" t="s">
        <v>71</v>
      </c>
      <c r="F50" s="13" t="s">
        <v>109</v>
      </c>
      <c r="G50" s="13">
        <v>5</v>
      </c>
      <c r="H50" s="15">
        <v>3</v>
      </c>
      <c r="I50" s="16">
        <v>15</v>
      </c>
      <c r="J50" s="16">
        <v>21.074074074074073</v>
      </c>
      <c r="K50" s="16">
        <v>-6.0740740740740726</v>
      </c>
      <c r="L50" s="13">
        <v>15.06</v>
      </c>
      <c r="M50" s="13"/>
      <c r="N50" s="17">
        <f t="shared" si="0"/>
        <v>45.18</v>
      </c>
      <c r="O50" s="17">
        <f t="shared" si="0"/>
        <v>0</v>
      </c>
      <c r="P50" s="17">
        <f t="shared" si="1"/>
        <v>45.18</v>
      </c>
      <c r="Q50" t="str">
        <f>A50&amp;"-"&amp;B50&amp;"-"&amp;D50</f>
        <v>JANUARI-CJL-L3</v>
      </c>
    </row>
    <row r="51" spans="1:17" x14ac:dyDescent="0.25">
      <c r="A51" t="s">
        <v>388</v>
      </c>
      <c r="B51" s="13" t="s">
        <v>20</v>
      </c>
      <c r="C51" s="13" t="s">
        <v>70</v>
      </c>
      <c r="D51" s="14" t="s">
        <v>56</v>
      </c>
      <c r="E51" s="13" t="s">
        <v>71</v>
      </c>
      <c r="F51" s="13" t="s">
        <v>110</v>
      </c>
      <c r="G51" s="13">
        <v>5</v>
      </c>
      <c r="H51" s="15">
        <v>2</v>
      </c>
      <c r="I51" s="16">
        <v>10</v>
      </c>
      <c r="J51" s="16">
        <v>14.049382716049385</v>
      </c>
      <c r="K51" s="16">
        <v>-4.0493827160493847</v>
      </c>
      <c r="L51" s="13">
        <v>13.29</v>
      </c>
      <c r="M51" s="13"/>
      <c r="N51" s="17">
        <f t="shared" si="0"/>
        <v>26.58</v>
      </c>
      <c r="O51" s="17">
        <f t="shared" si="0"/>
        <v>0</v>
      </c>
      <c r="P51" s="17">
        <f t="shared" si="1"/>
        <v>26.58</v>
      </c>
      <c r="Q51" t="str">
        <f>A51&amp;"-"&amp;B51&amp;"-"&amp;D51</f>
        <v>JANUARI-CJL-L3</v>
      </c>
    </row>
    <row r="52" spans="1:17" x14ac:dyDescent="0.25">
      <c r="A52" t="s">
        <v>388</v>
      </c>
      <c r="B52" s="13" t="s">
        <v>20</v>
      </c>
      <c r="C52" s="13" t="s">
        <v>70</v>
      </c>
      <c r="D52" s="14" t="s">
        <v>56</v>
      </c>
      <c r="E52" s="13" t="s">
        <v>71</v>
      </c>
      <c r="F52" s="13" t="s">
        <v>111</v>
      </c>
      <c r="G52" s="13">
        <v>5</v>
      </c>
      <c r="H52" s="15">
        <v>144</v>
      </c>
      <c r="I52" s="16">
        <v>720</v>
      </c>
      <c r="J52" s="16">
        <v>1029.0425531914893</v>
      </c>
      <c r="K52" s="16">
        <v>-309.04255319148939</v>
      </c>
      <c r="L52" s="13">
        <v>13.83</v>
      </c>
      <c r="M52" s="13"/>
      <c r="N52" s="17">
        <f t="shared" si="0"/>
        <v>1991.52</v>
      </c>
      <c r="O52" s="17">
        <f t="shared" si="0"/>
        <v>0</v>
      </c>
      <c r="P52" s="17">
        <f t="shared" si="1"/>
        <v>1991.52</v>
      </c>
      <c r="Q52" t="str">
        <f>A52&amp;"-"&amp;B52&amp;"-"&amp;D52</f>
        <v>JANUARI-CJL-L3</v>
      </c>
    </row>
    <row r="53" spans="1:17" x14ac:dyDescent="0.25">
      <c r="A53" t="s">
        <v>388</v>
      </c>
      <c r="B53" s="13" t="s">
        <v>20</v>
      </c>
      <c r="C53" s="13" t="s">
        <v>70</v>
      </c>
      <c r="D53" s="14" t="s">
        <v>56</v>
      </c>
      <c r="E53" s="13" t="s">
        <v>71</v>
      </c>
      <c r="F53" s="13" t="s">
        <v>112</v>
      </c>
      <c r="G53" s="13">
        <v>5</v>
      </c>
      <c r="H53" s="15">
        <v>305</v>
      </c>
      <c r="I53" s="16">
        <v>1525</v>
      </c>
      <c r="J53" s="16">
        <v>2281.7303546099288</v>
      </c>
      <c r="K53" s="16">
        <v>-756.73035460992912</v>
      </c>
      <c r="L53" s="13">
        <v>13.07</v>
      </c>
      <c r="M53" s="13"/>
      <c r="N53" s="17">
        <f t="shared" si="0"/>
        <v>3986.35</v>
      </c>
      <c r="O53" s="17">
        <f t="shared" si="0"/>
        <v>0</v>
      </c>
      <c r="P53" s="17">
        <f t="shared" si="1"/>
        <v>3986.35</v>
      </c>
      <c r="Q53" t="str">
        <f>A53&amp;"-"&amp;B53&amp;"-"&amp;D53</f>
        <v>JANUARI-CJL-L3</v>
      </c>
    </row>
    <row r="54" spans="1:17" x14ac:dyDescent="0.25">
      <c r="A54" t="s">
        <v>388</v>
      </c>
      <c r="B54" s="13" t="s">
        <v>20</v>
      </c>
      <c r="C54" s="13" t="s">
        <v>70</v>
      </c>
      <c r="D54" s="14" t="s">
        <v>56</v>
      </c>
      <c r="E54" s="13" t="s">
        <v>71</v>
      </c>
      <c r="F54" s="13" t="s">
        <v>113</v>
      </c>
      <c r="G54" s="13">
        <v>5</v>
      </c>
      <c r="H54" s="15">
        <v>134</v>
      </c>
      <c r="I54" s="16">
        <v>670</v>
      </c>
      <c r="J54" s="16">
        <v>977.06581560283689</v>
      </c>
      <c r="K54" s="16">
        <v>-307.06581560283689</v>
      </c>
      <c r="L54" s="13">
        <v>14.03</v>
      </c>
      <c r="M54" s="13"/>
      <c r="N54" s="17">
        <f t="shared" si="0"/>
        <v>1880.02</v>
      </c>
      <c r="O54" s="17">
        <f t="shared" si="0"/>
        <v>0</v>
      </c>
      <c r="P54" s="17">
        <f t="shared" si="1"/>
        <v>1880.02</v>
      </c>
      <c r="Q54" t="str">
        <f>A54&amp;"-"&amp;B54&amp;"-"&amp;D54</f>
        <v>JANUARI-CJL-L3</v>
      </c>
    </row>
    <row r="55" spans="1:17" x14ac:dyDescent="0.25">
      <c r="A55" t="s">
        <v>388</v>
      </c>
      <c r="B55" s="13" t="s">
        <v>20</v>
      </c>
      <c r="C55" s="13" t="s">
        <v>70</v>
      </c>
      <c r="D55" s="14" t="s">
        <v>56</v>
      </c>
      <c r="E55" s="13" t="s">
        <v>71</v>
      </c>
      <c r="F55" s="13" t="s">
        <v>114</v>
      </c>
      <c r="G55" s="13">
        <v>5</v>
      </c>
      <c r="H55" s="15">
        <v>13</v>
      </c>
      <c r="I55" s="16">
        <v>65</v>
      </c>
      <c r="J55" s="16">
        <v>91.320987654320987</v>
      </c>
      <c r="K55" s="16">
        <v>-26.320987654320987</v>
      </c>
      <c r="L55" s="13">
        <v>15.3</v>
      </c>
      <c r="M55" s="13"/>
      <c r="N55" s="17">
        <f t="shared" si="0"/>
        <v>198.9</v>
      </c>
      <c r="O55" s="17">
        <f t="shared" si="0"/>
        <v>0</v>
      </c>
      <c r="P55" s="17">
        <f t="shared" si="1"/>
        <v>198.9</v>
      </c>
      <c r="Q55" t="str">
        <f>A55&amp;"-"&amp;B55&amp;"-"&amp;D55</f>
        <v>JANUARI-CJL-L3</v>
      </c>
    </row>
    <row r="56" spans="1:17" x14ac:dyDescent="0.25">
      <c r="A56" t="s">
        <v>388</v>
      </c>
      <c r="B56" s="13" t="s">
        <v>20</v>
      </c>
      <c r="C56" s="13" t="s">
        <v>70</v>
      </c>
      <c r="D56" s="14" t="s">
        <v>56</v>
      </c>
      <c r="E56" s="13" t="s">
        <v>71</v>
      </c>
      <c r="F56" s="13" t="s">
        <v>115</v>
      </c>
      <c r="G56" s="13">
        <v>5</v>
      </c>
      <c r="H56" s="15">
        <v>3</v>
      </c>
      <c r="I56" s="16">
        <v>15</v>
      </c>
      <c r="J56" s="16">
        <v>21.074074074074073</v>
      </c>
      <c r="K56" s="16">
        <v>-6.0740740740740726</v>
      </c>
      <c r="L56" s="13">
        <v>13.77</v>
      </c>
      <c r="M56" s="13"/>
      <c r="N56" s="17">
        <f t="shared" si="0"/>
        <v>41.31</v>
      </c>
      <c r="O56" s="17">
        <f t="shared" si="0"/>
        <v>0</v>
      </c>
      <c r="P56" s="17">
        <f t="shared" si="1"/>
        <v>41.31</v>
      </c>
      <c r="Q56" t="str">
        <f>A56&amp;"-"&amp;B56&amp;"-"&amp;D56</f>
        <v>JANUARI-CJL-L3</v>
      </c>
    </row>
    <row r="57" spans="1:17" x14ac:dyDescent="0.25">
      <c r="A57" t="s">
        <v>388</v>
      </c>
      <c r="B57" s="13" t="s">
        <v>20</v>
      </c>
      <c r="C57" s="13" t="s">
        <v>70</v>
      </c>
      <c r="D57" s="14" t="s">
        <v>56</v>
      </c>
      <c r="E57" s="13" t="s">
        <v>73</v>
      </c>
      <c r="F57" s="13" t="s">
        <v>116</v>
      </c>
      <c r="G57" s="13">
        <v>4.5</v>
      </c>
      <c r="H57" s="15">
        <v>14</v>
      </c>
      <c r="I57" s="16">
        <v>63</v>
      </c>
      <c r="J57" s="16">
        <v>84.744680851063833</v>
      </c>
      <c r="K57" s="16">
        <v>-21.744680851063833</v>
      </c>
      <c r="L57" s="13">
        <v>13.15</v>
      </c>
      <c r="M57" s="13"/>
      <c r="N57" s="17">
        <f t="shared" si="0"/>
        <v>184.1</v>
      </c>
      <c r="O57" s="17">
        <f t="shared" si="0"/>
        <v>0</v>
      </c>
      <c r="P57" s="17">
        <f t="shared" si="1"/>
        <v>184.1</v>
      </c>
      <c r="Q57" t="str">
        <f>A57&amp;"-"&amp;B57&amp;"-"&amp;D57</f>
        <v>JANUARI-CJL-L3</v>
      </c>
    </row>
    <row r="58" spans="1:17" x14ac:dyDescent="0.25">
      <c r="A58" t="s">
        <v>388</v>
      </c>
      <c r="B58" s="13" t="s">
        <v>20</v>
      </c>
      <c r="C58" s="13" t="s">
        <v>70</v>
      </c>
      <c r="D58" s="14" t="s">
        <v>56</v>
      </c>
      <c r="E58" s="13" t="s">
        <v>73</v>
      </c>
      <c r="F58" s="13" t="s">
        <v>117</v>
      </c>
      <c r="G58" s="13">
        <v>4.5</v>
      </c>
      <c r="H58" s="15">
        <v>3</v>
      </c>
      <c r="I58" s="16">
        <v>13.5</v>
      </c>
      <c r="J58" s="16">
        <v>18.159574468085108</v>
      </c>
      <c r="K58" s="16">
        <v>-4.6595744680851077</v>
      </c>
      <c r="L58" s="13">
        <v>13.36</v>
      </c>
      <c r="M58" s="13"/>
      <c r="N58" s="17">
        <f t="shared" si="0"/>
        <v>40.08</v>
      </c>
      <c r="O58" s="17">
        <f t="shared" si="0"/>
        <v>0</v>
      </c>
      <c r="P58" s="17">
        <f t="shared" si="1"/>
        <v>40.08</v>
      </c>
      <c r="Q58" t="str">
        <f>A58&amp;"-"&amp;B58&amp;"-"&amp;D58</f>
        <v>JANUARI-CJL-L3</v>
      </c>
    </row>
    <row r="59" spans="1:17" x14ac:dyDescent="0.25">
      <c r="A59" t="s">
        <v>388</v>
      </c>
      <c r="B59" s="13" t="s">
        <v>20</v>
      </c>
      <c r="C59" s="13" t="s">
        <v>70</v>
      </c>
      <c r="D59" s="14" t="s">
        <v>56</v>
      </c>
      <c r="E59" s="13" t="s">
        <v>73</v>
      </c>
      <c r="F59" s="13" t="s">
        <v>118</v>
      </c>
      <c r="G59" s="13">
        <v>4.5</v>
      </c>
      <c r="H59" s="15">
        <v>29</v>
      </c>
      <c r="I59" s="16">
        <v>130.5</v>
      </c>
      <c r="J59" s="16">
        <v>235.79731700204138</v>
      </c>
      <c r="K59" s="16">
        <v>-105.2973170020414</v>
      </c>
      <c r="L59" s="13">
        <v>10.8</v>
      </c>
      <c r="M59" s="13"/>
      <c r="N59" s="17">
        <f t="shared" si="0"/>
        <v>313.20000000000005</v>
      </c>
      <c r="O59" s="17">
        <f t="shared" si="0"/>
        <v>0</v>
      </c>
      <c r="P59" s="17">
        <f t="shared" si="1"/>
        <v>313.20000000000005</v>
      </c>
      <c r="Q59" t="str">
        <f>A59&amp;"-"&amp;B59&amp;"-"&amp;D59</f>
        <v>JANUARI-CJL-L3</v>
      </c>
    </row>
    <row r="60" spans="1:17" x14ac:dyDescent="0.25">
      <c r="A60" t="s">
        <v>388</v>
      </c>
      <c r="B60" s="13" t="s">
        <v>20</v>
      </c>
      <c r="C60" s="13" t="s">
        <v>70</v>
      </c>
      <c r="D60" s="14" t="s">
        <v>56</v>
      </c>
      <c r="E60" s="13" t="s">
        <v>73</v>
      </c>
      <c r="F60" s="13" t="s">
        <v>119</v>
      </c>
      <c r="G60" s="13">
        <v>4.5</v>
      </c>
      <c r="H60" s="15">
        <v>19</v>
      </c>
      <c r="I60" s="16">
        <v>85.5</v>
      </c>
      <c r="J60" s="16">
        <v>144.14666666666668</v>
      </c>
      <c r="K60" s="16">
        <v>-58.646666666666675</v>
      </c>
      <c r="L60" s="13">
        <v>10.56</v>
      </c>
      <c r="M60" s="13"/>
      <c r="N60" s="17">
        <f t="shared" ref="N60:O118" si="2">$H60*L60</f>
        <v>200.64000000000001</v>
      </c>
      <c r="O60" s="17">
        <f t="shared" si="2"/>
        <v>0</v>
      </c>
      <c r="P60" s="17">
        <f t="shared" si="1"/>
        <v>200.64000000000001</v>
      </c>
      <c r="Q60" t="str">
        <f>A60&amp;"-"&amp;B60&amp;"-"&amp;D60</f>
        <v>JANUARI-CJL-L3</v>
      </c>
    </row>
    <row r="61" spans="1:17" x14ac:dyDescent="0.25">
      <c r="A61" t="s">
        <v>388</v>
      </c>
      <c r="B61" s="13" t="s">
        <v>20</v>
      </c>
      <c r="C61" s="13" t="s">
        <v>70</v>
      </c>
      <c r="D61" s="14" t="s">
        <v>56</v>
      </c>
      <c r="E61" s="13" t="s">
        <v>73</v>
      </c>
      <c r="F61" s="13" t="s">
        <v>120</v>
      </c>
      <c r="G61" s="13">
        <v>4.5</v>
      </c>
      <c r="H61" s="15">
        <v>25</v>
      </c>
      <c r="I61" s="16">
        <v>112.5</v>
      </c>
      <c r="J61" s="16">
        <v>155.02773694390717</v>
      </c>
      <c r="K61" s="16">
        <v>-42.527736943907179</v>
      </c>
      <c r="L61" s="13">
        <v>11.13</v>
      </c>
      <c r="M61" s="13"/>
      <c r="N61" s="17">
        <f t="shared" si="2"/>
        <v>278.25</v>
      </c>
      <c r="O61" s="17">
        <f t="shared" si="2"/>
        <v>0</v>
      </c>
      <c r="P61" s="17">
        <f t="shared" si="1"/>
        <v>278.25</v>
      </c>
      <c r="Q61" t="str">
        <f>A61&amp;"-"&amp;B61&amp;"-"&amp;D61</f>
        <v>JANUARI-CJL-L3</v>
      </c>
    </row>
    <row r="62" spans="1:17" x14ac:dyDescent="0.25">
      <c r="A62" t="s">
        <v>388</v>
      </c>
      <c r="B62" s="13" t="s">
        <v>20</v>
      </c>
      <c r="C62" s="13" t="s">
        <v>70</v>
      </c>
      <c r="D62" s="14" t="s">
        <v>56</v>
      </c>
      <c r="E62" s="13" t="s">
        <v>73</v>
      </c>
      <c r="F62" s="13" t="s">
        <v>121</v>
      </c>
      <c r="G62" s="13">
        <v>4.5</v>
      </c>
      <c r="H62" s="15">
        <v>57</v>
      </c>
      <c r="I62" s="16">
        <v>256.5</v>
      </c>
      <c r="J62" s="16">
        <v>353.56846699399892</v>
      </c>
      <c r="K62" s="16">
        <v>-97.068466993998925</v>
      </c>
      <c r="L62" s="13">
        <v>10.91</v>
      </c>
      <c r="M62" s="13"/>
      <c r="N62" s="17">
        <f t="shared" si="2"/>
        <v>621.87</v>
      </c>
      <c r="O62" s="17">
        <f t="shared" si="2"/>
        <v>0</v>
      </c>
      <c r="P62" s="17">
        <f t="shared" si="1"/>
        <v>621.87</v>
      </c>
      <c r="Q62" t="str">
        <f>A62&amp;"-"&amp;B62&amp;"-"&amp;D62</f>
        <v>JANUARI-CJL-L3</v>
      </c>
    </row>
    <row r="63" spans="1:17" x14ac:dyDescent="0.25">
      <c r="A63" t="s">
        <v>388</v>
      </c>
      <c r="B63" s="13" t="s">
        <v>20</v>
      </c>
      <c r="C63" s="13" t="s">
        <v>70</v>
      </c>
      <c r="D63" s="14" t="s">
        <v>56</v>
      </c>
      <c r="E63" s="13" t="s">
        <v>73</v>
      </c>
      <c r="F63" s="13" t="s">
        <v>122</v>
      </c>
      <c r="G63" s="13">
        <v>4.5</v>
      </c>
      <c r="H63" s="15">
        <v>26</v>
      </c>
      <c r="I63" s="16">
        <v>117</v>
      </c>
      <c r="J63" s="16">
        <v>161.3890909090909</v>
      </c>
      <c r="K63" s="16">
        <v>-44.389090909090896</v>
      </c>
      <c r="L63" s="13">
        <v>11.22</v>
      </c>
      <c r="M63" s="13"/>
      <c r="N63" s="17">
        <f t="shared" si="2"/>
        <v>291.72000000000003</v>
      </c>
      <c r="O63" s="17">
        <f t="shared" si="2"/>
        <v>0</v>
      </c>
      <c r="P63" s="17">
        <f t="shared" si="1"/>
        <v>291.72000000000003</v>
      </c>
      <c r="Q63" t="str">
        <f>A63&amp;"-"&amp;B63&amp;"-"&amp;D63</f>
        <v>JANUARI-CJL-L3</v>
      </c>
    </row>
    <row r="64" spans="1:17" x14ac:dyDescent="0.25">
      <c r="A64" t="s">
        <v>388</v>
      </c>
      <c r="B64" s="13" t="s">
        <v>20</v>
      </c>
      <c r="C64" s="13" t="s">
        <v>70</v>
      </c>
      <c r="D64" s="14" t="s">
        <v>56</v>
      </c>
      <c r="E64" s="13" t="s">
        <v>73</v>
      </c>
      <c r="F64" s="13" t="s">
        <v>123</v>
      </c>
      <c r="G64" s="13">
        <v>4.5</v>
      </c>
      <c r="H64" s="15">
        <v>48</v>
      </c>
      <c r="I64" s="16">
        <v>216</v>
      </c>
      <c r="J64" s="16">
        <v>337.18518518518516</v>
      </c>
      <c r="K64" s="16">
        <v>-121.18518518518516</v>
      </c>
      <c r="L64" s="13">
        <v>13.36</v>
      </c>
      <c r="M64" s="13"/>
      <c r="N64" s="17">
        <f t="shared" si="2"/>
        <v>641.28</v>
      </c>
      <c r="O64" s="17">
        <f t="shared" si="2"/>
        <v>0</v>
      </c>
      <c r="P64" s="17">
        <f t="shared" si="1"/>
        <v>641.28</v>
      </c>
      <c r="Q64" t="str">
        <f>A64&amp;"-"&amp;B64&amp;"-"&amp;D64</f>
        <v>JANUARI-CJL-L3</v>
      </c>
    </row>
    <row r="65" spans="1:17" x14ac:dyDescent="0.25">
      <c r="A65" t="s">
        <v>388</v>
      </c>
      <c r="B65" s="13" t="s">
        <v>20</v>
      </c>
      <c r="C65" s="13" t="s">
        <v>70</v>
      </c>
      <c r="D65" s="14" t="s">
        <v>56</v>
      </c>
      <c r="E65" s="13" t="s">
        <v>124</v>
      </c>
      <c r="F65" s="13" t="s">
        <v>125</v>
      </c>
      <c r="G65" s="13">
        <v>2.65</v>
      </c>
      <c r="H65" s="15">
        <v>13</v>
      </c>
      <c r="I65" s="16">
        <v>34.450000000000003</v>
      </c>
      <c r="J65" s="16">
        <v>174.73228346456693</v>
      </c>
      <c r="K65" s="16">
        <v>-140.28228346456694</v>
      </c>
      <c r="L65" s="13">
        <v>7.91</v>
      </c>
      <c r="M65" s="13"/>
      <c r="N65" s="17">
        <f t="shared" si="2"/>
        <v>102.83</v>
      </c>
      <c r="O65" s="17">
        <f t="shared" si="2"/>
        <v>0</v>
      </c>
      <c r="P65" s="17">
        <f t="shared" si="1"/>
        <v>102.83</v>
      </c>
      <c r="Q65" t="str">
        <f>A65&amp;"-"&amp;B65&amp;"-"&amp;D65</f>
        <v>JANUARI-CJL-L3</v>
      </c>
    </row>
    <row r="66" spans="1:17" x14ac:dyDescent="0.25">
      <c r="A66" t="s">
        <v>388</v>
      </c>
      <c r="B66" s="13" t="s">
        <v>20</v>
      </c>
      <c r="C66" s="13" t="s">
        <v>70</v>
      </c>
      <c r="D66" s="14" t="s">
        <v>56</v>
      </c>
      <c r="E66" s="13" t="s">
        <v>77</v>
      </c>
      <c r="F66" s="13" t="s">
        <v>126</v>
      </c>
      <c r="G66" s="13">
        <v>3.7</v>
      </c>
      <c r="H66" s="15">
        <v>5</v>
      </c>
      <c r="I66" s="16">
        <v>18.5</v>
      </c>
      <c r="J66" s="16">
        <v>36.247407407407408</v>
      </c>
      <c r="K66" s="16">
        <v>-17.747407407407408</v>
      </c>
      <c r="L66" s="13">
        <v>8.5399999999999991</v>
      </c>
      <c r="M66" s="13"/>
      <c r="N66" s="17">
        <f t="shared" si="2"/>
        <v>42.699999999999996</v>
      </c>
      <c r="O66" s="17">
        <f t="shared" si="2"/>
        <v>0</v>
      </c>
      <c r="P66" s="17">
        <f t="shared" ref="P66:P129" si="3">N66+O66</f>
        <v>42.699999999999996</v>
      </c>
      <c r="Q66" t="str">
        <f>A66&amp;"-"&amp;B66&amp;"-"&amp;D66</f>
        <v>JANUARI-CJL-L3</v>
      </c>
    </row>
    <row r="67" spans="1:17" x14ac:dyDescent="0.25">
      <c r="A67" t="s">
        <v>388</v>
      </c>
      <c r="B67" s="13" t="s">
        <v>20</v>
      </c>
      <c r="C67" s="13" t="s">
        <v>70</v>
      </c>
      <c r="D67" s="14" t="s">
        <v>56</v>
      </c>
      <c r="E67" s="13" t="s">
        <v>77</v>
      </c>
      <c r="F67" s="13" t="s">
        <v>127</v>
      </c>
      <c r="G67" s="13">
        <v>4.5</v>
      </c>
      <c r="H67" s="15">
        <v>78</v>
      </c>
      <c r="I67" s="16">
        <v>351</v>
      </c>
      <c r="J67" s="16">
        <v>1020.7970029387352</v>
      </c>
      <c r="K67" s="16">
        <v>-669.7970029387352</v>
      </c>
      <c r="L67" s="13">
        <v>11.84</v>
      </c>
      <c r="M67" s="13"/>
      <c r="N67" s="17">
        <f t="shared" si="2"/>
        <v>923.52</v>
      </c>
      <c r="O67" s="17">
        <f t="shared" si="2"/>
        <v>0</v>
      </c>
      <c r="P67" s="17">
        <f t="shared" si="3"/>
        <v>923.52</v>
      </c>
      <c r="Q67" t="str">
        <f>A67&amp;"-"&amp;B67&amp;"-"&amp;D67</f>
        <v>JANUARI-CJL-L3</v>
      </c>
    </row>
    <row r="68" spans="1:17" x14ac:dyDescent="0.25">
      <c r="A68" t="s">
        <v>388</v>
      </c>
      <c r="B68" s="13" t="s">
        <v>20</v>
      </c>
      <c r="C68" s="13" t="s">
        <v>70</v>
      </c>
      <c r="D68" s="14" t="s">
        <v>56</v>
      </c>
      <c r="E68" s="13" t="s">
        <v>77</v>
      </c>
      <c r="F68" s="13" t="s">
        <v>128</v>
      </c>
      <c r="G68" s="13">
        <v>3.7</v>
      </c>
      <c r="H68" s="15">
        <v>21</v>
      </c>
      <c r="I68" s="16">
        <v>77.7</v>
      </c>
      <c r="J68" s="16">
        <v>127.11702127659574</v>
      </c>
      <c r="K68" s="16">
        <v>-49.417021276595733</v>
      </c>
      <c r="L68" s="13">
        <v>10.09</v>
      </c>
      <c r="M68" s="13"/>
      <c r="N68" s="17">
        <f t="shared" si="2"/>
        <v>211.89</v>
      </c>
      <c r="O68" s="17">
        <f t="shared" si="2"/>
        <v>0</v>
      </c>
      <c r="P68" s="17">
        <f t="shared" si="3"/>
        <v>211.89</v>
      </c>
      <c r="Q68" t="str">
        <f>A68&amp;"-"&amp;B68&amp;"-"&amp;D68</f>
        <v>JANUARI-CJL-L3</v>
      </c>
    </row>
    <row r="69" spans="1:17" x14ac:dyDescent="0.25">
      <c r="A69" t="s">
        <v>388</v>
      </c>
      <c r="B69" s="13" t="s">
        <v>20</v>
      </c>
      <c r="C69" s="13" t="s">
        <v>70</v>
      </c>
      <c r="D69" s="14" t="s">
        <v>56</v>
      </c>
      <c r="E69" s="13" t="s">
        <v>77</v>
      </c>
      <c r="F69" s="13" t="s">
        <v>129</v>
      </c>
      <c r="G69" s="13">
        <v>3.7</v>
      </c>
      <c r="H69" s="15">
        <v>1</v>
      </c>
      <c r="I69" s="16">
        <v>3.7</v>
      </c>
      <c r="J69" s="16">
        <v>7.0246913580246924</v>
      </c>
      <c r="K69" s="16">
        <v>-3.3246913580246922</v>
      </c>
      <c r="L69" s="13">
        <v>10.31</v>
      </c>
      <c r="M69" s="13"/>
      <c r="N69" s="17">
        <f t="shared" si="2"/>
        <v>10.31</v>
      </c>
      <c r="O69" s="17">
        <f t="shared" si="2"/>
        <v>0</v>
      </c>
      <c r="P69" s="17">
        <f t="shared" si="3"/>
        <v>10.31</v>
      </c>
      <c r="Q69" t="str">
        <f>A69&amp;"-"&amp;B69&amp;"-"&amp;D69</f>
        <v>JANUARI-CJL-L3</v>
      </c>
    </row>
    <row r="70" spans="1:17" x14ac:dyDescent="0.25">
      <c r="A70" t="s">
        <v>388</v>
      </c>
      <c r="B70" s="13" t="s">
        <v>20</v>
      </c>
      <c r="C70" s="13" t="s">
        <v>70</v>
      </c>
      <c r="D70" s="14" t="s">
        <v>56</v>
      </c>
      <c r="E70" s="13" t="s">
        <v>77</v>
      </c>
      <c r="F70" s="13" t="s">
        <v>130</v>
      </c>
      <c r="G70" s="13">
        <v>3.7</v>
      </c>
      <c r="H70" s="15">
        <v>51</v>
      </c>
      <c r="I70" s="16">
        <v>188.7</v>
      </c>
      <c r="J70" s="16">
        <v>707.31536442560059</v>
      </c>
      <c r="K70" s="16">
        <v>-518.61536442560066</v>
      </c>
      <c r="L70" s="13">
        <v>8.1300000000000008</v>
      </c>
      <c r="M70" s="13"/>
      <c r="N70" s="17">
        <f t="shared" si="2"/>
        <v>414.63000000000005</v>
      </c>
      <c r="O70" s="17">
        <f t="shared" si="2"/>
        <v>0</v>
      </c>
      <c r="P70" s="17">
        <f t="shared" si="3"/>
        <v>414.63000000000005</v>
      </c>
      <c r="Q70" t="str">
        <f>A70&amp;"-"&amp;B70&amp;"-"&amp;D70</f>
        <v>JANUARI-CJL-L3</v>
      </c>
    </row>
    <row r="71" spans="1:17" x14ac:dyDescent="0.25">
      <c r="A71" t="s">
        <v>388</v>
      </c>
      <c r="B71" s="13" t="s">
        <v>20</v>
      </c>
      <c r="C71" s="13" t="s">
        <v>70</v>
      </c>
      <c r="D71" s="14" t="s">
        <v>56</v>
      </c>
      <c r="E71" s="13" t="s">
        <v>77</v>
      </c>
      <c r="F71" s="13" t="s">
        <v>131</v>
      </c>
      <c r="G71" s="13">
        <v>3.7</v>
      </c>
      <c r="H71" s="15">
        <v>13</v>
      </c>
      <c r="I71" s="16">
        <v>48.1</v>
      </c>
      <c r="J71" s="16">
        <v>174.73228346456693</v>
      </c>
      <c r="K71" s="16">
        <v>-126.63228346456694</v>
      </c>
      <c r="L71" s="13">
        <v>7.68</v>
      </c>
      <c r="M71" s="13"/>
      <c r="N71" s="17">
        <f t="shared" si="2"/>
        <v>99.84</v>
      </c>
      <c r="O71" s="17">
        <f t="shared" si="2"/>
        <v>0</v>
      </c>
      <c r="P71" s="17">
        <f t="shared" si="3"/>
        <v>99.84</v>
      </c>
      <c r="Q71" t="str">
        <f>A71&amp;"-"&amp;B71&amp;"-"&amp;D71</f>
        <v>JANUARI-CJL-L3</v>
      </c>
    </row>
    <row r="72" spans="1:17" x14ac:dyDescent="0.25">
      <c r="A72" t="s">
        <v>388</v>
      </c>
      <c r="B72" s="13" t="s">
        <v>20</v>
      </c>
      <c r="C72" s="13" t="s">
        <v>70</v>
      </c>
      <c r="D72" s="14" t="s">
        <v>56</v>
      </c>
      <c r="E72" s="13" t="s">
        <v>77</v>
      </c>
      <c r="F72" s="13" t="s">
        <v>132</v>
      </c>
      <c r="G72" s="13">
        <v>3.7</v>
      </c>
      <c r="H72" s="15">
        <v>1</v>
      </c>
      <c r="I72" s="16">
        <v>3.7</v>
      </c>
      <c r="J72" s="16">
        <v>7.5866666666666669</v>
      </c>
      <c r="K72" s="16">
        <v>-3.8866666666666667</v>
      </c>
      <c r="L72" s="13">
        <v>13.3</v>
      </c>
      <c r="M72" s="13"/>
      <c r="N72" s="17">
        <f t="shared" si="2"/>
        <v>13.3</v>
      </c>
      <c r="O72" s="17">
        <f t="shared" si="2"/>
        <v>0</v>
      </c>
      <c r="P72" s="17">
        <f t="shared" si="3"/>
        <v>13.3</v>
      </c>
      <c r="Q72" t="str">
        <f>A72&amp;"-"&amp;B72&amp;"-"&amp;D72</f>
        <v>JANUARI-CJL-L3</v>
      </c>
    </row>
    <row r="73" spans="1:17" x14ac:dyDescent="0.25">
      <c r="A73" t="s">
        <v>388</v>
      </c>
      <c r="B73" s="13" t="s">
        <v>20</v>
      </c>
      <c r="C73" s="13" t="s">
        <v>70</v>
      </c>
      <c r="D73" s="14" t="s">
        <v>56</v>
      </c>
      <c r="E73" s="13" t="s">
        <v>77</v>
      </c>
      <c r="F73" s="13" t="s">
        <v>133</v>
      </c>
      <c r="G73" s="13">
        <v>4.5</v>
      </c>
      <c r="H73" s="15">
        <v>53</v>
      </c>
      <c r="I73" s="16">
        <v>238.5</v>
      </c>
      <c r="J73" s="16">
        <v>320.81914893617022</v>
      </c>
      <c r="K73" s="16">
        <v>-82.319148936170222</v>
      </c>
      <c r="L73" s="13">
        <v>12.78</v>
      </c>
      <c r="M73" s="13"/>
      <c r="N73" s="17">
        <f t="shared" si="2"/>
        <v>677.33999999999992</v>
      </c>
      <c r="O73" s="17">
        <f t="shared" si="2"/>
        <v>0</v>
      </c>
      <c r="P73" s="17">
        <f t="shared" si="3"/>
        <v>677.33999999999992</v>
      </c>
      <c r="Q73" t="str">
        <f>A73&amp;"-"&amp;B73&amp;"-"&amp;D73</f>
        <v>JANUARI-CJL-L3</v>
      </c>
    </row>
    <row r="74" spans="1:17" x14ac:dyDescent="0.25">
      <c r="A74" t="s">
        <v>388</v>
      </c>
      <c r="B74" s="13" t="s">
        <v>20</v>
      </c>
      <c r="C74" s="13" t="s">
        <v>70</v>
      </c>
      <c r="D74" s="14" t="s">
        <v>56</v>
      </c>
      <c r="E74" s="13" t="s">
        <v>77</v>
      </c>
      <c r="F74" s="13" t="s">
        <v>134</v>
      </c>
      <c r="G74" s="13">
        <v>3.7</v>
      </c>
      <c r="H74" s="15">
        <v>20</v>
      </c>
      <c r="I74" s="16">
        <v>74</v>
      </c>
      <c r="J74" s="16">
        <v>151.73333333333332</v>
      </c>
      <c r="K74" s="16">
        <v>-77.73333333333332</v>
      </c>
      <c r="L74" s="13">
        <v>8.4</v>
      </c>
      <c r="M74" s="13"/>
      <c r="N74" s="17">
        <f t="shared" si="2"/>
        <v>168</v>
      </c>
      <c r="O74" s="17">
        <f t="shared" si="2"/>
        <v>0</v>
      </c>
      <c r="P74" s="17">
        <f t="shared" si="3"/>
        <v>168</v>
      </c>
      <c r="Q74" t="str">
        <f>A74&amp;"-"&amp;B74&amp;"-"&amp;D74</f>
        <v>JANUARI-CJL-L3</v>
      </c>
    </row>
    <row r="75" spans="1:17" x14ac:dyDescent="0.25">
      <c r="A75" t="s">
        <v>388</v>
      </c>
      <c r="B75" s="13" t="s">
        <v>20</v>
      </c>
      <c r="C75" s="13" t="s">
        <v>70</v>
      </c>
      <c r="D75" s="14" t="s">
        <v>56</v>
      </c>
      <c r="E75" s="13" t="s">
        <v>77</v>
      </c>
      <c r="F75" s="13" t="s">
        <v>135</v>
      </c>
      <c r="G75" s="13">
        <v>3.7</v>
      </c>
      <c r="H75" s="15">
        <v>5</v>
      </c>
      <c r="I75" s="16">
        <v>18.5</v>
      </c>
      <c r="J75" s="16">
        <v>37.933333333333337</v>
      </c>
      <c r="K75" s="16">
        <v>-19.433333333333337</v>
      </c>
      <c r="L75" s="13">
        <v>7.89</v>
      </c>
      <c r="M75" s="13"/>
      <c r="N75" s="17">
        <f t="shared" si="2"/>
        <v>39.449999999999996</v>
      </c>
      <c r="O75" s="17">
        <f t="shared" si="2"/>
        <v>0</v>
      </c>
      <c r="P75" s="17">
        <f t="shared" si="3"/>
        <v>39.449999999999996</v>
      </c>
      <c r="Q75" t="str">
        <f>A75&amp;"-"&amp;B75&amp;"-"&amp;D75</f>
        <v>JANUARI-CJL-L3</v>
      </c>
    </row>
    <row r="76" spans="1:17" x14ac:dyDescent="0.25">
      <c r="A76" t="s">
        <v>388</v>
      </c>
      <c r="B76" s="13" t="s">
        <v>20</v>
      </c>
      <c r="C76" s="13" t="s">
        <v>70</v>
      </c>
      <c r="D76" s="14" t="s">
        <v>56</v>
      </c>
      <c r="E76" s="13" t="s">
        <v>77</v>
      </c>
      <c r="F76" s="13" t="s">
        <v>136</v>
      </c>
      <c r="G76" s="13">
        <v>3.7</v>
      </c>
      <c r="H76" s="15">
        <v>6</v>
      </c>
      <c r="I76" s="16">
        <v>22.2</v>
      </c>
      <c r="J76" s="16">
        <v>45.52</v>
      </c>
      <c r="K76" s="16">
        <v>-23.320000000000004</v>
      </c>
      <c r="L76" s="13">
        <v>8.25</v>
      </c>
      <c r="M76" s="13"/>
      <c r="N76" s="17">
        <f t="shared" si="2"/>
        <v>49.5</v>
      </c>
      <c r="O76" s="17">
        <f t="shared" si="2"/>
        <v>0</v>
      </c>
      <c r="P76" s="17">
        <f t="shared" si="3"/>
        <v>49.5</v>
      </c>
      <c r="Q76" t="str">
        <f>A76&amp;"-"&amp;B76&amp;"-"&amp;D76</f>
        <v>JANUARI-CJL-L3</v>
      </c>
    </row>
    <row r="77" spans="1:17" x14ac:dyDescent="0.25">
      <c r="A77" t="s">
        <v>388</v>
      </c>
      <c r="B77" s="13" t="s">
        <v>20</v>
      </c>
      <c r="C77" s="13" t="s">
        <v>70</v>
      </c>
      <c r="D77" s="14" t="s">
        <v>56</v>
      </c>
      <c r="E77" s="13" t="s">
        <v>77</v>
      </c>
      <c r="F77" s="13" t="s">
        <v>137</v>
      </c>
      <c r="G77" s="13">
        <v>3.7</v>
      </c>
      <c r="H77" s="15">
        <v>27</v>
      </c>
      <c r="I77" s="16">
        <v>99.9</v>
      </c>
      <c r="J77" s="16">
        <v>362.90551181102364</v>
      </c>
      <c r="K77" s="16">
        <v>-263.00551181102367</v>
      </c>
      <c r="L77" s="13">
        <v>8.18</v>
      </c>
      <c r="M77" s="13"/>
      <c r="N77" s="17">
        <f t="shared" si="2"/>
        <v>220.85999999999999</v>
      </c>
      <c r="O77" s="17">
        <f t="shared" si="2"/>
        <v>0</v>
      </c>
      <c r="P77" s="17">
        <f t="shared" si="3"/>
        <v>220.85999999999999</v>
      </c>
      <c r="Q77" t="str">
        <f>A77&amp;"-"&amp;B77&amp;"-"&amp;D77</f>
        <v>JANUARI-CJL-L3</v>
      </c>
    </row>
    <row r="78" spans="1:17" x14ac:dyDescent="0.25">
      <c r="A78" t="s">
        <v>388</v>
      </c>
      <c r="B78" s="13" t="s">
        <v>20</v>
      </c>
      <c r="C78" s="13" t="s">
        <v>70</v>
      </c>
      <c r="D78" s="14" t="s">
        <v>56</v>
      </c>
      <c r="E78" s="13" t="s">
        <v>77</v>
      </c>
      <c r="F78" s="13" t="s">
        <v>138</v>
      </c>
      <c r="G78" s="13">
        <v>3.7</v>
      </c>
      <c r="H78" s="15">
        <v>6</v>
      </c>
      <c r="I78" s="16">
        <v>22.2</v>
      </c>
      <c r="J78" s="16">
        <v>87.538461538461533</v>
      </c>
      <c r="K78" s="16">
        <v>-65.33846153846153</v>
      </c>
      <c r="L78" s="13">
        <v>7.88</v>
      </c>
      <c r="M78" s="13"/>
      <c r="N78" s="17">
        <f t="shared" si="2"/>
        <v>47.28</v>
      </c>
      <c r="O78" s="17">
        <f t="shared" si="2"/>
        <v>0</v>
      </c>
      <c r="P78" s="17">
        <f t="shared" si="3"/>
        <v>47.28</v>
      </c>
      <c r="Q78" t="str">
        <f>A78&amp;"-"&amp;B78&amp;"-"&amp;D78</f>
        <v>JANUARI-CJL-L3</v>
      </c>
    </row>
    <row r="79" spans="1:17" x14ac:dyDescent="0.25">
      <c r="A79" t="s">
        <v>388</v>
      </c>
      <c r="B79" s="13" t="s">
        <v>20</v>
      </c>
      <c r="C79" s="13" t="s">
        <v>70</v>
      </c>
      <c r="D79" s="14" t="s">
        <v>56</v>
      </c>
      <c r="E79" s="13" t="s">
        <v>77</v>
      </c>
      <c r="F79" s="13" t="s">
        <v>139</v>
      </c>
      <c r="G79" s="13">
        <v>3.7</v>
      </c>
      <c r="H79" s="15">
        <v>18</v>
      </c>
      <c r="I79" s="16">
        <v>66.599999999999994</v>
      </c>
      <c r="J79" s="16">
        <v>262.61538461538464</v>
      </c>
      <c r="K79" s="16">
        <v>-196.01538461538465</v>
      </c>
      <c r="L79" s="13">
        <v>9.73</v>
      </c>
      <c r="M79" s="13"/>
      <c r="N79" s="17">
        <f t="shared" si="2"/>
        <v>175.14000000000001</v>
      </c>
      <c r="O79" s="17">
        <f t="shared" si="2"/>
        <v>0</v>
      </c>
      <c r="P79" s="17">
        <f t="shared" si="3"/>
        <v>175.14000000000001</v>
      </c>
      <c r="Q79" t="str">
        <f>A79&amp;"-"&amp;B79&amp;"-"&amp;D79</f>
        <v>JANUARI-CJL-L3</v>
      </c>
    </row>
    <row r="80" spans="1:17" x14ac:dyDescent="0.25">
      <c r="A80" t="s">
        <v>388</v>
      </c>
      <c r="B80" s="13" t="s">
        <v>20</v>
      </c>
      <c r="C80" s="13" t="s">
        <v>70</v>
      </c>
      <c r="D80" s="14" t="s">
        <v>56</v>
      </c>
      <c r="E80" s="13" t="s">
        <v>77</v>
      </c>
      <c r="F80" s="13" t="s">
        <v>140</v>
      </c>
      <c r="G80" s="13">
        <v>4.5</v>
      </c>
      <c r="H80" s="15">
        <v>41</v>
      </c>
      <c r="I80" s="16">
        <v>184.5</v>
      </c>
      <c r="J80" s="16">
        <v>300.84485272674249</v>
      </c>
      <c r="K80" s="16">
        <v>-116.34485272674246</v>
      </c>
      <c r="L80" s="13">
        <v>12.18</v>
      </c>
      <c r="M80" s="13"/>
      <c r="N80" s="17">
        <f t="shared" si="2"/>
        <v>499.38</v>
      </c>
      <c r="O80" s="17">
        <f t="shared" si="2"/>
        <v>0</v>
      </c>
      <c r="P80" s="17">
        <f t="shared" si="3"/>
        <v>499.38</v>
      </c>
      <c r="Q80" t="str">
        <f>A80&amp;"-"&amp;B80&amp;"-"&amp;D80</f>
        <v>JANUARI-CJL-L3</v>
      </c>
    </row>
    <row r="81" spans="1:17" x14ac:dyDescent="0.25">
      <c r="A81" t="s">
        <v>388</v>
      </c>
      <c r="B81" s="13" t="s">
        <v>20</v>
      </c>
      <c r="C81" s="13" t="s">
        <v>70</v>
      </c>
      <c r="D81" s="14" t="s">
        <v>56</v>
      </c>
      <c r="E81" s="13" t="s">
        <v>77</v>
      </c>
      <c r="F81" s="13" t="s">
        <v>141</v>
      </c>
      <c r="G81" s="13">
        <v>4.5</v>
      </c>
      <c r="H81" s="15">
        <v>272</v>
      </c>
      <c r="I81" s="16">
        <v>1224</v>
      </c>
      <c r="J81" s="16">
        <v>2339.066573604061</v>
      </c>
      <c r="K81" s="16">
        <v>-1115.066573604061</v>
      </c>
      <c r="L81" s="13">
        <v>12.1</v>
      </c>
      <c r="M81" s="13"/>
      <c r="N81" s="17">
        <f t="shared" si="2"/>
        <v>3291.2</v>
      </c>
      <c r="O81" s="17">
        <f t="shared" si="2"/>
        <v>0</v>
      </c>
      <c r="P81" s="17">
        <f t="shared" si="3"/>
        <v>3291.2</v>
      </c>
      <c r="Q81" t="str">
        <f>A81&amp;"-"&amp;B81&amp;"-"&amp;D81</f>
        <v>JANUARI-CJL-L3</v>
      </c>
    </row>
    <row r="82" spans="1:17" x14ac:dyDescent="0.25">
      <c r="A82" t="s">
        <v>388</v>
      </c>
      <c r="B82" s="13" t="s">
        <v>20</v>
      </c>
      <c r="C82" s="13" t="s">
        <v>70</v>
      </c>
      <c r="D82" s="14" t="s">
        <v>56</v>
      </c>
      <c r="E82" s="13" t="s">
        <v>142</v>
      </c>
      <c r="F82" s="13" t="s">
        <v>143</v>
      </c>
      <c r="G82" s="13">
        <v>1.5</v>
      </c>
      <c r="H82" s="15">
        <v>20</v>
      </c>
      <c r="I82" s="16">
        <v>30</v>
      </c>
      <c r="J82" s="16">
        <v>151.73333333333335</v>
      </c>
      <c r="K82" s="16">
        <v>-121.73333333333335</v>
      </c>
      <c r="L82" s="13">
        <v>4.84</v>
      </c>
      <c r="M82" s="13"/>
      <c r="N82" s="17">
        <f t="shared" si="2"/>
        <v>96.8</v>
      </c>
      <c r="O82" s="17">
        <f t="shared" si="2"/>
        <v>0</v>
      </c>
      <c r="P82" s="17">
        <f t="shared" si="3"/>
        <v>96.8</v>
      </c>
      <c r="Q82" t="str">
        <f>A82&amp;"-"&amp;B82&amp;"-"&amp;D82</f>
        <v>JANUARI-CJL-L3</v>
      </c>
    </row>
    <row r="83" spans="1:17" x14ac:dyDescent="0.25">
      <c r="A83" t="s">
        <v>388</v>
      </c>
      <c r="B83" s="13" t="s">
        <v>20</v>
      </c>
      <c r="C83" s="13" t="s">
        <v>70</v>
      </c>
      <c r="D83" s="14" t="s">
        <v>56</v>
      </c>
      <c r="E83" s="13" t="s">
        <v>142</v>
      </c>
      <c r="F83" s="13" t="s">
        <v>144</v>
      </c>
      <c r="G83" s="13">
        <v>1.5</v>
      </c>
      <c r="H83" s="15">
        <v>5</v>
      </c>
      <c r="I83" s="16">
        <v>7.5</v>
      </c>
      <c r="J83" s="16">
        <v>35.123456790123456</v>
      </c>
      <c r="K83" s="16">
        <v>-27.623456790123456</v>
      </c>
      <c r="L83" s="13">
        <v>4.91</v>
      </c>
      <c r="M83" s="13"/>
      <c r="N83" s="17">
        <f t="shared" si="2"/>
        <v>24.55</v>
      </c>
      <c r="O83" s="17">
        <f t="shared" si="2"/>
        <v>0</v>
      </c>
      <c r="P83" s="17">
        <f t="shared" si="3"/>
        <v>24.55</v>
      </c>
      <c r="Q83" t="str">
        <f>A83&amp;"-"&amp;B83&amp;"-"&amp;D83</f>
        <v>JANUARI-CJL-L3</v>
      </c>
    </row>
    <row r="84" spans="1:17" x14ac:dyDescent="0.25">
      <c r="A84" t="s">
        <v>388</v>
      </c>
      <c r="B84" s="13" t="s">
        <v>20</v>
      </c>
      <c r="C84" s="13" t="s">
        <v>70</v>
      </c>
      <c r="D84" s="14" t="s">
        <v>56</v>
      </c>
      <c r="E84" s="13" t="s">
        <v>142</v>
      </c>
      <c r="F84" s="13" t="s">
        <v>145</v>
      </c>
      <c r="G84" s="13">
        <v>1.5</v>
      </c>
      <c r="H84" s="15">
        <v>3</v>
      </c>
      <c r="I84" s="16">
        <v>4.5</v>
      </c>
      <c r="J84" s="16">
        <v>21.074074074074073</v>
      </c>
      <c r="K84" s="16">
        <v>-16.574074074074073</v>
      </c>
      <c r="L84" s="13">
        <v>6.95</v>
      </c>
      <c r="M84" s="13"/>
      <c r="N84" s="17">
        <f t="shared" si="2"/>
        <v>20.85</v>
      </c>
      <c r="O84" s="17">
        <f t="shared" si="2"/>
        <v>0</v>
      </c>
      <c r="P84" s="17">
        <f t="shared" si="3"/>
        <v>20.85</v>
      </c>
      <c r="Q84" t="str">
        <f>A84&amp;"-"&amp;B84&amp;"-"&amp;D84</f>
        <v>JANUARI-CJL-L3</v>
      </c>
    </row>
    <row r="85" spans="1:17" x14ac:dyDescent="0.25">
      <c r="A85" t="s">
        <v>388</v>
      </c>
      <c r="B85" s="13" t="s">
        <v>20</v>
      </c>
      <c r="C85" s="13" t="s">
        <v>70</v>
      </c>
      <c r="D85" s="14" t="s">
        <v>56</v>
      </c>
      <c r="E85" s="13" t="s">
        <v>142</v>
      </c>
      <c r="F85" s="13" t="s">
        <v>146</v>
      </c>
      <c r="G85" s="13">
        <v>1.5</v>
      </c>
      <c r="H85" s="15">
        <v>46</v>
      </c>
      <c r="I85" s="16">
        <v>69</v>
      </c>
      <c r="J85" s="16">
        <v>489.5669515669515</v>
      </c>
      <c r="K85" s="16">
        <v>-420.5669515669515</v>
      </c>
      <c r="L85" s="13">
        <v>6.1</v>
      </c>
      <c r="M85" s="13"/>
      <c r="N85" s="17">
        <f t="shared" si="2"/>
        <v>280.59999999999997</v>
      </c>
      <c r="O85" s="17">
        <f t="shared" si="2"/>
        <v>0</v>
      </c>
      <c r="P85" s="17">
        <f t="shared" si="3"/>
        <v>280.59999999999997</v>
      </c>
      <c r="Q85" t="str">
        <f>A85&amp;"-"&amp;B85&amp;"-"&amp;D85</f>
        <v>JANUARI-CJL-L3</v>
      </c>
    </row>
    <row r="86" spans="1:17" x14ac:dyDescent="0.25">
      <c r="A86" t="s">
        <v>388</v>
      </c>
      <c r="B86" s="13" t="s">
        <v>20</v>
      </c>
      <c r="C86" s="13" t="s">
        <v>70</v>
      </c>
      <c r="D86" s="14" t="s">
        <v>56</v>
      </c>
      <c r="E86" s="13" t="s">
        <v>142</v>
      </c>
      <c r="F86" s="13" t="s">
        <v>147</v>
      </c>
      <c r="G86" s="13">
        <v>1.5</v>
      </c>
      <c r="H86" s="15">
        <v>23</v>
      </c>
      <c r="I86" s="16">
        <v>34.5</v>
      </c>
      <c r="J86" s="16">
        <v>167.06808510638299</v>
      </c>
      <c r="K86" s="16">
        <v>-132.56808510638299</v>
      </c>
      <c r="L86" s="13">
        <v>6.26</v>
      </c>
      <c r="M86" s="13"/>
      <c r="N86" s="17">
        <f t="shared" si="2"/>
        <v>143.97999999999999</v>
      </c>
      <c r="O86" s="17">
        <f t="shared" si="2"/>
        <v>0</v>
      </c>
      <c r="P86" s="17">
        <f t="shared" si="3"/>
        <v>143.97999999999999</v>
      </c>
      <c r="Q86" t="str">
        <f>A86&amp;"-"&amp;B86&amp;"-"&amp;D86</f>
        <v>JANUARI-CJL-L3</v>
      </c>
    </row>
    <row r="87" spans="1:17" x14ac:dyDescent="0.25">
      <c r="A87" t="s">
        <v>388</v>
      </c>
      <c r="B87" s="13" t="s">
        <v>20</v>
      </c>
      <c r="C87" s="13" t="s">
        <v>70</v>
      </c>
      <c r="D87" s="14" t="s">
        <v>56</v>
      </c>
      <c r="E87" s="13" t="s">
        <v>142</v>
      </c>
      <c r="F87" s="13" t="s">
        <v>148</v>
      </c>
      <c r="G87" s="13">
        <v>1.5</v>
      </c>
      <c r="H87" s="15">
        <v>12</v>
      </c>
      <c r="I87" s="16">
        <v>18</v>
      </c>
      <c r="J87" s="16">
        <v>88.780141843971634</v>
      </c>
      <c r="K87" s="16">
        <v>-70.780141843971634</v>
      </c>
      <c r="L87" s="13">
        <v>6.01</v>
      </c>
      <c r="M87" s="13"/>
      <c r="N87" s="17">
        <f t="shared" si="2"/>
        <v>72.12</v>
      </c>
      <c r="O87" s="17">
        <f t="shared" si="2"/>
        <v>0</v>
      </c>
      <c r="P87" s="17">
        <f t="shared" si="3"/>
        <v>72.12</v>
      </c>
      <c r="Q87" t="str">
        <f>A87&amp;"-"&amp;B87&amp;"-"&amp;D87</f>
        <v>JANUARI-CJL-L3</v>
      </c>
    </row>
    <row r="88" spans="1:17" x14ac:dyDescent="0.25">
      <c r="A88" t="s">
        <v>388</v>
      </c>
      <c r="B88" s="13" t="s">
        <v>20</v>
      </c>
      <c r="C88" s="13" t="s">
        <v>70</v>
      </c>
      <c r="D88" s="14" t="s">
        <v>56</v>
      </c>
      <c r="E88" s="13" t="s">
        <v>142</v>
      </c>
      <c r="F88" s="13" t="s">
        <v>149</v>
      </c>
      <c r="G88" s="13">
        <v>1.5</v>
      </c>
      <c r="H88" s="15">
        <v>3</v>
      </c>
      <c r="I88" s="16">
        <v>4.5</v>
      </c>
      <c r="J88" s="16">
        <v>21.074074074074073</v>
      </c>
      <c r="K88" s="16">
        <v>-16.574074074074073</v>
      </c>
      <c r="L88" s="13">
        <v>6.33</v>
      </c>
      <c r="M88" s="13"/>
      <c r="N88" s="17">
        <f t="shared" si="2"/>
        <v>18.990000000000002</v>
      </c>
      <c r="O88" s="17">
        <f t="shared" si="2"/>
        <v>0</v>
      </c>
      <c r="P88" s="17">
        <f t="shared" si="3"/>
        <v>18.990000000000002</v>
      </c>
      <c r="Q88" t="str">
        <f>A88&amp;"-"&amp;B88&amp;"-"&amp;D88</f>
        <v>JANUARI-CJL-L3</v>
      </c>
    </row>
    <row r="89" spans="1:17" x14ac:dyDescent="0.25">
      <c r="A89" t="s">
        <v>388</v>
      </c>
      <c r="B89" s="13" t="s">
        <v>20</v>
      </c>
      <c r="C89" s="13" t="s">
        <v>70</v>
      </c>
      <c r="D89" s="14" t="s">
        <v>56</v>
      </c>
      <c r="E89" s="13" t="s">
        <v>142</v>
      </c>
      <c r="F89" s="13" t="s">
        <v>150</v>
      </c>
      <c r="G89" s="13">
        <v>1.5</v>
      </c>
      <c r="H89" s="15">
        <v>1</v>
      </c>
      <c r="I89" s="16">
        <v>1.5</v>
      </c>
      <c r="J89" s="16">
        <v>7.0246913580246924</v>
      </c>
      <c r="K89" s="16">
        <v>-5.5246913580246924</v>
      </c>
      <c r="L89" s="13">
        <v>5.79</v>
      </c>
      <c r="M89" s="13"/>
      <c r="N89" s="17">
        <f t="shared" si="2"/>
        <v>5.79</v>
      </c>
      <c r="O89" s="17">
        <f t="shared" si="2"/>
        <v>0</v>
      </c>
      <c r="P89" s="17">
        <f t="shared" si="3"/>
        <v>5.79</v>
      </c>
      <c r="Q89" t="str">
        <f>A89&amp;"-"&amp;B89&amp;"-"&amp;D89</f>
        <v>JANUARI-CJL-L3</v>
      </c>
    </row>
    <row r="90" spans="1:17" x14ac:dyDescent="0.25">
      <c r="A90" t="s">
        <v>388</v>
      </c>
      <c r="B90" s="13" t="s">
        <v>20</v>
      </c>
      <c r="C90" s="13" t="s">
        <v>151</v>
      </c>
      <c r="D90" s="14" t="s">
        <v>56</v>
      </c>
      <c r="E90" s="13" t="s">
        <v>152</v>
      </c>
      <c r="F90" s="13" t="s">
        <v>153</v>
      </c>
      <c r="G90" s="13">
        <v>3.35</v>
      </c>
      <c r="H90" s="15">
        <v>0</v>
      </c>
      <c r="I90" s="16">
        <v>0</v>
      </c>
      <c r="J90" s="16">
        <v>0</v>
      </c>
      <c r="K90" s="16">
        <v>0</v>
      </c>
      <c r="L90" s="13"/>
      <c r="M90" s="13"/>
      <c r="N90" s="17">
        <f t="shared" si="2"/>
        <v>0</v>
      </c>
      <c r="O90" s="17">
        <f t="shared" si="2"/>
        <v>0</v>
      </c>
      <c r="P90" s="17">
        <f t="shared" si="3"/>
        <v>0</v>
      </c>
      <c r="Q90" t="str">
        <f>A90&amp;"-"&amp;B90&amp;"-"&amp;D90</f>
        <v>JANUARI-CJL-L3</v>
      </c>
    </row>
    <row r="91" spans="1:17" x14ac:dyDescent="0.25">
      <c r="A91" t="s">
        <v>388</v>
      </c>
      <c r="B91" s="13" t="s">
        <v>22</v>
      </c>
      <c r="C91" s="13" t="s">
        <v>154</v>
      </c>
      <c r="D91" s="14" t="s">
        <v>56</v>
      </c>
      <c r="E91" s="13" t="s">
        <v>155</v>
      </c>
      <c r="F91" s="13" t="s">
        <v>156</v>
      </c>
      <c r="G91" s="13">
        <v>0.55000000000000004</v>
      </c>
      <c r="H91" s="15">
        <v>3749</v>
      </c>
      <c r="I91" s="16">
        <v>2061.9499999999998</v>
      </c>
      <c r="J91" s="16">
        <v>2403.14</v>
      </c>
      <c r="K91" s="16">
        <v>-341.18999999999994</v>
      </c>
      <c r="L91" s="13">
        <v>1.61</v>
      </c>
      <c r="M91" s="13"/>
      <c r="N91" s="17">
        <f t="shared" si="2"/>
        <v>6035.89</v>
      </c>
      <c r="O91" s="17">
        <f t="shared" si="2"/>
        <v>0</v>
      </c>
      <c r="P91" s="17">
        <f t="shared" si="3"/>
        <v>6035.89</v>
      </c>
      <c r="Q91" t="str">
        <f>A91&amp;"-"&amp;B91&amp;"-"&amp;D91</f>
        <v>JANUARI-CNJ2-L3</v>
      </c>
    </row>
    <row r="92" spans="1:17" x14ac:dyDescent="0.25">
      <c r="A92" t="s">
        <v>388</v>
      </c>
      <c r="B92" s="13" t="s">
        <v>22</v>
      </c>
      <c r="C92" s="13" t="s">
        <v>154</v>
      </c>
      <c r="D92" s="14" t="s">
        <v>56</v>
      </c>
      <c r="E92" s="13" t="s">
        <v>155</v>
      </c>
      <c r="F92" s="13" t="s">
        <v>157</v>
      </c>
      <c r="G92" s="13">
        <v>0.55000000000000004</v>
      </c>
      <c r="H92" s="15">
        <v>6900</v>
      </c>
      <c r="I92" s="16">
        <v>3795</v>
      </c>
      <c r="J92" s="16">
        <v>3050.14</v>
      </c>
      <c r="K92" s="16">
        <v>744.86</v>
      </c>
      <c r="L92" s="13">
        <v>1.61</v>
      </c>
      <c r="M92" s="13"/>
      <c r="N92" s="17">
        <f t="shared" si="2"/>
        <v>11109</v>
      </c>
      <c r="O92" s="17">
        <f t="shared" si="2"/>
        <v>0</v>
      </c>
      <c r="P92" s="17">
        <f t="shared" si="3"/>
        <v>11109</v>
      </c>
      <c r="Q92" t="str">
        <f>A92&amp;"-"&amp;B92&amp;"-"&amp;D92</f>
        <v>JANUARI-CNJ2-L3</v>
      </c>
    </row>
    <row r="93" spans="1:17" x14ac:dyDescent="0.25">
      <c r="A93" t="s">
        <v>388</v>
      </c>
      <c r="B93" s="13" t="s">
        <v>22</v>
      </c>
      <c r="C93" s="13" t="s">
        <v>154</v>
      </c>
      <c r="D93" s="14" t="s">
        <v>158</v>
      </c>
      <c r="E93" s="13" t="s">
        <v>155</v>
      </c>
      <c r="F93" s="13" t="s">
        <v>159</v>
      </c>
      <c r="G93" s="13">
        <v>0.54999999999999993</v>
      </c>
      <c r="H93" s="15">
        <v>11789</v>
      </c>
      <c r="I93" s="16">
        <v>6483.95</v>
      </c>
      <c r="J93" s="16">
        <v>5638.1399999999994</v>
      </c>
      <c r="K93" s="16">
        <v>845.81000000000006</v>
      </c>
      <c r="L93" s="13">
        <v>1.61</v>
      </c>
      <c r="M93" s="13"/>
      <c r="N93" s="17">
        <f t="shared" si="2"/>
        <v>18980.29</v>
      </c>
      <c r="O93" s="17">
        <f t="shared" si="2"/>
        <v>0</v>
      </c>
      <c r="P93" s="17">
        <f t="shared" si="3"/>
        <v>18980.29</v>
      </c>
      <c r="Q93" t="str">
        <f>A93&amp;"-"&amp;B93&amp;"-"&amp;D93</f>
        <v>JANUARI-CNJ2-L4</v>
      </c>
    </row>
    <row r="94" spans="1:17" x14ac:dyDescent="0.25">
      <c r="A94" t="s">
        <v>388</v>
      </c>
      <c r="B94" s="13" t="s">
        <v>22</v>
      </c>
      <c r="C94" s="13" t="s">
        <v>154</v>
      </c>
      <c r="D94" s="14" t="s">
        <v>158</v>
      </c>
      <c r="E94" s="13" t="s">
        <v>155</v>
      </c>
      <c r="F94" s="13" t="s">
        <v>156</v>
      </c>
      <c r="G94" s="13">
        <v>0.55000000000000004</v>
      </c>
      <c r="H94" s="15">
        <v>3610</v>
      </c>
      <c r="I94" s="16">
        <v>1985.5</v>
      </c>
      <c r="J94" s="16">
        <v>2403.14</v>
      </c>
      <c r="K94" s="16">
        <v>-417.64</v>
      </c>
      <c r="L94" s="13">
        <v>1.61</v>
      </c>
      <c r="M94" s="13"/>
      <c r="N94" s="17">
        <f t="shared" si="2"/>
        <v>5812.1</v>
      </c>
      <c r="O94" s="17">
        <f t="shared" si="2"/>
        <v>0</v>
      </c>
      <c r="P94" s="17">
        <f t="shared" si="3"/>
        <v>5812.1</v>
      </c>
      <c r="Q94" t="str">
        <f>A94&amp;"-"&amp;B94&amp;"-"&amp;D94</f>
        <v>JANUARI-CNJ2-L4</v>
      </c>
    </row>
    <row r="95" spans="1:17" x14ac:dyDescent="0.25">
      <c r="A95" t="s">
        <v>388</v>
      </c>
      <c r="B95" s="13" t="s">
        <v>22</v>
      </c>
      <c r="C95" s="13" t="s">
        <v>154</v>
      </c>
      <c r="D95" s="14" t="s">
        <v>158</v>
      </c>
      <c r="E95" s="13" t="s">
        <v>155</v>
      </c>
      <c r="F95" s="13" t="s">
        <v>157</v>
      </c>
      <c r="G95" s="13">
        <v>0.55000000000000004</v>
      </c>
      <c r="H95" s="15">
        <v>3850</v>
      </c>
      <c r="I95" s="16">
        <v>2117.5</v>
      </c>
      <c r="J95" s="16">
        <v>1756.1399999999999</v>
      </c>
      <c r="K95" s="16">
        <v>361.36</v>
      </c>
      <c r="L95" s="13">
        <v>1.61</v>
      </c>
      <c r="M95" s="13"/>
      <c r="N95" s="17">
        <f t="shared" si="2"/>
        <v>6198.5</v>
      </c>
      <c r="O95" s="17">
        <f t="shared" si="2"/>
        <v>0</v>
      </c>
      <c r="P95" s="17">
        <f t="shared" si="3"/>
        <v>6198.5</v>
      </c>
      <c r="Q95" t="str">
        <f>A95&amp;"-"&amp;B95&amp;"-"&amp;D95</f>
        <v>JANUARI-CNJ2-L4</v>
      </c>
    </row>
    <row r="96" spans="1:17" x14ac:dyDescent="0.25">
      <c r="A96" t="s">
        <v>388</v>
      </c>
      <c r="B96" s="13" t="s">
        <v>22</v>
      </c>
      <c r="C96" s="13" t="s">
        <v>154</v>
      </c>
      <c r="D96" s="14" t="s">
        <v>160</v>
      </c>
      <c r="E96" s="13" t="s">
        <v>155</v>
      </c>
      <c r="F96" s="13" t="s">
        <v>161</v>
      </c>
      <c r="G96" s="13">
        <v>0.54999999999999993</v>
      </c>
      <c r="H96" s="15">
        <v>9134</v>
      </c>
      <c r="I96" s="16">
        <v>5023.7</v>
      </c>
      <c r="J96" s="16">
        <v>4344.1399999999994</v>
      </c>
      <c r="K96" s="16">
        <v>679.56</v>
      </c>
      <c r="L96" s="13">
        <v>1.74</v>
      </c>
      <c r="M96" s="13"/>
      <c r="N96" s="17">
        <f t="shared" si="2"/>
        <v>15893.16</v>
      </c>
      <c r="O96" s="17">
        <f t="shared" si="2"/>
        <v>0</v>
      </c>
      <c r="P96" s="17">
        <f t="shared" si="3"/>
        <v>15893.16</v>
      </c>
      <c r="Q96" t="str">
        <f>A96&amp;"-"&amp;B96&amp;"-"&amp;D96</f>
        <v>JANUARI-CNJ2-L5</v>
      </c>
    </row>
    <row r="97" spans="1:17" x14ac:dyDescent="0.25">
      <c r="A97" t="s">
        <v>388</v>
      </c>
      <c r="B97" s="13" t="s">
        <v>22</v>
      </c>
      <c r="C97" s="13" t="s">
        <v>154</v>
      </c>
      <c r="D97" s="14" t="s">
        <v>160</v>
      </c>
      <c r="E97" s="13" t="s">
        <v>155</v>
      </c>
      <c r="F97" s="13" t="s">
        <v>159</v>
      </c>
      <c r="G97" s="13">
        <v>0.54999999999999993</v>
      </c>
      <c r="H97" s="15">
        <v>18317</v>
      </c>
      <c r="I97" s="16">
        <v>10074.35</v>
      </c>
      <c r="J97" s="16">
        <v>7394.28</v>
      </c>
      <c r="K97" s="16">
        <v>2680.07</v>
      </c>
      <c r="L97" s="13">
        <v>1.61</v>
      </c>
      <c r="M97" s="13"/>
      <c r="N97" s="17">
        <f t="shared" si="2"/>
        <v>29490.370000000003</v>
      </c>
      <c r="O97" s="17">
        <f t="shared" si="2"/>
        <v>0</v>
      </c>
      <c r="P97" s="17">
        <f t="shared" si="3"/>
        <v>29490.370000000003</v>
      </c>
      <c r="Q97" t="str">
        <f>A97&amp;"-"&amp;B97&amp;"-"&amp;D97</f>
        <v>JANUARI-CNJ2-L5</v>
      </c>
    </row>
    <row r="98" spans="1:17" x14ac:dyDescent="0.25">
      <c r="A98" t="s">
        <v>388</v>
      </c>
      <c r="B98" s="13" t="s">
        <v>22</v>
      </c>
      <c r="C98" s="13" t="s">
        <v>154</v>
      </c>
      <c r="D98" s="14" t="s">
        <v>160</v>
      </c>
      <c r="E98" s="13" t="s">
        <v>155</v>
      </c>
      <c r="F98" s="13" t="s">
        <v>157</v>
      </c>
      <c r="G98" s="13">
        <v>0.55000000000000004</v>
      </c>
      <c r="H98" s="15">
        <v>4050</v>
      </c>
      <c r="I98" s="16">
        <v>2227.5</v>
      </c>
      <c r="J98" s="16">
        <v>1756.1399999999999</v>
      </c>
      <c r="K98" s="16">
        <v>471.36</v>
      </c>
      <c r="L98" s="13">
        <v>1.61</v>
      </c>
      <c r="M98" s="13"/>
      <c r="N98" s="17">
        <f t="shared" si="2"/>
        <v>6520.5</v>
      </c>
      <c r="O98" s="17">
        <f t="shared" si="2"/>
        <v>0</v>
      </c>
      <c r="P98" s="17">
        <f t="shared" si="3"/>
        <v>6520.5</v>
      </c>
      <c r="Q98" t="str">
        <f>A98&amp;"-"&amp;B98&amp;"-"&amp;D98</f>
        <v>JANUARI-CNJ2-L5</v>
      </c>
    </row>
    <row r="99" spans="1:17" x14ac:dyDescent="0.25">
      <c r="A99" t="s">
        <v>388</v>
      </c>
      <c r="B99" s="13" t="s">
        <v>22</v>
      </c>
      <c r="C99" s="13" t="s">
        <v>154</v>
      </c>
      <c r="D99" s="14" t="s">
        <v>160</v>
      </c>
      <c r="E99" s="13" t="s">
        <v>155</v>
      </c>
      <c r="F99" s="13" t="s">
        <v>162</v>
      </c>
      <c r="G99" s="13">
        <v>0.55000000000000004</v>
      </c>
      <c r="H99" s="15">
        <v>1550</v>
      </c>
      <c r="I99" s="16">
        <v>852.5</v>
      </c>
      <c r="J99" s="16">
        <v>647</v>
      </c>
      <c r="K99" s="16">
        <v>205.5</v>
      </c>
      <c r="L99" s="13">
        <v>1.61</v>
      </c>
      <c r="M99" s="13"/>
      <c r="N99" s="17">
        <f t="shared" si="2"/>
        <v>2495.5</v>
      </c>
      <c r="O99" s="17">
        <f t="shared" si="2"/>
        <v>0</v>
      </c>
      <c r="P99" s="17">
        <f t="shared" si="3"/>
        <v>2495.5</v>
      </c>
      <c r="Q99" t="str">
        <f>A99&amp;"-"&amp;B99&amp;"-"&amp;D99</f>
        <v>JANUARI-CNJ2-L5</v>
      </c>
    </row>
    <row r="100" spans="1:17" x14ac:dyDescent="0.25">
      <c r="A100" t="s">
        <v>388</v>
      </c>
      <c r="B100" s="13" t="s">
        <v>22</v>
      </c>
      <c r="C100" s="13" t="s">
        <v>154</v>
      </c>
      <c r="D100" s="14" t="s">
        <v>163</v>
      </c>
      <c r="E100" s="13" t="s">
        <v>155</v>
      </c>
      <c r="F100" s="13" t="s">
        <v>161</v>
      </c>
      <c r="G100" s="13">
        <v>0.54999999999999993</v>
      </c>
      <c r="H100" s="15">
        <v>11367</v>
      </c>
      <c r="I100" s="16">
        <v>6251.85</v>
      </c>
      <c r="J100" s="16">
        <v>6285.1399999999994</v>
      </c>
      <c r="K100" s="16">
        <v>-33.289999999999964</v>
      </c>
      <c r="L100" s="13">
        <v>1.74</v>
      </c>
      <c r="M100" s="13"/>
      <c r="N100" s="17">
        <f t="shared" si="2"/>
        <v>19778.579999999998</v>
      </c>
      <c r="O100" s="17">
        <f t="shared" si="2"/>
        <v>0</v>
      </c>
      <c r="P100" s="17">
        <f t="shared" si="3"/>
        <v>19778.579999999998</v>
      </c>
      <c r="Q100" t="str">
        <f>A100&amp;"-"&amp;B100&amp;"-"&amp;D100</f>
        <v>JANUARI-CNJ2-L6</v>
      </c>
    </row>
    <row r="101" spans="1:17" x14ac:dyDescent="0.25">
      <c r="A101" t="s">
        <v>388</v>
      </c>
      <c r="B101" s="13" t="s">
        <v>22</v>
      </c>
      <c r="C101" s="13" t="s">
        <v>154</v>
      </c>
      <c r="D101" s="14" t="s">
        <v>163</v>
      </c>
      <c r="E101" s="13" t="s">
        <v>155</v>
      </c>
      <c r="F101" s="13" t="s">
        <v>159</v>
      </c>
      <c r="G101" s="13">
        <v>0.54999999999999993</v>
      </c>
      <c r="H101" s="15">
        <v>16655</v>
      </c>
      <c r="I101" s="16">
        <v>9160.25</v>
      </c>
      <c r="J101" s="16">
        <v>7394.28</v>
      </c>
      <c r="K101" s="16">
        <v>1765.97</v>
      </c>
      <c r="L101" s="13">
        <v>1.61</v>
      </c>
      <c r="M101" s="13"/>
      <c r="N101" s="17">
        <f t="shared" si="2"/>
        <v>26814.550000000003</v>
      </c>
      <c r="O101" s="17">
        <f t="shared" si="2"/>
        <v>0</v>
      </c>
      <c r="P101" s="17">
        <f t="shared" si="3"/>
        <v>26814.550000000003</v>
      </c>
      <c r="Q101" t="str">
        <f>A101&amp;"-"&amp;B101&amp;"-"&amp;D101</f>
        <v>JANUARI-CNJ2-L6</v>
      </c>
    </row>
    <row r="102" spans="1:17" x14ac:dyDescent="0.25">
      <c r="A102" t="s">
        <v>388</v>
      </c>
      <c r="B102" s="13" t="s">
        <v>22</v>
      </c>
      <c r="C102" s="13" t="s">
        <v>154</v>
      </c>
      <c r="D102" s="14" t="s">
        <v>163</v>
      </c>
      <c r="E102" s="13" t="s">
        <v>155</v>
      </c>
      <c r="F102" s="13" t="s">
        <v>157</v>
      </c>
      <c r="G102" s="13">
        <v>0.55000000000000004</v>
      </c>
      <c r="H102" s="15">
        <v>3800</v>
      </c>
      <c r="I102" s="16">
        <v>2090</v>
      </c>
      <c r="J102" s="16">
        <v>1756.1399999999999</v>
      </c>
      <c r="K102" s="16">
        <v>333.86</v>
      </c>
      <c r="L102" s="13">
        <v>1.61</v>
      </c>
      <c r="M102" s="13"/>
      <c r="N102" s="17">
        <f t="shared" si="2"/>
        <v>6118</v>
      </c>
      <c r="O102" s="17">
        <f t="shared" si="2"/>
        <v>0</v>
      </c>
      <c r="P102" s="17">
        <f t="shared" si="3"/>
        <v>6118</v>
      </c>
      <c r="Q102" t="str">
        <f>A102&amp;"-"&amp;B102&amp;"-"&amp;D102</f>
        <v>JANUARI-CNJ2-L6</v>
      </c>
    </row>
    <row r="103" spans="1:17" x14ac:dyDescent="0.25">
      <c r="A103" t="s">
        <v>388</v>
      </c>
      <c r="B103" s="13" t="s">
        <v>22</v>
      </c>
      <c r="C103" s="13" t="s">
        <v>154</v>
      </c>
      <c r="D103" s="14" t="s">
        <v>163</v>
      </c>
      <c r="E103" s="13" t="s">
        <v>155</v>
      </c>
      <c r="F103" s="13" t="s">
        <v>162</v>
      </c>
      <c r="G103" s="13">
        <v>0.55000000000000004</v>
      </c>
      <c r="H103" s="15">
        <v>1350</v>
      </c>
      <c r="I103" s="16">
        <v>742.5</v>
      </c>
      <c r="J103" s="16">
        <v>647</v>
      </c>
      <c r="K103" s="16">
        <v>95.5</v>
      </c>
      <c r="L103" s="13">
        <v>1.61</v>
      </c>
      <c r="M103" s="13"/>
      <c r="N103" s="17">
        <f t="shared" si="2"/>
        <v>2173.5</v>
      </c>
      <c r="O103" s="17">
        <f t="shared" si="2"/>
        <v>0</v>
      </c>
      <c r="P103" s="17">
        <f t="shared" si="3"/>
        <v>2173.5</v>
      </c>
      <c r="Q103" t="str">
        <f>A103&amp;"-"&amp;B103&amp;"-"&amp;D103</f>
        <v>JANUARI-CNJ2-L6</v>
      </c>
    </row>
    <row r="104" spans="1:17" x14ac:dyDescent="0.25">
      <c r="A104" t="s">
        <v>388</v>
      </c>
      <c r="B104" s="13" t="s">
        <v>22</v>
      </c>
      <c r="C104" s="13" t="s">
        <v>154</v>
      </c>
      <c r="D104" s="14" t="s">
        <v>164</v>
      </c>
      <c r="E104" s="13" t="s">
        <v>155</v>
      </c>
      <c r="F104" s="13" t="s">
        <v>161</v>
      </c>
      <c r="G104" s="13">
        <v>0.54999999999999993</v>
      </c>
      <c r="H104" s="15">
        <v>7135</v>
      </c>
      <c r="I104" s="16">
        <v>3924.25</v>
      </c>
      <c r="J104" s="16">
        <v>6285.1399999999994</v>
      </c>
      <c r="K104" s="16">
        <v>-2360.89</v>
      </c>
      <c r="L104" s="13">
        <v>1.74</v>
      </c>
      <c r="M104" s="13"/>
      <c r="N104" s="17">
        <f t="shared" si="2"/>
        <v>12414.9</v>
      </c>
      <c r="O104" s="17">
        <f t="shared" si="2"/>
        <v>0</v>
      </c>
      <c r="P104" s="17">
        <f t="shared" si="3"/>
        <v>12414.9</v>
      </c>
      <c r="Q104" t="str">
        <f>A104&amp;"-"&amp;B104&amp;"-"&amp;D104</f>
        <v>JANUARI-CNJ2-L7</v>
      </c>
    </row>
    <row r="105" spans="1:17" x14ac:dyDescent="0.25">
      <c r="A105" t="s">
        <v>388</v>
      </c>
      <c r="B105" s="13" t="s">
        <v>22</v>
      </c>
      <c r="C105" s="13" t="s">
        <v>154</v>
      </c>
      <c r="D105" s="14" t="s">
        <v>164</v>
      </c>
      <c r="E105" s="13" t="s">
        <v>155</v>
      </c>
      <c r="F105" s="13" t="s">
        <v>159</v>
      </c>
      <c r="G105" s="13">
        <v>0.54999999999999993</v>
      </c>
      <c r="H105" s="15">
        <v>10365</v>
      </c>
      <c r="I105" s="16">
        <v>5700.75</v>
      </c>
      <c r="J105" s="16">
        <v>7394.28</v>
      </c>
      <c r="K105" s="16">
        <v>-1693.53</v>
      </c>
      <c r="L105" s="13">
        <v>1.61</v>
      </c>
      <c r="M105" s="13"/>
      <c r="N105" s="17">
        <f t="shared" si="2"/>
        <v>16687.650000000001</v>
      </c>
      <c r="O105" s="17">
        <f t="shared" si="2"/>
        <v>0</v>
      </c>
      <c r="P105" s="17">
        <f t="shared" si="3"/>
        <v>16687.650000000001</v>
      </c>
      <c r="Q105" t="str">
        <f>A105&amp;"-"&amp;B105&amp;"-"&amp;D105</f>
        <v>JANUARI-CNJ2-L7</v>
      </c>
    </row>
    <row r="106" spans="1:17" x14ac:dyDescent="0.25">
      <c r="A106" t="s">
        <v>388</v>
      </c>
      <c r="B106" s="13" t="s">
        <v>22</v>
      </c>
      <c r="C106" s="13" t="s">
        <v>154</v>
      </c>
      <c r="D106" s="14" t="s">
        <v>164</v>
      </c>
      <c r="E106" s="13" t="s">
        <v>155</v>
      </c>
      <c r="F106" s="13" t="s">
        <v>157</v>
      </c>
      <c r="G106" s="13">
        <v>0.55000000000000004</v>
      </c>
      <c r="H106" s="15">
        <v>2925</v>
      </c>
      <c r="I106" s="16">
        <v>1608.75</v>
      </c>
      <c r="J106" s="16">
        <v>1756.1399999999999</v>
      </c>
      <c r="K106" s="16">
        <v>-147.38999999999999</v>
      </c>
      <c r="L106" s="13">
        <v>1.61</v>
      </c>
      <c r="M106" s="13"/>
      <c r="N106" s="17">
        <f t="shared" si="2"/>
        <v>4709.25</v>
      </c>
      <c r="O106" s="17">
        <f t="shared" si="2"/>
        <v>0</v>
      </c>
      <c r="P106" s="17">
        <f t="shared" si="3"/>
        <v>4709.25</v>
      </c>
      <c r="Q106" t="str">
        <f>A106&amp;"-"&amp;B106&amp;"-"&amp;D106</f>
        <v>JANUARI-CNJ2-L7</v>
      </c>
    </row>
    <row r="107" spans="1:17" x14ac:dyDescent="0.25">
      <c r="A107" t="s">
        <v>388</v>
      </c>
      <c r="B107" s="13" t="s">
        <v>22</v>
      </c>
      <c r="C107" s="13" t="s">
        <v>154</v>
      </c>
      <c r="D107" s="14" t="s">
        <v>164</v>
      </c>
      <c r="E107" s="13" t="s">
        <v>155</v>
      </c>
      <c r="F107" s="13" t="s">
        <v>162</v>
      </c>
      <c r="G107" s="13">
        <v>0.55000000000000004</v>
      </c>
      <c r="H107" s="15">
        <v>800</v>
      </c>
      <c r="I107" s="16">
        <v>440</v>
      </c>
      <c r="J107" s="16">
        <v>647</v>
      </c>
      <c r="K107" s="16">
        <v>-207</v>
      </c>
      <c r="L107" s="13">
        <v>1.61</v>
      </c>
      <c r="M107" s="13"/>
      <c r="N107" s="17">
        <f t="shared" si="2"/>
        <v>1288</v>
      </c>
      <c r="O107" s="17">
        <f t="shared" si="2"/>
        <v>0</v>
      </c>
      <c r="P107" s="17">
        <f t="shared" si="3"/>
        <v>1288</v>
      </c>
      <c r="Q107" t="str">
        <f>A107&amp;"-"&amp;B107&amp;"-"&amp;D107</f>
        <v>JANUARI-CNJ2-L7</v>
      </c>
    </row>
    <row r="108" spans="1:17" x14ac:dyDescent="0.25">
      <c r="A108" t="s">
        <v>388</v>
      </c>
      <c r="B108" s="13" t="s">
        <v>22</v>
      </c>
      <c r="C108" s="13" t="s">
        <v>43</v>
      </c>
      <c r="D108" s="14" t="s">
        <v>44</v>
      </c>
      <c r="E108" s="13" t="s">
        <v>165</v>
      </c>
      <c r="F108" s="13" t="s">
        <v>166</v>
      </c>
      <c r="G108" s="13">
        <v>1.86</v>
      </c>
      <c r="H108" s="15">
        <v>310</v>
      </c>
      <c r="I108" s="16">
        <v>576.6</v>
      </c>
      <c r="J108" s="16">
        <v>647</v>
      </c>
      <c r="K108" s="16">
        <v>-70.399999999999977</v>
      </c>
      <c r="L108" s="13"/>
      <c r="M108" s="13">
        <v>1.7</v>
      </c>
      <c r="N108" s="17">
        <f t="shared" si="2"/>
        <v>0</v>
      </c>
      <c r="O108" s="17">
        <f t="shared" si="2"/>
        <v>527</v>
      </c>
      <c r="P108" s="17">
        <f t="shared" si="3"/>
        <v>527</v>
      </c>
      <c r="Q108" t="str">
        <f>A108&amp;"-"&amp;B108&amp;"-"&amp;D108</f>
        <v>JANUARI-CNJ2-L1</v>
      </c>
    </row>
    <row r="109" spans="1:17" x14ac:dyDescent="0.25">
      <c r="A109" t="s">
        <v>388</v>
      </c>
      <c r="B109" s="13" t="s">
        <v>22</v>
      </c>
      <c r="C109" s="13" t="s">
        <v>43</v>
      </c>
      <c r="D109" s="14" t="s">
        <v>44</v>
      </c>
      <c r="E109" s="13" t="s">
        <v>167</v>
      </c>
      <c r="F109" s="13" t="s">
        <v>168</v>
      </c>
      <c r="G109" s="13">
        <v>1.9600000000000006</v>
      </c>
      <c r="H109" s="15">
        <v>3804</v>
      </c>
      <c r="I109" s="16">
        <v>7455.8400000000011</v>
      </c>
      <c r="J109" s="16">
        <v>7856.42</v>
      </c>
      <c r="K109" s="16">
        <v>-400.57999999999987</v>
      </c>
      <c r="L109" s="13"/>
      <c r="M109" s="13">
        <v>2.0499999999999998</v>
      </c>
      <c r="N109" s="17">
        <f t="shared" si="2"/>
        <v>0</v>
      </c>
      <c r="O109" s="17">
        <f t="shared" si="2"/>
        <v>7798.1999999999989</v>
      </c>
      <c r="P109" s="17">
        <f t="shared" si="3"/>
        <v>7798.1999999999989</v>
      </c>
      <c r="Q109" t="str">
        <f>A109&amp;"-"&amp;B109&amp;"-"&amp;D109</f>
        <v>JANUARI-CNJ2-L1</v>
      </c>
    </row>
    <row r="110" spans="1:17" x14ac:dyDescent="0.25">
      <c r="A110" t="s">
        <v>388</v>
      </c>
      <c r="B110" s="13" t="s">
        <v>22</v>
      </c>
      <c r="C110" s="13" t="s">
        <v>43</v>
      </c>
      <c r="D110" s="14" t="s">
        <v>44</v>
      </c>
      <c r="E110" s="13" t="s">
        <v>167</v>
      </c>
      <c r="F110" s="13" t="s">
        <v>169</v>
      </c>
      <c r="G110" s="13">
        <v>1.96</v>
      </c>
      <c r="H110" s="15">
        <v>520</v>
      </c>
      <c r="I110" s="16">
        <v>1019.2</v>
      </c>
      <c r="J110" s="16">
        <v>1294</v>
      </c>
      <c r="K110" s="16">
        <v>-274.8</v>
      </c>
      <c r="L110" s="13"/>
      <c r="M110" s="13">
        <v>2.0499999999999998</v>
      </c>
      <c r="N110" s="17">
        <f t="shared" si="2"/>
        <v>0</v>
      </c>
      <c r="O110" s="17">
        <f t="shared" si="2"/>
        <v>1066</v>
      </c>
      <c r="P110" s="17">
        <f t="shared" si="3"/>
        <v>1066</v>
      </c>
      <c r="Q110" t="str">
        <f>A110&amp;"-"&amp;B110&amp;"-"&amp;D110</f>
        <v>JANUARI-CNJ2-L1</v>
      </c>
    </row>
    <row r="111" spans="1:17" x14ac:dyDescent="0.25">
      <c r="A111" t="s">
        <v>388</v>
      </c>
      <c r="B111" s="13" t="s">
        <v>22</v>
      </c>
      <c r="C111" s="13" t="s">
        <v>43</v>
      </c>
      <c r="D111" s="14" t="s">
        <v>50</v>
      </c>
      <c r="E111" s="13" t="s">
        <v>170</v>
      </c>
      <c r="F111" s="13" t="s">
        <v>171</v>
      </c>
      <c r="G111" s="13">
        <v>0.44</v>
      </c>
      <c r="H111" s="15">
        <v>3573</v>
      </c>
      <c r="I111" s="16">
        <v>1572.12</v>
      </c>
      <c r="J111" s="16">
        <v>2819.0699999999997</v>
      </c>
      <c r="K111" s="16">
        <v>-1246.95</v>
      </c>
      <c r="L111" s="13"/>
      <c r="M111" s="13">
        <v>0.6</v>
      </c>
      <c r="N111" s="17">
        <f t="shared" si="2"/>
        <v>0</v>
      </c>
      <c r="O111" s="17">
        <f t="shared" si="2"/>
        <v>2143.7999999999997</v>
      </c>
      <c r="P111" s="17">
        <f t="shared" si="3"/>
        <v>2143.7999999999997</v>
      </c>
      <c r="Q111" t="str">
        <f>A111&amp;"-"&amp;B111&amp;"-"&amp;D111</f>
        <v>JANUARI-CNJ2-L2</v>
      </c>
    </row>
    <row r="112" spans="1:17" x14ac:dyDescent="0.25">
      <c r="A112" t="s">
        <v>388</v>
      </c>
      <c r="B112" s="13" t="s">
        <v>22</v>
      </c>
      <c r="C112" s="13" t="s">
        <v>43</v>
      </c>
      <c r="D112" s="14" t="s">
        <v>50</v>
      </c>
      <c r="E112" s="13" t="s">
        <v>170</v>
      </c>
      <c r="F112" s="13" t="s">
        <v>172</v>
      </c>
      <c r="G112" s="13">
        <v>0.28999999999999998</v>
      </c>
      <c r="H112" s="15">
        <v>2555</v>
      </c>
      <c r="I112" s="16">
        <v>740.94999999999993</v>
      </c>
      <c r="J112" s="16">
        <v>2172.0699999999997</v>
      </c>
      <c r="K112" s="16">
        <v>-1431.12</v>
      </c>
      <c r="L112" s="13"/>
      <c r="M112" s="13">
        <v>0.3</v>
      </c>
      <c r="N112" s="17">
        <f t="shared" si="2"/>
        <v>0</v>
      </c>
      <c r="O112" s="17">
        <f t="shared" si="2"/>
        <v>766.5</v>
      </c>
      <c r="P112" s="17">
        <f t="shared" si="3"/>
        <v>766.5</v>
      </c>
      <c r="Q112" t="str">
        <f>A112&amp;"-"&amp;B112&amp;"-"&amp;D112</f>
        <v>JANUARI-CNJ2-L2</v>
      </c>
    </row>
    <row r="113" spans="1:17" x14ac:dyDescent="0.25">
      <c r="A113" t="s">
        <v>388</v>
      </c>
      <c r="B113" s="13" t="s">
        <v>22</v>
      </c>
      <c r="C113" s="13" t="s">
        <v>43</v>
      </c>
      <c r="D113" s="14" t="s">
        <v>50</v>
      </c>
      <c r="E113" s="13" t="s">
        <v>170</v>
      </c>
      <c r="F113" s="13" t="s">
        <v>173</v>
      </c>
      <c r="G113" s="13">
        <v>0.24</v>
      </c>
      <c r="H113" s="15">
        <v>585</v>
      </c>
      <c r="I113" s="16">
        <v>140.4</v>
      </c>
      <c r="J113" s="16">
        <v>323.5</v>
      </c>
      <c r="K113" s="16">
        <v>-183.1</v>
      </c>
      <c r="L113" s="13"/>
      <c r="M113" s="13">
        <v>0.25</v>
      </c>
      <c r="N113" s="17">
        <f t="shared" si="2"/>
        <v>0</v>
      </c>
      <c r="O113" s="17">
        <f t="shared" si="2"/>
        <v>146.25</v>
      </c>
      <c r="P113" s="17">
        <f t="shared" si="3"/>
        <v>146.25</v>
      </c>
      <c r="Q113" t="str">
        <f>A113&amp;"-"&amp;B113&amp;"-"&amp;D113</f>
        <v>JANUARI-CNJ2-L2</v>
      </c>
    </row>
    <row r="114" spans="1:17" x14ac:dyDescent="0.25">
      <c r="A114" t="s">
        <v>388</v>
      </c>
      <c r="B114" s="13" t="s">
        <v>22</v>
      </c>
      <c r="C114" s="13" t="s">
        <v>43</v>
      </c>
      <c r="D114" s="14" t="s">
        <v>50</v>
      </c>
      <c r="E114" s="13" t="s">
        <v>174</v>
      </c>
      <c r="F114" s="13" t="s">
        <v>175</v>
      </c>
      <c r="G114" s="13">
        <v>0.37</v>
      </c>
      <c r="H114" s="15">
        <v>3065</v>
      </c>
      <c r="I114" s="16">
        <v>1134.05</v>
      </c>
      <c r="J114" s="16">
        <v>1525.07</v>
      </c>
      <c r="K114" s="16">
        <v>-391.02</v>
      </c>
      <c r="L114" s="13"/>
      <c r="M114" s="13">
        <v>0.38</v>
      </c>
      <c r="N114" s="17">
        <f t="shared" si="2"/>
        <v>0</v>
      </c>
      <c r="O114" s="17">
        <f t="shared" si="2"/>
        <v>1164.7</v>
      </c>
      <c r="P114" s="17">
        <f t="shared" si="3"/>
        <v>1164.7</v>
      </c>
      <c r="Q114" t="str">
        <f>A114&amp;"-"&amp;B114&amp;"-"&amp;D114</f>
        <v>JANUARI-CNJ2-L2</v>
      </c>
    </row>
    <row r="115" spans="1:17" x14ac:dyDescent="0.25">
      <c r="A115" t="s">
        <v>388</v>
      </c>
      <c r="B115" s="13" t="s">
        <v>22</v>
      </c>
      <c r="C115" s="13" t="s">
        <v>43</v>
      </c>
      <c r="D115" s="14" t="s">
        <v>50</v>
      </c>
      <c r="E115" s="13" t="s">
        <v>174</v>
      </c>
      <c r="F115" s="13" t="s">
        <v>176</v>
      </c>
      <c r="G115" s="13">
        <v>0.34</v>
      </c>
      <c r="H115" s="15">
        <v>1782</v>
      </c>
      <c r="I115" s="16">
        <v>605.88</v>
      </c>
      <c r="J115" s="16">
        <v>878.06999999999994</v>
      </c>
      <c r="K115" s="16">
        <v>-272.19</v>
      </c>
      <c r="L115" s="13"/>
      <c r="M115" s="13">
        <v>0.35</v>
      </c>
      <c r="N115" s="17">
        <f t="shared" si="2"/>
        <v>0</v>
      </c>
      <c r="O115" s="17">
        <f t="shared" si="2"/>
        <v>623.69999999999993</v>
      </c>
      <c r="P115" s="17">
        <f t="shared" si="3"/>
        <v>623.69999999999993</v>
      </c>
      <c r="Q115" t="str">
        <f>A115&amp;"-"&amp;B115&amp;"-"&amp;D115</f>
        <v>JANUARI-CNJ2-L2</v>
      </c>
    </row>
    <row r="116" spans="1:17" x14ac:dyDescent="0.25">
      <c r="A116" t="s">
        <v>388</v>
      </c>
      <c r="B116" s="13" t="s">
        <v>22</v>
      </c>
      <c r="C116" s="13" t="s">
        <v>43</v>
      </c>
      <c r="D116" s="14" t="s">
        <v>50</v>
      </c>
      <c r="E116" s="13" t="s">
        <v>177</v>
      </c>
      <c r="F116" s="13" t="s">
        <v>178</v>
      </c>
      <c r="G116" s="13">
        <v>0.24</v>
      </c>
      <c r="H116" s="15">
        <v>300</v>
      </c>
      <c r="I116" s="16">
        <v>72</v>
      </c>
      <c r="J116" s="16">
        <v>323.5</v>
      </c>
      <c r="K116" s="16">
        <v>-251.5</v>
      </c>
      <c r="L116" s="13"/>
      <c r="M116" s="13">
        <v>0.25</v>
      </c>
      <c r="N116" s="17">
        <f t="shared" si="2"/>
        <v>0</v>
      </c>
      <c r="O116" s="17">
        <f t="shared" si="2"/>
        <v>75</v>
      </c>
      <c r="P116" s="17">
        <f t="shared" si="3"/>
        <v>75</v>
      </c>
      <c r="Q116" t="str">
        <f>A116&amp;"-"&amp;B116&amp;"-"&amp;D116</f>
        <v>JANUARI-CNJ2-L2</v>
      </c>
    </row>
    <row r="117" spans="1:17" x14ac:dyDescent="0.25">
      <c r="A117" t="s">
        <v>388</v>
      </c>
      <c r="B117" s="13" t="s">
        <v>22</v>
      </c>
      <c r="C117" s="13" t="s">
        <v>43</v>
      </c>
      <c r="D117" s="14" t="s">
        <v>56</v>
      </c>
      <c r="E117" s="13" t="s">
        <v>179</v>
      </c>
      <c r="F117" s="13" t="s">
        <v>180</v>
      </c>
      <c r="G117" s="13">
        <v>1.5399999999999996</v>
      </c>
      <c r="H117" s="15">
        <v>6656</v>
      </c>
      <c r="I117" s="16">
        <v>10250.240000000002</v>
      </c>
      <c r="J117" s="16">
        <v>10629.279999999999</v>
      </c>
      <c r="K117" s="16">
        <v>-379.04000000000019</v>
      </c>
      <c r="L117" s="13"/>
      <c r="M117" s="13">
        <v>1.65</v>
      </c>
      <c r="N117" s="17">
        <f t="shared" si="2"/>
        <v>0</v>
      </c>
      <c r="O117" s="17">
        <f t="shared" si="2"/>
        <v>10982.4</v>
      </c>
      <c r="P117" s="17">
        <f t="shared" si="3"/>
        <v>10982.4</v>
      </c>
      <c r="Q117" t="str">
        <f>A117&amp;"-"&amp;B117&amp;"-"&amp;D117</f>
        <v>JANUARI-CNJ2-L3</v>
      </c>
    </row>
    <row r="118" spans="1:17" x14ac:dyDescent="0.25">
      <c r="A118" t="s">
        <v>388</v>
      </c>
      <c r="B118" s="13" t="s">
        <v>22</v>
      </c>
      <c r="C118" s="13" t="s">
        <v>43</v>
      </c>
      <c r="D118" s="14" t="s">
        <v>158</v>
      </c>
      <c r="E118" s="13" t="s">
        <v>179</v>
      </c>
      <c r="F118" s="13" t="s">
        <v>180</v>
      </c>
      <c r="G118" s="13">
        <v>1.5399999999999998</v>
      </c>
      <c r="H118" s="15">
        <v>2128</v>
      </c>
      <c r="I118" s="16">
        <v>3277.1200000000003</v>
      </c>
      <c r="J118" s="16">
        <v>6285.1399999999994</v>
      </c>
      <c r="K118" s="16">
        <v>-3008.02</v>
      </c>
      <c r="L118" s="13"/>
      <c r="M118" s="13">
        <v>1.65</v>
      </c>
      <c r="N118" s="17">
        <f t="shared" si="2"/>
        <v>0</v>
      </c>
      <c r="O118" s="17">
        <f t="shared" si="2"/>
        <v>3511.2</v>
      </c>
      <c r="P118" s="17">
        <f t="shared" si="3"/>
        <v>3511.2</v>
      </c>
      <c r="Q118" t="str">
        <f>A118&amp;"-"&amp;B118&amp;"-"&amp;D118</f>
        <v>JANUARI-CNJ2-L4</v>
      </c>
    </row>
    <row r="119" spans="1:17" x14ac:dyDescent="0.25">
      <c r="A119" t="s">
        <v>388</v>
      </c>
      <c r="B119" s="13" t="s">
        <v>23</v>
      </c>
      <c r="C119" s="13" t="s">
        <v>181</v>
      </c>
      <c r="D119" s="14" t="s">
        <v>44</v>
      </c>
      <c r="E119" s="13" t="s">
        <v>77</v>
      </c>
      <c r="F119" s="13" t="s">
        <v>182</v>
      </c>
      <c r="G119" s="13">
        <v>2.98</v>
      </c>
      <c r="H119" s="15">
        <v>166</v>
      </c>
      <c r="I119" s="16">
        <v>494.68000000000006</v>
      </c>
      <c r="J119" s="16">
        <v>370.89269275028767</v>
      </c>
      <c r="K119" s="16">
        <v>123.78730724971236</v>
      </c>
      <c r="L119" s="13">
        <v>11.19</v>
      </c>
      <c r="M119" s="13"/>
      <c r="N119" s="17">
        <f t="shared" ref="N119:O175" si="4">$H119*L119</f>
        <v>1857.54</v>
      </c>
      <c r="O119" s="17">
        <f t="shared" si="4"/>
        <v>0</v>
      </c>
      <c r="P119" s="17">
        <f t="shared" si="3"/>
        <v>1857.54</v>
      </c>
      <c r="Q119" t="str">
        <f>A119&amp;"-"&amp;B119&amp;"-"&amp;D119</f>
        <v>JANUARI-CVA-L1</v>
      </c>
    </row>
    <row r="120" spans="1:17" x14ac:dyDescent="0.25">
      <c r="A120" t="s">
        <v>388</v>
      </c>
      <c r="B120" s="13" t="s">
        <v>23</v>
      </c>
      <c r="C120" s="13" t="s">
        <v>181</v>
      </c>
      <c r="D120" s="14" t="s">
        <v>50</v>
      </c>
      <c r="E120" s="13" t="s">
        <v>65</v>
      </c>
      <c r="F120" s="13" t="s">
        <v>183</v>
      </c>
      <c r="G120" s="13">
        <v>2.71</v>
      </c>
      <c r="H120" s="15">
        <v>54</v>
      </c>
      <c r="I120" s="16">
        <v>146.34</v>
      </c>
      <c r="J120" s="16">
        <v>55.543569230769236</v>
      </c>
      <c r="K120" s="16">
        <v>90.796430769230767</v>
      </c>
      <c r="L120" s="13">
        <v>6.16</v>
      </c>
      <c r="M120" s="13"/>
      <c r="N120" s="17">
        <f t="shared" si="4"/>
        <v>332.64</v>
      </c>
      <c r="O120" s="17">
        <f t="shared" si="4"/>
        <v>0</v>
      </c>
      <c r="P120" s="17">
        <f t="shared" si="3"/>
        <v>332.64</v>
      </c>
      <c r="Q120" t="str">
        <f>A120&amp;"-"&amp;B120&amp;"-"&amp;D120</f>
        <v>JANUARI-CVA-L2</v>
      </c>
    </row>
    <row r="121" spans="1:17" x14ac:dyDescent="0.25">
      <c r="A121" t="s">
        <v>388</v>
      </c>
      <c r="B121" s="13" t="s">
        <v>23</v>
      </c>
      <c r="C121" s="13" t="s">
        <v>181</v>
      </c>
      <c r="D121" s="14" t="s">
        <v>50</v>
      </c>
      <c r="E121" s="13" t="s">
        <v>65</v>
      </c>
      <c r="F121" s="13" t="s">
        <v>184</v>
      </c>
      <c r="G121" s="13">
        <v>2.15</v>
      </c>
      <c r="H121" s="15">
        <v>93</v>
      </c>
      <c r="I121" s="16">
        <v>199.95</v>
      </c>
      <c r="J121" s="16">
        <v>82.745247148288982</v>
      </c>
      <c r="K121" s="16">
        <v>117.20475285171101</v>
      </c>
      <c r="L121" s="13">
        <v>5.25</v>
      </c>
      <c r="M121" s="13"/>
      <c r="N121" s="17">
        <f t="shared" si="4"/>
        <v>488.25</v>
      </c>
      <c r="O121" s="17">
        <f t="shared" si="4"/>
        <v>0</v>
      </c>
      <c r="P121" s="17">
        <f t="shared" si="3"/>
        <v>488.25</v>
      </c>
      <c r="Q121" t="str">
        <f>A121&amp;"-"&amp;B121&amp;"-"&amp;D121</f>
        <v>JANUARI-CVA-L2</v>
      </c>
    </row>
    <row r="122" spans="1:17" x14ac:dyDescent="0.25">
      <c r="A122" t="s">
        <v>388</v>
      </c>
      <c r="B122" s="13" t="s">
        <v>23</v>
      </c>
      <c r="C122" s="13" t="s">
        <v>185</v>
      </c>
      <c r="D122" s="14" t="s">
        <v>44</v>
      </c>
      <c r="E122" s="13" t="s">
        <v>186</v>
      </c>
      <c r="F122" s="13" t="s">
        <v>187</v>
      </c>
      <c r="G122" s="13">
        <v>1.23</v>
      </c>
      <c r="H122" s="15">
        <v>778</v>
      </c>
      <c r="I122" s="16">
        <v>956.94</v>
      </c>
      <c r="J122" s="16">
        <v>769.51778656126487</v>
      </c>
      <c r="K122" s="16">
        <v>187.42221343873518</v>
      </c>
      <c r="L122" s="13">
        <v>1.31</v>
      </c>
      <c r="M122" s="13"/>
      <c r="N122" s="17">
        <f t="shared" si="4"/>
        <v>1019.1800000000001</v>
      </c>
      <c r="O122" s="17">
        <f t="shared" si="4"/>
        <v>0</v>
      </c>
      <c r="P122" s="17">
        <f t="shared" si="3"/>
        <v>1019.1800000000001</v>
      </c>
      <c r="Q122" t="str">
        <f>A122&amp;"-"&amp;B122&amp;"-"&amp;D122</f>
        <v>JANUARI-CVA-L1</v>
      </c>
    </row>
    <row r="123" spans="1:17" x14ac:dyDescent="0.25">
      <c r="A123" t="s">
        <v>388</v>
      </c>
      <c r="B123" s="13" t="s">
        <v>23</v>
      </c>
      <c r="C123" s="13" t="s">
        <v>185</v>
      </c>
      <c r="D123" s="14" t="s">
        <v>50</v>
      </c>
      <c r="E123" s="13" t="s">
        <v>186</v>
      </c>
      <c r="F123" s="13" t="s">
        <v>187</v>
      </c>
      <c r="G123" s="13">
        <v>1.23</v>
      </c>
      <c r="H123" s="15">
        <v>1002</v>
      </c>
      <c r="I123" s="16">
        <v>1232.46</v>
      </c>
      <c r="J123" s="16">
        <v>936</v>
      </c>
      <c r="K123" s="16">
        <v>296.46000000000004</v>
      </c>
      <c r="L123" s="13">
        <v>1.31</v>
      </c>
      <c r="M123" s="13"/>
      <c r="N123" s="17">
        <f t="shared" si="4"/>
        <v>1312.6200000000001</v>
      </c>
      <c r="O123" s="17">
        <f t="shared" si="4"/>
        <v>0</v>
      </c>
      <c r="P123" s="17">
        <f t="shared" si="3"/>
        <v>1312.6200000000001</v>
      </c>
      <c r="Q123" t="str">
        <f>A123&amp;"-"&amp;B123&amp;"-"&amp;D123</f>
        <v>JANUARI-CVA-L2</v>
      </c>
    </row>
    <row r="124" spans="1:17" x14ac:dyDescent="0.25">
      <c r="A124" t="s">
        <v>388</v>
      </c>
      <c r="B124" s="13" t="s">
        <v>23</v>
      </c>
      <c r="C124" s="13" t="s">
        <v>185</v>
      </c>
      <c r="D124" s="14" t="s">
        <v>56</v>
      </c>
      <c r="E124" s="13" t="s">
        <v>186</v>
      </c>
      <c r="F124" s="13" t="s">
        <v>188</v>
      </c>
      <c r="G124" s="13">
        <v>2.15</v>
      </c>
      <c r="H124" s="15">
        <v>1028</v>
      </c>
      <c r="I124" s="16">
        <v>2210.1999999999998</v>
      </c>
      <c r="J124" s="16">
        <v>1270.29</v>
      </c>
      <c r="K124" s="16">
        <v>939.90999999999985</v>
      </c>
      <c r="L124" s="13">
        <v>1.31</v>
      </c>
      <c r="M124" s="13"/>
      <c r="N124" s="17">
        <f t="shared" si="4"/>
        <v>1346.68</v>
      </c>
      <c r="O124" s="17">
        <f t="shared" si="4"/>
        <v>0</v>
      </c>
      <c r="P124" s="17">
        <f t="shared" si="3"/>
        <v>1346.68</v>
      </c>
      <c r="Q124" t="str">
        <f>A124&amp;"-"&amp;B124&amp;"-"&amp;D124</f>
        <v>JANUARI-CVA-L3</v>
      </c>
    </row>
    <row r="125" spans="1:17" x14ac:dyDescent="0.25">
      <c r="A125" t="s">
        <v>388</v>
      </c>
      <c r="B125" s="13" t="s">
        <v>23</v>
      </c>
      <c r="C125" s="13" t="s">
        <v>185</v>
      </c>
      <c r="D125" s="14" t="s">
        <v>56</v>
      </c>
      <c r="E125" s="13" t="s">
        <v>186</v>
      </c>
      <c r="F125" s="13" t="s">
        <v>189</v>
      </c>
      <c r="G125" s="13">
        <v>2.15</v>
      </c>
      <c r="H125" s="15">
        <v>738</v>
      </c>
      <c r="I125" s="16">
        <v>1586.7</v>
      </c>
      <c r="J125" s="16">
        <v>706.17029702970297</v>
      </c>
      <c r="K125" s="16">
        <v>880.52970297029708</v>
      </c>
      <c r="L125" s="13">
        <v>1.31</v>
      </c>
      <c r="M125" s="13"/>
      <c r="N125" s="17">
        <f t="shared" si="4"/>
        <v>966.78000000000009</v>
      </c>
      <c r="O125" s="17">
        <f t="shared" si="4"/>
        <v>0</v>
      </c>
      <c r="P125" s="17">
        <f t="shared" si="3"/>
        <v>966.78000000000009</v>
      </c>
      <c r="Q125" t="str">
        <f>A125&amp;"-"&amp;B125&amp;"-"&amp;D125</f>
        <v>JANUARI-CVA-L3</v>
      </c>
    </row>
    <row r="126" spans="1:17" x14ac:dyDescent="0.25">
      <c r="A126" t="s">
        <v>388</v>
      </c>
      <c r="B126" s="13" t="s">
        <v>23</v>
      </c>
      <c r="C126" s="13" t="s">
        <v>185</v>
      </c>
      <c r="D126" s="14" t="s">
        <v>56</v>
      </c>
      <c r="E126" s="13" t="s">
        <v>186</v>
      </c>
      <c r="F126" s="13" t="s">
        <v>190</v>
      </c>
      <c r="G126" s="13">
        <v>2.15</v>
      </c>
      <c r="H126" s="15">
        <v>683</v>
      </c>
      <c r="I126" s="16">
        <v>1468.45</v>
      </c>
      <c r="J126" s="16">
        <v>697.82970297029703</v>
      </c>
      <c r="K126" s="16">
        <v>770.62029702970301</v>
      </c>
      <c r="L126" s="13">
        <v>5.25</v>
      </c>
      <c r="M126" s="13"/>
      <c r="N126" s="17">
        <f t="shared" si="4"/>
        <v>3585.75</v>
      </c>
      <c r="O126" s="17">
        <f t="shared" si="4"/>
        <v>0</v>
      </c>
      <c r="P126" s="17">
        <f t="shared" si="3"/>
        <v>3585.75</v>
      </c>
      <c r="Q126" t="str">
        <f>A126&amp;"-"&amp;B126&amp;"-"&amp;D126</f>
        <v>JANUARI-CVA-L3</v>
      </c>
    </row>
    <row r="127" spans="1:17" x14ac:dyDescent="0.25">
      <c r="A127" t="s">
        <v>388</v>
      </c>
      <c r="B127" s="13" t="s">
        <v>23</v>
      </c>
      <c r="C127" s="13" t="s">
        <v>185</v>
      </c>
      <c r="D127" s="14" t="s">
        <v>158</v>
      </c>
      <c r="E127" s="13" t="s">
        <v>186</v>
      </c>
      <c r="F127" s="13" t="s">
        <v>188</v>
      </c>
      <c r="G127" s="13">
        <v>2.15</v>
      </c>
      <c r="H127" s="15">
        <v>577</v>
      </c>
      <c r="I127" s="16">
        <v>1240.55</v>
      </c>
      <c r="J127" s="16">
        <v>888.50052631578944</v>
      </c>
      <c r="K127" s="16">
        <v>352.04947368421051</v>
      </c>
      <c r="L127" s="13">
        <v>1.31</v>
      </c>
      <c r="M127" s="13"/>
      <c r="N127" s="17">
        <f t="shared" si="4"/>
        <v>755.87</v>
      </c>
      <c r="O127" s="17">
        <f t="shared" si="4"/>
        <v>0</v>
      </c>
      <c r="P127" s="17">
        <f t="shared" si="3"/>
        <v>755.87</v>
      </c>
      <c r="Q127" t="str">
        <f>A127&amp;"-"&amp;B127&amp;"-"&amp;D127</f>
        <v>JANUARI-CVA-L4</v>
      </c>
    </row>
    <row r="128" spans="1:17" x14ac:dyDescent="0.25">
      <c r="A128" t="s">
        <v>388</v>
      </c>
      <c r="B128" s="13" t="s">
        <v>23</v>
      </c>
      <c r="C128" s="13" t="s">
        <v>185</v>
      </c>
      <c r="D128" s="14" t="s">
        <v>158</v>
      </c>
      <c r="E128" s="13" t="s">
        <v>186</v>
      </c>
      <c r="F128" s="13" t="s">
        <v>189</v>
      </c>
      <c r="G128" s="13">
        <v>2.15</v>
      </c>
      <c r="H128" s="15">
        <v>867</v>
      </c>
      <c r="I128" s="16">
        <v>1864.05</v>
      </c>
      <c r="J128" s="16">
        <v>936</v>
      </c>
      <c r="K128" s="16">
        <v>928.05</v>
      </c>
      <c r="L128" s="13">
        <v>1.31</v>
      </c>
      <c r="M128" s="13"/>
      <c r="N128" s="17">
        <f t="shared" si="4"/>
        <v>1135.77</v>
      </c>
      <c r="O128" s="17">
        <f t="shared" si="4"/>
        <v>0</v>
      </c>
      <c r="P128" s="17">
        <f t="shared" si="3"/>
        <v>1135.77</v>
      </c>
      <c r="Q128" t="str">
        <f>A128&amp;"-"&amp;B128&amp;"-"&amp;D128</f>
        <v>JANUARI-CVA-L4</v>
      </c>
    </row>
    <row r="129" spans="1:17" x14ac:dyDescent="0.25">
      <c r="A129" t="s">
        <v>388</v>
      </c>
      <c r="B129" s="13" t="s">
        <v>23</v>
      </c>
      <c r="C129" s="13" t="s">
        <v>185</v>
      </c>
      <c r="D129" s="14" t="s">
        <v>158</v>
      </c>
      <c r="E129" s="13" t="s">
        <v>186</v>
      </c>
      <c r="F129" s="13" t="s">
        <v>190</v>
      </c>
      <c r="G129" s="13">
        <v>2.15</v>
      </c>
      <c r="H129" s="15">
        <v>922</v>
      </c>
      <c r="I129" s="16">
        <v>1982.3</v>
      </c>
      <c r="J129" s="16">
        <v>849.78947368421052</v>
      </c>
      <c r="K129" s="16">
        <v>1132.5105263157893</v>
      </c>
      <c r="L129" s="13">
        <v>5.25</v>
      </c>
      <c r="M129" s="13"/>
      <c r="N129" s="17">
        <f t="shared" si="4"/>
        <v>4840.5</v>
      </c>
      <c r="O129" s="17">
        <f t="shared" si="4"/>
        <v>0</v>
      </c>
      <c r="P129" s="17">
        <f t="shared" si="3"/>
        <v>4840.5</v>
      </c>
      <c r="Q129" t="str">
        <f>A129&amp;"-"&amp;B129&amp;"-"&amp;D129</f>
        <v>JANUARI-CVA-L4</v>
      </c>
    </row>
    <row r="130" spans="1:17" x14ac:dyDescent="0.25">
      <c r="A130" t="s">
        <v>388</v>
      </c>
      <c r="B130" s="13" t="s">
        <v>23</v>
      </c>
      <c r="C130" s="13" t="s">
        <v>185</v>
      </c>
      <c r="D130" s="14" t="s">
        <v>164</v>
      </c>
      <c r="E130" s="13" t="s">
        <v>191</v>
      </c>
      <c r="F130" s="13" t="s">
        <v>192</v>
      </c>
      <c r="G130" s="13">
        <v>1.17</v>
      </c>
      <c r="H130" s="15">
        <v>1618</v>
      </c>
      <c r="I130" s="16">
        <v>1893.06</v>
      </c>
      <c r="J130" s="16">
        <v>832.51739726708161</v>
      </c>
      <c r="K130" s="16">
        <v>1060.5426027329183</v>
      </c>
      <c r="L130" s="13">
        <v>1.07</v>
      </c>
      <c r="M130" s="13"/>
      <c r="N130" s="17">
        <f t="shared" si="4"/>
        <v>1731.26</v>
      </c>
      <c r="O130" s="17">
        <f t="shared" si="4"/>
        <v>0</v>
      </c>
      <c r="P130" s="17">
        <f t="shared" ref="P130:P193" si="5">N130+O130</f>
        <v>1731.26</v>
      </c>
      <c r="Q130" t="str">
        <f>A130&amp;"-"&amp;B130&amp;"-"&amp;D130</f>
        <v>JANUARI-CVA-L7</v>
      </c>
    </row>
    <row r="131" spans="1:17" x14ac:dyDescent="0.25">
      <c r="A131" t="s">
        <v>388</v>
      </c>
      <c r="B131" s="13" t="s">
        <v>23</v>
      </c>
      <c r="C131" s="13" t="s">
        <v>185</v>
      </c>
      <c r="D131" s="14" t="s">
        <v>164</v>
      </c>
      <c r="E131" s="13" t="s">
        <v>191</v>
      </c>
      <c r="F131" s="13" t="s">
        <v>193</v>
      </c>
      <c r="G131" s="13">
        <v>1.43</v>
      </c>
      <c r="H131" s="15">
        <v>1213</v>
      </c>
      <c r="I131" s="16">
        <v>1734.5900000000001</v>
      </c>
      <c r="J131" s="16">
        <v>1463.3896240095144</v>
      </c>
      <c r="K131" s="16">
        <v>271.20037599048572</v>
      </c>
      <c r="L131" s="13">
        <v>2.64</v>
      </c>
      <c r="M131" s="13"/>
      <c r="N131" s="17">
        <f t="shared" si="4"/>
        <v>3202.32</v>
      </c>
      <c r="O131" s="17">
        <f t="shared" si="4"/>
        <v>0</v>
      </c>
      <c r="P131" s="17">
        <f t="shared" si="5"/>
        <v>3202.32</v>
      </c>
      <c r="Q131" t="str">
        <f>A131&amp;"-"&amp;B131&amp;"-"&amp;D131</f>
        <v>JANUARI-CVA-L7</v>
      </c>
    </row>
    <row r="132" spans="1:17" x14ac:dyDescent="0.25">
      <c r="A132" t="s">
        <v>388</v>
      </c>
      <c r="B132" s="13" t="s">
        <v>23</v>
      </c>
      <c r="C132" s="13" t="s">
        <v>185</v>
      </c>
      <c r="D132" s="14" t="s">
        <v>164</v>
      </c>
      <c r="E132" s="13" t="s">
        <v>77</v>
      </c>
      <c r="F132" s="13" t="s">
        <v>194</v>
      </c>
      <c r="G132" s="13">
        <v>1.53</v>
      </c>
      <c r="H132" s="15">
        <v>1610</v>
      </c>
      <c r="I132" s="16">
        <v>2463.2999999999997</v>
      </c>
      <c r="J132" s="16">
        <v>2524.297293351442</v>
      </c>
      <c r="K132" s="16">
        <v>-60.997293351441897</v>
      </c>
      <c r="L132" s="13">
        <v>8.3000000000000007</v>
      </c>
      <c r="M132" s="13"/>
      <c r="N132" s="17">
        <f t="shared" si="4"/>
        <v>13363.000000000002</v>
      </c>
      <c r="O132" s="17">
        <f t="shared" si="4"/>
        <v>0</v>
      </c>
      <c r="P132" s="17">
        <f t="shared" si="5"/>
        <v>13363.000000000002</v>
      </c>
      <c r="Q132" t="str">
        <f>A132&amp;"-"&amp;B132&amp;"-"&amp;D132</f>
        <v>JANUARI-CVA-L7</v>
      </c>
    </row>
    <row r="133" spans="1:17" x14ac:dyDescent="0.25">
      <c r="A133" t="s">
        <v>388</v>
      </c>
      <c r="B133" s="13" t="s">
        <v>23</v>
      </c>
      <c r="C133" s="13" t="s">
        <v>185</v>
      </c>
      <c r="D133" s="14" t="s">
        <v>164</v>
      </c>
      <c r="E133" s="13" t="s">
        <v>77</v>
      </c>
      <c r="F133" s="13" t="s">
        <v>195</v>
      </c>
      <c r="G133" s="13">
        <v>1.32</v>
      </c>
      <c r="H133" s="15">
        <v>978</v>
      </c>
      <c r="I133" s="16">
        <v>1290.96</v>
      </c>
      <c r="J133" s="16">
        <v>1814.2468085106384</v>
      </c>
      <c r="K133" s="16">
        <v>-523.28680851063837</v>
      </c>
      <c r="L133" s="13">
        <v>1.31</v>
      </c>
      <c r="M133" s="13"/>
      <c r="N133" s="17">
        <f t="shared" si="4"/>
        <v>1281.18</v>
      </c>
      <c r="O133" s="17">
        <f t="shared" si="4"/>
        <v>0</v>
      </c>
      <c r="P133" s="17">
        <f t="shared" si="5"/>
        <v>1281.18</v>
      </c>
      <c r="Q133" t="str">
        <f>A133&amp;"-"&amp;B133&amp;"-"&amp;D133</f>
        <v>JANUARI-CVA-L7</v>
      </c>
    </row>
    <row r="134" spans="1:17" x14ac:dyDescent="0.25">
      <c r="A134" t="s">
        <v>388</v>
      </c>
      <c r="B134" s="13" t="s">
        <v>23</v>
      </c>
      <c r="C134" s="13" t="s">
        <v>185</v>
      </c>
      <c r="D134" s="14" t="s">
        <v>164</v>
      </c>
      <c r="E134" s="13" t="s">
        <v>77</v>
      </c>
      <c r="F134" s="13" t="s">
        <v>196</v>
      </c>
      <c r="G134" s="13">
        <v>1.34</v>
      </c>
      <c r="H134" s="15">
        <v>640</v>
      </c>
      <c r="I134" s="16">
        <v>857.59999999999991</v>
      </c>
      <c r="J134" s="16">
        <v>936</v>
      </c>
      <c r="K134" s="16">
        <v>-78.400000000000034</v>
      </c>
      <c r="L134" s="13">
        <v>3.25</v>
      </c>
      <c r="M134" s="13"/>
      <c r="N134" s="17">
        <f t="shared" si="4"/>
        <v>2080</v>
      </c>
      <c r="O134" s="17">
        <f t="shared" si="4"/>
        <v>0</v>
      </c>
      <c r="P134" s="17">
        <f t="shared" si="5"/>
        <v>2080</v>
      </c>
      <c r="Q134" t="str">
        <f>A134&amp;"-"&amp;B134&amp;"-"&amp;D134</f>
        <v>JANUARI-CVA-L7</v>
      </c>
    </row>
    <row r="135" spans="1:17" x14ac:dyDescent="0.25">
      <c r="A135" t="s">
        <v>388</v>
      </c>
      <c r="B135" s="13" t="s">
        <v>23</v>
      </c>
      <c r="C135" s="13" t="s">
        <v>185</v>
      </c>
      <c r="D135" s="14" t="s">
        <v>164</v>
      </c>
      <c r="E135" s="13" t="s">
        <v>77</v>
      </c>
      <c r="F135" s="13" t="s">
        <v>197</v>
      </c>
      <c r="G135" s="13">
        <v>1.53</v>
      </c>
      <c r="H135" s="15">
        <v>731</v>
      </c>
      <c r="I135" s="16">
        <v>1118.43</v>
      </c>
      <c r="J135" s="16">
        <v>1270.29</v>
      </c>
      <c r="K135" s="16">
        <v>-151.86000000000001</v>
      </c>
      <c r="L135" s="13">
        <v>3.8</v>
      </c>
      <c r="M135" s="13"/>
      <c r="N135" s="17">
        <f t="shared" si="4"/>
        <v>2777.7999999999997</v>
      </c>
      <c r="O135" s="17">
        <f t="shared" si="4"/>
        <v>0</v>
      </c>
      <c r="P135" s="17">
        <f t="shared" si="5"/>
        <v>2777.7999999999997</v>
      </c>
      <c r="Q135" t="str">
        <f>A135&amp;"-"&amp;B135&amp;"-"&amp;D135</f>
        <v>JANUARI-CVA-L7</v>
      </c>
    </row>
    <row r="136" spans="1:17" x14ac:dyDescent="0.25">
      <c r="A136" t="s">
        <v>388</v>
      </c>
      <c r="B136" s="13" t="s">
        <v>23</v>
      </c>
      <c r="C136" s="13" t="s">
        <v>185</v>
      </c>
      <c r="D136" s="14" t="s">
        <v>198</v>
      </c>
      <c r="E136" s="13" t="s">
        <v>77</v>
      </c>
      <c r="F136" s="13" t="s">
        <v>194</v>
      </c>
      <c r="G136" s="13">
        <v>1.53</v>
      </c>
      <c r="H136" s="15">
        <v>1841</v>
      </c>
      <c r="I136" s="16">
        <v>2816.7299999999996</v>
      </c>
      <c r="J136" s="16">
        <v>2358.7329967426713</v>
      </c>
      <c r="K136" s="16">
        <v>457.99700325732897</v>
      </c>
      <c r="L136" s="13">
        <v>8.3000000000000007</v>
      </c>
      <c r="M136" s="13"/>
      <c r="N136" s="17">
        <f t="shared" si="4"/>
        <v>15280.300000000001</v>
      </c>
      <c r="O136" s="17">
        <f t="shared" si="4"/>
        <v>0</v>
      </c>
      <c r="P136" s="17">
        <f t="shared" si="5"/>
        <v>15280.300000000001</v>
      </c>
      <c r="Q136" t="str">
        <f>A136&amp;"-"&amp;B136&amp;"-"&amp;D136</f>
        <v>JANUARI-CVA-L8</v>
      </c>
    </row>
    <row r="137" spans="1:17" x14ac:dyDescent="0.25">
      <c r="A137" t="s">
        <v>388</v>
      </c>
      <c r="B137" s="13" t="s">
        <v>23</v>
      </c>
      <c r="C137" s="13" t="s">
        <v>185</v>
      </c>
      <c r="D137" s="14" t="s">
        <v>198</v>
      </c>
      <c r="E137" s="13" t="s">
        <v>77</v>
      </c>
      <c r="F137" s="13" t="s">
        <v>195</v>
      </c>
      <c r="G137" s="13">
        <v>1.32</v>
      </c>
      <c r="H137" s="15">
        <v>814</v>
      </c>
      <c r="I137" s="16">
        <v>1074.48</v>
      </c>
      <c r="J137" s="16">
        <v>1719.5570032573289</v>
      </c>
      <c r="K137" s="16">
        <v>-645.0770032573289</v>
      </c>
      <c r="L137" s="13">
        <v>1.31</v>
      </c>
      <c r="M137" s="13"/>
      <c r="N137" s="17">
        <f t="shared" si="4"/>
        <v>1066.3400000000001</v>
      </c>
      <c r="O137" s="17">
        <f t="shared" si="4"/>
        <v>0</v>
      </c>
      <c r="P137" s="17">
        <f t="shared" si="5"/>
        <v>1066.3400000000001</v>
      </c>
      <c r="Q137" t="str">
        <f>A137&amp;"-"&amp;B137&amp;"-"&amp;D137</f>
        <v>JANUARI-CVA-L8</v>
      </c>
    </row>
    <row r="138" spans="1:17" x14ac:dyDescent="0.25">
      <c r="A138" t="s">
        <v>388</v>
      </c>
      <c r="B138" s="13" t="s">
        <v>23</v>
      </c>
      <c r="C138" s="13" t="s">
        <v>185</v>
      </c>
      <c r="D138" s="14" t="s">
        <v>198</v>
      </c>
      <c r="E138" s="13" t="s">
        <v>77</v>
      </c>
      <c r="F138" s="13" t="s">
        <v>196</v>
      </c>
      <c r="G138" s="13">
        <v>1.34</v>
      </c>
      <c r="H138" s="15">
        <v>902</v>
      </c>
      <c r="I138" s="16">
        <v>1208.68</v>
      </c>
      <c r="J138" s="16">
        <v>2340</v>
      </c>
      <c r="K138" s="16">
        <v>-1131.32</v>
      </c>
      <c r="L138" s="13">
        <v>3.25</v>
      </c>
      <c r="M138" s="13"/>
      <c r="N138" s="17">
        <f t="shared" si="4"/>
        <v>2931.5</v>
      </c>
      <c r="O138" s="17">
        <f t="shared" si="4"/>
        <v>0</v>
      </c>
      <c r="P138" s="17">
        <f t="shared" si="5"/>
        <v>2931.5</v>
      </c>
      <c r="Q138" t="str">
        <f>A138&amp;"-"&amp;B138&amp;"-"&amp;D138</f>
        <v>JANUARI-CVA-L8</v>
      </c>
    </row>
    <row r="139" spans="1:17" x14ac:dyDescent="0.25">
      <c r="A139" t="s">
        <v>388</v>
      </c>
      <c r="B139" s="13" t="s">
        <v>23</v>
      </c>
      <c r="C139" s="13" t="s">
        <v>185</v>
      </c>
      <c r="D139" s="14" t="s">
        <v>198</v>
      </c>
      <c r="E139" s="13" t="s">
        <v>77</v>
      </c>
      <c r="F139" s="13" t="s">
        <v>197</v>
      </c>
      <c r="G139" s="13">
        <v>1.53</v>
      </c>
      <c r="H139" s="15">
        <v>823</v>
      </c>
      <c r="I139" s="16">
        <v>1259.19</v>
      </c>
      <c r="J139" s="16">
        <v>1738.29</v>
      </c>
      <c r="K139" s="16">
        <v>-479.10000000000008</v>
      </c>
      <c r="L139" s="13">
        <v>3.8</v>
      </c>
      <c r="M139" s="13"/>
      <c r="N139" s="17">
        <f t="shared" si="4"/>
        <v>3127.3999999999996</v>
      </c>
      <c r="O139" s="17">
        <f t="shared" si="4"/>
        <v>0</v>
      </c>
      <c r="P139" s="17">
        <f t="shared" si="5"/>
        <v>3127.3999999999996</v>
      </c>
      <c r="Q139" t="str">
        <f>A139&amp;"-"&amp;B139&amp;"-"&amp;D139</f>
        <v>JANUARI-CVA-L8</v>
      </c>
    </row>
    <row r="140" spans="1:17" x14ac:dyDescent="0.25">
      <c r="A140" t="s">
        <v>388</v>
      </c>
      <c r="B140" s="13" t="s">
        <v>23</v>
      </c>
      <c r="C140" s="13" t="s">
        <v>185</v>
      </c>
      <c r="D140" s="14" t="s">
        <v>199</v>
      </c>
      <c r="E140" s="13" t="s">
        <v>191</v>
      </c>
      <c r="F140" s="13" t="s">
        <v>200</v>
      </c>
      <c r="G140" s="13">
        <v>1.17</v>
      </c>
      <c r="H140" s="15">
        <v>1577</v>
      </c>
      <c r="I140" s="16">
        <v>1845.0900000000001</v>
      </c>
      <c r="J140" s="16">
        <v>1898.4784158415841</v>
      </c>
      <c r="K140" s="16">
        <v>-53.388415841584219</v>
      </c>
      <c r="L140" s="13">
        <v>1.07</v>
      </c>
      <c r="M140" s="13"/>
      <c r="N140" s="17">
        <f t="shared" si="4"/>
        <v>1687.39</v>
      </c>
      <c r="O140" s="17">
        <f t="shared" si="4"/>
        <v>0</v>
      </c>
      <c r="P140" s="17">
        <f t="shared" si="5"/>
        <v>1687.39</v>
      </c>
      <c r="Q140" t="str">
        <f>A140&amp;"-"&amp;B140&amp;"-"&amp;D140</f>
        <v>JANUARI-CVA-L9</v>
      </c>
    </row>
    <row r="141" spans="1:17" x14ac:dyDescent="0.25">
      <c r="A141" t="s">
        <v>388</v>
      </c>
      <c r="B141" s="13" t="s">
        <v>23</v>
      </c>
      <c r="C141" s="13" t="s">
        <v>185</v>
      </c>
      <c r="D141" s="14" t="s">
        <v>199</v>
      </c>
      <c r="E141" s="13" t="s">
        <v>191</v>
      </c>
      <c r="F141" s="13" t="s">
        <v>193</v>
      </c>
      <c r="G141" s="13">
        <v>1.43</v>
      </c>
      <c r="H141" s="15">
        <v>1043</v>
      </c>
      <c r="I141" s="16">
        <v>1491.49</v>
      </c>
      <c r="J141" s="16">
        <v>2647.8115841584158</v>
      </c>
      <c r="K141" s="16">
        <v>-1156.3215841584158</v>
      </c>
      <c r="L141" s="13">
        <v>2.64</v>
      </c>
      <c r="M141" s="13"/>
      <c r="N141" s="17">
        <f t="shared" si="4"/>
        <v>2753.52</v>
      </c>
      <c r="O141" s="17">
        <f t="shared" si="4"/>
        <v>0</v>
      </c>
      <c r="P141" s="17">
        <f t="shared" si="5"/>
        <v>2753.52</v>
      </c>
      <c r="Q141" t="str">
        <f>A141&amp;"-"&amp;B141&amp;"-"&amp;D141</f>
        <v>JANUARI-CVA-L9</v>
      </c>
    </row>
    <row r="142" spans="1:17" x14ac:dyDescent="0.25">
      <c r="A142" t="s">
        <v>388</v>
      </c>
      <c r="B142" s="13" t="s">
        <v>23</v>
      </c>
      <c r="C142" s="13" t="s">
        <v>201</v>
      </c>
      <c r="D142" s="14" t="s">
        <v>44</v>
      </c>
      <c r="E142" s="13" t="s">
        <v>142</v>
      </c>
      <c r="F142" s="13" t="s">
        <v>202</v>
      </c>
      <c r="G142" s="13">
        <v>1.0999999999999999</v>
      </c>
      <c r="H142" s="15">
        <v>2854</v>
      </c>
      <c r="I142" s="16">
        <v>3139.4</v>
      </c>
      <c r="J142" s="16">
        <v>2448.0642308784845</v>
      </c>
      <c r="K142" s="16">
        <v>691.33576912151568</v>
      </c>
      <c r="L142" s="13">
        <v>2.2000000000000002</v>
      </c>
      <c r="M142" s="13"/>
      <c r="N142" s="17">
        <f t="shared" si="4"/>
        <v>6278.8</v>
      </c>
      <c r="O142" s="17">
        <f t="shared" si="4"/>
        <v>0</v>
      </c>
      <c r="P142" s="17">
        <f t="shared" si="5"/>
        <v>6278.8</v>
      </c>
      <c r="Q142" t="str">
        <f>A142&amp;"-"&amp;B142&amp;"-"&amp;D142</f>
        <v>JANUARI-CVA-L1</v>
      </c>
    </row>
    <row r="143" spans="1:17" x14ac:dyDescent="0.25">
      <c r="A143" t="s">
        <v>388</v>
      </c>
      <c r="B143" s="13" t="s">
        <v>23</v>
      </c>
      <c r="C143" s="13" t="s">
        <v>201</v>
      </c>
      <c r="D143" s="14" t="s">
        <v>44</v>
      </c>
      <c r="E143" s="13" t="s">
        <v>142</v>
      </c>
      <c r="F143" s="13" t="s">
        <v>203</v>
      </c>
      <c r="G143" s="13">
        <v>1.01</v>
      </c>
      <c r="H143" s="15">
        <v>3764</v>
      </c>
      <c r="I143" s="16">
        <v>3801.64</v>
      </c>
      <c r="J143" s="16">
        <v>4041.6873072497124</v>
      </c>
      <c r="K143" s="16">
        <v>-240.0473072497125</v>
      </c>
      <c r="L143" s="13">
        <v>1.95</v>
      </c>
      <c r="M143" s="13"/>
      <c r="N143" s="17">
        <f t="shared" si="4"/>
        <v>7339.8</v>
      </c>
      <c r="O143" s="17">
        <f t="shared" si="4"/>
        <v>0</v>
      </c>
      <c r="P143" s="17">
        <f t="shared" si="5"/>
        <v>7339.8</v>
      </c>
      <c r="Q143" t="str">
        <f>A143&amp;"-"&amp;B143&amp;"-"&amp;D143</f>
        <v>JANUARI-CVA-L1</v>
      </c>
    </row>
    <row r="144" spans="1:17" x14ac:dyDescent="0.25">
      <c r="A144" t="s">
        <v>388</v>
      </c>
      <c r="B144" s="13" t="s">
        <v>23</v>
      </c>
      <c r="C144" s="13" t="s">
        <v>201</v>
      </c>
      <c r="D144" s="14" t="s">
        <v>44</v>
      </c>
      <c r="E144" s="13" t="s">
        <v>142</v>
      </c>
      <c r="F144" s="13" t="s">
        <v>204</v>
      </c>
      <c r="G144" s="13">
        <v>1.0999999999999999</v>
      </c>
      <c r="H144" s="15">
        <v>4638</v>
      </c>
      <c r="I144" s="16">
        <v>5101.8</v>
      </c>
      <c r="J144" s="16">
        <v>3836.5157691215159</v>
      </c>
      <c r="K144" s="16">
        <v>1265.2842308784843</v>
      </c>
      <c r="L144" s="13">
        <v>2</v>
      </c>
      <c r="M144" s="13"/>
      <c r="N144" s="17">
        <f t="shared" si="4"/>
        <v>9276</v>
      </c>
      <c r="O144" s="17">
        <f t="shared" si="4"/>
        <v>0</v>
      </c>
      <c r="P144" s="17">
        <f t="shared" si="5"/>
        <v>9276</v>
      </c>
      <c r="Q144" t="str">
        <f>A144&amp;"-"&amp;B144&amp;"-"&amp;D144</f>
        <v>JANUARI-CVA-L1</v>
      </c>
    </row>
    <row r="145" spans="1:17" x14ac:dyDescent="0.25">
      <c r="A145" t="s">
        <v>388</v>
      </c>
      <c r="B145" s="13" t="s">
        <v>23</v>
      </c>
      <c r="C145" s="13" t="s">
        <v>201</v>
      </c>
      <c r="D145" s="14" t="s">
        <v>44</v>
      </c>
      <c r="E145" s="13" t="s">
        <v>142</v>
      </c>
      <c r="F145" s="13" t="s">
        <v>205</v>
      </c>
      <c r="G145" s="13">
        <v>1.1299999999999999</v>
      </c>
      <c r="H145" s="15">
        <v>90</v>
      </c>
      <c r="I145" s="16">
        <v>101.7</v>
      </c>
      <c r="J145" s="16">
        <v>166.48221343873519</v>
      </c>
      <c r="K145" s="16">
        <v>-64.782213438735184</v>
      </c>
      <c r="L145" s="13">
        <v>2.65</v>
      </c>
      <c r="M145" s="13"/>
      <c r="N145" s="17">
        <f t="shared" si="4"/>
        <v>238.5</v>
      </c>
      <c r="O145" s="17">
        <f t="shared" si="4"/>
        <v>0</v>
      </c>
      <c r="P145" s="17">
        <f t="shared" si="5"/>
        <v>238.5</v>
      </c>
      <c r="Q145" t="str">
        <f>A145&amp;"-"&amp;B145&amp;"-"&amp;D145</f>
        <v>JANUARI-CVA-L1</v>
      </c>
    </row>
    <row r="146" spans="1:17" x14ac:dyDescent="0.25">
      <c r="A146" t="s">
        <v>388</v>
      </c>
      <c r="B146" s="13" t="s">
        <v>23</v>
      </c>
      <c r="C146" s="13" t="s">
        <v>201</v>
      </c>
      <c r="D146" s="14" t="s">
        <v>50</v>
      </c>
      <c r="E146" s="13" t="s">
        <v>142</v>
      </c>
      <c r="F146" s="13" t="s">
        <v>202</v>
      </c>
      <c r="G146" s="13">
        <v>1.0999999999999999</v>
      </c>
      <c r="H146" s="15">
        <v>3137</v>
      </c>
      <c r="I146" s="16">
        <v>3450.7</v>
      </c>
      <c r="J146" s="16">
        <v>2689.5237850232256</v>
      </c>
      <c r="K146" s="16">
        <v>761.17621497677453</v>
      </c>
      <c r="L146" s="13">
        <v>2.2000000000000002</v>
      </c>
      <c r="M146" s="13"/>
      <c r="N146" s="17">
        <f t="shared" si="4"/>
        <v>6901.4000000000005</v>
      </c>
      <c r="O146" s="17">
        <f t="shared" si="4"/>
        <v>0</v>
      </c>
      <c r="P146" s="17">
        <f t="shared" si="5"/>
        <v>6901.4000000000005</v>
      </c>
      <c r="Q146" t="str">
        <f>A146&amp;"-"&amp;B146&amp;"-"&amp;D146</f>
        <v>JANUARI-CVA-L2</v>
      </c>
    </row>
    <row r="147" spans="1:17" x14ac:dyDescent="0.25">
      <c r="A147" t="s">
        <v>388</v>
      </c>
      <c r="B147" s="13" t="s">
        <v>23</v>
      </c>
      <c r="C147" s="13" t="s">
        <v>201</v>
      </c>
      <c r="D147" s="14" t="s">
        <v>50</v>
      </c>
      <c r="E147" s="13" t="s">
        <v>142</v>
      </c>
      <c r="F147" s="13" t="s">
        <v>203</v>
      </c>
      <c r="G147" s="13">
        <v>1.01</v>
      </c>
      <c r="H147" s="15">
        <v>3500</v>
      </c>
      <c r="I147" s="16">
        <v>3535</v>
      </c>
      <c r="J147" s="16">
        <v>3472.0011836209419</v>
      </c>
      <c r="K147" s="16">
        <v>62.998816379058155</v>
      </c>
      <c r="L147" s="13">
        <v>1.95</v>
      </c>
      <c r="M147" s="13"/>
      <c r="N147" s="17">
        <f t="shared" si="4"/>
        <v>6825</v>
      </c>
      <c r="O147" s="17">
        <f t="shared" si="4"/>
        <v>0</v>
      </c>
      <c r="P147" s="17">
        <f t="shared" si="5"/>
        <v>6825</v>
      </c>
      <c r="Q147" t="str">
        <f>A147&amp;"-"&amp;B147&amp;"-"&amp;D147</f>
        <v>JANUARI-CVA-L2</v>
      </c>
    </row>
    <row r="148" spans="1:17" x14ac:dyDescent="0.25">
      <c r="A148" t="s">
        <v>388</v>
      </c>
      <c r="B148" s="13" t="s">
        <v>23</v>
      </c>
      <c r="C148" s="13" t="s">
        <v>201</v>
      </c>
      <c r="D148" s="14" t="s">
        <v>50</v>
      </c>
      <c r="E148" s="13" t="s">
        <v>142</v>
      </c>
      <c r="F148" s="13" t="s">
        <v>204</v>
      </c>
      <c r="G148" s="13">
        <v>1.0999999999999999</v>
      </c>
      <c r="H148" s="15">
        <v>4202</v>
      </c>
      <c r="I148" s="16">
        <v>4622.2</v>
      </c>
      <c r="J148" s="16">
        <v>3595.0562149767748</v>
      </c>
      <c r="K148" s="16">
        <v>1027.1437850232255</v>
      </c>
      <c r="L148" s="13">
        <v>2</v>
      </c>
      <c r="M148" s="13"/>
      <c r="N148" s="17">
        <f t="shared" si="4"/>
        <v>8404</v>
      </c>
      <c r="O148" s="17">
        <f t="shared" si="4"/>
        <v>0</v>
      </c>
      <c r="P148" s="17">
        <f t="shared" si="5"/>
        <v>8404</v>
      </c>
      <c r="Q148" t="str">
        <f>A148&amp;"-"&amp;B148&amp;"-"&amp;D148</f>
        <v>JANUARI-CVA-L2</v>
      </c>
    </row>
    <row r="149" spans="1:17" x14ac:dyDescent="0.25">
      <c r="A149" t="s">
        <v>388</v>
      </c>
      <c r="B149" s="13" t="s">
        <v>23</v>
      </c>
      <c r="C149" s="13" t="s">
        <v>201</v>
      </c>
      <c r="D149" s="14" t="s">
        <v>56</v>
      </c>
      <c r="E149" s="13" t="s">
        <v>206</v>
      </c>
      <c r="F149" s="13" t="s">
        <v>207</v>
      </c>
      <c r="G149" s="13">
        <v>1.44</v>
      </c>
      <c r="H149" s="15">
        <v>6732</v>
      </c>
      <c r="I149" s="16">
        <v>9694.08</v>
      </c>
      <c r="J149" s="16">
        <v>5816.58</v>
      </c>
      <c r="K149" s="16">
        <v>3877.5</v>
      </c>
      <c r="L149" s="13">
        <v>3.05</v>
      </c>
      <c r="M149" s="13"/>
      <c r="N149" s="17">
        <f t="shared" si="4"/>
        <v>20532.599999999999</v>
      </c>
      <c r="O149" s="17">
        <f t="shared" si="4"/>
        <v>0</v>
      </c>
      <c r="P149" s="17">
        <f t="shared" si="5"/>
        <v>20532.599999999999</v>
      </c>
      <c r="Q149" t="str">
        <f>A149&amp;"-"&amp;B149&amp;"-"&amp;D149</f>
        <v>JANUARI-CVA-L3</v>
      </c>
    </row>
    <row r="150" spans="1:17" x14ac:dyDescent="0.25">
      <c r="A150" t="s">
        <v>388</v>
      </c>
      <c r="B150" s="13" t="s">
        <v>23</v>
      </c>
      <c r="C150" s="13" t="s">
        <v>201</v>
      </c>
      <c r="D150" s="14" t="s">
        <v>56</v>
      </c>
      <c r="E150" s="13" t="s">
        <v>142</v>
      </c>
      <c r="F150" s="13" t="s">
        <v>208</v>
      </c>
      <c r="G150" s="13">
        <v>1.01</v>
      </c>
      <c r="H150" s="15">
        <v>1958</v>
      </c>
      <c r="I150" s="16">
        <v>1977.58</v>
      </c>
      <c r="J150" s="16">
        <v>1872</v>
      </c>
      <c r="K150" s="16">
        <v>105.57999999999993</v>
      </c>
      <c r="L150" s="13">
        <v>2.15</v>
      </c>
      <c r="M150" s="13"/>
      <c r="N150" s="17">
        <f t="shared" si="4"/>
        <v>4209.7</v>
      </c>
      <c r="O150" s="17">
        <f t="shared" si="4"/>
        <v>0</v>
      </c>
      <c r="P150" s="17">
        <f t="shared" si="5"/>
        <v>4209.7</v>
      </c>
      <c r="Q150" t="str">
        <f>A150&amp;"-"&amp;B150&amp;"-"&amp;D150</f>
        <v>JANUARI-CVA-L3</v>
      </c>
    </row>
    <row r="151" spans="1:17" x14ac:dyDescent="0.25">
      <c r="A151" t="s">
        <v>388</v>
      </c>
      <c r="B151" s="13" t="s">
        <v>23</v>
      </c>
      <c r="C151" s="13" t="s">
        <v>201</v>
      </c>
      <c r="D151" s="14" t="s">
        <v>158</v>
      </c>
      <c r="E151" s="13" t="s">
        <v>206</v>
      </c>
      <c r="F151" s="13" t="s">
        <v>207</v>
      </c>
      <c r="G151" s="13">
        <v>1.44</v>
      </c>
      <c r="H151" s="15">
        <v>6539</v>
      </c>
      <c r="I151" s="16">
        <v>9416.16</v>
      </c>
      <c r="J151" s="16">
        <v>5816.58</v>
      </c>
      <c r="K151" s="16">
        <v>3599.58</v>
      </c>
      <c r="L151" s="13">
        <v>3.05</v>
      </c>
      <c r="M151" s="13"/>
      <c r="N151" s="17">
        <f t="shared" si="4"/>
        <v>19943.949999999997</v>
      </c>
      <c r="O151" s="17">
        <f t="shared" si="4"/>
        <v>0</v>
      </c>
      <c r="P151" s="17">
        <f t="shared" si="5"/>
        <v>19943.949999999997</v>
      </c>
      <c r="Q151" t="str">
        <f>A151&amp;"-"&amp;B151&amp;"-"&amp;D151</f>
        <v>JANUARI-CVA-L4</v>
      </c>
    </row>
    <row r="152" spans="1:17" x14ac:dyDescent="0.25">
      <c r="A152" t="s">
        <v>388</v>
      </c>
      <c r="B152" s="13" t="s">
        <v>23</v>
      </c>
      <c r="C152" s="13" t="s">
        <v>201</v>
      </c>
      <c r="D152" s="14" t="s">
        <v>158</v>
      </c>
      <c r="E152" s="13" t="s">
        <v>142</v>
      </c>
      <c r="F152" s="13" t="s">
        <v>208</v>
      </c>
      <c r="G152" s="13">
        <v>1.01</v>
      </c>
      <c r="H152" s="15">
        <v>1980</v>
      </c>
      <c r="I152" s="16">
        <v>1999.8</v>
      </c>
      <c r="J152" s="16">
        <v>1872</v>
      </c>
      <c r="K152" s="16">
        <v>127.79999999999995</v>
      </c>
      <c r="L152" s="13">
        <v>2.15</v>
      </c>
      <c r="M152" s="13"/>
      <c r="N152" s="17">
        <f t="shared" si="4"/>
        <v>4257</v>
      </c>
      <c r="O152" s="17">
        <f t="shared" si="4"/>
        <v>0</v>
      </c>
      <c r="P152" s="17">
        <f t="shared" si="5"/>
        <v>4257</v>
      </c>
      <c r="Q152" t="str">
        <f>A152&amp;"-"&amp;B152&amp;"-"&amp;D152</f>
        <v>JANUARI-CVA-L4</v>
      </c>
    </row>
    <row r="153" spans="1:17" x14ac:dyDescent="0.25">
      <c r="A153" t="s">
        <v>388</v>
      </c>
      <c r="B153" s="13" t="s">
        <v>23</v>
      </c>
      <c r="C153" s="13" t="s">
        <v>201</v>
      </c>
      <c r="D153" s="14" t="s">
        <v>160</v>
      </c>
      <c r="E153" s="13" t="s">
        <v>124</v>
      </c>
      <c r="F153" s="13" t="s">
        <v>209</v>
      </c>
      <c r="G153" s="13">
        <v>0.93999999999999972</v>
      </c>
      <c r="H153" s="15">
        <v>3078</v>
      </c>
      <c r="I153" s="16">
        <v>2893.32</v>
      </c>
      <c r="J153" s="16">
        <v>3511.8007309862692</v>
      </c>
      <c r="K153" s="16">
        <v>-618.48073098626901</v>
      </c>
      <c r="L153" s="13">
        <v>1.85</v>
      </c>
      <c r="M153" s="13"/>
      <c r="N153" s="17">
        <f t="shared" si="4"/>
        <v>5694.3</v>
      </c>
      <c r="O153" s="17">
        <f t="shared" si="4"/>
        <v>0</v>
      </c>
      <c r="P153" s="17">
        <f t="shared" si="5"/>
        <v>5694.3</v>
      </c>
      <c r="Q153" t="str">
        <f>A153&amp;"-"&amp;B153&amp;"-"&amp;D153</f>
        <v>JANUARI-CVA-L5</v>
      </c>
    </row>
    <row r="154" spans="1:17" x14ac:dyDescent="0.25">
      <c r="A154" t="s">
        <v>388</v>
      </c>
      <c r="B154" s="13" t="s">
        <v>23</v>
      </c>
      <c r="C154" s="13" t="s">
        <v>201</v>
      </c>
      <c r="D154" s="14" t="s">
        <v>160</v>
      </c>
      <c r="E154" s="13" t="s">
        <v>124</v>
      </c>
      <c r="F154" s="13" t="s">
        <v>210</v>
      </c>
      <c r="G154" s="13">
        <v>0.93999999999999972</v>
      </c>
      <c r="H154" s="15">
        <v>2107</v>
      </c>
      <c r="I154" s="16">
        <v>1980.58</v>
      </c>
      <c r="J154" s="16">
        <v>2304.7792690137308</v>
      </c>
      <c r="K154" s="16">
        <v>-324.199269013731</v>
      </c>
      <c r="L154" s="13">
        <v>1.85</v>
      </c>
      <c r="M154" s="13"/>
      <c r="N154" s="17">
        <f t="shared" si="4"/>
        <v>3897.9500000000003</v>
      </c>
      <c r="O154" s="17">
        <f t="shared" si="4"/>
        <v>0</v>
      </c>
      <c r="P154" s="17">
        <f t="shared" si="5"/>
        <v>3897.9500000000003</v>
      </c>
      <c r="Q154" t="str">
        <f>A154&amp;"-"&amp;B154&amp;"-"&amp;D154</f>
        <v>JANUARI-CVA-L5</v>
      </c>
    </row>
    <row r="155" spans="1:17" x14ac:dyDescent="0.25">
      <c r="A155" t="s">
        <v>388</v>
      </c>
      <c r="B155" s="13" t="s">
        <v>23</v>
      </c>
      <c r="C155" s="13" t="s">
        <v>201</v>
      </c>
      <c r="D155" s="14" t="s">
        <v>160</v>
      </c>
      <c r="E155" s="13" t="s">
        <v>142</v>
      </c>
      <c r="F155" s="13" t="s">
        <v>211</v>
      </c>
      <c r="G155" s="13">
        <v>1.1299999999999999</v>
      </c>
      <c r="H155" s="15">
        <v>1680</v>
      </c>
      <c r="I155" s="16">
        <v>1898.3999999999999</v>
      </c>
      <c r="J155" s="16">
        <v>1404</v>
      </c>
      <c r="K155" s="16">
        <v>494.39999999999986</v>
      </c>
      <c r="L155" s="13">
        <v>2.35</v>
      </c>
      <c r="M155" s="13"/>
      <c r="N155" s="17">
        <f t="shared" si="4"/>
        <v>3948</v>
      </c>
      <c r="O155" s="17">
        <f t="shared" si="4"/>
        <v>0</v>
      </c>
      <c r="P155" s="17">
        <f t="shared" si="5"/>
        <v>3948</v>
      </c>
      <c r="Q155" t="str">
        <f>A155&amp;"-"&amp;B155&amp;"-"&amp;D155</f>
        <v>JANUARI-CVA-L5</v>
      </c>
    </row>
    <row r="156" spans="1:17" x14ac:dyDescent="0.25">
      <c r="A156" t="s">
        <v>388</v>
      </c>
      <c r="B156" s="13" t="s">
        <v>23</v>
      </c>
      <c r="C156" s="13" t="s">
        <v>201</v>
      </c>
      <c r="D156" s="14" t="s">
        <v>160</v>
      </c>
      <c r="E156" s="13" t="s">
        <v>142</v>
      </c>
      <c r="F156" s="13" t="s">
        <v>203</v>
      </c>
      <c r="G156" s="13">
        <v>1.01</v>
      </c>
      <c r="H156" s="15">
        <v>3023</v>
      </c>
      <c r="I156" s="16">
        <v>3053.2299999999996</v>
      </c>
      <c r="J156" s="16">
        <v>2674.29</v>
      </c>
      <c r="K156" s="16">
        <v>378.94000000000005</v>
      </c>
      <c r="L156" s="13">
        <v>1.95</v>
      </c>
      <c r="M156" s="13"/>
      <c r="N156" s="17">
        <f t="shared" si="4"/>
        <v>5894.8499999999995</v>
      </c>
      <c r="O156" s="17">
        <f t="shared" si="4"/>
        <v>0</v>
      </c>
      <c r="P156" s="17">
        <f t="shared" si="5"/>
        <v>5894.8499999999995</v>
      </c>
      <c r="Q156" t="str">
        <f>A156&amp;"-"&amp;B156&amp;"-"&amp;D156</f>
        <v>JANUARI-CVA-L5</v>
      </c>
    </row>
    <row r="157" spans="1:17" x14ac:dyDescent="0.25">
      <c r="A157" t="s">
        <v>388</v>
      </c>
      <c r="B157" s="13" t="s">
        <v>23</v>
      </c>
      <c r="C157" s="13" t="s">
        <v>201</v>
      </c>
      <c r="D157" s="14" t="s">
        <v>163</v>
      </c>
      <c r="E157" s="13" t="s">
        <v>124</v>
      </c>
      <c r="F157" s="13" t="s">
        <v>209</v>
      </c>
      <c r="G157" s="13">
        <v>0.93999999999999961</v>
      </c>
      <c r="H157" s="15">
        <v>2281</v>
      </c>
      <c r="I157" s="16">
        <v>2144.1400000000003</v>
      </c>
      <c r="J157" s="16">
        <v>4119.169500417458</v>
      </c>
      <c r="K157" s="16">
        <v>-1975.0295004174586</v>
      </c>
      <c r="L157" s="13">
        <v>1.85</v>
      </c>
      <c r="M157" s="13"/>
      <c r="N157" s="17">
        <f t="shared" si="4"/>
        <v>4219.8500000000004</v>
      </c>
      <c r="O157" s="17">
        <f t="shared" si="4"/>
        <v>0</v>
      </c>
      <c r="P157" s="17">
        <f t="shared" si="5"/>
        <v>4219.8500000000004</v>
      </c>
      <c r="Q157" t="str">
        <f>A157&amp;"-"&amp;B157&amp;"-"&amp;D157</f>
        <v>JANUARI-CVA-L6</v>
      </c>
    </row>
    <row r="158" spans="1:17" x14ac:dyDescent="0.25">
      <c r="A158" t="s">
        <v>388</v>
      </c>
      <c r="B158" s="13" t="s">
        <v>23</v>
      </c>
      <c r="C158" s="13" t="s">
        <v>201</v>
      </c>
      <c r="D158" s="14" t="s">
        <v>163</v>
      </c>
      <c r="E158" s="13" t="s">
        <v>124</v>
      </c>
      <c r="F158" s="13" t="s">
        <v>210</v>
      </c>
      <c r="G158" s="13">
        <v>0.93999999999999972</v>
      </c>
      <c r="H158" s="15">
        <v>1491</v>
      </c>
      <c r="I158" s="16">
        <v>1401.5399999999997</v>
      </c>
      <c r="J158" s="16">
        <v>2165.4104995825419</v>
      </c>
      <c r="K158" s="16">
        <v>-763.87049958254181</v>
      </c>
      <c r="L158" s="13">
        <v>1.85</v>
      </c>
      <c r="M158" s="13"/>
      <c r="N158" s="17">
        <f t="shared" si="4"/>
        <v>2758.35</v>
      </c>
      <c r="O158" s="17">
        <f t="shared" si="4"/>
        <v>0</v>
      </c>
      <c r="P158" s="17">
        <f t="shared" si="5"/>
        <v>2758.35</v>
      </c>
      <c r="Q158" t="str">
        <f>A158&amp;"-"&amp;B158&amp;"-"&amp;D158</f>
        <v>JANUARI-CVA-L6</v>
      </c>
    </row>
    <row r="159" spans="1:17" x14ac:dyDescent="0.25">
      <c r="A159" t="s">
        <v>388</v>
      </c>
      <c r="B159" s="13" t="s">
        <v>23</v>
      </c>
      <c r="C159" s="13" t="s">
        <v>201</v>
      </c>
      <c r="D159" s="14" t="s">
        <v>163</v>
      </c>
      <c r="E159" s="13" t="s">
        <v>142</v>
      </c>
      <c r="F159" s="13" t="s">
        <v>211</v>
      </c>
      <c r="G159" s="13">
        <v>1.1299999999999999</v>
      </c>
      <c r="H159" s="15">
        <v>1491</v>
      </c>
      <c r="I159" s="16">
        <v>1684.83</v>
      </c>
      <c r="J159" s="16">
        <v>1404</v>
      </c>
      <c r="K159" s="16">
        <v>280.83000000000004</v>
      </c>
      <c r="L159" s="13">
        <v>2.35</v>
      </c>
      <c r="M159" s="13"/>
      <c r="N159" s="17">
        <f t="shared" si="4"/>
        <v>3503.85</v>
      </c>
      <c r="O159" s="17">
        <f t="shared" si="4"/>
        <v>0</v>
      </c>
      <c r="P159" s="17">
        <f t="shared" si="5"/>
        <v>3503.85</v>
      </c>
      <c r="Q159" t="str">
        <f>A159&amp;"-"&amp;B159&amp;"-"&amp;D159</f>
        <v>JANUARI-CVA-L6</v>
      </c>
    </row>
    <row r="160" spans="1:17" x14ac:dyDescent="0.25">
      <c r="A160" t="s">
        <v>388</v>
      </c>
      <c r="B160" s="13" t="s">
        <v>23</v>
      </c>
      <c r="C160" s="13" t="s">
        <v>201</v>
      </c>
      <c r="D160" s="14" t="s">
        <v>163</v>
      </c>
      <c r="E160" s="13" t="s">
        <v>142</v>
      </c>
      <c r="F160" s="13" t="s">
        <v>203</v>
      </c>
      <c r="G160" s="13">
        <v>1.01</v>
      </c>
      <c r="H160" s="15">
        <v>2650</v>
      </c>
      <c r="I160" s="16">
        <v>2676.5</v>
      </c>
      <c r="J160" s="16">
        <v>2674.29</v>
      </c>
      <c r="K160" s="16">
        <v>2.2099999999999795</v>
      </c>
      <c r="L160" s="13">
        <v>1.95</v>
      </c>
      <c r="M160" s="13"/>
      <c r="N160" s="17">
        <f t="shared" si="4"/>
        <v>5167.5</v>
      </c>
      <c r="O160" s="17">
        <f t="shared" si="4"/>
        <v>0</v>
      </c>
      <c r="P160" s="17">
        <f t="shared" si="5"/>
        <v>5167.5</v>
      </c>
      <c r="Q160" t="str">
        <f>A160&amp;"-"&amp;B160&amp;"-"&amp;D160</f>
        <v>JANUARI-CVA-L6</v>
      </c>
    </row>
    <row r="161" spans="1:17" x14ac:dyDescent="0.25">
      <c r="A161" t="s">
        <v>388</v>
      </c>
      <c r="B161" s="13" t="s">
        <v>23</v>
      </c>
      <c r="C161" s="13" t="s">
        <v>212</v>
      </c>
      <c r="D161" s="14" t="s">
        <v>164</v>
      </c>
      <c r="E161" s="13" t="s">
        <v>213</v>
      </c>
      <c r="F161" s="13" t="s">
        <v>214</v>
      </c>
      <c r="G161" s="13">
        <v>1.28</v>
      </c>
      <c r="H161" s="15">
        <v>649</v>
      </c>
      <c r="I161" s="16">
        <v>830.72</v>
      </c>
      <c r="J161" s="16">
        <v>1017.1326083147945</v>
      </c>
      <c r="K161" s="16">
        <v>-186.41260831479462</v>
      </c>
      <c r="L161" s="13"/>
      <c r="M161" s="13">
        <v>1.34</v>
      </c>
      <c r="N161" s="17">
        <f t="shared" si="4"/>
        <v>0</v>
      </c>
      <c r="O161" s="17">
        <f t="shared" si="4"/>
        <v>869.66000000000008</v>
      </c>
      <c r="P161" s="17">
        <f t="shared" si="5"/>
        <v>869.66000000000008</v>
      </c>
      <c r="Q161" t="str">
        <f>A161&amp;"-"&amp;B161&amp;"-"&amp;D161</f>
        <v>JANUARI-CVA-L7</v>
      </c>
    </row>
    <row r="162" spans="1:17" x14ac:dyDescent="0.25">
      <c r="A162" t="s">
        <v>388</v>
      </c>
      <c r="B162" s="13" t="s">
        <v>23</v>
      </c>
      <c r="C162" s="13" t="s">
        <v>212</v>
      </c>
      <c r="D162" s="14" t="s">
        <v>164</v>
      </c>
      <c r="E162" s="13" t="s">
        <v>213</v>
      </c>
      <c r="F162" s="13" t="s">
        <v>215</v>
      </c>
      <c r="G162" s="13">
        <v>1.53</v>
      </c>
      <c r="H162" s="15">
        <v>9</v>
      </c>
      <c r="I162" s="16">
        <v>13.77</v>
      </c>
      <c r="J162" s="16">
        <v>15.657992565055761</v>
      </c>
      <c r="K162" s="16">
        <v>-1.887992565055761</v>
      </c>
      <c r="L162" s="13"/>
      <c r="M162" s="13">
        <v>1.61</v>
      </c>
      <c r="N162" s="17">
        <f t="shared" si="4"/>
        <v>0</v>
      </c>
      <c r="O162" s="17">
        <f t="shared" si="4"/>
        <v>14.49</v>
      </c>
      <c r="P162" s="17">
        <f t="shared" si="5"/>
        <v>14.49</v>
      </c>
      <c r="Q162" t="str">
        <f>A162&amp;"-"&amp;B162&amp;"-"&amp;D162</f>
        <v>JANUARI-CVA-L7</v>
      </c>
    </row>
    <row r="163" spans="1:17" x14ac:dyDescent="0.25">
      <c r="A163" t="s">
        <v>388</v>
      </c>
      <c r="B163" s="13" t="s">
        <v>23</v>
      </c>
      <c r="C163" s="13" t="s">
        <v>212</v>
      </c>
      <c r="D163" s="14" t="s">
        <v>164</v>
      </c>
      <c r="E163" s="13" t="s">
        <v>213</v>
      </c>
      <c r="F163" s="13" t="s">
        <v>216</v>
      </c>
      <c r="G163" s="13">
        <v>1.53</v>
      </c>
      <c r="H163" s="15">
        <v>29</v>
      </c>
      <c r="I163" s="16">
        <v>44.37</v>
      </c>
      <c r="J163" s="16">
        <v>57.753191489361704</v>
      </c>
      <c r="K163" s="16">
        <v>-13.383191489361707</v>
      </c>
      <c r="L163" s="13"/>
      <c r="M163" s="13">
        <v>1.61</v>
      </c>
      <c r="N163" s="17">
        <f t="shared" si="4"/>
        <v>0</v>
      </c>
      <c r="O163" s="17">
        <f t="shared" si="4"/>
        <v>46.690000000000005</v>
      </c>
      <c r="P163" s="17">
        <f t="shared" si="5"/>
        <v>46.690000000000005</v>
      </c>
      <c r="Q163" t="str">
        <f>A163&amp;"-"&amp;B163&amp;"-"&amp;D163</f>
        <v>JANUARI-CVA-L7</v>
      </c>
    </row>
    <row r="164" spans="1:17" x14ac:dyDescent="0.25">
      <c r="A164" t="s">
        <v>388</v>
      </c>
      <c r="B164" s="13" t="s">
        <v>23</v>
      </c>
      <c r="C164" s="13" t="s">
        <v>212</v>
      </c>
      <c r="D164" s="14" t="s">
        <v>164</v>
      </c>
      <c r="E164" s="13" t="s">
        <v>213</v>
      </c>
      <c r="F164" s="13" t="s">
        <v>217</v>
      </c>
      <c r="G164" s="13">
        <v>1.5</v>
      </c>
      <c r="H164" s="15">
        <v>910</v>
      </c>
      <c r="I164" s="16">
        <v>1365</v>
      </c>
      <c r="J164" s="16">
        <v>1701.8750844921121</v>
      </c>
      <c r="K164" s="16">
        <v>-336.87508449211202</v>
      </c>
      <c r="L164" s="13"/>
      <c r="M164" s="13">
        <v>1.56</v>
      </c>
      <c r="N164" s="17">
        <f t="shared" si="4"/>
        <v>0</v>
      </c>
      <c r="O164" s="17">
        <f t="shared" si="4"/>
        <v>1419.6000000000001</v>
      </c>
      <c r="P164" s="17">
        <f t="shared" si="5"/>
        <v>1419.6000000000001</v>
      </c>
      <c r="Q164" t="str">
        <f>A164&amp;"-"&amp;B164&amp;"-"&amp;D164</f>
        <v>JANUARI-CVA-L7</v>
      </c>
    </row>
    <row r="165" spans="1:17" x14ac:dyDescent="0.25">
      <c r="A165" t="s">
        <v>388</v>
      </c>
      <c r="B165" s="13" t="s">
        <v>23</v>
      </c>
      <c r="C165" s="13" t="s">
        <v>212</v>
      </c>
      <c r="D165" s="14" t="s">
        <v>198</v>
      </c>
      <c r="E165" s="13" t="s">
        <v>213</v>
      </c>
      <c r="F165" s="13" t="s">
        <v>214</v>
      </c>
      <c r="G165" s="13">
        <v>1.28</v>
      </c>
      <c r="H165" s="15">
        <v>1095</v>
      </c>
      <c r="I165" s="16">
        <v>1401.6</v>
      </c>
      <c r="J165" s="16">
        <v>1872</v>
      </c>
      <c r="K165" s="16">
        <v>-470.4</v>
      </c>
      <c r="L165" s="13"/>
      <c r="M165" s="13">
        <v>1.34</v>
      </c>
      <c r="N165" s="17">
        <f t="shared" si="4"/>
        <v>0</v>
      </c>
      <c r="O165" s="17">
        <f t="shared" si="4"/>
        <v>1467.3000000000002</v>
      </c>
      <c r="P165" s="17">
        <f t="shared" si="5"/>
        <v>1467.3000000000002</v>
      </c>
      <c r="Q165" t="str">
        <f>A165&amp;"-"&amp;B165&amp;"-"&amp;D165</f>
        <v>JANUARI-CVA-L8</v>
      </c>
    </row>
    <row r="166" spans="1:17" x14ac:dyDescent="0.25">
      <c r="A166" t="s">
        <v>388</v>
      </c>
      <c r="B166" s="13" t="s">
        <v>23</v>
      </c>
      <c r="C166" s="13" t="s">
        <v>212</v>
      </c>
      <c r="D166" s="14" t="s">
        <v>198</v>
      </c>
      <c r="E166" s="13" t="s">
        <v>213</v>
      </c>
      <c r="F166" s="13" t="s">
        <v>217</v>
      </c>
      <c r="G166" s="13">
        <v>1.5</v>
      </c>
      <c r="H166" s="15">
        <v>1102</v>
      </c>
      <c r="I166" s="16">
        <v>1653</v>
      </c>
      <c r="J166" s="16">
        <v>1270.29</v>
      </c>
      <c r="K166" s="16">
        <v>382.71</v>
      </c>
      <c r="L166" s="13"/>
      <c r="M166" s="13">
        <v>1.56</v>
      </c>
      <c r="N166" s="17">
        <f t="shared" si="4"/>
        <v>0</v>
      </c>
      <c r="O166" s="17">
        <f t="shared" si="4"/>
        <v>1719.1200000000001</v>
      </c>
      <c r="P166" s="17">
        <f t="shared" si="5"/>
        <v>1719.1200000000001</v>
      </c>
      <c r="Q166" t="str">
        <f>A166&amp;"-"&amp;B166&amp;"-"&amp;D166</f>
        <v>JANUARI-CVA-L8</v>
      </c>
    </row>
    <row r="167" spans="1:17" x14ac:dyDescent="0.25">
      <c r="A167" t="s">
        <v>388</v>
      </c>
      <c r="B167" s="13" t="s">
        <v>24</v>
      </c>
      <c r="C167" s="13" t="s">
        <v>218</v>
      </c>
      <c r="D167" s="14" t="s">
        <v>219</v>
      </c>
      <c r="E167" s="13" t="s">
        <v>61</v>
      </c>
      <c r="F167" s="13" t="s">
        <v>220</v>
      </c>
      <c r="G167" s="13">
        <v>1.4499999999999995</v>
      </c>
      <c r="H167" s="15">
        <v>13295</v>
      </c>
      <c r="I167" s="16">
        <v>19277.75</v>
      </c>
      <c r="J167" s="16">
        <v>7842.1067864292318</v>
      </c>
      <c r="K167" s="16">
        <v>11435.643213570769</v>
      </c>
      <c r="L167" s="13">
        <v>2.73</v>
      </c>
      <c r="M167" s="13"/>
      <c r="N167" s="17">
        <f t="shared" si="4"/>
        <v>36295.35</v>
      </c>
      <c r="O167" s="17">
        <f t="shared" si="4"/>
        <v>0</v>
      </c>
      <c r="P167" s="17">
        <f t="shared" si="5"/>
        <v>36295.35</v>
      </c>
      <c r="Q167" t="str">
        <f>A167&amp;"-"&amp;B167&amp;"-"&amp;D167</f>
        <v>JANUARI-KLB-L1A</v>
      </c>
    </row>
    <row r="168" spans="1:17" x14ac:dyDescent="0.25">
      <c r="A168" t="s">
        <v>388</v>
      </c>
      <c r="B168" s="13" t="s">
        <v>24</v>
      </c>
      <c r="C168" s="13" t="s">
        <v>218</v>
      </c>
      <c r="D168" s="14" t="s">
        <v>221</v>
      </c>
      <c r="E168" s="13" t="s">
        <v>61</v>
      </c>
      <c r="F168" s="13" t="s">
        <v>220</v>
      </c>
      <c r="G168" s="13">
        <v>1.4499999999999997</v>
      </c>
      <c r="H168" s="15">
        <v>13060</v>
      </c>
      <c r="I168" s="16">
        <v>18937</v>
      </c>
      <c r="J168" s="16">
        <v>8152.109939759036</v>
      </c>
      <c r="K168" s="16">
        <v>10784.890060240963</v>
      </c>
      <c r="L168" s="13">
        <v>2.73</v>
      </c>
      <c r="M168" s="13"/>
      <c r="N168" s="17">
        <f t="shared" si="4"/>
        <v>35653.800000000003</v>
      </c>
      <c r="O168" s="17">
        <f t="shared" si="4"/>
        <v>0</v>
      </c>
      <c r="P168" s="17">
        <f t="shared" si="5"/>
        <v>35653.800000000003</v>
      </c>
      <c r="Q168" t="str">
        <f>A168&amp;"-"&amp;B168&amp;"-"&amp;D168</f>
        <v>JANUARI-KLB-L1B</v>
      </c>
    </row>
    <row r="169" spans="1:17" x14ac:dyDescent="0.25">
      <c r="A169" t="s">
        <v>388</v>
      </c>
      <c r="B169" s="13" t="s">
        <v>24</v>
      </c>
      <c r="C169" s="13" t="s">
        <v>218</v>
      </c>
      <c r="D169" s="14" t="s">
        <v>222</v>
      </c>
      <c r="E169" s="13" t="s">
        <v>61</v>
      </c>
      <c r="F169" s="13" t="s">
        <v>220</v>
      </c>
      <c r="G169" s="13">
        <v>1.4499999999999995</v>
      </c>
      <c r="H169" s="15">
        <v>13535</v>
      </c>
      <c r="I169" s="16">
        <v>19625.75</v>
      </c>
      <c r="J169" s="16">
        <v>6952</v>
      </c>
      <c r="K169" s="16">
        <v>12673.75</v>
      </c>
      <c r="L169" s="13">
        <v>2.73</v>
      </c>
      <c r="M169" s="13"/>
      <c r="N169" s="17">
        <f t="shared" si="4"/>
        <v>36950.550000000003</v>
      </c>
      <c r="O169" s="17">
        <f t="shared" si="4"/>
        <v>0</v>
      </c>
      <c r="P169" s="17">
        <f t="shared" si="5"/>
        <v>36950.550000000003</v>
      </c>
      <c r="Q169" t="str">
        <f>A169&amp;"-"&amp;B169&amp;"-"&amp;D169</f>
        <v>JANUARI-KLB-L2A</v>
      </c>
    </row>
    <row r="170" spans="1:17" x14ac:dyDescent="0.25">
      <c r="A170" t="s">
        <v>388</v>
      </c>
      <c r="B170" s="13" t="s">
        <v>24</v>
      </c>
      <c r="C170" s="13" t="s">
        <v>218</v>
      </c>
      <c r="D170" s="14" t="s">
        <v>223</v>
      </c>
      <c r="E170" s="13" t="s">
        <v>61</v>
      </c>
      <c r="F170" s="13" t="s">
        <v>220</v>
      </c>
      <c r="G170" s="13">
        <v>1.4499999999999995</v>
      </c>
      <c r="H170" s="15">
        <v>12820</v>
      </c>
      <c r="I170" s="16">
        <v>18589</v>
      </c>
      <c r="J170" s="16">
        <v>7268.770386573311</v>
      </c>
      <c r="K170" s="16">
        <v>11320.229613426689</v>
      </c>
      <c r="L170" s="13">
        <v>2.73</v>
      </c>
      <c r="M170" s="13"/>
      <c r="N170" s="17">
        <f t="shared" si="4"/>
        <v>34998.6</v>
      </c>
      <c r="O170" s="17">
        <f t="shared" si="4"/>
        <v>0</v>
      </c>
      <c r="P170" s="17">
        <f t="shared" si="5"/>
        <v>34998.6</v>
      </c>
      <c r="Q170" t="str">
        <f>A170&amp;"-"&amp;B170&amp;"-"&amp;D170</f>
        <v>JANUARI-KLB-L2B</v>
      </c>
    </row>
    <row r="171" spans="1:17" x14ac:dyDescent="0.25">
      <c r="A171" t="s">
        <v>388</v>
      </c>
      <c r="B171" s="13" t="s">
        <v>24</v>
      </c>
      <c r="C171" s="13" t="s">
        <v>218</v>
      </c>
      <c r="D171" s="14" t="s">
        <v>224</v>
      </c>
      <c r="E171" s="13" t="s">
        <v>61</v>
      </c>
      <c r="F171" s="13" t="s">
        <v>220</v>
      </c>
      <c r="G171" s="13">
        <v>1.4499999999999995</v>
      </c>
      <c r="H171" s="15">
        <v>13100</v>
      </c>
      <c r="I171" s="16">
        <v>18995</v>
      </c>
      <c r="J171" s="16">
        <v>7276.8541182626896</v>
      </c>
      <c r="K171" s="16">
        <v>11718.14588173731</v>
      </c>
      <c r="L171" s="13">
        <v>2.73</v>
      </c>
      <c r="M171" s="13"/>
      <c r="N171" s="17">
        <f t="shared" si="4"/>
        <v>35763</v>
      </c>
      <c r="O171" s="17">
        <f t="shared" si="4"/>
        <v>0</v>
      </c>
      <c r="P171" s="17">
        <f t="shared" si="5"/>
        <v>35763</v>
      </c>
      <c r="Q171" t="str">
        <f>A171&amp;"-"&amp;B171&amp;"-"&amp;D171</f>
        <v>JANUARI-KLB-L3A</v>
      </c>
    </row>
    <row r="172" spans="1:17" x14ac:dyDescent="0.25">
      <c r="A172" t="s">
        <v>388</v>
      </c>
      <c r="B172" s="13" t="s">
        <v>24</v>
      </c>
      <c r="C172" s="13" t="s">
        <v>218</v>
      </c>
      <c r="D172" s="14" t="s">
        <v>225</v>
      </c>
      <c r="E172" s="13" t="s">
        <v>61</v>
      </c>
      <c r="F172" s="13" t="s">
        <v>220</v>
      </c>
      <c r="G172" s="13">
        <v>1.4499999999999995</v>
      </c>
      <c r="H172" s="15">
        <v>13320</v>
      </c>
      <c r="I172" s="16">
        <v>19314</v>
      </c>
      <c r="J172" s="16">
        <v>7750.9857819905219</v>
      </c>
      <c r="K172" s="16">
        <v>11563.014218009479</v>
      </c>
      <c r="L172" s="13">
        <v>2.73</v>
      </c>
      <c r="M172" s="13"/>
      <c r="N172" s="17">
        <f t="shared" si="4"/>
        <v>36363.599999999999</v>
      </c>
      <c r="O172" s="17">
        <f t="shared" si="4"/>
        <v>0</v>
      </c>
      <c r="P172" s="17">
        <f t="shared" si="5"/>
        <v>36363.599999999999</v>
      </c>
      <c r="Q172" t="str">
        <f>A172&amp;"-"&amp;B172&amp;"-"&amp;D172</f>
        <v>JANUARI-KLB-L3B</v>
      </c>
    </row>
    <row r="173" spans="1:17" x14ac:dyDescent="0.25">
      <c r="A173" t="s">
        <v>388</v>
      </c>
      <c r="B173" s="13" t="s">
        <v>24</v>
      </c>
      <c r="C173" s="13" t="s">
        <v>226</v>
      </c>
      <c r="D173" s="14" t="s">
        <v>219</v>
      </c>
      <c r="E173" s="13" t="s">
        <v>61</v>
      </c>
      <c r="F173" s="13" t="s">
        <v>227</v>
      </c>
      <c r="G173" s="13">
        <v>0.64</v>
      </c>
      <c r="H173" s="15">
        <v>4195</v>
      </c>
      <c r="I173" s="16">
        <v>2684.8</v>
      </c>
      <c r="J173" s="16">
        <v>5076.3606465209605</v>
      </c>
      <c r="K173" s="16">
        <v>-2391.5606465209607</v>
      </c>
      <c r="L173" s="13">
        <v>1.73</v>
      </c>
      <c r="M173" s="13"/>
      <c r="N173" s="17">
        <f t="shared" si="4"/>
        <v>7257.35</v>
      </c>
      <c r="O173" s="17">
        <f t="shared" si="4"/>
        <v>0</v>
      </c>
      <c r="P173" s="17">
        <f t="shared" si="5"/>
        <v>7257.35</v>
      </c>
      <c r="Q173" t="str">
        <f>A173&amp;"-"&amp;B173&amp;"-"&amp;D173</f>
        <v>JANUARI-KLB-L1A</v>
      </c>
    </row>
    <row r="174" spans="1:17" x14ac:dyDescent="0.25">
      <c r="A174" t="s">
        <v>388</v>
      </c>
      <c r="B174" s="13" t="s">
        <v>24</v>
      </c>
      <c r="C174" s="13" t="s">
        <v>226</v>
      </c>
      <c r="D174" s="14" t="s">
        <v>219</v>
      </c>
      <c r="E174" s="13" t="s">
        <v>61</v>
      </c>
      <c r="F174" s="13" t="s">
        <v>228</v>
      </c>
      <c r="G174" s="13">
        <v>0.81000000000000016</v>
      </c>
      <c r="H174" s="15">
        <v>7475</v>
      </c>
      <c r="I174" s="16">
        <v>6054.7500000000009</v>
      </c>
      <c r="J174" s="16">
        <v>854.81271540970999</v>
      </c>
      <c r="K174" s="16">
        <v>5199.9372845902899</v>
      </c>
      <c r="L174" s="13">
        <v>2.14</v>
      </c>
      <c r="M174" s="13"/>
      <c r="N174" s="17">
        <f t="shared" si="4"/>
        <v>15996.500000000002</v>
      </c>
      <c r="O174" s="17">
        <f t="shared" si="4"/>
        <v>0</v>
      </c>
      <c r="P174" s="17">
        <f t="shared" si="5"/>
        <v>15996.500000000002</v>
      </c>
      <c r="Q174" t="str">
        <f>A174&amp;"-"&amp;B174&amp;"-"&amp;D174</f>
        <v>JANUARI-KLB-L1A</v>
      </c>
    </row>
    <row r="175" spans="1:17" x14ac:dyDescent="0.25">
      <c r="A175" t="s">
        <v>388</v>
      </c>
      <c r="B175" s="13" t="s">
        <v>24</v>
      </c>
      <c r="C175" s="13" t="s">
        <v>226</v>
      </c>
      <c r="D175" s="14" t="s">
        <v>219</v>
      </c>
      <c r="E175" s="13" t="s">
        <v>61</v>
      </c>
      <c r="F175" s="13" t="s">
        <v>229</v>
      </c>
      <c r="G175" s="13">
        <v>0.81</v>
      </c>
      <c r="H175" s="15">
        <v>4120</v>
      </c>
      <c r="I175" s="16">
        <v>3337.2</v>
      </c>
      <c r="J175" s="16">
        <v>2508.2745964473961</v>
      </c>
      <c r="K175" s="16">
        <v>828.92540355260394</v>
      </c>
      <c r="L175" s="13">
        <v>2.14</v>
      </c>
      <c r="M175" s="13"/>
      <c r="N175" s="17">
        <f t="shared" si="4"/>
        <v>8816.8000000000011</v>
      </c>
      <c r="O175" s="17">
        <f t="shared" si="4"/>
        <v>0</v>
      </c>
      <c r="P175" s="17">
        <f t="shared" si="5"/>
        <v>8816.8000000000011</v>
      </c>
      <c r="Q175" t="str">
        <f>A175&amp;"-"&amp;B175&amp;"-"&amp;D175</f>
        <v>JANUARI-KLB-L1A</v>
      </c>
    </row>
    <row r="176" spans="1:17" x14ac:dyDescent="0.25">
      <c r="A176" t="s">
        <v>388</v>
      </c>
      <c r="B176" s="13" t="s">
        <v>24</v>
      </c>
      <c r="C176" s="13" t="s">
        <v>226</v>
      </c>
      <c r="D176" s="14" t="s">
        <v>219</v>
      </c>
      <c r="E176" s="13" t="s">
        <v>61</v>
      </c>
      <c r="F176" s="13" t="s">
        <v>230</v>
      </c>
      <c r="G176" s="13">
        <v>0.68</v>
      </c>
      <c r="H176" s="15">
        <v>160</v>
      </c>
      <c r="I176" s="16">
        <v>108.8</v>
      </c>
      <c r="J176" s="16">
        <v>95.762773696564864</v>
      </c>
      <c r="K176" s="16">
        <v>13.037226303435141</v>
      </c>
      <c r="L176" s="13">
        <v>2.09</v>
      </c>
      <c r="M176" s="13"/>
      <c r="N176" s="17">
        <f t="shared" ref="N176:O237" si="6">$H176*L176</f>
        <v>334.4</v>
      </c>
      <c r="O176" s="17">
        <f t="shared" si="6"/>
        <v>0</v>
      </c>
      <c r="P176" s="17">
        <f t="shared" si="5"/>
        <v>334.4</v>
      </c>
      <c r="Q176" t="str">
        <f>A176&amp;"-"&amp;B176&amp;"-"&amp;D176</f>
        <v>JANUARI-KLB-L1A</v>
      </c>
    </row>
    <row r="177" spans="1:17" x14ac:dyDescent="0.25">
      <c r="A177" t="s">
        <v>388</v>
      </c>
      <c r="B177" s="13" t="s">
        <v>24</v>
      </c>
      <c r="C177" s="13" t="s">
        <v>226</v>
      </c>
      <c r="D177" s="14" t="s">
        <v>219</v>
      </c>
      <c r="E177" s="13" t="s">
        <v>61</v>
      </c>
      <c r="F177" s="13" t="s">
        <v>231</v>
      </c>
      <c r="G177" s="13">
        <v>0.8</v>
      </c>
      <c r="H177" s="15">
        <v>2730</v>
      </c>
      <c r="I177" s="16">
        <v>2184</v>
      </c>
      <c r="J177" s="16">
        <v>1685.5603448275863</v>
      </c>
      <c r="K177" s="16">
        <v>498.43965517241372</v>
      </c>
      <c r="L177" s="13">
        <v>2.16</v>
      </c>
      <c r="M177" s="13"/>
      <c r="N177" s="17">
        <f t="shared" si="6"/>
        <v>5896.8</v>
      </c>
      <c r="O177" s="17">
        <f t="shared" si="6"/>
        <v>0</v>
      </c>
      <c r="P177" s="17">
        <f t="shared" si="5"/>
        <v>5896.8</v>
      </c>
      <c r="Q177" t="str">
        <f>A177&amp;"-"&amp;B177&amp;"-"&amp;D177</f>
        <v>JANUARI-KLB-L1A</v>
      </c>
    </row>
    <row r="178" spans="1:17" x14ac:dyDescent="0.25">
      <c r="A178" t="s">
        <v>388</v>
      </c>
      <c r="B178" s="13" t="s">
        <v>24</v>
      </c>
      <c r="C178" s="13" t="s">
        <v>226</v>
      </c>
      <c r="D178" s="14" t="s">
        <v>221</v>
      </c>
      <c r="E178" s="13" t="s">
        <v>61</v>
      </c>
      <c r="F178" s="13" t="s">
        <v>227</v>
      </c>
      <c r="G178" s="13">
        <v>0.64</v>
      </c>
      <c r="H178" s="15">
        <v>4705</v>
      </c>
      <c r="I178" s="16">
        <v>3011.2</v>
      </c>
      <c r="J178" s="16">
        <v>5539.875</v>
      </c>
      <c r="K178" s="16">
        <v>-2528.6750000000002</v>
      </c>
      <c r="L178" s="13">
        <v>1.73</v>
      </c>
      <c r="M178" s="13"/>
      <c r="N178" s="17">
        <f t="shared" si="6"/>
        <v>8139.65</v>
      </c>
      <c r="O178" s="17">
        <f t="shared" si="6"/>
        <v>0</v>
      </c>
      <c r="P178" s="17">
        <f t="shared" si="5"/>
        <v>8139.65</v>
      </c>
      <c r="Q178" t="str">
        <f>A178&amp;"-"&amp;B178&amp;"-"&amp;D178</f>
        <v>JANUARI-KLB-L1B</v>
      </c>
    </row>
    <row r="179" spans="1:17" x14ac:dyDescent="0.25">
      <c r="A179" t="s">
        <v>388</v>
      </c>
      <c r="B179" s="13" t="s">
        <v>24</v>
      </c>
      <c r="C179" s="13" t="s">
        <v>226</v>
      </c>
      <c r="D179" s="14" t="s">
        <v>221</v>
      </c>
      <c r="E179" s="13" t="s">
        <v>61</v>
      </c>
      <c r="F179" s="13" t="s">
        <v>228</v>
      </c>
      <c r="G179" s="13">
        <v>0.81</v>
      </c>
      <c r="H179" s="15">
        <v>8070</v>
      </c>
      <c r="I179" s="16">
        <v>6536.7</v>
      </c>
      <c r="J179" s="16">
        <v>1774.9228133695397</v>
      </c>
      <c r="K179" s="16">
        <v>4761.7771866304602</v>
      </c>
      <c r="L179" s="13">
        <v>2.14</v>
      </c>
      <c r="M179" s="13"/>
      <c r="N179" s="17">
        <f t="shared" si="6"/>
        <v>17269.8</v>
      </c>
      <c r="O179" s="17">
        <f t="shared" si="6"/>
        <v>0</v>
      </c>
      <c r="P179" s="17">
        <f t="shared" si="5"/>
        <v>17269.8</v>
      </c>
      <c r="Q179" t="str">
        <f>A179&amp;"-"&amp;B179&amp;"-"&amp;D179</f>
        <v>JANUARI-KLB-L1B</v>
      </c>
    </row>
    <row r="180" spans="1:17" x14ac:dyDescent="0.25">
      <c r="A180" t="s">
        <v>388</v>
      </c>
      <c r="B180" s="13" t="s">
        <v>24</v>
      </c>
      <c r="C180" s="13" t="s">
        <v>226</v>
      </c>
      <c r="D180" s="14" t="s">
        <v>221</v>
      </c>
      <c r="E180" s="13" t="s">
        <v>61</v>
      </c>
      <c r="F180" s="13" t="s">
        <v>229</v>
      </c>
      <c r="G180" s="13">
        <v>0.81</v>
      </c>
      <c r="H180" s="15">
        <v>5200</v>
      </c>
      <c r="I180" s="16">
        <v>4212</v>
      </c>
      <c r="J180" s="16">
        <v>2550.0163934426228</v>
      </c>
      <c r="K180" s="16">
        <v>1661.983606557377</v>
      </c>
      <c r="L180" s="13">
        <v>2.14</v>
      </c>
      <c r="M180" s="13"/>
      <c r="N180" s="17">
        <f t="shared" si="6"/>
        <v>11128</v>
      </c>
      <c r="O180" s="17">
        <f t="shared" si="6"/>
        <v>0</v>
      </c>
      <c r="P180" s="17">
        <f t="shared" si="5"/>
        <v>11128</v>
      </c>
      <c r="Q180" t="str">
        <f>A180&amp;"-"&amp;B180&amp;"-"&amp;D180</f>
        <v>JANUARI-KLB-L1B</v>
      </c>
    </row>
    <row r="181" spans="1:17" x14ac:dyDescent="0.25">
      <c r="A181" t="s">
        <v>388</v>
      </c>
      <c r="B181" s="13" t="s">
        <v>24</v>
      </c>
      <c r="C181" s="13" t="s">
        <v>226</v>
      </c>
      <c r="D181" s="14" t="s">
        <v>221</v>
      </c>
      <c r="E181" s="13" t="s">
        <v>61</v>
      </c>
      <c r="F181" s="13" t="s">
        <v>232</v>
      </c>
      <c r="G181" s="13">
        <v>0.7</v>
      </c>
      <c r="H181" s="15">
        <v>30</v>
      </c>
      <c r="I181" s="16">
        <v>21</v>
      </c>
      <c r="J181" s="16">
        <v>14.245901639344263</v>
      </c>
      <c r="K181" s="16">
        <v>6.7540983606557372</v>
      </c>
      <c r="L181" s="13">
        <v>1.92</v>
      </c>
      <c r="M181" s="13"/>
      <c r="N181" s="17">
        <f t="shared" si="6"/>
        <v>57.599999999999994</v>
      </c>
      <c r="O181" s="17">
        <f t="shared" si="6"/>
        <v>0</v>
      </c>
      <c r="P181" s="17">
        <f t="shared" si="5"/>
        <v>57.599999999999994</v>
      </c>
      <c r="Q181" t="str">
        <f>A181&amp;"-"&amp;B181&amp;"-"&amp;D181</f>
        <v>JANUARI-KLB-L1B</v>
      </c>
    </row>
    <row r="182" spans="1:17" x14ac:dyDescent="0.25">
      <c r="A182" t="s">
        <v>388</v>
      </c>
      <c r="B182" s="13" t="s">
        <v>24</v>
      </c>
      <c r="C182" s="13" t="s">
        <v>226</v>
      </c>
      <c r="D182" s="14" t="s">
        <v>221</v>
      </c>
      <c r="E182" s="13" t="s">
        <v>61</v>
      </c>
      <c r="F182" s="13" t="s">
        <v>231</v>
      </c>
      <c r="G182" s="13">
        <v>0.8</v>
      </c>
      <c r="H182" s="15">
        <v>2035</v>
      </c>
      <c r="I182" s="16">
        <v>1628</v>
      </c>
      <c r="J182" s="16">
        <v>1081.015060240964</v>
      </c>
      <c r="K182" s="16">
        <v>546.98493975903614</v>
      </c>
      <c r="L182" s="13">
        <v>2.16</v>
      </c>
      <c r="M182" s="13"/>
      <c r="N182" s="17">
        <f t="shared" si="6"/>
        <v>4395.6000000000004</v>
      </c>
      <c r="O182" s="17">
        <f t="shared" si="6"/>
        <v>0</v>
      </c>
      <c r="P182" s="17">
        <f t="shared" si="5"/>
        <v>4395.6000000000004</v>
      </c>
      <c r="Q182" t="str">
        <f>A182&amp;"-"&amp;B182&amp;"-"&amp;D182</f>
        <v>JANUARI-KLB-L1B</v>
      </c>
    </row>
    <row r="183" spans="1:17" x14ac:dyDescent="0.25">
      <c r="A183" t="s">
        <v>388</v>
      </c>
      <c r="B183" s="13" t="s">
        <v>24</v>
      </c>
      <c r="C183" s="13" t="s">
        <v>226</v>
      </c>
      <c r="D183" s="14" t="s">
        <v>222</v>
      </c>
      <c r="E183" s="13" t="s">
        <v>61</v>
      </c>
      <c r="F183" s="13" t="s">
        <v>233</v>
      </c>
      <c r="G183" s="13">
        <v>0.78</v>
      </c>
      <c r="H183" s="15">
        <v>6115</v>
      </c>
      <c r="I183" s="16">
        <v>4769.7</v>
      </c>
      <c r="J183" s="16">
        <v>2705.8405372998523</v>
      </c>
      <c r="K183" s="16">
        <v>2063.8594627001476</v>
      </c>
      <c r="L183" s="13">
        <v>2.1</v>
      </c>
      <c r="M183" s="13"/>
      <c r="N183" s="17">
        <f t="shared" si="6"/>
        <v>12841.5</v>
      </c>
      <c r="O183" s="17">
        <f t="shared" si="6"/>
        <v>0</v>
      </c>
      <c r="P183" s="17">
        <f t="shared" si="5"/>
        <v>12841.5</v>
      </c>
      <c r="Q183" t="str">
        <f>A183&amp;"-"&amp;B183&amp;"-"&amp;D183</f>
        <v>JANUARI-KLB-L2A</v>
      </c>
    </row>
    <row r="184" spans="1:17" x14ac:dyDescent="0.25">
      <c r="A184" t="s">
        <v>388</v>
      </c>
      <c r="B184" s="13" t="s">
        <v>24</v>
      </c>
      <c r="C184" s="13" t="s">
        <v>226</v>
      </c>
      <c r="D184" s="14" t="s">
        <v>222</v>
      </c>
      <c r="E184" s="13" t="s">
        <v>61</v>
      </c>
      <c r="F184" s="13" t="s">
        <v>234</v>
      </c>
      <c r="G184" s="13">
        <v>0.73</v>
      </c>
      <c r="H184" s="15">
        <v>6780</v>
      </c>
      <c r="I184" s="16">
        <v>4949.3999999999987</v>
      </c>
      <c r="J184" s="16">
        <v>2769.653769613336</v>
      </c>
      <c r="K184" s="16">
        <v>2179.7462303866646</v>
      </c>
      <c r="L184" s="13">
        <v>1.35</v>
      </c>
      <c r="M184" s="13"/>
      <c r="N184" s="17">
        <f t="shared" si="6"/>
        <v>9153</v>
      </c>
      <c r="O184" s="17">
        <f t="shared" si="6"/>
        <v>0</v>
      </c>
      <c r="P184" s="17">
        <f t="shared" si="5"/>
        <v>9153</v>
      </c>
      <c r="Q184" t="str">
        <f>A184&amp;"-"&amp;B184&amp;"-"&amp;D184</f>
        <v>JANUARI-KLB-L2A</v>
      </c>
    </row>
    <row r="185" spans="1:17" x14ac:dyDescent="0.25">
      <c r="A185" t="s">
        <v>388</v>
      </c>
      <c r="B185" s="13" t="s">
        <v>24</v>
      </c>
      <c r="C185" s="13" t="s">
        <v>226</v>
      </c>
      <c r="D185" s="14" t="s">
        <v>222</v>
      </c>
      <c r="E185" s="13" t="s">
        <v>61</v>
      </c>
      <c r="F185" s="13" t="s">
        <v>235</v>
      </c>
      <c r="G185" s="13">
        <v>0.84</v>
      </c>
      <c r="H185" s="15">
        <v>2210</v>
      </c>
      <c r="I185" s="16">
        <v>1856.4</v>
      </c>
      <c r="J185" s="16">
        <v>889.30373831775705</v>
      </c>
      <c r="K185" s="16">
        <v>967.09626168224304</v>
      </c>
      <c r="L185" s="13">
        <v>2.2799999999999998</v>
      </c>
      <c r="M185" s="13"/>
      <c r="N185" s="17">
        <f t="shared" si="6"/>
        <v>5038.7999999999993</v>
      </c>
      <c r="O185" s="17">
        <f t="shared" si="6"/>
        <v>0</v>
      </c>
      <c r="P185" s="17">
        <f t="shared" si="5"/>
        <v>5038.7999999999993</v>
      </c>
      <c r="Q185" t="str">
        <f>A185&amp;"-"&amp;B185&amp;"-"&amp;D185</f>
        <v>JANUARI-KLB-L2A</v>
      </c>
    </row>
    <row r="186" spans="1:17" x14ac:dyDescent="0.25">
      <c r="A186" t="s">
        <v>388</v>
      </c>
      <c r="B186" s="13" t="s">
        <v>24</v>
      </c>
      <c r="C186" s="13" t="s">
        <v>226</v>
      </c>
      <c r="D186" s="14" t="s">
        <v>222</v>
      </c>
      <c r="E186" s="13" t="s">
        <v>61</v>
      </c>
      <c r="F186" s="13" t="s">
        <v>236</v>
      </c>
      <c r="G186" s="13">
        <v>1.03</v>
      </c>
      <c r="H186" s="15">
        <v>4395</v>
      </c>
      <c r="I186" s="16">
        <v>4526.8499999999995</v>
      </c>
      <c r="J186" s="16">
        <v>2260.2664110215237</v>
      </c>
      <c r="K186" s="16">
        <v>2266.5835889784762</v>
      </c>
      <c r="L186" s="13">
        <v>2.59</v>
      </c>
      <c r="M186" s="13"/>
      <c r="N186" s="17">
        <f t="shared" si="6"/>
        <v>11383.05</v>
      </c>
      <c r="O186" s="17">
        <f t="shared" si="6"/>
        <v>0</v>
      </c>
      <c r="P186" s="17">
        <f t="shared" si="5"/>
        <v>11383.05</v>
      </c>
      <c r="Q186" t="str">
        <f>A186&amp;"-"&amp;B186&amp;"-"&amp;D186</f>
        <v>JANUARI-KLB-L2A</v>
      </c>
    </row>
    <row r="187" spans="1:17" x14ac:dyDescent="0.25">
      <c r="A187" t="s">
        <v>388</v>
      </c>
      <c r="B187" s="13" t="s">
        <v>24</v>
      </c>
      <c r="C187" s="13" t="s">
        <v>226</v>
      </c>
      <c r="D187" s="14" t="s">
        <v>222</v>
      </c>
      <c r="E187" s="13" t="s">
        <v>61</v>
      </c>
      <c r="F187" s="13" t="s">
        <v>231</v>
      </c>
      <c r="G187" s="13">
        <v>0.8</v>
      </c>
      <c r="H187" s="15">
        <v>2890</v>
      </c>
      <c r="I187" s="16">
        <v>2312</v>
      </c>
      <c r="J187" s="16">
        <v>1620.2645161290322</v>
      </c>
      <c r="K187" s="16">
        <v>691.73548387096776</v>
      </c>
      <c r="L187" s="13">
        <v>2.16</v>
      </c>
      <c r="M187" s="13"/>
      <c r="N187" s="17">
        <f t="shared" si="6"/>
        <v>6242.4000000000005</v>
      </c>
      <c r="O187" s="17">
        <f t="shared" si="6"/>
        <v>0</v>
      </c>
      <c r="P187" s="17">
        <f t="shared" si="5"/>
        <v>6242.4000000000005</v>
      </c>
      <c r="Q187" t="str">
        <f>A187&amp;"-"&amp;B187&amp;"-"&amp;D187</f>
        <v>JANUARI-KLB-L2A</v>
      </c>
    </row>
    <row r="188" spans="1:17" x14ac:dyDescent="0.25">
      <c r="A188" t="s">
        <v>388</v>
      </c>
      <c r="B188" s="13" t="s">
        <v>24</v>
      </c>
      <c r="C188" s="13" t="s">
        <v>226</v>
      </c>
      <c r="D188" s="14" t="s">
        <v>222</v>
      </c>
      <c r="E188" s="13" t="s">
        <v>61</v>
      </c>
      <c r="F188" s="13" t="s">
        <v>237</v>
      </c>
      <c r="G188" s="13">
        <v>0.72</v>
      </c>
      <c r="H188" s="15">
        <v>210</v>
      </c>
      <c r="I188" s="16">
        <v>151.19999999999999</v>
      </c>
      <c r="J188" s="16">
        <v>117.73548387096776</v>
      </c>
      <c r="K188" s="16">
        <v>33.464516129032233</v>
      </c>
      <c r="L188" s="13">
        <v>2.31</v>
      </c>
      <c r="M188" s="13"/>
      <c r="N188" s="17">
        <f t="shared" si="6"/>
        <v>485.1</v>
      </c>
      <c r="O188" s="17">
        <f t="shared" si="6"/>
        <v>0</v>
      </c>
      <c r="P188" s="17">
        <f t="shared" si="5"/>
        <v>485.1</v>
      </c>
      <c r="Q188" t="str">
        <f>A188&amp;"-"&amp;B188&amp;"-"&amp;D188</f>
        <v>JANUARI-KLB-L2A</v>
      </c>
    </row>
    <row r="189" spans="1:17" x14ac:dyDescent="0.25">
      <c r="A189" t="s">
        <v>388</v>
      </c>
      <c r="B189" s="13" t="s">
        <v>24</v>
      </c>
      <c r="C189" s="13" t="s">
        <v>226</v>
      </c>
      <c r="D189" s="14" t="s">
        <v>222</v>
      </c>
      <c r="E189" s="13" t="s">
        <v>61</v>
      </c>
      <c r="F189" s="13" t="s">
        <v>238</v>
      </c>
      <c r="G189" s="13">
        <v>0.89</v>
      </c>
      <c r="H189" s="15">
        <v>2605</v>
      </c>
      <c r="I189" s="16">
        <v>2318.4499999999998</v>
      </c>
      <c r="J189" s="16">
        <v>1802.9355437475317</v>
      </c>
      <c r="K189" s="16">
        <v>515.51445625246834</v>
      </c>
      <c r="L189" s="13">
        <v>2.75</v>
      </c>
      <c r="M189" s="13"/>
      <c r="N189" s="17">
        <f t="shared" si="6"/>
        <v>7163.75</v>
      </c>
      <c r="O189" s="17">
        <f t="shared" si="6"/>
        <v>0</v>
      </c>
      <c r="P189" s="17">
        <f t="shared" si="5"/>
        <v>7163.75</v>
      </c>
      <c r="Q189" t="str">
        <f>A189&amp;"-"&amp;B189&amp;"-"&amp;D189</f>
        <v>JANUARI-KLB-L2A</v>
      </c>
    </row>
    <row r="190" spans="1:17" x14ac:dyDescent="0.25">
      <c r="A190" t="s">
        <v>388</v>
      </c>
      <c r="B190" s="13" t="s">
        <v>24</v>
      </c>
      <c r="C190" s="13" t="s">
        <v>226</v>
      </c>
      <c r="D190" s="14" t="s">
        <v>223</v>
      </c>
      <c r="E190" s="13" t="s">
        <v>61</v>
      </c>
      <c r="F190" s="13" t="s">
        <v>233</v>
      </c>
      <c r="G190" s="13">
        <v>0.78</v>
      </c>
      <c r="H190" s="15">
        <v>7555</v>
      </c>
      <c r="I190" s="16">
        <v>5892.9000000000015</v>
      </c>
      <c r="J190" s="16">
        <v>3290.2254961694771</v>
      </c>
      <c r="K190" s="16">
        <v>2602.674503830523</v>
      </c>
      <c r="L190" s="13">
        <v>2.1</v>
      </c>
      <c r="M190" s="13"/>
      <c r="N190" s="17">
        <f t="shared" si="6"/>
        <v>15865.5</v>
      </c>
      <c r="O190" s="17">
        <f t="shared" si="6"/>
        <v>0</v>
      </c>
      <c r="P190" s="17">
        <f t="shared" si="5"/>
        <v>15865.5</v>
      </c>
      <c r="Q190" t="str">
        <f>A190&amp;"-"&amp;B190&amp;"-"&amp;D190</f>
        <v>JANUARI-KLB-L2B</v>
      </c>
    </row>
    <row r="191" spans="1:17" x14ac:dyDescent="0.25">
      <c r="A191" t="s">
        <v>388</v>
      </c>
      <c r="B191" s="13" t="s">
        <v>24</v>
      </c>
      <c r="C191" s="13" t="s">
        <v>226</v>
      </c>
      <c r="D191" s="14" t="s">
        <v>223</v>
      </c>
      <c r="E191" s="13" t="s">
        <v>61</v>
      </c>
      <c r="F191" s="13" t="s">
        <v>234</v>
      </c>
      <c r="G191" s="13">
        <v>0.72999999999999987</v>
      </c>
      <c r="H191" s="15">
        <v>6165</v>
      </c>
      <c r="I191" s="16">
        <v>4500.45</v>
      </c>
      <c r="J191" s="16">
        <v>2804.5764928929652</v>
      </c>
      <c r="K191" s="16">
        <v>1695.873507107035</v>
      </c>
      <c r="L191" s="13">
        <v>1.35</v>
      </c>
      <c r="M191" s="13"/>
      <c r="N191" s="17">
        <f t="shared" si="6"/>
        <v>8322.75</v>
      </c>
      <c r="O191" s="17">
        <f t="shared" si="6"/>
        <v>0</v>
      </c>
      <c r="P191" s="17">
        <f t="shared" si="5"/>
        <v>8322.75</v>
      </c>
      <c r="Q191" t="str">
        <f>A191&amp;"-"&amp;B191&amp;"-"&amp;D191</f>
        <v>JANUARI-KLB-L2B</v>
      </c>
    </row>
    <row r="192" spans="1:17" x14ac:dyDescent="0.25">
      <c r="A192" t="s">
        <v>388</v>
      </c>
      <c r="B192" s="13" t="s">
        <v>24</v>
      </c>
      <c r="C192" s="13" t="s">
        <v>226</v>
      </c>
      <c r="D192" s="14" t="s">
        <v>223</v>
      </c>
      <c r="E192" s="13" t="s">
        <v>61</v>
      </c>
      <c r="F192" s="13" t="s">
        <v>235</v>
      </c>
      <c r="G192" s="13">
        <v>0.84</v>
      </c>
      <c r="H192" s="15">
        <v>2855</v>
      </c>
      <c r="I192" s="16">
        <v>2398.1999999999998</v>
      </c>
      <c r="J192" s="16">
        <v>1304.3714854639586</v>
      </c>
      <c r="K192" s="16">
        <v>1093.8285145360414</v>
      </c>
      <c r="L192" s="13">
        <v>2.2799999999999998</v>
      </c>
      <c r="M192" s="13"/>
      <c r="N192" s="17">
        <f t="shared" si="6"/>
        <v>6509.4</v>
      </c>
      <c r="O192" s="17">
        <f t="shared" si="6"/>
        <v>0</v>
      </c>
      <c r="P192" s="17">
        <f t="shared" si="5"/>
        <v>6509.4</v>
      </c>
      <c r="Q192" t="str">
        <f>A192&amp;"-"&amp;B192&amp;"-"&amp;D192</f>
        <v>JANUARI-KLB-L2B</v>
      </c>
    </row>
    <row r="193" spans="1:17" x14ac:dyDescent="0.25">
      <c r="A193" t="s">
        <v>388</v>
      </c>
      <c r="B193" s="13" t="s">
        <v>24</v>
      </c>
      <c r="C193" s="13" t="s">
        <v>226</v>
      </c>
      <c r="D193" s="14" t="s">
        <v>223</v>
      </c>
      <c r="E193" s="13" t="s">
        <v>61</v>
      </c>
      <c r="F193" s="13" t="s">
        <v>236</v>
      </c>
      <c r="G193" s="13">
        <v>1.03</v>
      </c>
      <c r="H193" s="15">
        <v>5130</v>
      </c>
      <c r="I193" s="16">
        <v>5283.9000000000005</v>
      </c>
      <c r="J193" s="16">
        <v>2476.5719465493357</v>
      </c>
      <c r="K193" s="16">
        <v>2807.3280534506639</v>
      </c>
      <c r="L193" s="13">
        <v>2.59</v>
      </c>
      <c r="M193" s="13"/>
      <c r="N193" s="17">
        <f t="shared" si="6"/>
        <v>13286.699999999999</v>
      </c>
      <c r="O193" s="17">
        <f t="shared" si="6"/>
        <v>0</v>
      </c>
      <c r="P193" s="17">
        <f t="shared" si="5"/>
        <v>13286.699999999999</v>
      </c>
      <c r="Q193" t="str">
        <f>A193&amp;"-"&amp;B193&amp;"-"&amp;D193</f>
        <v>JANUARI-KLB-L2B</v>
      </c>
    </row>
    <row r="194" spans="1:17" x14ac:dyDescent="0.25">
      <c r="A194" t="s">
        <v>388</v>
      </c>
      <c r="B194" s="13" t="s">
        <v>24</v>
      </c>
      <c r="C194" s="13" t="s">
        <v>226</v>
      </c>
      <c r="D194" s="14" t="s">
        <v>223</v>
      </c>
      <c r="E194" s="13" t="s">
        <v>61</v>
      </c>
      <c r="F194" s="13" t="s">
        <v>231</v>
      </c>
      <c r="G194" s="13">
        <v>0.8</v>
      </c>
      <c r="H194" s="15">
        <v>2236</v>
      </c>
      <c r="I194" s="16">
        <v>1788.8</v>
      </c>
      <c r="J194" s="16">
        <v>1301.8884934165185</v>
      </c>
      <c r="K194" s="16">
        <v>486.91150658348135</v>
      </c>
      <c r="L194" s="13">
        <v>2.16</v>
      </c>
      <c r="M194" s="13"/>
      <c r="N194" s="17">
        <f t="shared" si="6"/>
        <v>4829.76</v>
      </c>
      <c r="O194" s="17">
        <f t="shared" si="6"/>
        <v>0</v>
      </c>
      <c r="P194" s="17">
        <f t="shared" ref="P194:P257" si="7">N194+O194</f>
        <v>4829.76</v>
      </c>
      <c r="Q194" t="str">
        <f>A194&amp;"-"&amp;B194&amp;"-"&amp;D194</f>
        <v>JANUARI-KLB-L2B</v>
      </c>
    </row>
    <row r="195" spans="1:17" x14ac:dyDescent="0.25">
      <c r="A195" t="s">
        <v>388</v>
      </c>
      <c r="B195" s="13" t="s">
        <v>24</v>
      </c>
      <c r="C195" s="13" t="s">
        <v>226</v>
      </c>
      <c r="D195" s="14" t="s">
        <v>223</v>
      </c>
      <c r="E195" s="13" t="s">
        <v>61</v>
      </c>
      <c r="F195" s="13" t="s">
        <v>237</v>
      </c>
      <c r="G195" s="13">
        <v>0.72</v>
      </c>
      <c r="H195" s="15">
        <v>150</v>
      </c>
      <c r="I195" s="16">
        <v>108</v>
      </c>
      <c r="J195" s="16">
        <v>85.756578947368425</v>
      </c>
      <c r="K195" s="16">
        <v>22.243421052631575</v>
      </c>
      <c r="L195" s="13">
        <v>2.31</v>
      </c>
      <c r="M195" s="13"/>
      <c r="N195" s="17">
        <f t="shared" si="6"/>
        <v>346.5</v>
      </c>
      <c r="O195" s="17">
        <f t="shared" si="6"/>
        <v>0</v>
      </c>
      <c r="P195" s="17">
        <f t="shared" si="7"/>
        <v>346.5</v>
      </c>
      <c r="Q195" t="str">
        <f>A195&amp;"-"&amp;B195&amp;"-"&amp;D195</f>
        <v>JANUARI-KLB-L2B</v>
      </c>
    </row>
    <row r="196" spans="1:17" x14ac:dyDescent="0.25">
      <c r="A196" t="s">
        <v>388</v>
      </c>
      <c r="B196" s="13" t="s">
        <v>24</v>
      </c>
      <c r="C196" s="13" t="s">
        <v>226</v>
      </c>
      <c r="D196" s="14" t="s">
        <v>223</v>
      </c>
      <c r="E196" s="13" t="s">
        <v>61</v>
      </c>
      <c r="F196" s="13" t="s">
        <v>238</v>
      </c>
      <c r="G196" s="13">
        <v>0.89</v>
      </c>
      <c r="H196" s="15">
        <v>1045</v>
      </c>
      <c r="I196" s="16">
        <v>930.05000000000007</v>
      </c>
      <c r="J196" s="16">
        <v>585.83911998706526</v>
      </c>
      <c r="K196" s="16">
        <v>344.21088001293487</v>
      </c>
      <c r="L196" s="13">
        <v>2.75</v>
      </c>
      <c r="M196" s="13"/>
      <c r="N196" s="17">
        <f t="shared" si="6"/>
        <v>2873.75</v>
      </c>
      <c r="O196" s="17">
        <f t="shared" si="6"/>
        <v>0</v>
      </c>
      <c r="P196" s="17">
        <f t="shared" si="7"/>
        <v>2873.75</v>
      </c>
      <c r="Q196" t="str">
        <f>A196&amp;"-"&amp;B196&amp;"-"&amp;D196</f>
        <v>JANUARI-KLB-L2B</v>
      </c>
    </row>
    <row r="197" spans="1:17" x14ac:dyDescent="0.25">
      <c r="A197" t="s">
        <v>388</v>
      </c>
      <c r="B197" s="13" t="s">
        <v>24</v>
      </c>
      <c r="C197" s="13" t="s">
        <v>226</v>
      </c>
      <c r="D197" s="14" t="s">
        <v>224</v>
      </c>
      <c r="E197" s="13" t="s">
        <v>61</v>
      </c>
      <c r="F197" s="13" t="s">
        <v>239</v>
      </c>
      <c r="G197" s="13">
        <v>0.77999999999999992</v>
      </c>
      <c r="H197" s="15">
        <v>4695</v>
      </c>
      <c r="I197" s="16">
        <v>3662.1000000000004</v>
      </c>
      <c r="J197" s="16">
        <v>1729.5404393531144</v>
      </c>
      <c r="K197" s="16">
        <v>1932.5595606468855</v>
      </c>
      <c r="L197" s="13">
        <v>2.1</v>
      </c>
      <c r="M197" s="13"/>
      <c r="N197" s="17">
        <f t="shared" si="6"/>
        <v>9859.5</v>
      </c>
      <c r="O197" s="17">
        <f t="shared" si="6"/>
        <v>0</v>
      </c>
      <c r="P197" s="17">
        <f t="shared" si="7"/>
        <v>9859.5</v>
      </c>
      <c r="Q197" t="str">
        <f>A197&amp;"-"&amp;B197&amp;"-"&amp;D197</f>
        <v>JANUARI-KLB-L3A</v>
      </c>
    </row>
    <row r="198" spans="1:17" x14ac:dyDescent="0.25">
      <c r="A198" t="s">
        <v>388</v>
      </c>
      <c r="B198" s="13" t="s">
        <v>24</v>
      </c>
      <c r="C198" s="13" t="s">
        <v>226</v>
      </c>
      <c r="D198" s="14" t="s">
        <v>224</v>
      </c>
      <c r="E198" s="13" t="s">
        <v>61</v>
      </c>
      <c r="F198" s="13" t="s">
        <v>240</v>
      </c>
      <c r="G198" s="13">
        <v>0.76000000000000012</v>
      </c>
      <c r="H198" s="15">
        <v>600</v>
      </c>
      <c r="I198" s="16">
        <v>456</v>
      </c>
      <c r="J198" s="16">
        <v>222.84687034880244</v>
      </c>
      <c r="K198" s="16">
        <v>233.15312965119756</v>
      </c>
      <c r="L198" s="13">
        <v>2.29</v>
      </c>
      <c r="M198" s="13"/>
      <c r="N198" s="17">
        <f t="shared" si="6"/>
        <v>1374</v>
      </c>
      <c r="O198" s="17">
        <f t="shared" si="6"/>
        <v>0</v>
      </c>
      <c r="P198" s="17">
        <f t="shared" si="7"/>
        <v>1374</v>
      </c>
      <c r="Q198" t="str">
        <f>A198&amp;"-"&amp;B198&amp;"-"&amp;D198</f>
        <v>JANUARI-KLB-L3A</v>
      </c>
    </row>
    <row r="199" spans="1:17" x14ac:dyDescent="0.25">
      <c r="A199" t="s">
        <v>388</v>
      </c>
      <c r="B199" s="13" t="s">
        <v>24</v>
      </c>
      <c r="C199" s="13" t="s">
        <v>226</v>
      </c>
      <c r="D199" s="14" t="s">
        <v>224</v>
      </c>
      <c r="E199" s="13" t="s">
        <v>61</v>
      </c>
      <c r="F199" s="13" t="s">
        <v>233</v>
      </c>
      <c r="G199" s="13">
        <v>0.78000000000000014</v>
      </c>
      <c r="H199" s="15">
        <v>14045</v>
      </c>
      <c r="I199" s="16">
        <v>10955.099999999999</v>
      </c>
      <c r="J199" s="16">
        <v>5436.8797564697297</v>
      </c>
      <c r="K199" s="16">
        <v>5518.2202435302697</v>
      </c>
      <c r="L199" s="13">
        <v>2.1</v>
      </c>
      <c r="M199" s="13"/>
      <c r="N199" s="17">
        <f t="shared" si="6"/>
        <v>29494.5</v>
      </c>
      <c r="O199" s="17">
        <f t="shared" si="6"/>
        <v>0</v>
      </c>
      <c r="P199" s="17">
        <f t="shared" si="7"/>
        <v>29494.5</v>
      </c>
      <c r="Q199" t="str">
        <f>A199&amp;"-"&amp;B199&amp;"-"&amp;D199</f>
        <v>JANUARI-KLB-L3A</v>
      </c>
    </row>
    <row r="200" spans="1:17" x14ac:dyDescent="0.25">
      <c r="A200" t="s">
        <v>388</v>
      </c>
      <c r="B200" s="13" t="s">
        <v>24</v>
      </c>
      <c r="C200" s="13" t="s">
        <v>226</v>
      </c>
      <c r="D200" s="14" t="s">
        <v>224</v>
      </c>
      <c r="E200" s="13" t="s">
        <v>61</v>
      </c>
      <c r="F200" s="13" t="s">
        <v>241</v>
      </c>
      <c r="G200" s="13">
        <v>0.7400000000000001</v>
      </c>
      <c r="H200" s="15">
        <v>2702</v>
      </c>
      <c r="I200" s="16">
        <v>1999.4800000000002</v>
      </c>
      <c r="J200" s="16">
        <v>1176.2109939088286</v>
      </c>
      <c r="K200" s="16">
        <v>823.26900609117149</v>
      </c>
      <c r="L200" s="13">
        <v>1.42</v>
      </c>
      <c r="M200" s="13"/>
      <c r="N200" s="17">
        <f t="shared" si="6"/>
        <v>3836.8399999999997</v>
      </c>
      <c r="O200" s="17">
        <f t="shared" si="6"/>
        <v>0</v>
      </c>
      <c r="P200" s="17">
        <f t="shared" si="7"/>
        <v>3836.8399999999997</v>
      </c>
      <c r="Q200" t="str">
        <f>A200&amp;"-"&amp;B200&amp;"-"&amp;D200</f>
        <v>JANUARI-KLB-L3A</v>
      </c>
    </row>
    <row r="201" spans="1:17" x14ac:dyDescent="0.25">
      <c r="A201" t="s">
        <v>388</v>
      </c>
      <c r="B201" s="13" t="s">
        <v>24</v>
      </c>
      <c r="C201" s="13" t="s">
        <v>226</v>
      </c>
      <c r="D201" s="14" t="s">
        <v>224</v>
      </c>
      <c r="E201" s="13" t="s">
        <v>61</v>
      </c>
      <c r="F201" s="13" t="s">
        <v>242</v>
      </c>
      <c r="G201" s="13">
        <v>0.73</v>
      </c>
      <c r="H201" s="15">
        <v>1120</v>
      </c>
      <c r="I201" s="16">
        <v>817.59999999999991</v>
      </c>
      <c r="J201" s="16">
        <v>363.07459919502799</v>
      </c>
      <c r="K201" s="16">
        <v>454.52540080497198</v>
      </c>
      <c r="L201" s="13">
        <v>1.35</v>
      </c>
      <c r="M201" s="13"/>
      <c r="N201" s="17">
        <f t="shared" si="6"/>
        <v>1512</v>
      </c>
      <c r="O201" s="17">
        <f t="shared" si="6"/>
        <v>0</v>
      </c>
      <c r="P201" s="17">
        <f t="shared" si="7"/>
        <v>1512</v>
      </c>
      <c r="Q201" t="str">
        <f>A201&amp;"-"&amp;B201&amp;"-"&amp;D201</f>
        <v>JANUARI-KLB-L3A</v>
      </c>
    </row>
    <row r="202" spans="1:17" x14ac:dyDescent="0.25">
      <c r="A202" t="s">
        <v>388</v>
      </c>
      <c r="B202" s="13" t="s">
        <v>24</v>
      </c>
      <c r="C202" s="13" t="s">
        <v>226</v>
      </c>
      <c r="D202" s="14" t="s">
        <v>224</v>
      </c>
      <c r="E202" s="13" t="s">
        <v>61</v>
      </c>
      <c r="F202" s="13" t="s">
        <v>243</v>
      </c>
      <c r="G202" s="13">
        <v>0.73</v>
      </c>
      <c r="H202" s="15">
        <v>3788</v>
      </c>
      <c r="I202" s="16">
        <v>2765.2400000000007</v>
      </c>
      <c r="J202" s="16">
        <v>1499.4473407244975</v>
      </c>
      <c r="K202" s="16">
        <v>1265.7926592755025</v>
      </c>
      <c r="L202" s="13">
        <v>1.35</v>
      </c>
      <c r="M202" s="13"/>
      <c r="N202" s="17">
        <f t="shared" si="6"/>
        <v>5113.8</v>
      </c>
      <c r="O202" s="17">
        <f t="shared" si="6"/>
        <v>0</v>
      </c>
      <c r="P202" s="17">
        <f t="shared" si="7"/>
        <v>5113.8</v>
      </c>
      <c r="Q202" t="str">
        <f>A202&amp;"-"&amp;B202&amp;"-"&amp;D202</f>
        <v>JANUARI-KLB-L3A</v>
      </c>
    </row>
    <row r="203" spans="1:17" x14ac:dyDescent="0.25">
      <c r="A203" t="s">
        <v>388</v>
      </c>
      <c r="B203" s="13" t="s">
        <v>24</v>
      </c>
      <c r="C203" s="13" t="s">
        <v>226</v>
      </c>
      <c r="D203" s="14" t="s">
        <v>224</v>
      </c>
      <c r="E203" s="13" t="s">
        <v>61</v>
      </c>
      <c r="F203" s="13" t="s">
        <v>244</v>
      </c>
      <c r="G203" s="13">
        <v>0.8</v>
      </c>
      <c r="H203" s="15">
        <v>2170</v>
      </c>
      <c r="I203" s="16">
        <v>1736</v>
      </c>
      <c r="J203" s="16">
        <v>1212.6074201988488</v>
      </c>
      <c r="K203" s="16">
        <v>523.39257980115121</v>
      </c>
      <c r="L203" s="13">
        <v>2.16</v>
      </c>
      <c r="M203" s="13"/>
      <c r="N203" s="17">
        <f t="shared" si="6"/>
        <v>4687.2000000000007</v>
      </c>
      <c r="O203" s="17">
        <f t="shared" si="6"/>
        <v>0</v>
      </c>
      <c r="P203" s="17">
        <f t="shared" si="7"/>
        <v>4687.2000000000007</v>
      </c>
      <c r="Q203" t="str">
        <f>A203&amp;"-"&amp;B203&amp;"-"&amp;D203</f>
        <v>JANUARI-KLB-L3A</v>
      </c>
    </row>
    <row r="204" spans="1:17" x14ac:dyDescent="0.25">
      <c r="A204" t="s">
        <v>388</v>
      </c>
      <c r="B204" s="13" t="s">
        <v>24</v>
      </c>
      <c r="C204" s="13" t="s">
        <v>226</v>
      </c>
      <c r="D204" s="14" t="s">
        <v>224</v>
      </c>
      <c r="E204" s="13" t="s">
        <v>61</v>
      </c>
      <c r="F204" s="13" t="s">
        <v>245</v>
      </c>
      <c r="G204" s="13">
        <v>0.72</v>
      </c>
      <c r="H204" s="15">
        <v>375</v>
      </c>
      <c r="I204" s="16">
        <v>270</v>
      </c>
      <c r="J204" s="16">
        <v>200.53846153846155</v>
      </c>
      <c r="K204" s="16">
        <v>69.461538461538453</v>
      </c>
      <c r="L204" s="13">
        <v>2.31</v>
      </c>
      <c r="M204" s="13"/>
      <c r="N204" s="17">
        <f t="shared" si="6"/>
        <v>866.25</v>
      </c>
      <c r="O204" s="17">
        <f t="shared" si="6"/>
        <v>0</v>
      </c>
      <c r="P204" s="17">
        <f t="shared" si="7"/>
        <v>866.25</v>
      </c>
      <c r="Q204" t="str">
        <f>A204&amp;"-"&amp;B204&amp;"-"&amp;D204</f>
        <v>JANUARI-KLB-L3A</v>
      </c>
    </row>
    <row r="205" spans="1:17" x14ac:dyDescent="0.25">
      <c r="A205" t="s">
        <v>388</v>
      </c>
      <c r="B205" s="13" t="s">
        <v>24</v>
      </c>
      <c r="C205" s="13" t="s">
        <v>226</v>
      </c>
      <c r="D205" s="14" t="s">
        <v>225</v>
      </c>
      <c r="E205" s="13" t="s">
        <v>61</v>
      </c>
      <c r="F205" s="13" t="s">
        <v>239</v>
      </c>
      <c r="G205" s="13">
        <v>0.78</v>
      </c>
      <c r="H205" s="15">
        <v>4607</v>
      </c>
      <c r="I205" s="16">
        <v>3593.46</v>
      </c>
      <c r="J205" s="16">
        <v>8.2369668246445507</v>
      </c>
      <c r="K205" s="16">
        <v>3585.2230331753553</v>
      </c>
      <c r="L205" s="13">
        <v>2.1</v>
      </c>
      <c r="M205" s="13"/>
      <c r="N205" s="17">
        <f t="shared" si="6"/>
        <v>9674.7000000000007</v>
      </c>
      <c r="O205" s="17">
        <f t="shared" si="6"/>
        <v>0</v>
      </c>
      <c r="P205" s="17">
        <f t="shared" si="7"/>
        <v>9674.7000000000007</v>
      </c>
      <c r="Q205" t="str">
        <f>A205&amp;"-"&amp;B205&amp;"-"&amp;D205</f>
        <v>JANUARI-KLB-L3B</v>
      </c>
    </row>
    <row r="206" spans="1:17" x14ac:dyDescent="0.25">
      <c r="A206" t="s">
        <v>388</v>
      </c>
      <c r="B206" s="13" t="s">
        <v>24</v>
      </c>
      <c r="C206" s="13" t="s">
        <v>226</v>
      </c>
      <c r="D206" s="14" t="s">
        <v>225</v>
      </c>
      <c r="E206" s="13" t="s">
        <v>61</v>
      </c>
      <c r="F206" s="13" t="s">
        <v>242</v>
      </c>
      <c r="G206" s="13">
        <v>0.73</v>
      </c>
      <c r="H206" s="15">
        <v>4830</v>
      </c>
      <c r="I206" s="16">
        <v>3525.9</v>
      </c>
      <c r="J206" s="16">
        <v>869</v>
      </c>
      <c r="K206" s="16">
        <v>2656.9</v>
      </c>
      <c r="L206" s="13">
        <v>1.35</v>
      </c>
      <c r="M206" s="13"/>
      <c r="N206" s="17">
        <f t="shared" si="6"/>
        <v>6520.5</v>
      </c>
      <c r="O206" s="17">
        <f t="shared" si="6"/>
        <v>0</v>
      </c>
      <c r="P206" s="17">
        <f t="shared" si="7"/>
        <v>6520.5</v>
      </c>
      <c r="Q206" t="str">
        <f>A206&amp;"-"&amp;B206&amp;"-"&amp;D206</f>
        <v>JANUARI-KLB-L3B</v>
      </c>
    </row>
    <row r="207" spans="1:17" x14ac:dyDescent="0.25">
      <c r="A207" t="s">
        <v>388</v>
      </c>
      <c r="B207" s="13" t="s">
        <v>24</v>
      </c>
      <c r="C207" s="13" t="s">
        <v>226</v>
      </c>
      <c r="D207" s="14" t="s">
        <v>225</v>
      </c>
      <c r="E207" s="13" t="s">
        <v>61</v>
      </c>
      <c r="F207" s="13" t="s">
        <v>243</v>
      </c>
      <c r="G207" s="13">
        <v>0.73</v>
      </c>
      <c r="H207" s="15">
        <v>2800</v>
      </c>
      <c r="I207" s="16">
        <v>2044</v>
      </c>
      <c r="J207" s="16">
        <v>4.1184834123222753</v>
      </c>
      <c r="K207" s="16">
        <v>2039.8815165876777</v>
      </c>
      <c r="L207" s="13">
        <v>1.35</v>
      </c>
      <c r="M207" s="13"/>
      <c r="N207" s="17">
        <f t="shared" si="6"/>
        <v>3780.0000000000005</v>
      </c>
      <c r="O207" s="17">
        <f t="shared" si="6"/>
        <v>0</v>
      </c>
      <c r="P207" s="17">
        <f t="shared" si="7"/>
        <v>3780.0000000000005</v>
      </c>
      <c r="Q207" t="str">
        <f>A207&amp;"-"&amp;B207&amp;"-"&amp;D207</f>
        <v>JANUARI-KLB-L3B</v>
      </c>
    </row>
    <row r="208" spans="1:17" x14ac:dyDescent="0.25">
      <c r="A208" t="s">
        <v>388</v>
      </c>
      <c r="B208" s="13" t="s">
        <v>24</v>
      </c>
      <c r="C208" s="13" t="s">
        <v>226</v>
      </c>
      <c r="D208" s="14" t="s">
        <v>225</v>
      </c>
      <c r="E208" s="13" t="s">
        <v>61</v>
      </c>
      <c r="F208" s="13" t="s">
        <v>244</v>
      </c>
      <c r="G208" s="13">
        <v>0.8</v>
      </c>
      <c r="H208" s="15">
        <v>1480</v>
      </c>
      <c r="I208" s="16">
        <v>1184</v>
      </c>
      <c r="J208" s="16">
        <v>869</v>
      </c>
      <c r="K208" s="16">
        <v>315</v>
      </c>
      <c r="L208" s="13">
        <v>2.16</v>
      </c>
      <c r="M208" s="13"/>
      <c r="N208" s="17">
        <f t="shared" si="6"/>
        <v>3196.8</v>
      </c>
      <c r="O208" s="17">
        <f t="shared" si="6"/>
        <v>0</v>
      </c>
      <c r="P208" s="17">
        <f t="shared" si="7"/>
        <v>3196.8</v>
      </c>
      <c r="Q208" t="str">
        <f>A208&amp;"-"&amp;B208&amp;"-"&amp;D208</f>
        <v>JANUARI-KLB-L3B</v>
      </c>
    </row>
    <row r="209" spans="1:17" x14ac:dyDescent="0.25">
      <c r="A209" t="s">
        <v>388</v>
      </c>
      <c r="B209" s="13" t="s">
        <v>25</v>
      </c>
      <c r="C209" s="13" t="s">
        <v>154</v>
      </c>
      <c r="D209" s="14" t="s">
        <v>44</v>
      </c>
      <c r="E209" s="13" t="s">
        <v>155</v>
      </c>
      <c r="F209" s="13" t="s">
        <v>246</v>
      </c>
      <c r="G209" s="13">
        <v>0.55000000000000004</v>
      </c>
      <c r="H209" s="15">
        <v>1907</v>
      </c>
      <c r="I209" s="16">
        <v>1048.8499999999999</v>
      </c>
      <c r="J209" s="16">
        <v>2616.0754771544243</v>
      </c>
      <c r="K209" s="16">
        <v>-1567.2254771544244</v>
      </c>
      <c r="L209" s="13">
        <v>1.61</v>
      </c>
      <c r="M209" s="13"/>
      <c r="N209" s="17">
        <f t="shared" si="6"/>
        <v>3070.27</v>
      </c>
      <c r="O209" s="17">
        <f t="shared" si="6"/>
        <v>0</v>
      </c>
      <c r="P209" s="17">
        <f t="shared" si="7"/>
        <v>3070.27</v>
      </c>
      <c r="Q209" t="str">
        <f>A209&amp;"-"&amp;B209&amp;"-"&amp;D209</f>
        <v>JANUARI-MJ1-L1</v>
      </c>
    </row>
    <row r="210" spans="1:17" x14ac:dyDescent="0.25">
      <c r="A210" t="s">
        <v>388</v>
      </c>
      <c r="B210" s="13" t="s">
        <v>25</v>
      </c>
      <c r="C210" s="13" t="s">
        <v>154</v>
      </c>
      <c r="D210" s="14" t="s">
        <v>44</v>
      </c>
      <c r="E210" s="13" t="s">
        <v>155</v>
      </c>
      <c r="F210" s="13" t="s">
        <v>247</v>
      </c>
      <c r="G210" s="13">
        <v>0.55000000000000004</v>
      </c>
      <c r="H210" s="15">
        <v>640</v>
      </c>
      <c r="I210" s="16">
        <v>352</v>
      </c>
      <c r="J210" s="16">
        <v>741.0036437246963</v>
      </c>
      <c r="K210" s="16">
        <v>-389.0036437246963</v>
      </c>
      <c r="L210" s="13">
        <v>2.48</v>
      </c>
      <c r="M210" s="13"/>
      <c r="N210" s="17">
        <f t="shared" si="6"/>
        <v>1587.2</v>
      </c>
      <c r="O210" s="17">
        <f t="shared" si="6"/>
        <v>0</v>
      </c>
      <c r="P210" s="17">
        <f t="shared" si="7"/>
        <v>1587.2</v>
      </c>
      <c r="Q210" t="str">
        <f>A210&amp;"-"&amp;B210&amp;"-"&amp;D210</f>
        <v>JANUARI-MJ1-L1</v>
      </c>
    </row>
    <row r="211" spans="1:17" x14ac:dyDescent="0.25">
      <c r="A211" t="s">
        <v>388</v>
      </c>
      <c r="B211" s="13" t="s">
        <v>25</v>
      </c>
      <c r="C211" s="13" t="s">
        <v>154</v>
      </c>
      <c r="D211" s="14" t="s">
        <v>44</v>
      </c>
      <c r="E211" s="13" t="s">
        <v>155</v>
      </c>
      <c r="F211" s="13" t="s">
        <v>248</v>
      </c>
      <c r="G211" s="13">
        <v>0.55000000000000004</v>
      </c>
      <c r="H211" s="15">
        <v>168</v>
      </c>
      <c r="I211" s="16">
        <v>92.4</v>
      </c>
      <c r="J211" s="16">
        <v>131.49230769230769</v>
      </c>
      <c r="K211" s="16">
        <v>-39.092307692307685</v>
      </c>
      <c r="L211" s="13">
        <v>1.61</v>
      </c>
      <c r="M211" s="13"/>
      <c r="N211" s="17">
        <f t="shared" si="6"/>
        <v>270.48</v>
      </c>
      <c r="O211" s="17">
        <f t="shared" si="6"/>
        <v>0</v>
      </c>
      <c r="P211" s="17">
        <f t="shared" si="7"/>
        <v>270.48</v>
      </c>
      <c r="Q211" t="str">
        <f>A211&amp;"-"&amp;B211&amp;"-"&amp;D211</f>
        <v>JANUARI-MJ1-L1</v>
      </c>
    </row>
    <row r="212" spans="1:17" x14ac:dyDescent="0.25">
      <c r="A212" t="s">
        <v>388</v>
      </c>
      <c r="B212" s="13" t="s">
        <v>25</v>
      </c>
      <c r="C212" s="13" t="s">
        <v>154</v>
      </c>
      <c r="D212" s="14" t="s">
        <v>44</v>
      </c>
      <c r="E212" s="13" t="s">
        <v>249</v>
      </c>
      <c r="F212" s="13" t="s">
        <v>250</v>
      </c>
      <c r="G212" s="13">
        <v>1.18</v>
      </c>
      <c r="H212" s="15">
        <v>14</v>
      </c>
      <c r="I212" s="16">
        <v>16.52</v>
      </c>
      <c r="J212" s="16">
        <v>155.39999999999998</v>
      </c>
      <c r="K212" s="16">
        <v>-138.87999999999997</v>
      </c>
      <c r="L212" s="13">
        <v>3.37</v>
      </c>
      <c r="M212" s="13"/>
      <c r="N212" s="17">
        <f t="shared" si="6"/>
        <v>47.18</v>
      </c>
      <c r="O212" s="17">
        <f t="shared" si="6"/>
        <v>0</v>
      </c>
      <c r="P212" s="17">
        <f t="shared" si="7"/>
        <v>47.18</v>
      </c>
      <c r="Q212" t="str">
        <f>A212&amp;"-"&amp;B212&amp;"-"&amp;D212</f>
        <v>JANUARI-MJ1-L1</v>
      </c>
    </row>
    <row r="213" spans="1:17" x14ac:dyDescent="0.25">
      <c r="A213" t="s">
        <v>388</v>
      </c>
      <c r="B213" s="13" t="s">
        <v>25</v>
      </c>
      <c r="C213" s="13" t="s">
        <v>154</v>
      </c>
      <c r="D213" s="14" t="s">
        <v>44</v>
      </c>
      <c r="E213" s="13" t="s">
        <v>249</v>
      </c>
      <c r="F213" s="13" t="s">
        <v>251</v>
      </c>
      <c r="G213" s="13">
        <v>1.18</v>
      </c>
      <c r="H213" s="15">
        <v>200</v>
      </c>
      <c r="I213" s="16">
        <v>236.00000000000006</v>
      </c>
      <c r="J213" s="16">
        <v>1847.8312152033088</v>
      </c>
      <c r="K213" s="16">
        <v>-1611.8312152033086</v>
      </c>
      <c r="L213" s="13">
        <v>3.35</v>
      </c>
      <c r="M213" s="13"/>
      <c r="N213" s="17">
        <f t="shared" si="6"/>
        <v>670</v>
      </c>
      <c r="O213" s="17">
        <f t="shared" si="6"/>
        <v>0</v>
      </c>
      <c r="P213" s="17">
        <f t="shared" si="7"/>
        <v>670</v>
      </c>
      <c r="Q213" t="str">
        <f>A213&amp;"-"&amp;B213&amp;"-"&amp;D213</f>
        <v>JANUARI-MJ1-L1</v>
      </c>
    </row>
    <row r="214" spans="1:17" x14ac:dyDescent="0.25">
      <c r="A214" t="s">
        <v>388</v>
      </c>
      <c r="B214" s="13" t="s">
        <v>25</v>
      </c>
      <c r="C214" s="13" t="s">
        <v>154</v>
      </c>
      <c r="D214" s="14" t="s">
        <v>44</v>
      </c>
      <c r="E214" s="13" t="s">
        <v>249</v>
      </c>
      <c r="F214" s="13" t="s">
        <v>252</v>
      </c>
      <c r="G214" s="13">
        <v>1.18</v>
      </c>
      <c r="H214" s="15">
        <v>450</v>
      </c>
      <c r="I214" s="16">
        <v>531</v>
      </c>
      <c r="J214" s="16">
        <v>4389.234142129375</v>
      </c>
      <c r="K214" s="16">
        <v>-3858.2341421293754</v>
      </c>
      <c r="L214" s="13">
        <v>3.35</v>
      </c>
      <c r="M214" s="13"/>
      <c r="N214" s="17">
        <f t="shared" si="6"/>
        <v>1507.5</v>
      </c>
      <c r="O214" s="17">
        <f t="shared" si="6"/>
        <v>0</v>
      </c>
      <c r="P214" s="17">
        <f t="shared" si="7"/>
        <v>1507.5</v>
      </c>
      <c r="Q214" t="str">
        <f>A214&amp;"-"&amp;B214&amp;"-"&amp;D214</f>
        <v>JANUARI-MJ1-L1</v>
      </c>
    </row>
    <row r="215" spans="1:17" x14ac:dyDescent="0.25">
      <c r="A215" t="s">
        <v>388</v>
      </c>
      <c r="B215" s="13" t="s">
        <v>25</v>
      </c>
      <c r="C215" s="13" t="s">
        <v>154</v>
      </c>
      <c r="D215" s="14" t="s">
        <v>44</v>
      </c>
      <c r="E215" s="13" t="s">
        <v>249</v>
      </c>
      <c r="F215" s="13" t="s">
        <v>253</v>
      </c>
      <c r="G215" s="13">
        <v>1.18</v>
      </c>
      <c r="H215" s="15">
        <v>56</v>
      </c>
      <c r="I215" s="16">
        <v>66.08</v>
      </c>
      <c r="J215" s="16">
        <v>475.32677093680149</v>
      </c>
      <c r="K215" s="16">
        <v>-409.24677093680145</v>
      </c>
      <c r="L215" s="13">
        <v>3.35</v>
      </c>
      <c r="M215" s="13"/>
      <c r="N215" s="17">
        <f t="shared" si="6"/>
        <v>187.6</v>
      </c>
      <c r="O215" s="17">
        <f t="shared" si="6"/>
        <v>0</v>
      </c>
      <c r="P215" s="17">
        <f t="shared" si="7"/>
        <v>187.6</v>
      </c>
      <c r="Q215" t="str">
        <f>A215&amp;"-"&amp;B215&amp;"-"&amp;D215</f>
        <v>JANUARI-MJ1-L1</v>
      </c>
    </row>
    <row r="216" spans="1:17" x14ac:dyDescent="0.25">
      <c r="A216" t="s">
        <v>388</v>
      </c>
      <c r="B216" s="13" t="s">
        <v>25</v>
      </c>
      <c r="C216" s="13" t="s">
        <v>154</v>
      </c>
      <c r="D216" s="14" t="s">
        <v>44</v>
      </c>
      <c r="E216" s="13" t="s">
        <v>249</v>
      </c>
      <c r="F216" s="13" t="s">
        <v>254</v>
      </c>
      <c r="G216" s="13">
        <v>1.18</v>
      </c>
      <c r="H216" s="15">
        <v>226</v>
      </c>
      <c r="I216" s="16">
        <v>266.68</v>
      </c>
      <c r="J216" s="16">
        <v>1807.1169041450776</v>
      </c>
      <c r="K216" s="16">
        <v>-1540.4369041450777</v>
      </c>
      <c r="L216" s="13">
        <v>3.35</v>
      </c>
      <c r="M216" s="13"/>
      <c r="N216" s="17">
        <f t="shared" si="6"/>
        <v>757.1</v>
      </c>
      <c r="O216" s="17">
        <f t="shared" si="6"/>
        <v>0</v>
      </c>
      <c r="P216" s="17">
        <f t="shared" si="7"/>
        <v>757.1</v>
      </c>
      <c r="Q216" t="str">
        <f>A216&amp;"-"&amp;B216&amp;"-"&amp;D216</f>
        <v>JANUARI-MJ1-L1</v>
      </c>
    </row>
    <row r="217" spans="1:17" x14ac:dyDescent="0.25">
      <c r="A217" t="s">
        <v>388</v>
      </c>
      <c r="B217" s="13" t="s">
        <v>25</v>
      </c>
      <c r="C217" s="13" t="s">
        <v>154</v>
      </c>
      <c r="D217" s="14" t="s">
        <v>44</v>
      </c>
      <c r="E217" s="13" t="s">
        <v>249</v>
      </c>
      <c r="F217" s="13" t="s">
        <v>255</v>
      </c>
      <c r="G217" s="13">
        <v>1.18</v>
      </c>
      <c r="H217" s="15">
        <v>97</v>
      </c>
      <c r="I217" s="16">
        <v>114.46000000000001</v>
      </c>
      <c r="J217" s="16">
        <v>1079.1666666666665</v>
      </c>
      <c r="K217" s="16">
        <v>-964.70666666666659</v>
      </c>
      <c r="L217" s="13">
        <v>3.35</v>
      </c>
      <c r="M217" s="13"/>
      <c r="N217" s="17">
        <f t="shared" si="6"/>
        <v>324.95</v>
      </c>
      <c r="O217" s="17">
        <f t="shared" si="6"/>
        <v>0</v>
      </c>
      <c r="P217" s="17">
        <f t="shared" si="7"/>
        <v>324.95</v>
      </c>
      <c r="Q217" t="str">
        <f>A217&amp;"-"&amp;B217&amp;"-"&amp;D217</f>
        <v>JANUARI-MJ1-L1</v>
      </c>
    </row>
    <row r="218" spans="1:17" x14ac:dyDescent="0.25">
      <c r="A218" t="s">
        <v>388</v>
      </c>
      <c r="B218" s="13" t="s">
        <v>25</v>
      </c>
      <c r="C218" s="13" t="s">
        <v>154</v>
      </c>
      <c r="D218" s="14" t="s">
        <v>44</v>
      </c>
      <c r="E218" s="13" t="s">
        <v>249</v>
      </c>
      <c r="F218" s="13" t="s">
        <v>256</v>
      </c>
      <c r="G218" s="13">
        <v>1.18</v>
      </c>
      <c r="H218" s="15">
        <v>40</v>
      </c>
      <c r="I218" s="16">
        <v>47.199999999999996</v>
      </c>
      <c r="J218" s="16">
        <v>327.70875263898665</v>
      </c>
      <c r="K218" s="16">
        <v>-280.50875263898661</v>
      </c>
      <c r="L218" s="13">
        <v>3.35</v>
      </c>
      <c r="M218" s="13"/>
      <c r="N218" s="17">
        <f t="shared" si="6"/>
        <v>134</v>
      </c>
      <c r="O218" s="17">
        <f t="shared" si="6"/>
        <v>0</v>
      </c>
      <c r="P218" s="17">
        <f t="shared" si="7"/>
        <v>134</v>
      </c>
      <c r="Q218" t="str">
        <f>A218&amp;"-"&amp;B218&amp;"-"&amp;D218</f>
        <v>JANUARI-MJ1-L1</v>
      </c>
    </row>
    <row r="219" spans="1:17" x14ac:dyDescent="0.25">
      <c r="A219" t="s">
        <v>388</v>
      </c>
      <c r="B219" s="13" t="s">
        <v>25</v>
      </c>
      <c r="C219" s="13" t="s">
        <v>154</v>
      </c>
      <c r="D219" s="14" t="s">
        <v>44</v>
      </c>
      <c r="E219" s="13" t="s">
        <v>249</v>
      </c>
      <c r="F219" s="13" t="s">
        <v>257</v>
      </c>
      <c r="G219" s="13">
        <v>1.18</v>
      </c>
      <c r="H219" s="15">
        <v>19</v>
      </c>
      <c r="I219" s="16">
        <v>22.42</v>
      </c>
      <c r="J219" s="16">
        <v>162.46820652173915</v>
      </c>
      <c r="K219" s="16">
        <v>-140.04820652173913</v>
      </c>
      <c r="L219" s="13">
        <v>3.37</v>
      </c>
      <c r="M219" s="13"/>
      <c r="N219" s="17">
        <f t="shared" si="6"/>
        <v>64.03</v>
      </c>
      <c r="O219" s="17">
        <f t="shared" si="6"/>
        <v>0</v>
      </c>
      <c r="P219" s="17">
        <f t="shared" si="7"/>
        <v>64.03</v>
      </c>
      <c r="Q219" t="str">
        <f>A219&amp;"-"&amp;B219&amp;"-"&amp;D219</f>
        <v>JANUARI-MJ1-L1</v>
      </c>
    </row>
    <row r="220" spans="1:17" x14ac:dyDescent="0.25">
      <c r="A220" t="s">
        <v>388</v>
      </c>
      <c r="B220" s="13" t="s">
        <v>25</v>
      </c>
      <c r="C220" s="13" t="s">
        <v>154</v>
      </c>
      <c r="D220" s="14" t="s">
        <v>44</v>
      </c>
      <c r="E220" s="13" t="s">
        <v>249</v>
      </c>
      <c r="F220" s="13" t="s">
        <v>258</v>
      </c>
      <c r="G220" s="13">
        <v>1.18</v>
      </c>
      <c r="H220" s="15">
        <v>21</v>
      </c>
      <c r="I220" s="16">
        <v>24.78</v>
      </c>
      <c r="J220" s="16">
        <v>199.33038671990536</v>
      </c>
      <c r="K220" s="16">
        <v>-174.55038671990533</v>
      </c>
      <c r="L220" s="13">
        <v>3.37</v>
      </c>
      <c r="M220" s="13"/>
      <c r="N220" s="17">
        <f t="shared" si="6"/>
        <v>70.77</v>
      </c>
      <c r="O220" s="17">
        <f t="shared" si="6"/>
        <v>0</v>
      </c>
      <c r="P220" s="17">
        <f t="shared" si="7"/>
        <v>70.77</v>
      </c>
      <c r="Q220" t="str">
        <f>A220&amp;"-"&amp;B220&amp;"-"&amp;D220</f>
        <v>JANUARI-MJ1-L1</v>
      </c>
    </row>
    <row r="221" spans="1:17" x14ac:dyDescent="0.25">
      <c r="A221" t="s">
        <v>388</v>
      </c>
      <c r="B221" s="13" t="s">
        <v>25</v>
      </c>
      <c r="C221" s="13" t="s">
        <v>154</v>
      </c>
      <c r="D221" s="14" t="s">
        <v>44</v>
      </c>
      <c r="E221" s="13" t="s">
        <v>249</v>
      </c>
      <c r="F221" s="13" t="s">
        <v>259</v>
      </c>
      <c r="G221" s="13">
        <v>1.18</v>
      </c>
      <c r="H221" s="15">
        <v>31</v>
      </c>
      <c r="I221" s="16">
        <v>36.58</v>
      </c>
      <c r="J221" s="16">
        <v>299.95045088193376</v>
      </c>
      <c r="K221" s="16">
        <v>-263.37045088193378</v>
      </c>
      <c r="L221" s="13">
        <v>3.35</v>
      </c>
      <c r="M221" s="13"/>
      <c r="N221" s="17">
        <f t="shared" si="6"/>
        <v>103.85000000000001</v>
      </c>
      <c r="O221" s="17">
        <f t="shared" si="6"/>
        <v>0</v>
      </c>
      <c r="P221" s="17">
        <f t="shared" si="7"/>
        <v>103.85000000000001</v>
      </c>
      <c r="Q221" t="str">
        <f>A221&amp;"-"&amp;B221&amp;"-"&amp;D221</f>
        <v>JANUARI-MJ1-L1</v>
      </c>
    </row>
    <row r="222" spans="1:17" x14ac:dyDescent="0.25">
      <c r="A222" t="s">
        <v>388</v>
      </c>
      <c r="B222" s="13" t="s">
        <v>25</v>
      </c>
      <c r="C222" s="13" t="s">
        <v>154</v>
      </c>
      <c r="D222" s="14" t="s">
        <v>44</v>
      </c>
      <c r="E222" s="13" t="s">
        <v>249</v>
      </c>
      <c r="F222" s="13" t="s">
        <v>260</v>
      </c>
      <c r="G222" s="13">
        <v>1.18</v>
      </c>
      <c r="H222" s="15">
        <v>24</v>
      </c>
      <c r="I222" s="16">
        <v>28.32</v>
      </c>
      <c r="J222" s="16">
        <v>222.08166967912086</v>
      </c>
      <c r="K222" s="16">
        <v>-193.76166967912087</v>
      </c>
      <c r="L222" s="13">
        <v>3.35</v>
      </c>
      <c r="M222" s="13"/>
      <c r="N222" s="17">
        <f t="shared" si="6"/>
        <v>80.400000000000006</v>
      </c>
      <c r="O222" s="17">
        <f t="shared" si="6"/>
        <v>0</v>
      </c>
      <c r="P222" s="17">
        <f t="shared" si="7"/>
        <v>80.400000000000006</v>
      </c>
      <c r="Q222" t="str">
        <f>A222&amp;"-"&amp;B222&amp;"-"&amp;D222</f>
        <v>JANUARI-MJ1-L1</v>
      </c>
    </row>
    <row r="223" spans="1:17" x14ac:dyDescent="0.25">
      <c r="A223" t="s">
        <v>388</v>
      </c>
      <c r="B223" s="13" t="s">
        <v>25</v>
      </c>
      <c r="C223" s="13" t="s">
        <v>154</v>
      </c>
      <c r="D223" s="14" t="s">
        <v>44</v>
      </c>
      <c r="E223" s="13" t="s">
        <v>249</v>
      </c>
      <c r="F223" s="13" t="s">
        <v>261</v>
      </c>
      <c r="G223" s="13">
        <v>1.18</v>
      </c>
      <c r="H223" s="15">
        <v>156</v>
      </c>
      <c r="I223" s="16">
        <v>184.07999999999998</v>
      </c>
      <c r="J223" s="16">
        <v>2442</v>
      </c>
      <c r="K223" s="16">
        <v>-2257.92</v>
      </c>
      <c r="L223" s="13">
        <v>3.37</v>
      </c>
      <c r="M223" s="13"/>
      <c r="N223" s="17">
        <f t="shared" si="6"/>
        <v>525.72</v>
      </c>
      <c r="O223" s="17">
        <f t="shared" si="6"/>
        <v>0</v>
      </c>
      <c r="P223" s="17">
        <f t="shared" si="7"/>
        <v>525.72</v>
      </c>
      <c r="Q223" t="str">
        <f>A223&amp;"-"&amp;B223&amp;"-"&amp;D223</f>
        <v>JANUARI-MJ1-L1</v>
      </c>
    </row>
    <row r="224" spans="1:17" x14ac:dyDescent="0.25">
      <c r="A224" t="s">
        <v>388</v>
      </c>
      <c r="B224" s="13" t="s">
        <v>25</v>
      </c>
      <c r="C224" s="13" t="s">
        <v>154</v>
      </c>
      <c r="D224" s="14" t="s">
        <v>44</v>
      </c>
      <c r="E224" s="13" t="s">
        <v>249</v>
      </c>
      <c r="F224" s="13" t="s">
        <v>262</v>
      </c>
      <c r="G224" s="13">
        <v>1.18</v>
      </c>
      <c r="H224" s="15">
        <v>185</v>
      </c>
      <c r="I224" s="16">
        <v>218.3</v>
      </c>
      <c r="J224" s="16">
        <v>1977.4052306011777</v>
      </c>
      <c r="K224" s="16">
        <v>-1759.105230601177</v>
      </c>
      <c r="L224" s="13">
        <v>3.37</v>
      </c>
      <c r="M224" s="13"/>
      <c r="N224" s="17">
        <f t="shared" si="6"/>
        <v>623.45000000000005</v>
      </c>
      <c r="O224" s="17">
        <f t="shared" si="6"/>
        <v>0</v>
      </c>
      <c r="P224" s="17">
        <f t="shared" si="7"/>
        <v>623.45000000000005</v>
      </c>
      <c r="Q224" t="str">
        <f>A224&amp;"-"&amp;B224&amp;"-"&amp;D224</f>
        <v>JANUARI-MJ1-L1</v>
      </c>
    </row>
    <row r="225" spans="1:17" x14ac:dyDescent="0.25">
      <c r="A225" t="s">
        <v>388</v>
      </c>
      <c r="B225" s="13" t="s">
        <v>25</v>
      </c>
      <c r="C225" s="13" t="s">
        <v>154</v>
      </c>
      <c r="D225" s="14" t="s">
        <v>44</v>
      </c>
      <c r="E225" s="13" t="s">
        <v>249</v>
      </c>
      <c r="F225" s="13" t="s">
        <v>263</v>
      </c>
      <c r="G225" s="13">
        <v>1.19</v>
      </c>
      <c r="H225" s="15">
        <v>22</v>
      </c>
      <c r="I225" s="16">
        <v>26.18</v>
      </c>
      <c r="J225" s="16">
        <v>201.23888888888888</v>
      </c>
      <c r="K225" s="16">
        <v>-175.05888888888887</v>
      </c>
      <c r="L225" s="13">
        <v>1.57</v>
      </c>
      <c r="M225" s="13"/>
      <c r="N225" s="17">
        <f t="shared" si="6"/>
        <v>34.54</v>
      </c>
      <c r="O225" s="17">
        <f t="shared" si="6"/>
        <v>0</v>
      </c>
      <c r="P225" s="17">
        <f t="shared" si="7"/>
        <v>34.54</v>
      </c>
      <c r="Q225" t="str">
        <f>A225&amp;"-"&amp;B225&amp;"-"&amp;D225</f>
        <v>JANUARI-MJ1-L1</v>
      </c>
    </row>
    <row r="226" spans="1:17" x14ac:dyDescent="0.25">
      <c r="A226" t="s">
        <v>388</v>
      </c>
      <c r="B226" s="13" t="s">
        <v>25</v>
      </c>
      <c r="C226" s="13" t="s">
        <v>154</v>
      </c>
      <c r="D226" s="14" t="s">
        <v>44</v>
      </c>
      <c r="E226" s="13" t="s">
        <v>249</v>
      </c>
      <c r="F226" s="13" t="s">
        <v>264</v>
      </c>
      <c r="G226" s="13">
        <v>1.19</v>
      </c>
      <c r="H226" s="15">
        <v>3</v>
      </c>
      <c r="I226" s="16">
        <v>3.57</v>
      </c>
      <c r="J226" s="16">
        <v>25.262068965517241</v>
      </c>
      <c r="K226" s="16">
        <v>-21.69206896551724</v>
      </c>
      <c r="L226" s="13">
        <v>2.9</v>
      </c>
      <c r="M226" s="13"/>
      <c r="N226" s="17">
        <f t="shared" si="6"/>
        <v>8.6999999999999993</v>
      </c>
      <c r="O226" s="17">
        <f t="shared" si="6"/>
        <v>0</v>
      </c>
      <c r="P226" s="17">
        <f t="shared" si="7"/>
        <v>8.6999999999999993</v>
      </c>
      <c r="Q226" t="str">
        <f>A226&amp;"-"&amp;B226&amp;"-"&amp;D226</f>
        <v>JANUARI-MJ1-L1</v>
      </c>
    </row>
    <row r="227" spans="1:17" x14ac:dyDescent="0.25">
      <c r="A227" t="s">
        <v>388</v>
      </c>
      <c r="B227" s="13" t="s">
        <v>25</v>
      </c>
      <c r="C227" s="13" t="s">
        <v>154</v>
      </c>
      <c r="D227" s="14" t="s">
        <v>44</v>
      </c>
      <c r="E227" s="13" t="s">
        <v>249</v>
      </c>
      <c r="F227" s="13" t="s">
        <v>265</v>
      </c>
      <c r="G227" s="13">
        <v>1.19</v>
      </c>
      <c r="H227" s="15">
        <v>13</v>
      </c>
      <c r="I227" s="16">
        <v>15.469999999999999</v>
      </c>
      <c r="J227" s="16">
        <v>118.8111111111111</v>
      </c>
      <c r="K227" s="16">
        <v>-103.3411111111111</v>
      </c>
      <c r="L227" s="13">
        <v>1.57</v>
      </c>
      <c r="M227" s="13"/>
      <c r="N227" s="17">
        <f t="shared" si="6"/>
        <v>20.41</v>
      </c>
      <c r="O227" s="17">
        <f t="shared" si="6"/>
        <v>0</v>
      </c>
      <c r="P227" s="17">
        <f t="shared" si="7"/>
        <v>20.41</v>
      </c>
      <c r="Q227" t="str">
        <f>A227&amp;"-"&amp;B227&amp;"-"&amp;D227</f>
        <v>JANUARI-MJ1-L1</v>
      </c>
    </row>
    <row r="228" spans="1:17" x14ac:dyDescent="0.25">
      <c r="A228" t="s">
        <v>388</v>
      </c>
      <c r="B228" s="13" t="s">
        <v>25</v>
      </c>
      <c r="C228" s="13" t="s">
        <v>154</v>
      </c>
      <c r="D228" s="14" t="s">
        <v>44</v>
      </c>
      <c r="E228" s="13" t="s">
        <v>249</v>
      </c>
      <c r="F228" s="13" t="s">
        <v>266</v>
      </c>
      <c r="G228" s="13">
        <v>1.19</v>
      </c>
      <c r="H228" s="15">
        <v>29</v>
      </c>
      <c r="I228" s="16">
        <v>34.51</v>
      </c>
      <c r="J228" s="16">
        <v>279.14444444444445</v>
      </c>
      <c r="K228" s="16">
        <v>-244.63444444444445</v>
      </c>
      <c r="L228" s="13">
        <v>2.9</v>
      </c>
      <c r="M228" s="13"/>
      <c r="N228" s="17">
        <f t="shared" si="6"/>
        <v>84.1</v>
      </c>
      <c r="O228" s="17">
        <f t="shared" si="6"/>
        <v>0</v>
      </c>
      <c r="P228" s="17">
        <f t="shared" si="7"/>
        <v>84.1</v>
      </c>
      <c r="Q228" t="str">
        <f>A228&amp;"-"&amp;B228&amp;"-"&amp;D228</f>
        <v>JANUARI-MJ1-L1</v>
      </c>
    </row>
    <row r="229" spans="1:17" x14ac:dyDescent="0.25">
      <c r="A229" t="s">
        <v>388</v>
      </c>
      <c r="B229" s="13" t="s">
        <v>25</v>
      </c>
      <c r="C229" s="13" t="s">
        <v>154</v>
      </c>
      <c r="D229" s="14" t="s">
        <v>44</v>
      </c>
      <c r="E229" s="13" t="s">
        <v>249</v>
      </c>
      <c r="F229" s="13" t="s">
        <v>267</v>
      </c>
      <c r="G229" s="13">
        <v>1.1899999999999997</v>
      </c>
      <c r="H229" s="15">
        <v>80</v>
      </c>
      <c r="I229" s="16">
        <v>95.199999999999989</v>
      </c>
      <c r="J229" s="16">
        <v>933.21465129847581</v>
      </c>
      <c r="K229" s="16">
        <v>-838.01465129847554</v>
      </c>
      <c r="L229" s="13">
        <v>2.9</v>
      </c>
      <c r="M229" s="13"/>
      <c r="N229" s="17">
        <f t="shared" si="6"/>
        <v>232</v>
      </c>
      <c r="O229" s="17">
        <f t="shared" si="6"/>
        <v>0</v>
      </c>
      <c r="P229" s="17">
        <f t="shared" si="7"/>
        <v>232</v>
      </c>
      <c r="Q229" t="str">
        <f>A229&amp;"-"&amp;B229&amp;"-"&amp;D229</f>
        <v>JANUARI-MJ1-L1</v>
      </c>
    </row>
    <row r="230" spans="1:17" x14ac:dyDescent="0.25">
      <c r="A230" t="s">
        <v>388</v>
      </c>
      <c r="B230" s="13" t="s">
        <v>25</v>
      </c>
      <c r="C230" s="13" t="s">
        <v>154</v>
      </c>
      <c r="D230" s="14" t="s">
        <v>44</v>
      </c>
      <c r="E230" s="13" t="s">
        <v>249</v>
      </c>
      <c r="F230" s="13" t="s">
        <v>268</v>
      </c>
      <c r="G230" s="13">
        <v>1.19</v>
      </c>
      <c r="H230" s="15">
        <v>22</v>
      </c>
      <c r="I230" s="16">
        <v>26.18</v>
      </c>
      <c r="J230" s="16">
        <v>422.02023809523814</v>
      </c>
      <c r="K230" s="16">
        <v>-395.84023809523808</v>
      </c>
      <c r="L230" s="13">
        <v>2.9</v>
      </c>
      <c r="M230" s="13"/>
      <c r="N230" s="17">
        <f t="shared" si="6"/>
        <v>63.8</v>
      </c>
      <c r="O230" s="17">
        <f t="shared" si="6"/>
        <v>0</v>
      </c>
      <c r="P230" s="17">
        <f t="shared" si="7"/>
        <v>63.8</v>
      </c>
      <c r="Q230" t="str">
        <f>A230&amp;"-"&amp;B230&amp;"-"&amp;D230</f>
        <v>JANUARI-MJ1-L1</v>
      </c>
    </row>
    <row r="231" spans="1:17" x14ac:dyDescent="0.25">
      <c r="A231" t="s">
        <v>388</v>
      </c>
      <c r="B231" s="13" t="s">
        <v>25</v>
      </c>
      <c r="C231" s="13" t="s">
        <v>154</v>
      </c>
      <c r="D231" s="14" t="s">
        <v>44</v>
      </c>
      <c r="E231" s="13" t="s">
        <v>249</v>
      </c>
      <c r="F231" s="13" t="s">
        <v>269</v>
      </c>
      <c r="G231" s="13">
        <v>1.19</v>
      </c>
      <c r="H231" s="15">
        <v>10</v>
      </c>
      <c r="I231" s="16">
        <v>11.899999999999999</v>
      </c>
      <c r="J231" s="16">
        <v>185.08809523809521</v>
      </c>
      <c r="K231" s="16">
        <v>-173.18809523809523</v>
      </c>
      <c r="L231" s="13">
        <v>2.9</v>
      </c>
      <c r="M231" s="13"/>
      <c r="N231" s="17">
        <f t="shared" si="6"/>
        <v>29</v>
      </c>
      <c r="O231" s="17">
        <f t="shared" si="6"/>
        <v>0</v>
      </c>
      <c r="P231" s="17">
        <f t="shared" si="7"/>
        <v>29</v>
      </c>
      <c r="Q231" t="str">
        <f>A231&amp;"-"&amp;B231&amp;"-"&amp;D231</f>
        <v>JANUARI-MJ1-L1</v>
      </c>
    </row>
    <row r="232" spans="1:17" x14ac:dyDescent="0.25">
      <c r="A232" t="s">
        <v>388</v>
      </c>
      <c r="B232" s="13" t="s">
        <v>25</v>
      </c>
      <c r="C232" s="13" t="s">
        <v>154</v>
      </c>
      <c r="D232" s="14" t="s">
        <v>44</v>
      </c>
      <c r="E232" s="13" t="s">
        <v>249</v>
      </c>
      <c r="F232" s="13" t="s">
        <v>270</v>
      </c>
      <c r="G232" s="13">
        <v>1.19</v>
      </c>
      <c r="H232" s="15">
        <v>14</v>
      </c>
      <c r="I232" s="16">
        <v>16.66</v>
      </c>
      <c r="J232" s="16">
        <v>120.6164343855463</v>
      </c>
      <c r="K232" s="16">
        <v>-103.95643438554632</v>
      </c>
      <c r="L232" s="13">
        <v>2.9</v>
      </c>
      <c r="M232" s="13"/>
      <c r="N232" s="17">
        <f t="shared" si="6"/>
        <v>40.6</v>
      </c>
      <c r="O232" s="17">
        <f t="shared" si="6"/>
        <v>0</v>
      </c>
      <c r="P232" s="17">
        <f t="shared" si="7"/>
        <v>40.6</v>
      </c>
      <c r="Q232" t="str">
        <f>A232&amp;"-"&amp;B232&amp;"-"&amp;D232</f>
        <v>JANUARI-MJ1-L1</v>
      </c>
    </row>
    <row r="233" spans="1:17" x14ac:dyDescent="0.25">
      <c r="A233" t="s">
        <v>388</v>
      </c>
      <c r="B233" s="13" t="s">
        <v>25</v>
      </c>
      <c r="C233" s="13" t="s">
        <v>154</v>
      </c>
      <c r="D233" s="14" t="s">
        <v>44</v>
      </c>
      <c r="E233" s="13" t="s">
        <v>249</v>
      </c>
      <c r="F233" s="13" t="s">
        <v>271</v>
      </c>
      <c r="G233" s="13">
        <v>1.19</v>
      </c>
      <c r="H233" s="15">
        <v>43</v>
      </c>
      <c r="I233" s="16">
        <v>51.17</v>
      </c>
      <c r="J233" s="16">
        <v>368.90085067188221</v>
      </c>
      <c r="K233" s="16">
        <v>-317.73085067188214</v>
      </c>
      <c r="L233" s="13">
        <v>2.9</v>
      </c>
      <c r="M233" s="13"/>
      <c r="N233" s="17">
        <f t="shared" si="6"/>
        <v>124.7</v>
      </c>
      <c r="O233" s="17">
        <f t="shared" si="6"/>
        <v>0</v>
      </c>
      <c r="P233" s="17">
        <f t="shared" si="7"/>
        <v>124.7</v>
      </c>
      <c r="Q233" t="str">
        <f>A233&amp;"-"&amp;B233&amp;"-"&amp;D233</f>
        <v>JANUARI-MJ1-L1</v>
      </c>
    </row>
    <row r="234" spans="1:17" x14ac:dyDescent="0.25">
      <c r="A234" t="s">
        <v>388</v>
      </c>
      <c r="B234" s="13" t="s">
        <v>25</v>
      </c>
      <c r="C234" s="13" t="s">
        <v>154</v>
      </c>
      <c r="D234" s="14" t="s">
        <v>44</v>
      </c>
      <c r="E234" s="13" t="s">
        <v>249</v>
      </c>
      <c r="F234" s="13" t="s">
        <v>272</v>
      </c>
      <c r="G234" s="13">
        <v>1.1899999999999997</v>
      </c>
      <c r="H234" s="15">
        <v>52</v>
      </c>
      <c r="I234" s="16">
        <v>61.88000000000001</v>
      </c>
      <c r="J234" s="16">
        <v>625.1981916520698</v>
      </c>
      <c r="K234" s="16">
        <v>-563.31819165206969</v>
      </c>
      <c r="L234" s="13">
        <v>2.9</v>
      </c>
      <c r="M234" s="13"/>
      <c r="N234" s="17">
        <f t="shared" si="6"/>
        <v>150.79999999999998</v>
      </c>
      <c r="O234" s="17">
        <f t="shared" si="6"/>
        <v>0</v>
      </c>
      <c r="P234" s="17">
        <f t="shared" si="7"/>
        <v>150.79999999999998</v>
      </c>
      <c r="Q234" t="str">
        <f>A234&amp;"-"&amp;B234&amp;"-"&amp;D234</f>
        <v>JANUARI-MJ1-L1</v>
      </c>
    </row>
    <row r="235" spans="1:17" x14ac:dyDescent="0.25">
      <c r="A235" t="s">
        <v>388</v>
      </c>
      <c r="B235" s="13" t="s">
        <v>25</v>
      </c>
      <c r="C235" s="13" t="s">
        <v>154</v>
      </c>
      <c r="D235" s="14" t="s">
        <v>44</v>
      </c>
      <c r="E235" s="13" t="s">
        <v>249</v>
      </c>
      <c r="F235" s="13" t="s">
        <v>273</v>
      </c>
      <c r="G235" s="13">
        <v>1.19</v>
      </c>
      <c r="H235" s="15">
        <v>18</v>
      </c>
      <c r="I235" s="16">
        <v>21.419999999999998</v>
      </c>
      <c r="J235" s="16">
        <v>149.73933849401828</v>
      </c>
      <c r="K235" s="16">
        <v>-128.3193384940183</v>
      </c>
      <c r="L235" s="13">
        <v>2.9</v>
      </c>
      <c r="M235" s="13"/>
      <c r="N235" s="17">
        <f t="shared" si="6"/>
        <v>52.199999999999996</v>
      </c>
      <c r="O235" s="17">
        <f t="shared" si="6"/>
        <v>0</v>
      </c>
      <c r="P235" s="17">
        <f t="shared" si="7"/>
        <v>52.199999999999996</v>
      </c>
      <c r="Q235" t="str">
        <f>A235&amp;"-"&amp;B235&amp;"-"&amp;D235</f>
        <v>JANUARI-MJ1-L1</v>
      </c>
    </row>
    <row r="236" spans="1:17" x14ac:dyDescent="0.25">
      <c r="A236" t="s">
        <v>388</v>
      </c>
      <c r="B236" s="13" t="s">
        <v>25</v>
      </c>
      <c r="C236" s="13" t="s">
        <v>154</v>
      </c>
      <c r="D236" s="14" t="s">
        <v>44</v>
      </c>
      <c r="E236" s="13" t="s">
        <v>249</v>
      </c>
      <c r="F236" s="13" t="s">
        <v>274</v>
      </c>
      <c r="G236" s="13">
        <v>1.19</v>
      </c>
      <c r="H236" s="15">
        <v>5</v>
      </c>
      <c r="I236" s="16">
        <v>5.95</v>
      </c>
      <c r="J236" s="16">
        <v>38.15625</v>
      </c>
      <c r="K236" s="16">
        <v>-32.206249999999997</v>
      </c>
      <c r="L236" s="13">
        <v>2.9</v>
      </c>
      <c r="M236" s="13"/>
      <c r="N236" s="17">
        <f t="shared" si="6"/>
        <v>14.5</v>
      </c>
      <c r="O236" s="17">
        <f t="shared" si="6"/>
        <v>0</v>
      </c>
      <c r="P236" s="17">
        <f t="shared" si="7"/>
        <v>14.5</v>
      </c>
      <c r="Q236" t="str">
        <f>A236&amp;"-"&amp;B236&amp;"-"&amp;D236</f>
        <v>JANUARI-MJ1-L1</v>
      </c>
    </row>
    <row r="237" spans="1:17" x14ac:dyDescent="0.25">
      <c r="A237" t="s">
        <v>388</v>
      </c>
      <c r="B237" s="13" t="s">
        <v>25</v>
      </c>
      <c r="C237" s="13" t="s">
        <v>154</v>
      </c>
      <c r="D237" s="14" t="s">
        <v>44</v>
      </c>
      <c r="E237" s="13" t="s">
        <v>249</v>
      </c>
      <c r="F237" s="13" t="s">
        <v>275</v>
      </c>
      <c r="G237" s="13">
        <v>1.19</v>
      </c>
      <c r="H237" s="15">
        <v>14</v>
      </c>
      <c r="I237" s="16">
        <v>16.66</v>
      </c>
      <c r="J237" s="16">
        <v>132.37777777777779</v>
      </c>
      <c r="K237" s="16">
        <v>-115.71777777777778</v>
      </c>
      <c r="L237" s="13">
        <v>2.9</v>
      </c>
      <c r="M237" s="13"/>
      <c r="N237" s="17">
        <f t="shared" si="6"/>
        <v>40.6</v>
      </c>
      <c r="O237" s="17">
        <f t="shared" si="6"/>
        <v>0</v>
      </c>
      <c r="P237" s="17">
        <f t="shared" si="7"/>
        <v>40.6</v>
      </c>
      <c r="Q237" t="str">
        <f>A237&amp;"-"&amp;B237&amp;"-"&amp;D237</f>
        <v>JANUARI-MJ1-L1</v>
      </c>
    </row>
    <row r="238" spans="1:17" x14ac:dyDescent="0.25">
      <c r="A238" t="s">
        <v>388</v>
      </c>
      <c r="B238" s="13" t="s">
        <v>25</v>
      </c>
      <c r="C238" s="13" t="s">
        <v>154</v>
      </c>
      <c r="D238" s="14" t="s">
        <v>44</v>
      </c>
      <c r="E238" s="13" t="s">
        <v>249</v>
      </c>
      <c r="F238" s="13" t="s">
        <v>276</v>
      </c>
      <c r="G238" s="13">
        <v>1.19</v>
      </c>
      <c r="H238" s="15">
        <v>14</v>
      </c>
      <c r="I238" s="16">
        <v>16.66</v>
      </c>
      <c r="J238" s="16">
        <v>122.88943965517241</v>
      </c>
      <c r="K238" s="16">
        <v>-106.22943965517241</v>
      </c>
      <c r="L238" s="13">
        <v>2.9</v>
      </c>
      <c r="M238" s="13"/>
      <c r="N238" s="17">
        <f t="shared" ref="N238:O296" si="8">$H238*L238</f>
        <v>40.6</v>
      </c>
      <c r="O238" s="17">
        <f t="shared" si="8"/>
        <v>0</v>
      </c>
      <c r="P238" s="17">
        <f t="shared" si="7"/>
        <v>40.6</v>
      </c>
      <c r="Q238" t="str">
        <f>A238&amp;"-"&amp;B238&amp;"-"&amp;D238</f>
        <v>JANUARI-MJ1-L1</v>
      </c>
    </row>
    <row r="239" spans="1:17" x14ac:dyDescent="0.25">
      <c r="A239" t="s">
        <v>388</v>
      </c>
      <c r="B239" s="13" t="s">
        <v>25</v>
      </c>
      <c r="C239" s="13" t="s">
        <v>154</v>
      </c>
      <c r="D239" s="14" t="s">
        <v>44</v>
      </c>
      <c r="E239" s="13" t="s">
        <v>249</v>
      </c>
      <c r="F239" s="13" t="s">
        <v>277</v>
      </c>
      <c r="G239" s="13">
        <v>1.19</v>
      </c>
      <c r="H239" s="15">
        <v>111</v>
      </c>
      <c r="I239" s="16">
        <v>132.09</v>
      </c>
      <c r="J239" s="16">
        <v>1151.1111111111111</v>
      </c>
      <c r="K239" s="16">
        <v>-1019.0211111111111</v>
      </c>
      <c r="L239" s="13">
        <v>1.57</v>
      </c>
      <c r="M239" s="13"/>
      <c r="N239" s="17">
        <f t="shared" si="8"/>
        <v>174.27</v>
      </c>
      <c r="O239" s="17">
        <f t="shared" si="8"/>
        <v>0</v>
      </c>
      <c r="P239" s="17">
        <f t="shared" si="7"/>
        <v>174.27</v>
      </c>
      <c r="Q239" t="str">
        <f>A239&amp;"-"&amp;B239&amp;"-"&amp;D239</f>
        <v>JANUARI-MJ1-L1</v>
      </c>
    </row>
    <row r="240" spans="1:17" x14ac:dyDescent="0.25">
      <c r="A240" t="s">
        <v>388</v>
      </c>
      <c r="B240" s="13" t="s">
        <v>25</v>
      </c>
      <c r="C240" s="13" t="s">
        <v>154</v>
      </c>
      <c r="D240" s="14" t="s">
        <v>44</v>
      </c>
      <c r="E240" s="13" t="s">
        <v>249</v>
      </c>
      <c r="F240" s="13" t="s">
        <v>278</v>
      </c>
      <c r="G240" s="13">
        <v>1.19</v>
      </c>
      <c r="H240" s="15">
        <v>10</v>
      </c>
      <c r="I240" s="16">
        <v>11.899999999999999</v>
      </c>
      <c r="J240" s="16">
        <v>82.16974841660803</v>
      </c>
      <c r="K240" s="16">
        <v>-70.269748416608024</v>
      </c>
      <c r="L240" s="13">
        <v>2.86</v>
      </c>
      <c r="M240" s="13"/>
      <c r="N240" s="17">
        <f t="shared" si="8"/>
        <v>28.599999999999998</v>
      </c>
      <c r="O240" s="17">
        <f t="shared" si="8"/>
        <v>0</v>
      </c>
      <c r="P240" s="17">
        <f t="shared" si="7"/>
        <v>28.599999999999998</v>
      </c>
      <c r="Q240" t="str">
        <f>A240&amp;"-"&amp;B240&amp;"-"&amp;D240</f>
        <v>JANUARI-MJ1-L1</v>
      </c>
    </row>
    <row r="241" spans="1:17" x14ac:dyDescent="0.25">
      <c r="A241" t="s">
        <v>388</v>
      </c>
      <c r="B241" s="13" t="s">
        <v>25</v>
      </c>
      <c r="C241" s="13" t="s">
        <v>154</v>
      </c>
      <c r="D241" s="14" t="s">
        <v>44</v>
      </c>
      <c r="E241" s="13" t="s">
        <v>249</v>
      </c>
      <c r="F241" s="13" t="s">
        <v>279</v>
      </c>
      <c r="G241" s="13">
        <v>1.19</v>
      </c>
      <c r="H241" s="15">
        <v>141</v>
      </c>
      <c r="I241" s="16">
        <v>167.79</v>
      </c>
      <c r="J241" s="16">
        <v>1238.7623922413793</v>
      </c>
      <c r="K241" s="16">
        <v>-1070.9723922413793</v>
      </c>
      <c r="L241" s="13">
        <v>2.86</v>
      </c>
      <c r="M241" s="13"/>
      <c r="N241" s="17">
        <f t="shared" si="8"/>
        <v>403.26</v>
      </c>
      <c r="O241" s="17">
        <f t="shared" si="8"/>
        <v>0</v>
      </c>
      <c r="P241" s="17">
        <f t="shared" si="7"/>
        <v>403.26</v>
      </c>
      <c r="Q241" t="str">
        <f>A241&amp;"-"&amp;B241&amp;"-"&amp;D241</f>
        <v>JANUARI-MJ1-L1</v>
      </c>
    </row>
    <row r="242" spans="1:17" x14ac:dyDescent="0.25">
      <c r="A242" t="s">
        <v>388</v>
      </c>
      <c r="B242" s="13" t="s">
        <v>25</v>
      </c>
      <c r="C242" s="13" t="s">
        <v>154</v>
      </c>
      <c r="D242" s="14" t="s">
        <v>44</v>
      </c>
      <c r="E242" s="13" t="s">
        <v>249</v>
      </c>
      <c r="F242" s="13" t="s">
        <v>280</v>
      </c>
      <c r="G242" s="13">
        <v>1.19</v>
      </c>
      <c r="H242" s="15">
        <v>37</v>
      </c>
      <c r="I242" s="16">
        <v>44.03</v>
      </c>
      <c r="J242" s="16">
        <v>349.59019396551724</v>
      </c>
      <c r="K242" s="16">
        <v>-305.56019396551727</v>
      </c>
      <c r="L242" s="13">
        <v>2.86</v>
      </c>
      <c r="M242" s="13"/>
      <c r="N242" s="17">
        <f t="shared" si="8"/>
        <v>105.82</v>
      </c>
      <c r="O242" s="17">
        <f t="shared" si="8"/>
        <v>0</v>
      </c>
      <c r="P242" s="17">
        <f t="shared" si="7"/>
        <v>105.82</v>
      </c>
      <c r="Q242" t="str">
        <f>A242&amp;"-"&amp;B242&amp;"-"&amp;D242</f>
        <v>JANUARI-MJ1-L1</v>
      </c>
    </row>
    <row r="243" spans="1:17" x14ac:dyDescent="0.25">
      <c r="A243" t="s">
        <v>388</v>
      </c>
      <c r="B243" s="13" t="s">
        <v>25</v>
      </c>
      <c r="C243" s="13" t="s">
        <v>154</v>
      </c>
      <c r="D243" s="14" t="s">
        <v>44</v>
      </c>
      <c r="E243" s="13" t="s">
        <v>249</v>
      </c>
      <c r="F243" s="13" t="s">
        <v>281</v>
      </c>
      <c r="G243" s="13">
        <v>1.19</v>
      </c>
      <c r="H243" s="15">
        <v>1</v>
      </c>
      <c r="I243" s="16">
        <v>1.19</v>
      </c>
      <c r="J243" s="16">
        <v>8.4206896551724135</v>
      </c>
      <c r="K243" s="16">
        <v>-7.230689655172414</v>
      </c>
      <c r="L243" s="13">
        <v>2.86</v>
      </c>
      <c r="M243" s="13"/>
      <c r="N243" s="17">
        <f t="shared" si="8"/>
        <v>2.86</v>
      </c>
      <c r="O243" s="17">
        <f t="shared" si="8"/>
        <v>0</v>
      </c>
      <c r="P243" s="17">
        <f t="shared" si="7"/>
        <v>2.86</v>
      </c>
      <c r="Q243" t="str">
        <f>A243&amp;"-"&amp;B243&amp;"-"&amp;D243</f>
        <v>JANUARI-MJ1-L1</v>
      </c>
    </row>
    <row r="244" spans="1:17" x14ac:dyDescent="0.25">
      <c r="A244" t="s">
        <v>388</v>
      </c>
      <c r="B244" s="13" t="s">
        <v>25</v>
      </c>
      <c r="C244" s="13" t="s">
        <v>154</v>
      </c>
      <c r="D244" s="14" t="s">
        <v>44</v>
      </c>
      <c r="E244" s="13" t="s">
        <v>249</v>
      </c>
      <c r="F244" s="13" t="s">
        <v>282</v>
      </c>
      <c r="G244" s="13">
        <v>1.19</v>
      </c>
      <c r="H244" s="15">
        <v>154</v>
      </c>
      <c r="I244" s="16">
        <v>183.26000000000002</v>
      </c>
      <c r="J244" s="16">
        <v>1261.2676878078819</v>
      </c>
      <c r="K244" s="16">
        <v>-1078.0076878078819</v>
      </c>
      <c r="L244" s="13">
        <v>2.86</v>
      </c>
      <c r="M244" s="13"/>
      <c r="N244" s="17">
        <f t="shared" si="8"/>
        <v>440.44</v>
      </c>
      <c r="O244" s="17">
        <f t="shared" si="8"/>
        <v>0</v>
      </c>
      <c r="P244" s="17">
        <f t="shared" si="7"/>
        <v>440.44</v>
      </c>
      <c r="Q244" t="str">
        <f>A244&amp;"-"&amp;B244&amp;"-"&amp;D244</f>
        <v>JANUARI-MJ1-L1</v>
      </c>
    </row>
    <row r="245" spans="1:17" x14ac:dyDescent="0.25">
      <c r="A245" t="s">
        <v>388</v>
      </c>
      <c r="B245" s="13" t="s">
        <v>25</v>
      </c>
      <c r="C245" s="13" t="s">
        <v>154</v>
      </c>
      <c r="D245" s="14" t="s">
        <v>44</v>
      </c>
      <c r="E245" s="13" t="s">
        <v>249</v>
      </c>
      <c r="F245" s="13" t="s">
        <v>283</v>
      </c>
      <c r="G245" s="13">
        <v>1.19</v>
      </c>
      <c r="H245" s="15">
        <v>50</v>
      </c>
      <c r="I245" s="16">
        <v>59.5</v>
      </c>
      <c r="J245" s="16">
        <v>174.42857142857142</v>
      </c>
      <c r="K245" s="16">
        <v>-114.92857142857142</v>
      </c>
      <c r="L245" s="13">
        <v>2.86</v>
      </c>
      <c r="M245" s="13"/>
      <c r="N245" s="17">
        <f t="shared" si="8"/>
        <v>143</v>
      </c>
      <c r="O245" s="17">
        <f t="shared" si="8"/>
        <v>0</v>
      </c>
      <c r="P245" s="17">
        <f t="shared" si="7"/>
        <v>143</v>
      </c>
      <c r="Q245" t="str">
        <f>A245&amp;"-"&amp;B245&amp;"-"&amp;D245</f>
        <v>JANUARI-MJ1-L1</v>
      </c>
    </row>
    <row r="246" spans="1:17" x14ac:dyDescent="0.25">
      <c r="A246" t="s">
        <v>388</v>
      </c>
      <c r="B246" s="13" t="s">
        <v>25</v>
      </c>
      <c r="C246" s="13" t="s">
        <v>154</v>
      </c>
      <c r="D246" s="14" t="s">
        <v>160</v>
      </c>
      <c r="E246" s="13" t="s">
        <v>155</v>
      </c>
      <c r="F246" s="13" t="s">
        <v>246</v>
      </c>
      <c r="G246" s="13">
        <v>0.55000000000000004</v>
      </c>
      <c r="H246" s="15">
        <v>1404</v>
      </c>
      <c r="I246" s="16">
        <v>772.2</v>
      </c>
      <c r="J246" s="16">
        <v>2403.0248120300753</v>
      </c>
      <c r="K246" s="16">
        <v>-1630.8248120300752</v>
      </c>
      <c r="L246" s="13">
        <v>1.61</v>
      </c>
      <c r="M246" s="13"/>
      <c r="N246" s="17">
        <f t="shared" si="8"/>
        <v>2260.44</v>
      </c>
      <c r="O246" s="17">
        <f t="shared" si="8"/>
        <v>0</v>
      </c>
      <c r="P246" s="17">
        <f t="shared" si="7"/>
        <v>2260.44</v>
      </c>
      <c r="Q246" t="str">
        <f>A246&amp;"-"&amp;B246&amp;"-"&amp;D246</f>
        <v>JANUARI-MJ1-L5</v>
      </c>
    </row>
    <row r="247" spans="1:17" x14ac:dyDescent="0.25">
      <c r="A247" t="s">
        <v>388</v>
      </c>
      <c r="B247" s="13" t="s">
        <v>25</v>
      </c>
      <c r="C247" s="13" t="s">
        <v>154</v>
      </c>
      <c r="D247" s="14" t="s">
        <v>160</v>
      </c>
      <c r="E247" s="13" t="s">
        <v>155</v>
      </c>
      <c r="F247" s="13" t="s">
        <v>284</v>
      </c>
      <c r="G247" s="13">
        <v>0.55000000000000004</v>
      </c>
      <c r="H247" s="15">
        <v>10</v>
      </c>
      <c r="I247" s="16">
        <v>5.5</v>
      </c>
      <c r="J247" s="16">
        <v>11.1</v>
      </c>
      <c r="K247" s="16">
        <v>-5.6</v>
      </c>
      <c r="L247" s="13">
        <v>1.61</v>
      </c>
      <c r="M247" s="13"/>
      <c r="N247" s="17">
        <f t="shared" si="8"/>
        <v>16.100000000000001</v>
      </c>
      <c r="O247" s="17">
        <f t="shared" si="8"/>
        <v>0</v>
      </c>
      <c r="P247" s="17">
        <f t="shared" si="7"/>
        <v>16.100000000000001</v>
      </c>
      <c r="Q247" t="str">
        <f>A247&amp;"-"&amp;B247&amp;"-"&amp;D247</f>
        <v>JANUARI-MJ1-L5</v>
      </c>
    </row>
    <row r="248" spans="1:17" x14ac:dyDescent="0.25">
      <c r="A248" t="s">
        <v>388</v>
      </c>
      <c r="B248" s="13" t="s">
        <v>25</v>
      </c>
      <c r="C248" s="13" t="s">
        <v>154</v>
      </c>
      <c r="D248" s="14" t="s">
        <v>160</v>
      </c>
      <c r="E248" s="13" t="s">
        <v>155</v>
      </c>
      <c r="F248" s="13" t="s">
        <v>247</v>
      </c>
      <c r="G248" s="13">
        <v>0.55000000000000004</v>
      </c>
      <c r="H248" s="15">
        <v>667</v>
      </c>
      <c r="I248" s="16">
        <v>366.85</v>
      </c>
      <c r="J248" s="16">
        <v>809.94947368421049</v>
      </c>
      <c r="K248" s="16">
        <v>-443.09947368421052</v>
      </c>
      <c r="L248" s="13">
        <v>2.48</v>
      </c>
      <c r="M248" s="13"/>
      <c r="N248" s="17">
        <f t="shared" si="8"/>
        <v>1654.16</v>
      </c>
      <c r="O248" s="17">
        <f t="shared" si="8"/>
        <v>0</v>
      </c>
      <c r="P248" s="17">
        <f t="shared" si="7"/>
        <v>1654.16</v>
      </c>
      <c r="Q248" t="str">
        <f>A248&amp;"-"&amp;B248&amp;"-"&amp;D248</f>
        <v>JANUARI-MJ1-L5</v>
      </c>
    </row>
    <row r="249" spans="1:17" x14ac:dyDescent="0.25">
      <c r="A249" t="s">
        <v>388</v>
      </c>
      <c r="B249" s="13" t="s">
        <v>25</v>
      </c>
      <c r="C249" s="13" t="s">
        <v>154</v>
      </c>
      <c r="D249" s="14" t="s">
        <v>160</v>
      </c>
      <c r="E249" s="13" t="s">
        <v>155</v>
      </c>
      <c r="F249" s="13" t="s">
        <v>285</v>
      </c>
      <c r="G249" s="13">
        <v>0.55000000000000004</v>
      </c>
      <c r="H249" s="15">
        <v>13</v>
      </c>
      <c r="I249" s="16">
        <v>7.15</v>
      </c>
      <c r="J249" s="16">
        <v>14.43</v>
      </c>
      <c r="K249" s="16">
        <v>-7.2799999999999994</v>
      </c>
      <c r="L249" s="13">
        <v>2.48</v>
      </c>
      <c r="M249" s="13"/>
      <c r="N249" s="17">
        <f t="shared" si="8"/>
        <v>32.24</v>
      </c>
      <c r="O249" s="17">
        <f t="shared" si="8"/>
        <v>0</v>
      </c>
      <c r="P249" s="17">
        <f t="shared" si="7"/>
        <v>32.24</v>
      </c>
      <c r="Q249" t="str">
        <f>A249&amp;"-"&amp;B249&amp;"-"&amp;D249</f>
        <v>JANUARI-MJ1-L5</v>
      </c>
    </row>
    <row r="250" spans="1:17" x14ac:dyDescent="0.25">
      <c r="A250" t="s">
        <v>388</v>
      </c>
      <c r="B250" s="13" t="s">
        <v>25</v>
      </c>
      <c r="C250" s="13" t="s">
        <v>154</v>
      </c>
      <c r="D250" s="14" t="s">
        <v>160</v>
      </c>
      <c r="E250" s="13" t="s">
        <v>155</v>
      </c>
      <c r="F250" s="13" t="s">
        <v>248</v>
      </c>
      <c r="G250" s="13">
        <v>0.55000000000000004</v>
      </c>
      <c r="H250" s="15">
        <v>186</v>
      </c>
      <c r="I250" s="16">
        <v>102.3</v>
      </c>
      <c r="J250" s="16">
        <v>206.46</v>
      </c>
      <c r="K250" s="16">
        <v>-104.16000000000001</v>
      </c>
      <c r="L250" s="13">
        <v>1.61</v>
      </c>
      <c r="M250" s="13"/>
      <c r="N250" s="17">
        <f t="shared" si="8"/>
        <v>299.46000000000004</v>
      </c>
      <c r="O250" s="17">
        <f t="shared" si="8"/>
        <v>0</v>
      </c>
      <c r="P250" s="17">
        <f t="shared" si="7"/>
        <v>299.46000000000004</v>
      </c>
      <c r="Q250" t="str">
        <f>A250&amp;"-"&amp;B250&amp;"-"&amp;D250</f>
        <v>JANUARI-MJ1-L5</v>
      </c>
    </row>
    <row r="251" spans="1:17" x14ac:dyDescent="0.25">
      <c r="A251" t="s">
        <v>388</v>
      </c>
      <c r="B251" s="13" t="s">
        <v>25</v>
      </c>
      <c r="C251" s="13" t="s">
        <v>286</v>
      </c>
      <c r="D251" s="14" t="s">
        <v>287</v>
      </c>
      <c r="E251" s="13" t="s">
        <v>288</v>
      </c>
      <c r="F251" s="13" t="s">
        <v>289</v>
      </c>
      <c r="G251" s="13">
        <v>5.450000000000002</v>
      </c>
      <c r="H251" s="15">
        <v>1466</v>
      </c>
      <c r="I251" s="16">
        <v>7989.7000000000007</v>
      </c>
      <c r="J251" s="16">
        <v>8834.7637308558933</v>
      </c>
      <c r="K251" s="16">
        <v>-845.06373085589451</v>
      </c>
      <c r="L251" s="13"/>
      <c r="M251" s="13">
        <v>5.55</v>
      </c>
      <c r="N251" s="17">
        <f t="shared" si="8"/>
        <v>0</v>
      </c>
      <c r="O251" s="17">
        <f t="shared" si="8"/>
        <v>8136.3</v>
      </c>
      <c r="P251" s="17">
        <f t="shared" si="7"/>
        <v>8136.3</v>
      </c>
      <c r="Q251" t="str">
        <f>A251&amp;"-"&amp;B251&amp;"-"&amp;D251</f>
        <v>JANUARI-MJ1-L11</v>
      </c>
    </row>
    <row r="252" spans="1:17" x14ac:dyDescent="0.25">
      <c r="A252" t="s">
        <v>388</v>
      </c>
      <c r="B252" s="13" t="s">
        <v>25</v>
      </c>
      <c r="C252" s="13" t="s">
        <v>286</v>
      </c>
      <c r="D252" s="14" t="s">
        <v>287</v>
      </c>
      <c r="E252" s="13" t="s">
        <v>58</v>
      </c>
      <c r="F252" s="13" t="s">
        <v>290</v>
      </c>
      <c r="G252" s="13">
        <v>5.55</v>
      </c>
      <c r="H252" s="15">
        <v>304</v>
      </c>
      <c r="I252" s="16">
        <v>1687.2</v>
      </c>
      <c r="J252" s="16">
        <v>1652.5053227413446</v>
      </c>
      <c r="K252" s="16">
        <v>34.694677258655503</v>
      </c>
      <c r="L252" s="13"/>
      <c r="M252" s="13">
        <v>5.7</v>
      </c>
      <c r="N252" s="17">
        <f t="shared" si="8"/>
        <v>0</v>
      </c>
      <c r="O252" s="17">
        <f t="shared" si="8"/>
        <v>1732.8</v>
      </c>
      <c r="P252" s="17">
        <f t="shared" si="7"/>
        <v>1732.8</v>
      </c>
      <c r="Q252" t="str">
        <f>A252&amp;"-"&amp;B252&amp;"-"&amp;D252</f>
        <v>JANUARI-MJ1-L11</v>
      </c>
    </row>
    <row r="253" spans="1:17" x14ac:dyDescent="0.25">
      <c r="A253" t="s">
        <v>388</v>
      </c>
      <c r="B253" s="13" t="s">
        <v>25</v>
      </c>
      <c r="C253" s="13" t="s">
        <v>286</v>
      </c>
      <c r="D253" s="14" t="s">
        <v>287</v>
      </c>
      <c r="E253" s="13" t="s">
        <v>77</v>
      </c>
      <c r="F253" s="13" t="s">
        <v>291</v>
      </c>
      <c r="G253" s="13">
        <v>4.6500000000000004</v>
      </c>
      <c r="H253" s="15">
        <v>719</v>
      </c>
      <c r="I253" s="16">
        <v>3343.3499999999995</v>
      </c>
      <c r="J253" s="16">
        <v>3757.2094573643412</v>
      </c>
      <c r="K253" s="16">
        <v>-413.85945736434127</v>
      </c>
      <c r="L253" s="13"/>
      <c r="M253" s="13">
        <v>4.75</v>
      </c>
      <c r="N253" s="17">
        <f t="shared" si="8"/>
        <v>0</v>
      </c>
      <c r="O253" s="17">
        <f t="shared" si="8"/>
        <v>3415.25</v>
      </c>
      <c r="P253" s="17">
        <f t="shared" si="7"/>
        <v>3415.25</v>
      </c>
      <c r="Q253" t="str">
        <f>A253&amp;"-"&amp;B253&amp;"-"&amp;D253</f>
        <v>JANUARI-MJ1-L11</v>
      </c>
    </row>
    <row r="254" spans="1:17" x14ac:dyDescent="0.25">
      <c r="A254" t="s">
        <v>388</v>
      </c>
      <c r="B254" s="13" t="s">
        <v>25</v>
      </c>
      <c r="C254" s="13" t="s">
        <v>286</v>
      </c>
      <c r="D254" s="14" t="s">
        <v>287</v>
      </c>
      <c r="E254" s="13" t="s">
        <v>77</v>
      </c>
      <c r="F254" s="13" t="s">
        <v>292</v>
      </c>
      <c r="G254" s="13">
        <v>4.6499999999999995</v>
      </c>
      <c r="H254" s="15">
        <v>1695</v>
      </c>
      <c r="I254" s="16">
        <v>7881.75</v>
      </c>
      <c r="J254" s="16">
        <v>8954.5214890384195</v>
      </c>
      <c r="K254" s="16">
        <v>-1072.7714890384195</v>
      </c>
      <c r="L254" s="13"/>
      <c r="M254" s="13">
        <v>4.75</v>
      </c>
      <c r="N254" s="17">
        <f t="shared" si="8"/>
        <v>0</v>
      </c>
      <c r="O254" s="17">
        <f t="shared" si="8"/>
        <v>8051.25</v>
      </c>
      <c r="P254" s="17">
        <f t="shared" si="7"/>
        <v>8051.25</v>
      </c>
      <c r="Q254" t="str">
        <f>A254&amp;"-"&amp;B254&amp;"-"&amp;D254</f>
        <v>JANUARI-MJ1-L11</v>
      </c>
    </row>
    <row r="255" spans="1:17" x14ac:dyDescent="0.25">
      <c r="A255" t="s">
        <v>388</v>
      </c>
      <c r="B255" s="13" t="s">
        <v>25</v>
      </c>
      <c r="C255" s="13" t="s">
        <v>286</v>
      </c>
      <c r="D255" s="14" t="s">
        <v>50</v>
      </c>
      <c r="E255" s="13" t="s">
        <v>58</v>
      </c>
      <c r="F255" s="13" t="s">
        <v>293</v>
      </c>
      <c r="G255" s="13">
        <v>5.55</v>
      </c>
      <c r="H255" s="15">
        <v>77</v>
      </c>
      <c r="I255" s="16">
        <v>427.35</v>
      </c>
      <c r="J255" s="16">
        <v>2442</v>
      </c>
      <c r="K255" s="16">
        <v>-2014.6499999999999</v>
      </c>
      <c r="L255" s="13"/>
      <c r="M255" s="13">
        <v>5.7</v>
      </c>
      <c r="N255" s="17">
        <f t="shared" si="8"/>
        <v>0</v>
      </c>
      <c r="O255" s="17">
        <f t="shared" si="8"/>
        <v>438.90000000000003</v>
      </c>
      <c r="P255" s="17">
        <f t="shared" si="7"/>
        <v>438.90000000000003</v>
      </c>
      <c r="Q255" t="str">
        <f>A255&amp;"-"&amp;B255&amp;"-"&amp;D255</f>
        <v>JANUARI-MJ1-L2</v>
      </c>
    </row>
    <row r="256" spans="1:17" x14ac:dyDescent="0.25">
      <c r="A256" t="s">
        <v>388</v>
      </c>
      <c r="B256" s="13" t="s">
        <v>25</v>
      </c>
      <c r="C256" s="13" t="s">
        <v>286</v>
      </c>
      <c r="D256" s="14" t="s">
        <v>56</v>
      </c>
      <c r="E256" s="13" t="s">
        <v>288</v>
      </c>
      <c r="F256" s="13" t="s">
        <v>294</v>
      </c>
      <c r="G256" s="13">
        <v>5.4500000000000011</v>
      </c>
      <c r="H256" s="15">
        <v>466</v>
      </c>
      <c r="I256" s="16">
        <v>2539.7000000000003</v>
      </c>
      <c r="J256" s="16">
        <v>7544.4010620740055</v>
      </c>
      <c r="K256" s="16">
        <v>-5004.7010620740057</v>
      </c>
      <c r="L256" s="13"/>
      <c r="M256" s="13">
        <v>5.55</v>
      </c>
      <c r="N256" s="17">
        <f t="shared" si="8"/>
        <v>0</v>
      </c>
      <c r="O256" s="17">
        <f t="shared" si="8"/>
        <v>2586.2999999999997</v>
      </c>
      <c r="P256" s="17">
        <f t="shared" si="7"/>
        <v>2586.2999999999997</v>
      </c>
      <c r="Q256" t="str">
        <f>A256&amp;"-"&amp;B256&amp;"-"&amp;D256</f>
        <v>JANUARI-MJ1-L3</v>
      </c>
    </row>
    <row r="257" spans="1:17" x14ac:dyDescent="0.25">
      <c r="A257" t="s">
        <v>388</v>
      </c>
      <c r="B257" s="13" t="s">
        <v>25</v>
      </c>
      <c r="C257" s="13" t="s">
        <v>286</v>
      </c>
      <c r="D257" s="14" t="s">
        <v>56</v>
      </c>
      <c r="E257" s="13" t="s">
        <v>58</v>
      </c>
      <c r="F257" s="13" t="s">
        <v>293</v>
      </c>
      <c r="G257" s="13">
        <v>5.55</v>
      </c>
      <c r="H257" s="15">
        <v>108</v>
      </c>
      <c r="I257" s="16">
        <v>599.4</v>
      </c>
      <c r="J257" s="16">
        <v>705.17647058823525</v>
      </c>
      <c r="K257" s="16">
        <v>-105.77647058823527</v>
      </c>
      <c r="L257" s="13"/>
      <c r="M257" s="13">
        <v>5.7</v>
      </c>
      <c r="N257" s="17">
        <f t="shared" si="8"/>
        <v>0</v>
      </c>
      <c r="O257" s="17">
        <f t="shared" si="8"/>
        <v>615.6</v>
      </c>
      <c r="P257" s="17">
        <f t="shared" si="7"/>
        <v>615.6</v>
      </c>
      <c r="Q257" t="str">
        <f>A257&amp;"-"&amp;B257&amp;"-"&amp;D257</f>
        <v>JANUARI-MJ1-L3</v>
      </c>
    </row>
    <row r="258" spans="1:17" x14ac:dyDescent="0.25">
      <c r="A258" t="s">
        <v>388</v>
      </c>
      <c r="B258" s="13" t="s">
        <v>25</v>
      </c>
      <c r="C258" s="13" t="s">
        <v>185</v>
      </c>
      <c r="D258" s="14" t="s">
        <v>50</v>
      </c>
      <c r="E258" s="13" t="s">
        <v>186</v>
      </c>
      <c r="F258" s="13" t="s">
        <v>295</v>
      </c>
      <c r="G258" s="13">
        <v>1.29</v>
      </c>
      <c r="H258" s="15">
        <v>124</v>
      </c>
      <c r="I258" s="16">
        <v>159.96</v>
      </c>
      <c r="J258" s="16">
        <v>1221</v>
      </c>
      <c r="K258" s="16">
        <v>-1061.04</v>
      </c>
      <c r="L258" s="13">
        <v>10.85</v>
      </c>
      <c r="M258" s="13"/>
      <c r="N258" s="17">
        <f t="shared" si="8"/>
        <v>1345.3999999999999</v>
      </c>
      <c r="O258" s="17">
        <f t="shared" si="8"/>
        <v>0</v>
      </c>
      <c r="P258" s="17">
        <f t="shared" ref="P258:P321" si="9">N258+O258</f>
        <v>1345.3999999999999</v>
      </c>
      <c r="Q258" t="str">
        <f>A258&amp;"-"&amp;B258&amp;"-"&amp;D258</f>
        <v>JANUARI-MJ1-L2</v>
      </c>
    </row>
    <row r="259" spans="1:17" x14ac:dyDescent="0.25">
      <c r="A259" t="s">
        <v>388</v>
      </c>
      <c r="B259" s="13" t="s">
        <v>25</v>
      </c>
      <c r="C259" s="13" t="s">
        <v>185</v>
      </c>
      <c r="D259" s="14" t="s">
        <v>50</v>
      </c>
      <c r="E259" s="13" t="s">
        <v>206</v>
      </c>
      <c r="F259" s="13" t="s">
        <v>296</v>
      </c>
      <c r="G259" s="13">
        <v>1.99</v>
      </c>
      <c r="H259" s="15">
        <v>39</v>
      </c>
      <c r="I259" s="16">
        <v>77.61</v>
      </c>
      <c r="J259" s="16">
        <v>457.875</v>
      </c>
      <c r="K259" s="16">
        <v>-380.26499999999999</v>
      </c>
      <c r="L259" s="13">
        <v>3.58</v>
      </c>
      <c r="M259" s="13"/>
      <c r="N259" s="17">
        <f t="shared" si="8"/>
        <v>139.62</v>
      </c>
      <c r="O259" s="17">
        <f t="shared" si="8"/>
        <v>0</v>
      </c>
      <c r="P259" s="17">
        <f t="shared" si="9"/>
        <v>139.62</v>
      </c>
      <c r="Q259" t="str">
        <f>A259&amp;"-"&amp;B259&amp;"-"&amp;D259</f>
        <v>JANUARI-MJ1-L2</v>
      </c>
    </row>
    <row r="260" spans="1:17" x14ac:dyDescent="0.25">
      <c r="A260" t="s">
        <v>388</v>
      </c>
      <c r="B260" s="13" t="s">
        <v>25</v>
      </c>
      <c r="C260" s="13" t="s">
        <v>185</v>
      </c>
      <c r="D260" s="14" t="s">
        <v>50</v>
      </c>
      <c r="E260" s="13" t="s">
        <v>142</v>
      </c>
      <c r="F260" s="13" t="s">
        <v>297</v>
      </c>
      <c r="G260" s="13">
        <v>1.34</v>
      </c>
      <c r="H260" s="15">
        <v>715</v>
      </c>
      <c r="I260" s="16">
        <v>958.1</v>
      </c>
      <c r="J260" s="16">
        <v>3205.125</v>
      </c>
      <c r="K260" s="16">
        <v>-2247.0250000000001</v>
      </c>
      <c r="L260" s="13">
        <v>0.88</v>
      </c>
      <c r="M260" s="13"/>
      <c r="N260" s="17">
        <f t="shared" si="8"/>
        <v>629.20000000000005</v>
      </c>
      <c r="O260" s="17">
        <f t="shared" si="8"/>
        <v>0</v>
      </c>
      <c r="P260" s="17">
        <f t="shared" si="9"/>
        <v>629.20000000000005</v>
      </c>
      <c r="Q260" t="str">
        <f>A260&amp;"-"&amp;B260&amp;"-"&amp;D260</f>
        <v>JANUARI-MJ1-L2</v>
      </c>
    </row>
    <row r="261" spans="1:17" x14ac:dyDescent="0.25">
      <c r="A261" t="s">
        <v>388</v>
      </c>
      <c r="B261" s="13" t="s">
        <v>25</v>
      </c>
      <c r="C261" s="13" t="s">
        <v>185</v>
      </c>
      <c r="D261" s="14" t="s">
        <v>160</v>
      </c>
      <c r="E261" s="13" t="s">
        <v>186</v>
      </c>
      <c r="F261" s="13" t="s">
        <v>295</v>
      </c>
      <c r="G261" s="13">
        <v>1.29</v>
      </c>
      <c r="H261" s="15">
        <v>1086</v>
      </c>
      <c r="I261" s="16">
        <v>1400.9400000000003</v>
      </c>
      <c r="J261" s="16">
        <v>5865.6243686176358</v>
      </c>
      <c r="K261" s="16">
        <v>-4464.6843686176353</v>
      </c>
      <c r="L261" s="13">
        <v>10.85</v>
      </c>
      <c r="M261" s="13"/>
      <c r="N261" s="17">
        <f t="shared" si="8"/>
        <v>11783.1</v>
      </c>
      <c r="O261" s="17">
        <f t="shared" si="8"/>
        <v>0</v>
      </c>
      <c r="P261" s="17">
        <f t="shared" si="9"/>
        <v>11783.1</v>
      </c>
      <c r="Q261" t="str">
        <f>A261&amp;"-"&amp;B261&amp;"-"&amp;D261</f>
        <v>JANUARI-MJ1-L5</v>
      </c>
    </row>
    <row r="262" spans="1:17" x14ac:dyDescent="0.25">
      <c r="A262" t="s">
        <v>388</v>
      </c>
      <c r="B262" s="13" t="s">
        <v>25</v>
      </c>
      <c r="C262" s="13" t="s">
        <v>185</v>
      </c>
      <c r="D262" s="14" t="s">
        <v>160</v>
      </c>
      <c r="E262" s="13" t="s">
        <v>186</v>
      </c>
      <c r="F262" s="13" t="s">
        <v>298</v>
      </c>
      <c r="G262" s="13">
        <v>1.4799999999999998</v>
      </c>
      <c r="H262" s="15">
        <v>723</v>
      </c>
      <c r="I262" s="16">
        <v>1070.04</v>
      </c>
      <c r="J262" s="16">
        <v>3492.4609764242809</v>
      </c>
      <c r="K262" s="16">
        <v>-2422.420976424281</v>
      </c>
      <c r="L262" s="13">
        <v>0.89</v>
      </c>
      <c r="M262" s="13"/>
      <c r="N262" s="17">
        <f t="shared" si="8"/>
        <v>643.47</v>
      </c>
      <c r="O262" s="17">
        <f t="shared" si="8"/>
        <v>0</v>
      </c>
      <c r="P262" s="17">
        <f t="shared" si="9"/>
        <v>643.47</v>
      </c>
      <c r="Q262" t="str">
        <f>A262&amp;"-"&amp;B262&amp;"-"&amp;D262</f>
        <v>JANUARI-MJ1-L5</v>
      </c>
    </row>
    <row r="263" spans="1:17" x14ac:dyDescent="0.25">
      <c r="A263" t="s">
        <v>388</v>
      </c>
      <c r="B263" s="13" t="s">
        <v>25</v>
      </c>
      <c r="C263" s="13" t="s">
        <v>185</v>
      </c>
      <c r="D263" s="14" t="s">
        <v>160</v>
      </c>
      <c r="E263" s="13" t="s">
        <v>186</v>
      </c>
      <c r="F263" s="13" t="s">
        <v>299</v>
      </c>
      <c r="G263" s="13">
        <v>2.91</v>
      </c>
      <c r="H263" s="15">
        <v>50</v>
      </c>
      <c r="I263" s="16">
        <v>145.5</v>
      </c>
      <c r="J263" s="16">
        <v>218.03571428571428</v>
      </c>
      <c r="K263" s="16">
        <v>-72.535714285714278</v>
      </c>
      <c r="L263" s="13">
        <v>1.44</v>
      </c>
      <c r="M263" s="13"/>
      <c r="N263" s="17">
        <f t="shared" si="8"/>
        <v>72</v>
      </c>
      <c r="O263" s="17">
        <f t="shared" si="8"/>
        <v>0</v>
      </c>
      <c r="P263" s="17">
        <f t="shared" si="9"/>
        <v>72</v>
      </c>
      <c r="Q263" t="str">
        <f>A263&amp;"-"&amp;B263&amp;"-"&amp;D263</f>
        <v>JANUARI-MJ1-L5</v>
      </c>
    </row>
    <row r="264" spans="1:17" x14ac:dyDescent="0.25">
      <c r="A264" t="s">
        <v>388</v>
      </c>
      <c r="B264" s="13" t="s">
        <v>25</v>
      </c>
      <c r="C264" s="13" t="s">
        <v>185</v>
      </c>
      <c r="D264" s="14" t="s">
        <v>160</v>
      </c>
      <c r="E264" s="13" t="s">
        <v>206</v>
      </c>
      <c r="F264" s="13" t="s">
        <v>296</v>
      </c>
      <c r="G264" s="13">
        <v>1.99</v>
      </c>
      <c r="H264" s="15">
        <v>532</v>
      </c>
      <c r="I264" s="16">
        <v>1058.6800000000003</v>
      </c>
      <c r="J264" s="16">
        <v>3515.6104613277271</v>
      </c>
      <c r="K264" s="16">
        <v>-2456.9304613277277</v>
      </c>
      <c r="L264" s="13">
        <v>3.58</v>
      </c>
      <c r="M264" s="13"/>
      <c r="N264" s="17">
        <f t="shared" si="8"/>
        <v>1904.56</v>
      </c>
      <c r="O264" s="17">
        <f t="shared" si="8"/>
        <v>0</v>
      </c>
      <c r="P264" s="17">
        <f t="shared" si="9"/>
        <v>1904.56</v>
      </c>
      <c r="Q264" t="str">
        <f>A264&amp;"-"&amp;B264&amp;"-"&amp;D264</f>
        <v>JANUARI-MJ1-L5</v>
      </c>
    </row>
    <row r="265" spans="1:17" x14ac:dyDescent="0.25">
      <c r="A265" t="s">
        <v>388</v>
      </c>
      <c r="B265" s="13" t="s">
        <v>25</v>
      </c>
      <c r="C265" s="13" t="s">
        <v>185</v>
      </c>
      <c r="D265" s="14" t="s">
        <v>160</v>
      </c>
      <c r="E265" s="13" t="s">
        <v>142</v>
      </c>
      <c r="F265" s="13" t="s">
        <v>300</v>
      </c>
      <c r="G265" s="13">
        <v>1.24</v>
      </c>
      <c r="H265" s="15">
        <v>448</v>
      </c>
      <c r="I265" s="16">
        <v>555.5200000000001</v>
      </c>
      <c r="J265" s="16">
        <v>2931.7834563031674</v>
      </c>
      <c r="K265" s="16">
        <v>-2376.263456303167</v>
      </c>
      <c r="L265" s="13">
        <v>0.73</v>
      </c>
      <c r="M265" s="13"/>
      <c r="N265" s="17">
        <f t="shared" si="8"/>
        <v>327.03999999999996</v>
      </c>
      <c r="O265" s="17">
        <f t="shared" si="8"/>
        <v>0</v>
      </c>
      <c r="P265" s="17">
        <f t="shared" si="9"/>
        <v>327.03999999999996</v>
      </c>
      <c r="Q265" t="str">
        <f>A265&amp;"-"&amp;B265&amp;"-"&amp;D265</f>
        <v>JANUARI-MJ1-L5</v>
      </c>
    </row>
    <row r="266" spans="1:17" x14ac:dyDescent="0.25">
      <c r="A266" t="s">
        <v>388</v>
      </c>
      <c r="B266" s="13" t="s">
        <v>25</v>
      </c>
      <c r="C266" s="13" t="s">
        <v>185</v>
      </c>
      <c r="D266" s="14" t="s">
        <v>160</v>
      </c>
      <c r="E266" s="13" t="s">
        <v>142</v>
      </c>
      <c r="F266" s="13" t="s">
        <v>297</v>
      </c>
      <c r="G266" s="13">
        <v>1.34</v>
      </c>
      <c r="H266" s="15">
        <v>12</v>
      </c>
      <c r="I266" s="16">
        <v>16.079999999999998</v>
      </c>
      <c r="J266" s="16">
        <v>67.52073732718894</v>
      </c>
      <c r="K266" s="16">
        <v>-51.440737327188941</v>
      </c>
      <c r="L266" s="13">
        <v>0.88</v>
      </c>
      <c r="M266" s="13"/>
      <c r="N266" s="17">
        <f t="shared" si="8"/>
        <v>10.56</v>
      </c>
      <c r="O266" s="17">
        <f t="shared" si="8"/>
        <v>0</v>
      </c>
      <c r="P266" s="17">
        <f t="shared" si="9"/>
        <v>10.56</v>
      </c>
      <c r="Q266" t="str">
        <f>A266&amp;"-"&amp;B266&amp;"-"&amp;D266</f>
        <v>JANUARI-MJ1-L5</v>
      </c>
    </row>
    <row r="267" spans="1:17" x14ac:dyDescent="0.25">
      <c r="A267" t="s">
        <v>388</v>
      </c>
      <c r="B267" s="13" t="s">
        <v>25</v>
      </c>
      <c r="C267" s="13" t="s">
        <v>43</v>
      </c>
      <c r="D267" s="14" t="s">
        <v>301</v>
      </c>
      <c r="E267" s="13" t="s">
        <v>302</v>
      </c>
      <c r="F267" s="13" t="s">
        <v>303</v>
      </c>
      <c r="G267" s="13">
        <v>2.88</v>
      </c>
      <c r="H267" s="15">
        <v>762</v>
      </c>
      <c r="I267" s="16">
        <v>2194.5600000000004</v>
      </c>
      <c r="J267" s="16">
        <v>3994.0492160278745</v>
      </c>
      <c r="K267" s="16">
        <v>-1799.4892160278744</v>
      </c>
      <c r="L267" s="13"/>
      <c r="M267" s="13">
        <v>3</v>
      </c>
      <c r="N267" s="17">
        <f t="shared" si="8"/>
        <v>0</v>
      </c>
      <c r="O267" s="17">
        <f t="shared" si="8"/>
        <v>2286</v>
      </c>
      <c r="P267" s="17">
        <f t="shared" si="9"/>
        <v>2286</v>
      </c>
      <c r="Q267" t="str">
        <f>A267&amp;"-"&amp;B267&amp;"-"&amp;D267</f>
        <v>JANUARI-MJ1-L10</v>
      </c>
    </row>
    <row r="268" spans="1:17" x14ac:dyDescent="0.25">
      <c r="A268" t="s">
        <v>388</v>
      </c>
      <c r="B268" s="13" t="s">
        <v>25</v>
      </c>
      <c r="C268" s="13" t="s">
        <v>43</v>
      </c>
      <c r="D268" s="14" t="s">
        <v>301</v>
      </c>
      <c r="E268" s="13" t="s">
        <v>302</v>
      </c>
      <c r="F268" s="13" t="s">
        <v>304</v>
      </c>
      <c r="G268" s="13">
        <v>2.8800000000000008</v>
      </c>
      <c r="H268" s="15">
        <v>5149</v>
      </c>
      <c r="I268" s="16">
        <v>14829.119999999997</v>
      </c>
      <c r="J268" s="16">
        <v>22750.630499274615</v>
      </c>
      <c r="K268" s="16">
        <v>-7921.5104992746155</v>
      </c>
      <c r="L268" s="13"/>
      <c r="M268" s="13">
        <v>3</v>
      </c>
      <c r="N268" s="17">
        <f t="shared" si="8"/>
        <v>0</v>
      </c>
      <c r="O268" s="17">
        <f t="shared" si="8"/>
        <v>15447</v>
      </c>
      <c r="P268" s="17">
        <f t="shared" si="9"/>
        <v>15447</v>
      </c>
      <c r="Q268" t="str">
        <f>A268&amp;"-"&amp;B268&amp;"-"&amp;D268</f>
        <v>JANUARI-MJ1-L10</v>
      </c>
    </row>
    <row r="269" spans="1:17" x14ac:dyDescent="0.25">
      <c r="A269" t="s">
        <v>388</v>
      </c>
      <c r="B269" s="13" t="s">
        <v>25</v>
      </c>
      <c r="C269" s="13" t="s">
        <v>43</v>
      </c>
      <c r="D269" s="14" t="s">
        <v>301</v>
      </c>
      <c r="E269" s="13" t="s">
        <v>305</v>
      </c>
      <c r="F269" s="13" t="s">
        <v>306</v>
      </c>
      <c r="G269" s="13">
        <v>2.78</v>
      </c>
      <c r="H269" s="15">
        <v>27</v>
      </c>
      <c r="I269" s="16">
        <v>75.06</v>
      </c>
      <c r="J269" s="16">
        <v>117.3202846975089</v>
      </c>
      <c r="K269" s="16">
        <v>-42.260284697508894</v>
      </c>
      <c r="L269" s="13"/>
      <c r="M269" s="13">
        <v>2.9</v>
      </c>
      <c r="N269" s="17">
        <f t="shared" si="8"/>
        <v>0</v>
      </c>
      <c r="O269" s="17">
        <f t="shared" si="8"/>
        <v>78.3</v>
      </c>
      <c r="P269" s="17">
        <f t="shared" si="9"/>
        <v>78.3</v>
      </c>
      <c r="Q269" t="str">
        <f>A269&amp;"-"&amp;B269&amp;"-"&amp;D269</f>
        <v>JANUARI-MJ1-L10</v>
      </c>
    </row>
    <row r="270" spans="1:17" x14ac:dyDescent="0.25">
      <c r="A270" t="s">
        <v>388</v>
      </c>
      <c r="B270" s="13" t="s">
        <v>25</v>
      </c>
      <c r="C270" s="13" t="s">
        <v>43</v>
      </c>
      <c r="D270" s="14" t="s">
        <v>163</v>
      </c>
      <c r="E270" s="13" t="s">
        <v>165</v>
      </c>
      <c r="F270" s="13" t="s">
        <v>307</v>
      </c>
      <c r="G270" s="13">
        <v>1.8599999999999999</v>
      </c>
      <c r="H270" s="15">
        <v>1732</v>
      </c>
      <c r="I270" s="16">
        <v>3221.52</v>
      </c>
      <c r="J270" s="16">
        <v>9006.2739511067666</v>
      </c>
      <c r="K270" s="16">
        <v>-5784.7539511067662</v>
      </c>
      <c r="L270" s="13"/>
      <c r="M270" s="13">
        <v>1.8</v>
      </c>
      <c r="N270" s="17">
        <f t="shared" si="8"/>
        <v>0</v>
      </c>
      <c r="O270" s="17">
        <f t="shared" si="8"/>
        <v>3117.6</v>
      </c>
      <c r="P270" s="17">
        <f t="shared" si="9"/>
        <v>3117.6</v>
      </c>
      <c r="Q270" t="str">
        <f>A270&amp;"-"&amp;B270&amp;"-"&amp;D270</f>
        <v>JANUARI-MJ1-L6</v>
      </c>
    </row>
    <row r="271" spans="1:17" x14ac:dyDescent="0.25">
      <c r="A271" t="s">
        <v>388</v>
      </c>
      <c r="B271" s="13" t="s">
        <v>25</v>
      </c>
      <c r="C271" s="13" t="s">
        <v>43</v>
      </c>
      <c r="D271" s="14" t="s">
        <v>163</v>
      </c>
      <c r="E271" s="13" t="s">
        <v>179</v>
      </c>
      <c r="F271" s="13" t="s">
        <v>308</v>
      </c>
      <c r="G271" s="13">
        <v>2.85</v>
      </c>
      <c r="H271" s="15">
        <v>342</v>
      </c>
      <c r="I271" s="16">
        <v>974.7</v>
      </c>
      <c r="J271" s="16">
        <v>2442</v>
      </c>
      <c r="K271" s="16">
        <v>-1467.3</v>
      </c>
      <c r="L271" s="13"/>
      <c r="M271" s="13">
        <v>2.9</v>
      </c>
      <c r="N271" s="17">
        <f t="shared" si="8"/>
        <v>0</v>
      </c>
      <c r="O271" s="17">
        <f t="shared" si="8"/>
        <v>991.8</v>
      </c>
      <c r="P271" s="17">
        <f t="shared" si="9"/>
        <v>991.8</v>
      </c>
      <c r="Q271" t="str">
        <f>A271&amp;"-"&amp;B271&amp;"-"&amp;D271</f>
        <v>JANUARI-MJ1-L6</v>
      </c>
    </row>
    <row r="272" spans="1:17" x14ac:dyDescent="0.25">
      <c r="A272" t="s">
        <v>388</v>
      </c>
      <c r="B272" s="13" t="s">
        <v>25</v>
      </c>
      <c r="C272" s="13" t="s">
        <v>43</v>
      </c>
      <c r="D272" s="14" t="s">
        <v>163</v>
      </c>
      <c r="E272" s="13" t="s">
        <v>179</v>
      </c>
      <c r="F272" s="13" t="s">
        <v>309</v>
      </c>
      <c r="G272" s="13">
        <v>3.600000000000001</v>
      </c>
      <c r="H272" s="15">
        <v>1928</v>
      </c>
      <c r="I272" s="16">
        <v>6940.7999999999984</v>
      </c>
      <c r="J272" s="16">
        <v>15413.726048893233</v>
      </c>
      <c r="K272" s="16">
        <v>-8472.9260488932341</v>
      </c>
      <c r="L272" s="13"/>
      <c r="M272" s="13">
        <v>3.55</v>
      </c>
      <c r="N272" s="17">
        <f t="shared" si="8"/>
        <v>0</v>
      </c>
      <c r="O272" s="17">
        <f t="shared" si="8"/>
        <v>6844.4</v>
      </c>
      <c r="P272" s="17">
        <f t="shared" si="9"/>
        <v>6844.4</v>
      </c>
      <c r="Q272" t="str">
        <f>A272&amp;"-"&amp;B272&amp;"-"&amp;D272</f>
        <v>JANUARI-MJ1-L6</v>
      </c>
    </row>
    <row r="273" spans="1:17" x14ac:dyDescent="0.25">
      <c r="A273" t="s">
        <v>388</v>
      </c>
      <c r="B273" s="13" t="s">
        <v>25</v>
      </c>
      <c r="C273" s="13" t="s">
        <v>43</v>
      </c>
      <c r="D273" s="14" t="s">
        <v>164</v>
      </c>
      <c r="E273" s="13" t="s">
        <v>302</v>
      </c>
      <c r="F273" s="13" t="s">
        <v>304</v>
      </c>
      <c r="G273" s="13">
        <v>2.8800000000000008</v>
      </c>
      <c r="H273" s="15">
        <v>6964</v>
      </c>
      <c r="I273" s="16">
        <v>20056.32</v>
      </c>
      <c r="J273" s="16">
        <v>26131.25</v>
      </c>
      <c r="K273" s="16">
        <v>-6074.93</v>
      </c>
      <c r="L273" s="13"/>
      <c r="M273" s="13">
        <v>3</v>
      </c>
      <c r="N273" s="17">
        <f t="shared" si="8"/>
        <v>0</v>
      </c>
      <c r="O273" s="17">
        <f t="shared" si="8"/>
        <v>20892</v>
      </c>
      <c r="P273" s="17">
        <f t="shared" si="9"/>
        <v>20892</v>
      </c>
      <c r="Q273" t="str">
        <f>A273&amp;"-"&amp;B273&amp;"-"&amp;D273</f>
        <v>JANUARI-MJ1-L7</v>
      </c>
    </row>
    <row r="274" spans="1:17" x14ac:dyDescent="0.25">
      <c r="A274" t="s">
        <v>388</v>
      </c>
      <c r="B274" s="13" t="s">
        <v>25</v>
      </c>
      <c r="C274" s="13" t="s">
        <v>43</v>
      </c>
      <c r="D274" s="14" t="s">
        <v>164</v>
      </c>
      <c r="E274" s="13" t="s">
        <v>305</v>
      </c>
      <c r="F274" s="13" t="s">
        <v>306</v>
      </c>
      <c r="G274" s="13">
        <v>2.78</v>
      </c>
      <c r="H274" s="15">
        <v>158</v>
      </c>
      <c r="I274" s="16">
        <v>439.24</v>
      </c>
      <c r="J274" s="16">
        <v>730.75</v>
      </c>
      <c r="K274" s="16">
        <v>-291.51</v>
      </c>
      <c r="L274" s="13"/>
      <c r="M274" s="13">
        <v>2.9</v>
      </c>
      <c r="N274" s="17">
        <f t="shared" si="8"/>
        <v>0</v>
      </c>
      <c r="O274" s="17">
        <f t="shared" si="8"/>
        <v>458.2</v>
      </c>
      <c r="P274" s="17">
        <f t="shared" si="9"/>
        <v>458.2</v>
      </c>
      <c r="Q274" t="str">
        <f>A274&amp;"-"&amp;B274&amp;"-"&amp;D274</f>
        <v>JANUARI-MJ1-L7</v>
      </c>
    </row>
    <row r="275" spans="1:17" x14ac:dyDescent="0.25">
      <c r="A275" t="s">
        <v>388</v>
      </c>
      <c r="B275" s="13" t="s">
        <v>25</v>
      </c>
      <c r="C275" s="13" t="s">
        <v>43</v>
      </c>
      <c r="D275" s="14" t="s">
        <v>198</v>
      </c>
      <c r="E275" s="13" t="s">
        <v>302</v>
      </c>
      <c r="F275" s="13" t="s">
        <v>304</v>
      </c>
      <c r="G275" s="13">
        <v>2.8800000000000008</v>
      </c>
      <c r="H275" s="15">
        <v>6739</v>
      </c>
      <c r="I275" s="16">
        <v>19408.319999999996</v>
      </c>
      <c r="J275" s="16">
        <v>26199.051546391751</v>
      </c>
      <c r="K275" s="16">
        <v>-6790.7315463917521</v>
      </c>
      <c r="L275" s="13"/>
      <c r="M275" s="13">
        <v>3</v>
      </c>
      <c r="N275" s="17">
        <f t="shared" si="8"/>
        <v>0</v>
      </c>
      <c r="O275" s="17">
        <f t="shared" si="8"/>
        <v>20217</v>
      </c>
      <c r="P275" s="17">
        <f t="shared" si="9"/>
        <v>20217</v>
      </c>
      <c r="Q275" t="str">
        <f>A275&amp;"-"&amp;B275&amp;"-"&amp;D275</f>
        <v>JANUARI-MJ1-L8</v>
      </c>
    </row>
    <row r="276" spans="1:17" x14ac:dyDescent="0.25">
      <c r="A276" t="s">
        <v>388</v>
      </c>
      <c r="B276" s="13" t="s">
        <v>25</v>
      </c>
      <c r="C276" s="13" t="s">
        <v>43</v>
      </c>
      <c r="D276" s="14" t="s">
        <v>198</v>
      </c>
      <c r="E276" s="13" t="s">
        <v>305</v>
      </c>
      <c r="F276" s="13" t="s">
        <v>306</v>
      </c>
      <c r="G276" s="13">
        <v>2.78</v>
      </c>
      <c r="H276" s="15">
        <v>158</v>
      </c>
      <c r="I276" s="16">
        <v>439.24</v>
      </c>
      <c r="J276" s="16">
        <v>662.94845360824741</v>
      </c>
      <c r="K276" s="16">
        <v>-223.7084536082474</v>
      </c>
      <c r="L276" s="13"/>
      <c r="M276" s="13">
        <v>2.9</v>
      </c>
      <c r="N276" s="17">
        <f t="shared" si="8"/>
        <v>0</v>
      </c>
      <c r="O276" s="17">
        <f t="shared" si="8"/>
        <v>458.2</v>
      </c>
      <c r="P276" s="17">
        <f t="shared" si="9"/>
        <v>458.2</v>
      </c>
      <c r="Q276" t="str">
        <f>A276&amp;"-"&amp;B276&amp;"-"&amp;D276</f>
        <v>JANUARI-MJ1-L8</v>
      </c>
    </row>
    <row r="277" spans="1:17" x14ac:dyDescent="0.25">
      <c r="A277" t="s">
        <v>388</v>
      </c>
      <c r="B277" s="13" t="s">
        <v>25</v>
      </c>
      <c r="C277" s="13" t="s">
        <v>43</v>
      </c>
      <c r="D277" s="14" t="s">
        <v>199</v>
      </c>
      <c r="E277" s="13" t="s">
        <v>302</v>
      </c>
      <c r="F277" s="13" t="s">
        <v>303</v>
      </c>
      <c r="G277" s="13">
        <v>2.8800000000000003</v>
      </c>
      <c r="H277" s="15">
        <v>1399</v>
      </c>
      <c r="I277" s="16">
        <v>4029.12</v>
      </c>
      <c r="J277" s="16">
        <v>3663</v>
      </c>
      <c r="K277" s="16">
        <v>366.11999999999989</v>
      </c>
      <c r="L277" s="13"/>
      <c r="M277" s="13">
        <v>3</v>
      </c>
      <c r="N277" s="17">
        <f t="shared" si="8"/>
        <v>0</v>
      </c>
      <c r="O277" s="17">
        <f t="shared" si="8"/>
        <v>4197</v>
      </c>
      <c r="P277" s="17">
        <f t="shared" si="9"/>
        <v>4197</v>
      </c>
      <c r="Q277" t="str">
        <f>A277&amp;"-"&amp;B277&amp;"-"&amp;D277</f>
        <v>JANUARI-MJ1-L9</v>
      </c>
    </row>
    <row r="278" spans="1:17" x14ac:dyDescent="0.25">
      <c r="A278" t="s">
        <v>388</v>
      </c>
      <c r="B278" s="13" t="s">
        <v>25</v>
      </c>
      <c r="C278" s="13" t="s">
        <v>43</v>
      </c>
      <c r="D278" s="14" t="s">
        <v>199</v>
      </c>
      <c r="E278" s="13" t="s">
        <v>302</v>
      </c>
      <c r="F278" s="13" t="s">
        <v>304</v>
      </c>
      <c r="G278" s="13">
        <v>2.8800000000000008</v>
      </c>
      <c r="H278" s="15">
        <v>5058</v>
      </c>
      <c r="I278" s="16">
        <v>14567.039999999999</v>
      </c>
      <c r="J278" s="16">
        <v>23038.666666666668</v>
      </c>
      <c r="K278" s="16">
        <v>-8471.6266666666652</v>
      </c>
      <c r="L278" s="13"/>
      <c r="M278" s="13">
        <v>3</v>
      </c>
      <c r="N278" s="17">
        <f t="shared" si="8"/>
        <v>0</v>
      </c>
      <c r="O278" s="17">
        <f t="shared" si="8"/>
        <v>15174</v>
      </c>
      <c r="P278" s="17">
        <f t="shared" si="9"/>
        <v>15174</v>
      </c>
      <c r="Q278" t="str">
        <f>A278&amp;"-"&amp;B278&amp;"-"&amp;D278</f>
        <v>JANUARI-MJ1-L9</v>
      </c>
    </row>
    <row r="279" spans="1:17" x14ac:dyDescent="0.25">
      <c r="A279" t="s">
        <v>388</v>
      </c>
      <c r="B279" s="13" t="s">
        <v>25</v>
      </c>
      <c r="C279" s="13" t="s">
        <v>43</v>
      </c>
      <c r="D279" s="14" t="s">
        <v>199</v>
      </c>
      <c r="E279" s="13" t="s">
        <v>305</v>
      </c>
      <c r="F279" s="13" t="s">
        <v>306</v>
      </c>
      <c r="G279" s="13">
        <v>2.78</v>
      </c>
      <c r="H279" s="15">
        <v>26</v>
      </c>
      <c r="I279" s="16">
        <v>72.28</v>
      </c>
      <c r="J279" s="16">
        <v>160.33333333333334</v>
      </c>
      <c r="K279" s="16">
        <v>-88.053333333333342</v>
      </c>
      <c r="L279" s="13"/>
      <c r="M279" s="13">
        <v>2.9</v>
      </c>
      <c r="N279" s="17">
        <f t="shared" si="8"/>
        <v>0</v>
      </c>
      <c r="O279" s="17">
        <f t="shared" si="8"/>
        <v>75.399999999999991</v>
      </c>
      <c r="P279" s="17">
        <f t="shared" si="9"/>
        <v>75.399999999999991</v>
      </c>
      <c r="Q279" t="str">
        <f>A279&amp;"-"&amp;B279&amp;"-"&amp;D279</f>
        <v>JANUARI-MJ1-L9</v>
      </c>
    </row>
    <row r="280" spans="1:17" x14ac:dyDescent="0.25">
      <c r="A280" t="s">
        <v>388</v>
      </c>
      <c r="B280" s="13" t="s">
        <v>25</v>
      </c>
      <c r="C280" s="13" t="s">
        <v>70</v>
      </c>
      <c r="D280" s="14" t="s">
        <v>310</v>
      </c>
      <c r="E280" s="13" t="s">
        <v>71</v>
      </c>
      <c r="F280" s="13" t="s">
        <v>311</v>
      </c>
      <c r="G280" s="13">
        <v>5</v>
      </c>
      <c r="H280" s="15">
        <v>28</v>
      </c>
      <c r="I280" s="16">
        <v>140</v>
      </c>
      <c r="J280" s="16">
        <v>347.26224523889073</v>
      </c>
      <c r="K280" s="16">
        <v>-207.26224523889076</v>
      </c>
      <c r="L280" s="13">
        <v>11.06</v>
      </c>
      <c r="M280" s="13"/>
      <c r="N280" s="17">
        <f t="shared" si="8"/>
        <v>309.68</v>
      </c>
      <c r="O280" s="17">
        <f t="shared" si="8"/>
        <v>0</v>
      </c>
      <c r="P280" s="17">
        <f t="shared" si="9"/>
        <v>309.68</v>
      </c>
      <c r="Q280" t="str">
        <f>A280&amp;"-"&amp;B280&amp;"-"&amp;D280</f>
        <v>JANUARI-MJ1-L12</v>
      </c>
    </row>
    <row r="281" spans="1:17" x14ac:dyDescent="0.25">
      <c r="A281" t="s">
        <v>388</v>
      </c>
      <c r="B281" s="13" t="s">
        <v>25</v>
      </c>
      <c r="C281" s="13" t="s">
        <v>70</v>
      </c>
      <c r="D281" s="14" t="s">
        <v>310</v>
      </c>
      <c r="E281" s="13" t="s">
        <v>71</v>
      </c>
      <c r="F281" s="13" t="s">
        <v>312</v>
      </c>
      <c r="G281" s="13">
        <v>5</v>
      </c>
      <c r="H281" s="15">
        <v>67</v>
      </c>
      <c r="I281" s="16">
        <v>335</v>
      </c>
      <c r="J281" s="16">
        <v>741.02122437734829</v>
      </c>
      <c r="K281" s="16">
        <v>-406.02122437734823</v>
      </c>
      <c r="L281" s="13">
        <v>11.26</v>
      </c>
      <c r="M281" s="13"/>
      <c r="N281" s="17">
        <f t="shared" si="8"/>
        <v>754.42</v>
      </c>
      <c r="O281" s="17">
        <f t="shared" si="8"/>
        <v>0</v>
      </c>
      <c r="P281" s="17">
        <f t="shared" si="9"/>
        <v>754.42</v>
      </c>
      <c r="Q281" t="str">
        <f>A281&amp;"-"&amp;B281&amp;"-"&amp;D281</f>
        <v>JANUARI-MJ1-L12</v>
      </c>
    </row>
    <row r="282" spans="1:17" x14ac:dyDescent="0.25">
      <c r="A282" t="s">
        <v>388</v>
      </c>
      <c r="B282" s="13" t="s">
        <v>25</v>
      </c>
      <c r="C282" s="13" t="s">
        <v>70</v>
      </c>
      <c r="D282" s="14" t="s">
        <v>310</v>
      </c>
      <c r="E282" s="13" t="s">
        <v>71</v>
      </c>
      <c r="F282" s="13" t="s">
        <v>313</v>
      </c>
      <c r="G282" s="13">
        <v>4.7999999999999989</v>
      </c>
      <c r="H282" s="15">
        <v>212</v>
      </c>
      <c r="I282" s="16">
        <v>1017.5999999999998</v>
      </c>
      <c r="J282" s="16">
        <v>5784.0131076494636</v>
      </c>
      <c r="K282" s="16">
        <v>-4766.4131076494623</v>
      </c>
      <c r="L282" s="13">
        <v>12.57</v>
      </c>
      <c r="M282" s="13"/>
      <c r="N282" s="17">
        <f t="shared" si="8"/>
        <v>2664.84</v>
      </c>
      <c r="O282" s="17">
        <f t="shared" si="8"/>
        <v>0</v>
      </c>
      <c r="P282" s="17">
        <f t="shared" si="9"/>
        <v>2664.84</v>
      </c>
      <c r="Q282" t="str">
        <f>A282&amp;"-"&amp;B282&amp;"-"&amp;D282</f>
        <v>JANUARI-MJ1-L12</v>
      </c>
    </row>
    <row r="283" spans="1:17" x14ac:dyDescent="0.25">
      <c r="A283" t="s">
        <v>388</v>
      </c>
      <c r="B283" s="13" t="s">
        <v>25</v>
      </c>
      <c r="C283" s="13" t="s">
        <v>70</v>
      </c>
      <c r="D283" s="14" t="s">
        <v>310</v>
      </c>
      <c r="E283" s="13" t="s">
        <v>71</v>
      </c>
      <c r="F283" s="13" t="s">
        <v>314</v>
      </c>
      <c r="G283" s="13">
        <v>4.8</v>
      </c>
      <c r="H283" s="15">
        <v>325</v>
      </c>
      <c r="I283" s="16">
        <v>1559.9999999999998</v>
      </c>
      <c r="J283" s="16">
        <v>4884.7136474141407</v>
      </c>
      <c r="K283" s="16">
        <v>-3324.7136474141416</v>
      </c>
      <c r="L283" s="13">
        <v>14.47</v>
      </c>
      <c r="M283" s="13"/>
      <c r="N283" s="17">
        <f t="shared" si="8"/>
        <v>4702.75</v>
      </c>
      <c r="O283" s="17">
        <f t="shared" si="8"/>
        <v>0</v>
      </c>
      <c r="P283" s="17">
        <f t="shared" si="9"/>
        <v>4702.75</v>
      </c>
      <c r="Q283" t="str">
        <f>A283&amp;"-"&amp;B283&amp;"-"&amp;D283</f>
        <v>JANUARI-MJ1-L12</v>
      </c>
    </row>
    <row r="284" spans="1:17" x14ac:dyDescent="0.25">
      <c r="A284" t="s">
        <v>388</v>
      </c>
      <c r="B284" s="13" t="s">
        <v>25</v>
      </c>
      <c r="C284" s="13" t="s">
        <v>70</v>
      </c>
      <c r="D284" s="14" t="s">
        <v>310</v>
      </c>
      <c r="E284" s="13" t="s">
        <v>71</v>
      </c>
      <c r="F284" s="13" t="s">
        <v>315</v>
      </c>
      <c r="G284" s="13">
        <v>5</v>
      </c>
      <c r="H284" s="15">
        <v>323</v>
      </c>
      <c r="I284" s="16">
        <v>1615</v>
      </c>
      <c r="J284" s="16">
        <v>3655.1481857629478</v>
      </c>
      <c r="K284" s="16">
        <v>-2040.1481857629474</v>
      </c>
      <c r="L284" s="13">
        <v>13.03</v>
      </c>
      <c r="M284" s="13"/>
      <c r="N284" s="17">
        <f t="shared" si="8"/>
        <v>4208.6899999999996</v>
      </c>
      <c r="O284" s="17">
        <f t="shared" si="8"/>
        <v>0</v>
      </c>
      <c r="P284" s="17">
        <f t="shared" si="9"/>
        <v>4208.6899999999996</v>
      </c>
      <c r="Q284" t="str">
        <f>A284&amp;"-"&amp;B284&amp;"-"&amp;D284</f>
        <v>JANUARI-MJ1-L12</v>
      </c>
    </row>
    <row r="285" spans="1:17" x14ac:dyDescent="0.25">
      <c r="A285" t="s">
        <v>388</v>
      </c>
      <c r="B285" s="13" t="s">
        <v>25</v>
      </c>
      <c r="C285" s="13" t="s">
        <v>70</v>
      </c>
      <c r="D285" s="14" t="s">
        <v>310</v>
      </c>
      <c r="E285" s="13" t="s">
        <v>73</v>
      </c>
      <c r="F285" s="13" t="s">
        <v>316</v>
      </c>
      <c r="G285" s="13">
        <v>4.5</v>
      </c>
      <c r="H285" s="15">
        <v>13</v>
      </c>
      <c r="I285" s="16">
        <v>58.5</v>
      </c>
      <c r="J285" s="16">
        <v>3001.8858974358973</v>
      </c>
      <c r="K285" s="16">
        <v>-2943.3858974358973</v>
      </c>
      <c r="L285" s="13">
        <v>10.48</v>
      </c>
      <c r="M285" s="13"/>
      <c r="N285" s="17">
        <f t="shared" si="8"/>
        <v>136.24</v>
      </c>
      <c r="O285" s="17">
        <f t="shared" si="8"/>
        <v>0</v>
      </c>
      <c r="P285" s="17">
        <f t="shared" si="9"/>
        <v>136.24</v>
      </c>
      <c r="Q285" t="str">
        <f>A285&amp;"-"&amp;B285&amp;"-"&amp;D285</f>
        <v>JANUARI-MJ1-L12</v>
      </c>
    </row>
    <row r="286" spans="1:17" x14ac:dyDescent="0.25">
      <c r="A286" t="s">
        <v>388</v>
      </c>
      <c r="B286" s="13" t="s">
        <v>25</v>
      </c>
      <c r="C286" s="13" t="s">
        <v>70</v>
      </c>
      <c r="D286" s="14" t="s">
        <v>310</v>
      </c>
      <c r="E286" s="13" t="s">
        <v>77</v>
      </c>
      <c r="F286" s="13" t="s">
        <v>317</v>
      </c>
      <c r="G286" s="13">
        <v>3.7000000000000006</v>
      </c>
      <c r="H286" s="15">
        <v>15</v>
      </c>
      <c r="I286" s="16">
        <v>55.5</v>
      </c>
      <c r="J286" s="16">
        <v>432.96379310344832</v>
      </c>
      <c r="K286" s="16">
        <v>-377.46379310344832</v>
      </c>
      <c r="L286" s="13">
        <v>12.74</v>
      </c>
      <c r="M286" s="13"/>
      <c r="N286" s="17">
        <f t="shared" si="8"/>
        <v>191.1</v>
      </c>
      <c r="O286" s="17">
        <f t="shared" si="8"/>
        <v>0</v>
      </c>
      <c r="P286" s="17">
        <f t="shared" si="9"/>
        <v>191.1</v>
      </c>
      <c r="Q286" t="str">
        <f>A286&amp;"-"&amp;B286&amp;"-"&amp;D286</f>
        <v>JANUARI-MJ1-L12</v>
      </c>
    </row>
    <row r="287" spans="1:17" x14ac:dyDescent="0.25">
      <c r="A287" t="s">
        <v>388</v>
      </c>
      <c r="B287" s="13" t="s">
        <v>25</v>
      </c>
      <c r="C287" s="13" t="s">
        <v>70</v>
      </c>
      <c r="D287" s="14" t="s">
        <v>310</v>
      </c>
      <c r="E287" s="13" t="s">
        <v>77</v>
      </c>
      <c r="F287" s="13" t="s">
        <v>318</v>
      </c>
      <c r="G287" s="13">
        <v>3.7</v>
      </c>
      <c r="H287" s="15">
        <v>287</v>
      </c>
      <c r="I287" s="16">
        <v>1061.9000000000001</v>
      </c>
      <c r="J287" s="16">
        <v>900.84061696658091</v>
      </c>
      <c r="K287" s="16">
        <v>161.05938303341918</v>
      </c>
      <c r="L287" s="13">
        <v>5.87</v>
      </c>
      <c r="M287" s="13"/>
      <c r="N287" s="17">
        <f t="shared" si="8"/>
        <v>1684.69</v>
      </c>
      <c r="O287" s="17">
        <f t="shared" si="8"/>
        <v>0</v>
      </c>
      <c r="P287" s="17">
        <f t="shared" si="9"/>
        <v>1684.69</v>
      </c>
      <c r="Q287" t="str">
        <f>A287&amp;"-"&amp;B287&amp;"-"&amp;D287</f>
        <v>JANUARI-MJ1-L12</v>
      </c>
    </row>
    <row r="288" spans="1:17" x14ac:dyDescent="0.25">
      <c r="A288" t="s">
        <v>388</v>
      </c>
      <c r="B288" s="13" t="s">
        <v>25</v>
      </c>
      <c r="C288" s="13" t="s">
        <v>70</v>
      </c>
      <c r="D288" s="14" t="s">
        <v>310</v>
      </c>
      <c r="E288" s="13" t="s">
        <v>77</v>
      </c>
      <c r="F288" s="13" t="s">
        <v>319</v>
      </c>
      <c r="G288" s="13">
        <v>3.7000000000000006</v>
      </c>
      <c r="H288" s="15">
        <v>15</v>
      </c>
      <c r="I288" s="16">
        <v>55.5</v>
      </c>
      <c r="J288" s="16">
        <v>1009.1512820512821</v>
      </c>
      <c r="K288" s="16">
        <v>-953.65128205128212</v>
      </c>
      <c r="L288" s="13">
        <v>12.21</v>
      </c>
      <c r="M288" s="13"/>
      <c r="N288" s="17">
        <f t="shared" si="8"/>
        <v>183.15</v>
      </c>
      <c r="O288" s="17">
        <f t="shared" si="8"/>
        <v>0</v>
      </c>
      <c r="P288" s="17">
        <f t="shared" si="9"/>
        <v>183.15</v>
      </c>
      <c r="Q288" t="str">
        <f>A288&amp;"-"&amp;B288&amp;"-"&amp;D288</f>
        <v>JANUARI-MJ1-L12</v>
      </c>
    </row>
    <row r="289" spans="1:17" x14ac:dyDescent="0.25">
      <c r="A289" t="s">
        <v>388</v>
      </c>
      <c r="B289" s="13" t="s">
        <v>25</v>
      </c>
      <c r="C289" s="13" t="s">
        <v>70</v>
      </c>
      <c r="D289" s="14" t="s">
        <v>320</v>
      </c>
      <c r="E289" s="13" t="s">
        <v>71</v>
      </c>
      <c r="F289" s="13" t="s">
        <v>321</v>
      </c>
      <c r="G289" s="13">
        <v>5</v>
      </c>
      <c r="H289" s="15">
        <v>1</v>
      </c>
      <c r="I289" s="16">
        <v>5</v>
      </c>
      <c r="J289" s="16">
        <v>407</v>
      </c>
      <c r="K289" s="16">
        <v>-402</v>
      </c>
      <c r="L289" s="13">
        <v>13.08</v>
      </c>
      <c r="M289" s="13"/>
      <c r="N289" s="17">
        <f t="shared" si="8"/>
        <v>13.08</v>
      </c>
      <c r="O289" s="17">
        <f t="shared" si="8"/>
        <v>0</v>
      </c>
      <c r="P289" s="17">
        <f t="shared" si="9"/>
        <v>13.08</v>
      </c>
      <c r="Q289" t="str">
        <f>A289&amp;"-"&amp;B289&amp;"-"&amp;D289</f>
        <v>JANUARI-MJ1-L13</v>
      </c>
    </row>
    <row r="290" spans="1:17" x14ac:dyDescent="0.25">
      <c r="A290" t="s">
        <v>388</v>
      </c>
      <c r="B290" s="13" t="s">
        <v>25</v>
      </c>
      <c r="C290" s="13" t="s">
        <v>70</v>
      </c>
      <c r="D290" s="14" t="s">
        <v>320</v>
      </c>
      <c r="E290" s="13" t="s">
        <v>77</v>
      </c>
      <c r="F290" s="13" t="s">
        <v>322</v>
      </c>
      <c r="G290" s="13">
        <v>3.7</v>
      </c>
      <c r="H290" s="15">
        <v>213</v>
      </c>
      <c r="I290" s="16">
        <v>788.09999999999991</v>
      </c>
      <c r="J290" s="16">
        <v>1301.5849218719281</v>
      </c>
      <c r="K290" s="16">
        <v>-513.48492187192824</v>
      </c>
      <c r="L290" s="13">
        <v>12.43</v>
      </c>
      <c r="M290" s="13"/>
      <c r="N290" s="17">
        <f t="shared" si="8"/>
        <v>2647.59</v>
      </c>
      <c r="O290" s="17">
        <f t="shared" si="8"/>
        <v>0</v>
      </c>
      <c r="P290" s="17">
        <f t="shared" si="9"/>
        <v>2647.59</v>
      </c>
      <c r="Q290" t="str">
        <f>A290&amp;"-"&amp;B290&amp;"-"&amp;D290</f>
        <v>JANUARI-MJ1-L13</v>
      </c>
    </row>
    <row r="291" spans="1:17" x14ac:dyDescent="0.25">
      <c r="A291" t="s">
        <v>388</v>
      </c>
      <c r="B291" s="13" t="s">
        <v>25</v>
      </c>
      <c r="C291" s="13" t="s">
        <v>70</v>
      </c>
      <c r="D291" s="14" t="s">
        <v>320</v>
      </c>
      <c r="E291" s="13" t="s">
        <v>77</v>
      </c>
      <c r="F291" s="13" t="s">
        <v>323</v>
      </c>
      <c r="G291" s="13">
        <v>3.7</v>
      </c>
      <c r="H291" s="15">
        <v>2</v>
      </c>
      <c r="I291" s="16">
        <v>7.4</v>
      </c>
      <c r="J291" s="16">
        <v>45.222222222222221</v>
      </c>
      <c r="K291" s="16">
        <v>-37.822222222222223</v>
      </c>
      <c r="L291" s="13">
        <v>10.96</v>
      </c>
      <c r="M291" s="13"/>
      <c r="N291" s="17">
        <f t="shared" si="8"/>
        <v>21.92</v>
      </c>
      <c r="O291" s="17">
        <f t="shared" si="8"/>
        <v>0</v>
      </c>
      <c r="P291" s="17">
        <f t="shared" si="9"/>
        <v>21.92</v>
      </c>
      <c r="Q291" t="str">
        <f>A291&amp;"-"&amp;B291&amp;"-"&amp;D291</f>
        <v>JANUARI-MJ1-L13</v>
      </c>
    </row>
    <row r="292" spans="1:17" x14ac:dyDescent="0.25">
      <c r="A292" t="s">
        <v>388</v>
      </c>
      <c r="B292" s="13" t="s">
        <v>25</v>
      </c>
      <c r="C292" s="13" t="s">
        <v>70</v>
      </c>
      <c r="D292" s="14" t="s">
        <v>320</v>
      </c>
      <c r="E292" s="13" t="s">
        <v>77</v>
      </c>
      <c r="F292" s="13" t="s">
        <v>324</v>
      </c>
      <c r="G292" s="13">
        <v>3.7</v>
      </c>
      <c r="H292" s="15">
        <v>119</v>
      </c>
      <c r="I292" s="16">
        <v>440.29999999999995</v>
      </c>
      <c r="J292" s="16">
        <v>1802.8197434799761</v>
      </c>
      <c r="K292" s="16">
        <v>-1362.5197434799763</v>
      </c>
      <c r="L292" s="13">
        <v>11.68</v>
      </c>
      <c r="M292" s="13"/>
      <c r="N292" s="17">
        <f t="shared" si="8"/>
        <v>1389.92</v>
      </c>
      <c r="O292" s="17">
        <f t="shared" si="8"/>
        <v>0</v>
      </c>
      <c r="P292" s="17">
        <f t="shared" si="9"/>
        <v>1389.92</v>
      </c>
      <c r="Q292" t="str">
        <f>A292&amp;"-"&amp;B292&amp;"-"&amp;D292</f>
        <v>JANUARI-MJ1-L13</v>
      </c>
    </row>
    <row r="293" spans="1:17" x14ac:dyDescent="0.25">
      <c r="A293" t="s">
        <v>388</v>
      </c>
      <c r="B293" s="13" t="s">
        <v>25</v>
      </c>
      <c r="C293" s="13" t="s">
        <v>70</v>
      </c>
      <c r="D293" s="14" t="s">
        <v>320</v>
      </c>
      <c r="E293" s="13" t="s">
        <v>77</v>
      </c>
      <c r="F293" s="13" t="s">
        <v>325</v>
      </c>
      <c r="G293" s="13">
        <v>3.6999999999999997</v>
      </c>
      <c r="H293" s="15">
        <v>122</v>
      </c>
      <c r="I293" s="16">
        <v>451.4</v>
      </c>
      <c r="J293" s="16">
        <v>1805.1727323523933</v>
      </c>
      <c r="K293" s="16">
        <v>-1353.7727323523932</v>
      </c>
      <c r="L293" s="13">
        <v>12.41</v>
      </c>
      <c r="M293" s="13"/>
      <c r="N293" s="17">
        <f t="shared" si="8"/>
        <v>1514.02</v>
      </c>
      <c r="O293" s="17">
        <f t="shared" si="8"/>
        <v>0</v>
      </c>
      <c r="P293" s="17">
        <f t="shared" si="9"/>
        <v>1514.02</v>
      </c>
      <c r="Q293" t="str">
        <f>A293&amp;"-"&amp;B293&amp;"-"&amp;D293</f>
        <v>JANUARI-MJ1-L13</v>
      </c>
    </row>
    <row r="294" spans="1:17" x14ac:dyDescent="0.25">
      <c r="A294" t="s">
        <v>388</v>
      </c>
      <c r="B294" s="13" t="s">
        <v>25</v>
      </c>
      <c r="C294" s="13" t="s">
        <v>70</v>
      </c>
      <c r="D294" s="14" t="s">
        <v>320</v>
      </c>
      <c r="E294" s="13" t="s">
        <v>77</v>
      </c>
      <c r="F294" s="13" t="s">
        <v>326</v>
      </c>
      <c r="G294" s="13">
        <v>4.5</v>
      </c>
      <c r="H294" s="15">
        <v>372</v>
      </c>
      <c r="I294" s="16">
        <v>1674</v>
      </c>
      <c r="J294" s="16">
        <v>4509.9569839145888</v>
      </c>
      <c r="K294" s="16">
        <v>-2835.9569839145888</v>
      </c>
      <c r="L294" s="13">
        <v>12.56</v>
      </c>
      <c r="M294" s="13"/>
      <c r="N294" s="17">
        <f t="shared" si="8"/>
        <v>4672.3200000000006</v>
      </c>
      <c r="O294" s="17">
        <f t="shared" si="8"/>
        <v>0</v>
      </c>
      <c r="P294" s="17">
        <f t="shared" si="9"/>
        <v>4672.3200000000006</v>
      </c>
      <c r="Q294" t="str">
        <f>A294&amp;"-"&amp;B294&amp;"-"&amp;D294</f>
        <v>JANUARI-MJ1-L13</v>
      </c>
    </row>
    <row r="295" spans="1:17" x14ac:dyDescent="0.25">
      <c r="A295" t="s">
        <v>388</v>
      </c>
      <c r="B295" s="13" t="s">
        <v>25</v>
      </c>
      <c r="C295" s="13" t="s">
        <v>70</v>
      </c>
      <c r="D295" s="14" t="s">
        <v>320</v>
      </c>
      <c r="E295" s="13" t="s">
        <v>77</v>
      </c>
      <c r="F295" s="13" t="s">
        <v>327</v>
      </c>
      <c r="G295" s="13">
        <v>3.6999999999999997</v>
      </c>
      <c r="H295" s="15">
        <v>493</v>
      </c>
      <c r="I295" s="16">
        <v>1824.1</v>
      </c>
      <c r="J295" s="16">
        <v>4542.5983330229092</v>
      </c>
      <c r="K295" s="16">
        <v>-2718.4983330229093</v>
      </c>
      <c r="L295" s="13">
        <v>12.2</v>
      </c>
      <c r="M295" s="13"/>
      <c r="N295" s="17">
        <f t="shared" si="8"/>
        <v>6014.5999999999995</v>
      </c>
      <c r="O295" s="17">
        <f t="shared" si="8"/>
        <v>0</v>
      </c>
      <c r="P295" s="17">
        <f t="shared" si="9"/>
        <v>6014.5999999999995</v>
      </c>
      <c r="Q295" t="str">
        <f>A295&amp;"-"&amp;B295&amp;"-"&amp;D295</f>
        <v>JANUARI-MJ1-L13</v>
      </c>
    </row>
    <row r="296" spans="1:17" x14ac:dyDescent="0.25">
      <c r="A296" t="s">
        <v>388</v>
      </c>
      <c r="B296" s="13" t="s">
        <v>25</v>
      </c>
      <c r="C296" s="13" t="s">
        <v>70</v>
      </c>
      <c r="D296" s="14" t="s">
        <v>320</v>
      </c>
      <c r="E296" s="13" t="s">
        <v>142</v>
      </c>
      <c r="F296" s="13" t="s">
        <v>328</v>
      </c>
      <c r="G296" s="13">
        <v>1.5</v>
      </c>
      <c r="H296" s="15">
        <v>107</v>
      </c>
      <c r="I296" s="16">
        <v>160.5</v>
      </c>
      <c r="J296" s="16">
        <v>2679.6450631359821</v>
      </c>
      <c r="K296" s="16">
        <v>-2519.1450631359821</v>
      </c>
      <c r="L296" s="13">
        <v>1</v>
      </c>
      <c r="M296" s="13"/>
      <c r="N296" s="17">
        <f t="shared" si="8"/>
        <v>107</v>
      </c>
      <c r="O296" s="17">
        <f t="shared" si="8"/>
        <v>0</v>
      </c>
      <c r="P296" s="17">
        <f t="shared" si="9"/>
        <v>107</v>
      </c>
      <c r="Q296" t="str">
        <f>A296&amp;"-"&amp;B296&amp;"-"&amp;D296</f>
        <v>JANUARI-MJ1-L13</v>
      </c>
    </row>
    <row r="297" spans="1:17" x14ac:dyDescent="0.25">
      <c r="A297" t="s">
        <v>388</v>
      </c>
      <c r="B297" s="13" t="s">
        <v>25</v>
      </c>
      <c r="C297" s="13" t="s">
        <v>329</v>
      </c>
      <c r="D297" s="14" t="s">
        <v>50</v>
      </c>
      <c r="E297" s="13" t="s">
        <v>71</v>
      </c>
      <c r="F297" s="13" t="s">
        <v>330</v>
      </c>
      <c r="G297" s="13">
        <v>5</v>
      </c>
      <c r="H297" s="15">
        <v>40</v>
      </c>
      <c r="I297" s="16">
        <v>200</v>
      </c>
      <c r="J297" s="16">
        <v>298.63625000000002</v>
      </c>
      <c r="K297" s="16">
        <v>-98.636250000000004</v>
      </c>
      <c r="L297" s="13"/>
      <c r="M297" s="13">
        <v>5.95</v>
      </c>
      <c r="N297" s="17">
        <f t="shared" ref="N297:O355" si="10">$H297*L297</f>
        <v>0</v>
      </c>
      <c r="O297" s="17">
        <f t="shared" si="10"/>
        <v>238</v>
      </c>
      <c r="P297" s="17">
        <f t="shared" si="9"/>
        <v>238</v>
      </c>
      <c r="Q297" t="str">
        <f>A297&amp;"-"&amp;B297&amp;"-"&amp;D297</f>
        <v>JANUARI-MJ1-L2</v>
      </c>
    </row>
    <row r="298" spans="1:17" x14ac:dyDescent="0.25">
      <c r="A298" t="s">
        <v>388</v>
      </c>
      <c r="B298" s="13" t="s">
        <v>25</v>
      </c>
      <c r="C298" s="13" t="s">
        <v>329</v>
      </c>
      <c r="D298" s="14" t="s">
        <v>50</v>
      </c>
      <c r="E298" s="13" t="s">
        <v>71</v>
      </c>
      <c r="F298" s="13" t="s">
        <v>331</v>
      </c>
      <c r="G298" s="13">
        <v>5</v>
      </c>
      <c r="H298" s="15">
        <v>17</v>
      </c>
      <c r="I298" s="16">
        <v>85</v>
      </c>
      <c r="J298" s="16">
        <v>138.38</v>
      </c>
      <c r="K298" s="16">
        <v>-53.379999999999995</v>
      </c>
      <c r="L298" s="13"/>
      <c r="M298" s="13"/>
      <c r="N298" s="17">
        <f t="shared" si="10"/>
        <v>0</v>
      </c>
      <c r="O298" s="17">
        <f t="shared" si="10"/>
        <v>0</v>
      </c>
      <c r="P298" s="17">
        <f t="shared" si="9"/>
        <v>0</v>
      </c>
      <c r="Q298" t="str">
        <f>A298&amp;"-"&amp;B298&amp;"-"&amp;D298</f>
        <v>JANUARI-MJ1-L2</v>
      </c>
    </row>
    <row r="299" spans="1:17" x14ac:dyDescent="0.25">
      <c r="A299" t="s">
        <v>388</v>
      </c>
      <c r="B299" s="13" t="s">
        <v>25</v>
      </c>
      <c r="C299" s="13" t="s">
        <v>329</v>
      </c>
      <c r="D299" s="14" t="s">
        <v>50</v>
      </c>
      <c r="E299" s="13" t="s">
        <v>71</v>
      </c>
      <c r="F299" s="13" t="s">
        <v>332</v>
      </c>
      <c r="G299" s="13">
        <v>5</v>
      </c>
      <c r="H299" s="15">
        <v>904</v>
      </c>
      <c r="I299" s="16">
        <v>4520</v>
      </c>
      <c r="J299" s="16">
        <v>19098.983749999999</v>
      </c>
      <c r="K299" s="16">
        <v>-14578.983749999999</v>
      </c>
      <c r="L299" s="13"/>
      <c r="M299" s="13">
        <v>6.15</v>
      </c>
      <c r="N299" s="17">
        <f t="shared" si="10"/>
        <v>0</v>
      </c>
      <c r="O299" s="17">
        <f t="shared" si="10"/>
        <v>5559.6</v>
      </c>
      <c r="P299" s="17">
        <f t="shared" si="9"/>
        <v>5559.6</v>
      </c>
      <c r="Q299" t="str">
        <f>A299&amp;"-"&amp;B299&amp;"-"&amp;D299</f>
        <v>JANUARI-MJ1-L2</v>
      </c>
    </row>
    <row r="300" spans="1:17" x14ac:dyDescent="0.25">
      <c r="A300" t="s">
        <v>388</v>
      </c>
      <c r="B300" s="13" t="s">
        <v>25</v>
      </c>
      <c r="C300" s="13" t="s">
        <v>329</v>
      </c>
      <c r="D300" s="14" t="s">
        <v>56</v>
      </c>
      <c r="E300" s="13" t="s">
        <v>71</v>
      </c>
      <c r="F300" s="13" t="s">
        <v>333</v>
      </c>
      <c r="G300" s="13">
        <v>5</v>
      </c>
      <c r="H300" s="15">
        <v>1250</v>
      </c>
      <c r="I300" s="16">
        <v>6250</v>
      </c>
      <c r="J300" s="16">
        <v>18612.422467337761</v>
      </c>
      <c r="K300" s="16">
        <v>-12362.422467337759</v>
      </c>
      <c r="L300" s="13"/>
      <c r="M300" s="13">
        <v>6.95</v>
      </c>
      <c r="N300" s="17">
        <f t="shared" si="10"/>
        <v>0</v>
      </c>
      <c r="O300" s="17">
        <f t="shared" si="10"/>
        <v>8687.5</v>
      </c>
      <c r="P300" s="17">
        <f t="shared" si="9"/>
        <v>8687.5</v>
      </c>
      <c r="Q300" t="str">
        <f>A300&amp;"-"&amp;B300&amp;"-"&amp;D300</f>
        <v>JANUARI-MJ1-L3</v>
      </c>
    </row>
    <row r="301" spans="1:17" x14ac:dyDescent="0.25">
      <c r="A301" t="s">
        <v>388</v>
      </c>
      <c r="B301" s="13" t="s">
        <v>25</v>
      </c>
      <c r="C301" s="13" t="s">
        <v>329</v>
      </c>
      <c r="D301" s="14" t="s">
        <v>158</v>
      </c>
      <c r="E301" s="13" t="s">
        <v>71</v>
      </c>
      <c r="F301" s="13" t="s">
        <v>333</v>
      </c>
      <c r="G301" s="13">
        <v>5</v>
      </c>
      <c r="H301" s="15">
        <v>177</v>
      </c>
      <c r="I301" s="16">
        <v>885</v>
      </c>
      <c r="J301" s="16">
        <v>3663</v>
      </c>
      <c r="K301" s="16">
        <v>-2778</v>
      </c>
      <c r="L301" s="13"/>
      <c r="M301" s="13">
        <v>6.95</v>
      </c>
      <c r="N301" s="17">
        <f t="shared" si="10"/>
        <v>0</v>
      </c>
      <c r="O301" s="17">
        <f t="shared" si="10"/>
        <v>1230.1500000000001</v>
      </c>
      <c r="P301" s="17">
        <f t="shared" si="9"/>
        <v>1230.1500000000001</v>
      </c>
      <c r="Q301" t="str">
        <f>A301&amp;"-"&amp;B301&amp;"-"&amp;D301</f>
        <v>JANUARI-MJ1-L4</v>
      </c>
    </row>
    <row r="302" spans="1:17" x14ac:dyDescent="0.25">
      <c r="A302" t="s">
        <v>388</v>
      </c>
      <c r="B302" s="13" t="s">
        <v>26</v>
      </c>
      <c r="C302" s="13" t="s">
        <v>334</v>
      </c>
      <c r="D302" s="14" t="s">
        <v>50</v>
      </c>
      <c r="E302" s="13" t="s">
        <v>61</v>
      </c>
      <c r="F302" s="13" t="s">
        <v>335</v>
      </c>
      <c r="G302" s="13">
        <v>0.74</v>
      </c>
      <c r="H302" s="15">
        <v>1002</v>
      </c>
      <c r="I302" s="16">
        <v>741.48</v>
      </c>
      <c r="J302" s="16">
        <v>979</v>
      </c>
      <c r="K302" s="16">
        <v>-237.51999999999998</v>
      </c>
      <c r="L302" s="13">
        <v>1.57</v>
      </c>
      <c r="M302" s="13"/>
      <c r="N302" s="17">
        <f t="shared" si="10"/>
        <v>1573.14</v>
      </c>
      <c r="O302" s="17">
        <f t="shared" si="10"/>
        <v>0</v>
      </c>
      <c r="P302" s="17">
        <f t="shared" si="9"/>
        <v>1573.14</v>
      </c>
      <c r="Q302" t="str">
        <f>A302&amp;"-"&amp;B302&amp;"-"&amp;D302</f>
        <v>JANUARI-MJ2-L2</v>
      </c>
    </row>
    <row r="303" spans="1:17" x14ac:dyDescent="0.25">
      <c r="A303" t="s">
        <v>388</v>
      </c>
      <c r="B303" s="13" t="s">
        <v>26</v>
      </c>
      <c r="C303" s="13" t="s">
        <v>334</v>
      </c>
      <c r="D303" s="14" t="s">
        <v>56</v>
      </c>
      <c r="E303" s="13" t="s">
        <v>61</v>
      </c>
      <c r="F303" s="13" t="s">
        <v>335</v>
      </c>
      <c r="G303" s="13">
        <v>0.7400000000000001</v>
      </c>
      <c r="H303" s="15">
        <v>2021</v>
      </c>
      <c r="I303" s="16">
        <v>1495.54</v>
      </c>
      <c r="J303" s="16">
        <v>2692.5698373192517</v>
      </c>
      <c r="K303" s="16">
        <v>-1197.0298373192516</v>
      </c>
      <c r="L303" s="13">
        <v>1.57</v>
      </c>
      <c r="M303" s="13"/>
      <c r="N303" s="17">
        <f t="shared" si="10"/>
        <v>3172.9700000000003</v>
      </c>
      <c r="O303" s="17">
        <f t="shared" si="10"/>
        <v>0</v>
      </c>
      <c r="P303" s="17">
        <f t="shared" si="9"/>
        <v>3172.9700000000003</v>
      </c>
      <c r="Q303" t="str">
        <f>A303&amp;"-"&amp;B303&amp;"-"&amp;D303</f>
        <v>JANUARI-MJ2-L3</v>
      </c>
    </row>
    <row r="304" spans="1:17" x14ac:dyDescent="0.25">
      <c r="A304" t="s">
        <v>388</v>
      </c>
      <c r="B304" s="13" t="s">
        <v>26</v>
      </c>
      <c r="C304" s="13" t="s">
        <v>334</v>
      </c>
      <c r="D304" s="14" t="s">
        <v>56</v>
      </c>
      <c r="E304" s="13" t="s">
        <v>61</v>
      </c>
      <c r="F304" s="13" t="s">
        <v>336</v>
      </c>
      <c r="G304" s="13">
        <v>0.74</v>
      </c>
      <c r="H304" s="15">
        <v>111</v>
      </c>
      <c r="I304" s="16">
        <v>82.14</v>
      </c>
      <c r="J304" s="16">
        <v>2078.9241867043847</v>
      </c>
      <c r="K304" s="16">
        <v>-1996.7841867043849</v>
      </c>
      <c r="L304" s="13">
        <v>1.57</v>
      </c>
      <c r="M304" s="13"/>
      <c r="N304" s="17">
        <f t="shared" si="10"/>
        <v>174.27</v>
      </c>
      <c r="O304" s="17">
        <f t="shared" si="10"/>
        <v>0</v>
      </c>
      <c r="P304" s="17">
        <f t="shared" si="9"/>
        <v>174.27</v>
      </c>
      <c r="Q304" t="str">
        <f>A304&amp;"-"&amp;B304&amp;"-"&amp;D304</f>
        <v>JANUARI-MJ2-L3</v>
      </c>
    </row>
    <row r="305" spans="1:17" x14ac:dyDescent="0.25">
      <c r="A305" t="s">
        <v>388</v>
      </c>
      <c r="B305" s="13" t="s">
        <v>26</v>
      </c>
      <c r="C305" s="13" t="s">
        <v>334</v>
      </c>
      <c r="D305" s="14" t="s">
        <v>56</v>
      </c>
      <c r="E305" s="13" t="s">
        <v>61</v>
      </c>
      <c r="F305" s="13" t="s">
        <v>337</v>
      </c>
      <c r="G305" s="13">
        <v>0.74</v>
      </c>
      <c r="H305" s="15">
        <v>64</v>
      </c>
      <c r="I305" s="16">
        <v>47.36</v>
      </c>
      <c r="J305" s="16">
        <v>250.41454016259104</v>
      </c>
      <c r="K305" s="16">
        <v>-203.05454016259102</v>
      </c>
      <c r="L305" s="13">
        <v>1.57</v>
      </c>
      <c r="M305" s="13"/>
      <c r="N305" s="17">
        <f t="shared" si="10"/>
        <v>100.48</v>
      </c>
      <c r="O305" s="17">
        <f t="shared" si="10"/>
        <v>0</v>
      </c>
      <c r="P305" s="17">
        <f t="shared" si="9"/>
        <v>100.48</v>
      </c>
      <c r="Q305" t="str">
        <f>A305&amp;"-"&amp;B305&amp;"-"&amp;D305</f>
        <v>JANUARI-MJ2-L3</v>
      </c>
    </row>
    <row r="306" spans="1:17" x14ac:dyDescent="0.25">
      <c r="A306" t="s">
        <v>388</v>
      </c>
      <c r="B306" s="13" t="s">
        <v>26</v>
      </c>
      <c r="C306" s="13" t="s">
        <v>334</v>
      </c>
      <c r="D306" s="14" t="s">
        <v>56</v>
      </c>
      <c r="E306" s="13" t="s">
        <v>61</v>
      </c>
      <c r="F306" s="13" t="s">
        <v>338</v>
      </c>
      <c r="G306" s="13">
        <v>0.7400000000000001</v>
      </c>
      <c r="H306" s="15">
        <v>255</v>
      </c>
      <c r="I306" s="16">
        <v>188.70000000000002</v>
      </c>
      <c r="J306" s="16">
        <v>1084.8234065766687</v>
      </c>
      <c r="K306" s="16">
        <v>-896.12340657666869</v>
      </c>
      <c r="L306" s="13">
        <v>1.57</v>
      </c>
      <c r="M306" s="13"/>
      <c r="N306" s="17">
        <f t="shared" si="10"/>
        <v>400.35</v>
      </c>
      <c r="O306" s="17">
        <f t="shared" si="10"/>
        <v>0</v>
      </c>
      <c r="P306" s="17">
        <f t="shared" si="9"/>
        <v>400.35</v>
      </c>
      <c r="Q306" t="str">
        <f>A306&amp;"-"&amp;B306&amp;"-"&amp;D306</f>
        <v>JANUARI-MJ2-L3</v>
      </c>
    </row>
    <row r="307" spans="1:17" x14ac:dyDescent="0.25">
      <c r="A307" t="s">
        <v>388</v>
      </c>
      <c r="B307" s="13" t="s">
        <v>26</v>
      </c>
      <c r="C307" s="13" t="s">
        <v>339</v>
      </c>
      <c r="D307" s="14" t="s">
        <v>310</v>
      </c>
      <c r="E307" s="13" t="s">
        <v>61</v>
      </c>
      <c r="F307" s="13" t="s">
        <v>340</v>
      </c>
      <c r="G307" s="13">
        <v>1.75</v>
      </c>
      <c r="H307" s="15">
        <v>6534</v>
      </c>
      <c r="I307" s="16">
        <v>11434.5</v>
      </c>
      <c r="J307" s="16">
        <v>3635.5500134209433</v>
      </c>
      <c r="K307" s="16">
        <v>7798.9499865790567</v>
      </c>
      <c r="L307" s="13">
        <v>2.96</v>
      </c>
      <c r="M307" s="13"/>
      <c r="N307" s="17">
        <f t="shared" si="10"/>
        <v>19340.64</v>
      </c>
      <c r="O307" s="17">
        <f t="shared" si="10"/>
        <v>0</v>
      </c>
      <c r="P307" s="17">
        <f t="shared" si="9"/>
        <v>19340.64</v>
      </c>
      <c r="Q307" t="str">
        <f>A307&amp;"-"&amp;B307&amp;"-"&amp;D307</f>
        <v>JANUARI-MJ2-L12</v>
      </c>
    </row>
    <row r="308" spans="1:17" x14ac:dyDescent="0.25">
      <c r="A308" t="s">
        <v>388</v>
      </c>
      <c r="B308" s="13" t="s">
        <v>26</v>
      </c>
      <c r="C308" s="13" t="s">
        <v>339</v>
      </c>
      <c r="D308" s="14" t="s">
        <v>320</v>
      </c>
      <c r="E308" s="13" t="s">
        <v>61</v>
      </c>
      <c r="F308" s="13" t="s">
        <v>340</v>
      </c>
      <c r="G308" s="13">
        <v>1.75</v>
      </c>
      <c r="H308" s="15">
        <v>8080</v>
      </c>
      <c r="I308" s="16">
        <v>14140</v>
      </c>
      <c r="J308" s="16">
        <v>4839.0812085849393</v>
      </c>
      <c r="K308" s="16">
        <v>9300.9187914150607</v>
      </c>
      <c r="L308" s="13">
        <v>2.96</v>
      </c>
      <c r="M308" s="13"/>
      <c r="N308" s="17">
        <f t="shared" si="10"/>
        <v>23916.799999999999</v>
      </c>
      <c r="O308" s="17">
        <f t="shared" si="10"/>
        <v>0</v>
      </c>
      <c r="P308" s="17">
        <f t="shared" si="9"/>
        <v>23916.799999999999</v>
      </c>
      <c r="Q308" t="str">
        <f>A308&amp;"-"&amp;B308&amp;"-"&amp;D308</f>
        <v>JANUARI-MJ2-L13</v>
      </c>
    </row>
    <row r="309" spans="1:17" x14ac:dyDescent="0.25">
      <c r="A309" t="s">
        <v>388</v>
      </c>
      <c r="B309" s="13" t="s">
        <v>26</v>
      </c>
      <c r="C309" s="13" t="s">
        <v>339</v>
      </c>
      <c r="D309" s="14" t="s">
        <v>158</v>
      </c>
      <c r="E309" s="13" t="s">
        <v>61</v>
      </c>
      <c r="F309" s="13" t="s">
        <v>340</v>
      </c>
      <c r="G309" s="13">
        <v>1.75</v>
      </c>
      <c r="H309" s="15">
        <v>951</v>
      </c>
      <c r="I309" s="16">
        <v>1664.25</v>
      </c>
      <c r="J309" s="16">
        <v>835.7223724739207</v>
      </c>
      <c r="K309" s="16">
        <v>828.5276275260793</v>
      </c>
      <c r="L309" s="13">
        <v>2.96</v>
      </c>
      <c r="M309" s="13"/>
      <c r="N309" s="17">
        <f t="shared" si="10"/>
        <v>2814.96</v>
      </c>
      <c r="O309" s="17">
        <f t="shared" si="10"/>
        <v>0</v>
      </c>
      <c r="P309" s="17">
        <f t="shared" si="9"/>
        <v>2814.96</v>
      </c>
      <c r="Q309" t="str">
        <f>A309&amp;"-"&amp;B309&amp;"-"&amp;D309</f>
        <v>JANUARI-MJ2-L4</v>
      </c>
    </row>
    <row r="310" spans="1:17" x14ac:dyDescent="0.25">
      <c r="A310" t="s">
        <v>388</v>
      </c>
      <c r="B310" s="13" t="s">
        <v>26</v>
      </c>
      <c r="C310" s="13" t="s">
        <v>339</v>
      </c>
      <c r="D310" s="14" t="s">
        <v>160</v>
      </c>
      <c r="E310" s="13" t="s">
        <v>61</v>
      </c>
      <c r="F310" s="13" t="s">
        <v>340</v>
      </c>
      <c r="G310" s="13">
        <v>1.75</v>
      </c>
      <c r="H310" s="15">
        <v>951</v>
      </c>
      <c r="I310" s="16">
        <v>1664.25</v>
      </c>
      <c r="J310" s="16">
        <v>871.85894308290665</v>
      </c>
      <c r="K310" s="16">
        <v>792.39105691709335</v>
      </c>
      <c r="L310" s="13">
        <v>2.96</v>
      </c>
      <c r="M310" s="13"/>
      <c r="N310" s="17">
        <f t="shared" si="10"/>
        <v>2814.96</v>
      </c>
      <c r="O310" s="17">
        <f t="shared" si="10"/>
        <v>0</v>
      </c>
      <c r="P310" s="17">
        <f t="shared" si="9"/>
        <v>2814.96</v>
      </c>
      <c r="Q310" t="str">
        <f>A310&amp;"-"&amp;B310&amp;"-"&amp;D310</f>
        <v>JANUARI-MJ2-L5</v>
      </c>
    </row>
    <row r="311" spans="1:17" x14ac:dyDescent="0.25">
      <c r="A311" t="s">
        <v>388</v>
      </c>
      <c r="B311" s="13" t="s">
        <v>26</v>
      </c>
      <c r="C311" s="13" t="s">
        <v>339</v>
      </c>
      <c r="D311" s="14" t="s">
        <v>163</v>
      </c>
      <c r="E311" s="13" t="s">
        <v>61</v>
      </c>
      <c r="F311" s="13" t="s">
        <v>340</v>
      </c>
      <c r="G311" s="13">
        <v>1.75</v>
      </c>
      <c r="H311" s="15">
        <v>2238</v>
      </c>
      <c r="I311" s="16">
        <v>3916.5</v>
      </c>
      <c r="J311" s="16">
        <v>1794.634322043941</v>
      </c>
      <c r="K311" s="16">
        <v>2121.8656779560592</v>
      </c>
      <c r="L311" s="13">
        <v>2.96</v>
      </c>
      <c r="M311" s="13"/>
      <c r="N311" s="17">
        <f t="shared" si="10"/>
        <v>6624.48</v>
      </c>
      <c r="O311" s="17">
        <f t="shared" si="10"/>
        <v>0</v>
      </c>
      <c r="P311" s="17">
        <f t="shared" si="9"/>
        <v>6624.48</v>
      </c>
      <c r="Q311" t="str">
        <f>A311&amp;"-"&amp;B311&amp;"-"&amp;D311</f>
        <v>JANUARI-MJ2-L6</v>
      </c>
    </row>
    <row r="312" spans="1:17" x14ac:dyDescent="0.25">
      <c r="A312" t="s">
        <v>388</v>
      </c>
      <c r="B312" s="13" t="s">
        <v>26</v>
      </c>
      <c r="C312" s="13" t="s">
        <v>339</v>
      </c>
      <c r="D312" s="14" t="s">
        <v>164</v>
      </c>
      <c r="E312" s="13" t="s">
        <v>61</v>
      </c>
      <c r="F312" s="13" t="s">
        <v>340</v>
      </c>
      <c r="G312" s="13">
        <v>1.75</v>
      </c>
      <c r="H312" s="15">
        <v>2233</v>
      </c>
      <c r="I312" s="16">
        <v>3907.75</v>
      </c>
      <c r="J312" s="16">
        <v>1792.7136211845445</v>
      </c>
      <c r="K312" s="16">
        <v>2115.0363788154559</v>
      </c>
      <c r="L312" s="13">
        <v>2.96</v>
      </c>
      <c r="M312" s="13"/>
      <c r="N312" s="17">
        <f t="shared" si="10"/>
        <v>6609.68</v>
      </c>
      <c r="O312" s="17">
        <f t="shared" si="10"/>
        <v>0</v>
      </c>
      <c r="P312" s="17">
        <f t="shared" si="9"/>
        <v>6609.68</v>
      </c>
      <c r="Q312" t="str">
        <f>A312&amp;"-"&amp;B312&amp;"-"&amp;D312</f>
        <v>JANUARI-MJ2-L7</v>
      </c>
    </row>
    <row r="313" spans="1:17" x14ac:dyDescent="0.25">
      <c r="A313" t="s">
        <v>388</v>
      </c>
      <c r="B313" s="13" t="s">
        <v>26</v>
      </c>
      <c r="C313" s="13" t="s">
        <v>218</v>
      </c>
      <c r="D313" s="14" t="s">
        <v>301</v>
      </c>
      <c r="E313" s="13" t="s">
        <v>61</v>
      </c>
      <c r="F313" s="13" t="s">
        <v>220</v>
      </c>
      <c r="G313" s="13">
        <v>1.4499999999999995</v>
      </c>
      <c r="H313" s="15">
        <v>2499</v>
      </c>
      <c r="I313" s="16">
        <v>3623.55</v>
      </c>
      <c r="J313" s="16">
        <v>5230.0411695596149</v>
      </c>
      <c r="K313" s="16">
        <v>-1606.4911695596154</v>
      </c>
      <c r="L313" s="13">
        <v>2.73</v>
      </c>
      <c r="M313" s="13"/>
      <c r="N313" s="17">
        <f t="shared" si="10"/>
        <v>6822.2699999999995</v>
      </c>
      <c r="O313" s="17">
        <f t="shared" si="10"/>
        <v>0</v>
      </c>
      <c r="P313" s="17">
        <f t="shared" si="9"/>
        <v>6822.2699999999995</v>
      </c>
      <c r="Q313" t="str">
        <f>A313&amp;"-"&amp;B313&amp;"-"&amp;D313</f>
        <v>JANUARI-MJ2-L10</v>
      </c>
    </row>
    <row r="314" spans="1:17" x14ac:dyDescent="0.25">
      <c r="A314" t="s">
        <v>388</v>
      </c>
      <c r="B314" s="13" t="s">
        <v>26</v>
      </c>
      <c r="C314" s="13" t="s">
        <v>218</v>
      </c>
      <c r="D314" s="14" t="s">
        <v>287</v>
      </c>
      <c r="E314" s="13" t="s">
        <v>61</v>
      </c>
      <c r="F314" s="13" t="s">
        <v>220</v>
      </c>
      <c r="G314" s="13">
        <v>1.4499999999999995</v>
      </c>
      <c r="H314" s="15">
        <v>2504</v>
      </c>
      <c r="I314" s="16">
        <v>3630.8</v>
      </c>
      <c r="J314" s="16">
        <v>6344.3921505393482</v>
      </c>
      <c r="K314" s="16">
        <v>-2713.5921505393489</v>
      </c>
      <c r="L314" s="13">
        <v>2.73</v>
      </c>
      <c r="M314" s="13"/>
      <c r="N314" s="17">
        <f t="shared" si="10"/>
        <v>6835.92</v>
      </c>
      <c r="O314" s="17">
        <f t="shared" si="10"/>
        <v>0</v>
      </c>
      <c r="P314" s="17">
        <f t="shared" si="9"/>
        <v>6835.92</v>
      </c>
      <c r="Q314" t="str">
        <f>A314&amp;"-"&amp;B314&amp;"-"&amp;D314</f>
        <v>JANUARI-MJ2-L11</v>
      </c>
    </row>
    <row r="315" spans="1:17" x14ac:dyDescent="0.25">
      <c r="A315" t="s">
        <v>388</v>
      </c>
      <c r="B315" s="13" t="s">
        <v>26</v>
      </c>
      <c r="C315" s="13" t="s">
        <v>218</v>
      </c>
      <c r="D315" s="14" t="s">
        <v>310</v>
      </c>
      <c r="E315" s="13" t="s">
        <v>61</v>
      </c>
      <c r="F315" s="13" t="s">
        <v>220</v>
      </c>
      <c r="G315" s="13">
        <v>1.45</v>
      </c>
      <c r="H315" s="15">
        <v>8003</v>
      </c>
      <c r="I315" s="16">
        <v>11604.35</v>
      </c>
      <c r="J315" s="16">
        <v>3152.8708779520698</v>
      </c>
      <c r="K315" s="16">
        <v>8451.479122047931</v>
      </c>
      <c r="L315" s="13">
        <v>2.73</v>
      </c>
      <c r="M315" s="13"/>
      <c r="N315" s="17">
        <f t="shared" si="10"/>
        <v>21848.19</v>
      </c>
      <c r="O315" s="17">
        <f t="shared" si="10"/>
        <v>0</v>
      </c>
      <c r="P315" s="17">
        <f t="shared" si="9"/>
        <v>21848.19</v>
      </c>
      <c r="Q315" t="str">
        <f>A315&amp;"-"&amp;B315&amp;"-"&amp;D315</f>
        <v>JANUARI-MJ2-L12</v>
      </c>
    </row>
    <row r="316" spans="1:17" x14ac:dyDescent="0.25">
      <c r="A316" t="s">
        <v>388</v>
      </c>
      <c r="B316" s="13" t="s">
        <v>26</v>
      </c>
      <c r="C316" s="13" t="s">
        <v>218</v>
      </c>
      <c r="D316" s="14" t="s">
        <v>320</v>
      </c>
      <c r="E316" s="13" t="s">
        <v>61</v>
      </c>
      <c r="F316" s="13" t="s">
        <v>220</v>
      </c>
      <c r="G316" s="13">
        <v>1.45</v>
      </c>
      <c r="H316" s="15">
        <v>5965</v>
      </c>
      <c r="I316" s="16">
        <v>8649.25</v>
      </c>
      <c r="J316" s="16">
        <v>2822.2475523035218</v>
      </c>
      <c r="K316" s="16">
        <v>5827.0024476964782</v>
      </c>
      <c r="L316" s="13">
        <v>2.73</v>
      </c>
      <c r="M316" s="13"/>
      <c r="N316" s="17">
        <f t="shared" si="10"/>
        <v>16284.45</v>
      </c>
      <c r="O316" s="17">
        <f t="shared" si="10"/>
        <v>0</v>
      </c>
      <c r="P316" s="17">
        <f t="shared" si="9"/>
        <v>16284.45</v>
      </c>
      <c r="Q316" t="str">
        <f>A316&amp;"-"&amp;B316&amp;"-"&amp;D316</f>
        <v>JANUARI-MJ2-L13</v>
      </c>
    </row>
    <row r="317" spans="1:17" x14ac:dyDescent="0.25">
      <c r="A317" t="s">
        <v>388</v>
      </c>
      <c r="B317" s="13" t="s">
        <v>26</v>
      </c>
      <c r="C317" s="13" t="s">
        <v>218</v>
      </c>
      <c r="D317" s="14" t="s">
        <v>56</v>
      </c>
      <c r="E317" s="13" t="s">
        <v>61</v>
      </c>
      <c r="F317" s="13" t="s">
        <v>220</v>
      </c>
      <c r="G317" s="13">
        <v>1.4499999999999995</v>
      </c>
      <c r="H317" s="15">
        <v>8160</v>
      </c>
      <c r="I317" s="16">
        <v>11832</v>
      </c>
      <c r="J317" s="16">
        <v>7285.3290964581784</v>
      </c>
      <c r="K317" s="16">
        <v>4546.6709035418216</v>
      </c>
      <c r="L317" s="13">
        <v>2.73</v>
      </c>
      <c r="M317" s="13"/>
      <c r="N317" s="17">
        <f t="shared" si="10"/>
        <v>22276.799999999999</v>
      </c>
      <c r="O317" s="17">
        <f t="shared" si="10"/>
        <v>0</v>
      </c>
      <c r="P317" s="17">
        <f t="shared" si="9"/>
        <v>22276.799999999999</v>
      </c>
      <c r="Q317" t="str">
        <f>A317&amp;"-"&amp;B317&amp;"-"&amp;D317</f>
        <v>JANUARI-MJ2-L3</v>
      </c>
    </row>
    <row r="318" spans="1:17" x14ac:dyDescent="0.25">
      <c r="A318" t="s">
        <v>388</v>
      </c>
      <c r="B318" s="13" t="s">
        <v>26</v>
      </c>
      <c r="C318" s="13" t="s">
        <v>218</v>
      </c>
      <c r="D318" s="14" t="s">
        <v>158</v>
      </c>
      <c r="E318" s="13" t="s">
        <v>61</v>
      </c>
      <c r="F318" s="13" t="s">
        <v>220</v>
      </c>
      <c r="G318" s="13">
        <v>1.4499999999999995</v>
      </c>
      <c r="H318" s="15">
        <v>14992</v>
      </c>
      <c r="I318" s="16">
        <v>21738.399999999998</v>
      </c>
      <c r="J318" s="16">
        <v>14009.994582134401</v>
      </c>
      <c r="K318" s="16">
        <v>7728.4054178655997</v>
      </c>
      <c r="L318" s="13">
        <v>2.73</v>
      </c>
      <c r="M318" s="13"/>
      <c r="N318" s="17">
        <f t="shared" si="10"/>
        <v>40928.159999999996</v>
      </c>
      <c r="O318" s="17">
        <f t="shared" si="10"/>
        <v>0</v>
      </c>
      <c r="P318" s="17">
        <f t="shared" si="9"/>
        <v>40928.159999999996</v>
      </c>
      <c r="Q318" t="str">
        <f>A318&amp;"-"&amp;B318&amp;"-"&amp;D318</f>
        <v>JANUARI-MJ2-L4</v>
      </c>
    </row>
    <row r="319" spans="1:17" x14ac:dyDescent="0.25">
      <c r="A319" t="s">
        <v>388</v>
      </c>
      <c r="B319" s="13" t="s">
        <v>26</v>
      </c>
      <c r="C319" s="13" t="s">
        <v>218</v>
      </c>
      <c r="D319" s="14" t="s">
        <v>160</v>
      </c>
      <c r="E319" s="13" t="s">
        <v>61</v>
      </c>
      <c r="F319" s="13" t="s">
        <v>220</v>
      </c>
      <c r="G319" s="13">
        <v>1.4499999999999995</v>
      </c>
      <c r="H319" s="15">
        <v>15063</v>
      </c>
      <c r="I319" s="16">
        <v>21841.350000000002</v>
      </c>
      <c r="J319" s="16">
        <v>15379.586709260673</v>
      </c>
      <c r="K319" s="16">
        <v>6461.7632907393272</v>
      </c>
      <c r="L319" s="13">
        <v>2.73</v>
      </c>
      <c r="M319" s="13"/>
      <c r="N319" s="17">
        <f t="shared" si="10"/>
        <v>41121.99</v>
      </c>
      <c r="O319" s="17">
        <f t="shared" si="10"/>
        <v>0</v>
      </c>
      <c r="P319" s="17">
        <f t="shared" si="9"/>
        <v>41121.99</v>
      </c>
      <c r="Q319" t="str">
        <f>A319&amp;"-"&amp;B319&amp;"-"&amp;D319</f>
        <v>JANUARI-MJ2-L5</v>
      </c>
    </row>
    <row r="320" spans="1:17" x14ac:dyDescent="0.25">
      <c r="A320" t="s">
        <v>388</v>
      </c>
      <c r="B320" s="13" t="s">
        <v>26</v>
      </c>
      <c r="C320" s="13" t="s">
        <v>218</v>
      </c>
      <c r="D320" s="14" t="s">
        <v>163</v>
      </c>
      <c r="E320" s="13" t="s">
        <v>61</v>
      </c>
      <c r="F320" s="13" t="s">
        <v>220</v>
      </c>
      <c r="G320" s="13">
        <v>1.4499999999999995</v>
      </c>
      <c r="H320" s="15">
        <v>12402</v>
      </c>
      <c r="I320" s="16">
        <v>17982.899999999998</v>
      </c>
      <c r="J320" s="16">
        <v>12237.538803834428</v>
      </c>
      <c r="K320" s="16">
        <v>5745.3611961655724</v>
      </c>
      <c r="L320" s="13">
        <v>2.73</v>
      </c>
      <c r="M320" s="13"/>
      <c r="N320" s="17">
        <f t="shared" si="10"/>
        <v>33857.46</v>
      </c>
      <c r="O320" s="17">
        <f t="shared" si="10"/>
        <v>0</v>
      </c>
      <c r="P320" s="17">
        <f t="shared" si="9"/>
        <v>33857.46</v>
      </c>
      <c r="Q320" t="str">
        <f>A320&amp;"-"&amp;B320&amp;"-"&amp;D320</f>
        <v>JANUARI-MJ2-L6</v>
      </c>
    </row>
    <row r="321" spans="1:17" x14ac:dyDescent="0.25">
      <c r="A321" t="s">
        <v>388</v>
      </c>
      <c r="B321" s="13" t="s">
        <v>26</v>
      </c>
      <c r="C321" s="13" t="s">
        <v>218</v>
      </c>
      <c r="D321" s="14" t="s">
        <v>164</v>
      </c>
      <c r="E321" s="13" t="s">
        <v>61</v>
      </c>
      <c r="F321" s="13" t="s">
        <v>220</v>
      </c>
      <c r="G321" s="13">
        <v>1.4499999999999995</v>
      </c>
      <c r="H321" s="15">
        <v>12397</v>
      </c>
      <c r="I321" s="16">
        <v>17975.650000000001</v>
      </c>
      <c r="J321" s="16">
        <v>12232.632749461547</v>
      </c>
      <c r="K321" s="16">
        <v>5743.0172505384526</v>
      </c>
      <c r="L321" s="13">
        <v>2.73</v>
      </c>
      <c r="M321" s="13"/>
      <c r="N321" s="17">
        <f t="shared" si="10"/>
        <v>33843.81</v>
      </c>
      <c r="O321" s="17">
        <f t="shared" si="10"/>
        <v>0</v>
      </c>
      <c r="P321" s="17">
        <f t="shared" si="9"/>
        <v>33843.81</v>
      </c>
      <c r="Q321" t="str">
        <f>A321&amp;"-"&amp;B321&amp;"-"&amp;D321</f>
        <v>JANUARI-MJ2-L7</v>
      </c>
    </row>
    <row r="322" spans="1:17" x14ac:dyDescent="0.25">
      <c r="A322" t="s">
        <v>388</v>
      </c>
      <c r="B322" s="13" t="s">
        <v>26</v>
      </c>
      <c r="C322" s="13" t="s">
        <v>218</v>
      </c>
      <c r="D322" s="14" t="s">
        <v>198</v>
      </c>
      <c r="E322" s="13" t="s">
        <v>61</v>
      </c>
      <c r="F322" s="13" t="s">
        <v>220</v>
      </c>
      <c r="G322" s="13">
        <v>1.4499999999999995</v>
      </c>
      <c r="H322" s="15">
        <v>2517</v>
      </c>
      <c r="I322" s="16">
        <v>3649.6499999999996</v>
      </c>
      <c r="J322" s="16">
        <v>6546.3840867146328</v>
      </c>
      <c r="K322" s="16">
        <v>-2896.7340867146331</v>
      </c>
      <c r="L322" s="13">
        <v>2.73</v>
      </c>
      <c r="M322" s="13"/>
      <c r="N322" s="17">
        <f t="shared" si="10"/>
        <v>6871.41</v>
      </c>
      <c r="O322" s="17">
        <f t="shared" si="10"/>
        <v>0</v>
      </c>
      <c r="P322" s="17">
        <f t="shared" ref="P322:P385" si="11">N322+O322</f>
        <v>6871.41</v>
      </c>
      <c r="Q322" t="str">
        <f>A322&amp;"-"&amp;B322&amp;"-"&amp;D322</f>
        <v>JANUARI-MJ2-L8</v>
      </c>
    </row>
    <row r="323" spans="1:17" x14ac:dyDescent="0.25">
      <c r="A323" t="s">
        <v>388</v>
      </c>
      <c r="B323" s="13" t="s">
        <v>26</v>
      </c>
      <c r="C323" s="13" t="s">
        <v>218</v>
      </c>
      <c r="D323" s="14" t="s">
        <v>199</v>
      </c>
      <c r="E323" s="13" t="s">
        <v>61</v>
      </c>
      <c r="F323" s="13" t="s">
        <v>220</v>
      </c>
      <c r="G323" s="13">
        <v>1.4499999999999995</v>
      </c>
      <c r="H323" s="15">
        <v>2515</v>
      </c>
      <c r="I323" s="16">
        <v>3646.7499999999991</v>
      </c>
      <c r="J323" s="16">
        <v>7180.5074884141723</v>
      </c>
      <c r="K323" s="16">
        <v>-3533.7574884141723</v>
      </c>
      <c r="L323" s="13">
        <v>2.73</v>
      </c>
      <c r="M323" s="13"/>
      <c r="N323" s="17">
        <f t="shared" si="10"/>
        <v>6865.95</v>
      </c>
      <c r="O323" s="17">
        <f t="shared" si="10"/>
        <v>0</v>
      </c>
      <c r="P323" s="17">
        <f t="shared" si="11"/>
        <v>6865.95</v>
      </c>
      <c r="Q323" t="str">
        <f>A323&amp;"-"&amp;B323&amp;"-"&amp;D323</f>
        <v>JANUARI-MJ2-L9</v>
      </c>
    </row>
    <row r="324" spans="1:17" x14ac:dyDescent="0.25">
      <c r="A324" t="s">
        <v>388</v>
      </c>
      <c r="B324" s="13" t="s">
        <v>26</v>
      </c>
      <c r="C324" s="13" t="s">
        <v>226</v>
      </c>
      <c r="D324" s="14" t="s">
        <v>301</v>
      </c>
      <c r="E324" s="13" t="s">
        <v>61</v>
      </c>
      <c r="F324" s="13" t="s">
        <v>341</v>
      </c>
      <c r="G324" s="13">
        <v>0.82</v>
      </c>
      <c r="H324" s="15">
        <v>342</v>
      </c>
      <c r="I324" s="16">
        <v>280.44</v>
      </c>
      <c r="J324" s="16">
        <v>673.67806841046274</v>
      </c>
      <c r="K324" s="16">
        <v>-393.23806841046274</v>
      </c>
      <c r="L324" s="13">
        <v>2.5499999999999998</v>
      </c>
      <c r="M324" s="13"/>
      <c r="N324" s="17">
        <f t="shared" si="10"/>
        <v>872.09999999999991</v>
      </c>
      <c r="O324" s="17">
        <f t="shared" si="10"/>
        <v>0</v>
      </c>
      <c r="P324" s="17">
        <f t="shared" si="11"/>
        <v>872.09999999999991</v>
      </c>
      <c r="Q324" t="str">
        <f>A324&amp;"-"&amp;B324&amp;"-"&amp;D324</f>
        <v>JANUARI-MJ2-L10</v>
      </c>
    </row>
    <row r="325" spans="1:17" x14ac:dyDescent="0.25">
      <c r="A325" t="s">
        <v>388</v>
      </c>
      <c r="B325" s="13" t="s">
        <v>26</v>
      </c>
      <c r="C325" s="13" t="s">
        <v>226</v>
      </c>
      <c r="D325" s="14" t="s">
        <v>301</v>
      </c>
      <c r="E325" s="13" t="s">
        <v>61</v>
      </c>
      <c r="F325" s="13" t="s">
        <v>342</v>
      </c>
      <c r="G325" s="13">
        <v>0.82</v>
      </c>
      <c r="H325" s="15">
        <v>840</v>
      </c>
      <c r="I325" s="16">
        <v>688.8</v>
      </c>
      <c r="J325" s="16">
        <v>1540.447104494516</v>
      </c>
      <c r="K325" s="16">
        <v>-851.64710449451604</v>
      </c>
      <c r="L325" s="13">
        <v>2.5499999999999998</v>
      </c>
      <c r="M325" s="13"/>
      <c r="N325" s="17">
        <f t="shared" si="10"/>
        <v>2142</v>
      </c>
      <c r="O325" s="17">
        <f t="shared" si="10"/>
        <v>0</v>
      </c>
      <c r="P325" s="17">
        <f t="shared" si="11"/>
        <v>2142</v>
      </c>
      <c r="Q325" t="str">
        <f>A325&amp;"-"&amp;B325&amp;"-"&amp;D325</f>
        <v>JANUARI-MJ2-L10</v>
      </c>
    </row>
    <row r="326" spans="1:17" x14ac:dyDescent="0.25">
      <c r="A326" t="s">
        <v>388</v>
      </c>
      <c r="B326" s="13" t="s">
        <v>26</v>
      </c>
      <c r="C326" s="13" t="s">
        <v>226</v>
      </c>
      <c r="D326" s="14" t="s">
        <v>301</v>
      </c>
      <c r="E326" s="13" t="s">
        <v>61</v>
      </c>
      <c r="F326" s="13" t="s">
        <v>343</v>
      </c>
      <c r="G326" s="13">
        <v>0.82</v>
      </c>
      <c r="H326" s="15">
        <v>558</v>
      </c>
      <c r="I326" s="16">
        <v>457.56</v>
      </c>
      <c r="J326" s="16">
        <v>1096.7887631301276</v>
      </c>
      <c r="K326" s="16">
        <v>-639.22876313012739</v>
      </c>
      <c r="L326" s="13">
        <v>2.5499999999999998</v>
      </c>
      <c r="M326" s="13"/>
      <c r="N326" s="17">
        <f t="shared" si="10"/>
        <v>1422.8999999999999</v>
      </c>
      <c r="O326" s="17">
        <f t="shared" si="10"/>
        <v>0</v>
      </c>
      <c r="P326" s="17">
        <f t="shared" si="11"/>
        <v>1422.8999999999999</v>
      </c>
      <c r="Q326" t="str">
        <f>A326&amp;"-"&amp;B326&amp;"-"&amp;D326</f>
        <v>JANUARI-MJ2-L10</v>
      </c>
    </row>
    <row r="327" spans="1:17" x14ac:dyDescent="0.25">
      <c r="A327" t="s">
        <v>388</v>
      </c>
      <c r="B327" s="13" t="s">
        <v>26</v>
      </c>
      <c r="C327" s="13" t="s">
        <v>226</v>
      </c>
      <c r="D327" s="14" t="s">
        <v>301</v>
      </c>
      <c r="E327" s="13" t="s">
        <v>61</v>
      </c>
      <c r="F327" s="13" t="s">
        <v>344</v>
      </c>
      <c r="G327" s="13">
        <v>0.82000000000000006</v>
      </c>
      <c r="H327" s="15">
        <v>1066</v>
      </c>
      <c r="I327" s="16">
        <v>874.11999999999989</v>
      </c>
      <c r="J327" s="16">
        <v>2173.4650416897375</v>
      </c>
      <c r="K327" s="16">
        <v>-1299.3450416897376</v>
      </c>
      <c r="L327" s="13">
        <v>2.5499999999999998</v>
      </c>
      <c r="M327" s="13"/>
      <c r="N327" s="17">
        <f t="shared" si="10"/>
        <v>2718.2999999999997</v>
      </c>
      <c r="O327" s="17">
        <f t="shared" si="10"/>
        <v>0</v>
      </c>
      <c r="P327" s="17">
        <f t="shared" si="11"/>
        <v>2718.2999999999997</v>
      </c>
      <c r="Q327" t="str">
        <f>A327&amp;"-"&amp;B327&amp;"-"&amp;D327</f>
        <v>JANUARI-MJ2-L10</v>
      </c>
    </row>
    <row r="328" spans="1:17" x14ac:dyDescent="0.25">
      <c r="A328" t="s">
        <v>388</v>
      </c>
      <c r="B328" s="13" t="s">
        <v>26</v>
      </c>
      <c r="C328" s="13" t="s">
        <v>226</v>
      </c>
      <c r="D328" s="14" t="s">
        <v>301</v>
      </c>
      <c r="E328" s="13" t="s">
        <v>61</v>
      </c>
      <c r="F328" s="13" t="s">
        <v>345</v>
      </c>
      <c r="G328" s="13">
        <v>0.82000000000000017</v>
      </c>
      <c r="H328" s="15">
        <v>1691</v>
      </c>
      <c r="I328" s="16">
        <v>1386.6199999999997</v>
      </c>
      <c r="J328" s="16">
        <v>3731.5568326279358</v>
      </c>
      <c r="K328" s="16">
        <v>-2344.9368326279359</v>
      </c>
      <c r="L328" s="13">
        <v>2.5499999999999998</v>
      </c>
      <c r="M328" s="13"/>
      <c r="N328" s="17">
        <f t="shared" si="10"/>
        <v>4312.0499999999993</v>
      </c>
      <c r="O328" s="17">
        <f t="shared" si="10"/>
        <v>0</v>
      </c>
      <c r="P328" s="17">
        <f t="shared" si="11"/>
        <v>4312.0499999999993</v>
      </c>
      <c r="Q328" t="str">
        <f>A328&amp;"-"&amp;B328&amp;"-"&amp;D328</f>
        <v>JANUARI-MJ2-L10</v>
      </c>
    </row>
    <row r="329" spans="1:17" x14ac:dyDescent="0.25">
      <c r="A329" t="s">
        <v>388</v>
      </c>
      <c r="B329" s="13" t="s">
        <v>26</v>
      </c>
      <c r="C329" s="13" t="s">
        <v>226</v>
      </c>
      <c r="D329" s="14" t="s">
        <v>287</v>
      </c>
      <c r="E329" s="13" t="s">
        <v>61</v>
      </c>
      <c r="F329" s="13" t="s">
        <v>341</v>
      </c>
      <c r="G329" s="13">
        <v>0.82</v>
      </c>
      <c r="H329" s="15">
        <v>342</v>
      </c>
      <c r="I329" s="16">
        <v>280.44</v>
      </c>
      <c r="J329" s="16">
        <v>729.45098039215691</v>
      </c>
      <c r="K329" s="16">
        <v>-449.01098039215691</v>
      </c>
      <c r="L329" s="13">
        <v>2.5499999999999998</v>
      </c>
      <c r="M329" s="13"/>
      <c r="N329" s="17">
        <f t="shared" si="10"/>
        <v>872.09999999999991</v>
      </c>
      <c r="O329" s="17">
        <f t="shared" si="10"/>
        <v>0</v>
      </c>
      <c r="P329" s="17">
        <f t="shared" si="11"/>
        <v>872.09999999999991</v>
      </c>
      <c r="Q329" t="str">
        <f>A329&amp;"-"&amp;B329&amp;"-"&amp;D329</f>
        <v>JANUARI-MJ2-L11</v>
      </c>
    </row>
    <row r="330" spans="1:17" x14ac:dyDescent="0.25">
      <c r="A330" t="s">
        <v>388</v>
      </c>
      <c r="B330" s="13" t="s">
        <v>26</v>
      </c>
      <c r="C330" s="13" t="s">
        <v>226</v>
      </c>
      <c r="D330" s="14" t="s">
        <v>287</v>
      </c>
      <c r="E330" s="13" t="s">
        <v>61</v>
      </c>
      <c r="F330" s="13" t="s">
        <v>342</v>
      </c>
      <c r="G330" s="13">
        <v>0.82</v>
      </c>
      <c r="H330" s="15">
        <v>841</v>
      </c>
      <c r="I330" s="16">
        <v>689.62</v>
      </c>
      <c r="J330" s="16">
        <v>1547.5873492888718</v>
      </c>
      <c r="K330" s="16">
        <v>-857.96734928887201</v>
      </c>
      <c r="L330" s="13">
        <v>2.5499999999999998</v>
      </c>
      <c r="M330" s="13"/>
      <c r="N330" s="17">
        <f t="shared" si="10"/>
        <v>2144.5499999999997</v>
      </c>
      <c r="O330" s="17">
        <f t="shared" si="10"/>
        <v>0</v>
      </c>
      <c r="P330" s="17">
        <f t="shared" si="11"/>
        <v>2144.5499999999997</v>
      </c>
      <c r="Q330" t="str">
        <f>A330&amp;"-"&amp;B330&amp;"-"&amp;D330</f>
        <v>JANUARI-MJ2-L11</v>
      </c>
    </row>
    <row r="331" spans="1:17" x14ac:dyDescent="0.25">
      <c r="A331" t="s">
        <v>388</v>
      </c>
      <c r="B331" s="13" t="s">
        <v>26</v>
      </c>
      <c r="C331" s="13" t="s">
        <v>226</v>
      </c>
      <c r="D331" s="14" t="s">
        <v>287</v>
      </c>
      <c r="E331" s="13" t="s">
        <v>61</v>
      </c>
      <c r="F331" s="13" t="s">
        <v>343</v>
      </c>
      <c r="G331" s="13">
        <v>0.82</v>
      </c>
      <c r="H331" s="15">
        <v>2411</v>
      </c>
      <c r="I331" s="16">
        <v>1977.02</v>
      </c>
      <c r="J331" s="16">
        <v>2937</v>
      </c>
      <c r="K331" s="16">
        <v>-959.9799999999999</v>
      </c>
      <c r="L331" s="13">
        <v>2.5499999999999998</v>
      </c>
      <c r="M331" s="13"/>
      <c r="N331" s="17">
        <f t="shared" si="10"/>
        <v>6148.0499999999993</v>
      </c>
      <c r="O331" s="17">
        <f t="shared" si="10"/>
        <v>0</v>
      </c>
      <c r="P331" s="17">
        <f t="shared" si="11"/>
        <v>6148.0499999999993</v>
      </c>
      <c r="Q331" t="str">
        <f>A331&amp;"-"&amp;B331&amp;"-"&amp;D331</f>
        <v>JANUARI-MJ2-L11</v>
      </c>
    </row>
    <row r="332" spans="1:17" x14ac:dyDescent="0.25">
      <c r="A332" t="s">
        <v>388</v>
      </c>
      <c r="B332" s="13" t="s">
        <v>26</v>
      </c>
      <c r="C332" s="13" t="s">
        <v>226</v>
      </c>
      <c r="D332" s="14" t="s">
        <v>287</v>
      </c>
      <c r="E332" s="13" t="s">
        <v>61</v>
      </c>
      <c r="F332" s="13" t="s">
        <v>344</v>
      </c>
      <c r="G332" s="13">
        <v>0.82000000000000006</v>
      </c>
      <c r="H332" s="15">
        <v>1090</v>
      </c>
      <c r="I332" s="16">
        <v>893.8</v>
      </c>
      <c r="J332" s="16">
        <v>3800.3709699921451</v>
      </c>
      <c r="K332" s="16">
        <v>-2906.5709699921458</v>
      </c>
      <c r="L332" s="13">
        <v>2.5499999999999998</v>
      </c>
      <c r="M332" s="13"/>
      <c r="N332" s="17">
        <f t="shared" si="10"/>
        <v>2779.5</v>
      </c>
      <c r="O332" s="17">
        <f t="shared" si="10"/>
        <v>0</v>
      </c>
      <c r="P332" s="17">
        <f t="shared" si="11"/>
        <v>2779.5</v>
      </c>
      <c r="Q332" t="str">
        <f>A332&amp;"-"&amp;B332&amp;"-"&amp;D332</f>
        <v>JANUARI-MJ2-L11</v>
      </c>
    </row>
    <row r="333" spans="1:17" x14ac:dyDescent="0.25">
      <c r="A333" t="s">
        <v>388</v>
      </c>
      <c r="B333" s="13" t="s">
        <v>26</v>
      </c>
      <c r="C333" s="13" t="s">
        <v>226</v>
      </c>
      <c r="D333" s="14" t="s">
        <v>287</v>
      </c>
      <c r="E333" s="13" t="s">
        <v>61</v>
      </c>
      <c r="F333" s="13" t="s">
        <v>345</v>
      </c>
      <c r="G333" s="13">
        <v>0.82000000000000006</v>
      </c>
      <c r="H333" s="15">
        <v>838</v>
      </c>
      <c r="I333" s="16">
        <v>687.16</v>
      </c>
      <c r="J333" s="16">
        <v>2602.5567697698825</v>
      </c>
      <c r="K333" s="16">
        <v>-1915.3967697698831</v>
      </c>
      <c r="L333" s="13">
        <v>2.5499999999999998</v>
      </c>
      <c r="M333" s="13"/>
      <c r="N333" s="17">
        <f t="shared" si="10"/>
        <v>2136.8999999999996</v>
      </c>
      <c r="O333" s="17">
        <f t="shared" si="10"/>
        <v>0</v>
      </c>
      <c r="P333" s="17">
        <f t="shared" si="11"/>
        <v>2136.8999999999996</v>
      </c>
      <c r="Q333" t="str">
        <f>A333&amp;"-"&amp;B333&amp;"-"&amp;D333</f>
        <v>JANUARI-MJ2-L11</v>
      </c>
    </row>
    <row r="334" spans="1:17" x14ac:dyDescent="0.25">
      <c r="A334" t="s">
        <v>388</v>
      </c>
      <c r="B334" s="13" t="s">
        <v>26</v>
      </c>
      <c r="C334" s="13" t="s">
        <v>226</v>
      </c>
      <c r="D334" s="14" t="s">
        <v>310</v>
      </c>
      <c r="E334" s="13" t="s">
        <v>61</v>
      </c>
      <c r="F334" s="13" t="s">
        <v>346</v>
      </c>
      <c r="G334" s="13">
        <v>1.99</v>
      </c>
      <c r="H334" s="15">
        <v>4655</v>
      </c>
      <c r="I334" s="16">
        <v>9263.4500000000007</v>
      </c>
      <c r="J334" s="16">
        <v>1665.3946058828756</v>
      </c>
      <c r="K334" s="16">
        <v>7598.0553941171247</v>
      </c>
      <c r="L334" s="13">
        <v>3.58</v>
      </c>
      <c r="M334" s="13"/>
      <c r="N334" s="17">
        <f t="shared" si="10"/>
        <v>16664.900000000001</v>
      </c>
      <c r="O334" s="17">
        <f t="shared" si="10"/>
        <v>0</v>
      </c>
      <c r="P334" s="17">
        <f t="shared" si="11"/>
        <v>16664.900000000001</v>
      </c>
      <c r="Q334" t="str">
        <f>A334&amp;"-"&amp;B334&amp;"-"&amp;D334</f>
        <v>JANUARI-MJ2-L12</v>
      </c>
    </row>
    <row r="335" spans="1:17" x14ac:dyDescent="0.25">
      <c r="A335" t="s">
        <v>388</v>
      </c>
      <c r="B335" s="13" t="s">
        <v>26</v>
      </c>
      <c r="C335" s="13" t="s">
        <v>226</v>
      </c>
      <c r="D335" s="14" t="s">
        <v>310</v>
      </c>
      <c r="E335" s="13" t="s">
        <v>61</v>
      </c>
      <c r="F335" s="13" t="s">
        <v>347</v>
      </c>
      <c r="G335" s="13">
        <v>0.79</v>
      </c>
      <c r="H335" s="15">
        <v>600</v>
      </c>
      <c r="I335" s="16">
        <v>474</v>
      </c>
      <c r="J335" s="16">
        <v>220.6611570247934</v>
      </c>
      <c r="K335" s="16">
        <v>253.3388429752066</v>
      </c>
      <c r="L335" s="13">
        <v>2.15</v>
      </c>
      <c r="M335" s="13"/>
      <c r="N335" s="17">
        <f t="shared" si="10"/>
        <v>1290</v>
      </c>
      <c r="O335" s="17">
        <f t="shared" si="10"/>
        <v>0</v>
      </c>
      <c r="P335" s="17">
        <f t="shared" si="11"/>
        <v>1290</v>
      </c>
      <c r="Q335" t="str">
        <f>A335&amp;"-"&amp;B335&amp;"-"&amp;D335</f>
        <v>JANUARI-MJ2-L12</v>
      </c>
    </row>
    <row r="336" spans="1:17" x14ac:dyDescent="0.25">
      <c r="A336" t="s">
        <v>388</v>
      </c>
      <c r="B336" s="13" t="s">
        <v>26</v>
      </c>
      <c r="C336" s="13" t="s">
        <v>226</v>
      </c>
      <c r="D336" s="14" t="s">
        <v>310</v>
      </c>
      <c r="E336" s="13" t="s">
        <v>61</v>
      </c>
      <c r="F336" s="13" t="s">
        <v>348</v>
      </c>
      <c r="G336" s="13">
        <v>0.76</v>
      </c>
      <c r="H336" s="15">
        <v>1895</v>
      </c>
      <c r="I336" s="16">
        <v>1440.2</v>
      </c>
      <c r="J336" s="16">
        <v>713.5403846153846</v>
      </c>
      <c r="K336" s="16">
        <v>726.65961538461545</v>
      </c>
      <c r="L336" s="13">
        <v>2.02</v>
      </c>
      <c r="M336" s="13"/>
      <c r="N336" s="17">
        <f t="shared" si="10"/>
        <v>3827.9</v>
      </c>
      <c r="O336" s="17">
        <f t="shared" si="10"/>
        <v>0</v>
      </c>
      <c r="P336" s="17">
        <f t="shared" si="11"/>
        <v>3827.9</v>
      </c>
      <c r="Q336" t="str">
        <f>A336&amp;"-"&amp;B336&amp;"-"&amp;D336</f>
        <v>JANUARI-MJ2-L12</v>
      </c>
    </row>
    <row r="337" spans="1:17" x14ac:dyDescent="0.25">
      <c r="A337" t="s">
        <v>388</v>
      </c>
      <c r="B337" s="13" t="s">
        <v>26</v>
      </c>
      <c r="C337" s="13" t="s">
        <v>226</v>
      </c>
      <c r="D337" s="14" t="s">
        <v>310</v>
      </c>
      <c r="E337" s="13" t="s">
        <v>61</v>
      </c>
      <c r="F337" s="13" t="s">
        <v>349</v>
      </c>
      <c r="G337" s="13">
        <v>0.74</v>
      </c>
      <c r="H337" s="15">
        <v>5</v>
      </c>
      <c r="I337" s="16">
        <v>3.7</v>
      </c>
      <c r="J337" s="16">
        <v>1.8826923076923079</v>
      </c>
      <c r="K337" s="16">
        <v>1.8173076923076923</v>
      </c>
      <c r="L337" s="13">
        <v>2.16</v>
      </c>
      <c r="M337" s="13"/>
      <c r="N337" s="17">
        <f t="shared" si="10"/>
        <v>10.8</v>
      </c>
      <c r="O337" s="17">
        <f t="shared" si="10"/>
        <v>0</v>
      </c>
      <c r="P337" s="17">
        <f t="shared" si="11"/>
        <v>10.8</v>
      </c>
      <c r="Q337" t="str">
        <f>A337&amp;"-"&amp;B337&amp;"-"&amp;D337</f>
        <v>JANUARI-MJ2-L12</v>
      </c>
    </row>
    <row r="338" spans="1:17" x14ac:dyDescent="0.25">
      <c r="A338" t="s">
        <v>388</v>
      </c>
      <c r="B338" s="13" t="s">
        <v>26</v>
      </c>
      <c r="C338" s="13" t="s">
        <v>226</v>
      </c>
      <c r="D338" s="14" t="s">
        <v>310</v>
      </c>
      <c r="E338" s="13" t="s">
        <v>61</v>
      </c>
      <c r="F338" s="13" t="s">
        <v>350</v>
      </c>
      <c r="G338" s="13">
        <v>0.76</v>
      </c>
      <c r="H338" s="15">
        <v>4565</v>
      </c>
      <c r="I338" s="16">
        <v>3469.4</v>
      </c>
      <c r="J338" s="16">
        <v>1698.8017645662712</v>
      </c>
      <c r="K338" s="16">
        <v>1770.5982354337289</v>
      </c>
      <c r="L338" s="13">
        <v>2.02</v>
      </c>
      <c r="M338" s="13"/>
      <c r="N338" s="17">
        <f t="shared" si="10"/>
        <v>9221.2999999999993</v>
      </c>
      <c r="O338" s="17">
        <f t="shared" si="10"/>
        <v>0</v>
      </c>
      <c r="P338" s="17">
        <f t="shared" si="11"/>
        <v>9221.2999999999993</v>
      </c>
      <c r="Q338" t="str">
        <f>A338&amp;"-"&amp;B338&amp;"-"&amp;D338</f>
        <v>JANUARI-MJ2-L12</v>
      </c>
    </row>
    <row r="339" spans="1:17" x14ac:dyDescent="0.25">
      <c r="A339" t="s">
        <v>388</v>
      </c>
      <c r="B339" s="13" t="s">
        <v>26</v>
      </c>
      <c r="C339" s="13" t="s">
        <v>226</v>
      </c>
      <c r="D339" s="14" t="s">
        <v>310</v>
      </c>
      <c r="E339" s="13" t="s">
        <v>61</v>
      </c>
      <c r="F339" s="13" t="s">
        <v>351</v>
      </c>
      <c r="G339" s="13">
        <v>0.74</v>
      </c>
      <c r="H339" s="15">
        <v>60</v>
      </c>
      <c r="I339" s="16">
        <v>44.400000000000006</v>
      </c>
      <c r="J339" s="16">
        <v>21.981753014011076</v>
      </c>
      <c r="K339" s="16">
        <v>22.418246985988926</v>
      </c>
      <c r="L339" s="13">
        <v>2.16</v>
      </c>
      <c r="M339" s="13"/>
      <c r="N339" s="17">
        <f t="shared" si="10"/>
        <v>129.60000000000002</v>
      </c>
      <c r="O339" s="17">
        <f t="shared" si="10"/>
        <v>0</v>
      </c>
      <c r="P339" s="17">
        <f t="shared" si="11"/>
        <v>129.60000000000002</v>
      </c>
      <c r="Q339" t="str">
        <f>A339&amp;"-"&amp;B339&amp;"-"&amp;D339</f>
        <v>JANUARI-MJ2-L12</v>
      </c>
    </row>
    <row r="340" spans="1:17" x14ac:dyDescent="0.25">
      <c r="A340" t="s">
        <v>388</v>
      </c>
      <c r="B340" s="13" t="s">
        <v>26</v>
      </c>
      <c r="C340" s="13" t="s">
        <v>226</v>
      </c>
      <c r="D340" s="14" t="s">
        <v>320</v>
      </c>
      <c r="E340" s="13" t="s">
        <v>61</v>
      </c>
      <c r="F340" s="13" t="s">
        <v>346</v>
      </c>
      <c r="G340" s="13">
        <v>1.99</v>
      </c>
      <c r="H340" s="15">
        <v>2765</v>
      </c>
      <c r="I340" s="16">
        <v>5502.35</v>
      </c>
      <c r="J340" s="16">
        <v>889.56149116269171</v>
      </c>
      <c r="K340" s="16">
        <v>4612.7885088373077</v>
      </c>
      <c r="L340" s="13">
        <v>3.58</v>
      </c>
      <c r="M340" s="13"/>
      <c r="N340" s="17">
        <f t="shared" si="10"/>
        <v>9898.7000000000007</v>
      </c>
      <c r="O340" s="17">
        <f t="shared" si="10"/>
        <v>0</v>
      </c>
      <c r="P340" s="17">
        <f t="shared" si="11"/>
        <v>9898.7000000000007</v>
      </c>
      <c r="Q340" t="str">
        <f>A340&amp;"-"&amp;B340&amp;"-"&amp;D340</f>
        <v>JANUARI-MJ2-L13</v>
      </c>
    </row>
    <row r="341" spans="1:17" x14ac:dyDescent="0.25">
      <c r="A341" t="s">
        <v>388</v>
      </c>
      <c r="B341" s="13" t="s">
        <v>26</v>
      </c>
      <c r="C341" s="13" t="s">
        <v>226</v>
      </c>
      <c r="D341" s="14" t="s">
        <v>320</v>
      </c>
      <c r="E341" s="13" t="s">
        <v>61</v>
      </c>
      <c r="F341" s="13" t="s">
        <v>352</v>
      </c>
      <c r="G341" s="13">
        <v>0.72</v>
      </c>
      <c r="H341" s="15">
        <v>1090</v>
      </c>
      <c r="I341" s="16">
        <v>784.8</v>
      </c>
      <c r="J341" s="16">
        <v>333.47187500000001</v>
      </c>
      <c r="K341" s="16">
        <v>451.32812499999994</v>
      </c>
      <c r="L341" s="13">
        <v>2.31</v>
      </c>
      <c r="M341" s="13"/>
      <c r="N341" s="17">
        <f t="shared" si="10"/>
        <v>2517.9</v>
      </c>
      <c r="O341" s="17">
        <f t="shared" si="10"/>
        <v>0</v>
      </c>
      <c r="P341" s="17">
        <f t="shared" si="11"/>
        <v>2517.9</v>
      </c>
      <c r="Q341" t="str">
        <f>A341&amp;"-"&amp;B341&amp;"-"&amp;D341</f>
        <v>JANUARI-MJ2-L13</v>
      </c>
    </row>
    <row r="342" spans="1:17" x14ac:dyDescent="0.25">
      <c r="A342" t="s">
        <v>388</v>
      </c>
      <c r="B342" s="13" t="s">
        <v>26</v>
      </c>
      <c r="C342" s="13" t="s">
        <v>226</v>
      </c>
      <c r="D342" s="14" t="s">
        <v>320</v>
      </c>
      <c r="E342" s="13" t="s">
        <v>61</v>
      </c>
      <c r="F342" s="13" t="s">
        <v>348</v>
      </c>
      <c r="G342" s="13">
        <v>0.76</v>
      </c>
      <c r="H342" s="15">
        <v>5125</v>
      </c>
      <c r="I342" s="16">
        <v>3895</v>
      </c>
      <c r="J342" s="16">
        <v>1821.4308104161596</v>
      </c>
      <c r="K342" s="16">
        <v>2073.5691895838404</v>
      </c>
      <c r="L342" s="13">
        <v>2.02</v>
      </c>
      <c r="M342" s="13"/>
      <c r="N342" s="17">
        <f t="shared" si="10"/>
        <v>10352.5</v>
      </c>
      <c r="O342" s="17">
        <f t="shared" si="10"/>
        <v>0</v>
      </c>
      <c r="P342" s="17">
        <f t="shared" si="11"/>
        <v>10352.5</v>
      </c>
      <c r="Q342" t="str">
        <f>A342&amp;"-"&amp;B342&amp;"-"&amp;D342</f>
        <v>JANUARI-MJ2-L13</v>
      </c>
    </row>
    <row r="343" spans="1:17" x14ac:dyDescent="0.25">
      <c r="A343" t="s">
        <v>388</v>
      </c>
      <c r="B343" s="13" t="s">
        <v>26</v>
      </c>
      <c r="C343" s="13" t="s">
        <v>226</v>
      </c>
      <c r="D343" s="14" t="s">
        <v>320</v>
      </c>
      <c r="E343" s="13" t="s">
        <v>61</v>
      </c>
      <c r="F343" s="13" t="s">
        <v>349</v>
      </c>
      <c r="G343" s="13">
        <v>0.74</v>
      </c>
      <c r="H343" s="15">
        <v>1240</v>
      </c>
      <c r="I343" s="16">
        <v>917.59999999999991</v>
      </c>
      <c r="J343" s="16">
        <v>417.96219781779831</v>
      </c>
      <c r="K343" s="16">
        <v>499.63780218220165</v>
      </c>
      <c r="L343" s="13">
        <v>2.16</v>
      </c>
      <c r="M343" s="13"/>
      <c r="N343" s="17">
        <f t="shared" si="10"/>
        <v>2678.4</v>
      </c>
      <c r="O343" s="17">
        <f t="shared" si="10"/>
        <v>0</v>
      </c>
      <c r="P343" s="17">
        <f t="shared" si="11"/>
        <v>2678.4</v>
      </c>
      <c r="Q343" t="str">
        <f>A343&amp;"-"&amp;B343&amp;"-"&amp;D343</f>
        <v>JANUARI-MJ2-L13</v>
      </c>
    </row>
    <row r="344" spans="1:17" x14ac:dyDescent="0.25">
      <c r="A344" t="s">
        <v>388</v>
      </c>
      <c r="B344" s="13" t="s">
        <v>26</v>
      </c>
      <c r="C344" s="13" t="s">
        <v>226</v>
      </c>
      <c r="D344" s="14" t="s">
        <v>320</v>
      </c>
      <c r="E344" s="13" t="s">
        <v>61</v>
      </c>
      <c r="F344" s="13" t="s">
        <v>350</v>
      </c>
      <c r="G344" s="13">
        <v>0.76000000000000012</v>
      </c>
      <c r="H344" s="15">
        <v>2955</v>
      </c>
      <c r="I344" s="16">
        <v>2245.8000000000002</v>
      </c>
      <c r="J344" s="16">
        <v>1157.0623977045907</v>
      </c>
      <c r="K344" s="16">
        <v>1088.7376022954093</v>
      </c>
      <c r="L344" s="13">
        <v>2.02</v>
      </c>
      <c r="M344" s="13"/>
      <c r="N344" s="17">
        <f t="shared" si="10"/>
        <v>5969.1</v>
      </c>
      <c r="O344" s="17">
        <f t="shared" si="10"/>
        <v>0</v>
      </c>
      <c r="P344" s="17">
        <f t="shared" si="11"/>
        <v>5969.1</v>
      </c>
      <c r="Q344" t="str">
        <f>A344&amp;"-"&amp;B344&amp;"-"&amp;D344</f>
        <v>JANUARI-MJ2-L13</v>
      </c>
    </row>
    <row r="345" spans="1:17" x14ac:dyDescent="0.25">
      <c r="A345" t="s">
        <v>388</v>
      </c>
      <c r="B345" s="13" t="s">
        <v>26</v>
      </c>
      <c r="C345" s="13" t="s">
        <v>226</v>
      </c>
      <c r="D345" s="14" t="s">
        <v>320</v>
      </c>
      <c r="E345" s="13" t="s">
        <v>61</v>
      </c>
      <c r="F345" s="13" t="s">
        <v>351</v>
      </c>
      <c r="G345" s="13">
        <v>0.74</v>
      </c>
      <c r="H345" s="15">
        <v>1190</v>
      </c>
      <c r="I345" s="16">
        <v>880.59999999999991</v>
      </c>
      <c r="J345" s="16">
        <v>449.33875</v>
      </c>
      <c r="K345" s="16">
        <v>431.26124999999996</v>
      </c>
      <c r="L345" s="13">
        <v>2.16</v>
      </c>
      <c r="M345" s="13"/>
      <c r="N345" s="17">
        <f t="shared" si="10"/>
        <v>2570.4</v>
      </c>
      <c r="O345" s="17">
        <f t="shared" si="10"/>
        <v>0</v>
      </c>
      <c r="P345" s="17">
        <f t="shared" si="11"/>
        <v>2570.4</v>
      </c>
      <c r="Q345" t="str">
        <f>A345&amp;"-"&amp;B345&amp;"-"&amp;D345</f>
        <v>JANUARI-MJ2-L13</v>
      </c>
    </row>
    <row r="346" spans="1:17" x14ac:dyDescent="0.25">
      <c r="A346" t="s">
        <v>388</v>
      </c>
      <c r="B346" s="13" t="s">
        <v>26</v>
      </c>
      <c r="C346" s="13" t="s">
        <v>226</v>
      </c>
      <c r="D346" s="14" t="s">
        <v>158</v>
      </c>
      <c r="E346" s="13" t="s">
        <v>61</v>
      </c>
      <c r="F346" s="13" t="s">
        <v>346</v>
      </c>
      <c r="G346" s="13">
        <v>1.99</v>
      </c>
      <c r="H346" s="15">
        <v>2206</v>
      </c>
      <c r="I346" s="16">
        <v>4389.9399999999996</v>
      </c>
      <c r="J346" s="16">
        <v>1773.2137500000001</v>
      </c>
      <c r="K346" s="16">
        <v>2616.7262499999997</v>
      </c>
      <c r="L346" s="13">
        <v>3.58</v>
      </c>
      <c r="M346" s="13"/>
      <c r="N346" s="17">
        <f t="shared" si="10"/>
        <v>7897.4800000000005</v>
      </c>
      <c r="O346" s="17">
        <f t="shared" si="10"/>
        <v>0</v>
      </c>
      <c r="P346" s="17">
        <f t="shared" si="11"/>
        <v>7897.4800000000005</v>
      </c>
      <c r="Q346" t="str">
        <f>A346&amp;"-"&amp;B346&amp;"-"&amp;D346</f>
        <v>JANUARI-MJ2-L4</v>
      </c>
    </row>
    <row r="347" spans="1:17" x14ac:dyDescent="0.25">
      <c r="A347" t="s">
        <v>388</v>
      </c>
      <c r="B347" s="13" t="s">
        <v>26</v>
      </c>
      <c r="C347" s="13" t="s">
        <v>226</v>
      </c>
      <c r="D347" s="14" t="s">
        <v>158</v>
      </c>
      <c r="E347" s="13" t="s">
        <v>61</v>
      </c>
      <c r="F347" s="13" t="s">
        <v>352</v>
      </c>
      <c r="G347" s="13">
        <v>0.72</v>
      </c>
      <c r="H347" s="15">
        <v>462</v>
      </c>
      <c r="I347" s="16">
        <v>332.64</v>
      </c>
      <c r="J347" s="16">
        <v>282.68625000000003</v>
      </c>
      <c r="K347" s="16">
        <v>49.953749999999957</v>
      </c>
      <c r="L347" s="13">
        <v>2.31</v>
      </c>
      <c r="M347" s="13"/>
      <c r="N347" s="17">
        <f t="shared" si="10"/>
        <v>1067.22</v>
      </c>
      <c r="O347" s="17">
        <f t="shared" si="10"/>
        <v>0</v>
      </c>
      <c r="P347" s="17">
        <f t="shared" si="11"/>
        <v>1067.22</v>
      </c>
      <c r="Q347" t="str">
        <f>A347&amp;"-"&amp;B347&amp;"-"&amp;D347</f>
        <v>JANUARI-MJ2-L4</v>
      </c>
    </row>
    <row r="348" spans="1:17" x14ac:dyDescent="0.25">
      <c r="A348" t="s">
        <v>388</v>
      </c>
      <c r="B348" s="13" t="s">
        <v>26</v>
      </c>
      <c r="C348" s="13" t="s">
        <v>226</v>
      </c>
      <c r="D348" s="14" t="s">
        <v>158</v>
      </c>
      <c r="E348" s="13" t="s">
        <v>61</v>
      </c>
      <c r="F348" s="13" t="s">
        <v>353</v>
      </c>
      <c r="G348" s="13">
        <v>0.79</v>
      </c>
      <c r="H348" s="15">
        <v>4920</v>
      </c>
      <c r="I348" s="16">
        <v>3886.8</v>
      </c>
      <c r="J348" s="16">
        <v>2651.3969924812027</v>
      </c>
      <c r="K348" s="16">
        <v>1235.4030075187975</v>
      </c>
      <c r="L348" s="13">
        <v>2.15</v>
      </c>
      <c r="M348" s="13"/>
      <c r="N348" s="17">
        <f t="shared" si="10"/>
        <v>10578</v>
      </c>
      <c r="O348" s="17">
        <f t="shared" si="10"/>
        <v>0</v>
      </c>
      <c r="P348" s="17">
        <f t="shared" si="11"/>
        <v>10578</v>
      </c>
      <c r="Q348" t="str">
        <f>A348&amp;"-"&amp;B348&amp;"-"&amp;D348</f>
        <v>JANUARI-MJ2-L4</v>
      </c>
    </row>
    <row r="349" spans="1:17" x14ac:dyDescent="0.25">
      <c r="A349" t="s">
        <v>388</v>
      </c>
      <c r="B349" s="13" t="s">
        <v>26</v>
      </c>
      <c r="C349" s="13" t="s">
        <v>226</v>
      </c>
      <c r="D349" s="14" t="s">
        <v>158</v>
      </c>
      <c r="E349" s="13" t="s">
        <v>61</v>
      </c>
      <c r="F349" s="13" t="s">
        <v>354</v>
      </c>
      <c r="G349" s="13">
        <v>0.82</v>
      </c>
      <c r="H349" s="15">
        <v>1037</v>
      </c>
      <c r="I349" s="16">
        <v>850.34</v>
      </c>
      <c r="J349" s="16">
        <v>584.17284281814671</v>
      </c>
      <c r="K349" s="16">
        <v>266.16715718185333</v>
      </c>
      <c r="L349" s="13">
        <v>2.5499999999999998</v>
      </c>
      <c r="M349" s="13"/>
      <c r="N349" s="17">
        <f t="shared" si="10"/>
        <v>2644.35</v>
      </c>
      <c r="O349" s="17">
        <f t="shared" si="10"/>
        <v>0</v>
      </c>
      <c r="P349" s="17">
        <f t="shared" si="11"/>
        <v>2644.35</v>
      </c>
      <c r="Q349" t="str">
        <f>A349&amp;"-"&amp;B349&amp;"-"&amp;D349</f>
        <v>JANUARI-MJ2-L4</v>
      </c>
    </row>
    <row r="350" spans="1:17" x14ac:dyDescent="0.25">
      <c r="A350" t="s">
        <v>388</v>
      </c>
      <c r="B350" s="13" t="s">
        <v>26</v>
      </c>
      <c r="C350" s="13" t="s">
        <v>226</v>
      </c>
      <c r="D350" s="14" t="s">
        <v>158</v>
      </c>
      <c r="E350" s="13" t="s">
        <v>61</v>
      </c>
      <c r="F350" s="13" t="s">
        <v>355</v>
      </c>
      <c r="G350" s="13">
        <v>0.82</v>
      </c>
      <c r="H350" s="15">
        <v>428</v>
      </c>
      <c r="I350" s="16">
        <v>350.96000000000004</v>
      </c>
      <c r="J350" s="16">
        <v>511.9015015414642</v>
      </c>
      <c r="K350" s="16">
        <v>-160.94150154146422</v>
      </c>
      <c r="L350" s="13">
        <v>2.5499999999999998</v>
      </c>
      <c r="M350" s="13"/>
      <c r="N350" s="17">
        <f t="shared" si="10"/>
        <v>1091.3999999999999</v>
      </c>
      <c r="O350" s="17">
        <f t="shared" si="10"/>
        <v>0</v>
      </c>
      <c r="P350" s="17">
        <f t="shared" si="11"/>
        <v>1091.3999999999999</v>
      </c>
      <c r="Q350" t="str">
        <f>A350&amp;"-"&amp;B350&amp;"-"&amp;D350</f>
        <v>JANUARI-MJ2-L4</v>
      </c>
    </row>
    <row r="351" spans="1:17" x14ac:dyDescent="0.25">
      <c r="A351" t="s">
        <v>388</v>
      </c>
      <c r="B351" s="13" t="s">
        <v>26</v>
      </c>
      <c r="C351" s="13" t="s">
        <v>226</v>
      </c>
      <c r="D351" s="14" t="s">
        <v>160</v>
      </c>
      <c r="E351" s="13" t="s">
        <v>61</v>
      </c>
      <c r="F351" s="13" t="s">
        <v>346</v>
      </c>
      <c r="G351" s="13">
        <v>1.99</v>
      </c>
      <c r="H351" s="15">
        <v>2199</v>
      </c>
      <c r="I351" s="16">
        <v>4376.01</v>
      </c>
      <c r="J351" s="16">
        <v>1212.4503839463221</v>
      </c>
      <c r="K351" s="16">
        <v>3163.5596160536779</v>
      </c>
      <c r="L351" s="13">
        <v>3.58</v>
      </c>
      <c r="M351" s="13"/>
      <c r="N351" s="17">
        <f t="shared" si="10"/>
        <v>7872.42</v>
      </c>
      <c r="O351" s="17">
        <f t="shared" si="10"/>
        <v>0</v>
      </c>
      <c r="P351" s="17">
        <f t="shared" si="11"/>
        <v>7872.42</v>
      </c>
      <c r="Q351" t="str">
        <f>A351&amp;"-"&amp;B351&amp;"-"&amp;D351</f>
        <v>JANUARI-MJ2-L5</v>
      </c>
    </row>
    <row r="352" spans="1:17" x14ac:dyDescent="0.25">
      <c r="A352" t="s">
        <v>388</v>
      </c>
      <c r="B352" s="13" t="s">
        <v>26</v>
      </c>
      <c r="C352" s="13" t="s">
        <v>226</v>
      </c>
      <c r="D352" s="14" t="s">
        <v>160</v>
      </c>
      <c r="E352" s="13" t="s">
        <v>61</v>
      </c>
      <c r="F352" s="13" t="s">
        <v>352</v>
      </c>
      <c r="G352" s="13">
        <v>0.72</v>
      </c>
      <c r="H352" s="15">
        <v>463</v>
      </c>
      <c r="I352" s="16">
        <v>333.36</v>
      </c>
      <c r="J352" s="16">
        <v>283.29812499999997</v>
      </c>
      <c r="K352" s="16">
        <v>50.061875000000043</v>
      </c>
      <c r="L352" s="13">
        <v>2.31</v>
      </c>
      <c r="M352" s="13"/>
      <c r="N352" s="17">
        <f t="shared" si="10"/>
        <v>1069.53</v>
      </c>
      <c r="O352" s="17">
        <f t="shared" si="10"/>
        <v>0</v>
      </c>
      <c r="P352" s="17">
        <f t="shared" si="11"/>
        <v>1069.53</v>
      </c>
      <c r="Q352" t="str">
        <f>A352&amp;"-"&amp;B352&amp;"-"&amp;D352</f>
        <v>JANUARI-MJ2-L5</v>
      </c>
    </row>
    <row r="353" spans="1:17" x14ac:dyDescent="0.25">
      <c r="A353" t="s">
        <v>388</v>
      </c>
      <c r="B353" s="13" t="s">
        <v>26</v>
      </c>
      <c r="C353" s="13" t="s">
        <v>226</v>
      </c>
      <c r="D353" s="14" t="s">
        <v>160</v>
      </c>
      <c r="E353" s="13" t="s">
        <v>61</v>
      </c>
      <c r="F353" s="13" t="s">
        <v>353</v>
      </c>
      <c r="G353" s="13">
        <v>0.79</v>
      </c>
      <c r="H353" s="15">
        <v>5</v>
      </c>
      <c r="I353" s="16">
        <v>3.95</v>
      </c>
      <c r="J353" s="16">
        <v>2.4329025844930419</v>
      </c>
      <c r="K353" s="16">
        <v>1.5170974155069583</v>
      </c>
      <c r="L353" s="13">
        <v>2.15</v>
      </c>
      <c r="M353" s="13"/>
      <c r="N353" s="17">
        <f t="shared" si="10"/>
        <v>10.75</v>
      </c>
      <c r="O353" s="17">
        <f t="shared" si="10"/>
        <v>0</v>
      </c>
      <c r="P353" s="17">
        <f t="shared" si="11"/>
        <v>10.75</v>
      </c>
      <c r="Q353" t="str">
        <f>A353&amp;"-"&amp;B353&amp;"-"&amp;D353</f>
        <v>JANUARI-MJ2-L5</v>
      </c>
    </row>
    <row r="354" spans="1:17" x14ac:dyDescent="0.25">
      <c r="A354" t="s">
        <v>388</v>
      </c>
      <c r="B354" s="13" t="s">
        <v>26</v>
      </c>
      <c r="C354" s="13" t="s">
        <v>226</v>
      </c>
      <c r="D354" s="14" t="s">
        <v>160</v>
      </c>
      <c r="E354" s="13" t="s">
        <v>61</v>
      </c>
      <c r="F354" s="13" t="s">
        <v>356</v>
      </c>
      <c r="G354" s="13">
        <v>0.72</v>
      </c>
      <c r="H354" s="15">
        <v>25</v>
      </c>
      <c r="I354" s="16">
        <v>18</v>
      </c>
      <c r="J354" s="16">
        <v>8.2407407407407405</v>
      </c>
      <c r="K354" s="16">
        <v>9.7592592592592595</v>
      </c>
      <c r="L354" s="13">
        <v>2.31</v>
      </c>
      <c r="M354" s="13"/>
      <c r="N354" s="17">
        <f t="shared" si="10"/>
        <v>57.75</v>
      </c>
      <c r="O354" s="17">
        <f t="shared" si="10"/>
        <v>0</v>
      </c>
      <c r="P354" s="17">
        <f t="shared" si="11"/>
        <v>57.75</v>
      </c>
      <c r="Q354" t="str">
        <f>A354&amp;"-"&amp;B354&amp;"-"&amp;D354</f>
        <v>JANUARI-MJ2-L5</v>
      </c>
    </row>
    <row r="355" spans="1:17" x14ac:dyDescent="0.25">
      <c r="A355" t="s">
        <v>388</v>
      </c>
      <c r="B355" s="13" t="s">
        <v>26</v>
      </c>
      <c r="C355" s="13" t="s">
        <v>226</v>
      </c>
      <c r="D355" s="14" t="s">
        <v>160</v>
      </c>
      <c r="E355" s="13" t="s">
        <v>61</v>
      </c>
      <c r="F355" s="13" t="s">
        <v>354</v>
      </c>
      <c r="G355" s="13">
        <v>0.82</v>
      </c>
      <c r="H355" s="15">
        <v>1038</v>
      </c>
      <c r="I355" s="16">
        <v>851.16</v>
      </c>
      <c r="J355" s="16">
        <v>874.92972555275696</v>
      </c>
      <c r="K355" s="16">
        <v>-23.769725552756938</v>
      </c>
      <c r="L355" s="13">
        <v>2.5499999999999998</v>
      </c>
      <c r="M355" s="13"/>
      <c r="N355" s="17">
        <f t="shared" si="10"/>
        <v>2646.8999999999996</v>
      </c>
      <c r="O355" s="17">
        <f t="shared" si="10"/>
        <v>0</v>
      </c>
      <c r="P355" s="17">
        <f t="shared" si="11"/>
        <v>2646.8999999999996</v>
      </c>
      <c r="Q355" t="str">
        <f>A355&amp;"-"&amp;B355&amp;"-"&amp;D355</f>
        <v>JANUARI-MJ2-L5</v>
      </c>
    </row>
    <row r="356" spans="1:17" x14ac:dyDescent="0.25">
      <c r="A356" t="s">
        <v>388</v>
      </c>
      <c r="B356" s="13" t="s">
        <v>26</v>
      </c>
      <c r="C356" s="13" t="s">
        <v>226</v>
      </c>
      <c r="D356" s="14" t="s">
        <v>160</v>
      </c>
      <c r="E356" s="13" t="s">
        <v>61</v>
      </c>
      <c r="F356" s="13" t="s">
        <v>347</v>
      </c>
      <c r="G356" s="13">
        <v>0.79</v>
      </c>
      <c r="H356" s="15">
        <v>4945</v>
      </c>
      <c r="I356" s="16">
        <v>3906.5499999999997</v>
      </c>
      <c r="J356" s="16">
        <v>2107.8126515643567</v>
      </c>
      <c r="K356" s="16">
        <v>1798.7373484356433</v>
      </c>
      <c r="L356" s="13">
        <v>2.15</v>
      </c>
      <c r="M356" s="13"/>
      <c r="N356" s="17">
        <f t="shared" ref="N356:O416" si="12">$H356*L356</f>
        <v>10631.75</v>
      </c>
      <c r="O356" s="17">
        <f t="shared" si="12"/>
        <v>0</v>
      </c>
      <c r="P356" s="17">
        <f t="shared" si="11"/>
        <v>10631.75</v>
      </c>
      <c r="Q356" t="str">
        <f>A356&amp;"-"&amp;B356&amp;"-"&amp;D356</f>
        <v>JANUARI-MJ2-L5</v>
      </c>
    </row>
    <row r="357" spans="1:17" x14ac:dyDescent="0.25">
      <c r="A357" t="s">
        <v>388</v>
      </c>
      <c r="B357" s="13" t="s">
        <v>26</v>
      </c>
      <c r="C357" s="13" t="s">
        <v>226</v>
      </c>
      <c r="D357" s="14" t="s">
        <v>160</v>
      </c>
      <c r="E357" s="13" t="s">
        <v>61</v>
      </c>
      <c r="F357" s="13" t="s">
        <v>357</v>
      </c>
      <c r="G357" s="13">
        <v>0.72</v>
      </c>
      <c r="H357" s="15">
        <v>555</v>
      </c>
      <c r="I357" s="16">
        <v>399.6</v>
      </c>
      <c r="J357" s="16">
        <v>263.77415138796852</v>
      </c>
      <c r="K357" s="16">
        <v>135.82584861203151</v>
      </c>
      <c r="L357" s="13">
        <v>2.31</v>
      </c>
      <c r="M357" s="13"/>
      <c r="N357" s="17">
        <f t="shared" si="12"/>
        <v>1282.05</v>
      </c>
      <c r="O357" s="17">
        <f t="shared" si="12"/>
        <v>0</v>
      </c>
      <c r="P357" s="17">
        <f t="shared" si="11"/>
        <v>1282.05</v>
      </c>
      <c r="Q357" t="str">
        <f>A357&amp;"-"&amp;B357&amp;"-"&amp;D357</f>
        <v>JANUARI-MJ2-L5</v>
      </c>
    </row>
    <row r="358" spans="1:17" x14ac:dyDescent="0.25">
      <c r="A358" t="s">
        <v>388</v>
      </c>
      <c r="B358" s="13" t="s">
        <v>26</v>
      </c>
      <c r="C358" s="13" t="s">
        <v>226</v>
      </c>
      <c r="D358" s="14" t="s">
        <v>160</v>
      </c>
      <c r="E358" s="13" t="s">
        <v>61</v>
      </c>
      <c r="F358" s="13" t="s">
        <v>355</v>
      </c>
      <c r="G358" s="13">
        <v>0.82</v>
      </c>
      <c r="H358" s="15">
        <v>454</v>
      </c>
      <c r="I358" s="16">
        <v>372.28000000000003</v>
      </c>
      <c r="J358" s="16">
        <v>533.6156668797837</v>
      </c>
      <c r="K358" s="16">
        <v>-161.33566687978367</v>
      </c>
      <c r="L358" s="13">
        <v>2.5499999999999998</v>
      </c>
      <c r="M358" s="13"/>
      <c r="N358" s="17">
        <f t="shared" si="12"/>
        <v>1157.6999999999998</v>
      </c>
      <c r="O358" s="17">
        <f t="shared" si="12"/>
        <v>0</v>
      </c>
      <c r="P358" s="17">
        <f t="shared" si="11"/>
        <v>1157.6999999999998</v>
      </c>
      <c r="Q358" t="str">
        <f>A358&amp;"-"&amp;B358&amp;"-"&amp;D358</f>
        <v>JANUARI-MJ2-L5</v>
      </c>
    </row>
    <row r="359" spans="1:17" x14ac:dyDescent="0.25">
      <c r="A359" t="s">
        <v>388</v>
      </c>
      <c r="B359" s="13" t="s">
        <v>26</v>
      </c>
      <c r="C359" s="13" t="s">
        <v>226</v>
      </c>
      <c r="D359" s="14" t="s">
        <v>163</v>
      </c>
      <c r="E359" s="13" t="s">
        <v>61</v>
      </c>
      <c r="F359" s="13" t="s">
        <v>346</v>
      </c>
      <c r="G359" s="13">
        <v>1.99</v>
      </c>
      <c r="H359" s="15">
        <v>4687</v>
      </c>
      <c r="I359" s="16">
        <v>9327.130000000001</v>
      </c>
      <c r="J359" s="16">
        <v>1879.2467105263158</v>
      </c>
      <c r="K359" s="16">
        <v>7447.8832894736843</v>
      </c>
      <c r="L359" s="13">
        <v>3.58</v>
      </c>
      <c r="M359" s="13"/>
      <c r="N359" s="17">
        <f t="shared" si="12"/>
        <v>16779.46</v>
      </c>
      <c r="O359" s="17">
        <f t="shared" si="12"/>
        <v>0</v>
      </c>
      <c r="P359" s="17">
        <f t="shared" si="11"/>
        <v>16779.46</v>
      </c>
      <c r="Q359" t="str">
        <f>A359&amp;"-"&amp;B359&amp;"-"&amp;D359</f>
        <v>JANUARI-MJ2-L6</v>
      </c>
    </row>
    <row r="360" spans="1:17" x14ac:dyDescent="0.25">
      <c r="A360" t="s">
        <v>388</v>
      </c>
      <c r="B360" s="13" t="s">
        <v>26</v>
      </c>
      <c r="C360" s="13" t="s">
        <v>226</v>
      </c>
      <c r="D360" s="14" t="s">
        <v>163</v>
      </c>
      <c r="E360" s="13" t="s">
        <v>61</v>
      </c>
      <c r="F360" s="13" t="s">
        <v>352</v>
      </c>
      <c r="G360" s="13">
        <v>0.72</v>
      </c>
      <c r="H360" s="15">
        <v>225</v>
      </c>
      <c r="I360" s="16">
        <v>162</v>
      </c>
      <c r="J360" s="16">
        <v>65.87171052631578</v>
      </c>
      <c r="K360" s="16">
        <v>96.12828947368422</v>
      </c>
      <c r="L360" s="13">
        <v>2.31</v>
      </c>
      <c r="M360" s="13"/>
      <c r="N360" s="17">
        <f t="shared" si="12"/>
        <v>519.75</v>
      </c>
      <c r="O360" s="17">
        <f t="shared" si="12"/>
        <v>0</v>
      </c>
      <c r="P360" s="17">
        <f t="shared" si="11"/>
        <v>519.75</v>
      </c>
      <c r="Q360" t="str">
        <f>A360&amp;"-"&amp;B360&amp;"-"&amp;D360</f>
        <v>JANUARI-MJ2-L6</v>
      </c>
    </row>
    <row r="361" spans="1:17" x14ac:dyDescent="0.25">
      <c r="A361" t="s">
        <v>388</v>
      </c>
      <c r="B361" s="13" t="s">
        <v>26</v>
      </c>
      <c r="C361" s="13" t="s">
        <v>226</v>
      </c>
      <c r="D361" s="14" t="s">
        <v>163</v>
      </c>
      <c r="E361" s="13" t="s">
        <v>61</v>
      </c>
      <c r="F361" s="13" t="s">
        <v>353</v>
      </c>
      <c r="G361" s="13">
        <v>0.79</v>
      </c>
      <c r="H361" s="15">
        <v>2194</v>
      </c>
      <c r="I361" s="16">
        <v>1733.26</v>
      </c>
      <c r="J361" s="16">
        <v>1351.735865091111</v>
      </c>
      <c r="K361" s="16">
        <v>381.52413490888921</v>
      </c>
      <c r="L361" s="13">
        <v>2.15</v>
      </c>
      <c r="M361" s="13"/>
      <c r="N361" s="17">
        <f t="shared" si="12"/>
        <v>4717.0999999999995</v>
      </c>
      <c r="O361" s="17">
        <f t="shared" si="12"/>
        <v>0</v>
      </c>
      <c r="P361" s="17">
        <f t="shared" si="11"/>
        <v>4717.0999999999995</v>
      </c>
      <c r="Q361" t="str">
        <f>A361&amp;"-"&amp;B361&amp;"-"&amp;D361</f>
        <v>JANUARI-MJ2-L6</v>
      </c>
    </row>
    <row r="362" spans="1:17" x14ac:dyDescent="0.25">
      <c r="A362" t="s">
        <v>388</v>
      </c>
      <c r="B362" s="13" t="s">
        <v>26</v>
      </c>
      <c r="C362" s="13" t="s">
        <v>226</v>
      </c>
      <c r="D362" s="14" t="s">
        <v>163</v>
      </c>
      <c r="E362" s="13" t="s">
        <v>61</v>
      </c>
      <c r="F362" s="13" t="s">
        <v>356</v>
      </c>
      <c r="G362" s="13">
        <v>0.72</v>
      </c>
      <c r="H362" s="15">
        <v>10</v>
      </c>
      <c r="I362" s="16">
        <v>7.2</v>
      </c>
      <c r="J362" s="16">
        <v>4.5463094922444656</v>
      </c>
      <c r="K362" s="16">
        <v>2.6536905077555346</v>
      </c>
      <c r="L362" s="13">
        <v>2.31</v>
      </c>
      <c r="M362" s="13"/>
      <c r="N362" s="17">
        <f t="shared" si="12"/>
        <v>23.1</v>
      </c>
      <c r="O362" s="17">
        <f t="shared" si="12"/>
        <v>0</v>
      </c>
      <c r="P362" s="17">
        <f t="shared" si="11"/>
        <v>23.1</v>
      </c>
      <c r="Q362" t="str">
        <f>A362&amp;"-"&amp;B362&amp;"-"&amp;D362</f>
        <v>JANUARI-MJ2-L6</v>
      </c>
    </row>
    <row r="363" spans="1:17" x14ac:dyDescent="0.25">
      <c r="A363" t="s">
        <v>388</v>
      </c>
      <c r="B363" s="13" t="s">
        <v>26</v>
      </c>
      <c r="C363" s="13" t="s">
        <v>226</v>
      </c>
      <c r="D363" s="14" t="s">
        <v>163</v>
      </c>
      <c r="E363" s="13" t="s">
        <v>61</v>
      </c>
      <c r="F363" s="13" t="s">
        <v>354</v>
      </c>
      <c r="G363" s="13">
        <v>0.82</v>
      </c>
      <c r="H363" s="15">
        <v>1070</v>
      </c>
      <c r="I363" s="16">
        <v>877.4</v>
      </c>
      <c r="J363" s="16">
        <v>922.12193787996853</v>
      </c>
      <c r="K363" s="16">
        <v>-44.721937879968543</v>
      </c>
      <c r="L363" s="13">
        <v>2.5499999999999998</v>
      </c>
      <c r="M363" s="13"/>
      <c r="N363" s="17">
        <f t="shared" si="12"/>
        <v>2728.5</v>
      </c>
      <c r="O363" s="17">
        <f t="shared" si="12"/>
        <v>0</v>
      </c>
      <c r="P363" s="17">
        <f t="shared" si="11"/>
        <v>2728.5</v>
      </c>
      <c r="Q363" t="str">
        <f>A363&amp;"-"&amp;B363&amp;"-"&amp;D363</f>
        <v>JANUARI-MJ2-L6</v>
      </c>
    </row>
    <row r="364" spans="1:17" x14ac:dyDescent="0.25">
      <c r="A364" t="s">
        <v>388</v>
      </c>
      <c r="B364" s="13" t="s">
        <v>26</v>
      </c>
      <c r="C364" s="13" t="s">
        <v>226</v>
      </c>
      <c r="D364" s="14" t="s">
        <v>163</v>
      </c>
      <c r="E364" s="13" t="s">
        <v>61</v>
      </c>
      <c r="F364" s="13" t="s">
        <v>347</v>
      </c>
      <c r="G364" s="13">
        <v>0.79</v>
      </c>
      <c r="H364" s="15">
        <v>1240</v>
      </c>
      <c r="I364" s="16">
        <v>979.6</v>
      </c>
      <c r="J364" s="16">
        <v>764.45843828715363</v>
      </c>
      <c r="K364" s="16">
        <v>215.1415617128464</v>
      </c>
      <c r="L364" s="13">
        <v>2.15</v>
      </c>
      <c r="M364" s="13"/>
      <c r="N364" s="17">
        <f t="shared" si="12"/>
        <v>2666</v>
      </c>
      <c r="O364" s="17">
        <f t="shared" si="12"/>
        <v>0</v>
      </c>
      <c r="P364" s="17">
        <f t="shared" si="11"/>
        <v>2666</v>
      </c>
      <c r="Q364" t="str">
        <f>A364&amp;"-"&amp;B364&amp;"-"&amp;D364</f>
        <v>JANUARI-MJ2-L6</v>
      </c>
    </row>
    <row r="365" spans="1:17" x14ac:dyDescent="0.25">
      <c r="A365" t="s">
        <v>388</v>
      </c>
      <c r="B365" s="13" t="s">
        <v>26</v>
      </c>
      <c r="C365" s="13" t="s">
        <v>226</v>
      </c>
      <c r="D365" s="14" t="s">
        <v>163</v>
      </c>
      <c r="E365" s="13" t="s">
        <v>61</v>
      </c>
      <c r="F365" s="13" t="s">
        <v>357</v>
      </c>
      <c r="G365" s="13">
        <v>0.72</v>
      </c>
      <c r="H365" s="15">
        <v>343</v>
      </c>
      <c r="I365" s="16">
        <v>246.96</v>
      </c>
      <c r="J365" s="16">
        <v>211.45906801007555</v>
      </c>
      <c r="K365" s="16">
        <v>35.500931989924453</v>
      </c>
      <c r="L365" s="13">
        <v>2.31</v>
      </c>
      <c r="M365" s="13"/>
      <c r="N365" s="17">
        <f t="shared" si="12"/>
        <v>792.33</v>
      </c>
      <c r="O365" s="17">
        <f t="shared" si="12"/>
        <v>0</v>
      </c>
      <c r="P365" s="17">
        <f t="shared" si="11"/>
        <v>792.33</v>
      </c>
      <c r="Q365" t="str">
        <f>A365&amp;"-"&amp;B365&amp;"-"&amp;D365</f>
        <v>JANUARI-MJ2-L6</v>
      </c>
    </row>
    <row r="366" spans="1:17" x14ac:dyDescent="0.25">
      <c r="A366" t="s">
        <v>388</v>
      </c>
      <c r="B366" s="13" t="s">
        <v>26</v>
      </c>
      <c r="C366" s="13" t="s">
        <v>226</v>
      </c>
      <c r="D366" s="14" t="s">
        <v>163</v>
      </c>
      <c r="E366" s="13" t="s">
        <v>61</v>
      </c>
      <c r="F366" s="13" t="s">
        <v>355</v>
      </c>
      <c r="G366" s="13">
        <v>0.82</v>
      </c>
      <c r="H366" s="15">
        <v>1649</v>
      </c>
      <c r="I366" s="16">
        <v>1352.1799999999998</v>
      </c>
      <c r="J366" s="16">
        <v>1327.3868343084464</v>
      </c>
      <c r="K366" s="16">
        <v>24.793165691553522</v>
      </c>
      <c r="L366" s="13">
        <v>2.5499999999999998</v>
      </c>
      <c r="M366" s="13"/>
      <c r="N366" s="17">
        <f t="shared" si="12"/>
        <v>4204.95</v>
      </c>
      <c r="O366" s="17">
        <f t="shared" si="12"/>
        <v>0</v>
      </c>
      <c r="P366" s="17">
        <f t="shared" si="11"/>
        <v>4204.95</v>
      </c>
      <c r="Q366" t="str">
        <f>A366&amp;"-"&amp;B366&amp;"-"&amp;D366</f>
        <v>JANUARI-MJ2-L6</v>
      </c>
    </row>
    <row r="367" spans="1:17" x14ac:dyDescent="0.25">
      <c r="A367" t="s">
        <v>388</v>
      </c>
      <c r="B367" s="13" t="s">
        <v>26</v>
      </c>
      <c r="C367" s="13" t="s">
        <v>226</v>
      </c>
      <c r="D367" s="14" t="s">
        <v>164</v>
      </c>
      <c r="E367" s="13" t="s">
        <v>61</v>
      </c>
      <c r="F367" s="13" t="s">
        <v>346</v>
      </c>
      <c r="G367" s="13">
        <v>1.99</v>
      </c>
      <c r="H367" s="15">
        <v>1612</v>
      </c>
      <c r="I367" s="16">
        <v>3207.88</v>
      </c>
      <c r="J367" s="16">
        <v>949.54753309265948</v>
      </c>
      <c r="K367" s="16">
        <v>2258.3324669073409</v>
      </c>
      <c r="L367" s="13">
        <v>3.58</v>
      </c>
      <c r="M367" s="13"/>
      <c r="N367" s="17">
        <f t="shared" si="12"/>
        <v>5770.96</v>
      </c>
      <c r="O367" s="17">
        <f t="shared" si="12"/>
        <v>0</v>
      </c>
      <c r="P367" s="17">
        <f t="shared" si="11"/>
        <v>5770.96</v>
      </c>
      <c r="Q367" t="str">
        <f>A367&amp;"-"&amp;B367&amp;"-"&amp;D367</f>
        <v>JANUARI-MJ2-L7</v>
      </c>
    </row>
    <row r="368" spans="1:17" x14ac:dyDescent="0.25">
      <c r="A368" t="s">
        <v>388</v>
      </c>
      <c r="B368" s="13" t="s">
        <v>26</v>
      </c>
      <c r="C368" s="13" t="s">
        <v>226</v>
      </c>
      <c r="D368" s="14" t="s">
        <v>164</v>
      </c>
      <c r="E368" s="13" t="s">
        <v>61</v>
      </c>
      <c r="F368" s="13" t="s">
        <v>352</v>
      </c>
      <c r="G368" s="13">
        <v>0.72</v>
      </c>
      <c r="H368" s="15">
        <v>50</v>
      </c>
      <c r="I368" s="16">
        <v>36</v>
      </c>
      <c r="J368" s="16">
        <v>29.452466907340551</v>
      </c>
      <c r="K368" s="16">
        <v>6.5475330926594495</v>
      </c>
      <c r="L368" s="13">
        <v>2.31</v>
      </c>
      <c r="M368" s="13"/>
      <c r="N368" s="17">
        <f t="shared" si="12"/>
        <v>115.5</v>
      </c>
      <c r="O368" s="17">
        <f t="shared" si="12"/>
        <v>0</v>
      </c>
      <c r="P368" s="17">
        <f t="shared" si="11"/>
        <v>115.5</v>
      </c>
      <c r="Q368" t="str">
        <f>A368&amp;"-"&amp;B368&amp;"-"&amp;D368</f>
        <v>JANUARI-MJ2-L7</v>
      </c>
    </row>
    <row r="369" spans="1:17" x14ac:dyDescent="0.25">
      <c r="A369" t="s">
        <v>388</v>
      </c>
      <c r="B369" s="13" t="s">
        <v>26</v>
      </c>
      <c r="C369" s="13" t="s">
        <v>226</v>
      </c>
      <c r="D369" s="14" t="s">
        <v>164</v>
      </c>
      <c r="E369" s="13" t="s">
        <v>61</v>
      </c>
      <c r="F369" s="13" t="s">
        <v>353</v>
      </c>
      <c r="G369" s="13">
        <v>0.79</v>
      </c>
      <c r="H369" s="15">
        <v>420</v>
      </c>
      <c r="I369" s="16">
        <v>331.8</v>
      </c>
      <c r="J369" s="16">
        <v>361.6358839050132</v>
      </c>
      <c r="K369" s="16">
        <v>-29.835883905013191</v>
      </c>
      <c r="L369" s="13">
        <v>2.15</v>
      </c>
      <c r="M369" s="13"/>
      <c r="N369" s="17">
        <f t="shared" si="12"/>
        <v>903</v>
      </c>
      <c r="O369" s="17">
        <f t="shared" si="12"/>
        <v>0</v>
      </c>
      <c r="P369" s="17">
        <f t="shared" si="11"/>
        <v>903</v>
      </c>
      <c r="Q369" t="str">
        <f>A369&amp;"-"&amp;B369&amp;"-"&amp;D369</f>
        <v>JANUARI-MJ2-L7</v>
      </c>
    </row>
    <row r="370" spans="1:17" x14ac:dyDescent="0.25">
      <c r="A370" t="s">
        <v>388</v>
      </c>
      <c r="B370" s="13" t="s">
        <v>26</v>
      </c>
      <c r="C370" s="13" t="s">
        <v>226</v>
      </c>
      <c r="D370" s="14" t="s">
        <v>164</v>
      </c>
      <c r="E370" s="13" t="s">
        <v>61</v>
      </c>
      <c r="F370" s="13" t="s">
        <v>356</v>
      </c>
      <c r="G370" s="13">
        <v>0.72</v>
      </c>
      <c r="H370" s="15">
        <v>1215</v>
      </c>
      <c r="I370" s="16">
        <v>874.8</v>
      </c>
      <c r="J370" s="16">
        <v>1958</v>
      </c>
      <c r="K370" s="16">
        <v>-1083.2</v>
      </c>
      <c r="L370" s="13">
        <v>2.31</v>
      </c>
      <c r="M370" s="13"/>
      <c r="N370" s="17">
        <f t="shared" si="12"/>
        <v>2806.65</v>
      </c>
      <c r="O370" s="17">
        <f t="shared" si="12"/>
        <v>0</v>
      </c>
      <c r="P370" s="17">
        <f t="shared" si="11"/>
        <v>2806.65</v>
      </c>
      <c r="Q370" t="str">
        <f>A370&amp;"-"&amp;B370&amp;"-"&amp;D370</f>
        <v>JANUARI-MJ2-L7</v>
      </c>
    </row>
    <row r="371" spans="1:17" x14ac:dyDescent="0.25">
      <c r="A371" t="s">
        <v>388</v>
      </c>
      <c r="B371" s="13" t="s">
        <v>26</v>
      </c>
      <c r="C371" s="13" t="s">
        <v>226</v>
      </c>
      <c r="D371" s="14" t="s">
        <v>164</v>
      </c>
      <c r="E371" s="13" t="s">
        <v>61</v>
      </c>
      <c r="F371" s="13" t="s">
        <v>354</v>
      </c>
      <c r="G371" s="13">
        <v>0.82</v>
      </c>
      <c r="H371" s="15">
        <v>1075</v>
      </c>
      <c r="I371" s="16">
        <v>881.5</v>
      </c>
      <c r="J371" s="16">
        <v>928.04352921795419</v>
      </c>
      <c r="K371" s="16">
        <v>-46.543529217954266</v>
      </c>
      <c r="L371" s="13">
        <v>2.5499999999999998</v>
      </c>
      <c r="M371" s="13"/>
      <c r="N371" s="17">
        <f t="shared" si="12"/>
        <v>2741.25</v>
      </c>
      <c r="O371" s="17">
        <f t="shared" si="12"/>
        <v>0</v>
      </c>
      <c r="P371" s="17">
        <f t="shared" si="11"/>
        <v>2741.25</v>
      </c>
      <c r="Q371" t="str">
        <f>A371&amp;"-"&amp;B371&amp;"-"&amp;D371</f>
        <v>JANUARI-MJ2-L7</v>
      </c>
    </row>
    <row r="372" spans="1:17" x14ac:dyDescent="0.25">
      <c r="A372" t="s">
        <v>388</v>
      </c>
      <c r="B372" s="13" t="s">
        <v>26</v>
      </c>
      <c r="C372" s="13" t="s">
        <v>226</v>
      </c>
      <c r="D372" s="14" t="s">
        <v>164</v>
      </c>
      <c r="E372" s="13" t="s">
        <v>61</v>
      </c>
      <c r="F372" s="13" t="s">
        <v>347</v>
      </c>
      <c r="G372" s="13">
        <v>0.79</v>
      </c>
      <c r="H372" s="15">
        <v>1266</v>
      </c>
      <c r="I372" s="16">
        <v>1000.14</v>
      </c>
      <c r="J372" s="16">
        <v>1206.2198439339118</v>
      </c>
      <c r="K372" s="16">
        <v>-206.07984393391166</v>
      </c>
      <c r="L372" s="13">
        <v>2.15</v>
      </c>
      <c r="M372" s="13"/>
      <c r="N372" s="17">
        <f t="shared" si="12"/>
        <v>2721.9</v>
      </c>
      <c r="O372" s="17">
        <f t="shared" si="12"/>
        <v>0</v>
      </c>
      <c r="P372" s="17">
        <f t="shared" si="11"/>
        <v>2721.9</v>
      </c>
      <c r="Q372" t="str">
        <f>A372&amp;"-"&amp;B372&amp;"-"&amp;D372</f>
        <v>JANUARI-MJ2-L7</v>
      </c>
    </row>
    <row r="373" spans="1:17" x14ac:dyDescent="0.25">
      <c r="A373" t="s">
        <v>388</v>
      </c>
      <c r="B373" s="13" t="s">
        <v>26</v>
      </c>
      <c r="C373" s="13" t="s">
        <v>226</v>
      </c>
      <c r="D373" s="14" t="s">
        <v>164</v>
      </c>
      <c r="E373" s="13" t="s">
        <v>61</v>
      </c>
      <c r="F373" s="13" t="s">
        <v>357</v>
      </c>
      <c r="G373" s="13">
        <v>0.72</v>
      </c>
      <c r="H373" s="15">
        <v>374</v>
      </c>
      <c r="I373" s="16">
        <v>269.28000000000003</v>
      </c>
      <c r="J373" s="16">
        <v>751.78015606608835</v>
      </c>
      <c r="K373" s="16">
        <v>-482.50015606608838</v>
      </c>
      <c r="L373" s="13">
        <v>2.31</v>
      </c>
      <c r="M373" s="13"/>
      <c r="N373" s="17">
        <f t="shared" si="12"/>
        <v>863.94</v>
      </c>
      <c r="O373" s="17">
        <f t="shared" si="12"/>
        <v>0</v>
      </c>
      <c r="P373" s="17">
        <f t="shared" si="11"/>
        <v>863.94</v>
      </c>
      <c r="Q373" t="str">
        <f>A373&amp;"-"&amp;B373&amp;"-"&amp;D373</f>
        <v>JANUARI-MJ2-L7</v>
      </c>
    </row>
    <row r="374" spans="1:17" x14ac:dyDescent="0.25">
      <c r="A374" t="s">
        <v>388</v>
      </c>
      <c r="B374" s="13" t="s">
        <v>26</v>
      </c>
      <c r="C374" s="13" t="s">
        <v>226</v>
      </c>
      <c r="D374" s="14" t="s">
        <v>164</v>
      </c>
      <c r="E374" s="13" t="s">
        <v>61</v>
      </c>
      <c r="F374" s="13" t="s">
        <v>355</v>
      </c>
      <c r="G374" s="13">
        <v>0.82</v>
      </c>
      <c r="H374" s="15">
        <v>1649</v>
      </c>
      <c r="I374" s="16">
        <v>1352.1799999999998</v>
      </c>
      <c r="J374" s="16">
        <v>1327.9742162309406</v>
      </c>
      <c r="K374" s="16">
        <v>24.205783769059607</v>
      </c>
      <c r="L374" s="13">
        <v>2.5499999999999998</v>
      </c>
      <c r="M374" s="13"/>
      <c r="N374" s="17">
        <f t="shared" si="12"/>
        <v>4204.95</v>
      </c>
      <c r="O374" s="17">
        <f t="shared" si="12"/>
        <v>0</v>
      </c>
      <c r="P374" s="17">
        <f t="shared" si="11"/>
        <v>4204.95</v>
      </c>
      <c r="Q374" t="str">
        <f>A374&amp;"-"&amp;B374&amp;"-"&amp;D374</f>
        <v>JANUARI-MJ2-L7</v>
      </c>
    </row>
    <row r="375" spans="1:17" x14ac:dyDescent="0.25">
      <c r="A375" t="s">
        <v>388</v>
      </c>
      <c r="B375" s="13" t="s">
        <v>26</v>
      </c>
      <c r="C375" s="13" t="s">
        <v>226</v>
      </c>
      <c r="D375" s="14" t="s">
        <v>198</v>
      </c>
      <c r="E375" s="13" t="s">
        <v>61</v>
      </c>
      <c r="F375" s="13" t="s">
        <v>341</v>
      </c>
      <c r="G375" s="13">
        <v>0.82</v>
      </c>
      <c r="H375" s="15">
        <v>342</v>
      </c>
      <c r="I375" s="16">
        <v>280.44</v>
      </c>
      <c r="J375" s="16">
        <v>673.67806841046274</v>
      </c>
      <c r="K375" s="16">
        <v>-393.23806841046274</v>
      </c>
      <c r="L375" s="13">
        <v>2.5499999999999998</v>
      </c>
      <c r="M375" s="13"/>
      <c r="N375" s="17">
        <f t="shared" si="12"/>
        <v>872.09999999999991</v>
      </c>
      <c r="O375" s="17">
        <f t="shared" si="12"/>
        <v>0</v>
      </c>
      <c r="P375" s="17">
        <f t="shared" si="11"/>
        <v>872.09999999999991</v>
      </c>
      <c r="Q375" t="str">
        <f>A375&amp;"-"&amp;B375&amp;"-"&amp;D375</f>
        <v>JANUARI-MJ2-L8</v>
      </c>
    </row>
    <row r="376" spans="1:17" x14ac:dyDescent="0.25">
      <c r="A376" t="s">
        <v>388</v>
      </c>
      <c r="B376" s="13" t="s">
        <v>26</v>
      </c>
      <c r="C376" s="13" t="s">
        <v>226</v>
      </c>
      <c r="D376" s="14" t="s">
        <v>198</v>
      </c>
      <c r="E376" s="13" t="s">
        <v>61</v>
      </c>
      <c r="F376" s="13" t="s">
        <v>342</v>
      </c>
      <c r="G376" s="13">
        <v>0.82</v>
      </c>
      <c r="H376" s="15">
        <v>1758</v>
      </c>
      <c r="I376" s="16">
        <v>1441.56</v>
      </c>
      <c r="J376" s="16">
        <v>3600.8048809161851</v>
      </c>
      <c r="K376" s="16">
        <v>-2159.2448809161851</v>
      </c>
      <c r="L376" s="13">
        <v>2.5499999999999998</v>
      </c>
      <c r="M376" s="13"/>
      <c r="N376" s="17">
        <f t="shared" si="12"/>
        <v>4482.8999999999996</v>
      </c>
      <c r="O376" s="17">
        <f t="shared" si="12"/>
        <v>0</v>
      </c>
      <c r="P376" s="17">
        <f t="shared" si="11"/>
        <v>4482.8999999999996</v>
      </c>
      <c r="Q376" t="str">
        <f>A376&amp;"-"&amp;B376&amp;"-"&amp;D376</f>
        <v>JANUARI-MJ2-L8</v>
      </c>
    </row>
    <row r="377" spans="1:17" x14ac:dyDescent="0.25">
      <c r="A377" t="s">
        <v>388</v>
      </c>
      <c r="B377" s="13" t="s">
        <v>26</v>
      </c>
      <c r="C377" s="13" t="s">
        <v>226</v>
      </c>
      <c r="D377" s="14" t="s">
        <v>198</v>
      </c>
      <c r="E377" s="13" t="s">
        <v>61</v>
      </c>
      <c r="F377" s="13" t="s">
        <v>343</v>
      </c>
      <c r="G377" s="13">
        <v>0.82</v>
      </c>
      <c r="H377" s="15">
        <v>558</v>
      </c>
      <c r="I377" s="16">
        <v>457.56</v>
      </c>
      <c r="J377" s="16">
        <v>1136.9984981660295</v>
      </c>
      <c r="K377" s="16">
        <v>-679.43849816602972</v>
      </c>
      <c r="L377" s="13">
        <v>2.5499999999999998</v>
      </c>
      <c r="M377" s="13"/>
      <c r="N377" s="17">
        <f t="shared" si="12"/>
        <v>1422.8999999999999</v>
      </c>
      <c r="O377" s="17">
        <f t="shared" si="12"/>
        <v>0</v>
      </c>
      <c r="P377" s="17">
        <f t="shared" si="11"/>
        <v>1422.8999999999999</v>
      </c>
      <c r="Q377" t="str">
        <f>A377&amp;"-"&amp;B377&amp;"-"&amp;D377</f>
        <v>JANUARI-MJ2-L8</v>
      </c>
    </row>
    <row r="378" spans="1:17" x14ac:dyDescent="0.25">
      <c r="A378" t="s">
        <v>388</v>
      </c>
      <c r="B378" s="13" t="s">
        <v>26</v>
      </c>
      <c r="C378" s="13" t="s">
        <v>226</v>
      </c>
      <c r="D378" s="14" t="s">
        <v>198</v>
      </c>
      <c r="E378" s="13" t="s">
        <v>61</v>
      </c>
      <c r="F378" s="13" t="s">
        <v>344</v>
      </c>
      <c r="G378" s="13">
        <v>0.82000000000000006</v>
      </c>
      <c r="H378" s="15">
        <v>1063</v>
      </c>
      <c r="I378" s="16">
        <v>871.66</v>
      </c>
      <c r="J378" s="16">
        <v>3670.1527687536591</v>
      </c>
      <c r="K378" s="16">
        <v>-2798.4927687536597</v>
      </c>
      <c r="L378" s="13">
        <v>2.5499999999999998</v>
      </c>
      <c r="M378" s="13"/>
      <c r="N378" s="17">
        <f t="shared" si="12"/>
        <v>2710.6499999999996</v>
      </c>
      <c r="O378" s="17">
        <f t="shared" si="12"/>
        <v>0</v>
      </c>
      <c r="P378" s="17">
        <f t="shared" si="11"/>
        <v>2710.6499999999996</v>
      </c>
      <c r="Q378" t="str">
        <f>A378&amp;"-"&amp;B378&amp;"-"&amp;D378</f>
        <v>JANUARI-MJ2-L8</v>
      </c>
    </row>
    <row r="379" spans="1:17" x14ac:dyDescent="0.25">
      <c r="A379" t="s">
        <v>388</v>
      </c>
      <c r="B379" s="13" t="s">
        <v>26</v>
      </c>
      <c r="C379" s="13" t="s">
        <v>226</v>
      </c>
      <c r="D379" s="14" t="s">
        <v>198</v>
      </c>
      <c r="E379" s="13" t="s">
        <v>61</v>
      </c>
      <c r="F379" s="13" t="s">
        <v>345</v>
      </c>
      <c r="G379" s="13">
        <v>0.82000000000000006</v>
      </c>
      <c r="H379" s="15">
        <v>863</v>
      </c>
      <c r="I379" s="16">
        <v>707.65999999999985</v>
      </c>
      <c r="J379" s="16">
        <v>2699.6390844393604</v>
      </c>
      <c r="K379" s="16">
        <v>-1991.9790844393599</v>
      </c>
      <c r="L379" s="13">
        <v>2.5499999999999998</v>
      </c>
      <c r="M379" s="13"/>
      <c r="N379" s="17">
        <f t="shared" si="12"/>
        <v>2200.6499999999996</v>
      </c>
      <c r="O379" s="17">
        <f t="shared" si="12"/>
        <v>0</v>
      </c>
      <c r="P379" s="17">
        <f t="shared" si="11"/>
        <v>2200.6499999999996</v>
      </c>
      <c r="Q379" t="str">
        <f>A379&amp;"-"&amp;B379&amp;"-"&amp;D379</f>
        <v>JANUARI-MJ2-L8</v>
      </c>
    </row>
    <row r="380" spans="1:17" x14ac:dyDescent="0.25">
      <c r="A380" t="s">
        <v>388</v>
      </c>
      <c r="B380" s="13" t="s">
        <v>26</v>
      </c>
      <c r="C380" s="13" t="s">
        <v>226</v>
      </c>
      <c r="D380" s="14" t="s">
        <v>199</v>
      </c>
      <c r="E380" s="13" t="s">
        <v>61</v>
      </c>
      <c r="F380" s="13" t="s">
        <v>341</v>
      </c>
      <c r="G380" s="13">
        <v>0.82</v>
      </c>
      <c r="H380" s="15">
        <v>342</v>
      </c>
      <c r="I380" s="16">
        <v>280.44</v>
      </c>
      <c r="J380" s="16">
        <v>673.67806841046274</v>
      </c>
      <c r="K380" s="16">
        <v>-393.23806841046274</v>
      </c>
      <c r="L380" s="13">
        <v>2.5499999999999998</v>
      </c>
      <c r="M380" s="13"/>
      <c r="N380" s="17">
        <f t="shared" si="12"/>
        <v>872.09999999999991</v>
      </c>
      <c r="O380" s="17">
        <f t="shared" si="12"/>
        <v>0</v>
      </c>
      <c r="P380" s="17">
        <f t="shared" si="11"/>
        <v>872.09999999999991</v>
      </c>
      <c r="Q380" t="str">
        <f>A380&amp;"-"&amp;B380&amp;"-"&amp;D380</f>
        <v>JANUARI-MJ2-L9</v>
      </c>
    </row>
    <row r="381" spans="1:17" x14ac:dyDescent="0.25">
      <c r="A381" t="s">
        <v>388</v>
      </c>
      <c r="B381" s="13" t="s">
        <v>26</v>
      </c>
      <c r="C381" s="13" t="s">
        <v>226</v>
      </c>
      <c r="D381" s="14" t="s">
        <v>199</v>
      </c>
      <c r="E381" s="13" t="s">
        <v>61</v>
      </c>
      <c r="F381" s="13" t="s">
        <v>342</v>
      </c>
      <c r="G381" s="13">
        <v>0.82</v>
      </c>
      <c r="H381" s="15">
        <v>845</v>
      </c>
      <c r="I381" s="16">
        <v>692.9</v>
      </c>
      <c r="J381" s="16">
        <v>1553.0994625863034</v>
      </c>
      <c r="K381" s="16">
        <v>-860.19946258630341</v>
      </c>
      <c r="L381" s="13">
        <v>2.5499999999999998</v>
      </c>
      <c r="M381" s="13"/>
      <c r="N381" s="17">
        <f t="shared" si="12"/>
        <v>2154.75</v>
      </c>
      <c r="O381" s="17">
        <f t="shared" si="12"/>
        <v>0</v>
      </c>
      <c r="P381" s="17">
        <f t="shared" si="11"/>
        <v>2154.75</v>
      </c>
      <c r="Q381" t="str">
        <f>A381&amp;"-"&amp;B381&amp;"-"&amp;D381</f>
        <v>JANUARI-MJ2-L9</v>
      </c>
    </row>
    <row r="382" spans="1:17" x14ac:dyDescent="0.25">
      <c r="A382" t="s">
        <v>388</v>
      </c>
      <c r="B382" s="13" t="s">
        <v>26</v>
      </c>
      <c r="C382" s="13" t="s">
        <v>226</v>
      </c>
      <c r="D382" s="14" t="s">
        <v>199</v>
      </c>
      <c r="E382" s="13" t="s">
        <v>61</v>
      </c>
      <c r="F382" s="13" t="s">
        <v>343</v>
      </c>
      <c r="G382" s="13">
        <v>0.82</v>
      </c>
      <c r="H382" s="15">
        <v>558</v>
      </c>
      <c r="I382" s="16">
        <v>457.56</v>
      </c>
      <c r="J382" s="16">
        <v>1220.5432069896858</v>
      </c>
      <c r="K382" s="16">
        <v>-762.98320698968587</v>
      </c>
      <c r="L382" s="13">
        <v>2.5499999999999998</v>
      </c>
      <c r="M382" s="13"/>
      <c r="N382" s="17">
        <f t="shared" si="12"/>
        <v>1422.8999999999999</v>
      </c>
      <c r="O382" s="17">
        <f t="shared" si="12"/>
        <v>0</v>
      </c>
      <c r="P382" s="17">
        <f t="shared" si="11"/>
        <v>1422.8999999999999</v>
      </c>
      <c r="Q382" t="str">
        <f>A382&amp;"-"&amp;B382&amp;"-"&amp;D382</f>
        <v>JANUARI-MJ2-L9</v>
      </c>
    </row>
    <row r="383" spans="1:17" x14ac:dyDescent="0.25">
      <c r="A383" t="s">
        <v>388</v>
      </c>
      <c r="B383" s="13" t="s">
        <v>26</v>
      </c>
      <c r="C383" s="13" t="s">
        <v>226</v>
      </c>
      <c r="D383" s="14" t="s">
        <v>199</v>
      </c>
      <c r="E383" s="13" t="s">
        <v>61</v>
      </c>
      <c r="F383" s="13" t="s">
        <v>344</v>
      </c>
      <c r="G383" s="13">
        <v>0.82000000000000006</v>
      </c>
      <c r="H383" s="15">
        <v>1149</v>
      </c>
      <c r="I383" s="16">
        <v>942.18000000000006</v>
      </c>
      <c r="J383" s="16">
        <v>5716.4805287136578</v>
      </c>
      <c r="K383" s="16">
        <v>-4774.3005287136584</v>
      </c>
      <c r="L383" s="13">
        <v>2.5499999999999998</v>
      </c>
      <c r="M383" s="13"/>
      <c r="N383" s="17">
        <f t="shared" si="12"/>
        <v>2929.95</v>
      </c>
      <c r="O383" s="17">
        <f t="shared" si="12"/>
        <v>0</v>
      </c>
      <c r="P383" s="17">
        <f t="shared" si="11"/>
        <v>2929.95</v>
      </c>
      <c r="Q383" t="str">
        <f>A383&amp;"-"&amp;B383&amp;"-"&amp;D383</f>
        <v>JANUARI-MJ2-L9</v>
      </c>
    </row>
    <row r="384" spans="1:17" x14ac:dyDescent="0.25">
      <c r="A384" t="s">
        <v>388</v>
      </c>
      <c r="B384" s="13" t="s">
        <v>26</v>
      </c>
      <c r="C384" s="13" t="s">
        <v>226</v>
      </c>
      <c r="D384" s="14" t="s">
        <v>199</v>
      </c>
      <c r="E384" s="13" t="s">
        <v>61</v>
      </c>
      <c r="F384" s="13" t="s">
        <v>345</v>
      </c>
      <c r="G384" s="13">
        <v>0.82000000000000006</v>
      </c>
      <c r="H384" s="15">
        <v>848</v>
      </c>
      <c r="I384" s="16">
        <v>695.35999999999979</v>
      </c>
      <c r="J384" s="16">
        <v>2705.1959239010221</v>
      </c>
      <c r="K384" s="16">
        <v>-2009.8359239010215</v>
      </c>
      <c r="L384" s="13">
        <v>2.5499999999999998</v>
      </c>
      <c r="M384" s="13"/>
      <c r="N384" s="17">
        <f t="shared" si="12"/>
        <v>2162.3999999999996</v>
      </c>
      <c r="O384" s="17">
        <f t="shared" si="12"/>
        <v>0</v>
      </c>
      <c r="P384" s="17">
        <f t="shared" si="11"/>
        <v>2162.3999999999996</v>
      </c>
      <c r="Q384" t="str">
        <f>A384&amp;"-"&amp;B384&amp;"-"&amp;D384</f>
        <v>JANUARI-MJ2-L9</v>
      </c>
    </row>
    <row r="385" spans="1:17" x14ac:dyDescent="0.25">
      <c r="A385" t="s">
        <v>388</v>
      </c>
      <c r="B385" s="13" t="s">
        <v>26</v>
      </c>
      <c r="C385" s="13" t="s">
        <v>43</v>
      </c>
      <c r="D385" s="14" t="s">
        <v>44</v>
      </c>
      <c r="E385" s="13" t="s">
        <v>358</v>
      </c>
      <c r="F385" s="13" t="s">
        <v>359</v>
      </c>
      <c r="G385" s="13">
        <v>1.49</v>
      </c>
      <c r="H385" s="15">
        <v>369</v>
      </c>
      <c r="I385" s="16">
        <v>549.81000000000006</v>
      </c>
      <c r="J385" s="16">
        <v>1009.66387887678</v>
      </c>
      <c r="K385" s="16">
        <v>-459.85387887678007</v>
      </c>
      <c r="L385" s="13"/>
      <c r="M385" s="13">
        <v>1.6</v>
      </c>
      <c r="N385" s="17">
        <f t="shared" si="12"/>
        <v>0</v>
      </c>
      <c r="O385" s="17">
        <f t="shared" si="12"/>
        <v>590.4</v>
      </c>
      <c r="P385" s="17">
        <f t="shared" si="11"/>
        <v>590.4</v>
      </c>
      <c r="Q385" t="str">
        <f>A385&amp;"-"&amp;B385&amp;"-"&amp;D385</f>
        <v>JANUARI-MJ2-L1</v>
      </c>
    </row>
    <row r="386" spans="1:17" x14ac:dyDescent="0.25">
      <c r="A386" t="s">
        <v>388</v>
      </c>
      <c r="B386" s="13" t="s">
        <v>26</v>
      </c>
      <c r="C386" s="13" t="s">
        <v>43</v>
      </c>
      <c r="D386" s="14" t="s">
        <v>44</v>
      </c>
      <c r="E386" s="13" t="s">
        <v>358</v>
      </c>
      <c r="F386" s="13" t="s">
        <v>360</v>
      </c>
      <c r="G386" s="13">
        <v>1.49</v>
      </c>
      <c r="H386" s="15">
        <v>1293</v>
      </c>
      <c r="I386" s="16">
        <v>1926.5700000000002</v>
      </c>
      <c r="J386" s="16">
        <v>2955.3167340062719</v>
      </c>
      <c r="K386" s="16">
        <v>-1028.7467340062722</v>
      </c>
      <c r="L386" s="13"/>
      <c r="M386" s="13">
        <v>1.6</v>
      </c>
      <c r="N386" s="17">
        <f t="shared" si="12"/>
        <v>0</v>
      </c>
      <c r="O386" s="17">
        <f t="shared" si="12"/>
        <v>2068.8000000000002</v>
      </c>
      <c r="P386" s="17">
        <f t="shared" ref="P386:P449" si="13">N386+O386</f>
        <v>2068.8000000000002</v>
      </c>
      <c r="Q386" t="str">
        <f>A386&amp;"-"&amp;B386&amp;"-"&amp;D386</f>
        <v>JANUARI-MJ2-L1</v>
      </c>
    </row>
    <row r="387" spans="1:17" x14ac:dyDescent="0.25">
      <c r="A387" t="s">
        <v>388</v>
      </c>
      <c r="B387" s="13" t="s">
        <v>26</v>
      </c>
      <c r="C387" s="13" t="s">
        <v>43</v>
      </c>
      <c r="D387" s="14" t="s">
        <v>44</v>
      </c>
      <c r="E387" s="13" t="s">
        <v>179</v>
      </c>
      <c r="F387" s="13" t="s">
        <v>361</v>
      </c>
      <c r="G387" s="13">
        <v>1.54</v>
      </c>
      <c r="H387" s="15">
        <v>1258</v>
      </c>
      <c r="I387" s="16">
        <v>1937.32</v>
      </c>
      <c r="J387" s="16">
        <v>2571.1143568278903</v>
      </c>
      <c r="K387" s="16">
        <v>-633.79435682789017</v>
      </c>
      <c r="L387" s="13"/>
      <c r="M387" s="13">
        <v>1.65</v>
      </c>
      <c r="N387" s="17">
        <f t="shared" si="12"/>
        <v>0</v>
      </c>
      <c r="O387" s="17">
        <f t="shared" si="12"/>
        <v>2075.6999999999998</v>
      </c>
      <c r="P387" s="17">
        <f t="shared" si="13"/>
        <v>2075.6999999999998</v>
      </c>
      <c r="Q387" t="str">
        <f>A387&amp;"-"&amp;B387&amp;"-"&amp;D387</f>
        <v>JANUARI-MJ2-L1</v>
      </c>
    </row>
    <row r="388" spans="1:17" x14ac:dyDescent="0.25">
      <c r="A388" t="s">
        <v>388</v>
      </c>
      <c r="B388" s="13" t="s">
        <v>26</v>
      </c>
      <c r="C388" s="13" t="s">
        <v>43</v>
      </c>
      <c r="D388" s="14" t="s">
        <v>44</v>
      </c>
      <c r="E388" s="13" t="s">
        <v>179</v>
      </c>
      <c r="F388" s="13" t="s">
        <v>362</v>
      </c>
      <c r="G388" s="13">
        <v>1.54</v>
      </c>
      <c r="H388" s="15">
        <v>1337</v>
      </c>
      <c r="I388" s="16">
        <v>2058.98</v>
      </c>
      <c r="J388" s="16">
        <v>3150.7347877872071</v>
      </c>
      <c r="K388" s="16">
        <v>-1091.7547877872069</v>
      </c>
      <c r="L388" s="13"/>
      <c r="M388" s="13">
        <v>1.65</v>
      </c>
      <c r="N388" s="17">
        <f t="shared" si="12"/>
        <v>0</v>
      </c>
      <c r="O388" s="17">
        <f t="shared" si="12"/>
        <v>2206.0499999999997</v>
      </c>
      <c r="P388" s="17">
        <f t="shared" si="13"/>
        <v>2206.0499999999997</v>
      </c>
      <c r="Q388" t="str">
        <f>A388&amp;"-"&amp;B388&amp;"-"&amp;D388</f>
        <v>JANUARI-MJ2-L1</v>
      </c>
    </row>
    <row r="389" spans="1:17" x14ac:dyDescent="0.25">
      <c r="A389" t="s">
        <v>388</v>
      </c>
      <c r="B389" s="13" t="s">
        <v>26</v>
      </c>
      <c r="C389" s="13" t="s">
        <v>43</v>
      </c>
      <c r="D389" s="14" t="s">
        <v>44</v>
      </c>
      <c r="E389" s="13" t="s">
        <v>179</v>
      </c>
      <c r="F389" s="13" t="s">
        <v>363</v>
      </c>
      <c r="G389" s="13">
        <v>1.5399999999999998</v>
      </c>
      <c r="H389" s="15">
        <v>2986</v>
      </c>
      <c r="I389" s="16">
        <v>4598.4399999999996</v>
      </c>
      <c r="J389" s="16">
        <v>6170.1291677334439</v>
      </c>
      <c r="K389" s="16">
        <v>-1571.6891677334434</v>
      </c>
      <c r="L389" s="13"/>
      <c r="M389" s="13">
        <v>1.65</v>
      </c>
      <c r="N389" s="17">
        <f t="shared" si="12"/>
        <v>0</v>
      </c>
      <c r="O389" s="17">
        <f t="shared" si="12"/>
        <v>4926.8999999999996</v>
      </c>
      <c r="P389" s="17">
        <f t="shared" si="13"/>
        <v>4926.8999999999996</v>
      </c>
      <c r="Q389" t="str">
        <f>A389&amp;"-"&amp;B389&amp;"-"&amp;D389</f>
        <v>JANUARI-MJ2-L1</v>
      </c>
    </row>
    <row r="390" spans="1:17" x14ac:dyDescent="0.25">
      <c r="A390" t="s">
        <v>388</v>
      </c>
      <c r="B390" s="13" t="s">
        <v>26</v>
      </c>
      <c r="C390" s="13" t="s">
        <v>43</v>
      </c>
      <c r="D390" s="14" t="s">
        <v>44</v>
      </c>
      <c r="E390" s="13" t="s">
        <v>179</v>
      </c>
      <c r="F390" s="13" t="s">
        <v>364</v>
      </c>
      <c r="G390" s="13">
        <v>1.5400000000000003</v>
      </c>
      <c r="H390" s="15">
        <v>2877</v>
      </c>
      <c r="I390" s="16">
        <v>4430.58</v>
      </c>
      <c r="J390" s="16">
        <v>5681.0410747684073</v>
      </c>
      <c r="K390" s="16">
        <v>-1250.4610747684069</v>
      </c>
      <c r="L390" s="13"/>
      <c r="M390" s="13">
        <v>1.65</v>
      </c>
      <c r="N390" s="17">
        <f t="shared" si="12"/>
        <v>0</v>
      </c>
      <c r="O390" s="17">
        <f t="shared" si="12"/>
        <v>4747.05</v>
      </c>
      <c r="P390" s="17">
        <f t="shared" si="13"/>
        <v>4747.05</v>
      </c>
      <c r="Q390" t="str">
        <f>A390&amp;"-"&amp;B390&amp;"-"&amp;D390</f>
        <v>JANUARI-MJ2-L1</v>
      </c>
    </row>
    <row r="391" spans="1:17" x14ac:dyDescent="0.25">
      <c r="A391" t="s">
        <v>388</v>
      </c>
      <c r="B391" s="13" t="s">
        <v>26</v>
      </c>
      <c r="C391" s="13" t="s">
        <v>43</v>
      </c>
      <c r="D391" s="14" t="s">
        <v>50</v>
      </c>
      <c r="E391" s="13" t="s">
        <v>358</v>
      </c>
      <c r="F391" s="13" t="s">
        <v>365</v>
      </c>
      <c r="G391" s="13">
        <v>1.49</v>
      </c>
      <c r="H391" s="15">
        <v>1022</v>
      </c>
      <c r="I391" s="16">
        <v>1522.78</v>
      </c>
      <c r="J391" s="16">
        <v>3094.5986891247148</v>
      </c>
      <c r="K391" s="16">
        <v>-1571.8186891247149</v>
      </c>
      <c r="L391" s="13"/>
      <c r="M391" s="13">
        <v>1.6</v>
      </c>
      <c r="N391" s="17">
        <f t="shared" si="12"/>
        <v>0</v>
      </c>
      <c r="O391" s="17">
        <f t="shared" si="12"/>
        <v>1635.2</v>
      </c>
      <c r="P391" s="17">
        <f t="shared" si="13"/>
        <v>1635.2</v>
      </c>
      <c r="Q391" t="str">
        <f>A391&amp;"-"&amp;B391&amp;"-"&amp;D391</f>
        <v>JANUARI-MJ2-L2</v>
      </c>
    </row>
    <row r="392" spans="1:17" x14ac:dyDescent="0.25">
      <c r="A392" t="s">
        <v>388</v>
      </c>
      <c r="B392" s="13" t="s">
        <v>26</v>
      </c>
      <c r="C392" s="13" t="s">
        <v>43</v>
      </c>
      <c r="D392" s="14" t="s">
        <v>50</v>
      </c>
      <c r="E392" s="13" t="s">
        <v>358</v>
      </c>
      <c r="F392" s="13" t="s">
        <v>366</v>
      </c>
      <c r="G392" s="13">
        <v>1.49</v>
      </c>
      <c r="H392" s="15">
        <v>28</v>
      </c>
      <c r="I392" s="16">
        <v>41.72</v>
      </c>
      <c r="J392" s="16">
        <v>47.262068965517244</v>
      </c>
      <c r="K392" s="16">
        <v>-5.5420689655172453</v>
      </c>
      <c r="L392" s="13"/>
      <c r="M392" s="13">
        <v>1.6</v>
      </c>
      <c r="N392" s="17">
        <f t="shared" si="12"/>
        <v>0</v>
      </c>
      <c r="O392" s="17">
        <f t="shared" si="12"/>
        <v>44.800000000000004</v>
      </c>
      <c r="P392" s="17">
        <f t="shared" si="13"/>
        <v>44.800000000000004</v>
      </c>
      <c r="Q392" t="str">
        <f>A392&amp;"-"&amp;B392&amp;"-"&amp;D392</f>
        <v>JANUARI-MJ2-L2</v>
      </c>
    </row>
    <row r="393" spans="1:17" x14ac:dyDescent="0.25">
      <c r="A393" t="s">
        <v>388</v>
      </c>
      <c r="B393" s="13" t="s">
        <v>26</v>
      </c>
      <c r="C393" s="13" t="s">
        <v>43</v>
      </c>
      <c r="D393" s="14" t="s">
        <v>50</v>
      </c>
      <c r="E393" s="13" t="s">
        <v>358</v>
      </c>
      <c r="F393" s="13" t="s">
        <v>367</v>
      </c>
      <c r="G393" s="13">
        <v>1.49</v>
      </c>
      <c r="H393" s="15">
        <v>998</v>
      </c>
      <c r="I393" s="16">
        <v>1487.02</v>
      </c>
      <c r="J393" s="16">
        <v>2035.8684043214921</v>
      </c>
      <c r="K393" s="16">
        <v>-548.84840432149213</v>
      </c>
      <c r="L393" s="13"/>
      <c r="M393" s="13">
        <v>1.6</v>
      </c>
      <c r="N393" s="17">
        <f t="shared" si="12"/>
        <v>0</v>
      </c>
      <c r="O393" s="17">
        <f t="shared" si="12"/>
        <v>1596.8000000000002</v>
      </c>
      <c r="P393" s="17">
        <f t="shared" si="13"/>
        <v>1596.8000000000002</v>
      </c>
      <c r="Q393" t="str">
        <f>A393&amp;"-"&amp;B393&amp;"-"&amp;D393</f>
        <v>JANUARI-MJ2-L2</v>
      </c>
    </row>
    <row r="394" spans="1:17" x14ac:dyDescent="0.25">
      <c r="A394" t="s">
        <v>388</v>
      </c>
      <c r="B394" s="13" t="s">
        <v>26</v>
      </c>
      <c r="C394" s="13" t="s">
        <v>43</v>
      </c>
      <c r="D394" s="14" t="s">
        <v>50</v>
      </c>
      <c r="E394" s="13" t="s">
        <v>358</v>
      </c>
      <c r="F394" s="13" t="s">
        <v>368</v>
      </c>
      <c r="G394" s="13">
        <v>1.49</v>
      </c>
      <c r="H394" s="15">
        <v>10</v>
      </c>
      <c r="I394" s="16">
        <v>14.9</v>
      </c>
      <c r="J394" s="16">
        <v>29.05044510385757</v>
      </c>
      <c r="K394" s="16">
        <v>-14.150445103857569</v>
      </c>
      <c r="L394" s="13"/>
      <c r="M394" s="13">
        <v>1.6</v>
      </c>
      <c r="N394" s="17">
        <f t="shared" si="12"/>
        <v>0</v>
      </c>
      <c r="O394" s="17">
        <f t="shared" si="12"/>
        <v>16</v>
      </c>
      <c r="P394" s="17">
        <f t="shared" si="13"/>
        <v>16</v>
      </c>
      <c r="Q394" t="str">
        <f>A394&amp;"-"&amp;B394&amp;"-"&amp;D394</f>
        <v>JANUARI-MJ2-L2</v>
      </c>
    </row>
    <row r="395" spans="1:17" x14ac:dyDescent="0.25">
      <c r="A395" t="s">
        <v>388</v>
      </c>
      <c r="B395" s="13" t="s">
        <v>26</v>
      </c>
      <c r="C395" s="13" t="s">
        <v>43</v>
      </c>
      <c r="D395" s="14" t="s">
        <v>50</v>
      </c>
      <c r="E395" s="13" t="s">
        <v>358</v>
      </c>
      <c r="F395" s="13" t="s">
        <v>369</v>
      </c>
      <c r="G395" s="13">
        <v>1.49</v>
      </c>
      <c r="H395" s="15">
        <v>2115</v>
      </c>
      <c r="I395" s="16">
        <v>3151.35</v>
      </c>
      <c r="J395" s="16">
        <v>3643.6109025212709</v>
      </c>
      <c r="K395" s="16">
        <v>-492.26090252127096</v>
      </c>
      <c r="L395" s="13"/>
      <c r="M395" s="13">
        <v>1.6</v>
      </c>
      <c r="N395" s="17">
        <f t="shared" si="12"/>
        <v>0</v>
      </c>
      <c r="O395" s="17">
        <f t="shared" si="12"/>
        <v>3384</v>
      </c>
      <c r="P395" s="17">
        <f t="shared" si="13"/>
        <v>3384</v>
      </c>
      <c r="Q395" t="str">
        <f>A395&amp;"-"&amp;B395&amp;"-"&amp;D395</f>
        <v>JANUARI-MJ2-L2</v>
      </c>
    </row>
    <row r="396" spans="1:17" x14ac:dyDescent="0.25">
      <c r="A396" t="s">
        <v>388</v>
      </c>
      <c r="B396" s="13" t="s">
        <v>26</v>
      </c>
      <c r="C396" s="13" t="s">
        <v>43</v>
      </c>
      <c r="D396" s="14" t="s">
        <v>50</v>
      </c>
      <c r="E396" s="13" t="s">
        <v>358</v>
      </c>
      <c r="F396" s="13" t="s">
        <v>370</v>
      </c>
      <c r="G396" s="13">
        <v>1.49</v>
      </c>
      <c r="H396" s="15">
        <v>2105</v>
      </c>
      <c r="I396" s="16">
        <v>3136.45</v>
      </c>
      <c r="J396" s="16">
        <v>7802.9495548961422</v>
      </c>
      <c r="K396" s="16">
        <v>-4666.4995548961424</v>
      </c>
      <c r="L396" s="13"/>
      <c r="M396" s="13">
        <v>1.6</v>
      </c>
      <c r="N396" s="17">
        <f t="shared" si="12"/>
        <v>0</v>
      </c>
      <c r="O396" s="17">
        <f t="shared" si="12"/>
        <v>3368</v>
      </c>
      <c r="P396" s="17">
        <f t="shared" si="13"/>
        <v>3368</v>
      </c>
      <c r="Q396" t="str">
        <f>A396&amp;"-"&amp;B396&amp;"-"&amp;D396</f>
        <v>JANUARI-MJ2-L2</v>
      </c>
    </row>
    <row r="397" spans="1:17" x14ac:dyDescent="0.25">
      <c r="A397" t="s">
        <v>388</v>
      </c>
      <c r="B397" s="13" t="s">
        <v>26</v>
      </c>
      <c r="C397" s="13" t="s">
        <v>43</v>
      </c>
      <c r="D397" s="14" t="s">
        <v>50</v>
      </c>
      <c r="E397" s="13" t="s">
        <v>358</v>
      </c>
      <c r="F397" s="13" t="s">
        <v>371</v>
      </c>
      <c r="G397" s="13">
        <v>1.49</v>
      </c>
      <c r="H397" s="15">
        <v>2181</v>
      </c>
      <c r="I397" s="16">
        <v>3249.6900000000005</v>
      </c>
      <c r="J397" s="16">
        <v>3905.6599350670049</v>
      </c>
      <c r="K397" s="16">
        <v>-655.96993506700505</v>
      </c>
      <c r="L397" s="13"/>
      <c r="M397" s="13">
        <v>1.6</v>
      </c>
      <c r="N397" s="17">
        <f t="shared" si="12"/>
        <v>0</v>
      </c>
      <c r="O397" s="17">
        <f t="shared" si="12"/>
        <v>3489.6000000000004</v>
      </c>
      <c r="P397" s="17">
        <f t="shared" si="13"/>
        <v>3489.6000000000004</v>
      </c>
      <c r="Q397" t="str">
        <f>A397&amp;"-"&amp;B397&amp;"-"&amp;D397</f>
        <v>JANUARI-MJ2-L2</v>
      </c>
    </row>
    <row r="398" spans="1:17" x14ac:dyDescent="0.25">
      <c r="A398" t="s">
        <v>388</v>
      </c>
      <c r="B398" s="13" t="s">
        <v>26</v>
      </c>
      <c r="C398" s="13" t="s">
        <v>43</v>
      </c>
      <c r="D398" s="14" t="s">
        <v>56</v>
      </c>
      <c r="E398" s="13" t="s">
        <v>358</v>
      </c>
      <c r="F398" s="13" t="s">
        <v>367</v>
      </c>
      <c r="G398" s="13">
        <v>1.49</v>
      </c>
      <c r="H398" s="15">
        <v>485</v>
      </c>
      <c r="I398" s="16">
        <v>722.65</v>
      </c>
      <c r="J398" s="16">
        <v>1862.2877094972068</v>
      </c>
      <c r="K398" s="16">
        <v>-1139.6377094972067</v>
      </c>
      <c r="L398" s="13"/>
      <c r="M398" s="13">
        <v>1.6</v>
      </c>
      <c r="N398" s="17">
        <f t="shared" si="12"/>
        <v>0</v>
      </c>
      <c r="O398" s="17">
        <f t="shared" si="12"/>
        <v>776</v>
      </c>
      <c r="P398" s="17">
        <f t="shared" si="13"/>
        <v>776</v>
      </c>
      <c r="Q398" t="str">
        <f>A398&amp;"-"&amp;B398&amp;"-"&amp;D398</f>
        <v>JANUARI-MJ2-L3</v>
      </c>
    </row>
    <row r="399" spans="1:17" x14ac:dyDescent="0.25">
      <c r="A399" t="s">
        <v>388</v>
      </c>
      <c r="B399" s="13" t="s">
        <v>26</v>
      </c>
      <c r="C399" s="13" t="s">
        <v>43</v>
      </c>
      <c r="D399" s="14" t="s">
        <v>56</v>
      </c>
      <c r="E399" s="13" t="s">
        <v>358</v>
      </c>
      <c r="F399" s="13" t="s">
        <v>372</v>
      </c>
      <c r="G399" s="13">
        <v>1.49</v>
      </c>
      <c r="H399" s="15">
        <v>1184</v>
      </c>
      <c r="I399" s="16">
        <v>1764.1599999999999</v>
      </c>
      <c r="J399" s="16">
        <v>4325.6512232817195</v>
      </c>
      <c r="K399" s="16">
        <v>-2561.4912232817196</v>
      </c>
      <c r="L399" s="13"/>
      <c r="M399" s="13">
        <v>1.6</v>
      </c>
      <c r="N399" s="17">
        <f t="shared" si="12"/>
        <v>0</v>
      </c>
      <c r="O399" s="17">
        <f t="shared" si="12"/>
        <v>1894.4</v>
      </c>
      <c r="P399" s="17">
        <f t="shared" si="13"/>
        <v>1894.4</v>
      </c>
      <c r="Q399" t="str">
        <f>A399&amp;"-"&amp;B399&amp;"-"&amp;D399</f>
        <v>JANUARI-MJ2-L3</v>
      </c>
    </row>
    <row r="400" spans="1:17" x14ac:dyDescent="0.25">
      <c r="A400" t="s">
        <v>388</v>
      </c>
      <c r="B400" s="13" t="s">
        <v>26</v>
      </c>
      <c r="C400" s="13" t="s">
        <v>43</v>
      </c>
      <c r="D400" s="14" t="s">
        <v>56</v>
      </c>
      <c r="E400" s="13" t="s">
        <v>358</v>
      </c>
      <c r="F400" s="13" t="s">
        <v>369</v>
      </c>
      <c r="G400" s="13">
        <v>1.49</v>
      </c>
      <c r="H400" s="15">
        <v>855</v>
      </c>
      <c r="I400" s="16">
        <v>1273.9499999999998</v>
      </c>
      <c r="J400" s="16">
        <v>1951.294520547945</v>
      </c>
      <c r="K400" s="16">
        <v>-677.34452054794519</v>
      </c>
      <c r="L400" s="13"/>
      <c r="M400" s="13">
        <v>1.6</v>
      </c>
      <c r="N400" s="17">
        <f t="shared" si="12"/>
        <v>0</v>
      </c>
      <c r="O400" s="17">
        <f t="shared" si="12"/>
        <v>1368</v>
      </c>
      <c r="P400" s="17">
        <f t="shared" si="13"/>
        <v>1368</v>
      </c>
      <c r="Q400" t="str">
        <f>A400&amp;"-"&amp;B400&amp;"-"&amp;D400</f>
        <v>JANUARI-MJ2-L3</v>
      </c>
    </row>
    <row r="401" spans="1:17" x14ac:dyDescent="0.25">
      <c r="A401" t="s">
        <v>388</v>
      </c>
      <c r="B401" s="13" t="s">
        <v>26</v>
      </c>
      <c r="C401" s="13" t="s">
        <v>43</v>
      </c>
      <c r="D401" s="14" t="s">
        <v>56</v>
      </c>
      <c r="E401" s="13" t="s">
        <v>358</v>
      </c>
      <c r="F401" s="13" t="s">
        <v>373</v>
      </c>
      <c r="G401" s="13">
        <v>1.49</v>
      </c>
      <c r="H401" s="15">
        <v>3</v>
      </c>
      <c r="I401" s="16">
        <v>4.47</v>
      </c>
      <c r="J401" s="16">
        <v>6.705479452054794</v>
      </c>
      <c r="K401" s="16">
        <v>-2.2354794520547943</v>
      </c>
      <c r="L401" s="13"/>
      <c r="M401" s="13">
        <v>1.6</v>
      </c>
      <c r="N401" s="17">
        <f t="shared" si="12"/>
        <v>0</v>
      </c>
      <c r="O401" s="17">
        <f t="shared" si="12"/>
        <v>4.8000000000000007</v>
      </c>
      <c r="P401" s="17">
        <f t="shared" si="13"/>
        <v>4.8000000000000007</v>
      </c>
      <c r="Q401" t="str">
        <f>A401&amp;"-"&amp;B401&amp;"-"&amp;D401</f>
        <v>JANUARI-MJ2-L3</v>
      </c>
    </row>
    <row r="402" spans="1:17" x14ac:dyDescent="0.25">
      <c r="A402" t="s">
        <v>388</v>
      </c>
      <c r="B402" s="13" t="s">
        <v>26</v>
      </c>
      <c r="C402" s="13" t="s">
        <v>212</v>
      </c>
      <c r="D402" s="14" t="s">
        <v>310</v>
      </c>
      <c r="E402" s="13" t="s">
        <v>65</v>
      </c>
      <c r="F402" s="13" t="s">
        <v>374</v>
      </c>
      <c r="G402" s="13">
        <v>0.67999999999999983</v>
      </c>
      <c r="H402" s="15">
        <v>10117</v>
      </c>
      <c r="I402" s="16">
        <v>6879.5600000000022</v>
      </c>
      <c r="J402" s="16">
        <v>9767.2575921546795</v>
      </c>
      <c r="K402" s="16">
        <v>-2887.6975921546818</v>
      </c>
      <c r="L402" s="13">
        <v>1</v>
      </c>
      <c r="M402" s="13"/>
      <c r="N402" s="17">
        <f t="shared" si="12"/>
        <v>10117</v>
      </c>
      <c r="O402" s="17">
        <f t="shared" si="12"/>
        <v>0</v>
      </c>
      <c r="P402" s="17">
        <f t="shared" si="13"/>
        <v>10117</v>
      </c>
      <c r="Q402" t="str">
        <f>A402&amp;"-"&amp;B402&amp;"-"&amp;D402</f>
        <v>JANUARI-MJ2-L12</v>
      </c>
    </row>
    <row r="403" spans="1:17" x14ac:dyDescent="0.25">
      <c r="A403" t="s">
        <v>388</v>
      </c>
      <c r="B403" s="13" t="s">
        <v>26</v>
      </c>
      <c r="C403" s="13" t="s">
        <v>212</v>
      </c>
      <c r="D403" s="14" t="s">
        <v>320</v>
      </c>
      <c r="E403" s="13" t="s">
        <v>65</v>
      </c>
      <c r="F403" s="13" t="s">
        <v>374</v>
      </c>
      <c r="G403" s="13">
        <v>0.68</v>
      </c>
      <c r="H403" s="15">
        <v>4155</v>
      </c>
      <c r="I403" s="16">
        <v>2825.3999999999996</v>
      </c>
      <c r="J403" s="16">
        <v>5184.5415562426388</v>
      </c>
      <c r="K403" s="16">
        <v>-2359.1415562426387</v>
      </c>
      <c r="L403" s="13">
        <v>1</v>
      </c>
      <c r="M403" s="13"/>
      <c r="N403" s="17">
        <f t="shared" si="12"/>
        <v>4155</v>
      </c>
      <c r="O403" s="17">
        <f t="shared" si="12"/>
        <v>0</v>
      </c>
      <c r="P403" s="17">
        <f t="shared" si="13"/>
        <v>4155</v>
      </c>
      <c r="Q403" t="str">
        <f>A403&amp;"-"&amp;B403&amp;"-"&amp;D403</f>
        <v>JANUARI-MJ2-L13</v>
      </c>
    </row>
    <row r="404" spans="1:17" x14ac:dyDescent="0.25">
      <c r="A404" t="s">
        <v>388</v>
      </c>
      <c r="B404" s="13" t="s">
        <v>26</v>
      </c>
      <c r="C404" s="13" t="s">
        <v>375</v>
      </c>
      <c r="D404" s="14" t="s">
        <v>301</v>
      </c>
      <c r="E404" s="13" t="s">
        <v>71</v>
      </c>
      <c r="F404" s="13" t="s">
        <v>376</v>
      </c>
      <c r="G404" s="13">
        <v>3.3</v>
      </c>
      <c r="H404" s="15">
        <v>11</v>
      </c>
      <c r="I404" s="16">
        <v>36.299999999999997</v>
      </c>
      <c r="J404" s="16">
        <v>24.693226677861787</v>
      </c>
      <c r="K404" s="16">
        <v>11.606773322138212</v>
      </c>
      <c r="L404" s="13">
        <v>7.05</v>
      </c>
      <c r="M404" s="13"/>
      <c r="N404" s="17">
        <f t="shared" si="12"/>
        <v>77.55</v>
      </c>
      <c r="O404" s="17">
        <f t="shared" si="12"/>
        <v>0</v>
      </c>
      <c r="P404" s="17">
        <f t="shared" si="13"/>
        <v>77.55</v>
      </c>
      <c r="Q404" t="str">
        <f>A404&amp;"-"&amp;B404&amp;"-"&amp;D404</f>
        <v>JANUARI-MJ2-L10</v>
      </c>
    </row>
    <row r="405" spans="1:17" x14ac:dyDescent="0.25">
      <c r="A405" t="s">
        <v>388</v>
      </c>
      <c r="B405" s="13" t="s">
        <v>26</v>
      </c>
      <c r="C405" s="13" t="s">
        <v>375</v>
      </c>
      <c r="D405" s="14" t="s">
        <v>301</v>
      </c>
      <c r="E405" s="13" t="s">
        <v>73</v>
      </c>
      <c r="F405" s="13" t="s">
        <v>377</v>
      </c>
      <c r="G405" s="13">
        <v>5.5</v>
      </c>
      <c r="H405" s="15">
        <v>1784</v>
      </c>
      <c r="I405" s="16">
        <v>9812</v>
      </c>
      <c r="J405" s="16">
        <v>3574.7744855179203</v>
      </c>
      <c r="K405" s="16">
        <v>6237.2255144820792</v>
      </c>
      <c r="L405" s="13"/>
      <c r="M405" s="13"/>
      <c r="N405" s="17">
        <f t="shared" si="12"/>
        <v>0</v>
      </c>
      <c r="O405" s="17">
        <f t="shared" si="12"/>
        <v>0</v>
      </c>
      <c r="P405" s="17">
        <f t="shared" si="13"/>
        <v>0</v>
      </c>
      <c r="Q405" t="str">
        <f>A405&amp;"-"&amp;B405&amp;"-"&amp;D405</f>
        <v>JANUARI-MJ2-L10</v>
      </c>
    </row>
    <row r="406" spans="1:17" x14ac:dyDescent="0.25">
      <c r="A406" t="s">
        <v>388</v>
      </c>
      <c r="B406" s="13" t="s">
        <v>26</v>
      </c>
      <c r="C406" s="13" t="s">
        <v>375</v>
      </c>
      <c r="D406" s="14" t="s">
        <v>301</v>
      </c>
      <c r="E406" s="13" t="s">
        <v>65</v>
      </c>
      <c r="F406" s="13" t="s">
        <v>378</v>
      </c>
      <c r="G406" s="13">
        <v>0.75</v>
      </c>
      <c r="H406" s="15">
        <v>158</v>
      </c>
      <c r="I406" s="16">
        <v>118.5</v>
      </c>
      <c r="J406" s="16">
        <v>494.49374645565069</v>
      </c>
      <c r="K406" s="16">
        <v>-375.99374645565069</v>
      </c>
      <c r="L406" s="13">
        <v>1.63</v>
      </c>
      <c r="M406" s="13"/>
      <c r="N406" s="17">
        <f t="shared" si="12"/>
        <v>257.53999999999996</v>
      </c>
      <c r="O406" s="17">
        <f t="shared" si="12"/>
        <v>0</v>
      </c>
      <c r="P406" s="17">
        <f t="shared" si="13"/>
        <v>257.53999999999996</v>
      </c>
      <c r="Q406" t="str">
        <f>A406&amp;"-"&amp;B406&amp;"-"&amp;D406</f>
        <v>JANUARI-MJ2-L10</v>
      </c>
    </row>
    <row r="407" spans="1:17" x14ac:dyDescent="0.25">
      <c r="A407" t="s">
        <v>388</v>
      </c>
      <c r="B407" s="13" t="s">
        <v>26</v>
      </c>
      <c r="C407" s="13" t="s">
        <v>375</v>
      </c>
      <c r="D407" s="14" t="s">
        <v>301</v>
      </c>
      <c r="E407" s="13" t="s">
        <v>65</v>
      </c>
      <c r="F407" s="13" t="s">
        <v>379</v>
      </c>
      <c r="G407" s="13">
        <v>1.95</v>
      </c>
      <c r="H407" s="15">
        <v>39</v>
      </c>
      <c r="I407" s="16">
        <v>76.05</v>
      </c>
      <c r="J407" s="16">
        <v>181.81428571428572</v>
      </c>
      <c r="K407" s="16">
        <v>-105.76428571428572</v>
      </c>
      <c r="L407" s="13">
        <v>3.18</v>
      </c>
      <c r="M407" s="13"/>
      <c r="N407" s="17">
        <f t="shared" si="12"/>
        <v>124.02000000000001</v>
      </c>
      <c r="O407" s="17">
        <f t="shared" si="12"/>
        <v>0</v>
      </c>
      <c r="P407" s="17">
        <f t="shared" si="13"/>
        <v>124.02000000000001</v>
      </c>
      <c r="Q407" t="str">
        <f>A407&amp;"-"&amp;B407&amp;"-"&amp;D407</f>
        <v>JANUARI-MJ2-L10</v>
      </c>
    </row>
    <row r="408" spans="1:17" x14ac:dyDescent="0.25">
      <c r="A408" t="s">
        <v>388</v>
      </c>
      <c r="B408" s="13" t="s">
        <v>26</v>
      </c>
      <c r="C408" s="13" t="s">
        <v>375</v>
      </c>
      <c r="D408" s="14" t="s">
        <v>301</v>
      </c>
      <c r="E408" s="13" t="s">
        <v>65</v>
      </c>
      <c r="F408" s="13" t="s">
        <v>380</v>
      </c>
      <c r="G408" s="13">
        <v>1.79</v>
      </c>
      <c r="H408" s="15">
        <v>68</v>
      </c>
      <c r="I408" s="16">
        <v>121.72</v>
      </c>
      <c r="J408" s="16">
        <v>112.7908866260457</v>
      </c>
      <c r="K408" s="16">
        <v>8.9291133739542854</v>
      </c>
      <c r="L408" s="13">
        <v>3.23</v>
      </c>
      <c r="M408" s="13"/>
      <c r="N408" s="17">
        <f t="shared" si="12"/>
        <v>219.64</v>
      </c>
      <c r="O408" s="17">
        <f t="shared" si="12"/>
        <v>0</v>
      </c>
      <c r="P408" s="17">
        <f t="shared" si="13"/>
        <v>219.64</v>
      </c>
      <c r="Q408" t="str">
        <f>A408&amp;"-"&amp;B408&amp;"-"&amp;D408</f>
        <v>JANUARI-MJ2-L10</v>
      </c>
    </row>
    <row r="409" spans="1:17" x14ac:dyDescent="0.25">
      <c r="A409" t="s">
        <v>388</v>
      </c>
      <c r="B409" s="13" t="s">
        <v>26</v>
      </c>
      <c r="C409" s="13" t="s">
        <v>375</v>
      </c>
      <c r="D409" s="14" t="s">
        <v>301</v>
      </c>
      <c r="E409" s="13" t="s">
        <v>77</v>
      </c>
      <c r="F409" s="13" t="s">
        <v>381</v>
      </c>
      <c r="G409" s="13">
        <v>3.5</v>
      </c>
      <c r="H409" s="15">
        <v>2092</v>
      </c>
      <c r="I409" s="16">
        <v>7322</v>
      </c>
      <c r="J409" s="16">
        <v>4371.5637728968513</v>
      </c>
      <c r="K409" s="16">
        <v>2950.4362271031496</v>
      </c>
      <c r="L409" s="13">
        <v>3.9</v>
      </c>
      <c r="M409" s="13"/>
      <c r="N409" s="17">
        <f t="shared" si="12"/>
        <v>8158.8</v>
      </c>
      <c r="O409" s="17">
        <f t="shared" si="12"/>
        <v>0</v>
      </c>
      <c r="P409" s="17">
        <f t="shared" si="13"/>
        <v>8158.8</v>
      </c>
      <c r="Q409" t="str">
        <f>A409&amp;"-"&amp;B409&amp;"-"&amp;D409</f>
        <v>JANUARI-MJ2-L10</v>
      </c>
    </row>
    <row r="410" spans="1:17" x14ac:dyDescent="0.25">
      <c r="A410" t="s">
        <v>388</v>
      </c>
      <c r="B410" s="13" t="s">
        <v>26</v>
      </c>
      <c r="C410" s="13" t="s">
        <v>375</v>
      </c>
      <c r="D410" s="14" t="s">
        <v>301</v>
      </c>
      <c r="E410" s="13" t="s">
        <v>382</v>
      </c>
      <c r="F410" s="13" t="s">
        <v>383</v>
      </c>
      <c r="G410" s="13">
        <v>2.9</v>
      </c>
      <c r="H410" s="15">
        <v>180</v>
      </c>
      <c r="I410" s="16">
        <v>522</v>
      </c>
      <c r="J410" s="16">
        <v>289.89261619898991</v>
      </c>
      <c r="K410" s="16">
        <v>232.10738380101009</v>
      </c>
      <c r="L410" s="13">
        <v>5.73</v>
      </c>
      <c r="M410" s="13"/>
      <c r="N410" s="17">
        <f t="shared" si="12"/>
        <v>1031.4000000000001</v>
      </c>
      <c r="O410" s="17">
        <f t="shared" si="12"/>
        <v>0</v>
      </c>
      <c r="P410" s="17">
        <f t="shared" si="13"/>
        <v>1031.4000000000001</v>
      </c>
      <c r="Q410" t="str">
        <f>A410&amp;"-"&amp;B410&amp;"-"&amp;D410</f>
        <v>JANUARI-MJ2-L10</v>
      </c>
    </row>
    <row r="411" spans="1:17" x14ac:dyDescent="0.25">
      <c r="A411" t="s">
        <v>388</v>
      </c>
      <c r="B411" s="13" t="s">
        <v>26</v>
      </c>
      <c r="C411" s="13" t="s">
        <v>375</v>
      </c>
      <c r="D411" s="14" t="s">
        <v>287</v>
      </c>
      <c r="E411" s="13" t="s">
        <v>65</v>
      </c>
      <c r="F411" s="13" t="s">
        <v>378</v>
      </c>
      <c r="G411" s="13">
        <v>0.75</v>
      </c>
      <c r="H411" s="15">
        <v>1560</v>
      </c>
      <c r="I411" s="16">
        <v>1170</v>
      </c>
      <c r="J411" s="16">
        <v>2630.4517294675111</v>
      </c>
      <c r="K411" s="16">
        <v>-1460.4517294675113</v>
      </c>
      <c r="L411" s="13">
        <v>1.63</v>
      </c>
      <c r="M411" s="13"/>
      <c r="N411" s="17">
        <f t="shared" si="12"/>
        <v>2542.7999999999997</v>
      </c>
      <c r="O411" s="17">
        <f t="shared" si="12"/>
        <v>0</v>
      </c>
      <c r="P411" s="17">
        <f t="shared" si="13"/>
        <v>2542.7999999999997</v>
      </c>
      <c r="Q411" t="str">
        <f>A411&amp;"-"&amp;B411&amp;"-"&amp;D411</f>
        <v>JANUARI-MJ2-L11</v>
      </c>
    </row>
    <row r="412" spans="1:17" x14ac:dyDescent="0.25">
      <c r="A412" t="s">
        <v>388</v>
      </c>
      <c r="B412" s="13" t="s">
        <v>26</v>
      </c>
      <c r="C412" s="13" t="s">
        <v>375</v>
      </c>
      <c r="D412" s="14" t="s">
        <v>287</v>
      </c>
      <c r="E412" s="13" t="s">
        <v>65</v>
      </c>
      <c r="F412" s="13" t="s">
        <v>379</v>
      </c>
      <c r="G412" s="13">
        <v>1.95</v>
      </c>
      <c r="H412" s="15">
        <v>40</v>
      </c>
      <c r="I412" s="16">
        <v>78</v>
      </c>
      <c r="J412" s="16">
        <v>316.35925338169721</v>
      </c>
      <c r="K412" s="16">
        <v>-238.35925338169721</v>
      </c>
      <c r="L412" s="13">
        <v>3.18</v>
      </c>
      <c r="M412" s="13"/>
      <c r="N412" s="17">
        <f t="shared" si="12"/>
        <v>127.2</v>
      </c>
      <c r="O412" s="17">
        <f t="shared" si="12"/>
        <v>0</v>
      </c>
      <c r="P412" s="17">
        <f t="shared" si="13"/>
        <v>127.2</v>
      </c>
      <c r="Q412" t="str">
        <f>A412&amp;"-"&amp;B412&amp;"-"&amp;D412</f>
        <v>JANUARI-MJ2-L11</v>
      </c>
    </row>
    <row r="413" spans="1:17" x14ac:dyDescent="0.25">
      <c r="A413" t="s">
        <v>388</v>
      </c>
      <c r="B413" s="13" t="s">
        <v>26</v>
      </c>
      <c r="C413" s="13" t="s">
        <v>375</v>
      </c>
      <c r="D413" s="14" t="s">
        <v>287</v>
      </c>
      <c r="E413" s="13" t="s">
        <v>65</v>
      </c>
      <c r="F413" s="13" t="s">
        <v>380</v>
      </c>
      <c r="G413" s="13">
        <v>1.79</v>
      </c>
      <c r="H413" s="15">
        <v>68</v>
      </c>
      <c r="I413" s="16">
        <v>121.72</v>
      </c>
      <c r="J413" s="16">
        <v>629.8307971683854</v>
      </c>
      <c r="K413" s="16">
        <v>-508.11079716838543</v>
      </c>
      <c r="L413" s="13">
        <v>3.23</v>
      </c>
      <c r="M413" s="13"/>
      <c r="N413" s="17">
        <f t="shared" si="12"/>
        <v>219.64</v>
      </c>
      <c r="O413" s="17">
        <f t="shared" si="12"/>
        <v>0</v>
      </c>
      <c r="P413" s="17">
        <f t="shared" si="13"/>
        <v>219.64</v>
      </c>
      <c r="Q413" t="str">
        <f>A413&amp;"-"&amp;B413&amp;"-"&amp;D413</f>
        <v>JANUARI-MJ2-L11</v>
      </c>
    </row>
    <row r="414" spans="1:17" x14ac:dyDescent="0.25">
      <c r="A414" t="s">
        <v>388</v>
      </c>
      <c r="B414" s="13" t="s">
        <v>26</v>
      </c>
      <c r="C414" s="13" t="s">
        <v>375</v>
      </c>
      <c r="D414" s="14" t="s">
        <v>310</v>
      </c>
      <c r="E414" s="13" t="s">
        <v>65</v>
      </c>
      <c r="F414" s="13" t="s">
        <v>378</v>
      </c>
      <c r="G414" s="13">
        <v>0.75</v>
      </c>
      <c r="H414" s="15">
        <v>834</v>
      </c>
      <c r="I414" s="16">
        <v>625.5</v>
      </c>
      <c r="J414" s="16">
        <v>660.05915906127768</v>
      </c>
      <c r="K414" s="16">
        <v>-34.559159061277683</v>
      </c>
      <c r="L414" s="13">
        <v>1.63</v>
      </c>
      <c r="M414" s="13"/>
      <c r="N414" s="17">
        <f t="shared" si="12"/>
        <v>1359.4199999999998</v>
      </c>
      <c r="O414" s="17">
        <f t="shared" si="12"/>
        <v>0</v>
      </c>
      <c r="P414" s="17">
        <f t="shared" si="13"/>
        <v>1359.4199999999998</v>
      </c>
      <c r="Q414" t="str">
        <f>A414&amp;"-"&amp;B414&amp;"-"&amp;D414</f>
        <v>JANUARI-MJ2-L12</v>
      </c>
    </row>
    <row r="415" spans="1:17" x14ac:dyDescent="0.25">
      <c r="A415" t="s">
        <v>388</v>
      </c>
      <c r="B415" s="13" t="s">
        <v>26</v>
      </c>
      <c r="C415" s="13" t="s">
        <v>375</v>
      </c>
      <c r="D415" s="14" t="s">
        <v>320</v>
      </c>
      <c r="E415" s="13" t="s">
        <v>65</v>
      </c>
      <c r="F415" s="13" t="s">
        <v>378</v>
      </c>
      <c r="G415" s="13">
        <v>0.75</v>
      </c>
      <c r="H415" s="15">
        <v>3187</v>
      </c>
      <c r="I415" s="16">
        <v>2390.25</v>
      </c>
      <c r="J415" s="16">
        <v>3623.3021607676606</v>
      </c>
      <c r="K415" s="16">
        <v>-1233.0521607676606</v>
      </c>
      <c r="L415" s="13">
        <v>1.63</v>
      </c>
      <c r="M415" s="13"/>
      <c r="N415" s="17">
        <f t="shared" si="12"/>
        <v>5194.8099999999995</v>
      </c>
      <c r="O415" s="17">
        <f t="shared" si="12"/>
        <v>0</v>
      </c>
      <c r="P415" s="17">
        <f t="shared" si="13"/>
        <v>5194.8099999999995</v>
      </c>
      <c r="Q415" t="str">
        <f>A415&amp;"-"&amp;B415&amp;"-"&amp;D415</f>
        <v>JANUARI-MJ2-L13</v>
      </c>
    </row>
    <row r="416" spans="1:17" x14ac:dyDescent="0.25">
      <c r="A416" t="s">
        <v>388</v>
      </c>
      <c r="B416" s="13" t="s">
        <v>26</v>
      </c>
      <c r="C416" s="13" t="s">
        <v>375</v>
      </c>
      <c r="D416" s="14" t="s">
        <v>158</v>
      </c>
      <c r="E416" s="13" t="s">
        <v>142</v>
      </c>
      <c r="F416" s="13" t="s">
        <v>384</v>
      </c>
      <c r="G416" s="13">
        <v>1.4000000000000001</v>
      </c>
      <c r="H416" s="15">
        <v>450</v>
      </c>
      <c r="I416" s="16">
        <v>630</v>
      </c>
      <c r="J416" s="16">
        <v>359.20342261635517</v>
      </c>
      <c r="K416" s="16">
        <v>270.79657738364483</v>
      </c>
      <c r="L416" s="13">
        <v>2.2799999999999998</v>
      </c>
      <c r="M416" s="13"/>
      <c r="N416" s="17">
        <f t="shared" si="12"/>
        <v>1026</v>
      </c>
      <c r="O416" s="17">
        <f t="shared" si="12"/>
        <v>0</v>
      </c>
      <c r="P416" s="17">
        <f t="shared" si="13"/>
        <v>1026</v>
      </c>
      <c r="Q416" t="str">
        <f>A416&amp;"-"&amp;B416&amp;"-"&amp;D416</f>
        <v>JANUARI-MJ2-L4</v>
      </c>
    </row>
    <row r="417" spans="1:17" x14ac:dyDescent="0.25">
      <c r="A417" t="s">
        <v>388</v>
      </c>
      <c r="B417" s="13" t="s">
        <v>26</v>
      </c>
      <c r="C417" s="13" t="s">
        <v>375</v>
      </c>
      <c r="D417" s="14" t="s">
        <v>158</v>
      </c>
      <c r="E417" s="13" t="s">
        <v>142</v>
      </c>
      <c r="F417" s="13" t="s">
        <v>385</v>
      </c>
      <c r="G417" s="13">
        <v>1.4000000000000001</v>
      </c>
      <c r="H417" s="15">
        <v>600</v>
      </c>
      <c r="I417" s="16">
        <v>840</v>
      </c>
      <c r="J417" s="16">
        <v>529.70828593450983</v>
      </c>
      <c r="K417" s="16">
        <v>310.29171406549028</v>
      </c>
      <c r="L417" s="13">
        <v>2.2799999999999998</v>
      </c>
      <c r="M417" s="13"/>
      <c r="N417" s="17">
        <f t="shared" ref="N417:O432" si="14">$H417*L417</f>
        <v>1367.9999999999998</v>
      </c>
      <c r="O417" s="17">
        <f t="shared" si="14"/>
        <v>0</v>
      </c>
      <c r="P417" s="17">
        <f t="shared" si="13"/>
        <v>1367.9999999999998</v>
      </c>
      <c r="Q417" t="str">
        <f>A417&amp;"-"&amp;B417&amp;"-"&amp;D417</f>
        <v>JANUARI-MJ2-L4</v>
      </c>
    </row>
    <row r="418" spans="1:17" x14ac:dyDescent="0.25">
      <c r="A418" t="s">
        <v>388</v>
      </c>
      <c r="B418" s="13" t="s">
        <v>26</v>
      </c>
      <c r="C418" s="13" t="s">
        <v>375</v>
      </c>
      <c r="D418" s="14" t="s">
        <v>198</v>
      </c>
      <c r="E418" s="13" t="s">
        <v>65</v>
      </c>
      <c r="F418" s="13" t="s">
        <v>378</v>
      </c>
      <c r="G418" s="13">
        <v>0.75</v>
      </c>
      <c r="H418" s="15">
        <v>836</v>
      </c>
      <c r="I418" s="16">
        <v>627</v>
      </c>
      <c r="J418" s="16">
        <v>2180.787519857985</v>
      </c>
      <c r="K418" s="16">
        <v>-1553.7875198579848</v>
      </c>
      <c r="L418" s="13">
        <v>1.63</v>
      </c>
      <c r="M418" s="13"/>
      <c r="N418" s="17">
        <f t="shared" si="14"/>
        <v>1362.6799999999998</v>
      </c>
      <c r="O418" s="17">
        <f t="shared" si="14"/>
        <v>0</v>
      </c>
      <c r="P418" s="17">
        <f t="shared" si="13"/>
        <v>1362.6799999999998</v>
      </c>
      <c r="Q418" t="str">
        <f>A418&amp;"-"&amp;B418&amp;"-"&amp;D418</f>
        <v>JANUARI-MJ2-L8</v>
      </c>
    </row>
    <row r="419" spans="1:17" x14ac:dyDescent="0.25">
      <c r="A419" t="s">
        <v>388</v>
      </c>
      <c r="B419" s="13" t="s">
        <v>26</v>
      </c>
      <c r="C419" s="13" t="s">
        <v>375</v>
      </c>
      <c r="D419" s="14" t="s">
        <v>198</v>
      </c>
      <c r="E419" s="13" t="s">
        <v>65</v>
      </c>
      <c r="F419" s="13" t="s">
        <v>379</v>
      </c>
      <c r="G419" s="13">
        <v>1.95</v>
      </c>
      <c r="H419" s="15">
        <v>40</v>
      </c>
      <c r="I419" s="16">
        <v>78</v>
      </c>
      <c r="J419" s="16">
        <v>318.22031793343263</v>
      </c>
      <c r="K419" s="16">
        <v>-240.22031793343263</v>
      </c>
      <c r="L419" s="13">
        <v>3.18</v>
      </c>
      <c r="M419" s="13"/>
      <c r="N419" s="17">
        <f t="shared" si="14"/>
        <v>127.2</v>
      </c>
      <c r="O419" s="17">
        <f t="shared" si="14"/>
        <v>0</v>
      </c>
      <c r="P419" s="17">
        <f t="shared" si="13"/>
        <v>127.2</v>
      </c>
      <c r="Q419" t="str">
        <f>A419&amp;"-"&amp;B419&amp;"-"&amp;D419</f>
        <v>JANUARI-MJ2-L8</v>
      </c>
    </row>
    <row r="420" spans="1:17" x14ac:dyDescent="0.25">
      <c r="A420" t="s">
        <v>388</v>
      </c>
      <c r="B420" s="13" t="s">
        <v>26</v>
      </c>
      <c r="C420" s="13" t="s">
        <v>375</v>
      </c>
      <c r="D420" s="14" t="s">
        <v>198</v>
      </c>
      <c r="E420" s="13" t="s">
        <v>65</v>
      </c>
      <c r="F420" s="13" t="s">
        <v>380</v>
      </c>
      <c r="G420" s="13">
        <v>1.7899999999999998</v>
      </c>
      <c r="H420" s="15">
        <v>91</v>
      </c>
      <c r="I420" s="16">
        <v>162.89000000000001</v>
      </c>
      <c r="J420" s="16">
        <v>711.33477480825195</v>
      </c>
      <c r="K420" s="16">
        <v>-548.44477480825208</v>
      </c>
      <c r="L420" s="13">
        <v>3.23</v>
      </c>
      <c r="M420" s="13"/>
      <c r="N420" s="17">
        <f t="shared" si="14"/>
        <v>293.93</v>
      </c>
      <c r="O420" s="17">
        <f t="shared" si="14"/>
        <v>0</v>
      </c>
      <c r="P420" s="17">
        <f t="shared" si="13"/>
        <v>293.93</v>
      </c>
      <c r="Q420" t="str">
        <f>A420&amp;"-"&amp;B420&amp;"-"&amp;D420</f>
        <v>JANUARI-MJ2-L8</v>
      </c>
    </row>
    <row r="421" spans="1:17" x14ac:dyDescent="0.25">
      <c r="A421" t="s">
        <v>388</v>
      </c>
      <c r="B421" s="13" t="s">
        <v>26</v>
      </c>
      <c r="C421" s="13" t="s">
        <v>375</v>
      </c>
      <c r="D421" s="14" t="s">
        <v>199</v>
      </c>
      <c r="E421" s="13" t="s">
        <v>65</v>
      </c>
      <c r="F421" s="13" t="s">
        <v>378</v>
      </c>
      <c r="G421" s="13">
        <v>0.75</v>
      </c>
      <c r="H421" s="15">
        <v>205</v>
      </c>
      <c r="I421" s="16">
        <v>153.75</v>
      </c>
      <c r="J421" s="16">
        <v>1450.4201610492851</v>
      </c>
      <c r="K421" s="16">
        <v>-1296.6701610492851</v>
      </c>
      <c r="L421" s="13">
        <v>1.63</v>
      </c>
      <c r="M421" s="13"/>
      <c r="N421" s="17">
        <f t="shared" si="14"/>
        <v>334.15</v>
      </c>
      <c r="O421" s="17">
        <f t="shared" si="14"/>
        <v>0</v>
      </c>
      <c r="P421" s="17">
        <f t="shared" si="13"/>
        <v>334.15</v>
      </c>
      <c r="Q421" t="str">
        <f>A421&amp;"-"&amp;B421&amp;"-"&amp;D421</f>
        <v>JANUARI-MJ2-L9</v>
      </c>
    </row>
    <row r="422" spans="1:17" x14ac:dyDescent="0.25">
      <c r="A422" t="s">
        <v>388</v>
      </c>
      <c r="B422" s="13" t="s">
        <v>26</v>
      </c>
      <c r="C422" s="13" t="s">
        <v>375</v>
      </c>
      <c r="D422" s="14" t="s">
        <v>199</v>
      </c>
      <c r="E422" s="13" t="s">
        <v>65</v>
      </c>
      <c r="F422" s="13" t="s">
        <v>379</v>
      </c>
      <c r="G422" s="13">
        <v>1.95</v>
      </c>
      <c r="H422" s="15">
        <v>39</v>
      </c>
      <c r="I422" s="16">
        <v>76.05</v>
      </c>
      <c r="J422" s="16">
        <v>312.95901639344265</v>
      </c>
      <c r="K422" s="16">
        <v>-236.90901639344264</v>
      </c>
      <c r="L422" s="13">
        <v>3.18</v>
      </c>
      <c r="M422" s="13"/>
      <c r="N422" s="17">
        <f t="shared" si="14"/>
        <v>124.02000000000001</v>
      </c>
      <c r="O422" s="17">
        <f t="shared" si="14"/>
        <v>0</v>
      </c>
      <c r="P422" s="17">
        <f t="shared" si="13"/>
        <v>124.02000000000001</v>
      </c>
      <c r="Q422" t="str">
        <f>A422&amp;"-"&amp;B422&amp;"-"&amp;D422</f>
        <v>JANUARI-MJ2-L9</v>
      </c>
    </row>
    <row r="423" spans="1:17" x14ac:dyDescent="0.25">
      <c r="A423" t="s">
        <v>388</v>
      </c>
      <c r="B423" s="13" t="s">
        <v>26</v>
      </c>
      <c r="C423" s="13" t="s">
        <v>375</v>
      </c>
      <c r="D423" s="14" t="s">
        <v>199</v>
      </c>
      <c r="E423" s="13" t="s">
        <v>65</v>
      </c>
      <c r="F423" s="13" t="s">
        <v>380</v>
      </c>
      <c r="G423" s="13">
        <v>1.7899999999999998</v>
      </c>
      <c r="H423" s="15">
        <v>90</v>
      </c>
      <c r="I423" s="16">
        <v>161.1</v>
      </c>
      <c r="J423" s="16">
        <v>725.11614354196888</v>
      </c>
      <c r="K423" s="16">
        <v>-564.01614354196886</v>
      </c>
      <c r="L423" s="13">
        <v>3.23</v>
      </c>
      <c r="M423" s="13"/>
      <c r="N423" s="17">
        <f t="shared" si="14"/>
        <v>290.7</v>
      </c>
      <c r="O423" s="17">
        <f t="shared" si="14"/>
        <v>0</v>
      </c>
      <c r="P423" s="17">
        <f t="shared" si="13"/>
        <v>290.7</v>
      </c>
      <c r="Q423" t="str">
        <f>A423&amp;"-"&amp;B423&amp;"-"&amp;D423</f>
        <v>JANUARI-MJ2-L9</v>
      </c>
    </row>
    <row r="424" spans="1:17" x14ac:dyDescent="0.25">
      <c r="A424" t="s">
        <v>392</v>
      </c>
      <c r="B424" s="13" t="s">
        <v>18</v>
      </c>
      <c r="C424" s="13" t="s">
        <v>43</v>
      </c>
      <c r="D424" s="14" t="s">
        <v>44</v>
      </c>
      <c r="E424" s="13" t="s">
        <v>45</v>
      </c>
      <c r="F424" s="13" t="s">
        <v>46</v>
      </c>
      <c r="G424" s="13">
        <v>3.86</v>
      </c>
      <c r="H424" s="15">
        <v>525</v>
      </c>
      <c r="I424" s="16">
        <v>2026.5</v>
      </c>
      <c r="J424" s="16">
        <v>1965</v>
      </c>
      <c r="K424" s="16">
        <v>61.5</v>
      </c>
      <c r="L424" s="13"/>
      <c r="M424" s="13">
        <v>4.24</v>
      </c>
      <c r="N424" s="17">
        <f t="shared" si="14"/>
        <v>0</v>
      </c>
      <c r="O424" s="17">
        <f t="shared" si="14"/>
        <v>2226</v>
      </c>
      <c r="P424" s="17">
        <f t="shared" si="13"/>
        <v>2226</v>
      </c>
      <c r="Q424" t="str">
        <f>A424&amp;"-"&amp;B424&amp;"-"&amp;D424</f>
        <v>FEBRUARI-CBA-L1</v>
      </c>
    </row>
    <row r="425" spans="1:17" x14ac:dyDescent="0.25">
      <c r="A425" t="s">
        <v>392</v>
      </c>
      <c r="B425" s="13" t="s">
        <v>18</v>
      </c>
      <c r="C425" s="13" t="s">
        <v>43</v>
      </c>
      <c r="D425" s="14" t="s">
        <v>44</v>
      </c>
      <c r="E425" s="13" t="s">
        <v>47</v>
      </c>
      <c r="F425" s="13" t="s">
        <v>53</v>
      </c>
      <c r="G425" s="13">
        <v>4.18</v>
      </c>
      <c r="H425" s="15">
        <v>1982</v>
      </c>
      <c r="I425" s="16">
        <v>8284.76</v>
      </c>
      <c r="J425" s="16">
        <v>8302.7463157894745</v>
      </c>
      <c r="K425" s="16">
        <v>-17.986315789473508</v>
      </c>
      <c r="L425" s="13"/>
      <c r="M425" s="13">
        <v>4.55</v>
      </c>
      <c r="N425" s="17">
        <f t="shared" si="14"/>
        <v>0</v>
      </c>
      <c r="O425" s="17">
        <f t="shared" si="14"/>
        <v>9018.1</v>
      </c>
      <c r="P425" s="17">
        <f t="shared" si="13"/>
        <v>9018.1</v>
      </c>
      <c r="Q425" t="str">
        <f>A425&amp;"-"&amp;B425&amp;"-"&amp;D425</f>
        <v>FEBRUARI-CBA-L1</v>
      </c>
    </row>
    <row r="426" spans="1:17" x14ac:dyDescent="0.25">
      <c r="A426" t="s">
        <v>392</v>
      </c>
      <c r="B426" s="13" t="s">
        <v>18</v>
      </c>
      <c r="C426" s="13" t="s">
        <v>43</v>
      </c>
      <c r="D426" s="14" t="s">
        <v>44</v>
      </c>
      <c r="E426" s="13" t="s">
        <v>54</v>
      </c>
      <c r="F426" s="13" t="s">
        <v>407</v>
      </c>
      <c r="G426" s="13">
        <v>4.41</v>
      </c>
      <c r="H426" s="15">
        <v>1020</v>
      </c>
      <c r="I426" s="16">
        <v>4498.2000000000007</v>
      </c>
      <c r="J426" s="16">
        <v>4235.8336842105264</v>
      </c>
      <c r="K426" s="16">
        <v>262.36631578947362</v>
      </c>
      <c r="L426" s="13"/>
      <c r="M426" s="13">
        <v>4.79</v>
      </c>
      <c r="N426" s="17">
        <f t="shared" si="14"/>
        <v>0</v>
      </c>
      <c r="O426" s="17">
        <f t="shared" si="14"/>
        <v>4885.8</v>
      </c>
      <c r="P426" s="17">
        <f t="shared" si="13"/>
        <v>4885.8</v>
      </c>
      <c r="Q426" t="str">
        <f>A426&amp;"-"&amp;B426&amp;"-"&amp;D426</f>
        <v>FEBRUARI-CBA-L1</v>
      </c>
    </row>
    <row r="427" spans="1:17" x14ac:dyDescent="0.25">
      <c r="A427" t="s">
        <v>392</v>
      </c>
      <c r="B427" s="13" t="s">
        <v>18</v>
      </c>
      <c r="C427" s="13" t="s">
        <v>43</v>
      </c>
      <c r="D427" s="14" t="s">
        <v>50</v>
      </c>
      <c r="E427" s="13" t="s">
        <v>47</v>
      </c>
      <c r="F427" s="13" t="s">
        <v>48</v>
      </c>
      <c r="G427" s="13">
        <v>4.13</v>
      </c>
      <c r="H427" s="15">
        <v>419</v>
      </c>
      <c r="I427" s="16">
        <v>1730.47</v>
      </c>
      <c r="J427" s="16">
        <v>1774.0070588235294</v>
      </c>
      <c r="K427" s="16">
        <v>-43.537058823529378</v>
      </c>
      <c r="L427" s="13"/>
      <c r="M427" s="13">
        <v>4.5</v>
      </c>
      <c r="N427" s="17">
        <f t="shared" si="14"/>
        <v>0</v>
      </c>
      <c r="O427" s="17">
        <f t="shared" si="14"/>
        <v>1885.5</v>
      </c>
      <c r="P427" s="17">
        <f t="shared" si="13"/>
        <v>1885.5</v>
      </c>
      <c r="Q427" t="str">
        <f>A427&amp;"-"&amp;B427&amp;"-"&amp;D427</f>
        <v>FEBRUARI-CBA-L2</v>
      </c>
    </row>
    <row r="428" spans="1:17" x14ac:dyDescent="0.25">
      <c r="A428" t="s">
        <v>392</v>
      </c>
      <c r="B428" s="13" t="s">
        <v>18</v>
      </c>
      <c r="C428" s="13" t="s">
        <v>43</v>
      </c>
      <c r="D428" s="14" t="s">
        <v>50</v>
      </c>
      <c r="E428" s="13" t="s">
        <v>58</v>
      </c>
      <c r="F428" s="13" t="s">
        <v>408</v>
      </c>
      <c r="G428" s="13">
        <v>2.8700000000000006</v>
      </c>
      <c r="H428" s="15">
        <v>1040</v>
      </c>
      <c r="I428" s="16">
        <v>2984.8</v>
      </c>
      <c r="J428" s="16">
        <v>5076.9915789473689</v>
      </c>
      <c r="K428" s="16">
        <v>-2092.1915789473687</v>
      </c>
      <c r="L428" s="13"/>
      <c r="M428" s="13">
        <v>3.19</v>
      </c>
      <c r="N428" s="17">
        <f t="shared" si="14"/>
        <v>0</v>
      </c>
      <c r="O428" s="17">
        <f t="shared" si="14"/>
        <v>3317.6</v>
      </c>
      <c r="P428" s="17">
        <f t="shared" si="13"/>
        <v>3317.6</v>
      </c>
      <c r="Q428" t="str">
        <f>A428&amp;"-"&amp;B428&amp;"-"&amp;D428</f>
        <v>FEBRUARI-CBA-L2</v>
      </c>
    </row>
    <row r="429" spans="1:17" x14ac:dyDescent="0.25">
      <c r="A429" t="s">
        <v>392</v>
      </c>
      <c r="B429" s="13" t="s">
        <v>18</v>
      </c>
      <c r="C429" s="13" t="s">
        <v>43</v>
      </c>
      <c r="D429" s="14" t="s">
        <v>50</v>
      </c>
      <c r="E429" s="13" t="s">
        <v>54</v>
      </c>
      <c r="F429" s="13" t="s">
        <v>55</v>
      </c>
      <c r="G429" s="13">
        <v>3.93</v>
      </c>
      <c r="H429" s="15">
        <v>1850</v>
      </c>
      <c r="I429" s="16">
        <v>7270.5</v>
      </c>
      <c r="J429" s="16">
        <v>7652.5813622291025</v>
      </c>
      <c r="K429" s="16">
        <v>-382.08136222910207</v>
      </c>
      <c r="L429" s="13"/>
      <c r="M429" s="13">
        <v>4.3</v>
      </c>
      <c r="N429" s="17">
        <f t="shared" si="14"/>
        <v>0</v>
      </c>
      <c r="O429" s="17">
        <f t="shared" si="14"/>
        <v>7955</v>
      </c>
      <c r="P429" s="17">
        <f t="shared" si="13"/>
        <v>7955</v>
      </c>
      <c r="Q429" t="str">
        <f>A429&amp;"-"&amp;B429&amp;"-"&amp;D429</f>
        <v>FEBRUARI-CBA-L2</v>
      </c>
    </row>
    <row r="430" spans="1:17" x14ac:dyDescent="0.25">
      <c r="A430" t="s">
        <v>392</v>
      </c>
      <c r="B430" s="13" t="s">
        <v>18</v>
      </c>
      <c r="C430" s="13" t="s">
        <v>43</v>
      </c>
      <c r="D430" s="14" t="s">
        <v>56</v>
      </c>
      <c r="E430" s="13" t="s">
        <v>45</v>
      </c>
      <c r="F430" s="13" t="s">
        <v>57</v>
      </c>
      <c r="G430" s="13">
        <v>3.3299999999999987</v>
      </c>
      <c r="H430" s="15">
        <v>3524</v>
      </c>
      <c r="I430" s="16">
        <v>11734.919999999996</v>
      </c>
      <c r="J430" s="16">
        <v>14499.213333333333</v>
      </c>
      <c r="K430" s="16">
        <v>-2764.2933333333331</v>
      </c>
      <c r="L430" s="13"/>
      <c r="M430" s="13">
        <v>3.7</v>
      </c>
      <c r="N430" s="17">
        <f t="shared" si="14"/>
        <v>0</v>
      </c>
      <c r="O430" s="17">
        <f t="shared" si="14"/>
        <v>13038.800000000001</v>
      </c>
      <c r="P430" s="17">
        <f t="shared" si="13"/>
        <v>13038.800000000001</v>
      </c>
      <c r="Q430" t="str">
        <f>A430&amp;"-"&amp;B430&amp;"-"&amp;D430</f>
        <v>FEBRUARI-CBA-L3</v>
      </c>
    </row>
    <row r="431" spans="1:17" x14ac:dyDescent="0.25">
      <c r="A431" t="s">
        <v>392</v>
      </c>
      <c r="B431" s="13" t="s">
        <v>18</v>
      </c>
      <c r="C431" s="13" t="s">
        <v>43</v>
      </c>
      <c r="D431" s="14" t="s">
        <v>56</v>
      </c>
      <c r="E431" s="13" t="s">
        <v>58</v>
      </c>
      <c r="F431" s="13" t="s">
        <v>59</v>
      </c>
      <c r="G431" s="13">
        <v>2.4300000000000002</v>
      </c>
      <c r="H431" s="15">
        <v>1</v>
      </c>
      <c r="I431" s="16">
        <v>2.4300000000000002</v>
      </c>
      <c r="J431" s="16">
        <v>4.3666666666666671</v>
      </c>
      <c r="K431" s="16">
        <v>-1.936666666666667</v>
      </c>
      <c r="L431" s="13"/>
      <c r="M431" s="13">
        <v>2.75</v>
      </c>
      <c r="N431" s="17">
        <f t="shared" si="14"/>
        <v>0</v>
      </c>
      <c r="O431" s="17">
        <f t="shared" si="14"/>
        <v>2.75</v>
      </c>
      <c r="P431" s="17">
        <f t="shared" si="13"/>
        <v>2.75</v>
      </c>
      <c r="Q431" t="str">
        <f>A431&amp;"-"&amp;B431&amp;"-"&amp;D431</f>
        <v>FEBRUARI-CBA-L3</v>
      </c>
    </row>
    <row r="432" spans="1:17" x14ac:dyDescent="0.25">
      <c r="A432" t="s">
        <v>392</v>
      </c>
      <c r="B432" s="13" t="s">
        <v>19</v>
      </c>
      <c r="C432" s="13" t="s">
        <v>60</v>
      </c>
      <c r="D432" s="14" t="s">
        <v>50</v>
      </c>
      <c r="E432" s="13" t="s">
        <v>61</v>
      </c>
      <c r="F432" s="13" t="s">
        <v>62</v>
      </c>
      <c r="G432" s="13">
        <v>0.55000000000000004</v>
      </c>
      <c r="H432" s="15">
        <v>3</v>
      </c>
      <c r="I432" s="16">
        <v>1.65</v>
      </c>
      <c r="J432" s="16">
        <v>535</v>
      </c>
      <c r="K432" s="16">
        <v>-533.35</v>
      </c>
      <c r="L432" s="13">
        <v>1.61</v>
      </c>
      <c r="M432" s="13"/>
      <c r="N432" s="17">
        <f t="shared" si="14"/>
        <v>4.83</v>
      </c>
      <c r="O432" s="17">
        <f t="shared" si="14"/>
        <v>0</v>
      </c>
      <c r="P432" s="17">
        <f t="shared" si="13"/>
        <v>4.83</v>
      </c>
      <c r="Q432" t="str">
        <f>A432&amp;"-"&amp;B432&amp;"-"&amp;D432</f>
        <v>FEBRUARI-CHW-L2</v>
      </c>
    </row>
    <row r="433" spans="1:17" x14ac:dyDescent="0.25">
      <c r="A433" t="s">
        <v>392</v>
      </c>
      <c r="B433" s="13" t="s">
        <v>19</v>
      </c>
      <c r="C433" s="13" t="s">
        <v>60</v>
      </c>
      <c r="D433" s="14" t="s">
        <v>50</v>
      </c>
      <c r="E433" s="13" t="s">
        <v>191</v>
      </c>
      <c r="F433" s="13" t="s">
        <v>409</v>
      </c>
      <c r="G433" s="13">
        <v>4.46</v>
      </c>
      <c r="H433" s="15">
        <v>1057</v>
      </c>
      <c r="I433" s="16">
        <v>4714.22</v>
      </c>
      <c r="J433" s="16">
        <v>4739.5814977973569</v>
      </c>
      <c r="K433" s="16">
        <v>-25.361497797356492</v>
      </c>
      <c r="L433" s="13">
        <v>9.41</v>
      </c>
      <c r="M433" s="13"/>
      <c r="N433" s="17">
        <f t="shared" ref="N433:O484" si="15">$H433*L433</f>
        <v>9946.3700000000008</v>
      </c>
      <c r="O433" s="17">
        <f t="shared" si="15"/>
        <v>0</v>
      </c>
      <c r="P433" s="17">
        <f t="shared" si="13"/>
        <v>9946.3700000000008</v>
      </c>
      <c r="Q433" t="str">
        <f>A433&amp;"-"&amp;B433&amp;"-"&amp;D433</f>
        <v>FEBRUARI-CHW-L2</v>
      </c>
    </row>
    <row r="434" spans="1:17" x14ac:dyDescent="0.25">
      <c r="A434" t="s">
        <v>392</v>
      </c>
      <c r="B434" s="13" t="s">
        <v>19</v>
      </c>
      <c r="C434" s="13" t="s">
        <v>60</v>
      </c>
      <c r="D434" s="14" t="s">
        <v>50</v>
      </c>
      <c r="E434" s="13" t="s">
        <v>58</v>
      </c>
      <c r="F434" s="13" t="s">
        <v>410</v>
      </c>
      <c r="G434" s="13">
        <v>3.63</v>
      </c>
      <c r="H434" s="15">
        <v>1995</v>
      </c>
      <c r="I434" s="16">
        <v>7241.8499999999995</v>
      </c>
      <c r="J434" s="16">
        <v>5425.4185022026431</v>
      </c>
      <c r="K434" s="16">
        <v>1816.4314977973568</v>
      </c>
      <c r="L434" s="13">
        <v>8.9</v>
      </c>
      <c r="M434" s="13"/>
      <c r="N434" s="17">
        <f t="shared" si="15"/>
        <v>17755.5</v>
      </c>
      <c r="O434" s="17">
        <f t="shared" si="15"/>
        <v>0</v>
      </c>
      <c r="P434" s="17">
        <f t="shared" si="13"/>
        <v>17755.5</v>
      </c>
      <c r="Q434" t="str">
        <f>A434&amp;"-"&amp;B434&amp;"-"&amp;D434</f>
        <v>FEBRUARI-CHW-L2</v>
      </c>
    </row>
    <row r="435" spans="1:17" x14ac:dyDescent="0.25">
      <c r="A435" t="s">
        <v>392</v>
      </c>
      <c r="B435" s="13" t="s">
        <v>19</v>
      </c>
      <c r="C435" s="13" t="s">
        <v>60</v>
      </c>
      <c r="D435" s="14" t="s">
        <v>56</v>
      </c>
      <c r="E435" s="13" t="s">
        <v>65</v>
      </c>
      <c r="F435" s="13" t="s">
        <v>66</v>
      </c>
      <c r="G435" s="13">
        <v>2.2000000000000002</v>
      </c>
      <c r="H435" s="15">
        <v>199</v>
      </c>
      <c r="I435" s="16">
        <v>437.79999999999995</v>
      </c>
      <c r="J435" s="16">
        <v>407.76815575728619</v>
      </c>
      <c r="K435" s="16">
        <v>30.031844242713809</v>
      </c>
      <c r="L435" s="13"/>
      <c r="M435" s="13"/>
      <c r="N435" s="17">
        <f t="shared" si="15"/>
        <v>0</v>
      </c>
      <c r="O435" s="17">
        <f t="shared" si="15"/>
        <v>0</v>
      </c>
      <c r="P435" s="17">
        <f t="shared" si="13"/>
        <v>0</v>
      </c>
      <c r="Q435" t="str">
        <f>A435&amp;"-"&amp;B435&amp;"-"&amp;D435</f>
        <v>FEBRUARI-CHW-L3</v>
      </c>
    </row>
    <row r="436" spans="1:17" x14ac:dyDescent="0.25">
      <c r="A436" t="s">
        <v>392</v>
      </c>
      <c r="B436" s="13" t="s">
        <v>19</v>
      </c>
      <c r="C436" s="13" t="s">
        <v>60</v>
      </c>
      <c r="D436" s="14" t="s">
        <v>56</v>
      </c>
      <c r="E436" s="13" t="s">
        <v>77</v>
      </c>
      <c r="F436" s="13" t="s">
        <v>411</v>
      </c>
      <c r="G436" s="13">
        <v>3.5900000000000007</v>
      </c>
      <c r="H436" s="15">
        <v>986</v>
      </c>
      <c r="I436" s="16">
        <v>3539.74</v>
      </c>
      <c r="J436" s="16">
        <v>5285.3296703296701</v>
      </c>
      <c r="K436" s="16">
        <v>-1745.5896703296703</v>
      </c>
      <c r="L436" s="13">
        <v>9.5500000000000007</v>
      </c>
      <c r="M436" s="13"/>
      <c r="N436" s="17">
        <f t="shared" si="15"/>
        <v>9416.3000000000011</v>
      </c>
      <c r="O436" s="17">
        <f t="shared" si="15"/>
        <v>0</v>
      </c>
      <c r="P436" s="17">
        <f t="shared" si="13"/>
        <v>9416.3000000000011</v>
      </c>
      <c r="Q436" t="str">
        <f>A436&amp;"-"&amp;B436&amp;"-"&amp;D436</f>
        <v>FEBRUARI-CHW-L3</v>
      </c>
    </row>
    <row r="437" spans="1:17" x14ac:dyDescent="0.25">
      <c r="A437" t="s">
        <v>392</v>
      </c>
      <c r="B437" s="13" t="s">
        <v>19</v>
      </c>
      <c r="C437" s="13" t="s">
        <v>60</v>
      </c>
      <c r="D437" s="14" t="s">
        <v>56</v>
      </c>
      <c r="E437" s="13" t="s">
        <v>68</v>
      </c>
      <c r="F437" s="13" t="s">
        <v>412</v>
      </c>
      <c r="G437" s="13">
        <v>3.79</v>
      </c>
      <c r="H437" s="15">
        <v>1968</v>
      </c>
      <c r="I437" s="16">
        <v>7458.7200000000012</v>
      </c>
      <c r="J437" s="16">
        <v>5006.902173913044</v>
      </c>
      <c r="K437" s="16">
        <v>2451.8178260869563</v>
      </c>
      <c r="L437" s="13">
        <v>9.7200000000000006</v>
      </c>
      <c r="M437" s="13"/>
      <c r="N437" s="17">
        <f t="shared" si="15"/>
        <v>19128.960000000003</v>
      </c>
      <c r="O437" s="17">
        <f t="shared" si="15"/>
        <v>0</v>
      </c>
      <c r="P437" s="17">
        <f t="shared" si="13"/>
        <v>19128.960000000003</v>
      </c>
      <c r="Q437" t="str">
        <f>A437&amp;"-"&amp;B437&amp;"-"&amp;D437</f>
        <v>FEBRUARI-CHW-L3</v>
      </c>
    </row>
    <row r="438" spans="1:17" x14ac:dyDescent="0.25">
      <c r="A438" t="s">
        <v>392</v>
      </c>
      <c r="B438" s="13" t="s">
        <v>19</v>
      </c>
      <c r="C438" s="13" t="s">
        <v>413</v>
      </c>
      <c r="D438" s="14" t="s">
        <v>44</v>
      </c>
      <c r="E438" s="13" t="s">
        <v>414</v>
      </c>
      <c r="F438" s="13" t="s">
        <v>415</v>
      </c>
      <c r="G438" s="13">
        <v>4.5999999999999988</v>
      </c>
      <c r="H438" s="15">
        <v>2244</v>
      </c>
      <c r="I438" s="16">
        <v>10322.4</v>
      </c>
      <c r="J438" s="16">
        <v>9630</v>
      </c>
      <c r="K438" s="16">
        <v>692.39999999999986</v>
      </c>
      <c r="L438" s="13"/>
      <c r="M438" s="13"/>
      <c r="N438" s="17">
        <f t="shared" si="15"/>
        <v>0</v>
      </c>
      <c r="O438" s="17">
        <f t="shared" si="15"/>
        <v>0</v>
      </c>
      <c r="P438" s="17">
        <f t="shared" si="13"/>
        <v>0</v>
      </c>
      <c r="Q438" t="str">
        <f>A438&amp;"-"&amp;B438&amp;"-"&amp;D438</f>
        <v>FEBRUARI-CHW-L1</v>
      </c>
    </row>
    <row r="439" spans="1:17" x14ac:dyDescent="0.25">
      <c r="A439" t="s">
        <v>392</v>
      </c>
      <c r="B439" s="13" t="s">
        <v>20</v>
      </c>
      <c r="C439" s="13" t="s">
        <v>70</v>
      </c>
      <c r="D439" s="14" t="s">
        <v>56</v>
      </c>
      <c r="E439" s="13" t="s">
        <v>71</v>
      </c>
      <c r="F439" s="13" t="s">
        <v>98</v>
      </c>
      <c r="G439" s="13">
        <v>5</v>
      </c>
      <c r="H439" s="15">
        <v>2</v>
      </c>
      <c r="I439" s="16">
        <v>10</v>
      </c>
      <c r="J439" s="16">
        <v>20.201183431952661</v>
      </c>
      <c r="K439" s="16">
        <v>-10.201183431952661</v>
      </c>
      <c r="L439" s="13">
        <v>14.78</v>
      </c>
      <c r="M439" s="13"/>
      <c r="N439" s="17">
        <f t="shared" si="15"/>
        <v>29.56</v>
      </c>
      <c r="O439" s="17">
        <f t="shared" si="15"/>
        <v>0</v>
      </c>
      <c r="P439" s="17">
        <f t="shared" si="13"/>
        <v>29.56</v>
      </c>
      <c r="Q439" t="str">
        <f>A439&amp;"-"&amp;B439&amp;"-"&amp;D439</f>
        <v>FEBRUARI-CJL-L3</v>
      </c>
    </row>
    <row r="440" spans="1:17" x14ac:dyDescent="0.25">
      <c r="A440" t="s">
        <v>392</v>
      </c>
      <c r="B440" s="13" t="s">
        <v>20</v>
      </c>
      <c r="C440" s="13" t="s">
        <v>70</v>
      </c>
      <c r="D440" s="14" t="s">
        <v>56</v>
      </c>
      <c r="E440" s="13" t="s">
        <v>71</v>
      </c>
      <c r="F440" s="13" t="s">
        <v>416</v>
      </c>
      <c r="G440" s="13">
        <v>4.8</v>
      </c>
      <c r="H440" s="15">
        <v>3</v>
      </c>
      <c r="I440" s="16">
        <v>14.4</v>
      </c>
      <c r="J440" s="16">
        <v>30.301775147928996</v>
      </c>
      <c r="K440" s="16">
        <v>-15.901775147928996</v>
      </c>
      <c r="L440" s="13">
        <v>12.94</v>
      </c>
      <c r="M440" s="13"/>
      <c r="N440" s="17">
        <f t="shared" si="15"/>
        <v>38.82</v>
      </c>
      <c r="O440" s="17">
        <f t="shared" si="15"/>
        <v>0</v>
      </c>
      <c r="P440" s="17">
        <f t="shared" si="13"/>
        <v>38.82</v>
      </c>
      <c r="Q440" t="str">
        <f>A440&amp;"-"&amp;B440&amp;"-"&amp;D440</f>
        <v>FEBRUARI-CJL-L3</v>
      </c>
    </row>
    <row r="441" spans="1:17" x14ac:dyDescent="0.25">
      <c r="A441" t="s">
        <v>392</v>
      </c>
      <c r="B441" s="13" t="s">
        <v>20</v>
      </c>
      <c r="C441" s="13" t="s">
        <v>70</v>
      </c>
      <c r="D441" s="14" t="s">
        <v>56</v>
      </c>
      <c r="E441" s="13" t="s">
        <v>71</v>
      </c>
      <c r="F441" s="13" t="s">
        <v>107</v>
      </c>
      <c r="G441" s="13">
        <v>5</v>
      </c>
      <c r="H441" s="15">
        <v>6</v>
      </c>
      <c r="I441" s="16">
        <v>30</v>
      </c>
      <c r="J441" s="16">
        <v>60.603550295857993</v>
      </c>
      <c r="K441" s="16">
        <v>-30.603550295857993</v>
      </c>
      <c r="L441" s="13">
        <v>14.89</v>
      </c>
      <c r="M441" s="13"/>
      <c r="N441" s="17">
        <f t="shared" si="15"/>
        <v>89.34</v>
      </c>
      <c r="O441" s="17">
        <f t="shared" si="15"/>
        <v>0</v>
      </c>
      <c r="P441" s="17">
        <f t="shared" si="13"/>
        <v>89.34</v>
      </c>
      <c r="Q441" t="str">
        <f>A441&amp;"-"&amp;B441&amp;"-"&amp;D441</f>
        <v>FEBRUARI-CJL-L3</v>
      </c>
    </row>
    <row r="442" spans="1:17" x14ac:dyDescent="0.25">
      <c r="A442" t="s">
        <v>392</v>
      </c>
      <c r="B442" s="13" t="s">
        <v>20</v>
      </c>
      <c r="C442" s="13" t="s">
        <v>70</v>
      </c>
      <c r="D442" s="14" t="s">
        <v>56</v>
      </c>
      <c r="E442" s="13" t="s">
        <v>71</v>
      </c>
      <c r="F442" s="13" t="s">
        <v>417</v>
      </c>
      <c r="G442" s="13">
        <v>5</v>
      </c>
      <c r="H442" s="15">
        <v>3</v>
      </c>
      <c r="I442" s="16">
        <v>15</v>
      </c>
      <c r="J442" s="16">
        <v>30.301775147928996</v>
      </c>
      <c r="K442" s="16">
        <v>-15.301775147928996</v>
      </c>
      <c r="L442" s="13">
        <v>13.54</v>
      </c>
      <c r="M442" s="13"/>
      <c r="N442" s="17">
        <f t="shared" si="15"/>
        <v>40.619999999999997</v>
      </c>
      <c r="O442" s="17">
        <f t="shared" si="15"/>
        <v>0</v>
      </c>
      <c r="P442" s="17">
        <f t="shared" si="13"/>
        <v>40.619999999999997</v>
      </c>
      <c r="Q442" t="str">
        <f>A442&amp;"-"&amp;B442&amp;"-"&amp;D442</f>
        <v>FEBRUARI-CJL-L3</v>
      </c>
    </row>
    <row r="443" spans="1:17" x14ac:dyDescent="0.25">
      <c r="A443" t="s">
        <v>392</v>
      </c>
      <c r="B443" s="13" t="s">
        <v>20</v>
      </c>
      <c r="C443" s="13" t="s">
        <v>70</v>
      </c>
      <c r="D443" s="14" t="s">
        <v>56</v>
      </c>
      <c r="E443" s="13" t="s">
        <v>77</v>
      </c>
      <c r="F443" s="13" t="s">
        <v>418</v>
      </c>
      <c r="G443" s="13">
        <v>3.7</v>
      </c>
      <c r="H443" s="15">
        <v>3</v>
      </c>
      <c r="I443" s="16">
        <v>11.1</v>
      </c>
      <c r="J443" s="16">
        <v>30.301775147928996</v>
      </c>
      <c r="K443" s="16">
        <v>-19.201775147928998</v>
      </c>
      <c r="L443" s="13">
        <v>8.23</v>
      </c>
      <c r="M443" s="13"/>
      <c r="N443" s="17">
        <f t="shared" si="15"/>
        <v>24.69</v>
      </c>
      <c r="O443" s="17">
        <f t="shared" si="15"/>
        <v>0</v>
      </c>
      <c r="P443" s="17">
        <f t="shared" si="13"/>
        <v>24.69</v>
      </c>
      <c r="Q443" t="str">
        <f>A443&amp;"-"&amp;B443&amp;"-"&amp;D443</f>
        <v>FEBRUARI-CJL-L3</v>
      </c>
    </row>
    <row r="444" spans="1:17" x14ac:dyDescent="0.25">
      <c r="A444" t="s">
        <v>392</v>
      </c>
      <c r="B444" s="13" t="s">
        <v>20</v>
      </c>
      <c r="C444" s="13" t="s">
        <v>70</v>
      </c>
      <c r="D444" s="14" t="s">
        <v>56</v>
      </c>
      <c r="E444" s="13" t="s">
        <v>142</v>
      </c>
      <c r="F444" s="13" t="s">
        <v>419</v>
      </c>
      <c r="G444" s="13">
        <v>1.5</v>
      </c>
      <c r="H444" s="15">
        <v>7</v>
      </c>
      <c r="I444" s="16">
        <v>10.5</v>
      </c>
      <c r="J444" s="16">
        <v>70.704142011834321</v>
      </c>
      <c r="K444" s="16">
        <v>-60.204142011834321</v>
      </c>
      <c r="L444" s="13">
        <v>5.99</v>
      </c>
      <c r="M444" s="13"/>
      <c r="N444" s="17">
        <f t="shared" si="15"/>
        <v>41.93</v>
      </c>
      <c r="O444" s="17">
        <f t="shared" si="15"/>
        <v>0</v>
      </c>
      <c r="P444" s="17">
        <f t="shared" si="13"/>
        <v>41.93</v>
      </c>
      <c r="Q444" t="str">
        <f>A444&amp;"-"&amp;B444&amp;"-"&amp;D444</f>
        <v>FEBRUARI-CJL-L3</v>
      </c>
    </row>
    <row r="445" spans="1:17" x14ac:dyDescent="0.25">
      <c r="A445" t="s">
        <v>392</v>
      </c>
      <c r="B445" s="13" t="s">
        <v>20</v>
      </c>
      <c r="C445" s="13" t="s">
        <v>420</v>
      </c>
      <c r="D445" s="14" t="s">
        <v>56</v>
      </c>
      <c r="E445" s="13" t="s">
        <v>152</v>
      </c>
      <c r="F445" s="13" t="s">
        <v>421</v>
      </c>
      <c r="G445" s="13">
        <v>3.3500000000000005</v>
      </c>
      <c r="H445" s="15">
        <v>1173</v>
      </c>
      <c r="I445" s="16">
        <v>3929.5499999999997</v>
      </c>
      <c r="J445" s="16">
        <v>12618.854941467573</v>
      </c>
      <c r="K445" s="16">
        <v>-8689.3049414675734</v>
      </c>
      <c r="L445" s="13">
        <v>5</v>
      </c>
      <c r="M445" s="13"/>
      <c r="N445" s="17">
        <f t="shared" si="15"/>
        <v>5865</v>
      </c>
      <c r="O445" s="17">
        <f t="shared" si="15"/>
        <v>0</v>
      </c>
      <c r="P445" s="17">
        <f t="shared" si="13"/>
        <v>5865</v>
      </c>
      <c r="Q445" t="str">
        <f>A445&amp;"-"&amp;B445&amp;"-"&amp;D445</f>
        <v>FEBRUARI-CJL-L3</v>
      </c>
    </row>
    <row r="446" spans="1:17" x14ac:dyDescent="0.25">
      <c r="A446" t="s">
        <v>392</v>
      </c>
      <c r="B446" s="13" t="s">
        <v>20</v>
      </c>
      <c r="C446" s="13" t="s">
        <v>151</v>
      </c>
      <c r="D446" s="14" t="s">
        <v>56</v>
      </c>
      <c r="E446" s="13" t="s">
        <v>152</v>
      </c>
      <c r="F446" s="13" t="s">
        <v>153</v>
      </c>
      <c r="G446" s="13">
        <v>3.350000000000001</v>
      </c>
      <c r="H446" s="15">
        <v>1445</v>
      </c>
      <c r="I446" s="16">
        <v>4840.75</v>
      </c>
      <c r="J446" s="16">
        <v>21278.730857348997</v>
      </c>
      <c r="K446" s="16">
        <v>-16437.980857348997</v>
      </c>
      <c r="L446" s="13"/>
      <c r="M446" s="13"/>
      <c r="N446" s="17">
        <f t="shared" si="15"/>
        <v>0</v>
      </c>
      <c r="O446" s="17">
        <f t="shared" si="15"/>
        <v>0</v>
      </c>
      <c r="P446" s="17">
        <f t="shared" si="13"/>
        <v>0</v>
      </c>
      <c r="Q446" t="str">
        <f>A446&amp;"-"&amp;B446&amp;"-"&amp;D446</f>
        <v>FEBRUARI-CJL-L3</v>
      </c>
    </row>
    <row r="447" spans="1:17" x14ac:dyDescent="0.25">
      <c r="A447" t="s">
        <v>392</v>
      </c>
      <c r="B447" s="13" t="s">
        <v>22</v>
      </c>
      <c r="C447" s="13" t="s">
        <v>154</v>
      </c>
      <c r="D447" s="14" t="s">
        <v>56</v>
      </c>
      <c r="E447" s="13" t="s">
        <v>155</v>
      </c>
      <c r="F447" s="13" t="s">
        <v>157</v>
      </c>
      <c r="G447" s="13">
        <v>0.54999999999999993</v>
      </c>
      <c r="H447" s="15">
        <v>18173</v>
      </c>
      <c r="I447" s="16">
        <v>9995.15</v>
      </c>
      <c r="J447" s="16">
        <v>8795.7200000000012</v>
      </c>
      <c r="K447" s="16">
        <v>1199.4299999999998</v>
      </c>
      <c r="L447" s="13">
        <v>1.61</v>
      </c>
      <c r="M447" s="13"/>
      <c r="N447" s="17">
        <f t="shared" si="15"/>
        <v>29258.530000000002</v>
      </c>
      <c r="O447" s="17">
        <f t="shared" si="15"/>
        <v>0</v>
      </c>
      <c r="P447" s="17">
        <f t="shared" si="13"/>
        <v>29258.530000000002</v>
      </c>
      <c r="Q447" t="str">
        <f>A447&amp;"-"&amp;B447&amp;"-"&amp;D447</f>
        <v>FEBRUARI-CNJ2-L3</v>
      </c>
    </row>
    <row r="448" spans="1:17" x14ac:dyDescent="0.25">
      <c r="A448" t="s">
        <v>392</v>
      </c>
      <c r="B448" s="13" t="s">
        <v>22</v>
      </c>
      <c r="C448" s="13" t="s">
        <v>154</v>
      </c>
      <c r="D448" s="14" t="s">
        <v>158</v>
      </c>
      <c r="E448" s="13" t="s">
        <v>155</v>
      </c>
      <c r="F448" s="13" t="s">
        <v>157</v>
      </c>
      <c r="G448" s="13">
        <v>0.54999999999999993</v>
      </c>
      <c r="H448" s="15">
        <v>18244</v>
      </c>
      <c r="I448" s="16">
        <v>10034.200000000001</v>
      </c>
      <c r="J448" s="16">
        <v>8795.7200000000012</v>
      </c>
      <c r="K448" s="16">
        <v>1238.48</v>
      </c>
      <c r="L448" s="13">
        <v>1.61</v>
      </c>
      <c r="M448" s="13"/>
      <c r="N448" s="17">
        <f t="shared" si="15"/>
        <v>29372.84</v>
      </c>
      <c r="O448" s="17">
        <f t="shared" si="15"/>
        <v>0</v>
      </c>
      <c r="P448" s="17">
        <f t="shared" si="13"/>
        <v>29372.84</v>
      </c>
      <c r="Q448" t="str">
        <f>A448&amp;"-"&amp;B448&amp;"-"&amp;D448</f>
        <v>FEBRUARI-CNJ2-L4</v>
      </c>
    </row>
    <row r="449" spans="1:17" x14ac:dyDescent="0.25">
      <c r="A449" t="s">
        <v>392</v>
      </c>
      <c r="B449" s="13" t="s">
        <v>22</v>
      </c>
      <c r="C449" s="13" t="s">
        <v>154</v>
      </c>
      <c r="D449" s="14" t="s">
        <v>160</v>
      </c>
      <c r="E449" s="13" t="s">
        <v>155</v>
      </c>
      <c r="F449" s="13" t="s">
        <v>157</v>
      </c>
      <c r="G449" s="13">
        <v>0.55000000000000004</v>
      </c>
      <c r="H449" s="15">
        <v>5237</v>
      </c>
      <c r="I449" s="16">
        <v>2880.35</v>
      </c>
      <c r="J449" s="16">
        <v>2432.86</v>
      </c>
      <c r="K449" s="16">
        <v>447.49</v>
      </c>
      <c r="L449" s="13">
        <v>1.61</v>
      </c>
      <c r="M449" s="13"/>
      <c r="N449" s="17">
        <f t="shared" si="15"/>
        <v>8431.57</v>
      </c>
      <c r="O449" s="17">
        <f t="shared" si="15"/>
        <v>0</v>
      </c>
      <c r="P449" s="17">
        <f t="shared" si="13"/>
        <v>8431.57</v>
      </c>
      <c r="Q449" t="str">
        <f>A449&amp;"-"&amp;B449&amp;"-"&amp;D449</f>
        <v>FEBRUARI-CNJ2-L5</v>
      </c>
    </row>
    <row r="450" spans="1:17" x14ac:dyDescent="0.25">
      <c r="A450" t="s">
        <v>392</v>
      </c>
      <c r="B450" s="13" t="s">
        <v>22</v>
      </c>
      <c r="C450" s="13" t="s">
        <v>154</v>
      </c>
      <c r="D450" s="14" t="s">
        <v>160</v>
      </c>
      <c r="E450" s="13" t="s">
        <v>155</v>
      </c>
      <c r="F450" s="13" t="s">
        <v>422</v>
      </c>
      <c r="G450" s="13">
        <v>0.54999999999999993</v>
      </c>
      <c r="H450" s="15">
        <v>14900</v>
      </c>
      <c r="I450" s="16">
        <v>8195</v>
      </c>
      <c r="J450" s="16">
        <v>6362.8600000000006</v>
      </c>
      <c r="K450" s="16">
        <v>1832.1399999999999</v>
      </c>
      <c r="L450" s="13">
        <v>1.61</v>
      </c>
      <c r="M450" s="13"/>
      <c r="N450" s="17">
        <f t="shared" si="15"/>
        <v>23989</v>
      </c>
      <c r="O450" s="17">
        <f t="shared" si="15"/>
        <v>0</v>
      </c>
      <c r="P450" s="17">
        <f t="shared" ref="P450:P513" si="16">N450+O450</f>
        <v>23989</v>
      </c>
      <c r="Q450" t="str">
        <f>A450&amp;"-"&amp;B450&amp;"-"&amp;D450</f>
        <v>FEBRUARI-CNJ2-L5</v>
      </c>
    </row>
    <row r="451" spans="1:17" x14ac:dyDescent="0.25">
      <c r="A451" t="s">
        <v>392</v>
      </c>
      <c r="B451" s="13" t="s">
        <v>22</v>
      </c>
      <c r="C451" s="13" t="s">
        <v>154</v>
      </c>
      <c r="D451" s="14" t="s">
        <v>160</v>
      </c>
      <c r="E451" s="13" t="s">
        <v>155</v>
      </c>
      <c r="F451" s="13" t="s">
        <v>423</v>
      </c>
      <c r="G451" s="13">
        <v>0.55000000000000004</v>
      </c>
      <c r="H451" s="15">
        <v>744</v>
      </c>
      <c r="I451" s="16">
        <v>409.20000000000005</v>
      </c>
      <c r="J451" s="16">
        <v>1777.8600000000001</v>
      </c>
      <c r="K451" s="16">
        <v>-1368.66</v>
      </c>
      <c r="L451" s="13">
        <v>1.61</v>
      </c>
      <c r="M451" s="13"/>
      <c r="N451" s="17">
        <f t="shared" si="15"/>
        <v>1197.8400000000001</v>
      </c>
      <c r="O451" s="17">
        <f t="shared" si="15"/>
        <v>0</v>
      </c>
      <c r="P451" s="17">
        <f t="shared" si="16"/>
        <v>1197.8400000000001</v>
      </c>
      <c r="Q451" t="str">
        <f>A451&amp;"-"&amp;B451&amp;"-"&amp;D451</f>
        <v>FEBRUARI-CNJ2-L5</v>
      </c>
    </row>
    <row r="452" spans="1:17" x14ac:dyDescent="0.25">
      <c r="A452" t="s">
        <v>392</v>
      </c>
      <c r="B452" s="13" t="s">
        <v>22</v>
      </c>
      <c r="C452" s="13" t="s">
        <v>154</v>
      </c>
      <c r="D452" s="14" t="s">
        <v>163</v>
      </c>
      <c r="E452" s="13" t="s">
        <v>155</v>
      </c>
      <c r="F452" s="13" t="s">
        <v>157</v>
      </c>
      <c r="G452" s="13">
        <v>0.55000000000000004</v>
      </c>
      <c r="H452" s="15">
        <v>5375</v>
      </c>
      <c r="I452" s="16">
        <v>2956.25</v>
      </c>
      <c r="J452" s="16">
        <v>2432.86</v>
      </c>
      <c r="K452" s="16">
        <v>523.39</v>
      </c>
      <c r="L452" s="13">
        <v>1.61</v>
      </c>
      <c r="M452" s="13"/>
      <c r="N452" s="17">
        <f t="shared" si="15"/>
        <v>8653.75</v>
      </c>
      <c r="O452" s="17">
        <f t="shared" si="15"/>
        <v>0</v>
      </c>
      <c r="P452" s="17">
        <f t="shared" si="16"/>
        <v>8653.75</v>
      </c>
      <c r="Q452" t="str">
        <f>A452&amp;"-"&amp;B452&amp;"-"&amp;D452</f>
        <v>FEBRUARI-CNJ2-L6</v>
      </c>
    </row>
    <row r="453" spans="1:17" x14ac:dyDescent="0.25">
      <c r="A453" t="s">
        <v>392</v>
      </c>
      <c r="B453" s="13" t="s">
        <v>22</v>
      </c>
      <c r="C453" s="13" t="s">
        <v>154</v>
      </c>
      <c r="D453" s="14" t="s">
        <v>163</v>
      </c>
      <c r="E453" s="13" t="s">
        <v>155</v>
      </c>
      <c r="F453" s="13" t="s">
        <v>422</v>
      </c>
      <c r="G453" s="13">
        <v>0.54999999999999993</v>
      </c>
      <c r="H453" s="15">
        <v>13950</v>
      </c>
      <c r="I453" s="16">
        <v>7672.5</v>
      </c>
      <c r="J453" s="16">
        <v>6362.8600000000006</v>
      </c>
      <c r="K453" s="16">
        <v>1309.6399999999999</v>
      </c>
      <c r="L453" s="13">
        <v>1.61</v>
      </c>
      <c r="M453" s="13"/>
      <c r="N453" s="17">
        <f t="shared" si="15"/>
        <v>22459.5</v>
      </c>
      <c r="O453" s="17">
        <f t="shared" si="15"/>
        <v>0</v>
      </c>
      <c r="P453" s="17">
        <f t="shared" si="16"/>
        <v>22459.5</v>
      </c>
      <c r="Q453" t="str">
        <f>A453&amp;"-"&amp;B453&amp;"-"&amp;D453</f>
        <v>FEBRUARI-CNJ2-L6</v>
      </c>
    </row>
    <row r="454" spans="1:17" x14ac:dyDescent="0.25">
      <c r="A454" t="s">
        <v>392</v>
      </c>
      <c r="B454" s="13" t="s">
        <v>22</v>
      </c>
      <c r="C454" s="13" t="s">
        <v>154</v>
      </c>
      <c r="D454" s="14" t="s">
        <v>163</v>
      </c>
      <c r="E454" s="13" t="s">
        <v>155</v>
      </c>
      <c r="F454" s="13" t="s">
        <v>423</v>
      </c>
      <c r="G454" s="13">
        <v>0.55000000000000004</v>
      </c>
      <c r="H454" s="15">
        <v>2175</v>
      </c>
      <c r="I454" s="16">
        <v>1196.25</v>
      </c>
      <c r="J454" s="16">
        <v>1777.8600000000001</v>
      </c>
      <c r="K454" s="16">
        <v>-581.61</v>
      </c>
      <c r="L454" s="13">
        <v>1.61</v>
      </c>
      <c r="M454" s="13"/>
      <c r="N454" s="17">
        <f t="shared" si="15"/>
        <v>3501.75</v>
      </c>
      <c r="O454" s="17">
        <f t="shared" si="15"/>
        <v>0</v>
      </c>
      <c r="P454" s="17">
        <f t="shared" si="16"/>
        <v>3501.75</v>
      </c>
      <c r="Q454" t="str">
        <f>A454&amp;"-"&amp;B454&amp;"-"&amp;D454</f>
        <v>FEBRUARI-CNJ2-L6</v>
      </c>
    </row>
    <row r="455" spans="1:17" x14ac:dyDescent="0.25">
      <c r="A455" t="s">
        <v>392</v>
      </c>
      <c r="B455" s="13" t="s">
        <v>22</v>
      </c>
      <c r="C455" s="13" t="s">
        <v>154</v>
      </c>
      <c r="D455" s="14" t="s">
        <v>164</v>
      </c>
      <c r="E455" s="13" t="s">
        <v>155</v>
      </c>
      <c r="F455" s="13" t="s">
        <v>157</v>
      </c>
      <c r="G455" s="13">
        <v>0.54999999999999993</v>
      </c>
      <c r="H455" s="15">
        <v>12250</v>
      </c>
      <c r="I455" s="16">
        <v>6737.5</v>
      </c>
      <c r="J455" s="16">
        <v>8795.7200000000012</v>
      </c>
      <c r="K455" s="16">
        <v>-2058.2200000000003</v>
      </c>
      <c r="L455" s="13">
        <v>1.61</v>
      </c>
      <c r="M455" s="13"/>
      <c r="N455" s="17">
        <f t="shared" si="15"/>
        <v>19722.5</v>
      </c>
      <c r="O455" s="17">
        <f t="shared" si="15"/>
        <v>0</v>
      </c>
      <c r="P455" s="17">
        <f t="shared" si="16"/>
        <v>19722.5</v>
      </c>
      <c r="Q455" t="str">
        <f>A455&amp;"-"&amp;B455&amp;"-"&amp;D455</f>
        <v>FEBRUARI-CNJ2-L7</v>
      </c>
    </row>
    <row r="456" spans="1:17" x14ac:dyDescent="0.25">
      <c r="A456" t="s">
        <v>392</v>
      </c>
      <c r="B456" s="13" t="s">
        <v>22</v>
      </c>
      <c r="C456" s="13" t="s">
        <v>154</v>
      </c>
      <c r="D456" s="14" t="s">
        <v>164</v>
      </c>
      <c r="E456" s="13" t="s">
        <v>155</v>
      </c>
      <c r="F456" s="13" t="s">
        <v>423</v>
      </c>
      <c r="G456" s="13">
        <v>0.55000000000000004</v>
      </c>
      <c r="H456" s="15">
        <v>1384</v>
      </c>
      <c r="I456" s="16">
        <v>761.2</v>
      </c>
      <c r="J456" s="16">
        <v>1777.8600000000001</v>
      </c>
      <c r="K456" s="16">
        <v>-1016.6600000000001</v>
      </c>
      <c r="L456" s="13">
        <v>1.61</v>
      </c>
      <c r="M456" s="13"/>
      <c r="N456" s="17">
        <f t="shared" si="15"/>
        <v>2228.2400000000002</v>
      </c>
      <c r="O456" s="17">
        <f t="shared" si="15"/>
        <v>0</v>
      </c>
      <c r="P456" s="17">
        <f t="shared" si="16"/>
        <v>2228.2400000000002</v>
      </c>
      <c r="Q456" t="str">
        <f>A456&amp;"-"&amp;B456&amp;"-"&amp;D456</f>
        <v>FEBRUARI-CNJ2-L7</v>
      </c>
    </row>
    <row r="457" spans="1:17" x14ac:dyDescent="0.25">
      <c r="A457" t="s">
        <v>392</v>
      </c>
      <c r="B457" s="13" t="s">
        <v>22</v>
      </c>
      <c r="C457" s="13" t="s">
        <v>43</v>
      </c>
      <c r="D457" s="14" t="s">
        <v>44</v>
      </c>
      <c r="E457" s="13" t="s">
        <v>167</v>
      </c>
      <c r="F457" s="13" t="s">
        <v>169</v>
      </c>
      <c r="G457" s="13">
        <v>1.9600000000000006</v>
      </c>
      <c r="H457" s="15">
        <v>2326</v>
      </c>
      <c r="I457" s="16">
        <v>4558.96</v>
      </c>
      <c r="J457" s="16">
        <v>8795.7200000000012</v>
      </c>
      <c r="K457" s="16">
        <v>-4236.76</v>
      </c>
      <c r="L457" s="13"/>
      <c r="M457" s="13">
        <v>2.0499999999999998</v>
      </c>
      <c r="N457" s="17">
        <f t="shared" si="15"/>
        <v>0</v>
      </c>
      <c r="O457" s="17">
        <f t="shared" si="15"/>
        <v>4768.2999999999993</v>
      </c>
      <c r="P457" s="17">
        <f t="shared" si="16"/>
        <v>4768.2999999999993</v>
      </c>
      <c r="Q457" t="str">
        <f>A457&amp;"-"&amp;B457&amp;"-"&amp;D457</f>
        <v>FEBRUARI-CNJ2-L1</v>
      </c>
    </row>
    <row r="458" spans="1:17" x14ac:dyDescent="0.25">
      <c r="A458" t="s">
        <v>392</v>
      </c>
      <c r="B458" s="13" t="s">
        <v>22</v>
      </c>
      <c r="C458" s="13" t="s">
        <v>43</v>
      </c>
      <c r="D458" s="14" t="s">
        <v>44</v>
      </c>
      <c r="E458" s="13" t="s">
        <v>167</v>
      </c>
      <c r="F458" s="13" t="s">
        <v>424</v>
      </c>
      <c r="G458" s="13">
        <v>1.91</v>
      </c>
      <c r="H458" s="15">
        <v>1030</v>
      </c>
      <c r="I458" s="16">
        <v>1967.3</v>
      </c>
      <c r="J458" s="16">
        <v>1777.8600000000001</v>
      </c>
      <c r="K458" s="16">
        <v>189.43999999999994</v>
      </c>
      <c r="L458" s="13"/>
      <c r="M458" s="13">
        <v>2</v>
      </c>
      <c r="N458" s="17">
        <f t="shared" si="15"/>
        <v>0</v>
      </c>
      <c r="O458" s="17">
        <f t="shared" si="15"/>
        <v>2060</v>
      </c>
      <c r="P458" s="17">
        <f t="shared" si="16"/>
        <v>2060</v>
      </c>
      <c r="Q458" t="str">
        <f>A458&amp;"-"&amp;B458&amp;"-"&amp;D458</f>
        <v>FEBRUARI-CNJ2-L1</v>
      </c>
    </row>
    <row r="459" spans="1:17" x14ac:dyDescent="0.25">
      <c r="A459" t="s">
        <v>392</v>
      </c>
      <c r="B459" s="13" t="s">
        <v>22</v>
      </c>
      <c r="C459" s="13" t="s">
        <v>43</v>
      </c>
      <c r="D459" s="14" t="s">
        <v>50</v>
      </c>
      <c r="E459" s="13" t="s">
        <v>170</v>
      </c>
      <c r="F459" s="13" t="s">
        <v>425</v>
      </c>
      <c r="G459" s="13">
        <v>0.34</v>
      </c>
      <c r="H459" s="15">
        <v>1450</v>
      </c>
      <c r="I459" s="16">
        <v>493</v>
      </c>
      <c r="J459" s="16">
        <v>655</v>
      </c>
      <c r="K459" s="16">
        <v>-162</v>
      </c>
      <c r="L459" s="13"/>
      <c r="M459" s="13">
        <v>0.5</v>
      </c>
      <c r="N459" s="17">
        <f t="shared" si="15"/>
        <v>0</v>
      </c>
      <c r="O459" s="17">
        <f t="shared" si="15"/>
        <v>725</v>
      </c>
      <c r="P459" s="17">
        <f t="shared" si="16"/>
        <v>725</v>
      </c>
      <c r="Q459" t="str">
        <f>A459&amp;"-"&amp;B459&amp;"-"&amp;D459</f>
        <v>FEBRUARI-CNJ2-L2</v>
      </c>
    </row>
    <row r="460" spans="1:17" x14ac:dyDescent="0.25">
      <c r="A460" t="s">
        <v>392</v>
      </c>
      <c r="B460" s="13" t="s">
        <v>22</v>
      </c>
      <c r="C460" s="13" t="s">
        <v>43</v>
      </c>
      <c r="D460" s="14" t="s">
        <v>50</v>
      </c>
      <c r="E460" s="13" t="s">
        <v>170</v>
      </c>
      <c r="F460" s="13" t="s">
        <v>426</v>
      </c>
      <c r="G460" s="13">
        <v>0.24</v>
      </c>
      <c r="H460" s="15">
        <v>1275</v>
      </c>
      <c r="I460" s="16">
        <v>306</v>
      </c>
      <c r="J460" s="16">
        <v>888.93000000000006</v>
      </c>
      <c r="K460" s="16">
        <v>-582.93000000000006</v>
      </c>
      <c r="L460" s="13"/>
      <c r="M460" s="13">
        <v>0.25</v>
      </c>
      <c r="N460" s="17">
        <f t="shared" si="15"/>
        <v>0</v>
      </c>
      <c r="O460" s="17">
        <f t="shared" si="15"/>
        <v>318.75</v>
      </c>
      <c r="P460" s="17">
        <f t="shared" si="16"/>
        <v>318.75</v>
      </c>
      <c r="Q460" t="str">
        <f>A460&amp;"-"&amp;B460&amp;"-"&amp;D460</f>
        <v>FEBRUARI-CNJ2-L2</v>
      </c>
    </row>
    <row r="461" spans="1:17" x14ac:dyDescent="0.25">
      <c r="A461" t="s">
        <v>392</v>
      </c>
      <c r="B461" s="13" t="s">
        <v>22</v>
      </c>
      <c r="C461" s="13" t="s">
        <v>43</v>
      </c>
      <c r="D461" s="14" t="s">
        <v>50</v>
      </c>
      <c r="E461" s="13" t="s">
        <v>174</v>
      </c>
      <c r="F461" s="13" t="s">
        <v>427</v>
      </c>
      <c r="G461" s="13">
        <v>0.37000000000000005</v>
      </c>
      <c r="H461" s="15">
        <v>3030</v>
      </c>
      <c r="I461" s="16">
        <v>1121.1000000000001</v>
      </c>
      <c r="J461" s="16">
        <v>1965</v>
      </c>
      <c r="K461" s="16">
        <v>-843.90000000000009</v>
      </c>
      <c r="L461" s="13"/>
      <c r="M461" s="13">
        <v>0.38</v>
      </c>
      <c r="N461" s="17">
        <f t="shared" si="15"/>
        <v>0</v>
      </c>
      <c r="O461" s="17">
        <f t="shared" si="15"/>
        <v>1151.4000000000001</v>
      </c>
      <c r="P461" s="17">
        <f t="shared" si="16"/>
        <v>1151.4000000000001</v>
      </c>
      <c r="Q461" t="str">
        <f>A461&amp;"-"&amp;B461&amp;"-"&amp;D461</f>
        <v>FEBRUARI-CNJ2-L2</v>
      </c>
    </row>
    <row r="462" spans="1:17" x14ac:dyDescent="0.25">
      <c r="A462" t="s">
        <v>392</v>
      </c>
      <c r="B462" s="13" t="s">
        <v>22</v>
      </c>
      <c r="C462" s="13" t="s">
        <v>43</v>
      </c>
      <c r="D462" s="14" t="s">
        <v>50</v>
      </c>
      <c r="E462" s="13" t="s">
        <v>174</v>
      </c>
      <c r="F462" s="13" t="s">
        <v>428</v>
      </c>
      <c r="G462" s="13">
        <v>0.37</v>
      </c>
      <c r="H462" s="15">
        <v>1810</v>
      </c>
      <c r="I462" s="16">
        <v>669.7</v>
      </c>
      <c r="J462" s="16">
        <v>1543.93</v>
      </c>
      <c r="K462" s="16">
        <v>-874.23</v>
      </c>
      <c r="L462" s="13"/>
      <c r="M462" s="13">
        <v>0.38</v>
      </c>
      <c r="N462" s="17">
        <f t="shared" si="15"/>
        <v>0</v>
      </c>
      <c r="O462" s="17">
        <f t="shared" si="15"/>
        <v>687.8</v>
      </c>
      <c r="P462" s="17">
        <f t="shared" si="16"/>
        <v>687.8</v>
      </c>
      <c r="Q462" t="str">
        <f>A462&amp;"-"&amp;B462&amp;"-"&amp;D462</f>
        <v>FEBRUARI-CNJ2-L2</v>
      </c>
    </row>
    <row r="463" spans="1:17" x14ac:dyDescent="0.25">
      <c r="A463" t="s">
        <v>392</v>
      </c>
      <c r="B463" s="13" t="s">
        <v>22</v>
      </c>
      <c r="C463" s="13" t="s">
        <v>43</v>
      </c>
      <c r="D463" s="14" t="s">
        <v>50</v>
      </c>
      <c r="E463" s="13" t="s">
        <v>174</v>
      </c>
      <c r="F463" s="13" t="s">
        <v>175</v>
      </c>
      <c r="G463" s="13">
        <v>0.37</v>
      </c>
      <c r="H463" s="15">
        <v>680</v>
      </c>
      <c r="I463" s="16">
        <v>251.6</v>
      </c>
      <c r="J463" s="16">
        <v>655</v>
      </c>
      <c r="K463" s="16">
        <v>-403.4</v>
      </c>
      <c r="L463" s="13"/>
      <c r="M463" s="13">
        <v>0.38</v>
      </c>
      <c r="N463" s="17">
        <f t="shared" si="15"/>
        <v>0</v>
      </c>
      <c r="O463" s="17">
        <f t="shared" si="15"/>
        <v>258.39999999999998</v>
      </c>
      <c r="P463" s="17">
        <f t="shared" si="16"/>
        <v>258.39999999999998</v>
      </c>
      <c r="Q463" t="str">
        <f>A463&amp;"-"&amp;B463&amp;"-"&amp;D463</f>
        <v>FEBRUARI-CNJ2-L2</v>
      </c>
    </row>
    <row r="464" spans="1:17" x14ac:dyDescent="0.25">
      <c r="A464" t="s">
        <v>392</v>
      </c>
      <c r="B464" s="13" t="s">
        <v>22</v>
      </c>
      <c r="C464" s="13" t="s">
        <v>43</v>
      </c>
      <c r="D464" s="14" t="s">
        <v>50</v>
      </c>
      <c r="E464" s="13" t="s">
        <v>174</v>
      </c>
      <c r="F464" s="13" t="s">
        <v>176</v>
      </c>
      <c r="G464" s="13">
        <v>0.34</v>
      </c>
      <c r="H464" s="15">
        <v>1099</v>
      </c>
      <c r="I464" s="16">
        <v>373.65999999999997</v>
      </c>
      <c r="J464" s="16">
        <v>561.43000000000006</v>
      </c>
      <c r="K464" s="16">
        <v>-187.77</v>
      </c>
      <c r="L464" s="13"/>
      <c r="M464" s="13">
        <v>0.35</v>
      </c>
      <c r="N464" s="17">
        <f t="shared" si="15"/>
        <v>0</v>
      </c>
      <c r="O464" s="17">
        <f t="shared" si="15"/>
        <v>384.65</v>
      </c>
      <c r="P464" s="17">
        <f t="shared" si="16"/>
        <v>384.65</v>
      </c>
      <c r="Q464" t="str">
        <f>A464&amp;"-"&amp;B464&amp;"-"&amp;D464</f>
        <v>FEBRUARI-CNJ2-L2</v>
      </c>
    </row>
    <row r="465" spans="1:17" x14ac:dyDescent="0.25">
      <c r="A465" t="s">
        <v>392</v>
      </c>
      <c r="B465" s="13" t="s">
        <v>22</v>
      </c>
      <c r="C465" s="13" t="s">
        <v>43</v>
      </c>
      <c r="D465" s="14" t="s">
        <v>50</v>
      </c>
      <c r="E465" s="13" t="s">
        <v>174</v>
      </c>
      <c r="F465" s="13" t="s">
        <v>429</v>
      </c>
      <c r="G465" s="13">
        <v>0.84</v>
      </c>
      <c r="H465" s="15">
        <v>860</v>
      </c>
      <c r="I465" s="16">
        <v>722.4</v>
      </c>
      <c r="J465" s="16">
        <v>982.5</v>
      </c>
      <c r="K465" s="16">
        <v>-260.10000000000002</v>
      </c>
      <c r="L465" s="13"/>
      <c r="M465" s="13">
        <v>0.85</v>
      </c>
      <c r="N465" s="17">
        <f t="shared" si="15"/>
        <v>0</v>
      </c>
      <c r="O465" s="17">
        <f t="shared" si="15"/>
        <v>731</v>
      </c>
      <c r="P465" s="17">
        <f t="shared" si="16"/>
        <v>731</v>
      </c>
      <c r="Q465" t="str">
        <f>A465&amp;"-"&amp;B465&amp;"-"&amp;D465</f>
        <v>FEBRUARI-CNJ2-L2</v>
      </c>
    </row>
    <row r="466" spans="1:17" x14ac:dyDescent="0.25">
      <c r="A466" t="s">
        <v>392</v>
      </c>
      <c r="B466" s="13" t="s">
        <v>22</v>
      </c>
      <c r="C466" s="13" t="s">
        <v>43</v>
      </c>
      <c r="D466" s="14" t="s">
        <v>56</v>
      </c>
      <c r="E466" s="13" t="s">
        <v>179</v>
      </c>
      <c r="F466" s="13" t="s">
        <v>430</v>
      </c>
      <c r="G466" s="13">
        <v>1.54</v>
      </c>
      <c r="H466" s="15">
        <v>1220</v>
      </c>
      <c r="I466" s="16">
        <v>1878.8</v>
      </c>
      <c r="J466" s="16">
        <v>1777.8600000000001</v>
      </c>
      <c r="K466" s="16">
        <v>100.94</v>
      </c>
      <c r="L466" s="13"/>
      <c r="M466" s="13">
        <v>1.65</v>
      </c>
      <c r="N466" s="17">
        <f t="shared" si="15"/>
        <v>0</v>
      </c>
      <c r="O466" s="17">
        <f t="shared" si="15"/>
        <v>2013</v>
      </c>
      <c r="P466" s="17">
        <f t="shared" si="16"/>
        <v>2013</v>
      </c>
      <c r="Q466" t="str">
        <f>A466&amp;"-"&amp;B466&amp;"-"&amp;D466</f>
        <v>FEBRUARI-CNJ2-L3</v>
      </c>
    </row>
    <row r="467" spans="1:17" x14ac:dyDescent="0.25">
      <c r="A467" t="s">
        <v>392</v>
      </c>
      <c r="B467" s="13" t="s">
        <v>22</v>
      </c>
      <c r="C467" s="13" t="s">
        <v>43</v>
      </c>
      <c r="D467" s="14" t="s">
        <v>158</v>
      </c>
      <c r="E467" s="13" t="s">
        <v>58</v>
      </c>
      <c r="F467" s="13" t="s">
        <v>431</v>
      </c>
      <c r="G467" s="13">
        <v>1.49</v>
      </c>
      <c r="H467" s="15">
        <v>1364</v>
      </c>
      <c r="I467" s="16">
        <v>2032.36</v>
      </c>
      <c r="J467" s="16">
        <v>1777.8600000000001</v>
      </c>
      <c r="K467" s="16">
        <v>254.5</v>
      </c>
      <c r="L467" s="13"/>
      <c r="M467" s="13">
        <v>1.6</v>
      </c>
      <c r="N467" s="17">
        <f t="shared" si="15"/>
        <v>0</v>
      </c>
      <c r="O467" s="17">
        <f t="shared" si="15"/>
        <v>2182.4</v>
      </c>
      <c r="P467" s="17">
        <f t="shared" si="16"/>
        <v>2182.4</v>
      </c>
      <c r="Q467" t="str">
        <f>A467&amp;"-"&amp;B467&amp;"-"&amp;D467</f>
        <v>FEBRUARI-CNJ2-L4</v>
      </c>
    </row>
    <row r="468" spans="1:17" x14ac:dyDescent="0.25">
      <c r="A468" t="s">
        <v>392</v>
      </c>
      <c r="B468" s="13" t="s">
        <v>23</v>
      </c>
      <c r="C468" s="13" t="s">
        <v>185</v>
      </c>
      <c r="D468" s="14" t="s">
        <v>301</v>
      </c>
      <c r="E468" s="13" t="s">
        <v>191</v>
      </c>
      <c r="F468" s="13" t="s">
        <v>432</v>
      </c>
      <c r="G468" s="13">
        <v>1.17</v>
      </c>
      <c r="H468" s="15">
        <v>660</v>
      </c>
      <c r="I468" s="16">
        <v>772.2</v>
      </c>
      <c r="J468" s="16">
        <v>1554.5487012987012</v>
      </c>
      <c r="K468" s="16">
        <v>-782.34870129870126</v>
      </c>
      <c r="L468" s="13">
        <v>1.07</v>
      </c>
      <c r="M468" s="13"/>
      <c r="N468" s="17">
        <f t="shared" si="15"/>
        <v>706.2</v>
      </c>
      <c r="O468" s="17">
        <f t="shared" si="15"/>
        <v>0</v>
      </c>
      <c r="P468" s="17">
        <f t="shared" si="16"/>
        <v>706.2</v>
      </c>
      <c r="Q468" t="str">
        <f>A468&amp;"-"&amp;B468&amp;"-"&amp;D468</f>
        <v>FEBRUARI-CVA-L10</v>
      </c>
    </row>
    <row r="469" spans="1:17" x14ac:dyDescent="0.25">
      <c r="A469" t="s">
        <v>392</v>
      </c>
      <c r="B469" s="13" t="s">
        <v>23</v>
      </c>
      <c r="C469" s="13" t="s">
        <v>185</v>
      </c>
      <c r="D469" s="14" t="s">
        <v>56</v>
      </c>
      <c r="E469" s="13" t="s">
        <v>191</v>
      </c>
      <c r="F469" s="13" t="s">
        <v>433</v>
      </c>
      <c r="G469" s="13">
        <v>1.17</v>
      </c>
      <c r="H469" s="15">
        <v>1199</v>
      </c>
      <c r="I469" s="16">
        <v>1402.83</v>
      </c>
      <c r="J469" s="16">
        <v>474.55264446747196</v>
      </c>
      <c r="K469" s="16">
        <v>928.27735553252808</v>
      </c>
      <c r="L469" s="13">
        <v>0.8</v>
      </c>
      <c r="M469" s="13"/>
      <c r="N469" s="17">
        <f t="shared" si="15"/>
        <v>959.2</v>
      </c>
      <c r="O469" s="17">
        <f t="shared" si="15"/>
        <v>0</v>
      </c>
      <c r="P469" s="17">
        <f t="shared" si="16"/>
        <v>959.2</v>
      </c>
      <c r="Q469" t="str">
        <f>A469&amp;"-"&amp;B469&amp;"-"&amp;D469</f>
        <v>FEBRUARI-CVA-L3</v>
      </c>
    </row>
    <row r="470" spans="1:17" x14ac:dyDescent="0.25">
      <c r="A470" t="s">
        <v>392</v>
      </c>
      <c r="B470" s="13" t="s">
        <v>23</v>
      </c>
      <c r="C470" s="13" t="s">
        <v>185</v>
      </c>
      <c r="D470" s="14" t="s">
        <v>158</v>
      </c>
      <c r="E470" s="13" t="s">
        <v>191</v>
      </c>
      <c r="F470" s="13" t="s">
        <v>433</v>
      </c>
      <c r="G470" s="13">
        <v>1.17</v>
      </c>
      <c r="H470" s="15">
        <v>420</v>
      </c>
      <c r="I470" s="16">
        <v>491.4</v>
      </c>
      <c r="J470" s="16">
        <v>338.95973154362417</v>
      </c>
      <c r="K470" s="16">
        <v>152.4402684563758</v>
      </c>
      <c r="L470" s="13">
        <v>0.8</v>
      </c>
      <c r="M470" s="13"/>
      <c r="N470" s="17">
        <f t="shared" si="15"/>
        <v>336</v>
      </c>
      <c r="O470" s="17">
        <f t="shared" si="15"/>
        <v>0</v>
      </c>
      <c r="P470" s="17">
        <f t="shared" si="16"/>
        <v>336</v>
      </c>
      <c r="Q470" t="str">
        <f>A470&amp;"-"&amp;B470&amp;"-"&amp;D470</f>
        <v>FEBRUARI-CVA-L4</v>
      </c>
    </row>
    <row r="471" spans="1:17" x14ac:dyDescent="0.25">
      <c r="A471" t="s">
        <v>392</v>
      </c>
      <c r="B471" s="13" t="s">
        <v>23</v>
      </c>
      <c r="C471" s="13" t="s">
        <v>185</v>
      </c>
      <c r="D471" s="14" t="s">
        <v>164</v>
      </c>
      <c r="E471" s="13" t="s">
        <v>186</v>
      </c>
      <c r="F471" s="13" t="s">
        <v>434</v>
      </c>
      <c r="G471" s="13">
        <v>2.15</v>
      </c>
      <c r="H471" s="15">
        <v>1124</v>
      </c>
      <c r="I471" s="16">
        <v>2416.6</v>
      </c>
      <c r="J471" s="16">
        <v>1253.1315789473683</v>
      </c>
      <c r="K471" s="16">
        <v>1163.4684210526316</v>
      </c>
      <c r="L471" s="13">
        <v>1.31</v>
      </c>
      <c r="M471" s="13"/>
      <c r="N471" s="17">
        <f t="shared" si="15"/>
        <v>1472.44</v>
      </c>
      <c r="O471" s="17">
        <f t="shared" si="15"/>
        <v>0</v>
      </c>
      <c r="P471" s="17">
        <f t="shared" si="16"/>
        <v>1472.44</v>
      </c>
      <c r="Q471" t="str">
        <f>A471&amp;"-"&amp;B471&amp;"-"&amp;D471</f>
        <v>FEBRUARI-CVA-L7</v>
      </c>
    </row>
    <row r="472" spans="1:17" x14ac:dyDescent="0.25">
      <c r="A472" t="s">
        <v>392</v>
      </c>
      <c r="B472" s="13" t="s">
        <v>23</v>
      </c>
      <c r="C472" s="13" t="s">
        <v>185</v>
      </c>
      <c r="D472" s="14" t="s">
        <v>164</v>
      </c>
      <c r="E472" s="13" t="s">
        <v>186</v>
      </c>
      <c r="F472" s="13" t="s">
        <v>435</v>
      </c>
      <c r="G472" s="13">
        <v>2.15</v>
      </c>
      <c r="H472" s="15">
        <v>884</v>
      </c>
      <c r="I472" s="16">
        <v>1900.6</v>
      </c>
      <c r="J472" s="16">
        <v>1924</v>
      </c>
      <c r="K472" s="16">
        <v>-23.399999999999977</v>
      </c>
      <c r="L472" s="13">
        <v>5.25</v>
      </c>
      <c r="M472" s="13"/>
      <c r="N472" s="17">
        <f t="shared" si="15"/>
        <v>4641</v>
      </c>
      <c r="O472" s="17">
        <f t="shared" si="15"/>
        <v>0</v>
      </c>
      <c r="P472" s="17">
        <f t="shared" si="16"/>
        <v>4641</v>
      </c>
      <c r="Q472" t="str">
        <f>A472&amp;"-"&amp;B472&amp;"-"&amp;D472</f>
        <v>FEBRUARI-CVA-L7</v>
      </c>
    </row>
    <row r="473" spans="1:17" x14ac:dyDescent="0.25">
      <c r="A473" t="s">
        <v>392</v>
      </c>
      <c r="B473" s="13" t="s">
        <v>23</v>
      </c>
      <c r="C473" s="13" t="s">
        <v>185</v>
      </c>
      <c r="D473" s="14" t="s">
        <v>164</v>
      </c>
      <c r="E473" s="13" t="s">
        <v>191</v>
      </c>
      <c r="F473" s="13" t="s">
        <v>436</v>
      </c>
      <c r="G473" s="13">
        <v>1.17</v>
      </c>
      <c r="H473" s="15">
        <v>1069</v>
      </c>
      <c r="I473" s="16">
        <v>1250.73</v>
      </c>
      <c r="J473" s="16">
        <v>670.63279220779225</v>
      </c>
      <c r="K473" s="16">
        <v>580.09720779220766</v>
      </c>
      <c r="L473" s="13">
        <v>1.07</v>
      </c>
      <c r="M473" s="13"/>
      <c r="N473" s="17">
        <f t="shared" si="15"/>
        <v>1143.8300000000002</v>
      </c>
      <c r="O473" s="17">
        <f t="shared" si="15"/>
        <v>0</v>
      </c>
      <c r="P473" s="17">
        <f t="shared" si="16"/>
        <v>1143.8300000000002</v>
      </c>
      <c r="Q473" t="str">
        <f>A473&amp;"-"&amp;B473&amp;"-"&amp;D473</f>
        <v>FEBRUARI-CVA-L7</v>
      </c>
    </row>
    <row r="474" spans="1:17" x14ac:dyDescent="0.25">
      <c r="A474" t="s">
        <v>392</v>
      </c>
      <c r="B474" s="13" t="s">
        <v>23</v>
      </c>
      <c r="C474" s="13" t="s">
        <v>185</v>
      </c>
      <c r="D474" s="14" t="s">
        <v>164</v>
      </c>
      <c r="E474" s="13" t="s">
        <v>77</v>
      </c>
      <c r="F474" s="13" t="s">
        <v>437</v>
      </c>
      <c r="G474" s="13">
        <v>1.38</v>
      </c>
      <c r="H474" s="15">
        <v>632</v>
      </c>
      <c r="I474" s="16">
        <v>872.16000000000008</v>
      </c>
      <c r="J474" s="16">
        <v>634.9372077922078</v>
      </c>
      <c r="K474" s="16">
        <v>237.22279220779225</v>
      </c>
      <c r="L474" s="13">
        <v>1.79</v>
      </c>
      <c r="M474" s="13"/>
      <c r="N474" s="17">
        <f t="shared" si="15"/>
        <v>1131.28</v>
      </c>
      <c r="O474" s="17">
        <f t="shared" si="15"/>
        <v>0</v>
      </c>
      <c r="P474" s="17">
        <f t="shared" si="16"/>
        <v>1131.28</v>
      </c>
      <c r="Q474" t="str">
        <f>A474&amp;"-"&amp;B474&amp;"-"&amp;D474</f>
        <v>FEBRUARI-CVA-L7</v>
      </c>
    </row>
    <row r="475" spans="1:17" x14ac:dyDescent="0.25">
      <c r="A475" t="s">
        <v>392</v>
      </c>
      <c r="B475" s="13" t="s">
        <v>23</v>
      </c>
      <c r="C475" s="13" t="s">
        <v>185</v>
      </c>
      <c r="D475" s="14" t="s">
        <v>164</v>
      </c>
      <c r="E475" s="13" t="s">
        <v>77</v>
      </c>
      <c r="F475" s="13" t="s">
        <v>438</v>
      </c>
      <c r="G475" s="13">
        <v>1.34</v>
      </c>
      <c r="H475" s="15">
        <v>694</v>
      </c>
      <c r="I475" s="16">
        <v>929.96</v>
      </c>
      <c r="J475" s="16">
        <v>962</v>
      </c>
      <c r="K475" s="16">
        <v>-32.039999999999964</v>
      </c>
      <c r="L475" s="13">
        <v>3.25</v>
      </c>
      <c r="M475" s="13"/>
      <c r="N475" s="17">
        <f t="shared" si="15"/>
        <v>2255.5</v>
      </c>
      <c r="O475" s="17">
        <f t="shared" si="15"/>
        <v>0</v>
      </c>
      <c r="P475" s="17">
        <f t="shared" si="16"/>
        <v>2255.5</v>
      </c>
      <c r="Q475" t="str">
        <f>A475&amp;"-"&amp;B475&amp;"-"&amp;D475</f>
        <v>FEBRUARI-CVA-L7</v>
      </c>
    </row>
    <row r="476" spans="1:17" x14ac:dyDescent="0.25">
      <c r="A476" t="s">
        <v>392</v>
      </c>
      <c r="B476" s="13" t="s">
        <v>23</v>
      </c>
      <c r="C476" s="13" t="s">
        <v>185</v>
      </c>
      <c r="D476" s="14" t="s">
        <v>198</v>
      </c>
      <c r="E476" s="13" t="s">
        <v>186</v>
      </c>
      <c r="F476" s="13" t="s">
        <v>434</v>
      </c>
      <c r="G476" s="13">
        <v>2.15</v>
      </c>
      <c r="H476" s="15">
        <v>439</v>
      </c>
      <c r="I476" s="16">
        <v>943.85</v>
      </c>
      <c r="J476" s="16">
        <v>962</v>
      </c>
      <c r="K476" s="16">
        <v>-18.149999999999949</v>
      </c>
      <c r="L476" s="13">
        <v>1.31</v>
      </c>
      <c r="M476" s="13"/>
      <c r="N476" s="17">
        <f t="shared" si="15"/>
        <v>575.09</v>
      </c>
      <c r="O476" s="17">
        <f t="shared" si="15"/>
        <v>0</v>
      </c>
      <c r="P476" s="17">
        <f t="shared" si="16"/>
        <v>575.09</v>
      </c>
      <c r="Q476" t="str">
        <f>A476&amp;"-"&amp;B476&amp;"-"&amp;D476</f>
        <v>FEBRUARI-CVA-L8</v>
      </c>
    </row>
    <row r="477" spans="1:17" x14ac:dyDescent="0.25">
      <c r="A477" t="s">
        <v>392</v>
      </c>
      <c r="B477" s="13" t="s">
        <v>23</v>
      </c>
      <c r="C477" s="13" t="s">
        <v>185</v>
      </c>
      <c r="D477" s="14" t="s">
        <v>198</v>
      </c>
      <c r="E477" s="13" t="s">
        <v>186</v>
      </c>
      <c r="F477" s="13" t="s">
        <v>435</v>
      </c>
      <c r="G477" s="13">
        <v>2.15</v>
      </c>
      <c r="H477" s="15">
        <v>713</v>
      </c>
      <c r="I477" s="16">
        <v>1532.9499999999998</v>
      </c>
      <c r="J477" s="16">
        <v>1924</v>
      </c>
      <c r="K477" s="16">
        <v>-391.05000000000007</v>
      </c>
      <c r="L477" s="13">
        <v>5.25</v>
      </c>
      <c r="M477" s="13"/>
      <c r="N477" s="17">
        <f t="shared" si="15"/>
        <v>3743.25</v>
      </c>
      <c r="O477" s="17">
        <f t="shared" si="15"/>
        <v>0</v>
      </c>
      <c r="P477" s="17">
        <f t="shared" si="16"/>
        <v>3743.25</v>
      </c>
      <c r="Q477" t="str">
        <f>A477&amp;"-"&amp;B477&amp;"-"&amp;D477</f>
        <v>FEBRUARI-CVA-L8</v>
      </c>
    </row>
    <row r="478" spans="1:17" x14ac:dyDescent="0.25">
      <c r="A478" t="s">
        <v>392</v>
      </c>
      <c r="B478" s="13" t="s">
        <v>23</v>
      </c>
      <c r="C478" s="13" t="s">
        <v>185</v>
      </c>
      <c r="D478" s="14" t="s">
        <v>198</v>
      </c>
      <c r="E478" s="13" t="s">
        <v>191</v>
      </c>
      <c r="F478" s="13" t="s">
        <v>436</v>
      </c>
      <c r="G478" s="13">
        <v>1.17</v>
      </c>
      <c r="H478" s="15">
        <v>550</v>
      </c>
      <c r="I478" s="16">
        <v>643.5</v>
      </c>
      <c r="J478" s="16">
        <v>481</v>
      </c>
      <c r="K478" s="16">
        <v>162.5</v>
      </c>
      <c r="L478" s="13">
        <v>1.07</v>
      </c>
      <c r="M478" s="13"/>
      <c r="N478" s="17">
        <f t="shared" si="15"/>
        <v>588.5</v>
      </c>
      <c r="O478" s="17">
        <f t="shared" si="15"/>
        <v>0</v>
      </c>
      <c r="P478" s="17">
        <f t="shared" si="16"/>
        <v>588.5</v>
      </c>
      <c r="Q478" t="str">
        <f>A478&amp;"-"&amp;B478&amp;"-"&amp;D478</f>
        <v>FEBRUARI-CVA-L8</v>
      </c>
    </row>
    <row r="479" spans="1:17" x14ac:dyDescent="0.25">
      <c r="A479" t="s">
        <v>392</v>
      </c>
      <c r="B479" s="13" t="s">
        <v>23</v>
      </c>
      <c r="C479" s="13" t="s">
        <v>185</v>
      </c>
      <c r="D479" s="14" t="s">
        <v>198</v>
      </c>
      <c r="E479" s="13" t="s">
        <v>77</v>
      </c>
      <c r="F479" s="13" t="s">
        <v>194</v>
      </c>
      <c r="G479" s="13">
        <v>1.53</v>
      </c>
      <c r="H479" s="15">
        <v>100</v>
      </c>
      <c r="I479" s="16">
        <v>153</v>
      </c>
      <c r="J479" s="16">
        <v>224.55555555555554</v>
      </c>
      <c r="K479" s="16">
        <v>-71.555555555555543</v>
      </c>
      <c r="L479" s="13">
        <v>8.3000000000000007</v>
      </c>
      <c r="M479" s="13"/>
      <c r="N479" s="17">
        <f t="shared" si="15"/>
        <v>830.00000000000011</v>
      </c>
      <c r="O479" s="17">
        <f t="shared" si="15"/>
        <v>0</v>
      </c>
      <c r="P479" s="17">
        <f t="shared" si="16"/>
        <v>830.00000000000011</v>
      </c>
      <c r="Q479" t="str">
        <f>A479&amp;"-"&amp;B479&amp;"-"&amp;D479</f>
        <v>FEBRUARI-CVA-L8</v>
      </c>
    </row>
    <row r="480" spans="1:17" x14ac:dyDescent="0.25">
      <c r="A480" t="s">
        <v>392</v>
      </c>
      <c r="B480" s="13" t="s">
        <v>23</v>
      </c>
      <c r="C480" s="13" t="s">
        <v>185</v>
      </c>
      <c r="D480" s="14" t="s">
        <v>198</v>
      </c>
      <c r="E480" s="13" t="s">
        <v>77</v>
      </c>
      <c r="F480" s="13" t="s">
        <v>437</v>
      </c>
      <c r="G480" s="13">
        <v>1.38</v>
      </c>
      <c r="H480" s="15">
        <v>572</v>
      </c>
      <c r="I480" s="16">
        <v>789.36</v>
      </c>
      <c r="J480" s="16">
        <v>362.86144385026739</v>
      </c>
      <c r="K480" s="16">
        <v>426.49855614973262</v>
      </c>
      <c r="L480" s="13">
        <v>1.79</v>
      </c>
      <c r="M480" s="13"/>
      <c r="N480" s="17">
        <f t="shared" si="15"/>
        <v>1023.88</v>
      </c>
      <c r="O480" s="17">
        <f t="shared" si="15"/>
        <v>0</v>
      </c>
      <c r="P480" s="17">
        <f t="shared" si="16"/>
        <v>1023.88</v>
      </c>
      <c r="Q480" t="str">
        <f>A480&amp;"-"&amp;B480&amp;"-"&amp;D480</f>
        <v>FEBRUARI-CVA-L8</v>
      </c>
    </row>
    <row r="481" spans="1:17" x14ac:dyDescent="0.25">
      <c r="A481" t="s">
        <v>392</v>
      </c>
      <c r="B481" s="13" t="s">
        <v>23</v>
      </c>
      <c r="C481" s="13" t="s">
        <v>185</v>
      </c>
      <c r="D481" s="14" t="s">
        <v>198</v>
      </c>
      <c r="E481" s="13" t="s">
        <v>77</v>
      </c>
      <c r="F481" s="13" t="s">
        <v>438</v>
      </c>
      <c r="G481" s="13">
        <v>1.34</v>
      </c>
      <c r="H481" s="15">
        <v>849</v>
      </c>
      <c r="I481" s="16">
        <v>1137.6600000000001</v>
      </c>
      <c r="J481" s="16">
        <v>1377.3471103666002</v>
      </c>
      <c r="K481" s="16">
        <v>-239.68711036660005</v>
      </c>
      <c r="L481" s="13">
        <v>3.25</v>
      </c>
      <c r="M481" s="13"/>
      <c r="N481" s="17">
        <f t="shared" si="15"/>
        <v>2759.25</v>
      </c>
      <c r="O481" s="17">
        <f t="shared" si="15"/>
        <v>0</v>
      </c>
      <c r="P481" s="17">
        <f t="shared" si="16"/>
        <v>2759.25</v>
      </c>
      <c r="Q481" t="str">
        <f>A481&amp;"-"&amp;B481&amp;"-"&amp;D481</f>
        <v>FEBRUARI-CVA-L8</v>
      </c>
    </row>
    <row r="482" spans="1:17" x14ac:dyDescent="0.25">
      <c r="A482" t="s">
        <v>392</v>
      </c>
      <c r="B482" s="13" t="s">
        <v>23</v>
      </c>
      <c r="C482" s="13" t="s">
        <v>185</v>
      </c>
      <c r="D482" s="14" t="s">
        <v>198</v>
      </c>
      <c r="E482" s="13" t="s">
        <v>77</v>
      </c>
      <c r="F482" s="13" t="s">
        <v>197</v>
      </c>
      <c r="G482" s="13">
        <v>1.53</v>
      </c>
      <c r="H482" s="15">
        <v>16</v>
      </c>
      <c r="I482" s="16">
        <v>24.48</v>
      </c>
      <c r="J482" s="16">
        <v>46.361445783132531</v>
      </c>
      <c r="K482" s="16">
        <v>-21.881445783132531</v>
      </c>
      <c r="L482" s="13">
        <v>3.8</v>
      </c>
      <c r="M482" s="13"/>
      <c r="N482" s="17">
        <f t="shared" si="15"/>
        <v>60.8</v>
      </c>
      <c r="O482" s="17">
        <f t="shared" si="15"/>
        <v>0</v>
      </c>
      <c r="P482" s="17">
        <f t="shared" si="16"/>
        <v>60.8</v>
      </c>
      <c r="Q482" t="str">
        <f>A482&amp;"-"&amp;B482&amp;"-"&amp;D482</f>
        <v>FEBRUARI-CVA-L8</v>
      </c>
    </row>
    <row r="483" spans="1:17" x14ac:dyDescent="0.25">
      <c r="A483" t="s">
        <v>392</v>
      </c>
      <c r="B483" s="13" t="s">
        <v>23</v>
      </c>
      <c r="C483" s="13" t="s">
        <v>185</v>
      </c>
      <c r="D483" s="14" t="s">
        <v>199</v>
      </c>
      <c r="E483" s="13" t="s">
        <v>191</v>
      </c>
      <c r="F483" s="13" t="s">
        <v>432</v>
      </c>
      <c r="G483" s="13">
        <v>1.17</v>
      </c>
      <c r="H483" s="15">
        <v>864</v>
      </c>
      <c r="I483" s="16">
        <v>1010.88</v>
      </c>
      <c r="J483" s="16">
        <v>1443</v>
      </c>
      <c r="K483" s="16">
        <v>-432.12</v>
      </c>
      <c r="L483" s="13">
        <v>1.07</v>
      </c>
      <c r="M483" s="13"/>
      <c r="N483" s="17">
        <f t="shared" si="15"/>
        <v>924.48</v>
      </c>
      <c r="O483" s="17">
        <f t="shared" si="15"/>
        <v>0</v>
      </c>
      <c r="P483" s="17">
        <f t="shared" si="16"/>
        <v>924.48</v>
      </c>
      <c r="Q483" t="str">
        <f>A483&amp;"-"&amp;B483&amp;"-"&amp;D483</f>
        <v>FEBRUARI-CVA-L9</v>
      </c>
    </row>
    <row r="484" spans="1:17" x14ac:dyDescent="0.25">
      <c r="A484" t="s">
        <v>392</v>
      </c>
      <c r="B484" s="13" t="s">
        <v>23</v>
      </c>
      <c r="C484" s="13" t="s">
        <v>201</v>
      </c>
      <c r="D484" s="14" t="s">
        <v>44</v>
      </c>
      <c r="E484" s="13" t="s">
        <v>191</v>
      </c>
      <c r="F484" s="13" t="s">
        <v>439</v>
      </c>
      <c r="G484" s="13">
        <v>0.45</v>
      </c>
      <c r="H484" s="15">
        <v>4180</v>
      </c>
      <c r="I484" s="16">
        <v>1881</v>
      </c>
      <c r="J484" s="16">
        <v>1443</v>
      </c>
      <c r="K484" s="16">
        <v>438</v>
      </c>
      <c r="L484" s="13">
        <v>1.1399999999999999</v>
      </c>
      <c r="M484" s="13"/>
      <c r="N484" s="17">
        <f t="shared" si="15"/>
        <v>4765.2</v>
      </c>
      <c r="O484" s="17">
        <f t="shared" si="15"/>
        <v>0</v>
      </c>
      <c r="P484" s="17">
        <f t="shared" si="16"/>
        <v>4765.2</v>
      </c>
      <c r="Q484" t="str">
        <f>A484&amp;"-"&amp;B484&amp;"-"&amp;D484</f>
        <v>FEBRUARI-CVA-L1</v>
      </c>
    </row>
    <row r="485" spans="1:17" x14ac:dyDescent="0.25">
      <c r="A485" t="s">
        <v>392</v>
      </c>
      <c r="B485" s="13" t="s">
        <v>23</v>
      </c>
      <c r="C485" s="13" t="s">
        <v>201</v>
      </c>
      <c r="D485" s="14" t="s">
        <v>44</v>
      </c>
      <c r="E485" s="13" t="s">
        <v>191</v>
      </c>
      <c r="F485" s="13" t="s">
        <v>440</v>
      </c>
      <c r="G485" s="13">
        <v>0.42</v>
      </c>
      <c r="H485" s="15">
        <v>6290</v>
      </c>
      <c r="I485" s="16">
        <v>2641.8</v>
      </c>
      <c r="J485" s="16">
        <v>1786.57</v>
      </c>
      <c r="K485" s="16">
        <v>855.23000000000013</v>
      </c>
      <c r="L485" s="13">
        <v>1.05</v>
      </c>
      <c r="M485" s="13"/>
      <c r="N485" s="17">
        <f t="shared" ref="N485:O543" si="17">$H485*L485</f>
        <v>6604.5</v>
      </c>
      <c r="O485" s="17">
        <f t="shared" si="17"/>
        <v>0</v>
      </c>
      <c r="P485" s="17">
        <f t="shared" si="16"/>
        <v>6604.5</v>
      </c>
      <c r="Q485" t="str">
        <f>A485&amp;"-"&amp;B485&amp;"-"&amp;D485</f>
        <v>FEBRUARI-CVA-L1</v>
      </c>
    </row>
    <row r="486" spans="1:17" x14ac:dyDescent="0.25">
      <c r="A486" t="s">
        <v>392</v>
      </c>
      <c r="B486" s="13" t="s">
        <v>23</v>
      </c>
      <c r="C486" s="13" t="s">
        <v>201</v>
      </c>
      <c r="D486" s="14" t="s">
        <v>44</v>
      </c>
      <c r="E486" s="13" t="s">
        <v>191</v>
      </c>
      <c r="F486" s="13" t="s">
        <v>441</v>
      </c>
      <c r="G486" s="13">
        <v>0.42</v>
      </c>
      <c r="H486" s="15">
        <v>3220</v>
      </c>
      <c r="I486" s="16">
        <v>1352.4</v>
      </c>
      <c r="J486" s="16">
        <v>1443</v>
      </c>
      <c r="K486" s="16">
        <v>-90.600000000000023</v>
      </c>
      <c r="L486" s="13">
        <v>1.05</v>
      </c>
      <c r="M486" s="13"/>
      <c r="N486" s="17">
        <f t="shared" si="17"/>
        <v>3381</v>
      </c>
      <c r="O486" s="17">
        <f t="shared" si="17"/>
        <v>0</v>
      </c>
      <c r="P486" s="17">
        <f t="shared" si="16"/>
        <v>3381</v>
      </c>
      <c r="Q486" t="str">
        <f>A486&amp;"-"&amp;B486&amp;"-"&amp;D486</f>
        <v>FEBRUARI-CVA-L1</v>
      </c>
    </row>
    <row r="487" spans="1:17" x14ac:dyDescent="0.25">
      <c r="A487" t="s">
        <v>392</v>
      </c>
      <c r="B487" s="13" t="s">
        <v>23</v>
      </c>
      <c r="C487" s="13" t="s">
        <v>201</v>
      </c>
      <c r="D487" s="14" t="s">
        <v>44</v>
      </c>
      <c r="E487" s="13" t="s">
        <v>191</v>
      </c>
      <c r="F487" s="13" t="s">
        <v>442</v>
      </c>
      <c r="G487" s="13">
        <v>0.7599999999999999</v>
      </c>
      <c r="H487" s="15">
        <v>3255</v>
      </c>
      <c r="I487" s="16">
        <v>2473.8000000000002</v>
      </c>
      <c r="J487" s="16">
        <v>2886</v>
      </c>
      <c r="K487" s="16">
        <v>-412.2</v>
      </c>
      <c r="L487" s="13">
        <v>1.45</v>
      </c>
      <c r="M487" s="13"/>
      <c r="N487" s="17">
        <f t="shared" si="17"/>
        <v>4719.75</v>
      </c>
      <c r="O487" s="17">
        <f t="shared" si="17"/>
        <v>0</v>
      </c>
      <c r="P487" s="17">
        <f t="shared" si="16"/>
        <v>4719.75</v>
      </c>
      <c r="Q487" t="str">
        <f>A487&amp;"-"&amp;B487&amp;"-"&amp;D487</f>
        <v>FEBRUARI-CVA-L1</v>
      </c>
    </row>
    <row r="488" spans="1:17" x14ac:dyDescent="0.25">
      <c r="A488" t="s">
        <v>392</v>
      </c>
      <c r="B488" s="13" t="s">
        <v>23</v>
      </c>
      <c r="C488" s="13" t="s">
        <v>201</v>
      </c>
      <c r="D488" s="14" t="s">
        <v>44</v>
      </c>
      <c r="E488" s="13" t="s">
        <v>142</v>
      </c>
      <c r="F488" s="13" t="s">
        <v>202</v>
      </c>
      <c r="G488" s="13">
        <v>1.1000000000000001</v>
      </c>
      <c r="H488" s="15">
        <v>2831</v>
      </c>
      <c r="I488" s="16">
        <v>3114.1000000000004</v>
      </c>
      <c r="J488" s="16">
        <v>2111.908280753968</v>
      </c>
      <c r="K488" s="16">
        <v>1002.1917192460319</v>
      </c>
      <c r="L488" s="13">
        <v>2.2000000000000002</v>
      </c>
      <c r="M488" s="13"/>
      <c r="N488" s="17">
        <f t="shared" si="17"/>
        <v>6228.2000000000007</v>
      </c>
      <c r="O488" s="17">
        <f t="shared" si="17"/>
        <v>0</v>
      </c>
      <c r="P488" s="17">
        <f t="shared" si="16"/>
        <v>6228.2000000000007</v>
      </c>
      <c r="Q488" t="str">
        <f>A488&amp;"-"&amp;B488&amp;"-"&amp;D488</f>
        <v>FEBRUARI-CVA-L1</v>
      </c>
    </row>
    <row r="489" spans="1:17" x14ac:dyDescent="0.25">
      <c r="A489" t="s">
        <v>392</v>
      </c>
      <c r="B489" s="13" t="s">
        <v>23</v>
      </c>
      <c r="C489" s="13" t="s">
        <v>201</v>
      </c>
      <c r="D489" s="14" t="s">
        <v>44</v>
      </c>
      <c r="E489" s="13" t="s">
        <v>142</v>
      </c>
      <c r="F489" s="13" t="s">
        <v>204</v>
      </c>
      <c r="G489" s="13">
        <v>1.1000000000000001</v>
      </c>
      <c r="H489" s="15">
        <v>878</v>
      </c>
      <c r="I489" s="16">
        <v>965.8</v>
      </c>
      <c r="J489" s="16">
        <v>636.66171924603168</v>
      </c>
      <c r="K489" s="16">
        <v>329.13828075396827</v>
      </c>
      <c r="L489" s="13">
        <v>2</v>
      </c>
      <c r="M489" s="13"/>
      <c r="N489" s="17">
        <f t="shared" si="17"/>
        <v>1756</v>
      </c>
      <c r="O489" s="17">
        <f t="shared" si="17"/>
        <v>0</v>
      </c>
      <c r="P489" s="17">
        <f t="shared" si="16"/>
        <v>1756</v>
      </c>
      <c r="Q489" t="str">
        <f>A489&amp;"-"&amp;B489&amp;"-"&amp;D489</f>
        <v>FEBRUARI-CVA-L1</v>
      </c>
    </row>
    <row r="490" spans="1:17" x14ac:dyDescent="0.25">
      <c r="A490" t="s">
        <v>392</v>
      </c>
      <c r="B490" s="13" t="s">
        <v>23</v>
      </c>
      <c r="C490" s="13" t="s">
        <v>201</v>
      </c>
      <c r="D490" s="14" t="s">
        <v>301</v>
      </c>
      <c r="E490" s="13" t="s">
        <v>191</v>
      </c>
      <c r="F490" s="13" t="s">
        <v>441</v>
      </c>
      <c r="G490" s="13">
        <v>0.42</v>
      </c>
      <c r="H490" s="15">
        <v>4658</v>
      </c>
      <c r="I490" s="16">
        <v>1956.3600000000001</v>
      </c>
      <c r="J490" s="16">
        <v>5523.0212987012983</v>
      </c>
      <c r="K490" s="16">
        <v>-3566.6612987012982</v>
      </c>
      <c r="L490" s="13">
        <v>1.05</v>
      </c>
      <c r="M490" s="13"/>
      <c r="N490" s="17">
        <f t="shared" si="17"/>
        <v>4890.9000000000005</v>
      </c>
      <c r="O490" s="17">
        <f t="shared" si="17"/>
        <v>0</v>
      </c>
      <c r="P490" s="17">
        <f t="shared" si="16"/>
        <v>4890.9000000000005</v>
      </c>
      <c r="Q490" t="str">
        <f>A490&amp;"-"&amp;B490&amp;"-"&amp;D490</f>
        <v>FEBRUARI-CVA-L10</v>
      </c>
    </row>
    <row r="491" spans="1:17" x14ac:dyDescent="0.25">
      <c r="A491" t="s">
        <v>392</v>
      </c>
      <c r="B491" s="13" t="s">
        <v>23</v>
      </c>
      <c r="C491" s="13" t="s">
        <v>201</v>
      </c>
      <c r="D491" s="14" t="s">
        <v>301</v>
      </c>
      <c r="E491" s="13" t="s">
        <v>191</v>
      </c>
      <c r="F491" s="13" t="s">
        <v>443</v>
      </c>
      <c r="G491" s="13">
        <v>0.38</v>
      </c>
      <c r="H491" s="15">
        <v>1260</v>
      </c>
      <c r="I491" s="16">
        <v>478.79999999999995</v>
      </c>
      <c r="J491" s="16">
        <v>962</v>
      </c>
      <c r="K491" s="16">
        <v>-483.20000000000005</v>
      </c>
      <c r="L491" s="13">
        <v>1.1499999999999999</v>
      </c>
      <c r="M491" s="13"/>
      <c r="N491" s="17">
        <f t="shared" si="17"/>
        <v>1449</v>
      </c>
      <c r="O491" s="17">
        <f t="shared" si="17"/>
        <v>0</v>
      </c>
      <c r="P491" s="17">
        <f t="shared" si="16"/>
        <v>1449</v>
      </c>
      <c r="Q491" t="str">
        <f>A491&amp;"-"&amp;B491&amp;"-"&amp;D491</f>
        <v>FEBRUARI-CVA-L10</v>
      </c>
    </row>
    <row r="492" spans="1:17" x14ac:dyDescent="0.25">
      <c r="A492" t="s">
        <v>392</v>
      </c>
      <c r="B492" s="13" t="s">
        <v>23</v>
      </c>
      <c r="C492" s="13" t="s">
        <v>201</v>
      </c>
      <c r="D492" s="14" t="s">
        <v>301</v>
      </c>
      <c r="E492" s="13" t="s">
        <v>191</v>
      </c>
      <c r="F492" s="13" t="s">
        <v>444</v>
      </c>
      <c r="G492" s="13">
        <v>0.42000000000000004</v>
      </c>
      <c r="H492" s="15">
        <v>2413</v>
      </c>
      <c r="I492" s="16">
        <v>1013.46</v>
      </c>
      <c r="J492" s="16">
        <v>2267.5699999999997</v>
      </c>
      <c r="K492" s="16">
        <v>-1254.1100000000001</v>
      </c>
      <c r="L492" s="13">
        <v>1.05</v>
      </c>
      <c r="M492" s="13"/>
      <c r="N492" s="17">
        <f t="shared" si="17"/>
        <v>2533.65</v>
      </c>
      <c r="O492" s="17">
        <f t="shared" si="17"/>
        <v>0</v>
      </c>
      <c r="P492" s="17">
        <f t="shared" si="16"/>
        <v>2533.65</v>
      </c>
      <c r="Q492" t="str">
        <f>A492&amp;"-"&amp;B492&amp;"-"&amp;D492</f>
        <v>FEBRUARI-CVA-L10</v>
      </c>
    </row>
    <row r="493" spans="1:17" x14ac:dyDescent="0.25">
      <c r="A493" t="s">
        <v>392</v>
      </c>
      <c r="B493" s="13" t="s">
        <v>23</v>
      </c>
      <c r="C493" s="13" t="s">
        <v>201</v>
      </c>
      <c r="D493" s="14" t="s">
        <v>50</v>
      </c>
      <c r="E493" s="13" t="s">
        <v>191</v>
      </c>
      <c r="F493" s="13" t="s">
        <v>439</v>
      </c>
      <c r="G493" s="13">
        <v>0.45</v>
      </c>
      <c r="H493" s="15">
        <v>3590</v>
      </c>
      <c r="I493" s="16">
        <v>1615.5</v>
      </c>
      <c r="J493" s="16">
        <v>974.45307443365698</v>
      </c>
      <c r="K493" s="16">
        <v>641.04692556634302</v>
      </c>
      <c r="L493" s="13">
        <v>1.1399999999999999</v>
      </c>
      <c r="M493" s="13"/>
      <c r="N493" s="17">
        <f t="shared" si="17"/>
        <v>4092.5999999999995</v>
      </c>
      <c r="O493" s="17">
        <f t="shared" si="17"/>
        <v>0</v>
      </c>
      <c r="P493" s="17">
        <f t="shared" si="16"/>
        <v>4092.5999999999995</v>
      </c>
      <c r="Q493" t="str">
        <f>A493&amp;"-"&amp;B493&amp;"-"&amp;D493</f>
        <v>FEBRUARI-CVA-L2</v>
      </c>
    </row>
    <row r="494" spans="1:17" x14ac:dyDescent="0.25">
      <c r="A494" t="s">
        <v>392</v>
      </c>
      <c r="B494" s="13" t="s">
        <v>23</v>
      </c>
      <c r="C494" s="13" t="s">
        <v>201</v>
      </c>
      <c r="D494" s="14" t="s">
        <v>50</v>
      </c>
      <c r="E494" s="13" t="s">
        <v>191</v>
      </c>
      <c r="F494" s="13" t="s">
        <v>440</v>
      </c>
      <c r="G494" s="13">
        <v>0.42</v>
      </c>
      <c r="H494" s="15">
        <v>8920</v>
      </c>
      <c r="I494" s="16">
        <v>3746.3999999999996</v>
      </c>
      <c r="J494" s="16">
        <v>2736.1169255663426</v>
      </c>
      <c r="K494" s="16">
        <v>1010.2830744336571</v>
      </c>
      <c r="L494" s="13">
        <v>1.05</v>
      </c>
      <c r="M494" s="13"/>
      <c r="N494" s="17">
        <f t="shared" si="17"/>
        <v>9366</v>
      </c>
      <c r="O494" s="17">
        <f t="shared" si="17"/>
        <v>0</v>
      </c>
      <c r="P494" s="17">
        <f t="shared" si="16"/>
        <v>9366</v>
      </c>
      <c r="Q494" t="str">
        <f>A494&amp;"-"&amp;B494&amp;"-"&amp;D494</f>
        <v>FEBRUARI-CVA-L2</v>
      </c>
    </row>
    <row r="495" spans="1:17" x14ac:dyDescent="0.25">
      <c r="A495" t="s">
        <v>392</v>
      </c>
      <c r="B495" s="13" t="s">
        <v>23</v>
      </c>
      <c r="C495" s="13" t="s">
        <v>201</v>
      </c>
      <c r="D495" s="14" t="s">
        <v>50</v>
      </c>
      <c r="E495" s="13" t="s">
        <v>191</v>
      </c>
      <c r="F495" s="13" t="s">
        <v>441</v>
      </c>
      <c r="G495" s="13">
        <v>0.42</v>
      </c>
      <c r="H495" s="15">
        <v>2703</v>
      </c>
      <c r="I495" s="16">
        <v>1135.26</v>
      </c>
      <c r="J495" s="16">
        <v>1443</v>
      </c>
      <c r="K495" s="16">
        <v>-307.74</v>
      </c>
      <c r="L495" s="13">
        <v>1.05</v>
      </c>
      <c r="M495" s="13"/>
      <c r="N495" s="17">
        <f t="shared" si="17"/>
        <v>2838.15</v>
      </c>
      <c r="O495" s="17">
        <f t="shared" si="17"/>
        <v>0</v>
      </c>
      <c r="P495" s="17">
        <f t="shared" si="16"/>
        <v>2838.15</v>
      </c>
      <c r="Q495" t="str">
        <f>A495&amp;"-"&amp;B495&amp;"-"&amp;D495</f>
        <v>FEBRUARI-CVA-L2</v>
      </c>
    </row>
    <row r="496" spans="1:17" x14ac:dyDescent="0.25">
      <c r="A496" t="s">
        <v>392</v>
      </c>
      <c r="B496" s="13" t="s">
        <v>23</v>
      </c>
      <c r="C496" s="13" t="s">
        <v>201</v>
      </c>
      <c r="D496" s="14" t="s">
        <v>50</v>
      </c>
      <c r="E496" s="13" t="s">
        <v>191</v>
      </c>
      <c r="F496" s="13" t="s">
        <v>442</v>
      </c>
      <c r="G496" s="13">
        <v>0.76</v>
      </c>
      <c r="H496" s="15">
        <v>2615</v>
      </c>
      <c r="I496" s="16">
        <v>1987.4</v>
      </c>
      <c r="J496" s="16">
        <v>2405</v>
      </c>
      <c r="K496" s="16">
        <v>-417.6</v>
      </c>
      <c r="L496" s="13">
        <v>1.45</v>
      </c>
      <c r="M496" s="13"/>
      <c r="N496" s="17">
        <f t="shared" si="17"/>
        <v>3791.75</v>
      </c>
      <c r="O496" s="17">
        <f t="shared" si="17"/>
        <v>0</v>
      </c>
      <c r="P496" s="17">
        <f t="shared" si="16"/>
        <v>3791.75</v>
      </c>
      <c r="Q496" t="str">
        <f>A496&amp;"-"&amp;B496&amp;"-"&amp;D496</f>
        <v>FEBRUARI-CVA-L2</v>
      </c>
    </row>
    <row r="497" spans="1:17" x14ac:dyDescent="0.25">
      <c r="A497" t="s">
        <v>392</v>
      </c>
      <c r="B497" s="13" t="s">
        <v>23</v>
      </c>
      <c r="C497" s="13" t="s">
        <v>201</v>
      </c>
      <c r="D497" s="14" t="s">
        <v>50</v>
      </c>
      <c r="E497" s="13" t="s">
        <v>142</v>
      </c>
      <c r="F497" s="13" t="s">
        <v>202</v>
      </c>
      <c r="G497" s="13">
        <v>1.1000000000000001</v>
      </c>
      <c r="H497" s="15">
        <v>2972</v>
      </c>
      <c r="I497" s="16">
        <v>3269.2</v>
      </c>
      <c r="J497" s="16">
        <v>2405</v>
      </c>
      <c r="K497" s="16">
        <v>864.2</v>
      </c>
      <c r="L497" s="13">
        <v>2.2000000000000002</v>
      </c>
      <c r="M497" s="13"/>
      <c r="N497" s="17">
        <f t="shared" si="17"/>
        <v>6538.4000000000005</v>
      </c>
      <c r="O497" s="17">
        <f t="shared" si="17"/>
        <v>0</v>
      </c>
      <c r="P497" s="17">
        <f t="shared" si="16"/>
        <v>6538.4000000000005</v>
      </c>
      <c r="Q497" t="str">
        <f>A497&amp;"-"&amp;B497&amp;"-"&amp;D497</f>
        <v>FEBRUARI-CVA-L2</v>
      </c>
    </row>
    <row r="498" spans="1:17" x14ac:dyDescent="0.25">
      <c r="A498" t="s">
        <v>392</v>
      </c>
      <c r="B498" s="13" t="s">
        <v>23</v>
      </c>
      <c r="C498" s="13" t="s">
        <v>201</v>
      </c>
      <c r="D498" s="14" t="s">
        <v>50</v>
      </c>
      <c r="E498" s="13" t="s">
        <v>142</v>
      </c>
      <c r="F498" s="13" t="s">
        <v>204</v>
      </c>
      <c r="G498" s="13">
        <v>1.1000000000000001</v>
      </c>
      <c r="H498" s="15">
        <v>630</v>
      </c>
      <c r="I498" s="16">
        <v>693</v>
      </c>
      <c r="J498" s="16">
        <v>343.57</v>
      </c>
      <c r="K498" s="16">
        <v>349.43</v>
      </c>
      <c r="L498" s="13">
        <v>2</v>
      </c>
      <c r="M498" s="13"/>
      <c r="N498" s="17">
        <f t="shared" si="17"/>
        <v>1260</v>
      </c>
      <c r="O498" s="17">
        <f t="shared" si="17"/>
        <v>0</v>
      </c>
      <c r="P498" s="17">
        <f t="shared" si="16"/>
        <v>1260</v>
      </c>
      <c r="Q498" t="str">
        <f>A498&amp;"-"&amp;B498&amp;"-"&amp;D498</f>
        <v>FEBRUARI-CVA-L2</v>
      </c>
    </row>
    <row r="499" spans="1:17" x14ac:dyDescent="0.25">
      <c r="A499" t="s">
        <v>392</v>
      </c>
      <c r="B499" s="13" t="s">
        <v>23</v>
      </c>
      <c r="C499" s="13" t="s">
        <v>201</v>
      </c>
      <c r="D499" s="14" t="s">
        <v>56</v>
      </c>
      <c r="E499" s="13" t="s">
        <v>191</v>
      </c>
      <c r="F499" s="13" t="s">
        <v>445</v>
      </c>
      <c r="G499" s="13">
        <v>0.45</v>
      </c>
      <c r="H499" s="15">
        <v>4800</v>
      </c>
      <c r="I499" s="16">
        <v>2160</v>
      </c>
      <c r="J499" s="16">
        <v>1443</v>
      </c>
      <c r="K499" s="16">
        <v>717</v>
      </c>
      <c r="L499" s="13">
        <v>1.1000000000000001</v>
      </c>
      <c r="M499" s="13"/>
      <c r="N499" s="17">
        <f t="shared" si="17"/>
        <v>5280</v>
      </c>
      <c r="O499" s="17">
        <f t="shared" si="17"/>
        <v>0</v>
      </c>
      <c r="P499" s="17">
        <f t="shared" si="16"/>
        <v>5280</v>
      </c>
      <c r="Q499" t="str">
        <f>A499&amp;"-"&amp;B499&amp;"-"&amp;D499</f>
        <v>FEBRUARI-CVA-L3</v>
      </c>
    </row>
    <row r="500" spans="1:17" x14ac:dyDescent="0.25">
      <c r="A500" t="s">
        <v>392</v>
      </c>
      <c r="B500" s="13" t="s">
        <v>23</v>
      </c>
      <c r="C500" s="13" t="s">
        <v>201</v>
      </c>
      <c r="D500" s="14" t="s">
        <v>56</v>
      </c>
      <c r="E500" s="13" t="s">
        <v>191</v>
      </c>
      <c r="F500" s="13" t="s">
        <v>446</v>
      </c>
      <c r="G500" s="13">
        <v>0.42</v>
      </c>
      <c r="H500" s="15">
        <v>7610</v>
      </c>
      <c r="I500" s="16">
        <v>3196.2</v>
      </c>
      <c r="J500" s="16">
        <v>2411.447355532528</v>
      </c>
      <c r="K500" s="16">
        <v>784.75264446747201</v>
      </c>
      <c r="L500" s="13">
        <v>1.05</v>
      </c>
      <c r="M500" s="13"/>
      <c r="N500" s="17">
        <f t="shared" si="17"/>
        <v>7990.5</v>
      </c>
      <c r="O500" s="17">
        <f t="shared" si="17"/>
        <v>0</v>
      </c>
      <c r="P500" s="17">
        <f t="shared" si="16"/>
        <v>7990.5</v>
      </c>
      <c r="Q500" t="str">
        <f>A500&amp;"-"&amp;B500&amp;"-"&amp;D500</f>
        <v>FEBRUARI-CVA-L3</v>
      </c>
    </row>
    <row r="501" spans="1:17" x14ac:dyDescent="0.25">
      <c r="A501" t="s">
        <v>392</v>
      </c>
      <c r="B501" s="13" t="s">
        <v>23</v>
      </c>
      <c r="C501" s="13" t="s">
        <v>201</v>
      </c>
      <c r="D501" s="14" t="s">
        <v>56</v>
      </c>
      <c r="E501" s="13" t="s">
        <v>191</v>
      </c>
      <c r="F501" s="13" t="s">
        <v>444</v>
      </c>
      <c r="G501" s="13">
        <v>0.42</v>
      </c>
      <c r="H501" s="15">
        <v>6670</v>
      </c>
      <c r="I501" s="16">
        <v>2801.4</v>
      </c>
      <c r="J501" s="16">
        <v>1786.57</v>
      </c>
      <c r="K501" s="16">
        <v>1014.83</v>
      </c>
      <c r="L501" s="13">
        <v>1.05</v>
      </c>
      <c r="M501" s="13"/>
      <c r="N501" s="17">
        <f t="shared" si="17"/>
        <v>7003.5</v>
      </c>
      <c r="O501" s="17">
        <f t="shared" si="17"/>
        <v>0</v>
      </c>
      <c r="P501" s="17">
        <f t="shared" si="16"/>
        <v>7003.5</v>
      </c>
      <c r="Q501" t="str">
        <f>A501&amp;"-"&amp;B501&amp;"-"&amp;D501</f>
        <v>FEBRUARI-CVA-L3</v>
      </c>
    </row>
    <row r="502" spans="1:17" x14ac:dyDescent="0.25">
      <c r="A502" t="s">
        <v>392</v>
      </c>
      <c r="B502" s="13" t="s">
        <v>23</v>
      </c>
      <c r="C502" s="13" t="s">
        <v>201</v>
      </c>
      <c r="D502" s="14" t="s">
        <v>56</v>
      </c>
      <c r="E502" s="13" t="s">
        <v>124</v>
      </c>
      <c r="F502" s="13" t="s">
        <v>209</v>
      </c>
      <c r="G502" s="13">
        <v>0.94</v>
      </c>
      <c r="H502" s="15">
        <v>2467</v>
      </c>
      <c r="I502" s="16">
        <v>2318.98</v>
      </c>
      <c r="J502" s="16">
        <v>1898.7925521712593</v>
      </c>
      <c r="K502" s="16">
        <v>420.18744782874074</v>
      </c>
      <c r="L502" s="13">
        <v>1.85</v>
      </c>
      <c r="M502" s="13"/>
      <c r="N502" s="17">
        <f t="shared" si="17"/>
        <v>4563.95</v>
      </c>
      <c r="O502" s="17">
        <f t="shared" si="17"/>
        <v>0</v>
      </c>
      <c r="P502" s="17">
        <f t="shared" si="16"/>
        <v>4563.95</v>
      </c>
      <c r="Q502" t="str">
        <f>A502&amp;"-"&amp;B502&amp;"-"&amp;D502</f>
        <v>FEBRUARI-CVA-L3</v>
      </c>
    </row>
    <row r="503" spans="1:17" x14ac:dyDescent="0.25">
      <c r="A503" t="s">
        <v>392</v>
      </c>
      <c r="B503" s="13" t="s">
        <v>23</v>
      </c>
      <c r="C503" s="13" t="s">
        <v>201</v>
      </c>
      <c r="D503" s="14" t="s">
        <v>56</v>
      </c>
      <c r="E503" s="13" t="s">
        <v>124</v>
      </c>
      <c r="F503" s="13" t="s">
        <v>210</v>
      </c>
      <c r="G503" s="13">
        <v>0.93999999999999972</v>
      </c>
      <c r="H503" s="15">
        <v>2560</v>
      </c>
      <c r="I503" s="16">
        <v>2406.4</v>
      </c>
      <c r="J503" s="16">
        <v>2292.7774478287406</v>
      </c>
      <c r="K503" s="16">
        <v>113.62255217125922</v>
      </c>
      <c r="L503" s="13">
        <v>1.85</v>
      </c>
      <c r="M503" s="13"/>
      <c r="N503" s="17">
        <f t="shared" si="17"/>
        <v>4736</v>
      </c>
      <c r="O503" s="17">
        <f t="shared" si="17"/>
        <v>0</v>
      </c>
      <c r="P503" s="17">
        <f t="shared" si="16"/>
        <v>4736</v>
      </c>
      <c r="Q503" t="str">
        <f>A503&amp;"-"&amp;B503&amp;"-"&amp;D503</f>
        <v>FEBRUARI-CVA-L3</v>
      </c>
    </row>
    <row r="504" spans="1:17" x14ac:dyDescent="0.25">
      <c r="A504" t="s">
        <v>392</v>
      </c>
      <c r="B504" s="13" t="s">
        <v>23</v>
      </c>
      <c r="C504" s="13" t="s">
        <v>201</v>
      </c>
      <c r="D504" s="14" t="s">
        <v>158</v>
      </c>
      <c r="E504" s="13" t="s">
        <v>191</v>
      </c>
      <c r="F504" s="13" t="s">
        <v>445</v>
      </c>
      <c r="G504" s="13">
        <v>0.45</v>
      </c>
      <c r="H504" s="15">
        <v>3560</v>
      </c>
      <c r="I504" s="16">
        <v>1602</v>
      </c>
      <c r="J504" s="16">
        <v>962</v>
      </c>
      <c r="K504" s="16">
        <v>640</v>
      </c>
      <c r="L504" s="13">
        <v>1.1000000000000001</v>
      </c>
      <c r="M504" s="13"/>
      <c r="N504" s="17">
        <f t="shared" si="17"/>
        <v>3916.0000000000005</v>
      </c>
      <c r="O504" s="17">
        <f t="shared" si="17"/>
        <v>0</v>
      </c>
      <c r="P504" s="17">
        <f t="shared" si="16"/>
        <v>3916.0000000000005</v>
      </c>
      <c r="Q504" t="str">
        <f>A504&amp;"-"&amp;B504&amp;"-"&amp;D504</f>
        <v>FEBRUARI-CVA-L4</v>
      </c>
    </row>
    <row r="505" spans="1:17" x14ac:dyDescent="0.25">
      <c r="A505" t="s">
        <v>392</v>
      </c>
      <c r="B505" s="13" t="s">
        <v>23</v>
      </c>
      <c r="C505" s="13" t="s">
        <v>201</v>
      </c>
      <c r="D505" s="14" t="s">
        <v>158</v>
      </c>
      <c r="E505" s="13" t="s">
        <v>191</v>
      </c>
      <c r="F505" s="13" t="s">
        <v>446</v>
      </c>
      <c r="G505" s="13">
        <v>0.42000000000000004</v>
      </c>
      <c r="H505" s="15">
        <v>6921</v>
      </c>
      <c r="I505" s="16">
        <v>2906.82</v>
      </c>
      <c r="J505" s="16">
        <v>2125.0529100529102</v>
      </c>
      <c r="K505" s="16">
        <v>781.76708994708997</v>
      </c>
      <c r="L505" s="13">
        <v>1.05</v>
      </c>
      <c r="M505" s="13"/>
      <c r="N505" s="17">
        <f t="shared" si="17"/>
        <v>7267.05</v>
      </c>
      <c r="O505" s="17">
        <f t="shared" si="17"/>
        <v>0</v>
      </c>
      <c r="P505" s="17">
        <f t="shared" si="16"/>
        <v>7267.05</v>
      </c>
      <c r="Q505" t="str">
        <f>A505&amp;"-"&amp;B505&amp;"-"&amp;D505</f>
        <v>FEBRUARI-CVA-L4</v>
      </c>
    </row>
    <row r="506" spans="1:17" x14ac:dyDescent="0.25">
      <c r="A506" t="s">
        <v>392</v>
      </c>
      <c r="B506" s="13" t="s">
        <v>23</v>
      </c>
      <c r="C506" s="13" t="s">
        <v>201</v>
      </c>
      <c r="D506" s="14" t="s">
        <v>158</v>
      </c>
      <c r="E506" s="13" t="s">
        <v>191</v>
      </c>
      <c r="F506" s="13" t="s">
        <v>444</v>
      </c>
      <c r="G506" s="13">
        <v>0.42</v>
      </c>
      <c r="H506" s="15">
        <v>8290</v>
      </c>
      <c r="I506" s="16">
        <v>3481.7999999999997</v>
      </c>
      <c r="J506" s="16">
        <v>2547.51708994709</v>
      </c>
      <c r="K506" s="16">
        <v>934.28291005290998</v>
      </c>
      <c r="L506" s="13">
        <v>1.05</v>
      </c>
      <c r="M506" s="13"/>
      <c r="N506" s="17">
        <f t="shared" si="17"/>
        <v>8704.5</v>
      </c>
      <c r="O506" s="17">
        <f t="shared" si="17"/>
        <v>0</v>
      </c>
      <c r="P506" s="17">
        <f t="shared" si="16"/>
        <v>8704.5</v>
      </c>
      <c r="Q506" t="str">
        <f>A506&amp;"-"&amp;B506&amp;"-"&amp;D506</f>
        <v>FEBRUARI-CVA-L4</v>
      </c>
    </row>
    <row r="507" spans="1:17" x14ac:dyDescent="0.25">
      <c r="A507" t="s">
        <v>392</v>
      </c>
      <c r="B507" s="13" t="s">
        <v>23</v>
      </c>
      <c r="C507" s="13" t="s">
        <v>201</v>
      </c>
      <c r="D507" s="14" t="s">
        <v>158</v>
      </c>
      <c r="E507" s="13" t="s">
        <v>124</v>
      </c>
      <c r="F507" s="13" t="s">
        <v>209</v>
      </c>
      <c r="G507" s="13">
        <v>0.94</v>
      </c>
      <c r="H507" s="15">
        <v>2161</v>
      </c>
      <c r="I507" s="16">
        <v>2031.34</v>
      </c>
      <c r="J507" s="16">
        <v>1585.0402684563758</v>
      </c>
      <c r="K507" s="16">
        <v>446.29973154362415</v>
      </c>
      <c r="L507" s="13">
        <v>1.85</v>
      </c>
      <c r="M507" s="13"/>
      <c r="N507" s="17">
        <f t="shared" si="17"/>
        <v>3997.8500000000004</v>
      </c>
      <c r="O507" s="17">
        <f t="shared" si="17"/>
        <v>0</v>
      </c>
      <c r="P507" s="17">
        <f t="shared" si="16"/>
        <v>3997.8500000000004</v>
      </c>
      <c r="Q507" t="str">
        <f>A507&amp;"-"&amp;B507&amp;"-"&amp;D507</f>
        <v>FEBRUARI-CVA-L4</v>
      </c>
    </row>
    <row r="508" spans="1:17" x14ac:dyDescent="0.25">
      <c r="A508" t="s">
        <v>392</v>
      </c>
      <c r="B508" s="13" t="s">
        <v>23</v>
      </c>
      <c r="C508" s="13" t="s">
        <v>201</v>
      </c>
      <c r="D508" s="14" t="s">
        <v>158</v>
      </c>
      <c r="E508" s="13" t="s">
        <v>124</v>
      </c>
      <c r="F508" s="13" t="s">
        <v>210</v>
      </c>
      <c r="G508" s="13">
        <v>0.93999999999999984</v>
      </c>
      <c r="H508" s="15">
        <v>2655</v>
      </c>
      <c r="I508" s="16">
        <v>2495.6999999999998</v>
      </c>
      <c r="J508" s="16">
        <v>2267.5699999999997</v>
      </c>
      <c r="K508" s="16">
        <v>228.13</v>
      </c>
      <c r="L508" s="13">
        <v>1.85</v>
      </c>
      <c r="M508" s="13"/>
      <c r="N508" s="17">
        <f t="shared" si="17"/>
        <v>4911.75</v>
      </c>
      <c r="O508" s="17">
        <f t="shared" si="17"/>
        <v>0</v>
      </c>
      <c r="P508" s="17">
        <f t="shared" si="16"/>
        <v>4911.75</v>
      </c>
      <c r="Q508" t="str">
        <f>A508&amp;"-"&amp;B508&amp;"-"&amp;D508</f>
        <v>FEBRUARI-CVA-L4</v>
      </c>
    </row>
    <row r="509" spans="1:17" x14ac:dyDescent="0.25">
      <c r="A509" t="s">
        <v>392</v>
      </c>
      <c r="B509" s="13" t="s">
        <v>23</v>
      </c>
      <c r="C509" s="13" t="s">
        <v>201</v>
      </c>
      <c r="D509" s="14" t="s">
        <v>158</v>
      </c>
      <c r="E509" s="13" t="s">
        <v>206</v>
      </c>
      <c r="F509" s="13" t="s">
        <v>207</v>
      </c>
      <c r="G509" s="13">
        <v>1.44</v>
      </c>
      <c r="H509" s="15">
        <v>371</v>
      </c>
      <c r="I509" s="16">
        <v>534.24</v>
      </c>
      <c r="J509" s="16">
        <v>481</v>
      </c>
      <c r="K509" s="16">
        <v>53.240000000000009</v>
      </c>
      <c r="L509" s="13">
        <v>3.05</v>
      </c>
      <c r="M509" s="13"/>
      <c r="N509" s="17">
        <f t="shared" si="17"/>
        <v>1131.55</v>
      </c>
      <c r="O509" s="17">
        <f t="shared" si="17"/>
        <v>0</v>
      </c>
      <c r="P509" s="17">
        <f t="shared" si="16"/>
        <v>1131.55</v>
      </c>
      <c r="Q509" t="str">
        <f>A509&amp;"-"&amp;B509&amp;"-"&amp;D509</f>
        <v>FEBRUARI-CVA-L4</v>
      </c>
    </row>
    <row r="510" spans="1:17" x14ac:dyDescent="0.25">
      <c r="A510" t="s">
        <v>392</v>
      </c>
      <c r="B510" s="13" t="s">
        <v>23</v>
      </c>
      <c r="C510" s="13" t="s">
        <v>201</v>
      </c>
      <c r="D510" s="14" t="s">
        <v>160</v>
      </c>
      <c r="E510" s="13" t="s">
        <v>191</v>
      </c>
      <c r="F510" s="13" t="s">
        <v>439</v>
      </c>
      <c r="G510" s="13">
        <v>0.45</v>
      </c>
      <c r="H510" s="15">
        <v>2460</v>
      </c>
      <c r="I510" s="16">
        <v>1107</v>
      </c>
      <c r="J510" s="16">
        <v>944.90862944162438</v>
      </c>
      <c r="K510" s="16">
        <v>162.09137055837562</v>
      </c>
      <c r="L510" s="13">
        <v>1.1399999999999999</v>
      </c>
      <c r="M510" s="13"/>
      <c r="N510" s="17">
        <f t="shared" si="17"/>
        <v>2804.3999999999996</v>
      </c>
      <c r="O510" s="17">
        <f t="shared" si="17"/>
        <v>0</v>
      </c>
      <c r="P510" s="17">
        <f t="shared" si="16"/>
        <v>2804.3999999999996</v>
      </c>
      <c r="Q510" t="str">
        <f>A510&amp;"-"&amp;B510&amp;"-"&amp;D510</f>
        <v>FEBRUARI-CVA-L5</v>
      </c>
    </row>
    <row r="511" spans="1:17" x14ac:dyDescent="0.25">
      <c r="A511" t="s">
        <v>392</v>
      </c>
      <c r="B511" s="13" t="s">
        <v>23</v>
      </c>
      <c r="C511" s="13" t="s">
        <v>201</v>
      </c>
      <c r="D511" s="14" t="s">
        <v>160</v>
      </c>
      <c r="E511" s="13" t="s">
        <v>124</v>
      </c>
      <c r="F511" s="13" t="s">
        <v>209</v>
      </c>
      <c r="G511" s="13">
        <v>0.94000000000000006</v>
      </c>
      <c r="H511" s="15">
        <v>9703</v>
      </c>
      <c r="I511" s="16">
        <v>9120.82</v>
      </c>
      <c r="J511" s="16">
        <v>7093.514460145655</v>
      </c>
      <c r="K511" s="16">
        <v>2027.3055398543434</v>
      </c>
      <c r="L511" s="13">
        <v>1.85</v>
      </c>
      <c r="M511" s="13"/>
      <c r="N511" s="17">
        <f t="shared" si="17"/>
        <v>17950.55</v>
      </c>
      <c r="O511" s="17">
        <f t="shared" si="17"/>
        <v>0</v>
      </c>
      <c r="P511" s="17">
        <f t="shared" si="16"/>
        <v>17950.55</v>
      </c>
      <c r="Q511" t="str">
        <f>A511&amp;"-"&amp;B511&amp;"-"&amp;D511</f>
        <v>FEBRUARI-CVA-L5</v>
      </c>
    </row>
    <row r="512" spans="1:17" x14ac:dyDescent="0.25">
      <c r="A512" t="s">
        <v>392</v>
      </c>
      <c r="B512" s="13" t="s">
        <v>23</v>
      </c>
      <c r="C512" s="13" t="s">
        <v>201</v>
      </c>
      <c r="D512" s="14" t="s">
        <v>160</v>
      </c>
      <c r="E512" s="13" t="s">
        <v>124</v>
      </c>
      <c r="F512" s="13" t="s">
        <v>210</v>
      </c>
      <c r="G512" s="13">
        <v>0.93999999999999972</v>
      </c>
      <c r="H512" s="15">
        <v>1738</v>
      </c>
      <c r="I512" s="16">
        <v>1633.72</v>
      </c>
      <c r="J512" s="16">
        <v>1306.7169104127192</v>
      </c>
      <c r="K512" s="16">
        <v>327.0030895872805</v>
      </c>
      <c r="L512" s="13">
        <v>1.85</v>
      </c>
      <c r="M512" s="13"/>
      <c r="N512" s="17">
        <f t="shared" si="17"/>
        <v>3215.3</v>
      </c>
      <c r="O512" s="17">
        <f t="shared" si="17"/>
        <v>0</v>
      </c>
      <c r="P512" s="17">
        <f t="shared" si="16"/>
        <v>3215.3</v>
      </c>
      <c r="Q512" t="str">
        <f>A512&amp;"-"&amp;B512&amp;"-"&amp;D512</f>
        <v>FEBRUARI-CVA-L5</v>
      </c>
    </row>
    <row r="513" spans="1:17" x14ac:dyDescent="0.25">
      <c r="A513" t="s">
        <v>392</v>
      </c>
      <c r="B513" s="13" t="s">
        <v>23</v>
      </c>
      <c r="C513" s="13" t="s">
        <v>201</v>
      </c>
      <c r="D513" s="14" t="s">
        <v>163</v>
      </c>
      <c r="E513" s="13" t="s">
        <v>191</v>
      </c>
      <c r="F513" s="13" t="s">
        <v>439</v>
      </c>
      <c r="G513" s="13">
        <v>0.45</v>
      </c>
      <c r="H513" s="15">
        <v>915</v>
      </c>
      <c r="I513" s="16">
        <v>411.75</v>
      </c>
      <c r="J513" s="16">
        <v>726.95499642828793</v>
      </c>
      <c r="K513" s="16">
        <v>-315.20499642828793</v>
      </c>
      <c r="L513" s="13">
        <v>1.1399999999999999</v>
      </c>
      <c r="M513" s="13"/>
      <c r="N513" s="17">
        <f t="shared" si="17"/>
        <v>1043.0999999999999</v>
      </c>
      <c r="O513" s="17">
        <f t="shared" si="17"/>
        <v>0</v>
      </c>
      <c r="P513" s="17">
        <f t="shared" si="16"/>
        <v>1043.0999999999999</v>
      </c>
      <c r="Q513" t="str">
        <f>A513&amp;"-"&amp;B513&amp;"-"&amp;D513</f>
        <v>FEBRUARI-CVA-L6</v>
      </c>
    </row>
    <row r="514" spans="1:17" x14ac:dyDescent="0.25">
      <c r="A514" t="s">
        <v>392</v>
      </c>
      <c r="B514" s="13" t="s">
        <v>23</v>
      </c>
      <c r="C514" s="13" t="s">
        <v>201</v>
      </c>
      <c r="D514" s="14" t="s">
        <v>163</v>
      </c>
      <c r="E514" s="13" t="s">
        <v>124</v>
      </c>
      <c r="F514" s="13" t="s">
        <v>209</v>
      </c>
      <c r="G514" s="13">
        <v>0.94000000000000028</v>
      </c>
      <c r="H514" s="15">
        <v>5926</v>
      </c>
      <c r="I514" s="16">
        <v>5570.44</v>
      </c>
      <c r="J514" s="16">
        <v>6893.6013675106187</v>
      </c>
      <c r="K514" s="16">
        <v>-1323.1613675106191</v>
      </c>
      <c r="L514" s="13">
        <v>1.85</v>
      </c>
      <c r="M514" s="13"/>
      <c r="N514" s="17">
        <f t="shared" si="17"/>
        <v>10963.1</v>
      </c>
      <c r="O514" s="17">
        <f t="shared" si="17"/>
        <v>0</v>
      </c>
      <c r="P514" s="17">
        <f t="shared" ref="P514:P577" si="18">N514+O514</f>
        <v>10963.1</v>
      </c>
      <c r="Q514" t="str">
        <f>A514&amp;"-"&amp;B514&amp;"-"&amp;D514</f>
        <v>FEBRUARI-CVA-L6</v>
      </c>
    </row>
    <row r="515" spans="1:17" x14ac:dyDescent="0.25">
      <c r="A515" t="s">
        <v>392</v>
      </c>
      <c r="B515" s="13" t="s">
        <v>23</v>
      </c>
      <c r="C515" s="13" t="s">
        <v>201</v>
      </c>
      <c r="D515" s="14" t="s">
        <v>163</v>
      </c>
      <c r="E515" s="13" t="s">
        <v>124</v>
      </c>
      <c r="F515" s="13" t="s">
        <v>210</v>
      </c>
      <c r="G515" s="13">
        <v>0.93999999999999961</v>
      </c>
      <c r="H515" s="15">
        <v>1970</v>
      </c>
      <c r="I515" s="16">
        <v>1851.8000000000002</v>
      </c>
      <c r="J515" s="16">
        <v>2686.5836360610933</v>
      </c>
      <c r="K515" s="16">
        <v>-834.78363606109315</v>
      </c>
      <c r="L515" s="13">
        <v>1.85</v>
      </c>
      <c r="M515" s="13"/>
      <c r="N515" s="17">
        <f t="shared" si="17"/>
        <v>3644.5</v>
      </c>
      <c r="O515" s="17">
        <f t="shared" si="17"/>
        <v>0</v>
      </c>
      <c r="P515" s="17">
        <f t="shared" si="18"/>
        <v>3644.5</v>
      </c>
      <c r="Q515" t="str">
        <f>A515&amp;"-"&amp;B515&amp;"-"&amp;D515</f>
        <v>FEBRUARI-CVA-L6</v>
      </c>
    </row>
    <row r="516" spans="1:17" x14ac:dyDescent="0.25">
      <c r="A516" t="s">
        <v>392</v>
      </c>
      <c r="B516" s="13" t="s">
        <v>23</v>
      </c>
      <c r="C516" s="13" t="s">
        <v>201</v>
      </c>
      <c r="D516" s="14" t="s">
        <v>164</v>
      </c>
      <c r="E516" s="13" t="s">
        <v>191</v>
      </c>
      <c r="F516" s="13" t="s">
        <v>445</v>
      </c>
      <c r="G516" s="13">
        <v>0.45</v>
      </c>
      <c r="H516" s="15">
        <v>2730</v>
      </c>
      <c r="I516" s="16">
        <v>1228.5</v>
      </c>
      <c r="J516" s="16">
        <v>962</v>
      </c>
      <c r="K516" s="16">
        <v>266.5</v>
      </c>
      <c r="L516" s="13">
        <v>1.1000000000000001</v>
      </c>
      <c r="M516" s="13"/>
      <c r="N516" s="17">
        <f t="shared" si="17"/>
        <v>3003.0000000000005</v>
      </c>
      <c r="O516" s="17">
        <f t="shared" si="17"/>
        <v>0</v>
      </c>
      <c r="P516" s="17">
        <f t="shared" si="18"/>
        <v>3003.0000000000005</v>
      </c>
      <c r="Q516" t="str">
        <f>A516&amp;"-"&amp;B516&amp;"-"&amp;D516</f>
        <v>FEBRUARI-CVA-L7</v>
      </c>
    </row>
    <row r="517" spans="1:17" x14ac:dyDescent="0.25">
      <c r="A517" t="s">
        <v>392</v>
      </c>
      <c r="B517" s="13" t="s">
        <v>23</v>
      </c>
      <c r="C517" s="13" t="s">
        <v>201</v>
      </c>
      <c r="D517" s="14" t="s">
        <v>164</v>
      </c>
      <c r="E517" s="13" t="s">
        <v>191</v>
      </c>
      <c r="F517" s="13" t="s">
        <v>440</v>
      </c>
      <c r="G517" s="13">
        <v>0.42000000000000004</v>
      </c>
      <c r="H517" s="15">
        <v>5685</v>
      </c>
      <c r="I517" s="16">
        <v>2387.7000000000003</v>
      </c>
      <c r="J517" s="16">
        <v>2113.8684210526317</v>
      </c>
      <c r="K517" s="16">
        <v>273.83157894736843</v>
      </c>
      <c r="L517" s="13">
        <v>1.05</v>
      </c>
      <c r="M517" s="13"/>
      <c r="N517" s="17">
        <f t="shared" si="17"/>
        <v>5969.25</v>
      </c>
      <c r="O517" s="17">
        <f t="shared" si="17"/>
        <v>0</v>
      </c>
      <c r="P517" s="17">
        <f t="shared" si="18"/>
        <v>5969.25</v>
      </c>
      <c r="Q517" t="str">
        <f>A517&amp;"-"&amp;B517&amp;"-"&amp;D517</f>
        <v>FEBRUARI-CVA-L7</v>
      </c>
    </row>
    <row r="518" spans="1:17" x14ac:dyDescent="0.25">
      <c r="A518" t="s">
        <v>392</v>
      </c>
      <c r="B518" s="13" t="s">
        <v>23</v>
      </c>
      <c r="C518" s="13" t="s">
        <v>201</v>
      </c>
      <c r="D518" s="14" t="s">
        <v>164</v>
      </c>
      <c r="E518" s="13" t="s">
        <v>191</v>
      </c>
      <c r="F518" s="13" t="s">
        <v>446</v>
      </c>
      <c r="G518" s="13">
        <v>0.42</v>
      </c>
      <c r="H518" s="15">
        <v>5221</v>
      </c>
      <c r="I518" s="16">
        <v>2192.8199999999997</v>
      </c>
      <c r="J518" s="16">
        <v>1786.57</v>
      </c>
      <c r="K518" s="16">
        <v>406.24999999999994</v>
      </c>
      <c r="L518" s="13">
        <v>1.05</v>
      </c>
      <c r="M518" s="13"/>
      <c r="N518" s="17">
        <f t="shared" si="17"/>
        <v>5482.05</v>
      </c>
      <c r="O518" s="17">
        <f t="shared" si="17"/>
        <v>0</v>
      </c>
      <c r="P518" s="17">
        <f t="shared" si="18"/>
        <v>5482.05</v>
      </c>
      <c r="Q518" t="str">
        <f>A518&amp;"-"&amp;B518&amp;"-"&amp;D518</f>
        <v>FEBRUARI-CVA-L7</v>
      </c>
    </row>
    <row r="519" spans="1:17" x14ac:dyDescent="0.25">
      <c r="A519" t="s">
        <v>392</v>
      </c>
      <c r="B519" s="13" t="s">
        <v>23</v>
      </c>
      <c r="C519" s="13" t="s">
        <v>201</v>
      </c>
      <c r="D519" s="14" t="s">
        <v>198</v>
      </c>
      <c r="E519" s="13" t="s">
        <v>191</v>
      </c>
      <c r="F519" s="13" t="s">
        <v>445</v>
      </c>
      <c r="G519" s="13">
        <v>0.45</v>
      </c>
      <c r="H519" s="15">
        <v>2490</v>
      </c>
      <c r="I519" s="16">
        <v>1120.5</v>
      </c>
      <c r="J519" s="16">
        <v>962</v>
      </c>
      <c r="K519" s="16">
        <v>158.5</v>
      </c>
      <c r="L519" s="13">
        <v>1.1000000000000001</v>
      </c>
      <c r="M519" s="13"/>
      <c r="N519" s="17">
        <f t="shared" si="17"/>
        <v>2739</v>
      </c>
      <c r="O519" s="17">
        <f t="shared" si="17"/>
        <v>0</v>
      </c>
      <c r="P519" s="17">
        <f t="shared" si="18"/>
        <v>2739</v>
      </c>
      <c r="Q519" t="str">
        <f>A519&amp;"-"&amp;B519&amp;"-"&amp;D519</f>
        <v>FEBRUARI-CVA-L8</v>
      </c>
    </row>
    <row r="520" spans="1:17" x14ac:dyDescent="0.25">
      <c r="A520" t="s">
        <v>392</v>
      </c>
      <c r="B520" s="13" t="s">
        <v>23</v>
      </c>
      <c r="C520" s="13" t="s">
        <v>201</v>
      </c>
      <c r="D520" s="14" t="s">
        <v>198</v>
      </c>
      <c r="E520" s="13" t="s">
        <v>191</v>
      </c>
      <c r="F520" s="13" t="s">
        <v>440</v>
      </c>
      <c r="G520" s="13">
        <v>0.42</v>
      </c>
      <c r="H520" s="15">
        <v>4745</v>
      </c>
      <c r="I520" s="16">
        <v>1992.9</v>
      </c>
      <c r="J520" s="16">
        <v>1924</v>
      </c>
      <c r="K520" s="16">
        <v>68.900000000000034</v>
      </c>
      <c r="L520" s="13">
        <v>1.05</v>
      </c>
      <c r="M520" s="13"/>
      <c r="N520" s="17">
        <f t="shared" si="17"/>
        <v>4982.25</v>
      </c>
      <c r="O520" s="17">
        <f t="shared" si="17"/>
        <v>0</v>
      </c>
      <c r="P520" s="17">
        <f t="shared" si="18"/>
        <v>4982.25</v>
      </c>
      <c r="Q520" t="str">
        <f>A520&amp;"-"&amp;B520&amp;"-"&amp;D520</f>
        <v>FEBRUARI-CVA-L8</v>
      </c>
    </row>
    <row r="521" spans="1:17" x14ac:dyDescent="0.25">
      <c r="A521" t="s">
        <v>392</v>
      </c>
      <c r="B521" s="13" t="s">
        <v>23</v>
      </c>
      <c r="C521" s="13" t="s">
        <v>201</v>
      </c>
      <c r="D521" s="14" t="s">
        <v>198</v>
      </c>
      <c r="E521" s="13" t="s">
        <v>191</v>
      </c>
      <c r="F521" s="13" t="s">
        <v>446</v>
      </c>
      <c r="G521" s="13">
        <v>0.42</v>
      </c>
      <c r="H521" s="15">
        <v>3534</v>
      </c>
      <c r="I521" s="16">
        <v>1484.28</v>
      </c>
      <c r="J521" s="16">
        <v>1562.0144444444445</v>
      </c>
      <c r="K521" s="16">
        <v>-77.734444444444449</v>
      </c>
      <c r="L521" s="13">
        <v>1.05</v>
      </c>
      <c r="M521" s="13"/>
      <c r="N521" s="17">
        <f t="shared" si="17"/>
        <v>3710.7000000000003</v>
      </c>
      <c r="O521" s="17">
        <f t="shared" si="17"/>
        <v>0</v>
      </c>
      <c r="P521" s="17">
        <f t="shared" si="18"/>
        <v>3710.7000000000003</v>
      </c>
      <c r="Q521" t="str">
        <f>A521&amp;"-"&amp;B521&amp;"-"&amp;D521</f>
        <v>FEBRUARI-CVA-L8</v>
      </c>
    </row>
    <row r="522" spans="1:17" x14ac:dyDescent="0.25">
      <c r="A522" t="s">
        <v>392</v>
      </c>
      <c r="B522" s="13" t="s">
        <v>23</v>
      </c>
      <c r="C522" s="13" t="s">
        <v>201</v>
      </c>
      <c r="D522" s="14" t="s">
        <v>199</v>
      </c>
      <c r="E522" s="13" t="s">
        <v>191</v>
      </c>
      <c r="F522" s="13" t="s">
        <v>441</v>
      </c>
      <c r="G522" s="13">
        <v>0.42</v>
      </c>
      <c r="H522" s="15">
        <v>3996</v>
      </c>
      <c r="I522" s="16">
        <v>1678.32</v>
      </c>
      <c r="J522" s="16">
        <v>5456.3310062893079</v>
      </c>
      <c r="K522" s="16">
        <v>-3778.0110062893082</v>
      </c>
      <c r="L522" s="13">
        <v>1.05</v>
      </c>
      <c r="M522" s="13"/>
      <c r="N522" s="17">
        <f t="shared" si="17"/>
        <v>4195.8</v>
      </c>
      <c r="O522" s="17">
        <f t="shared" si="17"/>
        <v>0</v>
      </c>
      <c r="P522" s="17">
        <f t="shared" si="18"/>
        <v>4195.8</v>
      </c>
      <c r="Q522" t="str">
        <f>A522&amp;"-"&amp;B522&amp;"-"&amp;D522</f>
        <v>FEBRUARI-CVA-L9</v>
      </c>
    </row>
    <row r="523" spans="1:17" x14ac:dyDescent="0.25">
      <c r="A523" t="s">
        <v>392</v>
      </c>
      <c r="B523" s="13" t="s">
        <v>23</v>
      </c>
      <c r="C523" s="13" t="s">
        <v>201</v>
      </c>
      <c r="D523" s="14" t="s">
        <v>199</v>
      </c>
      <c r="E523" s="13" t="s">
        <v>191</v>
      </c>
      <c r="F523" s="13" t="s">
        <v>443</v>
      </c>
      <c r="G523" s="13">
        <v>0.38000000000000006</v>
      </c>
      <c r="H523" s="15">
        <v>1064</v>
      </c>
      <c r="I523" s="16">
        <v>404.32</v>
      </c>
      <c r="J523" s="16">
        <v>1016.8669201520912</v>
      </c>
      <c r="K523" s="16">
        <v>-612.54692015209127</v>
      </c>
      <c r="L523" s="13">
        <v>1.1499999999999999</v>
      </c>
      <c r="M523" s="13"/>
      <c r="N523" s="17">
        <f t="shared" si="17"/>
        <v>1223.5999999999999</v>
      </c>
      <c r="O523" s="17">
        <f t="shared" si="17"/>
        <v>0</v>
      </c>
      <c r="P523" s="17">
        <f t="shared" si="18"/>
        <v>1223.5999999999999</v>
      </c>
      <c r="Q523" t="str">
        <f>A523&amp;"-"&amp;B523&amp;"-"&amp;D523</f>
        <v>FEBRUARI-CVA-L9</v>
      </c>
    </row>
    <row r="524" spans="1:17" x14ac:dyDescent="0.25">
      <c r="A524" t="s">
        <v>392</v>
      </c>
      <c r="B524" s="13" t="s">
        <v>23</v>
      </c>
      <c r="C524" s="13" t="s">
        <v>201</v>
      </c>
      <c r="D524" s="14" t="s">
        <v>199</v>
      </c>
      <c r="E524" s="13" t="s">
        <v>191</v>
      </c>
      <c r="F524" s="13" t="s">
        <v>444</v>
      </c>
      <c r="G524" s="13">
        <v>0.42</v>
      </c>
      <c r="H524" s="15">
        <v>2610</v>
      </c>
      <c r="I524" s="16">
        <v>1096.2</v>
      </c>
      <c r="J524" s="16">
        <v>2390.9420735586004</v>
      </c>
      <c r="K524" s="16">
        <v>-1294.7420735586004</v>
      </c>
      <c r="L524" s="13">
        <v>1.05</v>
      </c>
      <c r="M524" s="13"/>
      <c r="N524" s="17">
        <f t="shared" si="17"/>
        <v>2740.5</v>
      </c>
      <c r="O524" s="17">
        <f t="shared" si="17"/>
        <v>0</v>
      </c>
      <c r="P524" s="17">
        <f t="shared" si="18"/>
        <v>2740.5</v>
      </c>
      <c r="Q524" t="str">
        <f>A524&amp;"-"&amp;B524&amp;"-"&amp;D524</f>
        <v>FEBRUARI-CVA-L9</v>
      </c>
    </row>
    <row r="525" spans="1:17" x14ac:dyDescent="0.25">
      <c r="A525" t="s">
        <v>392</v>
      </c>
      <c r="B525" s="13" t="s">
        <v>24</v>
      </c>
      <c r="C525" s="13" t="s">
        <v>339</v>
      </c>
      <c r="D525" s="14" t="s">
        <v>222</v>
      </c>
      <c r="E525" s="13" t="s">
        <v>61</v>
      </c>
      <c r="F525" s="13" t="s">
        <v>340</v>
      </c>
      <c r="G525" s="13">
        <v>1.75</v>
      </c>
      <c r="H525" s="15">
        <v>2475</v>
      </c>
      <c r="I525" s="16">
        <v>4331.25</v>
      </c>
      <c r="J525" s="16">
        <v>1330.1058569538268</v>
      </c>
      <c r="K525" s="16">
        <v>3001.1441430461732</v>
      </c>
      <c r="L525" s="13">
        <v>2.96</v>
      </c>
      <c r="M525" s="13"/>
      <c r="N525" s="17">
        <f t="shared" si="17"/>
        <v>7326</v>
      </c>
      <c r="O525" s="17">
        <f t="shared" si="17"/>
        <v>0</v>
      </c>
      <c r="P525" s="17">
        <f t="shared" si="18"/>
        <v>7326</v>
      </c>
      <c r="Q525" t="str">
        <f>A525&amp;"-"&amp;B525&amp;"-"&amp;D525</f>
        <v>FEBRUARI-KLB-L2A</v>
      </c>
    </row>
    <row r="526" spans="1:17" x14ac:dyDescent="0.25">
      <c r="A526" t="s">
        <v>392</v>
      </c>
      <c r="B526" s="13" t="s">
        <v>24</v>
      </c>
      <c r="C526" s="13" t="s">
        <v>339</v>
      </c>
      <c r="D526" s="14" t="s">
        <v>224</v>
      </c>
      <c r="E526" s="13" t="s">
        <v>61</v>
      </c>
      <c r="F526" s="13" t="s">
        <v>340</v>
      </c>
      <c r="G526" s="13">
        <v>1.75</v>
      </c>
      <c r="H526" s="15">
        <v>3690</v>
      </c>
      <c r="I526" s="16">
        <v>6457.5</v>
      </c>
      <c r="J526" s="16">
        <v>1836</v>
      </c>
      <c r="K526" s="16">
        <v>4621.5</v>
      </c>
      <c r="L526" s="13">
        <v>2.96</v>
      </c>
      <c r="M526" s="13"/>
      <c r="N526" s="17">
        <f t="shared" si="17"/>
        <v>10922.4</v>
      </c>
      <c r="O526" s="17">
        <f t="shared" si="17"/>
        <v>0</v>
      </c>
      <c r="P526" s="17">
        <f t="shared" si="18"/>
        <v>10922.4</v>
      </c>
      <c r="Q526" t="str">
        <f>A526&amp;"-"&amp;B526&amp;"-"&amp;D526</f>
        <v>FEBRUARI-KLB-L3A</v>
      </c>
    </row>
    <row r="527" spans="1:17" x14ac:dyDescent="0.25">
      <c r="A527" t="s">
        <v>392</v>
      </c>
      <c r="B527" s="13" t="s">
        <v>24</v>
      </c>
      <c r="C527" s="13" t="s">
        <v>339</v>
      </c>
      <c r="D527" s="14" t="s">
        <v>225</v>
      </c>
      <c r="E527" s="13" t="s">
        <v>61</v>
      </c>
      <c r="F527" s="13" t="s">
        <v>340</v>
      </c>
      <c r="G527" s="13">
        <v>1.75</v>
      </c>
      <c r="H527" s="15">
        <v>2655</v>
      </c>
      <c r="I527" s="16">
        <v>4646.25</v>
      </c>
      <c r="J527" s="16">
        <v>1331.7850746268657</v>
      </c>
      <c r="K527" s="16">
        <v>3314.4649253731341</v>
      </c>
      <c r="L527" s="13">
        <v>2.96</v>
      </c>
      <c r="M527" s="13"/>
      <c r="N527" s="17">
        <f t="shared" si="17"/>
        <v>7858.8</v>
      </c>
      <c r="O527" s="17">
        <f t="shared" si="17"/>
        <v>0</v>
      </c>
      <c r="P527" s="17">
        <f t="shared" si="18"/>
        <v>7858.8</v>
      </c>
      <c r="Q527" t="str">
        <f>A527&amp;"-"&amp;B527&amp;"-"&amp;D527</f>
        <v>FEBRUARI-KLB-L3B</v>
      </c>
    </row>
    <row r="528" spans="1:17" x14ac:dyDescent="0.25">
      <c r="A528" t="s">
        <v>392</v>
      </c>
      <c r="B528" s="13" t="s">
        <v>24</v>
      </c>
      <c r="C528" s="13" t="s">
        <v>218</v>
      </c>
      <c r="D528" s="14" t="s">
        <v>219</v>
      </c>
      <c r="E528" s="13" t="s">
        <v>61</v>
      </c>
      <c r="F528" s="13" t="s">
        <v>220</v>
      </c>
      <c r="G528" s="13">
        <v>1.45</v>
      </c>
      <c r="H528" s="15">
        <v>7755</v>
      </c>
      <c r="I528" s="16">
        <v>11244.75</v>
      </c>
      <c r="J528" s="16">
        <v>5032.7242928480582</v>
      </c>
      <c r="K528" s="16">
        <v>6212.0257071519418</v>
      </c>
      <c r="L528" s="13">
        <v>2.73</v>
      </c>
      <c r="M528" s="13"/>
      <c r="N528" s="17">
        <f t="shared" si="17"/>
        <v>21171.15</v>
      </c>
      <c r="O528" s="17">
        <f t="shared" si="17"/>
        <v>0</v>
      </c>
      <c r="P528" s="17">
        <f t="shared" si="18"/>
        <v>21171.15</v>
      </c>
      <c r="Q528" t="str">
        <f>A528&amp;"-"&amp;B528&amp;"-"&amp;D528</f>
        <v>FEBRUARI-KLB-L1A</v>
      </c>
    </row>
    <row r="529" spans="1:17" x14ac:dyDescent="0.25">
      <c r="A529" t="s">
        <v>392</v>
      </c>
      <c r="B529" s="13" t="s">
        <v>24</v>
      </c>
      <c r="C529" s="13" t="s">
        <v>218</v>
      </c>
      <c r="D529" s="14" t="s">
        <v>221</v>
      </c>
      <c r="E529" s="13" t="s">
        <v>61</v>
      </c>
      <c r="F529" s="13" t="s">
        <v>220</v>
      </c>
      <c r="G529" s="13">
        <v>1.45</v>
      </c>
      <c r="H529" s="15">
        <v>6170</v>
      </c>
      <c r="I529" s="16">
        <v>8946.5</v>
      </c>
      <c r="J529" s="16">
        <v>3614.4718436478597</v>
      </c>
      <c r="K529" s="16">
        <v>5332.0281563521403</v>
      </c>
      <c r="L529" s="13">
        <v>2.73</v>
      </c>
      <c r="M529" s="13"/>
      <c r="N529" s="17">
        <f t="shared" si="17"/>
        <v>16844.099999999999</v>
      </c>
      <c r="O529" s="17">
        <f t="shared" si="17"/>
        <v>0</v>
      </c>
      <c r="P529" s="17">
        <f t="shared" si="18"/>
        <v>16844.099999999999</v>
      </c>
      <c r="Q529" t="str">
        <f>A529&amp;"-"&amp;B529&amp;"-"&amp;D529</f>
        <v>FEBRUARI-KLB-L1B</v>
      </c>
    </row>
    <row r="530" spans="1:17" x14ac:dyDescent="0.25">
      <c r="A530" t="s">
        <v>392</v>
      </c>
      <c r="B530" s="13" t="s">
        <v>24</v>
      </c>
      <c r="C530" s="13" t="s">
        <v>218</v>
      </c>
      <c r="D530" s="14" t="s">
        <v>222</v>
      </c>
      <c r="E530" s="13" t="s">
        <v>61</v>
      </c>
      <c r="F530" s="13" t="s">
        <v>220</v>
      </c>
      <c r="G530" s="13">
        <v>1.4499999999999995</v>
      </c>
      <c r="H530" s="15">
        <v>18990</v>
      </c>
      <c r="I530" s="16">
        <v>27535.5</v>
      </c>
      <c r="J530" s="16">
        <v>10463.9511526841</v>
      </c>
      <c r="K530" s="16">
        <v>17071.548847315902</v>
      </c>
      <c r="L530" s="13">
        <v>2.73</v>
      </c>
      <c r="M530" s="13"/>
      <c r="N530" s="17">
        <f t="shared" si="17"/>
        <v>51842.7</v>
      </c>
      <c r="O530" s="17">
        <f t="shared" si="17"/>
        <v>0</v>
      </c>
      <c r="P530" s="17">
        <f t="shared" si="18"/>
        <v>51842.7</v>
      </c>
      <c r="Q530" t="str">
        <f>A530&amp;"-"&amp;B530&amp;"-"&amp;D530</f>
        <v>FEBRUARI-KLB-L2A</v>
      </c>
    </row>
    <row r="531" spans="1:17" x14ac:dyDescent="0.25">
      <c r="A531" t="s">
        <v>392</v>
      </c>
      <c r="B531" s="13" t="s">
        <v>24</v>
      </c>
      <c r="C531" s="13" t="s">
        <v>218</v>
      </c>
      <c r="D531" s="14" t="s">
        <v>223</v>
      </c>
      <c r="E531" s="13" t="s">
        <v>61</v>
      </c>
      <c r="F531" s="13" t="s">
        <v>220</v>
      </c>
      <c r="G531" s="13">
        <v>1.4499999999999995</v>
      </c>
      <c r="H531" s="15">
        <v>20210</v>
      </c>
      <c r="I531" s="16">
        <v>29304.5</v>
      </c>
      <c r="J531" s="16">
        <v>11030.254658385093</v>
      </c>
      <c r="K531" s="16">
        <v>18274.245341614907</v>
      </c>
      <c r="L531" s="13">
        <v>2.73</v>
      </c>
      <c r="M531" s="13"/>
      <c r="N531" s="17">
        <f t="shared" si="17"/>
        <v>55173.3</v>
      </c>
      <c r="O531" s="17">
        <f t="shared" si="17"/>
        <v>0</v>
      </c>
      <c r="P531" s="17">
        <f t="shared" si="18"/>
        <v>55173.3</v>
      </c>
      <c r="Q531" t="str">
        <f>A531&amp;"-"&amp;B531&amp;"-"&amp;D531</f>
        <v>FEBRUARI-KLB-L2B</v>
      </c>
    </row>
    <row r="532" spans="1:17" x14ac:dyDescent="0.25">
      <c r="A532" t="s">
        <v>392</v>
      </c>
      <c r="B532" s="13" t="s">
        <v>24</v>
      </c>
      <c r="C532" s="13" t="s">
        <v>218</v>
      </c>
      <c r="D532" s="14" t="s">
        <v>224</v>
      </c>
      <c r="E532" s="13" t="s">
        <v>61</v>
      </c>
      <c r="F532" s="13" t="s">
        <v>220</v>
      </c>
      <c r="G532" s="13">
        <v>1.4499999999999995</v>
      </c>
      <c r="H532" s="15">
        <v>19080</v>
      </c>
      <c r="I532" s="16">
        <v>27666</v>
      </c>
      <c r="J532" s="16">
        <v>10300.44699547191</v>
      </c>
      <c r="K532" s="16">
        <v>17365.55300452809</v>
      </c>
      <c r="L532" s="13">
        <v>2.73</v>
      </c>
      <c r="M532" s="13"/>
      <c r="N532" s="17">
        <f t="shared" si="17"/>
        <v>52088.4</v>
      </c>
      <c r="O532" s="17">
        <f t="shared" si="17"/>
        <v>0</v>
      </c>
      <c r="P532" s="17">
        <f t="shared" si="18"/>
        <v>52088.4</v>
      </c>
      <c r="Q532" t="str">
        <f>A532&amp;"-"&amp;B532&amp;"-"&amp;D532</f>
        <v>FEBRUARI-KLB-L3A</v>
      </c>
    </row>
    <row r="533" spans="1:17" x14ac:dyDescent="0.25">
      <c r="A533" t="s">
        <v>392</v>
      </c>
      <c r="B533" s="13" t="s">
        <v>24</v>
      </c>
      <c r="C533" s="13" t="s">
        <v>218</v>
      </c>
      <c r="D533" s="14" t="s">
        <v>225</v>
      </c>
      <c r="E533" s="13" t="s">
        <v>61</v>
      </c>
      <c r="F533" s="13" t="s">
        <v>220</v>
      </c>
      <c r="G533" s="13">
        <v>1.4499999999999995</v>
      </c>
      <c r="H533" s="15">
        <v>18690</v>
      </c>
      <c r="I533" s="16">
        <v>27100.5</v>
      </c>
      <c r="J533" s="16">
        <v>9755.326248944275</v>
      </c>
      <c r="K533" s="16">
        <v>17345.173751055729</v>
      </c>
      <c r="L533" s="13">
        <v>2.73</v>
      </c>
      <c r="M533" s="13"/>
      <c r="N533" s="17">
        <f t="shared" si="17"/>
        <v>51023.7</v>
      </c>
      <c r="O533" s="17">
        <f t="shared" si="17"/>
        <v>0</v>
      </c>
      <c r="P533" s="17">
        <f t="shared" si="18"/>
        <v>51023.7</v>
      </c>
      <c r="Q533" t="str">
        <f>A533&amp;"-"&amp;B533&amp;"-"&amp;D533</f>
        <v>FEBRUARI-KLB-L3B</v>
      </c>
    </row>
    <row r="534" spans="1:17" x14ac:dyDescent="0.25">
      <c r="A534" t="s">
        <v>392</v>
      </c>
      <c r="B534" s="13" t="s">
        <v>24</v>
      </c>
      <c r="C534" s="13" t="s">
        <v>226</v>
      </c>
      <c r="D534" s="14" t="s">
        <v>219</v>
      </c>
      <c r="E534" s="13" t="s">
        <v>61</v>
      </c>
      <c r="F534" s="13" t="s">
        <v>447</v>
      </c>
      <c r="G534" s="13">
        <v>0.8</v>
      </c>
      <c r="H534" s="15">
        <v>6995</v>
      </c>
      <c r="I534" s="16">
        <v>5596</v>
      </c>
      <c r="J534" s="16">
        <v>3416.0441722053201</v>
      </c>
      <c r="K534" s="16">
        <v>2179.9558277946799</v>
      </c>
      <c r="L534" s="13">
        <v>2.16</v>
      </c>
      <c r="M534" s="13"/>
      <c r="N534" s="17">
        <f t="shared" si="17"/>
        <v>15109.2</v>
      </c>
      <c r="O534" s="17">
        <f t="shared" si="17"/>
        <v>0</v>
      </c>
      <c r="P534" s="17">
        <f t="shared" si="18"/>
        <v>15109.2</v>
      </c>
      <c r="Q534" t="str">
        <f>A534&amp;"-"&amp;B534&amp;"-"&amp;D534</f>
        <v>FEBRUARI-KLB-L1A</v>
      </c>
    </row>
    <row r="535" spans="1:17" x14ac:dyDescent="0.25">
      <c r="A535" t="s">
        <v>392</v>
      </c>
      <c r="B535" s="13" t="s">
        <v>24</v>
      </c>
      <c r="C535" s="13" t="s">
        <v>226</v>
      </c>
      <c r="D535" s="14" t="s">
        <v>219</v>
      </c>
      <c r="E535" s="13" t="s">
        <v>61</v>
      </c>
      <c r="F535" s="13" t="s">
        <v>231</v>
      </c>
      <c r="G535" s="13">
        <v>0.79999999999999993</v>
      </c>
      <c r="H535" s="15">
        <v>4004</v>
      </c>
      <c r="I535" s="16">
        <v>3203.2</v>
      </c>
      <c r="J535" s="16">
        <v>2254.714038192134</v>
      </c>
      <c r="K535" s="16">
        <v>948.48596180786649</v>
      </c>
      <c r="L535" s="13">
        <v>2.16</v>
      </c>
      <c r="M535" s="13"/>
      <c r="N535" s="17">
        <f t="shared" si="17"/>
        <v>8648.6400000000012</v>
      </c>
      <c r="O535" s="17">
        <f t="shared" si="17"/>
        <v>0</v>
      </c>
      <c r="P535" s="17">
        <f t="shared" si="18"/>
        <v>8648.6400000000012</v>
      </c>
      <c r="Q535" t="str">
        <f>A535&amp;"-"&amp;B535&amp;"-"&amp;D535</f>
        <v>FEBRUARI-KLB-L1A</v>
      </c>
    </row>
    <row r="536" spans="1:17" x14ac:dyDescent="0.25">
      <c r="A536" t="s">
        <v>392</v>
      </c>
      <c r="B536" s="13" t="s">
        <v>24</v>
      </c>
      <c r="C536" s="13" t="s">
        <v>226</v>
      </c>
      <c r="D536" s="14" t="s">
        <v>219</v>
      </c>
      <c r="E536" s="13" t="s">
        <v>61</v>
      </c>
      <c r="F536" s="13" t="s">
        <v>448</v>
      </c>
      <c r="G536" s="13">
        <v>0.72</v>
      </c>
      <c r="H536" s="15">
        <v>830</v>
      </c>
      <c r="I536" s="16">
        <v>597.6</v>
      </c>
      <c r="J536" s="16">
        <v>401.38157036893762</v>
      </c>
      <c r="K536" s="16">
        <v>196.21842963106243</v>
      </c>
      <c r="L536" s="13">
        <v>2.31</v>
      </c>
      <c r="M536" s="13"/>
      <c r="N536" s="17">
        <f t="shared" si="17"/>
        <v>1917.3</v>
      </c>
      <c r="O536" s="17">
        <f t="shared" si="17"/>
        <v>0</v>
      </c>
      <c r="P536" s="17">
        <f t="shared" si="18"/>
        <v>1917.3</v>
      </c>
      <c r="Q536" t="str">
        <f>A536&amp;"-"&amp;B536&amp;"-"&amp;D536</f>
        <v>FEBRUARI-KLB-L1A</v>
      </c>
    </row>
    <row r="537" spans="1:17" x14ac:dyDescent="0.25">
      <c r="A537" t="s">
        <v>392</v>
      </c>
      <c r="B537" s="13" t="s">
        <v>24</v>
      </c>
      <c r="C537" s="13" t="s">
        <v>226</v>
      </c>
      <c r="D537" s="14" t="s">
        <v>219</v>
      </c>
      <c r="E537" s="13" t="s">
        <v>61</v>
      </c>
      <c r="F537" s="13" t="s">
        <v>237</v>
      </c>
      <c r="G537" s="13">
        <v>0.72000000000000008</v>
      </c>
      <c r="H537" s="15">
        <v>946</v>
      </c>
      <c r="I537" s="16">
        <v>681.12</v>
      </c>
      <c r="J537" s="16">
        <v>549.76414990088699</v>
      </c>
      <c r="K537" s="16">
        <v>131.35585009911301</v>
      </c>
      <c r="L537" s="13">
        <v>2.31</v>
      </c>
      <c r="M537" s="13"/>
      <c r="N537" s="17">
        <f t="shared" si="17"/>
        <v>2185.2600000000002</v>
      </c>
      <c r="O537" s="17">
        <f t="shared" si="17"/>
        <v>0</v>
      </c>
      <c r="P537" s="17">
        <f t="shared" si="18"/>
        <v>2185.2600000000002</v>
      </c>
      <c r="Q537" t="str">
        <f>A537&amp;"-"&amp;B537&amp;"-"&amp;D537</f>
        <v>FEBRUARI-KLB-L1A</v>
      </c>
    </row>
    <row r="538" spans="1:17" x14ac:dyDescent="0.25">
      <c r="A538" t="s">
        <v>392</v>
      </c>
      <c r="B538" s="13" t="s">
        <v>24</v>
      </c>
      <c r="C538" s="13" t="s">
        <v>226</v>
      </c>
      <c r="D538" s="14" t="s">
        <v>219</v>
      </c>
      <c r="E538" s="13" t="s">
        <v>61</v>
      </c>
      <c r="F538" s="13" t="s">
        <v>244</v>
      </c>
      <c r="G538" s="13">
        <v>0.8</v>
      </c>
      <c r="H538" s="15">
        <v>11845</v>
      </c>
      <c r="I538" s="16">
        <v>9476</v>
      </c>
      <c r="J538" s="16">
        <v>6029.5619067419402</v>
      </c>
      <c r="K538" s="16">
        <v>3446.4380932580593</v>
      </c>
      <c r="L538" s="13">
        <v>2.16</v>
      </c>
      <c r="M538" s="13"/>
      <c r="N538" s="17">
        <f t="shared" si="17"/>
        <v>25585.200000000001</v>
      </c>
      <c r="O538" s="17">
        <f t="shared" si="17"/>
        <v>0</v>
      </c>
      <c r="P538" s="17">
        <f t="shared" si="18"/>
        <v>25585.200000000001</v>
      </c>
      <c r="Q538" t="str">
        <f>A538&amp;"-"&amp;B538&amp;"-"&amp;D538</f>
        <v>FEBRUARI-KLB-L1A</v>
      </c>
    </row>
    <row r="539" spans="1:17" x14ac:dyDescent="0.25">
      <c r="A539" t="s">
        <v>392</v>
      </c>
      <c r="B539" s="13" t="s">
        <v>24</v>
      </c>
      <c r="C539" s="13" t="s">
        <v>226</v>
      </c>
      <c r="D539" s="14" t="s">
        <v>219</v>
      </c>
      <c r="E539" s="13" t="s">
        <v>61</v>
      </c>
      <c r="F539" s="13" t="s">
        <v>245</v>
      </c>
      <c r="G539" s="13">
        <v>0.71999999999999986</v>
      </c>
      <c r="H539" s="15">
        <v>1390</v>
      </c>
      <c r="I539" s="16">
        <v>1000.8000000000001</v>
      </c>
      <c r="J539" s="16">
        <v>675.80986974272332</v>
      </c>
      <c r="K539" s="16">
        <v>324.99013025727663</v>
      </c>
      <c r="L539" s="13">
        <v>2.31</v>
      </c>
      <c r="M539" s="13"/>
      <c r="N539" s="17">
        <f t="shared" si="17"/>
        <v>3210.9</v>
      </c>
      <c r="O539" s="17">
        <f t="shared" si="17"/>
        <v>0</v>
      </c>
      <c r="P539" s="17">
        <f t="shared" si="18"/>
        <v>3210.9</v>
      </c>
      <c r="Q539" t="str">
        <f>A539&amp;"-"&amp;B539&amp;"-"&amp;D539</f>
        <v>FEBRUARI-KLB-L1A</v>
      </c>
    </row>
    <row r="540" spans="1:17" x14ac:dyDescent="0.25">
      <c r="A540" t="s">
        <v>392</v>
      </c>
      <c r="B540" s="13" t="s">
        <v>24</v>
      </c>
      <c r="C540" s="13" t="s">
        <v>226</v>
      </c>
      <c r="D540" s="14" t="s">
        <v>221</v>
      </c>
      <c r="E540" s="13" t="s">
        <v>61</v>
      </c>
      <c r="F540" s="13" t="s">
        <v>447</v>
      </c>
      <c r="G540" s="13">
        <v>0.8</v>
      </c>
      <c r="H540" s="15">
        <v>9085</v>
      </c>
      <c r="I540" s="16">
        <v>7268</v>
      </c>
      <c r="J540" s="16">
        <v>3961.8015132818791</v>
      </c>
      <c r="K540" s="16">
        <v>3306.1984867181209</v>
      </c>
      <c r="L540" s="13">
        <v>2.16</v>
      </c>
      <c r="M540" s="13"/>
      <c r="N540" s="17">
        <f t="shared" si="17"/>
        <v>19623.600000000002</v>
      </c>
      <c r="O540" s="17">
        <f t="shared" si="17"/>
        <v>0</v>
      </c>
      <c r="P540" s="17">
        <f t="shared" si="18"/>
        <v>19623.600000000002</v>
      </c>
      <c r="Q540" t="str">
        <f>A540&amp;"-"&amp;B540&amp;"-"&amp;D540</f>
        <v>FEBRUARI-KLB-L1B</v>
      </c>
    </row>
    <row r="541" spans="1:17" x14ac:dyDescent="0.25">
      <c r="A541" t="s">
        <v>392</v>
      </c>
      <c r="B541" s="13" t="s">
        <v>24</v>
      </c>
      <c r="C541" s="13" t="s">
        <v>226</v>
      </c>
      <c r="D541" s="14" t="s">
        <v>221</v>
      </c>
      <c r="E541" s="13" t="s">
        <v>61</v>
      </c>
      <c r="F541" s="13" t="s">
        <v>231</v>
      </c>
      <c r="G541" s="13">
        <v>0.79999999999999993</v>
      </c>
      <c r="H541" s="15">
        <v>6185</v>
      </c>
      <c r="I541" s="16">
        <v>4948</v>
      </c>
      <c r="J541" s="16">
        <v>3189.989688208721</v>
      </c>
      <c r="K541" s="16">
        <v>1758.010311791279</v>
      </c>
      <c r="L541" s="13">
        <v>2.16</v>
      </c>
      <c r="M541" s="13"/>
      <c r="N541" s="17">
        <f t="shared" si="17"/>
        <v>13359.6</v>
      </c>
      <c r="O541" s="17">
        <f t="shared" si="17"/>
        <v>0</v>
      </c>
      <c r="P541" s="17">
        <f t="shared" si="18"/>
        <v>13359.6</v>
      </c>
      <c r="Q541" t="str">
        <f>A541&amp;"-"&amp;B541&amp;"-"&amp;D541</f>
        <v>FEBRUARI-KLB-L1B</v>
      </c>
    </row>
    <row r="542" spans="1:17" x14ac:dyDescent="0.25">
      <c r="A542" t="s">
        <v>392</v>
      </c>
      <c r="B542" s="13" t="s">
        <v>24</v>
      </c>
      <c r="C542" s="13" t="s">
        <v>226</v>
      </c>
      <c r="D542" s="14" t="s">
        <v>221</v>
      </c>
      <c r="E542" s="13" t="s">
        <v>61</v>
      </c>
      <c r="F542" s="13" t="s">
        <v>448</v>
      </c>
      <c r="G542" s="13">
        <v>0.72000000000000008</v>
      </c>
      <c r="H542" s="15">
        <v>1350</v>
      </c>
      <c r="I542" s="16">
        <v>972</v>
      </c>
      <c r="J542" s="16">
        <v>596.62705814669243</v>
      </c>
      <c r="K542" s="16">
        <v>375.37294185330762</v>
      </c>
      <c r="L542" s="13">
        <v>2.31</v>
      </c>
      <c r="M542" s="13"/>
      <c r="N542" s="17">
        <f t="shared" si="17"/>
        <v>3118.5</v>
      </c>
      <c r="O542" s="17">
        <f t="shared" si="17"/>
        <v>0</v>
      </c>
      <c r="P542" s="17">
        <f t="shared" si="18"/>
        <v>3118.5</v>
      </c>
      <c r="Q542" t="str">
        <f>A542&amp;"-"&amp;B542&amp;"-"&amp;D542</f>
        <v>FEBRUARI-KLB-L1B</v>
      </c>
    </row>
    <row r="543" spans="1:17" x14ac:dyDescent="0.25">
      <c r="A543" t="s">
        <v>392</v>
      </c>
      <c r="B543" s="13" t="s">
        <v>24</v>
      </c>
      <c r="C543" s="13" t="s">
        <v>226</v>
      </c>
      <c r="D543" s="14" t="s">
        <v>221</v>
      </c>
      <c r="E543" s="13" t="s">
        <v>61</v>
      </c>
      <c r="F543" s="13" t="s">
        <v>237</v>
      </c>
      <c r="G543" s="13">
        <v>0.72</v>
      </c>
      <c r="H543" s="15">
        <v>2915</v>
      </c>
      <c r="I543" s="16">
        <v>2098.8000000000002</v>
      </c>
      <c r="J543" s="16">
        <v>1374.7998879709776</v>
      </c>
      <c r="K543" s="16">
        <v>724.00011202902226</v>
      </c>
      <c r="L543" s="13">
        <v>2.31</v>
      </c>
      <c r="M543" s="13"/>
      <c r="N543" s="17">
        <f t="shared" si="17"/>
        <v>6733.6500000000005</v>
      </c>
      <c r="O543" s="17">
        <f t="shared" si="17"/>
        <v>0</v>
      </c>
      <c r="P543" s="17">
        <f t="shared" si="18"/>
        <v>6733.6500000000005</v>
      </c>
      <c r="Q543" t="str">
        <f>A543&amp;"-"&amp;B543&amp;"-"&amp;D543</f>
        <v>FEBRUARI-KLB-L1B</v>
      </c>
    </row>
    <row r="544" spans="1:17" x14ac:dyDescent="0.25">
      <c r="A544" t="s">
        <v>392</v>
      </c>
      <c r="B544" s="13" t="s">
        <v>24</v>
      </c>
      <c r="C544" s="13" t="s">
        <v>226</v>
      </c>
      <c r="D544" s="14" t="s">
        <v>221</v>
      </c>
      <c r="E544" s="13" t="s">
        <v>61</v>
      </c>
      <c r="F544" s="13" t="s">
        <v>244</v>
      </c>
      <c r="G544" s="13">
        <v>0.79999999999999993</v>
      </c>
      <c r="H544" s="15">
        <v>9219</v>
      </c>
      <c r="I544" s="16">
        <v>7375.2</v>
      </c>
      <c r="J544" s="16">
        <v>4954.2245819902173</v>
      </c>
      <c r="K544" s="16">
        <v>2420.9754180097825</v>
      </c>
      <c r="L544" s="13">
        <v>2.16</v>
      </c>
      <c r="M544" s="13"/>
      <c r="N544" s="17">
        <f t="shared" ref="N544:O605" si="19">$H544*L544</f>
        <v>19913.04</v>
      </c>
      <c r="O544" s="17">
        <f t="shared" si="19"/>
        <v>0</v>
      </c>
      <c r="P544" s="17">
        <f t="shared" si="18"/>
        <v>19913.04</v>
      </c>
      <c r="Q544" t="str">
        <f>A544&amp;"-"&amp;B544&amp;"-"&amp;D544</f>
        <v>FEBRUARI-KLB-L1B</v>
      </c>
    </row>
    <row r="545" spans="1:17" x14ac:dyDescent="0.25">
      <c r="A545" t="s">
        <v>392</v>
      </c>
      <c r="B545" s="13" t="s">
        <v>24</v>
      </c>
      <c r="C545" s="13" t="s">
        <v>226</v>
      </c>
      <c r="D545" s="14" t="s">
        <v>221</v>
      </c>
      <c r="E545" s="13" t="s">
        <v>61</v>
      </c>
      <c r="F545" s="13" t="s">
        <v>245</v>
      </c>
      <c r="G545" s="13">
        <v>0.72</v>
      </c>
      <c r="H545" s="15">
        <v>1126</v>
      </c>
      <c r="I545" s="16">
        <v>810.72</v>
      </c>
      <c r="J545" s="16">
        <v>668.08542675365277</v>
      </c>
      <c r="K545" s="16">
        <v>142.63457324634726</v>
      </c>
      <c r="L545" s="13">
        <v>2.31</v>
      </c>
      <c r="M545" s="13"/>
      <c r="N545" s="17">
        <f t="shared" si="19"/>
        <v>2601.06</v>
      </c>
      <c r="O545" s="17">
        <f t="shared" si="19"/>
        <v>0</v>
      </c>
      <c r="P545" s="17">
        <f t="shared" si="18"/>
        <v>2601.06</v>
      </c>
      <c r="Q545" t="str">
        <f>A545&amp;"-"&amp;B545&amp;"-"&amp;D545</f>
        <v>FEBRUARI-KLB-L1B</v>
      </c>
    </row>
    <row r="546" spans="1:17" x14ac:dyDescent="0.25">
      <c r="A546" t="s">
        <v>392</v>
      </c>
      <c r="B546" s="13" t="s">
        <v>24</v>
      </c>
      <c r="C546" s="13" t="s">
        <v>226</v>
      </c>
      <c r="D546" s="14" t="s">
        <v>222</v>
      </c>
      <c r="E546" s="13" t="s">
        <v>61</v>
      </c>
      <c r="F546" s="13" t="s">
        <v>231</v>
      </c>
      <c r="G546" s="13">
        <v>0.8</v>
      </c>
      <c r="H546" s="15">
        <v>4968</v>
      </c>
      <c r="I546" s="16">
        <v>3974.4</v>
      </c>
      <c r="J546" s="16">
        <v>2660.3801587857524</v>
      </c>
      <c r="K546" s="16">
        <v>1314.0198412142477</v>
      </c>
      <c r="L546" s="13">
        <v>2.16</v>
      </c>
      <c r="M546" s="13"/>
      <c r="N546" s="17">
        <f t="shared" si="19"/>
        <v>10730.880000000001</v>
      </c>
      <c r="O546" s="17">
        <f t="shared" si="19"/>
        <v>0</v>
      </c>
      <c r="P546" s="17">
        <f t="shared" si="18"/>
        <v>10730.880000000001</v>
      </c>
      <c r="Q546" t="str">
        <f>A546&amp;"-"&amp;B546&amp;"-"&amp;D546</f>
        <v>FEBRUARI-KLB-L2A</v>
      </c>
    </row>
    <row r="547" spans="1:17" x14ac:dyDescent="0.25">
      <c r="A547" t="s">
        <v>392</v>
      </c>
      <c r="B547" s="13" t="s">
        <v>24</v>
      </c>
      <c r="C547" s="13" t="s">
        <v>226</v>
      </c>
      <c r="D547" s="14" t="s">
        <v>222</v>
      </c>
      <c r="E547" s="13" t="s">
        <v>61</v>
      </c>
      <c r="F547" s="13" t="s">
        <v>237</v>
      </c>
      <c r="G547" s="13">
        <v>0.72</v>
      </c>
      <c r="H547" s="15">
        <v>1417</v>
      </c>
      <c r="I547" s="16">
        <v>1020.2400000000001</v>
      </c>
      <c r="J547" s="16">
        <v>754.59367345935038</v>
      </c>
      <c r="K547" s="16">
        <v>265.64632654064962</v>
      </c>
      <c r="L547" s="13">
        <v>2.31</v>
      </c>
      <c r="M547" s="13"/>
      <c r="N547" s="17">
        <f t="shared" si="19"/>
        <v>3273.27</v>
      </c>
      <c r="O547" s="17">
        <f t="shared" si="19"/>
        <v>0</v>
      </c>
      <c r="P547" s="17">
        <f t="shared" si="18"/>
        <v>3273.27</v>
      </c>
      <c r="Q547" t="str">
        <f>A547&amp;"-"&amp;B547&amp;"-"&amp;D547</f>
        <v>FEBRUARI-KLB-L2A</v>
      </c>
    </row>
    <row r="548" spans="1:17" x14ac:dyDescent="0.25">
      <c r="A548" t="s">
        <v>392</v>
      </c>
      <c r="B548" s="13" t="s">
        <v>24</v>
      </c>
      <c r="C548" s="13" t="s">
        <v>226</v>
      </c>
      <c r="D548" s="14" t="s">
        <v>222</v>
      </c>
      <c r="E548" s="13" t="s">
        <v>61</v>
      </c>
      <c r="F548" s="13" t="s">
        <v>449</v>
      </c>
      <c r="G548" s="13">
        <v>0.79999999999999993</v>
      </c>
      <c r="H548" s="15">
        <v>5325</v>
      </c>
      <c r="I548" s="16">
        <v>4260</v>
      </c>
      <c r="J548" s="16">
        <v>2630.0228001327514</v>
      </c>
      <c r="K548" s="16">
        <v>1629.9771998672484</v>
      </c>
      <c r="L548" s="13">
        <v>2.16</v>
      </c>
      <c r="M548" s="13"/>
      <c r="N548" s="17">
        <f t="shared" si="19"/>
        <v>11502</v>
      </c>
      <c r="O548" s="17">
        <f t="shared" si="19"/>
        <v>0</v>
      </c>
      <c r="P548" s="17">
        <f t="shared" si="18"/>
        <v>11502</v>
      </c>
      <c r="Q548" t="str">
        <f>A548&amp;"-"&amp;B548&amp;"-"&amp;D548</f>
        <v>FEBRUARI-KLB-L2A</v>
      </c>
    </row>
    <row r="549" spans="1:17" x14ac:dyDescent="0.25">
      <c r="A549" t="s">
        <v>392</v>
      </c>
      <c r="B549" s="13" t="s">
        <v>24</v>
      </c>
      <c r="C549" s="13" t="s">
        <v>226</v>
      </c>
      <c r="D549" s="14" t="s">
        <v>222</v>
      </c>
      <c r="E549" s="13" t="s">
        <v>61</v>
      </c>
      <c r="F549" s="13" t="s">
        <v>450</v>
      </c>
      <c r="G549" s="13">
        <v>0.71999999999999986</v>
      </c>
      <c r="H549" s="15">
        <v>975</v>
      </c>
      <c r="I549" s="16">
        <v>701.99999999999989</v>
      </c>
      <c r="J549" s="16">
        <v>520.94635798421893</v>
      </c>
      <c r="K549" s="16">
        <v>181.05364201578109</v>
      </c>
      <c r="L549" s="13">
        <v>2.31</v>
      </c>
      <c r="M549" s="13"/>
      <c r="N549" s="17">
        <f t="shared" si="19"/>
        <v>2252.25</v>
      </c>
      <c r="O549" s="17">
        <f t="shared" si="19"/>
        <v>0</v>
      </c>
      <c r="P549" s="17">
        <f t="shared" si="18"/>
        <v>2252.25</v>
      </c>
      <c r="Q549" t="str">
        <f>A549&amp;"-"&amp;B549&amp;"-"&amp;D549</f>
        <v>FEBRUARI-KLB-L2A</v>
      </c>
    </row>
    <row r="550" spans="1:17" x14ac:dyDescent="0.25">
      <c r="A550" t="s">
        <v>392</v>
      </c>
      <c r="B550" s="13" t="s">
        <v>24</v>
      </c>
      <c r="C550" s="13" t="s">
        <v>226</v>
      </c>
      <c r="D550" s="14" t="s">
        <v>223</v>
      </c>
      <c r="E550" s="13" t="s">
        <v>61</v>
      </c>
      <c r="F550" s="13" t="s">
        <v>231</v>
      </c>
      <c r="G550" s="13">
        <v>0.8</v>
      </c>
      <c r="H550" s="15">
        <v>4956</v>
      </c>
      <c r="I550" s="16">
        <v>3964.8</v>
      </c>
      <c r="J550" s="16">
        <v>2524.2615608445535</v>
      </c>
      <c r="K550" s="16">
        <v>1440.5384391554462</v>
      </c>
      <c r="L550" s="13">
        <v>2.16</v>
      </c>
      <c r="M550" s="13"/>
      <c r="N550" s="17">
        <f t="shared" si="19"/>
        <v>10704.960000000001</v>
      </c>
      <c r="O550" s="17">
        <f t="shared" si="19"/>
        <v>0</v>
      </c>
      <c r="P550" s="17">
        <f t="shared" si="18"/>
        <v>10704.960000000001</v>
      </c>
      <c r="Q550" t="str">
        <f>A550&amp;"-"&amp;B550&amp;"-"&amp;D550</f>
        <v>FEBRUARI-KLB-L2B</v>
      </c>
    </row>
    <row r="551" spans="1:17" x14ac:dyDescent="0.25">
      <c r="A551" t="s">
        <v>392</v>
      </c>
      <c r="B551" s="13" t="s">
        <v>24</v>
      </c>
      <c r="C551" s="13" t="s">
        <v>226</v>
      </c>
      <c r="D551" s="14" t="s">
        <v>223</v>
      </c>
      <c r="E551" s="13" t="s">
        <v>61</v>
      </c>
      <c r="F551" s="13" t="s">
        <v>237</v>
      </c>
      <c r="G551" s="13">
        <v>0.72</v>
      </c>
      <c r="H551" s="15">
        <v>635</v>
      </c>
      <c r="I551" s="16">
        <v>457.2000000000001</v>
      </c>
      <c r="J551" s="16">
        <v>328.47472295685509</v>
      </c>
      <c r="K551" s="16">
        <v>128.72527704314496</v>
      </c>
      <c r="L551" s="13">
        <v>2.31</v>
      </c>
      <c r="M551" s="13"/>
      <c r="N551" s="17">
        <f t="shared" si="19"/>
        <v>1466.8500000000001</v>
      </c>
      <c r="O551" s="17">
        <f t="shared" si="19"/>
        <v>0</v>
      </c>
      <c r="P551" s="17">
        <f t="shared" si="18"/>
        <v>1466.8500000000001</v>
      </c>
      <c r="Q551" t="str">
        <f>A551&amp;"-"&amp;B551&amp;"-"&amp;D551</f>
        <v>FEBRUARI-KLB-L2B</v>
      </c>
    </row>
    <row r="552" spans="1:17" x14ac:dyDescent="0.25">
      <c r="A552" t="s">
        <v>392</v>
      </c>
      <c r="B552" s="13" t="s">
        <v>24</v>
      </c>
      <c r="C552" s="13" t="s">
        <v>226</v>
      </c>
      <c r="D552" s="14" t="s">
        <v>223</v>
      </c>
      <c r="E552" s="13" t="s">
        <v>61</v>
      </c>
      <c r="F552" s="13" t="s">
        <v>449</v>
      </c>
      <c r="G552" s="13">
        <v>0.8</v>
      </c>
      <c r="H552" s="15">
        <v>7157</v>
      </c>
      <c r="I552" s="16">
        <v>5725.6</v>
      </c>
      <c r="J552" s="16">
        <v>3670.4193416883513</v>
      </c>
      <c r="K552" s="16">
        <v>2055.1806583116486</v>
      </c>
      <c r="L552" s="13">
        <v>2.16</v>
      </c>
      <c r="M552" s="13"/>
      <c r="N552" s="17">
        <f t="shared" si="19"/>
        <v>15459.12</v>
      </c>
      <c r="O552" s="17">
        <f t="shared" si="19"/>
        <v>0</v>
      </c>
      <c r="P552" s="17">
        <f t="shared" si="18"/>
        <v>15459.12</v>
      </c>
      <c r="Q552" t="str">
        <f>A552&amp;"-"&amp;B552&amp;"-"&amp;D552</f>
        <v>FEBRUARI-KLB-L2B</v>
      </c>
    </row>
    <row r="553" spans="1:17" x14ac:dyDescent="0.25">
      <c r="A553" t="s">
        <v>392</v>
      </c>
      <c r="B553" s="13" t="s">
        <v>24</v>
      </c>
      <c r="C553" s="13" t="s">
        <v>226</v>
      </c>
      <c r="D553" s="14" t="s">
        <v>223</v>
      </c>
      <c r="E553" s="13" t="s">
        <v>61</v>
      </c>
      <c r="F553" s="13" t="s">
        <v>450</v>
      </c>
      <c r="G553" s="13">
        <v>0.72</v>
      </c>
      <c r="H553" s="15">
        <v>1540</v>
      </c>
      <c r="I553" s="16">
        <v>1108.8</v>
      </c>
      <c r="J553" s="16">
        <v>806.58971612514722</v>
      </c>
      <c r="K553" s="16">
        <v>302.21028387485279</v>
      </c>
      <c r="L553" s="13">
        <v>2.31</v>
      </c>
      <c r="M553" s="13"/>
      <c r="N553" s="17">
        <f t="shared" si="19"/>
        <v>3557.4</v>
      </c>
      <c r="O553" s="17">
        <f t="shared" si="19"/>
        <v>0</v>
      </c>
      <c r="P553" s="17">
        <f t="shared" si="18"/>
        <v>3557.4</v>
      </c>
      <c r="Q553" t="str">
        <f>A553&amp;"-"&amp;B553&amp;"-"&amp;D553</f>
        <v>FEBRUARI-KLB-L2B</v>
      </c>
    </row>
    <row r="554" spans="1:17" x14ac:dyDescent="0.25">
      <c r="A554" t="s">
        <v>392</v>
      </c>
      <c r="B554" s="13" t="s">
        <v>24</v>
      </c>
      <c r="C554" s="13" t="s">
        <v>226</v>
      </c>
      <c r="D554" s="14" t="s">
        <v>224</v>
      </c>
      <c r="E554" s="13" t="s">
        <v>61</v>
      </c>
      <c r="F554" s="13" t="s">
        <v>244</v>
      </c>
      <c r="G554" s="13">
        <v>0.8</v>
      </c>
      <c r="H554" s="15">
        <v>1680</v>
      </c>
      <c r="I554" s="16">
        <v>1344</v>
      </c>
      <c r="J554" s="16">
        <v>809.47467021167813</v>
      </c>
      <c r="K554" s="16">
        <v>534.52532978832187</v>
      </c>
      <c r="L554" s="13">
        <v>2.16</v>
      </c>
      <c r="M554" s="13"/>
      <c r="N554" s="17">
        <f t="shared" si="19"/>
        <v>3628.8</v>
      </c>
      <c r="O554" s="17">
        <f t="shared" si="19"/>
        <v>0</v>
      </c>
      <c r="P554" s="17">
        <f t="shared" si="18"/>
        <v>3628.8</v>
      </c>
      <c r="Q554" t="str">
        <f>A554&amp;"-"&amp;B554&amp;"-"&amp;D554</f>
        <v>FEBRUARI-KLB-L3A</v>
      </c>
    </row>
    <row r="555" spans="1:17" x14ac:dyDescent="0.25">
      <c r="A555" t="s">
        <v>392</v>
      </c>
      <c r="B555" s="13" t="s">
        <v>24</v>
      </c>
      <c r="C555" s="13" t="s">
        <v>226</v>
      </c>
      <c r="D555" s="14" t="s">
        <v>224</v>
      </c>
      <c r="E555" s="13" t="s">
        <v>61</v>
      </c>
      <c r="F555" s="13" t="s">
        <v>245</v>
      </c>
      <c r="G555" s="13">
        <v>0.72</v>
      </c>
      <c r="H555" s="15">
        <v>290</v>
      </c>
      <c r="I555" s="16">
        <v>208.79999999999998</v>
      </c>
      <c r="J555" s="16">
        <v>142.24989508927553</v>
      </c>
      <c r="K555" s="16">
        <v>66.550104910724457</v>
      </c>
      <c r="L555" s="13">
        <v>2.31</v>
      </c>
      <c r="M555" s="13"/>
      <c r="N555" s="17">
        <f t="shared" si="19"/>
        <v>669.9</v>
      </c>
      <c r="O555" s="17">
        <f t="shared" si="19"/>
        <v>0</v>
      </c>
      <c r="P555" s="17">
        <f t="shared" si="18"/>
        <v>669.9</v>
      </c>
      <c r="Q555" t="str">
        <f>A555&amp;"-"&amp;B555&amp;"-"&amp;D555</f>
        <v>FEBRUARI-KLB-L3A</v>
      </c>
    </row>
    <row r="556" spans="1:17" x14ac:dyDescent="0.25">
      <c r="A556" t="s">
        <v>392</v>
      </c>
      <c r="B556" s="13" t="s">
        <v>24</v>
      </c>
      <c r="C556" s="13" t="s">
        <v>226</v>
      </c>
      <c r="D556" s="14" t="s">
        <v>224</v>
      </c>
      <c r="E556" s="13" t="s">
        <v>61</v>
      </c>
      <c r="F556" s="13" t="s">
        <v>449</v>
      </c>
      <c r="G556" s="13">
        <v>0.79999999999999993</v>
      </c>
      <c r="H556" s="15">
        <v>8845</v>
      </c>
      <c r="I556" s="16">
        <v>7076</v>
      </c>
      <c r="J556" s="16">
        <v>4730.8860739084448</v>
      </c>
      <c r="K556" s="16">
        <v>2345.1139260915561</v>
      </c>
      <c r="L556" s="13">
        <v>2.16</v>
      </c>
      <c r="M556" s="13"/>
      <c r="N556" s="17">
        <f t="shared" si="19"/>
        <v>19105.2</v>
      </c>
      <c r="O556" s="17">
        <f t="shared" si="19"/>
        <v>0</v>
      </c>
      <c r="P556" s="17">
        <f t="shared" si="18"/>
        <v>19105.2</v>
      </c>
      <c r="Q556" t="str">
        <f>A556&amp;"-"&amp;B556&amp;"-"&amp;D556</f>
        <v>FEBRUARI-KLB-L3A</v>
      </c>
    </row>
    <row r="557" spans="1:17" x14ac:dyDescent="0.25">
      <c r="A557" t="s">
        <v>392</v>
      </c>
      <c r="B557" s="13" t="s">
        <v>24</v>
      </c>
      <c r="C557" s="13" t="s">
        <v>226</v>
      </c>
      <c r="D557" s="14" t="s">
        <v>224</v>
      </c>
      <c r="E557" s="13" t="s">
        <v>61</v>
      </c>
      <c r="F557" s="13" t="s">
        <v>450</v>
      </c>
      <c r="G557" s="13">
        <v>0.72</v>
      </c>
      <c r="H557" s="15">
        <v>1080</v>
      </c>
      <c r="I557" s="16">
        <v>777.6</v>
      </c>
      <c r="J557" s="16">
        <v>540.94236531869217</v>
      </c>
      <c r="K557" s="16">
        <v>236.65763468130785</v>
      </c>
      <c r="L557" s="13">
        <v>2.31</v>
      </c>
      <c r="M557" s="13"/>
      <c r="N557" s="17">
        <f t="shared" si="19"/>
        <v>2494.8000000000002</v>
      </c>
      <c r="O557" s="17">
        <f t="shared" si="19"/>
        <v>0</v>
      </c>
      <c r="P557" s="17">
        <f t="shared" si="18"/>
        <v>2494.8000000000002</v>
      </c>
      <c r="Q557" t="str">
        <f>A557&amp;"-"&amp;B557&amp;"-"&amp;D557</f>
        <v>FEBRUARI-KLB-L3A</v>
      </c>
    </row>
    <row r="558" spans="1:17" x14ac:dyDescent="0.25">
      <c r="A558" t="s">
        <v>392</v>
      </c>
      <c r="B558" s="13" t="s">
        <v>24</v>
      </c>
      <c r="C558" s="13" t="s">
        <v>226</v>
      </c>
      <c r="D558" s="14" t="s">
        <v>225</v>
      </c>
      <c r="E558" s="13" t="s">
        <v>61</v>
      </c>
      <c r="F558" s="13" t="s">
        <v>244</v>
      </c>
      <c r="G558" s="13">
        <v>0.8</v>
      </c>
      <c r="H558" s="15">
        <v>2150</v>
      </c>
      <c r="I558" s="16">
        <v>1720</v>
      </c>
      <c r="J558" s="16">
        <v>1072.4548265895953</v>
      </c>
      <c r="K558" s="16">
        <v>647.54517341040469</v>
      </c>
      <c r="L558" s="13">
        <v>2.16</v>
      </c>
      <c r="M558" s="13"/>
      <c r="N558" s="17">
        <f t="shared" si="19"/>
        <v>4644</v>
      </c>
      <c r="O558" s="17">
        <f t="shared" si="19"/>
        <v>0</v>
      </c>
      <c r="P558" s="17">
        <f t="shared" si="18"/>
        <v>4644</v>
      </c>
      <c r="Q558" t="str">
        <f>A558&amp;"-"&amp;B558&amp;"-"&amp;D558</f>
        <v>FEBRUARI-KLB-L3B</v>
      </c>
    </row>
    <row r="559" spans="1:17" x14ac:dyDescent="0.25">
      <c r="A559" t="s">
        <v>392</v>
      </c>
      <c r="B559" s="13" t="s">
        <v>24</v>
      </c>
      <c r="C559" s="13" t="s">
        <v>226</v>
      </c>
      <c r="D559" s="14" t="s">
        <v>225</v>
      </c>
      <c r="E559" s="13" t="s">
        <v>61</v>
      </c>
      <c r="F559" s="13" t="s">
        <v>245</v>
      </c>
      <c r="G559" s="13">
        <v>0.72</v>
      </c>
      <c r="H559" s="15">
        <v>2800</v>
      </c>
      <c r="I559" s="16">
        <v>2016</v>
      </c>
      <c r="J559" s="16">
        <v>1423.3354403912326</v>
      </c>
      <c r="K559" s="16">
        <v>592.66455960876715</v>
      </c>
      <c r="L559" s="13">
        <v>2.31</v>
      </c>
      <c r="M559" s="13"/>
      <c r="N559" s="17">
        <f t="shared" si="19"/>
        <v>6468</v>
      </c>
      <c r="O559" s="17">
        <f t="shared" si="19"/>
        <v>0</v>
      </c>
      <c r="P559" s="17">
        <f t="shared" si="18"/>
        <v>6468</v>
      </c>
      <c r="Q559" t="str">
        <f>A559&amp;"-"&amp;B559&amp;"-"&amp;D559</f>
        <v>FEBRUARI-KLB-L3B</v>
      </c>
    </row>
    <row r="560" spans="1:17" x14ac:dyDescent="0.25">
      <c r="A560" t="s">
        <v>392</v>
      </c>
      <c r="B560" s="13" t="s">
        <v>24</v>
      </c>
      <c r="C560" s="13" t="s">
        <v>226</v>
      </c>
      <c r="D560" s="14" t="s">
        <v>225</v>
      </c>
      <c r="E560" s="13" t="s">
        <v>61</v>
      </c>
      <c r="F560" s="13" t="s">
        <v>449</v>
      </c>
      <c r="G560" s="13">
        <v>0.79999999999999993</v>
      </c>
      <c r="H560" s="15">
        <v>7655</v>
      </c>
      <c r="I560" s="16">
        <v>6124</v>
      </c>
      <c r="J560" s="16">
        <v>4002.5605005827024</v>
      </c>
      <c r="K560" s="16">
        <v>2121.4394994172972</v>
      </c>
      <c r="L560" s="13">
        <v>2.16</v>
      </c>
      <c r="M560" s="13"/>
      <c r="N560" s="17">
        <f t="shared" si="19"/>
        <v>16534.8</v>
      </c>
      <c r="O560" s="17">
        <f t="shared" si="19"/>
        <v>0</v>
      </c>
      <c r="P560" s="17">
        <f t="shared" si="18"/>
        <v>16534.8</v>
      </c>
      <c r="Q560" t="str">
        <f>A560&amp;"-"&amp;B560&amp;"-"&amp;D560</f>
        <v>FEBRUARI-KLB-L3B</v>
      </c>
    </row>
    <row r="561" spans="1:17" x14ac:dyDescent="0.25">
      <c r="A561" t="s">
        <v>392</v>
      </c>
      <c r="B561" s="13" t="s">
        <v>24</v>
      </c>
      <c r="C561" s="13" t="s">
        <v>226</v>
      </c>
      <c r="D561" s="14" t="s">
        <v>225</v>
      </c>
      <c r="E561" s="13" t="s">
        <v>61</v>
      </c>
      <c r="F561" s="13" t="s">
        <v>450</v>
      </c>
      <c r="G561" s="13">
        <v>0.72</v>
      </c>
      <c r="H561" s="15">
        <v>1435</v>
      </c>
      <c r="I561" s="16">
        <v>1033.2</v>
      </c>
      <c r="J561" s="16">
        <v>774.53790886532806</v>
      </c>
      <c r="K561" s="16">
        <v>258.66209113467187</v>
      </c>
      <c r="L561" s="13">
        <v>2.31</v>
      </c>
      <c r="M561" s="13"/>
      <c r="N561" s="17">
        <f t="shared" si="19"/>
        <v>3314.85</v>
      </c>
      <c r="O561" s="17">
        <f t="shared" si="19"/>
        <v>0</v>
      </c>
      <c r="P561" s="17">
        <f t="shared" si="18"/>
        <v>3314.85</v>
      </c>
      <c r="Q561" t="str">
        <f>A561&amp;"-"&amp;B561&amp;"-"&amp;D561</f>
        <v>FEBRUARI-KLB-L3B</v>
      </c>
    </row>
    <row r="562" spans="1:17" x14ac:dyDescent="0.25">
      <c r="A562" t="s">
        <v>392</v>
      </c>
      <c r="B562" s="13" t="s">
        <v>25</v>
      </c>
      <c r="C562" s="13" t="s">
        <v>154</v>
      </c>
      <c r="D562" s="14" t="s">
        <v>44</v>
      </c>
      <c r="E562" s="13" t="s">
        <v>155</v>
      </c>
      <c r="F562" s="13" t="s">
        <v>246</v>
      </c>
      <c r="G562" s="13">
        <v>0.55000000000000004</v>
      </c>
      <c r="H562" s="15">
        <v>51</v>
      </c>
      <c r="I562" s="16">
        <v>28.05</v>
      </c>
      <c r="J562" s="16">
        <v>47.988344988344984</v>
      </c>
      <c r="K562" s="16">
        <v>-19.938344988344983</v>
      </c>
      <c r="L562" s="13">
        <v>1.61</v>
      </c>
      <c r="M562" s="13"/>
      <c r="N562" s="17">
        <f t="shared" si="19"/>
        <v>82.11</v>
      </c>
      <c r="O562" s="17">
        <f t="shared" si="19"/>
        <v>0</v>
      </c>
      <c r="P562" s="17">
        <f t="shared" si="18"/>
        <v>82.11</v>
      </c>
      <c r="Q562" t="str">
        <f>A562&amp;"-"&amp;B562&amp;"-"&amp;D562</f>
        <v>FEBRUARI-MJ1-L1</v>
      </c>
    </row>
    <row r="563" spans="1:17" x14ac:dyDescent="0.25">
      <c r="A563" t="s">
        <v>392</v>
      </c>
      <c r="B563" s="13" t="s">
        <v>25</v>
      </c>
      <c r="C563" s="13" t="s">
        <v>154</v>
      </c>
      <c r="D563" s="14" t="s">
        <v>44</v>
      </c>
      <c r="E563" s="13" t="s">
        <v>155</v>
      </c>
      <c r="F563" s="13" t="s">
        <v>247</v>
      </c>
      <c r="G563" s="13">
        <v>0.55000000000000004</v>
      </c>
      <c r="H563" s="15">
        <v>1060</v>
      </c>
      <c r="I563" s="16">
        <v>583</v>
      </c>
      <c r="J563" s="16">
        <v>997.40481740481744</v>
      </c>
      <c r="K563" s="16">
        <v>-414.40481740481744</v>
      </c>
      <c r="L563" s="13">
        <v>2.48</v>
      </c>
      <c r="M563" s="13"/>
      <c r="N563" s="17">
        <f t="shared" si="19"/>
        <v>2628.8</v>
      </c>
      <c r="O563" s="17">
        <f t="shared" si="19"/>
        <v>0</v>
      </c>
      <c r="P563" s="17">
        <f t="shared" si="18"/>
        <v>2628.8</v>
      </c>
      <c r="Q563" t="str">
        <f>A563&amp;"-"&amp;B563&amp;"-"&amp;D563</f>
        <v>FEBRUARI-MJ1-L1</v>
      </c>
    </row>
    <row r="564" spans="1:17" x14ac:dyDescent="0.25">
      <c r="A564" t="s">
        <v>392</v>
      </c>
      <c r="B564" s="13" t="s">
        <v>25</v>
      </c>
      <c r="C564" s="13" t="s">
        <v>154</v>
      </c>
      <c r="D564" s="14" t="s">
        <v>44</v>
      </c>
      <c r="E564" s="13" t="s">
        <v>155</v>
      </c>
      <c r="F564" s="13" t="s">
        <v>451</v>
      </c>
      <c r="G564" s="13">
        <v>0.55000000000000004</v>
      </c>
      <c r="H564" s="15">
        <v>1196</v>
      </c>
      <c r="I564" s="16">
        <v>657.8</v>
      </c>
      <c r="J564" s="16">
        <v>1648.8759446751524</v>
      </c>
      <c r="K564" s="16">
        <v>-991.07594467515264</v>
      </c>
      <c r="L564" s="13">
        <v>1.61</v>
      </c>
      <c r="M564" s="13"/>
      <c r="N564" s="17">
        <f t="shared" si="19"/>
        <v>1925.5600000000002</v>
      </c>
      <c r="O564" s="17">
        <f t="shared" si="19"/>
        <v>0</v>
      </c>
      <c r="P564" s="17">
        <f t="shared" si="18"/>
        <v>1925.5600000000002</v>
      </c>
      <c r="Q564" t="str">
        <f>A564&amp;"-"&amp;B564&amp;"-"&amp;D564</f>
        <v>FEBRUARI-MJ1-L1</v>
      </c>
    </row>
    <row r="565" spans="1:17" x14ac:dyDescent="0.25">
      <c r="A565" t="s">
        <v>392</v>
      </c>
      <c r="B565" s="13" t="s">
        <v>25</v>
      </c>
      <c r="C565" s="13" t="s">
        <v>154</v>
      </c>
      <c r="D565" s="14" t="s">
        <v>44</v>
      </c>
      <c r="E565" s="13" t="s">
        <v>155</v>
      </c>
      <c r="F565" s="13" t="s">
        <v>452</v>
      </c>
      <c r="G565" s="13">
        <v>0.55000000000000004</v>
      </c>
      <c r="H565" s="15">
        <v>33</v>
      </c>
      <c r="I565" s="16">
        <v>18.150000000000002</v>
      </c>
      <c r="J565" s="16">
        <v>47.515285996055226</v>
      </c>
      <c r="K565" s="16">
        <v>-29.365285996055228</v>
      </c>
      <c r="L565" s="13">
        <v>2.48</v>
      </c>
      <c r="M565" s="13"/>
      <c r="N565" s="17">
        <f t="shared" si="19"/>
        <v>81.84</v>
      </c>
      <c r="O565" s="17">
        <f t="shared" si="19"/>
        <v>0</v>
      </c>
      <c r="P565" s="17">
        <f t="shared" si="18"/>
        <v>81.84</v>
      </c>
      <c r="Q565" t="str">
        <f>A565&amp;"-"&amp;B565&amp;"-"&amp;D565</f>
        <v>FEBRUARI-MJ1-L1</v>
      </c>
    </row>
    <row r="566" spans="1:17" x14ac:dyDescent="0.25">
      <c r="A566" t="s">
        <v>392</v>
      </c>
      <c r="B566" s="13" t="s">
        <v>25</v>
      </c>
      <c r="C566" s="13" t="s">
        <v>154</v>
      </c>
      <c r="D566" s="14" t="s">
        <v>44</v>
      </c>
      <c r="E566" s="13" t="s">
        <v>155</v>
      </c>
      <c r="F566" s="13" t="s">
        <v>453</v>
      </c>
      <c r="G566" s="13">
        <v>0.54999999999999993</v>
      </c>
      <c r="H566" s="15">
        <v>3013</v>
      </c>
      <c r="I566" s="16">
        <v>1657.1500000000003</v>
      </c>
      <c r="J566" s="16">
        <v>3838.3856314523232</v>
      </c>
      <c r="K566" s="16">
        <v>-2181.2356314523227</v>
      </c>
      <c r="L566" s="13">
        <v>2.5499999999999998</v>
      </c>
      <c r="M566" s="13"/>
      <c r="N566" s="17">
        <f t="shared" si="19"/>
        <v>7683.15</v>
      </c>
      <c r="O566" s="17">
        <f t="shared" si="19"/>
        <v>0</v>
      </c>
      <c r="P566" s="17">
        <f t="shared" si="18"/>
        <v>7683.15</v>
      </c>
      <c r="Q566" t="str">
        <f>A566&amp;"-"&amp;B566&amp;"-"&amp;D566</f>
        <v>FEBRUARI-MJ1-L1</v>
      </c>
    </row>
    <row r="567" spans="1:17" x14ac:dyDescent="0.25">
      <c r="A567" t="s">
        <v>392</v>
      </c>
      <c r="B567" s="13" t="s">
        <v>25</v>
      </c>
      <c r="C567" s="13" t="s">
        <v>154</v>
      </c>
      <c r="D567" s="14" t="s">
        <v>44</v>
      </c>
      <c r="E567" s="13" t="s">
        <v>155</v>
      </c>
      <c r="F567" s="13" t="s">
        <v>248</v>
      </c>
      <c r="G567" s="13">
        <v>0.54999999999999993</v>
      </c>
      <c r="H567" s="15">
        <v>2915</v>
      </c>
      <c r="I567" s="16">
        <v>1603.2499999999998</v>
      </c>
      <c r="J567" s="16">
        <v>4462.6271076040857</v>
      </c>
      <c r="K567" s="16">
        <v>-2859.3771076040853</v>
      </c>
      <c r="L567" s="13">
        <v>1.61</v>
      </c>
      <c r="M567" s="13"/>
      <c r="N567" s="17">
        <f t="shared" si="19"/>
        <v>4693.1500000000005</v>
      </c>
      <c r="O567" s="17">
        <f t="shared" si="19"/>
        <v>0</v>
      </c>
      <c r="P567" s="17">
        <f t="shared" si="18"/>
        <v>4693.1500000000005</v>
      </c>
      <c r="Q567" t="str">
        <f>A567&amp;"-"&amp;B567&amp;"-"&amp;D567</f>
        <v>FEBRUARI-MJ1-L1</v>
      </c>
    </row>
    <row r="568" spans="1:17" x14ac:dyDescent="0.25">
      <c r="A568" t="s">
        <v>392</v>
      </c>
      <c r="B568" s="13" t="s">
        <v>25</v>
      </c>
      <c r="C568" s="13" t="s">
        <v>154</v>
      </c>
      <c r="D568" s="14" t="s">
        <v>44</v>
      </c>
      <c r="E568" s="13" t="s">
        <v>155</v>
      </c>
      <c r="F568" s="13" t="s">
        <v>454</v>
      </c>
      <c r="G568" s="13">
        <v>0.55000000000000004</v>
      </c>
      <c r="H568" s="15">
        <v>282</v>
      </c>
      <c r="I568" s="16">
        <v>155.1</v>
      </c>
      <c r="J568" s="16">
        <v>540.18576949876899</v>
      </c>
      <c r="K568" s="16">
        <v>-385.08576949876897</v>
      </c>
      <c r="L568" s="13">
        <v>1.83</v>
      </c>
      <c r="M568" s="13"/>
      <c r="N568" s="17">
        <f t="shared" si="19"/>
        <v>516.06000000000006</v>
      </c>
      <c r="O568" s="17">
        <f t="shared" si="19"/>
        <v>0</v>
      </c>
      <c r="P568" s="17">
        <f t="shared" si="18"/>
        <v>516.06000000000006</v>
      </c>
      <c r="Q568" t="str">
        <f>A568&amp;"-"&amp;B568&amp;"-"&amp;D568</f>
        <v>FEBRUARI-MJ1-L1</v>
      </c>
    </row>
    <row r="569" spans="1:17" x14ac:dyDescent="0.25">
      <c r="A569" t="s">
        <v>392</v>
      </c>
      <c r="B569" s="13" t="s">
        <v>25</v>
      </c>
      <c r="C569" s="13" t="s">
        <v>154</v>
      </c>
      <c r="D569" s="14" t="s">
        <v>44</v>
      </c>
      <c r="E569" s="13" t="s">
        <v>155</v>
      </c>
      <c r="F569" s="13" t="s">
        <v>455</v>
      </c>
      <c r="G569" s="13">
        <v>0.55000000000000004</v>
      </c>
      <c r="H569" s="15">
        <v>40</v>
      </c>
      <c r="I569" s="16">
        <v>22</v>
      </c>
      <c r="J569" s="16">
        <v>42.753751103265664</v>
      </c>
      <c r="K569" s="16">
        <v>-20.753751103265664</v>
      </c>
      <c r="L569" s="13">
        <v>1.61</v>
      </c>
      <c r="M569" s="13"/>
      <c r="N569" s="17">
        <f t="shared" si="19"/>
        <v>64.400000000000006</v>
      </c>
      <c r="O569" s="17">
        <f t="shared" si="19"/>
        <v>0</v>
      </c>
      <c r="P569" s="17">
        <f t="shared" si="18"/>
        <v>64.400000000000006</v>
      </c>
      <c r="Q569" t="str">
        <f>A569&amp;"-"&amp;B569&amp;"-"&amp;D569</f>
        <v>FEBRUARI-MJ1-L1</v>
      </c>
    </row>
    <row r="570" spans="1:17" x14ac:dyDescent="0.25">
      <c r="A570" t="s">
        <v>392</v>
      </c>
      <c r="B570" s="13" t="s">
        <v>25</v>
      </c>
      <c r="C570" s="13" t="s">
        <v>154</v>
      </c>
      <c r="D570" s="14" t="s">
        <v>44</v>
      </c>
      <c r="E570" s="13" t="s">
        <v>155</v>
      </c>
      <c r="F570" s="13" t="s">
        <v>456</v>
      </c>
      <c r="G570" s="13">
        <v>0.55000000000000004</v>
      </c>
      <c r="H570" s="15">
        <v>1874</v>
      </c>
      <c r="I570" s="16">
        <v>1030.6999999999998</v>
      </c>
      <c r="J570" s="16">
        <v>2108.1594455755867</v>
      </c>
      <c r="K570" s="16">
        <v>-1077.4594455755871</v>
      </c>
      <c r="L570" s="13">
        <v>1.61</v>
      </c>
      <c r="M570" s="13"/>
      <c r="N570" s="17">
        <f t="shared" si="19"/>
        <v>3017.1400000000003</v>
      </c>
      <c r="O570" s="17">
        <f t="shared" si="19"/>
        <v>0</v>
      </c>
      <c r="P570" s="17">
        <f t="shared" si="18"/>
        <v>3017.1400000000003</v>
      </c>
      <c r="Q570" t="str">
        <f>A570&amp;"-"&amp;B570&amp;"-"&amp;D570</f>
        <v>FEBRUARI-MJ1-L1</v>
      </c>
    </row>
    <row r="571" spans="1:17" x14ac:dyDescent="0.25">
      <c r="A571" t="s">
        <v>392</v>
      </c>
      <c r="B571" s="13" t="s">
        <v>25</v>
      </c>
      <c r="C571" s="13" t="s">
        <v>154</v>
      </c>
      <c r="D571" s="14" t="s">
        <v>44</v>
      </c>
      <c r="E571" s="13" t="s">
        <v>155</v>
      </c>
      <c r="F571" s="13" t="s">
        <v>457</v>
      </c>
      <c r="G571" s="13">
        <v>0.55000000000000004</v>
      </c>
      <c r="H571" s="15">
        <v>124</v>
      </c>
      <c r="I571" s="16">
        <v>68.2</v>
      </c>
      <c r="J571" s="16">
        <v>132.53662842012358</v>
      </c>
      <c r="K571" s="16">
        <v>-64.336628420123574</v>
      </c>
      <c r="L571" s="13">
        <v>1.61</v>
      </c>
      <c r="M571" s="13"/>
      <c r="N571" s="17">
        <f t="shared" si="19"/>
        <v>199.64000000000001</v>
      </c>
      <c r="O571" s="17">
        <f t="shared" si="19"/>
        <v>0</v>
      </c>
      <c r="P571" s="17">
        <f t="shared" si="18"/>
        <v>199.64000000000001</v>
      </c>
      <c r="Q571" t="str">
        <f>A571&amp;"-"&amp;B571&amp;"-"&amp;D571</f>
        <v>FEBRUARI-MJ1-L1</v>
      </c>
    </row>
    <row r="572" spans="1:17" x14ac:dyDescent="0.25">
      <c r="A572" t="s">
        <v>392</v>
      </c>
      <c r="B572" s="13" t="s">
        <v>25</v>
      </c>
      <c r="C572" s="13" t="s">
        <v>154</v>
      </c>
      <c r="D572" s="14" t="s">
        <v>44</v>
      </c>
      <c r="E572" s="13" t="s">
        <v>155</v>
      </c>
      <c r="F572" s="13" t="s">
        <v>458</v>
      </c>
      <c r="G572" s="13">
        <v>0.55000000000000004</v>
      </c>
      <c r="H572" s="15">
        <v>43</v>
      </c>
      <c r="I572" s="16">
        <v>23.65</v>
      </c>
      <c r="J572" s="16">
        <v>60.136526222882893</v>
      </c>
      <c r="K572" s="16">
        <v>-36.486526222882887</v>
      </c>
      <c r="L572" s="13">
        <v>1.61</v>
      </c>
      <c r="M572" s="13"/>
      <c r="N572" s="17">
        <f t="shared" si="19"/>
        <v>69.23</v>
      </c>
      <c r="O572" s="17">
        <f t="shared" si="19"/>
        <v>0</v>
      </c>
      <c r="P572" s="17">
        <f t="shared" si="18"/>
        <v>69.23</v>
      </c>
      <c r="Q572" t="str">
        <f>A572&amp;"-"&amp;B572&amp;"-"&amp;D572</f>
        <v>FEBRUARI-MJ1-L1</v>
      </c>
    </row>
    <row r="573" spans="1:17" x14ac:dyDescent="0.25">
      <c r="A573" t="s">
        <v>392</v>
      </c>
      <c r="B573" s="13" t="s">
        <v>25</v>
      </c>
      <c r="C573" s="13" t="s">
        <v>154</v>
      </c>
      <c r="D573" s="14" t="s">
        <v>44</v>
      </c>
      <c r="E573" s="13" t="s">
        <v>155</v>
      </c>
      <c r="F573" s="13" t="s">
        <v>459</v>
      </c>
      <c r="G573" s="13">
        <v>0.55000000000000004</v>
      </c>
      <c r="H573" s="15">
        <v>50</v>
      </c>
      <c r="I573" s="16">
        <v>27.5</v>
      </c>
      <c r="J573" s="16">
        <v>100.69633483532309</v>
      </c>
      <c r="K573" s="16">
        <v>-73.196334835323086</v>
      </c>
      <c r="L573" s="13">
        <v>1.61</v>
      </c>
      <c r="M573" s="13"/>
      <c r="N573" s="17">
        <f t="shared" si="19"/>
        <v>80.5</v>
      </c>
      <c r="O573" s="17">
        <f t="shared" si="19"/>
        <v>0</v>
      </c>
      <c r="P573" s="17">
        <f t="shared" si="18"/>
        <v>80.5</v>
      </c>
      <c r="Q573" t="str">
        <f>A573&amp;"-"&amp;B573&amp;"-"&amp;D573</f>
        <v>FEBRUARI-MJ1-L1</v>
      </c>
    </row>
    <row r="574" spans="1:17" x14ac:dyDescent="0.25">
      <c r="A574" t="s">
        <v>392</v>
      </c>
      <c r="B574" s="13" t="s">
        <v>25</v>
      </c>
      <c r="C574" s="13" t="s">
        <v>154</v>
      </c>
      <c r="D574" s="14" t="s">
        <v>44</v>
      </c>
      <c r="E574" s="13" t="s">
        <v>155</v>
      </c>
      <c r="F574" s="13" t="s">
        <v>460</v>
      </c>
      <c r="G574" s="13">
        <v>0.55000000000000004</v>
      </c>
      <c r="H574" s="15">
        <v>50</v>
      </c>
      <c r="I574" s="16">
        <v>27.5</v>
      </c>
      <c r="J574" s="16">
        <v>100.69633483532309</v>
      </c>
      <c r="K574" s="16">
        <v>-73.196334835323086</v>
      </c>
      <c r="L574" s="13">
        <v>1.83</v>
      </c>
      <c r="M574" s="13"/>
      <c r="N574" s="17">
        <f t="shared" si="19"/>
        <v>91.5</v>
      </c>
      <c r="O574" s="17">
        <f t="shared" si="19"/>
        <v>0</v>
      </c>
      <c r="P574" s="17">
        <f t="shared" si="18"/>
        <v>91.5</v>
      </c>
      <c r="Q574" t="str">
        <f>A574&amp;"-"&amp;B574&amp;"-"&amp;D574</f>
        <v>FEBRUARI-MJ1-L1</v>
      </c>
    </row>
    <row r="575" spans="1:17" x14ac:dyDescent="0.25">
      <c r="A575" t="s">
        <v>392</v>
      </c>
      <c r="B575" s="13" t="s">
        <v>25</v>
      </c>
      <c r="C575" s="13" t="s">
        <v>154</v>
      </c>
      <c r="D575" s="14" t="s">
        <v>44</v>
      </c>
      <c r="E575" s="13" t="s">
        <v>155</v>
      </c>
      <c r="F575" s="13" t="s">
        <v>461</v>
      </c>
      <c r="G575" s="13">
        <v>0.55000000000000004</v>
      </c>
      <c r="H575" s="15">
        <v>50</v>
      </c>
      <c r="I575" s="16">
        <v>27.5</v>
      </c>
      <c r="J575" s="16">
        <v>53.762842012356572</v>
      </c>
      <c r="K575" s="16">
        <v>-26.262842012356572</v>
      </c>
      <c r="L575" s="13">
        <v>1.61</v>
      </c>
      <c r="M575" s="13"/>
      <c r="N575" s="17">
        <f t="shared" si="19"/>
        <v>80.5</v>
      </c>
      <c r="O575" s="17">
        <f t="shared" si="19"/>
        <v>0</v>
      </c>
      <c r="P575" s="17">
        <f t="shared" si="18"/>
        <v>80.5</v>
      </c>
      <c r="Q575" t="str">
        <f>A575&amp;"-"&amp;B575&amp;"-"&amp;D575</f>
        <v>FEBRUARI-MJ1-L1</v>
      </c>
    </row>
    <row r="576" spans="1:17" x14ac:dyDescent="0.25">
      <c r="A576" t="s">
        <v>392</v>
      </c>
      <c r="B576" s="13" t="s">
        <v>25</v>
      </c>
      <c r="C576" s="13" t="s">
        <v>154</v>
      </c>
      <c r="D576" s="14" t="s">
        <v>44</v>
      </c>
      <c r="E576" s="13" t="s">
        <v>155</v>
      </c>
      <c r="F576" s="13" t="s">
        <v>462</v>
      </c>
      <c r="G576" s="13">
        <v>0.55000000000000004</v>
      </c>
      <c r="H576" s="15">
        <v>80</v>
      </c>
      <c r="I576" s="16">
        <v>44</v>
      </c>
      <c r="J576" s="16">
        <v>181.23427602545638</v>
      </c>
      <c r="K576" s="16">
        <v>-137.23427602545641</v>
      </c>
      <c r="L576" s="13">
        <v>1.61</v>
      </c>
      <c r="M576" s="13"/>
      <c r="N576" s="17">
        <f t="shared" si="19"/>
        <v>128.80000000000001</v>
      </c>
      <c r="O576" s="17">
        <f t="shared" si="19"/>
        <v>0</v>
      </c>
      <c r="P576" s="17">
        <f t="shared" si="18"/>
        <v>128.80000000000001</v>
      </c>
      <c r="Q576" t="str">
        <f>A576&amp;"-"&amp;B576&amp;"-"&amp;D576</f>
        <v>FEBRUARI-MJ1-L1</v>
      </c>
    </row>
    <row r="577" spans="1:17" x14ac:dyDescent="0.25">
      <c r="A577" t="s">
        <v>392</v>
      </c>
      <c r="B577" s="13" t="s">
        <v>25</v>
      </c>
      <c r="C577" s="13" t="s">
        <v>154</v>
      </c>
      <c r="D577" s="14" t="s">
        <v>44</v>
      </c>
      <c r="E577" s="13" t="s">
        <v>155</v>
      </c>
      <c r="F577" s="13" t="s">
        <v>463</v>
      </c>
      <c r="G577" s="13">
        <v>0.55000000000000004</v>
      </c>
      <c r="H577" s="15">
        <v>193</v>
      </c>
      <c r="I577" s="16">
        <v>106.15</v>
      </c>
      <c r="J577" s="16">
        <v>211.00488684241202</v>
      </c>
      <c r="K577" s="16">
        <v>-104.85488684241201</v>
      </c>
      <c r="L577" s="13">
        <v>1.61</v>
      </c>
      <c r="M577" s="13"/>
      <c r="N577" s="17">
        <f t="shared" si="19"/>
        <v>310.73</v>
      </c>
      <c r="O577" s="17">
        <f t="shared" si="19"/>
        <v>0</v>
      </c>
      <c r="P577" s="17">
        <f t="shared" si="18"/>
        <v>310.73</v>
      </c>
      <c r="Q577" t="str">
        <f>A577&amp;"-"&amp;B577&amp;"-"&amp;D577</f>
        <v>FEBRUARI-MJ1-L1</v>
      </c>
    </row>
    <row r="578" spans="1:17" x14ac:dyDescent="0.25">
      <c r="A578" t="s">
        <v>392</v>
      </c>
      <c r="B578" s="13" t="s">
        <v>25</v>
      </c>
      <c r="C578" s="13" t="s">
        <v>154</v>
      </c>
      <c r="D578" s="14" t="s">
        <v>44</v>
      </c>
      <c r="E578" s="13" t="s">
        <v>155</v>
      </c>
      <c r="F578" s="13" t="s">
        <v>464</v>
      </c>
      <c r="G578" s="13">
        <v>0.55000000000000004</v>
      </c>
      <c r="H578" s="15">
        <v>202</v>
      </c>
      <c r="I578" s="16">
        <v>111.1</v>
      </c>
      <c r="J578" s="16">
        <v>218.85645189761692</v>
      </c>
      <c r="K578" s="16">
        <v>-107.75645189761693</v>
      </c>
      <c r="L578" s="13">
        <v>1.61</v>
      </c>
      <c r="M578" s="13"/>
      <c r="N578" s="17">
        <f t="shared" si="19"/>
        <v>325.22000000000003</v>
      </c>
      <c r="O578" s="17">
        <f t="shared" si="19"/>
        <v>0</v>
      </c>
      <c r="P578" s="17">
        <f t="shared" ref="P578:P641" si="20">N578+O578</f>
        <v>325.22000000000003</v>
      </c>
      <c r="Q578" t="str">
        <f>A578&amp;"-"&amp;B578&amp;"-"&amp;D578</f>
        <v>FEBRUARI-MJ1-L1</v>
      </c>
    </row>
    <row r="579" spans="1:17" x14ac:dyDescent="0.25">
      <c r="A579" t="s">
        <v>392</v>
      </c>
      <c r="B579" s="13" t="s">
        <v>25</v>
      </c>
      <c r="C579" s="13" t="s">
        <v>154</v>
      </c>
      <c r="D579" s="14" t="s">
        <v>44</v>
      </c>
      <c r="E579" s="13" t="s">
        <v>249</v>
      </c>
      <c r="F579" s="13" t="s">
        <v>465</v>
      </c>
      <c r="G579" s="13">
        <v>1.19</v>
      </c>
      <c r="H579" s="15">
        <v>18</v>
      </c>
      <c r="I579" s="16">
        <v>21.42</v>
      </c>
      <c r="J579" s="16">
        <v>114.73628510339088</v>
      </c>
      <c r="K579" s="16">
        <v>-93.316285103390896</v>
      </c>
      <c r="L579" s="13">
        <v>2.9</v>
      </c>
      <c r="M579" s="13"/>
      <c r="N579" s="17">
        <f t="shared" si="19"/>
        <v>52.199999999999996</v>
      </c>
      <c r="O579" s="17">
        <f t="shared" si="19"/>
        <v>0</v>
      </c>
      <c r="P579" s="17">
        <f t="shared" si="20"/>
        <v>52.199999999999996</v>
      </c>
      <c r="Q579" t="str">
        <f>A579&amp;"-"&amp;B579&amp;"-"&amp;D579</f>
        <v>FEBRUARI-MJ1-L1</v>
      </c>
    </row>
    <row r="580" spans="1:17" x14ac:dyDescent="0.25">
      <c r="A580" t="s">
        <v>392</v>
      </c>
      <c r="B580" s="13" t="s">
        <v>25</v>
      </c>
      <c r="C580" s="13" t="s">
        <v>154</v>
      </c>
      <c r="D580" s="14" t="s">
        <v>44</v>
      </c>
      <c r="E580" s="13" t="s">
        <v>249</v>
      </c>
      <c r="F580" s="13" t="s">
        <v>264</v>
      </c>
      <c r="G580" s="13">
        <v>1.19</v>
      </c>
      <c r="H580" s="15">
        <v>7</v>
      </c>
      <c r="I580" s="16">
        <v>8.33</v>
      </c>
      <c r="J580" s="16">
        <v>59.637545553038507</v>
      </c>
      <c r="K580" s="16">
        <v>-51.307545553038509</v>
      </c>
      <c r="L580" s="13">
        <v>2.9</v>
      </c>
      <c r="M580" s="13"/>
      <c r="N580" s="17">
        <f t="shared" si="19"/>
        <v>20.3</v>
      </c>
      <c r="O580" s="17">
        <f t="shared" si="19"/>
        <v>0</v>
      </c>
      <c r="P580" s="17">
        <f t="shared" si="20"/>
        <v>20.3</v>
      </c>
      <c r="Q580" t="str">
        <f>A580&amp;"-"&amp;B580&amp;"-"&amp;D580</f>
        <v>FEBRUARI-MJ1-L1</v>
      </c>
    </row>
    <row r="581" spans="1:17" x14ac:dyDescent="0.25">
      <c r="A581" t="s">
        <v>392</v>
      </c>
      <c r="B581" s="13" t="s">
        <v>25</v>
      </c>
      <c r="C581" s="13" t="s">
        <v>154</v>
      </c>
      <c r="D581" s="14" t="s">
        <v>44</v>
      </c>
      <c r="E581" s="13" t="s">
        <v>249</v>
      </c>
      <c r="F581" s="13" t="s">
        <v>466</v>
      </c>
      <c r="G581" s="13">
        <v>1.19</v>
      </c>
      <c r="H581" s="15">
        <v>14</v>
      </c>
      <c r="I581" s="16">
        <v>16.66</v>
      </c>
      <c r="J581" s="16">
        <v>84.409359261668968</v>
      </c>
      <c r="K581" s="16">
        <v>-67.749359261668957</v>
      </c>
      <c r="L581" s="13">
        <v>2.9</v>
      </c>
      <c r="M581" s="13"/>
      <c r="N581" s="17">
        <f t="shared" si="19"/>
        <v>40.6</v>
      </c>
      <c r="O581" s="17">
        <f t="shared" si="19"/>
        <v>0</v>
      </c>
      <c r="P581" s="17">
        <f t="shared" si="20"/>
        <v>40.6</v>
      </c>
      <c r="Q581" t="str">
        <f>A581&amp;"-"&amp;B581&amp;"-"&amp;D581</f>
        <v>FEBRUARI-MJ1-L1</v>
      </c>
    </row>
    <row r="582" spans="1:17" x14ac:dyDescent="0.25">
      <c r="A582" t="s">
        <v>392</v>
      </c>
      <c r="B582" s="13" t="s">
        <v>25</v>
      </c>
      <c r="C582" s="13" t="s">
        <v>154</v>
      </c>
      <c r="D582" s="14" t="s">
        <v>44</v>
      </c>
      <c r="E582" s="13" t="s">
        <v>249</v>
      </c>
      <c r="F582" s="13" t="s">
        <v>467</v>
      </c>
      <c r="G582" s="13">
        <v>1.19</v>
      </c>
      <c r="H582" s="15">
        <v>26</v>
      </c>
      <c r="I582" s="16">
        <v>30.939999999999998</v>
      </c>
      <c r="J582" s="16">
        <v>163.24089737102099</v>
      </c>
      <c r="K582" s="16">
        <v>-132.30089737102099</v>
      </c>
      <c r="L582" s="13">
        <v>2.9</v>
      </c>
      <c r="M582" s="13"/>
      <c r="N582" s="17">
        <f t="shared" si="19"/>
        <v>75.399999999999991</v>
      </c>
      <c r="O582" s="17">
        <f t="shared" si="19"/>
        <v>0</v>
      </c>
      <c r="P582" s="17">
        <f t="shared" si="20"/>
        <v>75.399999999999991</v>
      </c>
      <c r="Q582" t="str">
        <f>A582&amp;"-"&amp;B582&amp;"-"&amp;D582</f>
        <v>FEBRUARI-MJ1-L1</v>
      </c>
    </row>
    <row r="583" spans="1:17" x14ac:dyDescent="0.25">
      <c r="A583" t="s">
        <v>392</v>
      </c>
      <c r="B583" s="13" t="s">
        <v>25</v>
      </c>
      <c r="C583" s="13" t="s">
        <v>154</v>
      </c>
      <c r="D583" s="14" t="s">
        <v>44</v>
      </c>
      <c r="E583" s="13" t="s">
        <v>249</v>
      </c>
      <c r="F583" s="13" t="s">
        <v>267</v>
      </c>
      <c r="G583" s="13">
        <v>1.19</v>
      </c>
      <c r="H583" s="15">
        <v>1</v>
      </c>
      <c r="I583" s="16">
        <v>1.19</v>
      </c>
      <c r="J583" s="16">
        <v>6.3072916666666661</v>
      </c>
      <c r="K583" s="16">
        <v>-5.1172916666666666</v>
      </c>
      <c r="L583" s="13">
        <v>2.9</v>
      </c>
      <c r="M583" s="13"/>
      <c r="N583" s="17">
        <f t="shared" si="19"/>
        <v>2.9</v>
      </c>
      <c r="O583" s="17">
        <f t="shared" si="19"/>
        <v>0</v>
      </c>
      <c r="P583" s="17">
        <f t="shared" si="20"/>
        <v>2.9</v>
      </c>
      <c r="Q583" t="str">
        <f>A583&amp;"-"&amp;B583&amp;"-"&amp;D583</f>
        <v>FEBRUARI-MJ1-L1</v>
      </c>
    </row>
    <row r="584" spans="1:17" x14ac:dyDescent="0.25">
      <c r="A584" t="s">
        <v>392</v>
      </c>
      <c r="B584" s="13" t="s">
        <v>25</v>
      </c>
      <c r="C584" s="13" t="s">
        <v>154</v>
      </c>
      <c r="D584" s="14" t="s">
        <v>44</v>
      </c>
      <c r="E584" s="13" t="s">
        <v>249</v>
      </c>
      <c r="F584" s="13" t="s">
        <v>468</v>
      </c>
      <c r="G584" s="13">
        <v>1.19</v>
      </c>
      <c r="H584" s="15">
        <v>9</v>
      </c>
      <c r="I584" s="16">
        <v>10.71</v>
      </c>
      <c r="J584" s="16">
        <v>54.886093640810621</v>
      </c>
      <c r="K584" s="16">
        <v>-44.17609364081062</v>
      </c>
      <c r="L584" s="13">
        <v>2.9</v>
      </c>
      <c r="M584" s="13"/>
      <c r="N584" s="17">
        <f t="shared" si="19"/>
        <v>26.099999999999998</v>
      </c>
      <c r="O584" s="17">
        <f t="shared" si="19"/>
        <v>0</v>
      </c>
      <c r="P584" s="17">
        <f t="shared" si="20"/>
        <v>26.099999999999998</v>
      </c>
      <c r="Q584" t="str">
        <f>A584&amp;"-"&amp;B584&amp;"-"&amp;D584</f>
        <v>FEBRUARI-MJ1-L1</v>
      </c>
    </row>
    <row r="585" spans="1:17" x14ac:dyDescent="0.25">
      <c r="A585" t="s">
        <v>392</v>
      </c>
      <c r="B585" s="13" t="s">
        <v>25</v>
      </c>
      <c r="C585" s="13" t="s">
        <v>154</v>
      </c>
      <c r="D585" s="14" t="s">
        <v>44</v>
      </c>
      <c r="E585" s="13" t="s">
        <v>249</v>
      </c>
      <c r="F585" s="13" t="s">
        <v>469</v>
      </c>
      <c r="G585" s="13">
        <v>1.19</v>
      </c>
      <c r="H585" s="15">
        <v>24</v>
      </c>
      <c r="I585" s="16">
        <v>28.56</v>
      </c>
      <c r="J585" s="16">
        <v>146.68356466420877</v>
      </c>
      <c r="K585" s="16">
        <v>-118.12356466420877</v>
      </c>
      <c r="L585" s="13">
        <v>2.9</v>
      </c>
      <c r="M585" s="13"/>
      <c r="N585" s="17">
        <f t="shared" si="19"/>
        <v>69.599999999999994</v>
      </c>
      <c r="O585" s="17">
        <f t="shared" si="19"/>
        <v>0</v>
      </c>
      <c r="P585" s="17">
        <f t="shared" si="20"/>
        <v>69.599999999999994</v>
      </c>
      <c r="Q585" t="str">
        <f>A585&amp;"-"&amp;B585&amp;"-"&amp;D585</f>
        <v>FEBRUARI-MJ1-L1</v>
      </c>
    </row>
    <row r="586" spans="1:17" x14ac:dyDescent="0.25">
      <c r="A586" t="s">
        <v>392</v>
      </c>
      <c r="B586" s="13" t="s">
        <v>25</v>
      </c>
      <c r="C586" s="13" t="s">
        <v>154</v>
      </c>
      <c r="D586" s="14" t="s">
        <v>44</v>
      </c>
      <c r="E586" s="13" t="s">
        <v>249</v>
      </c>
      <c r="F586" s="13" t="s">
        <v>470</v>
      </c>
      <c r="G586" s="13">
        <v>1.19</v>
      </c>
      <c r="H586" s="15">
        <v>3</v>
      </c>
      <c r="I586" s="16">
        <v>3.57</v>
      </c>
      <c r="J586" s="16">
        <v>18.921875</v>
      </c>
      <c r="K586" s="16">
        <v>-15.351875</v>
      </c>
      <c r="L586" s="13">
        <v>2.9</v>
      </c>
      <c r="M586" s="13"/>
      <c r="N586" s="17">
        <f t="shared" si="19"/>
        <v>8.6999999999999993</v>
      </c>
      <c r="O586" s="17">
        <f t="shared" si="19"/>
        <v>0</v>
      </c>
      <c r="P586" s="17">
        <f t="shared" si="20"/>
        <v>8.6999999999999993</v>
      </c>
      <c r="Q586" t="str">
        <f>A586&amp;"-"&amp;B586&amp;"-"&amp;D586</f>
        <v>FEBRUARI-MJ1-L1</v>
      </c>
    </row>
    <row r="587" spans="1:17" x14ac:dyDescent="0.25">
      <c r="A587" t="s">
        <v>392</v>
      </c>
      <c r="B587" s="13" t="s">
        <v>25</v>
      </c>
      <c r="C587" s="13" t="s">
        <v>154</v>
      </c>
      <c r="D587" s="14" t="s">
        <v>44</v>
      </c>
      <c r="E587" s="13" t="s">
        <v>249</v>
      </c>
      <c r="F587" s="13" t="s">
        <v>273</v>
      </c>
      <c r="G587" s="13">
        <v>1.19</v>
      </c>
      <c r="H587" s="15">
        <v>32</v>
      </c>
      <c r="I587" s="16">
        <v>38.08</v>
      </c>
      <c r="J587" s="16">
        <v>260.32252134286534</v>
      </c>
      <c r="K587" s="16">
        <v>-222.24252134286536</v>
      </c>
      <c r="L587" s="13">
        <v>2.9</v>
      </c>
      <c r="M587" s="13"/>
      <c r="N587" s="17">
        <f t="shared" si="19"/>
        <v>92.8</v>
      </c>
      <c r="O587" s="17">
        <f t="shared" si="19"/>
        <v>0</v>
      </c>
      <c r="P587" s="17">
        <f t="shared" si="20"/>
        <v>92.8</v>
      </c>
      <c r="Q587" t="str">
        <f>A587&amp;"-"&amp;B587&amp;"-"&amp;D587</f>
        <v>FEBRUARI-MJ1-L1</v>
      </c>
    </row>
    <row r="588" spans="1:17" x14ac:dyDescent="0.25">
      <c r="A588" t="s">
        <v>392</v>
      </c>
      <c r="B588" s="13" t="s">
        <v>25</v>
      </c>
      <c r="C588" s="13" t="s">
        <v>154</v>
      </c>
      <c r="D588" s="14" t="s">
        <v>44</v>
      </c>
      <c r="E588" s="13" t="s">
        <v>249</v>
      </c>
      <c r="F588" s="13" t="s">
        <v>471</v>
      </c>
      <c r="G588" s="13">
        <v>1.19</v>
      </c>
      <c r="H588" s="15">
        <v>62</v>
      </c>
      <c r="I588" s="16">
        <v>73.78</v>
      </c>
      <c r="J588" s="16">
        <v>400.62521950830143</v>
      </c>
      <c r="K588" s="16">
        <v>-326.8452195083014</v>
      </c>
      <c r="L588" s="13">
        <v>2.9</v>
      </c>
      <c r="M588" s="13"/>
      <c r="N588" s="17">
        <f t="shared" si="19"/>
        <v>179.79999999999998</v>
      </c>
      <c r="O588" s="17">
        <f t="shared" si="19"/>
        <v>0</v>
      </c>
      <c r="P588" s="17">
        <f t="shared" si="20"/>
        <v>179.79999999999998</v>
      </c>
      <c r="Q588" t="str">
        <f>A588&amp;"-"&amp;B588&amp;"-"&amp;D588</f>
        <v>FEBRUARI-MJ1-L1</v>
      </c>
    </row>
    <row r="589" spans="1:17" x14ac:dyDescent="0.25">
      <c r="A589" t="s">
        <v>392</v>
      </c>
      <c r="B589" s="13" t="s">
        <v>25</v>
      </c>
      <c r="C589" s="13" t="s">
        <v>154</v>
      </c>
      <c r="D589" s="14" t="s">
        <v>44</v>
      </c>
      <c r="E589" s="13" t="s">
        <v>249</v>
      </c>
      <c r="F589" s="13" t="s">
        <v>274</v>
      </c>
      <c r="G589" s="13">
        <v>1.1899999999999997</v>
      </c>
      <c r="H589" s="15">
        <v>81</v>
      </c>
      <c r="I589" s="16">
        <v>96.39</v>
      </c>
      <c r="J589" s="16">
        <v>514.42158709957039</v>
      </c>
      <c r="K589" s="16">
        <v>-418.03158709957034</v>
      </c>
      <c r="L589" s="13">
        <v>2.9</v>
      </c>
      <c r="M589" s="13"/>
      <c r="N589" s="17">
        <f t="shared" si="19"/>
        <v>234.9</v>
      </c>
      <c r="O589" s="17">
        <f t="shared" si="19"/>
        <v>0</v>
      </c>
      <c r="P589" s="17">
        <f t="shared" si="20"/>
        <v>234.9</v>
      </c>
      <c r="Q589" t="str">
        <f>A589&amp;"-"&amp;B589&amp;"-"&amp;D589</f>
        <v>FEBRUARI-MJ1-L1</v>
      </c>
    </row>
    <row r="590" spans="1:17" x14ac:dyDescent="0.25">
      <c r="A590" t="s">
        <v>392</v>
      </c>
      <c r="B590" s="13" t="s">
        <v>25</v>
      </c>
      <c r="C590" s="13" t="s">
        <v>154</v>
      </c>
      <c r="D590" s="14" t="s">
        <v>44</v>
      </c>
      <c r="E590" s="13" t="s">
        <v>249</v>
      </c>
      <c r="F590" s="13" t="s">
        <v>472</v>
      </c>
      <c r="G590" s="13">
        <v>1.19</v>
      </c>
      <c r="H590" s="15">
        <v>5</v>
      </c>
      <c r="I590" s="16">
        <v>5.9499999999999993</v>
      </c>
      <c r="J590" s="16">
        <v>30.749952641967162</v>
      </c>
      <c r="K590" s="16">
        <v>-24.79995264196716</v>
      </c>
      <c r="L590" s="13">
        <v>2.9</v>
      </c>
      <c r="M590" s="13"/>
      <c r="N590" s="17">
        <f t="shared" si="19"/>
        <v>14.5</v>
      </c>
      <c r="O590" s="17">
        <f t="shared" si="19"/>
        <v>0</v>
      </c>
      <c r="P590" s="17">
        <f t="shared" si="20"/>
        <v>14.5</v>
      </c>
      <c r="Q590" t="str">
        <f>A590&amp;"-"&amp;B590&amp;"-"&amp;D590</f>
        <v>FEBRUARI-MJ1-L1</v>
      </c>
    </row>
    <row r="591" spans="1:17" x14ac:dyDescent="0.25">
      <c r="A591" t="s">
        <v>392</v>
      </c>
      <c r="B591" s="13" t="s">
        <v>25</v>
      </c>
      <c r="C591" s="13" t="s">
        <v>154</v>
      </c>
      <c r="D591" s="14" t="s">
        <v>44</v>
      </c>
      <c r="E591" s="13" t="s">
        <v>249</v>
      </c>
      <c r="F591" s="13" t="s">
        <v>473</v>
      </c>
      <c r="G591" s="13">
        <v>1.19</v>
      </c>
      <c r="H591" s="15">
        <v>97</v>
      </c>
      <c r="I591" s="16">
        <v>115.43</v>
      </c>
      <c r="J591" s="16">
        <v>585.04977053157006</v>
      </c>
      <c r="K591" s="16">
        <v>-469.61977053157005</v>
      </c>
      <c r="L591" s="13">
        <v>2.9</v>
      </c>
      <c r="M591" s="13"/>
      <c r="N591" s="17">
        <f t="shared" si="19"/>
        <v>281.3</v>
      </c>
      <c r="O591" s="17">
        <f t="shared" si="19"/>
        <v>0</v>
      </c>
      <c r="P591" s="17">
        <f t="shared" si="20"/>
        <v>281.3</v>
      </c>
      <c r="Q591" t="str">
        <f>A591&amp;"-"&amp;B591&amp;"-"&amp;D591</f>
        <v>FEBRUARI-MJ1-L1</v>
      </c>
    </row>
    <row r="592" spans="1:17" x14ac:dyDescent="0.25">
      <c r="A592" t="s">
        <v>392</v>
      </c>
      <c r="B592" s="13" t="s">
        <v>25</v>
      </c>
      <c r="C592" s="13" t="s">
        <v>154</v>
      </c>
      <c r="D592" s="14" t="s">
        <v>44</v>
      </c>
      <c r="E592" s="13" t="s">
        <v>249</v>
      </c>
      <c r="F592" s="13" t="s">
        <v>474</v>
      </c>
      <c r="G592" s="13">
        <v>1.19</v>
      </c>
      <c r="H592" s="15">
        <v>18</v>
      </c>
      <c r="I592" s="16">
        <v>21.419999999999998</v>
      </c>
      <c r="J592" s="16">
        <v>110.87691269669148</v>
      </c>
      <c r="K592" s="16">
        <v>-89.456912696691489</v>
      </c>
      <c r="L592" s="13">
        <v>2.9</v>
      </c>
      <c r="M592" s="13"/>
      <c r="N592" s="17">
        <f t="shared" si="19"/>
        <v>52.199999999999996</v>
      </c>
      <c r="O592" s="17">
        <f t="shared" si="19"/>
        <v>0</v>
      </c>
      <c r="P592" s="17">
        <f t="shared" si="20"/>
        <v>52.199999999999996</v>
      </c>
      <c r="Q592" t="str">
        <f>A592&amp;"-"&amp;B592&amp;"-"&amp;D592</f>
        <v>FEBRUARI-MJ1-L1</v>
      </c>
    </row>
    <row r="593" spans="1:17" x14ac:dyDescent="0.25">
      <c r="A593" t="s">
        <v>392</v>
      </c>
      <c r="B593" s="13" t="s">
        <v>25</v>
      </c>
      <c r="C593" s="13" t="s">
        <v>154</v>
      </c>
      <c r="D593" s="14" t="s">
        <v>44</v>
      </c>
      <c r="E593" s="13" t="s">
        <v>249</v>
      </c>
      <c r="F593" s="13" t="s">
        <v>475</v>
      </c>
      <c r="G593" s="13">
        <v>1.19</v>
      </c>
      <c r="H593" s="15">
        <v>1</v>
      </c>
      <c r="I593" s="16">
        <v>1.19</v>
      </c>
      <c r="J593" s="16">
        <v>6.3072916666666661</v>
      </c>
      <c r="K593" s="16">
        <v>-5.1172916666666666</v>
      </c>
      <c r="L593" s="13">
        <v>2.9</v>
      </c>
      <c r="M593" s="13"/>
      <c r="N593" s="17">
        <f t="shared" si="19"/>
        <v>2.9</v>
      </c>
      <c r="O593" s="17">
        <f t="shared" si="19"/>
        <v>0</v>
      </c>
      <c r="P593" s="17">
        <f t="shared" si="20"/>
        <v>2.9</v>
      </c>
      <c r="Q593" t="str">
        <f>A593&amp;"-"&amp;B593&amp;"-"&amp;D593</f>
        <v>FEBRUARI-MJ1-L1</v>
      </c>
    </row>
    <row r="594" spans="1:17" x14ac:dyDescent="0.25">
      <c r="A594" t="s">
        <v>392</v>
      </c>
      <c r="B594" s="13" t="s">
        <v>25</v>
      </c>
      <c r="C594" s="13" t="s">
        <v>154</v>
      </c>
      <c r="D594" s="14" t="s">
        <v>44</v>
      </c>
      <c r="E594" s="13" t="s">
        <v>249</v>
      </c>
      <c r="F594" s="13" t="s">
        <v>476</v>
      </c>
      <c r="G594" s="13">
        <v>1.19</v>
      </c>
      <c r="H594" s="15">
        <v>6</v>
      </c>
      <c r="I594" s="16">
        <v>7.14</v>
      </c>
      <c r="J594" s="16">
        <v>38.444444444444443</v>
      </c>
      <c r="K594" s="16">
        <v>-31.304444444444442</v>
      </c>
      <c r="L594" s="13">
        <v>2.9</v>
      </c>
      <c r="M594" s="13"/>
      <c r="N594" s="17">
        <f t="shared" si="19"/>
        <v>17.399999999999999</v>
      </c>
      <c r="O594" s="17">
        <f t="shared" si="19"/>
        <v>0</v>
      </c>
      <c r="P594" s="17">
        <f t="shared" si="20"/>
        <v>17.399999999999999</v>
      </c>
      <c r="Q594" t="str">
        <f>A594&amp;"-"&amp;B594&amp;"-"&amp;D594</f>
        <v>FEBRUARI-MJ1-L1</v>
      </c>
    </row>
    <row r="595" spans="1:17" x14ac:dyDescent="0.25">
      <c r="A595" t="s">
        <v>392</v>
      </c>
      <c r="B595" s="13" t="s">
        <v>25</v>
      </c>
      <c r="C595" s="13" t="s">
        <v>154</v>
      </c>
      <c r="D595" s="14" t="s">
        <v>44</v>
      </c>
      <c r="E595" s="13" t="s">
        <v>249</v>
      </c>
      <c r="F595" s="13" t="s">
        <v>477</v>
      </c>
      <c r="G595" s="13">
        <v>1.19</v>
      </c>
      <c r="H595" s="15">
        <v>13</v>
      </c>
      <c r="I595" s="16">
        <v>15.47</v>
      </c>
      <c r="J595" s="16">
        <v>84.749817543306222</v>
      </c>
      <c r="K595" s="16">
        <v>-69.279817543306223</v>
      </c>
      <c r="L595" s="13">
        <v>2.9</v>
      </c>
      <c r="M595" s="13"/>
      <c r="N595" s="17">
        <f t="shared" si="19"/>
        <v>37.699999999999996</v>
      </c>
      <c r="O595" s="17">
        <f t="shared" si="19"/>
        <v>0</v>
      </c>
      <c r="P595" s="17">
        <f t="shared" si="20"/>
        <v>37.699999999999996</v>
      </c>
      <c r="Q595" t="str">
        <f>A595&amp;"-"&amp;B595&amp;"-"&amp;D595</f>
        <v>FEBRUARI-MJ1-L1</v>
      </c>
    </row>
    <row r="596" spans="1:17" x14ac:dyDescent="0.25">
      <c r="A596" t="s">
        <v>392</v>
      </c>
      <c r="B596" s="13" t="s">
        <v>25</v>
      </c>
      <c r="C596" s="13" t="s">
        <v>154</v>
      </c>
      <c r="D596" s="14" t="s">
        <v>44</v>
      </c>
      <c r="E596" s="13" t="s">
        <v>249</v>
      </c>
      <c r="F596" s="13" t="s">
        <v>478</v>
      </c>
      <c r="G596" s="13">
        <v>1.19</v>
      </c>
      <c r="H596" s="15">
        <v>193</v>
      </c>
      <c r="I596" s="16">
        <v>229.67000000000002</v>
      </c>
      <c r="J596" s="16">
        <v>1283.5726520734261</v>
      </c>
      <c r="K596" s="16">
        <v>-1053.9026520734262</v>
      </c>
      <c r="L596" s="13">
        <v>2.86</v>
      </c>
      <c r="M596" s="13"/>
      <c r="N596" s="17">
        <f t="shared" si="19"/>
        <v>551.98</v>
      </c>
      <c r="O596" s="17">
        <f t="shared" si="19"/>
        <v>0</v>
      </c>
      <c r="P596" s="17">
        <f t="shared" si="20"/>
        <v>551.98</v>
      </c>
      <c r="Q596" t="str">
        <f>A596&amp;"-"&amp;B596&amp;"-"&amp;D596</f>
        <v>FEBRUARI-MJ1-L1</v>
      </c>
    </row>
    <row r="597" spans="1:17" x14ac:dyDescent="0.25">
      <c r="A597" t="s">
        <v>392</v>
      </c>
      <c r="B597" s="13" t="s">
        <v>25</v>
      </c>
      <c r="C597" s="13" t="s">
        <v>154</v>
      </c>
      <c r="D597" s="14" t="s">
        <v>44</v>
      </c>
      <c r="E597" s="13" t="s">
        <v>249</v>
      </c>
      <c r="F597" s="13" t="s">
        <v>479</v>
      </c>
      <c r="G597" s="13">
        <v>1.1899999999999997</v>
      </c>
      <c r="H597" s="15">
        <v>450</v>
      </c>
      <c r="I597" s="16">
        <v>535.5</v>
      </c>
      <c r="J597" s="16">
        <v>2874.8158816697146</v>
      </c>
      <c r="K597" s="16">
        <v>-2339.3158816697146</v>
      </c>
      <c r="L597" s="13">
        <v>2.86</v>
      </c>
      <c r="M597" s="13"/>
      <c r="N597" s="17">
        <f t="shared" si="19"/>
        <v>1287</v>
      </c>
      <c r="O597" s="17">
        <f t="shared" si="19"/>
        <v>0</v>
      </c>
      <c r="P597" s="17">
        <f t="shared" si="20"/>
        <v>1287</v>
      </c>
      <c r="Q597" t="str">
        <f>A597&amp;"-"&amp;B597&amp;"-"&amp;D597</f>
        <v>FEBRUARI-MJ1-L1</v>
      </c>
    </row>
    <row r="598" spans="1:17" x14ac:dyDescent="0.25">
      <c r="A598" t="s">
        <v>392</v>
      </c>
      <c r="B598" s="13" t="s">
        <v>25</v>
      </c>
      <c r="C598" s="13" t="s">
        <v>154</v>
      </c>
      <c r="D598" s="14" t="s">
        <v>44</v>
      </c>
      <c r="E598" s="13" t="s">
        <v>249</v>
      </c>
      <c r="F598" s="13" t="s">
        <v>480</v>
      </c>
      <c r="G598" s="13">
        <v>1.19</v>
      </c>
      <c r="H598" s="15">
        <v>58</v>
      </c>
      <c r="I598" s="16">
        <v>69.02000000000001</v>
      </c>
      <c r="J598" s="16">
        <v>329.13810714566097</v>
      </c>
      <c r="K598" s="16">
        <v>-260.11810714566093</v>
      </c>
      <c r="L598" s="13">
        <v>2.86</v>
      </c>
      <c r="M598" s="13"/>
      <c r="N598" s="17">
        <f t="shared" si="19"/>
        <v>165.88</v>
      </c>
      <c r="O598" s="17">
        <f t="shared" si="19"/>
        <v>0</v>
      </c>
      <c r="P598" s="17">
        <f t="shared" si="20"/>
        <v>165.88</v>
      </c>
      <c r="Q598" t="str">
        <f>A598&amp;"-"&amp;B598&amp;"-"&amp;D598</f>
        <v>FEBRUARI-MJ1-L1</v>
      </c>
    </row>
    <row r="599" spans="1:17" x14ac:dyDescent="0.25">
      <c r="A599" t="s">
        <v>392</v>
      </c>
      <c r="B599" s="13" t="s">
        <v>25</v>
      </c>
      <c r="C599" s="13" t="s">
        <v>154</v>
      </c>
      <c r="D599" s="14" t="s">
        <v>44</v>
      </c>
      <c r="E599" s="13" t="s">
        <v>249</v>
      </c>
      <c r="F599" s="13" t="s">
        <v>279</v>
      </c>
      <c r="G599" s="13">
        <v>1.19</v>
      </c>
      <c r="H599" s="15">
        <v>70</v>
      </c>
      <c r="I599" s="16">
        <v>83.3</v>
      </c>
      <c r="J599" s="16">
        <v>589.40464037083916</v>
      </c>
      <c r="K599" s="16">
        <v>-506.10464037083915</v>
      </c>
      <c r="L599" s="13">
        <v>2.86</v>
      </c>
      <c r="M599" s="13"/>
      <c r="N599" s="17">
        <f t="shared" si="19"/>
        <v>200.2</v>
      </c>
      <c r="O599" s="17">
        <f t="shared" si="19"/>
        <v>0</v>
      </c>
      <c r="P599" s="17">
        <f t="shared" si="20"/>
        <v>200.2</v>
      </c>
      <c r="Q599" t="str">
        <f>A599&amp;"-"&amp;B599&amp;"-"&amp;D599</f>
        <v>FEBRUARI-MJ1-L1</v>
      </c>
    </row>
    <row r="600" spans="1:17" x14ac:dyDescent="0.25">
      <c r="A600" t="s">
        <v>392</v>
      </c>
      <c r="B600" s="13" t="s">
        <v>25</v>
      </c>
      <c r="C600" s="13" t="s">
        <v>154</v>
      </c>
      <c r="D600" s="14" t="s">
        <v>44</v>
      </c>
      <c r="E600" s="13" t="s">
        <v>249</v>
      </c>
      <c r="F600" s="13" t="s">
        <v>280</v>
      </c>
      <c r="G600" s="13">
        <v>1.19</v>
      </c>
      <c r="H600" s="15">
        <v>59</v>
      </c>
      <c r="I600" s="16">
        <v>70.209999999999994</v>
      </c>
      <c r="J600" s="16">
        <v>474.83281438838202</v>
      </c>
      <c r="K600" s="16">
        <v>-404.62281438838204</v>
      </c>
      <c r="L600" s="13">
        <v>2.86</v>
      </c>
      <c r="M600" s="13"/>
      <c r="N600" s="17">
        <f t="shared" si="19"/>
        <v>168.73999999999998</v>
      </c>
      <c r="O600" s="17">
        <f t="shared" si="19"/>
        <v>0</v>
      </c>
      <c r="P600" s="17">
        <f t="shared" si="20"/>
        <v>168.73999999999998</v>
      </c>
      <c r="Q600" t="str">
        <f>A600&amp;"-"&amp;B600&amp;"-"&amp;D600</f>
        <v>FEBRUARI-MJ1-L1</v>
      </c>
    </row>
    <row r="601" spans="1:17" x14ac:dyDescent="0.25">
      <c r="A601" t="s">
        <v>392</v>
      </c>
      <c r="B601" s="13" t="s">
        <v>25</v>
      </c>
      <c r="C601" s="13" t="s">
        <v>154</v>
      </c>
      <c r="D601" s="14" t="s">
        <v>44</v>
      </c>
      <c r="E601" s="13" t="s">
        <v>249</v>
      </c>
      <c r="F601" s="13" t="s">
        <v>481</v>
      </c>
      <c r="G601" s="13">
        <v>1.19</v>
      </c>
      <c r="H601" s="15">
        <v>42</v>
      </c>
      <c r="I601" s="16">
        <v>49.98</v>
      </c>
      <c r="J601" s="16">
        <v>193.30315574431484</v>
      </c>
      <c r="K601" s="16">
        <v>-143.32315574431485</v>
      </c>
      <c r="L601" s="13">
        <v>2.86</v>
      </c>
      <c r="M601" s="13"/>
      <c r="N601" s="17">
        <f t="shared" si="19"/>
        <v>120.11999999999999</v>
      </c>
      <c r="O601" s="17">
        <f t="shared" si="19"/>
        <v>0</v>
      </c>
      <c r="P601" s="17">
        <f t="shared" si="20"/>
        <v>120.11999999999999</v>
      </c>
      <c r="Q601" t="str">
        <f>A601&amp;"-"&amp;B601&amp;"-"&amp;D601</f>
        <v>FEBRUARI-MJ1-L1</v>
      </c>
    </row>
    <row r="602" spans="1:17" x14ac:dyDescent="0.25">
      <c r="A602" t="s">
        <v>392</v>
      </c>
      <c r="B602" s="13" t="s">
        <v>25</v>
      </c>
      <c r="C602" s="13" t="s">
        <v>154</v>
      </c>
      <c r="D602" s="14" t="s">
        <v>44</v>
      </c>
      <c r="E602" s="13" t="s">
        <v>249</v>
      </c>
      <c r="F602" s="13" t="s">
        <v>482</v>
      </c>
      <c r="G602" s="13">
        <v>1.19</v>
      </c>
      <c r="H602" s="15">
        <v>22</v>
      </c>
      <c r="I602" s="16">
        <v>26.18</v>
      </c>
      <c r="J602" s="16">
        <v>77.417988280199992</v>
      </c>
      <c r="K602" s="16">
        <v>-51.237988280199993</v>
      </c>
      <c r="L602" s="13">
        <v>2.86</v>
      </c>
      <c r="M602" s="13"/>
      <c r="N602" s="17">
        <f t="shared" si="19"/>
        <v>62.919999999999995</v>
      </c>
      <c r="O602" s="17">
        <f t="shared" si="19"/>
        <v>0</v>
      </c>
      <c r="P602" s="17">
        <f t="shared" si="20"/>
        <v>62.919999999999995</v>
      </c>
      <c r="Q602" t="str">
        <f>A602&amp;"-"&amp;B602&amp;"-"&amp;D602</f>
        <v>FEBRUARI-MJ1-L1</v>
      </c>
    </row>
    <row r="603" spans="1:17" x14ac:dyDescent="0.25">
      <c r="A603" t="s">
        <v>392</v>
      </c>
      <c r="B603" s="13" t="s">
        <v>25</v>
      </c>
      <c r="C603" s="13" t="s">
        <v>154</v>
      </c>
      <c r="D603" s="14" t="s">
        <v>44</v>
      </c>
      <c r="E603" s="13" t="s">
        <v>249</v>
      </c>
      <c r="F603" s="13" t="s">
        <v>483</v>
      </c>
      <c r="G603" s="13">
        <v>1.19</v>
      </c>
      <c r="H603" s="15">
        <v>11</v>
      </c>
      <c r="I603" s="16">
        <v>13.09</v>
      </c>
      <c r="J603" s="16">
        <v>36.783775065856673</v>
      </c>
      <c r="K603" s="16">
        <v>-23.693775065856673</v>
      </c>
      <c r="L603" s="13">
        <v>2.86</v>
      </c>
      <c r="M603" s="13"/>
      <c r="N603" s="17">
        <f t="shared" si="19"/>
        <v>31.459999999999997</v>
      </c>
      <c r="O603" s="17">
        <f t="shared" si="19"/>
        <v>0</v>
      </c>
      <c r="P603" s="17">
        <f t="shared" si="20"/>
        <v>31.459999999999997</v>
      </c>
      <c r="Q603" t="str">
        <f>A603&amp;"-"&amp;B603&amp;"-"&amp;D603</f>
        <v>FEBRUARI-MJ1-L1</v>
      </c>
    </row>
    <row r="604" spans="1:17" x14ac:dyDescent="0.25">
      <c r="A604" t="s">
        <v>392</v>
      </c>
      <c r="B604" s="13" t="s">
        <v>25</v>
      </c>
      <c r="C604" s="13" t="s">
        <v>154</v>
      </c>
      <c r="D604" s="14" t="s">
        <v>44</v>
      </c>
      <c r="E604" s="13" t="s">
        <v>249</v>
      </c>
      <c r="F604" s="13" t="s">
        <v>484</v>
      </c>
      <c r="G604" s="13">
        <v>1.19</v>
      </c>
      <c r="H604" s="15">
        <v>10</v>
      </c>
      <c r="I604" s="16">
        <v>11.899999999999999</v>
      </c>
      <c r="J604" s="16">
        <v>57.278705541476349</v>
      </c>
      <c r="K604" s="16">
        <v>-45.37870554147635</v>
      </c>
      <c r="L604" s="13">
        <v>2.86</v>
      </c>
      <c r="M604" s="13"/>
      <c r="N604" s="17">
        <f t="shared" si="19"/>
        <v>28.599999999999998</v>
      </c>
      <c r="O604" s="17">
        <f t="shared" si="19"/>
        <v>0</v>
      </c>
      <c r="P604" s="17">
        <f t="shared" si="20"/>
        <v>28.599999999999998</v>
      </c>
      <c r="Q604" t="str">
        <f>A604&amp;"-"&amp;B604&amp;"-"&amp;D604</f>
        <v>FEBRUARI-MJ1-L1</v>
      </c>
    </row>
    <row r="605" spans="1:17" x14ac:dyDescent="0.25">
      <c r="A605" t="s">
        <v>392</v>
      </c>
      <c r="B605" s="13" t="s">
        <v>25</v>
      </c>
      <c r="C605" s="13" t="s">
        <v>154</v>
      </c>
      <c r="D605" s="14" t="s">
        <v>44</v>
      </c>
      <c r="E605" s="13" t="s">
        <v>249</v>
      </c>
      <c r="F605" s="13" t="s">
        <v>281</v>
      </c>
      <c r="G605" s="13">
        <v>1.1899999999999997</v>
      </c>
      <c r="H605" s="15">
        <v>16</v>
      </c>
      <c r="I605" s="16">
        <v>19.04</v>
      </c>
      <c r="J605" s="16">
        <v>116.56675091707648</v>
      </c>
      <c r="K605" s="16">
        <v>-97.52675091707647</v>
      </c>
      <c r="L605" s="13">
        <v>2.86</v>
      </c>
      <c r="M605" s="13"/>
      <c r="N605" s="17">
        <f t="shared" si="19"/>
        <v>45.76</v>
      </c>
      <c r="O605" s="17">
        <f t="shared" si="19"/>
        <v>0</v>
      </c>
      <c r="P605" s="17">
        <f t="shared" si="20"/>
        <v>45.76</v>
      </c>
      <c r="Q605" t="str">
        <f>A605&amp;"-"&amp;B605&amp;"-"&amp;D605</f>
        <v>FEBRUARI-MJ1-L1</v>
      </c>
    </row>
    <row r="606" spans="1:17" x14ac:dyDescent="0.25">
      <c r="A606" t="s">
        <v>392</v>
      </c>
      <c r="B606" s="13" t="s">
        <v>25</v>
      </c>
      <c r="C606" s="13" t="s">
        <v>154</v>
      </c>
      <c r="D606" s="14" t="s">
        <v>44</v>
      </c>
      <c r="E606" s="13" t="s">
        <v>249</v>
      </c>
      <c r="F606" s="13" t="s">
        <v>282</v>
      </c>
      <c r="G606" s="13">
        <v>1.19</v>
      </c>
      <c r="H606" s="15">
        <v>9</v>
      </c>
      <c r="I606" s="16">
        <v>10.71</v>
      </c>
      <c r="J606" s="16">
        <v>70.131610904065994</v>
      </c>
      <c r="K606" s="16">
        <v>-59.421610904066</v>
      </c>
      <c r="L606" s="13">
        <v>2.86</v>
      </c>
      <c r="M606" s="13"/>
      <c r="N606" s="17">
        <f t="shared" ref="N606:O665" si="21">$H606*L606</f>
        <v>25.74</v>
      </c>
      <c r="O606" s="17">
        <f t="shared" si="21"/>
        <v>0</v>
      </c>
      <c r="P606" s="17">
        <f t="shared" si="20"/>
        <v>25.74</v>
      </c>
      <c r="Q606" t="str">
        <f>A606&amp;"-"&amp;B606&amp;"-"&amp;D606</f>
        <v>FEBRUARI-MJ1-L1</v>
      </c>
    </row>
    <row r="607" spans="1:17" x14ac:dyDescent="0.25">
      <c r="A607" t="s">
        <v>392</v>
      </c>
      <c r="B607" s="13" t="s">
        <v>25</v>
      </c>
      <c r="C607" s="13" t="s">
        <v>154</v>
      </c>
      <c r="D607" s="14" t="s">
        <v>44</v>
      </c>
      <c r="E607" s="13" t="s">
        <v>249</v>
      </c>
      <c r="F607" s="13" t="s">
        <v>283</v>
      </c>
      <c r="G607" s="13">
        <v>1.19</v>
      </c>
      <c r="H607" s="15">
        <v>90</v>
      </c>
      <c r="I607" s="16">
        <v>107.09999999999998</v>
      </c>
      <c r="J607" s="16">
        <v>643.56310877290412</v>
      </c>
      <c r="K607" s="16">
        <v>-536.46310877290398</v>
      </c>
      <c r="L607" s="13">
        <v>2.86</v>
      </c>
      <c r="M607" s="13"/>
      <c r="N607" s="17">
        <f t="shared" si="21"/>
        <v>257.39999999999998</v>
      </c>
      <c r="O607" s="17">
        <f t="shared" si="21"/>
        <v>0</v>
      </c>
      <c r="P607" s="17">
        <f t="shared" si="20"/>
        <v>257.39999999999998</v>
      </c>
      <c r="Q607" t="str">
        <f>A607&amp;"-"&amp;B607&amp;"-"&amp;D607</f>
        <v>FEBRUARI-MJ1-L1</v>
      </c>
    </row>
    <row r="608" spans="1:17" x14ac:dyDescent="0.25">
      <c r="A608" t="s">
        <v>392</v>
      </c>
      <c r="B608" s="13" t="s">
        <v>25</v>
      </c>
      <c r="C608" s="13" t="s">
        <v>154</v>
      </c>
      <c r="D608" s="14" t="s">
        <v>287</v>
      </c>
      <c r="E608" s="13" t="s">
        <v>155</v>
      </c>
      <c r="F608" s="13" t="s">
        <v>247</v>
      </c>
      <c r="G608" s="13">
        <v>0.55000000000000004</v>
      </c>
      <c r="H608" s="15">
        <v>280</v>
      </c>
      <c r="I608" s="16">
        <v>154</v>
      </c>
      <c r="J608" s="16">
        <v>497.44946771876658</v>
      </c>
      <c r="K608" s="16">
        <v>-343.44946771876658</v>
      </c>
      <c r="L608" s="13">
        <v>2.48</v>
      </c>
      <c r="M608" s="13"/>
      <c r="N608" s="17">
        <f t="shared" si="21"/>
        <v>694.4</v>
      </c>
      <c r="O608" s="17">
        <f t="shared" si="21"/>
        <v>0</v>
      </c>
      <c r="P608" s="17">
        <f t="shared" si="20"/>
        <v>694.4</v>
      </c>
      <c r="Q608" t="str">
        <f>A608&amp;"-"&amp;B608&amp;"-"&amp;D608</f>
        <v>FEBRUARI-MJ1-L11</v>
      </c>
    </row>
    <row r="609" spans="1:17" x14ac:dyDescent="0.25">
      <c r="A609" t="s">
        <v>392</v>
      </c>
      <c r="B609" s="13" t="s">
        <v>25</v>
      </c>
      <c r="C609" s="13" t="s">
        <v>154</v>
      </c>
      <c r="D609" s="14" t="s">
        <v>287</v>
      </c>
      <c r="E609" s="13" t="s">
        <v>155</v>
      </c>
      <c r="F609" s="13" t="s">
        <v>485</v>
      </c>
      <c r="G609" s="13">
        <v>0.54999999999999993</v>
      </c>
      <c r="H609" s="15">
        <v>2304</v>
      </c>
      <c r="I609" s="16">
        <v>1267.2000000000003</v>
      </c>
      <c r="J609" s="16">
        <v>2057.1801024360834</v>
      </c>
      <c r="K609" s="16">
        <v>-789.98010243608303</v>
      </c>
      <c r="L609" s="13">
        <v>3.48</v>
      </c>
      <c r="M609" s="13"/>
      <c r="N609" s="17">
        <f t="shared" si="21"/>
        <v>8017.92</v>
      </c>
      <c r="O609" s="17">
        <f t="shared" si="21"/>
        <v>0</v>
      </c>
      <c r="P609" s="17">
        <f t="shared" si="20"/>
        <v>8017.92</v>
      </c>
      <c r="Q609" t="str">
        <f>A609&amp;"-"&amp;B609&amp;"-"&amp;D609</f>
        <v>FEBRUARI-MJ1-L11</v>
      </c>
    </row>
    <row r="610" spans="1:17" x14ac:dyDescent="0.25">
      <c r="A610" t="s">
        <v>392</v>
      </c>
      <c r="B610" s="13" t="s">
        <v>25</v>
      </c>
      <c r="C610" s="13" t="s">
        <v>154</v>
      </c>
      <c r="D610" s="14" t="s">
        <v>287</v>
      </c>
      <c r="E610" s="13" t="s">
        <v>155</v>
      </c>
      <c r="F610" s="13" t="s">
        <v>451</v>
      </c>
      <c r="G610" s="13">
        <v>0.54999999999999993</v>
      </c>
      <c r="H610" s="15">
        <v>1674</v>
      </c>
      <c r="I610" s="16">
        <v>920.7</v>
      </c>
      <c r="J610" s="16">
        <v>1933.720076746715</v>
      </c>
      <c r="K610" s="16">
        <v>-1013.0200767467149</v>
      </c>
      <c r="L610" s="13">
        <v>1.61</v>
      </c>
      <c r="M610" s="13"/>
      <c r="N610" s="17">
        <f t="shared" si="21"/>
        <v>2695.1400000000003</v>
      </c>
      <c r="O610" s="17">
        <f t="shared" si="21"/>
        <v>0</v>
      </c>
      <c r="P610" s="17">
        <f t="shared" si="20"/>
        <v>2695.1400000000003</v>
      </c>
      <c r="Q610" t="str">
        <f>A610&amp;"-"&amp;B610&amp;"-"&amp;D610</f>
        <v>FEBRUARI-MJ1-L11</v>
      </c>
    </row>
    <row r="611" spans="1:17" x14ac:dyDescent="0.25">
      <c r="A611" t="s">
        <v>392</v>
      </c>
      <c r="B611" s="13" t="s">
        <v>25</v>
      </c>
      <c r="C611" s="13" t="s">
        <v>154</v>
      </c>
      <c r="D611" s="14" t="s">
        <v>287</v>
      </c>
      <c r="E611" s="13" t="s">
        <v>155</v>
      </c>
      <c r="F611" s="13" t="s">
        <v>452</v>
      </c>
      <c r="G611" s="13">
        <v>0.54999999999999993</v>
      </c>
      <c r="H611" s="15">
        <v>855</v>
      </c>
      <c r="I611" s="16">
        <v>470.25</v>
      </c>
      <c r="J611" s="16">
        <v>801.59768973987127</v>
      </c>
      <c r="K611" s="16">
        <v>-331.34768973987127</v>
      </c>
      <c r="L611" s="13">
        <v>2.48</v>
      </c>
      <c r="M611" s="13"/>
      <c r="N611" s="17">
        <f t="shared" si="21"/>
        <v>2120.4</v>
      </c>
      <c r="O611" s="17">
        <f t="shared" si="21"/>
        <v>0</v>
      </c>
      <c r="P611" s="17">
        <f t="shared" si="20"/>
        <v>2120.4</v>
      </c>
      <c r="Q611" t="str">
        <f>A611&amp;"-"&amp;B611&amp;"-"&amp;D611</f>
        <v>FEBRUARI-MJ1-L11</v>
      </c>
    </row>
    <row r="612" spans="1:17" x14ac:dyDescent="0.25">
      <c r="A612" t="s">
        <v>392</v>
      </c>
      <c r="B612" s="13" t="s">
        <v>25</v>
      </c>
      <c r="C612" s="13" t="s">
        <v>154</v>
      </c>
      <c r="D612" s="14" t="s">
        <v>287</v>
      </c>
      <c r="E612" s="13" t="s">
        <v>155</v>
      </c>
      <c r="F612" s="13" t="s">
        <v>453</v>
      </c>
      <c r="G612" s="13">
        <v>0.54999999999999993</v>
      </c>
      <c r="H612" s="15">
        <v>7041</v>
      </c>
      <c r="I612" s="16">
        <v>3872.55</v>
      </c>
      <c r="J612" s="16">
        <v>6799.3451632443866</v>
      </c>
      <c r="K612" s="16">
        <v>-2926.7951632443869</v>
      </c>
      <c r="L612" s="13">
        <v>2.5499999999999998</v>
      </c>
      <c r="M612" s="13"/>
      <c r="N612" s="17">
        <f t="shared" si="21"/>
        <v>17954.55</v>
      </c>
      <c r="O612" s="17">
        <f t="shared" si="21"/>
        <v>0</v>
      </c>
      <c r="P612" s="17">
        <f t="shared" si="20"/>
        <v>17954.55</v>
      </c>
      <c r="Q612" t="str">
        <f>A612&amp;"-"&amp;B612&amp;"-"&amp;D612</f>
        <v>FEBRUARI-MJ1-L11</v>
      </c>
    </row>
    <row r="613" spans="1:17" x14ac:dyDescent="0.25">
      <c r="A613" t="s">
        <v>392</v>
      </c>
      <c r="B613" s="13" t="s">
        <v>25</v>
      </c>
      <c r="C613" s="13" t="s">
        <v>154</v>
      </c>
      <c r="D613" s="14" t="s">
        <v>287</v>
      </c>
      <c r="E613" s="13" t="s">
        <v>155</v>
      </c>
      <c r="F613" s="13" t="s">
        <v>248</v>
      </c>
      <c r="G613" s="13">
        <v>0.54999999999999993</v>
      </c>
      <c r="H613" s="15">
        <v>4262</v>
      </c>
      <c r="I613" s="16">
        <v>2344.1000000000004</v>
      </c>
      <c r="J613" s="16">
        <v>4746.412379373226</v>
      </c>
      <c r="K613" s="16">
        <v>-2402.3123793732266</v>
      </c>
      <c r="L613" s="13">
        <v>1.61</v>
      </c>
      <c r="M613" s="13"/>
      <c r="N613" s="17">
        <f t="shared" si="21"/>
        <v>6861.8200000000006</v>
      </c>
      <c r="O613" s="17">
        <f t="shared" si="21"/>
        <v>0</v>
      </c>
      <c r="P613" s="17">
        <f t="shared" si="20"/>
        <v>6861.8200000000006</v>
      </c>
      <c r="Q613" t="str">
        <f>A613&amp;"-"&amp;B613&amp;"-"&amp;D613</f>
        <v>FEBRUARI-MJ1-L11</v>
      </c>
    </row>
    <row r="614" spans="1:17" x14ac:dyDescent="0.25">
      <c r="A614" t="s">
        <v>392</v>
      </c>
      <c r="B614" s="13" t="s">
        <v>25</v>
      </c>
      <c r="C614" s="13" t="s">
        <v>154</v>
      </c>
      <c r="D614" s="14" t="s">
        <v>287</v>
      </c>
      <c r="E614" s="13" t="s">
        <v>155</v>
      </c>
      <c r="F614" s="13" t="s">
        <v>486</v>
      </c>
      <c r="G614" s="13">
        <v>0.54999999999999993</v>
      </c>
      <c r="H614" s="15">
        <v>2965</v>
      </c>
      <c r="I614" s="16">
        <v>1630.75</v>
      </c>
      <c r="J614" s="16">
        <v>2740.9661402277043</v>
      </c>
      <c r="K614" s="16">
        <v>-1110.2161402277038</v>
      </c>
      <c r="L614" s="13">
        <v>2.62</v>
      </c>
      <c r="M614" s="13"/>
      <c r="N614" s="17">
        <f t="shared" si="21"/>
        <v>7768.3</v>
      </c>
      <c r="O614" s="17">
        <f t="shared" si="21"/>
        <v>0</v>
      </c>
      <c r="P614" s="17">
        <f t="shared" si="20"/>
        <v>7768.3</v>
      </c>
      <c r="Q614" t="str">
        <f>A614&amp;"-"&amp;B614&amp;"-"&amp;D614</f>
        <v>FEBRUARI-MJ1-L11</v>
      </c>
    </row>
    <row r="615" spans="1:17" x14ac:dyDescent="0.25">
      <c r="A615" t="s">
        <v>392</v>
      </c>
      <c r="B615" s="13" t="s">
        <v>25</v>
      </c>
      <c r="C615" s="13" t="s">
        <v>154</v>
      </c>
      <c r="D615" s="14" t="s">
        <v>287</v>
      </c>
      <c r="E615" s="13" t="s">
        <v>155</v>
      </c>
      <c r="F615" s="13" t="s">
        <v>487</v>
      </c>
      <c r="G615" s="13">
        <v>0.55000000000000004</v>
      </c>
      <c r="H615" s="15">
        <v>50</v>
      </c>
      <c r="I615" s="16">
        <v>27.5</v>
      </c>
      <c r="J615" s="16">
        <v>44.522058823529413</v>
      </c>
      <c r="K615" s="16">
        <v>-17.022058823529413</v>
      </c>
      <c r="L615" s="13">
        <v>1.61</v>
      </c>
      <c r="M615" s="13"/>
      <c r="N615" s="17">
        <f t="shared" si="21"/>
        <v>80.5</v>
      </c>
      <c r="O615" s="17">
        <f t="shared" si="21"/>
        <v>0</v>
      </c>
      <c r="P615" s="17">
        <f t="shared" si="20"/>
        <v>80.5</v>
      </c>
      <c r="Q615" t="str">
        <f>A615&amp;"-"&amp;B615&amp;"-"&amp;D615</f>
        <v>FEBRUARI-MJ1-L11</v>
      </c>
    </row>
    <row r="616" spans="1:17" x14ac:dyDescent="0.25">
      <c r="A616" t="s">
        <v>392</v>
      </c>
      <c r="B616" s="13" t="s">
        <v>25</v>
      </c>
      <c r="C616" s="13" t="s">
        <v>154</v>
      </c>
      <c r="D616" s="14" t="s">
        <v>287</v>
      </c>
      <c r="E616" s="13" t="s">
        <v>155</v>
      </c>
      <c r="F616" s="13" t="s">
        <v>456</v>
      </c>
      <c r="G616" s="13">
        <v>0.55000000000000004</v>
      </c>
      <c r="H616" s="15">
        <v>231</v>
      </c>
      <c r="I616" s="16">
        <v>127.05</v>
      </c>
      <c r="J616" s="16">
        <v>219.2877524143986</v>
      </c>
      <c r="K616" s="16">
        <v>-92.237752414398585</v>
      </c>
      <c r="L616" s="13">
        <v>1.61</v>
      </c>
      <c r="M616" s="13"/>
      <c r="N616" s="17">
        <f t="shared" si="21"/>
        <v>371.91</v>
      </c>
      <c r="O616" s="17">
        <f t="shared" si="21"/>
        <v>0</v>
      </c>
      <c r="P616" s="17">
        <f t="shared" si="20"/>
        <v>371.91</v>
      </c>
      <c r="Q616" t="str">
        <f>A616&amp;"-"&amp;B616&amp;"-"&amp;D616</f>
        <v>FEBRUARI-MJ1-L11</v>
      </c>
    </row>
    <row r="617" spans="1:17" x14ac:dyDescent="0.25">
      <c r="A617" t="s">
        <v>392</v>
      </c>
      <c r="B617" s="13" t="s">
        <v>25</v>
      </c>
      <c r="C617" s="13" t="s">
        <v>154</v>
      </c>
      <c r="D617" s="14" t="s">
        <v>287</v>
      </c>
      <c r="E617" s="13" t="s">
        <v>155</v>
      </c>
      <c r="F617" s="13" t="s">
        <v>488</v>
      </c>
      <c r="G617" s="13">
        <v>0.55000000000000004</v>
      </c>
      <c r="H617" s="15">
        <v>547</v>
      </c>
      <c r="I617" s="16">
        <v>300.85000000000002</v>
      </c>
      <c r="J617" s="16">
        <v>547.18532031493396</v>
      </c>
      <c r="K617" s="16">
        <v>-246.33532031493388</v>
      </c>
      <c r="L617" s="13">
        <v>1.61</v>
      </c>
      <c r="M617" s="13"/>
      <c r="N617" s="17">
        <f t="shared" si="21"/>
        <v>880.67000000000007</v>
      </c>
      <c r="O617" s="17">
        <f t="shared" si="21"/>
        <v>0</v>
      </c>
      <c r="P617" s="17">
        <f t="shared" si="20"/>
        <v>880.67000000000007</v>
      </c>
      <c r="Q617" t="str">
        <f>A617&amp;"-"&amp;B617&amp;"-"&amp;D617</f>
        <v>FEBRUARI-MJ1-L11</v>
      </c>
    </row>
    <row r="618" spans="1:17" x14ac:dyDescent="0.25">
      <c r="A618" t="s">
        <v>392</v>
      </c>
      <c r="B618" s="13" t="s">
        <v>25</v>
      </c>
      <c r="C618" s="13" t="s">
        <v>154</v>
      </c>
      <c r="D618" s="14" t="s">
        <v>287</v>
      </c>
      <c r="E618" s="13" t="s">
        <v>155</v>
      </c>
      <c r="F618" s="13" t="s">
        <v>462</v>
      </c>
      <c r="G618" s="13">
        <v>0.55000000000000004</v>
      </c>
      <c r="H618" s="15">
        <v>20</v>
      </c>
      <c r="I618" s="16">
        <v>11</v>
      </c>
      <c r="J618" s="16">
        <v>18.074626865671643</v>
      </c>
      <c r="K618" s="16">
        <v>-7.0746268656716431</v>
      </c>
      <c r="L618" s="13">
        <v>1.61</v>
      </c>
      <c r="M618" s="13"/>
      <c r="N618" s="17">
        <f t="shared" si="21"/>
        <v>32.200000000000003</v>
      </c>
      <c r="O618" s="17">
        <f t="shared" si="21"/>
        <v>0</v>
      </c>
      <c r="P618" s="17">
        <f t="shared" si="20"/>
        <v>32.200000000000003</v>
      </c>
      <c r="Q618" t="str">
        <f>A618&amp;"-"&amp;B618&amp;"-"&amp;D618</f>
        <v>FEBRUARI-MJ1-L11</v>
      </c>
    </row>
    <row r="619" spans="1:17" x14ac:dyDescent="0.25">
      <c r="A619" t="s">
        <v>392</v>
      </c>
      <c r="B619" s="13" t="s">
        <v>25</v>
      </c>
      <c r="C619" s="13" t="s">
        <v>154</v>
      </c>
      <c r="D619" s="14" t="s">
        <v>287</v>
      </c>
      <c r="E619" s="13" t="s">
        <v>155</v>
      </c>
      <c r="F619" s="13" t="s">
        <v>463</v>
      </c>
      <c r="G619" s="13">
        <v>0.55000000000000004</v>
      </c>
      <c r="H619" s="15">
        <v>7</v>
      </c>
      <c r="I619" s="16">
        <v>3.85</v>
      </c>
      <c r="J619" s="16">
        <v>6.4718825228695236</v>
      </c>
      <c r="K619" s="16">
        <v>-2.6218825228695235</v>
      </c>
      <c r="L619" s="13">
        <v>1.61</v>
      </c>
      <c r="M619" s="13"/>
      <c r="N619" s="17">
        <f t="shared" si="21"/>
        <v>11.270000000000001</v>
      </c>
      <c r="O619" s="17">
        <f t="shared" si="21"/>
        <v>0</v>
      </c>
      <c r="P619" s="17">
        <f t="shared" si="20"/>
        <v>11.270000000000001</v>
      </c>
      <c r="Q619" t="str">
        <f>A619&amp;"-"&amp;B619&amp;"-"&amp;D619</f>
        <v>FEBRUARI-MJ1-L11</v>
      </c>
    </row>
    <row r="620" spans="1:17" x14ac:dyDescent="0.25">
      <c r="A620" t="s">
        <v>392</v>
      </c>
      <c r="B620" s="13" t="s">
        <v>25</v>
      </c>
      <c r="C620" s="13" t="s">
        <v>154</v>
      </c>
      <c r="D620" s="14" t="s">
        <v>287</v>
      </c>
      <c r="E620" s="13" t="s">
        <v>155</v>
      </c>
      <c r="F620" s="13" t="s">
        <v>464</v>
      </c>
      <c r="G620" s="13">
        <v>0.55000000000000004</v>
      </c>
      <c r="H620" s="15">
        <v>35</v>
      </c>
      <c r="I620" s="16">
        <v>19.25</v>
      </c>
      <c r="J620" s="16">
        <v>31.630597014925371</v>
      </c>
      <c r="K620" s="16">
        <v>-12.380597014925371</v>
      </c>
      <c r="L620" s="13">
        <v>1.61</v>
      </c>
      <c r="M620" s="13"/>
      <c r="N620" s="17">
        <f t="shared" si="21"/>
        <v>56.35</v>
      </c>
      <c r="O620" s="17">
        <f t="shared" si="21"/>
        <v>0</v>
      </c>
      <c r="P620" s="17">
        <f t="shared" si="20"/>
        <v>56.35</v>
      </c>
      <c r="Q620" t="str">
        <f>A620&amp;"-"&amp;B620&amp;"-"&amp;D620</f>
        <v>FEBRUARI-MJ1-L11</v>
      </c>
    </row>
    <row r="621" spans="1:17" x14ac:dyDescent="0.25">
      <c r="A621" t="s">
        <v>392</v>
      </c>
      <c r="B621" s="13" t="s">
        <v>25</v>
      </c>
      <c r="C621" s="13" t="s">
        <v>154</v>
      </c>
      <c r="D621" s="14" t="s">
        <v>160</v>
      </c>
      <c r="E621" s="13" t="s">
        <v>155</v>
      </c>
      <c r="F621" s="13" t="s">
        <v>246</v>
      </c>
      <c r="G621" s="13">
        <v>0.55000000000000004</v>
      </c>
      <c r="H621" s="15">
        <v>553</v>
      </c>
      <c r="I621" s="16">
        <v>304.14999999999998</v>
      </c>
      <c r="J621" s="16">
        <v>478.34500000000003</v>
      </c>
      <c r="K621" s="16">
        <v>-174.19500000000005</v>
      </c>
      <c r="L621" s="13">
        <v>1.61</v>
      </c>
      <c r="M621" s="13"/>
      <c r="N621" s="17">
        <f t="shared" si="21"/>
        <v>890.33</v>
      </c>
      <c r="O621" s="17">
        <f t="shared" si="21"/>
        <v>0</v>
      </c>
      <c r="P621" s="17">
        <f t="shared" si="20"/>
        <v>890.33</v>
      </c>
      <c r="Q621" t="str">
        <f>A621&amp;"-"&amp;B621&amp;"-"&amp;D621</f>
        <v>FEBRUARI-MJ1-L5</v>
      </c>
    </row>
    <row r="622" spans="1:17" x14ac:dyDescent="0.25">
      <c r="A622" t="s">
        <v>392</v>
      </c>
      <c r="B622" s="13" t="s">
        <v>25</v>
      </c>
      <c r="C622" s="13" t="s">
        <v>154</v>
      </c>
      <c r="D622" s="14" t="s">
        <v>160</v>
      </c>
      <c r="E622" s="13" t="s">
        <v>155</v>
      </c>
      <c r="F622" s="13" t="s">
        <v>284</v>
      </c>
      <c r="G622" s="13">
        <v>0.55000000000000004</v>
      </c>
      <c r="H622" s="15">
        <v>40</v>
      </c>
      <c r="I622" s="16">
        <v>22</v>
      </c>
      <c r="J622" s="16">
        <v>39.560353982300882</v>
      </c>
      <c r="K622" s="16">
        <v>-17.560353982300885</v>
      </c>
      <c r="L622" s="13">
        <v>1.61</v>
      </c>
      <c r="M622" s="13"/>
      <c r="N622" s="17">
        <f t="shared" si="21"/>
        <v>64.400000000000006</v>
      </c>
      <c r="O622" s="17">
        <f t="shared" si="21"/>
        <v>0</v>
      </c>
      <c r="P622" s="17">
        <f t="shared" si="20"/>
        <v>64.400000000000006</v>
      </c>
      <c r="Q622" t="str">
        <f>A622&amp;"-"&amp;B622&amp;"-"&amp;D622</f>
        <v>FEBRUARI-MJ1-L5</v>
      </c>
    </row>
    <row r="623" spans="1:17" x14ac:dyDescent="0.25">
      <c r="A623" t="s">
        <v>392</v>
      </c>
      <c r="B623" s="13" t="s">
        <v>25</v>
      </c>
      <c r="C623" s="13" t="s">
        <v>154</v>
      </c>
      <c r="D623" s="14" t="s">
        <v>160</v>
      </c>
      <c r="E623" s="13" t="s">
        <v>155</v>
      </c>
      <c r="F623" s="13" t="s">
        <v>247</v>
      </c>
      <c r="G623" s="13">
        <v>0.55000000000000004</v>
      </c>
      <c r="H623" s="15">
        <v>653</v>
      </c>
      <c r="I623" s="16">
        <v>359.15</v>
      </c>
      <c r="J623" s="16">
        <v>564.84500000000003</v>
      </c>
      <c r="K623" s="16">
        <v>-205.69500000000005</v>
      </c>
      <c r="L623" s="13">
        <v>2.48</v>
      </c>
      <c r="M623" s="13"/>
      <c r="N623" s="17">
        <f t="shared" si="21"/>
        <v>1619.44</v>
      </c>
      <c r="O623" s="17">
        <f t="shared" si="21"/>
        <v>0</v>
      </c>
      <c r="P623" s="17">
        <f t="shared" si="20"/>
        <v>1619.44</v>
      </c>
      <c r="Q623" t="str">
        <f>A623&amp;"-"&amp;B623&amp;"-"&amp;D623</f>
        <v>FEBRUARI-MJ1-L5</v>
      </c>
    </row>
    <row r="624" spans="1:17" x14ac:dyDescent="0.25">
      <c r="A624" t="s">
        <v>392</v>
      </c>
      <c r="B624" s="13" t="s">
        <v>25</v>
      </c>
      <c r="C624" s="13" t="s">
        <v>154</v>
      </c>
      <c r="D624" s="14" t="s">
        <v>160</v>
      </c>
      <c r="E624" s="13" t="s">
        <v>155</v>
      </c>
      <c r="F624" s="13" t="s">
        <v>452</v>
      </c>
      <c r="G624" s="13">
        <v>0.55000000000000004</v>
      </c>
      <c r="H624" s="15">
        <v>971</v>
      </c>
      <c r="I624" s="16">
        <v>534.04999999999995</v>
      </c>
      <c r="J624" s="16">
        <v>916.58146839102005</v>
      </c>
      <c r="K624" s="16">
        <v>-382.53146839102016</v>
      </c>
      <c r="L624" s="13">
        <v>2.48</v>
      </c>
      <c r="M624" s="13"/>
      <c r="N624" s="17">
        <f t="shared" si="21"/>
        <v>2408.08</v>
      </c>
      <c r="O624" s="17">
        <f t="shared" si="21"/>
        <v>0</v>
      </c>
      <c r="P624" s="17">
        <f t="shared" si="20"/>
        <v>2408.08</v>
      </c>
      <c r="Q624" t="str">
        <f>A624&amp;"-"&amp;B624&amp;"-"&amp;D624</f>
        <v>FEBRUARI-MJ1-L5</v>
      </c>
    </row>
    <row r="625" spans="1:17" x14ac:dyDescent="0.25">
      <c r="A625" t="s">
        <v>392</v>
      </c>
      <c r="B625" s="13" t="s">
        <v>25</v>
      </c>
      <c r="C625" s="13" t="s">
        <v>154</v>
      </c>
      <c r="D625" s="14" t="s">
        <v>160</v>
      </c>
      <c r="E625" s="13" t="s">
        <v>155</v>
      </c>
      <c r="F625" s="13" t="s">
        <v>453</v>
      </c>
      <c r="G625" s="13">
        <v>0.54999999999999993</v>
      </c>
      <c r="H625" s="15">
        <v>2412</v>
      </c>
      <c r="I625" s="16">
        <v>1326.6000000000001</v>
      </c>
      <c r="J625" s="16">
        <v>2918.7074018670555</v>
      </c>
      <c r="K625" s="16">
        <v>-1592.1074018670552</v>
      </c>
      <c r="L625" s="13">
        <v>2.5499999999999998</v>
      </c>
      <c r="M625" s="13"/>
      <c r="N625" s="17">
        <f t="shared" si="21"/>
        <v>6150.5999999999995</v>
      </c>
      <c r="O625" s="17">
        <f t="shared" si="21"/>
        <v>0</v>
      </c>
      <c r="P625" s="17">
        <f t="shared" si="20"/>
        <v>6150.5999999999995</v>
      </c>
      <c r="Q625" t="str">
        <f>A625&amp;"-"&amp;B625&amp;"-"&amp;D625</f>
        <v>FEBRUARI-MJ1-L5</v>
      </c>
    </row>
    <row r="626" spans="1:17" x14ac:dyDescent="0.25">
      <c r="A626" t="s">
        <v>392</v>
      </c>
      <c r="B626" s="13" t="s">
        <v>25</v>
      </c>
      <c r="C626" s="13" t="s">
        <v>154</v>
      </c>
      <c r="D626" s="14" t="s">
        <v>160</v>
      </c>
      <c r="E626" s="13" t="s">
        <v>155</v>
      </c>
      <c r="F626" s="13" t="s">
        <v>285</v>
      </c>
      <c r="G626" s="13">
        <v>0.55000000000000004</v>
      </c>
      <c r="H626" s="15">
        <v>52</v>
      </c>
      <c r="I626" s="16">
        <v>28.6</v>
      </c>
      <c r="J626" s="16">
        <v>50.353716814159299</v>
      </c>
      <c r="K626" s="16">
        <v>-21.753716814159294</v>
      </c>
      <c r="L626" s="13">
        <v>2.48</v>
      </c>
      <c r="M626" s="13"/>
      <c r="N626" s="17">
        <f t="shared" si="21"/>
        <v>128.96</v>
      </c>
      <c r="O626" s="17">
        <f t="shared" si="21"/>
        <v>0</v>
      </c>
      <c r="P626" s="17">
        <f t="shared" si="20"/>
        <v>128.96</v>
      </c>
      <c r="Q626" t="str">
        <f>A626&amp;"-"&amp;B626&amp;"-"&amp;D626</f>
        <v>FEBRUARI-MJ1-L5</v>
      </c>
    </row>
    <row r="627" spans="1:17" x14ac:dyDescent="0.25">
      <c r="A627" t="s">
        <v>392</v>
      </c>
      <c r="B627" s="13" t="s">
        <v>25</v>
      </c>
      <c r="C627" s="13" t="s">
        <v>154</v>
      </c>
      <c r="D627" s="14" t="s">
        <v>160</v>
      </c>
      <c r="E627" s="13" t="s">
        <v>155</v>
      </c>
      <c r="F627" s="13" t="s">
        <v>248</v>
      </c>
      <c r="G627" s="13">
        <v>0.54999999999999993</v>
      </c>
      <c r="H627" s="15">
        <v>6491</v>
      </c>
      <c r="I627" s="16">
        <v>3570.0499999999997</v>
      </c>
      <c r="J627" s="16">
        <v>6542.170355360171</v>
      </c>
      <c r="K627" s="16">
        <v>-2972.1203553601713</v>
      </c>
      <c r="L627" s="13">
        <v>1.61</v>
      </c>
      <c r="M627" s="13"/>
      <c r="N627" s="17">
        <f t="shared" si="21"/>
        <v>10450.51</v>
      </c>
      <c r="O627" s="17">
        <f t="shared" si="21"/>
        <v>0</v>
      </c>
      <c r="P627" s="17">
        <f t="shared" si="20"/>
        <v>10450.51</v>
      </c>
      <c r="Q627" t="str">
        <f>A627&amp;"-"&amp;B627&amp;"-"&amp;D627</f>
        <v>FEBRUARI-MJ1-L5</v>
      </c>
    </row>
    <row r="628" spans="1:17" x14ac:dyDescent="0.25">
      <c r="A628" t="s">
        <v>392</v>
      </c>
      <c r="B628" s="13" t="s">
        <v>25</v>
      </c>
      <c r="C628" s="13" t="s">
        <v>154</v>
      </c>
      <c r="D628" s="14" t="s">
        <v>160</v>
      </c>
      <c r="E628" s="13" t="s">
        <v>155</v>
      </c>
      <c r="F628" s="13" t="s">
        <v>486</v>
      </c>
      <c r="G628" s="13">
        <v>0.55000000000000004</v>
      </c>
      <c r="H628" s="15">
        <v>1249</v>
      </c>
      <c r="I628" s="16">
        <v>686.95</v>
      </c>
      <c r="J628" s="16">
        <v>1497.2470484128798</v>
      </c>
      <c r="K628" s="16">
        <v>-810.29704841287969</v>
      </c>
      <c r="L628" s="13">
        <v>2.62</v>
      </c>
      <c r="M628" s="13"/>
      <c r="N628" s="17">
        <f t="shared" si="21"/>
        <v>3272.38</v>
      </c>
      <c r="O628" s="17">
        <f t="shared" si="21"/>
        <v>0</v>
      </c>
      <c r="P628" s="17">
        <f t="shared" si="20"/>
        <v>3272.38</v>
      </c>
      <c r="Q628" t="str">
        <f>A628&amp;"-"&amp;B628&amp;"-"&amp;D628</f>
        <v>FEBRUARI-MJ1-L5</v>
      </c>
    </row>
    <row r="629" spans="1:17" x14ac:dyDescent="0.25">
      <c r="A629" t="s">
        <v>392</v>
      </c>
      <c r="B629" s="13" t="s">
        <v>25</v>
      </c>
      <c r="C629" s="13" t="s">
        <v>286</v>
      </c>
      <c r="D629" s="14" t="s">
        <v>287</v>
      </c>
      <c r="E629" s="13" t="s">
        <v>288</v>
      </c>
      <c r="F629" s="13" t="s">
        <v>289</v>
      </c>
      <c r="G629" s="13">
        <v>5.45</v>
      </c>
      <c r="H629" s="15">
        <v>75</v>
      </c>
      <c r="I629" s="16">
        <v>408.75</v>
      </c>
      <c r="J629" s="16">
        <v>79.53152364273204</v>
      </c>
      <c r="K629" s="16">
        <v>329.21847635726795</v>
      </c>
      <c r="L629" s="13"/>
      <c r="M629" s="13">
        <v>5.55</v>
      </c>
      <c r="N629" s="17">
        <f t="shared" si="21"/>
        <v>0</v>
      </c>
      <c r="O629" s="17">
        <f t="shared" si="21"/>
        <v>416.25</v>
      </c>
      <c r="P629" s="17">
        <f t="shared" si="20"/>
        <v>416.25</v>
      </c>
      <c r="Q629" t="str">
        <f>A629&amp;"-"&amp;B629&amp;"-"&amp;D629</f>
        <v>FEBRUARI-MJ1-L11</v>
      </c>
    </row>
    <row r="630" spans="1:17" x14ac:dyDescent="0.25">
      <c r="A630" t="s">
        <v>392</v>
      </c>
      <c r="B630" s="13" t="s">
        <v>25</v>
      </c>
      <c r="C630" s="13" t="s">
        <v>286</v>
      </c>
      <c r="D630" s="14" t="s">
        <v>287</v>
      </c>
      <c r="E630" s="13" t="s">
        <v>58</v>
      </c>
      <c r="F630" s="13" t="s">
        <v>290</v>
      </c>
      <c r="G630" s="13">
        <v>5.55</v>
      </c>
      <c r="H630" s="15">
        <v>60</v>
      </c>
      <c r="I630" s="16">
        <v>333</v>
      </c>
      <c r="J630" s="16">
        <v>63.625218914185638</v>
      </c>
      <c r="K630" s="16">
        <v>269.37478108581433</v>
      </c>
      <c r="L630" s="13"/>
      <c r="M630" s="13">
        <v>5.7</v>
      </c>
      <c r="N630" s="17">
        <f t="shared" si="21"/>
        <v>0</v>
      </c>
      <c r="O630" s="17">
        <f t="shared" si="21"/>
        <v>342</v>
      </c>
      <c r="P630" s="17">
        <f t="shared" si="20"/>
        <v>342</v>
      </c>
      <c r="Q630" t="str">
        <f>A630&amp;"-"&amp;B630&amp;"-"&amp;D630</f>
        <v>FEBRUARI-MJ1-L11</v>
      </c>
    </row>
    <row r="631" spans="1:17" x14ac:dyDescent="0.25">
      <c r="A631" t="s">
        <v>392</v>
      </c>
      <c r="B631" s="13" t="s">
        <v>25</v>
      </c>
      <c r="C631" s="13" t="s">
        <v>185</v>
      </c>
      <c r="D631" s="14" t="s">
        <v>160</v>
      </c>
      <c r="E631" s="13" t="s">
        <v>186</v>
      </c>
      <c r="F631" s="13" t="s">
        <v>298</v>
      </c>
      <c r="G631" s="13">
        <v>1.48</v>
      </c>
      <c r="H631" s="15">
        <v>61</v>
      </c>
      <c r="I631" s="16">
        <v>90.28</v>
      </c>
      <c r="J631" s="16">
        <v>486.12507122507122</v>
      </c>
      <c r="K631" s="16">
        <v>-395.84507122507125</v>
      </c>
      <c r="L631" s="13">
        <v>0.89</v>
      </c>
      <c r="M631" s="13"/>
      <c r="N631" s="17">
        <f t="shared" si="21"/>
        <v>54.29</v>
      </c>
      <c r="O631" s="17">
        <f t="shared" si="21"/>
        <v>0</v>
      </c>
      <c r="P631" s="17">
        <f t="shared" si="20"/>
        <v>54.29</v>
      </c>
      <c r="Q631" t="str">
        <f>A631&amp;"-"&amp;B631&amp;"-"&amp;D631</f>
        <v>FEBRUARI-MJ1-L5</v>
      </c>
    </row>
    <row r="632" spans="1:17" x14ac:dyDescent="0.25">
      <c r="A632" t="s">
        <v>392</v>
      </c>
      <c r="B632" s="13" t="s">
        <v>25</v>
      </c>
      <c r="C632" s="13" t="s">
        <v>185</v>
      </c>
      <c r="D632" s="14" t="s">
        <v>160</v>
      </c>
      <c r="E632" s="13" t="s">
        <v>186</v>
      </c>
      <c r="F632" s="13" t="s">
        <v>489</v>
      </c>
      <c r="G632" s="13">
        <v>3.54</v>
      </c>
      <c r="H632" s="15">
        <v>772</v>
      </c>
      <c r="I632" s="16">
        <v>2732.88</v>
      </c>
      <c r="J632" s="16">
        <v>4570.7844090775125</v>
      </c>
      <c r="K632" s="16">
        <v>-1837.9044090775126</v>
      </c>
      <c r="L632" s="13">
        <v>1.43</v>
      </c>
      <c r="M632" s="13"/>
      <c r="N632" s="17">
        <f t="shared" si="21"/>
        <v>1103.96</v>
      </c>
      <c r="O632" s="17">
        <f t="shared" si="21"/>
        <v>0</v>
      </c>
      <c r="P632" s="17">
        <f t="shared" si="20"/>
        <v>1103.96</v>
      </c>
      <c r="Q632" t="str">
        <f>A632&amp;"-"&amp;B632&amp;"-"&amp;D632</f>
        <v>FEBRUARI-MJ1-L5</v>
      </c>
    </row>
    <row r="633" spans="1:17" x14ac:dyDescent="0.25">
      <c r="A633" t="s">
        <v>392</v>
      </c>
      <c r="B633" s="13" t="s">
        <v>25</v>
      </c>
      <c r="C633" s="13" t="s">
        <v>185</v>
      </c>
      <c r="D633" s="14" t="s">
        <v>160</v>
      </c>
      <c r="E633" s="13" t="s">
        <v>186</v>
      </c>
      <c r="F633" s="13" t="s">
        <v>299</v>
      </c>
      <c r="G633" s="13">
        <v>2.91</v>
      </c>
      <c r="H633" s="15">
        <v>703</v>
      </c>
      <c r="I633" s="16">
        <v>2045.7300000000002</v>
      </c>
      <c r="J633" s="16">
        <v>3598.7246193142742</v>
      </c>
      <c r="K633" s="16">
        <v>-1552.9946193142744</v>
      </c>
      <c r="L633" s="13">
        <v>1.44</v>
      </c>
      <c r="M633" s="13"/>
      <c r="N633" s="17">
        <f t="shared" si="21"/>
        <v>1012.3199999999999</v>
      </c>
      <c r="O633" s="17">
        <f t="shared" si="21"/>
        <v>0</v>
      </c>
      <c r="P633" s="17">
        <f t="shared" si="20"/>
        <v>1012.3199999999999</v>
      </c>
      <c r="Q633" t="str">
        <f>A633&amp;"-"&amp;B633&amp;"-"&amp;D633</f>
        <v>FEBRUARI-MJ1-L5</v>
      </c>
    </row>
    <row r="634" spans="1:17" x14ac:dyDescent="0.25">
      <c r="A634" t="s">
        <v>392</v>
      </c>
      <c r="B634" s="13" t="s">
        <v>25</v>
      </c>
      <c r="C634" s="13" t="s">
        <v>185</v>
      </c>
      <c r="D634" s="14" t="s">
        <v>160</v>
      </c>
      <c r="E634" s="13" t="s">
        <v>191</v>
      </c>
      <c r="F634" s="13" t="s">
        <v>490</v>
      </c>
      <c r="G634" s="13">
        <v>1.33</v>
      </c>
      <c r="H634" s="15">
        <v>1531</v>
      </c>
      <c r="I634" s="16">
        <v>2036.23</v>
      </c>
      <c r="J634" s="16">
        <v>2422</v>
      </c>
      <c r="K634" s="16">
        <v>-385.76999999999987</v>
      </c>
      <c r="L634" s="13"/>
      <c r="M634" s="13">
        <v>2.5499999999999998</v>
      </c>
      <c r="N634" s="17">
        <f t="shared" si="21"/>
        <v>0</v>
      </c>
      <c r="O634" s="17">
        <f t="shared" si="21"/>
        <v>3904.0499999999997</v>
      </c>
      <c r="P634" s="17">
        <f t="shared" si="20"/>
        <v>3904.0499999999997</v>
      </c>
      <c r="Q634" t="str">
        <f>A634&amp;"-"&amp;B634&amp;"-"&amp;D634</f>
        <v>FEBRUARI-MJ1-L5</v>
      </c>
    </row>
    <row r="635" spans="1:17" x14ac:dyDescent="0.25">
      <c r="A635" t="s">
        <v>392</v>
      </c>
      <c r="B635" s="13" t="s">
        <v>25</v>
      </c>
      <c r="C635" s="13" t="s">
        <v>185</v>
      </c>
      <c r="D635" s="14" t="s">
        <v>160</v>
      </c>
      <c r="E635" s="13" t="s">
        <v>206</v>
      </c>
      <c r="F635" s="13" t="s">
        <v>296</v>
      </c>
      <c r="G635" s="13">
        <v>1.99</v>
      </c>
      <c r="H635" s="15">
        <v>39</v>
      </c>
      <c r="I635" s="16">
        <v>77.61</v>
      </c>
      <c r="J635" s="16">
        <v>134.55555555555554</v>
      </c>
      <c r="K635" s="16">
        <v>-56.945555555555543</v>
      </c>
      <c r="L635" s="13">
        <v>3.58</v>
      </c>
      <c r="M635" s="13"/>
      <c r="N635" s="17">
        <f t="shared" si="21"/>
        <v>139.62</v>
      </c>
      <c r="O635" s="17">
        <f t="shared" si="21"/>
        <v>0</v>
      </c>
      <c r="P635" s="17">
        <f t="shared" si="20"/>
        <v>139.62</v>
      </c>
      <c r="Q635" t="str">
        <f>A635&amp;"-"&amp;B635&amp;"-"&amp;D635</f>
        <v>FEBRUARI-MJ1-L5</v>
      </c>
    </row>
    <row r="636" spans="1:17" x14ac:dyDescent="0.25">
      <c r="A636" t="s">
        <v>392</v>
      </c>
      <c r="B636" s="13" t="s">
        <v>25</v>
      </c>
      <c r="C636" s="13" t="s">
        <v>43</v>
      </c>
      <c r="D636" s="14" t="s">
        <v>301</v>
      </c>
      <c r="E636" s="13" t="s">
        <v>302</v>
      </c>
      <c r="F636" s="13" t="s">
        <v>303</v>
      </c>
      <c r="G636" s="13">
        <v>2.8800000000000003</v>
      </c>
      <c r="H636" s="15">
        <v>185</v>
      </c>
      <c r="I636" s="16">
        <v>532.79999999999995</v>
      </c>
      <c r="J636" s="16">
        <v>984.66075720779622</v>
      </c>
      <c r="K636" s="16">
        <v>-451.86075720779621</v>
      </c>
      <c r="L636" s="13"/>
      <c r="M636" s="13">
        <v>3</v>
      </c>
      <c r="N636" s="17">
        <f t="shared" si="21"/>
        <v>0</v>
      </c>
      <c r="O636" s="17">
        <f t="shared" si="21"/>
        <v>555</v>
      </c>
      <c r="P636" s="17">
        <f t="shared" si="20"/>
        <v>555</v>
      </c>
      <c r="Q636" t="str">
        <f>A636&amp;"-"&amp;B636&amp;"-"&amp;D636</f>
        <v>FEBRUARI-MJ1-L10</v>
      </c>
    </row>
    <row r="637" spans="1:17" x14ac:dyDescent="0.25">
      <c r="A637" t="s">
        <v>392</v>
      </c>
      <c r="B637" s="13" t="s">
        <v>25</v>
      </c>
      <c r="C637" s="13" t="s">
        <v>43</v>
      </c>
      <c r="D637" s="14" t="s">
        <v>301</v>
      </c>
      <c r="E637" s="13" t="s">
        <v>302</v>
      </c>
      <c r="F637" s="13" t="s">
        <v>304</v>
      </c>
      <c r="G637" s="13">
        <v>2.8800000000000003</v>
      </c>
      <c r="H637" s="15">
        <v>1618</v>
      </c>
      <c r="I637" s="16">
        <v>4659.84</v>
      </c>
      <c r="J637" s="16">
        <v>6318.9920377500612</v>
      </c>
      <c r="K637" s="16">
        <v>-1659.152037750061</v>
      </c>
      <c r="L637" s="13"/>
      <c r="M637" s="13">
        <v>3</v>
      </c>
      <c r="N637" s="17">
        <f t="shared" si="21"/>
        <v>0</v>
      </c>
      <c r="O637" s="17">
        <f t="shared" si="21"/>
        <v>4854</v>
      </c>
      <c r="P637" s="17">
        <f t="shared" si="20"/>
        <v>4854</v>
      </c>
      <c r="Q637" t="str">
        <f>A637&amp;"-"&amp;B637&amp;"-"&amp;D637</f>
        <v>FEBRUARI-MJ1-L10</v>
      </c>
    </row>
    <row r="638" spans="1:17" x14ac:dyDescent="0.25">
      <c r="A638" t="s">
        <v>392</v>
      </c>
      <c r="B638" s="13" t="s">
        <v>25</v>
      </c>
      <c r="C638" s="13" t="s">
        <v>43</v>
      </c>
      <c r="D638" s="14" t="s">
        <v>301</v>
      </c>
      <c r="E638" s="13" t="s">
        <v>305</v>
      </c>
      <c r="F638" s="13" t="s">
        <v>306</v>
      </c>
      <c r="G638" s="13">
        <v>2.7800000000000007</v>
      </c>
      <c r="H638" s="15">
        <v>4610</v>
      </c>
      <c r="I638" s="16">
        <v>12815.800000000001</v>
      </c>
      <c r="J638" s="16">
        <v>16916.347205042144</v>
      </c>
      <c r="K638" s="16">
        <v>-4100.5472050421431</v>
      </c>
      <c r="L638" s="13"/>
      <c r="M638" s="13">
        <v>2.9</v>
      </c>
      <c r="N638" s="17">
        <f t="shared" si="21"/>
        <v>0</v>
      </c>
      <c r="O638" s="17">
        <f t="shared" si="21"/>
        <v>13369</v>
      </c>
      <c r="P638" s="17">
        <f t="shared" si="20"/>
        <v>13369</v>
      </c>
      <c r="Q638" t="str">
        <f>A638&amp;"-"&amp;B638&amp;"-"&amp;D638</f>
        <v>FEBRUARI-MJ1-L10</v>
      </c>
    </row>
    <row r="639" spans="1:17" x14ac:dyDescent="0.25">
      <c r="A639" t="s">
        <v>392</v>
      </c>
      <c r="B639" s="13" t="s">
        <v>25</v>
      </c>
      <c r="C639" s="13" t="s">
        <v>43</v>
      </c>
      <c r="D639" s="14" t="s">
        <v>287</v>
      </c>
      <c r="E639" s="13" t="s">
        <v>179</v>
      </c>
      <c r="F639" s="13" t="s">
        <v>491</v>
      </c>
      <c r="G639" s="13">
        <v>2.85</v>
      </c>
      <c r="H639" s="15">
        <v>16</v>
      </c>
      <c r="I639" s="16">
        <v>45.6</v>
      </c>
      <c r="J639" s="16">
        <v>2422</v>
      </c>
      <c r="K639" s="16">
        <v>-2376.4</v>
      </c>
      <c r="L639" s="13"/>
      <c r="M639" s="13">
        <v>2.9</v>
      </c>
      <c r="N639" s="17">
        <f t="shared" si="21"/>
        <v>0</v>
      </c>
      <c r="O639" s="17">
        <f t="shared" si="21"/>
        <v>46.4</v>
      </c>
      <c r="P639" s="17">
        <f t="shared" si="20"/>
        <v>46.4</v>
      </c>
      <c r="Q639" t="str">
        <f>A639&amp;"-"&amp;B639&amp;"-"&amp;D639</f>
        <v>FEBRUARI-MJ1-L11</v>
      </c>
    </row>
    <row r="640" spans="1:17" x14ac:dyDescent="0.25">
      <c r="A640" t="s">
        <v>392</v>
      </c>
      <c r="B640" s="13" t="s">
        <v>25</v>
      </c>
      <c r="C640" s="13" t="s">
        <v>43</v>
      </c>
      <c r="D640" s="14" t="s">
        <v>163</v>
      </c>
      <c r="E640" s="13" t="s">
        <v>179</v>
      </c>
      <c r="F640" s="13" t="s">
        <v>308</v>
      </c>
      <c r="G640" s="13">
        <v>2.8500000000000005</v>
      </c>
      <c r="H640" s="15">
        <v>1591</v>
      </c>
      <c r="I640" s="16">
        <v>4534.3500000000004</v>
      </c>
      <c r="J640" s="16">
        <v>9118.97950617284</v>
      </c>
      <c r="K640" s="16">
        <v>-4584.6295061728388</v>
      </c>
      <c r="L640" s="13"/>
      <c r="M640" s="13">
        <v>2.9</v>
      </c>
      <c r="N640" s="17">
        <f t="shared" si="21"/>
        <v>0</v>
      </c>
      <c r="O640" s="17">
        <f t="shared" si="21"/>
        <v>4613.8999999999996</v>
      </c>
      <c r="P640" s="17">
        <f t="shared" si="20"/>
        <v>4613.8999999999996</v>
      </c>
      <c r="Q640" t="str">
        <f>A640&amp;"-"&amp;B640&amp;"-"&amp;D640</f>
        <v>FEBRUARI-MJ1-L6</v>
      </c>
    </row>
    <row r="641" spans="1:17" x14ac:dyDescent="0.25">
      <c r="A641" t="s">
        <v>392</v>
      </c>
      <c r="B641" s="13" t="s">
        <v>25</v>
      </c>
      <c r="C641" s="13" t="s">
        <v>43</v>
      </c>
      <c r="D641" s="14" t="s">
        <v>163</v>
      </c>
      <c r="E641" s="13" t="s">
        <v>179</v>
      </c>
      <c r="F641" s="13" t="s">
        <v>492</v>
      </c>
      <c r="G641" s="13">
        <v>3.1999999999999997</v>
      </c>
      <c r="H641" s="15">
        <v>1367</v>
      </c>
      <c r="I641" s="16">
        <v>4374.3999999999996</v>
      </c>
      <c r="J641" s="16">
        <v>8728.5026818181814</v>
      </c>
      <c r="K641" s="16">
        <v>-4354.1026818181817</v>
      </c>
      <c r="L641" s="13"/>
      <c r="M641" s="13">
        <v>3.35</v>
      </c>
      <c r="N641" s="17">
        <f t="shared" si="21"/>
        <v>0</v>
      </c>
      <c r="O641" s="17">
        <f t="shared" si="21"/>
        <v>4579.45</v>
      </c>
      <c r="P641" s="17">
        <f t="shared" si="20"/>
        <v>4579.45</v>
      </c>
      <c r="Q641" t="str">
        <f>A641&amp;"-"&amp;B641&amp;"-"&amp;D641</f>
        <v>FEBRUARI-MJ1-L6</v>
      </c>
    </row>
    <row r="642" spans="1:17" x14ac:dyDescent="0.25">
      <c r="A642" t="s">
        <v>392</v>
      </c>
      <c r="B642" s="13" t="s">
        <v>25</v>
      </c>
      <c r="C642" s="13" t="s">
        <v>43</v>
      </c>
      <c r="D642" s="14" t="s">
        <v>163</v>
      </c>
      <c r="E642" s="13" t="s">
        <v>179</v>
      </c>
      <c r="F642" s="13" t="s">
        <v>491</v>
      </c>
      <c r="G642" s="13">
        <v>2.8500000000000005</v>
      </c>
      <c r="H642" s="15">
        <v>1032</v>
      </c>
      <c r="I642" s="16">
        <v>2941.2</v>
      </c>
      <c r="J642" s="16">
        <v>6047.1745284268882</v>
      </c>
      <c r="K642" s="16">
        <v>-3105.9745284268893</v>
      </c>
      <c r="L642" s="13"/>
      <c r="M642" s="13">
        <v>2.9</v>
      </c>
      <c r="N642" s="17">
        <f t="shared" si="21"/>
        <v>0</v>
      </c>
      <c r="O642" s="17">
        <f t="shared" si="21"/>
        <v>2992.7999999999997</v>
      </c>
      <c r="P642" s="17">
        <f t="shared" ref="P642:P705" si="22">N642+O642</f>
        <v>2992.7999999999997</v>
      </c>
      <c r="Q642" t="str">
        <f>A642&amp;"-"&amp;B642&amp;"-"&amp;D642</f>
        <v>FEBRUARI-MJ1-L6</v>
      </c>
    </row>
    <row r="643" spans="1:17" x14ac:dyDescent="0.25">
      <c r="A643" t="s">
        <v>392</v>
      </c>
      <c r="B643" s="13" t="s">
        <v>25</v>
      </c>
      <c r="C643" s="13" t="s">
        <v>43</v>
      </c>
      <c r="D643" s="14" t="s">
        <v>163</v>
      </c>
      <c r="E643" s="13" t="s">
        <v>179</v>
      </c>
      <c r="F643" s="13" t="s">
        <v>309</v>
      </c>
      <c r="G643" s="13">
        <v>3.6</v>
      </c>
      <c r="H643" s="15">
        <v>36</v>
      </c>
      <c r="I643" s="16">
        <v>129.6</v>
      </c>
      <c r="J643" s="16">
        <v>325.34328358208955</v>
      </c>
      <c r="K643" s="16">
        <v>-195.74328358208956</v>
      </c>
      <c r="L643" s="13"/>
      <c r="M643" s="13">
        <v>3.55</v>
      </c>
      <c r="N643" s="17">
        <f t="shared" si="21"/>
        <v>0</v>
      </c>
      <c r="O643" s="17">
        <f t="shared" si="21"/>
        <v>127.8</v>
      </c>
      <c r="P643" s="17">
        <f t="shared" si="22"/>
        <v>127.8</v>
      </c>
      <c r="Q643" t="str">
        <f>A643&amp;"-"&amp;B643&amp;"-"&amp;D643</f>
        <v>FEBRUARI-MJ1-L6</v>
      </c>
    </row>
    <row r="644" spans="1:17" x14ac:dyDescent="0.25">
      <c r="A644" t="s">
        <v>392</v>
      </c>
      <c r="B644" s="13" t="s">
        <v>25</v>
      </c>
      <c r="C644" s="13" t="s">
        <v>43</v>
      </c>
      <c r="D644" s="14" t="s">
        <v>164</v>
      </c>
      <c r="E644" s="13" t="s">
        <v>302</v>
      </c>
      <c r="F644" s="13" t="s">
        <v>304</v>
      </c>
      <c r="G644" s="13">
        <v>2.8799999999999994</v>
      </c>
      <c r="H644" s="15">
        <v>1883</v>
      </c>
      <c r="I644" s="16">
        <v>5423.0400000000009</v>
      </c>
      <c r="J644" s="16">
        <v>6262.0473956297719</v>
      </c>
      <c r="K644" s="16">
        <v>-839.00739562977265</v>
      </c>
      <c r="L644" s="13"/>
      <c r="M644" s="13">
        <v>3</v>
      </c>
      <c r="N644" s="17">
        <f t="shared" si="21"/>
        <v>0</v>
      </c>
      <c r="O644" s="17">
        <f t="shared" si="21"/>
        <v>5649</v>
      </c>
      <c r="P644" s="17">
        <f t="shared" si="22"/>
        <v>5649</v>
      </c>
      <c r="Q644" t="str">
        <f>A644&amp;"-"&amp;B644&amp;"-"&amp;D644</f>
        <v>FEBRUARI-MJ1-L7</v>
      </c>
    </row>
    <row r="645" spans="1:17" x14ac:dyDescent="0.25">
      <c r="A645" t="s">
        <v>392</v>
      </c>
      <c r="B645" s="13" t="s">
        <v>25</v>
      </c>
      <c r="C645" s="13" t="s">
        <v>43</v>
      </c>
      <c r="D645" s="14" t="s">
        <v>164</v>
      </c>
      <c r="E645" s="13" t="s">
        <v>305</v>
      </c>
      <c r="F645" s="13" t="s">
        <v>306</v>
      </c>
      <c r="G645" s="13">
        <v>2.7800000000000007</v>
      </c>
      <c r="H645" s="15">
        <v>5843</v>
      </c>
      <c r="I645" s="16">
        <v>16243.540000000003</v>
      </c>
      <c r="J645" s="16">
        <v>17957.952604370235</v>
      </c>
      <c r="K645" s="16">
        <v>-1714.4126043702272</v>
      </c>
      <c r="L645" s="13"/>
      <c r="M645" s="13">
        <v>2.9</v>
      </c>
      <c r="N645" s="17">
        <f t="shared" si="21"/>
        <v>0</v>
      </c>
      <c r="O645" s="17">
        <f t="shared" si="21"/>
        <v>16944.7</v>
      </c>
      <c r="P645" s="17">
        <f t="shared" si="22"/>
        <v>16944.7</v>
      </c>
      <c r="Q645" t="str">
        <f>A645&amp;"-"&amp;B645&amp;"-"&amp;D645</f>
        <v>FEBRUARI-MJ1-L7</v>
      </c>
    </row>
    <row r="646" spans="1:17" x14ac:dyDescent="0.25">
      <c r="A646" t="s">
        <v>392</v>
      </c>
      <c r="B646" s="13" t="s">
        <v>25</v>
      </c>
      <c r="C646" s="13" t="s">
        <v>43</v>
      </c>
      <c r="D646" s="14" t="s">
        <v>198</v>
      </c>
      <c r="E646" s="13" t="s">
        <v>302</v>
      </c>
      <c r="F646" s="13" t="s">
        <v>304</v>
      </c>
      <c r="G646" s="13">
        <v>2.8800000000000003</v>
      </c>
      <c r="H646" s="15">
        <v>2426</v>
      </c>
      <c r="I646" s="16">
        <v>6986.8799999999992</v>
      </c>
      <c r="J646" s="16">
        <v>7452.664052427268</v>
      </c>
      <c r="K646" s="16">
        <v>-465.7840524272678</v>
      </c>
      <c r="L646" s="13"/>
      <c r="M646" s="13">
        <v>3</v>
      </c>
      <c r="N646" s="17">
        <f t="shared" si="21"/>
        <v>0</v>
      </c>
      <c r="O646" s="17">
        <f t="shared" si="21"/>
        <v>7278</v>
      </c>
      <c r="P646" s="17">
        <f t="shared" si="22"/>
        <v>7278</v>
      </c>
      <c r="Q646" t="str">
        <f>A646&amp;"-"&amp;B646&amp;"-"&amp;D646</f>
        <v>FEBRUARI-MJ1-L8</v>
      </c>
    </row>
    <row r="647" spans="1:17" x14ac:dyDescent="0.25">
      <c r="A647" t="s">
        <v>392</v>
      </c>
      <c r="B647" s="13" t="s">
        <v>25</v>
      </c>
      <c r="C647" s="13" t="s">
        <v>43</v>
      </c>
      <c r="D647" s="14" t="s">
        <v>198</v>
      </c>
      <c r="E647" s="13" t="s">
        <v>305</v>
      </c>
      <c r="F647" s="13" t="s">
        <v>306</v>
      </c>
      <c r="G647" s="13">
        <v>2.7800000000000007</v>
      </c>
      <c r="H647" s="15">
        <v>5522</v>
      </c>
      <c r="I647" s="16">
        <v>15351.160000000002</v>
      </c>
      <c r="J647" s="16">
        <v>16767.335947572734</v>
      </c>
      <c r="K647" s="16">
        <v>-1416.1759475727331</v>
      </c>
      <c r="L647" s="13"/>
      <c r="M647" s="13">
        <v>2.9</v>
      </c>
      <c r="N647" s="17">
        <f t="shared" si="21"/>
        <v>0</v>
      </c>
      <c r="O647" s="17">
        <f t="shared" si="21"/>
        <v>16013.8</v>
      </c>
      <c r="P647" s="17">
        <f t="shared" si="22"/>
        <v>16013.8</v>
      </c>
      <c r="Q647" t="str">
        <f>A647&amp;"-"&amp;B647&amp;"-"&amp;D647</f>
        <v>FEBRUARI-MJ1-L8</v>
      </c>
    </row>
    <row r="648" spans="1:17" x14ac:dyDescent="0.25">
      <c r="A648" t="s">
        <v>392</v>
      </c>
      <c r="B648" s="13" t="s">
        <v>25</v>
      </c>
      <c r="C648" s="13" t="s">
        <v>43</v>
      </c>
      <c r="D648" s="14" t="s">
        <v>199</v>
      </c>
      <c r="E648" s="13" t="s">
        <v>302</v>
      </c>
      <c r="F648" s="13" t="s">
        <v>303</v>
      </c>
      <c r="G648" s="13">
        <v>2.88</v>
      </c>
      <c r="H648" s="15">
        <v>35</v>
      </c>
      <c r="I648" s="16">
        <v>100.8</v>
      </c>
      <c r="J648" s="16">
        <v>163.01923076923077</v>
      </c>
      <c r="K648" s="16">
        <v>-62.219230769230776</v>
      </c>
      <c r="L648" s="13"/>
      <c r="M648" s="13">
        <v>3</v>
      </c>
      <c r="N648" s="17">
        <f t="shared" si="21"/>
        <v>0</v>
      </c>
      <c r="O648" s="17">
        <f t="shared" si="21"/>
        <v>105</v>
      </c>
      <c r="P648" s="17">
        <f t="shared" si="22"/>
        <v>105</v>
      </c>
      <c r="Q648" t="str">
        <f>A648&amp;"-"&amp;B648&amp;"-"&amp;D648</f>
        <v>FEBRUARI-MJ1-L9</v>
      </c>
    </row>
    <row r="649" spans="1:17" x14ac:dyDescent="0.25">
      <c r="A649" t="s">
        <v>392</v>
      </c>
      <c r="B649" s="13" t="s">
        <v>25</v>
      </c>
      <c r="C649" s="13" t="s">
        <v>43</v>
      </c>
      <c r="D649" s="14" t="s">
        <v>199</v>
      </c>
      <c r="E649" s="13" t="s">
        <v>302</v>
      </c>
      <c r="F649" s="13" t="s">
        <v>304</v>
      </c>
      <c r="G649" s="13">
        <v>2.8799999999999994</v>
      </c>
      <c r="H649" s="15">
        <v>1918</v>
      </c>
      <c r="I649" s="16">
        <v>5523.84</v>
      </c>
      <c r="J649" s="16">
        <v>7030.0276471445222</v>
      </c>
      <c r="K649" s="16">
        <v>-1506.1876471445221</v>
      </c>
      <c r="L649" s="13"/>
      <c r="M649" s="13">
        <v>3</v>
      </c>
      <c r="N649" s="17">
        <f t="shared" si="21"/>
        <v>0</v>
      </c>
      <c r="O649" s="17">
        <f t="shared" si="21"/>
        <v>5754</v>
      </c>
      <c r="P649" s="17">
        <f t="shared" si="22"/>
        <v>5754</v>
      </c>
      <c r="Q649" t="str">
        <f>A649&amp;"-"&amp;B649&amp;"-"&amp;D649</f>
        <v>FEBRUARI-MJ1-L9</v>
      </c>
    </row>
    <row r="650" spans="1:17" x14ac:dyDescent="0.25">
      <c r="A650" t="s">
        <v>392</v>
      </c>
      <c r="B650" s="13" t="s">
        <v>25</v>
      </c>
      <c r="C650" s="13" t="s">
        <v>43</v>
      </c>
      <c r="D650" s="14" t="s">
        <v>199</v>
      </c>
      <c r="E650" s="13" t="s">
        <v>305</v>
      </c>
      <c r="F650" s="13" t="s">
        <v>306</v>
      </c>
      <c r="G650" s="13">
        <v>2.7800000000000007</v>
      </c>
      <c r="H650" s="15">
        <v>5061</v>
      </c>
      <c r="I650" s="16">
        <v>14069.58</v>
      </c>
      <c r="J650" s="16">
        <v>17026.953122086248</v>
      </c>
      <c r="K650" s="16">
        <v>-2957.3731220862473</v>
      </c>
      <c r="L650" s="13"/>
      <c r="M650" s="13">
        <v>2.9</v>
      </c>
      <c r="N650" s="17">
        <f t="shared" si="21"/>
        <v>0</v>
      </c>
      <c r="O650" s="17">
        <f t="shared" si="21"/>
        <v>14676.9</v>
      </c>
      <c r="P650" s="17">
        <f t="shared" si="22"/>
        <v>14676.9</v>
      </c>
      <c r="Q650" t="str">
        <f>A650&amp;"-"&amp;B650&amp;"-"&amp;D650</f>
        <v>FEBRUARI-MJ1-L9</v>
      </c>
    </row>
    <row r="651" spans="1:17" x14ac:dyDescent="0.25">
      <c r="A651" t="s">
        <v>392</v>
      </c>
      <c r="B651" s="13" t="s">
        <v>25</v>
      </c>
      <c r="C651" s="13" t="s">
        <v>70</v>
      </c>
      <c r="D651" s="14" t="s">
        <v>310</v>
      </c>
      <c r="E651" s="13" t="s">
        <v>71</v>
      </c>
      <c r="F651" s="13" t="s">
        <v>314</v>
      </c>
      <c r="G651" s="13">
        <v>4.8</v>
      </c>
      <c r="H651" s="15">
        <v>8</v>
      </c>
      <c r="I651" s="16">
        <v>38.4</v>
      </c>
      <c r="J651" s="16">
        <v>1937.6</v>
      </c>
      <c r="K651" s="16">
        <v>-1899.2000000000003</v>
      </c>
      <c r="L651" s="13">
        <v>14.47</v>
      </c>
      <c r="M651" s="13"/>
      <c r="N651" s="17">
        <f t="shared" si="21"/>
        <v>115.76</v>
      </c>
      <c r="O651" s="17">
        <f t="shared" si="21"/>
        <v>0</v>
      </c>
      <c r="P651" s="17">
        <f t="shared" si="22"/>
        <v>115.76</v>
      </c>
      <c r="Q651" t="str">
        <f>A651&amp;"-"&amp;B651&amp;"-"&amp;D651</f>
        <v>FEBRUARI-MJ1-L12</v>
      </c>
    </row>
    <row r="652" spans="1:17" x14ac:dyDescent="0.25">
      <c r="A652" t="s">
        <v>392</v>
      </c>
      <c r="B652" s="13" t="s">
        <v>25</v>
      </c>
      <c r="C652" s="13" t="s">
        <v>70</v>
      </c>
      <c r="D652" s="14" t="s">
        <v>310</v>
      </c>
      <c r="E652" s="13" t="s">
        <v>73</v>
      </c>
      <c r="F652" s="13" t="s">
        <v>316</v>
      </c>
      <c r="G652" s="13">
        <v>4.5</v>
      </c>
      <c r="H652" s="15">
        <v>3</v>
      </c>
      <c r="I652" s="16">
        <v>13.5</v>
      </c>
      <c r="J652" s="16">
        <v>7958</v>
      </c>
      <c r="K652" s="16">
        <v>-7944.5</v>
      </c>
      <c r="L652" s="13">
        <v>10.48</v>
      </c>
      <c r="M652" s="13"/>
      <c r="N652" s="17">
        <f t="shared" si="21"/>
        <v>31.44</v>
      </c>
      <c r="O652" s="17">
        <f t="shared" si="21"/>
        <v>0</v>
      </c>
      <c r="P652" s="17">
        <f t="shared" si="22"/>
        <v>31.44</v>
      </c>
      <c r="Q652" t="str">
        <f>A652&amp;"-"&amp;B652&amp;"-"&amp;D652</f>
        <v>FEBRUARI-MJ1-L12</v>
      </c>
    </row>
    <row r="653" spans="1:17" x14ac:dyDescent="0.25">
      <c r="A653" t="s">
        <v>392</v>
      </c>
      <c r="B653" s="13" t="s">
        <v>25</v>
      </c>
      <c r="C653" s="13" t="s">
        <v>70</v>
      </c>
      <c r="D653" s="14" t="s">
        <v>310</v>
      </c>
      <c r="E653" s="13" t="s">
        <v>77</v>
      </c>
      <c r="F653" s="13" t="s">
        <v>317</v>
      </c>
      <c r="G653" s="13">
        <v>3.7</v>
      </c>
      <c r="H653" s="15">
        <v>19</v>
      </c>
      <c r="I653" s="16">
        <v>70.300000000000011</v>
      </c>
      <c r="J653" s="16">
        <v>2214.4</v>
      </c>
      <c r="K653" s="16">
        <v>-2144.1000000000004</v>
      </c>
      <c r="L653" s="13">
        <v>12.74</v>
      </c>
      <c r="M653" s="13"/>
      <c r="N653" s="17">
        <f t="shared" si="21"/>
        <v>242.06</v>
      </c>
      <c r="O653" s="17">
        <f t="shared" si="21"/>
        <v>0</v>
      </c>
      <c r="P653" s="17">
        <f t="shared" si="22"/>
        <v>242.06</v>
      </c>
      <c r="Q653" t="str">
        <f>A653&amp;"-"&amp;B653&amp;"-"&amp;D653</f>
        <v>FEBRUARI-MJ1-L12</v>
      </c>
    </row>
    <row r="654" spans="1:17" x14ac:dyDescent="0.25">
      <c r="A654" t="s">
        <v>392</v>
      </c>
      <c r="B654" s="13" t="s">
        <v>25</v>
      </c>
      <c r="C654" s="13" t="s">
        <v>70</v>
      </c>
      <c r="D654" s="14" t="s">
        <v>320</v>
      </c>
      <c r="E654" s="13" t="s">
        <v>73</v>
      </c>
      <c r="F654" s="13" t="s">
        <v>493</v>
      </c>
      <c r="G654" s="13">
        <v>4.5</v>
      </c>
      <c r="H654" s="15">
        <v>7</v>
      </c>
      <c r="I654" s="16">
        <v>31.5</v>
      </c>
      <c r="J654" s="16">
        <v>256.87878787878788</v>
      </c>
      <c r="K654" s="16">
        <v>-225.37878787878788</v>
      </c>
      <c r="L654" s="13">
        <v>13.18</v>
      </c>
      <c r="M654" s="13"/>
      <c r="N654" s="17">
        <f t="shared" si="21"/>
        <v>92.259999999999991</v>
      </c>
      <c r="O654" s="17">
        <f t="shared" si="21"/>
        <v>0</v>
      </c>
      <c r="P654" s="17">
        <f t="shared" si="22"/>
        <v>92.259999999999991</v>
      </c>
      <c r="Q654" t="str">
        <f>A654&amp;"-"&amp;B654&amp;"-"&amp;D654</f>
        <v>FEBRUARI-MJ1-L13</v>
      </c>
    </row>
    <row r="655" spans="1:17" x14ac:dyDescent="0.25">
      <c r="A655" t="s">
        <v>392</v>
      </c>
      <c r="B655" s="13" t="s">
        <v>25</v>
      </c>
      <c r="C655" s="13" t="s">
        <v>70</v>
      </c>
      <c r="D655" s="14" t="s">
        <v>320</v>
      </c>
      <c r="E655" s="13" t="s">
        <v>77</v>
      </c>
      <c r="F655" s="13" t="s">
        <v>323</v>
      </c>
      <c r="G655" s="13">
        <v>3.7</v>
      </c>
      <c r="H655" s="15">
        <v>2</v>
      </c>
      <c r="I655" s="16">
        <v>7.4</v>
      </c>
      <c r="J655" s="16">
        <v>403.66666666666663</v>
      </c>
      <c r="K655" s="16">
        <v>-396.26666666666665</v>
      </c>
      <c r="L655" s="13">
        <v>10.96</v>
      </c>
      <c r="M655" s="13"/>
      <c r="N655" s="17">
        <f t="shared" si="21"/>
        <v>21.92</v>
      </c>
      <c r="O655" s="17">
        <f t="shared" si="21"/>
        <v>0</v>
      </c>
      <c r="P655" s="17">
        <f t="shared" si="22"/>
        <v>21.92</v>
      </c>
      <c r="Q655" t="str">
        <f>A655&amp;"-"&amp;B655&amp;"-"&amp;D655</f>
        <v>FEBRUARI-MJ1-L13</v>
      </c>
    </row>
    <row r="656" spans="1:17" x14ac:dyDescent="0.25">
      <c r="A656" t="s">
        <v>392</v>
      </c>
      <c r="B656" s="13" t="s">
        <v>25</v>
      </c>
      <c r="C656" s="13" t="s">
        <v>70</v>
      </c>
      <c r="D656" s="14" t="s">
        <v>320</v>
      </c>
      <c r="E656" s="13" t="s">
        <v>77</v>
      </c>
      <c r="F656" s="13" t="s">
        <v>494</v>
      </c>
      <c r="G656" s="13">
        <v>3.7</v>
      </c>
      <c r="H656" s="15">
        <v>4</v>
      </c>
      <c r="I656" s="16">
        <v>14.8</v>
      </c>
      <c r="J656" s="16">
        <v>807.33333333333326</v>
      </c>
      <c r="K656" s="16">
        <v>-792.5333333333333</v>
      </c>
      <c r="L656" s="13">
        <v>12.43</v>
      </c>
      <c r="M656" s="13"/>
      <c r="N656" s="17">
        <f t="shared" si="21"/>
        <v>49.72</v>
      </c>
      <c r="O656" s="17">
        <f t="shared" si="21"/>
        <v>0</v>
      </c>
      <c r="P656" s="17">
        <f t="shared" si="22"/>
        <v>49.72</v>
      </c>
      <c r="Q656" t="str">
        <f>A656&amp;"-"&amp;B656&amp;"-"&amp;D656</f>
        <v>FEBRUARI-MJ1-L13</v>
      </c>
    </row>
    <row r="657" spans="1:17" x14ac:dyDescent="0.25">
      <c r="A657" t="s">
        <v>392</v>
      </c>
      <c r="B657" s="13" t="s">
        <v>25</v>
      </c>
      <c r="C657" s="13" t="s">
        <v>70</v>
      </c>
      <c r="D657" s="14" t="s">
        <v>320</v>
      </c>
      <c r="E657" s="13" t="s">
        <v>77</v>
      </c>
      <c r="F657" s="13" t="s">
        <v>324</v>
      </c>
      <c r="G657" s="13">
        <v>3.7</v>
      </c>
      <c r="H657" s="15">
        <v>2</v>
      </c>
      <c r="I657" s="16">
        <v>7.4</v>
      </c>
      <c r="J657" s="16">
        <v>467.40350877192981</v>
      </c>
      <c r="K657" s="16">
        <v>-460.00350877192977</v>
      </c>
      <c r="L657" s="13">
        <v>11.68</v>
      </c>
      <c r="M657" s="13"/>
      <c r="N657" s="17">
        <f t="shared" si="21"/>
        <v>23.36</v>
      </c>
      <c r="O657" s="17">
        <f t="shared" si="21"/>
        <v>0</v>
      </c>
      <c r="P657" s="17">
        <f t="shared" si="22"/>
        <v>23.36</v>
      </c>
      <c r="Q657" t="str">
        <f>A657&amp;"-"&amp;B657&amp;"-"&amp;D657</f>
        <v>FEBRUARI-MJ1-L13</v>
      </c>
    </row>
    <row r="658" spans="1:17" x14ac:dyDescent="0.25">
      <c r="A658" t="s">
        <v>392</v>
      </c>
      <c r="B658" s="13" t="s">
        <v>25</v>
      </c>
      <c r="C658" s="13" t="s">
        <v>70</v>
      </c>
      <c r="D658" s="14" t="s">
        <v>320</v>
      </c>
      <c r="E658" s="13" t="s">
        <v>77</v>
      </c>
      <c r="F658" s="13" t="s">
        <v>325</v>
      </c>
      <c r="G658" s="13">
        <v>3.7</v>
      </c>
      <c r="H658" s="15">
        <v>98</v>
      </c>
      <c r="I658" s="16">
        <v>362.6</v>
      </c>
      <c r="J658" s="16">
        <v>9707.3141945773532</v>
      </c>
      <c r="K658" s="16">
        <v>-9344.7141945773528</v>
      </c>
      <c r="L658" s="13">
        <v>12.41</v>
      </c>
      <c r="M658" s="13"/>
      <c r="N658" s="17">
        <f t="shared" si="21"/>
        <v>1216.18</v>
      </c>
      <c r="O658" s="17">
        <f t="shared" si="21"/>
        <v>0</v>
      </c>
      <c r="P658" s="17">
        <f t="shared" si="22"/>
        <v>1216.18</v>
      </c>
      <c r="Q658" t="str">
        <f>A658&amp;"-"&amp;B658&amp;"-"&amp;D658</f>
        <v>FEBRUARI-MJ1-L13</v>
      </c>
    </row>
    <row r="659" spans="1:17" x14ac:dyDescent="0.25">
      <c r="A659" t="s">
        <v>392</v>
      </c>
      <c r="B659" s="13" t="s">
        <v>25</v>
      </c>
      <c r="C659" s="13" t="s">
        <v>70</v>
      </c>
      <c r="D659" s="14" t="s">
        <v>320</v>
      </c>
      <c r="E659" s="13" t="s">
        <v>77</v>
      </c>
      <c r="F659" s="13" t="s">
        <v>326</v>
      </c>
      <c r="G659" s="13">
        <v>4.5</v>
      </c>
      <c r="H659" s="15">
        <v>20</v>
      </c>
      <c r="I659" s="16">
        <v>90</v>
      </c>
      <c r="J659" s="16">
        <v>1211</v>
      </c>
      <c r="K659" s="16">
        <v>-1121</v>
      </c>
      <c r="L659" s="13">
        <v>12.56</v>
      </c>
      <c r="M659" s="13"/>
      <c r="N659" s="17">
        <f t="shared" si="21"/>
        <v>251.20000000000002</v>
      </c>
      <c r="O659" s="17">
        <f t="shared" si="21"/>
        <v>0</v>
      </c>
      <c r="P659" s="17">
        <f t="shared" si="22"/>
        <v>251.20000000000002</v>
      </c>
      <c r="Q659" t="str">
        <f>A659&amp;"-"&amp;B659&amp;"-"&amp;D659</f>
        <v>FEBRUARI-MJ1-L13</v>
      </c>
    </row>
    <row r="660" spans="1:17" x14ac:dyDescent="0.25">
      <c r="A660" t="s">
        <v>392</v>
      </c>
      <c r="B660" s="13" t="s">
        <v>25</v>
      </c>
      <c r="C660" s="13" t="s">
        <v>70</v>
      </c>
      <c r="D660" s="14" t="s">
        <v>320</v>
      </c>
      <c r="E660" s="13" t="s">
        <v>77</v>
      </c>
      <c r="F660" s="13" t="s">
        <v>327</v>
      </c>
      <c r="G660" s="13">
        <v>3.7</v>
      </c>
      <c r="H660" s="15">
        <v>2</v>
      </c>
      <c r="I660" s="16">
        <v>7.4</v>
      </c>
      <c r="J660" s="16">
        <v>467.40350877192981</v>
      </c>
      <c r="K660" s="16">
        <v>-460.00350877192977</v>
      </c>
      <c r="L660" s="13">
        <v>12.2</v>
      </c>
      <c r="M660" s="13"/>
      <c r="N660" s="17">
        <f t="shared" si="21"/>
        <v>24.4</v>
      </c>
      <c r="O660" s="17">
        <f t="shared" si="21"/>
        <v>0</v>
      </c>
      <c r="P660" s="17">
        <f t="shared" si="22"/>
        <v>24.4</v>
      </c>
      <c r="Q660" t="str">
        <f>A660&amp;"-"&amp;B660&amp;"-"&amp;D660</f>
        <v>FEBRUARI-MJ1-L13</v>
      </c>
    </row>
    <row r="661" spans="1:17" x14ac:dyDescent="0.25">
      <c r="A661" t="s">
        <v>392</v>
      </c>
      <c r="B661" s="13" t="s">
        <v>25</v>
      </c>
      <c r="C661" s="13" t="s">
        <v>329</v>
      </c>
      <c r="D661" s="14" t="s">
        <v>50</v>
      </c>
      <c r="E661" s="13" t="s">
        <v>71</v>
      </c>
      <c r="F661" s="13" t="s">
        <v>330</v>
      </c>
      <c r="G661" s="13">
        <v>5</v>
      </c>
      <c r="H661" s="15">
        <v>16</v>
      </c>
      <c r="I661" s="16">
        <v>80</v>
      </c>
      <c r="J661" s="16">
        <v>128.44977987421385</v>
      </c>
      <c r="K661" s="16">
        <v>-48.449779874213831</v>
      </c>
      <c r="L661" s="13"/>
      <c r="M661" s="13">
        <v>5.95</v>
      </c>
      <c r="N661" s="17">
        <f t="shared" si="21"/>
        <v>0</v>
      </c>
      <c r="O661" s="17">
        <f t="shared" si="21"/>
        <v>95.2</v>
      </c>
      <c r="P661" s="17">
        <f t="shared" si="22"/>
        <v>95.2</v>
      </c>
      <c r="Q661" t="str">
        <f>A661&amp;"-"&amp;B661&amp;"-"&amp;D661</f>
        <v>FEBRUARI-MJ1-L2</v>
      </c>
    </row>
    <row r="662" spans="1:17" x14ac:dyDescent="0.25">
      <c r="A662" t="s">
        <v>392</v>
      </c>
      <c r="B662" s="13" t="s">
        <v>25</v>
      </c>
      <c r="C662" s="13" t="s">
        <v>329</v>
      </c>
      <c r="D662" s="14" t="s">
        <v>50</v>
      </c>
      <c r="E662" s="13" t="s">
        <v>71</v>
      </c>
      <c r="F662" s="13" t="s">
        <v>331</v>
      </c>
      <c r="G662" s="13">
        <v>5</v>
      </c>
      <c r="H662" s="15">
        <v>2407</v>
      </c>
      <c r="I662" s="16">
        <v>12035</v>
      </c>
      <c r="J662" s="16">
        <v>15910.959391543147</v>
      </c>
      <c r="K662" s="16">
        <v>-3875.9593915431506</v>
      </c>
      <c r="L662" s="13"/>
      <c r="M662" s="13"/>
      <c r="N662" s="17">
        <f t="shared" si="21"/>
        <v>0</v>
      </c>
      <c r="O662" s="17">
        <f t="shared" si="21"/>
        <v>0</v>
      </c>
      <c r="P662" s="17">
        <f t="shared" si="22"/>
        <v>0</v>
      </c>
      <c r="Q662" t="str">
        <f>A662&amp;"-"&amp;B662&amp;"-"&amp;D662</f>
        <v>FEBRUARI-MJ1-L2</v>
      </c>
    </row>
    <row r="663" spans="1:17" x14ac:dyDescent="0.25">
      <c r="A663" t="s">
        <v>392</v>
      </c>
      <c r="B663" s="13" t="s">
        <v>25</v>
      </c>
      <c r="C663" s="13" t="s">
        <v>329</v>
      </c>
      <c r="D663" s="14" t="s">
        <v>50</v>
      </c>
      <c r="E663" s="13" t="s">
        <v>71</v>
      </c>
      <c r="F663" s="13" t="s">
        <v>332</v>
      </c>
      <c r="G663" s="13">
        <v>5</v>
      </c>
      <c r="H663" s="15">
        <v>999</v>
      </c>
      <c r="I663" s="16">
        <v>4995</v>
      </c>
      <c r="J663" s="16">
        <v>6969.5908285826372</v>
      </c>
      <c r="K663" s="16">
        <v>-1974.590828582637</v>
      </c>
      <c r="L663" s="13"/>
      <c r="M663" s="13">
        <v>6.15</v>
      </c>
      <c r="N663" s="17">
        <f t="shared" si="21"/>
        <v>0</v>
      </c>
      <c r="O663" s="17">
        <f t="shared" si="21"/>
        <v>6143.85</v>
      </c>
      <c r="P663" s="17">
        <f t="shared" si="22"/>
        <v>6143.85</v>
      </c>
      <c r="Q663" t="str">
        <f>A663&amp;"-"&amp;B663&amp;"-"&amp;D663</f>
        <v>FEBRUARI-MJ1-L2</v>
      </c>
    </row>
    <row r="664" spans="1:17" x14ac:dyDescent="0.25">
      <c r="A664" t="s">
        <v>392</v>
      </c>
      <c r="B664" s="13" t="s">
        <v>25</v>
      </c>
      <c r="C664" s="13" t="s">
        <v>329</v>
      </c>
      <c r="D664" s="14" t="s">
        <v>56</v>
      </c>
      <c r="E664" s="13" t="s">
        <v>71</v>
      </c>
      <c r="F664" s="13" t="s">
        <v>333</v>
      </c>
      <c r="G664" s="13">
        <v>5</v>
      </c>
      <c r="H664" s="15">
        <v>3421</v>
      </c>
      <c r="I664" s="16">
        <v>17105</v>
      </c>
      <c r="J664" s="16">
        <v>24220</v>
      </c>
      <c r="K664" s="16">
        <v>-7115</v>
      </c>
      <c r="L664" s="13"/>
      <c r="M664" s="13">
        <v>6.95</v>
      </c>
      <c r="N664" s="17">
        <f t="shared" si="21"/>
        <v>0</v>
      </c>
      <c r="O664" s="17">
        <f t="shared" si="21"/>
        <v>23775.95</v>
      </c>
      <c r="P664" s="17">
        <f t="shared" si="22"/>
        <v>23775.95</v>
      </c>
      <c r="Q664" t="str">
        <f>A664&amp;"-"&amp;B664&amp;"-"&amp;D664</f>
        <v>FEBRUARI-MJ1-L3</v>
      </c>
    </row>
    <row r="665" spans="1:17" x14ac:dyDescent="0.25">
      <c r="A665" t="s">
        <v>392</v>
      </c>
      <c r="B665" s="13" t="s">
        <v>25</v>
      </c>
      <c r="C665" s="13" t="s">
        <v>329</v>
      </c>
      <c r="D665" s="14" t="s">
        <v>158</v>
      </c>
      <c r="E665" s="13" t="s">
        <v>71</v>
      </c>
      <c r="F665" s="13" t="s">
        <v>333</v>
      </c>
      <c r="G665" s="13">
        <v>5</v>
      </c>
      <c r="H665" s="15">
        <v>3424</v>
      </c>
      <c r="I665" s="16">
        <v>17120</v>
      </c>
      <c r="J665" s="16">
        <v>24220</v>
      </c>
      <c r="K665" s="16">
        <v>-7100</v>
      </c>
      <c r="L665" s="13"/>
      <c r="M665" s="13">
        <v>6.95</v>
      </c>
      <c r="N665" s="17">
        <f t="shared" si="21"/>
        <v>0</v>
      </c>
      <c r="O665" s="17">
        <f t="shared" si="21"/>
        <v>23796.799999999999</v>
      </c>
      <c r="P665" s="17">
        <f t="shared" si="22"/>
        <v>23796.799999999999</v>
      </c>
      <c r="Q665" t="str">
        <f>A665&amp;"-"&amp;B665&amp;"-"&amp;D665</f>
        <v>FEBRUARI-MJ1-L4</v>
      </c>
    </row>
    <row r="666" spans="1:17" x14ac:dyDescent="0.25">
      <c r="A666" t="s">
        <v>392</v>
      </c>
      <c r="B666" s="13" t="s">
        <v>26</v>
      </c>
      <c r="C666" s="13" t="s">
        <v>339</v>
      </c>
      <c r="D666" s="14" t="s">
        <v>301</v>
      </c>
      <c r="E666" s="13" t="s">
        <v>61</v>
      </c>
      <c r="F666" s="13" t="s">
        <v>340</v>
      </c>
      <c r="G666" s="13">
        <v>1.75</v>
      </c>
      <c r="H666" s="15">
        <v>8584</v>
      </c>
      <c r="I666" s="16">
        <v>15022</v>
      </c>
      <c r="J666" s="16">
        <v>6216</v>
      </c>
      <c r="K666" s="16">
        <v>8806</v>
      </c>
      <c r="L666" s="13">
        <v>2.96</v>
      </c>
      <c r="M666" s="13"/>
      <c r="N666" s="17">
        <f t="shared" ref="N666:O724" si="23">$H666*L666</f>
        <v>25408.639999999999</v>
      </c>
      <c r="O666" s="17">
        <f t="shared" si="23"/>
        <v>0</v>
      </c>
      <c r="P666" s="17">
        <f t="shared" si="22"/>
        <v>25408.639999999999</v>
      </c>
      <c r="Q666" t="str">
        <f>A666&amp;"-"&amp;B666&amp;"-"&amp;D666</f>
        <v>FEBRUARI-MJ2-L10</v>
      </c>
    </row>
    <row r="667" spans="1:17" x14ac:dyDescent="0.25">
      <c r="A667" t="s">
        <v>392</v>
      </c>
      <c r="B667" s="13" t="s">
        <v>26</v>
      </c>
      <c r="C667" s="13" t="s">
        <v>339</v>
      </c>
      <c r="D667" s="14" t="s">
        <v>287</v>
      </c>
      <c r="E667" s="13" t="s">
        <v>61</v>
      </c>
      <c r="F667" s="13" t="s">
        <v>340</v>
      </c>
      <c r="G667" s="13">
        <v>1.75</v>
      </c>
      <c r="H667" s="15">
        <v>8317</v>
      </c>
      <c r="I667" s="16">
        <v>14554.75</v>
      </c>
      <c r="J667" s="16">
        <v>5987.9428788457253</v>
      </c>
      <c r="K667" s="16">
        <v>8566.8071211542756</v>
      </c>
      <c r="L667" s="13">
        <v>2.96</v>
      </c>
      <c r="M667" s="13"/>
      <c r="N667" s="17">
        <f t="shared" si="23"/>
        <v>24618.32</v>
      </c>
      <c r="O667" s="17">
        <f t="shared" si="23"/>
        <v>0</v>
      </c>
      <c r="P667" s="17">
        <f t="shared" si="22"/>
        <v>24618.32</v>
      </c>
      <c r="Q667" t="str">
        <f>A667&amp;"-"&amp;B667&amp;"-"&amp;D667</f>
        <v>FEBRUARI-MJ2-L11</v>
      </c>
    </row>
    <row r="668" spans="1:17" x14ac:dyDescent="0.25">
      <c r="A668" t="s">
        <v>392</v>
      </c>
      <c r="B668" s="13" t="s">
        <v>26</v>
      </c>
      <c r="C668" s="13" t="s">
        <v>339</v>
      </c>
      <c r="D668" s="14" t="s">
        <v>310</v>
      </c>
      <c r="E668" s="13" t="s">
        <v>61</v>
      </c>
      <c r="F668" s="13" t="s">
        <v>340</v>
      </c>
      <c r="G668" s="13">
        <v>1.75</v>
      </c>
      <c r="H668" s="15">
        <v>7620</v>
      </c>
      <c r="I668" s="16">
        <v>13335</v>
      </c>
      <c r="J668" s="16">
        <v>5514.7596702599867</v>
      </c>
      <c r="K668" s="16">
        <v>7820.2403297400133</v>
      </c>
      <c r="L668" s="13">
        <v>2.96</v>
      </c>
      <c r="M668" s="13"/>
      <c r="N668" s="17">
        <f t="shared" si="23"/>
        <v>22555.200000000001</v>
      </c>
      <c r="O668" s="17">
        <f t="shared" si="23"/>
        <v>0</v>
      </c>
      <c r="P668" s="17">
        <f t="shared" si="22"/>
        <v>22555.200000000001</v>
      </c>
      <c r="Q668" t="str">
        <f>A668&amp;"-"&amp;B668&amp;"-"&amp;D668</f>
        <v>FEBRUARI-MJ2-L12</v>
      </c>
    </row>
    <row r="669" spans="1:17" x14ac:dyDescent="0.25">
      <c r="A669" t="s">
        <v>392</v>
      </c>
      <c r="B669" s="13" t="s">
        <v>26</v>
      </c>
      <c r="C669" s="13" t="s">
        <v>339</v>
      </c>
      <c r="D669" s="14" t="s">
        <v>320</v>
      </c>
      <c r="E669" s="13" t="s">
        <v>61</v>
      </c>
      <c r="F669" s="13" t="s">
        <v>340</v>
      </c>
      <c r="G669" s="13">
        <v>1.75</v>
      </c>
      <c r="H669" s="15">
        <v>5796</v>
      </c>
      <c r="I669" s="16">
        <v>10143</v>
      </c>
      <c r="J669" s="16">
        <v>4793.6325657238167</v>
      </c>
      <c r="K669" s="16">
        <v>5349.3674342761833</v>
      </c>
      <c r="L669" s="13">
        <v>2.96</v>
      </c>
      <c r="M669" s="13"/>
      <c r="N669" s="17">
        <f t="shared" si="23"/>
        <v>17156.16</v>
      </c>
      <c r="O669" s="17">
        <f t="shared" si="23"/>
        <v>0</v>
      </c>
      <c r="P669" s="17">
        <f t="shared" si="22"/>
        <v>17156.16</v>
      </c>
      <c r="Q669" t="str">
        <f>A669&amp;"-"&amp;B669&amp;"-"&amp;D669</f>
        <v>FEBRUARI-MJ2-L13</v>
      </c>
    </row>
    <row r="670" spans="1:17" x14ac:dyDescent="0.25">
      <c r="A670" t="s">
        <v>392</v>
      </c>
      <c r="B670" s="13" t="s">
        <v>26</v>
      </c>
      <c r="C670" s="13" t="s">
        <v>339</v>
      </c>
      <c r="D670" s="14" t="s">
        <v>198</v>
      </c>
      <c r="E670" s="13" t="s">
        <v>61</v>
      </c>
      <c r="F670" s="13" t="s">
        <v>340</v>
      </c>
      <c r="G670" s="13">
        <v>1.75</v>
      </c>
      <c r="H670" s="15">
        <v>9361</v>
      </c>
      <c r="I670" s="16">
        <v>16381.75</v>
      </c>
      <c r="J670" s="16">
        <v>5708.4614374744797</v>
      </c>
      <c r="K670" s="16">
        <v>10673.28856252552</v>
      </c>
      <c r="L670" s="13">
        <v>2.96</v>
      </c>
      <c r="M670" s="13"/>
      <c r="N670" s="17">
        <f t="shared" si="23"/>
        <v>27708.560000000001</v>
      </c>
      <c r="O670" s="17">
        <f t="shared" si="23"/>
        <v>0</v>
      </c>
      <c r="P670" s="17">
        <f t="shared" si="22"/>
        <v>27708.560000000001</v>
      </c>
      <c r="Q670" t="str">
        <f>A670&amp;"-"&amp;B670&amp;"-"&amp;D670</f>
        <v>FEBRUARI-MJ2-L8</v>
      </c>
    </row>
    <row r="671" spans="1:17" x14ac:dyDescent="0.25">
      <c r="A671" t="s">
        <v>392</v>
      </c>
      <c r="B671" s="13" t="s">
        <v>26</v>
      </c>
      <c r="C671" s="13" t="s">
        <v>339</v>
      </c>
      <c r="D671" s="14" t="s">
        <v>199</v>
      </c>
      <c r="E671" s="13" t="s">
        <v>61</v>
      </c>
      <c r="F671" s="13" t="s">
        <v>340</v>
      </c>
      <c r="G671" s="13">
        <v>1.75</v>
      </c>
      <c r="H671" s="15">
        <v>9190</v>
      </c>
      <c r="I671" s="16">
        <v>16082.5</v>
      </c>
      <c r="J671" s="16">
        <v>6191.6845564074483</v>
      </c>
      <c r="K671" s="16">
        <v>9890.8154435925517</v>
      </c>
      <c r="L671" s="13">
        <v>2.96</v>
      </c>
      <c r="M671" s="13"/>
      <c r="N671" s="17">
        <f t="shared" si="23"/>
        <v>27202.400000000001</v>
      </c>
      <c r="O671" s="17">
        <f t="shared" si="23"/>
        <v>0</v>
      </c>
      <c r="P671" s="17">
        <f t="shared" si="22"/>
        <v>27202.400000000001</v>
      </c>
      <c r="Q671" t="str">
        <f>A671&amp;"-"&amp;B671&amp;"-"&amp;D671</f>
        <v>FEBRUARI-MJ2-L9</v>
      </c>
    </row>
    <row r="672" spans="1:17" x14ac:dyDescent="0.25">
      <c r="A672" t="s">
        <v>392</v>
      </c>
      <c r="B672" s="13" t="s">
        <v>26</v>
      </c>
      <c r="C672" s="13" t="s">
        <v>218</v>
      </c>
      <c r="D672" s="14" t="s">
        <v>287</v>
      </c>
      <c r="E672" s="13" t="s">
        <v>61</v>
      </c>
      <c r="F672" s="13" t="s">
        <v>220</v>
      </c>
      <c r="G672" s="13">
        <v>1.45</v>
      </c>
      <c r="H672" s="15">
        <v>236</v>
      </c>
      <c r="I672" s="16">
        <v>342.2</v>
      </c>
      <c r="J672" s="16">
        <v>909.31200000000001</v>
      </c>
      <c r="K672" s="16">
        <v>-567.11200000000008</v>
      </c>
      <c r="L672" s="13">
        <v>2.73</v>
      </c>
      <c r="M672" s="13"/>
      <c r="N672" s="17">
        <f t="shared" si="23"/>
        <v>644.28</v>
      </c>
      <c r="O672" s="17">
        <f t="shared" si="23"/>
        <v>0</v>
      </c>
      <c r="P672" s="17">
        <f t="shared" si="22"/>
        <v>644.28</v>
      </c>
      <c r="Q672" t="str">
        <f>A672&amp;"-"&amp;B672&amp;"-"&amp;D672</f>
        <v>FEBRUARI-MJ2-L11</v>
      </c>
    </row>
    <row r="673" spans="1:17" x14ac:dyDescent="0.25">
      <c r="A673" t="s">
        <v>392</v>
      </c>
      <c r="B673" s="13" t="s">
        <v>26</v>
      </c>
      <c r="C673" s="13" t="s">
        <v>218</v>
      </c>
      <c r="D673" s="14" t="s">
        <v>310</v>
      </c>
      <c r="E673" s="13" t="s">
        <v>61</v>
      </c>
      <c r="F673" s="13" t="s">
        <v>220</v>
      </c>
      <c r="G673" s="13">
        <v>1.45</v>
      </c>
      <c r="H673" s="15">
        <v>5</v>
      </c>
      <c r="I673" s="16">
        <v>7.25</v>
      </c>
      <c r="J673" s="16">
        <v>63.428571428571423</v>
      </c>
      <c r="K673" s="16">
        <v>-56.178571428571423</v>
      </c>
      <c r="L673" s="13">
        <v>2.73</v>
      </c>
      <c r="M673" s="13"/>
      <c r="N673" s="17">
        <f t="shared" si="23"/>
        <v>13.65</v>
      </c>
      <c r="O673" s="17">
        <f t="shared" si="23"/>
        <v>0</v>
      </c>
      <c r="P673" s="17">
        <f t="shared" si="22"/>
        <v>13.65</v>
      </c>
      <c r="Q673" t="str">
        <f>A673&amp;"-"&amp;B673&amp;"-"&amp;D673</f>
        <v>FEBRUARI-MJ2-L12</v>
      </c>
    </row>
    <row r="674" spans="1:17" x14ac:dyDescent="0.25">
      <c r="A674" t="s">
        <v>392</v>
      </c>
      <c r="B674" s="13" t="s">
        <v>26</v>
      </c>
      <c r="C674" s="13" t="s">
        <v>218</v>
      </c>
      <c r="D674" s="14" t="s">
        <v>320</v>
      </c>
      <c r="E674" s="13" t="s">
        <v>61</v>
      </c>
      <c r="F674" s="13" t="s">
        <v>220</v>
      </c>
      <c r="G674" s="13">
        <v>1.45</v>
      </c>
      <c r="H674" s="15">
        <v>304</v>
      </c>
      <c r="I674" s="16">
        <v>440.8</v>
      </c>
      <c r="J674" s="16">
        <v>242.76258992805757</v>
      </c>
      <c r="K674" s="16">
        <v>198.03741007194245</v>
      </c>
      <c r="L674" s="13">
        <v>2.73</v>
      </c>
      <c r="M674" s="13"/>
      <c r="N674" s="17">
        <f t="shared" si="23"/>
        <v>829.92</v>
      </c>
      <c r="O674" s="17">
        <f t="shared" si="23"/>
        <v>0</v>
      </c>
      <c r="P674" s="17">
        <f t="shared" si="22"/>
        <v>829.92</v>
      </c>
      <c r="Q674" t="str">
        <f>A674&amp;"-"&amp;B674&amp;"-"&amp;D674</f>
        <v>FEBRUARI-MJ2-L13</v>
      </c>
    </row>
    <row r="675" spans="1:17" x14ac:dyDescent="0.25">
      <c r="A675" t="s">
        <v>392</v>
      </c>
      <c r="B675" s="13" t="s">
        <v>26</v>
      </c>
      <c r="C675" s="13" t="s">
        <v>218</v>
      </c>
      <c r="D675" s="14" t="s">
        <v>160</v>
      </c>
      <c r="E675" s="13" t="s">
        <v>61</v>
      </c>
      <c r="F675" s="13" t="s">
        <v>220</v>
      </c>
      <c r="G675" s="13">
        <v>1.45</v>
      </c>
      <c r="H675" s="15">
        <v>53</v>
      </c>
      <c r="I675" s="16">
        <v>76.849999999999994</v>
      </c>
      <c r="J675" s="16">
        <v>29.123762376237625</v>
      </c>
      <c r="K675" s="16">
        <v>47.726237623762373</v>
      </c>
      <c r="L675" s="13">
        <v>2.73</v>
      </c>
      <c r="M675" s="13"/>
      <c r="N675" s="17">
        <f t="shared" si="23"/>
        <v>144.69</v>
      </c>
      <c r="O675" s="17">
        <f t="shared" si="23"/>
        <v>0</v>
      </c>
      <c r="P675" s="17">
        <f t="shared" si="22"/>
        <v>144.69</v>
      </c>
      <c r="Q675" t="str">
        <f>A675&amp;"-"&amp;B675&amp;"-"&amp;D675</f>
        <v>FEBRUARI-MJ2-L5</v>
      </c>
    </row>
    <row r="676" spans="1:17" x14ac:dyDescent="0.25">
      <c r="A676" t="s">
        <v>392</v>
      </c>
      <c r="B676" s="13" t="s">
        <v>26</v>
      </c>
      <c r="C676" s="13" t="s">
        <v>218</v>
      </c>
      <c r="D676" s="14" t="s">
        <v>164</v>
      </c>
      <c r="E676" s="13" t="s">
        <v>61</v>
      </c>
      <c r="F676" s="13" t="s">
        <v>220</v>
      </c>
      <c r="G676" s="13">
        <v>1.45</v>
      </c>
      <c r="H676" s="15">
        <v>213</v>
      </c>
      <c r="I676" s="16">
        <v>308.85000000000002</v>
      </c>
      <c r="J676" s="16">
        <v>111.91952662721893</v>
      </c>
      <c r="K676" s="16">
        <v>196.93047337278108</v>
      </c>
      <c r="L676" s="13">
        <v>2.73</v>
      </c>
      <c r="M676" s="13"/>
      <c r="N676" s="17">
        <f t="shared" si="23"/>
        <v>581.49</v>
      </c>
      <c r="O676" s="17">
        <f t="shared" si="23"/>
        <v>0</v>
      </c>
      <c r="P676" s="17">
        <f t="shared" si="22"/>
        <v>581.49</v>
      </c>
      <c r="Q676" t="str">
        <f>A676&amp;"-"&amp;B676&amp;"-"&amp;D676</f>
        <v>FEBRUARI-MJ2-L7</v>
      </c>
    </row>
    <row r="677" spans="1:17" x14ac:dyDescent="0.25">
      <c r="A677" t="s">
        <v>392</v>
      </c>
      <c r="B677" s="13" t="s">
        <v>26</v>
      </c>
      <c r="C677" s="13" t="s">
        <v>218</v>
      </c>
      <c r="D677" s="14" t="s">
        <v>198</v>
      </c>
      <c r="E677" s="13" t="s">
        <v>61</v>
      </c>
      <c r="F677" s="13" t="s">
        <v>220</v>
      </c>
      <c r="G677" s="13">
        <v>1.45</v>
      </c>
      <c r="H677" s="15">
        <v>5</v>
      </c>
      <c r="I677" s="16">
        <v>7.25</v>
      </c>
      <c r="J677" s="16">
        <v>1.6978967495219885</v>
      </c>
      <c r="K677" s="16">
        <v>5.5521032504780115</v>
      </c>
      <c r="L677" s="13">
        <v>2.73</v>
      </c>
      <c r="M677" s="13"/>
      <c r="N677" s="17">
        <f t="shared" si="23"/>
        <v>13.65</v>
      </c>
      <c r="O677" s="17">
        <f t="shared" si="23"/>
        <v>0</v>
      </c>
      <c r="P677" s="17">
        <f t="shared" si="22"/>
        <v>13.65</v>
      </c>
      <c r="Q677" t="str">
        <f>A677&amp;"-"&amp;B677&amp;"-"&amp;D677</f>
        <v>FEBRUARI-MJ2-L8</v>
      </c>
    </row>
    <row r="678" spans="1:17" x14ac:dyDescent="0.25">
      <c r="A678" t="s">
        <v>392</v>
      </c>
      <c r="B678" s="13" t="s">
        <v>26</v>
      </c>
      <c r="C678" s="13" t="s">
        <v>218</v>
      </c>
      <c r="D678" s="14" t="s">
        <v>199</v>
      </c>
      <c r="E678" s="13" t="s">
        <v>61</v>
      </c>
      <c r="F678" s="13" t="s">
        <v>220</v>
      </c>
      <c r="G678" s="13">
        <v>1.45</v>
      </c>
      <c r="H678" s="15">
        <v>200</v>
      </c>
      <c r="I678" s="16">
        <v>290</v>
      </c>
      <c r="J678" s="16">
        <v>197.89396756085196</v>
      </c>
      <c r="K678" s="16">
        <v>92.106032439148052</v>
      </c>
      <c r="L678" s="13">
        <v>2.73</v>
      </c>
      <c r="M678" s="13"/>
      <c r="N678" s="17">
        <f t="shared" si="23"/>
        <v>546</v>
      </c>
      <c r="O678" s="17">
        <f t="shared" si="23"/>
        <v>0</v>
      </c>
      <c r="P678" s="17">
        <f t="shared" si="22"/>
        <v>546</v>
      </c>
      <c r="Q678" t="str">
        <f>A678&amp;"-"&amp;B678&amp;"-"&amp;D678</f>
        <v>FEBRUARI-MJ2-L9</v>
      </c>
    </row>
    <row r="679" spans="1:17" x14ac:dyDescent="0.25">
      <c r="A679" t="s">
        <v>392</v>
      </c>
      <c r="B679" s="13" t="s">
        <v>26</v>
      </c>
      <c r="C679" s="13" t="s">
        <v>226</v>
      </c>
      <c r="D679" s="14" t="s">
        <v>301</v>
      </c>
      <c r="E679" s="13" t="s">
        <v>61</v>
      </c>
      <c r="F679" s="13" t="s">
        <v>341</v>
      </c>
      <c r="G679" s="13">
        <v>0.82</v>
      </c>
      <c r="H679" s="15">
        <v>567</v>
      </c>
      <c r="I679" s="16">
        <v>464.94</v>
      </c>
      <c r="J679" s="16">
        <v>888</v>
      </c>
      <c r="K679" s="16">
        <v>-423.06</v>
      </c>
      <c r="L679" s="13">
        <v>2.5499999999999998</v>
      </c>
      <c r="M679" s="13"/>
      <c r="N679" s="17">
        <f t="shared" si="23"/>
        <v>1445.85</v>
      </c>
      <c r="O679" s="17">
        <f t="shared" si="23"/>
        <v>0</v>
      </c>
      <c r="P679" s="17">
        <f t="shared" si="22"/>
        <v>1445.85</v>
      </c>
      <c r="Q679" t="str">
        <f>A679&amp;"-"&amp;B679&amp;"-"&amp;D679</f>
        <v>FEBRUARI-MJ2-L10</v>
      </c>
    </row>
    <row r="680" spans="1:17" x14ac:dyDescent="0.25">
      <c r="A680" t="s">
        <v>392</v>
      </c>
      <c r="B680" s="13" t="s">
        <v>26</v>
      </c>
      <c r="C680" s="13" t="s">
        <v>226</v>
      </c>
      <c r="D680" s="14" t="s">
        <v>301</v>
      </c>
      <c r="E680" s="13" t="s">
        <v>61</v>
      </c>
      <c r="F680" s="13" t="s">
        <v>495</v>
      </c>
      <c r="G680" s="13">
        <v>0.8</v>
      </c>
      <c r="H680" s="15">
        <v>3675</v>
      </c>
      <c r="I680" s="16">
        <v>2940</v>
      </c>
      <c r="J680" s="16">
        <v>2453.5273691825414</v>
      </c>
      <c r="K680" s="16">
        <v>486.47263081745842</v>
      </c>
      <c r="L680" s="13">
        <v>2.16</v>
      </c>
      <c r="M680" s="13"/>
      <c r="N680" s="17">
        <f t="shared" si="23"/>
        <v>7938.0000000000009</v>
      </c>
      <c r="O680" s="17">
        <f t="shared" si="23"/>
        <v>0</v>
      </c>
      <c r="P680" s="17">
        <f t="shared" si="22"/>
        <v>7938.0000000000009</v>
      </c>
      <c r="Q680" t="str">
        <f>A680&amp;"-"&amp;B680&amp;"-"&amp;D680</f>
        <v>FEBRUARI-MJ2-L10</v>
      </c>
    </row>
    <row r="681" spans="1:17" x14ac:dyDescent="0.25">
      <c r="A681" t="s">
        <v>392</v>
      </c>
      <c r="B681" s="13" t="s">
        <v>26</v>
      </c>
      <c r="C681" s="13" t="s">
        <v>226</v>
      </c>
      <c r="D681" s="14" t="s">
        <v>301</v>
      </c>
      <c r="E681" s="13" t="s">
        <v>61</v>
      </c>
      <c r="F681" s="13" t="s">
        <v>496</v>
      </c>
      <c r="G681" s="13">
        <v>0.72</v>
      </c>
      <c r="H681" s="15">
        <v>670</v>
      </c>
      <c r="I681" s="16">
        <v>482.4</v>
      </c>
      <c r="J681" s="16">
        <v>450.72727272727275</v>
      </c>
      <c r="K681" s="16">
        <v>31.672727272727229</v>
      </c>
      <c r="L681" s="13">
        <v>2.31</v>
      </c>
      <c r="M681" s="13"/>
      <c r="N681" s="17">
        <f t="shared" si="23"/>
        <v>1547.7</v>
      </c>
      <c r="O681" s="17">
        <f t="shared" si="23"/>
        <v>0</v>
      </c>
      <c r="P681" s="17">
        <f t="shared" si="22"/>
        <v>1547.7</v>
      </c>
      <c r="Q681" t="str">
        <f>A681&amp;"-"&amp;B681&amp;"-"&amp;D681</f>
        <v>FEBRUARI-MJ2-L10</v>
      </c>
    </row>
    <row r="682" spans="1:17" x14ac:dyDescent="0.25">
      <c r="A682" t="s">
        <v>392</v>
      </c>
      <c r="B682" s="13" t="s">
        <v>26</v>
      </c>
      <c r="C682" s="13" t="s">
        <v>226</v>
      </c>
      <c r="D682" s="14" t="s">
        <v>301</v>
      </c>
      <c r="E682" s="13" t="s">
        <v>61</v>
      </c>
      <c r="F682" s="13" t="s">
        <v>497</v>
      </c>
      <c r="G682" s="13">
        <v>0.82</v>
      </c>
      <c r="H682" s="15">
        <v>1325</v>
      </c>
      <c r="I682" s="16">
        <v>1086.5</v>
      </c>
      <c r="J682" s="16">
        <v>888</v>
      </c>
      <c r="K682" s="16">
        <v>198.5</v>
      </c>
      <c r="L682" s="13">
        <v>2.5499999999999998</v>
      </c>
      <c r="M682" s="13"/>
      <c r="N682" s="17">
        <f t="shared" si="23"/>
        <v>3378.7499999999995</v>
      </c>
      <c r="O682" s="17">
        <f t="shared" si="23"/>
        <v>0</v>
      </c>
      <c r="P682" s="17">
        <f t="shared" si="22"/>
        <v>3378.7499999999995</v>
      </c>
      <c r="Q682" t="str">
        <f>A682&amp;"-"&amp;B682&amp;"-"&amp;D682</f>
        <v>FEBRUARI-MJ2-L10</v>
      </c>
    </row>
    <row r="683" spans="1:17" x14ac:dyDescent="0.25">
      <c r="A683" t="s">
        <v>392</v>
      </c>
      <c r="B683" s="13" t="s">
        <v>26</v>
      </c>
      <c r="C683" s="13" t="s">
        <v>226</v>
      </c>
      <c r="D683" s="14" t="s">
        <v>301</v>
      </c>
      <c r="E683" s="13" t="s">
        <v>61</v>
      </c>
      <c r="F683" s="13" t="s">
        <v>498</v>
      </c>
      <c r="G683" s="13">
        <v>0.82</v>
      </c>
      <c r="H683" s="15">
        <v>1330</v>
      </c>
      <c r="I683" s="16">
        <v>1090.5999999999999</v>
      </c>
      <c r="J683" s="16">
        <v>626.54641909814325</v>
      </c>
      <c r="K683" s="16">
        <v>464.05358090185666</v>
      </c>
      <c r="L683" s="13">
        <v>2.5499999999999998</v>
      </c>
      <c r="M683" s="13"/>
      <c r="N683" s="17">
        <f t="shared" si="23"/>
        <v>3391.4999999999995</v>
      </c>
      <c r="O683" s="17">
        <f t="shared" si="23"/>
        <v>0</v>
      </c>
      <c r="P683" s="17">
        <f t="shared" si="22"/>
        <v>3391.4999999999995</v>
      </c>
      <c r="Q683" t="str">
        <f>A683&amp;"-"&amp;B683&amp;"-"&amp;D683</f>
        <v>FEBRUARI-MJ2-L10</v>
      </c>
    </row>
    <row r="684" spans="1:17" x14ac:dyDescent="0.25">
      <c r="A684" t="s">
        <v>392</v>
      </c>
      <c r="B684" s="13" t="s">
        <v>26</v>
      </c>
      <c r="C684" s="13" t="s">
        <v>226</v>
      </c>
      <c r="D684" s="14" t="s">
        <v>301</v>
      </c>
      <c r="E684" s="13" t="s">
        <v>61</v>
      </c>
      <c r="F684" s="13" t="s">
        <v>499</v>
      </c>
      <c r="G684" s="13">
        <v>0.82</v>
      </c>
      <c r="H684" s="15">
        <v>908</v>
      </c>
      <c r="I684" s="16">
        <v>744.56</v>
      </c>
      <c r="J684" s="16">
        <v>888</v>
      </c>
      <c r="K684" s="16">
        <v>-143.44000000000005</v>
      </c>
      <c r="L684" s="13"/>
      <c r="M684" s="13">
        <v>2.5499999999999998</v>
      </c>
      <c r="N684" s="17">
        <f t="shared" si="23"/>
        <v>0</v>
      </c>
      <c r="O684" s="17">
        <f t="shared" si="23"/>
        <v>2315.3999999999996</v>
      </c>
      <c r="P684" s="17">
        <f t="shared" si="22"/>
        <v>2315.3999999999996</v>
      </c>
      <c r="Q684" t="str">
        <f>A684&amp;"-"&amp;B684&amp;"-"&amp;D684</f>
        <v>FEBRUARI-MJ2-L10</v>
      </c>
    </row>
    <row r="685" spans="1:17" x14ac:dyDescent="0.25">
      <c r="A685" t="s">
        <v>392</v>
      </c>
      <c r="B685" s="13" t="s">
        <v>26</v>
      </c>
      <c r="C685" s="13" t="s">
        <v>226</v>
      </c>
      <c r="D685" s="14" t="s">
        <v>301</v>
      </c>
      <c r="E685" s="13" t="s">
        <v>61</v>
      </c>
      <c r="F685" s="13" t="s">
        <v>500</v>
      </c>
      <c r="G685" s="13">
        <v>0.79</v>
      </c>
      <c r="H685" s="15">
        <v>5868</v>
      </c>
      <c r="I685" s="16">
        <v>4635.7199999999993</v>
      </c>
      <c r="J685" s="16">
        <v>3552</v>
      </c>
      <c r="K685" s="16">
        <v>1083.7199999999998</v>
      </c>
      <c r="L685" s="13">
        <v>2.15</v>
      </c>
      <c r="M685" s="13"/>
      <c r="N685" s="17">
        <f t="shared" si="23"/>
        <v>12616.199999999999</v>
      </c>
      <c r="O685" s="17">
        <f t="shared" si="23"/>
        <v>0</v>
      </c>
      <c r="P685" s="17">
        <f t="shared" si="22"/>
        <v>12616.199999999999</v>
      </c>
      <c r="Q685" t="str">
        <f>A685&amp;"-"&amp;B685&amp;"-"&amp;D685</f>
        <v>FEBRUARI-MJ2-L10</v>
      </c>
    </row>
    <row r="686" spans="1:17" x14ac:dyDescent="0.25">
      <c r="A686" t="s">
        <v>392</v>
      </c>
      <c r="B686" s="13" t="s">
        <v>26</v>
      </c>
      <c r="C686" s="13" t="s">
        <v>226</v>
      </c>
      <c r="D686" s="14" t="s">
        <v>301</v>
      </c>
      <c r="E686" s="13" t="s">
        <v>61</v>
      </c>
      <c r="F686" s="13" t="s">
        <v>501</v>
      </c>
      <c r="G686" s="13">
        <v>0.82</v>
      </c>
      <c r="H686" s="15">
        <v>1450</v>
      </c>
      <c r="I686" s="16">
        <v>1189</v>
      </c>
      <c r="J686" s="16">
        <v>888</v>
      </c>
      <c r="K686" s="16">
        <v>301</v>
      </c>
      <c r="L686" s="13">
        <v>2.5499999999999998</v>
      </c>
      <c r="M686" s="13"/>
      <c r="N686" s="17">
        <f t="shared" si="23"/>
        <v>3697.4999999999995</v>
      </c>
      <c r="O686" s="17">
        <f t="shared" si="23"/>
        <v>0</v>
      </c>
      <c r="P686" s="17">
        <f t="shared" si="22"/>
        <v>3697.4999999999995</v>
      </c>
      <c r="Q686" t="str">
        <f>A686&amp;"-"&amp;B686&amp;"-"&amp;D686</f>
        <v>FEBRUARI-MJ2-L10</v>
      </c>
    </row>
    <row r="687" spans="1:17" x14ac:dyDescent="0.25">
      <c r="A687" t="s">
        <v>392</v>
      </c>
      <c r="B687" s="13" t="s">
        <v>26</v>
      </c>
      <c r="C687" s="13" t="s">
        <v>226</v>
      </c>
      <c r="D687" s="14" t="s">
        <v>301</v>
      </c>
      <c r="E687" s="13" t="s">
        <v>61</v>
      </c>
      <c r="F687" s="13" t="s">
        <v>502</v>
      </c>
      <c r="G687" s="13">
        <v>0.82</v>
      </c>
      <c r="H687" s="15">
        <v>1370</v>
      </c>
      <c r="I687" s="16">
        <v>1123.4000000000001</v>
      </c>
      <c r="J687" s="16">
        <v>909.19893899204249</v>
      </c>
      <c r="K687" s="16">
        <v>214.20106100795755</v>
      </c>
      <c r="L687" s="13">
        <v>2.5499999999999998</v>
      </c>
      <c r="M687" s="13"/>
      <c r="N687" s="17">
        <f t="shared" si="23"/>
        <v>3493.4999999999995</v>
      </c>
      <c r="O687" s="17">
        <f t="shared" si="23"/>
        <v>0</v>
      </c>
      <c r="P687" s="17">
        <f t="shared" si="22"/>
        <v>3493.4999999999995</v>
      </c>
      <c r="Q687" t="str">
        <f>A687&amp;"-"&amp;B687&amp;"-"&amp;D687</f>
        <v>FEBRUARI-MJ2-L10</v>
      </c>
    </row>
    <row r="688" spans="1:17" x14ac:dyDescent="0.25">
      <c r="A688" t="s">
        <v>392</v>
      </c>
      <c r="B688" s="13" t="s">
        <v>26</v>
      </c>
      <c r="C688" s="13" t="s">
        <v>226</v>
      </c>
      <c r="D688" s="14" t="s">
        <v>287</v>
      </c>
      <c r="E688" s="13" t="s">
        <v>61</v>
      </c>
      <c r="F688" s="13" t="s">
        <v>341</v>
      </c>
      <c r="G688" s="13">
        <v>0.82</v>
      </c>
      <c r="H688" s="15">
        <v>70</v>
      </c>
      <c r="I688" s="16">
        <v>57.4</v>
      </c>
      <c r="J688" s="16">
        <v>42.868965517241378</v>
      </c>
      <c r="K688" s="16">
        <v>14.531034482758621</v>
      </c>
      <c r="L688" s="13">
        <v>2.5499999999999998</v>
      </c>
      <c r="M688" s="13"/>
      <c r="N688" s="17">
        <f t="shared" si="23"/>
        <v>178.5</v>
      </c>
      <c r="O688" s="17">
        <f t="shared" si="23"/>
        <v>0</v>
      </c>
      <c r="P688" s="17">
        <f t="shared" si="22"/>
        <v>178.5</v>
      </c>
      <c r="Q688" t="str">
        <f>A688&amp;"-"&amp;B688&amp;"-"&amp;D688</f>
        <v>FEBRUARI-MJ2-L11</v>
      </c>
    </row>
    <row r="689" spans="1:17" x14ac:dyDescent="0.25">
      <c r="A689" t="s">
        <v>392</v>
      </c>
      <c r="B689" s="13" t="s">
        <v>26</v>
      </c>
      <c r="C689" s="13" t="s">
        <v>226</v>
      </c>
      <c r="D689" s="14" t="s">
        <v>287</v>
      </c>
      <c r="E689" s="13" t="s">
        <v>61</v>
      </c>
      <c r="F689" s="13" t="s">
        <v>495</v>
      </c>
      <c r="G689" s="13">
        <v>0.8</v>
      </c>
      <c r="H689" s="15">
        <v>2405</v>
      </c>
      <c r="I689" s="16">
        <v>1924</v>
      </c>
      <c r="J689" s="16">
        <v>1286.8812359868111</v>
      </c>
      <c r="K689" s="16">
        <v>637.11876401318887</v>
      </c>
      <c r="L689" s="13">
        <v>2.16</v>
      </c>
      <c r="M689" s="13"/>
      <c r="N689" s="17">
        <f t="shared" si="23"/>
        <v>5194.8</v>
      </c>
      <c r="O689" s="17">
        <f t="shared" si="23"/>
        <v>0</v>
      </c>
      <c r="P689" s="17">
        <f t="shared" si="22"/>
        <v>5194.8</v>
      </c>
      <c r="Q689" t="str">
        <f>A689&amp;"-"&amp;B689&amp;"-"&amp;D689</f>
        <v>FEBRUARI-MJ2-L11</v>
      </c>
    </row>
    <row r="690" spans="1:17" x14ac:dyDescent="0.25">
      <c r="A690" t="s">
        <v>392</v>
      </c>
      <c r="B690" s="13" t="s">
        <v>26</v>
      </c>
      <c r="C690" s="13" t="s">
        <v>226</v>
      </c>
      <c r="D690" s="14" t="s">
        <v>287</v>
      </c>
      <c r="E690" s="13" t="s">
        <v>61</v>
      </c>
      <c r="F690" s="13" t="s">
        <v>496</v>
      </c>
      <c r="G690" s="13">
        <v>0.72</v>
      </c>
      <c r="H690" s="15">
        <v>2610</v>
      </c>
      <c r="I690" s="16">
        <v>1879.2</v>
      </c>
      <c r="J690" s="16">
        <v>1441.3513100233101</v>
      </c>
      <c r="K690" s="16">
        <v>437.84868997668997</v>
      </c>
      <c r="L690" s="13">
        <v>2.31</v>
      </c>
      <c r="M690" s="13"/>
      <c r="N690" s="17">
        <f t="shared" si="23"/>
        <v>6029.1</v>
      </c>
      <c r="O690" s="17">
        <f t="shared" si="23"/>
        <v>0</v>
      </c>
      <c r="P690" s="17">
        <f t="shared" si="22"/>
        <v>6029.1</v>
      </c>
      <c r="Q690" t="str">
        <f>A690&amp;"-"&amp;B690&amp;"-"&amp;D690</f>
        <v>FEBRUARI-MJ2-L11</v>
      </c>
    </row>
    <row r="691" spans="1:17" x14ac:dyDescent="0.25">
      <c r="A691" t="s">
        <v>392</v>
      </c>
      <c r="B691" s="13" t="s">
        <v>26</v>
      </c>
      <c r="C691" s="13" t="s">
        <v>226</v>
      </c>
      <c r="D691" s="14" t="s">
        <v>287</v>
      </c>
      <c r="E691" s="13" t="s">
        <v>61</v>
      </c>
      <c r="F691" s="13" t="s">
        <v>497</v>
      </c>
      <c r="G691" s="13">
        <v>0.82</v>
      </c>
      <c r="H691" s="15">
        <v>1400</v>
      </c>
      <c r="I691" s="16">
        <v>1148</v>
      </c>
      <c r="J691" s="16">
        <v>933.93103448275861</v>
      </c>
      <c r="K691" s="16">
        <v>214.06896551724139</v>
      </c>
      <c r="L691" s="13">
        <v>2.5499999999999998</v>
      </c>
      <c r="M691" s="13"/>
      <c r="N691" s="17">
        <f t="shared" si="23"/>
        <v>3569.9999999999995</v>
      </c>
      <c r="O691" s="17">
        <f t="shared" si="23"/>
        <v>0</v>
      </c>
      <c r="P691" s="17">
        <f t="shared" si="22"/>
        <v>3569.9999999999995</v>
      </c>
      <c r="Q691" t="str">
        <f>A691&amp;"-"&amp;B691&amp;"-"&amp;D691</f>
        <v>FEBRUARI-MJ2-L11</v>
      </c>
    </row>
    <row r="692" spans="1:17" x14ac:dyDescent="0.25">
      <c r="A692" t="s">
        <v>392</v>
      </c>
      <c r="B692" s="13" t="s">
        <v>26</v>
      </c>
      <c r="C692" s="13" t="s">
        <v>226</v>
      </c>
      <c r="D692" s="14" t="s">
        <v>287</v>
      </c>
      <c r="E692" s="13" t="s">
        <v>61</v>
      </c>
      <c r="F692" s="13" t="s">
        <v>498</v>
      </c>
      <c r="G692" s="13">
        <v>0.82</v>
      </c>
      <c r="H692" s="15">
        <v>382</v>
      </c>
      <c r="I692" s="16">
        <v>313.24</v>
      </c>
      <c r="J692" s="16">
        <v>250.23458685751464</v>
      </c>
      <c r="K692" s="16">
        <v>63.005413142485367</v>
      </c>
      <c r="L692" s="13">
        <v>2.5499999999999998</v>
      </c>
      <c r="M692" s="13"/>
      <c r="N692" s="17">
        <f t="shared" si="23"/>
        <v>974.09999999999991</v>
      </c>
      <c r="O692" s="17">
        <f t="shared" si="23"/>
        <v>0</v>
      </c>
      <c r="P692" s="17">
        <f t="shared" si="22"/>
        <v>974.09999999999991</v>
      </c>
      <c r="Q692" t="str">
        <f>A692&amp;"-"&amp;B692&amp;"-"&amp;D692</f>
        <v>FEBRUARI-MJ2-L11</v>
      </c>
    </row>
    <row r="693" spans="1:17" x14ac:dyDescent="0.25">
      <c r="A693" t="s">
        <v>392</v>
      </c>
      <c r="B693" s="13" t="s">
        <v>26</v>
      </c>
      <c r="C693" s="13" t="s">
        <v>226</v>
      </c>
      <c r="D693" s="14" t="s">
        <v>287</v>
      </c>
      <c r="E693" s="13" t="s">
        <v>61</v>
      </c>
      <c r="F693" s="13" t="s">
        <v>499</v>
      </c>
      <c r="G693" s="13">
        <v>0.82</v>
      </c>
      <c r="H693" s="15">
        <v>1297</v>
      </c>
      <c r="I693" s="16">
        <v>1063.54</v>
      </c>
      <c r="J693" s="16">
        <v>955.36551724137928</v>
      </c>
      <c r="K693" s="16">
        <v>108.17448275862073</v>
      </c>
      <c r="L693" s="13"/>
      <c r="M693" s="13">
        <v>2.5499999999999998</v>
      </c>
      <c r="N693" s="17">
        <f t="shared" si="23"/>
        <v>0</v>
      </c>
      <c r="O693" s="17">
        <f t="shared" si="23"/>
        <v>3307.35</v>
      </c>
      <c r="P693" s="17">
        <f t="shared" si="22"/>
        <v>3307.35</v>
      </c>
      <c r="Q693" t="str">
        <f>A693&amp;"-"&amp;B693&amp;"-"&amp;D693</f>
        <v>FEBRUARI-MJ2-L11</v>
      </c>
    </row>
    <row r="694" spans="1:17" x14ac:dyDescent="0.25">
      <c r="A694" t="s">
        <v>392</v>
      </c>
      <c r="B694" s="13" t="s">
        <v>26</v>
      </c>
      <c r="C694" s="13" t="s">
        <v>226</v>
      </c>
      <c r="D694" s="14" t="s">
        <v>287</v>
      </c>
      <c r="E694" s="13" t="s">
        <v>61</v>
      </c>
      <c r="F694" s="13" t="s">
        <v>500</v>
      </c>
      <c r="G694" s="13">
        <v>0.79</v>
      </c>
      <c r="H694" s="15">
        <v>3293</v>
      </c>
      <c r="I694" s="16">
        <v>2601.4700000000003</v>
      </c>
      <c r="J694" s="16">
        <v>2085.5168728272292</v>
      </c>
      <c r="K694" s="16">
        <v>515.95312717277079</v>
      </c>
      <c r="L694" s="13">
        <v>2.15</v>
      </c>
      <c r="M694" s="13"/>
      <c r="N694" s="17">
        <f t="shared" si="23"/>
        <v>7079.95</v>
      </c>
      <c r="O694" s="17">
        <f t="shared" si="23"/>
        <v>0</v>
      </c>
      <c r="P694" s="17">
        <f t="shared" si="22"/>
        <v>7079.95</v>
      </c>
      <c r="Q694" t="str">
        <f>A694&amp;"-"&amp;B694&amp;"-"&amp;D694</f>
        <v>FEBRUARI-MJ2-L11</v>
      </c>
    </row>
    <row r="695" spans="1:17" x14ac:dyDescent="0.25">
      <c r="A695" t="s">
        <v>392</v>
      </c>
      <c r="B695" s="13" t="s">
        <v>26</v>
      </c>
      <c r="C695" s="13" t="s">
        <v>226</v>
      </c>
      <c r="D695" s="14" t="s">
        <v>287</v>
      </c>
      <c r="E695" s="13" t="s">
        <v>61</v>
      </c>
      <c r="F695" s="13" t="s">
        <v>503</v>
      </c>
      <c r="G695" s="13">
        <v>0.72</v>
      </c>
      <c r="H695" s="15">
        <v>3205</v>
      </c>
      <c r="I695" s="16">
        <v>2307.6</v>
      </c>
      <c r="J695" s="16">
        <v>1912.0850410483688</v>
      </c>
      <c r="K695" s="16">
        <v>395.51495895163117</v>
      </c>
      <c r="L695" s="13">
        <v>2.31</v>
      </c>
      <c r="M695" s="13"/>
      <c r="N695" s="17">
        <f t="shared" si="23"/>
        <v>7403.55</v>
      </c>
      <c r="O695" s="17">
        <f t="shared" si="23"/>
        <v>0</v>
      </c>
      <c r="P695" s="17">
        <f t="shared" si="22"/>
        <v>7403.55</v>
      </c>
      <c r="Q695" t="str">
        <f>A695&amp;"-"&amp;B695&amp;"-"&amp;D695</f>
        <v>FEBRUARI-MJ2-L11</v>
      </c>
    </row>
    <row r="696" spans="1:17" x14ac:dyDescent="0.25">
      <c r="A696" t="s">
        <v>392</v>
      </c>
      <c r="B696" s="13" t="s">
        <v>26</v>
      </c>
      <c r="C696" s="13" t="s">
        <v>226</v>
      </c>
      <c r="D696" s="14" t="s">
        <v>287</v>
      </c>
      <c r="E696" s="13" t="s">
        <v>61</v>
      </c>
      <c r="F696" s="13" t="s">
        <v>501</v>
      </c>
      <c r="G696" s="13">
        <v>0.82</v>
      </c>
      <c r="H696" s="15">
        <v>2325</v>
      </c>
      <c r="I696" s="16">
        <v>1906.5</v>
      </c>
      <c r="J696" s="16">
        <v>1138.5806877937548</v>
      </c>
      <c r="K696" s="16">
        <v>767.91931220624508</v>
      </c>
      <c r="L696" s="13">
        <v>2.5499999999999998</v>
      </c>
      <c r="M696" s="13"/>
      <c r="N696" s="17">
        <f t="shared" si="23"/>
        <v>5928.75</v>
      </c>
      <c r="O696" s="17">
        <f t="shared" si="23"/>
        <v>0</v>
      </c>
      <c r="P696" s="17">
        <f t="shared" si="22"/>
        <v>5928.75</v>
      </c>
      <c r="Q696" t="str">
        <f>A696&amp;"-"&amp;B696&amp;"-"&amp;D696</f>
        <v>FEBRUARI-MJ2-L11</v>
      </c>
    </row>
    <row r="697" spans="1:17" x14ac:dyDescent="0.25">
      <c r="A697" t="s">
        <v>392</v>
      </c>
      <c r="B697" s="13" t="s">
        <v>26</v>
      </c>
      <c r="C697" s="13" t="s">
        <v>226</v>
      </c>
      <c r="D697" s="14" t="s">
        <v>287</v>
      </c>
      <c r="E697" s="13" t="s">
        <v>61</v>
      </c>
      <c r="F697" s="13" t="s">
        <v>502</v>
      </c>
      <c r="G697" s="13">
        <v>0.82</v>
      </c>
      <c r="H697" s="15">
        <v>1177</v>
      </c>
      <c r="I697" s="16">
        <v>965.14</v>
      </c>
      <c r="J697" s="16">
        <v>749.85807450411221</v>
      </c>
      <c r="K697" s="16">
        <v>215.28192549588778</v>
      </c>
      <c r="L697" s="13">
        <v>2.5499999999999998</v>
      </c>
      <c r="M697" s="13"/>
      <c r="N697" s="17">
        <f t="shared" si="23"/>
        <v>3001.35</v>
      </c>
      <c r="O697" s="17">
        <f t="shared" si="23"/>
        <v>0</v>
      </c>
      <c r="P697" s="17">
        <f t="shared" si="22"/>
        <v>3001.35</v>
      </c>
      <c r="Q697" t="str">
        <f>A697&amp;"-"&amp;B697&amp;"-"&amp;D697</f>
        <v>FEBRUARI-MJ2-L11</v>
      </c>
    </row>
    <row r="698" spans="1:17" x14ac:dyDescent="0.25">
      <c r="A698" t="s">
        <v>392</v>
      </c>
      <c r="B698" s="13" t="s">
        <v>26</v>
      </c>
      <c r="C698" s="13" t="s">
        <v>226</v>
      </c>
      <c r="D698" s="14" t="s">
        <v>287</v>
      </c>
      <c r="E698" s="13" t="s">
        <v>61</v>
      </c>
      <c r="F698" s="13" t="s">
        <v>345</v>
      </c>
      <c r="G698" s="13">
        <v>0.82</v>
      </c>
      <c r="H698" s="15">
        <v>16</v>
      </c>
      <c r="I698" s="16">
        <v>13.12</v>
      </c>
      <c r="J698" s="16">
        <v>6.0717948717948715</v>
      </c>
      <c r="K698" s="16">
        <v>7.0482051282051277</v>
      </c>
      <c r="L698" s="13">
        <v>2.5499999999999998</v>
      </c>
      <c r="M698" s="13"/>
      <c r="N698" s="17">
        <f t="shared" si="23"/>
        <v>40.799999999999997</v>
      </c>
      <c r="O698" s="17">
        <f t="shared" si="23"/>
        <v>0</v>
      </c>
      <c r="P698" s="17">
        <f t="shared" si="22"/>
        <v>40.799999999999997</v>
      </c>
      <c r="Q698" t="str">
        <f>A698&amp;"-"&amp;B698&amp;"-"&amp;D698</f>
        <v>FEBRUARI-MJ2-L11</v>
      </c>
    </row>
    <row r="699" spans="1:17" x14ac:dyDescent="0.25">
      <c r="A699" t="s">
        <v>392</v>
      </c>
      <c r="B699" s="13" t="s">
        <v>26</v>
      </c>
      <c r="C699" s="13" t="s">
        <v>226</v>
      </c>
      <c r="D699" s="14" t="s">
        <v>287</v>
      </c>
      <c r="E699" s="13" t="s">
        <v>61</v>
      </c>
      <c r="F699" s="13" t="s">
        <v>504</v>
      </c>
      <c r="G699" s="13">
        <v>0.76</v>
      </c>
      <c r="H699" s="15">
        <v>110</v>
      </c>
      <c r="I699" s="16">
        <v>83.6</v>
      </c>
      <c r="J699" s="16">
        <v>60</v>
      </c>
      <c r="K699" s="16">
        <v>23.599999999999994</v>
      </c>
      <c r="L699" s="13">
        <v>2.02</v>
      </c>
      <c r="M699" s="13"/>
      <c r="N699" s="17">
        <f t="shared" si="23"/>
        <v>222.2</v>
      </c>
      <c r="O699" s="17">
        <f t="shared" si="23"/>
        <v>0</v>
      </c>
      <c r="P699" s="17">
        <f t="shared" si="22"/>
        <v>222.2</v>
      </c>
      <c r="Q699" t="str">
        <f>A699&amp;"-"&amp;B699&amp;"-"&amp;D699</f>
        <v>FEBRUARI-MJ2-L11</v>
      </c>
    </row>
    <row r="700" spans="1:17" x14ac:dyDescent="0.25">
      <c r="A700" t="s">
        <v>392</v>
      </c>
      <c r="B700" s="13" t="s">
        <v>26</v>
      </c>
      <c r="C700" s="13" t="s">
        <v>226</v>
      </c>
      <c r="D700" s="14" t="s">
        <v>310</v>
      </c>
      <c r="E700" s="13" t="s">
        <v>61</v>
      </c>
      <c r="F700" s="13" t="s">
        <v>495</v>
      </c>
      <c r="G700" s="13">
        <v>0.80000000000000016</v>
      </c>
      <c r="H700" s="15">
        <v>2477</v>
      </c>
      <c r="I700" s="16">
        <v>1981.6</v>
      </c>
      <c r="J700" s="16">
        <v>1592.4117583114412</v>
      </c>
      <c r="K700" s="16">
        <v>389.18824168855883</v>
      </c>
      <c r="L700" s="13">
        <v>2.16</v>
      </c>
      <c r="M700" s="13"/>
      <c r="N700" s="17">
        <f t="shared" si="23"/>
        <v>5350.3200000000006</v>
      </c>
      <c r="O700" s="17">
        <f t="shared" si="23"/>
        <v>0</v>
      </c>
      <c r="P700" s="17">
        <f t="shared" si="22"/>
        <v>5350.3200000000006</v>
      </c>
      <c r="Q700" t="str">
        <f>A700&amp;"-"&amp;B700&amp;"-"&amp;D700</f>
        <v>FEBRUARI-MJ2-L12</v>
      </c>
    </row>
    <row r="701" spans="1:17" x14ac:dyDescent="0.25">
      <c r="A701" t="s">
        <v>392</v>
      </c>
      <c r="B701" s="13" t="s">
        <v>26</v>
      </c>
      <c r="C701" s="13" t="s">
        <v>226</v>
      </c>
      <c r="D701" s="14" t="s">
        <v>310</v>
      </c>
      <c r="E701" s="13" t="s">
        <v>61</v>
      </c>
      <c r="F701" s="13" t="s">
        <v>346</v>
      </c>
      <c r="G701" s="13">
        <v>1.99</v>
      </c>
      <c r="H701" s="15">
        <v>1277</v>
      </c>
      <c r="I701" s="16">
        <v>2541.2300000000005</v>
      </c>
      <c r="J701" s="16">
        <v>965.86584858391075</v>
      </c>
      <c r="K701" s="16">
        <v>1575.364151416089</v>
      </c>
      <c r="L701" s="13">
        <v>3.58</v>
      </c>
      <c r="M701" s="13"/>
      <c r="N701" s="17">
        <f t="shared" si="23"/>
        <v>4571.66</v>
      </c>
      <c r="O701" s="17">
        <f t="shared" si="23"/>
        <v>0</v>
      </c>
      <c r="P701" s="17">
        <f t="shared" si="22"/>
        <v>4571.66</v>
      </c>
      <c r="Q701" t="str">
        <f>A701&amp;"-"&amp;B701&amp;"-"&amp;D701</f>
        <v>FEBRUARI-MJ2-L12</v>
      </c>
    </row>
    <row r="702" spans="1:17" x14ac:dyDescent="0.25">
      <c r="A702" t="s">
        <v>392</v>
      </c>
      <c r="B702" s="13" t="s">
        <v>26</v>
      </c>
      <c r="C702" s="13" t="s">
        <v>226</v>
      </c>
      <c r="D702" s="14" t="s">
        <v>310</v>
      </c>
      <c r="E702" s="13" t="s">
        <v>61</v>
      </c>
      <c r="F702" s="13" t="s">
        <v>352</v>
      </c>
      <c r="G702" s="13">
        <v>0.72000000000000008</v>
      </c>
      <c r="H702" s="15">
        <v>112</v>
      </c>
      <c r="I702" s="16">
        <v>80.64</v>
      </c>
      <c r="J702" s="16">
        <v>492.55440530274819</v>
      </c>
      <c r="K702" s="16">
        <v>-411.91440530274821</v>
      </c>
      <c r="L702" s="13">
        <v>2.31</v>
      </c>
      <c r="M702" s="13"/>
      <c r="N702" s="17">
        <f t="shared" si="23"/>
        <v>258.72000000000003</v>
      </c>
      <c r="O702" s="17">
        <f t="shared" si="23"/>
        <v>0</v>
      </c>
      <c r="P702" s="17">
        <f t="shared" si="22"/>
        <v>258.72000000000003</v>
      </c>
      <c r="Q702" t="str">
        <f>A702&amp;"-"&amp;B702&amp;"-"&amp;D702</f>
        <v>FEBRUARI-MJ2-L12</v>
      </c>
    </row>
    <row r="703" spans="1:17" x14ac:dyDescent="0.25">
      <c r="A703" t="s">
        <v>392</v>
      </c>
      <c r="B703" s="13" t="s">
        <v>26</v>
      </c>
      <c r="C703" s="13" t="s">
        <v>226</v>
      </c>
      <c r="D703" s="14" t="s">
        <v>310</v>
      </c>
      <c r="E703" s="13" t="s">
        <v>61</v>
      </c>
      <c r="F703" s="13" t="s">
        <v>347</v>
      </c>
      <c r="G703" s="13">
        <v>0.79</v>
      </c>
      <c r="H703" s="15">
        <v>1155</v>
      </c>
      <c r="I703" s="16">
        <v>912.45</v>
      </c>
      <c r="J703" s="16">
        <v>1354.9143276386121</v>
      </c>
      <c r="K703" s="16">
        <v>-442.46432763861225</v>
      </c>
      <c r="L703" s="13">
        <v>2.15</v>
      </c>
      <c r="M703" s="13"/>
      <c r="N703" s="17">
        <f t="shared" si="23"/>
        <v>2483.25</v>
      </c>
      <c r="O703" s="17">
        <f t="shared" si="23"/>
        <v>0</v>
      </c>
      <c r="P703" s="17">
        <f t="shared" si="22"/>
        <v>2483.25</v>
      </c>
      <c r="Q703" t="str">
        <f>A703&amp;"-"&amp;B703&amp;"-"&amp;D703</f>
        <v>FEBRUARI-MJ2-L12</v>
      </c>
    </row>
    <row r="704" spans="1:17" x14ac:dyDescent="0.25">
      <c r="A704" t="s">
        <v>392</v>
      </c>
      <c r="B704" s="13" t="s">
        <v>26</v>
      </c>
      <c r="C704" s="13" t="s">
        <v>226</v>
      </c>
      <c r="D704" s="14" t="s">
        <v>310</v>
      </c>
      <c r="E704" s="13" t="s">
        <v>61</v>
      </c>
      <c r="F704" s="13" t="s">
        <v>357</v>
      </c>
      <c r="G704" s="13">
        <v>0.72000000000000008</v>
      </c>
      <c r="H704" s="15">
        <v>20</v>
      </c>
      <c r="I704" s="16">
        <v>14.4</v>
      </c>
      <c r="J704" s="16">
        <v>580.30395136778111</v>
      </c>
      <c r="K704" s="16">
        <v>-565.90395136778113</v>
      </c>
      <c r="L704" s="13">
        <v>2.31</v>
      </c>
      <c r="M704" s="13"/>
      <c r="N704" s="17">
        <f t="shared" si="23"/>
        <v>46.2</v>
      </c>
      <c r="O704" s="17">
        <f t="shared" si="23"/>
        <v>0</v>
      </c>
      <c r="P704" s="17">
        <f t="shared" si="22"/>
        <v>46.2</v>
      </c>
      <c r="Q704" t="str">
        <f>A704&amp;"-"&amp;B704&amp;"-"&amp;D704</f>
        <v>FEBRUARI-MJ2-L12</v>
      </c>
    </row>
    <row r="705" spans="1:17" x14ac:dyDescent="0.25">
      <c r="A705" t="s">
        <v>392</v>
      </c>
      <c r="B705" s="13" t="s">
        <v>26</v>
      </c>
      <c r="C705" s="13" t="s">
        <v>226</v>
      </c>
      <c r="D705" s="14" t="s">
        <v>310</v>
      </c>
      <c r="E705" s="13" t="s">
        <v>61</v>
      </c>
      <c r="F705" s="13" t="s">
        <v>505</v>
      </c>
      <c r="G705" s="13">
        <v>0.76</v>
      </c>
      <c r="H705" s="15">
        <v>5870</v>
      </c>
      <c r="I705" s="16">
        <v>4461.2</v>
      </c>
      <c r="J705" s="16">
        <v>3548.8285714285712</v>
      </c>
      <c r="K705" s="16">
        <v>912.37142857142862</v>
      </c>
      <c r="L705" s="13">
        <v>2.02</v>
      </c>
      <c r="M705" s="13"/>
      <c r="N705" s="17">
        <f t="shared" si="23"/>
        <v>11857.4</v>
      </c>
      <c r="O705" s="17">
        <f t="shared" si="23"/>
        <v>0</v>
      </c>
      <c r="P705" s="17">
        <f t="shared" si="22"/>
        <v>11857.4</v>
      </c>
      <c r="Q705" t="str">
        <f>A705&amp;"-"&amp;B705&amp;"-"&amp;D705</f>
        <v>FEBRUARI-MJ2-L12</v>
      </c>
    </row>
    <row r="706" spans="1:17" x14ac:dyDescent="0.25">
      <c r="A706" t="s">
        <v>392</v>
      </c>
      <c r="B706" s="13" t="s">
        <v>26</v>
      </c>
      <c r="C706" s="13" t="s">
        <v>226</v>
      </c>
      <c r="D706" s="14" t="s">
        <v>310</v>
      </c>
      <c r="E706" s="13" t="s">
        <v>61</v>
      </c>
      <c r="F706" s="13" t="s">
        <v>348</v>
      </c>
      <c r="G706" s="13">
        <v>0.76</v>
      </c>
      <c r="H706" s="15">
        <v>2625</v>
      </c>
      <c r="I706" s="16">
        <v>1995</v>
      </c>
      <c r="J706" s="16">
        <v>2135.7041355903348</v>
      </c>
      <c r="K706" s="16">
        <v>-140.70413559033497</v>
      </c>
      <c r="L706" s="13">
        <v>2.02</v>
      </c>
      <c r="M706" s="13"/>
      <c r="N706" s="17">
        <f t="shared" si="23"/>
        <v>5302.5</v>
      </c>
      <c r="O706" s="17">
        <f t="shared" si="23"/>
        <v>0</v>
      </c>
      <c r="P706" s="17">
        <f t="shared" ref="P706:P769" si="24">N706+O706</f>
        <v>5302.5</v>
      </c>
      <c r="Q706" t="str">
        <f>A706&amp;"-"&amp;B706&amp;"-"&amp;D706</f>
        <v>FEBRUARI-MJ2-L12</v>
      </c>
    </row>
    <row r="707" spans="1:17" x14ac:dyDescent="0.25">
      <c r="A707" t="s">
        <v>392</v>
      </c>
      <c r="B707" s="13" t="s">
        <v>26</v>
      </c>
      <c r="C707" s="13" t="s">
        <v>226</v>
      </c>
      <c r="D707" s="14" t="s">
        <v>310</v>
      </c>
      <c r="E707" s="13" t="s">
        <v>61</v>
      </c>
      <c r="F707" s="13" t="s">
        <v>349</v>
      </c>
      <c r="G707" s="13">
        <v>0.74</v>
      </c>
      <c r="H707" s="15">
        <v>10</v>
      </c>
      <c r="I707" s="16">
        <v>7.4</v>
      </c>
      <c r="J707" s="16">
        <v>6.1241379310344826</v>
      </c>
      <c r="K707" s="16">
        <v>1.2758620689655178</v>
      </c>
      <c r="L707" s="13">
        <v>2.16</v>
      </c>
      <c r="M707" s="13"/>
      <c r="N707" s="17">
        <f t="shared" si="23"/>
        <v>21.6</v>
      </c>
      <c r="O707" s="17">
        <f t="shared" si="23"/>
        <v>0</v>
      </c>
      <c r="P707" s="17">
        <f t="shared" si="24"/>
        <v>21.6</v>
      </c>
      <c r="Q707" t="str">
        <f>A707&amp;"-"&amp;B707&amp;"-"&amp;D707</f>
        <v>FEBRUARI-MJ2-L12</v>
      </c>
    </row>
    <row r="708" spans="1:17" x14ac:dyDescent="0.25">
      <c r="A708" t="s">
        <v>392</v>
      </c>
      <c r="B708" s="13" t="s">
        <v>26</v>
      </c>
      <c r="C708" s="13" t="s">
        <v>226</v>
      </c>
      <c r="D708" s="14" t="s">
        <v>310</v>
      </c>
      <c r="E708" s="13" t="s">
        <v>61</v>
      </c>
      <c r="F708" s="13" t="s">
        <v>350</v>
      </c>
      <c r="G708" s="13">
        <v>0.76</v>
      </c>
      <c r="H708" s="15">
        <v>1000</v>
      </c>
      <c r="I708" s="16">
        <v>760</v>
      </c>
      <c r="J708" s="16">
        <v>1291.3306887847098</v>
      </c>
      <c r="K708" s="16">
        <v>-531.33068878470976</v>
      </c>
      <c r="L708" s="13">
        <v>2.02</v>
      </c>
      <c r="M708" s="13"/>
      <c r="N708" s="17">
        <f t="shared" si="23"/>
        <v>2020</v>
      </c>
      <c r="O708" s="17">
        <f t="shared" si="23"/>
        <v>0</v>
      </c>
      <c r="P708" s="17">
        <f t="shared" si="24"/>
        <v>2020</v>
      </c>
      <c r="Q708" t="str">
        <f>A708&amp;"-"&amp;B708&amp;"-"&amp;D708</f>
        <v>FEBRUARI-MJ2-L12</v>
      </c>
    </row>
    <row r="709" spans="1:17" x14ac:dyDescent="0.25">
      <c r="A709" t="s">
        <v>392</v>
      </c>
      <c r="B709" s="13" t="s">
        <v>26</v>
      </c>
      <c r="C709" s="13" t="s">
        <v>226</v>
      </c>
      <c r="D709" s="14" t="s">
        <v>310</v>
      </c>
      <c r="E709" s="13" t="s">
        <v>61</v>
      </c>
      <c r="F709" s="13" t="s">
        <v>351</v>
      </c>
      <c r="G709" s="13">
        <v>0.74</v>
      </c>
      <c r="H709" s="15">
        <v>215</v>
      </c>
      <c r="I709" s="16">
        <v>159.1</v>
      </c>
      <c r="J709" s="16">
        <v>213.77393337229688</v>
      </c>
      <c r="K709" s="16">
        <v>-54.673933372296887</v>
      </c>
      <c r="L709" s="13">
        <v>2.16</v>
      </c>
      <c r="M709" s="13"/>
      <c r="N709" s="17">
        <f t="shared" si="23"/>
        <v>464.40000000000003</v>
      </c>
      <c r="O709" s="17">
        <f t="shared" si="23"/>
        <v>0</v>
      </c>
      <c r="P709" s="17">
        <f t="shared" si="24"/>
        <v>464.40000000000003</v>
      </c>
      <c r="Q709" t="str">
        <f>A709&amp;"-"&amp;B709&amp;"-"&amp;D709</f>
        <v>FEBRUARI-MJ2-L12</v>
      </c>
    </row>
    <row r="710" spans="1:17" x14ac:dyDescent="0.25">
      <c r="A710" t="s">
        <v>392</v>
      </c>
      <c r="B710" s="13" t="s">
        <v>26</v>
      </c>
      <c r="C710" s="13" t="s">
        <v>226</v>
      </c>
      <c r="D710" s="14" t="s">
        <v>320</v>
      </c>
      <c r="E710" s="13" t="s">
        <v>61</v>
      </c>
      <c r="F710" s="13" t="s">
        <v>495</v>
      </c>
      <c r="G710" s="13">
        <v>0.8</v>
      </c>
      <c r="H710" s="15">
        <v>938</v>
      </c>
      <c r="I710" s="16">
        <v>750.4</v>
      </c>
      <c r="J710" s="16">
        <v>583.22733584064019</v>
      </c>
      <c r="K710" s="16">
        <v>167.17266415935978</v>
      </c>
      <c r="L710" s="13">
        <v>2.16</v>
      </c>
      <c r="M710" s="13"/>
      <c r="N710" s="17">
        <f t="shared" si="23"/>
        <v>2026.0800000000002</v>
      </c>
      <c r="O710" s="17">
        <f t="shared" si="23"/>
        <v>0</v>
      </c>
      <c r="P710" s="17">
        <f t="shared" si="24"/>
        <v>2026.0800000000002</v>
      </c>
      <c r="Q710" t="str">
        <f>A710&amp;"-"&amp;B710&amp;"-"&amp;D710</f>
        <v>FEBRUARI-MJ2-L13</v>
      </c>
    </row>
    <row r="711" spans="1:17" x14ac:dyDescent="0.25">
      <c r="A711" t="s">
        <v>392</v>
      </c>
      <c r="B711" s="13" t="s">
        <v>26</v>
      </c>
      <c r="C711" s="13" t="s">
        <v>226</v>
      </c>
      <c r="D711" s="14" t="s">
        <v>320</v>
      </c>
      <c r="E711" s="13" t="s">
        <v>61</v>
      </c>
      <c r="F711" s="13" t="s">
        <v>346</v>
      </c>
      <c r="G711" s="13">
        <v>1.99</v>
      </c>
      <c r="H711" s="15">
        <v>1689</v>
      </c>
      <c r="I711" s="16">
        <v>3361.11</v>
      </c>
      <c r="J711" s="16">
        <v>1409.8081010722622</v>
      </c>
      <c r="K711" s="16">
        <v>1951.301898927738</v>
      </c>
      <c r="L711" s="13">
        <v>3.58</v>
      </c>
      <c r="M711" s="13"/>
      <c r="N711" s="17">
        <f t="shared" si="23"/>
        <v>6046.62</v>
      </c>
      <c r="O711" s="17">
        <f t="shared" si="23"/>
        <v>0</v>
      </c>
      <c r="P711" s="17">
        <f t="shared" si="24"/>
        <v>6046.62</v>
      </c>
      <c r="Q711" t="str">
        <f>A711&amp;"-"&amp;B711&amp;"-"&amp;D711</f>
        <v>FEBRUARI-MJ2-L13</v>
      </c>
    </row>
    <row r="712" spans="1:17" x14ac:dyDescent="0.25">
      <c r="A712" t="s">
        <v>392</v>
      </c>
      <c r="B712" s="13" t="s">
        <v>26</v>
      </c>
      <c r="C712" s="13" t="s">
        <v>226</v>
      </c>
      <c r="D712" s="14" t="s">
        <v>320</v>
      </c>
      <c r="E712" s="13" t="s">
        <v>61</v>
      </c>
      <c r="F712" s="13" t="s">
        <v>496</v>
      </c>
      <c r="G712" s="13">
        <v>0.72000000000000008</v>
      </c>
      <c r="H712" s="15">
        <v>1020</v>
      </c>
      <c r="I712" s="16">
        <v>734.4</v>
      </c>
      <c r="J712" s="16">
        <v>653.54646972645583</v>
      </c>
      <c r="K712" s="16">
        <v>80.853530273544195</v>
      </c>
      <c r="L712" s="13">
        <v>2.31</v>
      </c>
      <c r="M712" s="13"/>
      <c r="N712" s="17">
        <f t="shared" si="23"/>
        <v>2356.2000000000003</v>
      </c>
      <c r="O712" s="17">
        <f t="shared" si="23"/>
        <v>0</v>
      </c>
      <c r="P712" s="17">
        <f t="shared" si="24"/>
        <v>2356.2000000000003</v>
      </c>
      <c r="Q712" t="str">
        <f>A712&amp;"-"&amp;B712&amp;"-"&amp;D712</f>
        <v>FEBRUARI-MJ2-L13</v>
      </c>
    </row>
    <row r="713" spans="1:17" x14ac:dyDescent="0.25">
      <c r="A713" t="s">
        <v>392</v>
      </c>
      <c r="B713" s="13" t="s">
        <v>26</v>
      </c>
      <c r="C713" s="13" t="s">
        <v>226</v>
      </c>
      <c r="D713" s="14" t="s">
        <v>320</v>
      </c>
      <c r="E713" s="13" t="s">
        <v>61</v>
      </c>
      <c r="F713" s="13" t="s">
        <v>352</v>
      </c>
      <c r="G713" s="13">
        <v>0.72</v>
      </c>
      <c r="H713" s="15">
        <v>122</v>
      </c>
      <c r="I713" s="16">
        <v>87.839999999999989</v>
      </c>
      <c r="J713" s="16">
        <v>108.57436191568684</v>
      </c>
      <c r="K713" s="16">
        <v>-20.734361915686847</v>
      </c>
      <c r="L713" s="13">
        <v>2.31</v>
      </c>
      <c r="M713" s="13"/>
      <c r="N713" s="17">
        <f t="shared" si="23"/>
        <v>281.82</v>
      </c>
      <c r="O713" s="17">
        <f t="shared" si="23"/>
        <v>0</v>
      </c>
      <c r="P713" s="17">
        <f t="shared" si="24"/>
        <v>281.82</v>
      </c>
      <c r="Q713" t="str">
        <f>A713&amp;"-"&amp;B713&amp;"-"&amp;D713</f>
        <v>FEBRUARI-MJ2-L13</v>
      </c>
    </row>
    <row r="714" spans="1:17" x14ac:dyDescent="0.25">
      <c r="A714" t="s">
        <v>392</v>
      </c>
      <c r="B714" s="13" t="s">
        <v>26</v>
      </c>
      <c r="C714" s="13" t="s">
        <v>226</v>
      </c>
      <c r="D714" s="14" t="s">
        <v>320</v>
      </c>
      <c r="E714" s="13" t="s">
        <v>61</v>
      </c>
      <c r="F714" s="13" t="s">
        <v>347</v>
      </c>
      <c r="G714" s="13">
        <v>0.79</v>
      </c>
      <c r="H714" s="15">
        <v>1885</v>
      </c>
      <c r="I714" s="16">
        <v>1489.15</v>
      </c>
      <c r="J714" s="16">
        <v>1256.9643819902496</v>
      </c>
      <c r="K714" s="16">
        <v>232.1856180097505</v>
      </c>
      <c r="L714" s="13">
        <v>2.15</v>
      </c>
      <c r="M714" s="13"/>
      <c r="N714" s="17">
        <f t="shared" si="23"/>
        <v>4052.75</v>
      </c>
      <c r="O714" s="17">
        <f t="shared" si="23"/>
        <v>0</v>
      </c>
      <c r="P714" s="17">
        <f t="shared" si="24"/>
        <v>4052.75</v>
      </c>
      <c r="Q714" t="str">
        <f>A714&amp;"-"&amp;B714&amp;"-"&amp;D714</f>
        <v>FEBRUARI-MJ2-L13</v>
      </c>
    </row>
    <row r="715" spans="1:17" x14ac:dyDescent="0.25">
      <c r="A715" t="s">
        <v>392</v>
      </c>
      <c r="B715" s="13" t="s">
        <v>26</v>
      </c>
      <c r="C715" s="13" t="s">
        <v>226</v>
      </c>
      <c r="D715" s="14" t="s">
        <v>320</v>
      </c>
      <c r="E715" s="13" t="s">
        <v>61</v>
      </c>
      <c r="F715" s="13" t="s">
        <v>357</v>
      </c>
      <c r="G715" s="13">
        <v>0.72</v>
      </c>
      <c r="H715" s="15">
        <v>2</v>
      </c>
      <c r="I715" s="16">
        <v>1.44</v>
      </c>
      <c r="J715" s="16">
        <v>2.8012618296529967</v>
      </c>
      <c r="K715" s="16">
        <v>-1.3612618296529968</v>
      </c>
      <c r="L715" s="13">
        <v>2.31</v>
      </c>
      <c r="M715" s="13"/>
      <c r="N715" s="17">
        <f t="shared" si="23"/>
        <v>4.62</v>
      </c>
      <c r="O715" s="17">
        <f t="shared" si="23"/>
        <v>0</v>
      </c>
      <c r="P715" s="17">
        <f t="shared" si="24"/>
        <v>4.62</v>
      </c>
      <c r="Q715" t="str">
        <f>A715&amp;"-"&amp;B715&amp;"-"&amp;D715</f>
        <v>FEBRUARI-MJ2-L13</v>
      </c>
    </row>
    <row r="716" spans="1:17" x14ac:dyDescent="0.25">
      <c r="A716" t="s">
        <v>392</v>
      </c>
      <c r="B716" s="13" t="s">
        <v>26</v>
      </c>
      <c r="C716" s="13" t="s">
        <v>226</v>
      </c>
      <c r="D716" s="14" t="s">
        <v>320</v>
      </c>
      <c r="E716" s="13" t="s">
        <v>61</v>
      </c>
      <c r="F716" s="13" t="s">
        <v>505</v>
      </c>
      <c r="G716" s="13">
        <v>0.76</v>
      </c>
      <c r="H716" s="15">
        <v>4390</v>
      </c>
      <c r="I716" s="16">
        <v>3336.4</v>
      </c>
      <c r="J716" s="16">
        <v>2696.2530482052662</v>
      </c>
      <c r="K716" s="16">
        <v>640.14695179473381</v>
      </c>
      <c r="L716" s="13">
        <v>2.02</v>
      </c>
      <c r="M716" s="13"/>
      <c r="N716" s="17">
        <f t="shared" si="23"/>
        <v>8867.7999999999993</v>
      </c>
      <c r="O716" s="17">
        <f t="shared" si="23"/>
        <v>0</v>
      </c>
      <c r="P716" s="17">
        <f t="shared" si="24"/>
        <v>8867.7999999999993</v>
      </c>
      <c r="Q716" t="str">
        <f>A716&amp;"-"&amp;B716&amp;"-"&amp;D716</f>
        <v>FEBRUARI-MJ2-L13</v>
      </c>
    </row>
    <row r="717" spans="1:17" x14ac:dyDescent="0.25">
      <c r="A717" t="s">
        <v>392</v>
      </c>
      <c r="B717" s="13" t="s">
        <v>26</v>
      </c>
      <c r="C717" s="13" t="s">
        <v>226</v>
      </c>
      <c r="D717" s="14" t="s">
        <v>320</v>
      </c>
      <c r="E717" s="13" t="s">
        <v>61</v>
      </c>
      <c r="F717" s="13" t="s">
        <v>348</v>
      </c>
      <c r="G717" s="13">
        <v>0.76</v>
      </c>
      <c r="H717" s="15">
        <v>1733</v>
      </c>
      <c r="I717" s="16">
        <v>1317.0799999999997</v>
      </c>
      <c r="J717" s="16">
        <v>1360.4728123847108</v>
      </c>
      <c r="K717" s="16">
        <v>-43.392812384711014</v>
      </c>
      <c r="L717" s="13">
        <v>2.02</v>
      </c>
      <c r="M717" s="13"/>
      <c r="N717" s="17">
        <f t="shared" si="23"/>
        <v>3500.66</v>
      </c>
      <c r="O717" s="17">
        <f t="shared" si="23"/>
        <v>0</v>
      </c>
      <c r="P717" s="17">
        <f t="shared" si="24"/>
        <v>3500.66</v>
      </c>
      <c r="Q717" t="str">
        <f>A717&amp;"-"&amp;B717&amp;"-"&amp;D717</f>
        <v>FEBRUARI-MJ2-L13</v>
      </c>
    </row>
    <row r="718" spans="1:17" x14ac:dyDescent="0.25">
      <c r="A718" t="s">
        <v>392</v>
      </c>
      <c r="B718" s="13" t="s">
        <v>26</v>
      </c>
      <c r="C718" s="13" t="s">
        <v>226</v>
      </c>
      <c r="D718" s="14" t="s">
        <v>320</v>
      </c>
      <c r="E718" s="13" t="s">
        <v>61</v>
      </c>
      <c r="F718" s="13" t="s">
        <v>506</v>
      </c>
      <c r="G718" s="13">
        <v>0.74</v>
      </c>
      <c r="H718" s="15">
        <v>1840</v>
      </c>
      <c r="I718" s="16">
        <v>1361.6</v>
      </c>
      <c r="J718" s="16">
        <v>1125.9962406015038</v>
      </c>
      <c r="K718" s="16">
        <v>235.60375939849627</v>
      </c>
      <c r="L718" s="13">
        <v>2.16</v>
      </c>
      <c r="M718" s="13"/>
      <c r="N718" s="17">
        <f t="shared" si="23"/>
        <v>3974.4</v>
      </c>
      <c r="O718" s="17">
        <f t="shared" si="23"/>
        <v>0</v>
      </c>
      <c r="P718" s="17">
        <f t="shared" si="24"/>
        <v>3974.4</v>
      </c>
      <c r="Q718" t="str">
        <f>A718&amp;"-"&amp;B718&amp;"-"&amp;D718</f>
        <v>FEBRUARI-MJ2-L13</v>
      </c>
    </row>
    <row r="719" spans="1:17" x14ac:dyDescent="0.25">
      <c r="A719" t="s">
        <v>392</v>
      </c>
      <c r="B719" s="13" t="s">
        <v>26</v>
      </c>
      <c r="C719" s="13" t="s">
        <v>226</v>
      </c>
      <c r="D719" s="14" t="s">
        <v>320</v>
      </c>
      <c r="E719" s="13" t="s">
        <v>61</v>
      </c>
      <c r="F719" s="13" t="s">
        <v>349</v>
      </c>
      <c r="G719" s="13">
        <v>0.73999999999999988</v>
      </c>
      <c r="H719" s="15">
        <v>652</v>
      </c>
      <c r="I719" s="16">
        <v>482.48</v>
      </c>
      <c r="J719" s="16">
        <v>533.07187134349294</v>
      </c>
      <c r="K719" s="16">
        <v>-50.591871343492883</v>
      </c>
      <c r="L719" s="13">
        <v>2.16</v>
      </c>
      <c r="M719" s="13"/>
      <c r="N719" s="17">
        <f t="shared" si="23"/>
        <v>1408.3200000000002</v>
      </c>
      <c r="O719" s="17">
        <f t="shared" si="23"/>
        <v>0</v>
      </c>
      <c r="P719" s="17">
        <f t="shared" si="24"/>
        <v>1408.3200000000002</v>
      </c>
      <c r="Q719" t="str">
        <f>A719&amp;"-"&amp;B719&amp;"-"&amp;D719</f>
        <v>FEBRUARI-MJ2-L13</v>
      </c>
    </row>
    <row r="720" spans="1:17" x14ac:dyDescent="0.25">
      <c r="A720" t="s">
        <v>392</v>
      </c>
      <c r="B720" s="13" t="s">
        <v>26</v>
      </c>
      <c r="C720" s="13" t="s">
        <v>226</v>
      </c>
      <c r="D720" s="14" t="s">
        <v>320</v>
      </c>
      <c r="E720" s="13" t="s">
        <v>61</v>
      </c>
      <c r="F720" s="13" t="s">
        <v>350</v>
      </c>
      <c r="G720" s="13">
        <v>0.76</v>
      </c>
      <c r="H720" s="15">
        <v>2369</v>
      </c>
      <c r="I720" s="16">
        <v>1800.4400000000003</v>
      </c>
      <c r="J720" s="16">
        <v>2565.0348913208923</v>
      </c>
      <c r="K720" s="16">
        <v>-764.59489132089197</v>
      </c>
      <c r="L720" s="13">
        <v>2.02</v>
      </c>
      <c r="M720" s="13"/>
      <c r="N720" s="17">
        <f t="shared" si="23"/>
        <v>4785.38</v>
      </c>
      <c r="O720" s="17">
        <f t="shared" si="23"/>
        <v>0</v>
      </c>
      <c r="P720" s="17">
        <f t="shared" si="24"/>
        <v>4785.38</v>
      </c>
      <c r="Q720" t="str">
        <f>A720&amp;"-"&amp;B720&amp;"-"&amp;D720</f>
        <v>FEBRUARI-MJ2-L13</v>
      </c>
    </row>
    <row r="721" spans="1:17" x14ac:dyDescent="0.25">
      <c r="A721" t="s">
        <v>392</v>
      </c>
      <c r="B721" s="13" t="s">
        <v>26</v>
      </c>
      <c r="C721" s="13" t="s">
        <v>226</v>
      </c>
      <c r="D721" s="14" t="s">
        <v>320</v>
      </c>
      <c r="E721" s="13" t="s">
        <v>61</v>
      </c>
      <c r="F721" s="13" t="s">
        <v>351</v>
      </c>
      <c r="G721" s="13">
        <v>0.74</v>
      </c>
      <c r="H721" s="15">
        <v>424</v>
      </c>
      <c r="I721" s="16">
        <v>313.76</v>
      </c>
      <c r="J721" s="16">
        <v>178.10406811731315</v>
      </c>
      <c r="K721" s="16">
        <v>135.65593188268684</v>
      </c>
      <c r="L721" s="13">
        <v>2.16</v>
      </c>
      <c r="M721" s="13"/>
      <c r="N721" s="17">
        <f t="shared" si="23"/>
        <v>915.84</v>
      </c>
      <c r="O721" s="17">
        <f t="shared" si="23"/>
        <v>0</v>
      </c>
      <c r="P721" s="17">
        <f t="shared" si="24"/>
        <v>915.84</v>
      </c>
      <c r="Q721" t="str">
        <f>A721&amp;"-"&amp;B721&amp;"-"&amp;D721</f>
        <v>FEBRUARI-MJ2-L13</v>
      </c>
    </row>
    <row r="722" spans="1:17" x14ac:dyDescent="0.25">
      <c r="A722" t="s">
        <v>392</v>
      </c>
      <c r="B722" s="13" t="s">
        <v>26</v>
      </c>
      <c r="C722" s="13" t="s">
        <v>226</v>
      </c>
      <c r="D722" s="14" t="s">
        <v>158</v>
      </c>
      <c r="E722" s="13" t="s">
        <v>61</v>
      </c>
      <c r="F722" s="13" t="s">
        <v>346</v>
      </c>
      <c r="G722" s="13">
        <v>1.99</v>
      </c>
      <c r="H722" s="15">
        <v>2881</v>
      </c>
      <c r="I722" s="16">
        <v>5733.19</v>
      </c>
      <c r="J722" s="16">
        <v>1147.4466429868303</v>
      </c>
      <c r="K722" s="16">
        <v>4585.7433570131689</v>
      </c>
      <c r="L722" s="13">
        <v>3.58</v>
      </c>
      <c r="M722" s="13"/>
      <c r="N722" s="17">
        <f t="shared" si="23"/>
        <v>10313.98</v>
      </c>
      <c r="O722" s="17">
        <f t="shared" si="23"/>
        <v>0</v>
      </c>
      <c r="P722" s="17">
        <f t="shared" si="24"/>
        <v>10313.98</v>
      </c>
      <c r="Q722" t="str">
        <f>A722&amp;"-"&amp;B722&amp;"-"&amp;D722</f>
        <v>FEBRUARI-MJ2-L4</v>
      </c>
    </row>
    <row r="723" spans="1:17" x14ac:dyDescent="0.25">
      <c r="A723" t="s">
        <v>392</v>
      </c>
      <c r="B723" s="13" t="s">
        <v>26</v>
      </c>
      <c r="C723" s="13" t="s">
        <v>226</v>
      </c>
      <c r="D723" s="14" t="s">
        <v>158</v>
      </c>
      <c r="E723" s="13" t="s">
        <v>61</v>
      </c>
      <c r="F723" s="13" t="s">
        <v>352</v>
      </c>
      <c r="G723" s="13">
        <v>0.72</v>
      </c>
      <c r="H723" s="15">
        <v>245</v>
      </c>
      <c r="I723" s="16">
        <v>176.4</v>
      </c>
      <c r="J723" s="16">
        <v>135.40178760537128</v>
      </c>
      <c r="K723" s="16">
        <v>40.998212394628716</v>
      </c>
      <c r="L723" s="13">
        <v>2.31</v>
      </c>
      <c r="M723" s="13"/>
      <c r="N723" s="17">
        <f t="shared" si="23"/>
        <v>565.95000000000005</v>
      </c>
      <c r="O723" s="17">
        <f t="shared" si="23"/>
        <v>0</v>
      </c>
      <c r="P723" s="17">
        <f t="shared" si="24"/>
        <v>565.95000000000005</v>
      </c>
      <c r="Q723" t="str">
        <f>A723&amp;"-"&amp;B723&amp;"-"&amp;D723</f>
        <v>FEBRUARI-MJ2-L4</v>
      </c>
    </row>
    <row r="724" spans="1:17" x14ac:dyDescent="0.25">
      <c r="A724" t="s">
        <v>392</v>
      </c>
      <c r="B724" s="13" t="s">
        <v>26</v>
      </c>
      <c r="C724" s="13" t="s">
        <v>226</v>
      </c>
      <c r="D724" s="14" t="s">
        <v>158</v>
      </c>
      <c r="E724" s="13" t="s">
        <v>61</v>
      </c>
      <c r="F724" s="13" t="s">
        <v>507</v>
      </c>
      <c r="G724" s="13">
        <v>0.79</v>
      </c>
      <c r="H724" s="15">
        <v>4031</v>
      </c>
      <c r="I724" s="16">
        <v>3184.49</v>
      </c>
      <c r="J724" s="16">
        <v>2307.5191411789879</v>
      </c>
      <c r="K724" s="16">
        <v>876.97085882101157</v>
      </c>
      <c r="L724" s="13">
        <v>2.15</v>
      </c>
      <c r="M724" s="13"/>
      <c r="N724" s="17">
        <f t="shared" si="23"/>
        <v>8666.65</v>
      </c>
      <c r="O724" s="17">
        <f t="shared" si="23"/>
        <v>0</v>
      </c>
      <c r="P724" s="17">
        <f t="shared" si="24"/>
        <v>8666.65</v>
      </c>
      <c r="Q724" t="str">
        <f>A724&amp;"-"&amp;B724&amp;"-"&amp;D724</f>
        <v>FEBRUARI-MJ2-L4</v>
      </c>
    </row>
    <row r="725" spans="1:17" x14ac:dyDescent="0.25">
      <c r="A725" t="s">
        <v>392</v>
      </c>
      <c r="B725" s="13" t="s">
        <v>26</v>
      </c>
      <c r="C725" s="13" t="s">
        <v>226</v>
      </c>
      <c r="D725" s="14" t="s">
        <v>158</v>
      </c>
      <c r="E725" s="13" t="s">
        <v>61</v>
      </c>
      <c r="F725" s="13" t="s">
        <v>353</v>
      </c>
      <c r="G725" s="13">
        <v>0.79</v>
      </c>
      <c r="H725" s="15">
        <v>587</v>
      </c>
      <c r="I725" s="16">
        <v>463.73</v>
      </c>
      <c r="J725" s="16">
        <v>940.25408703661071</v>
      </c>
      <c r="K725" s="16">
        <v>-476.52408703661069</v>
      </c>
      <c r="L725" s="13">
        <v>2.15</v>
      </c>
      <c r="M725" s="13"/>
      <c r="N725" s="17">
        <f t="shared" ref="N725:O788" si="25">$H725*L725</f>
        <v>1262.05</v>
      </c>
      <c r="O725" s="17">
        <f t="shared" si="25"/>
        <v>0</v>
      </c>
      <c r="P725" s="17">
        <f t="shared" si="24"/>
        <v>1262.05</v>
      </c>
      <c r="Q725" t="str">
        <f>A725&amp;"-"&amp;B725&amp;"-"&amp;D725</f>
        <v>FEBRUARI-MJ2-L4</v>
      </c>
    </row>
    <row r="726" spans="1:17" x14ac:dyDescent="0.25">
      <c r="A726" t="s">
        <v>392</v>
      </c>
      <c r="B726" s="13" t="s">
        <v>26</v>
      </c>
      <c r="C726" s="13" t="s">
        <v>226</v>
      </c>
      <c r="D726" s="14" t="s">
        <v>158</v>
      </c>
      <c r="E726" s="13" t="s">
        <v>61</v>
      </c>
      <c r="F726" s="13" t="s">
        <v>508</v>
      </c>
      <c r="G726" s="13">
        <v>0.72</v>
      </c>
      <c r="H726" s="15">
        <v>279</v>
      </c>
      <c r="I726" s="16">
        <v>200.88</v>
      </c>
      <c r="J726" s="16">
        <v>147.85528771983599</v>
      </c>
      <c r="K726" s="16">
        <v>53.024712280164003</v>
      </c>
      <c r="L726" s="13">
        <v>2.31</v>
      </c>
      <c r="M726" s="13"/>
      <c r="N726" s="17">
        <f t="shared" si="25"/>
        <v>644.49</v>
      </c>
      <c r="O726" s="17">
        <f t="shared" si="25"/>
        <v>0</v>
      </c>
      <c r="P726" s="17">
        <f t="shared" si="24"/>
        <v>644.49</v>
      </c>
      <c r="Q726" t="str">
        <f>A726&amp;"-"&amp;B726&amp;"-"&amp;D726</f>
        <v>FEBRUARI-MJ2-L4</v>
      </c>
    </row>
    <row r="727" spans="1:17" x14ac:dyDescent="0.25">
      <c r="A727" t="s">
        <v>392</v>
      </c>
      <c r="B727" s="13" t="s">
        <v>26</v>
      </c>
      <c r="C727" s="13" t="s">
        <v>226</v>
      </c>
      <c r="D727" s="14" t="s">
        <v>158</v>
      </c>
      <c r="E727" s="13" t="s">
        <v>61</v>
      </c>
      <c r="F727" s="13" t="s">
        <v>356</v>
      </c>
      <c r="G727" s="13">
        <v>0.72</v>
      </c>
      <c r="H727" s="15">
        <v>91</v>
      </c>
      <c r="I727" s="16">
        <v>65.52</v>
      </c>
      <c r="J727" s="16">
        <v>50.004950495049506</v>
      </c>
      <c r="K727" s="16">
        <v>15.51504950495049</v>
      </c>
      <c r="L727" s="13">
        <v>2.31</v>
      </c>
      <c r="M727" s="13"/>
      <c r="N727" s="17">
        <f t="shared" si="25"/>
        <v>210.21</v>
      </c>
      <c r="O727" s="17">
        <f t="shared" si="25"/>
        <v>0</v>
      </c>
      <c r="P727" s="17">
        <f t="shared" si="24"/>
        <v>210.21</v>
      </c>
      <c r="Q727" t="str">
        <f>A727&amp;"-"&amp;B727&amp;"-"&amp;D727</f>
        <v>FEBRUARI-MJ2-L4</v>
      </c>
    </row>
    <row r="728" spans="1:17" x14ac:dyDescent="0.25">
      <c r="A728" t="s">
        <v>392</v>
      </c>
      <c r="B728" s="13" t="s">
        <v>26</v>
      </c>
      <c r="C728" s="13" t="s">
        <v>226</v>
      </c>
      <c r="D728" s="14" t="s">
        <v>158</v>
      </c>
      <c r="E728" s="13" t="s">
        <v>61</v>
      </c>
      <c r="F728" s="13" t="s">
        <v>347</v>
      </c>
      <c r="G728" s="13">
        <v>0.79</v>
      </c>
      <c r="H728" s="15">
        <v>8714</v>
      </c>
      <c r="I728" s="16">
        <v>6884.06</v>
      </c>
      <c r="J728" s="16">
        <v>4341.194993819382</v>
      </c>
      <c r="K728" s="16">
        <v>2542.8650061806179</v>
      </c>
      <c r="L728" s="13">
        <v>2.15</v>
      </c>
      <c r="M728" s="13"/>
      <c r="N728" s="17">
        <f t="shared" si="25"/>
        <v>18735.099999999999</v>
      </c>
      <c r="O728" s="17">
        <f t="shared" si="25"/>
        <v>0</v>
      </c>
      <c r="P728" s="17">
        <f t="shared" si="24"/>
        <v>18735.099999999999</v>
      </c>
      <c r="Q728" t="str">
        <f>A728&amp;"-"&amp;B728&amp;"-"&amp;D728</f>
        <v>FEBRUARI-MJ2-L4</v>
      </c>
    </row>
    <row r="729" spans="1:17" x14ac:dyDescent="0.25">
      <c r="A729" t="s">
        <v>392</v>
      </c>
      <c r="B729" s="13" t="s">
        <v>26</v>
      </c>
      <c r="C729" s="13" t="s">
        <v>226</v>
      </c>
      <c r="D729" s="14" t="s">
        <v>158</v>
      </c>
      <c r="E729" s="13" t="s">
        <v>61</v>
      </c>
      <c r="F729" s="13" t="s">
        <v>509</v>
      </c>
      <c r="G729" s="13">
        <v>0.79999999999999993</v>
      </c>
      <c r="H729" s="15">
        <v>7671</v>
      </c>
      <c r="I729" s="16">
        <v>6136.7999999999993</v>
      </c>
      <c r="J729" s="16">
        <v>4225.8077639962567</v>
      </c>
      <c r="K729" s="16">
        <v>1910.9922360037435</v>
      </c>
      <c r="L729" s="13">
        <v>2.16</v>
      </c>
      <c r="M729" s="13"/>
      <c r="N729" s="17">
        <f t="shared" si="25"/>
        <v>16569.36</v>
      </c>
      <c r="O729" s="17">
        <f t="shared" si="25"/>
        <v>0</v>
      </c>
      <c r="P729" s="17">
        <f t="shared" si="24"/>
        <v>16569.36</v>
      </c>
      <c r="Q729" t="str">
        <f>A729&amp;"-"&amp;B729&amp;"-"&amp;D729</f>
        <v>FEBRUARI-MJ2-L4</v>
      </c>
    </row>
    <row r="730" spans="1:17" x14ac:dyDescent="0.25">
      <c r="A730" t="s">
        <v>392</v>
      </c>
      <c r="B730" s="13" t="s">
        <v>26</v>
      </c>
      <c r="C730" s="13" t="s">
        <v>226</v>
      </c>
      <c r="D730" s="14" t="s">
        <v>158</v>
      </c>
      <c r="E730" s="13" t="s">
        <v>61</v>
      </c>
      <c r="F730" s="13" t="s">
        <v>510</v>
      </c>
      <c r="G730" s="13">
        <v>0.72</v>
      </c>
      <c r="H730" s="15">
        <v>81</v>
      </c>
      <c r="I730" s="16">
        <v>58.32</v>
      </c>
      <c r="J730" s="16">
        <v>45.454872303943681</v>
      </c>
      <c r="K730" s="16">
        <v>12.865127696056318</v>
      </c>
      <c r="L730" s="13">
        <v>2.31</v>
      </c>
      <c r="M730" s="13"/>
      <c r="N730" s="17">
        <f t="shared" si="25"/>
        <v>187.11</v>
      </c>
      <c r="O730" s="17">
        <f t="shared" si="25"/>
        <v>0</v>
      </c>
      <c r="P730" s="17">
        <f t="shared" si="24"/>
        <v>187.11</v>
      </c>
      <c r="Q730" t="str">
        <f>A730&amp;"-"&amp;B730&amp;"-"&amp;D730</f>
        <v>FEBRUARI-MJ2-L4</v>
      </c>
    </row>
    <row r="731" spans="1:17" x14ac:dyDescent="0.25">
      <c r="A731" t="s">
        <v>392</v>
      </c>
      <c r="B731" s="13" t="s">
        <v>26</v>
      </c>
      <c r="C731" s="13" t="s">
        <v>226</v>
      </c>
      <c r="D731" s="14" t="s">
        <v>158</v>
      </c>
      <c r="E731" s="13" t="s">
        <v>61</v>
      </c>
      <c r="F731" s="13" t="s">
        <v>348</v>
      </c>
      <c r="G731" s="13">
        <v>0.7599999999999999</v>
      </c>
      <c r="H731" s="15">
        <v>3688</v>
      </c>
      <c r="I731" s="16">
        <v>2802.88</v>
      </c>
      <c r="J731" s="16">
        <v>1423.5154826100911</v>
      </c>
      <c r="K731" s="16">
        <v>1379.3645173899085</v>
      </c>
      <c r="L731" s="13">
        <v>2.02</v>
      </c>
      <c r="M731" s="13"/>
      <c r="N731" s="17">
        <f t="shared" si="25"/>
        <v>7449.76</v>
      </c>
      <c r="O731" s="17">
        <f t="shared" si="25"/>
        <v>0</v>
      </c>
      <c r="P731" s="17">
        <f t="shared" si="24"/>
        <v>7449.76</v>
      </c>
      <c r="Q731" t="str">
        <f>A731&amp;"-"&amp;B731&amp;"-"&amp;D731</f>
        <v>FEBRUARI-MJ2-L4</v>
      </c>
    </row>
    <row r="732" spans="1:17" x14ac:dyDescent="0.25">
      <c r="A732" t="s">
        <v>392</v>
      </c>
      <c r="B732" s="13" t="s">
        <v>26</v>
      </c>
      <c r="C732" s="13" t="s">
        <v>226</v>
      </c>
      <c r="D732" s="14" t="s">
        <v>158</v>
      </c>
      <c r="E732" s="13" t="s">
        <v>61</v>
      </c>
      <c r="F732" s="13" t="s">
        <v>511</v>
      </c>
      <c r="G732" s="13">
        <v>0.79999999999999993</v>
      </c>
      <c r="H732" s="15">
        <v>5571</v>
      </c>
      <c r="I732" s="16">
        <v>4456.8</v>
      </c>
      <c r="J732" s="16">
        <v>2995.5449902476403</v>
      </c>
      <c r="K732" s="16">
        <v>1461.2550097523592</v>
      </c>
      <c r="L732" s="13">
        <v>2.16</v>
      </c>
      <c r="M732" s="13"/>
      <c r="N732" s="17">
        <f t="shared" si="25"/>
        <v>12033.36</v>
      </c>
      <c r="O732" s="17">
        <f t="shared" si="25"/>
        <v>0</v>
      </c>
      <c r="P732" s="17">
        <f t="shared" si="24"/>
        <v>12033.36</v>
      </c>
      <c r="Q732" t="str">
        <f>A732&amp;"-"&amp;B732&amp;"-"&amp;D732</f>
        <v>FEBRUARI-MJ2-L4</v>
      </c>
    </row>
    <row r="733" spans="1:17" x14ac:dyDescent="0.25">
      <c r="A733" t="s">
        <v>392</v>
      </c>
      <c r="B733" s="13" t="s">
        <v>26</v>
      </c>
      <c r="C733" s="13" t="s">
        <v>226</v>
      </c>
      <c r="D733" s="14" t="s">
        <v>160</v>
      </c>
      <c r="E733" s="13" t="s">
        <v>61</v>
      </c>
      <c r="F733" s="13" t="s">
        <v>346</v>
      </c>
      <c r="G733" s="13">
        <v>1.99</v>
      </c>
      <c r="H733" s="15">
        <v>2050</v>
      </c>
      <c r="I733" s="16">
        <v>4079.5</v>
      </c>
      <c r="J733" s="16">
        <v>885.28197141065766</v>
      </c>
      <c r="K733" s="16">
        <v>3194.2180285893423</v>
      </c>
      <c r="L733" s="13">
        <v>3.58</v>
      </c>
      <c r="M733" s="13"/>
      <c r="N733" s="17">
        <f t="shared" si="25"/>
        <v>7339</v>
      </c>
      <c r="O733" s="17">
        <f t="shared" si="25"/>
        <v>0</v>
      </c>
      <c r="P733" s="17">
        <f t="shared" si="24"/>
        <v>7339</v>
      </c>
      <c r="Q733" t="str">
        <f>A733&amp;"-"&amp;B733&amp;"-"&amp;D733</f>
        <v>FEBRUARI-MJ2-L5</v>
      </c>
    </row>
    <row r="734" spans="1:17" x14ac:dyDescent="0.25">
      <c r="A734" t="s">
        <v>392</v>
      </c>
      <c r="B734" s="13" t="s">
        <v>26</v>
      </c>
      <c r="C734" s="13" t="s">
        <v>226</v>
      </c>
      <c r="D734" s="14" t="s">
        <v>160</v>
      </c>
      <c r="E734" s="13" t="s">
        <v>61</v>
      </c>
      <c r="F734" s="13" t="s">
        <v>352</v>
      </c>
      <c r="G734" s="13">
        <v>0.72000000000000008</v>
      </c>
      <c r="H734" s="15">
        <v>863</v>
      </c>
      <c r="I734" s="16">
        <v>621.36000000000013</v>
      </c>
      <c r="J734" s="16">
        <v>481.60837015511407</v>
      </c>
      <c r="K734" s="16">
        <v>139.75162984488594</v>
      </c>
      <c r="L734" s="13">
        <v>2.31</v>
      </c>
      <c r="M734" s="13"/>
      <c r="N734" s="17">
        <f t="shared" si="25"/>
        <v>1993.53</v>
      </c>
      <c r="O734" s="17">
        <f t="shared" si="25"/>
        <v>0</v>
      </c>
      <c r="P734" s="17">
        <f t="shared" si="24"/>
        <v>1993.53</v>
      </c>
      <c r="Q734" t="str">
        <f>A734&amp;"-"&amp;B734&amp;"-"&amp;D734</f>
        <v>FEBRUARI-MJ2-L5</v>
      </c>
    </row>
    <row r="735" spans="1:17" x14ac:dyDescent="0.25">
      <c r="A735" t="s">
        <v>392</v>
      </c>
      <c r="B735" s="13" t="s">
        <v>26</v>
      </c>
      <c r="C735" s="13" t="s">
        <v>226</v>
      </c>
      <c r="D735" s="14" t="s">
        <v>160</v>
      </c>
      <c r="E735" s="13" t="s">
        <v>61</v>
      </c>
      <c r="F735" s="13" t="s">
        <v>507</v>
      </c>
      <c r="G735" s="13">
        <v>0.79</v>
      </c>
      <c r="H735" s="15">
        <v>2546</v>
      </c>
      <c r="I735" s="16">
        <v>2011.34</v>
      </c>
      <c r="J735" s="16">
        <v>1503.7475204485479</v>
      </c>
      <c r="K735" s="16">
        <v>507.59247955145224</v>
      </c>
      <c r="L735" s="13">
        <v>2.15</v>
      </c>
      <c r="M735" s="13"/>
      <c r="N735" s="17">
        <f t="shared" si="25"/>
        <v>5473.9</v>
      </c>
      <c r="O735" s="17">
        <f t="shared" si="25"/>
        <v>0</v>
      </c>
      <c r="P735" s="17">
        <f t="shared" si="24"/>
        <v>5473.9</v>
      </c>
      <c r="Q735" t="str">
        <f>A735&amp;"-"&amp;B735&amp;"-"&amp;D735</f>
        <v>FEBRUARI-MJ2-L5</v>
      </c>
    </row>
    <row r="736" spans="1:17" x14ac:dyDescent="0.25">
      <c r="A736" t="s">
        <v>392</v>
      </c>
      <c r="B736" s="13" t="s">
        <v>26</v>
      </c>
      <c r="C736" s="13" t="s">
        <v>226</v>
      </c>
      <c r="D736" s="14" t="s">
        <v>160</v>
      </c>
      <c r="E736" s="13" t="s">
        <v>61</v>
      </c>
      <c r="F736" s="13" t="s">
        <v>353</v>
      </c>
      <c r="G736" s="13">
        <v>0.79</v>
      </c>
      <c r="H736" s="15">
        <v>2288</v>
      </c>
      <c r="I736" s="16">
        <v>1807.52</v>
      </c>
      <c r="J736" s="16">
        <v>1368.5737724058768</v>
      </c>
      <c r="K736" s="16">
        <v>438.94622759412334</v>
      </c>
      <c r="L736" s="13">
        <v>2.15</v>
      </c>
      <c r="M736" s="13"/>
      <c r="N736" s="17">
        <f t="shared" si="25"/>
        <v>4919.2</v>
      </c>
      <c r="O736" s="17">
        <f t="shared" si="25"/>
        <v>0</v>
      </c>
      <c r="P736" s="17">
        <f t="shared" si="24"/>
        <v>4919.2</v>
      </c>
      <c r="Q736" t="str">
        <f>A736&amp;"-"&amp;B736&amp;"-"&amp;D736</f>
        <v>FEBRUARI-MJ2-L5</v>
      </c>
    </row>
    <row r="737" spans="1:17" x14ac:dyDescent="0.25">
      <c r="A737" t="s">
        <v>392</v>
      </c>
      <c r="B737" s="13" t="s">
        <v>26</v>
      </c>
      <c r="C737" s="13" t="s">
        <v>226</v>
      </c>
      <c r="D737" s="14" t="s">
        <v>160</v>
      </c>
      <c r="E737" s="13" t="s">
        <v>61</v>
      </c>
      <c r="F737" s="13" t="s">
        <v>508</v>
      </c>
      <c r="G737" s="13">
        <v>0.72000000000000008</v>
      </c>
      <c r="H737" s="15">
        <v>455</v>
      </c>
      <c r="I737" s="16">
        <v>327.59999999999997</v>
      </c>
      <c r="J737" s="16">
        <v>270.70593360173399</v>
      </c>
      <c r="K737" s="16">
        <v>56.894066398266006</v>
      </c>
      <c r="L737" s="13">
        <v>2.31</v>
      </c>
      <c r="M737" s="13"/>
      <c r="N737" s="17">
        <f t="shared" si="25"/>
        <v>1051.05</v>
      </c>
      <c r="O737" s="17">
        <f t="shared" si="25"/>
        <v>0</v>
      </c>
      <c r="P737" s="17">
        <f t="shared" si="24"/>
        <v>1051.05</v>
      </c>
      <c r="Q737" t="str">
        <f>A737&amp;"-"&amp;B737&amp;"-"&amp;D737</f>
        <v>FEBRUARI-MJ2-L5</v>
      </c>
    </row>
    <row r="738" spans="1:17" x14ac:dyDescent="0.25">
      <c r="A738" t="s">
        <v>392</v>
      </c>
      <c r="B738" s="13" t="s">
        <v>26</v>
      </c>
      <c r="C738" s="13" t="s">
        <v>226</v>
      </c>
      <c r="D738" s="14" t="s">
        <v>160</v>
      </c>
      <c r="E738" s="13" t="s">
        <v>61</v>
      </c>
      <c r="F738" s="13" t="s">
        <v>356</v>
      </c>
      <c r="G738" s="13">
        <v>0.72</v>
      </c>
      <c r="H738" s="15">
        <v>400</v>
      </c>
      <c r="I738" s="16">
        <v>288</v>
      </c>
      <c r="J738" s="16">
        <v>313.50434591747148</v>
      </c>
      <c r="K738" s="16">
        <v>-25.504345917471493</v>
      </c>
      <c r="L738" s="13">
        <v>2.31</v>
      </c>
      <c r="M738" s="13"/>
      <c r="N738" s="17">
        <f t="shared" si="25"/>
        <v>924</v>
      </c>
      <c r="O738" s="17">
        <f t="shared" si="25"/>
        <v>0</v>
      </c>
      <c r="P738" s="17">
        <f t="shared" si="24"/>
        <v>924</v>
      </c>
      <c r="Q738" t="str">
        <f>A738&amp;"-"&amp;B738&amp;"-"&amp;D738</f>
        <v>FEBRUARI-MJ2-L5</v>
      </c>
    </row>
    <row r="739" spans="1:17" x14ac:dyDescent="0.25">
      <c r="A739" t="s">
        <v>392</v>
      </c>
      <c r="B739" s="13" t="s">
        <v>26</v>
      </c>
      <c r="C739" s="13" t="s">
        <v>226</v>
      </c>
      <c r="D739" s="14" t="s">
        <v>160</v>
      </c>
      <c r="E739" s="13" t="s">
        <v>61</v>
      </c>
      <c r="F739" s="13" t="s">
        <v>354</v>
      </c>
      <c r="G739" s="13">
        <v>0.82</v>
      </c>
      <c r="H739" s="15">
        <v>105</v>
      </c>
      <c r="I739" s="16">
        <v>86.1</v>
      </c>
      <c r="J739" s="16">
        <v>57.698019801980202</v>
      </c>
      <c r="K739" s="16">
        <v>28.401980198019793</v>
      </c>
      <c r="L739" s="13">
        <v>2.5499999999999998</v>
      </c>
      <c r="M739" s="13"/>
      <c r="N739" s="17">
        <f t="shared" si="25"/>
        <v>267.75</v>
      </c>
      <c r="O739" s="17">
        <f t="shared" si="25"/>
        <v>0</v>
      </c>
      <c r="P739" s="17">
        <f t="shared" si="24"/>
        <v>267.75</v>
      </c>
      <c r="Q739" t="str">
        <f>A739&amp;"-"&amp;B739&amp;"-"&amp;D739</f>
        <v>FEBRUARI-MJ2-L5</v>
      </c>
    </row>
    <row r="740" spans="1:17" x14ac:dyDescent="0.25">
      <c r="A740" t="s">
        <v>392</v>
      </c>
      <c r="B740" s="13" t="s">
        <v>26</v>
      </c>
      <c r="C740" s="13" t="s">
        <v>226</v>
      </c>
      <c r="D740" s="14" t="s">
        <v>160</v>
      </c>
      <c r="E740" s="13" t="s">
        <v>61</v>
      </c>
      <c r="F740" s="13" t="s">
        <v>347</v>
      </c>
      <c r="G740" s="13">
        <v>0.79</v>
      </c>
      <c r="H740" s="15">
        <v>4576</v>
      </c>
      <c r="I740" s="16">
        <v>3615.0399999999995</v>
      </c>
      <c r="J740" s="16">
        <v>2547.3072040874454</v>
      </c>
      <c r="K740" s="16">
        <v>1067.7327959125544</v>
      </c>
      <c r="L740" s="13">
        <v>2.15</v>
      </c>
      <c r="M740" s="13"/>
      <c r="N740" s="17">
        <f t="shared" si="25"/>
        <v>9838.4</v>
      </c>
      <c r="O740" s="17">
        <f t="shared" si="25"/>
        <v>0</v>
      </c>
      <c r="P740" s="17">
        <f t="shared" si="24"/>
        <v>9838.4</v>
      </c>
      <c r="Q740" t="str">
        <f>A740&amp;"-"&amp;B740&amp;"-"&amp;D740</f>
        <v>FEBRUARI-MJ2-L5</v>
      </c>
    </row>
    <row r="741" spans="1:17" x14ac:dyDescent="0.25">
      <c r="A741" t="s">
        <v>392</v>
      </c>
      <c r="B741" s="13" t="s">
        <v>26</v>
      </c>
      <c r="C741" s="13" t="s">
        <v>226</v>
      </c>
      <c r="D741" s="14" t="s">
        <v>160</v>
      </c>
      <c r="E741" s="13" t="s">
        <v>61</v>
      </c>
      <c r="F741" s="13" t="s">
        <v>357</v>
      </c>
      <c r="G741" s="13">
        <v>0.71999999999999986</v>
      </c>
      <c r="H741" s="15">
        <v>2339</v>
      </c>
      <c r="I741" s="16">
        <v>1684.0800000000002</v>
      </c>
      <c r="J741" s="16">
        <v>1392.0568772021422</v>
      </c>
      <c r="K741" s="16">
        <v>292.02312279785764</v>
      </c>
      <c r="L741" s="13">
        <v>2.31</v>
      </c>
      <c r="M741" s="13"/>
      <c r="N741" s="17">
        <f t="shared" si="25"/>
        <v>5403.09</v>
      </c>
      <c r="O741" s="17">
        <f t="shared" si="25"/>
        <v>0</v>
      </c>
      <c r="P741" s="17">
        <f t="shared" si="24"/>
        <v>5403.09</v>
      </c>
      <c r="Q741" t="str">
        <f>A741&amp;"-"&amp;B741&amp;"-"&amp;D741</f>
        <v>FEBRUARI-MJ2-L5</v>
      </c>
    </row>
    <row r="742" spans="1:17" x14ac:dyDescent="0.25">
      <c r="A742" t="s">
        <v>392</v>
      </c>
      <c r="B742" s="13" t="s">
        <v>26</v>
      </c>
      <c r="C742" s="13" t="s">
        <v>226</v>
      </c>
      <c r="D742" s="14" t="s">
        <v>160</v>
      </c>
      <c r="E742" s="13" t="s">
        <v>61</v>
      </c>
      <c r="F742" s="13" t="s">
        <v>509</v>
      </c>
      <c r="G742" s="13">
        <v>0.8</v>
      </c>
      <c r="H742" s="15">
        <v>5452</v>
      </c>
      <c r="I742" s="16">
        <v>4361.5999999999995</v>
      </c>
      <c r="J742" s="16">
        <v>2956.2473133847939</v>
      </c>
      <c r="K742" s="16">
        <v>1405.352686615206</v>
      </c>
      <c r="L742" s="13">
        <v>2.16</v>
      </c>
      <c r="M742" s="13"/>
      <c r="N742" s="17">
        <f t="shared" si="25"/>
        <v>11776.320000000002</v>
      </c>
      <c r="O742" s="17">
        <f t="shared" si="25"/>
        <v>0</v>
      </c>
      <c r="P742" s="17">
        <f t="shared" si="24"/>
        <v>11776.320000000002</v>
      </c>
      <c r="Q742" t="str">
        <f>A742&amp;"-"&amp;B742&amp;"-"&amp;D742</f>
        <v>FEBRUARI-MJ2-L5</v>
      </c>
    </row>
    <row r="743" spans="1:17" x14ac:dyDescent="0.25">
      <c r="A743" t="s">
        <v>392</v>
      </c>
      <c r="B743" s="13" t="s">
        <v>26</v>
      </c>
      <c r="C743" s="13" t="s">
        <v>226</v>
      </c>
      <c r="D743" s="14" t="s">
        <v>160</v>
      </c>
      <c r="E743" s="13" t="s">
        <v>61</v>
      </c>
      <c r="F743" s="13" t="s">
        <v>510</v>
      </c>
      <c r="G743" s="13">
        <v>0.72</v>
      </c>
      <c r="H743" s="15">
        <v>2829</v>
      </c>
      <c r="I743" s="16">
        <v>2036.88</v>
      </c>
      <c r="J743" s="16">
        <v>1586.1254664968201</v>
      </c>
      <c r="K743" s="16">
        <v>450.75453350317997</v>
      </c>
      <c r="L743" s="13">
        <v>2.31</v>
      </c>
      <c r="M743" s="13"/>
      <c r="N743" s="17">
        <f t="shared" si="25"/>
        <v>6534.99</v>
      </c>
      <c r="O743" s="17">
        <f t="shared" si="25"/>
        <v>0</v>
      </c>
      <c r="P743" s="17">
        <f t="shared" si="24"/>
        <v>6534.99</v>
      </c>
      <c r="Q743" t="str">
        <f>A743&amp;"-"&amp;B743&amp;"-"&amp;D743</f>
        <v>FEBRUARI-MJ2-L5</v>
      </c>
    </row>
    <row r="744" spans="1:17" x14ac:dyDescent="0.25">
      <c r="A744" t="s">
        <v>392</v>
      </c>
      <c r="B744" s="13" t="s">
        <v>26</v>
      </c>
      <c r="C744" s="13" t="s">
        <v>226</v>
      </c>
      <c r="D744" s="14" t="s">
        <v>160</v>
      </c>
      <c r="E744" s="13" t="s">
        <v>61</v>
      </c>
      <c r="F744" s="13" t="s">
        <v>348</v>
      </c>
      <c r="G744" s="13">
        <v>0.76000000000000012</v>
      </c>
      <c r="H744" s="15">
        <v>86</v>
      </c>
      <c r="I744" s="16">
        <v>65.36</v>
      </c>
      <c r="J744" s="16">
        <v>43.709480522056325</v>
      </c>
      <c r="K744" s="16">
        <v>21.650519477943675</v>
      </c>
      <c r="L744" s="13">
        <v>2.02</v>
      </c>
      <c r="M744" s="13"/>
      <c r="N744" s="17">
        <f t="shared" si="25"/>
        <v>173.72</v>
      </c>
      <c r="O744" s="17">
        <f t="shared" si="25"/>
        <v>0</v>
      </c>
      <c r="P744" s="17">
        <f t="shared" si="24"/>
        <v>173.72</v>
      </c>
      <c r="Q744" t="str">
        <f>A744&amp;"-"&amp;B744&amp;"-"&amp;D744</f>
        <v>FEBRUARI-MJ2-L5</v>
      </c>
    </row>
    <row r="745" spans="1:17" x14ac:dyDescent="0.25">
      <c r="A745" t="s">
        <v>392</v>
      </c>
      <c r="B745" s="13" t="s">
        <v>26</v>
      </c>
      <c r="C745" s="13" t="s">
        <v>226</v>
      </c>
      <c r="D745" s="14" t="s">
        <v>160</v>
      </c>
      <c r="E745" s="13" t="s">
        <v>61</v>
      </c>
      <c r="F745" s="13" t="s">
        <v>349</v>
      </c>
      <c r="G745" s="13">
        <v>0.74</v>
      </c>
      <c r="H745" s="15">
        <v>636</v>
      </c>
      <c r="I745" s="16">
        <v>470.64000000000004</v>
      </c>
      <c r="J745" s="16">
        <v>321.10364329824961</v>
      </c>
      <c r="K745" s="16">
        <v>149.53635670175038</v>
      </c>
      <c r="L745" s="13">
        <v>2.16</v>
      </c>
      <c r="M745" s="13"/>
      <c r="N745" s="17">
        <f t="shared" si="25"/>
        <v>1373.76</v>
      </c>
      <c r="O745" s="17">
        <f t="shared" si="25"/>
        <v>0</v>
      </c>
      <c r="P745" s="17">
        <f t="shared" si="24"/>
        <v>1373.76</v>
      </c>
      <c r="Q745" t="str">
        <f>A745&amp;"-"&amp;B745&amp;"-"&amp;D745</f>
        <v>FEBRUARI-MJ2-L5</v>
      </c>
    </row>
    <row r="746" spans="1:17" x14ac:dyDescent="0.25">
      <c r="A746" t="s">
        <v>392</v>
      </c>
      <c r="B746" s="13" t="s">
        <v>26</v>
      </c>
      <c r="C746" s="13" t="s">
        <v>226</v>
      </c>
      <c r="D746" s="14" t="s">
        <v>160</v>
      </c>
      <c r="E746" s="13" t="s">
        <v>61</v>
      </c>
      <c r="F746" s="13" t="s">
        <v>511</v>
      </c>
      <c r="G746" s="13">
        <v>0.79999999999999993</v>
      </c>
      <c r="H746" s="15">
        <v>5215</v>
      </c>
      <c r="I746" s="16">
        <v>4172.0000000000009</v>
      </c>
      <c r="J746" s="16">
        <v>2733.6215790881251</v>
      </c>
      <c r="K746" s="16">
        <v>1438.3784209118753</v>
      </c>
      <c r="L746" s="13">
        <v>2.16</v>
      </c>
      <c r="M746" s="13"/>
      <c r="N746" s="17">
        <f t="shared" si="25"/>
        <v>11264.400000000001</v>
      </c>
      <c r="O746" s="17">
        <f t="shared" si="25"/>
        <v>0</v>
      </c>
      <c r="P746" s="17">
        <f t="shared" si="24"/>
        <v>11264.400000000001</v>
      </c>
      <c r="Q746" t="str">
        <f>A746&amp;"-"&amp;B746&amp;"-"&amp;D746</f>
        <v>FEBRUARI-MJ2-L5</v>
      </c>
    </row>
    <row r="747" spans="1:17" x14ac:dyDescent="0.25">
      <c r="A747" t="s">
        <v>392</v>
      </c>
      <c r="B747" s="13" t="s">
        <v>26</v>
      </c>
      <c r="C747" s="13" t="s">
        <v>226</v>
      </c>
      <c r="D747" s="14" t="s">
        <v>160</v>
      </c>
      <c r="E747" s="13" t="s">
        <v>61</v>
      </c>
      <c r="F747" s="13" t="s">
        <v>512</v>
      </c>
      <c r="G747" s="13">
        <v>0.72</v>
      </c>
      <c r="H747" s="15">
        <v>1003</v>
      </c>
      <c r="I747" s="16">
        <v>722.16000000000008</v>
      </c>
      <c r="J747" s="16">
        <v>549.33034474781584</v>
      </c>
      <c r="K747" s="16">
        <v>172.82965525218424</v>
      </c>
      <c r="L747" s="13">
        <v>2.31</v>
      </c>
      <c r="M747" s="13"/>
      <c r="N747" s="17">
        <f t="shared" si="25"/>
        <v>2316.9299999999998</v>
      </c>
      <c r="O747" s="17">
        <f t="shared" si="25"/>
        <v>0</v>
      </c>
      <c r="P747" s="17">
        <f t="shared" si="24"/>
        <v>2316.9299999999998</v>
      </c>
      <c r="Q747" t="str">
        <f>A747&amp;"-"&amp;B747&amp;"-"&amp;D747</f>
        <v>FEBRUARI-MJ2-L5</v>
      </c>
    </row>
    <row r="748" spans="1:17" x14ac:dyDescent="0.25">
      <c r="A748" t="s">
        <v>392</v>
      </c>
      <c r="B748" s="13" t="s">
        <v>26</v>
      </c>
      <c r="C748" s="13" t="s">
        <v>226</v>
      </c>
      <c r="D748" s="14" t="s">
        <v>160</v>
      </c>
      <c r="E748" s="13" t="s">
        <v>61</v>
      </c>
      <c r="F748" s="13" t="s">
        <v>355</v>
      </c>
      <c r="G748" s="13">
        <v>0.82</v>
      </c>
      <c r="H748" s="15">
        <v>3</v>
      </c>
      <c r="I748" s="16">
        <v>2.46</v>
      </c>
      <c r="J748" s="16">
        <v>2.3388937664618084</v>
      </c>
      <c r="K748" s="16">
        <v>0.12110623353819161</v>
      </c>
      <c r="L748" s="13">
        <v>2.5499999999999998</v>
      </c>
      <c r="M748" s="13"/>
      <c r="N748" s="17">
        <f t="shared" si="25"/>
        <v>7.6499999999999995</v>
      </c>
      <c r="O748" s="17">
        <f t="shared" si="25"/>
        <v>0</v>
      </c>
      <c r="P748" s="17">
        <f t="shared" si="24"/>
        <v>7.6499999999999995</v>
      </c>
      <c r="Q748" t="str">
        <f>A748&amp;"-"&amp;B748&amp;"-"&amp;D748</f>
        <v>FEBRUARI-MJ2-L5</v>
      </c>
    </row>
    <row r="749" spans="1:17" x14ac:dyDescent="0.25">
      <c r="A749" t="s">
        <v>392</v>
      </c>
      <c r="B749" s="13" t="s">
        <v>26</v>
      </c>
      <c r="C749" s="13" t="s">
        <v>226</v>
      </c>
      <c r="D749" s="14" t="s">
        <v>160</v>
      </c>
      <c r="E749" s="13" t="s">
        <v>61</v>
      </c>
      <c r="F749" s="13" t="s">
        <v>350</v>
      </c>
      <c r="G749" s="13">
        <v>0.76000000000000012</v>
      </c>
      <c r="H749" s="15">
        <v>823</v>
      </c>
      <c r="I749" s="16">
        <v>625.48</v>
      </c>
      <c r="J749" s="16">
        <v>566.20903310263463</v>
      </c>
      <c r="K749" s="16">
        <v>59.270966897365426</v>
      </c>
      <c r="L749" s="13">
        <v>2.02</v>
      </c>
      <c r="M749" s="13"/>
      <c r="N749" s="17">
        <f t="shared" si="25"/>
        <v>1662.46</v>
      </c>
      <c r="O749" s="17">
        <f t="shared" si="25"/>
        <v>0</v>
      </c>
      <c r="P749" s="17">
        <f t="shared" si="24"/>
        <v>1662.46</v>
      </c>
      <c r="Q749" t="str">
        <f>A749&amp;"-"&amp;B749&amp;"-"&amp;D749</f>
        <v>FEBRUARI-MJ2-L5</v>
      </c>
    </row>
    <row r="750" spans="1:17" x14ac:dyDescent="0.25">
      <c r="A750" t="s">
        <v>392</v>
      </c>
      <c r="B750" s="13" t="s">
        <v>26</v>
      </c>
      <c r="C750" s="13" t="s">
        <v>226</v>
      </c>
      <c r="D750" s="14" t="s">
        <v>160</v>
      </c>
      <c r="E750" s="13" t="s">
        <v>61</v>
      </c>
      <c r="F750" s="13" t="s">
        <v>351</v>
      </c>
      <c r="G750" s="13">
        <v>0.74</v>
      </c>
      <c r="H750" s="15">
        <v>223</v>
      </c>
      <c r="I750" s="16">
        <v>165.01999999999998</v>
      </c>
      <c r="J750" s="16">
        <v>151.70646818583657</v>
      </c>
      <c r="K750" s="16">
        <v>13.313531814163408</v>
      </c>
      <c r="L750" s="13">
        <v>2.16</v>
      </c>
      <c r="M750" s="13"/>
      <c r="N750" s="17">
        <f t="shared" si="25"/>
        <v>481.68</v>
      </c>
      <c r="O750" s="17">
        <f t="shared" si="25"/>
        <v>0</v>
      </c>
      <c r="P750" s="17">
        <f t="shared" si="24"/>
        <v>481.68</v>
      </c>
      <c r="Q750" t="str">
        <f>A750&amp;"-"&amp;B750&amp;"-"&amp;D750</f>
        <v>FEBRUARI-MJ2-L5</v>
      </c>
    </row>
    <row r="751" spans="1:17" x14ac:dyDescent="0.25">
      <c r="A751" t="s">
        <v>392</v>
      </c>
      <c r="B751" s="13" t="s">
        <v>26</v>
      </c>
      <c r="C751" s="13" t="s">
        <v>226</v>
      </c>
      <c r="D751" s="14" t="s">
        <v>163</v>
      </c>
      <c r="E751" s="13" t="s">
        <v>61</v>
      </c>
      <c r="F751" s="13" t="s">
        <v>346</v>
      </c>
      <c r="G751" s="13">
        <v>1.99</v>
      </c>
      <c r="H751" s="15">
        <v>2220</v>
      </c>
      <c r="I751" s="16">
        <v>4417.8</v>
      </c>
      <c r="J751" s="16">
        <v>1430.2555458308691</v>
      </c>
      <c r="K751" s="16">
        <v>2987.5444541691309</v>
      </c>
      <c r="L751" s="13">
        <v>3.58</v>
      </c>
      <c r="M751" s="13"/>
      <c r="N751" s="17">
        <f t="shared" si="25"/>
        <v>7947.6</v>
      </c>
      <c r="O751" s="17">
        <f t="shared" si="25"/>
        <v>0</v>
      </c>
      <c r="P751" s="17">
        <f t="shared" si="24"/>
        <v>7947.6</v>
      </c>
      <c r="Q751" t="str">
        <f>A751&amp;"-"&amp;B751&amp;"-"&amp;D751</f>
        <v>FEBRUARI-MJ2-L6</v>
      </c>
    </row>
    <row r="752" spans="1:17" x14ac:dyDescent="0.25">
      <c r="A752" t="s">
        <v>392</v>
      </c>
      <c r="B752" s="13" t="s">
        <v>26</v>
      </c>
      <c r="C752" s="13" t="s">
        <v>226</v>
      </c>
      <c r="D752" s="14" t="s">
        <v>163</v>
      </c>
      <c r="E752" s="13" t="s">
        <v>61</v>
      </c>
      <c r="F752" s="13" t="s">
        <v>352</v>
      </c>
      <c r="G752" s="13">
        <v>0.72</v>
      </c>
      <c r="H752" s="15">
        <v>432</v>
      </c>
      <c r="I752" s="16">
        <v>311.04000000000002</v>
      </c>
      <c r="J752" s="16">
        <v>1128.8708457711443</v>
      </c>
      <c r="K752" s="16">
        <v>-817.83084577114437</v>
      </c>
      <c r="L752" s="13">
        <v>2.31</v>
      </c>
      <c r="M752" s="13"/>
      <c r="N752" s="17">
        <f t="shared" si="25"/>
        <v>997.92000000000007</v>
      </c>
      <c r="O752" s="17">
        <f t="shared" si="25"/>
        <v>0</v>
      </c>
      <c r="P752" s="17">
        <f t="shared" si="24"/>
        <v>997.92000000000007</v>
      </c>
      <c r="Q752" t="str">
        <f>A752&amp;"-"&amp;B752&amp;"-"&amp;D752</f>
        <v>FEBRUARI-MJ2-L6</v>
      </c>
    </row>
    <row r="753" spans="1:17" x14ac:dyDescent="0.25">
      <c r="A753" t="s">
        <v>392</v>
      </c>
      <c r="B753" s="13" t="s">
        <v>26</v>
      </c>
      <c r="C753" s="13" t="s">
        <v>226</v>
      </c>
      <c r="D753" s="14" t="s">
        <v>163</v>
      </c>
      <c r="E753" s="13" t="s">
        <v>61</v>
      </c>
      <c r="F753" s="13" t="s">
        <v>507</v>
      </c>
      <c r="G753" s="13">
        <v>0.79</v>
      </c>
      <c r="H753" s="15">
        <v>6725</v>
      </c>
      <c r="I753" s="16">
        <v>5312.7500000000009</v>
      </c>
      <c r="J753" s="16">
        <v>3603.8240998433976</v>
      </c>
      <c r="K753" s="16">
        <v>1708.9259001566027</v>
      </c>
      <c r="L753" s="13">
        <v>2.15</v>
      </c>
      <c r="M753" s="13"/>
      <c r="N753" s="17">
        <f t="shared" si="25"/>
        <v>14458.75</v>
      </c>
      <c r="O753" s="17">
        <f t="shared" si="25"/>
        <v>0</v>
      </c>
      <c r="P753" s="17">
        <f t="shared" si="24"/>
        <v>14458.75</v>
      </c>
      <c r="Q753" t="str">
        <f>A753&amp;"-"&amp;B753&amp;"-"&amp;D753</f>
        <v>FEBRUARI-MJ2-L6</v>
      </c>
    </row>
    <row r="754" spans="1:17" x14ac:dyDescent="0.25">
      <c r="A754" t="s">
        <v>392</v>
      </c>
      <c r="B754" s="13" t="s">
        <v>26</v>
      </c>
      <c r="C754" s="13" t="s">
        <v>226</v>
      </c>
      <c r="D754" s="14" t="s">
        <v>163</v>
      </c>
      <c r="E754" s="13" t="s">
        <v>61</v>
      </c>
      <c r="F754" s="13" t="s">
        <v>353</v>
      </c>
      <c r="G754" s="13">
        <v>0.79</v>
      </c>
      <c r="H754" s="15">
        <v>2003</v>
      </c>
      <c r="I754" s="16">
        <v>1582.3700000000001</v>
      </c>
      <c r="J754" s="16">
        <v>1125.2014616003532</v>
      </c>
      <c r="K754" s="16">
        <v>457.16853839964654</v>
      </c>
      <c r="L754" s="13">
        <v>2.15</v>
      </c>
      <c r="M754" s="13"/>
      <c r="N754" s="17">
        <f t="shared" si="25"/>
        <v>4306.45</v>
      </c>
      <c r="O754" s="17">
        <f t="shared" si="25"/>
        <v>0</v>
      </c>
      <c r="P754" s="17">
        <f t="shared" si="24"/>
        <v>4306.45</v>
      </c>
      <c r="Q754" t="str">
        <f>A754&amp;"-"&amp;B754&amp;"-"&amp;D754</f>
        <v>FEBRUARI-MJ2-L6</v>
      </c>
    </row>
    <row r="755" spans="1:17" x14ac:dyDescent="0.25">
      <c r="A755" t="s">
        <v>392</v>
      </c>
      <c r="B755" s="13" t="s">
        <v>26</v>
      </c>
      <c r="C755" s="13" t="s">
        <v>226</v>
      </c>
      <c r="D755" s="14" t="s">
        <v>163</v>
      </c>
      <c r="E755" s="13" t="s">
        <v>61</v>
      </c>
      <c r="F755" s="13" t="s">
        <v>508</v>
      </c>
      <c r="G755" s="13">
        <v>0.72</v>
      </c>
      <c r="H755" s="15">
        <v>635</v>
      </c>
      <c r="I755" s="16">
        <v>457.2</v>
      </c>
      <c r="J755" s="16">
        <v>343.74307558078215</v>
      </c>
      <c r="K755" s="16">
        <v>113.45692441921784</v>
      </c>
      <c r="L755" s="13">
        <v>2.31</v>
      </c>
      <c r="M755" s="13"/>
      <c r="N755" s="17">
        <f t="shared" si="25"/>
        <v>1466.8500000000001</v>
      </c>
      <c r="O755" s="17">
        <f t="shared" si="25"/>
        <v>0</v>
      </c>
      <c r="P755" s="17">
        <f t="shared" si="24"/>
        <v>1466.8500000000001</v>
      </c>
      <c r="Q755" t="str">
        <f>A755&amp;"-"&amp;B755&amp;"-"&amp;D755</f>
        <v>FEBRUARI-MJ2-L6</v>
      </c>
    </row>
    <row r="756" spans="1:17" x14ac:dyDescent="0.25">
      <c r="A756" t="s">
        <v>392</v>
      </c>
      <c r="B756" s="13" t="s">
        <v>26</v>
      </c>
      <c r="C756" s="13" t="s">
        <v>226</v>
      </c>
      <c r="D756" s="14" t="s">
        <v>163</v>
      </c>
      <c r="E756" s="13" t="s">
        <v>61</v>
      </c>
      <c r="F756" s="13" t="s">
        <v>356</v>
      </c>
      <c r="G756" s="13">
        <v>0.72000000000000008</v>
      </c>
      <c r="H756" s="15">
        <v>455</v>
      </c>
      <c r="I756" s="16">
        <v>327.60000000000002</v>
      </c>
      <c r="J756" s="16">
        <v>240.91693866563102</v>
      </c>
      <c r="K756" s="16">
        <v>86.683061334369</v>
      </c>
      <c r="L756" s="13">
        <v>2.31</v>
      </c>
      <c r="M756" s="13"/>
      <c r="N756" s="17">
        <f t="shared" si="25"/>
        <v>1051.05</v>
      </c>
      <c r="O756" s="17">
        <f t="shared" si="25"/>
        <v>0</v>
      </c>
      <c r="P756" s="17">
        <f t="shared" si="24"/>
        <v>1051.05</v>
      </c>
      <c r="Q756" t="str">
        <f>A756&amp;"-"&amp;B756&amp;"-"&amp;D756</f>
        <v>FEBRUARI-MJ2-L6</v>
      </c>
    </row>
    <row r="757" spans="1:17" x14ac:dyDescent="0.25">
      <c r="A757" t="s">
        <v>392</v>
      </c>
      <c r="B757" s="13" t="s">
        <v>26</v>
      </c>
      <c r="C757" s="13" t="s">
        <v>226</v>
      </c>
      <c r="D757" s="14" t="s">
        <v>163</v>
      </c>
      <c r="E757" s="13" t="s">
        <v>61</v>
      </c>
      <c r="F757" s="13" t="s">
        <v>347</v>
      </c>
      <c r="G757" s="13">
        <v>0.79</v>
      </c>
      <c r="H757" s="15">
        <v>2522</v>
      </c>
      <c r="I757" s="16">
        <v>1992.38</v>
      </c>
      <c r="J757" s="16">
        <v>1325.1277134394206</v>
      </c>
      <c r="K757" s="16">
        <v>667.25228656057936</v>
      </c>
      <c r="L757" s="13">
        <v>2.15</v>
      </c>
      <c r="M757" s="13"/>
      <c r="N757" s="17">
        <f t="shared" si="25"/>
        <v>5422.3</v>
      </c>
      <c r="O757" s="17">
        <f t="shared" si="25"/>
        <v>0</v>
      </c>
      <c r="P757" s="17">
        <f t="shared" si="24"/>
        <v>5422.3</v>
      </c>
      <c r="Q757" t="str">
        <f>A757&amp;"-"&amp;B757&amp;"-"&amp;D757</f>
        <v>FEBRUARI-MJ2-L6</v>
      </c>
    </row>
    <row r="758" spans="1:17" x14ac:dyDescent="0.25">
      <c r="A758" t="s">
        <v>392</v>
      </c>
      <c r="B758" s="13" t="s">
        <v>26</v>
      </c>
      <c r="C758" s="13" t="s">
        <v>226</v>
      </c>
      <c r="D758" s="14" t="s">
        <v>163</v>
      </c>
      <c r="E758" s="13" t="s">
        <v>61</v>
      </c>
      <c r="F758" s="13" t="s">
        <v>357</v>
      </c>
      <c r="G758" s="13">
        <v>0.72000000000000008</v>
      </c>
      <c r="H758" s="15">
        <v>1152</v>
      </c>
      <c r="I758" s="16">
        <v>829.44</v>
      </c>
      <c r="J758" s="16">
        <v>608.56591830908872</v>
      </c>
      <c r="K758" s="16">
        <v>220.87408169091125</v>
      </c>
      <c r="L758" s="13">
        <v>2.31</v>
      </c>
      <c r="M758" s="13"/>
      <c r="N758" s="17">
        <f t="shared" si="25"/>
        <v>2661.12</v>
      </c>
      <c r="O758" s="17">
        <f t="shared" si="25"/>
        <v>0</v>
      </c>
      <c r="P758" s="17">
        <f t="shared" si="24"/>
        <v>2661.12</v>
      </c>
      <c r="Q758" t="str">
        <f>A758&amp;"-"&amp;B758&amp;"-"&amp;D758</f>
        <v>FEBRUARI-MJ2-L6</v>
      </c>
    </row>
    <row r="759" spans="1:17" x14ac:dyDescent="0.25">
      <c r="A759" t="s">
        <v>392</v>
      </c>
      <c r="B759" s="13" t="s">
        <v>26</v>
      </c>
      <c r="C759" s="13" t="s">
        <v>226</v>
      </c>
      <c r="D759" s="14" t="s">
        <v>163</v>
      </c>
      <c r="E759" s="13" t="s">
        <v>61</v>
      </c>
      <c r="F759" s="13" t="s">
        <v>509</v>
      </c>
      <c r="G759" s="13">
        <v>0.79999999999999993</v>
      </c>
      <c r="H759" s="15">
        <v>7036</v>
      </c>
      <c r="I759" s="16">
        <v>5628.8</v>
      </c>
      <c r="J759" s="16">
        <v>3649.4942297305452</v>
      </c>
      <c r="K759" s="16">
        <v>1979.305770269455</v>
      </c>
      <c r="L759" s="13">
        <v>2.16</v>
      </c>
      <c r="M759" s="13"/>
      <c r="N759" s="17">
        <f t="shared" si="25"/>
        <v>15197.76</v>
      </c>
      <c r="O759" s="17">
        <f t="shared" si="25"/>
        <v>0</v>
      </c>
      <c r="P759" s="17">
        <f t="shared" si="24"/>
        <v>15197.76</v>
      </c>
      <c r="Q759" t="str">
        <f>A759&amp;"-"&amp;B759&amp;"-"&amp;D759</f>
        <v>FEBRUARI-MJ2-L6</v>
      </c>
    </row>
    <row r="760" spans="1:17" x14ac:dyDescent="0.25">
      <c r="A760" t="s">
        <v>392</v>
      </c>
      <c r="B760" s="13" t="s">
        <v>26</v>
      </c>
      <c r="C760" s="13" t="s">
        <v>226</v>
      </c>
      <c r="D760" s="14" t="s">
        <v>163</v>
      </c>
      <c r="E760" s="13" t="s">
        <v>61</v>
      </c>
      <c r="F760" s="13" t="s">
        <v>510</v>
      </c>
      <c r="G760" s="13">
        <v>0.72</v>
      </c>
      <c r="H760" s="15">
        <v>30</v>
      </c>
      <c r="I760" s="16">
        <v>21.6</v>
      </c>
      <c r="J760" s="16">
        <v>14.621295279912184</v>
      </c>
      <c r="K760" s="16">
        <v>6.9787047200878174</v>
      </c>
      <c r="L760" s="13">
        <v>2.31</v>
      </c>
      <c r="M760" s="13"/>
      <c r="N760" s="17">
        <f t="shared" si="25"/>
        <v>69.3</v>
      </c>
      <c r="O760" s="17">
        <f t="shared" si="25"/>
        <v>0</v>
      </c>
      <c r="P760" s="17">
        <f t="shared" si="24"/>
        <v>69.3</v>
      </c>
      <c r="Q760" t="str">
        <f>A760&amp;"-"&amp;B760&amp;"-"&amp;D760</f>
        <v>FEBRUARI-MJ2-L6</v>
      </c>
    </row>
    <row r="761" spans="1:17" x14ac:dyDescent="0.25">
      <c r="A761" t="s">
        <v>392</v>
      </c>
      <c r="B761" s="13" t="s">
        <v>26</v>
      </c>
      <c r="C761" s="13" t="s">
        <v>226</v>
      </c>
      <c r="D761" s="14" t="s">
        <v>163</v>
      </c>
      <c r="E761" s="13" t="s">
        <v>61</v>
      </c>
      <c r="F761" s="13" t="s">
        <v>511</v>
      </c>
      <c r="G761" s="13">
        <v>0.79999999999999993</v>
      </c>
      <c r="H761" s="15">
        <v>4597</v>
      </c>
      <c r="I761" s="16">
        <v>3677.6</v>
      </c>
      <c r="J761" s="16">
        <v>2406.0466424089013</v>
      </c>
      <c r="K761" s="16">
        <v>1271.5533575910988</v>
      </c>
      <c r="L761" s="13">
        <v>2.16</v>
      </c>
      <c r="M761" s="13"/>
      <c r="N761" s="17">
        <f t="shared" si="25"/>
        <v>9929.52</v>
      </c>
      <c r="O761" s="17">
        <f t="shared" si="25"/>
        <v>0</v>
      </c>
      <c r="P761" s="17">
        <f t="shared" si="24"/>
        <v>9929.52</v>
      </c>
      <c r="Q761" t="str">
        <f>A761&amp;"-"&amp;B761&amp;"-"&amp;D761</f>
        <v>FEBRUARI-MJ2-L6</v>
      </c>
    </row>
    <row r="762" spans="1:17" x14ac:dyDescent="0.25">
      <c r="A762" t="s">
        <v>392</v>
      </c>
      <c r="B762" s="13" t="s">
        <v>26</v>
      </c>
      <c r="C762" s="13" t="s">
        <v>226</v>
      </c>
      <c r="D762" s="14" t="s">
        <v>163</v>
      </c>
      <c r="E762" s="13" t="s">
        <v>61</v>
      </c>
      <c r="F762" s="13" t="s">
        <v>512</v>
      </c>
      <c r="G762" s="13">
        <v>0.72</v>
      </c>
      <c r="H762" s="15">
        <v>202</v>
      </c>
      <c r="I762" s="16">
        <v>145.44</v>
      </c>
      <c r="J762" s="16">
        <v>107.33223353995409</v>
      </c>
      <c r="K762" s="16">
        <v>38.107766460045916</v>
      </c>
      <c r="L762" s="13">
        <v>2.31</v>
      </c>
      <c r="M762" s="13"/>
      <c r="N762" s="17">
        <f t="shared" si="25"/>
        <v>466.62</v>
      </c>
      <c r="O762" s="17">
        <f t="shared" si="25"/>
        <v>0</v>
      </c>
      <c r="P762" s="17">
        <f t="shared" si="24"/>
        <v>466.62</v>
      </c>
      <c r="Q762" t="str">
        <f>A762&amp;"-"&amp;B762&amp;"-"&amp;D762</f>
        <v>FEBRUARI-MJ2-L6</v>
      </c>
    </row>
    <row r="763" spans="1:17" x14ac:dyDescent="0.25">
      <c r="A763" t="s">
        <v>392</v>
      </c>
      <c r="B763" s="13" t="s">
        <v>26</v>
      </c>
      <c r="C763" s="13" t="s">
        <v>226</v>
      </c>
      <c r="D763" s="14" t="s">
        <v>163</v>
      </c>
      <c r="E763" s="13" t="s">
        <v>61</v>
      </c>
      <c r="F763" s="13" t="s">
        <v>350</v>
      </c>
      <c r="G763" s="13">
        <v>0.76</v>
      </c>
      <c r="H763" s="15">
        <v>2347</v>
      </c>
      <c r="I763" s="16">
        <v>1783.72</v>
      </c>
      <c r="J763" s="16">
        <v>1776</v>
      </c>
      <c r="K763" s="16">
        <v>7.7200000000000273</v>
      </c>
      <c r="L763" s="13">
        <v>2.02</v>
      </c>
      <c r="M763" s="13"/>
      <c r="N763" s="17">
        <f t="shared" si="25"/>
        <v>4740.9399999999996</v>
      </c>
      <c r="O763" s="17">
        <f t="shared" si="25"/>
        <v>0</v>
      </c>
      <c r="P763" s="17">
        <f t="shared" si="24"/>
        <v>4740.9399999999996</v>
      </c>
      <c r="Q763" t="str">
        <f>A763&amp;"-"&amp;B763&amp;"-"&amp;D763</f>
        <v>FEBRUARI-MJ2-L6</v>
      </c>
    </row>
    <row r="764" spans="1:17" x14ac:dyDescent="0.25">
      <c r="A764" t="s">
        <v>392</v>
      </c>
      <c r="B764" s="13" t="s">
        <v>26</v>
      </c>
      <c r="C764" s="13" t="s">
        <v>226</v>
      </c>
      <c r="D764" s="14" t="s">
        <v>164</v>
      </c>
      <c r="E764" s="13" t="s">
        <v>61</v>
      </c>
      <c r="F764" s="13" t="s">
        <v>346</v>
      </c>
      <c r="G764" s="13">
        <v>1.99</v>
      </c>
      <c r="H764" s="15">
        <v>1743</v>
      </c>
      <c r="I764" s="16">
        <v>3468.57</v>
      </c>
      <c r="J764" s="16">
        <v>1174.4899240705211</v>
      </c>
      <c r="K764" s="16">
        <v>2294.0800759294793</v>
      </c>
      <c r="L764" s="13">
        <v>3.58</v>
      </c>
      <c r="M764" s="13"/>
      <c r="N764" s="17">
        <f t="shared" si="25"/>
        <v>6239.9400000000005</v>
      </c>
      <c r="O764" s="17">
        <f t="shared" si="25"/>
        <v>0</v>
      </c>
      <c r="P764" s="17">
        <f t="shared" si="24"/>
        <v>6239.9400000000005</v>
      </c>
      <c r="Q764" t="str">
        <f>A764&amp;"-"&amp;B764&amp;"-"&amp;D764</f>
        <v>FEBRUARI-MJ2-L7</v>
      </c>
    </row>
    <row r="765" spans="1:17" x14ac:dyDescent="0.25">
      <c r="A765" t="s">
        <v>392</v>
      </c>
      <c r="B765" s="13" t="s">
        <v>26</v>
      </c>
      <c r="C765" s="13" t="s">
        <v>226</v>
      </c>
      <c r="D765" s="14" t="s">
        <v>164</v>
      </c>
      <c r="E765" s="13" t="s">
        <v>61</v>
      </c>
      <c r="F765" s="13" t="s">
        <v>352</v>
      </c>
      <c r="G765" s="13">
        <v>0.72</v>
      </c>
      <c r="H765" s="15">
        <v>1113</v>
      </c>
      <c r="I765" s="16">
        <v>801.36</v>
      </c>
      <c r="J765" s="16">
        <v>584.6551200835363</v>
      </c>
      <c r="K765" s="16">
        <v>216.70487991646368</v>
      </c>
      <c r="L765" s="13">
        <v>2.31</v>
      </c>
      <c r="M765" s="13"/>
      <c r="N765" s="17">
        <f t="shared" si="25"/>
        <v>2571.0300000000002</v>
      </c>
      <c r="O765" s="17">
        <f t="shared" si="25"/>
        <v>0</v>
      </c>
      <c r="P765" s="17">
        <f t="shared" si="24"/>
        <v>2571.0300000000002</v>
      </c>
      <c r="Q765" t="str">
        <f>A765&amp;"-"&amp;B765&amp;"-"&amp;D765</f>
        <v>FEBRUARI-MJ2-L7</v>
      </c>
    </row>
    <row r="766" spans="1:17" x14ac:dyDescent="0.25">
      <c r="A766" t="s">
        <v>392</v>
      </c>
      <c r="B766" s="13" t="s">
        <v>26</v>
      </c>
      <c r="C766" s="13" t="s">
        <v>226</v>
      </c>
      <c r="D766" s="14" t="s">
        <v>164</v>
      </c>
      <c r="E766" s="13" t="s">
        <v>61</v>
      </c>
      <c r="F766" s="13" t="s">
        <v>507</v>
      </c>
      <c r="G766" s="13">
        <v>0.79</v>
      </c>
      <c r="H766" s="15">
        <v>3251</v>
      </c>
      <c r="I766" s="16">
        <v>2568.29</v>
      </c>
      <c r="J766" s="16">
        <v>1689.5536305953997</v>
      </c>
      <c r="K766" s="16">
        <v>878.73636940460028</v>
      </c>
      <c r="L766" s="13">
        <v>2.15</v>
      </c>
      <c r="M766" s="13"/>
      <c r="N766" s="17">
        <f t="shared" si="25"/>
        <v>6989.65</v>
      </c>
      <c r="O766" s="17">
        <f t="shared" si="25"/>
        <v>0</v>
      </c>
      <c r="P766" s="17">
        <f t="shared" si="24"/>
        <v>6989.65</v>
      </c>
      <c r="Q766" t="str">
        <f>A766&amp;"-"&amp;B766&amp;"-"&amp;D766</f>
        <v>FEBRUARI-MJ2-L7</v>
      </c>
    </row>
    <row r="767" spans="1:17" x14ac:dyDescent="0.25">
      <c r="A767" t="s">
        <v>392</v>
      </c>
      <c r="B767" s="13" t="s">
        <v>26</v>
      </c>
      <c r="C767" s="13" t="s">
        <v>226</v>
      </c>
      <c r="D767" s="14" t="s">
        <v>164</v>
      </c>
      <c r="E767" s="13" t="s">
        <v>61</v>
      </c>
      <c r="F767" s="13" t="s">
        <v>353</v>
      </c>
      <c r="G767" s="13">
        <v>0.79</v>
      </c>
      <c r="H767" s="15">
        <v>2736</v>
      </c>
      <c r="I767" s="16">
        <v>2161.44</v>
      </c>
      <c r="J767" s="16">
        <v>2198.7119191919192</v>
      </c>
      <c r="K767" s="16">
        <v>-37.271919191919039</v>
      </c>
      <c r="L767" s="13">
        <v>2.15</v>
      </c>
      <c r="M767" s="13"/>
      <c r="N767" s="17">
        <f t="shared" si="25"/>
        <v>5882.4</v>
      </c>
      <c r="O767" s="17">
        <f t="shared" si="25"/>
        <v>0</v>
      </c>
      <c r="P767" s="17">
        <f t="shared" si="24"/>
        <v>5882.4</v>
      </c>
      <c r="Q767" t="str">
        <f>A767&amp;"-"&amp;B767&amp;"-"&amp;D767</f>
        <v>FEBRUARI-MJ2-L7</v>
      </c>
    </row>
    <row r="768" spans="1:17" x14ac:dyDescent="0.25">
      <c r="A768" t="s">
        <v>392</v>
      </c>
      <c r="B768" s="13" t="s">
        <v>26</v>
      </c>
      <c r="C768" s="13" t="s">
        <v>226</v>
      </c>
      <c r="D768" s="14" t="s">
        <v>164</v>
      </c>
      <c r="E768" s="13" t="s">
        <v>61</v>
      </c>
      <c r="F768" s="13" t="s">
        <v>508</v>
      </c>
      <c r="G768" s="13">
        <v>0.72000000000000008</v>
      </c>
      <c r="H768" s="15">
        <v>1609</v>
      </c>
      <c r="I768" s="16">
        <v>1158.48</v>
      </c>
      <c r="J768" s="16">
        <v>883.90618878902626</v>
      </c>
      <c r="K768" s="16">
        <v>274.57381121097376</v>
      </c>
      <c r="L768" s="13">
        <v>2.31</v>
      </c>
      <c r="M768" s="13"/>
      <c r="N768" s="17">
        <f t="shared" si="25"/>
        <v>3716.79</v>
      </c>
      <c r="O768" s="17">
        <f t="shared" si="25"/>
        <v>0</v>
      </c>
      <c r="P768" s="17">
        <f t="shared" si="24"/>
        <v>3716.79</v>
      </c>
      <c r="Q768" t="str">
        <f>A768&amp;"-"&amp;B768&amp;"-"&amp;D768</f>
        <v>FEBRUARI-MJ2-L7</v>
      </c>
    </row>
    <row r="769" spans="1:17" x14ac:dyDescent="0.25">
      <c r="A769" t="s">
        <v>392</v>
      </c>
      <c r="B769" s="13" t="s">
        <v>26</v>
      </c>
      <c r="C769" s="13" t="s">
        <v>226</v>
      </c>
      <c r="D769" s="14" t="s">
        <v>164</v>
      </c>
      <c r="E769" s="13" t="s">
        <v>61</v>
      </c>
      <c r="F769" s="13" t="s">
        <v>356</v>
      </c>
      <c r="G769" s="13">
        <v>0.72</v>
      </c>
      <c r="H769" s="15">
        <v>241</v>
      </c>
      <c r="I769" s="16">
        <v>173.51999999999998</v>
      </c>
      <c r="J769" s="16">
        <v>355.4198455139632</v>
      </c>
      <c r="K769" s="16">
        <v>-181.89984551396319</v>
      </c>
      <c r="L769" s="13">
        <v>2.31</v>
      </c>
      <c r="M769" s="13"/>
      <c r="N769" s="17">
        <f t="shared" si="25"/>
        <v>556.71</v>
      </c>
      <c r="O769" s="17">
        <f t="shared" si="25"/>
        <v>0</v>
      </c>
      <c r="P769" s="17">
        <f t="shared" si="24"/>
        <v>556.71</v>
      </c>
      <c r="Q769" t="str">
        <f>A769&amp;"-"&amp;B769&amp;"-"&amp;D769</f>
        <v>FEBRUARI-MJ2-L7</v>
      </c>
    </row>
    <row r="770" spans="1:17" x14ac:dyDescent="0.25">
      <c r="A770" t="s">
        <v>392</v>
      </c>
      <c r="B770" s="13" t="s">
        <v>26</v>
      </c>
      <c r="C770" s="13" t="s">
        <v>226</v>
      </c>
      <c r="D770" s="14" t="s">
        <v>164</v>
      </c>
      <c r="E770" s="13" t="s">
        <v>61</v>
      </c>
      <c r="F770" s="13" t="s">
        <v>347</v>
      </c>
      <c r="G770" s="13">
        <v>0.79</v>
      </c>
      <c r="H770" s="15">
        <v>3038</v>
      </c>
      <c r="I770" s="16">
        <v>2400.0199999999995</v>
      </c>
      <c r="J770" s="16">
        <v>1714.5962326648696</v>
      </c>
      <c r="K770" s="16">
        <v>685.42376733513026</v>
      </c>
      <c r="L770" s="13">
        <v>2.15</v>
      </c>
      <c r="M770" s="13"/>
      <c r="N770" s="17">
        <f t="shared" si="25"/>
        <v>6531.7</v>
      </c>
      <c r="O770" s="17">
        <f t="shared" si="25"/>
        <v>0</v>
      </c>
      <c r="P770" s="17">
        <f t="shared" ref="P770:P833" si="26">N770+O770</f>
        <v>6531.7</v>
      </c>
      <c r="Q770" t="str">
        <f>A770&amp;"-"&amp;B770&amp;"-"&amp;D770</f>
        <v>FEBRUARI-MJ2-L7</v>
      </c>
    </row>
    <row r="771" spans="1:17" x14ac:dyDescent="0.25">
      <c r="A771" t="s">
        <v>392</v>
      </c>
      <c r="B771" s="13" t="s">
        <v>26</v>
      </c>
      <c r="C771" s="13" t="s">
        <v>226</v>
      </c>
      <c r="D771" s="14" t="s">
        <v>164</v>
      </c>
      <c r="E771" s="13" t="s">
        <v>61</v>
      </c>
      <c r="F771" s="13" t="s">
        <v>357</v>
      </c>
      <c r="G771" s="13">
        <v>0.72000000000000008</v>
      </c>
      <c r="H771" s="15">
        <v>303</v>
      </c>
      <c r="I771" s="16">
        <v>218.16</v>
      </c>
      <c r="J771" s="16">
        <v>161.01249654492432</v>
      </c>
      <c r="K771" s="16">
        <v>57.1475034550757</v>
      </c>
      <c r="L771" s="13">
        <v>2.31</v>
      </c>
      <c r="M771" s="13"/>
      <c r="N771" s="17">
        <f t="shared" si="25"/>
        <v>699.93000000000006</v>
      </c>
      <c r="O771" s="17">
        <f t="shared" si="25"/>
        <v>0</v>
      </c>
      <c r="P771" s="17">
        <f t="shared" si="26"/>
        <v>699.93000000000006</v>
      </c>
      <c r="Q771" t="str">
        <f>A771&amp;"-"&amp;B771&amp;"-"&amp;D771</f>
        <v>FEBRUARI-MJ2-L7</v>
      </c>
    </row>
    <row r="772" spans="1:17" x14ac:dyDescent="0.25">
      <c r="A772" t="s">
        <v>392</v>
      </c>
      <c r="B772" s="13" t="s">
        <v>26</v>
      </c>
      <c r="C772" s="13" t="s">
        <v>226</v>
      </c>
      <c r="D772" s="14" t="s">
        <v>164</v>
      </c>
      <c r="E772" s="13" t="s">
        <v>61</v>
      </c>
      <c r="F772" s="13" t="s">
        <v>509</v>
      </c>
      <c r="G772" s="13">
        <v>0.79999999999999993</v>
      </c>
      <c r="H772" s="15">
        <v>6244</v>
      </c>
      <c r="I772" s="16">
        <v>4995.2</v>
      </c>
      <c r="J772" s="16">
        <v>3219.017399934371</v>
      </c>
      <c r="K772" s="16">
        <v>1776.1826000656285</v>
      </c>
      <c r="L772" s="13">
        <v>2.16</v>
      </c>
      <c r="M772" s="13"/>
      <c r="N772" s="17">
        <f t="shared" si="25"/>
        <v>13487.04</v>
      </c>
      <c r="O772" s="17">
        <f t="shared" si="25"/>
        <v>0</v>
      </c>
      <c r="P772" s="17">
        <f t="shared" si="26"/>
        <v>13487.04</v>
      </c>
      <c r="Q772" t="str">
        <f>A772&amp;"-"&amp;B772&amp;"-"&amp;D772</f>
        <v>FEBRUARI-MJ2-L7</v>
      </c>
    </row>
    <row r="773" spans="1:17" x14ac:dyDescent="0.25">
      <c r="A773" t="s">
        <v>392</v>
      </c>
      <c r="B773" s="13" t="s">
        <v>26</v>
      </c>
      <c r="C773" s="13" t="s">
        <v>226</v>
      </c>
      <c r="D773" s="14" t="s">
        <v>164</v>
      </c>
      <c r="E773" s="13" t="s">
        <v>61</v>
      </c>
      <c r="F773" s="13" t="s">
        <v>510</v>
      </c>
      <c r="G773" s="13">
        <v>0.72</v>
      </c>
      <c r="H773" s="15">
        <v>1545</v>
      </c>
      <c r="I773" s="16">
        <v>1112.4000000000001</v>
      </c>
      <c r="J773" s="16">
        <v>813.81399391240825</v>
      </c>
      <c r="K773" s="16">
        <v>298.58600608759178</v>
      </c>
      <c r="L773" s="13">
        <v>2.31</v>
      </c>
      <c r="M773" s="13"/>
      <c r="N773" s="17">
        <f t="shared" si="25"/>
        <v>3568.9500000000003</v>
      </c>
      <c r="O773" s="17">
        <f t="shared" si="25"/>
        <v>0</v>
      </c>
      <c r="P773" s="17">
        <f t="shared" si="26"/>
        <v>3568.9500000000003</v>
      </c>
      <c r="Q773" t="str">
        <f>A773&amp;"-"&amp;B773&amp;"-"&amp;D773</f>
        <v>FEBRUARI-MJ2-L7</v>
      </c>
    </row>
    <row r="774" spans="1:17" x14ac:dyDescent="0.25">
      <c r="A774" t="s">
        <v>392</v>
      </c>
      <c r="B774" s="13" t="s">
        <v>26</v>
      </c>
      <c r="C774" s="13" t="s">
        <v>226</v>
      </c>
      <c r="D774" s="14" t="s">
        <v>164</v>
      </c>
      <c r="E774" s="13" t="s">
        <v>61</v>
      </c>
      <c r="F774" s="13" t="s">
        <v>511</v>
      </c>
      <c r="G774" s="13">
        <v>0.8</v>
      </c>
      <c r="H774" s="15">
        <v>5230</v>
      </c>
      <c r="I774" s="16">
        <v>4184</v>
      </c>
      <c r="J774" s="16">
        <v>2709.0211231263143</v>
      </c>
      <c r="K774" s="16">
        <v>1474.9788768736857</v>
      </c>
      <c r="L774" s="13">
        <v>2.16</v>
      </c>
      <c r="M774" s="13"/>
      <c r="N774" s="17">
        <f t="shared" si="25"/>
        <v>11296.800000000001</v>
      </c>
      <c r="O774" s="17">
        <f t="shared" si="25"/>
        <v>0</v>
      </c>
      <c r="P774" s="17">
        <f t="shared" si="26"/>
        <v>11296.800000000001</v>
      </c>
      <c r="Q774" t="str">
        <f>A774&amp;"-"&amp;B774&amp;"-"&amp;D774</f>
        <v>FEBRUARI-MJ2-L7</v>
      </c>
    </row>
    <row r="775" spans="1:17" x14ac:dyDescent="0.25">
      <c r="A775" t="s">
        <v>392</v>
      </c>
      <c r="B775" s="13" t="s">
        <v>26</v>
      </c>
      <c r="C775" s="13" t="s">
        <v>226</v>
      </c>
      <c r="D775" s="14" t="s">
        <v>164</v>
      </c>
      <c r="E775" s="13" t="s">
        <v>61</v>
      </c>
      <c r="F775" s="13" t="s">
        <v>512</v>
      </c>
      <c r="G775" s="13">
        <v>0.72</v>
      </c>
      <c r="H775" s="15">
        <v>2270</v>
      </c>
      <c r="I775" s="16">
        <v>1634.4</v>
      </c>
      <c r="J775" s="16">
        <v>1207.7461870021614</v>
      </c>
      <c r="K775" s="16">
        <v>426.65381299783883</v>
      </c>
      <c r="L775" s="13">
        <v>2.31</v>
      </c>
      <c r="M775" s="13"/>
      <c r="N775" s="17">
        <f t="shared" si="25"/>
        <v>5243.7</v>
      </c>
      <c r="O775" s="17">
        <f t="shared" si="25"/>
        <v>0</v>
      </c>
      <c r="P775" s="17">
        <f t="shared" si="26"/>
        <v>5243.7</v>
      </c>
      <c r="Q775" t="str">
        <f>A775&amp;"-"&amp;B775&amp;"-"&amp;D775</f>
        <v>FEBRUARI-MJ2-L7</v>
      </c>
    </row>
    <row r="776" spans="1:17" x14ac:dyDescent="0.25">
      <c r="A776" t="s">
        <v>392</v>
      </c>
      <c r="B776" s="13" t="s">
        <v>26</v>
      </c>
      <c r="C776" s="13" t="s">
        <v>226</v>
      </c>
      <c r="D776" s="14" t="s">
        <v>164</v>
      </c>
      <c r="E776" s="13" t="s">
        <v>61</v>
      </c>
      <c r="F776" s="13" t="s">
        <v>355</v>
      </c>
      <c r="G776" s="13">
        <v>0.82</v>
      </c>
      <c r="H776" s="15">
        <v>190</v>
      </c>
      <c r="I776" s="16">
        <v>155.80000000000001</v>
      </c>
      <c r="J776" s="16">
        <v>112.48</v>
      </c>
      <c r="K776" s="16">
        <v>43.320000000000007</v>
      </c>
      <c r="L776" s="13">
        <v>2.5499999999999998</v>
      </c>
      <c r="M776" s="13"/>
      <c r="N776" s="17">
        <f t="shared" si="25"/>
        <v>484.49999999999994</v>
      </c>
      <c r="O776" s="17">
        <f t="shared" si="25"/>
        <v>0</v>
      </c>
      <c r="P776" s="17">
        <f t="shared" si="26"/>
        <v>484.49999999999994</v>
      </c>
      <c r="Q776" t="str">
        <f>A776&amp;"-"&amp;B776&amp;"-"&amp;D776</f>
        <v>FEBRUARI-MJ2-L7</v>
      </c>
    </row>
    <row r="777" spans="1:17" x14ac:dyDescent="0.25">
      <c r="A777" t="s">
        <v>392</v>
      </c>
      <c r="B777" s="13" t="s">
        <v>26</v>
      </c>
      <c r="C777" s="13" t="s">
        <v>226</v>
      </c>
      <c r="D777" s="14" t="s">
        <v>164</v>
      </c>
      <c r="E777" s="13" t="s">
        <v>61</v>
      </c>
      <c r="F777" s="13" t="s">
        <v>504</v>
      </c>
      <c r="G777" s="13">
        <v>0.76</v>
      </c>
      <c r="H777" s="15">
        <v>45</v>
      </c>
      <c r="I777" s="16">
        <v>34.200000000000003</v>
      </c>
      <c r="J777" s="16">
        <v>24.440366972477065</v>
      </c>
      <c r="K777" s="16">
        <v>9.7596330275229377</v>
      </c>
      <c r="L777" s="13">
        <v>2.02</v>
      </c>
      <c r="M777" s="13"/>
      <c r="N777" s="17">
        <f t="shared" si="25"/>
        <v>90.9</v>
      </c>
      <c r="O777" s="17">
        <f t="shared" si="25"/>
        <v>0</v>
      </c>
      <c r="P777" s="17">
        <f t="shared" si="26"/>
        <v>90.9</v>
      </c>
      <c r="Q777" t="str">
        <f>A777&amp;"-"&amp;B777&amp;"-"&amp;D777</f>
        <v>FEBRUARI-MJ2-L7</v>
      </c>
    </row>
    <row r="778" spans="1:17" x14ac:dyDescent="0.25">
      <c r="A778" t="s">
        <v>392</v>
      </c>
      <c r="B778" s="13" t="s">
        <v>26</v>
      </c>
      <c r="C778" s="13" t="s">
        <v>226</v>
      </c>
      <c r="D778" s="14" t="s">
        <v>164</v>
      </c>
      <c r="E778" s="13" t="s">
        <v>61</v>
      </c>
      <c r="F778" s="13" t="s">
        <v>350</v>
      </c>
      <c r="G778" s="13">
        <v>0.76000000000000012</v>
      </c>
      <c r="H778" s="15">
        <v>1102</v>
      </c>
      <c r="I778" s="16">
        <v>837.52</v>
      </c>
      <c r="J778" s="16">
        <v>578.56560530014042</v>
      </c>
      <c r="K778" s="16">
        <v>258.95439469985945</v>
      </c>
      <c r="L778" s="13">
        <v>2.02</v>
      </c>
      <c r="M778" s="13"/>
      <c r="N778" s="17">
        <f t="shared" si="25"/>
        <v>2226.04</v>
      </c>
      <c r="O778" s="17">
        <f t="shared" si="25"/>
        <v>0</v>
      </c>
      <c r="P778" s="17">
        <f t="shared" si="26"/>
        <v>2226.04</v>
      </c>
      <c r="Q778" t="str">
        <f>A778&amp;"-"&amp;B778&amp;"-"&amp;D778</f>
        <v>FEBRUARI-MJ2-L7</v>
      </c>
    </row>
    <row r="779" spans="1:17" x14ac:dyDescent="0.25">
      <c r="A779" t="s">
        <v>392</v>
      </c>
      <c r="B779" s="13" t="s">
        <v>26</v>
      </c>
      <c r="C779" s="13" t="s">
        <v>226</v>
      </c>
      <c r="D779" s="14" t="s">
        <v>164</v>
      </c>
      <c r="E779" s="13" t="s">
        <v>61</v>
      </c>
      <c r="F779" s="13" t="s">
        <v>351</v>
      </c>
      <c r="G779" s="13">
        <v>0.73999999999999988</v>
      </c>
      <c r="H779" s="15">
        <v>416</v>
      </c>
      <c r="I779" s="16">
        <v>307.83999999999997</v>
      </c>
      <c r="J779" s="16">
        <v>220.65043967074882</v>
      </c>
      <c r="K779" s="16">
        <v>87.189560329251151</v>
      </c>
      <c r="L779" s="13">
        <v>2.16</v>
      </c>
      <c r="M779" s="13"/>
      <c r="N779" s="17">
        <f t="shared" si="25"/>
        <v>898.56000000000006</v>
      </c>
      <c r="O779" s="17">
        <f t="shared" si="25"/>
        <v>0</v>
      </c>
      <c r="P779" s="17">
        <f t="shared" si="26"/>
        <v>898.56000000000006</v>
      </c>
      <c r="Q779" t="str">
        <f>A779&amp;"-"&amp;B779&amp;"-"&amp;D779</f>
        <v>FEBRUARI-MJ2-L7</v>
      </c>
    </row>
    <row r="780" spans="1:17" x14ac:dyDescent="0.25">
      <c r="A780" t="s">
        <v>392</v>
      </c>
      <c r="B780" s="13" t="s">
        <v>26</v>
      </c>
      <c r="C780" s="13" t="s">
        <v>226</v>
      </c>
      <c r="D780" s="14" t="s">
        <v>198</v>
      </c>
      <c r="E780" s="13" t="s">
        <v>61</v>
      </c>
      <c r="F780" s="13" t="s">
        <v>341</v>
      </c>
      <c r="G780" s="13">
        <v>0.82</v>
      </c>
      <c r="H780" s="15">
        <v>2192</v>
      </c>
      <c r="I780" s="16">
        <v>1797.44</v>
      </c>
      <c r="J780" s="16">
        <v>1435.2675714766269</v>
      </c>
      <c r="K780" s="16">
        <v>362.17242852337307</v>
      </c>
      <c r="L780" s="13">
        <v>2.5499999999999998</v>
      </c>
      <c r="M780" s="13"/>
      <c r="N780" s="17">
        <f t="shared" si="25"/>
        <v>5589.5999999999995</v>
      </c>
      <c r="O780" s="17">
        <f t="shared" si="25"/>
        <v>0</v>
      </c>
      <c r="P780" s="17">
        <f t="shared" si="26"/>
        <v>5589.5999999999995</v>
      </c>
      <c r="Q780" t="str">
        <f>A780&amp;"-"&amp;B780&amp;"-"&amp;D780</f>
        <v>FEBRUARI-MJ2-L8</v>
      </c>
    </row>
    <row r="781" spans="1:17" x14ac:dyDescent="0.25">
      <c r="A781" t="s">
        <v>392</v>
      </c>
      <c r="B781" s="13" t="s">
        <v>26</v>
      </c>
      <c r="C781" s="13" t="s">
        <v>226</v>
      </c>
      <c r="D781" s="14" t="s">
        <v>198</v>
      </c>
      <c r="E781" s="13" t="s">
        <v>61</v>
      </c>
      <c r="F781" s="13" t="s">
        <v>495</v>
      </c>
      <c r="G781" s="13">
        <v>0.79999999999999993</v>
      </c>
      <c r="H781" s="15">
        <v>9430</v>
      </c>
      <c r="I781" s="16">
        <v>7544</v>
      </c>
      <c r="J781" s="16">
        <v>4795.6470489159219</v>
      </c>
      <c r="K781" s="16">
        <v>2748.3529510840795</v>
      </c>
      <c r="L781" s="13">
        <v>2.16</v>
      </c>
      <c r="M781" s="13"/>
      <c r="N781" s="17">
        <f t="shared" si="25"/>
        <v>20368.800000000003</v>
      </c>
      <c r="O781" s="17">
        <f t="shared" si="25"/>
        <v>0</v>
      </c>
      <c r="P781" s="17">
        <f t="shared" si="26"/>
        <v>20368.800000000003</v>
      </c>
      <c r="Q781" t="str">
        <f>A781&amp;"-"&amp;B781&amp;"-"&amp;D781</f>
        <v>FEBRUARI-MJ2-L8</v>
      </c>
    </row>
    <row r="782" spans="1:17" x14ac:dyDescent="0.25">
      <c r="A782" t="s">
        <v>392</v>
      </c>
      <c r="B782" s="13" t="s">
        <v>26</v>
      </c>
      <c r="C782" s="13" t="s">
        <v>226</v>
      </c>
      <c r="D782" s="14" t="s">
        <v>198</v>
      </c>
      <c r="E782" s="13" t="s">
        <v>61</v>
      </c>
      <c r="F782" s="13" t="s">
        <v>496</v>
      </c>
      <c r="G782" s="13">
        <v>0.72</v>
      </c>
      <c r="H782" s="15">
        <v>215</v>
      </c>
      <c r="I782" s="16">
        <v>154.79999999999998</v>
      </c>
      <c r="J782" s="16">
        <v>87.055249266862177</v>
      </c>
      <c r="K782" s="16">
        <v>67.74475073313782</v>
      </c>
      <c r="L782" s="13">
        <v>2.31</v>
      </c>
      <c r="M782" s="13"/>
      <c r="N782" s="17">
        <f t="shared" si="25"/>
        <v>496.65000000000003</v>
      </c>
      <c r="O782" s="17">
        <f t="shared" si="25"/>
        <v>0</v>
      </c>
      <c r="P782" s="17">
        <f t="shared" si="26"/>
        <v>496.65000000000003</v>
      </c>
      <c r="Q782" t="str">
        <f>A782&amp;"-"&amp;B782&amp;"-"&amp;D782</f>
        <v>FEBRUARI-MJ2-L8</v>
      </c>
    </row>
    <row r="783" spans="1:17" x14ac:dyDescent="0.25">
      <c r="A783" t="s">
        <v>392</v>
      </c>
      <c r="B783" s="13" t="s">
        <v>26</v>
      </c>
      <c r="C783" s="13" t="s">
        <v>226</v>
      </c>
      <c r="D783" s="14" t="s">
        <v>198</v>
      </c>
      <c r="E783" s="13" t="s">
        <v>61</v>
      </c>
      <c r="F783" s="13" t="s">
        <v>497</v>
      </c>
      <c r="G783" s="13">
        <v>0.82</v>
      </c>
      <c r="H783" s="15">
        <v>1694</v>
      </c>
      <c r="I783" s="16">
        <v>1389.0799999999997</v>
      </c>
      <c r="J783" s="16">
        <v>625.71228783475397</v>
      </c>
      <c r="K783" s="16">
        <v>763.36771216524608</v>
      </c>
      <c r="L783" s="13">
        <v>2.5499999999999998</v>
      </c>
      <c r="M783" s="13"/>
      <c r="N783" s="17">
        <f t="shared" si="25"/>
        <v>4319.7</v>
      </c>
      <c r="O783" s="17">
        <f t="shared" si="25"/>
        <v>0</v>
      </c>
      <c r="P783" s="17">
        <f t="shared" si="26"/>
        <v>4319.7</v>
      </c>
      <c r="Q783" t="str">
        <f>A783&amp;"-"&amp;B783&amp;"-"&amp;D783</f>
        <v>FEBRUARI-MJ2-L8</v>
      </c>
    </row>
    <row r="784" spans="1:17" x14ac:dyDescent="0.25">
      <c r="A784" t="s">
        <v>392</v>
      </c>
      <c r="B784" s="13" t="s">
        <v>26</v>
      </c>
      <c r="C784" s="13" t="s">
        <v>226</v>
      </c>
      <c r="D784" s="14" t="s">
        <v>198</v>
      </c>
      <c r="E784" s="13" t="s">
        <v>61</v>
      </c>
      <c r="F784" s="13" t="s">
        <v>498</v>
      </c>
      <c r="G784" s="13">
        <v>0.82</v>
      </c>
      <c r="H784" s="15">
        <v>1910</v>
      </c>
      <c r="I784" s="16">
        <v>1566.2</v>
      </c>
      <c r="J784" s="16">
        <v>960.8486808925386</v>
      </c>
      <c r="K784" s="16">
        <v>605.35131910746145</v>
      </c>
      <c r="L784" s="13">
        <v>2.5499999999999998</v>
      </c>
      <c r="M784" s="13"/>
      <c r="N784" s="17">
        <f t="shared" si="25"/>
        <v>4870.5</v>
      </c>
      <c r="O784" s="17">
        <f t="shared" si="25"/>
        <v>0</v>
      </c>
      <c r="P784" s="17">
        <f t="shared" si="26"/>
        <v>4870.5</v>
      </c>
      <c r="Q784" t="str">
        <f>A784&amp;"-"&amp;B784&amp;"-"&amp;D784</f>
        <v>FEBRUARI-MJ2-L8</v>
      </c>
    </row>
    <row r="785" spans="1:17" x14ac:dyDescent="0.25">
      <c r="A785" t="s">
        <v>392</v>
      </c>
      <c r="B785" s="13" t="s">
        <v>26</v>
      </c>
      <c r="C785" s="13" t="s">
        <v>226</v>
      </c>
      <c r="D785" s="14" t="s">
        <v>198</v>
      </c>
      <c r="E785" s="13" t="s">
        <v>61</v>
      </c>
      <c r="F785" s="13" t="s">
        <v>343</v>
      </c>
      <c r="G785" s="13">
        <v>0.82</v>
      </c>
      <c r="H785" s="15">
        <v>83</v>
      </c>
      <c r="I785" s="16">
        <v>68.06</v>
      </c>
      <c r="J785" s="16">
        <v>36.132088255595313</v>
      </c>
      <c r="K785" s="16">
        <v>31.927911744404682</v>
      </c>
      <c r="L785" s="13">
        <v>2.5499999999999998</v>
      </c>
      <c r="M785" s="13"/>
      <c r="N785" s="17">
        <f t="shared" si="25"/>
        <v>211.64999999999998</v>
      </c>
      <c r="O785" s="17">
        <f t="shared" si="25"/>
        <v>0</v>
      </c>
      <c r="P785" s="17">
        <f t="shared" si="26"/>
        <v>211.64999999999998</v>
      </c>
      <c r="Q785" t="str">
        <f>A785&amp;"-"&amp;B785&amp;"-"&amp;D785</f>
        <v>FEBRUARI-MJ2-L8</v>
      </c>
    </row>
    <row r="786" spans="1:17" x14ac:dyDescent="0.25">
      <c r="A786" t="s">
        <v>392</v>
      </c>
      <c r="B786" s="13" t="s">
        <v>26</v>
      </c>
      <c r="C786" s="13" t="s">
        <v>226</v>
      </c>
      <c r="D786" s="14" t="s">
        <v>198</v>
      </c>
      <c r="E786" s="13" t="s">
        <v>61</v>
      </c>
      <c r="F786" s="13" t="s">
        <v>499</v>
      </c>
      <c r="G786" s="13">
        <v>0.82</v>
      </c>
      <c r="H786" s="15">
        <v>835</v>
      </c>
      <c r="I786" s="16">
        <v>684.69999999999993</v>
      </c>
      <c r="J786" s="16">
        <v>595.54961880687551</v>
      </c>
      <c r="K786" s="16">
        <v>89.150381193124588</v>
      </c>
      <c r="L786" s="13"/>
      <c r="M786" s="13">
        <v>2.5499999999999998</v>
      </c>
      <c r="N786" s="17">
        <f t="shared" si="25"/>
        <v>0</v>
      </c>
      <c r="O786" s="17">
        <f t="shared" si="25"/>
        <v>2129.25</v>
      </c>
      <c r="P786" s="17">
        <f t="shared" si="26"/>
        <v>2129.25</v>
      </c>
      <c r="Q786" t="str">
        <f>A786&amp;"-"&amp;B786&amp;"-"&amp;D786</f>
        <v>FEBRUARI-MJ2-L8</v>
      </c>
    </row>
    <row r="787" spans="1:17" x14ac:dyDescent="0.25">
      <c r="A787" t="s">
        <v>392</v>
      </c>
      <c r="B787" s="13" t="s">
        <v>26</v>
      </c>
      <c r="C787" s="13" t="s">
        <v>226</v>
      </c>
      <c r="D787" s="14" t="s">
        <v>198</v>
      </c>
      <c r="E787" s="13" t="s">
        <v>61</v>
      </c>
      <c r="F787" s="13" t="s">
        <v>500</v>
      </c>
      <c r="G787" s="13">
        <v>0.79</v>
      </c>
      <c r="H787" s="15">
        <v>4914</v>
      </c>
      <c r="I787" s="16">
        <v>3882.0600000000004</v>
      </c>
      <c r="J787" s="16">
        <v>2870.866745914238</v>
      </c>
      <c r="K787" s="16">
        <v>1011.1932540857623</v>
      </c>
      <c r="L787" s="13">
        <v>2.15</v>
      </c>
      <c r="M787" s="13"/>
      <c r="N787" s="17">
        <f t="shared" si="25"/>
        <v>10565.1</v>
      </c>
      <c r="O787" s="17">
        <f t="shared" si="25"/>
        <v>0</v>
      </c>
      <c r="P787" s="17">
        <f t="shared" si="26"/>
        <v>10565.1</v>
      </c>
      <c r="Q787" t="str">
        <f>A787&amp;"-"&amp;B787&amp;"-"&amp;D787</f>
        <v>FEBRUARI-MJ2-L8</v>
      </c>
    </row>
    <row r="788" spans="1:17" x14ac:dyDescent="0.25">
      <c r="A788" t="s">
        <v>392</v>
      </c>
      <c r="B788" s="13" t="s">
        <v>26</v>
      </c>
      <c r="C788" s="13" t="s">
        <v>226</v>
      </c>
      <c r="D788" s="14" t="s">
        <v>198</v>
      </c>
      <c r="E788" s="13" t="s">
        <v>61</v>
      </c>
      <c r="F788" s="13" t="s">
        <v>501</v>
      </c>
      <c r="G788" s="13">
        <v>0.82</v>
      </c>
      <c r="H788" s="15">
        <v>267</v>
      </c>
      <c r="I788" s="16">
        <v>218.94</v>
      </c>
      <c r="J788" s="16">
        <v>172.76766721044046</v>
      </c>
      <c r="K788" s="16">
        <v>46.17233278955954</v>
      </c>
      <c r="L788" s="13">
        <v>2.5499999999999998</v>
      </c>
      <c r="M788" s="13"/>
      <c r="N788" s="17">
        <f t="shared" si="25"/>
        <v>680.84999999999991</v>
      </c>
      <c r="O788" s="17">
        <f t="shared" si="25"/>
        <v>0</v>
      </c>
      <c r="P788" s="17">
        <f t="shared" si="26"/>
        <v>680.84999999999991</v>
      </c>
      <c r="Q788" t="str">
        <f>A788&amp;"-"&amp;B788&amp;"-"&amp;D788</f>
        <v>FEBRUARI-MJ2-L8</v>
      </c>
    </row>
    <row r="789" spans="1:17" x14ac:dyDescent="0.25">
      <c r="A789" t="s">
        <v>392</v>
      </c>
      <c r="B789" s="13" t="s">
        <v>26</v>
      </c>
      <c r="C789" s="13" t="s">
        <v>226</v>
      </c>
      <c r="D789" s="14" t="s">
        <v>198</v>
      </c>
      <c r="E789" s="13" t="s">
        <v>61</v>
      </c>
      <c r="F789" s="13" t="s">
        <v>502</v>
      </c>
      <c r="G789" s="13">
        <v>0.82</v>
      </c>
      <c r="H789" s="15">
        <v>1145</v>
      </c>
      <c r="I789" s="16">
        <v>938.90000000000009</v>
      </c>
      <c r="J789" s="16">
        <v>469.99370720214722</v>
      </c>
      <c r="K789" s="16">
        <v>468.90629279785287</v>
      </c>
      <c r="L789" s="13">
        <v>2.5499999999999998</v>
      </c>
      <c r="M789" s="13"/>
      <c r="N789" s="17">
        <f t="shared" ref="N789:O820" si="27">$H789*L789</f>
        <v>2919.75</v>
      </c>
      <c r="O789" s="17">
        <f t="shared" si="27"/>
        <v>0</v>
      </c>
      <c r="P789" s="17">
        <f t="shared" si="26"/>
        <v>2919.75</v>
      </c>
      <c r="Q789" t="str">
        <f>A789&amp;"-"&amp;B789&amp;"-"&amp;D789</f>
        <v>FEBRUARI-MJ2-L8</v>
      </c>
    </row>
    <row r="790" spans="1:17" x14ac:dyDescent="0.25">
      <c r="A790" t="s">
        <v>392</v>
      </c>
      <c r="B790" s="13" t="s">
        <v>26</v>
      </c>
      <c r="C790" s="13" t="s">
        <v>226</v>
      </c>
      <c r="D790" s="14" t="s">
        <v>199</v>
      </c>
      <c r="E790" s="13" t="s">
        <v>61</v>
      </c>
      <c r="F790" s="13" t="s">
        <v>341</v>
      </c>
      <c r="G790" s="13">
        <v>0.82</v>
      </c>
      <c r="H790" s="15">
        <v>603</v>
      </c>
      <c r="I790" s="16">
        <v>494.46</v>
      </c>
      <c r="J790" s="16">
        <v>608.16059707764475</v>
      </c>
      <c r="K790" s="16">
        <v>-113.70059707764474</v>
      </c>
      <c r="L790" s="13">
        <v>2.5499999999999998</v>
      </c>
      <c r="M790" s="13"/>
      <c r="N790" s="17">
        <f t="shared" si="27"/>
        <v>1537.6499999999999</v>
      </c>
      <c r="O790" s="17">
        <f t="shared" si="27"/>
        <v>0</v>
      </c>
      <c r="P790" s="17">
        <f t="shared" si="26"/>
        <v>1537.6499999999999</v>
      </c>
      <c r="Q790" t="str">
        <f>A790&amp;"-"&amp;B790&amp;"-"&amp;D790</f>
        <v>FEBRUARI-MJ2-L9</v>
      </c>
    </row>
    <row r="791" spans="1:17" x14ac:dyDescent="0.25">
      <c r="A791" t="s">
        <v>392</v>
      </c>
      <c r="B791" s="13" t="s">
        <v>26</v>
      </c>
      <c r="C791" s="13" t="s">
        <v>226</v>
      </c>
      <c r="D791" s="14" t="s">
        <v>199</v>
      </c>
      <c r="E791" s="13" t="s">
        <v>61</v>
      </c>
      <c r="F791" s="13" t="s">
        <v>495</v>
      </c>
      <c r="G791" s="13">
        <v>0.79999999999999993</v>
      </c>
      <c r="H791" s="15">
        <v>7938</v>
      </c>
      <c r="I791" s="16">
        <v>6350.4000000000005</v>
      </c>
      <c r="J791" s="16">
        <v>4189.6489491311031</v>
      </c>
      <c r="K791" s="16">
        <v>2160.751050868897</v>
      </c>
      <c r="L791" s="13">
        <v>2.16</v>
      </c>
      <c r="M791" s="13"/>
      <c r="N791" s="17">
        <f t="shared" si="27"/>
        <v>17146.080000000002</v>
      </c>
      <c r="O791" s="17">
        <f t="shared" si="27"/>
        <v>0</v>
      </c>
      <c r="P791" s="17">
        <f t="shared" si="26"/>
        <v>17146.080000000002</v>
      </c>
      <c r="Q791" t="str">
        <f>A791&amp;"-"&amp;B791&amp;"-"&amp;D791</f>
        <v>FEBRUARI-MJ2-L9</v>
      </c>
    </row>
    <row r="792" spans="1:17" x14ac:dyDescent="0.25">
      <c r="A792" t="s">
        <v>392</v>
      </c>
      <c r="B792" s="13" t="s">
        <v>26</v>
      </c>
      <c r="C792" s="13" t="s">
        <v>226</v>
      </c>
      <c r="D792" s="14" t="s">
        <v>199</v>
      </c>
      <c r="E792" s="13" t="s">
        <v>61</v>
      </c>
      <c r="F792" s="13" t="s">
        <v>496</v>
      </c>
      <c r="G792" s="13">
        <v>0.72</v>
      </c>
      <c r="H792" s="15">
        <v>3</v>
      </c>
      <c r="I792" s="16">
        <v>2.16</v>
      </c>
      <c r="J792" s="16">
        <v>2.1711491442542785</v>
      </c>
      <c r="K792" s="16">
        <v>-1.1149144254278376E-2</v>
      </c>
      <c r="L792" s="13">
        <v>2.31</v>
      </c>
      <c r="M792" s="13"/>
      <c r="N792" s="17">
        <f t="shared" si="27"/>
        <v>6.93</v>
      </c>
      <c r="O792" s="17">
        <f t="shared" si="27"/>
        <v>0</v>
      </c>
      <c r="P792" s="17">
        <f t="shared" si="26"/>
        <v>6.93</v>
      </c>
      <c r="Q792" t="str">
        <f>A792&amp;"-"&amp;B792&amp;"-"&amp;D792</f>
        <v>FEBRUARI-MJ2-L9</v>
      </c>
    </row>
    <row r="793" spans="1:17" x14ac:dyDescent="0.25">
      <c r="A793" t="s">
        <v>392</v>
      </c>
      <c r="B793" s="13" t="s">
        <v>26</v>
      </c>
      <c r="C793" s="13" t="s">
        <v>226</v>
      </c>
      <c r="D793" s="14" t="s">
        <v>199</v>
      </c>
      <c r="E793" s="13" t="s">
        <v>61</v>
      </c>
      <c r="F793" s="13" t="s">
        <v>497</v>
      </c>
      <c r="G793" s="13">
        <v>0.82</v>
      </c>
      <c r="H793" s="15">
        <v>495</v>
      </c>
      <c r="I793" s="16">
        <v>405.9</v>
      </c>
      <c r="J793" s="16">
        <v>287.10646636185498</v>
      </c>
      <c r="K793" s="16">
        <v>118.79353363814499</v>
      </c>
      <c r="L793" s="13">
        <v>2.5499999999999998</v>
      </c>
      <c r="M793" s="13"/>
      <c r="N793" s="17">
        <f t="shared" si="27"/>
        <v>1262.25</v>
      </c>
      <c r="O793" s="17">
        <f t="shared" si="27"/>
        <v>0</v>
      </c>
      <c r="P793" s="17">
        <f t="shared" si="26"/>
        <v>1262.25</v>
      </c>
      <c r="Q793" t="str">
        <f>A793&amp;"-"&amp;B793&amp;"-"&amp;D793</f>
        <v>FEBRUARI-MJ2-L9</v>
      </c>
    </row>
    <row r="794" spans="1:17" x14ac:dyDescent="0.25">
      <c r="A794" t="s">
        <v>392</v>
      </c>
      <c r="B794" s="13" t="s">
        <v>26</v>
      </c>
      <c r="C794" s="13" t="s">
        <v>226</v>
      </c>
      <c r="D794" s="14" t="s">
        <v>199</v>
      </c>
      <c r="E794" s="13" t="s">
        <v>61</v>
      </c>
      <c r="F794" s="13" t="s">
        <v>498</v>
      </c>
      <c r="G794" s="13">
        <v>0.82</v>
      </c>
      <c r="H794" s="15">
        <v>1300</v>
      </c>
      <c r="I794" s="16">
        <v>1066</v>
      </c>
      <c r="J794" s="16">
        <v>563.1219512195122</v>
      </c>
      <c r="K794" s="16">
        <v>502.8780487804878</v>
      </c>
      <c r="L794" s="13">
        <v>2.5499999999999998</v>
      </c>
      <c r="M794" s="13"/>
      <c r="N794" s="17">
        <f t="shared" si="27"/>
        <v>3314.9999999999995</v>
      </c>
      <c r="O794" s="17">
        <f t="shared" si="27"/>
        <v>0</v>
      </c>
      <c r="P794" s="17">
        <f t="shared" si="26"/>
        <v>3314.9999999999995</v>
      </c>
      <c r="Q794" t="str">
        <f>A794&amp;"-"&amp;B794&amp;"-"&amp;D794</f>
        <v>FEBRUARI-MJ2-L9</v>
      </c>
    </row>
    <row r="795" spans="1:17" x14ac:dyDescent="0.25">
      <c r="A795" t="s">
        <v>392</v>
      </c>
      <c r="B795" s="13" t="s">
        <v>26</v>
      </c>
      <c r="C795" s="13" t="s">
        <v>226</v>
      </c>
      <c r="D795" s="14" t="s">
        <v>199</v>
      </c>
      <c r="E795" s="13" t="s">
        <v>61</v>
      </c>
      <c r="F795" s="13" t="s">
        <v>343</v>
      </c>
      <c r="G795" s="13">
        <v>0.82</v>
      </c>
      <c r="H795" s="15">
        <v>137</v>
      </c>
      <c r="I795" s="16">
        <v>112.34</v>
      </c>
      <c r="J795" s="16">
        <v>133.38649614444233</v>
      </c>
      <c r="K795" s="16">
        <v>-21.046496144442344</v>
      </c>
      <c r="L795" s="13">
        <v>2.5499999999999998</v>
      </c>
      <c r="M795" s="13"/>
      <c r="N795" s="17">
        <f t="shared" si="27"/>
        <v>349.34999999999997</v>
      </c>
      <c r="O795" s="17">
        <f t="shared" si="27"/>
        <v>0</v>
      </c>
      <c r="P795" s="17">
        <f t="shared" si="26"/>
        <v>349.34999999999997</v>
      </c>
      <c r="Q795" t="str">
        <f>A795&amp;"-"&amp;B795&amp;"-"&amp;D795</f>
        <v>FEBRUARI-MJ2-L9</v>
      </c>
    </row>
    <row r="796" spans="1:17" x14ac:dyDescent="0.25">
      <c r="A796" t="s">
        <v>392</v>
      </c>
      <c r="B796" s="13" t="s">
        <v>26</v>
      </c>
      <c r="C796" s="13" t="s">
        <v>226</v>
      </c>
      <c r="D796" s="14" t="s">
        <v>199</v>
      </c>
      <c r="E796" s="13" t="s">
        <v>61</v>
      </c>
      <c r="F796" s="13" t="s">
        <v>499</v>
      </c>
      <c r="G796" s="13">
        <v>0.82</v>
      </c>
      <c r="H796" s="15">
        <v>1851</v>
      </c>
      <c r="I796" s="16">
        <v>1517.8200000000002</v>
      </c>
      <c r="J796" s="16">
        <v>1265.5885042455911</v>
      </c>
      <c r="K796" s="16">
        <v>252.23149575440897</v>
      </c>
      <c r="L796" s="13"/>
      <c r="M796" s="13">
        <v>2.5499999999999998</v>
      </c>
      <c r="N796" s="17">
        <f t="shared" si="27"/>
        <v>0</v>
      </c>
      <c r="O796" s="17">
        <f t="shared" si="27"/>
        <v>4720.0499999999993</v>
      </c>
      <c r="P796" s="17">
        <f t="shared" si="26"/>
        <v>4720.0499999999993</v>
      </c>
      <c r="Q796" t="str">
        <f>A796&amp;"-"&amp;B796&amp;"-"&amp;D796</f>
        <v>FEBRUARI-MJ2-L9</v>
      </c>
    </row>
    <row r="797" spans="1:17" x14ac:dyDescent="0.25">
      <c r="A797" t="s">
        <v>392</v>
      </c>
      <c r="B797" s="13" t="s">
        <v>26</v>
      </c>
      <c r="C797" s="13" t="s">
        <v>226</v>
      </c>
      <c r="D797" s="14" t="s">
        <v>199</v>
      </c>
      <c r="E797" s="13" t="s">
        <v>61</v>
      </c>
      <c r="F797" s="13" t="s">
        <v>344</v>
      </c>
      <c r="G797" s="13">
        <v>0.82</v>
      </c>
      <c r="H797" s="15">
        <v>16</v>
      </c>
      <c r="I797" s="16">
        <v>13.120000000000001</v>
      </c>
      <c r="J797" s="16">
        <v>7.7165031123842205</v>
      </c>
      <c r="K797" s="16">
        <v>5.4034968876157805</v>
      </c>
      <c r="L797" s="13">
        <v>2.5499999999999998</v>
      </c>
      <c r="M797" s="13"/>
      <c r="N797" s="17">
        <f t="shared" si="27"/>
        <v>40.799999999999997</v>
      </c>
      <c r="O797" s="17">
        <f t="shared" si="27"/>
        <v>0</v>
      </c>
      <c r="P797" s="17">
        <f t="shared" si="26"/>
        <v>40.799999999999997</v>
      </c>
      <c r="Q797" t="str">
        <f>A797&amp;"-"&amp;B797&amp;"-"&amp;D797</f>
        <v>FEBRUARI-MJ2-L9</v>
      </c>
    </row>
    <row r="798" spans="1:17" x14ac:dyDescent="0.25">
      <c r="A798" t="s">
        <v>392</v>
      </c>
      <c r="B798" s="13" t="s">
        <v>26</v>
      </c>
      <c r="C798" s="13" t="s">
        <v>226</v>
      </c>
      <c r="D798" s="14" t="s">
        <v>199</v>
      </c>
      <c r="E798" s="13" t="s">
        <v>61</v>
      </c>
      <c r="F798" s="13" t="s">
        <v>500</v>
      </c>
      <c r="G798" s="13">
        <v>0.79</v>
      </c>
      <c r="H798" s="15">
        <v>6085</v>
      </c>
      <c r="I798" s="16">
        <v>4807.1499999999996</v>
      </c>
      <c r="J798" s="16">
        <v>3552</v>
      </c>
      <c r="K798" s="16">
        <v>1255.1500000000001</v>
      </c>
      <c r="L798" s="13">
        <v>2.15</v>
      </c>
      <c r="M798" s="13"/>
      <c r="N798" s="17">
        <f t="shared" si="27"/>
        <v>13082.75</v>
      </c>
      <c r="O798" s="17">
        <f t="shared" si="27"/>
        <v>0</v>
      </c>
      <c r="P798" s="17">
        <f t="shared" si="26"/>
        <v>13082.75</v>
      </c>
      <c r="Q798" t="str">
        <f>A798&amp;"-"&amp;B798&amp;"-"&amp;D798</f>
        <v>FEBRUARI-MJ2-L9</v>
      </c>
    </row>
    <row r="799" spans="1:17" x14ac:dyDescent="0.25">
      <c r="A799" t="s">
        <v>392</v>
      </c>
      <c r="B799" s="13" t="s">
        <v>26</v>
      </c>
      <c r="C799" s="13" t="s">
        <v>226</v>
      </c>
      <c r="D799" s="14" t="s">
        <v>199</v>
      </c>
      <c r="E799" s="13" t="s">
        <v>61</v>
      </c>
      <c r="F799" s="13" t="s">
        <v>501</v>
      </c>
      <c r="G799" s="13">
        <v>0.82</v>
      </c>
      <c r="H799" s="15">
        <v>865</v>
      </c>
      <c r="I799" s="16">
        <v>709.3</v>
      </c>
      <c r="J799" s="16">
        <v>308.48192771084337</v>
      </c>
      <c r="K799" s="16">
        <v>400.81807228915659</v>
      </c>
      <c r="L799" s="13">
        <v>2.5499999999999998</v>
      </c>
      <c r="M799" s="13"/>
      <c r="N799" s="17">
        <f t="shared" si="27"/>
        <v>2205.75</v>
      </c>
      <c r="O799" s="17">
        <f t="shared" si="27"/>
        <v>0</v>
      </c>
      <c r="P799" s="17">
        <f t="shared" si="26"/>
        <v>2205.75</v>
      </c>
      <c r="Q799" t="str">
        <f>A799&amp;"-"&amp;B799&amp;"-"&amp;D799</f>
        <v>FEBRUARI-MJ2-L9</v>
      </c>
    </row>
    <row r="800" spans="1:17" x14ac:dyDescent="0.25">
      <c r="A800" t="s">
        <v>392</v>
      </c>
      <c r="B800" s="13" t="s">
        <v>26</v>
      </c>
      <c r="C800" s="13" t="s">
        <v>226</v>
      </c>
      <c r="D800" s="14" t="s">
        <v>199</v>
      </c>
      <c r="E800" s="13" t="s">
        <v>61</v>
      </c>
      <c r="F800" s="13" t="s">
        <v>502</v>
      </c>
      <c r="G800" s="13">
        <v>0.82</v>
      </c>
      <c r="H800" s="15">
        <v>1210</v>
      </c>
      <c r="I800" s="16">
        <v>992.2</v>
      </c>
      <c r="J800" s="16">
        <v>389.30434782608694</v>
      </c>
      <c r="K800" s="16">
        <v>602.89565217391305</v>
      </c>
      <c r="L800" s="13">
        <v>2.5499999999999998</v>
      </c>
      <c r="M800" s="13"/>
      <c r="N800" s="17">
        <f t="shared" si="27"/>
        <v>3085.5</v>
      </c>
      <c r="O800" s="17">
        <f t="shared" si="27"/>
        <v>0</v>
      </c>
      <c r="P800" s="17">
        <f t="shared" si="26"/>
        <v>3085.5</v>
      </c>
      <c r="Q800" t="str">
        <f>A800&amp;"-"&amp;B800&amp;"-"&amp;D800</f>
        <v>FEBRUARI-MJ2-L9</v>
      </c>
    </row>
    <row r="801" spans="1:17" x14ac:dyDescent="0.25">
      <c r="A801" t="s">
        <v>392</v>
      </c>
      <c r="B801" s="13" t="s">
        <v>26</v>
      </c>
      <c r="C801" s="13" t="s">
        <v>226</v>
      </c>
      <c r="D801" s="14" t="s">
        <v>199</v>
      </c>
      <c r="E801" s="13" t="s">
        <v>61</v>
      </c>
      <c r="F801" s="13" t="s">
        <v>345</v>
      </c>
      <c r="G801" s="13">
        <v>0.82</v>
      </c>
      <c r="H801" s="15">
        <v>138</v>
      </c>
      <c r="I801" s="16">
        <v>113.16</v>
      </c>
      <c r="J801" s="16">
        <v>63.734584057982417</v>
      </c>
      <c r="K801" s="16">
        <v>49.42541594201758</v>
      </c>
      <c r="L801" s="13">
        <v>2.5499999999999998</v>
      </c>
      <c r="M801" s="13"/>
      <c r="N801" s="17">
        <f t="shared" si="27"/>
        <v>351.9</v>
      </c>
      <c r="O801" s="17">
        <f t="shared" si="27"/>
        <v>0</v>
      </c>
      <c r="P801" s="17">
        <f t="shared" si="26"/>
        <v>351.9</v>
      </c>
      <c r="Q801" t="str">
        <f>A801&amp;"-"&amp;B801&amp;"-"&amp;D801</f>
        <v>FEBRUARI-MJ2-L9</v>
      </c>
    </row>
    <row r="802" spans="1:17" x14ac:dyDescent="0.25">
      <c r="A802" t="s">
        <v>392</v>
      </c>
      <c r="B802" s="13" t="s">
        <v>26</v>
      </c>
      <c r="C802" s="13" t="s">
        <v>43</v>
      </c>
      <c r="D802" s="14" t="s">
        <v>44</v>
      </c>
      <c r="E802" s="13" t="s">
        <v>179</v>
      </c>
      <c r="F802" s="13" t="s">
        <v>513</v>
      </c>
      <c r="G802" s="13">
        <v>1.54</v>
      </c>
      <c r="H802" s="15">
        <v>2285</v>
      </c>
      <c r="I802" s="16">
        <v>3518.9</v>
      </c>
      <c r="J802" s="16">
        <v>3947.7502193800988</v>
      </c>
      <c r="K802" s="16">
        <v>-428.85021938009845</v>
      </c>
      <c r="L802" s="13"/>
      <c r="M802" s="13">
        <v>1.65</v>
      </c>
      <c r="N802" s="17">
        <f t="shared" si="27"/>
        <v>0</v>
      </c>
      <c r="O802" s="17">
        <f t="shared" si="27"/>
        <v>3770.25</v>
      </c>
      <c r="P802" s="17">
        <f t="shared" si="26"/>
        <v>3770.25</v>
      </c>
      <c r="Q802" t="str">
        <f>A802&amp;"-"&amp;B802&amp;"-"&amp;D802</f>
        <v>FEBRUARI-MJ2-L1</v>
      </c>
    </row>
    <row r="803" spans="1:17" x14ac:dyDescent="0.25">
      <c r="A803" t="s">
        <v>392</v>
      </c>
      <c r="B803" s="13" t="s">
        <v>26</v>
      </c>
      <c r="C803" s="13" t="s">
        <v>43</v>
      </c>
      <c r="D803" s="14" t="s">
        <v>44</v>
      </c>
      <c r="E803" s="13" t="s">
        <v>179</v>
      </c>
      <c r="F803" s="13" t="s">
        <v>514</v>
      </c>
      <c r="G803" s="13">
        <v>1.54</v>
      </c>
      <c r="H803" s="15">
        <v>1878</v>
      </c>
      <c r="I803" s="16">
        <v>2892.12</v>
      </c>
      <c r="J803" s="16">
        <v>3084.9531126150846</v>
      </c>
      <c r="K803" s="16">
        <v>-192.83311261508442</v>
      </c>
      <c r="L803" s="13"/>
      <c r="M803" s="13">
        <v>1.65</v>
      </c>
      <c r="N803" s="17">
        <f t="shared" si="27"/>
        <v>0</v>
      </c>
      <c r="O803" s="17">
        <f t="shared" si="27"/>
        <v>3098.7</v>
      </c>
      <c r="P803" s="17">
        <f t="shared" si="26"/>
        <v>3098.7</v>
      </c>
      <c r="Q803" t="str">
        <f>A803&amp;"-"&amp;B803&amp;"-"&amp;D803</f>
        <v>FEBRUARI-MJ2-L1</v>
      </c>
    </row>
    <row r="804" spans="1:17" x14ac:dyDescent="0.25">
      <c r="A804" t="s">
        <v>392</v>
      </c>
      <c r="B804" s="13" t="s">
        <v>26</v>
      </c>
      <c r="C804" s="13" t="s">
        <v>43</v>
      </c>
      <c r="D804" s="14" t="s">
        <v>44</v>
      </c>
      <c r="E804" s="13" t="s">
        <v>179</v>
      </c>
      <c r="F804" s="13" t="s">
        <v>364</v>
      </c>
      <c r="G804" s="13">
        <v>1.54</v>
      </c>
      <c r="H804" s="15">
        <v>1439</v>
      </c>
      <c r="I804" s="16">
        <v>2216.06</v>
      </c>
      <c r="J804" s="16">
        <v>3686.4185248713552</v>
      </c>
      <c r="K804" s="16">
        <v>-1470.3585248713553</v>
      </c>
      <c r="L804" s="13"/>
      <c r="M804" s="13">
        <v>1.65</v>
      </c>
      <c r="N804" s="17">
        <f t="shared" si="27"/>
        <v>0</v>
      </c>
      <c r="O804" s="17">
        <f t="shared" si="27"/>
        <v>2374.35</v>
      </c>
      <c r="P804" s="17">
        <f t="shared" si="26"/>
        <v>2374.35</v>
      </c>
      <c r="Q804" t="str">
        <f>A804&amp;"-"&amp;B804&amp;"-"&amp;D804</f>
        <v>FEBRUARI-MJ2-L1</v>
      </c>
    </row>
    <row r="805" spans="1:17" x14ac:dyDescent="0.25">
      <c r="A805" t="s">
        <v>392</v>
      </c>
      <c r="B805" s="13" t="s">
        <v>26</v>
      </c>
      <c r="C805" s="13" t="s">
        <v>43</v>
      </c>
      <c r="D805" s="14" t="s">
        <v>44</v>
      </c>
      <c r="E805" s="13" t="s">
        <v>179</v>
      </c>
      <c r="F805" s="13" t="s">
        <v>515</v>
      </c>
      <c r="G805" s="13">
        <v>1.54</v>
      </c>
      <c r="H805" s="15">
        <v>102</v>
      </c>
      <c r="I805" s="16">
        <v>157.08000000000001</v>
      </c>
      <c r="J805" s="16">
        <v>244.85362940060429</v>
      </c>
      <c r="K805" s="16">
        <v>-87.773629400604278</v>
      </c>
      <c r="L805" s="13"/>
      <c r="M805" s="13">
        <v>1.65</v>
      </c>
      <c r="N805" s="17">
        <f t="shared" si="27"/>
        <v>0</v>
      </c>
      <c r="O805" s="17">
        <f t="shared" si="27"/>
        <v>168.29999999999998</v>
      </c>
      <c r="P805" s="17">
        <f t="shared" si="26"/>
        <v>168.29999999999998</v>
      </c>
      <c r="Q805" t="str">
        <f>A805&amp;"-"&amp;B805&amp;"-"&amp;D805</f>
        <v>FEBRUARI-MJ2-L1</v>
      </c>
    </row>
    <row r="806" spans="1:17" x14ac:dyDescent="0.25">
      <c r="A806" t="s">
        <v>392</v>
      </c>
      <c r="B806" s="13" t="s">
        <v>26</v>
      </c>
      <c r="C806" s="13" t="s">
        <v>43</v>
      </c>
      <c r="D806" s="14" t="s">
        <v>44</v>
      </c>
      <c r="E806" s="13" t="s">
        <v>179</v>
      </c>
      <c r="F806" s="13" t="s">
        <v>516</v>
      </c>
      <c r="G806" s="13">
        <v>1.54</v>
      </c>
      <c r="H806" s="15">
        <v>1820</v>
      </c>
      <c r="I806" s="16">
        <v>2802.7999999999997</v>
      </c>
      <c r="J806" s="16">
        <v>5908.0245137328575</v>
      </c>
      <c r="K806" s="16">
        <v>-3105.2245137328578</v>
      </c>
      <c r="L806" s="13"/>
      <c r="M806" s="13">
        <v>1.65</v>
      </c>
      <c r="N806" s="17">
        <f t="shared" si="27"/>
        <v>0</v>
      </c>
      <c r="O806" s="17">
        <f t="shared" si="27"/>
        <v>3003</v>
      </c>
      <c r="P806" s="17">
        <f t="shared" si="26"/>
        <v>3003</v>
      </c>
      <c r="Q806" t="str">
        <f>A806&amp;"-"&amp;B806&amp;"-"&amp;D806</f>
        <v>FEBRUARI-MJ2-L1</v>
      </c>
    </row>
    <row r="807" spans="1:17" x14ac:dyDescent="0.25">
      <c r="A807" t="s">
        <v>392</v>
      </c>
      <c r="B807" s="13" t="s">
        <v>26</v>
      </c>
      <c r="C807" s="13" t="s">
        <v>43</v>
      </c>
      <c r="D807" s="14" t="s">
        <v>50</v>
      </c>
      <c r="E807" s="13" t="s">
        <v>358</v>
      </c>
      <c r="F807" s="13" t="s">
        <v>517</v>
      </c>
      <c r="G807" s="13">
        <v>1.49</v>
      </c>
      <c r="H807" s="15">
        <v>1499</v>
      </c>
      <c r="I807" s="16">
        <v>2233.5099999999998</v>
      </c>
      <c r="J807" s="16">
        <v>3596.4854965927784</v>
      </c>
      <c r="K807" s="16">
        <v>-1362.9754965927787</v>
      </c>
      <c r="L807" s="13"/>
      <c r="M807" s="13">
        <v>1.6</v>
      </c>
      <c r="N807" s="17">
        <f t="shared" si="27"/>
        <v>0</v>
      </c>
      <c r="O807" s="17">
        <f t="shared" si="27"/>
        <v>2398.4</v>
      </c>
      <c r="P807" s="17">
        <f t="shared" si="26"/>
        <v>2398.4</v>
      </c>
      <c r="Q807" t="str">
        <f>A807&amp;"-"&amp;B807&amp;"-"&amp;D807</f>
        <v>FEBRUARI-MJ2-L2</v>
      </c>
    </row>
    <row r="808" spans="1:17" x14ac:dyDescent="0.25">
      <c r="A808" t="s">
        <v>392</v>
      </c>
      <c r="B808" s="13" t="s">
        <v>26</v>
      </c>
      <c r="C808" s="13" t="s">
        <v>43</v>
      </c>
      <c r="D808" s="14" t="s">
        <v>50</v>
      </c>
      <c r="E808" s="13" t="s">
        <v>358</v>
      </c>
      <c r="F808" s="13" t="s">
        <v>369</v>
      </c>
      <c r="G808" s="13">
        <v>1.49</v>
      </c>
      <c r="H808" s="15">
        <v>162</v>
      </c>
      <c r="I808" s="16">
        <v>241.38</v>
      </c>
      <c r="J808" s="16">
        <v>888</v>
      </c>
      <c r="K808" s="16">
        <v>-646.62</v>
      </c>
      <c r="L808" s="13"/>
      <c r="M808" s="13">
        <v>1.6</v>
      </c>
      <c r="N808" s="17">
        <f t="shared" si="27"/>
        <v>0</v>
      </c>
      <c r="O808" s="17">
        <f t="shared" si="27"/>
        <v>259.2</v>
      </c>
      <c r="P808" s="17">
        <f t="shared" si="26"/>
        <v>259.2</v>
      </c>
      <c r="Q808" t="str">
        <f>A808&amp;"-"&amp;B808&amp;"-"&amp;D808</f>
        <v>FEBRUARI-MJ2-L2</v>
      </c>
    </row>
    <row r="809" spans="1:17" x14ac:dyDescent="0.25">
      <c r="A809" t="s">
        <v>392</v>
      </c>
      <c r="B809" s="13" t="s">
        <v>26</v>
      </c>
      <c r="C809" s="13" t="s">
        <v>43</v>
      </c>
      <c r="D809" s="14" t="s">
        <v>50</v>
      </c>
      <c r="E809" s="13" t="s">
        <v>358</v>
      </c>
      <c r="F809" s="13" t="s">
        <v>518</v>
      </c>
      <c r="G809" s="13">
        <v>1.49</v>
      </c>
      <c r="H809" s="15">
        <v>572</v>
      </c>
      <c r="I809" s="16">
        <v>852.28</v>
      </c>
      <c r="J809" s="16">
        <v>1447.9963738980816</v>
      </c>
      <c r="K809" s="16">
        <v>-595.71637389808177</v>
      </c>
      <c r="L809" s="13"/>
      <c r="M809" s="13">
        <v>1.6</v>
      </c>
      <c r="N809" s="17">
        <f t="shared" si="27"/>
        <v>0</v>
      </c>
      <c r="O809" s="17">
        <f t="shared" si="27"/>
        <v>915.2</v>
      </c>
      <c r="P809" s="17">
        <f t="shared" si="26"/>
        <v>915.2</v>
      </c>
      <c r="Q809" t="str">
        <f>A809&amp;"-"&amp;B809&amp;"-"&amp;D809</f>
        <v>FEBRUARI-MJ2-L2</v>
      </c>
    </row>
    <row r="810" spans="1:17" x14ac:dyDescent="0.25">
      <c r="A810" t="s">
        <v>392</v>
      </c>
      <c r="B810" s="13" t="s">
        <v>26</v>
      </c>
      <c r="C810" s="13" t="s">
        <v>43</v>
      </c>
      <c r="D810" s="14" t="s">
        <v>50</v>
      </c>
      <c r="E810" s="13" t="s">
        <v>358</v>
      </c>
      <c r="F810" s="13" t="s">
        <v>519</v>
      </c>
      <c r="G810" s="13">
        <v>1.49</v>
      </c>
      <c r="H810" s="15">
        <v>1099</v>
      </c>
      <c r="I810" s="16">
        <v>1637.5100000000002</v>
      </c>
      <c r="J810" s="16">
        <v>2483.1129291681341</v>
      </c>
      <c r="K810" s="16">
        <v>-845.6029291681341</v>
      </c>
      <c r="L810" s="13"/>
      <c r="M810" s="13">
        <v>1.6</v>
      </c>
      <c r="N810" s="17">
        <f t="shared" si="27"/>
        <v>0</v>
      </c>
      <c r="O810" s="17">
        <f t="shared" si="27"/>
        <v>1758.4</v>
      </c>
      <c r="P810" s="17">
        <f t="shared" si="26"/>
        <v>1758.4</v>
      </c>
      <c r="Q810" t="str">
        <f>A810&amp;"-"&amp;B810&amp;"-"&amp;D810</f>
        <v>FEBRUARI-MJ2-L2</v>
      </c>
    </row>
    <row r="811" spans="1:17" x14ac:dyDescent="0.25">
      <c r="A811" t="s">
        <v>392</v>
      </c>
      <c r="B811" s="13" t="s">
        <v>26</v>
      </c>
      <c r="C811" s="13" t="s">
        <v>43</v>
      </c>
      <c r="D811" s="14" t="s">
        <v>50</v>
      </c>
      <c r="E811" s="13" t="s">
        <v>358</v>
      </c>
      <c r="F811" s="13" t="s">
        <v>373</v>
      </c>
      <c r="G811" s="13">
        <v>1.49</v>
      </c>
      <c r="H811" s="15">
        <v>3569</v>
      </c>
      <c r="I811" s="16">
        <v>5317.8099999999995</v>
      </c>
      <c r="J811" s="16">
        <v>8040.0224252213884</v>
      </c>
      <c r="K811" s="16">
        <v>-2722.2124252213889</v>
      </c>
      <c r="L811" s="13"/>
      <c r="M811" s="13">
        <v>1.6</v>
      </c>
      <c r="N811" s="17">
        <f t="shared" si="27"/>
        <v>0</v>
      </c>
      <c r="O811" s="17">
        <f t="shared" si="27"/>
        <v>5710.4000000000005</v>
      </c>
      <c r="P811" s="17">
        <f t="shared" si="26"/>
        <v>5710.4000000000005</v>
      </c>
      <c r="Q811" t="str">
        <f>A811&amp;"-"&amp;B811&amp;"-"&amp;D811</f>
        <v>FEBRUARI-MJ2-L2</v>
      </c>
    </row>
    <row r="812" spans="1:17" x14ac:dyDescent="0.25">
      <c r="A812" t="s">
        <v>392</v>
      </c>
      <c r="B812" s="13" t="s">
        <v>26</v>
      </c>
      <c r="C812" s="13" t="s">
        <v>43</v>
      </c>
      <c r="D812" s="14" t="s">
        <v>50</v>
      </c>
      <c r="E812" s="13" t="s">
        <v>58</v>
      </c>
      <c r="F812" s="13" t="s">
        <v>520</v>
      </c>
      <c r="G812" s="13">
        <v>1.49</v>
      </c>
      <c r="H812" s="15">
        <v>616</v>
      </c>
      <c r="I812" s="16">
        <v>917.83999999999992</v>
      </c>
      <c r="J812" s="16">
        <v>1304.3827751196172</v>
      </c>
      <c r="K812" s="16">
        <v>-386.54277511961726</v>
      </c>
      <c r="L812" s="13"/>
      <c r="M812" s="13">
        <v>1.6</v>
      </c>
      <c r="N812" s="17">
        <f t="shared" si="27"/>
        <v>0</v>
      </c>
      <c r="O812" s="17">
        <f t="shared" si="27"/>
        <v>985.6</v>
      </c>
      <c r="P812" s="17">
        <f t="shared" si="26"/>
        <v>985.6</v>
      </c>
      <c r="Q812" t="str">
        <f>A812&amp;"-"&amp;B812&amp;"-"&amp;D812</f>
        <v>FEBRUARI-MJ2-L2</v>
      </c>
    </row>
    <row r="813" spans="1:17" x14ac:dyDescent="0.25">
      <c r="A813" t="s">
        <v>392</v>
      </c>
      <c r="B813" s="13" t="s">
        <v>26</v>
      </c>
      <c r="C813" s="13" t="s">
        <v>43</v>
      </c>
      <c r="D813" s="14" t="s">
        <v>56</v>
      </c>
      <c r="E813" s="13" t="s">
        <v>358</v>
      </c>
      <c r="F813" s="13" t="s">
        <v>518</v>
      </c>
      <c r="G813" s="13">
        <v>1.49</v>
      </c>
      <c r="H813" s="15">
        <v>1392</v>
      </c>
      <c r="I813" s="16">
        <v>2074.08</v>
      </c>
      <c r="J813" s="16">
        <v>4310.9743589743593</v>
      </c>
      <c r="K813" s="16">
        <v>-2236.894358974359</v>
      </c>
      <c r="L813" s="13"/>
      <c r="M813" s="13">
        <v>1.6</v>
      </c>
      <c r="N813" s="17">
        <f t="shared" si="27"/>
        <v>0</v>
      </c>
      <c r="O813" s="17">
        <f t="shared" si="27"/>
        <v>2227.2000000000003</v>
      </c>
      <c r="P813" s="17">
        <f t="shared" si="26"/>
        <v>2227.2000000000003</v>
      </c>
      <c r="Q813" t="str">
        <f>A813&amp;"-"&amp;B813&amp;"-"&amp;D813</f>
        <v>FEBRUARI-MJ2-L3</v>
      </c>
    </row>
    <row r="814" spans="1:17" x14ac:dyDescent="0.25">
      <c r="A814" t="s">
        <v>392</v>
      </c>
      <c r="B814" s="13" t="s">
        <v>26</v>
      </c>
      <c r="C814" s="13" t="s">
        <v>43</v>
      </c>
      <c r="D814" s="14" t="s">
        <v>56</v>
      </c>
      <c r="E814" s="13" t="s">
        <v>358</v>
      </c>
      <c r="F814" s="13" t="s">
        <v>519</v>
      </c>
      <c r="G814" s="13">
        <v>1.49</v>
      </c>
      <c r="H814" s="15">
        <v>859</v>
      </c>
      <c r="I814" s="16">
        <v>1279.9100000000001</v>
      </c>
      <c r="J814" s="16">
        <v>1930.8956873371424</v>
      </c>
      <c r="K814" s="16">
        <v>-650.98568733714239</v>
      </c>
      <c r="L814" s="13"/>
      <c r="M814" s="13">
        <v>1.6</v>
      </c>
      <c r="N814" s="17">
        <f t="shared" si="27"/>
        <v>0</v>
      </c>
      <c r="O814" s="17">
        <f t="shared" si="27"/>
        <v>1374.4</v>
      </c>
      <c r="P814" s="17">
        <f t="shared" si="26"/>
        <v>1374.4</v>
      </c>
      <c r="Q814" t="str">
        <f>A814&amp;"-"&amp;B814&amp;"-"&amp;D814</f>
        <v>FEBRUARI-MJ2-L3</v>
      </c>
    </row>
    <row r="815" spans="1:17" x14ac:dyDescent="0.25">
      <c r="A815" t="s">
        <v>392</v>
      </c>
      <c r="B815" s="13" t="s">
        <v>26</v>
      </c>
      <c r="C815" s="13" t="s">
        <v>43</v>
      </c>
      <c r="D815" s="14" t="s">
        <v>56</v>
      </c>
      <c r="E815" s="13" t="s">
        <v>358</v>
      </c>
      <c r="F815" s="13" t="s">
        <v>373</v>
      </c>
      <c r="G815" s="13">
        <v>1.49</v>
      </c>
      <c r="H815" s="15">
        <v>4075</v>
      </c>
      <c r="I815" s="16">
        <v>6071.75</v>
      </c>
      <c r="J815" s="16">
        <v>9599.2919959473165</v>
      </c>
      <c r="K815" s="16">
        <v>-3527.5419959473147</v>
      </c>
      <c r="L815" s="13"/>
      <c r="M815" s="13">
        <v>1.6</v>
      </c>
      <c r="N815" s="17">
        <f t="shared" si="27"/>
        <v>0</v>
      </c>
      <c r="O815" s="17">
        <f t="shared" si="27"/>
        <v>6520</v>
      </c>
      <c r="P815" s="17">
        <f t="shared" si="26"/>
        <v>6520</v>
      </c>
      <c r="Q815" t="str">
        <f>A815&amp;"-"&amp;B815&amp;"-"&amp;D815</f>
        <v>FEBRUARI-MJ2-L3</v>
      </c>
    </row>
    <row r="816" spans="1:17" x14ac:dyDescent="0.25">
      <c r="A816" t="s">
        <v>392</v>
      </c>
      <c r="B816" s="13" t="s">
        <v>26</v>
      </c>
      <c r="C816" s="13" t="s">
        <v>43</v>
      </c>
      <c r="D816" s="14" t="s">
        <v>56</v>
      </c>
      <c r="E816" s="13" t="s">
        <v>58</v>
      </c>
      <c r="F816" s="13" t="s">
        <v>521</v>
      </c>
      <c r="G816" s="13">
        <v>1.49</v>
      </c>
      <c r="H816" s="15">
        <v>57</v>
      </c>
      <c r="I816" s="16">
        <v>84.929999999999993</v>
      </c>
      <c r="J816" s="16">
        <v>142.83795774118354</v>
      </c>
      <c r="K816" s="16">
        <v>-57.907957741183552</v>
      </c>
      <c r="L816" s="13"/>
      <c r="M816" s="13">
        <v>1.6</v>
      </c>
      <c r="N816" s="17">
        <f t="shared" si="27"/>
        <v>0</v>
      </c>
      <c r="O816" s="17">
        <f t="shared" si="27"/>
        <v>91.2</v>
      </c>
      <c r="P816" s="17">
        <f t="shared" si="26"/>
        <v>91.2</v>
      </c>
      <c r="Q816" t="str">
        <f>A816&amp;"-"&amp;B816&amp;"-"&amp;D816</f>
        <v>FEBRUARI-MJ2-L3</v>
      </c>
    </row>
    <row r="817" spans="1:17" x14ac:dyDescent="0.25">
      <c r="A817" t="s">
        <v>392</v>
      </c>
      <c r="B817" s="13" t="s">
        <v>26</v>
      </c>
      <c r="C817" s="13" t="s">
        <v>43</v>
      </c>
      <c r="D817" s="14" t="s">
        <v>56</v>
      </c>
      <c r="E817" s="13" t="s">
        <v>58</v>
      </c>
      <c r="F817" s="13" t="s">
        <v>520</v>
      </c>
      <c r="G817" s="13">
        <v>1.49</v>
      </c>
      <c r="H817" s="15">
        <v>746</v>
      </c>
      <c r="I817" s="16">
        <v>1111.54</v>
      </c>
      <c r="J817" s="16">
        <v>1579.3714285714286</v>
      </c>
      <c r="K817" s="16">
        <v>-467.83142857142866</v>
      </c>
      <c r="L817" s="13"/>
      <c r="M817" s="13">
        <v>1.6</v>
      </c>
      <c r="N817" s="17">
        <f t="shared" si="27"/>
        <v>0</v>
      </c>
      <c r="O817" s="17">
        <f t="shared" si="27"/>
        <v>1193.6000000000001</v>
      </c>
      <c r="P817" s="17">
        <f t="shared" si="26"/>
        <v>1193.6000000000001</v>
      </c>
      <c r="Q817" t="str">
        <f>A817&amp;"-"&amp;B817&amp;"-"&amp;D817</f>
        <v>FEBRUARI-MJ2-L3</v>
      </c>
    </row>
    <row r="818" spans="1:17" x14ac:dyDescent="0.25">
      <c r="A818" t="s">
        <v>392</v>
      </c>
      <c r="B818" s="13" t="s">
        <v>26</v>
      </c>
      <c r="C818" s="13" t="s">
        <v>43</v>
      </c>
      <c r="D818" s="14" t="s">
        <v>56</v>
      </c>
      <c r="E818" s="13" t="s">
        <v>58</v>
      </c>
      <c r="F818" s="13" t="s">
        <v>522</v>
      </c>
      <c r="G818" s="13">
        <v>1.49</v>
      </c>
      <c r="H818" s="15">
        <v>93</v>
      </c>
      <c r="I818" s="16">
        <v>138.57</v>
      </c>
      <c r="J818" s="16">
        <v>196.62857142857143</v>
      </c>
      <c r="K818" s="16">
        <v>-58.05857142857144</v>
      </c>
      <c r="L818" s="13"/>
      <c r="M818" s="13">
        <v>1.6</v>
      </c>
      <c r="N818" s="17">
        <f t="shared" si="27"/>
        <v>0</v>
      </c>
      <c r="O818" s="17">
        <f t="shared" si="27"/>
        <v>148.80000000000001</v>
      </c>
      <c r="P818" s="17">
        <f t="shared" si="26"/>
        <v>148.80000000000001</v>
      </c>
      <c r="Q818" t="str">
        <f>A818&amp;"-"&amp;B818&amp;"-"&amp;D818</f>
        <v>FEBRUARI-MJ2-L3</v>
      </c>
    </row>
    <row r="819" spans="1:17" x14ac:dyDescent="0.25">
      <c r="A819" t="s">
        <v>392</v>
      </c>
      <c r="B819" s="13" t="s">
        <v>26</v>
      </c>
      <c r="C819" s="13" t="s">
        <v>212</v>
      </c>
      <c r="D819" s="14" t="s">
        <v>320</v>
      </c>
      <c r="E819" s="13" t="s">
        <v>65</v>
      </c>
      <c r="F819" s="13" t="s">
        <v>374</v>
      </c>
      <c r="G819" s="13">
        <v>0.68</v>
      </c>
      <c r="H819" s="15">
        <v>198</v>
      </c>
      <c r="I819" s="16">
        <v>134.63999999999999</v>
      </c>
      <c r="J819" s="16">
        <v>249.75</v>
      </c>
      <c r="K819" s="16">
        <v>-115.11000000000001</v>
      </c>
      <c r="L819" s="13">
        <v>1</v>
      </c>
      <c r="M819" s="13"/>
      <c r="N819" s="17">
        <f t="shared" si="27"/>
        <v>198</v>
      </c>
      <c r="O819" s="17">
        <f t="shared" si="27"/>
        <v>0</v>
      </c>
      <c r="P819" s="17">
        <f t="shared" si="26"/>
        <v>198</v>
      </c>
      <c r="Q819" t="str">
        <f>A819&amp;"-"&amp;B819&amp;"-"&amp;D819</f>
        <v>FEBRUARI-MJ2-L13</v>
      </c>
    </row>
    <row r="820" spans="1:17" x14ac:dyDescent="0.25">
      <c r="A820" t="s">
        <v>393</v>
      </c>
      <c r="B820" s="13" t="s">
        <v>18</v>
      </c>
      <c r="C820" s="13" t="s">
        <v>43</v>
      </c>
      <c r="D820" s="14" t="s">
        <v>44</v>
      </c>
      <c r="E820" s="13" t="s">
        <v>71</v>
      </c>
      <c r="F820" s="13" t="s">
        <v>523</v>
      </c>
      <c r="G820" s="13">
        <v>3.75</v>
      </c>
      <c r="H820" s="15">
        <v>2587</v>
      </c>
      <c r="I820" s="16">
        <v>9701.25</v>
      </c>
      <c r="J820" s="16">
        <v>9883.58</v>
      </c>
      <c r="K820" s="16">
        <v>-182.33000000000004</v>
      </c>
      <c r="L820" s="13"/>
      <c r="M820" s="13">
        <v>4.13</v>
      </c>
      <c r="N820" s="17">
        <f t="shared" si="27"/>
        <v>0</v>
      </c>
      <c r="O820" s="17">
        <f t="shared" si="27"/>
        <v>10684.31</v>
      </c>
      <c r="P820" s="17">
        <f t="shared" si="26"/>
        <v>10684.31</v>
      </c>
      <c r="Q820" t="str">
        <f>A820&amp;"-"&amp;B820&amp;"-"&amp;D820</f>
        <v>MARET-CBA-L1</v>
      </c>
    </row>
    <row r="821" spans="1:17" x14ac:dyDescent="0.25">
      <c r="A821" t="s">
        <v>393</v>
      </c>
      <c r="B821" s="13" t="s">
        <v>18</v>
      </c>
      <c r="C821" s="13" t="s">
        <v>43</v>
      </c>
      <c r="D821" s="14" t="s">
        <v>44</v>
      </c>
      <c r="E821" s="13" t="s">
        <v>47</v>
      </c>
      <c r="F821" s="13" t="s">
        <v>53</v>
      </c>
      <c r="G821" s="13">
        <v>4.18</v>
      </c>
      <c r="H821" s="15">
        <v>344</v>
      </c>
      <c r="I821" s="16">
        <v>1437.92</v>
      </c>
      <c r="J821" s="16">
        <v>1370</v>
      </c>
      <c r="K821" s="16">
        <v>67.919999999999959</v>
      </c>
      <c r="L821" s="13"/>
      <c r="M821" s="13">
        <v>4.55</v>
      </c>
      <c r="N821" s="17">
        <f t="shared" ref="N821:O871" si="28">$H821*L821</f>
        <v>0</v>
      </c>
      <c r="O821" s="17">
        <f t="shared" si="28"/>
        <v>1565.2</v>
      </c>
      <c r="P821" s="17">
        <f t="shared" si="26"/>
        <v>1565.2</v>
      </c>
      <c r="Q821" t="str">
        <f>A821&amp;"-"&amp;B821&amp;"-"&amp;D821</f>
        <v>MARET-CBA-L1</v>
      </c>
    </row>
    <row r="822" spans="1:17" x14ac:dyDescent="0.25">
      <c r="A822" t="s">
        <v>393</v>
      </c>
      <c r="B822" s="13" t="s">
        <v>18</v>
      </c>
      <c r="C822" s="13" t="s">
        <v>43</v>
      </c>
      <c r="D822" s="14" t="s">
        <v>44</v>
      </c>
      <c r="E822" s="13" t="s">
        <v>47</v>
      </c>
      <c r="F822" s="13" t="s">
        <v>48</v>
      </c>
      <c r="G822" s="13">
        <v>4.13</v>
      </c>
      <c r="H822" s="15">
        <v>1360</v>
      </c>
      <c r="I822" s="16">
        <v>5616.8</v>
      </c>
      <c r="J822" s="16">
        <v>5773.58</v>
      </c>
      <c r="K822" s="16">
        <v>-156.7800000000002</v>
      </c>
      <c r="L822" s="13"/>
      <c r="M822" s="13">
        <v>4.5</v>
      </c>
      <c r="N822" s="17">
        <f t="shared" si="28"/>
        <v>0</v>
      </c>
      <c r="O822" s="17">
        <f t="shared" si="28"/>
        <v>6120</v>
      </c>
      <c r="P822" s="17">
        <f t="shared" si="26"/>
        <v>6120</v>
      </c>
      <c r="Q822" t="str">
        <f>A822&amp;"-"&amp;B822&amp;"-"&amp;D822</f>
        <v>MARET-CBA-L1</v>
      </c>
    </row>
    <row r="823" spans="1:17" x14ac:dyDescent="0.25">
      <c r="A823" t="s">
        <v>393</v>
      </c>
      <c r="B823" s="13" t="s">
        <v>18</v>
      </c>
      <c r="C823" s="13" t="s">
        <v>43</v>
      </c>
      <c r="D823" s="14" t="s">
        <v>50</v>
      </c>
      <c r="E823" s="13" t="s">
        <v>71</v>
      </c>
      <c r="F823" s="13" t="s">
        <v>523</v>
      </c>
      <c r="G823" s="13">
        <v>3.75</v>
      </c>
      <c r="H823" s="15">
        <v>2011</v>
      </c>
      <c r="I823" s="16">
        <v>7541.25</v>
      </c>
      <c r="J823" s="16">
        <v>8106.2827027027024</v>
      </c>
      <c r="K823" s="16">
        <v>-565.03270270270264</v>
      </c>
      <c r="L823" s="13"/>
      <c r="M823" s="13">
        <v>4.13</v>
      </c>
      <c r="N823" s="17">
        <f t="shared" si="28"/>
        <v>0</v>
      </c>
      <c r="O823" s="17">
        <f t="shared" si="28"/>
        <v>8305.43</v>
      </c>
      <c r="P823" s="17">
        <f t="shared" si="26"/>
        <v>8305.43</v>
      </c>
      <c r="Q823" t="str">
        <f>A823&amp;"-"&amp;B823&amp;"-"&amp;D823</f>
        <v>MARET-CBA-L2</v>
      </c>
    </row>
    <row r="824" spans="1:17" x14ac:dyDescent="0.25">
      <c r="A824" t="s">
        <v>393</v>
      </c>
      <c r="B824" s="13" t="s">
        <v>18</v>
      </c>
      <c r="C824" s="13" t="s">
        <v>43</v>
      </c>
      <c r="D824" s="14" t="s">
        <v>50</v>
      </c>
      <c r="E824" s="13" t="s">
        <v>47</v>
      </c>
      <c r="F824" s="13" t="s">
        <v>48</v>
      </c>
      <c r="G824" s="13">
        <v>4.1300000000000008</v>
      </c>
      <c r="H824" s="15">
        <v>1831</v>
      </c>
      <c r="I824" s="16">
        <v>7562.0299999999988</v>
      </c>
      <c r="J824" s="16">
        <v>8235.8772972972984</v>
      </c>
      <c r="K824" s="16">
        <v>-673.84729729729747</v>
      </c>
      <c r="L824" s="13"/>
      <c r="M824" s="13">
        <v>4.5</v>
      </c>
      <c r="N824" s="17">
        <f t="shared" si="28"/>
        <v>0</v>
      </c>
      <c r="O824" s="17">
        <f t="shared" si="28"/>
        <v>8239.5</v>
      </c>
      <c r="P824" s="17">
        <f t="shared" si="26"/>
        <v>8239.5</v>
      </c>
      <c r="Q824" t="str">
        <f>A824&amp;"-"&amp;B824&amp;"-"&amp;D824</f>
        <v>MARET-CBA-L2</v>
      </c>
    </row>
    <row r="825" spans="1:17" x14ac:dyDescent="0.25">
      <c r="A825" t="s">
        <v>393</v>
      </c>
      <c r="B825" s="13" t="s">
        <v>18</v>
      </c>
      <c r="C825" s="13" t="s">
        <v>43</v>
      </c>
      <c r="D825" s="14" t="s">
        <v>50</v>
      </c>
      <c r="E825" s="13" t="s">
        <v>179</v>
      </c>
      <c r="F825" s="13" t="s">
        <v>524</v>
      </c>
      <c r="G825" s="13">
        <v>1.54</v>
      </c>
      <c r="H825" s="15">
        <v>426</v>
      </c>
      <c r="I825" s="16">
        <v>656.04</v>
      </c>
      <c r="J825" s="16">
        <v>685</v>
      </c>
      <c r="K825" s="16">
        <v>-28.960000000000036</v>
      </c>
      <c r="L825" s="13"/>
      <c r="M825" s="13">
        <v>1.65</v>
      </c>
      <c r="N825" s="17">
        <f t="shared" si="28"/>
        <v>0</v>
      </c>
      <c r="O825" s="17">
        <f t="shared" si="28"/>
        <v>702.9</v>
      </c>
      <c r="P825" s="17">
        <f t="shared" si="26"/>
        <v>702.9</v>
      </c>
      <c r="Q825" t="str">
        <f>A825&amp;"-"&amp;B825&amp;"-"&amp;D825</f>
        <v>MARET-CBA-L2</v>
      </c>
    </row>
    <row r="826" spans="1:17" x14ac:dyDescent="0.25">
      <c r="A826" t="s">
        <v>393</v>
      </c>
      <c r="B826" s="13" t="s">
        <v>18</v>
      </c>
      <c r="C826" s="13" t="s">
        <v>43</v>
      </c>
      <c r="D826" s="14" t="s">
        <v>56</v>
      </c>
      <c r="E826" s="13" t="s">
        <v>45</v>
      </c>
      <c r="F826" s="13" t="s">
        <v>57</v>
      </c>
      <c r="G826" s="13">
        <v>3.33</v>
      </c>
      <c r="H826" s="15">
        <v>129</v>
      </c>
      <c r="I826" s="16">
        <v>429.57</v>
      </c>
      <c r="J826" s="16">
        <v>685</v>
      </c>
      <c r="K826" s="16">
        <v>-255.43</v>
      </c>
      <c r="L826" s="13"/>
      <c r="M826" s="13">
        <v>3.7</v>
      </c>
      <c r="N826" s="17">
        <f t="shared" si="28"/>
        <v>0</v>
      </c>
      <c r="O826" s="17">
        <f t="shared" si="28"/>
        <v>477.3</v>
      </c>
      <c r="P826" s="17">
        <f t="shared" si="26"/>
        <v>477.3</v>
      </c>
      <c r="Q826" t="str">
        <f>A826&amp;"-"&amp;B826&amp;"-"&amp;D826</f>
        <v>MARET-CBA-L3</v>
      </c>
    </row>
    <row r="827" spans="1:17" x14ac:dyDescent="0.25">
      <c r="A827" t="s">
        <v>393</v>
      </c>
      <c r="B827" s="13" t="s">
        <v>18</v>
      </c>
      <c r="C827" s="13" t="s">
        <v>43</v>
      </c>
      <c r="D827" s="14" t="s">
        <v>56</v>
      </c>
      <c r="E827" s="13" t="s">
        <v>45</v>
      </c>
      <c r="F827" s="13" t="s">
        <v>525</v>
      </c>
      <c r="G827" s="13">
        <v>2.75</v>
      </c>
      <c r="H827" s="15">
        <v>2597</v>
      </c>
      <c r="I827" s="16">
        <v>7141.75</v>
      </c>
      <c r="J827" s="16">
        <v>10220.647777777778</v>
      </c>
      <c r="K827" s="16">
        <v>-3078.8977777777777</v>
      </c>
      <c r="L827" s="13"/>
      <c r="M827" s="13">
        <v>3.1</v>
      </c>
      <c r="N827" s="17">
        <f t="shared" si="28"/>
        <v>0</v>
      </c>
      <c r="O827" s="17">
        <f t="shared" si="28"/>
        <v>8050.7</v>
      </c>
      <c r="P827" s="17">
        <f t="shared" si="26"/>
        <v>8050.7</v>
      </c>
      <c r="Q827" t="str">
        <f>A827&amp;"-"&amp;B827&amp;"-"&amp;D827</f>
        <v>MARET-CBA-L3</v>
      </c>
    </row>
    <row r="828" spans="1:17" x14ac:dyDescent="0.25">
      <c r="A828" t="s">
        <v>393</v>
      </c>
      <c r="B828" s="13" t="s">
        <v>18</v>
      </c>
      <c r="C828" s="13" t="s">
        <v>43</v>
      </c>
      <c r="D828" s="14" t="s">
        <v>56</v>
      </c>
      <c r="E828" s="13" t="s">
        <v>45</v>
      </c>
      <c r="F828" s="13" t="s">
        <v>526</v>
      </c>
      <c r="G828" s="13">
        <v>2.6</v>
      </c>
      <c r="H828" s="15">
        <v>1020</v>
      </c>
      <c r="I828" s="16">
        <v>2652</v>
      </c>
      <c r="J828" s="16">
        <v>4751.5122222222226</v>
      </c>
      <c r="K828" s="16">
        <v>-2099.5122222222221</v>
      </c>
      <c r="L828" s="13"/>
      <c r="M828" s="13">
        <v>2.93</v>
      </c>
      <c r="N828" s="17">
        <f t="shared" si="28"/>
        <v>0</v>
      </c>
      <c r="O828" s="17">
        <f t="shared" si="28"/>
        <v>2988.6000000000004</v>
      </c>
      <c r="P828" s="17">
        <f t="shared" si="26"/>
        <v>2988.6000000000004</v>
      </c>
      <c r="Q828" t="str">
        <f>A828&amp;"-"&amp;B828&amp;"-"&amp;D828</f>
        <v>MARET-CBA-L3</v>
      </c>
    </row>
    <row r="829" spans="1:17" x14ac:dyDescent="0.25">
      <c r="A829" t="s">
        <v>393</v>
      </c>
      <c r="B829" s="13" t="s">
        <v>18</v>
      </c>
      <c r="C829" s="13" t="s">
        <v>43</v>
      </c>
      <c r="D829" s="14" t="s">
        <v>56</v>
      </c>
      <c r="E829" s="13" t="s">
        <v>179</v>
      </c>
      <c r="F829" s="13" t="s">
        <v>527</v>
      </c>
      <c r="G829" s="13">
        <v>1.54</v>
      </c>
      <c r="H829" s="15">
        <v>852</v>
      </c>
      <c r="I829" s="16">
        <v>1312.08</v>
      </c>
      <c r="J829" s="16">
        <v>1370</v>
      </c>
      <c r="K829" s="16">
        <v>-57.920000000000073</v>
      </c>
      <c r="L829" s="13"/>
      <c r="M829" s="13">
        <v>1.65</v>
      </c>
      <c r="N829" s="17">
        <f t="shared" si="28"/>
        <v>0</v>
      </c>
      <c r="O829" s="17">
        <f t="shared" si="28"/>
        <v>1405.8</v>
      </c>
      <c r="P829" s="17">
        <f t="shared" si="26"/>
        <v>1405.8</v>
      </c>
      <c r="Q829" t="str">
        <f>A829&amp;"-"&amp;B829&amp;"-"&amp;D829</f>
        <v>MARET-CBA-L3</v>
      </c>
    </row>
    <row r="830" spans="1:17" x14ac:dyDescent="0.25">
      <c r="A830" t="s">
        <v>393</v>
      </c>
      <c r="B830" s="13" t="s">
        <v>19</v>
      </c>
      <c r="C830" s="13" t="s">
        <v>60</v>
      </c>
      <c r="D830" s="14" t="s">
        <v>44</v>
      </c>
      <c r="E830" s="13" t="s">
        <v>191</v>
      </c>
      <c r="F830" s="13" t="s">
        <v>528</v>
      </c>
      <c r="G830" s="13">
        <v>3.57</v>
      </c>
      <c r="H830" s="15">
        <v>451</v>
      </c>
      <c r="I830" s="16">
        <v>1610.0700000000002</v>
      </c>
      <c r="J830" s="16">
        <v>4359.8144329896904</v>
      </c>
      <c r="K830" s="16">
        <v>-2749.7444329896907</v>
      </c>
      <c r="L830" s="13">
        <v>16.62</v>
      </c>
      <c r="M830" s="13"/>
      <c r="N830" s="17">
        <f t="shared" si="28"/>
        <v>7495.6200000000008</v>
      </c>
      <c r="O830" s="17">
        <f t="shared" si="28"/>
        <v>0</v>
      </c>
      <c r="P830" s="17">
        <f t="shared" si="26"/>
        <v>7495.6200000000008</v>
      </c>
      <c r="Q830" t="str">
        <f>A830&amp;"-"&amp;B830&amp;"-"&amp;D830</f>
        <v>MARET-CHW-L1</v>
      </c>
    </row>
    <row r="831" spans="1:17" x14ac:dyDescent="0.25">
      <c r="A831" t="s">
        <v>393</v>
      </c>
      <c r="B831" s="13" t="s">
        <v>19</v>
      </c>
      <c r="C831" s="13" t="s">
        <v>60</v>
      </c>
      <c r="D831" s="14" t="s">
        <v>44</v>
      </c>
      <c r="E831" s="13" t="s">
        <v>77</v>
      </c>
      <c r="F831" s="13" t="s">
        <v>529</v>
      </c>
      <c r="G831" s="13">
        <v>2.9699999999999998</v>
      </c>
      <c r="H831" s="15">
        <v>1988</v>
      </c>
      <c r="I831" s="16">
        <v>5904.3600000000006</v>
      </c>
      <c r="J831" s="16">
        <v>4123</v>
      </c>
      <c r="K831" s="16">
        <v>1781.3600000000001</v>
      </c>
      <c r="L831" s="13">
        <v>8.6199999999999992</v>
      </c>
      <c r="M831" s="13"/>
      <c r="N831" s="17">
        <f t="shared" si="28"/>
        <v>17136.559999999998</v>
      </c>
      <c r="O831" s="17">
        <f t="shared" si="28"/>
        <v>0</v>
      </c>
      <c r="P831" s="17">
        <f t="shared" si="26"/>
        <v>17136.559999999998</v>
      </c>
      <c r="Q831" t="str">
        <f>A831&amp;"-"&amp;B831&amp;"-"&amp;D831</f>
        <v>MARET-CHW-L1</v>
      </c>
    </row>
    <row r="832" spans="1:17" x14ac:dyDescent="0.25">
      <c r="A832" t="s">
        <v>393</v>
      </c>
      <c r="B832" s="13" t="s">
        <v>19</v>
      </c>
      <c r="C832" s="13" t="s">
        <v>60</v>
      </c>
      <c r="D832" s="14" t="s">
        <v>50</v>
      </c>
      <c r="E832" s="13" t="s">
        <v>61</v>
      </c>
      <c r="F832" s="13" t="s">
        <v>530</v>
      </c>
      <c r="G832" s="13">
        <v>1.0999999999999999</v>
      </c>
      <c r="H832" s="15">
        <v>2440</v>
      </c>
      <c r="I832" s="16">
        <v>2684</v>
      </c>
      <c r="J832" s="16">
        <v>2929.5</v>
      </c>
      <c r="K832" s="16">
        <v>-245.5</v>
      </c>
      <c r="L832" s="13">
        <v>2.61</v>
      </c>
      <c r="M832" s="13"/>
      <c r="N832" s="17">
        <f t="shared" si="28"/>
        <v>6368.4</v>
      </c>
      <c r="O832" s="17">
        <f t="shared" si="28"/>
        <v>0</v>
      </c>
      <c r="P832" s="17">
        <f t="shared" si="26"/>
        <v>6368.4</v>
      </c>
      <c r="Q832" t="str">
        <f>A832&amp;"-"&amp;B832&amp;"-"&amp;D832</f>
        <v>MARET-CHW-L2</v>
      </c>
    </row>
    <row r="833" spans="1:17" x14ac:dyDescent="0.25">
      <c r="A833" t="s">
        <v>393</v>
      </c>
      <c r="B833" s="13" t="s">
        <v>19</v>
      </c>
      <c r="C833" s="13" t="s">
        <v>60</v>
      </c>
      <c r="D833" s="14" t="s">
        <v>50</v>
      </c>
      <c r="E833" s="13" t="s">
        <v>191</v>
      </c>
      <c r="F833" s="13" t="s">
        <v>409</v>
      </c>
      <c r="G833" s="13">
        <v>4.46</v>
      </c>
      <c r="H833" s="15">
        <v>1083</v>
      </c>
      <c r="I833" s="16">
        <v>4830.1799999999994</v>
      </c>
      <c r="J833" s="16">
        <v>4052.32</v>
      </c>
      <c r="K833" s="16">
        <v>777.86000000000013</v>
      </c>
      <c r="L833" s="13">
        <v>9.41</v>
      </c>
      <c r="M833" s="13"/>
      <c r="N833" s="17">
        <f t="shared" si="28"/>
        <v>10191.030000000001</v>
      </c>
      <c r="O833" s="17">
        <f t="shared" si="28"/>
        <v>0</v>
      </c>
      <c r="P833" s="17">
        <f t="shared" si="26"/>
        <v>10191.030000000001</v>
      </c>
      <c r="Q833" t="str">
        <f>A833&amp;"-"&amp;B833&amp;"-"&amp;D833</f>
        <v>MARET-CHW-L2</v>
      </c>
    </row>
    <row r="834" spans="1:17" x14ac:dyDescent="0.25">
      <c r="A834" t="s">
        <v>393</v>
      </c>
      <c r="B834" s="13" t="s">
        <v>19</v>
      </c>
      <c r="C834" s="13" t="s">
        <v>60</v>
      </c>
      <c r="D834" s="14" t="s">
        <v>50</v>
      </c>
      <c r="E834" s="13" t="s">
        <v>77</v>
      </c>
      <c r="F834" s="13" t="s">
        <v>531</v>
      </c>
      <c r="G834" s="13">
        <v>4.28</v>
      </c>
      <c r="H834" s="15">
        <v>1748</v>
      </c>
      <c r="I834" s="16">
        <v>7481.44</v>
      </c>
      <c r="J834" s="16">
        <v>6565.18</v>
      </c>
      <c r="K834" s="16">
        <v>916.2600000000001</v>
      </c>
      <c r="L834" s="13">
        <v>8.34</v>
      </c>
      <c r="M834" s="13"/>
      <c r="N834" s="17">
        <f t="shared" si="28"/>
        <v>14578.32</v>
      </c>
      <c r="O834" s="17">
        <f t="shared" si="28"/>
        <v>0</v>
      </c>
      <c r="P834" s="17">
        <f t="shared" ref="P834:P897" si="29">N834+O834</f>
        <v>14578.32</v>
      </c>
      <c r="Q834" t="str">
        <f>A834&amp;"-"&amp;B834&amp;"-"&amp;D834</f>
        <v>MARET-CHW-L2</v>
      </c>
    </row>
    <row r="835" spans="1:17" x14ac:dyDescent="0.25">
      <c r="A835" t="s">
        <v>393</v>
      </c>
      <c r="B835" s="13" t="s">
        <v>19</v>
      </c>
      <c r="C835" s="13" t="s">
        <v>60</v>
      </c>
      <c r="D835" s="14" t="s">
        <v>56</v>
      </c>
      <c r="E835" s="13" t="s">
        <v>191</v>
      </c>
      <c r="F835" s="13" t="s">
        <v>532</v>
      </c>
      <c r="G835" s="13">
        <v>1.19</v>
      </c>
      <c r="H835" s="15">
        <v>965</v>
      </c>
      <c r="I835" s="16">
        <v>1148.3499999999999</v>
      </c>
      <c r="J835" s="16">
        <v>2142.3614457831327</v>
      </c>
      <c r="K835" s="16">
        <v>-994.01144578313256</v>
      </c>
      <c r="L835" s="13">
        <v>2.86</v>
      </c>
      <c r="M835" s="13"/>
      <c r="N835" s="17">
        <f t="shared" si="28"/>
        <v>2759.9</v>
      </c>
      <c r="O835" s="17">
        <f t="shared" si="28"/>
        <v>0</v>
      </c>
      <c r="P835" s="17">
        <f t="shared" si="29"/>
        <v>2759.9</v>
      </c>
      <c r="Q835" t="str">
        <f>A835&amp;"-"&amp;B835&amp;"-"&amp;D835</f>
        <v>MARET-CHW-L3</v>
      </c>
    </row>
    <row r="836" spans="1:17" x14ac:dyDescent="0.25">
      <c r="A836" t="s">
        <v>393</v>
      </c>
      <c r="B836" s="13" t="s">
        <v>19</v>
      </c>
      <c r="C836" s="13" t="s">
        <v>60</v>
      </c>
      <c r="D836" s="14" t="s">
        <v>56</v>
      </c>
      <c r="E836" s="13" t="s">
        <v>77</v>
      </c>
      <c r="F836" s="13" t="s">
        <v>411</v>
      </c>
      <c r="G836" s="13">
        <v>3.59</v>
      </c>
      <c r="H836" s="15">
        <v>213</v>
      </c>
      <c r="I836" s="16">
        <v>764.67</v>
      </c>
      <c r="J836" s="16">
        <v>1178</v>
      </c>
      <c r="K836" s="16">
        <v>-413.33000000000004</v>
      </c>
      <c r="L836" s="13">
        <v>9.5500000000000007</v>
      </c>
      <c r="M836" s="13"/>
      <c r="N836" s="17">
        <f t="shared" si="28"/>
        <v>2034.15</v>
      </c>
      <c r="O836" s="17">
        <f t="shared" si="28"/>
        <v>0</v>
      </c>
      <c r="P836" s="17">
        <f t="shared" si="29"/>
        <v>2034.15</v>
      </c>
      <c r="Q836" t="str">
        <f>A836&amp;"-"&amp;B836&amp;"-"&amp;D836</f>
        <v>MARET-CHW-L3</v>
      </c>
    </row>
    <row r="837" spans="1:17" x14ac:dyDescent="0.25">
      <c r="A837" t="s">
        <v>393</v>
      </c>
      <c r="B837" s="13" t="s">
        <v>19</v>
      </c>
      <c r="C837" s="13" t="s">
        <v>60</v>
      </c>
      <c r="D837" s="14" t="s">
        <v>56</v>
      </c>
      <c r="E837" s="13" t="s">
        <v>77</v>
      </c>
      <c r="F837" s="13" t="s">
        <v>531</v>
      </c>
      <c r="G837" s="13">
        <v>4.28</v>
      </c>
      <c r="H837" s="15">
        <v>1196</v>
      </c>
      <c r="I837" s="16">
        <v>5118.8799999999992</v>
      </c>
      <c r="J837" s="16">
        <v>5865.2</v>
      </c>
      <c r="K837" s="16">
        <v>-746.32</v>
      </c>
      <c r="L837" s="13">
        <v>8.34</v>
      </c>
      <c r="M837" s="13"/>
      <c r="N837" s="17">
        <f t="shared" si="28"/>
        <v>9974.64</v>
      </c>
      <c r="O837" s="17">
        <f t="shared" si="28"/>
        <v>0</v>
      </c>
      <c r="P837" s="17">
        <f t="shared" si="29"/>
        <v>9974.64</v>
      </c>
      <c r="Q837" t="str">
        <f>A837&amp;"-"&amp;B837&amp;"-"&amp;D837</f>
        <v>MARET-CHW-L3</v>
      </c>
    </row>
    <row r="838" spans="1:17" x14ac:dyDescent="0.25">
      <c r="A838" t="s">
        <v>393</v>
      </c>
      <c r="B838" s="13" t="s">
        <v>19</v>
      </c>
      <c r="C838" s="13" t="s">
        <v>60</v>
      </c>
      <c r="D838" s="14" t="s">
        <v>56</v>
      </c>
      <c r="E838" s="13" t="s">
        <v>68</v>
      </c>
      <c r="F838" s="13" t="s">
        <v>533</v>
      </c>
      <c r="G838" s="13">
        <v>3.79</v>
      </c>
      <c r="H838" s="15">
        <v>40</v>
      </c>
      <c r="I838" s="16">
        <v>151.6</v>
      </c>
      <c r="J838" s="16">
        <v>117.80000000000001</v>
      </c>
      <c r="K838" s="16">
        <v>33.799999999999983</v>
      </c>
      <c r="L838" s="13">
        <v>9.7200000000000006</v>
      </c>
      <c r="M838" s="13"/>
      <c r="N838" s="17">
        <f t="shared" si="28"/>
        <v>388.8</v>
      </c>
      <c r="O838" s="17">
        <f t="shared" si="28"/>
        <v>0</v>
      </c>
      <c r="P838" s="17">
        <f t="shared" si="29"/>
        <v>388.8</v>
      </c>
      <c r="Q838" t="str">
        <f>A838&amp;"-"&amp;B838&amp;"-"&amp;D838</f>
        <v>MARET-CHW-L3</v>
      </c>
    </row>
    <row r="839" spans="1:17" x14ac:dyDescent="0.25">
      <c r="A839" t="s">
        <v>393</v>
      </c>
      <c r="B839" s="13" t="s">
        <v>19</v>
      </c>
      <c r="C839" s="13" t="s">
        <v>286</v>
      </c>
      <c r="D839" s="14" t="s">
        <v>56</v>
      </c>
      <c r="E839" s="13" t="s">
        <v>534</v>
      </c>
      <c r="F839" s="13" t="s">
        <v>535</v>
      </c>
      <c r="G839" s="13">
        <v>2.75</v>
      </c>
      <c r="H839" s="15">
        <v>1200</v>
      </c>
      <c r="I839" s="16">
        <v>3300</v>
      </c>
      <c r="J839" s="16">
        <v>3421.6950356983489</v>
      </c>
      <c r="K839" s="16">
        <v>-121.69503569834896</v>
      </c>
      <c r="L839" s="13"/>
      <c r="M839" s="13">
        <v>2.75</v>
      </c>
      <c r="N839" s="17">
        <f t="shared" si="28"/>
        <v>0</v>
      </c>
      <c r="O839" s="17">
        <f t="shared" si="28"/>
        <v>3300</v>
      </c>
      <c r="P839" s="17">
        <f t="shared" si="29"/>
        <v>3300</v>
      </c>
      <c r="Q839" t="str">
        <f>A839&amp;"-"&amp;B839&amp;"-"&amp;D839</f>
        <v>MARET-CHW-L3</v>
      </c>
    </row>
    <row r="840" spans="1:17" x14ac:dyDescent="0.25">
      <c r="A840" t="s">
        <v>393</v>
      </c>
      <c r="B840" s="13" t="s">
        <v>19</v>
      </c>
      <c r="C840" s="13" t="s">
        <v>286</v>
      </c>
      <c r="D840" s="14" t="s">
        <v>56</v>
      </c>
      <c r="E840" s="13" t="s">
        <v>534</v>
      </c>
      <c r="F840" s="13" t="s">
        <v>536</v>
      </c>
      <c r="G840" s="13">
        <v>2.75</v>
      </c>
      <c r="H840" s="15">
        <v>368</v>
      </c>
      <c r="I840" s="16">
        <v>1012</v>
      </c>
      <c r="J840" s="16">
        <v>821.94351851851854</v>
      </c>
      <c r="K840" s="16">
        <v>190.05648148148146</v>
      </c>
      <c r="L840" s="13"/>
      <c r="M840" s="13">
        <v>2.75</v>
      </c>
      <c r="N840" s="17">
        <f t="shared" si="28"/>
        <v>0</v>
      </c>
      <c r="O840" s="17">
        <f t="shared" si="28"/>
        <v>1012</v>
      </c>
      <c r="P840" s="17">
        <f t="shared" si="29"/>
        <v>1012</v>
      </c>
      <c r="Q840" t="str">
        <f>A840&amp;"-"&amp;B840&amp;"-"&amp;D840</f>
        <v>MARET-CHW-L3</v>
      </c>
    </row>
    <row r="841" spans="1:17" x14ac:dyDescent="0.25">
      <c r="A841" t="s">
        <v>393</v>
      </c>
      <c r="B841" s="13" t="s">
        <v>19</v>
      </c>
      <c r="C841" s="13" t="s">
        <v>70</v>
      </c>
      <c r="D841" s="14" t="s">
        <v>44</v>
      </c>
      <c r="E841" s="13" t="s">
        <v>71</v>
      </c>
      <c r="F841" s="13" t="s">
        <v>72</v>
      </c>
      <c r="G841" s="13">
        <v>5</v>
      </c>
      <c r="H841" s="15">
        <v>58</v>
      </c>
      <c r="I841" s="16">
        <v>290</v>
      </c>
      <c r="J841" s="16">
        <v>352.18556701030928</v>
      </c>
      <c r="K841" s="16">
        <v>-62.185567010309285</v>
      </c>
      <c r="L841" s="13">
        <v>11.26</v>
      </c>
      <c r="M841" s="13"/>
      <c r="N841" s="17">
        <f t="shared" si="28"/>
        <v>653.08000000000004</v>
      </c>
      <c r="O841" s="17">
        <f t="shared" si="28"/>
        <v>0</v>
      </c>
      <c r="P841" s="17">
        <f t="shared" si="29"/>
        <v>653.08000000000004</v>
      </c>
      <c r="Q841" t="str">
        <f>A841&amp;"-"&amp;B841&amp;"-"&amp;D841</f>
        <v>MARET-CHW-L1</v>
      </c>
    </row>
    <row r="842" spans="1:17" x14ac:dyDescent="0.25">
      <c r="A842" t="s">
        <v>393</v>
      </c>
      <c r="B842" s="13" t="s">
        <v>19</v>
      </c>
      <c r="C842" s="13" t="s">
        <v>70</v>
      </c>
      <c r="D842" s="14" t="s">
        <v>44</v>
      </c>
      <c r="E842" s="13" t="s">
        <v>77</v>
      </c>
      <c r="F842" s="13" t="s">
        <v>537</v>
      </c>
      <c r="G842" s="13">
        <v>3.7000000000000006</v>
      </c>
      <c r="H842" s="15">
        <v>768</v>
      </c>
      <c r="I842" s="16">
        <v>2841.6</v>
      </c>
      <c r="J842" s="16">
        <v>1767</v>
      </c>
      <c r="K842" s="16">
        <v>1074.5999999999999</v>
      </c>
      <c r="L842" s="13">
        <v>8.31</v>
      </c>
      <c r="M842" s="13"/>
      <c r="N842" s="17">
        <f t="shared" si="28"/>
        <v>6382.08</v>
      </c>
      <c r="O842" s="17">
        <f t="shared" si="28"/>
        <v>0</v>
      </c>
      <c r="P842" s="17">
        <f t="shared" si="29"/>
        <v>6382.08</v>
      </c>
      <c r="Q842" t="str">
        <f>A842&amp;"-"&amp;B842&amp;"-"&amp;D842</f>
        <v>MARET-CHW-L1</v>
      </c>
    </row>
    <row r="843" spans="1:17" x14ac:dyDescent="0.25">
      <c r="A843" t="s">
        <v>393</v>
      </c>
      <c r="B843" s="13" t="s">
        <v>19</v>
      </c>
      <c r="C843" s="13" t="s">
        <v>413</v>
      </c>
      <c r="D843" s="14" t="s">
        <v>44</v>
      </c>
      <c r="E843" s="13" t="s">
        <v>414</v>
      </c>
      <c r="F843" s="13" t="s">
        <v>415</v>
      </c>
      <c r="G843" s="13">
        <v>4.5999999999999996</v>
      </c>
      <c r="H843" s="15">
        <v>818</v>
      </c>
      <c r="I843" s="16">
        <v>3762.7999999999997</v>
      </c>
      <c r="J843" s="16">
        <v>2945</v>
      </c>
      <c r="K843" s="16">
        <v>817.8</v>
      </c>
      <c r="L843" s="13"/>
      <c r="M843" s="13"/>
      <c r="N843" s="17">
        <f t="shared" si="28"/>
        <v>0</v>
      </c>
      <c r="O843" s="17">
        <f t="shared" si="28"/>
        <v>0</v>
      </c>
      <c r="P843" s="17">
        <f t="shared" si="29"/>
        <v>0</v>
      </c>
      <c r="Q843" t="str">
        <f>A843&amp;"-"&amp;B843&amp;"-"&amp;D843</f>
        <v>MARET-CHW-L1</v>
      </c>
    </row>
    <row r="844" spans="1:17" x14ac:dyDescent="0.25">
      <c r="A844" t="s">
        <v>393</v>
      </c>
      <c r="B844" s="13" t="s">
        <v>20</v>
      </c>
      <c r="C844" s="13" t="s">
        <v>286</v>
      </c>
      <c r="D844" s="14" t="s">
        <v>56</v>
      </c>
      <c r="E844" s="13" t="s">
        <v>71</v>
      </c>
      <c r="F844" s="13" t="s">
        <v>538</v>
      </c>
      <c r="G844" s="13">
        <v>7.25</v>
      </c>
      <c r="H844" s="15">
        <v>596</v>
      </c>
      <c r="I844" s="16">
        <v>4321</v>
      </c>
      <c r="J844" s="16">
        <v>12075.444444444445</v>
      </c>
      <c r="K844" s="16">
        <v>-7754.4444444444443</v>
      </c>
      <c r="L844" s="13"/>
      <c r="M844" s="13">
        <v>7.25</v>
      </c>
      <c r="N844" s="17">
        <f t="shared" si="28"/>
        <v>0</v>
      </c>
      <c r="O844" s="17">
        <f t="shared" si="28"/>
        <v>4321</v>
      </c>
      <c r="P844" s="17">
        <f t="shared" si="29"/>
        <v>4321</v>
      </c>
      <c r="Q844" t="str">
        <f>A844&amp;"-"&amp;B844&amp;"-"&amp;D844</f>
        <v>MARET-CJL-L3</v>
      </c>
    </row>
    <row r="845" spans="1:17" x14ac:dyDescent="0.25">
      <c r="A845" t="s">
        <v>393</v>
      </c>
      <c r="B845" s="13" t="s">
        <v>20</v>
      </c>
      <c r="C845" s="13" t="s">
        <v>286</v>
      </c>
      <c r="D845" s="14" t="s">
        <v>56</v>
      </c>
      <c r="E845" s="13" t="s">
        <v>71</v>
      </c>
      <c r="F845" s="13" t="s">
        <v>539</v>
      </c>
      <c r="G845" s="13">
        <v>7.25</v>
      </c>
      <c r="H845" s="15">
        <v>144</v>
      </c>
      <c r="I845" s="16">
        <v>1044</v>
      </c>
      <c r="J845" s="16">
        <v>3287.5555555555557</v>
      </c>
      <c r="K845" s="16">
        <v>-2243.5555555555557</v>
      </c>
      <c r="L845" s="13"/>
      <c r="M845" s="13">
        <v>7.25</v>
      </c>
      <c r="N845" s="17">
        <f t="shared" si="28"/>
        <v>0</v>
      </c>
      <c r="O845" s="17">
        <f t="shared" si="28"/>
        <v>1044</v>
      </c>
      <c r="P845" s="17">
        <f t="shared" si="29"/>
        <v>1044</v>
      </c>
      <c r="Q845" t="str">
        <f>A845&amp;"-"&amp;B845&amp;"-"&amp;D845</f>
        <v>MARET-CJL-L3</v>
      </c>
    </row>
    <row r="846" spans="1:17" x14ac:dyDescent="0.25">
      <c r="A846" t="s">
        <v>393</v>
      </c>
      <c r="B846" s="13" t="s">
        <v>20</v>
      </c>
      <c r="C846" s="13" t="s">
        <v>185</v>
      </c>
      <c r="D846" s="14" t="s">
        <v>56</v>
      </c>
      <c r="E846" s="13" t="s">
        <v>77</v>
      </c>
      <c r="F846" s="13" t="s">
        <v>540</v>
      </c>
      <c r="G846" s="13">
        <v>1.54</v>
      </c>
      <c r="H846" s="15">
        <v>1602</v>
      </c>
      <c r="I846" s="16">
        <v>2467.08</v>
      </c>
      <c r="J846" s="16">
        <v>7155.2707145656077</v>
      </c>
      <c r="K846" s="16">
        <v>-4688.190714565606</v>
      </c>
      <c r="L846" s="13"/>
      <c r="M846" s="13">
        <v>2.75</v>
      </c>
      <c r="N846" s="17">
        <f t="shared" si="28"/>
        <v>0</v>
      </c>
      <c r="O846" s="17">
        <f t="shared" si="28"/>
        <v>4405.5</v>
      </c>
      <c r="P846" s="17">
        <f t="shared" si="29"/>
        <v>4405.5</v>
      </c>
      <c r="Q846" t="str">
        <f>A846&amp;"-"&amp;B846&amp;"-"&amp;D846</f>
        <v>MARET-CJL-L3</v>
      </c>
    </row>
    <row r="847" spans="1:17" x14ac:dyDescent="0.25">
      <c r="A847" t="s">
        <v>393</v>
      </c>
      <c r="B847" s="13" t="s">
        <v>20</v>
      </c>
      <c r="C847" s="13" t="s">
        <v>185</v>
      </c>
      <c r="D847" s="14" t="s">
        <v>56</v>
      </c>
      <c r="E847" s="13" t="s">
        <v>77</v>
      </c>
      <c r="F847" s="13" t="s">
        <v>541</v>
      </c>
      <c r="G847" s="13">
        <v>1.5399999999999998</v>
      </c>
      <c r="H847" s="15">
        <v>1600</v>
      </c>
      <c r="I847" s="16">
        <v>2464.0000000000005</v>
      </c>
      <c r="J847" s="16">
        <v>7676.7234745220821</v>
      </c>
      <c r="K847" s="16">
        <v>-5212.7234745220821</v>
      </c>
      <c r="L847" s="13"/>
      <c r="M847" s="13">
        <v>2.75</v>
      </c>
      <c r="N847" s="17">
        <f t="shared" si="28"/>
        <v>0</v>
      </c>
      <c r="O847" s="17">
        <f t="shared" si="28"/>
        <v>4400</v>
      </c>
      <c r="P847" s="17">
        <f t="shared" si="29"/>
        <v>4400</v>
      </c>
      <c r="Q847" t="str">
        <f>A847&amp;"-"&amp;B847&amp;"-"&amp;D847</f>
        <v>MARET-CJL-L3</v>
      </c>
    </row>
    <row r="848" spans="1:17" x14ac:dyDescent="0.25">
      <c r="A848" t="s">
        <v>393</v>
      </c>
      <c r="B848" s="13" t="s">
        <v>20</v>
      </c>
      <c r="C848" s="13" t="s">
        <v>185</v>
      </c>
      <c r="D848" s="14" t="s">
        <v>56</v>
      </c>
      <c r="E848" s="13" t="s">
        <v>77</v>
      </c>
      <c r="F848" s="13" t="s">
        <v>542</v>
      </c>
      <c r="G848" s="13">
        <v>1.54</v>
      </c>
      <c r="H848" s="15">
        <v>800</v>
      </c>
      <c r="I848" s="16">
        <v>1231.9999999999998</v>
      </c>
      <c r="J848" s="16">
        <v>7125.4674548059966</v>
      </c>
      <c r="K848" s="16">
        <v>-5893.4674548059966</v>
      </c>
      <c r="L848" s="13"/>
      <c r="M848" s="13">
        <v>2.75</v>
      </c>
      <c r="N848" s="17">
        <f t="shared" si="28"/>
        <v>0</v>
      </c>
      <c r="O848" s="17">
        <f t="shared" si="28"/>
        <v>2200</v>
      </c>
      <c r="P848" s="17">
        <f t="shared" si="29"/>
        <v>2200</v>
      </c>
      <c r="Q848" t="str">
        <f>A848&amp;"-"&amp;B848&amp;"-"&amp;D848</f>
        <v>MARET-CJL-L3</v>
      </c>
    </row>
    <row r="849" spans="1:17" x14ac:dyDescent="0.25">
      <c r="A849" t="s">
        <v>393</v>
      </c>
      <c r="B849" s="13" t="s">
        <v>20</v>
      </c>
      <c r="C849" s="13" t="s">
        <v>420</v>
      </c>
      <c r="D849" s="14" t="s">
        <v>56</v>
      </c>
      <c r="E849" s="13" t="s">
        <v>152</v>
      </c>
      <c r="F849" s="13" t="s">
        <v>421</v>
      </c>
      <c r="G849" s="13">
        <v>3.35</v>
      </c>
      <c r="H849" s="15">
        <v>17</v>
      </c>
      <c r="I849" s="16">
        <v>56.95</v>
      </c>
      <c r="J849" s="16">
        <v>101.57595907928388</v>
      </c>
      <c r="K849" s="16">
        <v>-44.625959079283888</v>
      </c>
      <c r="L849" s="13">
        <v>5</v>
      </c>
      <c r="M849" s="13"/>
      <c r="N849" s="17">
        <f t="shared" si="28"/>
        <v>85</v>
      </c>
      <c r="O849" s="17">
        <f t="shared" si="28"/>
        <v>0</v>
      </c>
      <c r="P849" s="17">
        <f t="shared" si="29"/>
        <v>85</v>
      </c>
      <c r="Q849" t="str">
        <f>A849&amp;"-"&amp;B849&amp;"-"&amp;D849</f>
        <v>MARET-CJL-L3</v>
      </c>
    </row>
    <row r="850" spans="1:17" x14ac:dyDescent="0.25">
      <c r="A850" t="s">
        <v>393</v>
      </c>
      <c r="B850" s="13" t="s">
        <v>20</v>
      </c>
      <c r="C850" s="13" t="s">
        <v>151</v>
      </c>
      <c r="D850" s="14" t="s">
        <v>56</v>
      </c>
      <c r="E850" s="13" t="s">
        <v>152</v>
      </c>
      <c r="F850" s="13" t="s">
        <v>153</v>
      </c>
      <c r="G850" s="13">
        <v>3.35</v>
      </c>
      <c r="H850" s="15">
        <v>25</v>
      </c>
      <c r="I850" s="16">
        <v>83.75</v>
      </c>
      <c r="J850" s="16">
        <v>131.96239702703085</v>
      </c>
      <c r="K850" s="16">
        <v>-48.212397027030846</v>
      </c>
      <c r="L850" s="13"/>
      <c r="M850" s="13"/>
      <c r="N850" s="17">
        <f t="shared" si="28"/>
        <v>0</v>
      </c>
      <c r="O850" s="17">
        <f t="shared" si="28"/>
        <v>0</v>
      </c>
      <c r="P850" s="17">
        <f t="shared" si="29"/>
        <v>0</v>
      </c>
      <c r="Q850" t="str">
        <f>A850&amp;"-"&amp;B850&amp;"-"&amp;D850</f>
        <v>MARET-CJL-L3</v>
      </c>
    </row>
    <row r="851" spans="1:17" x14ac:dyDescent="0.25">
      <c r="A851" t="s">
        <v>393</v>
      </c>
      <c r="B851" s="13" t="s">
        <v>22</v>
      </c>
      <c r="C851" s="13" t="s">
        <v>154</v>
      </c>
      <c r="D851" s="14" t="s">
        <v>158</v>
      </c>
      <c r="E851" s="13" t="s">
        <v>155</v>
      </c>
      <c r="F851" s="13" t="s">
        <v>543</v>
      </c>
      <c r="G851" s="13">
        <v>0.5099999999999999</v>
      </c>
      <c r="H851" s="15">
        <v>8203</v>
      </c>
      <c r="I851" s="16">
        <v>4183.53</v>
      </c>
      <c r="J851" s="16">
        <v>3914.29</v>
      </c>
      <c r="K851" s="16">
        <v>269.23999999999995</v>
      </c>
      <c r="L851" s="13">
        <v>7.36</v>
      </c>
      <c r="M851" s="13"/>
      <c r="N851" s="17">
        <f t="shared" si="28"/>
        <v>60374.080000000002</v>
      </c>
      <c r="O851" s="17">
        <f t="shared" si="28"/>
        <v>0</v>
      </c>
      <c r="P851" s="17">
        <f t="shared" si="29"/>
        <v>60374.080000000002</v>
      </c>
      <c r="Q851" t="str">
        <f>A851&amp;"-"&amp;B851&amp;"-"&amp;D851</f>
        <v>MARET-CNJ2-L4</v>
      </c>
    </row>
    <row r="852" spans="1:17" x14ac:dyDescent="0.25">
      <c r="A852" t="s">
        <v>393</v>
      </c>
      <c r="B852" s="13" t="s">
        <v>22</v>
      </c>
      <c r="C852" s="13" t="s">
        <v>154</v>
      </c>
      <c r="D852" s="14" t="s">
        <v>160</v>
      </c>
      <c r="E852" s="13" t="s">
        <v>155</v>
      </c>
      <c r="F852" s="13" t="s">
        <v>423</v>
      </c>
      <c r="G852" s="13">
        <v>0.55000000000000004</v>
      </c>
      <c r="H852" s="15">
        <v>350</v>
      </c>
      <c r="I852" s="16">
        <v>192.5</v>
      </c>
      <c r="J852" s="16">
        <v>685</v>
      </c>
      <c r="K852" s="16">
        <v>-492.5</v>
      </c>
      <c r="L852" s="13">
        <v>1.61</v>
      </c>
      <c r="M852" s="13"/>
      <c r="N852" s="17">
        <f t="shared" si="28"/>
        <v>563.5</v>
      </c>
      <c r="O852" s="17">
        <f t="shared" si="28"/>
        <v>0</v>
      </c>
      <c r="P852" s="17">
        <f t="shared" si="29"/>
        <v>563.5</v>
      </c>
      <c r="Q852" t="str">
        <f>A852&amp;"-"&amp;B852&amp;"-"&amp;D852</f>
        <v>MARET-CNJ2-L5</v>
      </c>
    </row>
    <row r="853" spans="1:17" x14ac:dyDescent="0.25">
      <c r="A853" t="s">
        <v>393</v>
      </c>
      <c r="B853" s="13" t="s">
        <v>22</v>
      </c>
      <c r="C853" s="13" t="s">
        <v>154</v>
      </c>
      <c r="D853" s="14" t="s">
        <v>160</v>
      </c>
      <c r="E853" s="13" t="s">
        <v>155</v>
      </c>
      <c r="F853" s="13" t="s">
        <v>543</v>
      </c>
      <c r="G853" s="13">
        <v>0.5099999999999999</v>
      </c>
      <c r="H853" s="15">
        <v>8800</v>
      </c>
      <c r="I853" s="16">
        <v>4488</v>
      </c>
      <c r="J853" s="16">
        <v>3914.29</v>
      </c>
      <c r="K853" s="16">
        <v>573.71</v>
      </c>
      <c r="L853" s="13">
        <v>7.36</v>
      </c>
      <c r="M853" s="13"/>
      <c r="N853" s="17">
        <f t="shared" si="28"/>
        <v>64768</v>
      </c>
      <c r="O853" s="17">
        <f t="shared" si="28"/>
        <v>0</v>
      </c>
      <c r="P853" s="17">
        <f t="shared" si="29"/>
        <v>64768</v>
      </c>
      <c r="Q853" t="str">
        <f>A853&amp;"-"&amp;B853&amp;"-"&amp;D853</f>
        <v>MARET-CNJ2-L5</v>
      </c>
    </row>
    <row r="854" spans="1:17" x14ac:dyDescent="0.25">
      <c r="A854" t="s">
        <v>393</v>
      </c>
      <c r="B854" s="13" t="s">
        <v>22</v>
      </c>
      <c r="C854" s="13" t="s">
        <v>154</v>
      </c>
      <c r="D854" s="14" t="s">
        <v>163</v>
      </c>
      <c r="E854" s="13" t="s">
        <v>155</v>
      </c>
      <c r="F854" s="13" t="s">
        <v>423</v>
      </c>
      <c r="G854" s="13">
        <v>0.55000000000000004</v>
      </c>
      <c r="H854" s="15">
        <v>0</v>
      </c>
      <c r="I854" s="16">
        <v>0</v>
      </c>
      <c r="J854" s="16">
        <v>685</v>
      </c>
      <c r="K854" s="16">
        <v>-685</v>
      </c>
      <c r="L854" s="13">
        <v>1.61</v>
      </c>
      <c r="M854" s="13"/>
      <c r="N854" s="17">
        <f t="shared" si="28"/>
        <v>0</v>
      </c>
      <c r="O854" s="17">
        <f t="shared" si="28"/>
        <v>0</v>
      </c>
      <c r="P854" s="17">
        <f t="shared" si="29"/>
        <v>0</v>
      </c>
      <c r="Q854" t="str">
        <f>A854&amp;"-"&amp;B854&amp;"-"&amp;D854</f>
        <v>MARET-CNJ2-L6</v>
      </c>
    </row>
    <row r="855" spans="1:17" x14ac:dyDescent="0.25">
      <c r="A855" t="s">
        <v>393</v>
      </c>
      <c r="B855" s="13" t="s">
        <v>22</v>
      </c>
      <c r="C855" s="13" t="s">
        <v>154</v>
      </c>
      <c r="D855" s="14" t="s">
        <v>163</v>
      </c>
      <c r="E855" s="13" t="s">
        <v>155</v>
      </c>
      <c r="F855" s="13" t="s">
        <v>543</v>
      </c>
      <c r="G855" s="13">
        <v>0.5099999999999999</v>
      </c>
      <c r="H855" s="15">
        <v>8250</v>
      </c>
      <c r="I855" s="16">
        <v>4207.5</v>
      </c>
      <c r="J855" s="16">
        <v>3914.29</v>
      </c>
      <c r="K855" s="16">
        <v>293.20999999999998</v>
      </c>
      <c r="L855" s="13">
        <v>7.36</v>
      </c>
      <c r="M855" s="13"/>
      <c r="N855" s="17">
        <f t="shared" si="28"/>
        <v>60720</v>
      </c>
      <c r="O855" s="17">
        <f t="shared" si="28"/>
        <v>0</v>
      </c>
      <c r="P855" s="17">
        <f t="shared" si="29"/>
        <v>60720</v>
      </c>
      <c r="Q855" t="str">
        <f>A855&amp;"-"&amp;B855&amp;"-"&amp;D855</f>
        <v>MARET-CNJ2-L6</v>
      </c>
    </row>
    <row r="856" spans="1:17" x14ac:dyDescent="0.25">
      <c r="A856" t="s">
        <v>393</v>
      </c>
      <c r="B856" s="13" t="s">
        <v>22</v>
      </c>
      <c r="C856" s="13" t="s">
        <v>154</v>
      </c>
      <c r="D856" s="14" t="s">
        <v>164</v>
      </c>
      <c r="E856" s="13" t="s">
        <v>155</v>
      </c>
      <c r="F856" s="13" t="s">
        <v>423</v>
      </c>
      <c r="G856" s="13">
        <v>0.55000000000000004</v>
      </c>
      <c r="H856" s="15">
        <v>1972</v>
      </c>
      <c r="I856" s="16">
        <v>1084.5999999999999</v>
      </c>
      <c r="J856" s="16">
        <v>2544.29</v>
      </c>
      <c r="K856" s="16">
        <v>-1459.69</v>
      </c>
      <c r="L856" s="13">
        <v>1.61</v>
      </c>
      <c r="M856" s="13"/>
      <c r="N856" s="17">
        <f t="shared" si="28"/>
        <v>3174.92</v>
      </c>
      <c r="O856" s="17">
        <f t="shared" si="28"/>
        <v>0</v>
      </c>
      <c r="P856" s="17">
        <f t="shared" si="29"/>
        <v>3174.92</v>
      </c>
      <c r="Q856" t="str">
        <f>A856&amp;"-"&amp;B856&amp;"-"&amp;D856</f>
        <v>MARET-CNJ2-L7</v>
      </c>
    </row>
    <row r="857" spans="1:17" x14ac:dyDescent="0.25">
      <c r="A857" t="s">
        <v>393</v>
      </c>
      <c r="B857" s="13" t="s">
        <v>22</v>
      </c>
      <c r="C857" s="13" t="s">
        <v>154</v>
      </c>
      <c r="D857" s="14" t="s">
        <v>164</v>
      </c>
      <c r="E857" s="13" t="s">
        <v>155</v>
      </c>
      <c r="F857" s="13" t="s">
        <v>543</v>
      </c>
      <c r="G857" s="13">
        <v>0.5099999999999999</v>
      </c>
      <c r="H857" s="15">
        <v>6050</v>
      </c>
      <c r="I857" s="16">
        <v>3085.5</v>
      </c>
      <c r="J857" s="16">
        <v>3914.29</v>
      </c>
      <c r="K857" s="16">
        <v>-828.79</v>
      </c>
      <c r="L857" s="13">
        <v>7.36</v>
      </c>
      <c r="M857" s="13"/>
      <c r="N857" s="17">
        <f t="shared" si="28"/>
        <v>44528</v>
      </c>
      <c r="O857" s="17">
        <f t="shared" si="28"/>
        <v>0</v>
      </c>
      <c r="P857" s="17">
        <f t="shared" si="29"/>
        <v>44528</v>
      </c>
      <c r="Q857" t="str">
        <f>A857&amp;"-"&amp;B857&amp;"-"&amp;D857</f>
        <v>MARET-CNJ2-L7</v>
      </c>
    </row>
    <row r="858" spans="1:17" x14ac:dyDescent="0.25">
      <c r="A858" t="s">
        <v>393</v>
      </c>
      <c r="B858" s="13" t="s">
        <v>22</v>
      </c>
      <c r="C858" s="13" t="s">
        <v>43</v>
      </c>
      <c r="D858" s="14" t="s">
        <v>44</v>
      </c>
      <c r="E858" s="13" t="s">
        <v>165</v>
      </c>
      <c r="F858" s="13" t="s">
        <v>544</v>
      </c>
      <c r="G858" s="13">
        <v>1.86</v>
      </c>
      <c r="H858" s="15">
        <v>1475</v>
      </c>
      <c r="I858" s="16">
        <v>2743.5</v>
      </c>
      <c r="J858" s="16">
        <v>2544.29</v>
      </c>
      <c r="K858" s="16">
        <v>199.20999999999998</v>
      </c>
      <c r="L858" s="13"/>
      <c r="M858" s="13">
        <v>1.95</v>
      </c>
      <c r="N858" s="17">
        <f t="shared" si="28"/>
        <v>0</v>
      </c>
      <c r="O858" s="17">
        <f t="shared" si="28"/>
        <v>2876.25</v>
      </c>
      <c r="P858" s="17">
        <f t="shared" si="29"/>
        <v>2876.25</v>
      </c>
      <c r="Q858" t="str">
        <f>A858&amp;"-"&amp;B858&amp;"-"&amp;D858</f>
        <v>MARET-CNJ2-L1</v>
      </c>
    </row>
    <row r="859" spans="1:17" x14ac:dyDescent="0.25">
      <c r="A859" t="s">
        <v>393</v>
      </c>
      <c r="B859" s="13" t="s">
        <v>22</v>
      </c>
      <c r="C859" s="13" t="s">
        <v>43</v>
      </c>
      <c r="D859" s="14" t="s">
        <v>44</v>
      </c>
      <c r="E859" s="13" t="s">
        <v>165</v>
      </c>
      <c r="F859" s="13" t="s">
        <v>545</v>
      </c>
      <c r="G859" s="13">
        <v>1.86</v>
      </c>
      <c r="H859" s="15">
        <v>2295</v>
      </c>
      <c r="I859" s="16">
        <v>4268.7</v>
      </c>
      <c r="J859" s="16">
        <v>3914.29</v>
      </c>
      <c r="K859" s="16">
        <v>354.4099999999998</v>
      </c>
      <c r="L859" s="13"/>
      <c r="M859" s="13">
        <v>1.95</v>
      </c>
      <c r="N859" s="17">
        <f t="shared" si="28"/>
        <v>0</v>
      </c>
      <c r="O859" s="17">
        <f t="shared" si="28"/>
        <v>4475.25</v>
      </c>
      <c r="P859" s="17">
        <f t="shared" si="29"/>
        <v>4475.25</v>
      </c>
      <c r="Q859" t="str">
        <f>A859&amp;"-"&amp;B859&amp;"-"&amp;D859</f>
        <v>MARET-CNJ2-L1</v>
      </c>
    </row>
    <row r="860" spans="1:17" x14ac:dyDescent="0.25">
      <c r="A860" t="s">
        <v>393</v>
      </c>
      <c r="B860" s="13" t="s">
        <v>22</v>
      </c>
      <c r="C860" s="13" t="s">
        <v>43</v>
      </c>
      <c r="D860" s="14" t="s">
        <v>44</v>
      </c>
      <c r="E860" s="13" t="s">
        <v>165</v>
      </c>
      <c r="F860" s="13" t="s">
        <v>546</v>
      </c>
      <c r="G860" s="13">
        <v>1.86</v>
      </c>
      <c r="H860" s="15">
        <v>403</v>
      </c>
      <c r="I860" s="16">
        <v>749.58</v>
      </c>
      <c r="J860" s="16">
        <v>685</v>
      </c>
      <c r="K860" s="16">
        <v>64.580000000000041</v>
      </c>
      <c r="L860" s="13"/>
      <c r="M860" s="13">
        <v>1.9</v>
      </c>
      <c r="N860" s="17">
        <f t="shared" si="28"/>
        <v>0</v>
      </c>
      <c r="O860" s="17">
        <f t="shared" si="28"/>
        <v>765.69999999999993</v>
      </c>
      <c r="P860" s="17">
        <f t="shared" si="29"/>
        <v>765.69999999999993</v>
      </c>
      <c r="Q860" t="str">
        <f>A860&amp;"-"&amp;B860&amp;"-"&amp;D860</f>
        <v>MARET-CNJ2-L1</v>
      </c>
    </row>
    <row r="861" spans="1:17" x14ac:dyDescent="0.25">
      <c r="A861" t="s">
        <v>393</v>
      </c>
      <c r="B861" s="13" t="s">
        <v>22</v>
      </c>
      <c r="C861" s="13" t="s">
        <v>43</v>
      </c>
      <c r="D861" s="14" t="s">
        <v>44</v>
      </c>
      <c r="E861" s="13" t="s">
        <v>165</v>
      </c>
      <c r="F861" s="13" t="s">
        <v>547</v>
      </c>
      <c r="G861" s="13">
        <v>1.86</v>
      </c>
      <c r="H861" s="15">
        <v>1205</v>
      </c>
      <c r="I861" s="16">
        <v>2241.3000000000002</v>
      </c>
      <c r="J861" s="16">
        <v>1859.29</v>
      </c>
      <c r="K861" s="16">
        <v>382.00999999999993</v>
      </c>
      <c r="L861" s="13"/>
      <c r="M861" s="13">
        <v>1.95</v>
      </c>
      <c r="N861" s="17">
        <f t="shared" si="28"/>
        <v>0</v>
      </c>
      <c r="O861" s="17">
        <f t="shared" si="28"/>
        <v>2349.75</v>
      </c>
      <c r="P861" s="17">
        <f t="shared" si="29"/>
        <v>2349.75</v>
      </c>
      <c r="Q861" t="str">
        <f>A861&amp;"-"&amp;B861&amp;"-"&amp;D861</f>
        <v>MARET-CNJ2-L1</v>
      </c>
    </row>
    <row r="862" spans="1:17" x14ac:dyDescent="0.25">
      <c r="A862" t="s">
        <v>393</v>
      </c>
      <c r="B862" s="13" t="s">
        <v>22</v>
      </c>
      <c r="C862" s="13" t="s">
        <v>43</v>
      </c>
      <c r="D862" s="14" t="s">
        <v>44</v>
      </c>
      <c r="E862" s="13" t="s">
        <v>179</v>
      </c>
      <c r="F862" s="13" t="s">
        <v>548</v>
      </c>
      <c r="G862" s="13">
        <v>3.05</v>
      </c>
      <c r="H862" s="15">
        <v>900</v>
      </c>
      <c r="I862" s="16">
        <v>2745</v>
      </c>
      <c r="J862" s="16">
        <v>2740</v>
      </c>
      <c r="K862" s="16">
        <v>5</v>
      </c>
      <c r="L862" s="13"/>
      <c r="M862" s="13">
        <v>2.9</v>
      </c>
      <c r="N862" s="17">
        <f t="shared" si="28"/>
        <v>0</v>
      </c>
      <c r="O862" s="17">
        <f t="shared" si="28"/>
        <v>2610</v>
      </c>
      <c r="P862" s="17">
        <f t="shared" si="29"/>
        <v>2610</v>
      </c>
      <c r="Q862" t="str">
        <f>A862&amp;"-"&amp;B862&amp;"-"&amp;D862</f>
        <v>MARET-CNJ2-L1</v>
      </c>
    </row>
    <row r="863" spans="1:17" x14ac:dyDescent="0.25">
      <c r="A863" t="s">
        <v>393</v>
      </c>
      <c r="B863" s="13" t="s">
        <v>22</v>
      </c>
      <c r="C863" s="13" t="s">
        <v>43</v>
      </c>
      <c r="D863" s="14" t="s">
        <v>44</v>
      </c>
      <c r="E863" s="13" t="s">
        <v>167</v>
      </c>
      <c r="F863" s="13" t="s">
        <v>424</v>
      </c>
      <c r="G863" s="13">
        <v>1.91</v>
      </c>
      <c r="H863" s="15">
        <v>210</v>
      </c>
      <c r="I863" s="16">
        <v>401.1</v>
      </c>
      <c r="J863" s="16">
        <v>685</v>
      </c>
      <c r="K863" s="16">
        <v>-283.89999999999998</v>
      </c>
      <c r="L863" s="13"/>
      <c r="M863" s="13">
        <v>2</v>
      </c>
      <c r="N863" s="17">
        <f t="shared" si="28"/>
        <v>0</v>
      </c>
      <c r="O863" s="17">
        <f t="shared" si="28"/>
        <v>420</v>
      </c>
      <c r="P863" s="17">
        <f t="shared" si="29"/>
        <v>420</v>
      </c>
      <c r="Q863" t="str">
        <f>A863&amp;"-"&amp;B863&amp;"-"&amp;D863</f>
        <v>MARET-CNJ2-L1</v>
      </c>
    </row>
    <row r="864" spans="1:17" x14ac:dyDescent="0.25">
      <c r="A864" t="s">
        <v>393</v>
      </c>
      <c r="B864" s="13" t="s">
        <v>22</v>
      </c>
      <c r="C864" s="13" t="s">
        <v>43</v>
      </c>
      <c r="D864" s="14" t="s">
        <v>50</v>
      </c>
      <c r="E864" s="13" t="s">
        <v>170</v>
      </c>
      <c r="F864" s="13" t="s">
        <v>425</v>
      </c>
      <c r="G864" s="13">
        <v>0.34</v>
      </c>
      <c r="H864" s="15">
        <v>291</v>
      </c>
      <c r="I864" s="16">
        <v>98.94</v>
      </c>
      <c r="J864" s="16">
        <v>342.5</v>
      </c>
      <c r="K864" s="16">
        <v>-243.56</v>
      </c>
      <c r="L864" s="13"/>
      <c r="M864" s="13">
        <v>0.5</v>
      </c>
      <c r="N864" s="17">
        <f t="shared" si="28"/>
        <v>0</v>
      </c>
      <c r="O864" s="17">
        <f t="shared" si="28"/>
        <v>145.5</v>
      </c>
      <c r="P864" s="17">
        <f t="shared" si="29"/>
        <v>145.5</v>
      </c>
      <c r="Q864" t="str">
        <f>A864&amp;"-"&amp;B864&amp;"-"&amp;D864</f>
        <v>MARET-CNJ2-L2</v>
      </c>
    </row>
    <row r="865" spans="1:17" x14ac:dyDescent="0.25">
      <c r="A865" t="s">
        <v>393</v>
      </c>
      <c r="B865" s="13" t="s">
        <v>22</v>
      </c>
      <c r="C865" s="13" t="s">
        <v>43</v>
      </c>
      <c r="D865" s="14" t="s">
        <v>50</v>
      </c>
      <c r="E865" s="13" t="s">
        <v>174</v>
      </c>
      <c r="F865" s="13" t="s">
        <v>549</v>
      </c>
      <c r="G865" s="13">
        <v>0.28999999999999998</v>
      </c>
      <c r="H865" s="15">
        <v>3017</v>
      </c>
      <c r="I865" s="16">
        <v>874.93000000000006</v>
      </c>
      <c r="J865" s="16">
        <v>1272.1399999999999</v>
      </c>
      <c r="K865" s="16">
        <v>-397.21</v>
      </c>
      <c r="L865" s="13"/>
      <c r="M865" s="13">
        <v>0.3</v>
      </c>
      <c r="N865" s="17">
        <f t="shared" si="28"/>
        <v>0</v>
      </c>
      <c r="O865" s="17">
        <f t="shared" si="28"/>
        <v>905.1</v>
      </c>
      <c r="P865" s="17">
        <f t="shared" si="29"/>
        <v>905.1</v>
      </c>
      <c r="Q865" t="str">
        <f>A865&amp;"-"&amp;B865&amp;"-"&amp;D865</f>
        <v>MARET-CNJ2-L2</v>
      </c>
    </row>
    <row r="866" spans="1:17" x14ac:dyDescent="0.25">
      <c r="A866" t="s">
        <v>393</v>
      </c>
      <c r="B866" s="13" t="s">
        <v>22</v>
      </c>
      <c r="C866" s="13" t="s">
        <v>43</v>
      </c>
      <c r="D866" s="14" t="s">
        <v>50</v>
      </c>
      <c r="E866" s="13" t="s">
        <v>550</v>
      </c>
      <c r="F866" s="13" t="s">
        <v>551</v>
      </c>
      <c r="G866" s="13">
        <v>0.37</v>
      </c>
      <c r="H866" s="15">
        <v>1250</v>
      </c>
      <c r="I866" s="16">
        <v>462.5</v>
      </c>
      <c r="J866" s="16">
        <v>685</v>
      </c>
      <c r="K866" s="16">
        <v>-222.5</v>
      </c>
      <c r="L866" s="13"/>
      <c r="M866" s="13">
        <v>0.38</v>
      </c>
      <c r="N866" s="17">
        <f t="shared" si="28"/>
        <v>0</v>
      </c>
      <c r="O866" s="17">
        <f t="shared" si="28"/>
        <v>475</v>
      </c>
      <c r="P866" s="17">
        <f t="shared" si="29"/>
        <v>475</v>
      </c>
      <c r="Q866" t="str">
        <f>A866&amp;"-"&amp;B866&amp;"-"&amp;D866</f>
        <v>MARET-CNJ2-L2</v>
      </c>
    </row>
    <row r="867" spans="1:17" x14ac:dyDescent="0.25">
      <c r="A867" t="s">
        <v>393</v>
      </c>
      <c r="B867" s="13" t="s">
        <v>22</v>
      </c>
      <c r="C867" s="13" t="s">
        <v>43</v>
      </c>
      <c r="D867" s="14" t="s">
        <v>50</v>
      </c>
      <c r="E867" s="13" t="s">
        <v>550</v>
      </c>
      <c r="F867" s="13" t="s">
        <v>552</v>
      </c>
      <c r="G867" s="13">
        <v>0.37</v>
      </c>
      <c r="H867" s="15">
        <v>725</v>
      </c>
      <c r="I867" s="16">
        <v>268.25</v>
      </c>
      <c r="J867" s="16">
        <v>342.5</v>
      </c>
      <c r="K867" s="16">
        <v>-74.25</v>
      </c>
      <c r="L867" s="13"/>
      <c r="M867" s="13">
        <v>0.38</v>
      </c>
      <c r="N867" s="17">
        <f t="shared" si="28"/>
        <v>0</v>
      </c>
      <c r="O867" s="17">
        <f t="shared" si="28"/>
        <v>275.5</v>
      </c>
      <c r="P867" s="17">
        <f t="shared" si="29"/>
        <v>275.5</v>
      </c>
      <c r="Q867" t="str">
        <f>A867&amp;"-"&amp;B867&amp;"-"&amp;D867</f>
        <v>MARET-CNJ2-L2</v>
      </c>
    </row>
    <row r="868" spans="1:17" x14ac:dyDescent="0.25">
      <c r="A868" t="s">
        <v>393</v>
      </c>
      <c r="B868" s="13" t="s">
        <v>22</v>
      </c>
      <c r="C868" s="13" t="s">
        <v>43</v>
      </c>
      <c r="D868" s="14" t="s">
        <v>50</v>
      </c>
      <c r="E868" s="13" t="s">
        <v>550</v>
      </c>
      <c r="F868" s="13" t="s">
        <v>553</v>
      </c>
      <c r="G868" s="13">
        <v>0.28999999999999998</v>
      </c>
      <c r="H868" s="15">
        <v>600</v>
      </c>
      <c r="I868" s="16">
        <v>174</v>
      </c>
      <c r="J868" s="16">
        <v>342.5</v>
      </c>
      <c r="K868" s="16">
        <v>-168.5</v>
      </c>
      <c r="L868" s="13"/>
      <c r="M868" s="13">
        <v>0.3</v>
      </c>
      <c r="N868" s="17">
        <f t="shared" si="28"/>
        <v>0</v>
      </c>
      <c r="O868" s="17">
        <f t="shared" si="28"/>
        <v>180</v>
      </c>
      <c r="P868" s="17">
        <f t="shared" si="29"/>
        <v>180</v>
      </c>
      <c r="Q868" t="str">
        <f>A868&amp;"-"&amp;B868&amp;"-"&amp;D868</f>
        <v>MARET-CNJ2-L2</v>
      </c>
    </row>
    <row r="869" spans="1:17" x14ac:dyDescent="0.25">
      <c r="A869" t="s">
        <v>393</v>
      </c>
      <c r="B869" s="13" t="s">
        <v>22</v>
      </c>
      <c r="C869" s="13" t="s">
        <v>43</v>
      </c>
      <c r="D869" s="14" t="s">
        <v>50</v>
      </c>
      <c r="E869" s="13" t="s">
        <v>550</v>
      </c>
      <c r="F869" s="13" t="s">
        <v>554</v>
      </c>
      <c r="G869" s="13">
        <v>0.28999999999999998</v>
      </c>
      <c r="H869" s="15">
        <v>850</v>
      </c>
      <c r="I869" s="16">
        <v>246.5</v>
      </c>
      <c r="J869" s="16">
        <v>342.5</v>
      </c>
      <c r="K869" s="16">
        <v>-96</v>
      </c>
      <c r="L869" s="13"/>
      <c r="M869" s="13">
        <v>0.3</v>
      </c>
      <c r="N869" s="17">
        <f t="shared" si="28"/>
        <v>0</v>
      </c>
      <c r="O869" s="17">
        <f t="shared" si="28"/>
        <v>255</v>
      </c>
      <c r="P869" s="17">
        <f t="shared" si="29"/>
        <v>255</v>
      </c>
      <c r="Q869" t="str">
        <f>A869&amp;"-"&amp;B869&amp;"-"&amp;D869</f>
        <v>MARET-CNJ2-L2</v>
      </c>
    </row>
    <row r="870" spans="1:17" x14ac:dyDescent="0.25">
      <c r="A870" t="s">
        <v>393</v>
      </c>
      <c r="B870" s="13" t="s">
        <v>22</v>
      </c>
      <c r="C870" s="13" t="s">
        <v>43</v>
      </c>
      <c r="D870" s="14" t="s">
        <v>50</v>
      </c>
      <c r="E870" s="13" t="s">
        <v>555</v>
      </c>
      <c r="F870" s="13" t="s">
        <v>556</v>
      </c>
      <c r="G870" s="13">
        <v>0.23</v>
      </c>
      <c r="H870" s="15">
        <v>1025</v>
      </c>
      <c r="I870" s="16">
        <v>235.75</v>
      </c>
      <c r="J870" s="16">
        <v>685</v>
      </c>
      <c r="K870" s="16">
        <v>-449.25</v>
      </c>
      <c r="L870" s="13"/>
      <c r="M870" s="13">
        <v>0.24</v>
      </c>
      <c r="N870" s="17">
        <f t="shared" si="28"/>
        <v>0</v>
      </c>
      <c r="O870" s="17">
        <f t="shared" si="28"/>
        <v>246</v>
      </c>
      <c r="P870" s="17">
        <f t="shared" si="29"/>
        <v>246</v>
      </c>
      <c r="Q870" t="str">
        <f>A870&amp;"-"&amp;B870&amp;"-"&amp;D870</f>
        <v>MARET-CNJ2-L2</v>
      </c>
    </row>
    <row r="871" spans="1:17" x14ac:dyDescent="0.25">
      <c r="A871" t="s">
        <v>393</v>
      </c>
      <c r="B871" s="13" t="s">
        <v>22</v>
      </c>
      <c r="C871" s="13" t="s">
        <v>43</v>
      </c>
      <c r="D871" s="14" t="s">
        <v>50</v>
      </c>
      <c r="E871" s="13" t="s">
        <v>177</v>
      </c>
      <c r="F871" s="13" t="s">
        <v>557</v>
      </c>
      <c r="G871" s="13">
        <v>0.24</v>
      </c>
      <c r="H871" s="15">
        <v>3072</v>
      </c>
      <c r="I871" s="16">
        <v>737.28</v>
      </c>
      <c r="J871" s="16">
        <v>1957.1399999999999</v>
      </c>
      <c r="K871" s="16">
        <v>-1219.8600000000001</v>
      </c>
      <c r="L871" s="13"/>
      <c r="M871" s="13">
        <v>0.25</v>
      </c>
      <c r="N871" s="17">
        <f t="shared" si="28"/>
        <v>0</v>
      </c>
      <c r="O871" s="17">
        <f t="shared" si="28"/>
        <v>768</v>
      </c>
      <c r="P871" s="17">
        <f t="shared" si="29"/>
        <v>768</v>
      </c>
      <c r="Q871" t="str">
        <f>A871&amp;"-"&amp;B871&amp;"-"&amp;D871</f>
        <v>MARET-CNJ2-L2</v>
      </c>
    </row>
    <row r="872" spans="1:17" x14ac:dyDescent="0.25">
      <c r="A872" t="s">
        <v>393</v>
      </c>
      <c r="B872" s="13" t="s">
        <v>22</v>
      </c>
      <c r="C872" s="13" t="s">
        <v>43</v>
      </c>
      <c r="D872" s="14" t="s">
        <v>50</v>
      </c>
      <c r="E872" s="13" t="s">
        <v>177</v>
      </c>
      <c r="F872" s="13" t="s">
        <v>558</v>
      </c>
      <c r="G872" s="13">
        <v>0.24</v>
      </c>
      <c r="H872" s="15">
        <v>5100</v>
      </c>
      <c r="I872" s="16">
        <v>1224</v>
      </c>
      <c r="J872" s="16">
        <v>2299.64</v>
      </c>
      <c r="K872" s="16">
        <v>-1075.6400000000001</v>
      </c>
      <c r="L872" s="13"/>
      <c r="M872" s="13">
        <v>0.25</v>
      </c>
      <c r="N872" s="17">
        <f t="shared" ref="N872:O928" si="30">$H872*L872</f>
        <v>0</v>
      </c>
      <c r="O872" s="17">
        <f t="shared" si="30"/>
        <v>1275</v>
      </c>
      <c r="P872" s="17">
        <f t="shared" si="29"/>
        <v>1275</v>
      </c>
      <c r="Q872" t="str">
        <f>A872&amp;"-"&amp;B872&amp;"-"&amp;D872</f>
        <v>MARET-CNJ2-L2</v>
      </c>
    </row>
    <row r="873" spans="1:17" x14ac:dyDescent="0.25">
      <c r="A873" t="s">
        <v>393</v>
      </c>
      <c r="B873" s="13" t="s">
        <v>22</v>
      </c>
      <c r="C873" s="13" t="s">
        <v>43</v>
      </c>
      <c r="D873" s="14" t="s">
        <v>50</v>
      </c>
      <c r="E873" s="13" t="s">
        <v>177</v>
      </c>
      <c r="F873" s="13" t="s">
        <v>559</v>
      </c>
      <c r="G873" s="13">
        <v>0.28999999999999998</v>
      </c>
      <c r="H873" s="15">
        <v>500</v>
      </c>
      <c r="I873" s="16">
        <v>145</v>
      </c>
      <c r="J873" s="16">
        <v>244.64</v>
      </c>
      <c r="K873" s="16">
        <v>-99.639999999999986</v>
      </c>
      <c r="L873" s="13"/>
      <c r="M873" s="13">
        <v>0.25</v>
      </c>
      <c r="N873" s="17">
        <f t="shared" si="30"/>
        <v>0</v>
      </c>
      <c r="O873" s="17">
        <f t="shared" si="30"/>
        <v>125</v>
      </c>
      <c r="P873" s="17">
        <f t="shared" si="29"/>
        <v>125</v>
      </c>
      <c r="Q873" t="str">
        <f>A873&amp;"-"&amp;B873&amp;"-"&amp;D873</f>
        <v>MARET-CNJ2-L2</v>
      </c>
    </row>
    <row r="874" spans="1:17" x14ac:dyDescent="0.25">
      <c r="A874" t="s">
        <v>393</v>
      </c>
      <c r="B874" s="13" t="s">
        <v>22</v>
      </c>
      <c r="C874" s="13" t="s">
        <v>43</v>
      </c>
      <c r="D874" s="14" t="s">
        <v>56</v>
      </c>
      <c r="E874" s="13" t="s">
        <v>165</v>
      </c>
      <c r="F874" s="13" t="s">
        <v>560</v>
      </c>
      <c r="G874" s="13">
        <v>1.41</v>
      </c>
      <c r="H874" s="15">
        <v>1554</v>
      </c>
      <c r="I874" s="16">
        <v>2191.1400000000003</v>
      </c>
      <c r="J874" s="16">
        <v>2544.29</v>
      </c>
      <c r="K874" s="16">
        <v>-353.15000000000003</v>
      </c>
      <c r="L874" s="13"/>
      <c r="M874" s="13">
        <v>1.5</v>
      </c>
      <c r="N874" s="17">
        <f t="shared" si="30"/>
        <v>0</v>
      </c>
      <c r="O874" s="17">
        <f t="shared" si="30"/>
        <v>2331</v>
      </c>
      <c r="P874" s="17">
        <f t="shared" si="29"/>
        <v>2331</v>
      </c>
      <c r="Q874" t="str">
        <f>A874&amp;"-"&amp;B874&amp;"-"&amp;D874</f>
        <v>MARET-CNJ2-L3</v>
      </c>
    </row>
    <row r="875" spans="1:17" x14ac:dyDescent="0.25">
      <c r="A875" t="s">
        <v>393</v>
      </c>
      <c r="B875" s="13" t="s">
        <v>22</v>
      </c>
      <c r="C875" s="13" t="s">
        <v>43</v>
      </c>
      <c r="D875" s="14" t="s">
        <v>56</v>
      </c>
      <c r="E875" s="13" t="s">
        <v>165</v>
      </c>
      <c r="F875" s="13" t="s">
        <v>544</v>
      </c>
      <c r="G875" s="13">
        <v>1.8599999999999997</v>
      </c>
      <c r="H875" s="15">
        <v>4360</v>
      </c>
      <c r="I875" s="16">
        <v>8109.6</v>
      </c>
      <c r="J875" s="16">
        <v>8513.58</v>
      </c>
      <c r="K875" s="16">
        <v>-403.97999999999996</v>
      </c>
      <c r="L875" s="13"/>
      <c r="M875" s="13">
        <v>1.95</v>
      </c>
      <c r="N875" s="17">
        <f t="shared" si="30"/>
        <v>0</v>
      </c>
      <c r="O875" s="17">
        <f t="shared" si="30"/>
        <v>8502</v>
      </c>
      <c r="P875" s="17">
        <f t="shared" si="29"/>
        <v>8502</v>
      </c>
      <c r="Q875" t="str">
        <f>A875&amp;"-"&amp;B875&amp;"-"&amp;D875</f>
        <v>MARET-CNJ2-L3</v>
      </c>
    </row>
    <row r="876" spans="1:17" x14ac:dyDescent="0.25">
      <c r="A876" t="s">
        <v>393</v>
      </c>
      <c r="B876" s="13" t="s">
        <v>22</v>
      </c>
      <c r="C876" s="13" t="s">
        <v>43</v>
      </c>
      <c r="D876" s="14" t="s">
        <v>56</v>
      </c>
      <c r="E876" s="13" t="s">
        <v>165</v>
      </c>
      <c r="F876" s="13" t="s">
        <v>561</v>
      </c>
      <c r="G876" s="13">
        <v>1.86</v>
      </c>
      <c r="H876" s="15">
        <v>300</v>
      </c>
      <c r="I876" s="16">
        <v>558</v>
      </c>
      <c r="J876" s="16">
        <v>685</v>
      </c>
      <c r="K876" s="16">
        <v>-127</v>
      </c>
      <c r="L876" s="13"/>
      <c r="M876" s="13">
        <v>1.95</v>
      </c>
      <c r="N876" s="17">
        <f t="shared" si="30"/>
        <v>0</v>
      </c>
      <c r="O876" s="17">
        <f t="shared" si="30"/>
        <v>585</v>
      </c>
      <c r="P876" s="17">
        <f t="shared" si="29"/>
        <v>585</v>
      </c>
      <c r="Q876" t="str">
        <f>A876&amp;"-"&amp;B876&amp;"-"&amp;D876</f>
        <v>MARET-CNJ2-L3</v>
      </c>
    </row>
    <row r="877" spans="1:17" x14ac:dyDescent="0.25">
      <c r="A877" t="s">
        <v>393</v>
      </c>
      <c r="B877" s="13" t="s">
        <v>22</v>
      </c>
      <c r="C877" s="13" t="s">
        <v>43</v>
      </c>
      <c r="D877" s="14" t="s">
        <v>56</v>
      </c>
      <c r="E877" s="13" t="s">
        <v>179</v>
      </c>
      <c r="F877" s="13" t="s">
        <v>430</v>
      </c>
      <c r="G877" s="13">
        <v>1.54</v>
      </c>
      <c r="H877" s="15">
        <v>271</v>
      </c>
      <c r="I877" s="16">
        <v>417.34</v>
      </c>
      <c r="J877" s="16">
        <v>685</v>
      </c>
      <c r="K877" s="16">
        <v>-267.66000000000003</v>
      </c>
      <c r="L877" s="13"/>
      <c r="M877" s="13">
        <v>1.65</v>
      </c>
      <c r="N877" s="17">
        <f t="shared" si="30"/>
        <v>0</v>
      </c>
      <c r="O877" s="17">
        <f t="shared" si="30"/>
        <v>447.15</v>
      </c>
      <c r="P877" s="17">
        <f t="shared" si="29"/>
        <v>447.15</v>
      </c>
      <c r="Q877" t="str">
        <f>A877&amp;"-"&amp;B877&amp;"-"&amp;D877</f>
        <v>MARET-CNJ2-L3</v>
      </c>
    </row>
    <row r="878" spans="1:17" x14ac:dyDescent="0.25">
      <c r="A878" t="s">
        <v>393</v>
      </c>
      <c r="B878" s="13" t="s">
        <v>22</v>
      </c>
      <c r="C878" s="13" t="s">
        <v>43</v>
      </c>
      <c r="D878" s="14" t="s">
        <v>158</v>
      </c>
      <c r="E878" s="13" t="s">
        <v>58</v>
      </c>
      <c r="F878" s="13" t="s">
        <v>562</v>
      </c>
      <c r="G878" s="13">
        <v>1.49</v>
      </c>
      <c r="H878" s="15">
        <v>1890</v>
      </c>
      <c r="I878" s="16">
        <v>2816.1</v>
      </c>
      <c r="J878" s="16">
        <v>2544.29</v>
      </c>
      <c r="K878" s="16">
        <v>271.80999999999989</v>
      </c>
      <c r="L878" s="13"/>
      <c r="M878" s="13">
        <v>1.6</v>
      </c>
      <c r="N878" s="17">
        <f t="shared" si="30"/>
        <v>0</v>
      </c>
      <c r="O878" s="17">
        <f t="shared" si="30"/>
        <v>3024</v>
      </c>
      <c r="P878" s="17">
        <f t="shared" si="29"/>
        <v>3024</v>
      </c>
      <c r="Q878" t="str">
        <f>A878&amp;"-"&amp;B878&amp;"-"&amp;D878</f>
        <v>MARET-CNJ2-L4</v>
      </c>
    </row>
    <row r="879" spans="1:17" x14ac:dyDescent="0.25">
      <c r="A879" t="s">
        <v>393</v>
      </c>
      <c r="B879" s="13" t="s">
        <v>22</v>
      </c>
      <c r="C879" s="13" t="s">
        <v>43</v>
      </c>
      <c r="D879" s="14" t="s">
        <v>158</v>
      </c>
      <c r="E879" s="13" t="s">
        <v>58</v>
      </c>
      <c r="F879" s="13" t="s">
        <v>431</v>
      </c>
      <c r="G879" s="13">
        <v>1.49</v>
      </c>
      <c r="H879" s="15">
        <v>1530</v>
      </c>
      <c r="I879" s="16">
        <v>2279.6999999999998</v>
      </c>
      <c r="J879" s="16">
        <v>2055</v>
      </c>
      <c r="K879" s="16">
        <v>224.69999999999993</v>
      </c>
      <c r="L879" s="13"/>
      <c r="M879" s="13">
        <v>1.6</v>
      </c>
      <c r="N879" s="17">
        <f t="shared" si="30"/>
        <v>0</v>
      </c>
      <c r="O879" s="17">
        <f t="shared" si="30"/>
        <v>2448</v>
      </c>
      <c r="P879" s="17">
        <f t="shared" si="29"/>
        <v>2448</v>
      </c>
      <c r="Q879" t="str">
        <f>A879&amp;"-"&amp;B879&amp;"-"&amp;D879</f>
        <v>MARET-CNJ2-L4</v>
      </c>
    </row>
    <row r="880" spans="1:17" x14ac:dyDescent="0.25">
      <c r="A880" t="s">
        <v>393</v>
      </c>
      <c r="B880" s="13" t="s">
        <v>22</v>
      </c>
      <c r="C880" s="13" t="s">
        <v>43</v>
      </c>
      <c r="D880" s="14" t="s">
        <v>158</v>
      </c>
      <c r="E880" s="13" t="s">
        <v>58</v>
      </c>
      <c r="F880" s="13" t="s">
        <v>563</v>
      </c>
      <c r="G880" s="13">
        <v>1.49</v>
      </c>
      <c r="H880" s="15">
        <v>2656</v>
      </c>
      <c r="I880" s="16">
        <v>3957.44</v>
      </c>
      <c r="J880" s="16">
        <v>3914.29</v>
      </c>
      <c r="K880" s="16">
        <v>43.14999999999992</v>
      </c>
      <c r="L880" s="13"/>
      <c r="M880" s="13">
        <v>1.6</v>
      </c>
      <c r="N880" s="17">
        <f t="shared" si="30"/>
        <v>0</v>
      </c>
      <c r="O880" s="17">
        <f t="shared" si="30"/>
        <v>4249.6000000000004</v>
      </c>
      <c r="P880" s="17">
        <f t="shared" si="29"/>
        <v>4249.6000000000004</v>
      </c>
      <c r="Q880" t="str">
        <f>A880&amp;"-"&amp;B880&amp;"-"&amp;D880</f>
        <v>MARET-CNJ2-L4</v>
      </c>
    </row>
    <row r="881" spans="1:17" x14ac:dyDescent="0.25">
      <c r="A881" t="s">
        <v>393</v>
      </c>
      <c r="B881" s="13" t="s">
        <v>22</v>
      </c>
      <c r="C881" s="13" t="s">
        <v>43</v>
      </c>
      <c r="D881" s="14" t="s">
        <v>160</v>
      </c>
      <c r="E881" s="13" t="s">
        <v>58</v>
      </c>
      <c r="F881" s="13" t="s">
        <v>564</v>
      </c>
      <c r="G881" s="13">
        <v>1.49</v>
      </c>
      <c r="H881" s="15">
        <v>773</v>
      </c>
      <c r="I881" s="16">
        <v>1151.77</v>
      </c>
      <c r="J881" s="16">
        <v>1370</v>
      </c>
      <c r="K881" s="16">
        <v>-218.23000000000002</v>
      </c>
      <c r="L881" s="13"/>
      <c r="M881" s="13">
        <v>1.6</v>
      </c>
      <c r="N881" s="17">
        <f t="shared" si="30"/>
        <v>0</v>
      </c>
      <c r="O881" s="17">
        <f t="shared" si="30"/>
        <v>1236.8000000000002</v>
      </c>
      <c r="P881" s="17">
        <f t="shared" si="29"/>
        <v>1236.8000000000002</v>
      </c>
      <c r="Q881" t="str">
        <f>A881&amp;"-"&amp;B881&amp;"-"&amp;D881</f>
        <v>MARET-CNJ2-L5</v>
      </c>
    </row>
    <row r="882" spans="1:17" x14ac:dyDescent="0.25">
      <c r="A882" t="s">
        <v>393</v>
      </c>
      <c r="B882" s="13" t="s">
        <v>22</v>
      </c>
      <c r="C882" s="13" t="s">
        <v>43</v>
      </c>
      <c r="D882" s="14" t="s">
        <v>160</v>
      </c>
      <c r="E882" s="13" t="s">
        <v>58</v>
      </c>
      <c r="F882" s="13" t="s">
        <v>565</v>
      </c>
      <c r="G882" s="13">
        <v>1.49</v>
      </c>
      <c r="H882" s="15">
        <v>3301</v>
      </c>
      <c r="I882" s="16">
        <v>4918.49</v>
      </c>
      <c r="J882" s="16">
        <v>6458.58</v>
      </c>
      <c r="K882" s="16">
        <v>-1540.0900000000001</v>
      </c>
      <c r="L882" s="13"/>
      <c r="M882" s="13">
        <v>1.6</v>
      </c>
      <c r="N882" s="17">
        <f t="shared" si="30"/>
        <v>0</v>
      </c>
      <c r="O882" s="17">
        <f t="shared" si="30"/>
        <v>5281.6</v>
      </c>
      <c r="P882" s="17">
        <f t="shared" si="29"/>
        <v>5281.6</v>
      </c>
      <c r="Q882" t="str">
        <f>A882&amp;"-"&amp;B882&amp;"-"&amp;D882</f>
        <v>MARET-CNJ2-L5</v>
      </c>
    </row>
    <row r="883" spans="1:17" x14ac:dyDescent="0.25">
      <c r="A883" t="s">
        <v>393</v>
      </c>
      <c r="B883" s="13" t="s">
        <v>22</v>
      </c>
      <c r="C883" s="13" t="s">
        <v>43</v>
      </c>
      <c r="D883" s="14" t="s">
        <v>163</v>
      </c>
      <c r="E883" s="13" t="s">
        <v>58</v>
      </c>
      <c r="F883" s="13" t="s">
        <v>566</v>
      </c>
      <c r="G883" s="13">
        <v>1.49</v>
      </c>
      <c r="H883" s="15">
        <v>1439</v>
      </c>
      <c r="I883" s="16">
        <v>2144.11</v>
      </c>
      <c r="J883" s="16">
        <v>2544.29</v>
      </c>
      <c r="K883" s="16">
        <v>-400.18000000000012</v>
      </c>
      <c r="L883" s="13"/>
      <c r="M883" s="13">
        <v>1.6</v>
      </c>
      <c r="N883" s="17">
        <f t="shared" si="30"/>
        <v>0</v>
      </c>
      <c r="O883" s="17">
        <f t="shared" si="30"/>
        <v>2302.4</v>
      </c>
      <c r="P883" s="17">
        <f t="shared" si="29"/>
        <v>2302.4</v>
      </c>
      <c r="Q883" t="str">
        <f>A883&amp;"-"&amp;B883&amp;"-"&amp;D883</f>
        <v>MARET-CNJ2-L6</v>
      </c>
    </row>
    <row r="884" spans="1:17" x14ac:dyDescent="0.25">
      <c r="A884" t="s">
        <v>393</v>
      </c>
      <c r="B884" s="13" t="s">
        <v>22</v>
      </c>
      <c r="C884" s="13" t="s">
        <v>43</v>
      </c>
      <c r="D884" s="14" t="s">
        <v>163</v>
      </c>
      <c r="E884" s="13" t="s">
        <v>58</v>
      </c>
      <c r="F884" s="13" t="s">
        <v>567</v>
      </c>
      <c r="G884" s="13">
        <v>1.49</v>
      </c>
      <c r="H884" s="15">
        <v>2177</v>
      </c>
      <c r="I884" s="16">
        <v>3243.7300000000005</v>
      </c>
      <c r="J884" s="16">
        <v>5284.29</v>
      </c>
      <c r="K884" s="16">
        <v>-2040.56</v>
      </c>
      <c r="L884" s="13"/>
      <c r="M884" s="13">
        <v>1.6</v>
      </c>
      <c r="N884" s="17">
        <f t="shared" si="30"/>
        <v>0</v>
      </c>
      <c r="O884" s="17">
        <f t="shared" si="30"/>
        <v>3483.2000000000003</v>
      </c>
      <c r="P884" s="17">
        <f t="shared" si="29"/>
        <v>3483.2000000000003</v>
      </c>
      <c r="Q884" t="str">
        <f>A884&amp;"-"&amp;B884&amp;"-"&amp;D884</f>
        <v>MARET-CNJ2-L6</v>
      </c>
    </row>
    <row r="885" spans="1:17" x14ac:dyDescent="0.25">
      <c r="A885" t="s">
        <v>393</v>
      </c>
      <c r="B885" s="13" t="s">
        <v>22</v>
      </c>
      <c r="C885" s="13" t="s">
        <v>43</v>
      </c>
      <c r="D885" s="14" t="s">
        <v>164</v>
      </c>
      <c r="E885" s="13" t="s">
        <v>58</v>
      </c>
      <c r="F885" s="13" t="s">
        <v>567</v>
      </c>
      <c r="G885" s="13">
        <v>1.49</v>
      </c>
      <c r="H885" s="15">
        <v>1000</v>
      </c>
      <c r="I885" s="16">
        <v>1490</v>
      </c>
      <c r="J885" s="16">
        <v>5969.29</v>
      </c>
      <c r="K885" s="16">
        <v>-4479.29</v>
      </c>
      <c r="L885" s="13"/>
      <c r="M885" s="13">
        <v>1.6</v>
      </c>
      <c r="N885" s="17">
        <f t="shared" si="30"/>
        <v>0</v>
      </c>
      <c r="O885" s="17">
        <f t="shared" si="30"/>
        <v>1600</v>
      </c>
      <c r="P885" s="17">
        <f t="shared" si="29"/>
        <v>1600</v>
      </c>
      <c r="Q885" t="str">
        <f>A885&amp;"-"&amp;B885&amp;"-"&amp;D885</f>
        <v>MARET-CNJ2-L7</v>
      </c>
    </row>
    <row r="886" spans="1:17" x14ac:dyDescent="0.25">
      <c r="A886" t="s">
        <v>393</v>
      </c>
      <c r="B886" s="13" t="s">
        <v>23</v>
      </c>
      <c r="C886" s="13" t="s">
        <v>201</v>
      </c>
      <c r="D886" s="14" t="s">
        <v>44</v>
      </c>
      <c r="E886" s="13" t="s">
        <v>191</v>
      </c>
      <c r="F886" s="13" t="s">
        <v>439</v>
      </c>
      <c r="G886" s="13">
        <v>0.45</v>
      </c>
      <c r="H886" s="15">
        <v>3720</v>
      </c>
      <c r="I886" s="16">
        <v>1674</v>
      </c>
      <c r="J886" s="16">
        <v>1656</v>
      </c>
      <c r="K886" s="16">
        <v>18</v>
      </c>
      <c r="L886" s="13">
        <v>1.1399999999999999</v>
      </c>
      <c r="M886" s="13"/>
      <c r="N886" s="17">
        <f t="shared" si="30"/>
        <v>4240.7999999999993</v>
      </c>
      <c r="O886" s="17">
        <f t="shared" si="30"/>
        <v>0</v>
      </c>
      <c r="P886" s="17">
        <f t="shared" si="29"/>
        <v>4240.7999999999993</v>
      </c>
      <c r="Q886" t="str">
        <f>A886&amp;"-"&amp;B886&amp;"-"&amp;D886</f>
        <v>MARET-CVA-L1</v>
      </c>
    </row>
    <row r="887" spans="1:17" x14ac:dyDescent="0.25">
      <c r="A887" t="s">
        <v>393</v>
      </c>
      <c r="B887" s="13" t="s">
        <v>23</v>
      </c>
      <c r="C887" s="13" t="s">
        <v>201</v>
      </c>
      <c r="D887" s="14" t="s">
        <v>44</v>
      </c>
      <c r="E887" s="13" t="s">
        <v>191</v>
      </c>
      <c r="F887" s="13" t="s">
        <v>568</v>
      </c>
      <c r="G887" s="13">
        <v>0.37999999999999995</v>
      </c>
      <c r="H887" s="15">
        <v>10178</v>
      </c>
      <c r="I887" s="16">
        <v>3867.64</v>
      </c>
      <c r="J887" s="16">
        <v>3312</v>
      </c>
      <c r="K887" s="16">
        <v>555.64</v>
      </c>
      <c r="L887" s="13">
        <v>1.1499999999999999</v>
      </c>
      <c r="M887" s="13"/>
      <c r="N887" s="17">
        <f t="shared" si="30"/>
        <v>11704.699999999999</v>
      </c>
      <c r="O887" s="17">
        <f t="shared" si="30"/>
        <v>0</v>
      </c>
      <c r="P887" s="17">
        <f t="shared" si="29"/>
        <v>11704.699999999999</v>
      </c>
      <c r="Q887" t="str">
        <f>A887&amp;"-"&amp;B887&amp;"-"&amp;D887</f>
        <v>MARET-CVA-L1</v>
      </c>
    </row>
    <row r="888" spans="1:17" x14ac:dyDescent="0.25">
      <c r="A888" t="s">
        <v>393</v>
      </c>
      <c r="B888" s="13" t="s">
        <v>23</v>
      </c>
      <c r="C888" s="13" t="s">
        <v>201</v>
      </c>
      <c r="D888" s="14" t="s">
        <v>301</v>
      </c>
      <c r="E888" s="13" t="s">
        <v>191</v>
      </c>
      <c r="F888" s="13" t="s">
        <v>443</v>
      </c>
      <c r="G888" s="13">
        <v>0.37999999999999995</v>
      </c>
      <c r="H888" s="15">
        <v>18052</v>
      </c>
      <c r="I888" s="16">
        <v>6859.7600000000011</v>
      </c>
      <c r="J888" s="16">
        <v>8674.2900000000009</v>
      </c>
      <c r="K888" s="16">
        <v>-1814.5299999999997</v>
      </c>
      <c r="L888" s="13">
        <v>1.1499999999999999</v>
      </c>
      <c r="M888" s="13"/>
      <c r="N888" s="17">
        <f t="shared" si="30"/>
        <v>20759.8</v>
      </c>
      <c r="O888" s="17">
        <f t="shared" si="30"/>
        <v>0</v>
      </c>
      <c r="P888" s="17">
        <f t="shared" si="29"/>
        <v>20759.8</v>
      </c>
      <c r="Q888" t="str">
        <f>A888&amp;"-"&amp;B888&amp;"-"&amp;D888</f>
        <v>MARET-CVA-L10</v>
      </c>
    </row>
    <row r="889" spans="1:17" x14ac:dyDescent="0.25">
      <c r="A889" t="s">
        <v>393</v>
      </c>
      <c r="B889" s="13" t="s">
        <v>23</v>
      </c>
      <c r="C889" s="13" t="s">
        <v>201</v>
      </c>
      <c r="D889" s="14" t="s">
        <v>301</v>
      </c>
      <c r="E889" s="13" t="s">
        <v>191</v>
      </c>
      <c r="F889" s="13" t="s">
        <v>569</v>
      </c>
      <c r="G889" s="13">
        <v>0.37999999999999995</v>
      </c>
      <c r="H889" s="15">
        <v>10052</v>
      </c>
      <c r="I889" s="16">
        <v>3819.76</v>
      </c>
      <c r="J889" s="16">
        <v>5204.58</v>
      </c>
      <c r="K889" s="16">
        <v>-1384.82</v>
      </c>
      <c r="L889" s="13">
        <v>1.1000000000000001</v>
      </c>
      <c r="M889" s="13"/>
      <c r="N889" s="17">
        <f t="shared" si="30"/>
        <v>11057.2</v>
      </c>
      <c r="O889" s="17">
        <f t="shared" si="30"/>
        <v>0</v>
      </c>
      <c r="P889" s="17">
        <f t="shared" si="29"/>
        <v>11057.2</v>
      </c>
      <c r="Q889" t="str">
        <f>A889&amp;"-"&amp;B889&amp;"-"&amp;D889</f>
        <v>MARET-CVA-L10</v>
      </c>
    </row>
    <row r="890" spans="1:17" x14ac:dyDescent="0.25">
      <c r="A890" t="s">
        <v>393</v>
      </c>
      <c r="B890" s="13" t="s">
        <v>23</v>
      </c>
      <c r="C890" s="13" t="s">
        <v>201</v>
      </c>
      <c r="D890" s="14" t="s">
        <v>50</v>
      </c>
      <c r="E890" s="13" t="s">
        <v>191</v>
      </c>
      <c r="F890" s="13" t="s">
        <v>439</v>
      </c>
      <c r="G890" s="13">
        <v>0.45</v>
      </c>
      <c r="H890" s="15">
        <v>3560</v>
      </c>
      <c r="I890" s="16">
        <v>1602</v>
      </c>
      <c r="J890" s="16">
        <v>1104</v>
      </c>
      <c r="K890" s="16">
        <v>498</v>
      </c>
      <c r="L890" s="13">
        <v>1.1399999999999999</v>
      </c>
      <c r="M890" s="13"/>
      <c r="N890" s="17">
        <f t="shared" si="30"/>
        <v>4058.3999999999996</v>
      </c>
      <c r="O890" s="17">
        <f t="shared" si="30"/>
        <v>0</v>
      </c>
      <c r="P890" s="17">
        <f t="shared" si="29"/>
        <v>4058.3999999999996</v>
      </c>
      <c r="Q890" t="str">
        <f>A890&amp;"-"&amp;B890&amp;"-"&amp;D890</f>
        <v>MARET-CVA-L2</v>
      </c>
    </row>
    <row r="891" spans="1:17" x14ac:dyDescent="0.25">
      <c r="A891" t="s">
        <v>393</v>
      </c>
      <c r="B891" s="13" t="s">
        <v>23</v>
      </c>
      <c r="C891" s="13" t="s">
        <v>201</v>
      </c>
      <c r="D891" s="14" t="s">
        <v>50</v>
      </c>
      <c r="E891" s="13" t="s">
        <v>191</v>
      </c>
      <c r="F891" s="13" t="s">
        <v>568</v>
      </c>
      <c r="G891" s="13">
        <v>0.37999999999999995</v>
      </c>
      <c r="H891" s="15">
        <v>10358</v>
      </c>
      <c r="I891" s="16">
        <v>3936.04</v>
      </c>
      <c r="J891" s="16">
        <v>3031.2530712530715</v>
      </c>
      <c r="K891" s="16">
        <v>904.78692874692888</v>
      </c>
      <c r="L891" s="13">
        <v>1.1499999999999999</v>
      </c>
      <c r="M891" s="13"/>
      <c r="N891" s="17">
        <f t="shared" si="30"/>
        <v>11911.699999999999</v>
      </c>
      <c r="O891" s="17">
        <f t="shared" si="30"/>
        <v>0</v>
      </c>
      <c r="P891" s="17">
        <f t="shared" si="29"/>
        <v>11911.699999999999</v>
      </c>
      <c r="Q891" t="str">
        <f>A891&amp;"-"&amp;B891&amp;"-"&amp;D891</f>
        <v>MARET-CVA-L2</v>
      </c>
    </row>
    <row r="892" spans="1:17" x14ac:dyDescent="0.25">
      <c r="A892" t="s">
        <v>393</v>
      </c>
      <c r="B892" s="13" t="s">
        <v>23</v>
      </c>
      <c r="C892" s="13" t="s">
        <v>201</v>
      </c>
      <c r="D892" s="14" t="s">
        <v>56</v>
      </c>
      <c r="E892" s="13" t="s">
        <v>191</v>
      </c>
      <c r="F892" s="13" t="s">
        <v>439</v>
      </c>
      <c r="G892" s="13">
        <v>0.45</v>
      </c>
      <c r="H892" s="15">
        <v>32380</v>
      </c>
      <c r="I892" s="16">
        <v>14571.000000000002</v>
      </c>
      <c r="J892" s="16">
        <v>10172.58</v>
      </c>
      <c r="K892" s="16">
        <v>4398.42</v>
      </c>
      <c r="L892" s="13">
        <v>1.1399999999999999</v>
      </c>
      <c r="M892" s="13"/>
      <c r="N892" s="17">
        <f t="shared" si="30"/>
        <v>36913.199999999997</v>
      </c>
      <c r="O892" s="17">
        <f t="shared" si="30"/>
        <v>0</v>
      </c>
      <c r="P892" s="17">
        <f t="shared" si="29"/>
        <v>36913.199999999997</v>
      </c>
      <c r="Q892" t="str">
        <f>A892&amp;"-"&amp;B892&amp;"-"&amp;D892</f>
        <v>MARET-CVA-L3</v>
      </c>
    </row>
    <row r="893" spans="1:17" x14ac:dyDescent="0.25">
      <c r="A893" t="s">
        <v>393</v>
      </c>
      <c r="B893" s="13" t="s">
        <v>23</v>
      </c>
      <c r="C893" s="13" t="s">
        <v>201</v>
      </c>
      <c r="D893" s="14" t="s">
        <v>56</v>
      </c>
      <c r="E893" s="13" t="s">
        <v>191</v>
      </c>
      <c r="F893" s="13" t="s">
        <v>445</v>
      </c>
      <c r="G893" s="13">
        <v>0.45</v>
      </c>
      <c r="H893" s="15">
        <v>7059</v>
      </c>
      <c r="I893" s="16">
        <v>3176.55</v>
      </c>
      <c r="J893" s="16">
        <v>2270.6478104138851</v>
      </c>
      <c r="K893" s="16">
        <v>905.9021895861149</v>
      </c>
      <c r="L893" s="13">
        <v>1.1000000000000001</v>
      </c>
      <c r="M893" s="13"/>
      <c r="N893" s="17">
        <f t="shared" si="30"/>
        <v>7764.9000000000005</v>
      </c>
      <c r="O893" s="17">
        <f t="shared" si="30"/>
        <v>0</v>
      </c>
      <c r="P893" s="17">
        <f t="shared" si="29"/>
        <v>7764.9000000000005</v>
      </c>
      <c r="Q893" t="str">
        <f>A893&amp;"-"&amp;B893&amp;"-"&amp;D893</f>
        <v>MARET-CVA-L3</v>
      </c>
    </row>
    <row r="894" spans="1:17" x14ac:dyDescent="0.25">
      <c r="A894" t="s">
        <v>393</v>
      </c>
      <c r="B894" s="13" t="s">
        <v>23</v>
      </c>
      <c r="C894" s="13" t="s">
        <v>201</v>
      </c>
      <c r="D894" s="14" t="s">
        <v>56</v>
      </c>
      <c r="E894" s="13" t="s">
        <v>191</v>
      </c>
      <c r="F894" s="13" t="s">
        <v>443</v>
      </c>
      <c r="G894" s="13">
        <v>0.38000000000000006</v>
      </c>
      <c r="H894" s="15">
        <v>4890</v>
      </c>
      <c r="I894" s="16">
        <v>1858.2</v>
      </c>
      <c r="J894" s="16">
        <v>1435.6421895861149</v>
      </c>
      <c r="K894" s="16">
        <v>422.55781041388525</v>
      </c>
      <c r="L894" s="13">
        <v>1.1499999999999999</v>
      </c>
      <c r="M894" s="13"/>
      <c r="N894" s="17">
        <f t="shared" si="30"/>
        <v>5623.5</v>
      </c>
      <c r="O894" s="17">
        <f t="shared" si="30"/>
        <v>0</v>
      </c>
      <c r="P894" s="17">
        <f t="shared" si="29"/>
        <v>5623.5</v>
      </c>
      <c r="Q894" t="str">
        <f>A894&amp;"-"&amp;B894&amp;"-"&amp;D894</f>
        <v>MARET-CVA-L3</v>
      </c>
    </row>
    <row r="895" spans="1:17" x14ac:dyDescent="0.25">
      <c r="A895" t="s">
        <v>393</v>
      </c>
      <c r="B895" s="13" t="s">
        <v>23</v>
      </c>
      <c r="C895" s="13" t="s">
        <v>201</v>
      </c>
      <c r="D895" s="14" t="s">
        <v>158</v>
      </c>
      <c r="E895" s="13" t="s">
        <v>191</v>
      </c>
      <c r="F895" s="13" t="s">
        <v>439</v>
      </c>
      <c r="G895" s="13">
        <v>0.45</v>
      </c>
      <c r="H895" s="15">
        <v>32266</v>
      </c>
      <c r="I895" s="16">
        <v>14519.7</v>
      </c>
      <c r="J895" s="16">
        <v>10355.7732</v>
      </c>
      <c r="K895" s="16">
        <v>4163.9268000000002</v>
      </c>
      <c r="L895" s="13">
        <v>1.1399999999999999</v>
      </c>
      <c r="M895" s="13"/>
      <c r="N895" s="17">
        <f t="shared" si="30"/>
        <v>36783.24</v>
      </c>
      <c r="O895" s="17">
        <f t="shared" si="30"/>
        <v>0</v>
      </c>
      <c r="P895" s="17">
        <f t="shared" si="29"/>
        <v>36783.24</v>
      </c>
      <c r="Q895" t="str">
        <f>A895&amp;"-"&amp;B895&amp;"-"&amp;D895</f>
        <v>MARET-CVA-L4</v>
      </c>
    </row>
    <row r="896" spans="1:17" x14ac:dyDescent="0.25">
      <c r="A896" t="s">
        <v>393</v>
      </c>
      <c r="B896" s="13" t="s">
        <v>23</v>
      </c>
      <c r="C896" s="13" t="s">
        <v>201</v>
      </c>
      <c r="D896" s="14" t="s">
        <v>158</v>
      </c>
      <c r="E896" s="13" t="s">
        <v>191</v>
      </c>
      <c r="F896" s="13" t="s">
        <v>445</v>
      </c>
      <c r="G896" s="13">
        <v>0.45</v>
      </c>
      <c r="H896" s="15">
        <v>6076</v>
      </c>
      <c r="I896" s="16">
        <v>2734.2</v>
      </c>
      <c r="J896" s="16">
        <v>1867.0968</v>
      </c>
      <c r="K896" s="16">
        <v>867.10320000000002</v>
      </c>
      <c r="L896" s="13">
        <v>1.1000000000000001</v>
      </c>
      <c r="M896" s="13"/>
      <c r="N896" s="17">
        <f t="shared" si="30"/>
        <v>6683.6</v>
      </c>
      <c r="O896" s="17">
        <f t="shared" si="30"/>
        <v>0</v>
      </c>
      <c r="P896" s="17">
        <f t="shared" si="29"/>
        <v>6683.6</v>
      </c>
      <c r="Q896" t="str">
        <f>A896&amp;"-"&amp;B896&amp;"-"&amp;D896</f>
        <v>MARET-CVA-L4</v>
      </c>
    </row>
    <row r="897" spans="1:17" x14ac:dyDescent="0.25">
      <c r="A897" t="s">
        <v>393</v>
      </c>
      <c r="B897" s="13" t="s">
        <v>23</v>
      </c>
      <c r="C897" s="13" t="s">
        <v>201</v>
      </c>
      <c r="D897" s="14" t="s">
        <v>158</v>
      </c>
      <c r="E897" s="13" t="s">
        <v>191</v>
      </c>
      <c r="F897" s="13" t="s">
        <v>443</v>
      </c>
      <c r="G897" s="13">
        <v>0.38000000000000006</v>
      </c>
      <c r="H897" s="15">
        <v>6450</v>
      </c>
      <c r="I897" s="16">
        <v>2451</v>
      </c>
      <c r="J897" s="16">
        <v>1656</v>
      </c>
      <c r="K897" s="16">
        <v>795.00000000000011</v>
      </c>
      <c r="L897" s="13">
        <v>1.1499999999999999</v>
      </c>
      <c r="M897" s="13"/>
      <c r="N897" s="17">
        <f t="shared" si="30"/>
        <v>7417.4999999999991</v>
      </c>
      <c r="O897" s="17">
        <f t="shared" si="30"/>
        <v>0</v>
      </c>
      <c r="P897" s="17">
        <f t="shared" si="29"/>
        <v>7417.4999999999991</v>
      </c>
      <c r="Q897" t="str">
        <f>A897&amp;"-"&amp;B897&amp;"-"&amp;D897</f>
        <v>MARET-CVA-L4</v>
      </c>
    </row>
    <row r="898" spans="1:17" x14ac:dyDescent="0.25">
      <c r="A898" t="s">
        <v>393</v>
      </c>
      <c r="B898" s="13" t="s">
        <v>23</v>
      </c>
      <c r="C898" s="13" t="s">
        <v>201</v>
      </c>
      <c r="D898" s="14" t="s">
        <v>160</v>
      </c>
      <c r="E898" s="13" t="s">
        <v>191</v>
      </c>
      <c r="F898" s="13" t="s">
        <v>439</v>
      </c>
      <c r="G898" s="13">
        <v>0.4499999999999999</v>
      </c>
      <c r="H898" s="15">
        <v>38519</v>
      </c>
      <c r="I898" s="16">
        <v>17333.55</v>
      </c>
      <c r="J898" s="16">
        <v>12222.87</v>
      </c>
      <c r="K898" s="16">
        <v>5110.6800000000021</v>
      </c>
      <c r="L898" s="13">
        <v>1.1399999999999999</v>
      </c>
      <c r="M898" s="13"/>
      <c r="N898" s="17">
        <f t="shared" si="30"/>
        <v>43911.659999999996</v>
      </c>
      <c r="O898" s="17">
        <f t="shared" si="30"/>
        <v>0</v>
      </c>
      <c r="P898" s="17">
        <f t="shared" ref="P898:P961" si="31">N898+O898</f>
        <v>43911.659999999996</v>
      </c>
      <c r="Q898" t="str">
        <f>A898&amp;"-"&amp;B898&amp;"-"&amp;D898</f>
        <v>MARET-CVA-L5</v>
      </c>
    </row>
    <row r="899" spans="1:17" x14ac:dyDescent="0.25">
      <c r="A899" t="s">
        <v>393</v>
      </c>
      <c r="B899" s="13" t="s">
        <v>23</v>
      </c>
      <c r="C899" s="13" t="s">
        <v>201</v>
      </c>
      <c r="D899" s="14" t="s">
        <v>160</v>
      </c>
      <c r="E899" s="13" t="s">
        <v>191</v>
      </c>
      <c r="F899" s="13" t="s">
        <v>568</v>
      </c>
      <c r="G899" s="13">
        <v>0.38000000000000006</v>
      </c>
      <c r="H899" s="15">
        <v>6100</v>
      </c>
      <c r="I899" s="16">
        <v>2318</v>
      </c>
      <c r="J899" s="16">
        <v>1656</v>
      </c>
      <c r="K899" s="16">
        <v>662.00000000000011</v>
      </c>
      <c r="L899" s="13">
        <v>1.1499999999999999</v>
      </c>
      <c r="M899" s="13"/>
      <c r="N899" s="17">
        <f t="shared" si="30"/>
        <v>7014.9999999999991</v>
      </c>
      <c r="O899" s="17">
        <f t="shared" si="30"/>
        <v>0</v>
      </c>
      <c r="P899" s="17">
        <f t="shared" si="31"/>
        <v>7014.9999999999991</v>
      </c>
      <c r="Q899" t="str">
        <f>A899&amp;"-"&amp;B899&amp;"-"&amp;D899</f>
        <v>MARET-CVA-L5</v>
      </c>
    </row>
    <row r="900" spans="1:17" x14ac:dyDescent="0.25">
      <c r="A900" t="s">
        <v>393</v>
      </c>
      <c r="B900" s="13" t="s">
        <v>23</v>
      </c>
      <c r="C900" s="13" t="s">
        <v>201</v>
      </c>
      <c r="D900" s="14" t="s">
        <v>163</v>
      </c>
      <c r="E900" s="13" t="s">
        <v>191</v>
      </c>
      <c r="F900" s="13" t="s">
        <v>439</v>
      </c>
      <c r="G900" s="13">
        <v>0.4499999999999999</v>
      </c>
      <c r="H900" s="15">
        <v>34023</v>
      </c>
      <c r="I900" s="16">
        <v>15310.349999999997</v>
      </c>
      <c r="J900" s="16">
        <v>12774.87</v>
      </c>
      <c r="K900" s="16">
        <v>2535.4800000000005</v>
      </c>
      <c r="L900" s="13">
        <v>1.1399999999999999</v>
      </c>
      <c r="M900" s="13"/>
      <c r="N900" s="17">
        <f t="shared" si="30"/>
        <v>38786.219999999994</v>
      </c>
      <c r="O900" s="17">
        <f t="shared" si="30"/>
        <v>0</v>
      </c>
      <c r="P900" s="17">
        <f t="shared" si="31"/>
        <v>38786.219999999994</v>
      </c>
      <c r="Q900" t="str">
        <f>A900&amp;"-"&amp;B900&amp;"-"&amp;D900</f>
        <v>MARET-CVA-L6</v>
      </c>
    </row>
    <row r="901" spans="1:17" x14ac:dyDescent="0.25">
      <c r="A901" t="s">
        <v>393</v>
      </c>
      <c r="B901" s="13" t="s">
        <v>23</v>
      </c>
      <c r="C901" s="13" t="s">
        <v>201</v>
      </c>
      <c r="D901" s="14" t="s">
        <v>163</v>
      </c>
      <c r="E901" s="13" t="s">
        <v>191</v>
      </c>
      <c r="F901" s="13" t="s">
        <v>568</v>
      </c>
      <c r="G901" s="13">
        <v>0.38</v>
      </c>
      <c r="H901" s="15">
        <v>4360</v>
      </c>
      <c r="I901" s="16">
        <v>1656.8000000000002</v>
      </c>
      <c r="J901" s="16">
        <v>1104</v>
      </c>
      <c r="K901" s="16">
        <v>552.80000000000007</v>
      </c>
      <c r="L901" s="13">
        <v>1.1499999999999999</v>
      </c>
      <c r="M901" s="13"/>
      <c r="N901" s="17">
        <f t="shared" si="30"/>
        <v>5014</v>
      </c>
      <c r="O901" s="17">
        <f t="shared" si="30"/>
        <v>0</v>
      </c>
      <c r="P901" s="17">
        <f t="shared" si="31"/>
        <v>5014</v>
      </c>
      <c r="Q901" t="str">
        <f>A901&amp;"-"&amp;B901&amp;"-"&amp;D901</f>
        <v>MARET-CVA-L6</v>
      </c>
    </row>
    <row r="902" spans="1:17" x14ac:dyDescent="0.25">
      <c r="A902" t="s">
        <v>393</v>
      </c>
      <c r="B902" s="13" t="s">
        <v>23</v>
      </c>
      <c r="C902" s="13" t="s">
        <v>201</v>
      </c>
      <c r="D902" s="14" t="s">
        <v>164</v>
      </c>
      <c r="E902" s="13" t="s">
        <v>191</v>
      </c>
      <c r="F902" s="13" t="s">
        <v>445</v>
      </c>
      <c r="G902" s="13">
        <v>0.45</v>
      </c>
      <c r="H902" s="15">
        <v>4269</v>
      </c>
      <c r="I902" s="16">
        <v>1921.05</v>
      </c>
      <c r="J902" s="16">
        <v>1656</v>
      </c>
      <c r="K902" s="16">
        <v>265.05</v>
      </c>
      <c r="L902" s="13">
        <v>1.1000000000000001</v>
      </c>
      <c r="M902" s="13"/>
      <c r="N902" s="17">
        <f t="shared" si="30"/>
        <v>4695.9000000000005</v>
      </c>
      <c r="O902" s="17">
        <f t="shared" si="30"/>
        <v>0</v>
      </c>
      <c r="P902" s="17">
        <f t="shared" si="31"/>
        <v>4695.9000000000005</v>
      </c>
      <c r="Q902" t="str">
        <f>A902&amp;"-"&amp;B902&amp;"-"&amp;D902</f>
        <v>MARET-CVA-L7</v>
      </c>
    </row>
    <row r="903" spans="1:17" x14ac:dyDescent="0.25">
      <c r="A903" t="s">
        <v>393</v>
      </c>
      <c r="B903" s="13" t="s">
        <v>23</v>
      </c>
      <c r="C903" s="13" t="s">
        <v>201</v>
      </c>
      <c r="D903" s="14" t="s">
        <v>164</v>
      </c>
      <c r="E903" s="13" t="s">
        <v>191</v>
      </c>
      <c r="F903" s="13" t="s">
        <v>443</v>
      </c>
      <c r="G903" s="13">
        <v>0.37999999999999995</v>
      </c>
      <c r="H903" s="15">
        <v>28995</v>
      </c>
      <c r="I903" s="16">
        <v>11018.099999999997</v>
      </c>
      <c r="J903" s="16">
        <v>8551.1768194574361</v>
      </c>
      <c r="K903" s="16">
        <v>2466.9231805425625</v>
      </c>
      <c r="L903" s="13">
        <v>1.1499999999999999</v>
      </c>
      <c r="M903" s="13"/>
      <c r="N903" s="17">
        <f t="shared" si="30"/>
        <v>33344.25</v>
      </c>
      <c r="O903" s="17">
        <f t="shared" si="30"/>
        <v>0</v>
      </c>
      <c r="P903" s="17">
        <f t="shared" si="31"/>
        <v>33344.25</v>
      </c>
      <c r="Q903" t="str">
        <f>A903&amp;"-"&amp;B903&amp;"-"&amp;D903</f>
        <v>MARET-CVA-L7</v>
      </c>
    </row>
    <row r="904" spans="1:17" x14ac:dyDescent="0.25">
      <c r="A904" t="s">
        <v>393</v>
      </c>
      <c r="B904" s="13" t="s">
        <v>23</v>
      </c>
      <c r="C904" s="13" t="s">
        <v>201</v>
      </c>
      <c r="D904" s="14" t="s">
        <v>164</v>
      </c>
      <c r="E904" s="13" t="s">
        <v>191</v>
      </c>
      <c r="F904" s="13" t="s">
        <v>569</v>
      </c>
      <c r="G904" s="13">
        <v>0.38</v>
      </c>
      <c r="H904" s="15">
        <v>8102</v>
      </c>
      <c r="I904" s="16">
        <v>3078.76</v>
      </c>
      <c r="J904" s="16">
        <v>2567.6931805425629</v>
      </c>
      <c r="K904" s="16">
        <v>511.06681945743685</v>
      </c>
      <c r="L904" s="13">
        <v>1.1000000000000001</v>
      </c>
      <c r="M904" s="13"/>
      <c r="N904" s="17">
        <f t="shared" si="30"/>
        <v>8912.2000000000007</v>
      </c>
      <c r="O904" s="17">
        <f t="shared" si="30"/>
        <v>0</v>
      </c>
      <c r="P904" s="17">
        <f t="shared" si="31"/>
        <v>8912.2000000000007</v>
      </c>
      <c r="Q904" t="str">
        <f>A904&amp;"-"&amp;B904&amp;"-"&amp;D904</f>
        <v>MARET-CVA-L7</v>
      </c>
    </row>
    <row r="905" spans="1:17" x14ac:dyDescent="0.25">
      <c r="A905" t="s">
        <v>393</v>
      </c>
      <c r="B905" s="13" t="s">
        <v>23</v>
      </c>
      <c r="C905" s="13" t="s">
        <v>201</v>
      </c>
      <c r="D905" s="14" t="s">
        <v>164</v>
      </c>
      <c r="E905" s="13" t="s">
        <v>191</v>
      </c>
      <c r="F905" s="13" t="s">
        <v>568</v>
      </c>
      <c r="G905" s="13">
        <v>0.38</v>
      </c>
      <c r="H905" s="15">
        <v>4095</v>
      </c>
      <c r="I905" s="16">
        <v>1556.1</v>
      </c>
      <c r="J905" s="16">
        <v>1104</v>
      </c>
      <c r="K905" s="16">
        <v>452.09999999999991</v>
      </c>
      <c r="L905" s="13">
        <v>1.1499999999999999</v>
      </c>
      <c r="M905" s="13"/>
      <c r="N905" s="17">
        <f t="shared" si="30"/>
        <v>4709.25</v>
      </c>
      <c r="O905" s="17">
        <f t="shared" si="30"/>
        <v>0</v>
      </c>
      <c r="P905" s="17">
        <f t="shared" si="31"/>
        <v>4709.25</v>
      </c>
      <c r="Q905" t="str">
        <f>A905&amp;"-"&amp;B905&amp;"-"&amp;D905</f>
        <v>MARET-CVA-L7</v>
      </c>
    </row>
    <row r="906" spans="1:17" x14ac:dyDescent="0.25">
      <c r="A906" t="s">
        <v>393</v>
      </c>
      <c r="B906" s="13" t="s">
        <v>23</v>
      </c>
      <c r="C906" s="13" t="s">
        <v>201</v>
      </c>
      <c r="D906" s="14" t="s">
        <v>198</v>
      </c>
      <c r="E906" s="13" t="s">
        <v>191</v>
      </c>
      <c r="F906" s="13" t="s">
        <v>445</v>
      </c>
      <c r="G906" s="13">
        <v>0.45</v>
      </c>
      <c r="H906" s="15">
        <v>3011</v>
      </c>
      <c r="I906" s="16">
        <v>1354.95</v>
      </c>
      <c r="J906" s="16">
        <v>1104</v>
      </c>
      <c r="K906" s="16">
        <v>250.95000000000005</v>
      </c>
      <c r="L906" s="13">
        <v>1.1000000000000001</v>
      </c>
      <c r="M906" s="13"/>
      <c r="N906" s="17">
        <f t="shared" si="30"/>
        <v>3312.1000000000004</v>
      </c>
      <c r="O906" s="17">
        <f t="shared" si="30"/>
        <v>0</v>
      </c>
      <c r="P906" s="17">
        <f t="shared" si="31"/>
        <v>3312.1000000000004</v>
      </c>
      <c r="Q906" t="str">
        <f>A906&amp;"-"&amp;B906&amp;"-"&amp;D906</f>
        <v>MARET-CVA-L8</v>
      </c>
    </row>
    <row r="907" spans="1:17" x14ac:dyDescent="0.25">
      <c r="A907" t="s">
        <v>393</v>
      </c>
      <c r="B907" s="13" t="s">
        <v>23</v>
      </c>
      <c r="C907" s="13" t="s">
        <v>201</v>
      </c>
      <c r="D907" s="14" t="s">
        <v>198</v>
      </c>
      <c r="E907" s="13" t="s">
        <v>191</v>
      </c>
      <c r="F907" s="13" t="s">
        <v>443</v>
      </c>
      <c r="G907" s="13">
        <v>0.37999999999999995</v>
      </c>
      <c r="H907" s="15">
        <v>27776</v>
      </c>
      <c r="I907" s="16">
        <v>10554.879999999997</v>
      </c>
      <c r="J907" s="16">
        <v>8215.6600681431009</v>
      </c>
      <c r="K907" s="16">
        <v>2339.2199318568996</v>
      </c>
      <c r="L907" s="13">
        <v>1.1499999999999999</v>
      </c>
      <c r="M907" s="13"/>
      <c r="N907" s="17">
        <f t="shared" si="30"/>
        <v>31942.399999999998</v>
      </c>
      <c r="O907" s="17">
        <f t="shared" si="30"/>
        <v>0</v>
      </c>
      <c r="P907" s="17">
        <f t="shared" si="31"/>
        <v>31942.399999999998</v>
      </c>
      <c r="Q907" t="str">
        <f>A907&amp;"-"&amp;B907&amp;"-"&amp;D907</f>
        <v>MARET-CVA-L8</v>
      </c>
    </row>
    <row r="908" spans="1:17" x14ac:dyDescent="0.25">
      <c r="A908" t="s">
        <v>393</v>
      </c>
      <c r="B908" s="13" t="s">
        <v>23</v>
      </c>
      <c r="C908" s="13" t="s">
        <v>201</v>
      </c>
      <c r="D908" s="14" t="s">
        <v>198</v>
      </c>
      <c r="E908" s="13" t="s">
        <v>191</v>
      </c>
      <c r="F908" s="13" t="s">
        <v>569</v>
      </c>
      <c r="G908" s="13">
        <v>0.37999999999999995</v>
      </c>
      <c r="H908" s="15">
        <v>8860</v>
      </c>
      <c r="I908" s="16">
        <v>3366.8</v>
      </c>
      <c r="J908" s="16">
        <v>3154.29</v>
      </c>
      <c r="K908" s="16">
        <v>212.50999999999993</v>
      </c>
      <c r="L908" s="13">
        <v>1.1000000000000001</v>
      </c>
      <c r="M908" s="13"/>
      <c r="N908" s="17">
        <f t="shared" si="30"/>
        <v>9746</v>
      </c>
      <c r="O908" s="17">
        <f t="shared" si="30"/>
        <v>0</v>
      </c>
      <c r="P908" s="17">
        <f t="shared" si="31"/>
        <v>9746</v>
      </c>
      <c r="Q908" t="str">
        <f>A908&amp;"-"&amp;B908&amp;"-"&amp;D908</f>
        <v>MARET-CVA-L8</v>
      </c>
    </row>
    <row r="909" spans="1:17" x14ac:dyDescent="0.25">
      <c r="A909" t="s">
        <v>393</v>
      </c>
      <c r="B909" s="13" t="s">
        <v>23</v>
      </c>
      <c r="C909" s="13" t="s">
        <v>201</v>
      </c>
      <c r="D909" s="14" t="s">
        <v>198</v>
      </c>
      <c r="E909" s="13" t="s">
        <v>191</v>
      </c>
      <c r="F909" s="13" t="s">
        <v>568</v>
      </c>
      <c r="G909" s="13">
        <v>0.38000000000000006</v>
      </c>
      <c r="H909" s="15">
        <v>5225</v>
      </c>
      <c r="I909" s="16">
        <v>1985.5</v>
      </c>
      <c r="J909" s="16">
        <v>1404.9199318568994</v>
      </c>
      <c r="K909" s="16">
        <v>580.58006814310056</v>
      </c>
      <c r="L909" s="13">
        <v>1.1499999999999999</v>
      </c>
      <c r="M909" s="13"/>
      <c r="N909" s="17">
        <f t="shared" si="30"/>
        <v>6008.7499999999991</v>
      </c>
      <c r="O909" s="17">
        <f t="shared" si="30"/>
        <v>0</v>
      </c>
      <c r="P909" s="17">
        <f t="shared" si="31"/>
        <v>6008.7499999999991</v>
      </c>
      <c r="Q909" t="str">
        <f>A909&amp;"-"&amp;B909&amp;"-"&amp;D909</f>
        <v>MARET-CVA-L8</v>
      </c>
    </row>
    <row r="910" spans="1:17" x14ac:dyDescent="0.25">
      <c r="A910" t="s">
        <v>393</v>
      </c>
      <c r="B910" s="13" t="s">
        <v>23</v>
      </c>
      <c r="C910" s="13" t="s">
        <v>201</v>
      </c>
      <c r="D910" s="14" t="s">
        <v>199</v>
      </c>
      <c r="E910" s="13" t="s">
        <v>191</v>
      </c>
      <c r="F910" s="13" t="s">
        <v>443</v>
      </c>
      <c r="G910" s="13">
        <v>0.37999999999999995</v>
      </c>
      <c r="H910" s="15">
        <v>17805</v>
      </c>
      <c r="I910" s="16">
        <v>6765.9</v>
      </c>
      <c r="J910" s="16">
        <v>8921.2373684210525</v>
      </c>
      <c r="K910" s="16">
        <v>-2155.3373684210519</v>
      </c>
      <c r="L910" s="13">
        <v>1.1499999999999999</v>
      </c>
      <c r="M910" s="13"/>
      <c r="N910" s="17">
        <f t="shared" si="30"/>
        <v>20475.75</v>
      </c>
      <c r="O910" s="17">
        <f t="shared" si="30"/>
        <v>0</v>
      </c>
      <c r="P910" s="17">
        <f t="shared" si="31"/>
        <v>20475.75</v>
      </c>
      <c r="Q910" t="str">
        <f>A910&amp;"-"&amp;B910&amp;"-"&amp;D910</f>
        <v>MARET-CVA-L9</v>
      </c>
    </row>
    <row r="911" spans="1:17" x14ac:dyDescent="0.25">
      <c r="A911" t="s">
        <v>393</v>
      </c>
      <c r="B911" s="13" t="s">
        <v>23</v>
      </c>
      <c r="C911" s="13" t="s">
        <v>201</v>
      </c>
      <c r="D911" s="14" t="s">
        <v>199</v>
      </c>
      <c r="E911" s="13" t="s">
        <v>191</v>
      </c>
      <c r="F911" s="13" t="s">
        <v>569</v>
      </c>
      <c r="G911" s="13">
        <v>0.37999999999999995</v>
      </c>
      <c r="H911" s="15">
        <v>9070</v>
      </c>
      <c r="I911" s="16">
        <v>3446.6</v>
      </c>
      <c r="J911" s="16">
        <v>4957.6326315789474</v>
      </c>
      <c r="K911" s="16">
        <v>-1511.0326315789471</v>
      </c>
      <c r="L911" s="13">
        <v>1.1000000000000001</v>
      </c>
      <c r="M911" s="13"/>
      <c r="N911" s="17">
        <f t="shared" si="30"/>
        <v>9977</v>
      </c>
      <c r="O911" s="17">
        <f t="shared" si="30"/>
        <v>0</v>
      </c>
      <c r="P911" s="17">
        <f t="shared" si="31"/>
        <v>9977</v>
      </c>
      <c r="Q911" t="str">
        <f>A911&amp;"-"&amp;B911&amp;"-"&amp;D911</f>
        <v>MARET-CVA-L9</v>
      </c>
    </row>
    <row r="912" spans="1:17" x14ac:dyDescent="0.25">
      <c r="A912" t="s">
        <v>393</v>
      </c>
      <c r="B912" s="13" t="s">
        <v>23</v>
      </c>
      <c r="C912" s="13" t="s">
        <v>212</v>
      </c>
      <c r="D912" s="14" t="s">
        <v>44</v>
      </c>
      <c r="E912" s="13" t="s">
        <v>570</v>
      </c>
      <c r="F912" s="13" t="s">
        <v>571</v>
      </c>
      <c r="G912" s="13">
        <v>1.3999999999999997</v>
      </c>
      <c r="H912" s="15">
        <v>4620</v>
      </c>
      <c r="I912" s="16">
        <v>6468</v>
      </c>
      <c r="J912" s="16">
        <v>7677.3189795918361</v>
      </c>
      <c r="K912" s="16">
        <v>-1209.3189795918365</v>
      </c>
      <c r="L912" s="13"/>
      <c r="M912" s="13">
        <v>1.55</v>
      </c>
      <c r="N912" s="17">
        <f t="shared" si="30"/>
        <v>0</v>
      </c>
      <c r="O912" s="17">
        <f t="shared" si="30"/>
        <v>7161</v>
      </c>
      <c r="P912" s="17">
        <f t="shared" si="31"/>
        <v>7161</v>
      </c>
      <c r="Q912" t="str">
        <f>A912&amp;"-"&amp;B912&amp;"-"&amp;D912</f>
        <v>MARET-CVA-L1</v>
      </c>
    </row>
    <row r="913" spans="1:17" x14ac:dyDescent="0.25">
      <c r="A913" t="s">
        <v>393</v>
      </c>
      <c r="B913" s="13" t="s">
        <v>23</v>
      </c>
      <c r="C913" s="13" t="s">
        <v>212</v>
      </c>
      <c r="D913" s="14" t="s">
        <v>44</v>
      </c>
      <c r="E913" s="13" t="s">
        <v>570</v>
      </c>
      <c r="F913" s="13"/>
      <c r="G913" s="13">
        <v>1.5</v>
      </c>
      <c r="H913" s="15">
        <v>315</v>
      </c>
      <c r="I913" s="16">
        <v>472.5</v>
      </c>
      <c r="J913" s="16">
        <v>1233.5510204081634</v>
      </c>
      <c r="K913" s="16">
        <v>-761.05102040816325</v>
      </c>
      <c r="L913" s="13"/>
      <c r="M913" s="13">
        <v>1.65</v>
      </c>
      <c r="N913" s="17">
        <f t="shared" si="30"/>
        <v>0</v>
      </c>
      <c r="O913" s="17">
        <f t="shared" si="30"/>
        <v>519.75</v>
      </c>
      <c r="P913" s="17">
        <f t="shared" si="31"/>
        <v>519.75</v>
      </c>
      <c r="Q913" t="str">
        <f>A913&amp;"-"&amp;B913&amp;"-"&amp;D913</f>
        <v>MARET-CVA-L1</v>
      </c>
    </row>
    <row r="914" spans="1:17" x14ac:dyDescent="0.25">
      <c r="A914" t="s">
        <v>393</v>
      </c>
      <c r="B914" s="13" t="s">
        <v>23</v>
      </c>
      <c r="C914" s="13" t="s">
        <v>212</v>
      </c>
      <c r="D914" s="14" t="s">
        <v>50</v>
      </c>
      <c r="E914" s="13" t="s">
        <v>570</v>
      </c>
      <c r="F914" s="13" t="s">
        <v>571</v>
      </c>
      <c r="G914" s="13">
        <v>1.3999999999999997</v>
      </c>
      <c r="H914" s="15">
        <v>5009</v>
      </c>
      <c r="I914" s="16">
        <v>7012.6</v>
      </c>
      <c r="J914" s="16">
        <v>8087.6169287469284</v>
      </c>
      <c r="K914" s="16">
        <v>-1075.0169287469287</v>
      </c>
      <c r="L914" s="13"/>
      <c r="M914" s="13">
        <v>1.55</v>
      </c>
      <c r="N914" s="17">
        <f t="shared" si="30"/>
        <v>0</v>
      </c>
      <c r="O914" s="17">
        <f t="shared" si="30"/>
        <v>7763.95</v>
      </c>
      <c r="P914" s="17">
        <f t="shared" si="31"/>
        <v>7763.95</v>
      </c>
      <c r="Q914" t="str">
        <f>A914&amp;"-"&amp;B914&amp;"-"&amp;D914</f>
        <v>MARET-CVA-L2</v>
      </c>
    </row>
    <row r="915" spans="1:17" x14ac:dyDescent="0.25">
      <c r="A915" t="s">
        <v>393</v>
      </c>
      <c r="B915" s="13" t="s">
        <v>23</v>
      </c>
      <c r="C915" s="13" t="s">
        <v>212</v>
      </c>
      <c r="D915" s="14" t="s">
        <v>50</v>
      </c>
      <c r="E915" s="13" t="s">
        <v>570</v>
      </c>
      <c r="F915" s="13"/>
      <c r="G915" s="13">
        <v>1.5</v>
      </c>
      <c r="H915" s="15">
        <v>211</v>
      </c>
      <c r="I915" s="16">
        <v>316.5</v>
      </c>
      <c r="J915" s="16">
        <v>1656</v>
      </c>
      <c r="K915" s="16">
        <v>-1339.5</v>
      </c>
      <c r="L915" s="13"/>
      <c r="M915" s="13">
        <v>1.65</v>
      </c>
      <c r="N915" s="17">
        <f t="shared" si="30"/>
        <v>0</v>
      </c>
      <c r="O915" s="17">
        <f t="shared" si="30"/>
        <v>348.15</v>
      </c>
      <c r="P915" s="17">
        <f t="shared" si="31"/>
        <v>348.15</v>
      </c>
      <c r="Q915" t="str">
        <f>A915&amp;"-"&amp;B915&amp;"-"&amp;D915</f>
        <v>MARET-CVA-L2</v>
      </c>
    </row>
    <row r="916" spans="1:17" x14ac:dyDescent="0.25">
      <c r="A916" t="s">
        <v>393</v>
      </c>
      <c r="B916" s="13" t="s">
        <v>24</v>
      </c>
      <c r="C916" s="13" t="s">
        <v>339</v>
      </c>
      <c r="D916" s="14" t="s">
        <v>222</v>
      </c>
      <c r="E916" s="13" t="s">
        <v>61</v>
      </c>
      <c r="F916" s="13" t="s">
        <v>340</v>
      </c>
      <c r="G916" s="13">
        <v>1.75</v>
      </c>
      <c r="H916" s="15">
        <v>8355</v>
      </c>
      <c r="I916" s="16">
        <v>14621.25</v>
      </c>
      <c r="J916" s="16">
        <v>4700</v>
      </c>
      <c r="K916" s="16">
        <v>9921.25</v>
      </c>
      <c r="L916" s="13">
        <v>2.96</v>
      </c>
      <c r="M916" s="13"/>
      <c r="N916" s="17">
        <f t="shared" si="30"/>
        <v>24730.799999999999</v>
      </c>
      <c r="O916" s="17">
        <f t="shared" si="30"/>
        <v>0</v>
      </c>
      <c r="P916" s="17">
        <f t="shared" si="31"/>
        <v>24730.799999999999</v>
      </c>
      <c r="Q916" t="str">
        <f>A916&amp;"-"&amp;B916&amp;"-"&amp;D916</f>
        <v>MARET-KLB-L2A</v>
      </c>
    </row>
    <row r="917" spans="1:17" x14ac:dyDescent="0.25">
      <c r="A917" t="s">
        <v>393</v>
      </c>
      <c r="B917" s="13" t="s">
        <v>24</v>
      </c>
      <c r="C917" s="13" t="s">
        <v>339</v>
      </c>
      <c r="D917" s="14" t="s">
        <v>223</v>
      </c>
      <c r="E917" s="13" t="s">
        <v>61</v>
      </c>
      <c r="F917" s="13" t="s">
        <v>340</v>
      </c>
      <c r="G917" s="13">
        <v>1.75</v>
      </c>
      <c r="H917" s="15">
        <v>7225</v>
      </c>
      <c r="I917" s="16">
        <v>12643.75</v>
      </c>
      <c r="J917" s="16">
        <v>3774.4171779141107</v>
      </c>
      <c r="K917" s="16">
        <v>8869.3328220858893</v>
      </c>
      <c r="L917" s="13">
        <v>2.96</v>
      </c>
      <c r="M917" s="13"/>
      <c r="N917" s="17">
        <f t="shared" si="30"/>
        <v>21386</v>
      </c>
      <c r="O917" s="17">
        <f t="shared" si="30"/>
        <v>0</v>
      </c>
      <c r="P917" s="17">
        <f t="shared" si="31"/>
        <v>21386</v>
      </c>
      <c r="Q917" t="str">
        <f>A917&amp;"-"&amp;B917&amp;"-"&amp;D917</f>
        <v>MARET-KLB-L2B</v>
      </c>
    </row>
    <row r="918" spans="1:17" x14ac:dyDescent="0.25">
      <c r="A918" t="s">
        <v>393</v>
      </c>
      <c r="B918" s="13" t="s">
        <v>24</v>
      </c>
      <c r="C918" s="13" t="s">
        <v>339</v>
      </c>
      <c r="D918" s="14" t="s">
        <v>224</v>
      </c>
      <c r="E918" s="13" t="s">
        <v>61</v>
      </c>
      <c r="F918" s="13" t="s">
        <v>340</v>
      </c>
      <c r="G918" s="13">
        <v>1.75</v>
      </c>
      <c r="H918" s="15">
        <v>13774</v>
      </c>
      <c r="I918" s="16">
        <v>24104.5</v>
      </c>
      <c r="J918" s="16">
        <v>7044.1866597276439</v>
      </c>
      <c r="K918" s="16">
        <v>17060.313340272358</v>
      </c>
      <c r="L918" s="13">
        <v>2.96</v>
      </c>
      <c r="M918" s="13"/>
      <c r="N918" s="17">
        <f t="shared" si="30"/>
        <v>40771.040000000001</v>
      </c>
      <c r="O918" s="17">
        <f t="shared" si="30"/>
        <v>0</v>
      </c>
      <c r="P918" s="17">
        <f t="shared" si="31"/>
        <v>40771.040000000001</v>
      </c>
      <c r="Q918" t="str">
        <f>A918&amp;"-"&amp;B918&amp;"-"&amp;D918</f>
        <v>MARET-KLB-L3A</v>
      </c>
    </row>
    <row r="919" spans="1:17" x14ac:dyDescent="0.25">
      <c r="A919" t="s">
        <v>393</v>
      </c>
      <c r="B919" s="13" t="s">
        <v>24</v>
      </c>
      <c r="C919" s="13" t="s">
        <v>339</v>
      </c>
      <c r="D919" s="14" t="s">
        <v>225</v>
      </c>
      <c r="E919" s="13" t="s">
        <v>61</v>
      </c>
      <c r="F919" s="13" t="s">
        <v>340</v>
      </c>
      <c r="G919" s="13">
        <v>1.75</v>
      </c>
      <c r="H919" s="15">
        <v>13290</v>
      </c>
      <c r="I919" s="16">
        <v>23257.5</v>
      </c>
      <c r="J919" s="16">
        <v>6571.9795221843005</v>
      </c>
      <c r="K919" s="16">
        <v>16685.520477815695</v>
      </c>
      <c r="L919" s="13">
        <v>2.96</v>
      </c>
      <c r="M919" s="13"/>
      <c r="N919" s="17">
        <f t="shared" si="30"/>
        <v>39338.400000000001</v>
      </c>
      <c r="O919" s="17">
        <f t="shared" si="30"/>
        <v>0</v>
      </c>
      <c r="P919" s="17">
        <f t="shared" si="31"/>
        <v>39338.400000000001</v>
      </c>
      <c r="Q919" t="str">
        <f>A919&amp;"-"&amp;B919&amp;"-"&amp;D919</f>
        <v>MARET-KLB-L3B</v>
      </c>
    </row>
    <row r="920" spans="1:17" x14ac:dyDescent="0.25">
      <c r="A920" t="s">
        <v>393</v>
      </c>
      <c r="B920" s="13" t="s">
        <v>24</v>
      </c>
      <c r="C920" s="13" t="s">
        <v>218</v>
      </c>
      <c r="D920" s="14" t="s">
        <v>225</v>
      </c>
      <c r="E920" s="13" t="s">
        <v>61</v>
      </c>
      <c r="F920" s="13" t="s">
        <v>220</v>
      </c>
      <c r="G920" s="13">
        <v>1.45</v>
      </c>
      <c r="H920" s="15">
        <v>10</v>
      </c>
      <c r="I920" s="16">
        <v>14.5</v>
      </c>
      <c r="J920" s="16">
        <v>8.0204778156996586</v>
      </c>
      <c r="K920" s="16">
        <v>6.4795221843003414</v>
      </c>
      <c r="L920" s="13">
        <v>2.73</v>
      </c>
      <c r="M920" s="13"/>
      <c r="N920" s="17">
        <f t="shared" si="30"/>
        <v>27.3</v>
      </c>
      <c r="O920" s="17">
        <f t="shared" si="30"/>
        <v>0</v>
      </c>
      <c r="P920" s="17">
        <f t="shared" si="31"/>
        <v>27.3</v>
      </c>
      <c r="Q920" t="str">
        <f>A920&amp;"-"&amp;B920&amp;"-"&amp;D920</f>
        <v>MARET-KLB-L3B</v>
      </c>
    </row>
    <row r="921" spans="1:17" x14ac:dyDescent="0.25">
      <c r="A921" t="s">
        <v>393</v>
      </c>
      <c r="B921" s="13" t="s">
        <v>24</v>
      </c>
      <c r="C921" s="13" t="s">
        <v>226</v>
      </c>
      <c r="D921" s="14" t="s">
        <v>219</v>
      </c>
      <c r="E921" s="13" t="s">
        <v>61</v>
      </c>
      <c r="F921" s="13" t="s">
        <v>572</v>
      </c>
      <c r="G921" s="13">
        <v>0.76</v>
      </c>
      <c r="H921" s="15">
        <v>2280</v>
      </c>
      <c r="I921" s="16">
        <v>1732.8000000000002</v>
      </c>
      <c r="J921" s="16">
        <v>1086.2422062443054</v>
      </c>
      <c r="K921" s="16">
        <v>646.55779375569443</v>
      </c>
      <c r="L921" s="13">
        <v>2</v>
      </c>
      <c r="M921" s="13"/>
      <c r="N921" s="17">
        <f t="shared" si="30"/>
        <v>4560</v>
      </c>
      <c r="O921" s="17">
        <f t="shared" si="30"/>
        <v>0</v>
      </c>
      <c r="P921" s="17">
        <f t="shared" si="31"/>
        <v>4560</v>
      </c>
      <c r="Q921" t="str">
        <f>A921&amp;"-"&amp;B921&amp;"-"&amp;D921</f>
        <v>MARET-KLB-L1A</v>
      </c>
    </row>
    <row r="922" spans="1:17" x14ac:dyDescent="0.25">
      <c r="A922" t="s">
        <v>393</v>
      </c>
      <c r="B922" s="13" t="s">
        <v>24</v>
      </c>
      <c r="C922" s="13" t="s">
        <v>226</v>
      </c>
      <c r="D922" s="14" t="s">
        <v>219</v>
      </c>
      <c r="E922" s="13" t="s">
        <v>61</v>
      </c>
      <c r="F922" s="13" t="s">
        <v>573</v>
      </c>
      <c r="G922" s="13">
        <v>0.7599999999999999</v>
      </c>
      <c r="H922" s="15">
        <v>6570</v>
      </c>
      <c r="I922" s="16">
        <v>4993.2</v>
      </c>
      <c r="J922" s="16">
        <v>3434.9324965011847</v>
      </c>
      <c r="K922" s="16">
        <v>1558.2675034988151</v>
      </c>
      <c r="L922" s="13">
        <v>2</v>
      </c>
      <c r="M922" s="13"/>
      <c r="N922" s="17">
        <f t="shared" si="30"/>
        <v>13140</v>
      </c>
      <c r="O922" s="17">
        <f t="shared" si="30"/>
        <v>0</v>
      </c>
      <c r="P922" s="17">
        <f t="shared" si="31"/>
        <v>13140</v>
      </c>
      <c r="Q922" t="str">
        <f>A922&amp;"-"&amp;B922&amp;"-"&amp;D922</f>
        <v>MARET-KLB-L1A</v>
      </c>
    </row>
    <row r="923" spans="1:17" x14ac:dyDescent="0.25">
      <c r="A923" t="s">
        <v>393</v>
      </c>
      <c r="B923" s="13" t="s">
        <v>24</v>
      </c>
      <c r="C923" s="13" t="s">
        <v>226</v>
      </c>
      <c r="D923" s="14" t="s">
        <v>219</v>
      </c>
      <c r="E923" s="13" t="s">
        <v>61</v>
      </c>
      <c r="F923" s="13" t="s">
        <v>574</v>
      </c>
      <c r="G923" s="13">
        <v>0.74</v>
      </c>
      <c r="H923" s="15">
        <v>875</v>
      </c>
      <c r="I923" s="16">
        <v>647.5</v>
      </c>
      <c r="J923" s="16">
        <v>464.94353392683001</v>
      </c>
      <c r="K923" s="16">
        <v>182.55646607316996</v>
      </c>
      <c r="L923" s="13">
        <v>2.17</v>
      </c>
      <c r="M923" s="13"/>
      <c r="N923" s="17">
        <f t="shared" si="30"/>
        <v>1898.75</v>
      </c>
      <c r="O923" s="17">
        <f t="shared" si="30"/>
        <v>0</v>
      </c>
      <c r="P923" s="17">
        <f t="shared" si="31"/>
        <v>1898.75</v>
      </c>
      <c r="Q923" t="str">
        <f>A923&amp;"-"&amp;B923&amp;"-"&amp;D923</f>
        <v>MARET-KLB-L1A</v>
      </c>
    </row>
    <row r="924" spans="1:17" x14ac:dyDescent="0.25">
      <c r="A924" t="s">
        <v>393</v>
      </c>
      <c r="B924" s="13" t="s">
        <v>24</v>
      </c>
      <c r="C924" s="13" t="s">
        <v>226</v>
      </c>
      <c r="D924" s="14" t="s">
        <v>219</v>
      </c>
      <c r="E924" s="13" t="s">
        <v>61</v>
      </c>
      <c r="F924" s="13" t="s">
        <v>575</v>
      </c>
      <c r="G924" s="13">
        <v>0.76</v>
      </c>
      <c r="H924" s="15">
        <v>5388</v>
      </c>
      <c r="I924" s="16">
        <v>4094.8799999999997</v>
      </c>
      <c r="J924" s="16">
        <v>2459.061279036725</v>
      </c>
      <c r="K924" s="16">
        <v>1635.8187209632747</v>
      </c>
      <c r="L924" s="13">
        <v>2</v>
      </c>
      <c r="M924" s="13"/>
      <c r="N924" s="17">
        <f t="shared" si="30"/>
        <v>10776</v>
      </c>
      <c r="O924" s="17">
        <f t="shared" si="30"/>
        <v>0</v>
      </c>
      <c r="P924" s="17">
        <f t="shared" si="31"/>
        <v>10776</v>
      </c>
      <c r="Q924" t="str">
        <f>A924&amp;"-"&amp;B924&amp;"-"&amp;D924</f>
        <v>MARET-KLB-L1A</v>
      </c>
    </row>
    <row r="925" spans="1:17" x14ac:dyDescent="0.25">
      <c r="A925" t="s">
        <v>393</v>
      </c>
      <c r="B925" s="13" t="s">
        <v>24</v>
      </c>
      <c r="C925" s="13" t="s">
        <v>226</v>
      </c>
      <c r="D925" s="14" t="s">
        <v>219</v>
      </c>
      <c r="E925" s="13" t="s">
        <v>61</v>
      </c>
      <c r="F925" s="13" t="s">
        <v>576</v>
      </c>
      <c r="G925" s="13">
        <v>0.8</v>
      </c>
      <c r="H925" s="15">
        <v>2285</v>
      </c>
      <c r="I925" s="16">
        <v>1828</v>
      </c>
      <c r="J925" s="16">
        <v>1152.8877844333904</v>
      </c>
      <c r="K925" s="16">
        <v>675.11221556660985</v>
      </c>
      <c r="L925" s="13">
        <v>2.1</v>
      </c>
      <c r="M925" s="13"/>
      <c r="N925" s="17">
        <f t="shared" si="30"/>
        <v>4798.5</v>
      </c>
      <c r="O925" s="17">
        <f t="shared" si="30"/>
        <v>0</v>
      </c>
      <c r="P925" s="17">
        <f t="shared" si="31"/>
        <v>4798.5</v>
      </c>
      <c r="Q925" t="str">
        <f>A925&amp;"-"&amp;B925&amp;"-"&amp;D925</f>
        <v>MARET-KLB-L1A</v>
      </c>
    </row>
    <row r="926" spans="1:17" x14ac:dyDescent="0.25">
      <c r="A926" t="s">
        <v>393</v>
      </c>
      <c r="B926" s="13" t="s">
        <v>24</v>
      </c>
      <c r="C926" s="13" t="s">
        <v>226</v>
      </c>
      <c r="D926" s="14" t="s">
        <v>219</v>
      </c>
      <c r="E926" s="13" t="s">
        <v>61</v>
      </c>
      <c r="F926" s="13" t="s">
        <v>577</v>
      </c>
      <c r="G926" s="13">
        <v>0.66</v>
      </c>
      <c r="H926" s="15">
        <v>8850</v>
      </c>
      <c r="I926" s="16">
        <v>5841</v>
      </c>
      <c r="J926" s="16">
        <v>4020.5886723339549</v>
      </c>
      <c r="K926" s="16">
        <v>1820.4113276660446</v>
      </c>
      <c r="L926" s="13">
        <v>1.73</v>
      </c>
      <c r="M926" s="13"/>
      <c r="N926" s="17">
        <f t="shared" si="30"/>
        <v>15310.5</v>
      </c>
      <c r="O926" s="17">
        <f t="shared" si="30"/>
        <v>0</v>
      </c>
      <c r="P926" s="17">
        <f t="shared" si="31"/>
        <v>15310.5</v>
      </c>
      <c r="Q926" t="str">
        <f>A926&amp;"-"&amp;B926&amp;"-"&amp;D926</f>
        <v>MARET-KLB-L1A</v>
      </c>
    </row>
    <row r="927" spans="1:17" x14ac:dyDescent="0.25">
      <c r="A927" t="s">
        <v>393</v>
      </c>
      <c r="B927" s="13" t="s">
        <v>24</v>
      </c>
      <c r="C927" s="13" t="s">
        <v>226</v>
      </c>
      <c r="D927" s="14" t="s">
        <v>219</v>
      </c>
      <c r="E927" s="13" t="s">
        <v>61</v>
      </c>
      <c r="F927" s="13" t="s">
        <v>578</v>
      </c>
      <c r="G927" s="13">
        <v>0.64</v>
      </c>
      <c r="H927" s="15">
        <v>740</v>
      </c>
      <c r="I927" s="16">
        <v>473.6</v>
      </c>
      <c r="J927" s="16">
        <v>332.09655033810941</v>
      </c>
      <c r="K927" s="16">
        <v>141.50344966189058</v>
      </c>
      <c r="L927" s="13">
        <v>1.87</v>
      </c>
      <c r="M927" s="13"/>
      <c r="N927" s="17">
        <f t="shared" si="30"/>
        <v>1383.8000000000002</v>
      </c>
      <c r="O927" s="17">
        <f t="shared" si="30"/>
        <v>0</v>
      </c>
      <c r="P927" s="17">
        <f t="shared" si="31"/>
        <v>1383.8000000000002</v>
      </c>
      <c r="Q927" t="str">
        <f>A927&amp;"-"&amp;B927&amp;"-"&amp;D927</f>
        <v>MARET-KLB-L1A</v>
      </c>
    </row>
    <row r="928" spans="1:17" x14ac:dyDescent="0.25">
      <c r="A928" t="s">
        <v>393</v>
      </c>
      <c r="B928" s="13" t="s">
        <v>24</v>
      </c>
      <c r="C928" s="13" t="s">
        <v>226</v>
      </c>
      <c r="D928" s="14" t="s">
        <v>219</v>
      </c>
      <c r="E928" s="13" t="s">
        <v>61</v>
      </c>
      <c r="F928" s="13" t="s">
        <v>579</v>
      </c>
      <c r="G928" s="13">
        <v>0.69</v>
      </c>
      <c r="H928" s="15">
        <v>262</v>
      </c>
      <c r="I928" s="16">
        <v>180.78</v>
      </c>
      <c r="J928" s="16">
        <v>116.49105545617174</v>
      </c>
      <c r="K928" s="16">
        <v>64.288944543828265</v>
      </c>
      <c r="L928" s="13">
        <v>1.83</v>
      </c>
      <c r="M928" s="13"/>
      <c r="N928" s="17">
        <f t="shared" si="30"/>
        <v>479.46000000000004</v>
      </c>
      <c r="O928" s="17">
        <f t="shared" si="30"/>
        <v>0</v>
      </c>
      <c r="P928" s="17">
        <f t="shared" si="31"/>
        <v>479.46000000000004</v>
      </c>
      <c r="Q928" t="str">
        <f>A928&amp;"-"&amp;B928&amp;"-"&amp;D928</f>
        <v>MARET-KLB-L1A</v>
      </c>
    </row>
    <row r="929" spans="1:17" x14ac:dyDescent="0.25">
      <c r="A929" t="s">
        <v>393</v>
      </c>
      <c r="B929" s="13" t="s">
        <v>24</v>
      </c>
      <c r="C929" s="13" t="s">
        <v>226</v>
      </c>
      <c r="D929" s="14" t="s">
        <v>219</v>
      </c>
      <c r="E929" s="13" t="s">
        <v>61</v>
      </c>
      <c r="F929" s="13" t="s">
        <v>580</v>
      </c>
      <c r="G929" s="13">
        <v>0.8</v>
      </c>
      <c r="H929" s="15">
        <v>2890</v>
      </c>
      <c r="I929" s="16">
        <v>2312</v>
      </c>
      <c r="J929" s="16">
        <v>1524.2155996057872</v>
      </c>
      <c r="K929" s="16">
        <v>787.78440039421264</v>
      </c>
      <c r="L929" s="13">
        <v>2.16</v>
      </c>
      <c r="M929" s="13"/>
      <c r="N929" s="17">
        <f t="shared" ref="N929:O990" si="32">$H929*L929</f>
        <v>6242.4000000000005</v>
      </c>
      <c r="O929" s="17">
        <f t="shared" si="32"/>
        <v>0</v>
      </c>
      <c r="P929" s="17">
        <f t="shared" si="31"/>
        <v>6242.4000000000005</v>
      </c>
      <c r="Q929" t="str">
        <f>A929&amp;"-"&amp;B929&amp;"-"&amp;D929</f>
        <v>MARET-KLB-L1A</v>
      </c>
    </row>
    <row r="930" spans="1:17" x14ac:dyDescent="0.25">
      <c r="A930" t="s">
        <v>393</v>
      </c>
      <c r="B930" s="13" t="s">
        <v>24</v>
      </c>
      <c r="C930" s="13" t="s">
        <v>226</v>
      </c>
      <c r="D930" s="14" t="s">
        <v>219</v>
      </c>
      <c r="E930" s="13" t="s">
        <v>61</v>
      </c>
      <c r="F930" s="13" t="s">
        <v>581</v>
      </c>
      <c r="G930" s="13">
        <v>0.72</v>
      </c>
      <c r="H930" s="15">
        <v>655</v>
      </c>
      <c r="I930" s="16">
        <v>471.6</v>
      </c>
      <c r="J930" s="16">
        <v>344.84258073740909</v>
      </c>
      <c r="K930" s="16">
        <v>126.75741926259087</v>
      </c>
      <c r="L930" s="13">
        <v>2.31</v>
      </c>
      <c r="M930" s="13"/>
      <c r="N930" s="17">
        <f t="shared" si="32"/>
        <v>1513.05</v>
      </c>
      <c r="O930" s="17">
        <f t="shared" si="32"/>
        <v>0</v>
      </c>
      <c r="P930" s="17">
        <f t="shared" si="31"/>
        <v>1513.05</v>
      </c>
      <c r="Q930" t="str">
        <f>A930&amp;"-"&amp;B930&amp;"-"&amp;D930</f>
        <v>MARET-KLB-L1A</v>
      </c>
    </row>
    <row r="931" spans="1:17" x14ac:dyDescent="0.25">
      <c r="A931" t="s">
        <v>393</v>
      </c>
      <c r="B931" s="13" t="s">
        <v>24</v>
      </c>
      <c r="C931" s="13" t="s">
        <v>226</v>
      </c>
      <c r="D931" s="14" t="s">
        <v>219</v>
      </c>
      <c r="E931" s="13" t="s">
        <v>61</v>
      </c>
      <c r="F931" s="13" t="s">
        <v>447</v>
      </c>
      <c r="G931" s="13">
        <v>0.8</v>
      </c>
      <c r="H931" s="15">
        <v>6251</v>
      </c>
      <c r="I931" s="16">
        <v>5000.8</v>
      </c>
      <c r="J931" s="16">
        <v>3171.8851180108186</v>
      </c>
      <c r="K931" s="16">
        <v>1828.9148819891809</v>
      </c>
      <c r="L931" s="13">
        <v>2.16</v>
      </c>
      <c r="M931" s="13"/>
      <c r="N931" s="17">
        <f t="shared" si="32"/>
        <v>13502.160000000002</v>
      </c>
      <c r="O931" s="17">
        <f t="shared" si="32"/>
        <v>0</v>
      </c>
      <c r="P931" s="17">
        <f t="shared" si="31"/>
        <v>13502.160000000002</v>
      </c>
      <c r="Q931" t="str">
        <f>A931&amp;"-"&amp;B931&amp;"-"&amp;D931</f>
        <v>MARET-KLB-L1A</v>
      </c>
    </row>
    <row r="932" spans="1:17" x14ac:dyDescent="0.25">
      <c r="A932" t="s">
        <v>393</v>
      </c>
      <c r="B932" s="13" t="s">
        <v>24</v>
      </c>
      <c r="C932" s="13" t="s">
        <v>226</v>
      </c>
      <c r="D932" s="14" t="s">
        <v>219</v>
      </c>
      <c r="E932" s="13" t="s">
        <v>61</v>
      </c>
      <c r="F932" s="13" t="s">
        <v>582</v>
      </c>
      <c r="G932" s="13">
        <v>0.80000000000000016</v>
      </c>
      <c r="H932" s="15">
        <v>1575</v>
      </c>
      <c r="I932" s="16">
        <v>1260</v>
      </c>
      <c r="J932" s="16">
        <v>853.67561769320355</v>
      </c>
      <c r="K932" s="16">
        <v>406.32438230679651</v>
      </c>
      <c r="L932" s="13">
        <v>4.3099999999999996</v>
      </c>
      <c r="M932" s="13"/>
      <c r="N932" s="17">
        <f t="shared" si="32"/>
        <v>6788.2499999999991</v>
      </c>
      <c r="O932" s="17">
        <f t="shared" si="32"/>
        <v>0</v>
      </c>
      <c r="P932" s="17">
        <f t="shared" si="31"/>
        <v>6788.2499999999991</v>
      </c>
      <c r="Q932" t="str">
        <f>A932&amp;"-"&amp;B932&amp;"-"&amp;D932</f>
        <v>MARET-KLB-L1A</v>
      </c>
    </row>
    <row r="933" spans="1:17" x14ac:dyDescent="0.25">
      <c r="A933" t="s">
        <v>393</v>
      </c>
      <c r="B933" s="13" t="s">
        <v>24</v>
      </c>
      <c r="C933" s="13" t="s">
        <v>226</v>
      </c>
      <c r="D933" s="14" t="s">
        <v>219</v>
      </c>
      <c r="E933" s="13" t="s">
        <v>61</v>
      </c>
      <c r="F933" s="13" t="s">
        <v>448</v>
      </c>
      <c r="G933" s="13">
        <v>0.72</v>
      </c>
      <c r="H933" s="15">
        <v>1256</v>
      </c>
      <c r="I933" s="16">
        <v>904.32</v>
      </c>
      <c r="J933" s="16">
        <v>674.72734811384237</v>
      </c>
      <c r="K933" s="16">
        <v>229.59265188615765</v>
      </c>
      <c r="L933" s="13">
        <v>2.31</v>
      </c>
      <c r="M933" s="13"/>
      <c r="N933" s="17">
        <f t="shared" si="32"/>
        <v>2901.36</v>
      </c>
      <c r="O933" s="17">
        <f t="shared" si="32"/>
        <v>0</v>
      </c>
      <c r="P933" s="17">
        <f t="shared" si="31"/>
        <v>2901.36</v>
      </c>
      <c r="Q933" t="str">
        <f>A933&amp;"-"&amp;B933&amp;"-"&amp;D933</f>
        <v>MARET-KLB-L1A</v>
      </c>
    </row>
    <row r="934" spans="1:17" x14ac:dyDescent="0.25">
      <c r="A934" t="s">
        <v>393</v>
      </c>
      <c r="B934" s="13" t="s">
        <v>24</v>
      </c>
      <c r="C934" s="13" t="s">
        <v>226</v>
      </c>
      <c r="D934" s="14" t="s">
        <v>219</v>
      </c>
      <c r="E934" s="13" t="s">
        <v>61</v>
      </c>
      <c r="F934" s="13" t="s">
        <v>583</v>
      </c>
      <c r="G934" s="13">
        <v>0.72</v>
      </c>
      <c r="H934" s="15">
        <v>245</v>
      </c>
      <c r="I934" s="16">
        <v>176.39999999999998</v>
      </c>
      <c r="J934" s="16">
        <v>133.62360272388537</v>
      </c>
      <c r="K934" s="16">
        <v>42.776397276114608</v>
      </c>
      <c r="L934" s="13">
        <v>4.63</v>
      </c>
      <c r="M934" s="13"/>
      <c r="N934" s="17">
        <f t="shared" si="32"/>
        <v>1134.3499999999999</v>
      </c>
      <c r="O934" s="17">
        <f t="shared" si="32"/>
        <v>0</v>
      </c>
      <c r="P934" s="17">
        <f t="shared" si="31"/>
        <v>1134.3499999999999</v>
      </c>
      <c r="Q934" t="str">
        <f>A934&amp;"-"&amp;B934&amp;"-"&amp;D934</f>
        <v>MARET-KLB-L1A</v>
      </c>
    </row>
    <row r="935" spans="1:17" x14ac:dyDescent="0.25">
      <c r="A935" t="s">
        <v>393</v>
      </c>
      <c r="B935" s="13" t="s">
        <v>24</v>
      </c>
      <c r="C935" s="13" t="s">
        <v>226</v>
      </c>
      <c r="D935" s="14" t="s">
        <v>219</v>
      </c>
      <c r="E935" s="13" t="s">
        <v>61</v>
      </c>
      <c r="F935" s="13" t="s">
        <v>584</v>
      </c>
      <c r="G935" s="13">
        <v>0.8</v>
      </c>
      <c r="H935" s="15">
        <v>1540</v>
      </c>
      <c r="I935" s="16">
        <v>1232</v>
      </c>
      <c r="J935" s="16">
        <v>785.31764450063417</v>
      </c>
      <c r="K935" s="16">
        <v>446.68235549936577</v>
      </c>
      <c r="L935" s="13">
        <v>2.16</v>
      </c>
      <c r="M935" s="13"/>
      <c r="N935" s="17">
        <f t="shared" si="32"/>
        <v>3326.4</v>
      </c>
      <c r="O935" s="17">
        <f t="shared" si="32"/>
        <v>0</v>
      </c>
      <c r="P935" s="17">
        <f t="shared" si="31"/>
        <v>3326.4</v>
      </c>
      <c r="Q935" t="str">
        <f>A935&amp;"-"&amp;B935&amp;"-"&amp;D935</f>
        <v>MARET-KLB-L1A</v>
      </c>
    </row>
    <row r="936" spans="1:17" x14ac:dyDescent="0.25">
      <c r="A936" t="s">
        <v>393</v>
      </c>
      <c r="B936" s="13" t="s">
        <v>24</v>
      </c>
      <c r="C936" s="13" t="s">
        <v>226</v>
      </c>
      <c r="D936" s="14" t="s">
        <v>219</v>
      </c>
      <c r="E936" s="13" t="s">
        <v>61</v>
      </c>
      <c r="F936" s="13" t="s">
        <v>585</v>
      </c>
      <c r="G936" s="13">
        <v>0.72</v>
      </c>
      <c r="H936" s="15">
        <v>240</v>
      </c>
      <c r="I936" s="16">
        <v>172.79999999999998</v>
      </c>
      <c r="J936" s="16">
        <v>124.4689103437468</v>
      </c>
      <c r="K936" s="16">
        <v>48.331089656253205</v>
      </c>
      <c r="L936" s="13">
        <v>2.31</v>
      </c>
      <c r="M936" s="13"/>
      <c r="N936" s="17">
        <f t="shared" si="32"/>
        <v>554.4</v>
      </c>
      <c r="O936" s="17">
        <f t="shared" si="32"/>
        <v>0</v>
      </c>
      <c r="P936" s="17">
        <f t="shared" si="31"/>
        <v>554.4</v>
      </c>
      <c r="Q936" t="str">
        <f>A936&amp;"-"&amp;B936&amp;"-"&amp;D936</f>
        <v>MARET-KLB-L1A</v>
      </c>
    </row>
    <row r="937" spans="1:17" x14ac:dyDescent="0.25">
      <c r="A937" t="s">
        <v>393</v>
      </c>
      <c r="B937" s="13" t="s">
        <v>24</v>
      </c>
      <c r="C937" s="13" t="s">
        <v>226</v>
      </c>
      <c r="D937" s="14" t="s">
        <v>221</v>
      </c>
      <c r="E937" s="13" t="s">
        <v>61</v>
      </c>
      <c r="F937" s="13" t="s">
        <v>572</v>
      </c>
      <c r="G937" s="13">
        <v>0.76</v>
      </c>
      <c r="H937" s="15">
        <v>2277</v>
      </c>
      <c r="I937" s="16">
        <v>1730.52</v>
      </c>
      <c r="J937" s="16">
        <v>924.58781032875288</v>
      </c>
      <c r="K937" s="16">
        <v>805.93218967124722</v>
      </c>
      <c r="L937" s="13">
        <v>2</v>
      </c>
      <c r="M937" s="13"/>
      <c r="N937" s="17">
        <f t="shared" si="32"/>
        <v>4554</v>
      </c>
      <c r="O937" s="17">
        <f t="shared" si="32"/>
        <v>0</v>
      </c>
      <c r="P937" s="17">
        <f t="shared" si="31"/>
        <v>4554</v>
      </c>
      <c r="Q937" t="str">
        <f>A937&amp;"-"&amp;B937&amp;"-"&amp;D937</f>
        <v>MARET-KLB-L1B</v>
      </c>
    </row>
    <row r="938" spans="1:17" x14ac:dyDescent="0.25">
      <c r="A938" t="s">
        <v>393</v>
      </c>
      <c r="B938" s="13" t="s">
        <v>24</v>
      </c>
      <c r="C938" s="13" t="s">
        <v>226</v>
      </c>
      <c r="D938" s="14" t="s">
        <v>221</v>
      </c>
      <c r="E938" s="13" t="s">
        <v>61</v>
      </c>
      <c r="F938" s="13" t="s">
        <v>573</v>
      </c>
      <c r="G938" s="13">
        <v>0.7599999999999999</v>
      </c>
      <c r="H938" s="15">
        <v>5848</v>
      </c>
      <c r="I938" s="16">
        <v>4444.4800000000005</v>
      </c>
      <c r="J938" s="16">
        <v>2583.2336143199514</v>
      </c>
      <c r="K938" s="16">
        <v>1861.2463856800487</v>
      </c>
      <c r="L938" s="13">
        <v>2</v>
      </c>
      <c r="M938" s="13"/>
      <c r="N938" s="17">
        <f t="shared" si="32"/>
        <v>11696</v>
      </c>
      <c r="O938" s="17">
        <f t="shared" si="32"/>
        <v>0</v>
      </c>
      <c r="P938" s="17">
        <f t="shared" si="31"/>
        <v>11696</v>
      </c>
      <c r="Q938" t="str">
        <f>A938&amp;"-"&amp;B938&amp;"-"&amp;D938</f>
        <v>MARET-KLB-L1B</v>
      </c>
    </row>
    <row r="939" spans="1:17" x14ac:dyDescent="0.25">
      <c r="A939" t="s">
        <v>393</v>
      </c>
      <c r="B939" s="13" t="s">
        <v>24</v>
      </c>
      <c r="C939" s="13" t="s">
        <v>226</v>
      </c>
      <c r="D939" s="14" t="s">
        <v>221</v>
      </c>
      <c r="E939" s="13" t="s">
        <v>61</v>
      </c>
      <c r="F939" s="13" t="s">
        <v>574</v>
      </c>
      <c r="G939" s="13">
        <v>0.74</v>
      </c>
      <c r="H939" s="15">
        <v>235</v>
      </c>
      <c r="I939" s="16">
        <v>173.9</v>
      </c>
      <c r="J939" s="16">
        <v>99.116654937267938</v>
      </c>
      <c r="K939" s="16">
        <v>74.783345062732067</v>
      </c>
      <c r="L939" s="13">
        <v>2.17</v>
      </c>
      <c r="M939" s="13"/>
      <c r="N939" s="17">
        <f t="shared" si="32"/>
        <v>509.95</v>
      </c>
      <c r="O939" s="17">
        <f t="shared" si="32"/>
        <v>0</v>
      </c>
      <c r="P939" s="17">
        <f t="shared" si="31"/>
        <v>509.95</v>
      </c>
      <c r="Q939" t="str">
        <f>A939&amp;"-"&amp;B939&amp;"-"&amp;D939</f>
        <v>MARET-KLB-L1B</v>
      </c>
    </row>
    <row r="940" spans="1:17" x14ac:dyDescent="0.25">
      <c r="A940" t="s">
        <v>393</v>
      </c>
      <c r="B940" s="13" t="s">
        <v>24</v>
      </c>
      <c r="C940" s="13" t="s">
        <v>226</v>
      </c>
      <c r="D940" s="14" t="s">
        <v>221</v>
      </c>
      <c r="E940" s="13" t="s">
        <v>61</v>
      </c>
      <c r="F940" s="13" t="s">
        <v>575</v>
      </c>
      <c r="G940" s="13">
        <v>0.76</v>
      </c>
      <c r="H940" s="15">
        <v>5594</v>
      </c>
      <c r="I940" s="16">
        <v>4251.4400000000005</v>
      </c>
      <c r="J940" s="16">
        <v>2327.9731277090377</v>
      </c>
      <c r="K940" s="16">
        <v>1923.4668722909623</v>
      </c>
      <c r="L940" s="13">
        <v>2</v>
      </c>
      <c r="M940" s="13"/>
      <c r="N940" s="17">
        <f t="shared" si="32"/>
        <v>11188</v>
      </c>
      <c r="O940" s="17">
        <f t="shared" si="32"/>
        <v>0</v>
      </c>
      <c r="P940" s="17">
        <f t="shared" si="31"/>
        <v>11188</v>
      </c>
      <c r="Q940" t="str">
        <f>A940&amp;"-"&amp;B940&amp;"-"&amp;D940</f>
        <v>MARET-KLB-L1B</v>
      </c>
    </row>
    <row r="941" spans="1:17" x14ac:dyDescent="0.25">
      <c r="A941" t="s">
        <v>393</v>
      </c>
      <c r="B941" s="13" t="s">
        <v>24</v>
      </c>
      <c r="C941" s="13" t="s">
        <v>226</v>
      </c>
      <c r="D941" s="14" t="s">
        <v>221</v>
      </c>
      <c r="E941" s="13" t="s">
        <v>61</v>
      </c>
      <c r="F941" s="13" t="s">
        <v>576</v>
      </c>
      <c r="G941" s="13">
        <v>0.8</v>
      </c>
      <c r="H941" s="15">
        <v>3595</v>
      </c>
      <c r="I941" s="16">
        <v>2876</v>
      </c>
      <c r="J941" s="16">
        <v>1617.3797420942303</v>
      </c>
      <c r="K941" s="16">
        <v>1258.6202579057697</v>
      </c>
      <c r="L941" s="13">
        <v>2.1</v>
      </c>
      <c r="M941" s="13"/>
      <c r="N941" s="17">
        <f t="shared" si="32"/>
        <v>7549.5</v>
      </c>
      <c r="O941" s="17">
        <f t="shared" si="32"/>
        <v>0</v>
      </c>
      <c r="P941" s="17">
        <f t="shared" si="31"/>
        <v>7549.5</v>
      </c>
      <c r="Q941" t="str">
        <f>A941&amp;"-"&amp;B941&amp;"-"&amp;D941</f>
        <v>MARET-KLB-L1B</v>
      </c>
    </row>
    <row r="942" spans="1:17" x14ac:dyDescent="0.25">
      <c r="A942" t="s">
        <v>393</v>
      </c>
      <c r="B942" s="13" t="s">
        <v>24</v>
      </c>
      <c r="C942" s="13" t="s">
        <v>226</v>
      </c>
      <c r="D942" s="14" t="s">
        <v>221</v>
      </c>
      <c r="E942" s="13" t="s">
        <v>61</v>
      </c>
      <c r="F942" s="13" t="s">
        <v>577</v>
      </c>
      <c r="G942" s="13">
        <v>0.66</v>
      </c>
      <c r="H942" s="15">
        <v>6160</v>
      </c>
      <c r="I942" s="16">
        <v>4065.6</v>
      </c>
      <c r="J942" s="16">
        <v>2586.3716136930288</v>
      </c>
      <c r="K942" s="16">
        <v>1479.2283863069715</v>
      </c>
      <c r="L942" s="13">
        <v>1.73</v>
      </c>
      <c r="M942" s="13"/>
      <c r="N942" s="17">
        <f t="shared" si="32"/>
        <v>10656.8</v>
      </c>
      <c r="O942" s="17">
        <f t="shared" si="32"/>
        <v>0</v>
      </c>
      <c r="P942" s="17">
        <f t="shared" si="31"/>
        <v>10656.8</v>
      </c>
      <c r="Q942" t="str">
        <f>A942&amp;"-"&amp;B942&amp;"-"&amp;D942</f>
        <v>MARET-KLB-L1B</v>
      </c>
    </row>
    <row r="943" spans="1:17" x14ac:dyDescent="0.25">
      <c r="A943" t="s">
        <v>393</v>
      </c>
      <c r="B943" s="13" t="s">
        <v>24</v>
      </c>
      <c r="C943" s="13" t="s">
        <v>226</v>
      </c>
      <c r="D943" s="14" t="s">
        <v>221</v>
      </c>
      <c r="E943" s="13" t="s">
        <v>61</v>
      </c>
      <c r="F943" s="13" t="s">
        <v>578</v>
      </c>
      <c r="G943" s="13">
        <v>0.64</v>
      </c>
      <c r="H943" s="15">
        <v>1460</v>
      </c>
      <c r="I943" s="16">
        <v>934.40000000000009</v>
      </c>
      <c r="J943" s="16">
        <v>715.9699756704008</v>
      </c>
      <c r="K943" s="16">
        <v>218.43002432959923</v>
      </c>
      <c r="L943" s="13">
        <v>1.87</v>
      </c>
      <c r="M943" s="13"/>
      <c r="N943" s="17">
        <f t="shared" si="32"/>
        <v>2730.2000000000003</v>
      </c>
      <c r="O943" s="17">
        <f t="shared" si="32"/>
        <v>0</v>
      </c>
      <c r="P943" s="17">
        <f t="shared" si="31"/>
        <v>2730.2000000000003</v>
      </c>
      <c r="Q943" t="str">
        <f>A943&amp;"-"&amp;B943&amp;"-"&amp;D943</f>
        <v>MARET-KLB-L1B</v>
      </c>
    </row>
    <row r="944" spans="1:17" x14ac:dyDescent="0.25">
      <c r="A944" t="s">
        <v>393</v>
      </c>
      <c r="B944" s="13" t="s">
        <v>24</v>
      </c>
      <c r="C944" s="13" t="s">
        <v>226</v>
      </c>
      <c r="D944" s="14" t="s">
        <v>221</v>
      </c>
      <c r="E944" s="13" t="s">
        <v>61</v>
      </c>
      <c r="F944" s="13" t="s">
        <v>579</v>
      </c>
      <c r="G944" s="13">
        <v>0.69</v>
      </c>
      <c r="H944" s="15">
        <v>4853</v>
      </c>
      <c r="I944" s="16">
        <v>3348.5699999999997</v>
      </c>
      <c r="J944" s="16">
        <v>1881.5352742957784</v>
      </c>
      <c r="K944" s="16">
        <v>1467.0347257042215</v>
      </c>
      <c r="L944" s="13">
        <v>1.83</v>
      </c>
      <c r="M944" s="13"/>
      <c r="N944" s="17">
        <f t="shared" si="32"/>
        <v>8880.99</v>
      </c>
      <c r="O944" s="17">
        <f t="shared" si="32"/>
        <v>0</v>
      </c>
      <c r="P944" s="17">
        <f t="shared" si="31"/>
        <v>8880.99</v>
      </c>
      <c r="Q944" t="str">
        <f>A944&amp;"-"&amp;B944&amp;"-"&amp;D944</f>
        <v>MARET-KLB-L1B</v>
      </c>
    </row>
    <row r="945" spans="1:17" x14ac:dyDescent="0.25">
      <c r="A945" t="s">
        <v>393</v>
      </c>
      <c r="B945" s="13" t="s">
        <v>24</v>
      </c>
      <c r="C945" s="13" t="s">
        <v>226</v>
      </c>
      <c r="D945" s="14" t="s">
        <v>221</v>
      </c>
      <c r="E945" s="13" t="s">
        <v>61</v>
      </c>
      <c r="F945" s="13" t="s">
        <v>580</v>
      </c>
      <c r="G945" s="13">
        <v>0.8</v>
      </c>
      <c r="H945" s="15">
        <v>4642</v>
      </c>
      <c r="I945" s="16">
        <v>3713.6</v>
      </c>
      <c r="J945" s="16">
        <v>2144.5547347402394</v>
      </c>
      <c r="K945" s="16">
        <v>1569.0452652597608</v>
      </c>
      <c r="L945" s="13">
        <v>2.16</v>
      </c>
      <c r="M945" s="13"/>
      <c r="N945" s="17">
        <f t="shared" si="32"/>
        <v>10026.720000000001</v>
      </c>
      <c r="O945" s="17">
        <f t="shared" si="32"/>
        <v>0</v>
      </c>
      <c r="P945" s="17">
        <f t="shared" si="31"/>
        <v>10026.720000000001</v>
      </c>
      <c r="Q945" t="str">
        <f>A945&amp;"-"&amp;B945&amp;"-"&amp;D945</f>
        <v>MARET-KLB-L1B</v>
      </c>
    </row>
    <row r="946" spans="1:17" x14ac:dyDescent="0.25">
      <c r="A946" t="s">
        <v>393</v>
      </c>
      <c r="B946" s="13" t="s">
        <v>24</v>
      </c>
      <c r="C946" s="13" t="s">
        <v>226</v>
      </c>
      <c r="D946" s="14" t="s">
        <v>221</v>
      </c>
      <c r="E946" s="13" t="s">
        <v>61</v>
      </c>
      <c r="F946" s="13" t="s">
        <v>581</v>
      </c>
      <c r="G946" s="13">
        <v>0.72</v>
      </c>
      <c r="H946" s="15">
        <v>820</v>
      </c>
      <c r="I946" s="16">
        <v>590.4</v>
      </c>
      <c r="J946" s="16">
        <v>381.02374916348072</v>
      </c>
      <c r="K946" s="16">
        <v>209.37625083651926</v>
      </c>
      <c r="L946" s="13">
        <v>2.31</v>
      </c>
      <c r="M946" s="13"/>
      <c r="N946" s="17">
        <f t="shared" si="32"/>
        <v>1894.2</v>
      </c>
      <c r="O946" s="17">
        <f t="shared" si="32"/>
        <v>0</v>
      </c>
      <c r="P946" s="17">
        <f t="shared" si="31"/>
        <v>1894.2</v>
      </c>
      <c r="Q946" t="str">
        <f>A946&amp;"-"&amp;B946&amp;"-"&amp;D946</f>
        <v>MARET-KLB-L1B</v>
      </c>
    </row>
    <row r="947" spans="1:17" x14ac:dyDescent="0.25">
      <c r="A947" t="s">
        <v>393</v>
      </c>
      <c r="B947" s="13" t="s">
        <v>24</v>
      </c>
      <c r="C947" s="13" t="s">
        <v>226</v>
      </c>
      <c r="D947" s="14" t="s">
        <v>221</v>
      </c>
      <c r="E947" s="13" t="s">
        <v>61</v>
      </c>
      <c r="F947" s="13" t="s">
        <v>447</v>
      </c>
      <c r="G947" s="13">
        <v>0.8</v>
      </c>
      <c r="H947" s="15">
        <v>5160</v>
      </c>
      <c r="I947" s="16">
        <v>4128</v>
      </c>
      <c r="J947" s="16">
        <v>2427.7751189986748</v>
      </c>
      <c r="K947" s="16">
        <v>1700.2248810013248</v>
      </c>
      <c r="L947" s="13">
        <v>2.16</v>
      </c>
      <c r="M947" s="13"/>
      <c r="N947" s="17">
        <f t="shared" si="32"/>
        <v>11145.6</v>
      </c>
      <c r="O947" s="17">
        <f t="shared" si="32"/>
        <v>0</v>
      </c>
      <c r="P947" s="17">
        <f t="shared" si="31"/>
        <v>11145.6</v>
      </c>
      <c r="Q947" t="str">
        <f>A947&amp;"-"&amp;B947&amp;"-"&amp;D947</f>
        <v>MARET-KLB-L1B</v>
      </c>
    </row>
    <row r="948" spans="1:17" x14ac:dyDescent="0.25">
      <c r="A948" t="s">
        <v>393</v>
      </c>
      <c r="B948" s="13" t="s">
        <v>24</v>
      </c>
      <c r="C948" s="13" t="s">
        <v>226</v>
      </c>
      <c r="D948" s="14" t="s">
        <v>221</v>
      </c>
      <c r="E948" s="13" t="s">
        <v>61</v>
      </c>
      <c r="F948" s="13" t="s">
        <v>582</v>
      </c>
      <c r="G948" s="13">
        <v>0.8</v>
      </c>
      <c r="H948" s="15">
        <v>2013</v>
      </c>
      <c r="I948" s="16">
        <v>1610.4</v>
      </c>
      <c r="J948" s="16">
        <v>919.77674580288044</v>
      </c>
      <c r="K948" s="16">
        <v>690.62325419711965</v>
      </c>
      <c r="L948" s="13">
        <v>4.3099999999999996</v>
      </c>
      <c r="M948" s="13"/>
      <c r="N948" s="17">
        <f t="shared" si="32"/>
        <v>8676.0299999999988</v>
      </c>
      <c r="O948" s="17">
        <f t="shared" si="32"/>
        <v>0</v>
      </c>
      <c r="P948" s="17">
        <f t="shared" si="31"/>
        <v>8676.0299999999988</v>
      </c>
      <c r="Q948" t="str">
        <f>A948&amp;"-"&amp;B948&amp;"-"&amp;D948</f>
        <v>MARET-KLB-L1B</v>
      </c>
    </row>
    <row r="949" spans="1:17" x14ac:dyDescent="0.25">
      <c r="A949" t="s">
        <v>393</v>
      </c>
      <c r="B949" s="13" t="s">
        <v>24</v>
      </c>
      <c r="C949" s="13" t="s">
        <v>226</v>
      </c>
      <c r="D949" s="14" t="s">
        <v>221</v>
      </c>
      <c r="E949" s="13" t="s">
        <v>61</v>
      </c>
      <c r="F949" s="13" t="s">
        <v>448</v>
      </c>
      <c r="G949" s="13">
        <v>0.72</v>
      </c>
      <c r="H949" s="15">
        <v>1140</v>
      </c>
      <c r="I949" s="16">
        <v>820.80000000000007</v>
      </c>
      <c r="J949" s="16">
        <v>542.32049623459841</v>
      </c>
      <c r="K949" s="16">
        <v>278.47950376540155</v>
      </c>
      <c r="L949" s="13">
        <v>2.31</v>
      </c>
      <c r="M949" s="13"/>
      <c r="N949" s="17">
        <f t="shared" si="32"/>
        <v>2633.4</v>
      </c>
      <c r="O949" s="17">
        <f t="shared" si="32"/>
        <v>0</v>
      </c>
      <c r="P949" s="17">
        <f t="shared" si="31"/>
        <v>2633.4</v>
      </c>
      <c r="Q949" t="str">
        <f>A949&amp;"-"&amp;B949&amp;"-"&amp;D949</f>
        <v>MARET-KLB-L1B</v>
      </c>
    </row>
    <row r="950" spans="1:17" x14ac:dyDescent="0.25">
      <c r="A950" t="s">
        <v>393</v>
      </c>
      <c r="B950" s="13" t="s">
        <v>24</v>
      </c>
      <c r="C950" s="13" t="s">
        <v>226</v>
      </c>
      <c r="D950" s="14" t="s">
        <v>221</v>
      </c>
      <c r="E950" s="13" t="s">
        <v>61</v>
      </c>
      <c r="F950" s="13" t="s">
        <v>583</v>
      </c>
      <c r="G950" s="13">
        <v>0.72</v>
      </c>
      <c r="H950" s="15">
        <v>490</v>
      </c>
      <c r="I950" s="16">
        <v>352.8</v>
      </c>
      <c r="J950" s="16">
        <v>219.31323283082077</v>
      </c>
      <c r="K950" s="16">
        <v>133.48676716917925</v>
      </c>
      <c r="L950" s="13">
        <v>4.63</v>
      </c>
      <c r="M950" s="13"/>
      <c r="N950" s="17">
        <f t="shared" si="32"/>
        <v>2268.6999999999998</v>
      </c>
      <c r="O950" s="17">
        <f t="shared" si="32"/>
        <v>0</v>
      </c>
      <c r="P950" s="17">
        <f t="shared" si="31"/>
        <v>2268.6999999999998</v>
      </c>
      <c r="Q950" t="str">
        <f>A950&amp;"-"&amp;B950&amp;"-"&amp;D950</f>
        <v>MARET-KLB-L1B</v>
      </c>
    </row>
    <row r="951" spans="1:17" x14ac:dyDescent="0.25">
      <c r="A951" t="s">
        <v>393</v>
      </c>
      <c r="B951" s="13" t="s">
        <v>24</v>
      </c>
      <c r="C951" s="13" t="s">
        <v>226</v>
      </c>
      <c r="D951" s="14" t="s">
        <v>221</v>
      </c>
      <c r="E951" s="13" t="s">
        <v>61</v>
      </c>
      <c r="F951" s="13" t="s">
        <v>584</v>
      </c>
      <c r="G951" s="13">
        <v>0.79999999999999993</v>
      </c>
      <c r="H951" s="15">
        <v>2283</v>
      </c>
      <c r="I951" s="16">
        <v>1826.4</v>
      </c>
      <c r="J951" s="16">
        <v>1073.3958459177459</v>
      </c>
      <c r="K951" s="16">
        <v>753.0041540822541</v>
      </c>
      <c r="L951" s="13">
        <v>2.16</v>
      </c>
      <c r="M951" s="13"/>
      <c r="N951" s="17">
        <f t="shared" si="32"/>
        <v>4931.2800000000007</v>
      </c>
      <c r="O951" s="17">
        <f t="shared" si="32"/>
        <v>0</v>
      </c>
      <c r="P951" s="17">
        <f t="shared" si="31"/>
        <v>4931.2800000000007</v>
      </c>
      <c r="Q951" t="str">
        <f>A951&amp;"-"&amp;B951&amp;"-"&amp;D951</f>
        <v>MARET-KLB-L1B</v>
      </c>
    </row>
    <row r="952" spans="1:17" x14ac:dyDescent="0.25">
      <c r="A952" t="s">
        <v>393</v>
      </c>
      <c r="B952" s="13" t="s">
        <v>24</v>
      </c>
      <c r="C952" s="13" t="s">
        <v>226</v>
      </c>
      <c r="D952" s="14" t="s">
        <v>221</v>
      </c>
      <c r="E952" s="13" t="s">
        <v>61</v>
      </c>
      <c r="F952" s="13" t="s">
        <v>585</v>
      </c>
      <c r="G952" s="13">
        <v>0.72</v>
      </c>
      <c r="H952" s="15">
        <v>500</v>
      </c>
      <c r="I952" s="16">
        <v>360</v>
      </c>
      <c r="J952" s="16">
        <v>235.67226326311086</v>
      </c>
      <c r="K952" s="16">
        <v>124.32773673688914</v>
      </c>
      <c r="L952" s="13">
        <v>2.31</v>
      </c>
      <c r="M952" s="13"/>
      <c r="N952" s="17">
        <f t="shared" si="32"/>
        <v>1155</v>
      </c>
      <c r="O952" s="17">
        <f t="shared" si="32"/>
        <v>0</v>
      </c>
      <c r="P952" s="17">
        <f t="shared" si="31"/>
        <v>1155</v>
      </c>
      <c r="Q952" t="str">
        <f>A952&amp;"-"&amp;B952&amp;"-"&amp;D952</f>
        <v>MARET-KLB-L1B</v>
      </c>
    </row>
    <row r="953" spans="1:17" x14ac:dyDescent="0.25">
      <c r="A953" t="s">
        <v>393</v>
      </c>
      <c r="B953" s="13" t="s">
        <v>24</v>
      </c>
      <c r="C953" s="13" t="s">
        <v>226</v>
      </c>
      <c r="D953" s="14" t="s">
        <v>222</v>
      </c>
      <c r="E953" s="13" t="s">
        <v>61</v>
      </c>
      <c r="F953" s="13" t="s">
        <v>586</v>
      </c>
      <c r="G953" s="13">
        <v>0.66</v>
      </c>
      <c r="H953" s="15">
        <v>2395</v>
      </c>
      <c r="I953" s="16">
        <v>1580.7</v>
      </c>
      <c r="J953" s="16">
        <v>1073.7321547526035</v>
      </c>
      <c r="K953" s="16">
        <v>506.96784524739644</v>
      </c>
      <c r="L953" s="13">
        <v>1.71</v>
      </c>
      <c r="M953" s="13"/>
      <c r="N953" s="17">
        <f t="shared" si="32"/>
        <v>4095.45</v>
      </c>
      <c r="O953" s="17">
        <f t="shared" si="32"/>
        <v>0</v>
      </c>
      <c r="P953" s="17">
        <f t="shared" si="31"/>
        <v>4095.45</v>
      </c>
      <c r="Q953" t="str">
        <f>A953&amp;"-"&amp;B953&amp;"-"&amp;D953</f>
        <v>MARET-KLB-L2A</v>
      </c>
    </row>
    <row r="954" spans="1:17" x14ac:dyDescent="0.25">
      <c r="A954" t="s">
        <v>393</v>
      </c>
      <c r="B954" s="13" t="s">
        <v>24</v>
      </c>
      <c r="C954" s="13" t="s">
        <v>226</v>
      </c>
      <c r="D954" s="14" t="s">
        <v>222</v>
      </c>
      <c r="E954" s="13" t="s">
        <v>61</v>
      </c>
      <c r="F954" s="13" t="s">
        <v>587</v>
      </c>
      <c r="G954" s="13">
        <v>0.93</v>
      </c>
      <c r="H954" s="15">
        <v>5375</v>
      </c>
      <c r="I954" s="16">
        <v>4998.75</v>
      </c>
      <c r="J954" s="16">
        <v>2570.6454664505968</v>
      </c>
      <c r="K954" s="16">
        <v>2428.1045335494027</v>
      </c>
      <c r="L954" s="13">
        <v>2.2400000000000002</v>
      </c>
      <c r="M954" s="13"/>
      <c r="N954" s="17">
        <f t="shared" si="32"/>
        <v>12040.000000000002</v>
      </c>
      <c r="O954" s="17">
        <f t="shared" si="32"/>
        <v>0</v>
      </c>
      <c r="P954" s="17">
        <f t="shared" si="31"/>
        <v>12040.000000000002</v>
      </c>
      <c r="Q954" t="str">
        <f>A954&amp;"-"&amp;B954&amp;"-"&amp;D954</f>
        <v>MARET-KLB-L2A</v>
      </c>
    </row>
    <row r="955" spans="1:17" x14ac:dyDescent="0.25">
      <c r="A955" t="s">
        <v>393</v>
      </c>
      <c r="B955" s="13" t="s">
        <v>24</v>
      </c>
      <c r="C955" s="13" t="s">
        <v>226</v>
      </c>
      <c r="D955" s="14" t="s">
        <v>222</v>
      </c>
      <c r="E955" s="13" t="s">
        <v>61</v>
      </c>
      <c r="F955" s="13" t="s">
        <v>588</v>
      </c>
      <c r="G955" s="13">
        <v>0.93</v>
      </c>
      <c r="H955" s="15">
        <v>200</v>
      </c>
      <c r="I955" s="16">
        <v>186</v>
      </c>
      <c r="J955" s="16">
        <v>105.38367783267681</v>
      </c>
      <c r="K955" s="16">
        <v>80.61632216732319</v>
      </c>
      <c r="L955" s="13">
        <v>2.4300000000000002</v>
      </c>
      <c r="M955" s="13"/>
      <c r="N955" s="17">
        <f t="shared" si="32"/>
        <v>486.00000000000006</v>
      </c>
      <c r="O955" s="17">
        <f t="shared" si="32"/>
        <v>0</v>
      </c>
      <c r="P955" s="17">
        <f t="shared" si="31"/>
        <v>486.00000000000006</v>
      </c>
      <c r="Q955" t="str">
        <f>A955&amp;"-"&amp;B955&amp;"-"&amp;D955</f>
        <v>MARET-KLB-L2A</v>
      </c>
    </row>
    <row r="956" spans="1:17" x14ac:dyDescent="0.25">
      <c r="A956" t="s">
        <v>393</v>
      </c>
      <c r="B956" s="13" t="s">
        <v>24</v>
      </c>
      <c r="C956" s="13" t="s">
        <v>226</v>
      </c>
      <c r="D956" s="14" t="s">
        <v>222</v>
      </c>
      <c r="E956" s="13" t="s">
        <v>61</v>
      </c>
      <c r="F956" s="13" t="s">
        <v>589</v>
      </c>
      <c r="G956" s="13">
        <v>0.71999999999999986</v>
      </c>
      <c r="H956" s="15">
        <v>20020</v>
      </c>
      <c r="I956" s="16">
        <v>14414.400000000001</v>
      </c>
      <c r="J956" s="16">
        <v>9181.462709940768</v>
      </c>
      <c r="K956" s="16">
        <v>5232.9372900592334</v>
      </c>
      <c r="L956" s="13">
        <v>1.34</v>
      </c>
      <c r="M956" s="13"/>
      <c r="N956" s="17">
        <f t="shared" si="32"/>
        <v>26826.800000000003</v>
      </c>
      <c r="O956" s="17">
        <f t="shared" si="32"/>
        <v>0</v>
      </c>
      <c r="P956" s="17">
        <f t="shared" si="31"/>
        <v>26826.800000000003</v>
      </c>
      <c r="Q956" t="str">
        <f>A956&amp;"-"&amp;B956&amp;"-"&amp;D956</f>
        <v>MARET-KLB-L2A</v>
      </c>
    </row>
    <row r="957" spans="1:17" x14ac:dyDescent="0.25">
      <c r="A957" t="s">
        <v>393</v>
      </c>
      <c r="B957" s="13" t="s">
        <v>24</v>
      </c>
      <c r="C957" s="13" t="s">
        <v>226</v>
      </c>
      <c r="D957" s="14" t="s">
        <v>222</v>
      </c>
      <c r="E957" s="13" t="s">
        <v>61</v>
      </c>
      <c r="F957" s="13" t="s">
        <v>590</v>
      </c>
      <c r="G957" s="13">
        <v>0.84</v>
      </c>
      <c r="H957" s="15">
        <v>1035</v>
      </c>
      <c r="I957" s="16">
        <v>869.4</v>
      </c>
      <c r="J957" s="16">
        <v>880.45248868778276</v>
      </c>
      <c r="K957" s="16">
        <v>-11.052488687782784</v>
      </c>
      <c r="L957" s="13">
        <v>2.59</v>
      </c>
      <c r="M957" s="13"/>
      <c r="N957" s="17">
        <f t="shared" si="32"/>
        <v>2680.6499999999996</v>
      </c>
      <c r="O957" s="17">
        <f t="shared" si="32"/>
        <v>0</v>
      </c>
      <c r="P957" s="17">
        <f t="shared" si="31"/>
        <v>2680.6499999999996</v>
      </c>
      <c r="Q957" t="str">
        <f>A957&amp;"-"&amp;B957&amp;"-"&amp;D957</f>
        <v>MARET-KLB-L2A</v>
      </c>
    </row>
    <row r="958" spans="1:17" x14ac:dyDescent="0.25">
      <c r="A958" t="s">
        <v>393</v>
      </c>
      <c r="B958" s="13" t="s">
        <v>24</v>
      </c>
      <c r="C958" s="13" t="s">
        <v>226</v>
      </c>
      <c r="D958" s="14" t="s">
        <v>222</v>
      </c>
      <c r="E958" s="13" t="s">
        <v>61</v>
      </c>
      <c r="F958" s="13" t="s">
        <v>582</v>
      </c>
      <c r="G958" s="13">
        <v>0.8</v>
      </c>
      <c r="H958" s="15">
        <v>950</v>
      </c>
      <c r="I958" s="16">
        <v>760</v>
      </c>
      <c r="J958" s="16">
        <v>581.75895765472319</v>
      </c>
      <c r="K958" s="16">
        <v>178.24104234527681</v>
      </c>
      <c r="L958" s="13">
        <v>4.3099999999999996</v>
      </c>
      <c r="M958" s="13"/>
      <c r="N958" s="17">
        <f t="shared" si="32"/>
        <v>4094.4999999999995</v>
      </c>
      <c r="O958" s="17">
        <f t="shared" si="32"/>
        <v>0</v>
      </c>
      <c r="P958" s="17">
        <f t="shared" si="31"/>
        <v>4094.4999999999995</v>
      </c>
      <c r="Q958" t="str">
        <f>A958&amp;"-"&amp;B958&amp;"-"&amp;D958</f>
        <v>MARET-KLB-L2A</v>
      </c>
    </row>
    <row r="959" spans="1:17" x14ac:dyDescent="0.25">
      <c r="A959" t="s">
        <v>393</v>
      </c>
      <c r="B959" s="13" t="s">
        <v>24</v>
      </c>
      <c r="C959" s="13" t="s">
        <v>226</v>
      </c>
      <c r="D959" s="14" t="s">
        <v>222</v>
      </c>
      <c r="E959" s="13" t="s">
        <v>61</v>
      </c>
      <c r="F959" s="13" t="s">
        <v>583</v>
      </c>
      <c r="G959" s="13">
        <v>0.72</v>
      </c>
      <c r="H959" s="15">
        <v>585</v>
      </c>
      <c r="I959" s="16">
        <v>421.2</v>
      </c>
      <c r="J959" s="16">
        <v>358.24104234527687</v>
      </c>
      <c r="K959" s="16">
        <v>62.958957654723122</v>
      </c>
      <c r="L959" s="13">
        <v>4.63</v>
      </c>
      <c r="M959" s="13"/>
      <c r="N959" s="17">
        <f t="shared" si="32"/>
        <v>2708.5499999999997</v>
      </c>
      <c r="O959" s="17">
        <f t="shared" si="32"/>
        <v>0</v>
      </c>
      <c r="P959" s="17">
        <f t="shared" si="31"/>
        <v>2708.5499999999997</v>
      </c>
      <c r="Q959" t="str">
        <f>A959&amp;"-"&amp;B959&amp;"-"&amp;D959</f>
        <v>MARET-KLB-L2A</v>
      </c>
    </row>
    <row r="960" spans="1:17" x14ac:dyDescent="0.25">
      <c r="A960" t="s">
        <v>393</v>
      </c>
      <c r="B960" s="13" t="s">
        <v>24</v>
      </c>
      <c r="C960" s="13" t="s">
        <v>226</v>
      </c>
      <c r="D960" s="14" t="s">
        <v>222</v>
      </c>
      <c r="E960" s="13" t="s">
        <v>61</v>
      </c>
      <c r="F960" s="13" t="s">
        <v>584</v>
      </c>
      <c r="G960" s="13">
        <v>0.80000000000000016</v>
      </c>
      <c r="H960" s="15">
        <v>1805</v>
      </c>
      <c r="I960" s="16">
        <v>1444</v>
      </c>
      <c r="J960" s="16">
        <v>990.84921887317989</v>
      </c>
      <c r="K960" s="16">
        <v>453.15078112682016</v>
      </c>
      <c r="L960" s="13">
        <v>2.16</v>
      </c>
      <c r="M960" s="13"/>
      <c r="N960" s="17">
        <f t="shared" si="32"/>
        <v>3898.8</v>
      </c>
      <c r="O960" s="17">
        <f t="shared" si="32"/>
        <v>0</v>
      </c>
      <c r="P960" s="17">
        <f t="shared" si="31"/>
        <v>3898.8</v>
      </c>
      <c r="Q960" t="str">
        <f>A960&amp;"-"&amp;B960&amp;"-"&amp;D960</f>
        <v>MARET-KLB-L2A</v>
      </c>
    </row>
    <row r="961" spans="1:17" x14ac:dyDescent="0.25">
      <c r="A961" t="s">
        <v>393</v>
      </c>
      <c r="B961" s="13" t="s">
        <v>24</v>
      </c>
      <c r="C961" s="13" t="s">
        <v>226</v>
      </c>
      <c r="D961" s="14" t="s">
        <v>222</v>
      </c>
      <c r="E961" s="13" t="s">
        <v>61</v>
      </c>
      <c r="F961" s="13" t="s">
        <v>585</v>
      </c>
      <c r="G961" s="13">
        <v>0.72000000000000008</v>
      </c>
      <c r="H961" s="15">
        <v>445</v>
      </c>
      <c r="I961" s="16">
        <v>320.39999999999998</v>
      </c>
      <c r="J961" s="16">
        <v>237.47428346239246</v>
      </c>
      <c r="K961" s="16">
        <v>82.925716537607542</v>
      </c>
      <c r="L961" s="13">
        <v>2.31</v>
      </c>
      <c r="M961" s="13"/>
      <c r="N961" s="17">
        <f t="shared" si="32"/>
        <v>1027.95</v>
      </c>
      <c r="O961" s="17">
        <f t="shared" si="32"/>
        <v>0</v>
      </c>
      <c r="P961" s="17">
        <f t="shared" si="31"/>
        <v>1027.95</v>
      </c>
      <c r="Q961" t="str">
        <f>A961&amp;"-"&amp;B961&amp;"-"&amp;D961</f>
        <v>MARET-KLB-L2A</v>
      </c>
    </row>
    <row r="962" spans="1:17" x14ac:dyDescent="0.25">
      <c r="A962" t="s">
        <v>393</v>
      </c>
      <c r="B962" s="13" t="s">
        <v>24</v>
      </c>
      <c r="C962" s="13" t="s">
        <v>226</v>
      </c>
      <c r="D962" s="14" t="s">
        <v>223</v>
      </c>
      <c r="E962" s="13" t="s">
        <v>61</v>
      </c>
      <c r="F962" s="13" t="s">
        <v>586</v>
      </c>
      <c r="G962" s="13">
        <v>0.66</v>
      </c>
      <c r="H962" s="15">
        <v>5280</v>
      </c>
      <c r="I962" s="16">
        <v>3484.8</v>
      </c>
      <c r="J962" s="16">
        <v>2197.0392461261317</v>
      </c>
      <c r="K962" s="16">
        <v>1287.7607538738682</v>
      </c>
      <c r="L962" s="13">
        <v>1.71</v>
      </c>
      <c r="M962" s="13"/>
      <c r="N962" s="17">
        <f t="shared" si="32"/>
        <v>9028.7999999999993</v>
      </c>
      <c r="O962" s="17">
        <f t="shared" si="32"/>
        <v>0</v>
      </c>
      <c r="P962" s="17">
        <f t="shared" ref="P962:P1025" si="33">N962+O962</f>
        <v>9028.7999999999993</v>
      </c>
      <c r="Q962" t="str">
        <f>A962&amp;"-"&amp;B962&amp;"-"&amp;D962</f>
        <v>MARET-KLB-L2B</v>
      </c>
    </row>
    <row r="963" spans="1:17" x14ac:dyDescent="0.25">
      <c r="A963" t="s">
        <v>393</v>
      </c>
      <c r="B963" s="13" t="s">
        <v>24</v>
      </c>
      <c r="C963" s="13" t="s">
        <v>226</v>
      </c>
      <c r="D963" s="14" t="s">
        <v>223</v>
      </c>
      <c r="E963" s="13" t="s">
        <v>61</v>
      </c>
      <c r="F963" s="13" t="s">
        <v>587</v>
      </c>
      <c r="G963" s="13">
        <v>0.93</v>
      </c>
      <c r="H963" s="15">
        <v>4075</v>
      </c>
      <c r="I963" s="16">
        <v>3789.75</v>
      </c>
      <c r="J963" s="16">
        <v>2260.7691541315899</v>
      </c>
      <c r="K963" s="16">
        <v>1528.9808458684101</v>
      </c>
      <c r="L963" s="13">
        <v>2.2400000000000002</v>
      </c>
      <c r="M963" s="13"/>
      <c r="N963" s="17">
        <f t="shared" si="32"/>
        <v>9128</v>
      </c>
      <c r="O963" s="17">
        <f t="shared" si="32"/>
        <v>0</v>
      </c>
      <c r="P963" s="17">
        <f t="shared" si="33"/>
        <v>9128</v>
      </c>
      <c r="Q963" t="str">
        <f>A963&amp;"-"&amp;B963&amp;"-"&amp;D963</f>
        <v>MARET-KLB-L2B</v>
      </c>
    </row>
    <row r="964" spans="1:17" x14ac:dyDescent="0.25">
      <c r="A964" t="s">
        <v>393</v>
      </c>
      <c r="B964" s="13" t="s">
        <v>24</v>
      </c>
      <c r="C964" s="13" t="s">
        <v>226</v>
      </c>
      <c r="D964" s="14" t="s">
        <v>223</v>
      </c>
      <c r="E964" s="13" t="s">
        <v>61</v>
      </c>
      <c r="F964" s="13" t="s">
        <v>588</v>
      </c>
      <c r="G964" s="13">
        <v>0.93</v>
      </c>
      <c r="H964" s="15">
        <v>877</v>
      </c>
      <c r="I964" s="16">
        <v>815.61</v>
      </c>
      <c r="J964" s="16">
        <v>488.09734648685492</v>
      </c>
      <c r="K964" s="16">
        <v>327.5126535131451</v>
      </c>
      <c r="L964" s="13">
        <v>2.4300000000000002</v>
      </c>
      <c r="M964" s="13"/>
      <c r="N964" s="17">
        <f t="shared" si="32"/>
        <v>2131.11</v>
      </c>
      <c r="O964" s="17">
        <f t="shared" si="32"/>
        <v>0</v>
      </c>
      <c r="P964" s="17">
        <f t="shared" si="33"/>
        <v>2131.11</v>
      </c>
      <c r="Q964" t="str">
        <f>A964&amp;"-"&amp;B964&amp;"-"&amp;D964</f>
        <v>MARET-KLB-L2B</v>
      </c>
    </row>
    <row r="965" spans="1:17" x14ac:dyDescent="0.25">
      <c r="A965" t="s">
        <v>393</v>
      </c>
      <c r="B965" s="13" t="s">
        <v>24</v>
      </c>
      <c r="C965" s="13" t="s">
        <v>226</v>
      </c>
      <c r="D965" s="14" t="s">
        <v>223</v>
      </c>
      <c r="E965" s="13" t="s">
        <v>61</v>
      </c>
      <c r="F965" s="13" t="s">
        <v>589</v>
      </c>
      <c r="G965" s="13">
        <v>0.72</v>
      </c>
      <c r="H965" s="15">
        <v>20418</v>
      </c>
      <c r="I965" s="16">
        <v>14700.960000000001</v>
      </c>
      <c r="J965" s="16">
        <v>9154.0942532554236</v>
      </c>
      <c r="K965" s="16">
        <v>5546.8657467445764</v>
      </c>
      <c r="L965" s="13">
        <v>1.34</v>
      </c>
      <c r="M965" s="13"/>
      <c r="N965" s="17">
        <f t="shared" si="32"/>
        <v>27360.120000000003</v>
      </c>
      <c r="O965" s="17">
        <f t="shared" si="32"/>
        <v>0</v>
      </c>
      <c r="P965" s="17">
        <f t="shared" si="33"/>
        <v>27360.120000000003</v>
      </c>
      <c r="Q965" t="str">
        <f>A965&amp;"-"&amp;B965&amp;"-"&amp;D965</f>
        <v>MARET-KLB-L2B</v>
      </c>
    </row>
    <row r="966" spans="1:17" x14ac:dyDescent="0.25">
      <c r="A966" t="s">
        <v>393</v>
      </c>
      <c r="B966" s="13" t="s">
        <v>24</v>
      </c>
      <c r="C966" s="13" t="s">
        <v>226</v>
      </c>
      <c r="D966" s="14" t="s">
        <v>223</v>
      </c>
      <c r="E966" s="13" t="s">
        <v>61</v>
      </c>
      <c r="F966" s="13" t="s">
        <v>582</v>
      </c>
      <c r="G966" s="13">
        <v>0.8</v>
      </c>
      <c r="H966" s="15">
        <v>2635</v>
      </c>
      <c r="I966" s="16">
        <v>2108</v>
      </c>
      <c r="J966" s="16">
        <v>1475.6964584495258</v>
      </c>
      <c r="K966" s="16">
        <v>632.30354155047405</v>
      </c>
      <c r="L966" s="13">
        <v>4.3099999999999996</v>
      </c>
      <c r="M966" s="13"/>
      <c r="N966" s="17">
        <f t="shared" si="32"/>
        <v>11356.849999999999</v>
      </c>
      <c r="O966" s="17">
        <f t="shared" si="32"/>
        <v>0</v>
      </c>
      <c r="P966" s="17">
        <f t="shared" si="33"/>
        <v>11356.849999999999</v>
      </c>
      <c r="Q966" t="str">
        <f>A966&amp;"-"&amp;B966&amp;"-"&amp;D966</f>
        <v>MARET-KLB-L2B</v>
      </c>
    </row>
    <row r="967" spans="1:17" x14ac:dyDescent="0.25">
      <c r="A967" t="s">
        <v>393</v>
      </c>
      <c r="B967" s="13" t="s">
        <v>24</v>
      </c>
      <c r="C967" s="13" t="s">
        <v>226</v>
      </c>
      <c r="D967" s="14" t="s">
        <v>223</v>
      </c>
      <c r="E967" s="13" t="s">
        <v>61</v>
      </c>
      <c r="F967" s="13" t="s">
        <v>583</v>
      </c>
      <c r="G967" s="13">
        <v>0.72</v>
      </c>
      <c r="H967" s="15">
        <v>150</v>
      </c>
      <c r="I967" s="16">
        <v>108</v>
      </c>
      <c r="J967" s="16">
        <v>80.11363636363636</v>
      </c>
      <c r="K967" s="16">
        <v>27.88636363636364</v>
      </c>
      <c r="L967" s="13">
        <v>4.63</v>
      </c>
      <c r="M967" s="13"/>
      <c r="N967" s="17">
        <f t="shared" si="32"/>
        <v>694.5</v>
      </c>
      <c r="O967" s="17">
        <f t="shared" si="32"/>
        <v>0</v>
      </c>
      <c r="P967" s="17">
        <f t="shared" si="33"/>
        <v>694.5</v>
      </c>
      <c r="Q967" t="str">
        <f>A967&amp;"-"&amp;B967&amp;"-"&amp;D967</f>
        <v>MARET-KLB-L2B</v>
      </c>
    </row>
    <row r="968" spans="1:17" x14ac:dyDescent="0.25">
      <c r="A968" t="s">
        <v>393</v>
      </c>
      <c r="B968" s="13" t="s">
        <v>24</v>
      </c>
      <c r="C968" s="13" t="s">
        <v>226</v>
      </c>
      <c r="D968" s="14" t="s">
        <v>223</v>
      </c>
      <c r="E968" s="13" t="s">
        <v>61</v>
      </c>
      <c r="F968" s="13" t="s">
        <v>584</v>
      </c>
      <c r="G968" s="13">
        <v>0.8</v>
      </c>
      <c r="H968" s="15">
        <v>1995</v>
      </c>
      <c r="I968" s="16">
        <v>1596</v>
      </c>
      <c r="J968" s="16">
        <v>1089.8900293255133</v>
      </c>
      <c r="K968" s="16">
        <v>506.10997067448682</v>
      </c>
      <c r="L968" s="13">
        <v>2.16</v>
      </c>
      <c r="M968" s="13"/>
      <c r="N968" s="17">
        <f t="shared" si="32"/>
        <v>4309.2000000000007</v>
      </c>
      <c r="O968" s="17">
        <f t="shared" si="32"/>
        <v>0</v>
      </c>
      <c r="P968" s="17">
        <f t="shared" si="33"/>
        <v>4309.2000000000007</v>
      </c>
      <c r="Q968" t="str">
        <f>A968&amp;"-"&amp;B968&amp;"-"&amp;D968</f>
        <v>MARET-KLB-L2B</v>
      </c>
    </row>
    <row r="969" spans="1:17" x14ac:dyDescent="0.25">
      <c r="A969" t="s">
        <v>393</v>
      </c>
      <c r="B969" s="13" t="s">
        <v>24</v>
      </c>
      <c r="C969" s="13" t="s">
        <v>226</v>
      </c>
      <c r="D969" s="14" t="s">
        <v>223</v>
      </c>
      <c r="E969" s="13" t="s">
        <v>61</v>
      </c>
      <c r="F969" s="13" t="s">
        <v>585</v>
      </c>
      <c r="G969" s="13">
        <v>0.72</v>
      </c>
      <c r="H969" s="15">
        <v>290</v>
      </c>
      <c r="I969" s="16">
        <v>208.8</v>
      </c>
      <c r="J969" s="16">
        <v>159.88269794721407</v>
      </c>
      <c r="K969" s="16">
        <v>48.917302052785942</v>
      </c>
      <c r="L969" s="13">
        <v>2.31</v>
      </c>
      <c r="M969" s="13"/>
      <c r="N969" s="17">
        <f t="shared" si="32"/>
        <v>669.9</v>
      </c>
      <c r="O969" s="17">
        <f t="shared" si="32"/>
        <v>0</v>
      </c>
      <c r="P969" s="17">
        <f t="shared" si="33"/>
        <v>669.9</v>
      </c>
      <c r="Q969" t="str">
        <f>A969&amp;"-"&amp;B969&amp;"-"&amp;D969</f>
        <v>MARET-KLB-L2B</v>
      </c>
    </row>
    <row r="970" spans="1:17" x14ac:dyDescent="0.25">
      <c r="A970" t="s">
        <v>393</v>
      </c>
      <c r="B970" s="13" t="s">
        <v>24</v>
      </c>
      <c r="C970" s="13" t="s">
        <v>226</v>
      </c>
      <c r="D970" s="14" t="s">
        <v>224</v>
      </c>
      <c r="E970" s="13" t="s">
        <v>61</v>
      </c>
      <c r="F970" s="13" t="s">
        <v>591</v>
      </c>
      <c r="G970" s="13">
        <v>0.68</v>
      </c>
      <c r="H970" s="15">
        <v>2225</v>
      </c>
      <c r="I970" s="16">
        <v>1513</v>
      </c>
      <c r="J970" s="16">
        <v>931.62583518930967</v>
      </c>
      <c r="K970" s="16">
        <v>581.37416481069033</v>
      </c>
      <c r="L970" s="13">
        <v>1.82</v>
      </c>
      <c r="M970" s="13"/>
      <c r="N970" s="17">
        <f t="shared" si="32"/>
        <v>4049.5</v>
      </c>
      <c r="O970" s="17">
        <f t="shared" si="32"/>
        <v>0</v>
      </c>
      <c r="P970" s="17">
        <f t="shared" si="33"/>
        <v>4049.5</v>
      </c>
      <c r="Q970" t="str">
        <f>A970&amp;"-"&amp;B970&amp;"-"&amp;D970</f>
        <v>MARET-KLB-L3A</v>
      </c>
    </row>
    <row r="971" spans="1:17" x14ac:dyDescent="0.25">
      <c r="A971" t="s">
        <v>393</v>
      </c>
      <c r="B971" s="13" t="s">
        <v>24</v>
      </c>
      <c r="C971" s="13" t="s">
        <v>226</v>
      </c>
      <c r="D971" s="14" t="s">
        <v>224</v>
      </c>
      <c r="E971" s="13" t="s">
        <v>61</v>
      </c>
      <c r="F971" s="13" t="s">
        <v>592</v>
      </c>
      <c r="G971" s="13">
        <v>0.68</v>
      </c>
      <c r="H971" s="15">
        <v>2265</v>
      </c>
      <c r="I971" s="16">
        <v>1540.2</v>
      </c>
      <c r="J971" s="16">
        <v>965.54347826086951</v>
      </c>
      <c r="K971" s="16">
        <v>574.65652173913043</v>
      </c>
      <c r="L971" s="13">
        <v>1.82</v>
      </c>
      <c r="M971" s="13"/>
      <c r="N971" s="17">
        <f t="shared" si="32"/>
        <v>4122.3</v>
      </c>
      <c r="O971" s="17">
        <f t="shared" si="32"/>
        <v>0</v>
      </c>
      <c r="P971" s="17">
        <f t="shared" si="33"/>
        <v>4122.3</v>
      </c>
      <c r="Q971" t="str">
        <f>A971&amp;"-"&amp;B971&amp;"-"&amp;D971</f>
        <v>MARET-KLB-L3A</v>
      </c>
    </row>
    <row r="972" spans="1:17" x14ac:dyDescent="0.25">
      <c r="A972" t="s">
        <v>393</v>
      </c>
      <c r="B972" s="13" t="s">
        <v>24</v>
      </c>
      <c r="C972" s="13" t="s">
        <v>226</v>
      </c>
      <c r="D972" s="14" t="s">
        <v>224</v>
      </c>
      <c r="E972" s="13" t="s">
        <v>61</v>
      </c>
      <c r="F972" s="13" t="s">
        <v>593</v>
      </c>
      <c r="G972" s="13">
        <v>0.93</v>
      </c>
      <c r="H972" s="15">
        <v>2797</v>
      </c>
      <c r="I972" s="16">
        <v>2601.21</v>
      </c>
      <c r="J972" s="16">
        <v>1723.546195652174</v>
      </c>
      <c r="K972" s="16">
        <v>877.66380434782582</v>
      </c>
      <c r="L972" s="13">
        <v>2.2400000000000002</v>
      </c>
      <c r="M972" s="13"/>
      <c r="N972" s="17">
        <f t="shared" si="32"/>
        <v>6265.2800000000007</v>
      </c>
      <c r="O972" s="17">
        <f t="shared" si="32"/>
        <v>0</v>
      </c>
      <c r="P972" s="17">
        <f t="shared" si="33"/>
        <v>6265.2800000000007</v>
      </c>
      <c r="Q972" t="str">
        <f>A972&amp;"-"&amp;B972&amp;"-"&amp;D972</f>
        <v>MARET-KLB-L3A</v>
      </c>
    </row>
    <row r="973" spans="1:17" x14ac:dyDescent="0.25">
      <c r="A973" t="s">
        <v>393</v>
      </c>
      <c r="B973" s="13" t="s">
        <v>24</v>
      </c>
      <c r="C973" s="13" t="s">
        <v>226</v>
      </c>
      <c r="D973" s="14" t="s">
        <v>224</v>
      </c>
      <c r="E973" s="13" t="s">
        <v>61</v>
      </c>
      <c r="F973" s="13" t="s">
        <v>594</v>
      </c>
      <c r="G973" s="13">
        <v>0.72</v>
      </c>
      <c r="H973" s="15">
        <v>23190</v>
      </c>
      <c r="I973" s="16">
        <v>16696.8</v>
      </c>
      <c r="J973" s="16">
        <v>10015.097831170002</v>
      </c>
      <c r="K973" s="16">
        <v>6681.7021688299956</v>
      </c>
      <c r="L973" s="13">
        <v>1.34</v>
      </c>
      <c r="M973" s="13"/>
      <c r="N973" s="17">
        <f t="shared" si="32"/>
        <v>31074.600000000002</v>
      </c>
      <c r="O973" s="17">
        <f t="shared" si="32"/>
        <v>0</v>
      </c>
      <c r="P973" s="17">
        <f t="shared" si="33"/>
        <v>31074.600000000002</v>
      </c>
      <c r="Q973" t="str">
        <f>A973&amp;"-"&amp;B973&amp;"-"&amp;D973</f>
        <v>MARET-KLB-L3A</v>
      </c>
    </row>
    <row r="974" spans="1:17" x14ac:dyDescent="0.25">
      <c r="A974" t="s">
        <v>393</v>
      </c>
      <c r="B974" s="13" t="s">
        <v>24</v>
      </c>
      <c r="C974" s="13" t="s">
        <v>226</v>
      </c>
      <c r="D974" s="14" t="s">
        <v>225</v>
      </c>
      <c r="E974" s="13" t="s">
        <v>61</v>
      </c>
      <c r="F974" s="13" t="s">
        <v>591</v>
      </c>
      <c r="G974" s="13">
        <v>0.68</v>
      </c>
      <c r="H974" s="15">
        <v>3330</v>
      </c>
      <c r="I974" s="16">
        <v>2264.4</v>
      </c>
      <c r="J974" s="16">
        <v>1488.9822403996125</v>
      </c>
      <c r="K974" s="16">
        <v>775.41775960038751</v>
      </c>
      <c r="L974" s="13">
        <v>1.82</v>
      </c>
      <c r="M974" s="13"/>
      <c r="N974" s="17">
        <f t="shared" si="32"/>
        <v>6060.6</v>
      </c>
      <c r="O974" s="17">
        <f t="shared" si="32"/>
        <v>0</v>
      </c>
      <c r="P974" s="17">
        <f t="shared" si="33"/>
        <v>6060.6</v>
      </c>
      <c r="Q974" t="str">
        <f>A974&amp;"-"&amp;B974&amp;"-"&amp;D974</f>
        <v>MARET-KLB-L3B</v>
      </c>
    </row>
    <row r="975" spans="1:17" x14ac:dyDescent="0.25">
      <c r="A975" t="s">
        <v>393</v>
      </c>
      <c r="B975" s="13" t="s">
        <v>24</v>
      </c>
      <c r="C975" s="13" t="s">
        <v>226</v>
      </c>
      <c r="D975" s="14" t="s">
        <v>225</v>
      </c>
      <c r="E975" s="13" t="s">
        <v>61</v>
      </c>
      <c r="F975" s="13" t="s">
        <v>592</v>
      </c>
      <c r="G975" s="13">
        <v>0.68</v>
      </c>
      <c r="H975" s="15">
        <v>1552</v>
      </c>
      <c r="I975" s="16">
        <v>1055.3600000000001</v>
      </c>
      <c r="J975" s="16">
        <v>700.67067870909227</v>
      </c>
      <c r="K975" s="16">
        <v>354.68932129090769</v>
      </c>
      <c r="L975" s="13">
        <v>1.82</v>
      </c>
      <c r="M975" s="13"/>
      <c r="N975" s="17">
        <f t="shared" si="32"/>
        <v>2824.64</v>
      </c>
      <c r="O975" s="17">
        <f t="shared" si="32"/>
        <v>0</v>
      </c>
      <c r="P975" s="17">
        <f t="shared" si="33"/>
        <v>2824.64</v>
      </c>
      <c r="Q975" t="str">
        <f>A975&amp;"-"&amp;B975&amp;"-"&amp;D975</f>
        <v>MARET-KLB-L3B</v>
      </c>
    </row>
    <row r="976" spans="1:17" x14ac:dyDescent="0.25">
      <c r="A976" t="s">
        <v>393</v>
      </c>
      <c r="B976" s="13" t="s">
        <v>24</v>
      </c>
      <c r="C976" s="13" t="s">
        <v>226</v>
      </c>
      <c r="D976" s="14" t="s">
        <v>225</v>
      </c>
      <c r="E976" s="13" t="s">
        <v>61</v>
      </c>
      <c r="F976" s="13" t="s">
        <v>593</v>
      </c>
      <c r="G976" s="13">
        <v>0.93</v>
      </c>
      <c r="H976" s="15">
        <v>1445</v>
      </c>
      <c r="I976" s="16">
        <v>1343.85</v>
      </c>
      <c r="J976" s="16">
        <v>933.53951890034364</v>
      </c>
      <c r="K976" s="16">
        <v>410.31048109965627</v>
      </c>
      <c r="L976" s="13">
        <v>2.2400000000000002</v>
      </c>
      <c r="M976" s="13"/>
      <c r="N976" s="17">
        <f t="shared" si="32"/>
        <v>3236.8</v>
      </c>
      <c r="O976" s="17">
        <f t="shared" si="32"/>
        <v>0</v>
      </c>
      <c r="P976" s="17">
        <f t="shared" si="33"/>
        <v>3236.8</v>
      </c>
      <c r="Q976" t="str">
        <f>A976&amp;"-"&amp;B976&amp;"-"&amp;D976</f>
        <v>MARET-KLB-L3B</v>
      </c>
    </row>
    <row r="977" spans="1:17" x14ac:dyDescent="0.25">
      <c r="A977" t="s">
        <v>393</v>
      </c>
      <c r="B977" s="13" t="s">
        <v>24</v>
      </c>
      <c r="C977" s="13" t="s">
        <v>226</v>
      </c>
      <c r="D977" s="14" t="s">
        <v>225</v>
      </c>
      <c r="E977" s="13" t="s">
        <v>61</v>
      </c>
      <c r="F977" s="13" t="s">
        <v>594</v>
      </c>
      <c r="G977" s="13">
        <v>0.72000000000000008</v>
      </c>
      <c r="H977" s="15">
        <v>26484</v>
      </c>
      <c r="I977" s="16">
        <v>19068.480000000003</v>
      </c>
      <c r="J977" s="16">
        <v>10976.807561990952</v>
      </c>
      <c r="K977" s="16">
        <v>8091.6724380090482</v>
      </c>
      <c r="L977" s="13">
        <v>1.34</v>
      </c>
      <c r="M977" s="13"/>
      <c r="N977" s="17">
        <f t="shared" si="32"/>
        <v>35488.560000000005</v>
      </c>
      <c r="O977" s="17">
        <f t="shared" si="32"/>
        <v>0</v>
      </c>
      <c r="P977" s="17">
        <f t="shared" si="33"/>
        <v>35488.560000000005</v>
      </c>
      <c r="Q977" t="str">
        <f>A977&amp;"-"&amp;B977&amp;"-"&amp;D977</f>
        <v>MARET-KLB-L3B</v>
      </c>
    </row>
    <row r="978" spans="1:17" x14ac:dyDescent="0.25">
      <c r="A978" t="s">
        <v>393</v>
      </c>
      <c r="B978" s="13" t="s">
        <v>25</v>
      </c>
      <c r="C978" s="13" t="s">
        <v>154</v>
      </c>
      <c r="D978" s="14" t="s">
        <v>44</v>
      </c>
      <c r="E978" s="13" t="s">
        <v>155</v>
      </c>
      <c r="F978" s="13" t="s">
        <v>451</v>
      </c>
      <c r="G978" s="13">
        <v>0.55000000000000004</v>
      </c>
      <c r="H978" s="15">
        <v>2</v>
      </c>
      <c r="I978" s="16">
        <v>1.1000000000000001</v>
      </c>
      <c r="J978" s="16">
        <v>34.956521739130437</v>
      </c>
      <c r="K978" s="16">
        <v>-33.856521739130436</v>
      </c>
      <c r="L978" s="13">
        <v>1.61</v>
      </c>
      <c r="M978" s="13"/>
      <c r="N978" s="17">
        <f t="shared" si="32"/>
        <v>3.22</v>
      </c>
      <c r="O978" s="17">
        <f t="shared" si="32"/>
        <v>0</v>
      </c>
      <c r="P978" s="17">
        <f t="shared" si="33"/>
        <v>3.22</v>
      </c>
      <c r="Q978" t="str">
        <f>A978&amp;"-"&amp;B978&amp;"-"&amp;D978</f>
        <v>MARET-MJ1-L1</v>
      </c>
    </row>
    <row r="979" spans="1:17" x14ac:dyDescent="0.25">
      <c r="A979" t="s">
        <v>393</v>
      </c>
      <c r="B979" s="13" t="s">
        <v>25</v>
      </c>
      <c r="C979" s="13" t="s">
        <v>154</v>
      </c>
      <c r="D979" s="14" t="s">
        <v>44</v>
      </c>
      <c r="E979" s="13" t="s">
        <v>155</v>
      </c>
      <c r="F979" s="13" t="s">
        <v>486</v>
      </c>
      <c r="G979" s="13">
        <v>0.55000000000000004</v>
      </c>
      <c r="H979" s="15">
        <v>81</v>
      </c>
      <c r="I979" s="16">
        <v>44.55</v>
      </c>
      <c r="J979" s="16">
        <v>707.86956521739137</v>
      </c>
      <c r="K979" s="16">
        <v>-663.31956521739141</v>
      </c>
      <c r="L979" s="13">
        <v>2.62</v>
      </c>
      <c r="M979" s="13"/>
      <c r="N979" s="17">
        <f t="shared" si="32"/>
        <v>212.22</v>
      </c>
      <c r="O979" s="17">
        <f t="shared" si="32"/>
        <v>0</v>
      </c>
      <c r="P979" s="17">
        <f t="shared" si="33"/>
        <v>212.22</v>
      </c>
      <c r="Q979" t="str">
        <f>A979&amp;"-"&amp;B979&amp;"-"&amp;D979</f>
        <v>MARET-MJ1-L1</v>
      </c>
    </row>
    <row r="980" spans="1:17" x14ac:dyDescent="0.25">
      <c r="A980" t="s">
        <v>393</v>
      </c>
      <c r="B980" s="13" t="s">
        <v>25</v>
      </c>
      <c r="C980" s="13" t="s">
        <v>154</v>
      </c>
      <c r="D980" s="14" t="s">
        <v>44</v>
      </c>
      <c r="E980" s="13" t="s">
        <v>155</v>
      </c>
      <c r="F980" s="13" t="s">
        <v>454</v>
      </c>
      <c r="G980" s="13">
        <v>0.55000000000000004</v>
      </c>
      <c r="H980" s="15">
        <v>4</v>
      </c>
      <c r="I980" s="16">
        <v>2.2000000000000002</v>
      </c>
      <c r="J980" s="16">
        <v>69.913043478260875</v>
      </c>
      <c r="K980" s="16">
        <v>-67.713043478260872</v>
      </c>
      <c r="L980" s="13">
        <v>1.83</v>
      </c>
      <c r="M980" s="13"/>
      <c r="N980" s="17">
        <f t="shared" si="32"/>
        <v>7.32</v>
      </c>
      <c r="O980" s="17">
        <f t="shared" si="32"/>
        <v>0</v>
      </c>
      <c r="P980" s="17">
        <f t="shared" si="33"/>
        <v>7.32</v>
      </c>
      <c r="Q980" t="str">
        <f>A980&amp;"-"&amp;B980&amp;"-"&amp;D980</f>
        <v>MARET-MJ1-L1</v>
      </c>
    </row>
    <row r="981" spans="1:17" x14ac:dyDescent="0.25">
      <c r="A981" t="s">
        <v>393</v>
      </c>
      <c r="B981" s="13" t="s">
        <v>25</v>
      </c>
      <c r="C981" s="13" t="s">
        <v>154</v>
      </c>
      <c r="D981" s="14" t="s">
        <v>44</v>
      </c>
      <c r="E981" s="13" t="s">
        <v>249</v>
      </c>
      <c r="F981" s="13" t="s">
        <v>256</v>
      </c>
      <c r="G981" s="13">
        <v>1.18</v>
      </c>
      <c r="H981" s="15">
        <v>10</v>
      </c>
      <c r="I981" s="16">
        <v>11.8</v>
      </c>
      <c r="J981" s="16">
        <v>63.473684210526315</v>
      </c>
      <c r="K981" s="16">
        <v>-51.673684210526318</v>
      </c>
      <c r="L981" s="13">
        <v>3.35</v>
      </c>
      <c r="M981" s="13"/>
      <c r="N981" s="17">
        <f t="shared" si="32"/>
        <v>33.5</v>
      </c>
      <c r="O981" s="17">
        <f t="shared" si="32"/>
        <v>0</v>
      </c>
      <c r="P981" s="17">
        <f t="shared" si="33"/>
        <v>33.5</v>
      </c>
      <c r="Q981" t="str">
        <f>A981&amp;"-"&amp;B981&amp;"-"&amp;D981</f>
        <v>MARET-MJ1-L1</v>
      </c>
    </row>
    <row r="982" spans="1:17" x14ac:dyDescent="0.25">
      <c r="A982" t="s">
        <v>393</v>
      </c>
      <c r="B982" s="13" t="s">
        <v>25</v>
      </c>
      <c r="C982" s="13" t="s">
        <v>154</v>
      </c>
      <c r="D982" s="14" t="s">
        <v>44</v>
      </c>
      <c r="E982" s="13" t="s">
        <v>249</v>
      </c>
      <c r="F982" s="13" t="s">
        <v>465</v>
      </c>
      <c r="G982" s="13">
        <v>1.19</v>
      </c>
      <c r="H982" s="15">
        <v>8</v>
      </c>
      <c r="I982" s="16">
        <v>9.52</v>
      </c>
      <c r="J982" s="16">
        <v>139.82608695652175</v>
      </c>
      <c r="K982" s="16">
        <v>-130.30608695652174</v>
      </c>
      <c r="L982" s="13">
        <v>2.9</v>
      </c>
      <c r="M982" s="13"/>
      <c r="N982" s="17">
        <f t="shared" si="32"/>
        <v>23.2</v>
      </c>
      <c r="O982" s="17">
        <f t="shared" si="32"/>
        <v>0</v>
      </c>
      <c r="P982" s="17">
        <f t="shared" si="33"/>
        <v>23.2</v>
      </c>
      <c r="Q982" t="str">
        <f>A982&amp;"-"&amp;B982&amp;"-"&amp;D982</f>
        <v>MARET-MJ1-L1</v>
      </c>
    </row>
    <row r="983" spans="1:17" x14ac:dyDescent="0.25">
      <c r="A983" t="s">
        <v>393</v>
      </c>
      <c r="B983" s="13" t="s">
        <v>25</v>
      </c>
      <c r="C983" s="13" t="s">
        <v>154</v>
      </c>
      <c r="D983" s="14" t="s">
        <v>44</v>
      </c>
      <c r="E983" s="13" t="s">
        <v>249</v>
      </c>
      <c r="F983" s="13" t="s">
        <v>467</v>
      </c>
      <c r="G983" s="13">
        <v>1.19</v>
      </c>
      <c r="H983" s="15">
        <v>4</v>
      </c>
      <c r="I983" s="16">
        <v>4.76</v>
      </c>
      <c r="J983" s="16">
        <v>69.913043478260875</v>
      </c>
      <c r="K983" s="16">
        <v>-65.153043478260869</v>
      </c>
      <c r="L983" s="13">
        <v>2.9</v>
      </c>
      <c r="M983" s="13"/>
      <c r="N983" s="17">
        <f t="shared" si="32"/>
        <v>11.6</v>
      </c>
      <c r="O983" s="17">
        <f t="shared" si="32"/>
        <v>0</v>
      </c>
      <c r="P983" s="17">
        <f t="shared" si="33"/>
        <v>11.6</v>
      </c>
      <c r="Q983" t="str">
        <f>A983&amp;"-"&amp;B983&amp;"-"&amp;D983</f>
        <v>MARET-MJ1-L1</v>
      </c>
    </row>
    <row r="984" spans="1:17" x14ac:dyDescent="0.25">
      <c r="A984" t="s">
        <v>393</v>
      </c>
      <c r="B984" s="13" t="s">
        <v>25</v>
      </c>
      <c r="C984" s="13" t="s">
        <v>154</v>
      </c>
      <c r="D984" s="14" t="s">
        <v>44</v>
      </c>
      <c r="E984" s="13" t="s">
        <v>249</v>
      </c>
      <c r="F984" s="13" t="s">
        <v>595</v>
      </c>
      <c r="G984" s="13">
        <v>1.19</v>
      </c>
      <c r="H984" s="15">
        <v>14</v>
      </c>
      <c r="I984" s="16">
        <v>16.66</v>
      </c>
      <c r="J984" s="16">
        <v>122.34782608695653</v>
      </c>
      <c r="K984" s="16">
        <v>-105.68782608695653</v>
      </c>
      <c r="L984" s="13">
        <v>2.9</v>
      </c>
      <c r="M984" s="13"/>
      <c r="N984" s="17">
        <f t="shared" si="32"/>
        <v>40.6</v>
      </c>
      <c r="O984" s="17">
        <f t="shared" si="32"/>
        <v>0</v>
      </c>
      <c r="P984" s="17">
        <f t="shared" si="33"/>
        <v>40.6</v>
      </c>
      <c r="Q984" t="str">
        <f>A984&amp;"-"&amp;B984&amp;"-"&amp;D984</f>
        <v>MARET-MJ1-L1</v>
      </c>
    </row>
    <row r="985" spans="1:17" x14ac:dyDescent="0.25">
      <c r="A985" t="s">
        <v>393</v>
      </c>
      <c r="B985" s="13" t="s">
        <v>25</v>
      </c>
      <c r="C985" s="13" t="s">
        <v>154</v>
      </c>
      <c r="D985" s="14" t="s">
        <v>44</v>
      </c>
      <c r="E985" s="13" t="s">
        <v>249</v>
      </c>
      <c r="F985" s="13" t="s">
        <v>468</v>
      </c>
      <c r="G985" s="13">
        <v>1.19</v>
      </c>
      <c r="H985" s="15">
        <v>5</v>
      </c>
      <c r="I985" s="16">
        <v>5.95</v>
      </c>
      <c r="J985" s="16">
        <v>31.736842105263158</v>
      </c>
      <c r="K985" s="16">
        <v>-25.786842105263158</v>
      </c>
      <c r="L985" s="13">
        <v>2.9</v>
      </c>
      <c r="M985" s="13"/>
      <c r="N985" s="17">
        <f t="shared" si="32"/>
        <v>14.5</v>
      </c>
      <c r="O985" s="17">
        <f t="shared" si="32"/>
        <v>0</v>
      </c>
      <c r="P985" s="17">
        <f t="shared" si="33"/>
        <v>14.5</v>
      </c>
      <c r="Q985" t="str">
        <f>A985&amp;"-"&amp;B985&amp;"-"&amp;D985</f>
        <v>MARET-MJ1-L1</v>
      </c>
    </row>
    <row r="986" spans="1:17" x14ac:dyDescent="0.25">
      <c r="A986" t="s">
        <v>393</v>
      </c>
      <c r="B986" s="13" t="s">
        <v>25</v>
      </c>
      <c r="C986" s="13" t="s">
        <v>154</v>
      </c>
      <c r="D986" s="14" t="s">
        <v>44</v>
      </c>
      <c r="E986" s="13" t="s">
        <v>249</v>
      </c>
      <c r="F986" s="13" t="s">
        <v>596</v>
      </c>
      <c r="G986" s="13">
        <v>1.19</v>
      </c>
      <c r="H986" s="15">
        <v>33</v>
      </c>
      <c r="I986" s="16">
        <v>39.270000000000003</v>
      </c>
      <c r="J986" s="16">
        <v>245.33958810068651</v>
      </c>
      <c r="K986" s="16">
        <v>-206.0695881006865</v>
      </c>
      <c r="L986" s="13">
        <v>2.9</v>
      </c>
      <c r="M986" s="13"/>
      <c r="N986" s="17">
        <f t="shared" si="32"/>
        <v>95.7</v>
      </c>
      <c r="O986" s="17">
        <f t="shared" si="32"/>
        <v>0</v>
      </c>
      <c r="P986" s="17">
        <f t="shared" si="33"/>
        <v>95.7</v>
      </c>
      <c r="Q986" t="str">
        <f>A986&amp;"-"&amp;B986&amp;"-"&amp;D986</f>
        <v>MARET-MJ1-L1</v>
      </c>
    </row>
    <row r="987" spans="1:17" x14ac:dyDescent="0.25">
      <c r="A987" t="s">
        <v>393</v>
      </c>
      <c r="B987" s="13" t="s">
        <v>25</v>
      </c>
      <c r="C987" s="13" t="s">
        <v>154</v>
      </c>
      <c r="D987" s="14" t="s">
        <v>44</v>
      </c>
      <c r="E987" s="13" t="s">
        <v>249</v>
      </c>
      <c r="F987" s="13" t="s">
        <v>470</v>
      </c>
      <c r="G987" s="13">
        <v>1.19</v>
      </c>
      <c r="H987" s="15">
        <v>7</v>
      </c>
      <c r="I987" s="16">
        <v>8.33</v>
      </c>
      <c r="J987" s="16">
        <v>113.60869565217391</v>
      </c>
      <c r="K987" s="16">
        <v>-105.27869565217391</v>
      </c>
      <c r="L987" s="13">
        <v>2.9</v>
      </c>
      <c r="M987" s="13"/>
      <c r="N987" s="17">
        <f t="shared" si="32"/>
        <v>20.3</v>
      </c>
      <c r="O987" s="17">
        <f t="shared" si="32"/>
        <v>0</v>
      </c>
      <c r="P987" s="17">
        <f t="shared" si="33"/>
        <v>20.3</v>
      </c>
      <c r="Q987" t="str">
        <f>A987&amp;"-"&amp;B987&amp;"-"&amp;D987</f>
        <v>MARET-MJ1-L1</v>
      </c>
    </row>
    <row r="988" spans="1:17" x14ac:dyDescent="0.25">
      <c r="A988" t="s">
        <v>393</v>
      </c>
      <c r="B988" s="13" t="s">
        <v>25</v>
      </c>
      <c r="C988" s="13" t="s">
        <v>154</v>
      </c>
      <c r="D988" s="14" t="s">
        <v>44</v>
      </c>
      <c r="E988" s="13" t="s">
        <v>249</v>
      </c>
      <c r="F988" s="13" t="s">
        <v>597</v>
      </c>
      <c r="G988" s="13">
        <v>1.19</v>
      </c>
      <c r="H988" s="15">
        <v>10</v>
      </c>
      <c r="I988" s="16">
        <v>11.899999999999999</v>
      </c>
      <c r="J988" s="16">
        <v>157.30434782608697</v>
      </c>
      <c r="K988" s="16">
        <v>-145.40434782608696</v>
      </c>
      <c r="L988" s="13">
        <v>2.9</v>
      </c>
      <c r="M988" s="13"/>
      <c r="N988" s="17">
        <f t="shared" si="32"/>
        <v>29</v>
      </c>
      <c r="O988" s="17">
        <f t="shared" si="32"/>
        <v>0</v>
      </c>
      <c r="P988" s="17">
        <f t="shared" si="33"/>
        <v>29</v>
      </c>
      <c r="Q988" t="str">
        <f>A988&amp;"-"&amp;B988&amp;"-"&amp;D988</f>
        <v>MARET-MJ1-L1</v>
      </c>
    </row>
    <row r="989" spans="1:17" x14ac:dyDescent="0.25">
      <c r="A989" t="s">
        <v>393</v>
      </c>
      <c r="B989" s="13" t="s">
        <v>25</v>
      </c>
      <c r="C989" s="13" t="s">
        <v>154</v>
      </c>
      <c r="D989" s="14" t="s">
        <v>44</v>
      </c>
      <c r="E989" s="13" t="s">
        <v>249</v>
      </c>
      <c r="F989" s="13" t="s">
        <v>472</v>
      </c>
      <c r="G989" s="13">
        <v>1.19</v>
      </c>
      <c r="H989" s="15">
        <v>5</v>
      </c>
      <c r="I989" s="16">
        <v>5.95</v>
      </c>
      <c r="J989" s="16">
        <v>43.695652173913047</v>
      </c>
      <c r="K989" s="16">
        <v>-37.745652173913044</v>
      </c>
      <c r="L989" s="13">
        <v>2.9</v>
      </c>
      <c r="M989" s="13"/>
      <c r="N989" s="17">
        <f t="shared" si="32"/>
        <v>14.5</v>
      </c>
      <c r="O989" s="17">
        <f t="shared" si="32"/>
        <v>0</v>
      </c>
      <c r="P989" s="17">
        <f t="shared" si="33"/>
        <v>14.5</v>
      </c>
      <c r="Q989" t="str">
        <f>A989&amp;"-"&amp;B989&amp;"-"&amp;D989</f>
        <v>MARET-MJ1-L1</v>
      </c>
    </row>
    <row r="990" spans="1:17" x14ac:dyDescent="0.25">
      <c r="A990" t="s">
        <v>393</v>
      </c>
      <c r="B990" s="13" t="s">
        <v>25</v>
      </c>
      <c r="C990" s="13" t="s">
        <v>154</v>
      </c>
      <c r="D990" s="14" t="s">
        <v>44</v>
      </c>
      <c r="E990" s="13" t="s">
        <v>249</v>
      </c>
      <c r="F990" s="13" t="s">
        <v>598</v>
      </c>
      <c r="G990" s="13">
        <v>1.19</v>
      </c>
      <c r="H990" s="15">
        <v>5</v>
      </c>
      <c r="I990" s="16">
        <v>5.95</v>
      </c>
      <c r="J990" s="16">
        <v>43.695652173913047</v>
      </c>
      <c r="K990" s="16">
        <v>-37.745652173913044</v>
      </c>
      <c r="L990" s="13">
        <v>2.9</v>
      </c>
      <c r="M990" s="13"/>
      <c r="N990" s="17">
        <f t="shared" si="32"/>
        <v>14.5</v>
      </c>
      <c r="O990" s="17">
        <f t="shared" si="32"/>
        <v>0</v>
      </c>
      <c r="P990" s="17">
        <f t="shared" si="33"/>
        <v>14.5</v>
      </c>
      <c r="Q990" t="str">
        <f>A990&amp;"-"&amp;B990&amp;"-"&amp;D990</f>
        <v>MARET-MJ1-L1</v>
      </c>
    </row>
    <row r="991" spans="1:17" x14ac:dyDescent="0.25">
      <c r="A991" t="s">
        <v>393</v>
      </c>
      <c r="B991" s="13" t="s">
        <v>25</v>
      </c>
      <c r="C991" s="13" t="s">
        <v>154</v>
      </c>
      <c r="D991" s="14" t="s">
        <v>44</v>
      </c>
      <c r="E991" s="13" t="s">
        <v>249</v>
      </c>
      <c r="F991" s="13" t="s">
        <v>599</v>
      </c>
      <c r="G991" s="13">
        <v>1.19</v>
      </c>
      <c r="H991" s="15">
        <v>7</v>
      </c>
      <c r="I991" s="16">
        <v>8.33</v>
      </c>
      <c r="J991" s="16">
        <v>44.431578947368415</v>
      </c>
      <c r="K991" s="16">
        <v>-36.101578947368417</v>
      </c>
      <c r="L991" s="13">
        <v>2.9</v>
      </c>
      <c r="M991" s="13"/>
      <c r="N991" s="17">
        <f t="shared" ref="N991:O1050" si="34">$H991*L991</f>
        <v>20.3</v>
      </c>
      <c r="O991" s="17">
        <f t="shared" si="34"/>
        <v>0</v>
      </c>
      <c r="P991" s="17">
        <f t="shared" si="33"/>
        <v>20.3</v>
      </c>
      <c r="Q991" t="str">
        <f>A991&amp;"-"&amp;B991&amp;"-"&amp;D991</f>
        <v>MARET-MJ1-L1</v>
      </c>
    </row>
    <row r="992" spans="1:17" x14ac:dyDescent="0.25">
      <c r="A992" t="s">
        <v>393</v>
      </c>
      <c r="B992" s="13" t="s">
        <v>25</v>
      </c>
      <c r="C992" s="13" t="s">
        <v>154</v>
      </c>
      <c r="D992" s="14" t="s">
        <v>44</v>
      </c>
      <c r="E992" s="13" t="s">
        <v>249</v>
      </c>
      <c r="F992" s="13" t="s">
        <v>475</v>
      </c>
      <c r="G992" s="13">
        <v>1.19</v>
      </c>
      <c r="H992" s="15">
        <v>9</v>
      </c>
      <c r="I992" s="16">
        <v>10.71</v>
      </c>
      <c r="J992" s="16">
        <v>157.30434782608694</v>
      </c>
      <c r="K992" s="16">
        <v>-146.59434782608693</v>
      </c>
      <c r="L992" s="13">
        <v>2.9</v>
      </c>
      <c r="M992" s="13"/>
      <c r="N992" s="17">
        <f t="shared" si="34"/>
        <v>26.099999999999998</v>
      </c>
      <c r="O992" s="17">
        <f t="shared" si="34"/>
        <v>0</v>
      </c>
      <c r="P992" s="17">
        <f t="shared" si="33"/>
        <v>26.099999999999998</v>
      </c>
      <c r="Q992" t="str">
        <f>A992&amp;"-"&amp;B992&amp;"-"&amp;D992</f>
        <v>MARET-MJ1-L1</v>
      </c>
    </row>
    <row r="993" spans="1:17" x14ac:dyDescent="0.25">
      <c r="A993" t="s">
        <v>393</v>
      </c>
      <c r="B993" s="13" t="s">
        <v>25</v>
      </c>
      <c r="C993" s="13" t="s">
        <v>154</v>
      </c>
      <c r="D993" s="14" t="s">
        <v>44</v>
      </c>
      <c r="E993" s="13" t="s">
        <v>249</v>
      </c>
      <c r="F993" s="13" t="s">
        <v>476</v>
      </c>
      <c r="G993" s="13">
        <v>1.19</v>
      </c>
      <c r="H993" s="15">
        <v>8</v>
      </c>
      <c r="I993" s="16">
        <v>9.52</v>
      </c>
      <c r="J993" s="16">
        <v>69.913043478260875</v>
      </c>
      <c r="K993" s="16">
        <v>-60.393043478260878</v>
      </c>
      <c r="L993" s="13">
        <v>2.9</v>
      </c>
      <c r="M993" s="13"/>
      <c r="N993" s="17">
        <f t="shared" si="34"/>
        <v>23.2</v>
      </c>
      <c r="O993" s="17">
        <f t="shared" si="34"/>
        <v>0</v>
      </c>
      <c r="P993" s="17">
        <f t="shared" si="33"/>
        <v>23.2</v>
      </c>
      <c r="Q993" t="str">
        <f>A993&amp;"-"&amp;B993&amp;"-"&amp;D993</f>
        <v>MARET-MJ1-L1</v>
      </c>
    </row>
    <row r="994" spans="1:17" x14ac:dyDescent="0.25">
      <c r="A994" t="s">
        <v>393</v>
      </c>
      <c r="B994" s="13" t="s">
        <v>25</v>
      </c>
      <c r="C994" s="13" t="s">
        <v>154</v>
      </c>
      <c r="D994" s="14" t="s">
        <v>44</v>
      </c>
      <c r="E994" s="13" t="s">
        <v>249</v>
      </c>
      <c r="F994" s="13" t="s">
        <v>600</v>
      </c>
      <c r="G994" s="13">
        <v>1.19</v>
      </c>
      <c r="H994" s="15">
        <v>10</v>
      </c>
      <c r="I994" s="16">
        <v>11.9</v>
      </c>
      <c r="J994" s="16">
        <v>166.04347826086956</v>
      </c>
      <c r="K994" s="16">
        <v>-154.14347826086953</v>
      </c>
      <c r="L994" s="13">
        <v>2.9</v>
      </c>
      <c r="M994" s="13"/>
      <c r="N994" s="17">
        <f t="shared" si="34"/>
        <v>29</v>
      </c>
      <c r="O994" s="17">
        <f t="shared" si="34"/>
        <v>0</v>
      </c>
      <c r="P994" s="17">
        <f t="shared" si="33"/>
        <v>29</v>
      </c>
      <c r="Q994" t="str">
        <f>A994&amp;"-"&amp;B994&amp;"-"&amp;D994</f>
        <v>MARET-MJ1-L1</v>
      </c>
    </row>
    <row r="995" spans="1:17" x14ac:dyDescent="0.25">
      <c r="A995" t="s">
        <v>393</v>
      </c>
      <c r="B995" s="13" t="s">
        <v>25</v>
      </c>
      <c r="C995" s="13" t="s">
        <v>154</v>
      </c>
      <c r="D995" s="14" t="s">
        <v>44</v>
      </c>
      <c r="E995" s="13" t="s">
        <v>249</v>
      </c>
      <c r="F995" s="13" t="s">
        <v>477</v>
      </c>
      <c r="G995" s="13">
        <v>1.19</v>
      </c>
      <c r="H995" s="15">
        <v>3</v>
      </c>
      <c r="I995" s="16">
        <v>3.57</v>
      </c>
      <c r="J995" s="16">
        <v>26.217391304347824</v>
      </c>
      <c r="K995" s="16">
        <v>-22.647391304347824</v>
      </c>
      <c r="L995" s="13">
        <v>2.9</v>
      </c>
      <c r="M995" s="13"/>
      <c r="N995" s="17">
        <f t="shared" si="34"/>
        <v>8.6999999999999993</v>
      </c>
      <c r="O995" s="17">
        <f t="shared" si="34"/>
        <v>0</v>
      </c>
      <c r="P995" s="17">
        <f t="shared" si="33"/>
        <v>8.6999999999999993</v>
      </c>
      <c r="Q995" t="str">
        <f>A995&amp;"-"&amp;B995&amp;"-"&amp;D995</f>
        <v>MARET-MJ1-L1</v>
      </c>
    </row>
    <row r="996" spans="1:17" x14ac:dyDescent="0.25">
      <c r="A996" t="s">
        <v>393</v>
      </c>
      <c r="B996" s="13" t="s">
        <v>25</v>
      </c>
      <c r="C996" s="13" t="s">
        <v>154</v>
      </c>
      <c r="D996" s="14" t="s">
        <v>44</v>
      </c>
      <c r="E996" s="13" t="s">
        <v>249</v>
      </c>
      <c r="F996" s="13" t="s">
        <v>478</v>
      </c>
      <c r="G996" s="13">
        <v>1.19</v>
      </c>
      <c r="H996" s="15">
        <v>7</v>
      </c>
      <c r="I996" s="16">
        <v>8.33</v>
      </c>
      <c r="J996" s="16">
        <v>96.130434782608702</v>
      </c>
      <c r="K996" s="16">
        <v>-87.80043478260869</v>
      </c>
      <c r="L996" s="13">
        <v>2.86</v>
      </c>
      <c r="M996" s="13"/>
      <c r="N996" s="17">
        <f t="shared" si="34"/>
        <v>20.02</v>
      </c>
      <c r="O996" s="17">
        <f t="shared" si="34"/>
        <v>0</v>
      </c>
      <c r="P996" s="17">
        <f t="shared" si="33"/>
        <v>20.02</v>
      </c>
      <c r="Q996" t="str">
        <f>A996&amp;"-"&amp;B996&amp;"-"&amp;D996</f>
        <v>MARET-MJ1-L1</v>
      </c>
    </row>
    <row r="997" spans="1:17" x14ac:dyDescent="0.25">
      <c r="A997" t="s">
        <v>393</v>
      </c>
      <c r="B997" s="13" t="s">
        <v>25</v>
      </c>
      <c r="C997" s="13" t="s">
        <v>154</v>
      </c>
      <c r="D997" s="14" t="s">
        <v>44</v>
      </c>
      <c r="E997" s="13" t="s">
        <v>249</v>
      </c>
      <c r="F997" s="13" t="s">
        <v>481</v>
      </c>
      <c r="G997" s="13">
        <v>1.19</v>
      </c>
      <c r="H997" s="15">
        <v>8</v>
      </c>
      <c r="I997" s="16">
        <v>9.52</v>
      </c>
      <c r="J997" s="16">
        <v>139.82608695652175</v>
      </c>
      <c r="K997" s="16">
        <v>-130.30608695652174</v>
      </c>
      <c r="L997" s="13">
        <v>2.86</v>
      </c>
      <c r="M997" s="13"/>
      <c r="N997" s="17">
        <f t="shared" si="34"/>
        <v>22.88</v>
      </c>
      <c r="O997" s="17">
        <f t="shared" si="34"/>
        <v>0</v>
      </c>
      <c r="P997" s="17">
        <f t="shared" si="33"/>
        <v>22.88</v>
      </c>
      <c r="Q997" t="str">
        <f>A997&amp;"-"&amp;B997&amp;"-"&amp;D997</f>
        <v>MARET-MJ1-L1</v>
      </c>
    </row>
    <row r="998" spans="1:17" x14ac:dyDescent="0.25">
      <c r="A998" t="s">
        <v>393</v>
      </c>
      <c r="B998" s="13" t="s">
        <v>25</v>
      </c>
      <c r="C998" s="13" t="s">
        <v>154</v>
      </c>
      <c r="D998" s="14" t="s">
        <v>44</v>
      </c>
      <c r="E998" s="13" t="s">
        <v>249</v>
      </c>
      <c r="F998" s="13" t="s">
        <v>482</v>
      </c>
      <c r="G998" s="13">
        <v>1.19</v>
      </c>
      <c r="H998" s="15">
        <v>4</v>
      </c>
      <c r="I998" s="16">
        <v>4.76</v>
      </c>
      <c r="J998" s="16">
        <v>69.913043478260875</v>
      </c>
      <c r="K998" s="16">
        <v>-65.153043478260869</v>
      </c>
      <c r="L998" s="13">
        <v>2.86</v>
      </c>
      <c r="M998" s="13"/>
      <c r="N998" s="17">
        <f t="shared" si="34"/>
        <v>11.44</v>
      </c>
      <c r="O998" s="17">
        <f t="shared" si="34"/>
        <v>0</v>
      </c>
      <c r="P998" s="17">
        <f t="shared" si="33"/>
        <v>11.44</v>
      </c>
      <c r="Q998" t="str">
        <f>A998&amp;"-"&amp;B998&amp;"-"&amp;D998</f>
        <v>MARET-MJ1-L1</v>
      </c>
    </row>
    <row r="999" spans="1:17" x14ac:dyDescent="0.25">
      <c r="A999" t="s">
        <v>393</v>
      </c>
      <c r="B999" s="13" t="s">
        <v>25</v>
      </c>
      <c r="C999" s="13" t="s">
        <v>154</v>
      </c>
      <c r="D999" s="14" t="s">
        <v>44</v>
      </c>
      <c r="E999" s="13" t="s">
        <v>249</v>
      </c>
      <c r="F999" s="13" t="s">
        <v>483</v>
      </c>
      <c r="G999" s="13">
        <v>1.19</v>
      </c>
      <c r="H999" s="15">
        <v>19</v>
      </c>
      <c r="I999" s="16">
        <v>22.61</v>
      </c>
      <c r="J999" s="16">
        <v>153.99267734553774</v>
      </c>
      <c r="K999" s="16">
        <v>-131.38267734553773</v>
      </c>
      <c r="L999" s="13">
        <v>2.86</v>
      </c>
      <c r="M999" s="13"/>
      <c r="N999" s="17">
        <f t="shared" si="34"/>
        <v>54.339999999999996</v>
      </c>
      <c r="O999" s="17">
        <f t="shared" si="34"/>
        <v>0</v>
      </c>
      <c r="P999" s="17">
        <f t="shared" si="33"/>
        <v>54.339999999999996</v>
      </c>
      <c r="Q999" t="str">
        <f>A999&amp;"-"&amp;B999&amp;"-"&amp;D999</f>
        <v>MARET-MJ1-L1</v>
      </c>
    </row>
    <row r="1000" spans="1:17" x14ac:dyDescent="0.25">
      <c r="A1000" t="s">
        <v>393</v>
      </c>
      <c r="B1000" s="13" t="s">
        <v>25</v>
      </c>
      <c r="C1000" s="13" t="s">
        <v>154</v>
      </c>
      <c r="D1000" s="14" t="s">
        <v>44</v>
      </c>
      <c r="E1000" s="13" t="s">
        <v>249</v>
      </c>
      <c r="F1000" s="13" t="s">
        <v>283</v>
      </c>
      <c r="G1000" s="13">
        <v>1.19</v>
      </c>
      <c r="H1000" s="15">
        <v>14</v>
      </c>
      <c r="I1000" s="16">
        <v>16.66</v>
      </c>
      <c r="J1000" s="16">
        <v>88.86315789473683</v>
      </c>
      <c r="K1000" s="16">
        <v>-72.203157894736833</v>
      </c>
      <c r="L1000" s="13">
        <v>2.86</v>
      </c>
      <c r="M1000" s="13"/>
      <c r="N1000" s="17">
        <f t="shared" si="34"/>
        <v>40.04</v>
      </c>
      <c r="O1000" s="17">
        <f t="shared" si="34"/>
        <v>0</v>
      </c>
      <c r="P1000" s="17">
        <f t="shared" si="33"/>
        <v>40.04</v>
      </c>
      <c r="Q1000" t="str">
        <f>A1000&amp;"-"&amp;B1000&amp;"-"&amp;D1000</f>
        <v>MARET-MJ1-L1</v>
      </c>
    </row>
    <row r="1001" spans="1:17" x14ac:dyDescent="0.25">
      <c r="A1001" t="s">
        <v>393</v>
      </c>
      <c r="B1001" s="13" t="s">
        <v>25</v>
      </c>
      <c r="C1001" s="13" t="s">
        <v>154</v>
      </c>
      <c r="D1001" s="14" t="s">
        <v>301</v>
      </c>
      <c r="E1001" s="13" t="s">
        <v>155</v>
      </c>
      <c r="F1001" s="13" t="s">
        <v>601</v>
      </c>
      <c r="G1001" s="13">
        <v>0.51</v>
      </c>
      <c r="H1001" s="15">
        <v>872</v>
      </c>
      <c r="I1001" s="16">
        <v>444.72</v>
      </c>
      <c r="J1001" s="16">
        <v>2341.4048780487801</v>
      </c>
      <c r="K1001" s="16">
        <v>-1896.6848780487803</v>
      </c>
      <c r="L1001" s="13">
        <v>7.36</v>
      </c>
      <c r="M1001" s="13"/>
      <c r="N1001" s="17">
        <f t="shared" si="34"/>
        <v>6417.92</v>
      </c>
      <c r="O1001" s="17">
        <f t="shared" si="34"/>
        <v>0</v>
      </c>
      <c r="P1001" s="17">
        <f t="shared" si="33"/>
        <v>6417.92</v>
      </c>
      <c r="Q1001" t="str">
        <f>A1001&amp;"-"&amp;B1001&amp;"-"&amp;D1001</f>
        <v>MARET-MJ1-L10</v>
      </c>
    </row>
    <row r="1002" spans="1:17" x14ac:dyDescent="0.25">
      <c r="A1002" t="s">
        <v>393</v>
      </c>
      <c r="B1002" s="13" t="s">
        <v>25</v>
      </c>
      <c r="C1002" s="13" t="s">
        <v>154</v>
      </c>
      <c r="D1002" s="14" t="s">
        <v>301</v>
      </c>
      <c r="E1002" s="13" t="s">
        <v>155</v>
      </c>
      <c r="F1002" s="13" t="s">
        <v>602</v>
      </c>
      <c r="G1002" s="13">
        <v>0.51</v>
      </c>
      <c r="H1002" s="15">
        <v>48</v>
      </c>
      <c r="I1002" s="16">
        <v>24.48</v>
      </c>
      <c r="J1002" s="16">
        <v>70.595121951219511</v>
      </c>
      <c r="K1002" s="16">
        <v>-46.115121951219507</v>
      </c>
      <c r="L1002" s="13">
        <v>7.36</v>
      </c>
      <c r="M1002" s="13"/>
      <c r="N1002" s="17">
        <f t="shared" si="34"/>
        <v>353.28000000000003</v>
      </c>
      <c r="O1002" s="17">
        <f t="shared" si="34"/>
        <v>0</v>
      </c>
      <c r="P1002" s="17">
        <f t="shared" si="33"/>
        <v>353.28000000000003</v>
      </c>
      <c r="Q1002" t="str">
        <f>A1002&amp;"-"&amp;B1002&amp;"-"&amp;D1002</f>
        <v>MARET-MJ1-L10</v>
      </c>
    </row>
    <row r="1003" spans="1:17" x14ac:dyDescent="0.25">
      <c r="A1003" t="s">
        <v>393</v>
      </c>
      <c r="B1003" s="13" t="s">
        <v>25</v>
      </c>
      <c r="C1003" s="13" t="s">
        <v>154</v>
      </c>
      <c r="D1003" s="14" t="s">
        <v>50</v>
      </c>
      <c r="E1003" s="13" t="s">
        <v>155</v>
      </c>
      <c r="F1003" s="13" t="s">
        <v>603</v>
      </c>
      <c r="G1003" s="13">
        <v>0.51</v>
      </c>
      <c r="H1003" s="15">
        <v>9</v>
      </c>
      <c r="I1003" s="16">
        <v>4.59</v>
      </c>
      <c r="J1003" s="16">
        <v>5.413466334164589</v>
      </c>
      <c r="K1003" s="16">
        <v>-0.82346633416458914</v>
      </c>
      <c r="L1003" s="13">
        <v>7.36</v>
      </c>
      <c r="M1003" s="13"/>
      <c r="N1003" s="17">
        <f t="shared" si="34"/>
        <v>66.240000000000009</v>
      </c>
      <c r="O1003" s="17">
        <f t="shared" si="34"/>
        <v>0</v>
      </c>
      <c r="P1003" s="17">
        <f t="shared" si="33"/>
        <v>66.240000000000009</v>
      </c>
      <c r="Q1003" t="str">
        <f>A1003&amp;"-"&amp;B1003&amp;"-"&amp;D1003</f>
        <v>MARET-MJ1-L2</v>
      </c>
    </row>
    <row r="1004" spans="1:17" x14ac:dyDescent="0.25">
      <c r="A1004" t="s">
        <v>393</v>
      </c>
      <c r="B1004" s="13" t="s">
        <v>25</v>
      </c>
      <c r="C1004" s="13" t="s">
        <v>154</v>
      </c>
      <c r="D1004" s="14" t="s">
        <v>50</v>
      </c>
      <c r="E1004" s="13" t="s">
        <v>155</v>
      </c>
      <c r="F1004" s="13" t="s">
        <v>604</v>
      </c>
      <c r="G1004" s="13">
        <v>0.51</v>
      </c>
      <c r="H1004" s="15">
        <v>404</v>
      </c>
      <c r="I1004" s="16">
        <v>206.04</v>
      </c>
      <c r="J1004" s="16">
        <v>243.00448877805485</v>
      </c>
      <c r="K1004" s="16">
        <v>-36.964488778054857</v>
      </c>
      <c r="L1004" s="13">
        <v>7.36</v>
      </c>
      <c r="M1004" s="13"/>
      <c r="N1004" s="17">
        <f t="shared" si="34"/>
        <v>2973.44</v>
      </c>
      <c r="O1004" s="17">
        <f t="shared" si="34"/>
        <v>0</v>
      </c>
      <c r="P1004" s="17">
        <f t="shared" si="33"/>
        <v>2973.44</v>
      </c>
      <c r="Q1004" t="str">
        <f>A1004&amp;"-"&amp;B1004&amp;"-"&amp;D1004</f>
        <v>MARET-MJ1-L2</v>
      </c>
    </row>
    <row r="1005" spans="1:17" x14ac:dyDescent="0.25">
      <c r="A1005" t="s">
        <v>393</v>
      </c>
      <c r="B1005" s="13" t="s">
        <v>25</v>
      </c>
      <c r="C1005" s="13" t="s">
        <v>154</v>
      </c>
      <c r="D1005" s="14" t="s">
        <v>50</v>
      </c>
      <c r="E1005" s="13" t="s">
        <v>155</v>
      </c>
      <c r="F1005" s="13" t="s">
        <v>601</v>
      </c>
      <c r="G1005" s="13">
        <v>0.51</v>
      </c>
      <c r="H1005" s="15">
        <v>2399</v>
      </c>
      <c r="I1005" s="16">
        <v>1223.49</v>
      </c>
      <c r="J1005" s="16">
        <v>1657.1221945137158</v>
      </c>
      <c r="K1005" s="16">
        <v>-433.63219451371572</v>
      </c>
      <c r="L1005" s="13">
        <v>7.36</v>
      </c>
      <c r="M1005" s="13"/>
      <c r="N1005" s="17">
        <f t="shared" si="34"/>
        <v>17656.64</v>
      </c>
      <c r="O1005" s="17">
        <f t="shared" si="34"/>
        <v>0</v>
      </c>
      <c r="P1005" s="17">
        <f t="shared" si="33"/>
        <v>17656.64</v>
      </c>
      <c r="Q1005" t="str">
        <f>A1005&amp;"-"&amp;B1005&amp;"-"&amp;D1005</f>
        <v>MARET-MJ1-L2</v>
      </c>
    </row>
    <row r="1006" spans="1:17" x14ac:dyDescent="0.25">
      <c r="A1006" t="s">
        <v>393</v>
      </c>
      <c r="B1006" s="13" t="s">
        <v>25</v>
      </c>
      <c r="C1006" s="13" t="s">
        <v>154</v>
      </c>
      <c r="D1006" s="14" t="s">
        <v>50</v>
      </c>
      <c r="E1006" s="13" t="s">
        <v>155</v>
      </c>
      <c r="F1006" s="13" t="s">
        <v>602</v>
      </c>
      <c r="G1006" s="13">
        <v>0.51</v>
      </c>
      <c r="H1006" s="15">
        <v>842</v>
      </c>
      <c r="I1006" s="16">
        <v>429.42</v>
      </c>
      <c r="J1006" s="16">
        <v>506.45985037406484</v>
      </c>
      <c r="K1006" s="16">
        <v>-77.039850374064827</v>
      </c>
      <c r="L1006" s="13">
        <v>7.36</v>
      </c>
      <c r="M1006" s="13"/>
      <c r="N1006" s="17">
        <f t="shared" si="34"/>
        <v>6197.12</v>
      </c>
      <c r="O1006" s="17">
        <f t="shared" si="34"/>
        <v>0</v>
      </c>
      <c r="P1006" s="17">
        <f t="shared" si="33"/>
        <v>6197.12</v>
      </c>
      <c r="Q1006" t="str">
        <f>A1006&amp;"-"&amp;B1006&amp;"-"&amp;D1006</f>
        <v>MARET-MJ1-L2</v>
      </c>
    </row>
    <row r="1007" spans="1:17" x14ac:dyDescent="0.25">
      <c r="A1007" t="s">
        <v>393</v>
      </c>
      <c r="B1007" s="13" t="s">
        <v>25</v>
      </c>
      <c r="C1007" s="13" t="s">
        <v>154</v>
      </c>
      <c r="D1007" s="14" t="s">
        <v>198</v>
      </c>
      <c r="E1007" s="13" t="s">
        <v>65</v>
      </c>
      <c r="F1007" s="13" t="s">
        <v>605</v>
      </c>
      <c r="G1007" s="13">
        <v>1.03</v>
      </c>
      <c r="H1007" s="15">
        <v>1100</v>
      </c>
      <c r="I1007" s="16">
        <v>1133</v>
      </c>
      <c r="J1007" s="16">
        <v>2283.4818659280049</v>
      </c>
      <c r="K1007" s="16">
        <v>-1150.4818659280054</v>
      </c>
      <c r="L1007" s="13">
        <v>3.78</v>
      </c>
      <c r="M1007" s="13"/>
      <c r="N1007" s="17">
        <f t="shared" si="34"/>
        <v>4158</v>
      </c>
      <c r="O1007" s="17">
        <f t="shared" si="34"/>
        <v>0</v>
      </c>
      <c r="P1007" s="17">
        <f t="shared" si="33"/>
        <v>4158</v>
      </c>
      <c r="Q1007" t="str">
        <f>A1007&amp;"-"&amp;B1007&amp;"-"&amp;D1007</f>
        <v>MARET-MJ1-L8</v>
      </c>
    </row>
    <row r="1008" spans="1:17" x14ac:dyDescent="0.25">
      <c r="A1008" t="s">
        <v>393</v>
      </c>
      <c r="B1008" s="13" t="s">
        <v>25</v>
      </c>
      <c r="C1008" s="13" t="s">
        <v>154</v>
      </c>
      <c r="D1008" s="14" t="s">
        <v>198</v>
      </c>
      <c r="E1008" s="13" t="s">
        <v>65</v>
      </c>
      <c r="F1008" s="13" t="s">
        <v>606</v>
      </c>
      <c r="G1008" s="13">
        <v>1.03</v>
      </c>
      <c r="H1008" s="15">
        <v>700</v>
      </c>
      <c r="I1008" s="16">
        <v>721</v>
      </c>
      <c r="J1008" s="16">
        <v>1568.6756129561704</v>
      </c>
      <c r="K1008" s="16">
        <v>-847.67561295617065</v>
      </c>
      <c r="L1008" s="13">
        <v>0.95</v>
      </c>
      <c r="M1008" s="13"/>
      <c r="N1008" s="17">
        <f t="shared" si="34"/>
        <v>665</v>
      </c>
      <c r="O1008" s="17">
        <f t="shared" si="34"/>
        <v>0</v>
      </c>
      <c r="P1008" s="17">
        <f t="shared" si="33"/>
        <v>665</v>
      </c>
      <c r="Q1008" t="str">
        <f>A1008&amp;"-"&amp;B1008&amp;"-"&amp;D1008</f>
        <v>MARET-MJ1-L8</v>
      </c>
    </row>
    <row r="1009" spans="1:17" x14ac:dyDescent="0.25">
      <c r="A1009" t="s">
        <v>393</v>
      </c>
      <c r="B1009" s="13" t="s">
        <v>25</v>
      </c>
      <c r="C1009" s="13" t="s">
        <v>154</v>
      </c>
      <c r="D1009" s="14" t="s">
        <v>198</v>
      </c>
      <c r="E1009" s="13" t="s">
        <v>65</v>
      </c>
      <c r="F1009" s="13" t="s">
        <v>607</v>
      </c>
      <c r="G1009" s="13">
        <v>1.03</v>
      </c>
      <c r="H1009" s="15">
        <v>130</v>
      </c>
      <c r="I1009" s="16">
        <v>133.9</v>
      </c>
      <c r="J1009" s="16">
        <v>230.22026431718064</v>
      </c>
      <c r="K1009" s="16">
        <v>-96.32026431718063</v>
      </c>
      <c r="L1009" s="13">
        <v>0.95</v>
      </c>
      <c r="M1009" s="13"/>
      <c r="N1009" s="17">
        <f t="shared" si="34"/>
        <v>123.5</v>
      </c>
      <c r="O1009" s="17">
        <f t="shared" si="34"/>
        <v>0</v>
      </c>
      <c r="P1009" s="17">
        <f t="shared" si="33"/>
        <v>123.5</v>
      </c>
      <c r="Q1009" t="str">
        <f>A1009&amp;"-"&amp;B1009&amp;"-"&amp;D1009</f>
        <v>MARET-MJ1-L8</v>
      </c>
    </row>
    <row r="1010" spans="1:17" x14ac:dyDescent="0.25">
      <c r="A1010" t="s">
        <v>393</v>
      </c>
      <c r="B1010" s="13" t="s">
        <v>25</v>
      </c>
      <c r="C1010" s="13" t="s">
        <v>154</v>
      </c>
      <c r="D1010" s="14" t="s">
        <v>198</v>
      </c>
      <c r="E1010" s="13" t="s">
        <v>65</v>
      </c>
      <c r="F1010" s="13" t="s">
        <v>608</v>
      </c>
      <c r="G1010" s="13">
        <v>1.03</v>
      </c>
      <c r="H1010" s="15">
        <v>330</v>
      </c>
      <c r="I1010" s="16">
        <v>339.9</v>
      </c>
      <c r="J1010" s="16">
        <v>783.66109023040235</v>
      </c>
      <c r="K1010" s="16">
        <v>-443.76109023040226</v>
      </c>
      <c r="L1010" s="13">
        <v>3.78</v>
      </c>
      <c r="M1010" s="13"/>
      <c r="N1010" s="17">
        <f t="shared" si="34"/>
        <v>1247.3999999999999</v>
      </c>
      <c r="O1010" s="17">
        <f t="shared" si="34"/>
        <v>0</v>
      </c>
      <c r="P1010" s="17">
        <f t="shared" si="33"/>
        <v>1247.3999999999999</v>
      </c>
      <c r="Q1010" t="str">
        <f>A1010&amp;"-"&amp;B1010&amp;"-"&amp;D1010</f>
        <v>MARET-MJ1-L8</v>
      </c>
    </row>
    <row r="1011" spans="1:17" x14ac:dyDescent="0.25">
      <c r="A1011" t="s">
        <v>393</v>
      </c>
      <c r="B1011" s="13" t="s">
        <v>25</v>
      </c>
      <c r="C1011" s="13" t="s">
        <v>154</v>
      </c>
      <c r="D1011" s="14" t="s">
        <v>198</v>
      </c>
      <c r="E1011" s="13" t="s">
        <v>65</v>
      </c>
      <c r="F1011" s="13" t="s">
        <v>609</v>
      </c>
      <c r="G1011" s="13">
        <v>1.07</v>
      </c>
      <c r="H1011" s="15">
        <v>11</v>
      </c>
      <c r="I1011" s="16">
        <v>11.770000000000001</v>
      </c>
      <c r="J1011" s="16">
        <v>25.61624930611238</v>
      </c>
      <c r="K1011" s="16">
        <v>-13.846249306112378</v>
      </c>
      <c r="L1011" s="13">
        <v>3.78</v>
      </c>
      <c r="M1011" s="13"/>
      <c r="N1011" s="17">
        <f t="shared" si="34"/>
        <v>41.58</v>
      </c>
      <c r="O1011" s="17">
        <f t="shared" si="34"/>
        <v>0</v>
      </c>
      <c r="P1011" s="17">
        <f t="shared" si="33"/>
        <v>41.58</v>
      </c>
      <c r="Q1011" t="str">
        <f>A1011&amp;"-"&amp;B1011&amp;"-"&amp;D1011</f>
        <v>MARET-MJ1-L8</v>
      </c>
    </row>
    <row r="1012" spans="1:17" x14ac:dyDescent="0.25">
      <c r="A1012" t="s">
        <v>393</v>
      </c>
      <c r="B1012" s="13" t="s">
        <v>25</v>
      </c>
      <c r="C1012" s="13" t="s">
        <v>154</v>
      </c>
      <c r="D1012" s="14" t="s">
        <v>198</v>
      </c>
      <c r="E1012" s="13" t="s">
        <v>65</v>
      </c>
      <c r="F1012" s="13" t="s">
        <v>610</v>
      </c>
      <c r="G1012" s="13">
        <v>1.07</v>
      </c>
      <c r="H1012" s="15">
        <v>486</v>
      </c>
      <c r="I1012" s="16">
        <v>520.02</v>
      </c>
      <c r="J1012" s="16">
        <v>1420.3396148232973</v>
      </c>
      <c r="K1012" s="16">
        <v>-900.31961482329734</v>
      </c>
      <c r="L1012" s="13">
        <v>3.78</v>
      </c>
      <c r="M1012" s="13"/>
      <c r="N1012" s="17">
        <f t="shared" si="34"/>
        <v>1837.08</v>
      </c>
      <c r="O1012" s="17">
        <f t="shared" si="34"/>
        <v>0</v>
      </c>
      <c r="P1012" s="17">
        <f t="shared" si="33"/>
        <v>1837.08</v>
      </c>
      <c r="Q1012" t="str">
        <f>A1012&amp;"-"&amp;B1012&amp;"-"&amp;D1012</f>
        <v>MARET-MJ1-L8</v>
      </c>
    </row>
    <row r="1013" spans="1:17" x14ac:dyDescent="0.25">
      <c r="A1013" t="s">
        <v>393</v>
      </c>
      <c r="B1013" s="13" t="s">
        <v>25</v>
      </c>
      <c r="C1013" s="13" t="s">
        <v>154</v>
      </c>
      <c r="D1013" s="14" t="s">
        <v>198</v>
      </c>
      <c r="E1013" s="13" t="s">
        <v>65</v>
      </c>
      <c r="F1013" s="13" t="s">
        <v>611</v>
      </c>
      <c r="G1013" s="13">
        <v>1.07</v>
      </c>
      <c r="H1013" s="15">
        <v>538</v>
      </c>
      <c r="I1013" s="16">
        <v>575.66</v>
      </c>
      <c r="J1013" s="16">
        <v>1320.9552334867381</v>
      </c>
      <c r="K1013" s="16">
        <v>-745.2952334867382</v>
      </c>
      <c r="L1013" s="13">
        <v>3.78</v>
      </c>
      <c r="M1013" s="13"/>
      <c r="N1013" s="17">
        <f t="shared" si="34"/>
        <v>2033.6399999999999</v>
      </c>
      <c r="O1013" s="17">
        <f t="shared" si="34"/>
        <v>0</v>
      </c>
      <c r="P1013" s="17">
        <f t="shared" si="33"/>
        <v>2033.6399999999999</v>
      </c>
      <c r="Q1013" t="str">
        <f>A1013&amp;"-"&amp;B1013&amp;"-"&amp;D1013</f>
        <v>MARET-MJ1-L8</v>
      </c>
    </row>
    <row r="1014" spans="1:17" x14ac:dyDescent="0.25">
      <c r="A1014" t="s">
        <v>393</v>
      </c>
      <c r="B1014" s="13" t="s">
        <v>25</v>
      </c>
      <c r="C1014" s="13" t="s">
        <v>154</v>
      </c>
      <c r="D1014" s="14" t="s">
        <v>198</v>
      </c>
      <c r="E1014" s="13" t="s">
        <v>65</v>
      </c>
      <c r="F1014" s="13" t="s">
        <v>612</v>
      </c>
      <c r="G1014" s="13">
        <v>1.07</v>
      </c>
      <c r="H1014" s="15">
        <v>58</v>
      </c>
      <c r="I1014" s="16">
        <v>62.06</v>
      </c>
      <c r="J1014" s="16">
        <v>140.54340154760615</v>
      </c>
      <c r="K1014" s="16">
        <v>-78.48340154760615</v>
      </c>
      <c r="L1014" s="13">
        <v>3.78</v>
      </c>
      <c r="M1014" s="13"/>
      <c r="N1014" s="17">
        <f t="shared" si="34"/>
        <v>219.23999999999998</v>
      </c>
      <c r="O1014" s="17">
        <f t="shared" si="34"/>
        <v>0</v>
      </c>
      <c r="P1014" s="17">
        <f t="shared" si="33"/>
        <v>219.23999999999998</v>
      </c>
      <c r="Q1014" t="str">
        <f>A1014&amp;"-"&amp;B1014&amp;"-"&amp;D1014</f>
        <v>MARET-MJ1-L8</v>
      </c>
    </row>
    <row r="1015" spans="1:17" x14ac:dyDescent="0.25">
      <c r="A1015" t="s">
        <v>393</v>
      </c>
      <c r="B1015" s="13" t="s">
        <v>25</v>
      </c>
      <c r="C1015" s="13" t="s">
        <v>154</v>
      </c>
      <c r="D1015" s="14" t="s">
        <v>198</v>
      </c>
      <c r="E1015" s="13" t="s">
        <v>65</v>
      </c>
      <c r="F1015" s="13" t="s">
        <v>613</v>
      </c>
      <c r="G1015" s="13">
        <v>1.07</v>
      </c>
      <c r="H1015" s="15">
        <v>33</v>
      </c>
      <c r="I1015" s="16">
        <v>35.31</v>
      </c>
      <c r="J1015" s="16">
        <v>76.848747918337139</v>
      </c>
      <c r="K1015" s="16">
        <v>-41.538747918337137</v>
      </c>
      <c r="L1015" s="13">
        <v>3.78</v>
      </c>
      <c r="M1015" s="13"/>
      <c r="N1015" s="17">
        <f t="shared" si="34"/>
        <v>124.74</v>
      </c>
      <c r="O1015" s="17">
        <f t="shared" si="34"/>
        <v>0</v>
      </c>
      <c r="P1015" s="17">
        <f t="shared" si="33"/>
        <v>124.74</v>
      </c>
      <c r="Q1015" t="str">
        <f>A1015&amp;"-"&amp;B1015&amp;"-"&amp;D1015</f>
        <v>MARET-MJ1-L8</v>
      </c>
    </row>
    <row r="1016" spans="1:17" x14ac:dyDescent="0.25">
      <c r="A1016" t="s">
        <v>393</v>
      </c>
      <c r="B1016" s="13" t="s">
        <v>25</v>
      </c>
      <c r="C1016" s="13" t="s">
        <v>154</v>
      </c>
      <c r="D1016" s="14" t="s">
        <v>198</v>
      </c>
      <c r="E1016" s="13" t="s">
        <v>65</v>
      </c>
      <c r="F1016" s="13" t="s">
        <v>614</v>
      </c>
      <c r="G1016" s="13">
        <v>1.07</v>
      </c>
      <c r="H1016" s="15">
        <v>67</v>
      </c>
      <c r="I1016" s="16">
        <v>71.69</v>
      </c>
      <c r="J1016" s="16">
        <v>228.25423728813558</v>
      </c>
      <c r="K1016" s="16">
        <v>-156.56423728813559</v>
      </c>
      <c r="L1016" s="13">
        <v>3.78</v>
      </c>
      <c r="M1016" s="13"/>
      <c r="N1016" s="17">
        <f t="shared" si="34"/>
        <v>253.26</v>
      </c>
      <c r="O1016" s="17">
        <f t="shared" si="34"/>
        <v>0</v>
      </c>
      <c r="P1016" s="17">
        <f t="shared" si="33"/>
        <v>253.26</v>
      </c>
      <c r="Q1016" t="str">
        <f>A1016&amp;"-"&amp;B1016&amp;"-"&amp;D1016</f>
        <v>MARET-MJ1-L8</v>
      </c>
    </row>
    <row r="1017" spans="1:17" x14ac:dyDescent="0.25">
      <c r="A1017" t="s">
        <v>393</v>
      </c>
      <c r="B1017" s="13" t="s">
        <v>25</v>
      </c>
      <c r="C1017" s="13" t="s">
        <v>185</v>
      </c>
      <c r="D1017" s="14" t="s">
        <v>44</v>
      </c>
      <c r="E1017" s="13" t="s">
        <v>186</v>
      </c>
      <c r="F1017" s="13" t="s">
        <v>615</v>
      </c>
      <c r="G1017" s="13">
        <v>1.1399999999999999</v>
      </c>
      <c r="H1017" s="15">
        <v>1992</v>
      </c>
      <c r="I1017" s="16">
        <v>2270.88</v>
      </c>
      <c r="J1017" s="16">
        <v>2251.8271817119971</v>
      </c>
      <c r="K1017" s="16">
        <v>19.052818288002584</v>
      </c>
      <c r="L1017" s="13"/>
      <c r="M1017" s="13">
        <v>2.83</v>
      </c>
      <c r="N1017" s="17">
        <f t="shared" si="34"/>
        <v>0</v>
      </c>
      <c r="O1017" s="17">
        <f t="shared" si="34"/>
        <v>5637.3600000000006</v>
      </c>
      <c r="P1017" s="17">
        <f t="shared" si="33"/>
        <v>5637.3600000000006</v>
      </c>
      <c r="Q1017" t="str">
        <f>A1017&amp;"-"&amp;B1017&amp;"-"&amp;D1017</f>
        <v>MARET-MJ1-L1</v>
      </c>
    </row>
    <row r="1018" spans="1:17" x14ac:dyDescent="0.25">
      <c r="A1018" t="s">
        <v>393</v>
      </c>
      <c r="B1018" s="13" t="s">
        <v>25</v>
      </c>
      <c r="C1018" s="13" t="s">
        <v>185</v>
      </c>
      <c r="D1018" s="14" t="s">
        <v>44</v>
      </c>
      <c r="E1018" s="13" t="s">
        <v>186</v>
      </c>
      <c r="F1018" s="13" t="s">
        <v>616</v>
      </c>
      <c r="G1018" s="13">
        <v>1.18</v>
      </c>
      <c r="H1018" s="15">
        <v>1612</v>
      </c>
      <c r="I1018" s="16">
        <v>1902.16</v>
      </c>
      <c r="J1018" s="16">
        <v>4597.8161592505858</v>
      </c>
      <c r="K1018" s="16">
        <v>-2695.6561592505859</v>
      </c>
      <c r="L1018" s="13"/>
      <c r="M1018" s="13">
        <v>2.85</v>
      </c>
      <c r="N1018" s="17">
        <f t="shared" si="34"/>
        <v>0</v>
      </c>
      <c r="O1018" s="17">
        <f t="shared" si="34"/>
        <v>4594.2</v>
      </c>
      <c r="P1018" s="17">
        <f t="shared" si="33"/>
        <v>4594.2</v>
      </c>
      <c r="Q1018" t="str">
        <f>A1018&amp;"-"&amp;B1018&amp;"-"&amp;D1018</f>
        <v>MARET-MJ1-L1</v>
      </c>
    </row>
    <row r="1019" spans="1:17" x14ac:dyDescent="0.25">
      <c r="A1019" t="s">
        <v>393</v>
      </c>
      <c r="B1019" s="13" t="s">
        <v>25</v>
      </c>
      <c r="C1019" s="13" t="s">
        <v>185</v>
      </c>
      <c r="D1019" s="14" t="s">
        <v>44</v>
      </c>
      <c r="E1019" s="13" t="s">
        <v>186</v>
      </c>
      <c r="F1019" s="13" t="s">
        <v>617</v>
      </c>
      <c r="G1019" s="13">
        <v>1.1599999999999999</v>
      </c>
      <c r="H1019" s="15">
        <v>1950</v>
      </c>
      <c r="I1019" s="16">
        <v>2261.9999999999995</v>
      </c>
      <c r="J1019" s="16">
        <v>4058.7007108499861</v>
      </c>
      <c r="K1019" s="16">
        <v>-1796.7007108499861</v>
      </c>
      <c r="L1019" s="13"/>
      <c r="M1019" s="13">
        <v>3.07</v>
      </c>
      <c r="N1019" s="17">
        <f t="shared" si="34"/>
        <v>0</v>
      </c>
      <c r="O1019" s="17">
        <f t="shared" si="34"/>
        <v>5986.5</v>
      </c>
      <c r="P1019" s="17">
        <f t="shared" si="33"/>
        <v>5986.5</v>
      </c>
      <c r="Q1019" t="str">
        <f>A1019&amp;"-"&amp;B1019&amp;"-"&amp;D1019</f>
        <v>MARET-MJ1-L1</v>
      </c>
    </row>
    <row r="1020" spans="1:17" x14ac:dyDescent="0.25">
      <c r="A1020" t="s">
        <v>393</v>
      </c>
      <c r="B1020" s="13" t="s">
        <v>25</v>
      </c>
      <c r="C1020" s="13" t="s">
        <v>185</v>
      </c>
      <c r="D1020" s="14" t="s">
        <v>44</v>
      </c>
      <c r="E1020" s="13" t="s">
        <v>186</v>
      </c>
      <c r="F1020" s="13" t="s">
        <v>618</v>
      </c>
      <c r="G1020" s="13">
        <v>0.96</v>
      </c>
      <c r="H1020" s="15">
        <v>134</v>
      </c>
      <c r="I1020" s="16">
        <v>128.63999999999999</v>
      </c>
      <c r="J1020" s="16">
        <v>441.5409836065574</v>
      </c>
      <c r="K1020" s="16">
        <v>-312.90098360655742</v>
      </c>
      <c r="L1020" s="13">
        <v>2.85</v>
      </c>
      <c r="M1020" s="13"/>
      <c r="N1020" s="17">
        <f t="shared" si="34"/>
        <v>381.90000000000003</v>
      </c>
      <c r="O1020" s="17">
        <f t="shared" si="34"/>
        <v>0</v>
      </c>
      <c r="P1020" s="17">
        <f t="shared" si="33"/>
        <v>381.90000000000003</v>
      </c>
      <c r="Q1020" t="str">
        <f>A1020&amp;"-"&amp;B1020&amp;"-"&amp;D1020</f>
        <v>MARET-MJ1-L1</v>
      </c>
    </row>
    <row r="1021" spans="1:17" x14ac:dyDescent="0.25">
      <c r="A1021" t="s">
        <v>393</v>
      </c>
      <c r="B1021" s="13" t="s">
        <v>25</v>
      </c>
      <c r="C1021" s="13" t="s">
        <v>185</v>
      </c>
      <c r="D1021" s="14" t="s">
        <v>44</v>
      </c>
      <c r="E1021" s="13" t="s">
        <v>191</v>
      </c>
      <c r="F1021" s="13" t="s">
        <v>619</v>
      </c>
      <c r="G1021" s="13">
        <v>1.18</v>
      </c>
      <c r="H1021" s="15">
        <v>1826</v>
      </c>
      <c r="I1021" s="16">
        <v>2154.6799999999998</v>
      </c>
      <c r="J1021" s="16">
        <v>3615.9235537190084</v>
      </c>
      <c r="K1021" s="16">
        <v>-1461.2435537190083</v>
      </c>
      <c r="L1021" s="13"/>
      <c r="M1021" s="13">
        <v>2.75</v>
      </c>
      <c r="N1021" s="17">
        <f t="shared" si="34"/>
        <v>0</v>
      </c>
      <c r="O1021" s="17">
        <f t="shared" si="34"/>
        <v>5021.5</v>
      </c>
      <c r="P1021" s="17">
        <f t="shared" si="33"/>
        <v>5021.5</v>
      </c>
      <c r="Q1021" t="str">
        <f>A1021&amp;"-"&amp;B1021&amp;"-"&amp;D1021</f>
        <v>MARET-MJ1-L1</v>
      </c>
    </row>
    <row r="1022" spans="1:17" x14ac:dyDescent="0.25">
      <c r="A1022" t="s">
        <v>393</v>
      </c>
      <c r="B1022" s="13" t="s">
        <v>25</v>
      </c>
      <c r="C1022" s="13" t="s">
        <v>185</v>
      </c>
      <c r="D1022" s="14" t="s">
        <v>44</v>
      </c>
      <c r="E1022" s="13" t="s">
        <v>191</v>
      </c>
      <c r="F1022" s="13" t="s">
        <v>620</v>
      </c>
      <c r="G1022" s="13">
        <v>0.54999999999999993</v>
      </c>
      <c r="H1022" s="15">
        <v>856</v>
      </c>
      <c r="I1022" s="16">
        <v>470.8</v>
      </c>
      <c r="J1022" s="16">
        <v>6827.5770676691727</v>
      </c>
      <c r="K1022" s="16">
        <v>-6356.7770676691734</v>
      </c>
      <c r="L1022" s="13"/>
      <c r="M1022" s="13">
        <v>1.61</v>
      </c>
      <c r="N1022" s="17">
        <f t="shared" si="34"/>
        <v>0</v>
      </c>
      <c r="O1022" s="17">
        <f t="shared" si="34"/>
        <v>1378.16</v>
      </c>
      <c r="P1022" s="17">
        <f t="shared" si="33"/>
        <v>1378.16</v>
      </c>
      <c r="Q1022" t="str">
        <f>A1022&amp;"-"&amp;B1022&amp;"-"&amp;D1022</f>
        <v>MARET-MJ1-L1</v>
      </c>
    </row>
    <row r="1023" spans="1:17" x14ac:dyDescent="0.25">
      <c r="A1023" t="s">
        <v>393</v>
      </c>
      <c r="B1023" s="13" t="s">
        <v>25</v>
      </c>
      <c r="C1023" s="13" t="s">
        <v>185</v>
      </c>
      <c r="D1023" s="14" t="s">
        <v>44</v>
      </c>
      <c r="E1023" s="13" t="s">
        <v>65</v>
      </c>
      <c r="F1023" s="13" t="s">
        <v>621</v>
      </c>
      <c r="G1023" s="13">
        <v>0.55000000000000004</v>
      </c>
      <c r="H1023" s="15">
        <v>752</v>
      </c>
      <c r="I1023" s="16">
        <v>413.6</v>
      </c>
      <c r="J1023" s="16">
        <v>1882.2985537190084</v>
      </c>
      <c r="K1023" s="16">
        <v>-1468.6985537190083</v>
      </c>
      <c r="L1023" s="13">
        <v>1.61</v>
      </c>
      <c r="M1023" s="13"/>
      <c r="N1023" s="17">
        <f t="shared" si="34"/>
        <v>1210.72</v>
      </c>
      <c r="O1023" s="17">
        <f t="shared" si="34"/>
        <v>0</v>
      </c>
      <c r="P1023" s="17">
        <f t="shared" si="33"/>
        <v>1210.72</v>
      </c>
      <c r="Q1023" t="str">
        <f>A1023&amp;"-"&amp;B1023&amp;"-"&amp;D1023</f>
        <v>MARET-MJ1-L1</v>
      </c>
    </row>
    <row r="1024" spans="1:17" x14ac:dyDescent="0.25">
      <c r="A1024" t="s">
        <v>393</v>
      </c>
      <c r="B1024" s="13" t="s">
        <v>25</v>
      </c>
      <c r="C1024" s="13" t="s">
        <v>185</v>
      </c>
      <c r="D1024" s="14" t="s">
        <v>160</v>
      </c>
      <c r="E1024" s="13" t="s">
        <v>186</v>
      </c>
      <c r="F1024" s="13" t="s">
        <v>617</v>
      </c>
      <c r="G1024" s="13">
        <v>1.1599999999999999</v>
      </c>
      <c r="H1024" s="15">
        <v>71</v>
      </c>
      <c r="I1024" s="16">
        <v>82.36</v>
      </c>
      <c r="J1024" s="16">
        <v>3618</v>
      </c>
      <c r="K1024" s="16">
        <v>-3535.6400000000003</v>
      </c>
      <c r="L1024" s="13"/>
      <c r="M1024" s="13">
        <v>3.07</v>
      </c>
      <c r="N1024" s="17">
        <f t="shared" si="34"/>
        <v>0</v>
      </c>
      <c r="O1024" s="17">
        <f t="shared" si="34"/>
        <v>217.97</v>
      </c>
      <c r="P1024" s="17">
        <f t="shared" si="33"/>
        <v>217.97</v>
      </c>
      <c r="Q1024" t="str">
        <f>A1024&amp;"-"&amp;B1024&amp;"-"&amp;D1024</f>
        <v>MARET-MJ1-L5</v>
      </c>
    </row>
    <row r="1025" spans="1:17" x14ac:dyDescent="0.25">
      <c r="A1025" t="s">
        <v>393</v>
      </c>
      <c r="B1025" s="13" t="s">
        <v>25</v>
      </c>
      <c r="C1025" s="13" t="s">
        <v>185</v>
      </c>
      <c r="D1025" s="14" t="s">
        <v>160</v>
      </c>
      <c r="E1025" s="13" t="s">
        <v>191</v>
      </c>
      <c r="F1025" s="13" t="s">
        <v>622</v>
      </c>
      <c r="G1025" s="13">
        <v>1.36</v>
      </c>
      <c r="H1025" s="15">
        <v>850</v>
      </c>
      <c r="I1025" s="16">
        <v>1156</v>
      </c>
      <c r="J1025" s="16">
        <v>1141.3398821626499</v>
      </c>
      <c r="K1025" s="16">
        <v>14.660117837349944</v>
      </c>
      <c r="L1025" s="13"/>
      <c r="M1025" s="13">
        <v>2.48</v>
      </c>
      <c r="N1025" s="17">
        <f t="shared" si="34"/>
        <v>0</v>
      </c>
      <c r="O1025" s="17">
        <f t="shared" si="34"/>
        <v>2108</v>
      </c>
      <c r="P1025" s="17">
        <f t="shared" si="33"/>
        <v>2108</v>
      </c>
      <c r="Q1025" t="str">
        <f>A1025&amp;"-"&amp;B1025&amp;"-"&amp;D1025</f>
        <v>MARET-MJ1-L5</v>
      </c>
    </row>
    <row r="1026" spans="1:17" x14ac:dyDescent="0.25">
      <c r="A1026" t="s">
        <v>393</v>
      </c>
      <c r="B1026" s="13" t="s">
        <v>25</v>
      </c>
      <c r="C1026" s="13" t="s">
        <v>185</v>
      </c>
      <c r="D1026" s="14" t="s">
        <v>160</v>
      </c>
      <c r="E1026" s="13" t="s">
        <v>191</v>
      </c>
      <c r="F1026" s="13" t="s">
        <v>623</v>
      </c>
      <c r="G1026" s="13">
        <v>1.2699999999999998</v>
      </c>
      <c r="H1026" s="15">
        <v>1717</v>
      </c>
      <c r="I1026" s="16">
        <v>2180.59</v>
      </c>
      <c r="J1026" s="16">
        <v>4765.2516803074077</v>
      </c>
      <c r="K1026" s="16">
        <v>-2584.661680307408</v>
      </c>
      <c r="L1026" s="13"/>
      <c r="M1026" s="13">
        <v>2.48</v>
      </c>
      <c r="N1026" s="17">
        <f t="shared" si="34"/>
        <v>0</v>
      </c>
      <c r="O1026" s="17">
        <f t="shared" si="34"/>
        <v>4258.16</v>
      </c>
      <c r="P1026" s="17">
        <f t="shared" ref="P1026:P1089" si="35">N1026+O1026</f>
        <v>4258.16</v>
      </c>
      <c r="Q1026" t="str">
        <f>A1026&amp;"-"&amp;B1026&amp;"-"&amp;D1026</f>
        <v>MARET-MJ1-L5</v>
      </c>
    </row>
    <row r="1027" spans="1:17" x14ac:dyDescent="0.25">
      <c r="A1027" t="s">
        <v>393</v>
      </c>
      <c r="B1027" s="13" t="s">
        <v>25</v>
      </c>
      <c r="C1027" s="13" t="s">
        <v>185</v>
      </c>
      <c r="D1027" s="14" t="s">
        <v>160</v>
      </c>
      <c r="E1027" s="13" t="s">
        <v>191</v>
      </c>
      <c r="F1027" s="13" t="s">
        <v>624</v>
      </c>
      <c r="G1027" s="13">
        <v>1.27</v>
      </c>
      <c r="H1027" s="15">
        <v>324</v>
      </c>
      <c r="I1027" s="16">
        <v>411.48</v>
      </c>
      <c r="J1027" s="16">
        <v>550.34366197183101</v>
      </c>
      <c r="K1027" s="16">
        <v>-138.86366197183099</v>
      </c>
      <c r="L1027" s="13"/>
      <c r="M1027" s="13">
        <v>2.48</v>
      </c>
      <c r="N1027" s="17">
        <f t="shared" si="34"/>
        <v>0</v>
      </c>
      <c r="O1027" s="17">
        <f t="shared" si="34"/>
        <v>803.52</v>
      </c>
      <c r="P1027" s="17">
        <f t="shared" si="35"/>
        <v>803.52</v>
      </c>
      <c r="Q1027" t="str">
        <f>A1027&amp;"-"&amp;B1027&amp;"-"&amp;D1027</f>
        <v>MARET-MJ1-L5</v>
      </c>
    </row>
    <row r="1028" spans="1:17" x14ac:dyDescent="0.25">
      <c r="A1028" t="s">
        <v>393</v>
      </c>
      <c r="B1028" s="13" t="s">
        <v>25</v>
      </c>
      <c r="C1028" s="13" t="s">
        <v>185</v>
      </c>
      <c r="D1028" s="14" t="s">
        <v>160</v>
      </c>
      <c r="E1028" s="13" t="s">
        <v>191</v>
      </c>
      <c r="F1028" s="13" t="s">
        <v>625</v>
      </c>
      <c r="G1028" s="13">
        <v>0.55000000000000004</v>
      </c>
      <c r="H1028" s="15">
        <v>764</v>
      </c>
      <c r="I1028" s="16">
        <v>420.2</v>
      </c>
      <c r="J1028" s="16">
        <v>963.28872180451117</v>
      </c>
      <c r="K1028" s="16">
        <v>-543.08872180451124</v>
      </c>
      <c r="L1028" s="13"/>
      <c r="M1028" s="13">
        <v>1.61</v>
      </c>
      <c r="N1028" s="17">
        <f t="shared" si="34"/>
        <v>0</v>
      </c>
      <c r="O1028" s="17">
        <f t="shared" si="34"/>
        <v>1230.04</v>
      </c>
      <c r="P1028" s="17">
        <f t="shared" si="35"/>
        <v>1230.04</v>
      </c>
      <c r="Q1028" t="str">
        <f>A1028&amp;"-"&amp;B1028&amp;"-"&amp;D1028</f>
        <v>MARET-MJ1-L5</v>
      </c>
    </row>
    <row r="1029" spans="1:17" x14ac:dyDescent="0.25">
      <c r="A1029" t="s">
        <v>393</v>
      </c>
      <c r="B1029" s="13" t="s">
        <v>25</v>
      </c>
      <c r="C1029" s="13" t="s">
        <v>185</v>
      </c>
      <c r="D1029" s="14" t="s">
        <v>160</v>
      </c>
      <c r="E1029" s="13" t="s">
        <v>191</v>
      </c>
      <c r="F1029" s="13" t="s">
        <v>626</v>
      </c>
      <c r="G1029" s="13">
        <v>0.55000000000000004</v>
      </c>
      <c r="H1029" s="15">
        <v>604</v>
      </c>
      <c r="I1029" s="16">
        <v>332.2</v>
      </c>
      <c r="J1029" s="16">
        <v>977.41204225352112</v>
      </c>
      <c r="K1029" s="16">
        <v>-645.21204225352119</v>
      </c>
      <c r="L1029" s="13"/>
      <c r="M1029" s="13">
        <v>1.61</v>
      </c>
      <c r="N1029" s="17">
        <f t="shared" si="34"/>
        <v>0</v>
      </c>
      <c r="O1029" s="17">
        <f t="shared" si="34"/>
        <v>972.44</v>
      </c>
      <c r="P1029" s="17">
        <f t="shared" si="35"/>
        <v>972.44</v>
      </c>
      <c r="Q1029" t="str">
        <f>A1029&amp;"-"&amp;B1029&amp;"-"&amp;D1029</f>
        <v>MARET-MJ1-L5</v>
      </c>
    </row>
    <row r="1030" spans="1:17" x14ac:dyDescent="0.25">
      <c r="A1030" t="s">
        <v>393</v>
      </c>
      <c r="B1030" s="13" t="s">
        <v>25</v>
      </c>
      <c r="C1030" s="13" t="s">
        <v>185</v>
      </c>
      <c r="D1030" s="14" t="s">
        <v>160</v>
      </c>
      <c r="E1030" s="13" t="s">
        <v>191</v>
      </c>
      <c r="F1030" s="13" t="s">
        <v>627</v>
      </c>
      <c r="G1030" s="13">
        <v>0.54999999999999993</v>
      </c>
      <c r="H1030" s="15">
        <v>796</v>
      </c>
      <c r="I1030" s="16">
        <v>437.7999999999999</v>
      </c>
      <c r="J1030" s="16">
        <v>9364.281006427158</v>
      </c>
      <c r="K1030" s="16">
        <v>-8926.4810064271587</v>
      </c>
      <c r="L1030" s="13"/>
      <c r="M1030" s="13">
        <v>1.61</v>
      </c>
      <c r="N1030" s="17">
        <f t="shared" si="34"/>
        <v>0</v>
      </c>
      <c r="O1030" s="17">
        <f t="shared" si="34"/>
        <v>1281.5600000000002</v>
      </c>
      <c r="P1030" s="17">
        <f t="shared" si="35"/>
        <v>1281.5600000000002</v>
      </c>
      <c r="Q1030" t="str">
        <f>A1030&amp;"-"&amp;B1030&amp;"-"&amp;D1030</f>
        <v>MARET-MJ1-L5</v>
      </c>
    </row>
    <row r="1031" spans="1:17" x14ac:dyDescent="0.25">
      <c r="A1031" t="s">
        <v>393</v>
      </c>
      <c r="B1031" s="13" t="s">
        <v>25</v>
      </c>
      <c r="C1031" s="13" t="s">
        <v>185</v>
      </c>
      <c r="D1031" s="14" t="s">
        <v>160</v>
      </c>
      <c r="E1031" s="13" t="s">
        <v>191</v>
      </c>
      <c r="F1031" s="13" t="s">
        <v>628</v>
      </c>
      <c r="G1031" s="13">
        <v>1.3699999999999999</v>
      </c>
      <c r="H1031" s="15">
        <v>1507</v>
      </c>
      <c r="I1031" s="16">
        <v>2064.59</v>
      </c>
      <c r="J1031" s="16">
        <v>3798.619501293475</v>
      </c>
      <c r="K1031" s="16">
        <v>-1734.0295012934753</v>
      </c>
      <c r="L1031" s="13"/>
      <c r="M1031" s="13">
        <v>2.62</v>
      </c>
      <c r="N1031" s="17">
        <f t="shared" si="34"/>
        <v>0</v>
      </c>
      <c r="O1031" s="17">
        <f t="shared" si="34"/>
        <v>3948.34</v>
      </c>
      <c r="P1031" s="17">
        <f t="shared" si="35"/>
        <v>3948.34</v>
      </c>
      <c r="Q1031" t="str">
        <f>A1031&amp;"-"&amp;B1031&amp;"-"&amp;D1031</f>
        <v>MARET-MJ1-L5</v>
      </c>
    </row>
    <row r="1032" spans="1:17" x14ac:dyDescent="0.25">
      <c r="A1032" t="s">
        <v>393</v>
      </c>
      <c r="B1032" s="13" t="s">
        <v>25</v>
      </c>
      <c r="C1032" s="13" t="s">
        <v>185</v>
      </c>
      <c r="D1032" s="14" t="s">
        <v>160</v>
      </c>
      <c r="E1032" s="13" t="s">
        <v>191</v>
      </c>
      <c r="F1032" s="13" t="s">
        <v>490</v>
      </c>
      <c r="G1032" s="13">
        <v>1.33</v>
      </c>
      <c r="H1032" s="15">
        <v>838</v>
      </c>
      <c r="I1032" s="16">
        <v>1114.54</v>
      </c>
      <c r="J1032" s="16">
        <v>1353.4635037794449</v>
      </c>
      <c r="K1032" s="16">
        <v>-238.92350377944481</v>
      </c>
      <c r="L1032" s="13"/>
      <c r="M1032" s="13">
        <v>2.5499999999999998</v>
      </c>
      <c r="N1032" s="17">
        <f t="shared" si="34"/>
        <v>0</v>
      </c>
      <c r="O1032" s="17">
        <f t="shared" si="34"/>
        <v>2136.8999999999996</v>
      </c>
      <c r="P1032" s="17">
        <f t="shared" si="35"/>
        <v>2136.8999999999996</v>
      </c>
      <c r="Q1032" t="str">
        <f>A1032&amp;"-"&amp;B1032&amp;"-"&amp;D1032</f>
        <v>MARET-MJ1-L5</v>
      </c>
    </row>
    <row r="1033" spans="1:17" x14ac:dyDescent="0.25">
      <c r="A1033" t="s">
        <v>393</v>
      </c>
      <c r="B1033" s="13" t="s">
        <v>25</v>
      </c>
      <c r="C1033" s="13" t="s">
        <v>43</v>
      </c>
      <c r="D1033" s="14" t="s">
        <v>301</v>
      </c>
      <c r="E1033" s="13" t="s">
        <v>71</v>
      </c>
      <c r="F1033" s="13" t="s">
        <v>629</v>
      </c>
      <c r="G1033" s="13">
        <v>4.1199999999999992</v>
      </c>
      <c r="H1033" s="15">
        <v>2315</v>
      </c>
      <c r="I1033" s="16">
        <v>9537.7999999999993</v>
      </c>
      <c r="J1033" s="16">
        <v>20502</v>
      </c>
      <c r="K1033" s="16">
        <v>-10964.2</v>
      </c>
      <c r="L1033" s="13"/>
      <c r="M1033" s="13">
        <v>3.65</v>
      </c>
      <c r="N1033" s="17">
        <f t="shared" si="34"/>
        <v>0</v>
      </c>
      <c r="O1033" s="17">
        <f t="shared" si="34"/>
        <v>8449.75</v>
      </c>
      <c r="P1033" s="17">
        <f t="shared" si="35"/>
        <v>8449.75</v>
      </c>
      <c r="Q1033" t="str">
        <f>A1033&amp;"-"&amp;B1033&amp;"-"&amp;D1033</f>
        <v>MARET-MJ1-L10</v>
      </c>
    </row>
    <row r="1034" spans="1:17" x14ac:dyDescent="0.25">
      <c r="A1034" t="s">
        <v>393</v>
      </c>
      <c r="B1034" s="13" t="s">
        <v>25</v>
      </c>
      <c r="C1034" s="13" t="s">
        <v>43</v>
      </c>
      <c r="D1034" s="14" t="s">
        <v>301</v>
      </c>
      <c r="E1034" s="13" t="s">
        <v>302</v>
      </c>
      <c r="F1034" s="13" t="s">
        <v>304</v>
      </c>
      <c r="G1034" s="13">
        <v>2.88</v>
      </c>
      <c r="H1034" s="15">
        <v>279</v>
      </c>
      <c r="I1034" s="16">
        <v>803.52</v>
      </c>
      <c r="J1034" s="16">
        <v>1140.5898305084745</v>
      </c>
      <c r="K1034" s="16">
        <v>-337.06983050847464</v>
      </c>
      <c r="L1034" s="13"/>
      <c r="M1034" s="13">
        <v>3</v>
      </c>
      <c r="N1034" s="17">
        <f t="shared" si="34"/>
        <v>0</v>
      </c>
      <c r="O1034" s="17">
        <f t="shared" si="34"/>
        <v>837</v>
      </c>
      <c r="P1034" s="17">
        <f t="shared" si="35"/>
        <v>837</v>
      </c>
      <c r="Q1034" t="str">
        <f>A1034&amp;"-"&amp;B1034&amp;"-"&amp;D1034</f>
        <v>MARET-MJ1-L10</v>
      </c>
    </row>
    <row r="1035" spans="1:17" x14ac:dyDescent="0.25">
      <c r="A1035" t="s">
        <v>393</v>
      </c>
      <c r="B1035" s="13" t="s">
        <v>25</v>
      </c>
      <c r="C1035" s="13" t="s">
        <v>43</v>
      </c>
      <c r="D1035" s="14" t="s">
        <v>301</v>
      </c>
      <c r="E1035" s="13" t="s">
        <v>305</v>
      </c>
      <c r="F1035" s="13" t="s">
        <v>306</v>
      </c>
      <c r="G1035" s="13">
        <v>2.78</v>
      </c>
      <c r="H1035" s="15">
        <v>241</v>
      </c>
      <c r="I1035" s="16">
        <v>669.98</v>
      </c>
      <c r="J1035" s="16">
        <v>3683.4101694915253</v>
      </c>
      <c r="K1035" s="16">
        <v>-3013.4301694915257</v>
      </c>
      <c r="L1035" s="13"/>
      <c r="M1035" s="13">
        <v>2.9</v>
      </c>
      <c r="N1035" s="17">
        <f t="shared" si="34"/>
        <v>0</v>
      </c>
      <c r="O1035" s="17">
        <f t="shared" si="34"/>
        <v>698.9</v>
      </c>
      <c r="P1035" s="17">
        <f t="shared" si="35"/>
        <v>698.9</v>
      </c>
      <c r="Q1035" t="str">
        <f>A1035&amp;"-"&amp;B1035&amp;"-"&amp;D1035</f>
        <v>MARET-MJ1-L10</v>
      </c>
    </row>
    <row r="1036" spans="1:17" x14ac:dyDescent="0.25">
      <c r="A1036" t="s">
        <v>393</v>
      </c>
      <c r="B1036" s="13" t="s">
        <v>25</v>
      </c>
      <c r="C1036" s="13" t="s">
        <v>43</v>
      </c>
      <c r="D1036" s="14" t="s">
        <v>287</v>
      </c>
      <c r="E1036" s="13" t="s">
        <v>179</v>
      </c>
      <c r="F1036" s="13" t="s">
        <v>491</v>
      </c>
      <c r="G1036" s="13">
        <v>2.8500000000000005</v>
      </c>
      <c r="H1036" s="15">
        <v>940</v>
      </c>
      <c r="I1036" s="16">
        <v>2679</v>
      </c>
      <c r="J1036" s="16">
        <v>9470.8763636363637</v>
      </c>
      <c r="K1036" s="16">
        <v>-6791.8763636363637</v>
      </c>
      <c r="L1036" s="13"/>
      <c r="M1036" s="13">
        <v>2.9</v>
      </c>
      <c r="N1036" s="17">
        <f t="shared" si="34"/>
        <v>0</v>
      </c>
      <c r="O1036" s="17">
        <f t="shared" si="34"/>
        <v>2726</v>
      </c>
      <c r="P1036" s="17">
        <f t="shared" si="35"/>
        <v>2726</v>
      </c>
      <c r="Q1036" t="str">
        <f>A1036&amp;"-"&amp;B1036&amp;"-"&amp;D1036</f>
        <v>MARET-MJ1-L11</v>
      </c>
    </row>
    <row r="1037" spans="1:17" x14ac:dyDescent="0.25">
      <c r="A1037" t="s">
        <v>393</v>
      </c>
      <c r="B1037" s="13" t="s">
        <v>25</v>
      </c>
      <c r="C1037" s="13" t="s">
        <v>43</v>
      </c>
      <c r="D1037" s="14" t="s">
        <v>287</v>
      </c>
      <c r="E1037" s="13" t="s">
        <v>179</v>
      </c>
      <c r="F1037" s="13" t="s">
        <v>630</v>
      </c>
      <c r="G1037" s="13">
        <v>3.6</v>
      </c>
      <c r="H1037" s="15">
        <v>1072</v>
      </c>
      <c r="I1037" s="16">
        <v>3859.2</v>
      </c>
      <c r="J1037" s="16">
        <v>6086.7529411764708</v>
      </c>
      <c r="K1037" s="16">
        <v>-2227.552941176471</v>
      </c>
      <c r="L1037" s="13"/>
      <c r="M1037" s="13">
        <v>3.75</v>
      </c>
      <c r="N1037" s="17">
        <f t="shared" si="34"/>
        <v>0</v>
      </c>
      <c r="O1037" s="17">
        <f t="shared" si="34"/>
        <v>4020</v>
      </c>
      <c r="P1037" s="17">
        <f t="shared" si="35"/>
        <v>4020</v>
      </c>
      <c r="Q1037" t="str">
        <f>A1037&amp;"-"&amp;B1037&amp;"-"&amp;D1037</f>
        <v>MARET-MJ1-L11</v>
      </c>
    </row>
    <row r="1038" spans="1:17" x14ac:dyDescent="0.25">
      <c r="A1038" t="s">
        <v>393</v>
      </c>
      <c r="B1038" s="13" t="s">
        <v>25</v>
      </c>
      <c r="C1038" s="13" t="s">
        <v>43</v>
      </c>
      <c r="D1038" s="14" t="s">
        <v>287</v>
      </c>
      <c r="E1038" s="13" t="s">
        <v>179</v>
      </c>
      <c r="F1038" s="13" t="s">
        <v>631</v>
      </c>
      <c r="G1038" s="13">
        <v>3.600000000000001</v>
      </c>
      <c r="H1038" s="15">
        <v>1820</v>
      </c>
      <c r="I1038" s="16">
        <v>6552</v>
      </c>
      <c r="J1038" s="16">
        <v>10974.370695187165</v>
      </c>
      <c r="K1038" s="16">
        <v>-4422.3706951871654</v>
      </c>
      <c r="L1038" s="13"/>
      <c r="M1038" s="13">
        <v>3.75</v>
      </c>
      <c r="N1038" s="17">
        <f t="shared" si="34"/>
        <v>0</v>
      </c>
      <c r="O1038" s="17">
        <f t="shared" si="34"/>
        <v>6825</v>
      </c>
      <c r="P1038" s="17">
        <f t="shared" si="35"/>
        <v>6825</v>
      </c>
      <c r="Q1038" t="str">
        <f>A1038&amp;"-"&amp;B1038&amp;"-"&amp;D1038</f>
        <v>MARET-MJ1-L11</v>
      </c>
    </row>
    <row r="1039" spans="1:17" x14ac:dyDescent="0.25">
      <c r="A1039" t="s">
        <v>393</v>
      </c>
      <c r="B1039" s="13" t="s">
        <v>25</v>
      </c>
      <c r="C1039" s="13" t="s">
        <v>43</v>
      </c>
      <c r="D1039" s="14" t="s">
        <v>163</v>
      </c>
      <c r="E1039" s="13" t="s">
        <v>58</v>
      </c>
      <c r="F1039" s="13" t="s">
        <v>632</v>
      </c>
      <c r="G1039" s="13">
        <v>3.9200000000000013</v>
      </c>
      <c r="H1039" s="15">
        <v>2212</v>
      </c>
      <c r="I1039" s="16">
        <v>8671.0399999999991</v>
      </c>
      <c r="J1039" s="16">
        <v>17798.896551724138</v>
      </c>
      <c r="K1039" s="16">
        <v>-9127.8565517241368</v>
      </c>
      <c r="L1039" s="13"/>
      <c r="M1039" s="13">
        <v>2.25</v>
      </c>
      <c r="N1039" s="17">
        <f t="shared" si="34"/>
        <v>0</v>
      </c>
      <c r="O1039" s="17">
        <f t="shared" si="34"/>
        <v>4977</v>
      </c>
      <c r="P1039" s="17">
        <f t="shared" si="35"/>
        <v>4977</v>
      </c>
      <c r="Q1039" t="str">
        <f>A1039&amp;"-"&amp;B1039&amp;"-"&amp;D1039</f>
        <v>MARET-MJ1-L6</v>
      </c>
    </row>
    <row r="1040" spans="1:17" x14ac:dyDescent="0.25">
      <c r="A1040" t="s">
        <v>393</v>
      </c>
      <c r="B1040" s="13" t="s">
        <v>25</v>
      </c>
      <c r="C1040" s="13" t="s">
        <v>43</v>
      </c>
      <c r="D1040" s="14" t="s">
        <v>163</v>
      </c>
      <c r="E1040" s="13" t="s">
        <v>179</v>
      </c>
      <c r="F1040" s="13" t="s">
        <v>492</v>
      </c>
      <c r="G1040" s="13">
        <v>3.2</v>
      </c>
      <c r="H1040" s="15">
        <v>803</v>
      </c>
      <c r="I1040" s="16">
        <v>2569.6</v>
      </c>
      <c r="J1040" s="16">
        <v>6030</v>
      </c>
      <c r="K1040" s="16">
        <v>-3460.4</v>
      </c>
      <c r="L1040" s="13"/>
      <c r="M1040" s="13">
        <v>3.35</v>
      </c>
      <c r="N1040" s="17">
        <f t="shared" si="34"/>
        <v>0</v>
      </c>
      <c r="O1040" s="17">
        <f t="shared" si="34"/>
        <v>2690.05</v>
      </c>
      <c r="P1040" s="17">
        <f t="shared" si="35"/>
        <v>2690.05</v>
      </c>
      <c r="Q1040" t="str">
        <f>A1040&amp;"-"&amp;B1040&amp;"-"&amp;D1040</f>
        <v>MARET-MJ1-L6</v>
      </c>
    </row>
    <row r="1041" spans="1:17" x14ac:dyDescent="0.25">
      <c r="A1041" t="s">
        <v>393</v>
      </c>
      <c r="B1041" s="13" t="s">
        <v>25</v>
      </c>
      <c r="C1041" s="13" t="s">
        <v>43</v>
      </c>
      <c r="D1041" s="14" t="s">
        <v>163</v>
      </c>
      <c r="E1041" s="13" t="s">
        <v>179</v>
      </c>
      <c r="F1041" s="13" t="s">
        <v>630</v>
      </c>
      <c r="G1041" s="13">
        <v>3.6</v>
      </c>
      <c r="H1041" s="15">
        <v>492</v>
      </c>
      <c r="I1041" s="16">
        <v>1771.2</v>
      </c>
      <c r="J1041" s="16">
        <v>3909.1034482758619</v>
      </c>
      <c r="K1041" s="16">
        <v>-2137.903448275862</v>
      </c>
      <c r="L1041" s="13"/>
      <c r="M1041" s="13">
        <v>3.75</v>
      </c>
      <c r="N1041" s="17">
        <f t="shared" si="34"/>
        <v>0</v>
      </c>
      <c r="O1041" s="17">
        <f t="shared" si="34"/>
        <v>1845</v>
      </c>
      <c r="P1041" s="17">
        <f t="shared" si="35"/>
        <v>1845</v>
      </c>
      <c r="Q1041" t="str">
        <f>A1041&amp;"-"&amp;B1041&amp;"-"&amp;D1041</f>
        <v>MARET-MJ1-L6</v>
      </c>
    </row>
    <row r="1042" spans="1:17" x14ac:dyDescent="0.25">
      <c r="A1042" t="s">
        <v>393</v>
      </c>
      <c r="B1042" s="13" t="s">
        <v>25</v>
      </c>
      <c r="C1042" s="13" t="s">
        <v>43</v>
      </c>
      <c r="D1042" s="14" t="s">
        <v>164</v>
      </c>
      <c r="E1042" s="13" t="s">
        <v>302</v>
      </c>
      <c r="F1042" s="13" t="s">
        <v>304</v>
      </c>
      <c r="G1042" s="13">
        <v>2.8800000000000012</v>
      </c>
      <c r="H1042" s="15">
        <v>3137</v>
      </c>
      <c r="I1042" s="16">
        <v>9034.5600000000013</v>
      </c>
      <c r="J1042" s="16">
        <v>9491.5317606352055</v>
      </c>
      <c r="K1042" s="16">
        <v>-456.97176063520504</v>
      </c>
      <c r="L1042" s="13"/>
      <c r="M1042" s="13">
        <v>3</v>
      </c>
      <c r="N1042" s="17">
        <f t="shared" si="34"/>
        <v>0</v>
      </c>
      <c r="O1042" s="17">
        <f t="shared" si="34"/>
        <v>9411</v>
      </c>
      <c r="P1042" s="17">
        <f t="shared" si="35"/>
        <v>9411</v>
      </c>
      <c r="Q1042" t="str">
        <f>A1042&amp;"-"&amp;B1042&amp;"-"&amp;D1042</f>
        <v>MARET-MJ1-L7</v>
      </c>
    </row>
    <row r="1043" spans="1:17" x14ac:dyDescent="0.25">
      <c r="A1043" t="s">
        <v>393</v>
      </c>
      <c r="B1043" s="13" t="s">
        <v>25</v>
      </c>
      <c r="C1043" s="13" t="s">
        <v>43</v>
      </c>
      <c r="D1043" s="14" t="s">
        <v>164</v>
      </c>
      <c r="E1043" s="13" t="s">
        <v>305</v>
      </c>
      <c r="F1043" s="13" t="s">
        <v>306</v>
      </c>
      <c r="G1043" s="13">
        <v>2.7800000000000007</v>
      </c>
      <c r="H1043" s="15">
        <v>4946</v>
      </c>
      <c r="I1043" s="16">
        <v>13749.880000000001</v>
      </c>
      <c r="J1043" s="16">
        <v>17040.468239364796</v>
      </c>
      <c r="K1043" s="16">
        <v>-3290.5882393647944</v>
      </c>
      <c r="L1043" s="13"/>
      <c r="M1043" s="13">
        <v>2.9</v>
      </c>
      <c r="N1043" s="17">
        <f t="shared" si="34"/>
        <v>0</v>
      </c>
      <c r="O1043" s="17">
        <f t="shared" si="34"/>
        <v>14343.4</v>
      </c>
      <c r="P1043" s="17">
        <f t="shared" si="35"/>
        <v>14343.4</v>
      </c>
      <c r="Q1043" t="str">
        <f>A1043&amp;"-"&amp;B1043&amp;"-"&amp;D1043</f>
        <v>MARET-MJ1-L7</v>
      </c>
    </row>
    <row r="1044" spans="1:17" x14ac:dyDescent="0.25">
      <c r="A1044" t="s">
        <v>393</v>
      </c>
      <c r="B1044" s="13" t="s">
        <v>25</v>
      </c>
      <c r="C1044" s="13" t="s">
        <v>43</v>
      </c>
      <c r="D1044" s="14" t="s">
        <v>198</v>
      </c>
      <c r="E1044" s="13" t="s">
        <v>302</v>
      </c>
      <c r="F1044" s="13" t="s">
        <v>304</v>
      </c>
      <c r="G1044" s="13">
        <v>2.8800000000000003</v>
      </c>
      <c r="H1044" s="15">
        <v>2683</v>
      </c>
      <c r="I1044" s="16">
        <v>7727.04</v>
      </c>
      <c r="J1044" s="16">
        <v>10075.74056332327</v>
      </c>
      <c r="K1044" s="16">
        <v>-2348.700563323272</v>
      </c>
      <c r="L1044" s="13"/>
      <c r="M1044" s="13">
        <v>3</v>
      </c>
      <c r="N1044" s="17">
        <f t="shared" si="34"/>
        <v>0</v>
      </c>
      <c r="O1044" s="17">
        <f t="shared" si="34"/>
        <v>8049</v>
      </c>
      <c r="P1044" s="17">
        <f t="shared" si="35"/>
        <v>8049</v>
      </c>
      <c r="Q1044" t="str">
        <f>A1044&amp;"-"&amp;B1044&amp;"-"&amp;D1044</f>
        <v>MARET-MJ1-L8</v>
      </c>
    </row>
    <row r="1045" spans="1:17" x14ac:dyDescent="0.25">
      <c r="A1045" t="s">
        <v>393</v>
      </c>
      <c r="B1045" s="13" t="s">
        <v>25</v>
      </c>
      <c r="C1045" s="13" t="s">
        <v>43</v>
      </c>
      <c r="D1045" s="14" t="s">
        <v>198</v>
      </c>
      <c r="E1045" s="13" t="s">
        <v>305</v>
      </c>
      <c r="F1045" s="13" t="s">
        <v>306</v>
      </c>
      <c r="G1045" s="13">
        <v>2.78</v>
      </c>
      <c r="H1045" s="15">
        <v>1105</v>
      </c>
      <c r="I1045" s="16">
        <v>3071.8999999999996</v>
      </c>
      <c r="J1045" s="16">
        <v>3190.2594366767275</v>
      </c>
      <c r="K1045" s="16">
        <v>-118.35943667672802</v>
      </c>
      <c r="L1045" s="13"/>
      <c r="M1045" s="13">
        <v>2.9</v>
      </c>
      <c r="N1045" s="17">
        <f t="shared" si="34"/>
        <v>0</v>
      </c>
      <c r="O1045" s="17">
        <f t="shared" si="34"/>
        <v>3204.5</v>
      </c>
      <c r="P1045" s="17">
        <f t="shared" si="35"/>
        <v>3204.5</v>
      </c>
      <c r="Q1045" t="str">
        <f>A1045&amp;"-"&amp;B1045&amp;"-"&amp;D1045</f>
        <v>MARET-MJ1-L8</v>
      </c>
    </row>
    <row r="1046" spans="1:17" x14ac:dyDescent="0.25">
      <c r="A1046" t="s">
        <v>393</v>
      </c>
      <c r="B1046" s="13" t="s">
        <v>25</v>
      </c>
      <c r="C1046" s="13" t="s">
        <v>43</v>
      </c>
      <c r="D1046" s="14" t="s">
        <v>199</v>
      </c>
      <c r="E1046" s="13" t="s">
        <v>302</v>
      </c>
      <c r="F1046" s="13" t="s">
        <v>304</v>
      </c>
      <c r="G1046" s="13">
        <v>2.88</v>
      </c>
      <c r="H1046" s="15">
        <v>492</v>
      </c>
      <c r="I1046" s="16">
        <v>1416.96</v>
      </c>
      <c r="J1046" s="16">
        <v>2934.8172727728734</v>
      </c>
      <c r="K1046" s="16">
        <v>-1517.8572727728731</v>
      </c>
      <c r="L1046" s="13"/>
      <c r="M1046" s="13">
        <v>3</v>
      </c>
      <c r="N1046" s="17">
        <f t="shared" si="34"/>
        <v>0</v>
      </c>
      <c r="O1046" s="17">
        <f t="shared" si="34"/>
        <v>1476</v>
      </c>
      <c r="P1046" s="17">
        <f t="shared" si="35"/>
        <v>1476</v>
      </c>
      <c r="Q1046" t="str">
        <f>A1046&amp;"-"&amp;B1046&amp;"-"&amp;D1046</f>
        <v>MARET-MJ1-L9</v>
      </c>
    </row>
    <row r="1047" spans="1:17" x14ac:dyDescent="0.25">
      <c r="A1047" t="s">
        <v>393</v>
      </c>
      <c r="B1047" s="13" t="s">
        <v>25</v>
      </c>
      <c r="C1047" s="13" t="s">
        <v>43</v>
      </c>
      <c r="D1047" s="14" t="s">
        <v>199</v>
      </c>
      <c r="E1047" s="13" t="s">
        <v>305</v>
      </c>
      <c r="F1047" s="13" t="s">
        <v>306</v>
      </c>
      <c r="G1047" s="13">
        <v>2.78</v>
      </c>
      <c r="H1047" s="15">
        <v>133</v>
      </c>
      <c r="I1047" s="16">
        <v>369.73999999999995</v>
      </c>
      <c r="J1047" s="16">
        <v>683.18272722712675</v>
      </c>
      <c r="K1047" s="16">
        <v>-313.44272722712685</v>
      </c>
      <c r="L1047" s="13"/>
      <c r="M1047" s="13">
        <v>2.9</v>
      </c>
      <c r="N1047" s="17">
        <f t="shared" si="34"/>
        <v>0</v>
      </c>
      <c r="O1047" s="17">
        <f t="shared" si="34"/>
        <v>385.7</v>
      </c>
      <c r="P1047" s="17">
        <f t="shared" si="35"/>
        <v>385.7</v>
      </c>
      <c r="Q1047" t="str">
        <f>A1047&amp;"-"&amp;B1047&amp;"-"&amp;D1047</f>
        <v>MARET-MJ1-L9</v>
      </c>
    </row>
    <row r="1048" spans="1:17" x14ac:dyDescent="0.25">
      <c r="A1048" t="s">
        <v>393</v>
      </c>
      <c r="B1048" s="13" t="s">
        <v>25</v>
      </c>
      <c r="C1048" s="13" t="s">
        <v>70</v>
      </c>
      <c r="D1048" s="14" t="s">
        <v>310</v>
      </c>
      <c r="E1048" s="13" t="s">
        <v>73</v>
      </c>
      <c r="F1048" s="13" t="s">
        <v>316</v>
      </c>
      <c r="G1048" s="13">
        <v>4.5</v>
      </c>
      <c r="H1048" s="15">
        <v>0</v>
      </c>
      <c r="I1048" s="16">
        <v>0</v>
      </c>
      <c r="J1048" s="16">
        <v>1206</v>
      </c>
      <c r="K1048" s="16">
        <v>-1206</v>
      </c>
      <c r="L1048" s="13">
        <v>10.48</v>
      </c>
      <c r="M1048" s="13"/>
      <c r="N1048" s="17">
        <f t="shared" si="34"/>
        <v>0</v>
      </c>
      <c r="O1048" s="17">
        <f t="shared" si="34"/>
        <v>0</v>
      </c>
      <c r="P1048" s="17">
        <f t="shared" si="35"/>
        <v>0</v>
      </c>
      <c r="Q1048" t="str">
        <f>A1048&amp;"-"&amp;B1048&amp;"-"&amp;D1048</f>
        <v>MARET-MJ1-L12</v>
      </c>
    </row>
    <row r="1049" spans="1:17" x14ac:dyDescent="0.25">
      <c r="A1049" t="s">
        <v>393</v>
      </c>
      <c r="B1049" s="13" t="s">
        <v>25</v>
      </c>
      <c r="C1049" s="13" t="s">
        <v>70</v>
      </c>
      <c r="D1049" s="14" t="s">
        <v>320</v>
      </c>
      <c r="E1049" s="13" t="s">
        <v>77</v>
      </c>
      <c r="F1049" s="13" t="s">
        <v>325</v>
      </c>
      <c r="G1049" s="13">
        <v>3.7</v>
      </c>
      <c r="H1049" s="15">
        <v>0</v>
      </c>
      <c r="I1049" s="16">
        <v>0</v>
      </c>
      <c r="J1049" s="16">
        <v>1206</v>
      </c>
      <c r="K1049" s="16">
        <v>-1206</v>
      </c>
      <c r="L1049" s="13">
        <v>12.41</v>
      </c>
      <c r="M1049" s="13"/>
      <c r="N1049" s="17">
        <f t="shared" si="34"/>
        <v>0</v>
      </c>
      <c r="O1049" s="17">
        <f t="shared" si="34"/>
        <v>0</v>
      </c>
      <c r="P1049" s="17">
        <f t="shared" si="35"/>
        <v>0</v>
      </c>
      <c r="Q1049" t="str">
        <f>A1049&amp;"-"&amp;B1049&amp;"-"&amp;D1049</f>
        <v>MARET-MJ1-L13</v>
      </c>
    </row>
    <row r="1050" spans="1:17" x14ac:dyDescent="0.25">
      <c r="A1050" t="s">
        <v>393</v>
      </c>
      <c r="B1050" s="13" t="s">
        <v>25</v>
      </c>
      <c r="C1050" s="13" t="s">
        <v>329</v>
      </c>
      <c r="D1050" s="14" t="s">
        <v>50</v>
      </c>
      <c r="E1050" s="13" t="s">
        <v>71</v>
      </c>
      <c r="F1050" s="13" t="s">
        <v>633</v>
      </c>
      <c r="G1050" s="13">
        <v>5</v>
      </c>
      <c r="H1050" s="15">
        <v>47</v>
      </c>
      <c r="I1050" s="16">
        <v>235</v>
      </c>
      <c r="J1050" s="16">
        <v>269.91428571428571</v>
      </c>
      <c r="K1050" s="16">
        <v>-34.914285714285711</v>
      </c>
      <c r="L1050" s="13"/>
      <c r="M1050" s="13"/>
      <c r="N1050" s="17">
        <f t="shared" si="34"/>
        <v>0</v>
      </c>
      <c r="O1050" s="17">
        <f t="shared" si="34"/>
        <v>0</v>
      </c>
      <c r="P1050" s="17">
        <f t="shared" si="35"/>
        <v>0</v>
      </c>
      <c r="Q1050" t="str">
        <f>A1050&amp;"-"&amp;B1050&amp;"-"&amp;D1050</f>
        <v>MARET-MJ1-L2</v>
      </c>
    </row>
    <row r="1051" spans="1:17" x14ac:dyDescent="0.25">
      <c r="A1051" t="s">
        <v>393</v>
      </c>
      <c r="B1051" s="13" t="s">
        <v>25</v>
      </c>
      <c r="C1051" s="13" t="s">
        <v>329</v>
      </c>
      <c r="D1051" s="14" t="s">
        <v>50</v>
      </c>
      <c r="E1051" s="13" t="s">
        <v>71</v>
      </c>
      <c r="F1051" s="13" t="s">
        <v>330</v>
      </c>
      <c r="G1051" s="13">
        <v>5</v>
      </c>
      <c r="H1051" s="15">
        <v>57</v>
      </c>
      <c r="I1051" s="16">
        <v>285</v>
      </c>
      <c r="J1051" s="16">
        <v>352.32428571428568</v>
      </c>
      <c r="K1051" s="16">
        <v>-67.324285714285679</v>
      </c>
      <c r="L1051" s="13"/>
      <c r="M1051" s="13">
        <v>5.95</v>
      </c>
      <c r="N1051" s="17">
        <f t="shared" ref="N1051:O1111" si="36">$H1051*L1051</f>
        <v>0</v>
      </c>
      <c r="O1051" s="17">
        <f t="shared" si="36"/>
        <v>339.15000000000003</v>
      </c>
      <c r="P1051" s="17">
        <f t="shared" si="35"/>
        <v>339.15000000000003</v>
      </c>
      <c r="Q1051" t="str">
        <f>A1051&amp;"-"&amp;B1051&amp;"-"&amp;D1051</f>
        <v>MARET-MJ1-L2</v>
      </c>
    </row>
    <row r="1052" spans="1:17" x14ac:dyDescent="0.25">
      <c r="A1052" t="s">
        <v>393</v>
      </c>
      <c r="B1052" s="13" t="s">
        <v>25</v>
      </c>
      <c r="C1052" s="13" t="s">
        <v>329</v>
      </c>
      <c r="D1052" s="14" t="s">
        <v>50</v>
      </c>
      <c r="E1052" s="13" t="s">
        <v>71</v>
      </c>
      <c r="F1052" s="13" t="s">
        <v>331</v>
      </c>
      <c r="G1052" s="13">
        <v>5</v>
      </c>
      <c r="H1052" s="15">
        <v>3790</v>
      </c>
      <c r="I1052" s="16">
        <v>18950</v>
      </c>
      <c r="J1052" s="16">
        <v>20793.58859648804</v>
      </c>
      <c r="K1052" s="16">
        <v>-1843.5885964880454</v>
      </c>
      <c r="L1052" s="13"/>
      <c r="M1052" s="13"/>
      <c r="N1052" s="17">
        <f t="shared" si="36"/>
        <v>0</v>
      </c>
      <c r="O1052" s="17">
        <f t="shared" si="36"/>
        <v>0</v>
      </c>
      <c r="P1052" s="17">
        <f t="shared" si="35"/>
        <v>0</v>
      </c>
      <c r="Q1052" t="str">
        <f>A1052&amp;"-"&amp;B1052&amp;"-"&amp;D1052</f>
        <v>MARET-MJ1-L2</v>
      </c>
    </row>
    <row r="1053" spans="1:17" x14ac:dyDescent="0.25">
      <c r="A1053" t="s">
        <v>393</v>
      </c>
      <c r="B1053" s="13" t="s">
        <v>25</v>
      </c>
      <c r="C1053" s="13" t="s">
        <v>329</v>
      </c>
      <c r="D1053" s="14" t="s">
        <v>50</v>
      </c>
      <c r="E1053" s="13" t="s">
        <v>71</v>
      </c>
      <c r="F1053" s="13" t="s">
        <v>332</v>
      </c>
      <c r="G1053" s="13">
        <v>5</v>
      </c>
      <c r="H1053" s="15">
        <v>441</v>
      </c>
      <c r="I1053" s="16">
        <v>2205</v>
      </c>
      <c r="J1053" s="16">
        <v>2704.1728320833831</v>
      </c>
      <c r="K1053" s="16">
        <v>-499.17283208338318</v>
      </c>
      <c r="L1053" s="13"/>
      <c r="M1053" s="13">
        <v>6.15</v>
      </c>
      <c r="N1053" s="17">
        <f t="shared" si="36"/>
        <v>0</v>
      </c>
      <c r="O1053" s="17">
        <f t="shared" si="36"/>
        <v>2712.15</v>
      </c>
      <c r="P1053" s="17">
        <f t="shared" si="35"/>
        <v>2712.15</v>
      </c>
      <c r="Q1053" t="str">
        <f>A1053&amp;"-"&amp;B1053&amp;"-"&amp;D1053</f>
        <v>MARET-MJ1-L2</v>
      </c>
    </row>
    <row r="1054" spans="1:17" x14ac:dyDescent="0.25">
      <c r="A1054" t="s">
        <v>393</v>
      </c>
      <c r="B1054" s="13" t="s">
        <v>25</v>
      </c>
      <c r="C1054" s="13" t="s">
        <v>329</v>
      </c>
      <c r="D1054" s="14" t="s">
        <v>56</v>
      </c>
      <c r="E1054" s="13" t="s">
        <v>71</v>
      </c>
      <c r="F1054" s="13" t="s">
        <v>333</v>
      </c>
      <c r="G1054" s="13">
        <v>5</v>
      </c>
      <c r="H1054" s="15">
        <v>5241</v>
      </c>
      <c r="I1054" s="16">
        <v>26205</v>
      </c>
      <c r="J1054" s="16">
        <v>26532</v>
      </c>
      <c r="K1054" s="16">
        <v>-327</v>
      </c>
      <c r="L1054" s="13"/>
      <c r="M1054" s="13">
        <v>6.95</v>
      </c>
      <c r="N1054" s="17">
        <f t="shared" si="36"/>
        <v>0</v>
      </c>
      <c r="O1054" s="17">
        <f t="shared" si="36"/>
        <v>36424.950000000004</v>
      </c>
      <c r="P1054" s="17">
        <f t="shared" si="35"/>
        <v>36424.950000000004</v>
      </c>
      <c r="Q1054" t="str">
        <f>A1054&amp;"-"&amp;B1054&amp;"-"&amp;D1054</f>
        <v>MARET-MJ1-L3</v>
      </c>
    </row>
    <row r="1055" spans="1:17" x14ac:dyDescent="0.25">
      <c r="A1055" t="s">
        <v>393</v>
      </c>
      <c r="B1055" s="13" t="s">
        <v>25</v>
      </c>
      <c r="C1055" s="13" t="s">
        <v>329</v>
      </c>
      <c r="D1055" s="14" t="s">
        <v>158</v>
      </c>
      <c r="E1055" s="13" t="s">
        <v>71</v>
      </c>
      <c r="F1055" s="13" t="s">
        <v>333</v>
      </c>
      <c r="G1055" s="13">
        <v>5</v>
      </c>
      <c r="H1055" s="15">
        <v>5366</v>
      </c>
      <c r="I1055" s="16">
        <v>26830</v>
      </c>
      <c r="J1055" s="16">
        <v>27738</v>
      </c>
      <c r="K1055" s="16">
        <v>-908.00000000000023</v>
      </c>
      <c r="L1055" s="13"/>
      <c r="M1055" s="13">
        <v>6.95</v>
      </c>
      <c r="N1055" s="17">
        <f t="shared" si="36"/>
        <v>0</v>
      </c>
      <c r="O1055" s="17">
        <f t="shared" si="36"/>
        <v>37293.700000000004</v>
      </c>
      <c r="P1055" s="17">
        <f t="shared" si="35"/>
        <v>37293.700000000004</v>
      </c>
      <c r="Q1055" t="str">
        <f>A1055&amp;"-"&amp;B1055&amp;"-"&amp;D1055</f>
        <v>MARET-MJ1-L4</v>
      </c>
    </row>
    <row r="1056" spans="1:17" x14ac:dyDescent="0.25">
      <c r="A1056" t="s">
        <v>393</v>
      </c>
      <c r="B1056" s="13" t="s">
        <v>26</v>
      </c>
      <c r="C1056" s="13" t="s">
        <v>339</v>
      </c>
      <c r="D1056" s="14" t="s">
        <v>301</v>
      </c>
      <c r="E1056" s="13" t="s">
        <v>61</v>
      </c>
      <c r="F1056" s="13" t="s">
        <v>340</v>
      </c>
      <c r="G1056" s="13">
        <v>1.75</v>
      </c>
      <c r="H1056" s="15">
        <v>7</v>
      </c>
      <c r="I1056" s="16">
        <v>12.25</v>
      </c>
      <c r="J1056" s="16">
        <v>4.3995021779713754</v>
      </c>
      <c r="K1056" s="16">
        <v>7.8504978220286246</v>
      </c>
      <c r="L1056" s="13">
        <v>2.96</v>
      </c>
      <c r="M1056" s="13"/>
      <c r="N1056" s="17">
        <f t="shared" si="36"/>
        <v>20.72</v>
      </c>
      <c r="O1056" s="17">
        <f t="shared" si="36"/>
        <v>0</v>
      </c>
      <c r="P1056" s="17">
        <f t="shared" si="35"/>
        <v>20.72</v>
      </c>
      <c r="Q1056" t="str">
        <f>A1056&amp;"-"&amp;B1056&amp;"-"&amp;D1056</f>
        <v>MARET-MJ2-L10</v>
      </c>
    </row>
    <row r="1057" spans="1:17" x14ac:dyDescent="0.25">
      <c r="A1057" t="s">
        <v>393</v>
      </c>
      <c r="B1057" s="13" t="s">
        <v>26</v>
      </c>
      <c r="C1057" s="13" t="s">
        <v>339</v>
      </c>
      <c r="D1057" s="14" t="s">
        <v>287</v>
      </c>
      <c r="E1057" s="13" t="s">
        <v>61</v>
      </c>
      <c r="F1057" s="13" t="s">
        <v>340</v>
      </c>
      <c r="G1057" s="13">
        <v>1.75</v>
      </c>
      <c r="H1057" s="15">
        <v>8</v>
      </c>
      <c r="I1057" s="16">
        <v>14</v>
      </c>
      <c r="J1057" s="16">
        <v>5.0248756218905468</v>
      </c>
      <c r="K1057" s="16">
        <v>8.9751243781094523</v>
      </c>
      <c r="L1057" s="13">
        <v>2.96</v>
      </c>
      <c r="M1057" s="13"/>
      <c r="N1057" s="17">
        <f t="shared" si="36"/>
        <v>23.68</v>
      </c>
      <c r="O1057" s="17">
        <f t="shared" si="36"/>
        <v>0</v>
      </c>
      <c r="P1057" s="17">
        <f t="shared" si="35"/>
        <v>23.68</v>
      </c>
      <c r="Q1057" t="str">
        <f>A1057&amp;"-"&amp;B1057&amp;"-"&amp;D1057</f>
        <v>MARET-MJ2-L11</v>
      </c>
    </row>
    <row r="1058" spans="1:17" x14ac:dyDescent="0.25">
      <c r="A1058" t="s">
        <v>393</v>
      </c>
      <c r="B1058" s="13" t="s">
        <v>26</v>
      </c>
      <c r="C1058" s="13" t="s">
        <v>339</v>
      </c>
      <c r="D1058" s="14" t="s">
        <v>310</v>
      </c>
      <c r="E1058" s="13" t="s">
        <v>61</v>
      </c>
      <c r="F1058" s="13" t="s">
        <v>340</v>
      </c>
      <c r="G1058" s="13">
        <v>1.75</v>
      </c>
      <c r="H1058" s="15">
        <v>2</v>
      </c>
      <c r="I1058" s="16">
        <v>3.5</v>
      </c>
      <c r="J1058" s="16">
        <v>1.680532445923461</v>
      </c>
      <c r="K1058" s="16">
        <v>1.819467554076539</v>
      </c>
      <c r="L1058" s="13">
        <v>2.96</v>
      </c>
      <c r="M1058" s="13"/>
      <c r="N1058" s="17">
        <f t="shared" si="36"/>
        <v>5.92</v>
      </c>
      <c r="O1058" s="17">
        <f t="shared" si="36"/>
        <v>0</v>
      </c>
      <c r="P1058" s="17">
        <f t="shared" si="35"/>
        <v>5.92</v>
      </c>
      <c r="Q1058" t="str">
        <f>A1058&amp;"-"&amp;B1058&amp;"-"&amp;D1058</f>
        <v>MARET-MJ2-L12</v>
      </c>
    </row>
    <row r="1059" spans="1:17" x14ac:dyDescent="0.25">
      <c r="A1059" t="s">
        <v>393</v>
      </c>
      <c r="B1059" s="13" t="s">
        <v>26</v>
      </c>
      <c r="C1059" s="13" t="s">
        <v>339</v>
      </c>
      <c r="D1059" s="14" t="s">
        <v>320</v>
      </c>
      <c r="E1059" s="13" t="s">
        <v>61</v>
      </c>
      <c r="F1059" s="13" t="s">
        <v>340</v>
      </c>
      <c r="G1059" s="13">
        <v>1.75</v>
      </c>
      <c r="H1059" s="15">
        <v>2</v>
      </c>
      <c r="I1059" s="16">
        <v>3.5</v>
      </c>
      <c r="J1059" s="16">
        <v>1.680532445923461</v>
      </c>
      <c r="K1059" s="16">
        <v>1.819467554076539</v>
      </c>
      <c r="L1059" s="13">
        <v>2.96</v>
      </c>
      <c r="M1059" s="13"/>
      <c r="N1059" s="17">
        <f t="shared" si="36"/>
        <v>5.92</v>
      </c>
      <c r="O1059" s="17">
        <f t="shared" si="36"/>
        <v>0</v>
      </c>
      <c r="P1059" s="17">
        <f t="shared" si="35"/>
        <v>5.92</v>
      </c>
      <c r="Q1059" t="str">
        <f>A1059&amp;"-"&amp;B1059&amp;"-"&amp;D1059</f>
        <v>MARET-MJ2-L13</v>
      </c>
    </row>
    <row r="1060" spans="1:17" x14ac:dyDescent="0.25">
      <c r="A1060" t="s">
        <v>393</v>
      </c>
      <c r="B1060" s="13" t="s">
        <v>26</v>
      </c>
      <c r="C1060" s="13" t="s">
        <v>226</v>
      </c>
      <c r="D1060" s="14" t="s">
        <v>301</v>
      </c>
      <c r="E1060" s="13" t="s">
        <v>61</v>
      </c>
      <c r="F1060" s="13" t="s">
        <v>634</v>
      </c>
      <c r="G1060" s="13">
        <v>0.66</v>
      </c>
      <c r="H1060" s="15">
        <v>2403</v>
      </c>
      <c r="I1060" s="16">
        <v>1585.98</v>
      </c>
      <c r="J1060" s="16">
        <v>1766.3748303786388</v>
      </c>
      <c r="K1060" s="16">
        <v>-180.39483037863863</v>
      </c>
      <c r="L1060" s="13">
        <v>1.71</v>
      </c>
      <c r="M1060" s="13"/>
      <c r="N1060" s="17">
        <f t="shared" si="36"/>
        <v>4109.13</v>
      </c>
      <c r="O1060" s="17">
        <f t="shared" si="36"/>
        <v>0</v>
      </c>
      <c r="P1060" s="17">
        <f t="shared" si="35"/>
        <v>4109.13</v>
      </c>
      <c r="Q1060" t="str">
        <f>A1060&amp;"-"&amp;B1060&amp;"-"&amp;D1060</f>
        <v>MARET-MJ2-L10</v>
      </c>
    </row>
    <row r="1061" spans="1:17" x14ac:dyDescent="0.25">
      <c r="A1061" t="s">
        <v>393</v>
      </c>
      <c r="B1061" s="13" t="s">
        <v>26</v>
      </c>
      <c r="C1061" s="13" t="s">
        <v>226</v>
      </c>
      <c r="D1061" s="14" t="s">
        <v>301</v>
      </c>
      <c r="E1061" s="13" t="s">
        <v>61</v>
      </c>
      <c r="F1061" s="13" t="s">
        <v>635</v>
      </c>
      <c r="G1061" s="13">
        <v>0.70000000000000007</v>
      </c>
      <c r="H1061" s="15">
        <v>11642</v>
      </c>
      <c r="I1061" s="16">
        <v>8149.4</v>
      </c>
      <c r="J1061" s="16">
        <v>5720.9286920888844</v>
      </c>
      <c r="K1061" s="16">
        <v>2428.4713079111161</v>
      </c>
      <c r="L1061" s="13">
        <v>1.3</v>
      </c>
      <c r="M1061" s="13"/>
      <c r="N1061" s="17">
        <f t="shared" si="36"/>
        <v>15134.6</v>
      </c>
      <c r="O1061" s="17">
        <f t="shared" si="36"/>
        <v>0</v>
      </c>
      <c r="P1061" s="17">
        <f t="shared" si="35"/>
        <v>15134.6</v>
      </c>
      <c r="Q1061" t="str">
        <f>A1061&amp;"-"&amp;B1061&amp;"-"&amp;D1061</f>
        <v>MARET-MJ2-L10</v>
      </c>
    </row>
    <row r="1062" spans="1:17" x14ac:dyDescent="0.25">
      <c r="A1062" t="s">
        <v>393</v>
      </c>
      <c r="B1062" s="13" t="s">
        <v>26</v>
      </c>
      <c r="C1062" s="13" t="s">
        <v>226</v>
      </c>
      <c r="D1062" s="14" t="s">
        <v>301</v>
      </c>
      <c r="E1062" s="13" t="s">
        <v>61</v>
      </c>
      <c r="F1062" s="13" t="s">
        <v>636</v>
      </c>
      <c r="G1062" s="13">
        <v>0.7</v>
      </c>
      <c r="H1062" s="15">
        <v>2662</v>
      </c>
      <c r="I1062" s="16">
        <v>1863.4</v>
      </c>
      <c r="J1062" s="16">
        <v>1502.1433001894263</v>
      </c>
      <c r="K1062" s="16">
        <v>361.25669981057371</v>
      </c>
      <c r="L1062" s="13">
        <v>1.3</v>
      </c>
      <c r="M1062" s="13"/>
      <c r="N1062" s="17">
        <f t="shared" si="36"/>
        <v>3460.6</v>
      </c>
      <c r="O1062" s="17">
        <f t="shared" si="36"/>
        <v>0</v>
      </c>
      <c r="P1062" s="17">
        <f t="shared" si="35"/>
        <v>3460.6</v>
      </c>
      <c r="Q1062" t="str">
        <f>A1062&amp;"-"&amp;B1062&amp;"-"&amp;D1062</f>
        <v>MARET-MJ2-L10</v>
      </c>
    </row>
    <row r="1063" spans="1:17" x14ac:dyDescent="0.25">
      <c r="A1063" t="s">
        <v>393</v>
      </c>
      <c r="B1063" s="13" t="s">
        <v>26</v>
      </c>
      <c r="C1063" s="13" t="s">
        <v>226</v>
      </c>
      <c r="D1063" s="14" t="s">
        <v>301</v>
      </c>
      <c r="E1063" s="13" t="s">
        <v>61</v>
      </c>
      <c r="F1063" s="13" t="s">
        <v>637</v>
      </c>
      <c r="G1063" s="13">
        <v>0.70000000000000007</v>
      </c>
      <c r="H1063" s="15">
        <v>8646</v>
      </c>
      <c r="I1063" s="16">
        <v>6052.2000000000007</v>
      </c>
      <c r="J1063" s="16">
        <v>4836.539521937475</v>
      </c>
      <c r="K1063" s="16">
        <v>1215.6604780625248</v>
      </c>
      <c r="L1063" s="13">
        <v>1.3</v>
      </c>
      <c r="M1063" s="13"/>
      <c r="N1063" s="17">
        <f t="shared" si="36"/>
        <v>11239.800000000001</v>
      </c>
      <c r="O1063" s="17">
        <f t="shared" si="36"/>
        <v>0</v>
      </c>
      <c r="P1063" s="17">
        <f t="shared" si="35"/>
        <v>11239.800000000001</v>
      </c>
      <c r="Q1063" t="str">
        <f>A1063&amp;"-"&amp;B1063&amp;"-"&amp;D1063</f>
        <v>MARET-MJ2-L10</v>
      </c>
    </row>
    <row r="1064" spans="1:17" x14ac:dyDescent="0.25">
      <c r="A1064" t="s">
        <v>393</v>
      </c>
      <c r="B1064" s="13" t="s">
        <v>26</v>
      </c>
      <c r="C1064" s="13" t="s">
        <v>226</v>
      </c>
      <c r="D1064" s="14" t="s">
        <v>301</v>
      </c>
      <c r="E1064" s="13" t="s">
        <v>61</v>
      </c>
      <c r="F1064" s="13" t="s">
        <v>495</v>
      </c>
      <c r="G1064" s="13">
        <v>0.80000000000000016</v>
      </c>
      <c r="H1064" s="15">
        <v>30</v>
      </c>
      <c r="I1064" s="16">
        <v>24</v>
      </c>
      <c r="J1064" s="16">
        <v>21.554514374514373</v>
      </c>
      <c r="K1064" s="16">
        <v>2.4454856254856256</v>
      </c>
      <c r="L1064" s="13">
        <v>2.16</v>
      </c>
      <c r="M1064" s="13"/>
      <c r="N1064" s="17">
        <f t="shared" si="36"/>
        <v>64.800000000000011</v>
      </c>
      <c r="O1064" s="17">
        <f t="shared" si="36"/>
        <v>0</v>
      </c>
      <c r="P1064" s="17">
        <f t="shared" si="35"/>
        <v>64.800000000000011</v>
      </c>
      <c r="Q1064" t="str">
        <f>A1064&amp;"-"&amp;B1064&amp;"-"&amp;D1064</f>
        <v>MARET-MJ2-L10</v>
      </c>
    </row>
    <row r="1065" spans="1:17" x14ac:dyDescent="0.25">
      <c r="A1065" t="s">
        <v>393</v>
      </c>
      <c r="B1065" s="13" t="s">
        <v>26</v>
      </c>
      <c r="C1065" s="13" t="s">
        <v>226</v>
      </c>
      <c r="D1065" s="14" t="s">
        <v>301</v>
      </c>
      <c r="E1065" s="13" t="s">
        <v>61</v>
      </c>
      <c r="F1065" s="13" t="s">
        <v>638</v>
      </c>
      <c r="G1065" s="13">
        <v>0.79</v>
      </c>
      <c r="H1065" s="15">
        <v>1919</v>
      </c>
      <c r="I1065" s="16">
        <v>1516.01</v>
      </c>
      <c r="J1065" s="16">
        <v>1410.7815970949919</v>
      </c>
      <c r="K1065" s="16">
        <v>105.22840290500812</v>
      </c>
      <c r="L1065" s="13">
        <v>2.15</v>
      </c>
      <c r="M1065" s="13"/>
      <c r="N1065" s="17">
        <f t="shared" si="36"/>
        <v>4125.8499999999995</v>
      </c>
      <c r="O1065" s="17">
        <f t="shared" si="36"/>
        <v>0</v>
      </c>
      <c r="P1065" s="17">
        <f t="shared" si="35"/>
        <v>4125.8499999999995</v>
      </c>
      <c r="Q1065" t="str">
        <f>A1065&amp;"-"&amp;B1065&amp;"-"&amp;D1065</f>
        <v>MARET-MJ2-L10</v>
      </c>
    </row>
    <row r="1066" spans="1:17" x14ac:dyDescent="0.25">
      <c r="A1066" t="s">
        <v>393</v>
      </c>
      <c r="B1066" s="13" t="s">
        <v>26</v>
      </c>
      <c r="C1066" s="13" t="s">
        <v>226</v>
      </c>
      <c r="D1066" s="14" t="s">
        <v>301</v>
      </c>
      <c r="E1066" s="13" t="s">
        <v>61</v>
      </c>
      <c r="F1066" s="13" t="s">
        <v>639</v>
      </c>
      <c r="G1066" s="13">
        <v>0.72</v>
      </c>
      <c r="H1066" s="15">
        <v>686</v>
      </c>
      <c r="I1066" s="16">
        <v>493.92</v>
      </c>
      <c r="J1066" s="16">
        <v>507.8615522812571</v>
      </c>
      <c r="K1066" s="16">
        <v>-13.94155228125711</v>
      </c>
      <c r="L1066" s="13">
        <v>2.31</v>
      </c>
      <c r="M1066" s="13"/>
      <c r="N1066" s="17">
        <f t="shared" si="36"/>
        <v>1584.66</v>
      </c>
      <c r="O1066" s="17">
        <f t="shared" si="36"/>
        <v>0</v>
      </c>
      <c r="P1066" s="17">
        <f t="shared" si="35"/>
        <v>1584.66</v>
      </c>
      <c r="Q1066" t="str">
        <f>A1066&amp;"-"&amp;B1066&amp;"-"&amp;D1066</f>
        <v>MARET-MJ2-L10</v>
      </c>
    </row>
    <row r="1067" spans="1:17" x14ac:dyDescent="0.25">
      <c r="A1067" t="s">
        <v>393</v>
      </c>
      <c r="B1067" s="13" t="s">
        <v>26</v>
      </c>
      <c r="C1067" s="13" t="s">
        <v>226</v>
      </c>
      <c r="D1067" s="14" t="s">
        <v>301</v>
      </c>
      <c r="E1067" s="13" t="s">
        <v>61</v>
      </c>
      <c r="F1067" s="13" t="s">
        <v>640</v>
      </c>
      <c r="G1067" s="13">
        <v>0.79</v>
      </c>
      <c r="H1067" s="15">
        <v>21</v>
      </c>
      <c r="I1067" s="16">
        <v>16.59</v>
      </c>
      <c r="J1067" s="16">
        <v>11.565568125922281</v>
      </c>
      <c r="K1067" s="16">
        <v>5.0244318740777203</v>
      </c>
      <c r="L1067" s="13">
        <v>2.42</v>
      </c>
      <c r="M1067" s="13"/>
      <c r="N1067" s="17">
        <f t="shared" si="36"/>
        <v>50.82</v>
      </c>
      <c r="O1067" s="17">
        <f t="shared" si="36"/>
        <v>0</v>
      </c>
      <c r="P1067" s="17">
        <f t="shared" si="35"/>
        <v>50.82</v>
      </c>
      <c r="Q1067" t="str">
        <f>A1067&amp;"-"&amp;B1067&amp;"-"&amp;D1067</f>
        <v>MARET-MJ2-L10</v>
      </c>
    </row>
    <row r="1068" spans="1:17" x14ac:dyDescent="0.25">
      <c r="A1068" t="s">
        <v>393</v>
      </c>
      <c r="B1068" s="13" t="s">
        <v>26</v>
      </c>
      <c r="C1068" s="13" t="s">
        <v>226</v>
      </c>
      <c r="D1068" s="14" t="s">
        <v>301</v>
      </c>
      <c r="E1068" s="13" t="s">
        <v>61</v>
      </c>
      <c r="F1068" s="13" t="s">
        <v>641</v>
      </c>
      <c r="G1068" s="13">
        <v>0.79</v>
      </c>
      <c r="H1068" s="15">
        <v>1312</v>
      </c>
      <c r="I1068" s="16">
        <v>1036.48</v>
      </c>
      <c r="J1068" s="16">
        <v>977.91125079464246</v>
      </c>
      <c r="K1068" s="16">
        <v>58.568749205357506</v>
      </c>
      <c r="L1068" s="13">
        <v>2.42</v>
      </c>
      <c r="M1068" s="13"/>
      <c r="N1068" s="17">
        <f t="shared" si="36"/>
        <v>3175.04</v>
      </c>
      <c r="O1068" s="17">
        <f t="shared" si="36"/>
        <v>0</v>
      </c>
      <c r="P1068" s="17">
        <f t="shared" si="35"/>
        <v>3175.04</v>
      </c>
      <c r="Q1068" t="str">
        <f>A1068&amp;"-"&amp;B1068&amp;"-"&amp;D1068</f>
        <v>MARET-MJ2-L10</v>
      </c>
    </row>
    <row r="1069" spans="1:17" x14ac:dyDescent="0.25">
      <c r="A1069" t="s">
        <v>393</v>
      </c>
      <c r="B1069" s="13" t="s">
        <v>26</v>
      </c>
      <c r="C1069" s="13" t="s">
        <v>226</v>
      </c>
      <c r="D1069" s="14" t="s">
        <v>301</v>
      </c>
      <c r="E1069" s="13" t="s">
        <v>61</v>
      </c>
      <c r="F1069" s="13" t="s">
        <v>500</v>
      </c>
      <c r="G1069" s="13">
        <v>0.79</v>
      </c>
      <c r="H1069" s="15">
        <v>1613</v>
      </c>
      <c r="I1069" s="16">
        <v>1274.27</v>
      </c>
      <c r="J1069" s="16">
        <v>1056.2763636363636</v>
      </c>
      <c r="K1069" s="16">
        <v>217.99363636363637</v>
      </c>
      <c r="L1069" s="13">
        <v>2.15</v>
      </c>
      <c r="M1069" s="13"/>
      <c r="N1069" s="17">
        <f t="shared" si="36"/>
        <v>3467.95</v>
      </c>
      <c r="O1069" s="17">
        <f t="shared" si="36"/>
        <v>0</v>
      </c>
      <c r="P1069" s="17">
        <f t="shared" si="35"/>
        <v>3467.95</v>
      </c>
      <c r="Q1069" t="str">
        <f>A1069&amp;"-"&amp;B1069&amp;"-"&amp;D1069</f>
        <v>MARET-MJ2-L10</v>
      </c>
    </row>
    <row r="1070" spans="1:17" x14ac:dyDescent="0.25">
      <c r="A1070" t="s">
        <v>393</v>
      </c>
      <c r="B1070" s="13" t="s">
        <v>26</v>
      </c>
      <c r="C1070" s="13" t="s">
        <v>226</v>
      </c>
      <c r="D1070" s="14" t="s">
        <v>301</v>
      </c>
      <c r="E1070" s="13" t="s">
        <v>61</v>
      </c>
      <c r="F1070" s="13" t="s">
        <v>503</v>
      </c>
      <c r="G1070" s="13">
        <v>0.72</v>
      </c>
      <c r="H1070" s="15">
        <v>33</v>
      </c>
      <c r="I1070" s="16">
        <v>23.759999999999998</v>
      </c>
      <c r="J1070" s="16">
        <v>24.066565656565654</v>
      </c>
      <c r="K1070" s="16">
        <v>-0.30656565656565604</v>
      </c>
      <c r="L1070" s="13">
        <v>2.31</v>
      </c>
      <c r="M1070" s="13"/>
      <c r="N1070" s="17">
        <f t="shared" si="36"/>
        <v>76.23</v>
      </c>
      <c r="O1070" s="17">
        <f t="shared" si="36"/>
        <v>0</v>
      </c>
      <c r="P1070" s="17">
        <f t="shared" si="35"/>
        <v>76.23</v>
      </c>
      <c r="Q1070" t="str">
        <f>A1070&amp;"-"&amp;B1070&amp;"-"&amp;D1070</f>
        <v>MARET-MJ2-L10</v>
      </c>
    </row>
    <row r="1071" spans="1:17" x14ac:dyDescent="0.25">
      <c r="A1071" t="s">
        <v>393</v>
      </c>
      <c r="B1071" s="13" t="s">
        <v>26</v>
      </c>
      <c r="C1071" s="13" t="s">
        <v>226</v>
      </c>
      <c r="D1071" s="14" t="s">
        <v>301</v>
      </c>
      <c r="E1071" s="13" t="s">
        <v>61</v>
      </c>
      <c r="F1071" s="13" t="s">
        <v>642</v>
      </c>
      <c r="G1071" s="13">
        <v>0.7599999999999999</v>
      </c>
      <c r="H1071" s="15">
        <v>1477</v>
      </c>
      <c r="I1071" s="16">
        <v>1122.52</v>
      </c>
      <c r="J1071" s="16">
        <v>1091.0080479693358</v>
      </c>
      <c r="K1071" s="16">
        <v>31.511952030664148</v>
      </c>
      <c r="L1071" s="13">
        <v>2.02</v>
      </c>
      <c r="M1071" s="13"/>
      <c r="N1071" s="17">
        <f t="shared" si="36"/>
        <v>2983.54</v>
      </c>
      <c r="O1071" s="17">
        <f t="shared" si="36"/>
        <v>0</v>
      </c>
      <c r="P1071" s="17">
        <f t="shared" si="35"/>
        <v>2983.54</v>
      </c>
      <c r="Q1071" t="str">
        <f>A1071&amp;"-"&amp;B1071&amp;"-"&amp;D1071</f>
        <v>MARET-MJ2-L10</v>
      </c>
    </row>
    <row r="1072" spans="1:17" x14ac:dyDescent="0.25">
      <c r="A1072" t="s">
        <v>393</v>
      </c>
      <c r="B1072" s="13" t="s">
        <v>26</v>
      </c>
      <c r="C1072" s="13" t="s">
        <v>226</v>
      </c>
      <c r="D1072" s="14" t="s">
        <v>301</v>
      </c>
      <c r="E1072" s="13" t="s">
        <v>61</v>
      </c>
      <c r="F1072" s="13" t="s">
        <v>643</v>
      </c>
      <c r="G1072" s="13">
        <v>0.74</v>
      </c>
      <c r="H1072" s="15">
        <v>66</v>
      </c>
      <c r="I1072" s="16">
        <v>48.839999999999996</v>
      </c>
      <c r="J1072" s="16">
        <v>39.555812165508428</v>
      </c>
      <c r="K1072" s="16">
        <v>9.284187834491572</v>
      </c>
      <c r="L1072" s="13">
        <v>2.16</v>
      </c>
      <c r="M1072" s="13"/>
      <c r="N1072" s="17">
        <f t="shared" si="36"/>
        <v>142.56</v>
      </c>
      <c r="O1072" s="17">
        <f t="shared" si="36"/>
        <v>0</v>
      </c>
      <c r="P1072" s="17">
        <f t="shared" si="35"/>
        <v>142.56</v>
      </c>
      <c r="Q1072" t="str">
        <f>A1072&amp;"-"&amp;B1072&amp;"-"&amp;D1072</f>
        <v>MARET-MJ2-L10</v>
      </c>
    </row>
    <row r="1073" spans="1:17" x14ac:dyDescent="0.25">
      <c r="A1073" t="s">
        <v>393</v>
      </c>
      <c r="B1073" s="13" t="s">
        <v>26</v>
      </c>
      <c r="C1073" s="13" t="s">
        <v>226</v>
      </c>
      <c r="D1073" s="14" t="s">
        <v>301</v>
      </c>
      <c r="E1073" s="13" t="s">
        <v>61</v>
      </c>
      <c r="F1073" s="13" t="s">
        <v>644</v>
      </c>
      <c r="G1073" s="13">
        <v>0.79</v>
      </c>
      <c r="H1073" s="15">
        <v>1686</v>
      </c>
      <c r="I1073" s="16">
        <v>1331.94</v>
      </c>
      <c r="J1073" s="16">
        <v>1196.4884366840579</v>
      </c>
      <c r="K1073" s="16">
        <v>135.451563315942</v>
      </c>
      <c r="L1073" s="13">
        <v>2.42</v>
      </c>
      <c r="M1073" s="13"/>
      <c r="N1073" s="17">
        <f t="shared" si="36"/>
        <v>4080.12</v>
      </c>
      <c r="O1073" s="17">
        <f t="shared" si="36"/>
        <v>0</v>
      </c>
      <c r="P1073" s="17">
        <f t="shared" si="35"/>
        <v>4080.12</v>
      </c>
      <c r="Q1073" t="str">
        <f>A1073&amp;"-"&amp;B1073&amp;"-"&amp;D1073</f>
        <v>MARET-MJ2-L10</v>
      </c>
    </row>
    <row r="1074" spans="1:17" x14ac:dyDescent="0.25">
      <c r="A1074" t="s">
        <v>393</v>
      </c>
      <c r="B1074" s="13" t="s">
        <v>26</v>
      </c>
      <c r="C1074" s="13" t="s">
        <v>226</v>
      </c>
      <c r="D1074" s="14" t="s">
        <v>301</v>
      </c>
      <c r="E1074" s="13" t="s">
        <v>61</v>
      </c>
      <c r="F1074" s="13" t="s">
        <v>504</v>
      </c>
      <c r="G1074" s="13">
        <v>0.76000000000000012</v>
      </c>
      <c r="H1074" s="15">
        <v>3008</v>
      </c>
      <c r="I1074" s="16">
        <v>2286.08</v>
      </c>
      <c r="J1074" s="16">
        <v>2052.5444444444443</v>
      </c>
      <c r="K1074" s="16">
        <v>233.53555555555556</v>
      </c>
      <c r="L1074" s="13">
        <v>2.02</v>
      </c>
      <c r="M1074" s="13"/>
      <c r="N1074" s="17">
        <f t="shared" si="36"/>
        <v>6076.16</v>
      </c>
      <c r="O1074" s="17">
        <f t="shared" si="36"/>
        <v>0</v>
      </c>
      <c r="P1074" s="17">
        <f t="shared" si="35"/>
        <v>6076.16</v>
      </c>
      <c r="Q1074" t="str">
        <f>A1074&amp;"-"&amp;B1074&amp;"-"&amp;D1074</f>
        <v>MARET-MJ2-L10</v>
      </c>
    </row>
    <row r="1075" spans="1:17" x14ac:dyDescent="0.25">
      <c r="A1075" t="s">
        <v>393</v>
      </c>
      <c r="B1075" s="13" t="s">
        <v>26</v>
      </c>
      <c r="C1075" s="13" t="s">
        <v>226</v>
      </c>
      <c r="D1075" s="14" t="s">
        <v>287</v>
      </c>
      <c r="E1075" s="13" t="s">
        <v>61</v>
      </c>
      <c r="F1075" s="13" t="s">
        <v>634</v>
      </c>
      <c r="G1075" s="13">
        <v>0.66</v>
      </c>
      <c r="H1075" s="15">
        <v>2402</v>
      </c>
      <c r="I1075" s="16">
        <v>1585.3200000000002</v>
      </c>
      <c r="J1075" s="16">
        <v>1766.1584209373632</v>
      </c>
      <c r="K1075" s="16">
        <v>-180.83842093736314</v>
      </c>
      <c r="L1075" s="13">
        <v>1.71</v>
      </c>
      <c r="M1075" s="13"/>
      <c r="N1075" s="17">
        <f t="shared" si="36"/>
        <v>4107.42</v>
      </c>
      <c r="O1075" s="17">
        <f t="shared" si="36"/>
        <v>0</v>
      </c>
      <c r="P1075" s="17">
        <f t="shared" si="35"/>
        <v>4107.42</v>
      </c>
      <c r="Q1075" t="str">
        <f>A1075&amp;"-"&amp;B1075&amp;"-"&amp;D1075</f>
        <v>MARET-MJ2-L11</v>
      </c>
    </row>
    <row r="1076" spans="1:17" x14ac:dyDescent="0.25">
      <c r="A1076" t="s">
        <v>393</v>
      </c>
      <c r="B1076" s="13" t="s">
        <v>26</v>
      </c>
      <c r="C1076" s="13" t="s">
        <v>226</v>
      </c>
      <c r="D1076" s="14" t="s">
        <v>287</v>
      </c>
      <c r="E1076" s="13" t="s">
        <v>61</v>
      </c>
      <c r="F1076" s="13" t="s">
        <v>635</v>
      </c>
      <c r="G1076" s="13">
        <v>0.70000000000000007</v>
      </c>
      <c r="H1076" s="15">
        <v>11645</v>
      </c>
      <c r="I1076" s="16">
        <v>8151.5</v>
      </c>
      <c r="J1076" s="16">
        <v>5722.7760742575856</v>
      </c>
      <c r="K1076" s="16">
        <v>2428.7239257424148</v>
      </c>
      <c r="L1076" s="13">
        <v>1.3</v>
      </c>
      <c r="M1076" s="13"/>
      <c r="N1076" s="17">
        <f t="shared" si="36"/>
        <v>15138.5</v>
      </c>
      <c r="O1076" s="17">
        <f t="shared" si="36"/>
        <v>0</v>
      </c>
      <c r="P1076" s="17">
        <f t="shared" si="35"/>
        <v>15138.5</v>
      </c>
      <c r="Q1076" t="str">
        <f>A1076&amp;"-"&amp;B1076&amp;"-"&amp;D1076</f>
        <v>MARET-MJ2-L11</v>
      </c>
    </row>
    <row r="1077" spans="1:17" x14ac:dyDescent="0.25">
      <c r="A1077" t="s">
        <v>393</v>
      </c>
      <c r="B1077" s="13" t="s">
        <v>26</v>
      </c>
      <c r="C1077" s="13" t="s">
        <v>226</v>
      </c>
      <c r="D1077" s="14" t="s">
        <v>287</v>
      </c>
      <c r="E1077" s="13" t="s">
        <v>61</v>
      </c>
      <c r="F1077" s="13" t="s">
        <v>636</v>
      </c>
      <c r="G1077" s="13">
        <v>0.7</v>
      </c>
      <c r="H1077" s="15">
        <v>2661</v>
      </c>
      <c r="I1077" s="16">
        <v>1862.7</v>
      </c>
      <c r="J1077" s="16">
        <v>1501.4958212786728</v>
      </c>
      <c r="K1077" s="16">
        <v>361.20417872132714</v>
      </c>
      <c r="L1077" s="13">
        <v>1.3</v>
      </c>
      <c r="M1077" s="13"/>
      <c r="N1077" s="17">
        <f t="shared" si="36"/>
        <v>3459.3</v>
      </c>
      <c r="O1077" s="17">
        <f t="shared" si="36"/>
        <v>0</v>
      </c>
      <c r="P1077" s="17">
        <f t="shared" si="35"/>
        <v>3459.3</v>
      </c>
      <c r="Q1077" t="str">
        <f>A1077&amp;"-"&amp;B1077&amp;"-"&amp;D1077</f>
        <v>MARET-MJ2-L11</v>
      </c>
    </row>
    <row r="1078" spans="1:17" x14ac:dyDescent="0.25">
      <c r="A1078" t="s">
        <v>393</v>
      </c>
      <c r="B1078" s="13" t="s">
        <v>26</v>
      </c>
      <c r="C1078" s="13" t="s">
        <v>226</v>
      </c>
      <c r="D1078" s="14" t="s">
        <v>287</v>
      </c>
      <c r="E1078" s="13" t="s">
        <v>61</v>
      </c>
      <c r="F1078" s="13" t="s">
        <v>637</v>
      </c>
      <c r="G1078" s="13">
        <v>0.70000000000000007</v>
      </c>
      <c r="H1078" s="15">
        <v>8644</v>
      </c>
      <c r="I1078" s="16">
        <v>6050.7999999999993</v>
      </c>
      <c r="J1078" s="16">
        <v>4835.0445697068481</v>
      </c>
      <c r="K1078" s="16">
        <v>1215.7554302931524</v>
      </c>
      <c r="L1078" s="13">
        <v>1.3</v>
      </c>
      <c r="M1078" s="13"/>
      <c r="N1078" s="17">
        <f t="shared" si="36"/>
        <v>11237.2</v>
      </c>
      <c r="O1078" s="17">
        <f t="shared" si="36"/>
        <v>0</v>
      </c>
      <c r="P1078" s="17">
        <f t="shared" si="35"/>
        <v>11237.2</v>
      </c>
      <c r="Q1078" t="str">
        <f>A1078&amp;"-"&amp;B1078&amp;"-"&amp;D1078</f>
        <v>MARET-MJ2-L11</v>
      </c>
    </row>
    <row r="1079" spans="1:17" x14ac:dyDescent="0.25">
      <c r="A1079" t="s">
        <v>393</v>
      </c>
      <c r="B1079" s="13" t="s">
        <v>26</v>
      </c>
      <c r="C1079" s="13" t="s">
        <v>226</v>
      </c>
      <c r="D1079" s="14" t="s">
        <v>287</v>
      </c>
      <c r="E1079" s="13" t="s">
        <v>61</v>
      </c>
      <c r="F1079" s="13" t="s">
        <v>495</v>
      </c>
      <c r="G1079" s="13">
        <v>0.79999999999999993</v>
      </c>
      <c r="H1079" s="15">
        <v>223</v>
      </c>
      <c r="I1079" s="16">
        <v>178.4</v>
      </c>
      <c r="J1079" s="16">
        <v>166.04376889523465</v>
      </c>
      <c r="K1079" s="16">
        <v>12.356231104765328</v>
      </c>
      <c r="L1079" s="13">
        <v>2.16</v>
      </c>
      <c r="M1079" s="13"/>
      <c r="N1079" s="17">
        <f t="shared" si="36"/>
        <v>481.68</v>
      </c>
      <c r="O1079" s="17">
        <f t="shared" si="36"/>
        <v>0</v>
      </c>
      <c r="P1079" s="17">
        <f t="shared" si="35"/>
        <v>481.68</v>
      </c>
      <c r="Q1079" t="str">
        <f>A1079&amp;"-"&amp;B1079&amp;"-"&amp;D1079</f>
        <v>MARET-MJ2-L11</v>
      </c>
    </row>
    <row r="1080" spans="1:17" x14ac:dyDescent="0.25">
      <c r="A1080" t="s">
        <v>393</v>
      </c>
      <c r="B1080" s="13" t="s">
        <v>26</v>
      </c>
      <c r="C1080" s="13" t="s">
        <v>226</v>
      </c>
      <c r="D1080" s="14" t="s">
        <v>287</v>
      </c>
      <c r="E1080" s="13" t="s">
        <v>61</v>
      </c>
      <c r="F1080" s="13" t="s">
        <v>638</v>
      </c>
      <c r="G1080" s="13">
        <v>0.79</v>
      </c>
      <c r="H1080" s="15">
        <v>1913</v>
      </c>
      <c r="I1080" s="16">
        <v>1511.2699999999998</v>
      </c>
      <c r="J1080" s="16">
        <v>1443.9879260301614</v>
      </c>
      <c r="K1080" s="16">
        <v>67.282073969838549</v>
      </c>
      <c r="L1080" s="13">
        <v>2.15</v>
      </c>
      <c r="M1080" s="13"/>
      <c r="N1080" s="17">
        <f t="shared" si="36"/>
        <v>4112.95</v>
      </c>
      <c r="O1080" s="17">
        <f t="shared" si="36"/>
        <v>0</v>
      </c>
      <c r="P1080" s="17">
        <f t="shared" si="35"/>
        <v>4112.95</v>
      </c>
      <c r="Q1080" t="str">
        <f>A1080&amp;"-"&amp;B1080&amp;"-"&amp;D1080</f>
        <v>MARET-MJ2-L11</v>
      </c>
    </row>
    <row r="1081" spans="1:17" x14ac:dyDescent="0.25">
      <c r="A1081" t="s">
        <v>393</v>
      </c>
      <c r="B1081" s="13" t="s">
        <v>26</v>
      </c>
      <c r="C1081" s="13" t="s">
        <v>226</v>
      </c>
      <c r="D1081" s="14" t="s">
        <v>287</v>
      </c>
      <c r="E1081" s="13" t="s">
        <v>61</v>
      </c>
      <c r="F1081" s="13" t="s">
        <v>639</v>
      </c>
      <c r="G1081" s="13">
        <v>0.72000000000000008</v>
      </c>
      <c r="H1081" s="15">
        <v>276</v>
      </c>
      <c r="I1081" s="16">
        <v>198.72</v>
      </c>
      <c r="J1081" s="16">
        <v>202.42613053613056</v>
      </c>
      <c r="K1081" s="16">
        <v>-3.7061305361305443</v>
      </c>
      <c r="L1081" s="13">
        <v>2.31</v>
      </c>
      <c r="M1081" s="13"/>
      <c r="N1081" s="17">
        <f t="shared" si="36"/>
        <v>637.56000000000006</v>
      </c>
      <c r="O1081" s="17">
        <f t="shared" si="36"/>
        <v>0</v>
      </c>
      <c r="P1081" s="17">
        <f t="shared" si="35"/>
        <v>637.56000000000006</v>
      </c>
      <c r="Q1081" t="str">
        <f>A1081&amp;"-"&amp;B1081&amp;"-"&amp;D1081</f>
        <v>MARET-MJ2-L11</v>
      </c>
    </row>
    <row r="1082" spans="1:17" x14ac:dyDescent="0.25">
      <c r="A1082" t="s">
        <v>393</v>
      </c>
      <c r="B1082" s="13" t="s">
        <v>26</v>
      </c>
      <c r="C1082" s="13" t="s">
        <v>226</v>
      </c>
      <c r="D1082" s="14" t="s">
        <v>287</v>
      </c>
      <c r="E1082" s="13" t="s">
        <v>61</v>
      </c>
      <c r="F1082" s="13" t="s">
        <v>640</v>
      </c>
      <c r="G1082" s="13">
        <v>0.79</v>
      </c>
      <c r="H1082" s="15">
        <v>21</v>
      </c>
      <c r="I1082" s="16">
        <v>16.59</v>
      </c>
      <c r="J1082" s="16">
        <v>11.381199103678199</v>
      </c>
      <c r="K1082" s="16">
        <v>5.2088008963218018</v>
      </c>
      <c r="L1082" s="13">
        <v>2.42</v>
      </c>
      <c r="M1082" s="13"/>
      <c r="N1082" s="17">
        <f t="shared" si="36"/>
        <v>50.82</v>
      </c>
      <c r="O1082" s="17">
        <f t="shared" si="36"/>
        <v>0</v>
      </c>
      <c r="P1082" s="17">
        <f t="shared" si="35"/>
        <v>50.82</v>
      </c>
      <c r="Q1082" t="str">
        <f>A1082&amp;"-"&amp;B1082&amp;"-"&amp;D1082</f>
        <v>MARET-MJ2-L11</v>
      </c>
    </row>
    <row r="1083" spans="1:17" x14ac:dyDescent="0.25">
      <c r="A1083" t="s">
        <v>393</v>
      </c>
      <c r="B1083" s="13" t="s">
        <v>26</v>
      </c>
      <c r="C1083" s="13" t="s">
        <v>226</v>
      </c>
      <c r="D1083" s="14" t="s">
        <v>287</v>
      </c>
      <c r="E1083" s="13" t="s">
        <v>61</v>
      </c>
      <c r="F1083" s="13" t="s">
        <v>641</v>
      </c>
      <c r="G1083" s="13">
        <v>0.79</v>
      </c>
      <c r="H1083" s="15">
        <v>1312</v>
      </c>
      <c r="I1083" s="16">
        <v>1036.48</v>
      </c>
      <c r="J1083" s="16">
        <v>977.89482106169567</v>
      </c>
      <c r="K1083" s="16">
        <v>58.585178938304452</v>
      </c>
      <c r="L1083" s="13">
        <v>2.42</v>
      </c>
      <c r="M1083" s="13"/>
      <c r="N1083" s="17">
        <f t="shared" si="36"/>
        <v>3175.04</v>
      </c>
      <c r="O1083" s="17">
        <f t="shared" si="36"/>
        <v>0</v>
      </c>
      <c r="P1083" s="17">
        <f t="shared" si="35"/>
        <v>3175.04</v>
      </c>
      <c r="Q1083" t="str">
        <f>A1083&amp;"-"&amp;B1083&amp;"-"&amp;D1083</f>
        <v>MARET-MJ2-L11</v>
      </c>
    </row>
    <row r="1084" spans="1:17" x14ac:dyDescent="0.25">
      <c r="A1084" t="s">
        <v>393</v>
      </c>
      <c r="B1084" s="13" t="s">
        <v>26</v>
      </c>
      <c r="C1084" s="13" t="s">
        <v>226</v>
      </c>
      <c r="D1084" s="14" t="s">
        <v>287</v>
      </c>
      <c r="E1084" s="13" t="s">
        <v>61</v>
      </c>
      <c r="F1084" s="13" t="s">
        <v>500</v>
      </c>
      <c r="G1084" s="13">
        <v>0.79</v>
      </c>
      <c r="H1084" s="15">
        <v>1431</v>
      </c>
      <c r="I1084" s="16">
        <v>1130.49</v>
      </c>
      <c r="J1084" s="16">
        <v>985.01381835265306</v>
      </c>
      <c r="K1084" s="16">
        <v>145.47618164734689</v>
      </c>
      <c r="L1084" s="13">
        <v>2.15</v>
      </c>
      <c r="M1084" s="13"/>
      <c r="N1084" s="17">
        <f t="shared" si="36"/>
        <v>3076.65</v>
      </c>
      <c r="O1084" s="17">
        <f t="shared" si="36"/>
        <v>0</v>
      </c>
      <c r="P1084" s="17">
        <f t="shared" si="35"/>
        <v>3076.65</v>
      </c>
      <c r="Q1084" t="str">
        <f>A1084&amp;"-"&amp;B1084&amp;"-"&amp;D1084</f>
        <v>MARET-MJ2-L11</v>
      </c>
    </row>
    <row r="1085" spans="1:17" x14ac:dyDescent="0.25">
      <c r="A1085" t="s">
        <v>393</v>
      </c>
      <c r="B1085" s="13" t="s">
        <v>26</v>
      </c>
      <c r="C1085" s="13" t="s">
        <v>226</v>
      </c>
      <c r="D1085" s="14" t="s">
        <v>287</v>
      </c>
      <c r="E1085" s="13" t="s">
        <v>61</v>
      </c>
      <c r="F1085" s="13" t="s">
        <v>503</v>
      </c>
      <c r="G1085" s="13">
        <v>0.72</v>
      </c>
      <c r="H1085" s="15">
        <v>524</v>
      </c>
      <c r="I1085" s="16">
        <v>377.28</v>
      </c>
      <c r="J1085" s="16">
        <v>352.20352644040099</v>
      </c>
      <c r="K1085" s="16">
        <v>25.076473559598984</v>
      </c>
      <c r="L1085" s="13">
        <v>2.31</v>
      </c>
      <c r="M1085" s="13"/>
      <c r="N1085" s="17">
        <f t="shared" si="36"/>
        <v>1210.44</v>
      </c>
      <c r="O1085" s="17">
        <f t="shared" si="36"/>
        <v>0</v>
      </c>
      <c r="P1085" s="17">
        <f t="shared" si="35"/>
        <v>1210.44</v>
      </c>
      <c r="Q1085" t="str">
        <f>A1085&amp;"-"&amp;B1085&amp;"-"&amp;D1085</f>
        <v>MARET-MJ2-L11</v>
      </c>
    </row>
    <row r="1086" spans="1:17" x14ac:dyDescent="0.25">
      <c r="A1086" t="s">
        <v>393</v>
      </c>
      <c r="B1086" s="13" t="s">
        <v>26</v>
      </c>
      <c r="C1086" s="13" t="s">
        <v>226</v>
      </c>
      <c r="D1086" s="14" t="s">
        <v>287</v>
      </c>
      <c r="E1086" s="13" t="s">
        <v>61</v>
      </c>
      <c r="F1086" s="13" t="s">
        <v>642</v>
      </c>
      <c r="G1086" s="13">
        <v>0.76</v>
      </c>
      <c r="H1086" s="15">
        <v>694</v>
      </c>
      <c r="I1086" s="16">
        <v>527.44000000000005</v>
      </c>
      <c r="J1086" s="16">
        <v>507.76409047530063</v>
      </c>
      <c r="K1086" s="16">
        <v>19.675909524699421</v>
      </c>
      <c r="L1086" s="13">
        <v>2.02</v>
      </c>
      <c r="M1086" s="13"/>
      <c r="N1086" s="17">
        <f t="shared" si="36"/>
        <v>1401.88</v>
      </c>
      <c r="O1086" s="17">
        <f t="shared" si="36"/>
        <v>0</v>
      </c>
      <c r="P1086" s="17">
        <f t="shared" si="35"/>
        <v>1401.88</v>
      </c>
      <c r="Q1086" t="str">
        <f>A1086&amp;"-"&amp;B1086&amp;"-"&amp;D1086</f>
        <v>MARET-MJ2-L11</v>
      </c>
    </row>
    <row r="1087" spans="1:17" x14ac:dyDescent="0.25">
      <c r="A1087" t="s">
        <v>393</v>
      </c>
      <c r="B1087" s="13" t="s">
        <v>26</v>
      </c>
      <c r="C1087" s="13" t="s">
        <v>226</v>
      </c>
      <c r="D1087" s="14" t="s">
        <v>287</v>
      </c>
      <c r="E1087" s="13" t="s">
        <v>61</v>
      </c>
      <c r="F1087" s="13" t="s">
        <v>643</v>
      </c>
      <c r="G1087" s="13">
        <v>0.74</v>
      </c>
      <c r="H1087" s="15">
        <v>67</v>
      </c>
      <c r="I1087" s="16">
        <v>49.58</v>
      </c>
      <c r="J1087" s="16">
        <v>40.116923276619538</v>
      </c>
      <c r="K1087" s="16">
        <v>9.4630767233804622</v>
      </c>
      <c r="L1087" s="13">
        <v>2.16</v>
      </c>
      <c r="M1087" s="13"/>
      <c r="N1087" s="17">
        <f t="shared" si="36"/>
        <v>144.72</v>
      </c>
      <c r="O1087" s="17">
        <f t="shared" si="36"/>
        <v>0</v>
      </c>
      <c r="P1087" s="17">
        <f t="shared" si="35"/>
        <v>144.72</v>
      </c>
      <c r="Q1087" t="str">
        <f>A1087&amp;"-"&amp;B1087&amp;"-"&amp;D1087</f>
        <v>MARET-MJ2-L11</v>
      </c>
    </row>
    <row r="1088" spans="1:17" x14ac:dyDescent="0.25">
      <c r="A1088" t="s">
        <v>393</v>
      </c>
      <c r="B1088" s="13" t="s">
        <v>26</v>
      </c>
      <c r="C1088" s="13" t="s">
        <v>226</v>
      </c>
      <c r="D1088" s="14" t="s">
        <v>287</v>
      </c>
      <c r="E1088" s="13" t="s">
        <v>61</v>
      </c>
      <c r="F1088" s="13" t="s">
        <v>644</v>
      </c>
      <c r="G1088" s="13">
        <v>0.79</v>
      </c>
      <c r="H1088" s="15">
        <v>1686</v>
      </c>
      <c r="I1088" s="16">
        <v>1331.94</v>
      </c>
      <c r="J1088" s="16">
        <v>1196.538612205755</v>
      </c>
      <c r="K1088" s="16">
        <v>135.40138779424476</v>
      </c>
      <c r="L1088" s="13">
        <v>2.42</v>
      </c>
      <c r="M1088" s="13"/>
      <c r="N1088" s="17">
        <f t="shared" si="36"/>
        <v>4080.12</v>
      </c>
      <c r="O1088" s="17">
        <f t="shared" si="36"/>
        <v>0</v>
      </c>
      <c r="P1088" s="17">
        <f t="shared" si="35"/>
        <v>4080.12</v>
      </c>
      <c r="Q1088" t="str">
        <f>A1088&amp;"-"&amp;B1088&amp;"-"&amp;D1088</f>
        <v>MARET-MJ2-L11</v>
      </c>
    </row>
    <row r="1089" spans="1:17" x14ac:dyDescent="0.25">
      <c r="A1089" t="s">
        <v>393</v>
      </c>
      <c r="B1089" s="13" t="s">
        <v>26</v>
      </c>
      <c r="C1089" s="13" t="s">
        <v>226</v>
      </c>
      <c r="D1089" s="14" t="s">
        <v>287</v>
      </c>
      <c r="E1089" s="13" t="s">
        <v>61</v>
      </c>
      <c r="F1089" s="13" t="s">
        <v>504</v>
      </c>
      <c r="G1089" s="13">
        <v>0.7599999999999999</v>
      </c>
      <c r="H1089" s="15">
        <v>2219</v>
      </c>
      <c r="I1089" s="16">
        <v>1686.44</v>
      </c>
      <c r="J1089" s="16">
        <v>1714.1501114751838</v>
      </c>
      <c r="K1089" s="16">
        <v>-27.710111475183737</v>
      </c>
      <c r="L1089" s="13">
        <v>2.02</v>
      </c>
      <c r="M1089" s="13"/>
      <c r="N1089" s="17">
        <f t="shared" si="36"/>
        <v>4482.38</v>
      </c>
      <c r="O1089" s="17">
        <f t="shared" si="36"/>
        <v>0</v>
      </c>
      <c r="P1089" s="17">
        <f t="shared" si="35"/>
        <v>4482.38</v>
      </c>
      <c r="Q1089" t="str">
        <f>A1089&amp;"-"&amp;B1089&amp;"-"&amp;D1089</f>
        <v>MARET-MJ2-L11</v>
      </c>
    </row>
    <row r="1090" spans="1:17" x14ac:dyDescent="0.25">
      <c r="A1090" t="s">
        <v>393</v>
      </c>
      <c r="B1090" s="13" t="s">
        <v>26</v>
      </c>
      <c r="C1090" s="13" t="s">
        <v>226</v>
      </c>
      <c r="D1090" s="14" t="s">
        <v>287</v>
      </c>
      <c r="E1090" s="13" t="s">
        <v>61</v>
      </c>
      <c r="F1090" s="13" t="s">
        <v>645</v>
      </c>
      <c r="G1090" s="13">
        <v>0.74</v>
      </c>
      <c r="H1090" s="15">
        <v>1137</v>
      </c>
      <c r="I1090" s="16">
        <v>841.38</v>
      </c>
      <c r="J1090" s="16">
        <v>791.97931034482758</v>
      </c>
      <c r="K1090" s="16">
        <v>49.400689655172414</v>
      </c>
      <c r="L1090" s="13">
        <v>2.16</v>
      </c>
      <c r="M1090" s="13"/>
      <c r="N1090" s="17">
        <f t="shared" si="36"/>
        <v>2455.92</v>
      </c>
      <c r="O1090" s="17">
        <f t="shared" si="36"/>
        <v>0</v>
      </c>
      <c r="P1090" s="17">
        <f t="shared" ref="P1090:P1153" si="37">N1090+O1090</f>
        <v>2455.92</v>
      </c>
      <c r="Q1090" t="str">
        <f>A1090&amp;"-"&amp;B1090&amp;"-"&amp;D1090</f>
        <v>MARET-MJ2-L11</v>
      </c>
    </row>
    <row r="1091" spans="1:17" x14ac:dyDescent="0.25">
      <c r="A1091" t="s">
        <v>393</v>
      </c>
      <c r="B1091" s="13" t="s">
        <v>26</v>
      </c>
      <c r="C1091" s="13" t="s">
        <v>226</v>
      </c>
      <c r="D1091" s="14" t="s">
        <v>310</v>
      </c>
      <c r="E1091" s="13" t="s">
        <v>61</v>
      </c>
      <c r="F1091" s="13" t="s">
        <v>646</v>
      </c>
      <c r="G1091" s="13">
        <v>0.70000000000000007</v>
      </c>
      <c r="H1091" s="15">
        <v>16715</v>
      </c>
      <c r="I1091" s="16">
        <v>11700.5</v>
      </c>
      <c r="J1091" s="16">
        <v>9616.7732994041944</v>
      </c>
      <c r="K1091" s="16">
        <v>2083.7267005958038</v>
      </c>
      <c r="L1091" s="13">
        <v>1.3</v>
      </c>
      <c r="M1091" s="13"/>
      <c r="N1091" s="17">
        <f t="shared" si="36"/>
        <v>21729.5</v>
      </c>
      <c r="O1091" s="17">
        <f t="shared" si="36"/>
        <v>0</v>
      </c>
      <c r="P1091" s="17">
        <f t="shared" si="37"/>
        <v>21729.5</v>
      </c>
      <c r="Q1091" t="str">
        <f>A1091&amp;"-"&amp;B1091&amp;"-"&amp;D1091</f>
        <v>MARET-MJ2-L12</v>
      </c>
    </row>
    <row r="1092" spans="1:17" x14ac:dyDescent="0.25">
      <c r="A1092" t="s">
        <v>393</v>
      </c>
      <c r="B1092" s="13" t="s">
        <v>26</v>
      </c>
      <c r="C1092" s="13" t="s">
        <v>226</v>
      </c>
      <c r="D1092" s="14" t="s">
        <v>310</v>
      </c>
      <c r="E1092" s="13" t="s">
        <v>61</v>
      </c>
      <c r="F1092" s="13" t="s">
        <v>636</v>
      </c>
      <c r="G1092" s="13">
        <v>0.69999999999999984</v>
      </c>
      <c r="H1092" s="15">
        <v>3783</v>
      </c>
      <c r="I1092" s="16">
        <v>2648.1</v>
      </c>
      <c r="J1092" s="16">
        <v>2081.9704725625948</v>
      </c>
      <c r="K1092" s="16">
        <v>566.12952743740516</v>
      </c>
      <c r="L1092" s="13">
        <v>1.3</v>
      </c>
      <c r="M1092" s="13"/>
      <c r="N1092" s="17">
        <f t="shared" si="36"/>
        <v>4917.9000000000005</v>
      </c>
      <c r="O1092" s="17">
        <f t="shared" si="36"/>
        <v>0</v>
      </c>
      <c r="P1092" s="17">
        <f t="shared" si="37"/>
        <v>4917.9000000000005</v>
      </c>
      <c r="Q1092" t="str">
        <f>A1092&amp;"-"&amp;B1092&amp;"-"&amp;D1092</f>
        <v>MARET-MJ2-L12</v>
      </c>
    </row>
    <row r="1093" spans="1:17" x14ac:dyDescent="0.25">
      <c r="A1093" t="s">
        <v>393</v>
      </c>
      <c r="B1093" s="13" t="s">
        <v>26</v>
      </c>
      <c r="C1093" s="13" t="s">
        <v>226</v>
      </c>
      <c r="D1093" s="14" t="s">
        <v>310</v>
      </c>
      <c r="E1093" s="13" t="s">
        <v>61</v>
      </c>
      <c r="F1093" s="13" t="s">
        <v>647</v>
      </c>
      <c r="G1093" s="13">
        <v>0.66</v>
      </c>
      <c r="H1093" s="15">
        <v>2838</v>
      </c>
      <c r="I1093" s="16">
        <v>1873.08</v>
      </c>
      <c r="J1093" s="16">
        <v>1966.1099268104483</v>
      </c>
      <c r="K1093" s="16">
        <v>-93.029926810448629</v>
      </c>
      <c r="L1093" s="13">
        <v>1.71</v>
      </c>
      <c r="M1093" s="13"/>
      <c r="N1093" s="17">
        <f t="shared" si="36"/>
        <v>4852.9799999999996</v>
      </c>
      <c r="O1093" s="17">
        <f t="shared" si="36"/>
        <v>0</v>
      </c>
      <c r="P1093" s="17">
        <f t="shared" si="37"/>
        <v>4852.9799999999996</v>
      </c>
      <c r="Q1093" t="str">
        <f>A1093&amp;"-"&amp;B1093&amp;"-"&amp;D1093</f>
        <v>MARET-MJ2-L12</v>
      </c>
    </row>
    <row r="1094" spans="1:17" x14ac:dyDescent="0.25">
      <c r="A1094" t="s">
        <v>393</v>
      </c>
      <c r="B1094" s="13" t="s">
        <v>26</v>
      </c>
      <c r="C1094" s="13" t="s">
        <v>226</v>
      </c>
      <c r="D1094" s="14" t="s">
        <v>310</v>
      </c>
      <c r="E1094" s="13" t="s">
        <v>61</v>
      </c>
      <c r="F1094" s="13" t="s">
        <v>648</v>
      </c>
      <c r="G1094" s="13">
        <v>0.79</v>
      </c>
      <c r="H1094" s="15">
        <v>1801</v>
      </c>
      <c r="I1094" s="16">
        <v>1422.7899999999997</v>
      </c>
      <c r="J1094" s="16">
        <v>1398.0165402158177</v>
      </c>
      <c r="K1094" s="16">
        <v>24.773459784182283</v>
      </c>
      <c r="L1094" s="13">
        <v>2.42</v>
      </c>
      <c r="M1094" s="13"/>
      <c r="N1094" s="17">
        <f t="shared" si="36"/>
        <v>4358.42</v>
      </c>
      <c r="O1094" s="17">
        <f t="shared" si="36"/>
        <v>0</v>
      </c>
      <c r="P1094" s="17">
        <f t="shared" si="37"/>
        <v>4358.42</v>
      </c>
      <c r="Q1094" t="str">
        <f>A1094&amp;"-"&amp;B1094&amp;"-"&amp;D1094</f>
        <v>MARET-MJ2-L12</v>
      </c>
    </row>
    <row r="1095" spans="1:17" x14ac:dyDescent="0.25">
      <c r="A1095" t="s">
        <v>393</v>
      </c>
      <c r="B1095" s="13" t="s">
        <v>26</v>
      </c>
      <c r="C1095" s="13" t="s">
        <v>226</v>
      </c>
      <c r="D1095" s="14" t="s">
        <v>310</v>
      </c>
      <c r="E1095" s="13" t="s">
        <v>61</v>
      </c>
      <c r="F1095" s="13" t="s">
        <v>495</v>
      </c>
      <c r="G1095" s="13">
        <v>0.8</v>
      </c>
      <c r="H1095" s="15">
        <v>35</v>
      </c>
      <c r="I1095" s="16">
        <v>28</v>
      </c>
      <c r="J1095" s="16">
        <v>22.298836371125528</v>
      </c>
      <c r="K1095" s="16">
        <v>5.7011636288744709</v>
      </c>
      <c r="L1095" s="13">
        <v>2.16</v>
      </c>
      <c r="M1095" s="13"/>
      <c r="N1095" s="17">
        <f t="shared" si="36"/>
        <v>75.600000000000009</v>
      </c>
      <c r="O1095" s="17">
        <f t="shared" si="36"/>
        <v>0</v>
      </c>
      <c r="P1095" s="17">
        <f t="shared" si="37"/>
        <v>75.600000000000009</v>
      </c>
      <c r="Q1095" t="str">
        <f>A1095&amp;"-"&amp;B1095&amp;"-"&amp;D1095</f>
        <v>MARET-MJ2-L12</v>
      </c>
    </row>
    <row r="1096" spans="1:17" x14ac:dyDescent="0.25">
      <c r="A1096" t="s">
        <v>393</v>
      </c>
      <c r="B1096" s="13" t="s">
        <v>26</v>
      </c>
      <c r="C1096" s="13" t="s">
        <v>226</v>
      </c>
      <c r="D1096" s="14" t="s">
        <v>310</v>
      </c>
      <c r="E1096" s="13" t="s">
        <v>61</v>
      </c>
      <c r="F1096" s="13" t="s">
        <v>496</v>
      </c>
      <c r="G1096" s="13">
        <v>0.72</v>
      </c>
      <c r="H1096" s="15">
        <v>17</v>
      </c>
      <c r="I1096" s="16">
        <v>12.24</v>
      </c>
      <c r="J1096" s="16">
        <v>11.492637215528781</v>
      </c>
      <c r="K1096" s="16">
        <v>0.7473627844712194</v>
      </c>
      <c r="L1096" s="13">
        <v>2.31</v>
      </c>
      <c r="M1096" s="13"/>
      <c r="N1096" s="17">
        <f t="shared" si="36"/>
        <v>39.270000000000003</v>
      </c>
      <c r="O1096" s="17">
        <f t="shared" si="36"/>
        <v>0</v>
      </c>
      <c r="P1096" s="17">
        <f t="shared" si="37"/>
        <v>39.270000000000003</v>
      </c>
      <c r="Q1096" t="str">
        <f>A1096&amp;"-"&amp;B1096&amp;"-"&amp;D1096</f>
        <v>MARET-MJ2-L12</v>
      </c>
    </row>
    <row r="1097" spans="1:17" x14ac:dyDescent="0.25">
      <c r="A1097" t="s">
        <v>393</v>
      </c>
      <c r="B1097" s="13" t="s">
        <v>26</v>
      </c>
      <c r="C1097" s="13" t="s">
        <v>226</v>
      </c>
      <c r="D1097" s="14" t="s">
        <v>310</v>
      </c>
      <c r="E1097" s="13" t="s">
        <v>61</v>
      </c>
      <c r="F1097" s="13" t="s">
        <v>505</v>
      </c>
      <c r="G1097" s="13">
        <v>0.7599999999999999</v>
      </c>
      <c r="H1097" s="15">
        <v>4285</v>
      </c>
      <c r="I1097" s="16">
        <v>3256.6</v>
      </c>
      <c r="J1097" s="16">
        <v>3057.7180574989061</v>
      </c>
      <c r="K1097" s="16">
        <v>198.88194250109413</v>
      </c>
      <c r="L1097" s="13">
        <v>2.02</v>
      </c>
      <c r="M1097" s="13"/>
      <c r="N1097" s="17">
        <f t="shared" si="36"/>
        <v>8655.7000000000007</v>
      </c>
      <c r="O1097" s="17">
        <f t="shared" si="36"/>
        <v>0</v>
      </c>
      <c r="P1097" s="17">
        <f t="shared" si="37"/>
        <v>8655.7000000000007</v>
      </c>
      <c r="Q1097" t="str">
        <f>A1097&amp;"-"&amp;B1097&amp;"-"&amp;D1097</f>
        <v>MARET-MJ2-L12</v>
      </c>
    </row>
    <row r="1098" spans="1:17" x14ac:dyDescent="0.25">
      <c r="A1098" t="s">
        <v>393</v>
      </c>
      <c r="B1098" s="13" t="s">
        <v>26</v>
      </c>
      <c r="C1098" s="13" t="s">
        <v>226</v>
      </c>
      <c r="D1098" s="14" t="s">
        <v>310</v>
      </c>
      <c r="E1098" s="13" t="s">
        <v>61</v>
      </c>
      <c r="F1098" s="13" t="s">
        <v>506</v>
      </c>
      <c r="G1098" s="13">
        <v>0.74</v>
      </c>
      <c r="H1098" s="15">
        <v>68</v>
      </c>
      <c r="I1098" s="16">
        <v>50.32</v>
      </c>
      <c r="J1098" s="16">
        <v>47.115113355463606</v>
      </c>
      <c r="K1098" s="16">
        <v>3.2048866445363959</v>
      </c>
      <c r="L1098" s="13">
        <v>2.16</v>
      </c>
      <c r="M1098" s="13"/>
      <c r="N1098" s="17">
        <f t="shared" si="36"/>
        <v>146.88</v>
      </c>
      <c r="O1098" s="17">
        <f t="shared" si="36"/>
        <v>0</v>
      </c>
      <c r="P1098" s="17">
        <f t="shared" si="37"/>
        <v>146.88</v>
      </c>
      <c r="Q1098" t="str">
        <f>A1098&amp;"-"&amp;B1098&amp;"-"&amp;D1098</f>
        <v>MARET-MJ2-L12</v>
      </c>
    </row>
    <row r="1099" spans="1:17" x14ac:dyDescent="0.25">
      <c r="A1099" t="s">
        <v>393</v>
      </c>
      <c r="B1099" s="13" t="s">
        <v>26</v>
      </c>
      <c r="C1099" s="13" t="s">
        <v>226</v>
      </c>
      <c r="D1099" s="14" t="s">
        <v>310</v>
      </c>
      <c r="E1099" s="13" t="s">
        <v>61</v>
      </c>
      <c r="F1099" s="13" t="s">
        <v>649</v>
      </c>
      <c r="G1099" s="13">
        <v>0.79999999999999993</v>
      </c>
      <c r="H1099" s="15">
        <v>3673</v>
      </c>
      <c r="I1099" s="16">
        <v>2938.4</v>
      </c>
      <c r="J1099" s="16">
        <v>2723.3896032849116</v>
      </c>
      <c r="K1099" s="16">
        <v>215.01039671508832</v>
      </c>
      <c r="L1099" s="13">
        <v>2.16</v>
      </c>
      <c r="M1099" s="13"/>
      <c r="N1099" s="17">
        <f t="shared" si="36"/>
        <v>7933.68</v>
      </c>
      <c r="O1099" s="17">
        <f t="shared" si="36"/>
        <v>0</v>
      </c>
      <c r="P1099" s="17">
        <f t="shared" si="37"/>
        <v>7933.68</v>
      </c>
      <c r="Q1099" t="str">
        <f>A1099&amp;"-"&amp;B1099&amp;"-"&amp;D1099</f>
        <v>MARET-MJ2-L12</v>
      </c>
    </row>
    <row r="1100" spans="1:17" x14ac:dyDescent="0.25">
      <c r="A1100" t="s">
        <v>393</v>
      </c>
      <c r="B1100" s="13" t="s">
        <v>26</v>
      </c>
      <c r="C1100" s="13" t="s">
        <v>226</v>
      </c>
      <c r="D1100" s="14" t="s">
        <v>310</v>
      </c>
      <c r="E1100" s="13" t="s">
        <v>61</v>
      </c>
      <c r="F1100" s="13" t="s">
        <v>650</v>
      </c>
      <c r="G1100" s="13">
        <v>0.72000000000000008</v>
      </c>
      <c r="H1100" s="15">
        <v>388</v>
      </c>
      <c r="I1100" s="16">
        <v>279.35999999999996</v>
      </c>
      <c r="J1100" s="16">
        <v>305.48063152331883</v>
      </c>
      <c r="K1100" s="16">
        <v>-26.120631523318824</v>
      </c>
      <c r="L1100" s="13">
        <v>2.31</v>
      </c>
      <c r="M1100" s="13"/>
      <c r="N1100" s="17">
        <f t="shared" si="36"/>
        <v>896.28</v>
      </c>
      <c r="O1100" s="17">
        <f t="shared" si="36"/>
        <v>0</v>
      </c>
      <c r="P1100" s="17">
        <f t="shared" si="37"/>
        <v>896.28</v>
      </c>
      <c r="Q1100" t="str">
        <f>A1100&amp;"-"&amp;B1100&amp;"-"&amp;D1100</f>
        <v>MARET-MJ2-L12</v>
      </c>
    </row>
    <row r="1101" spans="1:17" x14ac:dyDescent="0.25">
      <c r="A1101" t="s">
        <v>393</v>
      </c>
      <c r="B1101" s="13" t="s">
        <v>26</v>
      </c>
      <c r="C1101" s="13" t="s">
        <v>226</v>
      </c>
      <c r="D1101" s="14" t="s">
        <v>310</v>
      </c>
      <c r="E1101" s="13" t="s">
        <v>61</v>
      </c>
      <c r="F1101" s="13" t="s">
        <v>504</v>
      </c>
      <c r="G1101" s="13">
        <v>0.76</v>
      </c>
      <c r="H1101" s="15">
        <v>1009</v>
      </c>
      <c r="I1101" s="16">
        <v>766.83999999999992</v>
      </c>
      <c r="J1101" s="16">
        <v>701.2932758793836</v>
      </c>
      <c r="K1101" s="16">
        <v>65.546724120616403</v>
      </c>
      <c r="L1101" s="13">
        <v>2.02</v>
      </c>
      <c r="M1101" s="13"/>
      <c r="N1101" s="17">
        <f t="shared" si="36"/>
        <v>2038.18</v>
      </c>
      <c r="O1101" s="17">
        <f t="shared" si="36"/>
        <v>0</v>
      </c>
      <c r="P1101" s="17">
        <f t="shared" si="37"/>
        <v>2038.18</v>
      </c>
      <c r="Q1101" t="str">
        <f>A1101&amp;"-"&amp;B1101&amp;"-"&amp;D1101</f>
        <v>MARET-MJ2-L12</v>
      </c>
    </row>
    <row r="1102" spans="1:17" x14ac:dyDescent="0.25">
      <c r="A1102" t="s">
        <v>393</v>
      </c>
      <c r="B1102" s="13" t="s">
        <v>26</v>
      </c>
      <c r="C1102" s="13" t="s">
        <v>226</v>
      </c>
      <c r="D1102" s="14" t="s">
        <v>310</v>
      </c>
      <c r="E1102" s="13" t="s">
        <v>61</v>
      </c>
      <c r="F1102" s="13" t="s">
        <v>645</v>
      </c>
      <c r="G1102" s="13">
        <v>0.73999999999999988</v>
      </c>
      <c r="H1102" s="15">
        <v>431</v>
      </c>
      <c r="I1102" s="16">
        <v>318.94000000000005</v>
      </c>
      <c r="J1102" s="16">
        <v>286.66107343238167</v>
      </c>
      <c r="K1102" s="16">
        <v>32.278926567618342</v>
      </c>
      <c r="L1102" s="13">
        <v>2.16</v>
      </c>
      <c r="M1102" s="13"/>
      <c r="N1102" s="17">
        <f t="shared" si="36"/>
        <v>930.96</v>
      </c>
      <c r="O1102" s="17">
        <f t="shared" si="36"/>
        <v>0</v>
      </c>
      <c r="P1102" s="17">
        <f t="shared" si="37"/>
        <v>930.96</v>
      </c>
      <c r="Q1102" t="str">
        <f>A1102&amp;"-"&amp;B1102&amp;"-"&amp;D1102</f>
        <v>MARET-MJ2-L12</v>
      </c>
    </row>
    <row r="1103" spans="1:17" x14ac:dyDescent="0.25">
      <c r="A1103" t="s">
        <v>393</v>
      </c>
      <c r="B1103" s="13" t="s">
        <v>26</v>
      </c>
      <c r="C1103" s="13" t="s">
        <v>226</v>
      </c>
      <c r="D1103" s="14" t="s">
        <v>320</v>
      </c>
      <c r="E1103" s="13" t="s">
        <v>61</v>
      </c>
      <c r="F1103" s="13" t="s">
        <v>646</v>
      </c>
      <c r="G1103" s="13">
        <v>0.70000000000000007</v>
      </c>
      <c r="H1103" s="15">
        <v>16717</v>
      </c>
      <c r="I1103" s="16">
        <v>11701.900000000001</v>
      </c>
      <c r="J1103" s="16">
        <v>9618.8480100716024</v>
      </c>
      <c r="K1103" s="16">
        <v>2083.0519899283981</v>
      </c>
      <c r="L1103" s="13">
        <v>1.3</v>
      </c>
      <c r="M1103" s="13"/>
      <c r="N1103" s="17">
        <f t="shared" si="36"/>
        <v>21732.100000000002</v>
      </c>
      <c r="O1103" s="17">
        <f t="shared" si="36"/>
        <v>0</v>
      </c>
      <c r="P1103" s="17">
        <f t="shared" si="37"/>
        <v>21732.100000000002</v>
      </c>
      <c r="Q1103" t="str">
        <f>A1103&amp;"-"&amp;B1103&amp;"-"&amp;D1103</f>
        <v>MARET-MJ2-L13</v>
      </c>
    </row>
    <row r="1104" spans="1:17" x14ac:dyDescent="0.25">
      <c r="A1104" t="s">
        <v>393</v>
      </c>
      <c r="B1104" s="13" t="s">
        <v>26</v>
      </c>
      <c r="C1104" s="13" t="s">
        <v>226</v>
      </c>
      <c r="D1104" s="14" t="s">
        <v>320</v>
      </c>
      <c r="E1104" s="13" t="s">
        <v>61</v>
      </c>
      <c r="F1104" s="13" t="s">
        <v>636</v>
      </c>
      <c r="G1104" s="13">
        <v>0.69999999999999984</v>
      </c>
      <c r="H1104" s="15">
        <v>3782</v>
      </c>
      <c r="I1104" s="16">
        <v>2647.4</v>
      </c>
      <c r="J1104" s="16">
        <v>2081.4093614514836</v>
      </c>
      <c r="K1104" s="16">
        <v>565.99063854851647</v>
      </c>
      <c r="L1104" s="13">
        <v>1.3</v>
      </c>
      <c r="M1104" s="13"/>
      <c r="N1104" s="17">
        <f t="shared" si="36"/>
        <v>4916.6000000000004</v>
      </c>
      <c r="O1104" s="17">
        <f t="shared" si="36"/>
        <v>0</v>
      </c>
      <c r="P1104" s="17">
        <f t="shared" si="37"/>
        <v>4916.6000000000004</v>
      </c>
      <c r="Q1104" t="str">
        <f>A1104&amp;"-"&amp;B1104&amp;"-"&amp;D1104</f>
        <v>MARET-MJ2-L13</v>
      </c>
    </row>
    <row r="1105" spans="1:17" x14ac:dyDescent="0.25">
      <c r="A1105" t="s">
        <v>393</v>
      </c>
      <c r="B1105" s="13" t="s">
        <v>26</v>
      </c>
      <c r="C1105" s="13" t="s">
        <v>226</v>
      </c>
      <c r="D1105" s="14" t="s">
        <v>320</v>
      </c>
      <c r="E1105" s="13" t="s">
        <v>61</v>
      </c>
      <c r="F1105" s="13" t="s">
        <v>647</v>
      </c>
      <c r="G1105" s="13">
        <v>0.66</v>
      </c>
      <c r="H1105" s="15">
        <v>2838</v>
      </c>
      <c r="I1105" s="16">
        <v>1873.0800000000002</v>
      </c>
      <c r="J1105" s="16">
        <v>1966.4714349362616</v>
      </c>
      <c r="K1105" s="16">
        <v>-93.391434936261817</v>
      </c>
      <c r="L1105" s="13">
        <v>1.71</v>
      </c>
      <c r="M1105" s="13"/>
      <c r="N1105" s="17">
        <f t="shared" si="36"/>
        <v>4852.9799999999996</v>
      </c>
      <c r="O1105" s="17">
        <f t="shared" si="36"/>
        <v>0</v>
      </c>
      <c r="P1105" s="17">
        <f t="shared" si="37"/>
        <v>4852.9799999999996</v>
      </c>
      <c r="Q1105" t="str">
        <f>A1105&amp;"-"&amp;B1105&amp;"-"&amp;D1105</f>
        <v>MARET-MJ2-L13</v>
      </c>
    </row>
    <row r="1106" spans="1:17" x14ac:dyDescent="0.25">
      <c r="A1106" t="s">
        <v>393</v>
      </c>
      <c r="B1106" s="13" t="s">
        <v>26</v>
      </c>
      <c r="C1106" s="13" t="s">
        <v>226</v>
      </c>
      <c r="D1106" s="14" t="s">
        <v>320</v>
      </c>
      <c r="E1106" s="13" t="s">
        <v>61</v>
      </c>
      <c r="F1106" s="13" t="s">
        <v>648</v>
      </c>
      <c r="G1106" s="13">
        <v>0.79</v>
      </c>
      <c r="H1106" s="15">
        <v>1797</v>
      </c>
      <c r="I1106" s="16">
        <v>1419.6299999999999</v>
      </c>
      <c r="J1106" s="16">
        <v>1394.9707799022985</v>
      </c>
      <c r="K1106" s="16">
        <v>24.659220097701137</v>
      </c>
      <c r="L1106" s="13">
        <v>2.42</v>
      </c>
      <c r="M1106" s="13"/>
      <c r="N1106" s="17">
        <f t="shared" si="36"/>
        <v>4348.74</v>
      </c>
      <c r="O1106" s="17">
        <f t="shared" si="36"/>
        <v>0</v>
      </c>
      <c r="P1106" s="17">
        <f t="shared" si="37"/>
        <v>4348.74</v>
      </c>
      <c r="Q1106" t="str">
        <f>A1106&amp;"-"&amp;B1106&amp;"-"&amp;D1106</f>
        <v>MARET-MJ2-L13</v>
      </c>
    </row>
    <row r="1107" spans="1:17" x14ac:dyDescent="0.25">
      <c r="A1107" t="s">
        <v>393</v>
      </c>
      <c r="B1107" s="13" t="s">
        <v>26</v>
      </c>
      <c r="C1107" s="13" t="s">
        <v>226</v>
      </c>
      <c r="D1107" s="14" t="s">
        <v>320</v>
      </c>
      <c r="E1107" s="13" t="s">
        <v>61</v>
      </c>
      <c r="F1107" s="13" t="s">
        <v>495</v>
      </c>
      <c r="G1107" s="13">
        <v>0.80000000000000016</v>
      </c>
      <c r="H1107" s="15">
        <v>25</v>
      </c>
      <c r="I1107" s="16">
        <v>20</v>
      </c>
      <c r="J1107" s="16">
        <v>19.213606125180995</v>
      </c>
      <c r="K1107" s="16">
        <v>0.78639387481900336</v>
      </c>
      <c r="L1107" s="13">
        <v>2.16</v>
      </c>
      <c r="M1107" s="13"/>
      <c r="N1107" s="17">
        <f t="shared" si="36"/>
        <v>54</v>
      </c>
      <c r="O1107" s="17">
        <f t="shared" si="36"/>
        <v>0</v>
      </c>
      <c r="P1107" s="17">
        <f t="shared" si="37"/>
        <v>54</v>
      </c>
      <c r="Q1107" t="str">
        <f>A1107&amp;"-"&amp;B1107&amp;"-"&amp;D1107</f>
        <v>MARET-MJ2-L13</v>
      </c>
    </row>
    <row r="1108" spans="1:17" x14ac:dyDescent="0.25">
      <c r="A1108" t="s">
        <v>393</v>
      </c>
      <c r="B1108" s="13" t="s">
        <v>26</v>
      </c>
      <c r="C1108" s="13" t="s">
        <v>226</v>
      </c>
      <c r="D1108" s="14" t="s">
        <v>320</v>
      </c>
      <c r="E1108" s="13" t="s">
        <v>61</v>
      </c>
      <c r="F1108" s="13" t="s">
        <v>496</v>
      </c>
      <c r="G1108" s="13">
        <v>0.72</v>
      </c>
      <c r="H1108" s="15">
        <v>17</v>
      </c>
      <c r="I1108" s="16">
        <v>12.24</v>
      </c>
      <c r="J1108" s="16">
        <v>11.492637215528781</v>
      </c>
      <c r="K1108" s="16">
        <v>0.7473627844712194</v>
      </c>
      <c r="L1108" s="13">
        <v>2.31</v>
      </c>
      <c r="M1108" s="13"/>
      <c r="N1108" s="17">
        <f t="shared" si="36"/>
        <v>39.270000000000003</v>
      </c>
      <c r="O1108" s="17">
        <f t="shared" si="36"/>
        <v>0</v>
      </c>
      <c r="P1108" s="17">
        <f t="shared" si="37"/>
        <v>39.270000000000003</v>
      </c>
      <c r="Q1108" t="str">
        <f>A1108&amp;"-"&amp;B1108&amp;"-"&amp;D1108</f>
        <v>MARET-MJ2-L13</v>
      </c>
    </row>
    <row r="1109" spans="1:17" x14ac:dyDescent="0.25">
      <c r="A1109" t="s">
        <v>393</v>
      </c>
      <c r="B1109" s="13" t="s">
        <v>26</v>
      </c>
      <c r="C1109" s="13" t="s">
        <v>226</v>
      </c>
      <c r="D1109" s="14" t="s">
        <v>320</v>
      </c>
      <c r="E1109" s="13" t="s">
        <v>61</v>
      </c>
      <c r="F1109" s="13" t="s">
        <v>505</v>
      </c>
      <c r="G1109" s="13">
        <v>0.7599999999999999</v>
      </c>
      <c r="H1109" s="15">
        <v>2580</v>
      </c>
      <c r="I1109" s="16">
        <v>1960.7999999999997</v>
      </c>
      <c r="J1109" s="16">
        <v>1905.6394801989873</v>
      </c>
      <c r="K1109" s="16">
        <v>55.16051980101269</v>
      </c>
      <c r="L1109" s="13">
        <v>2.02</v>
      </c>
      <c r="M1109" s="13"/>
      <c r="N1109" s="17">
        <f t="shared" si="36"/>
        <v>5211.6000000000004</v>
      </c>
      <c r="O1109" s="17">
        <f t="shared" si="36"/>
        <v>0</v>
      </c>
      <c r="P1109" s="17">
        <f t="shared" si="37"/>
        <v>5211.6000000000004</v>
      </c>
      <c r="Q1109" t="str">
        <f>A1109&amp;"-"&amp;B1109&amp;"-"&amp;D1109</f>
        <v>MARET-MJ2-L13</v>
      </c>
    </row>
    <row r="1110" spans="1:17" x14ac:dyDescent="0.25">
      <c r="A1110" t="s">
        <v>393</v>
      </c>
      <c r="B1110" s="13" t="s">
        <v>26</v>
      </c>
      <c r="C1110" s="13" t="s">
        <v>226</v>
      </c>
      <c r="D1110" s="14" t="s">
        <v>320</v>
      </c>
      <c r="E1110" s="13" t="s">
        <v>61</v>
      </c>
      <c r="F1110" s="13" t="s">
        <v>506</v>
      </c>
      <c r="G1110" s="13">
        <v>0.74</v>
      </c>
      <c r="H1110" s="15">
        <v>1068</v>
      </c>
      <c r="I1110" s="16">
        <v>790.31999999999994</v>
      </c>
      <c r="J1110" s="16">
        <v>789.43799232387653</v>
      </c>
      <c r="K1110" s="16">
        <v>0.88200767612348763</v>
      </c>
      <c r="L1110" s="13">
        <v>2.16</v>
      </c>
      <c r="M1110" s="13"/>
      <c r="N1110" s="17">
        <f t="shared" si="36"/>
        <v>2306.88</v>
      </c>
      <c r="O1110" s="17">
        <f t="shared" si="36"/>
        <v>0</v>
      </c>
      <c r="P1110" s="17">
        <f t="shared" si="37"/>
        <v>2306.88</v>
      </c>
      <c r="Q1110" t="str">
        <f>A1110&amp;"-"&amp;B1110&amp;"-"&amp;D1110</f>
        <v>MARET-MJ2-L13</v>
      </c>
    </row>
    <row r="1111" spans="1:17" x14ac:dyDescent="0.25">
      <c r="A1111" t="s">
        <v>393</v>
      </c>
      <c r="B1111" s="13" t="s">
        <v>26</v>
      </c>
      <c r="C1111" s="13" t="s">
        <v>226</v>
      </c>
      <c r="D1111" s="14" t="s">
        <v>320</v>
      </c>
      <c r="E1111" s="13" t="s">
        <v>61</v>
      </c>
      <c r="F1111" s="13" t="s">
        <v>649</v>
      </c>
      <c r="G1111" s="13">
        <v>0.79999999999999993</v>
      </c>
      <c r="H1111" s="15">
        <v>4204</v>
      </c>
      <c r="I1111" s="16">
        <v>3363.2000000000003</v>
      </c>
      <c r="J1111" s="16">
        <v>3011.6802931125771</v>
      </c>
      <c r="K1111" s="16">
        <v>351.51970688742188</v>
      </c>
      <c r="L1111" s="13">
        <v>2.16</v>
      </c>
      <c r="M1111" s="13"/>
      <c r="N1111" s="17">
        <f t="shared" si="36"/>
        <v>9080.6400000000012</v>
      </c>
      <c r="O1111" s="17">
        <f t="shared" si="36"/>
        <v>0</v>
      </c>
      <c r="P1111" s="17">
        <f t="shared" si="37"/>
        <v>9080.6400000000012</v>
      </c>
      <c r="Q1111" t="str">
        <f>A1111&amp;"-"&amp;B1111&amp;"-"&amp;D1111</f>
        <v>MARET-MJ2-L13</v>
      </c>
    </row>
    <row r="1112" spans="1:17" x14ac:dyDescent="0.25">
      <c r="A1112" t="s">
        <v>393</v>
      </c>
      <c r="B1112" s="13" t="s">
        <v>26</v>
      </c>
      <c r="C1112" s="13" t="s">
        <v>226</v>
      </c>
      <c r="D1112" s="14" t="s">
        <v>320</v>
      </c>
      <c r="E1112" s="13" t="s">
        <v>61</v>
      </c>
      <c r="F1112" s="13" t="s">
        <v>650</v>
      </c>
      <c r="G1112" s="13">
        <v>0.72</v>
      </c>
      <c r="H1112" s="15">
        <v>1100</v>
      </c>
      <c r="I1112" s="16">
        <v>792</v>
      </c>
      <c r="J1112" s="16">
        <v>781.88174817321669</v>
      </c>
      <c r="K1112" s="16">
        <v>10.118251826783318</v>
      </c>
      <c r="L1112" s="13">
        <v>2.31</v>
      </c>
      <c r="M1112" s="13"/>
      <c r="N1112" s="17">
        <f t="shared" ref="N1112:O1175" si="38">$H1112*L1112</f>
        <v>2541</v>
      </c>
      <c r="O1112" s="17">
        <f t="shared" si="38"/>
        <v>0</v>
      </c>
      <c r="P1112" s="17">
        <f t="shared" si="37"/>
        <v>2541</v>
      </c>
      <c r="Q1112" t="str">
        <f>A1112&amp;"-"&amp;B1112&amp;"-"&amp;D1112</f>
        <v>MARET-MJ2-L13</v>
      </c>
    </row>
    <row r="1113" spans="1:17" x14ac:dyDescent="0.25">
      <c r="A1113" t="s">
        <v>393</v>
      </c>
      <c r="B1113" s="13" t="s">
        <v>26</v>
      </c>
      <c r="C1113" s="13" t="s">
        <v>226</v>
      </c>
      <c r="D1113" s="14" t="s">
        <v>320</v>
      </c>
      <c r="E1113" s="13" t="s">
        <v>61</v>
      </c>
      <c r="F1113" s="13" t="s">
        <v>504</v>
      </c>
      <c r="G1113" s="13">
        <v>0.76</v>
      </c>
      <c r="H1113" s="15">
        <v>498</v>
      </c>
      <c r="I1113" s="16">
        <v>378.4799999999999</v>
      </c>
      <c r="J1113" s="16">
        <v>365.06760403590732</v>
      </c>
      <c r="K1113" s="16">
        <v>13.41239596409271</v>
      </c>
      <c r="L1113" s="13">
        <v>2.02</v>
      </c>
      <c r="M1113" s="13"/>
      <c r="N1113" s="17">
        <f t="shared" si="38"/>
        <v>1005.96</v>
      </c>
      <c r="O1113" s="17">
        <f t="shared" si="38"/>
        <v>0</v>
      </c>
      <c r="P1113" s="17">
        <f t="shared" si="37"/>
        <v>1005.96</v>
      </c>
      <c r="Q1113" t="str">
        <f>A1113&amp;"-"&amp;B1113&amp;"-"&amp;D1113</f>
        <v>MARET-MJ2-L13</v>
      </c>
    </row>
    <row r="1114" spans="1:17" x14ac:dyDescent="0.25">
      <c r="A1114" t="s">
        <v>393</v>
      </c>
      <c r="B1114" s="13" t="s">
        <v>26</v>
      </c>
      <c r="C1114" s="13" t="s">
        <v>226</v>
      </c>
      <c r="D1114" s="14" t="s">
        <v>320</v>
      </c>
      <c r="E1114" s="13" t="s">
        <v>61</v>
      </c>
      <c r="F1114" s="13" t="s">
        <v>645</v>
      </c>
      <c r="G1114" s="13">
        <v>0.74</v>
      </c>
      <c r="H1114" s="15">
        <v>413</v>
      </c>
      <c r="I1114" s="16">
        <v>305.62</v>
      </c>
      <c r="J1114" s="16">
        <v>272.20652000715415</v>
      </c>
      <c r="K1114" s="16">
        <v>33.413479992845872</v>
      </c>
      <c r="L1114" s="13">
        <v>2.16</v>
      </c>
      <c r="M1114" s="13"/>
      <c r="N1114" s="17">
        <f t="shared" si="38"/>
        <v>892.08</v>
      </c>
      <c r="O1114" s="17">
        <f t="shared" si="38"/>
        <v>0</v>
      </c>
      <c r="P1114" s="17">
        <f t="shared" si="37"/>
        <v>892.08</v>
      </c>
      <c r="Q1114" t="str">
        <f>A1114&amp;"-"&amp;B1114&amp;"-"&amp;D1114</f>
        <v>MARET-MJ2-L13</v>
      </c>
    </row>
    <row r="1115" spans="1:17" x14ac:dyDescent="0.25">
      <c r="A1115" t="s">
        <v>393</v>
      </c>
      <c r="B1115" s="13" t="s">
        <v>26</v>
      </c>
      <c r="C1115" s="13" t="s">
        <v>226</v>
      </c>
      <c r="D1115" s="14" t="s">
        <v>50</v>
      </c>
      <c r="E1115" s="13" t="s">
        <v>61</v>
      </c>
      <c r="F1115" s="13" t="s">
        <v>651</v>
      </c>
      <c r="G1115" s="13">
        <v>0.65</v>
      </c>
      <c r="H1115" s="15">
        <v>1896</v>
      </c>
      <c r="I1115" s="16">
        <v>1232.4000000000001</v>
      </c>
      <c r="J1115" s="16">
        <v>1482.838388297135</v>
      </c>
      <c r="K1115" s="16">
        <v>-250.43838829713496</v>
      </c>
      <c r="L1115" s="13">
        <v>1.72</v>
      </c>
      <c r="M1115" s="13"/>
      <c r="N1115" s="17">
        <f t="shared" si="38"/>
        <v>3261.12</v>
      </c>
      <c r="O1115" s="17">
        <f t="shared" si="38"/>
        <v>0</v>
      </c>
      <c r="P1115" s="17">
        <f t="shared" si="37"/>
        <v>3261.12</v>
      </c>
      <c r="Q1115" t="str">
        <f>A1115&amp;"-"&amp;B1115&amp;"-"&amp;D1115</f>
        <v>MARET-MJ2-L2</v>
      </c>
    </row>
    <row r="1116" spans="1:17" x14ac:dyDescent="0.25">
      <c r="A1116" t="s">
        <v>393</v>
      </c>
      <c r="B1116" s="13" t="s">
        <v>26</v>
      </c>
      <c r="C1116" s="13" t="s">
        <v>226</v>
      </c>
      <c r="D1116" s="14" t="s">
        <v>50</v>
      </c>
      <c r="E1116" s="13" t="s">
        <v>61</v>
      </c>
      <c r="F1116" s="13" t="s">
        <v>652</v>
      </c>
      <c r="G1116" s="13">
        <v>0.65</v>
      </c>
      <c r="H1116" s="15">
        <v>1995</v>
      </c>
      <c r="I1116" s="16">
        <v>1296.75</v>
      </c>
      <c r="J1116" s="16">
        <v>1285.915463599089</v>
      </c>
      <c r="K1116" s="16">
        <v>10.834536400910878</v>
      </c>
      <c r="L1116" s="13">
        <v>1.72</v>
      </c>
      <c r="M1116" s="13"/>
      <c r="N1116" s="17">
        <f t="shared" si="38"/>
        <v>3431.4</v>
      </c>
      <c r="O1116" s="17">
        <f t="shared" si="38"/>
        <v>0</v>
      </c>
      <c r="P1116" s="17">
        <f t="shared" si="37"/>
        <v>3431.4</v>
      </c>
      <c r="Q1116" t="str">
        <f>A1116&amp;"-"&amp;B1116&amp;"-"&amp;D1116</f>
        <v>MARET-MJ2-L2</v>
      </c>
    </row>
    <row r="1117" spans="1:17" x14ac:dyDescent="0.25">
      <c r="A1117" t="s">
        <v>393</v>
      </c>
      <c r="B1117" s="13" t="s">
        <v>26</v>
      </c>
      <c r="C1117" s="13" t="s">
        <v>226</v>
      </c>
      <c r="D1117" s="14" t="s">
        <v>50</v>
      </c>
      <c r="E1117" s="13" t="s">
        <v>61</v>
      </c>
      <c r="F1117" s="13" t="s">
        <v>636</v>
      </c>
      <c r="G1117" s="13">
        <v>0.69999999999999984</v>
      </c>
      <c r="H1117" s="15">
        <v>1683</v>
      </c>
      <c r="I1117" s="16">
        <v>1178.0999999999999</v>
      </c>
      <c r="J1117" s="16">
        <v>1070.2509207556998</v>
      </c>
      <c r="K1117" s="16">
        <v>107.84907924430017</v>
      </c>
      <c r="L1117" s="13">
        <v>1.3</v>
      </c>
      <c r="M1117" s="13"/>
      <c r="N1117" s="17">
        <f t="shared" si="38"/>
        <v>2187.9</v>
      </c>
      <c r="O1117" s="17">
        <f t="shared" si="38"/>
        <v>0</v>
      </c>
      <c r="P1117" s="17">
        <f t="shared" si="37"/>
        <v>2187.9</v>
      </c>
      <c r="Q1117" t="str">
        <f>A1117&amp;"-"&amp;B1117&amp;"-"&amp;D1117</f>
        <v>MARET-MJ2-L2</v>
      </c>
    </row>
    <row r="1118" spans="1:17" x14ac:dyDescent="0.25">
      <c r="A1118" t="s">
        <v>393</v>
      </c>
      <c r="B1118" s="13" t="s">
        <v>26</v>
      </c>
      <c r="C1118" s="13" t="s">
        <v>226</v>
      </c>
      <c r="D1118" s="14" t="s">
        <v>50</v>
      </c>
      <c r="E1118" s="13" t="s">
        <v>61</v>
      </c>
      <c r="F1118" s="13" t="s">
        <v>653</v>
      </c>
      <c r="G1118" s="13">
        <v>0.65</v>
      </c>
      <c r="H1118" s="15">
        <v>2498</v>
      </c>
      <c r="I1118" s="16">
        <v>1623.7</v>
      </c>
      <c r="J1118" s="16">
        <v>1965.6953088731359</v>
      </c>
      <c r="K1118" s="16">
        <v>-341.99530887313585</v>
      </c>
      <c r="L1118" s="13">
        <v>1.72</v>
      </c>
      <c r="M1118" s="13"/>
      <c r="N1118" s="17">
        <f t="shared" si="38"/>
        <v>4296.5599999999995</v>
      </c>
      <c r="O1118" s="17">
        <f t="shared" si="38"/>
        <v>0</v>
      </c>
      <c r="P1118" s="17">
        <f t="shared" si="37"/>
        <v>4296.5599999999995</v>
      </c>
      <c r="Q1118" t="str">
        <f>A1118&amp;"-"&amp;B1118&amp;"-"&amp;D1118</f>
        <v>MARET-MJ2-L2</v>
      </c>
    </row>
    <row r="1119" spans="1:17" x14ac:dyDescent="0.25">
      <c r="A1119" t="s">
        <v>393</v>
      </c>
      <c r="B1119" s="13" t="s">
        <v>26</v>
      </c>
      <c r="C1119" s="13" t="s">
        <v>226</v>
      </c>
      <c r="D1119" s="14" t="s">
        <v>50</v>
      </c>
      <c r="E1119" s="13" t="s">
        <v>61</v>
      </c>
      <c r="F1119" s="13" t="s">
        <v>654</v>
      </c>
      <c r="G1119" s="13">
        <v>0.65</v>
      </c>
      <c r="H1119" s="15">
        <v>5326</v>
      </c>
      <c r="I1119" s="16">
        <v>3461.9</v>
      </c>
      <c r="J1119" s="16">
        <v>5262.8852203122105</v>
      </c>
      <c r="K1119" s="16">
        <v>-1800.9852203122105</v>
      </c>
      <c r="L1119" s="13">
        <v>1.72</v>
      </c>
      <c r="M1119" s="13"/>
      <c r="N1119" s="17">
        <f t="shared" si="38"/>
        <v>9160.7199999999993</v>
      </c>
      <c r="O1119" s="17">
        <f t="shared" si="38"/>
        <v>0</v>
      </c>
      <c r="P1119" s="17">
        <f t="shared" si="37"/>
        <v>9160.7199999999993</v>
      </c>
      <c r="Q1119" t="str">
        <f>A1119&amp;"-"&amp;B1119&amp;"-"&amp;D1119</f>
        <v>MARET-MJ2-L2</v>
      </c>
    </row>
    <row r="1120" spans="1:17" x14ac:dyDescent="0.25">
      <c r="A1120" t="s">
        <v>393</v>
      </c>
      <c r="B1120" s="13" t="s">
        <v>26</v>
      </c>
      <c r="C1120" s="13" t="s">
        <v>226</v>
      </c>
      <c r="D1120" s="14" t="s">
        <v>56</v>
      </c>
      <c r="E1120" s="13" t="s">
        <v>61</v>
      </c>
      <c r="F1120" s="13" t="s">
        <v>651</v>
      </c>
      <c r="G1120" s="13">
        <v>0.65</v>
      </c>
      <c r="H1120" s="15">
        <v>1895</v>
      </c>
      <c r="I1120" s="16">
        <v>1231.75</v>
      </c>
      <c r="J1120" s="16">
        <v>1481.4963484986497</v>
      </c>
      <c r="K1120" s="16">
        <v>-249.74634849864961</v>
      </c>
      <c r="L1120" s="13">
        <v>1.72</v>
      </c>
      <c r="M1120" s="13"/>
      <c r="N1120" s="17">
        <f t="shared" si="38"/>
        <v>3259.4</v>
      </c>
      <c r="O1120" s="17">
        <f t="shared" si="38"/>
        <v>0</v>
      </c>
      <c r="P1120" s="17">
        <f t="shared" si="37"/>
        <v>3259.4</v>
      </c>
      <c r="Q1120" t="str">
        <f>A1120&amp;"-"&amp;B1120&amp;"-"&amp;D1120</f>
        <v>MARET-MJ2-L3</v>
      </c>
    </row>
    <row r="1121" spans="1:17" x14ac:dyDescent="0.25">
      <c r="A1121" t="s">
        <v>393</v>
      </c>
      <c r="B1121" s="13" t="s">
        <v>26</v>
      </c>
      <c r="C1121" s="13" t="s">
        <v>226</v>
      </c>
      <c r="D1121" s="14" t="s">
        <v>56</v>
      </c>
      <c r="E1121" s="13" t="s">
        <v>61</v>
      </c>
      <c r="F1121" s="13" t="s">
        <v>652</v>
      </c>
      <c r="G1121" s="13">
        <v>0.65</v>
      </c>
      <c r="H1121" s="15">
        <v>1995</v>
      </c>
      <c r="I1121" s="16">
        <v>1296.75</v>
      </c>
      <c r="J1121" s="16">
        <v>1285.888058887891</v>
      </c>
      <c r="K1121" s="16">
        <v>10.861941112108951</v>
      </c>
      <c r="L1121" s="13">
        <v>1.72</v>
      </c>
      <c r="M1121" s="13"/>
      <c r="N1121" s="17">
        <f t="shared" si="38"/>
        <v>3431.4</v>
      </c>
      <c r="O1121" s="17">
        <f t="shared" si="38"/>
        <v>0</v>
      </c>
      <c r="P1121" s="17">
        <f t="shared" si="37"/>
        <v>3431.4</v>
      </c>
      <c r="Q1121" t="str">
        <f>A1121&amp;"-"&amp;B1121&amp;"-"&amp;D1121</f>
        <v>MARET-MJ2-L3</v>
      </c>
    </row>
    <row r="1122" spans="1:17" x14ac:dyDescent="0.25">
      <c r="A1122" t="s">
        <v>393</v>
      </c>
      <c r="B1122" s="13" t="s">
        <v>26</v>
      </c>
      <c r="C1122" s="13" t="s">
        <v>226</v>
      </c>
      <c r="D1122" s="14" t="s">
        <v>56</v>
      </c>
      <c r="E1122" s="13" t="s">
        <v>61</v>
      </c>
      <c r="F1122" s="13" t="s">
        <v>636</v>
      </c>
      <c r="G1122" s="13">
        <v>0.69999999999999984</v>
      </c>
      <c r="H1122" s="15">
        <v>1682</v>
      </c>
      <c r="I1122" s="16">
        <v>1177.4000000000001</v>
      </c>
      <c r="J1122" s="16">
        <v>1069.5382722397201</v>
      </c>
      <c r="K1122" s="16">
        <v>107.86172776027982</v>
      </c>
      <c r="L1122" s="13">
        <v>1.3</v>
      </c>
      <c r="M1122" s="13"/>
      <c r="N1122" s="17">
        <f t="shared" si="38"/>
        <v>2186.6</v>
      </c>
      <c r="O1122" s="17">
        <f t="shared" si="38"/>
        <v>0</v>
      </c>
      <c r="P1122" s="17">
        <f t="shared" si="37"/>
        <v>2186.6</v>
      </c>
      <c r="Q1122" t="str">
        <f>A1122&amp;"-"&amp;B1122&amp;"-"&amp;D1122</f>
        <v>MARET-MJ2-L3</v>
      </c>
    </row>
    <row r="1123" spans="1:17" x14ac:dyDescent="0.25">
      <c r="A1123" t="s">
        <v>393</v>
      </c>
      <c r="B1123" s="13" t="s">
        <v>26</v>
      </c>
      <c r="C1123" s="13" t="s">
        <v>226</v>
      </c>
      <c r="D1123" s="14" t="s">
        <v>56</v>
      </c>
      <c r="E1123" s="13" t="s">
        <v>61</v>
      </c>
      <c r="F1123" s="13" t="s">
        <v>653</v>
      </c>
      <c r="G1123" s="13">
        <v>0.65</v>
      </c>
      <c r="H1123" s="15">
        <v>2499</v>
      </c>
      <c r="I1123" s="16">
        <v>1624.3500000000001</v>
      </c>
      <c r="J1123" s="16">
        <v>1967.0051213101544</v>
      </c>
      <c r="K1123" s="16">
        <v>-342.65512131015453</v>
      </c>
      <c r="L1123" s="13">
        <v>1.72</v>
      </c>
      <c r="M1123" s="13"/>
      <c r="N1123" s="17">
        <f t="shared" si="38"/>
        <v>4298.28</v>
      </c>
      <c r="O1123" s="17">
        <f t="shared" si="38"/>
        <v>0</v>
      </c>
      <c r="P1123" s="17">
        <f t="shared" si="37"/>
        <v>4298.28</v>
      </c>
      <c r="Q1123" t="str">
        <f>A1123&amp;"-"&amp;B1123&amp;"-"&amp;D1123</f>
        <v>MARET-MJ2-L3</v>
      </c>
    </row>
    <row r="1124" spans="1:17" x14ac:dyDescent="0.25">
      <c r="A1124" t="s">
        <v>393</v>
      </c>
      <c r="B1124" s="13" t="s">
        <v>26</v>
      </c>
      <c r="C1124" s="13" t="s">
        <v>226</v>
      </c>
      <c r="D1124" s="14" t="s">
        <v>56</v>
      </c>
      <c r="E1124" s="13" t="s">
        <v>61</v>
      </c>
      <c r="F1124" s="13" t="s">
        <v>654</v>
      </c>
      <c r="G1124" s="13">
        <v>0.65</v>
      </c>
      <c r="H1124" s="15">
        <v>5326</v>
      </c>
      <c r="I1124" s="16">
        <v>3461.9000000000005</v>
      </c>
      <c r="J1124" s="16">
        <v>5263.6575009008557</v>
      </c>
      <c r="K1124" s="16">
        <v>-1801.7575009008551</v>
      </c>
      <c r="L1124" s="13">
        <v>1.72</v>
      </c>
      <c r="M1124" s="13"/>
      <c r="N1124" s="17">
        <f t="shared" si="38"/>
        <v>9160.7199999999993</v>
      </c>
      <c r="O1124" s="17">
        <f t="shared" si="38"/>
        <v>0</v>
      </c>
      <c r="P1124" s="17">
        <f t="shared" si="37"/>
        <v>9160.7199999999993</v>
      </c>
      <c r="Q1124" t="str">
        <f>A1124&amp;"-"&amp;B1124&amp;"-"&amp;D1124</f>
        <v>MARET-MJ2-L3</v>
      </c>
    </row>
    <row r="1125" spans="1:17" x14ac:dyDescent="0.25">
      <c r="A1125" t="s">
        <v>393</v>
      </c>
      <c r="B1125" s="13" t="s">
        <v>26</v>
      </c>
      <c r="C1125" s="13" t="s">
        <v>226</v>
      </c>
      <c r="D1125" s="14" t="s">
        <v>158</v>
      </c>
      <c r="E1125" s="13" t="s">
        <v>61</v>
      </c>
      <c r="F1125" s="13" t="s">
        <v>655</v>
      </c>
      <c r="G1125" s="13">
        <v>0.72000000000000008</v>
      </c>
      <c r="H1125" s="15">
        <v>1377</v>
      </c>
      <c r="I1125" s="16">
        <v>991.43999999999994</v>
      </c>
      <c r="J1125" s="16">
        <v>749.90499252309735</v>
      </c>
      <c r="K1125" s="16">
        <v>241.53500747690265</v>
      </c>
      <c r="L1125" s="13">
        <v>1.36</v>
      </c>
      <c r="M1125" s="13"/>
      <c r="N1125" s="17">
        <f t="shared" si="38"/>
        <v>1872.72</v>
      </c>
      <c r="O1125" s="17">
        <f t="shared" si="38"/>
        <v>0</v>
      </c>
      <c r="P1125" s="17">
        <f t="shared" si="37"/>
        <v>1872.72</v>
      </c>
      <c r="Q1125" t="str">
        <f>A1125&amp;"-"&amp;B1125&amp;"-"&amp;D1125</f>
        <v>MARET-MJ2-L4</v>
      </c>
    </row>
    <row r="1126" spans="1:17" x14ac:dyDescent="0.25">
      <c r="A1126" t="s">
        <v>393</v>
      </c>
      <c r="B1126" s="13" t="s">
        <v>26</v>
      </c>
      <c r="C1126" s="13" t="s">
        <v>226</v>
      </c>
      <c r="D1126" s="14" t="s">
        <v>158</v>
      </c>
      <c r="E1126" s="13" t="s">
        <v>61</v>
      </c>
      <c r="F1126" s="13" t="s">
        <v>636</v>
      </c>
      <c r="G1126" s="13">
        <v>0.69999999999999984</v>
      </c>
      <c r="H1126" s="15">
        <v>5877</v>
      </c>
      <c r="I1126" s="16">
        <v>4113.8999999999996</v>
      </c>
      <c r="J1126" s="16">
        <v>2927.160995529875</v>
      </c>
      <c r="K1126" s="16">
        <v>1186.7390044701251</v>
      </c>
      <c r="L1126" s="13">
        <v>1.3</v>
      </c>
      <c r="M1126" s="13"/>
      <c r="N1126" s="17">
        <f t="shared" si="38"/>
        <v>7640.1</v>
      </c>
      <c r="O1126" s="17">
        <f t="shared" si="38"/>
        <v>0</v>
      </c>
      <c r="P1126" s="17">
        <f t="shared" si="37"/>
        <v>7640.1</v>
      </c>
      <c r="Q1126" t="str">
        <f>A1126&amp;"-"&amp;B1126&amp;"-"&amp;D1126</f>
        <v>MARET-MJ2-L4</v>
      </c>
    </row>
    <row r="1127" spans="1:17" x14ac:dyDescent="0.25">
      <c r="A1127" t="s">
        <v>393</v>
      </c>
      <c r="B1127" s="13" t="s">
        <v>26</v>
      </c>
      <c r="C1127" s="13" t="s">
        <v>226</v>
      </c>
      <c r="D1127" s="14" t="s">
        <v>158</v>
      </c>
      <c r="E1127" s="13" t="s">
        <v>61</v>
      </c>
      <c r="F1127" s="13" t="s">
        <v>637</v>
      </c>
      <c r="G1127" s="13">
        <v>0.70000000000000007</v>
      </c>
      <c r="H1127" s="15">
        <v>8351</v>
      </c>
      <c r="I1127" s="16">
        <v>5845.7000000000007</v>
      </c>
      <c r="J1127" s="16">
        <v>4543.8198023082496</v>
      </c>
      <c r="K1127" s="16">
        <v>1301.8801976917507</v>
      </c>
      <c r="L1127" s="13">
        <v>1.3</v>
      </c>
      <c r="M1127" s="13"/>
      <c r="N1127" s="17">
        <f t="shared" si="38"/>
        <v>10856.300000000001</v>
      </c>
      <c r="O1127" s="17">
        <f t="shared" si="38"/>
        <v>0</v>
      </c>
      <c r="P1127" s="17">
        <f t="shared" si="37"/>
        <v>10856.300000000001</v>
      </c>
      <c r="Q1127" t="str">
        <f>A1127&amp;"-"&amp;B1127&amp;"-"&amp;D1127</f>
        <v>MARET-MJ2-L4</v>
      </c>
    </row>
    <row r="1128" spans="1:17" x14ac:dyDescent="0.25">
      <c r="A1128" t="s">
        <v>393</v>
      </c>
      <c r="B1128" s="13" t="s">
        <v>26</v>
      </c>
      <c r="C1128" s="13" t="s">
        <v>226</v>
      </c>
      <c r="D1128" s="14" t="s">
        <v>158</v>
      </c>
      <c r="E1128" s="13" t="s">
        <v>61</v>
      </c>
      <c r="F1128" s="13" t="s">
        <v>656</v>
      </c>
      <c r="G1128" s="13">
        <v>0.72000000000000008</v>
      </c>
      <c r="H1128" s="15">
        <v>1216</v>
      </c>
      <c r="I1128" s="16">
        <v>875.5200000000001</v>
      </c>
      <c r="J1128" s="16">
        <v>776.79608577083343</v>
      </c>
      <c r="K1128" s="16">
        <v>98.72391422916651</v>
      </c>
      <c r="L1128" s="13">
        <v>1.34</v>
      </c>
      <c r="M1128" s="13"/>
      <c r="N1128" s="17">
        <f t="shared" si="38"/>
        <v>1629.44</v>
      </c>
      <c r="O1128" s="17">
        <f t="shared" si="38"/>
        <v>0</v>
      </c>
      <c r="P1128" s="17">
        <f t="shared" si="37"/>
        <v>1629.44</v>
      </c>
      <c r="Q1128" t="str">
        <f>A1128&amp;"-"&amp;B1128&amp;"-"&amp;D1128</f>
        <v>MARET-MJ2-L4</v>
      </c>
    </row>
    <row r="1129" spans="1:17" x14ac:dyDescent="0.25">
      <c r="A1129" t="s">
        <v>393</v>
      </c>
      <c r="B1129" s="13" t="s">
        <v>26</v>
      </c>
      <c r="C1129" s="13" t="s">
        <v>226</v>
      </c>
      <c r="D1129" s="14" t="s">
        <v>158</v>
      </c>
      <c r="E1129" s="13" t="s">
        <v>61</v>
      </c>
      <c r="F1129" s="13" t="s">
        <v>657</v>
      </c>
      <c r="G1129" s="13">
        <v>0.71999999999999986</v>
      </c>
      <c r="H1129" s="15">
        <v>4910</v>
      </c>
      <c r="I1129" s="16">
        <v>3535.2000000000003</v>
      </c>
      <c r="J1129" s="16">
        <v>2945.4342970353105</v>
      </c>
      <c r="K1129" s="16">
        <v>589.76570296468958</v>
      </c>
      <c r="L1129" s="13">
        <v>1.34</v>
      </c>
      <c r="M1129" s="13"/>
      <c r="N1129" s="17">
        <f t="shared" si="38"/>
        <v>6579.4000000000005</v>
      </c>
      <c r="O1129" s="17">
        <f t="shared" si="38"/>
        <v>0</v>
      </c>
      <c r="P1129" s="17">
        <f t="shared" si="37"/>
        <v>6579.4000000000005</v>
      </c>
      <c r="Q1129" t="str">
        <f>A1129&amp;"-"&amp;B1129&amp;"-"&amp;D1129</f>
        <v>MARET-MJ2-L4</v>
      </c>
    </row>
    <row r="1130" spans="1:17" x14ac:dyDescent="0.25">
      <c r="A1130" t="s">
        <v>393</v>
      </c>
      <c r="B1130" s="13" t="s">
        <v>26</v>
      </c>
      <c r="C1130" s="13" t="s">
        <v>226</v>
      </c>
      <c r="D1130" s="14" t="s">
        <v>158</v>
      </c>
      <c r="E1130" s="13" t="s">
        <v>61</v>
      </c>
      <c r="F1130" s="13" t="s">
        <v>658</v>
      </c>
      <c r="G1130" s="13">
        <v>0.88</v>
      </c>
      <c r="H1130" s="15">
        <v>730</v>
      </c>
      <c r="I1130" s="16">
        <v>642.4</v>
      </c>
      <c r="J1130" s="16">
        <v>973.97622192866572</v>
      </c>
      <c r="K1130" s="16">
        <v>-331.57622192866575</v>
      </c>
      <c r="L1130" s="13">
        <v>2.65</v>
      </c>
      <c r="M1130" s="13"/>
      <c r="N1130" s="17">
        <f t="shared" si="38"/>
        <v>1934.5</v>
      </c>
      <c r="O1130" s="17">
        <f t="shared" si="38"/>
        <v>0</v>
      </c>
      <c r="P1130" s="17">
        <f t="shared" si="37"/>
        <v>1934.5</v>
      </c>
      <c r="Q1130" t="str">
        <f>A1130&amp;"-"&amp;B1130&amp;"-"&amp;D1130</f>
        <v>MARET-MJ2-L4</v>
      </c>
    </row>
    <row r="1131" spans="1:17" x14ac:dyDescent="0.25">
      <c r="A1131" t="s">
        <v>393</v>
      </c>
      <c r="B1131" s="13" t="s">
        <v>26</v>
      </c>
      <c r="C1131" s="13" t="s">
        <v>226</v>
      </c>
      <c r="D1131" s="14" t="s">
        <v>158</v>
      </c>
      <c r="E1131" s="13" t="s">
        <v>61</v>
      </c>
      <c r="F1131" s="13" t="s">
        <v>647</v>
      </c>
      <c r="G1131" s="13">
        <v>0.66</v>
      </c>
      <c r="H1131" s="15">
        <v>3180</v>
      </c>
      <c r="I1131" s="16">
        <v>2098.8000000000002</v>
      </c>
      <c r="J1131" s="16">
        <v>2109.0216275336998</v>
      </c>
      <c r="K1131" s="16">
        <v>-10.221627533699788</v>
      </c>
      <c r="L1131" s="13">
        <v>1.71</v>
      </c>
      <c r="M1131" s="13"/>
      <c r="N1131" s="17">
        <f t="shared" si="38"/>
        <v>5437.8</v>
      </c>
      <c r="O1131" s="17">
        <f t="shared" si="38"/>
        <v>0</v>
      </c>
      <c r="P1131" s="17">
        <f t="shared" si="37"/>
        <v>5437.8</v>
      </c>
      <c r="Q1131" t="str">
        <f>A1131&amp;"-"&amp;B1131&amp;"-"&amp;D1131</f>
        <v>MARET-MJ2-L4</v>
      </c>
    </row>
    <row r="1132" spans="1:17" x14ac:dyDescent="0.25">
      <c r="A1132" t="s">
        <v>393</v>
      </c>
      <c r="B1132" s="13" t="s">
        <v>26</v>
      </c>
      <c r="C1132" s="13" t="s">
        <v>226</v>
      </c>
      <c r="D1132" s="14" t="s">
        <v>158</v>
      </c>
      <c r="E1132" s="13" t="s">
        <v>61</v>
      </c>
      <c r="F1132" s="13" t="s">
        <v>507</v>
      </c>
      <c r="G1132" s="13">
        <v>0.79</v>
      </c>
      <c r="H1132" s="15">
        <v>139</v>
      </c>
      <c r="I1132" s="16">
        <v>109.81</v>
      </c>
      <c r="J1132" s="16">
        <v>74.954618259476774</v>
      </c>
      <c r="K1132" s="16">
        <v>34.855381740523228</v>
      </c>
      <c r="L1132" s="13">
        <v>2.15</v>
      </c>
      <c r="M1132" s="13"/>
      <c r="N1132" s="17">
        <f t="shared" si="38"/>
        <v>298.84999999999997</v>
      </c>
      <c r="O1132" s="17">
        <f t="shared" si="38"/>
        <v>0</v>
      </c>
      <c r="P1132" s="17">
        <f t="shared" si="37"/>
        <v>298.84999999999997</v>
      </c>
      <c r="Q1132" t="str">
        <f>A1132&amp;"-"&amp;B1132&amp;"-"&amp;D1132</f>
        <v>MARET-MJ2-L4</v>
      </c>
    </row>
    <row r="1133" spans="1:17" x14ac:dyDescent="0.25">
      <c r="A1133" t="s">
        <v>393</v>
      </c>
      <c r="B1133" s="13" t="s">
        <v>26</v>
      </c>
      <c r="C1133" s="13" t="s">
        <v>226</v>
      </c>
      <c r="D1133" s="14" t="s">
        <v>158</v>
      </c>
      <c r="E1133" s="13" t="s">
        <v>61</v>
      </c>
      <c r="F1133" s="13" t="s">
        <v>659</v>
      </c>
      <c r="G1133" s="13">
        <v>0.79</v>
      </c>
      <c r="H1133" s="15">
        <v>72</v>
      </c>
      <c r="I1133" s="16">
        <v>56.88</v>
      </c>
      <c r="J1133" s="16">
        <v>46.171428571428571</v>
      </c>
      <c r="K1133" s="16">
        <v>10.708571428571432</v>
      </c>
      <c r="L1133" s="13">
        <v>2.42</v>
      </c>
      <c r="M1133" s="13"/>
      <c r="N1133" s="17">
        <f t="shared" si="38"/>
        <v>174.24</v>
      </c>
      <c r="O1133" s="17">
        <f t="shared" si="38"/>
        <v>0</v>
      </c>
      <c r="P1133" s="17">
        <f t="shared" si="37"/>
        <v>174.24</v>
      </c>
      <c r="Q1133" t="str">
        <f>A1133&amp;"-"&amp;B1133&amp;"-"&amp;D1133</f>
        <v>MARET-MJ2-L4</v>
      </c>
    </row>
    <row r="1134" spans="1:17" x14ac:dyDescent="0.25">
      <c r="A1134" t="s">
        <v>393</v>
      </c>
      <c r="B1134" s="13" t="s">
        <v>26</v>
      </c>
      <c r="C1134" s="13" t="s">
        <v>226</v>
      </c>
      <c r="D1134" s="14" t="s">
        <v>158</v>
      </c>
      <c r="E1134" s="13" t="s">
        <v>61</v>
      </c>
      <c r="F1134" s="13" t="s">
        <v>660</v>
      </c>
      <c r="G1134" s="13">
        <v>0.79</v>
      </c>
      <c r="H1134" s="15">
        <v>986</v>
      </c>
      <c r="I1134" s="16">
        <v>778.94</v>
      </c>
      <c r="J1134" s="16">
        <v>673.39012476316896</v>
      </c>
      <c r="K1134" s="16">
        <v>105.54987523683094</v>
      </c>
      <c r="L1134" s="13">
        <v>2.15</v>
      </c>
      <c r="M1134" s="13"/>
      <c r="N1134" s="17">
        <f t="shared" si="38"/>
        <v>2119.9</v>
      </c>
      <c r="O1134" s="17">
        <f t="shared" si="38"/>
        <v>0</v>
      </c>
      <c r="P1134" s="17">
        <f t="shared" si="37"/>
        <v>2119.9</v>
      </c>
      <c r="Q1134" t="str">
        <f>A1134&amp;"-"&amp;B1134&amp;"-"&amp;D1134</f>
        <v>MARET-MJ2-L4</v>
      </c>
    </row>
    <row r="1135" spans="1:17" x14ac:dyDescent="0.25">
      <c r="A1135" t="s">
        <v>393</v>
      </c>
      <c r="B1135" s="13" t="s">
        <v>26</v>
      </c>
      <c r="C1135" s="13" t="s">
        <v>226</v>
      </c>
      <c r="D1135" s="14" t="s">
        <v>158</v>
      </c>
      <c r="E1135" s="13" t="s">
        <v>61</v>
      </c>
      <c r="F1135" s="13" t="s">
        <v>661</v>
      </c>
      <c r="G1135" s="13">
        <v>0.72</v>
      </c>
      <c r="H1135" s="15">
        <v>55</v>
      </c>
      <c r="I1135" s="16">
        <v>39.6</v>
      </c>
      <c r="J1135" s="16">
        <v>48.012100259291273</v>
      </c>
      <c r="K1135" s="16">
        <v>-8.4121002592912717</v>
      </c>
      <c r="L1135" s="13">
        <v>2.31</v>
      </c>
      <c r="M1135" s="13"/>
      <c r="N1135" s="17">
        <f t="shared" si="38"/>
        <v>127.05</v>
      </c>
      <c r="O1135" s="17">
        <f t="shared" si="38"/>
        <v>0</v>
      </c>
      <c r="P1135" s="17">
        <f t="shared" si="37"/>
        <v>127.05</v>
      </c>
      <c r="Q1135" t="str">
        <f>A1135&amp;"-"&amp;B1135&amp;"-"&amp;D1135</f>
        <v>MARET-MJ2-L4</v>
      </c>
    </row>
    <row r="1136" spans="1:17" x14ac:dyDescent="0.25">
      <c r="A1136" t="s">
        <v>393</v>
      </c>
      <c r="B1136" s="13" t="s">
        <v>26</v>
      </c>
      <c r="C1136" s="13" t="s">
        <v>226</v>
      </c>
      <c r="D1136" s="14" t="s">
        <v>158</v>
      </c>
      <c r="E1136" s="13" t="s">
        <v>61</v>
      </c>
      <c r="F1136" s="13" t="s">
        <v>509</v>
      </c>
      <c r="G1136" s="13">
        <v>0.79999999999999993</v>
      </c>
      <c r="H1136" s="15">
        <v>888</v>
      </c>
      <c r="I1136" s="16">
        <v>710.4</v>
      </c>
      <c r="J1136" s="16">
        <v>517.15175404020374</v>
      </c>
      <c r="K1136" s="16">
        <v>193.24824595979624</v>
      </c>
      <c r="L1136" s="13">
        <v>2.16</v>
      </c>
      <c r="M1136" s="13"/>
      <c r="N1136" s="17">
        <f t="shared" si="38"/>
        <v>1918.0800000000002</v>
      </c>
      <c r="O1136" s="17">
        <f t="shared" si="38"/>
        <v>0</v>
      </c>
      <c r="P1136" s="17">
        <f t="shared" si="37"/>
        <v>1918.0800000000002</v>
      </c>
      <c r="Q1136" t="str">
        <f>A1136&amp;"-"&amp;B1136&amp;"-"&amp;D1136</f>
        <v>MARET-MJ2-L4</v>
      </c>
    </row>
    <row r="1137" spans="1:17" x14ac:dyDescent="0.25">
      <c r="A1137" t="s">
        <v>393</v>
      </c>
      <c r="B1137" s="13" t="s">
        <v>26</v>
      </c>
      <c r="C1137" s="13" t="s">
        <v>226</v>
      </c>
      <c r="D1137" s="14" t="s">
        <v>158</v>
      </c>
      <c r="E1137" s="13" t="s">
        <v>61</v>
      </c>
      <c r="F1137" s="13" t="s">
        <v>510</v>
      </c>
      <c r="G1137" s="13">
        <v>0.72000000000000008</v>
      </c>
      <c r="H1137" s="15">
        <v>87</v>
      </c>
      <c r="I1137" s="16">
        <v>62.639999999999993</v>
      </c>
      <c r="J1137" s="16">
        <v>54.593024175295241</v>
      </c>
      <c r="K1137" s="16">
        <v>8.0469758247047558</v>
      </c>
      <c r="L1137" s="13">
        <v>2.31</v>
      </c>
      <c r="M1137" s="13"/>
      <c r="N1137" s="17">
        <f t="shared" si="38"/>
        <v>200.97</v>
      </c>
      <c r="O1137" s="17">
        <f t="shared" si="38"/>
        <v>0</v>
      </c>
      <c r="P1137" s="17">
        <f t="shared" si="37"/>
        <v>200.97</v>
      </c>
      <c r="Q1137" t="str">
        <f>A1137&amp;"-"&amp;B1137&amp;"-"&amp;D1137</f>
        <v>MARET-MJ2-L4</v>
      </c>
    </row>
    <row r="1138" spans="1:17" x14ac:dyDescent="0.25">
      <c r="A1138" t="s">
        <v>393</v>
      </c>
      <c r="B1138" s="13" t="s">
        <v>26</v>
      </c>
      <c r="C1138" s="13" t="s">
        <v>226</v>
      </c>
      <c r="D1138" s="14" t="s">
        <v>158</v>
      </c>
      <c r="E1138" s="13" t="s">
        <v>61</v>
      </c>
      <c r="F1138" s="13" t="s">
        <v>511</v>
      </c>
      <c r="G1138" s="13">
        <v>0.8</v>
      </c>
      <c r="H1138" s="15">
        <v>2040</v>
      </c>
      <c r="I1138" s="16">
        <v>1632</v>
      </c>
      <c r="J1138" s="16">
        <v>1231.5505017407911</v>
      </c>
      <c r="K1138" s="16">
        <v>400.44949825920861</v>
      </c>
      <c r="L1138" s="13">
        <v>2.16</v>
      </c>
      <c r="M1138" s="13"/>
      <c r="N1138" s="17">
        <f t="shared" si="38"/>
        <v>4406.4000000000005</v>
      </c>
      <c r="O1138" s="17">
        <f t="shared" si="38"/>
        <v>0</v>
      </c>
      <c r="P1138" s="17">
        <f t="shared" si="37"/>
        <v>4406.4000000000005</v>
      </c>
      <c r="Q1138" t="str">
        <f>A1138&amp;"-"&amp;B1138&amp;"-"&amp;D1138</f>
        <v>MARET-MJ2-L4</v>
      </c>
    </row>
    <row r="1139" spans="1:17" x14ac:dyDescent="0.25">
      <c r="A1139" t="s">
        <v>393</v>
      </c>
      <c r="B1139" s="13" t="s">
        <v>26</v>
      </c>
      <c r="C1139" s="13" t="s">
        <v>226</v>
      </c>
      <c r="D1139" s="14" t="s">
        <v>158</v>
      </c>
      <c r="E1139" s="13" t="s">
        <v>61</v>
      </c>
      <c r="F1139" s="13" t="s">
        <v>512</v>
      </c>
      <c r="G1139" s="13">
        <v>0.72</v>
      </c>
      <c r="H1139" s="15">
        <v>440</v>
      </c>
      <c r="I1139" s="16">
        <v>316.8</v>
      </c>
      <c r="J1139" s="16">
        <v>246.27058062348542</v>
      </c>
      <c r="K1139" s="16">
        <v>70.529419376514596</v>
      </c>
      <c r="L1139" s="13">
        <v>2.31</v>
      </c>
      <c r="M1139" s="13"/>
      <c r="N1139" s="17">
        <f t="shared" si="38"/>
        <v>1016.4</v>
      </c>
      <c r="O1139" s="17">
        <f t="shared" si="38"/>
        <v>0</v>
      </c>
      <c r="P1139" s="17">
        <f t="shared" si="37"/>
        <v>1016.4</v>
      </c>
      <c r="Q1139" t="str">
        <f>A1139&amp;"-"&amp;B1139&amp;"-"&amp;D1139</f>
        <v>MARET-MJ2-L4</v>
      </c>
    </row>
    <row r="1140" spans="1:17" x14ac:dyDescent="0.25">
      <c r="A1140" t="s">
        <v>393</v>
      </c>
      <c r="B1140" s="13" t="s">
        <v>26</v>
      </c>
      <c r="C1140" s="13" t="s">
        <v>226</v>
      </c>
      <c r="D1140" s="14" t="s">
        <v>158</v>
      </c>
      <c r="E1140" s="13" t="s">
        <v>61</v>
      </c>
      <c r="F1140" s="13" t="s">
        <v>662</v>
      </c>
      <c r="G1140" s="13">
        <v>0.79</v>
      </c>
      <c r="H1140" s="15">
        <v>1148</v>
      </c>
      <c r="I1140" s="16">
        <v>906.92000000000007</v>
      </c>
      <c r="J1140" s="16">
        <v>835.51284329950477</v>
      </c>
      <c r="K1140" s="16">
        <v>71.407156700495207</v>
      </c>
      <c r="L1140" s="13">
        <v>2.42</v>
      </c>
      <c r="M1140" s="13"/>
      <c r="N1140" s="17">
        <f t="shared" si="38"/>
        <v>2778.16</v>
      </c>
      <c r="O1140" s="17">
        <f t="shared" si="38"/>
        <v>0</v>
      </c>
      <c r="P1140" s="17">
        <f t="shared" si="37"/>
        <v>2778.16</v>
      </c>
      <c r="Q1140" t="str">
        <f>A1140&amp;"-"&amp;B1140&amp;"-"&amp;D1140</f>
        <v>MARET-MJ2-L4</v>
      </c>
    </row>
    <row r="1141" spans="1:17" x14ac:dyDescent="0.25">
      <c r="A1141" t="s">
        <v>393</v>
      </c>
      <c r="B1141" s="13" t="s">
        <v>26</v>
      </c>
      <c r="C1141" s="13" t="s">
        <v>226</v>
      </c>
      <c r="D1141" s="14" t="s">
        <v>158</v>
      </c>
      <c r="E1141" s="13" t="s">
        <v>61</v>
      </c>
      <c r="F1141" s="13" t="s">
        <v>504</v>
      </c>
      <c r="G1141" s="13">
        <v>0.76000000000000012</v>
      </c>
      <c r="H1141" s="15">
        <v>1388</v>
      </c>
      <c r="I1141" s="16">
        <v>1054.8800000000001</v>
      </c>
      <c r="J1141" s="16">
        <v>881.84330600421936</v>
      </c>
      <c r="K1141" s="16">
        <v>173.03669399578064</v>
      </c>
      <c r="L1141" s="13">
        <v>2.02</v>
      </c>
      <c r="M1141" s="13"/>
      <c r="N1141" s="17">
        <f t="shared" si="38"/>
        <v>2803.76</v>
      </c>
      <c r="O1141" s="17">
        <f t="shared" si="38"/>
        <v>0</v>
      </c>
      <c r="P1141" s="17">
        <f t="shared" si="37"/>
        <v>2803.76</v>
      </c>
      <c r="Q1141" t="str">
        <f>A1141&amp;"-"&amp;B1141&amp;"-"&amp;D1141</f>
        <v>MARET-MJ2-L4</v>
      </c>
    </row>
    <row r="1142" spans="1:17" x14ac:dyDescent="0.25">
      <c r="A1142" t="s">
        <v>393</v>
      </c>
      <c r="B1142" s="13" t="s">
        <v>26</v>
      </c>
      <c r="C1142" s="13" t="s">
        <v>226</v>
      </c>
      <c r="D1142" s="14" t="s">
        <v>158</v>
      </c>
      <c r="E1142" s="13" t="s">
        <v>61</v>
      </c>
      <c r="F1142" s="13" t="s">
        <v>663</v>
      </c>
      <c r="G1142" s="13">
        <v>0.76</v>
      </c>
      <c r="H1142" s="15">
        <v>2420</v>
      </c>
      <c r="I1142" s="16">
        <v>1839.2</v>
      </c>
      <c r="J1142" s="16">
        <v>1730.0852025627307</v>
      </c>
      <c r="K1142" s="16">
        <v>109.11479743726939</v>
      </c>
      <c r="L1142" s="13">
        <v>2.02</v>
      </c>
      <c r="M1142" s="13"/>
      <c r="N1142" s="17">
        <f t="shared" si="38"/>
        <v>4888.3999999999996</v>
      </c>
      <c r="O1142" s="17">
        <f t="shared" si="38"/>
        <v>0</v>
      </c>
      <c r="P1142" s="17">
        <f t="shared" si="37"/>
        <v>4888.3999999999996</v>
      </c>
      <c r="Q1142" t="str">
        <f>A1142&amp;"-"&amp;B1142&amp;"-"&amp;D1142</f>
        <v>MARET-MJ2-L4</v>
      </c>
    </row>
    <row r="1143" spans="1:17" x14ac:dyDescent="0.25">
      <c r="A1143" t="s">
        <v>393</v>
      </c>
      <c r="B1143" s="13" t="s">
        <v>26</v>
      </c>
      <c r="C1143" s="13" t="s">
        <v>226</v>
      </c>
      <c r="D1143" s="14" t="s">
        <v>158</v>
      </c>
      <c r="E1143" s="13" t="s">
        <v>61</v>
      </c>
      <c r="F1143" s="13" t="s">
        <v>645</v>
      </c>
      <c r="G1143" s="13">
        <v>0.74</v>
      </c>
      <c r="H1143" s="15">
        <v>265</v>
      </c>
      <c r="I1143" s="16">
        <v>196.1</v>
      </c>
      <c r="J1143" s="16">
        <v>143.21913290383236</v>
      </c>
      <c r="K1143" s="16">
        <v>52.880867096167634</v>
      </c>
      <c r="L1143" s="13">
        <v>2.16</v>
      </c>
      <c r="M1143" s="13"/>
      <c r="N1143" s="17">
        <f t="shared" si="38"/>
        <v>572.40000000000009</v>
      </c>
      <c r="O1143" s="17">
        <f t="shared" si="38"/>
        <v>0</v>
      </c>
      <c r="P1143" s="17">
        <f t="shared" si="37"/>
        <v>572.40000000000009</v>
      </c>
      <c r="Q1143" t="str">
        <f>A1143&amp;"-"&amp;B1143&amp;"-"&amp;D1143</f>
        <v>MARET-MJ2-L4</v>
      </c>
    </row>
    <row r="1144" spans="1:17" x14ac:dyDescent="0.25">
      <c r="A1144" t="s">
        <v>393</v>
      </c>
      <c r="B1144" s="13" t="s">
        <v>26</v>
      </c>
      <c r="C1144" s="13" t="s">
        <v>226</v>
      </c>
      <c r="D1144" s="14" t="s">
        <v>158</v>
      </c>
      <c r="E1144" s="13" t="s">
        <v>61</v>
      </c>
      <c r="F1144" s="13" t="s">
        <v>664</v>
      </c>
      <c r="G1144" s="13">
        <v>0.74</v>
      </c>
      <c r="H1144" s="15">
        <v>1027</v>
      </c>
      <c r="I1144" s="16">
        <v>759.9799999999999</v>
      </c>
      <c r="J1144" s="16">
        <v>711.13136016684064</v>
      </c>
      <c r="K1144" s="16">
        <v>48.848639833159304</v>
      </c>
      <c r="L1144" s="13">
        <v>2.16</v>
      </c>
      <c r="M1144" s="13"/>
      <c r="N1144" s="17">
        <f t="shared" si="38"/>
        <v>2218.3200000000002</v>
      </c>
      <c r="O1144" s="17">
        <f t="shared" si="38"/>
        <v>0</v>
      </c>
      <c r="P1144" s="17">
        <f t="shared" si="37"/>
        <v>2218.3200000000002</v>
      </c>
      <c r="Q1144" t="str">
        <f>A1144&amp;"-"&amp;B1144&amp;"-"&amp;D1144</f>
        <v>MARET-MJ2-L4</v>
      </c>
    </row>
    <row r="1145" spans="1:17" x14ac:dyDescent="0.25">
      <c r="A1145" t="s">
        <v>393</v>
      </c>
      <c r="B1145" s="13" t="s">
        <v>26</v>
      </c>
      <c r="C1145" s="13" t="s">
        <v>226</v>
      </c>
      <c r="D1145" s="14" t="s">
        <v>160</v>
      </c>
      <c r="E1145" s="13" t="s">
        <v>61</v>
      </c>
      <c r="F1145" s="13" t="s">
        <v>655</v>
      </c>
      <c r="G1145" s="13">
        <v>0.72000000000000008</v>
      </c>
      <c r="H1145" s="15">
        <v>1375</v>
      </c>
      <c r="I1145" s="16">
        <v>990</v>
      </c>
      <c r="J1145" s="16">
        <v>749.08591143137028</v>
      </c>
      <c r="K1145" s="16">
        <v>240.91408856862969</v>
      </c>
      <c r="L1145" s="13">
        <v>1.36</v>
      </c>
      <c r="M1145" s="13"/>
      <c r="N1145" s="17">
        <f t="shared" si="38"/>
        <v>1870.0000000000002</v>
      </c>
      <c r="O1145" s="17">
        <f t="shared" si="38"/>
        <v>0</v>
      </c>
      <c r="P1145" s="17">
        <f t="shared" si="37"/>
        <v>1870.0000000000002</v>
      </c>
      <c r="Q1145" t="str">
        <f>A1145&amp;"-"&amp;B1145&amp;"-"&amp;D1145</f>
        <v>MARET-MJ2-L5</v>
      </c>
    </row>
    <row r="1146" spans="1:17" x14ac:dyDescent="0.25">
      <c r="A1146" t="s">
        <v>393</v>
      </c>
      <c r="B1146" s="13" t="s">
        <v>26</v>
      </c>
      <c r="C1146" s="13" t="s">
        <v>226</v>
      </c>
      <c r="D1146" s="14" t="s">
        <v>160</v>
      </c>
      <c r="E1146" s="13" t="s">
        <v>61</v>
      </c>
      <c r="F1146" s="13" t="s">
        <v>636</v>
      </c>
      <c r="G1146" s="13">
        <v>0.69999999999999984</v>
      </c>
      <c r="H1146" s="15">
        <v>5878</v>
      </c>
      <c r="I1146" s="16">
        <v>4114.6000000000004</v>
      </c>
      <c r="J1146" s="16">
        <v>2927.2063580970425</v>
      </c>
      <c r="K1146" s="16">
        <v>1187.3936419029574</v>
      </c>
      <c r="L1146" s="13">
        <v>1.3</v>
      </c>
      <c r="M1146" s="13"/>
      <c r="N1146" s="17">
        <f t="shared" si="38"/>
        <v>7641.4000000000005</v>
      </c>
      <c r="O1146" s="17">
        <f t="shared" si="38"/>
        <v>0</v>
      </c>
      <c r="P1146" s="17">
        <f t="shared" si="37"/>
        <v>7641.4000000000005</v>
      </c>
      <c r="Q1146" t="str">
        <f>A1146&amp;"-"&amp;B1146&amp;"-"&amp;D1146</f>
        <v>MARET-MJ2-L5</v>
      </c>
    </row>
    <row r="1147" spans="1:17" x14ac:dyDescent="0.25">
      <c r="A1147" t="s">
        <v>393</v>
      </c>
      <c r="B1147" s="13" t="s">
        <v>26</v>
      </c>
      <c r="C1147" s="13" t="s">
        <v>226</v>
      </c>
      <c r="D1147" s="14" t="s">
        <v>160</v>
      </c>
      <c r="E1147" s="13" t="s">
        <v>61</v>
      </c>
      <c r="F1147" s="13" t="s">
        <v>637</v>
      </c>
      <c r="G1147" s="13">
        <v>0.70000000000000007</v>
      </c>
      <c r="H1147" s="15">
        <v>8353</v>
      </c>
      <c r="I1147" s="16">
        <v>5847.0999999999995</v>
      </c>
      <c r="J1147" s="16">
        <v>4545.6681031841736</v>
      </c>
      <c r="K1147" s="16">
        <v>1301.4318968158257</v>
      </c>
      <c r="L1147" s="13">
        <v>1.3</v>
      </c>
      <c r="M1147" s="13"/>
      <c r="N1147" s="17">
        <f t="shared" si="38"/>
        <v>10858.9</v>
      </c>
      <c r="O1147" s="17">
        <f t="shared" si="38"/>
        <v>0</v>
      </c>
      <c r="P1147" s="17">
        <f t="shared" si="37"/>
        <v>10858.9</v>
      </c>
      <c r="Q1147" t="str">
        <f>A1147&amp;"-"&amp;B1147&amp;"-"&amp;D1147</f>
        <v>MARET-MJ2-L5</v>
      </c>
    </row>
    <row r="1148" spans="1:17" x14ac:dyDescent="0.25">
      <c r="A1148" t="s">
        <v>393</v>
      </c>
      <c r="B1148" s="13" t="s">
        <v>26</v>
      </c>
      <c r="C1148" s="13" t="s">
        <v>226</v>
      </c>
      <c r="D1148" s="14" t="s">
        <v>160</v>
      </c>
      <c r="E1148" s="13" t="s">
        <v>61</v>
      </c>
      <c r="F1148" s="13" t="s">
        <v>656</v>
      </c>
      <c r="G1148" s="13">
        <v>0.72000000000000008</v>
      </c>
      <c r="H1148" s="15">
        <v>1219</v>
      </c>
      <c r="I1148" s="16">
        <v>877.68</v>
      </c>
      <c r="J1148" s="16">
        <v>778.45445159350652</v>
      </c>
      <c r="K1148" s="16">
        <v>99.225548406493516</v>
      </c>
      <c r="L1148" s="13">
        <v>1.34</v>
      </c>
      <c r="M1148" s="13"/>
      <c r="N1148" s="17">
        <f t="shared" si="38"/>
        <v>1633.46</v>
      </c>
      <c r="O1148" s="17">
        <f t="shared" si="38"/>
        <v>0</v>
      </c>
      <c r="P1148" s="17">
        <f t="shared" si="37"/>
        <v>1633.46</v>
      </c>
      <c r="Q1148" t="str">
        <f>A1148&amp;"-"&amp;B1148&amp;"-"&amp;D1148</f>
        <v>MARET-MJ2-L5</v>
      </c>
    </row>
    <row r="1149" spans="1:17" x14ac:dyDescent="0.25">
      <c r="A1149" t="s">
        <v>393</v>
      </c>
      <c r="B1149" s="13" t="s">
        <v>26</v>
      </c>
      <c r="C1149" s="13" t="s">
        <v>226</v>
      </c>
      <c r="D1149" s="14" t="s">
        <v>160</v>
      </c>
      <c r="E1149" s="13" t="s">
        <v>61</v>
      </c>
      <c r="F1149" s="13" t="s">
        <v>657</v>
      </c>
      <c r="G1149" s="13">
        <v>0.71999999999999986</v>
      </c>
      <c r="H1149" s="15">
        <v>4909</v>
      </c>
      <c r="I1149" s="16">
        <v>3534.48</v>
      </c>
      <c r="J1149" s="16">
        <v>2944.2981758489718</v>
      </c>
      <c r="K1149" s="16">
        <v>590.1818241510274</v>
      </c>
      <c r="L1149" s="13">
        <v>1.34</v>
      </c>
      <c r="M1149" s="13"/>
      <c r="N1149" s="17">
        <f t="shared" si="38"/>
        <v>6578.06</v>
      </c>
      <c r="O1149" s="17">
        <f t="shared" si="38"/>
        <v>0</v>
      </c>
      <c r="P1149" s="17">
        <f t="shared" si="37"/>
        <v>6578.06</v>
      </c>
      <c r="Q1149" t="str">
        <f>A1149&amp;"-"&amp;B1149&amp;"-"&amp;D1149</f>
        <v>MARET-MJ2-L5</v>
      </c>
    </row>
    <row r="1150" spans="1:17" x14ac:dyDescent="0.25">
      <c r="A1150" t="s">
        <v>393</v>
      </c>
      <c r="B1150" s="13" t="s">
        <v>26</v>
      </c>
      <c r="C1150" s="13" t="s">
        <v>226</v>
      </c>
      <c r="D1150" s="14" t="s">
        <v>160</v>
      </c>
      <c r="E1150" s="13" t="s">
        <v>61</v>
      </c>
      <c r="F1150" s="13" t="s">
        <v>658</v>
      </c>
      <c r="G1150" s="13">
        <v>0.88</v>
      </c>
      <c r="H1150" s="15">
        <v>730</v>
      </c>
      <c r="I1150" s="16">
        <v>642.4</v>
      </c>
      <c r="J1150" s="16">
        <v>972.69129287598946</v>
      </c>
      <c r="K1150" s="16">
        <v>-330.29129287598948</v>
      </c>
      <c r="L1150" s="13">
        <v>2.65</v>
      </c>
      <c r="M1150" s="13"/>
      <c r="N1150" s="17">
        <f t="shared" si="38"/>
        <v>1934.5</v>
      </c>
      <c r="O1150" s="17">
        <f t="shared" si="38"/>
        <v>0</v>
      </c>
      <c r="P1150" s="17">
        <f t="shared" si="37"/>
        <v>1934.5</v>
      </c>
      <c r="Q1150" t="str">
        <f>A1150&amp;"-"&amp;B1150&amp;"-"&amp;D1150</f>
        <v>MARET-MJ2-L5</v>
      </c>
    </row>
    <row r="1151" spans="1:17" x14ac:dyDescent="0.25">
      <c r="A1151" t="s">
        <v>393</v>
      </c>
      <c r="B1151" s="13" t="s">
        <v>26</v>
      </c>
      <c r="C1151" s="13" t="s">
        <v>226</v>
      </c>
      <c r="D1151" s="14" t="s">
        <v>160</v>
      </c>
      <c r="E1151" s="13" t="s">
        <v>61</v>
      </c>
      <c r="F1151" s="13" t="s">
        <v>647</v>
      </c>
      <c r="G1151" s="13">
        <v>0.66</v>
      </c>
      <c r="H1151" s="15">
        <v>3180</v>
      </c>
      <c r="I1151" s="16">
        <v>2098.8000000000002</v>
      </c>
      <c r="J1151" s="16">
        <v>2109.6549436831506</v>
      </c>
      <c r="K1151" s="16">
        <v>-10.854943683150328</v>
      </c>
      <c r="L1151" s="13">
        <v>1.71</v>
      </c>
      <c r="M1151" s="13"/>
      <c r="N1151" s="17">
        <f t="shared" si="38"/>
        <v>5437.8</v>
      </c>
      <c r="O1151" s="17">
        <f t="shared" si="38"/>
        <v>0</v>
      </c>
      <c r="P1151" s="17">
        <f t="shared" si="37"/>
        <v>5437.8</v>
      </c>
      <c r="Q1151" t="str">
        <f>A1151&amp;"-"&amp;B1151&amp;"-"&amp;D1151</f>
        <v>MARET-MJ2-L5</v>
      </c>
    </row>
    <row r="1152" spans="1:17" x14ac:dyDescent="0.25">
      <c r="A1152" t="s">
        <v>393</v>
      </c>
      <c r="B1152" s="13" t="s">
        <v>26</v>
      </c>
      <c r="C1152" s="13" t="s">
        <v>226</v>
      </c>
      <c r="D1152" s="14" t="s">
        <v>160</v>
      </c>
      <c r="E1152" s="13" t="s">
        <v>61</v>
      </c>
      <c r="F1152" s="13" t="s">
        <v>507</v>
      </c>
      <c r="G1152" s="13">
        <v>0.79</v>
      </c>
      <c r="H1152" s="15">
        <v>211</v>
      </c>
      <c r="I1152" s="16">
        <v>166.69</v>
      </c>
      <c r="J1152" s="16">
        <v>166.09774385840097</v>
      </c>
      <c r="K1152" s="16">
        <v>0.59225614159904438</v>
      </c>
      <c r="L1152" s="13">
        <v>2.15</v>
      </c>
      <c r="M1152" s="13"/>
      <c r="N1152" s="17">
        <f t="shared" si="38"/>
        <v>453.65</v>
      </c>
      <c r="O1152" s="17">
        <f t="shared" si="38"/>
        <v>0</v>
      </c>
      <c r="P1152" s="17">
        <f t="shared" si="37"/>
        <v>453.65</v>
      </c>
      <c r="Q1152" t="str">
        <f>A1152&amp;"-"&amp;B1152&amp;"-"&amp;D1152</f>
        <v>MARET-MJ2-L5</v>
      </c>
    </row>
    <row r="1153" spans="1:17" x14ac:dyDescent="0.25">
      <c r="A1153" t="s">
        <v>393</v>
      </c>
      <c r="B1153" s="13" t="s">
        <v>26</v>
      </c>
      <c r="C1153" s="13" t="s">
        <v>226</v>
      </c>
      <c r="D1153" s="14" t="s">
        <v>160</v>
      </c>
      <c r="E1153" s="13" t="s">
        <v>61</v>
      </c>
      <c r="F1153" s="13" t="s">
        <v>659</v>
      </c>
      <c r="G1153" s="13">
        <v>0.79</v>
      </c>
      <c r="H1153" s="15">
        <v>73</v>
      </c>
      <c r="I1153" s="16">
        <v>57.67</v>
      </c>
      <c r="J1153" s="16">
        <v>46.81269841269841</v>
      </c>
      <c r="K1153" s="16">
        <v>10.857301587301592</v>
      </c>
      <c r="L1153" s="13">
        <v>2.42</v>
      </c>
      <c r="M1153" s="13"/>
      <c r="N1153" s="17">
        <f t="shared" si="38"/>
        <v>176.66</v>
      </c>
      <c r="O1153" s="17">
        <f t="shared" si="38"/>
        <v>0</v>
      </c>
      <c r="P1153" s="17">
        <f t="shared" si="37"/>
        <v>176.66</v>
      </c>
      <c r="Q1153" t="str">
        <f>A1153&amp;"-"&amp;B1153&amp;"-"&amp;D1153</f>
        <v>MARET-MJ2-L5</v>
      </c>
    </row>
    <row r="1154" spans="1:17" x14ac:dyDescent="0.25">
      <c r="A1154" t="s">
        <v>393</v>
      </c>
      <c r="B1154" s="13" t="s">
        <v>26</v>
      </c>
      <c r="C1154" s="13" t="s">
        <v>226</v>
      </c>
      <c r="D1154" s="14" t="s">
        <v>160</v>
      </c>
      <c r="E1154" s="13" t="s">
        <v>61</v>
      </c>
      <c r="F1154" s="13" t="s">
        <v>660</v>
      </c>
      <c r="G1154" s="13">
        <v>0.79</v>
      </c>
      <c r="H1154" s="15">
        <v>928</v>
      </c>
      <c r="I1154" s="16">
        <v>733.12</v>
      </c>
      <c r="J1154" s="16">
        <v>623.25015873015877</v>
      </c>
      <c r="K1154" s="16">
        <v>109.86984126984122</v>
      </c>
      <c r="L1154" s="13">
        <v>2.15</v>
      </c>
      <c r="M1154" s="13"/>
      <c r="N1154" s="17">
        <f t="shared" si="38"/>
        <v>1995.1999999999998</v>
      </c>
      <c r="O1154" s="17">
        <f t="shared" si="38"/>
        <v>0</v>
      </c>
      <c r="P1154" s="17">
        <f t="shared" ref="P1154:P1217" si="39">N1154+O1154</f>
        <v>1995.1999999999998</v>
      </c>
      <c r="Q1154" t="str">
        <f>A1154&amp;"-"&amp;B1154&amp;"-"&amp;D1154</f>
        <v>MARET-MJ2-L5</v>
      </c>
    </row>
    <row r="1155" spans="1:17" x14ac:dyDescent="0.25">
      <c r="A1155" t="s">
        <v>393</v>
      </c>
      <c r="B1155" s="13" t="s">
        <v>26</v>
      </c>
      <c r="C1155" s="13" t="s">
        <v>226</v>
      </c>
      <c r="D1155" s="14" t="s">
        <v>160</v>
      </c>
      <c r="E1155" s="13" t="s">
        <v>61</v>
      </c>
      <c r="F1155" s="13" t="s">
        <v>661</v>
      </c>
      <c r="G1155" s="13">
        <v>0.72</v>
      </c>
      <c r="H1155" s="15">
        <v>315</v>
      </c>
      <c r="I1155" s="16">
        <v>226.8</v>
      </c>
      <c r="J1155" s="16">
        <v>212.1</v>
      </c>
      <c r="K1155" s="16">
        <v>14.700000000000017</v>
      </c>
      <c r="L1155" s="13">
        <v>2.31</v>
      </c>
      <c r="M1155" s="13"/>
      <c r="N1155" s="17">
        <f t="shared" si="38"/>
        <v>727.65</v>
      </c>
      <c r="O1155" s="17">
        <f t="shared" si="38"/>
        <v>0</v>
      </c>
      <c r="P1155" s="17">
        <f t="shared" si="39"/>
        <v>727.65</v>
      </c>
      <c r="Q1155" t="str">
        <f>A1155&amp;"-"&amp;B1155&amp;"-"&amp;D1155</f>
        <v>MARET-MJ2-L5</v>
      </c>
    </row>
    <row r="1156" spans="1:17" x14ac:dyDescent="0.25">
      <c r="A1156" t="s">
        <v>393</v>
      </c>
      <c r="B1156" s="13" t="s">
        <v>26</v>
      </c>
      <c r="C1156" s="13" t="s">
        <v>226</v>
      </c>
      <c r="D1156" s="14" t="s">
        <v>160</v>
      </c>
      <c r="E1156" s="13" t="s">
        <v>61</v>
      </c>
      <c r="F1156" s="13" t="s">
        <v>509</v>
      </c>
      <c r="G1156" s="13">
        <v>0.8</v>
      </c>
      <c r="H1156" s="15">
        <v>162</v>
      </c>
      <c r="I1156" s="16">
        <v>129.6</v>
      </c>
      <c r="J1156" s="16">
        <v>108.46425687468633</v>
      </c>
      <c r="K1156" s="16">
        <v>21.135743125313674</v>
      </c>
      <c r="L1156" s="13">
        <v>2.16</v>
      </c>
      <c r="M1156" s="13"/>
      <c r="N1156" s="17">
        <f t="shared" si="38"/>
        <v>349.92</v>
      </c>
      <c r="O1156" s="17">
        <f t="shared" si="38"/>
        <v>0</v>
      </c>
      <c r="P1156" s="17">
        <f t="shared" si="39"/>
        <v>349.92</v>
      </c>
      <c r="Q1156" t="str">
        <f>A1156&amp;"-"&amp;B1156&amp;"-"&amp;D1156</f>
        <v>MARET-MJ2-L5</v>
      </c>
    </row>
    <row r="1157" spans="1:17" x14ac:dyDescent="0.25">
      <c r="A1157" t="s">
        <v>393</v>
      </c>
      <c r="B1157" s="13" t="s">
        <v>26</v>
      </c>
      <c r="C1157" s="13" t="s">
        <v>226</v>
      </c>
      <c r="D1157" s="14" t="s">
        <v>160</v>
      </c>
      <c r="E1157" s="13" t="s">
        <v>61</v>
      </c>
      <c r="F1157" s="13" t="s">
        <v>510</v>
      </c>
      <c r="G1157" s="13">
        <v>0.72</v>
      </c>
      <c r="H1157" s="15">
        <v>38</v>
      </c>
      <c r="I1157" s="16">
        <v>27.36</v>
      </c>
      <c r="J1157" s="16">
        <v>25.239293352025776</v>
      </c>
      <c r="K1157" s="16">
        <v>2.1207066479742265</v>
      </c>
      <c r="L1157" s="13">
        <v>2.31</v>
      </c>
      <c r="M1157" s="13"/>
      <c r="N1157" s="17">
        <f t="shared" si="38"/>
        <v>87.78</v>
      </c>
      <c r="O1157" s="17">
        <f t="shared" si="38"/>
        <v>0</v>
      </c>
      <c r="P1157" s="17">
        <f t="shared" si="39"/>
        <v>87.78</v>
      </c>
      <c r="Q1157" t="str">
        <f>A1157&amp;"-"&amp;B1157&amp;"-"&amp;D1157</f>
        <v>MARET-MJ2-L5</v>
      </c>
    </row>
    <row r="1158" spans="1:17" x14ac:dyDescent="0.25">
      <c r="A1158" t="s">
        <v>393</v>
      </c>
      <c r="B1158" s="13" t="s">
        <v>26</v>
      </c>
      <c r="C1158" s="13" t="s">
        <v>226</v>
      </c>
      <c r="D1158" s="14" t="s">
        <v>160</v>
      </c>
      <c r="E1158" s="13" t="s">
        <v>61</v>
      </c>
      <c r="F1158" s="13" t="s">
        <v>511</v>
      </c>
      <c r="G1158" s="13">
        <v>0.80000000000000016</v>
      </c>
      <c r="H1158" s="15">
        <v>1830</v>
      </c>
      <c r="I1158" s="16">
        <v>1464</v>
      </c>
      <c r="J1158" s="16">
        <v>1175.0955377739331</v>
      </c>
      <c r="K1158" s="16">
        <v>288.90446222606693</v>
      </c>
      <c r="L1158" s="13">
        <v>2.16</v>
      </c>
      <c r="M1158" s="13"/>
      <c r="N1158" s="17">
        <f t="shared" si="38"/>
        <v>3952.8</v>
      </c>
      <c r="O1158" s="17">
        <f t="shared" si="38"/>
        <v>0</v>
      </c>
      <c r="P1158" s="17">
        <f t="shared" si="39"/>
        <v>3952.8</v>
      </c>
      <c r="Q1158" t="str">
        <f>A1158&amp;"-"&amp;B1158&amp;"-"&amp;D1158</f>
        <v>MARET-MJ2-L5</v>
      </c>
    </row>
    <row r="1159" spans="1:17" x14ac:dyDescent="0.25">
      <c r="A1159" t="s">
        <v>393</v>
      </c>
      <c r="B1159" s="13" t="s">
        <v>26</v>
      </c>
      <c r="C1159" s="13" t="s">
        <v>226</v>
      </c>
      <c r="D1159" s="14" t="s">
        <v>160</v>
      </c>
      <c r="E1159" s="13" t="s">
        <v>61</v>
      </c>
      <c r="F1159" s="13" t="s">
        <v>512</v>
      </c>
      <c r="G1159" s="13">
        <v>0.72</v>
      </c>
      <c r="H1159" s="15">
        <v>30</v>
      </c>
      <c r="I1159" s="16">
        <v>21.6</v>
      </c>
      <c r="J1159" s="16">
        <v>19.989583333333332</v>
      </c>
      <c r="K1159" s="16">
        <v>1.6104166666666679</v>
      </c>
      <c r="L1159" s="13">
        <v>2.31</v>
      </c>
      <c r="M1159" s="13"/>
      <c r="N1159" s="17">
        <f t="shared" si="38"/>
        <v>69.3</v>
      </c>
      <c r="O1159" s="17">
        <f t="shared" si="38"/>
        <v>0</v>
      </c>
      <c r="P1159" s="17">
        <f t="shared" si="39"/>
        <v>69.3</v>
      </c>
      <c r="Q1159" t="str">
        <f>A1159&amp;"-"&amp;B1159&amp;"-"&amp;D1159</f>
        <v>MARET-MJ2-L5</v>
      </c>
    </row>
    <row r="1160" spans="1:17" x14ac:dyDescent="0.25">
      <c r="A1160" t="s">
        <v>393</v>
      </c>
      <c r="B1160" s="13" t="s">
        <v>26</v>
      </c>
      <c r="C1160" s="13" t="s">
        <v>226</v>
      </c>
      <c r="D1160" s="14" t="s">
        <v>160</v>
      </c>
      <c r="E1160" s="13" t="s">
        <v>61</v>
      </c>
      <c r="F1160" s="13" t="s">
        <v>662</v>
      </c>
      <c r="G1160" s="13">
        <v>0.79</v>
      </c>
      <c r="H1160" s="15">
        <v>1147</v>
      </c>
      <c r="I1160" s="16">
        <v>906.13000000000011</v>
      </c>
      <c r="J1160" s="16">
        <v>835.22286243981523</v>
      </c>
      <c r="K1160" s="16">
        <v>70.907137560184708</v>
      </c>
      <c r="L1160" s="13">
        <v>2.42</v>
      </c>
      <c r="M1160" s="13"/>
      <c r="N1160" s="17">
        <f t="shared" si="38"/>
        <v>2775.74</v>
      </c>
      <c r="O1160" s="17">
        <f t="shared" si="38"/>
        <v>0</v>
      </c>
      <c r="P1160" s="17">
        <f t="shared" si="39"/>
        <v>2775.74</v>
      </c>
      <c r="Q1160" t="str">
        <f>A1160&amp;"-"&amp;B1160&amp;"-"&amp;D1160</f>
        <v>MARET-MJ2-L5</v>
      </c>
    </row>
    <row r="1161" spans="1:17" x14ac:dyDescent="0.25">
      <c r="A1161" t="s">
        <v>393</v>
      </c>
      <c r="B1161" s="13" t="s">
        <v>26</v>
      </c>
      <c r="C1161" s="13" t="s">
        <v>226</v>
      </c>
      <c r="D1161" s="14" t="s">
        <v>160</v>
      </c>
      <c r="E1161" s="13" t="s">
        <v>61</v>
      </c>
      <c r="F1161" s="13" t="s">
        <v>504</v>
      </c>
      <c r="G1161" s="13">
        <v>0.76000000000000012</v>
      </c>
      <c r="H1161" s="15">
        <v>2643</v>
      </c>
      <c r="I1161" s="16">
        <v>2008.68</v>
      </c>
      <c r="J1161" s="16">
        <v>1814.9785220659974</v>
      </c>
      <c r="K1161" s="16">
        <v>193.7014779340027</v>
      </c>
      <c r="L1161" s="13">
        <v>2.02</v>
      </c>
      <c r="M1161" s="13"/>
      <c r="N1161" s="17">
        <f t="shared" si="38"/>
        <v>5338.86</v>
      </c>
      <c r="O1161" s="17">
        <f t="shared" si="38"/>
        <v>0</v>
      </c>
      <c r="P1161" s="17">
        <f t="shared" si="39"/>
        <v>5338.86</v>
      </c>
      <c r="Q1161" t="str">
        <f>A1161&amp;"-"&amp;B1161&amp;"-"&amp;D1161</f>
        <v>MARET-MJ2-L5</v>
      </c>
    </row>
    <row r="1162" spans="1:17" x14ac:dyDescent="0.25">
      <c r="A1162" t="s">
        <v>393</v>
      </c>
      <c r="B1162" s="13" t="s">
        <v>26</v>
      </c>
      <c r="C1162" s="13" t="s">
        <v>226</v>
      </c>
      <c r="D1162" s="14" t="s">
        <v>160</v>
      </c>
      <c r="E1162" s="13" t="s">
        <v>61</v>
      </c>
      <c r="F1162" s="13" t="s">
        <v>663</v>
      </c>
      <c r="G1162" s="13">
        <v>0.76</v>
      </c>
      <c r="H1162" s="15">
        <v>1610</v>
      </c>
      <c r="I1162" s="16">
        <v>1223.5999999999999</v>
      </c>
      <c r="J1162" s="16">
        <v>1179.6225005998272</v>
      </c>
      <c r="K1162" s="16">
        <v>43.977499400172924</v>
      </c>
      <c r="L1162" s="13">
        <v>2.02</v>
      </c>
      <c r="M1162" s="13"/>
      <c r="N1162" s="17">
        <f t="shared" si="38"/>
        <v>3252.2</v>
      </c>
      <c r="O1162" s="17">
        <f t="shared" si="38"/>
        <v>0</v>
      </c>
      <c r="P1162" s="17">
        <f t="shared" si="39"/>
        <v>3252.2</v>
      </c>
      <c r="Q1162" t="str">
        <f>A1162&amp;"-"&amp;B1162&amp;"-"&amp;D1162</f>
        <v>MARET-MJ2-L5</v>
      </c>
    </row>
    <row r="1163" spans="1:17" x14ac:dyDescent="0.25">
      <c r="A1163" t="s">
        <v>393</v>
      </c>
      <c r="B1163" s="13" t="s">
        <v>26</v>
      </c>
      <c r="C1163" s="13" t="s">
        <v>226</v>
      </c>
      <c r="D1163" s="14" t="s">
        <v>160</v>
      </c>
      <c r="E1163" s="13" t="s">
        <v>61</v>
      </c>
      <c r="F1163" s="13" t="s">
        <v>645</v>
      </c>
      <c r="G1163" s="13">
        <v>0.74</v>
      </c>
      <c r="H1163" s="15">
        <v>263</v>
      </c>
      <c r="I1163" s="16">
        <v>194.62</v>
      </c>
      <c r="J1163" s="16">
        <v>165.47260287063048</v>
      </c>
      <c r="K1163" s="16">
        <v>29.147397129369516</v>
      </c>
      <c r="L1163" s="13">
        <v>2.16</v>
      </c>
      <c r="M1163" s="13"/>
      <c r="N1163" s="17">
        <f t="shared" si="38"/>
        <v>568.08000000000004</v>
      </c>
      <c r="O1163" s="17">
        <f t="shared" si="38"/>
        <v>0</v>
      </c>
      <c r="P1163" s="17">
        <f t="shared" si="39"/>
        <v>568.08000000000004</v>
      </c>
      <c r="Q1163" t="str">
        <f>A1163&amp;"-"&amp;B1163&amp;"-"&amp;D1163</f>
        <v>MARET-MJ2-L5</v>
      </c>
    </row>
    <row r="1164" spans="1:17" x14ac:dyDescent="0.25">
      <c r="A1164" t="s">
        <v>393</v>
      </c>
      <c r="B1164" s="13" t="s">
        <v>26</v>
      </c>
      <c r="C1164" s="13" t="s">
        <v>226</v>
      </c>
      <c r="D1164" s="14" t="s">
        <v>160</v>
      </c>
      <c r="E1164" s="13" t="s">
        <v>61</v>
      </c>
      <c r="F1164" s="13" t="s">
        <v>664</v>
      </c>
      <c r="G1164" s="13">
        <v>0.7400000000000001</v>
      </c>
      <c r="H1164" s="15">
        <v>1181</v>
      </c>
      <c r="I1164" s="16">
        <v>873.93999999999994</v>
      </c>
      <c r="J1164" s="16">
        <v>820.59500297428701</v>
      </c>
      <c r="K1164" s="16">
        <v>53.344997025712907</v>
      </c>
      <c r="L1164" s="13">
        <v>2.16</v>
      </c>
      <c r="M1164" s="13"/>
      <c r="N1164" s="17">
        <f t="shared" si="38"/>
        <v>2550.96</v>
      </c>
      <c r="O1164" s="17">
        <f t="shared" si="38"/>
        <v>0</v>
      </c>
      <c r="P1164" s="17">
        <f t="shared" si="39"/>
        <v>2550.96</v>
      </c>
      <c r="Q1164" t="str">
        <f>A1164&amp;"-"&amp;B1164&amp;"-"&amp;D1164</f>
        <v>MARET-MJ2-L5</v>
      </c>
    </row>
    <row r="1165" spans="1:17" x14ac:dyDescent="0.25">
      <c r="A1165" t="s">
        <v>393</v>
      </c>
      <c r="B1165" s="13" t="s">
        <v>26</v>
      </c>
      <c r="C1165" s="13" t="s">
        <v>226</v>
      </c>
      <c r="D1165" s="14" t="s">
        <v>163</v>
      </c>
      <c r="E1165" s="13" t="s">
        <v>61</v>
      </c>
      <c r="F1165" s="13" t="s">
        <v>665</v>
      </c>
      <c r="G1165" s="13">
        <v>0.76</v>
      </c>
      <c r="H1165" s="15">
        <v>658</v>
      </c>
      <c r="I1165" s="16">
        <v>500.08</v>
      </c>
      <c r="J1165" s="16">
        <v>394.17556346381969</v>
      </c>
      <c r="K1165" s="16">
        <v>105.9044365361803</v>
      </c>
      <c r="L1165" s="13">
        <v>2</v>
      </c>
      <c r="M1165" s="13"/>
      <c r="N1165" s="17">
        <f t="shared" si="38"/>
        <v>1316</v>
      </c>
      <c r="O1165" s="17">
        <f t="shared" si="38"/>
        <v>0</v>
      </c>
      <c r="P1165" s="17">
        <f t="shared" si="39"/>
        <v>1316</v>
      </c>
      <c r="Q1165" t="str">
        <f>A1165&amp;"-"&amp;B1165&amp;"-"&amp;D1165</f>
        <v>MARET-MJ2-L6</v>
      </c>
    </row>
    <row r="1166" spans="1:17" x14ac:dyDescent="0.25">
      <c r="A1166" t="s">
        <v>393</v>
      </c>
      <c r="B1166" s="13" t="s">
        <v>26</v>
      </c>
      <c r="C1166" s="13" t="s">
        <v>226</v>
      </c>
      <c r="D1166" s="14" t="s">
        <v>163</v>
      </c>
      <c r="E1166" s="13" t="s">
        <v>61</v>
      </c>
      <c r="F1166" s="13" t="s">
        <v>655</v>
      </c>
      <c r="G1166" s="13">
        <v>0.72000000000000008</v>
      </c>
      <c r="H1166" s="15">
        <v>2015</v>
      </c>
      <c r="I1166" s="16">
        <v>1450.8</v>
      </c>
      <c r="J1166" s="16">
        <v>1076.2714728396279</v>
      </c>
      <c r="K1166" s="16">
        <v>374.52852716037216</v>
      </c>
      <c r="L1166" s="13">
        <v>1.36</v>
      </c>
      <c r="M1166" s="13"/>
      <c r="N1166" s="17">
        <f t="shared" si="38"/>
        <v>2740.4</v>
      </c>
      <c r="O1166" s="17">
        <f t="shared" si="38"/>
        <v>0</v>
      </c>
      <c r="P1166" s="17">
        <f t="shared" si="39"/>
        <v>2740.4</v>
      </c>
      <c r="Q1166" t="str">
        <f>A1166&amp;"-"&amp;B1166&amp;"-"&amp;D1166</f>
        <v>MARET-MJ2-L6</v>
      </c>
    </row>
    <row r="1167" spans="1:17" x14ac:dyDescent="0.25">
      <c r="A1167" t="s">
        <v>393</v>
      </c>
      <c r="B1167" s="13" t="s">
        <v>26</v>
      </c>
      <c r="C1167" s="13" t="s">
        <v>226</v>
      </c>
      <c r="D1167" s="14" t="s">
        <v>163</v>
      </c>
      <c r="E1167" s="13" t="s">
        <v>61</v>
      </c>
      <c r="F1167" s="13" t="s">
        <v>636</v>
      </c>
      <c r="G1167" s="13">
        <v>0.7</v>
      </c>
      <c r="H1167" s="15">
        <v>6988</v>
      </c>
      <c r="I1167" s="16">
        <v>4891.6000000000004</v>
      </c>
      <c r="J1167" s="16">
        <v>3379.8201654932927</v>
      </c>
      <c r="K1167" s="16">
        <v>1511.7798345067072</v>
      </c>
      <c r="L1167" s="13">
        <v>1.3</v>
      </c>
      <c r="M1167" s="13"/>
      <c r="N1167" s="17">
        <f t="shared" si="38"/>
        <v>9084.4</v>
      </c>
      <c r="O1167" s="17">
        <f t="shared" si="38"/>
        <v>0</v>
      </c>
      <c r="P1167" s="17">
        <f t="shared" si="39"/>
        <v>9084.4</v>
      </c>
      <c r="Q1167" t="str">
        <f>A1167&amp;"-"&amp;B1167&amp;"-"&amp;D1167</f>
        <v>MARET-MJ2-L6</v>
      </c>
    </row>
    <row r="1168" spans="1:17" x14ac:dyDescent="0.25">
      <c r="A1168" t="s">
        <v>393</v>
      </c>
      <c r="B1168" s="13" t="s">
        <v>26</v>
      </c>
      <c r="C1168" s="13" t="s">
        <v>226</v>
      </c>
      <c r="D1168" s="14" t="s">
        <v>163</v>
      </c>
      <c r="E1168" s="13" t="s">
        <v>61</v>
      </c>
      <c r="F1168" s="13" t="s">
        <v>637</v>
      </c>
      <c r="G1168" s="13">
        <v>0.7</v>
      </c>
      <c r="H1168" s="15">
        <v>7843</v>
      </c>
      <c r="I1168" s="16">
        <v>5490.1</v>
      </c>
      <c r="J1168" s="16">
        <v>3851.6532188904962</v>
      </c>
      <c r="K1168" s="16">
        <v>1638.4467811095039</v>
      </c>
      <c r="L1168" s="13">
        <v>1.3</v>
      </c>
      <c r="M1168" s="13"/>
      <c r="N1168" s="17">
        <f t="shared" si="38"/>
        <v>10195.9</v>
      </c>
      <c r="O1168" s="17">
        <f t="shared" si="38"/>
        <v>0</v>
      </c>
      <c r="P1168" s="17">
        <f t="shared" si="39"/>
        <v>10195.9</v>
      </c>
      <c r="Q1168" t="str">
        <f>A1168&amp;"-"&amp;B1168&amp;"-"&amp;D1168</f>
        <v>MARET-MJ2-L6</v>
      </c>
    </row>
    <row r="1169" spans="1:17" x14ac:dyDescent="0.25">
      <c r="A1169" t="s">
        <v>393</v>
      </c>
      <c r="B1169" s="13" t="s">
        <v>26</v>
      </c>
      <c r="C1169" s="13" t="s">
        <v>226</v>
      </c>
      <c r="D1169" s="14" t="s">
        <v>163</v>
      </c>
      <c r="E1169" s="13" t="s">
        <v>61</v>
      </c>
      <c r="F1169" s="13" t="s">
        <v>656</v>
      </c>
      <c r="G1169" s="13">
        <v>0.72000000000000008</v>
      </c>
      <c r="H1169" s="15">
        <v>2320</v>
      </c>
      <c r="I1169" s="16">
        <v>1670.3999999999999</v>
      </c>
      <c r="J1169" s="16">
        <v>1185.9733663346401</v>
      </c>
      <c r="K1169" s="16">
        <v>484.42663366535993</v>
      </c>
      <c r="L1169" s="13">
        <v>1.34</v>
      </c>
      <c r="M1169" s="13"/>
      <c r="N1169" s="17">
        <f t="shared" si="38"/>
        <v>3108.8</v>
      </c>
      <c r="O1169" s="17">
        <f t="shared" si="38"/>
        <v>0</v>
      </c>
      <c r="P1169" s="17">
        <f t="shared" si="39"/>
        <v>3108.8</v>
      </c>
      <c r="Q1169" t="str">
        <f>A1169&amp;"-"&amp;B1169&amp;"-"&amp;D1169</f>
        <v>MARET-MJ2-L6</v>
      </c>
    </row>
    <row r="1170" spans="1:17" x14ac:dyDescent="0.25">
      <c r="A1170" t="s">
        <v>393</v>
      </c>
      <c r="B1170" s="13" t="s">
        <v>26</v>
      </c>
      <c r="C1170" s="13" t="s">
        <v>226</v>
      </c>
      <c r="D1170" s="14" t="s">
        <v>163</v>
      </c>
      <c r="E1170" s="13" t="s">
        <v>61</v>
      </c>
      <c r="F1170" s="13" t="s">
        <v>657</v>
      </c>
      <c r="G1170" s="13">
        <v>0.71999999999999986</v>
      </c>
      <c r="H1170" s="15">
        <v>5131</v>
      </c>
      <c r="I1170" s="16">
        <v>3694.3199999999997</v>
      </c>
      <c r="J1170" s="16">
        <v>3163.9180976841317</v>
      </c>
      <c r="K1170" s="16">
        <v>530.40190231586837</v>
      </c>
      <c r="L1170" s="13">
        <v>1.34</v>
      </c>
      <c r="M1170" s="13"/>
      <c r="N1170" s="17">
        <f t="shared" si="38"/>
        <v>6875.54</v>
      </c>
      <c r="O1170" s="17">
        <f t="shared" si="38"/>
        <v>0</v>
      </c>
      <c r="P1170" s="17">
        <f t="shared" si="39"/>
        <v>6875.54</v>
      </c>
      <c r="Q1170" t="str">
        <f>A1170&amp;"-"&amp;B1170&amp;"-"&amp;D1170</f>
        <v>MARET-MJ2-L6</v>
      </c>
    </row>
    <row r="1171" spans="1:17" x14ac:dyDescent="0.25">
      <c r="A1171" t="s">
        <v>393</v>
      </c>
      <c r="B1171" s="13" t="s">
        <v>26</v>
      </c>
      <c r="C1171" s="13" t="s">
        <v>226</v>
      </c>
      <c r="D1171" s="14" t="s">
        <v>163</v>
      </c>
      <c r="E1171" s="13" t="s">
        <v>61</v>
      </c>
      <c r="F1171" s="13" t="s">
        <v>658</v>
      </c>
      <c r="G1171" s="13">
        <v>0.88</v>
      </c>
      <c r="H1171" s="15">
        <v>1392</v>
      </c>
      <c r="I1171" s="16">
        <v>1224.9599999999998</v>
      </c>
      <c r="J1171" s="16">
        <v>1272.8862759222277</v>
      </c>
      <c r="K1171" s="16">
        <v>-47.926275922227653</v>
      </c>
      <c r="L1171" s="13">
        <v>2.65</v>
      </c>
      <c r="M1171" s="13"/>
      <c r="N1171" s="17">
        <f t="shared" si="38"/>
        <v>3688.7999999999997</v>
      </c>
      <c r="O1171" s="17">
        <f t="shared" si="38"/>
        <v>0</v>
      </c>
      <c r="P1171" s="17">
        <f t="shared" si="39"/>
        <v>3688.7999999999997</v>
      </c>
      <c r="Q1171" t="str">
        <f>A1171&amp;"-"&amp;B1171&amp;"-"&amp;D1171</f>
        <v>MARET-MJ2-L6</v>
      </c>
    </row>
    <row r="1172" spans="1:17" x14ac:dyDescent="0.25">
      <c r="A1172" t="s">
        <v>393</v>
      </c>
      <c r="B1172" s="13" t="s">
        <v>26</v>
      </c>
      <c r="C1172" s="13" t="s">
        <v>226</v>
      </c>
      <c r="D1172" s="14" t="s">
        <v>163</v>
      </c>
      <c r="E1172" s="13" t="s">
        <v>61</v>
      </c>
      <c r="F1172" s="13" t="s">
        <v>647</v>
      </c>
      <c r="G1172" s="13">
        <v>0.66</v>
      </c>
      <c r="H1172" s="15">
        <v>2494</v>
      </c>
      <c r="I1172" s="16">
        <v>1646.04</v>
      </c>
      <c r="J1172" s="16">
        <v>1655.5676585710423</v>
      </c>
      <c r="K1172" s="16">
        <v>-9.5276585710422772</v>
      </c>
      <c r="L1172" s="13">
        <v>1.71</v>
      </c>
      <c r="M1172" s="13"/>
      <c r="N1172" s="17">
        <f t="shared" si="38"/>
        <v>4264.74</v>
      </c>
      <c r="O1172" s="17">
        <f t="shared" si="38"/>
        <v>0</v>
      </c>
      <c r="P1172" s="17">
        <f t="shared" si="39"/>
        <v>4264.74</v>
      </c>
      <c r="Q1172" t="str">
        <f>A1172&amp;"-"&amp;B1172&amp;"-"&amp;D1172</f>
        <v>MARET-MJ2-L6</v>
      </c>
    </row>
    <row r="1173" spans="1:17" x14ac:dyDescent="0.25">
      <c r="A1173" t="s">
        <v>393</v>
      </c>
      <c r="B1173" s="13" t="s">
        <v>26</v>
      </c>
      <c r="C1173" s="13" t="s">
        <v>226</v>
      </c>
      <c r="D1173" s="14" t="s">
        <v>163</v>
      </c>
      <c r="E1173" s="13" t="s">
        <v>61</v>
      </c>
      <c r="F1173" s="13" t="s">
        <v>507</v>
      </c>
      <c r="G1173" s="13">
        <v>0.79</v>
      </c>
      <c r="H1173" s="15">
        <v>33</v>
      </c>
      <c r="I1173" s="16">
        <v>26.07</v>
      </c>
      <c r="J1173" s="16">
        <v>24.799107142857142</v>
      </c>
      <c r="K1173" s="16">
        <v>1.2708928571428579</v>
      </c>
      <c r="L1173" s="13">
        <v>2.15</v>
      </c>
      <c r="M1173" s="13"/>
      <c r="N1173" s="17">
        <f t="shared" si="38"/>
        <v>70.95</v>
      </c>
      <c r="O1173" s="17">
        <f t="shared" si="38"/>
        <v>0</v>
      </c>
      <c r="P1173" s="17">
        <f t="shared" si="39"/>
        <v>70.95</v>
      </c>
      <c r="Q1173" t="str">
        <f>A1173&amp;"-"&amp;B1173&amp;"-"&amp;D1173</f>
        <v>MARET-MJ2-L6</v>
      </c>
    </row>
    <row r="1174" spans="1:17" x14ac:dyDescent="0.25">
      <c r="A1174" t="s">
        <v>393</v>
      </c>
      <c r="B1174" s="13" t="s">
        <v>26</v>
      </c>
      <c r="C1174" s="13" t="s">
        <v>226</v>
      </c>
      <c r="D1174" s="14" t="s">
        <v>163</v>
      </c>
      <c r="E1174" s="13" t="s">
        <v>61</v>
      </c>
      <c r="F1174" s="13" t="s">
        <v>659</v>
      </c>
      <c r="G1174" s="13">
        <v>0.79</v>
      </c>
      <c r="H1174" s="15">
        <v>1248</v>
      </c>
      <c r="I1174" s="16">
        <v>985.92000000000007</v>
      </c>
      <c r="J1174" s="16">
        <v>927.32147167075959</v>
      </c>
      <c r="K1174" s="16">
        <v>58.598528329240452</v>
      </c>
      <c r="L1174" s="13">
        <v>2.42</v>
      </c>
      <c r="M1174" s="13"/>
      <c r="N1174" s="17">
        <f t="shared" si="38"/>
        <v>3020.16</v>
      </c>
      <c r="O1174" s="17">
        <f t="shared" si="38"/>
        <v>0</v>
      </c>
      <c r="P1174" s="17">
        <f t="shared" si="39"/>
        <v>3020.16</v>
      </c>
      <c r="Q1174" t="str">
        <f>A1174&amp;"-"&amp;B1174&amp;"-"&amp;D1174</f>
        <v>MARET-MJ2-L6</v>
      </c>
    </row>
    <row r="1175" spans="1:17" x14ac:dyDescent="0.25">
      <c r="A1175" t="s">
        <v>393</v>
      </c>
      <c r="B1175" s="13" t="s">
        <v>26</v>
      </c>
      <c r="C1175" s="13" t="s">
        <v>226</v>
      </c>
      <c r="D1175" s="14" t="s">
        <v>163</v>
      </c>
      <c r="E1175" s="13" t="s">
        <v>61</v>
      </c>
      <c r="F1175" s="13" t="s">
        <v>660</v>
      </c>
      <c r="G1175" s="13">
        <v>0.79</v>
      </c>
      <c r="H1175" s="15">
        <v>3120</v>
      </c>
      <c r="I1175" s="16">
        <v>2464.8000000000002</v>
      </c>
      <c r="J1175" s="16">
        <v>1951.4039062440315</v>
      </c>
      <c r="K1175" s="16">
        <v>513.39609375596876</v>
      </c>
      <c r="L1175" s="13">
        <v>2.15</v>
      </c>
      <c r="M1175" s="13"/>
      <c r="N1175" s="17">
        <f t="shared" si="38"/>
        <v>6708</v>
      </c>
      <c r="O1175" s="17">
        <f t="shared" si="38"/>
        <v>0</v>
      </c>
      <c r="P1175" s="17">
        <f t="shared" si="39"/>
        <v>6708</v>
      </c>
      <c r="Q1175" t="str">
        <f>A1175&amp;"-"&amp;B1175&amp;"-"&amp;D1175</f>
        <v>MARET-MJ2-L6</v>
      </c>
    </row>
    <row r="1176" spans="1:17" x14ac:dyDescent="0.25">
      <c r="A1176" t="s">
        <v>393</v>
      </c>
      <c r="B1176" s="13" t="s">
        <v>26</v>
      </c>
      <c r="C1176" s="13" t="s">
        <v>226</v>
      </c>
      <c r="D1176" s="14" t="s">
        <v>163</v>
      </c>
      <c r="E1176" s="13" t="s">
        <v>61</v>
      </c>
      <c r="F1176" s="13" t="s">
        <v>661</v>
      </c>
      <c r="G1176" s="13">
        <v>0.72</v>
      </c>
      <c r="H1176" s="15">
        <v>12</v>
      </c>
      <c r="I1176" s="16">
        <v>8.64</v>
      </c>
      <c r="J1176" s="16">
        <v>9.0178571428571423</v>
      </c>
      <c r="K1176" s="16">
        <v>-0.37785714285714178</v>
      </c>
      <c r="L1176" s="13">
        <v>2.31</v>
      </c>
      <c r="M1176" s="13"/>
      <c r="N1176" s="17">
        <f t="shared" ref="N1176:O1238" si="40">$H1176*L1176</f>
        <v>27.72</v>
      </c>
      <c r="O1176" s="17">
        <f t="shared" si="40"/>
        <v>0</v>
      </c>
      <c r="P1176" s="17">
        <f t="shared" si="39"/>
        <v>27.72</v>
      </c>
      <c r="Q1176" t="str">
        <f>A1176&amp;"-"&amp;B1176&amp;"-"&amp;D1176</f>
        <v>MARET-MJ2-L6</v>
      </c>
    </row>
    <row r="1177" spans="1:17" x14ac:dyDescent="0.25">
      <c r="A1177" t="s">
        <v>393</v>
      </c>
      <c r="B1177" s="13" t="s">
        <v>26</v>
      </c>
      <c r="C1177" s="13" t="s">
        <v>226</v>
      </c>
      <c r="D1177" s="14" t="s">
        <v>163</v>
      </c>
      <c r="E1177" s="13" t="s">
        <v>61</v>
      </c>
      <c r="F1177" s="13" t="s">
        <v>509</v>
      </c>
      <c r="G1177" s="13">
        <v>0.8</v>
      </c>
      <c r="H1177" s="15">
        <v>4</v>
      </c>
      <c r="I1177" s="16">
        <v>3.2</v>
      </c>
      <c r="J1177" s="16">
        <v>2.3420289855072465</v>
      </c>
      <c r="K1177" s="16">
        <v>0.8579710144927537</v>
      </c>
      <c r="L1177" s="13">
        <v>2.16</v>
      </c>
      <c r="M1177" s="13"/>
      <c r="N1177" s="17">
        <f t="shared" si="40"/>
        <v>8.64</v>
      </c>
      <c r="O1177" s="17">
        <f t="shared" si="40"/>
        <v>0</v>
      </c>
      <c r="P1177" s="17">
        <f t="shared" si="39"/>
        <v>8.64</v>
      </c>
      <c r="Q1177" t="str">
        <f>A1177&amp;"-"&amp;B1177&amp;"-"&amp;D1177</f>
        <v>MARET-MJ2-L6</v>
      </c>
    </row>
    <row r="1178" spans="1:17" x14ac:dyDescent="0.25">
      <c r="A1178" t="s">
        <v>393</v>
      </c>
      <c r="B1178" s="13" t="s">
        <v>26</v>
      </c>
      <c r="C1178" s="13" t="s">
        <v>226</v>
      </c>
      <c r="D1178" s="14" t="s">
        <v>163</v>
      </c>
      <c r="E1178" s="13" t="s">
        <v>61</v>
      </c>
      <c r="F1178" s="13" t="s">
        <v>511</v>
      </c>
      <c r="G1178" s="13">
        <v>0.80000000000000016</v>
      </c>
      <c r="H1178" s="15">
        <v>1735</v>
      </c>
      <c r="I1178" s="16">
        <v>1388.0000000000002</v>
      </c>
      <c r="J1178" s="16">
        <v>1043.8261128364391</v>
      </c>
      <c r="K1178" s="16">
        <v>344.17388716356118</v>
      </c>
      <c r="L1178" s="13">
        <v>2.16</v>
      </c>
      <c r="M1178" s="13"/>
      <c r="N1178" s="17">
        <f t="shared" si="40"/>
        <v>3747.6000000000004</v>
      </c>
      <c r="O1178" s="17">
        <f t="shared" si="40"/>
        <v>0</v>
      </c>
      <c r="P1178" s="17">
        <f t="shared" si="39"/>
        <v>3747.6000000000004</v>
      </c>
      <c r="Q1178" t="str">
        <f>A1178&amp;"-"&amp;B1178&amp;"-"&amp;D1178</f>
        <v>MARET-MJ2-L6</v>
      </c>
    </row>
    <row r="1179" spans="1:17" x14ac:dyDescent="0.25">
      <c r="A1179" t="s">
        <v>393</v>
      </c>
      <c r="B1179" s="13" t="s">
        <v>26</v>
      </c>
      <c r="C1179" s="13" t="s">
        <v>226</v>
      </c>
      <c r="D1179" s="14" t="s">
        <v>163</v>
      </c>
      <c r="E1179" s="13" t="s">
        <v>61</v>
      </c>
      <c r="F1179" s="13" t="s">
        <v>512</v>
      </c>
      <c r="G1179" s="13">
        <v>0.72</v>
      </c>
      <c r="H1179" s="15">
        <v>5</v>
      </c>
      <c r="I1179" s="16">
        <v>3.6</v>
      </c>
      <c r="J1179" s="16">
        <v>2.9275362318840581</v>
      </c>
      <c r="K1179" s="16">
        <v>0.672463768115942</v>
      </c>
      <c r="L1179" s="13">
        <v>2.31</v>
      </c>
      <c r="M1179" s="13"/>
      <c r="N1179" s="17">
        <f t="shared" si="40"/>
        <v>11.55</v>
      </c>
      <c r="O1179" s="17">
        <f t="shared" si="40"/>
        <v>0</v>
      </c>
      <c r="P1179" s="17">
        <f t="shared" si="39"/>
        <v>11.55</v>
      </c>
      <c r="Q1179" t="str">
        <f>A1179&amp;"-"&amp;B1179&amp;"-"&amp;D1179</f>
        <v>MARET-MJ2-L6</v>
      </c>
    </row>
    <row r="1180" spans="1:17" x14ac:dyDescent="0.25">
      <c r="A1180" t="s">
        <v>393</v>
      </c>
      <c r="B1180" s="13" t="s">
        <v>26</v>
      </c>
      <c r="C1180" s="13" t="s">
        <v>226</v>
      </c>
      <c r="D1180" s="14" t="s">
        <v>163</v>
      </c>
      <c r="E1180" s="13" t="s">
        <v>61</v>
      </c>
      <c r="F1180" s="13" t="s">
        <v>662</v>
      </c>
      <c r="G1180" s="13">
        <v>0.79</v>
      </c>
      <c r="H1180" s="15">
        <v>206</v>
      </c>
      <c r="I1180" s="16">
        <v>162.74</v>
      </c>
      <c r="J1180" s="16">
        <v>136.0681741058072</v>
      </c>
      <c r="K1180" s="16">
        <v>26.671825894192807</v>
      </c>
      <c r="L1180" s="13">
        <v>2.42</v>
      </c>
      <c r="M1180" s="13"/>
      <c r="N1180" s="17">
        <f t="shared" si="40"/>
        <v>498.52</v>
      </c>
      <c r="O1180" s="17">
        <f t="shared" si="40"/>
        <v>0</v>
      </c>
      <c r="P1180" s="17">
        <f t="shared" si="39"/>
        <v>498.52</v>
      </c>
      <c r="Q1180" t="str">
        <f>A1180&amp;"-"&amp;B1180&amp;"-"&amp;D1180</f>
        <v>MARET-MJ2-L6</v>
      </c>
    </row>
    <row r="1181" spans="1:17" x14ac:dyDescent="0.25">
      <c r="A1181" t="s">
        <v>393</v>
      </c>
      <c r="B1181" s="13" t="s">
        <v>26</v>
      </c>
      <c r="C1181" s="13" t="s">
        <v>226</v>
      </c>
      <c r="D1181" s="14" t="s">
        <v>163</v>
      </c>
      <c r="E1181" s="13" t="s">
        <v>61</v>
      </c>
      <c r="F1181" s="13" t="s">
        <v>504</v>
      </c>
      <c r="G1181" s="13">
        <v>0.76</v>
      </c>
      <c r="H1181" s="15">
        <v>1632</v>
      </c>
      <c r="I1181" s="16">
        <v>1240.32</v>
      </c>
      <c r="J1181" s="16">
        <v>1010</v>
      </c>
      <c r="K1181" s="16">
        <v>230.31999999999994</v>
      </c>
      <c r="L1181" s="13">
        <v>2.02</v>
      </c>
      <c r="M1181" s="13"/>
      <c r="N1181" s="17">
        <f t="shared" si="40"/>
        <v>3296.64</v>
      </c>
      <c r="O1181" s="17">
        <f t="shared" si="40"/>
        <v>0</v>
      </c>
      <c r="P1181" s="17">
        <f t="shared" si="39"/>
        <v>3296.64</v>
      </c>
      <c r="Q1181" t="str">
        <f>A1181&amp;"-"&amp;B1181&amp;"-"&amp;D1181</f>
        <v>MARET-MJ2-L6</v>
      </c>
    </row>
    <row r="1182" spans="1:17" x14ac:dyDescent="0.25">
      <c r="A1182" t="s">
        <v>393</v>
      </c>
      <c r="B1182" s="13" t="s">
        <v>26</v>
      </c>
      <c r="C1182" s="13" t="s">
        <v>226</v>
      </c>
      <c r="D1182" s="14" t="s">
        <v>163</v>
      </c>
      <c r="E1182" s="13" t="s">
        <v>61</v>
      </c>
      <c r="F1182" s="13" t="s">
        <v>663</v>
      </c>
      <c r="G1182" s="13">
        <v>0.76000000000000012</v>
      </c>
      <c r="H1182" s="15">
        <v>1837</v>
      </c>
      <c r="I1182" s="16">
        <v>1396.12</v>
      </c>
      <c r="J1182" s="16">
        <v>1126.4168753294675</v>
      </c>
      <c r="K1182" s="16">
        <v>269.70312467053247</v>
      </c>
      <c r="L1182" s="13">
        <v>2.02</v>
      </c>
      <c r="M1182" s="13"/>
      <c r="N1182" s="17">
        <f t="shared" si="40"/>
        <v>3710.7400000000002</v>
      </c>
      <c r="O1182" s="17">
        <f t="shared" si="40"/>
        <v>0</v>
      </c>
      <c r="P1182" s="17">
        <f t="shared" si="39"/>
        <v>3710.7400000000002</v>
      </c>
      <c r="Q1182" t="str">
        <f>A1182&amp;"-"&amp;B1182&amp;"-"&amp;D1182</f>
        <v>MARET-MJ2-L6</v>
      </c>
    </row>
    <row r="1183" spans="1:17" x14ac:dyDescent="0.25">
      <c r="A1183" t="s">
        <v>393</v>
      </c>
      <c r="B1183" s="13" t="s">
        <v>26</v>
      </c>
      <c r="C1183" s="13" t="s">
        <v>226</v>
      </c>
      <c r="D1183" s="14" t="s">
        <v>163</v>
      </c>
      <c r="E1183" s="13" t="s">
        <v>61</v>
      </c>
      <c r="F1183" s="13" t="s">
        <v>664</v>
      </c>
      <c r="G1183" s="13">
        <v>0.74</v>
      </c>
      <c r="H1183" s="15">
        <v>5</v>
      </c>
      <c r="I1183" s="16">
        <v>3.7</v>
      </c>
      <c r="J1183" s="16">
        <v>5.6111111111111116</v>
      </c>
      <c r="K1183" s="16">
        <v>-1.9111111111111114</v>
      </c>
      <c r="L1183" s="13">
        <v>2.16</v>
      </c>
      <c r="M1183" s="13"/>
      <c r="N1183" s="17">
        <f t="shared" si="40"/>
        <v>10.8</v>
      </c>
      <c r="O1183" s="17">
        <f t="shared" si="40"/>
        <v>0</v>
      </c>
      <c r="P1183" s="17">
        <f t="shared" si="39"/>
        <v>10.8</v>
      </c>
      <c r="Q1183" t="str">
        <f>A1183&amp;"-"&amp;B1183&amp;"-"&amp;D1183</f>
        <v>MARET-MJ2-L6</v>
      </c>
    </row>
    <row r="1184" spans="1:17" x14ac:dyDescent="0.25">
      <c r="A1184" t="s">
        <v>393</v>
      </c>
      <c r="B1184" s="13" t="s">
        <v>26</v>
      </c>
      <c r="C1184" s="13" t="s">
        <v>226</v>
      </c>
      <c r="D1184" s="14" t="s">
        <v>164</v>
      </c>
      <c r="E1184" s="13" t="s">
        <v>61</v>
      </c>
      <c r="F1184" s="13" t="s">
        <v>665</v>
      </c>
      <c r="G1184" s="13">
        <v>0.76</v>
      </c>
      <c r="H1184" s="15">
        <v>657</v>
      </c>
      <c r="I1184" s="16">
        <v>499.32</v>
      </c>
      <c r="J1184" s="16">
        <v>393.81008902077156</v>
      </c>
      <c r="K1184" s="16">
        <v>105.50991097922844</v>
      </c>
      <c r="L1184" s="13">
        <v>2</v>
      </c>
      <c r="M1184" s="13"/>
      <c r="N1184" s="17">
        <f t="shared" si="40"/>
        <v>1314</v>
      </c>
      <c r="O1184" s="17">
        <f t="shared" si="40"/>
        <v>0</v>
      </c>
      <c r="P1184" s="17">
        <f t="shared" si="39"/>
        <v>1314</v>
      </c>
      <c r="Q1184" t="str">
        <f>A1184&amp;"-"&amp;B1184&amp;"-"&amp;D1184</f>
        <v>MARET-MJ2-L7</v>
      </c>
    </row>
    <row r="1185" spans="1:17" x14ac:dyDescent="0.25">
      <c r="A1185" t="s">
        <v>393</v>
      </c>
      <c r="B1185" s="13" t="s">
        <v>26</v>
      </c>
      <c r="C1185" s="13" t="s">
        <v>226</v>
      </c>
      <c r="D1185" s="14" t="s">
        <v>164</v>
      </c>
      <c r="E1185" s="13" t="s">
        <v>61</v>
      </c>
      <c r="F1185" s="13" t="s">
        <v>655</v>
      </c>
      <c r="G1185" s="13">
        <v>0.72000000000000008</v>
      </c>
      <c r="H1185" s="15">
        <v>2015</v>
      </c>
      <c r="I1185" s="16">
        <v>1450.8</v>
      </c>
      <c r="J1185" s="16">
        <v>1075.7909880972672</v>
      </c>
      <c r="K1185" s="16">
        <v>375.00901190273277</v>
      </c>
      <c r="L1185" s="13">
        <v>1.36</v>
      </c>
      <c r="M1185" s="13"/>
      <c r="N1185" s="17">
        <f t="shared" si="40"/>
        <v>2740.4</v>
      </c>
      <c r="O1185" s="17">
        <f t="shared" si="40"/>
        <v>0</v>
      </c>
      <c r="P1185" s="17">
        <f t="shared" si="39"/>
        <v>2740.4</v>
      </c>
      <c r="Q1185" t="str">
        <f>A1185&amp;"-"&amp;B1185&amp;"-"&amp;D1185</f>
        <v>MARET-MJ2-L7</v>
      </c>
    </row>
    <row r="1186" spans="1:17" x14ac:dyDescent="0.25">
      <c r="A1186" t="s">
        <v>393</v>
      </c>
      <c r="B1186" s="13" t="s">
        <v>26</v>
      </c>
      <c r="C1186" s="13" t="s">
        <v>226</v>
      </c>
      <c r="D1186" s="14" t="s">
        <v>164</v>
      </c>
      <c r="E1186" s="13" t="s">
        <v>61</v>
      </c>
      <c r="F1186" s="13" t="s">
        <v>636</v>
      </c>
      <c r="G1186" s="13">
        <v>0.7</v>
      </c>
      <c r="H1186" s="15">
        <v>6988</v>
      </c>
      <c r="I1186" s="16">
        <v>4891.6000000000004</v>
      </c>
      <c r="J1186" s="16">
        <v>3380.1582462274018</v>
      </c>
      <c r="K1186" s="16">
        <v>1511.4417537725981</v>
      </c>
      <c r="L1186" s="13">
        <v>1.3</v>
      </c>
      <c r="M1186" s="13"/>
      <c r="N1186" s="17">
        <f t="shared" si="40"/>
        <v>9084.4</v>
      </c>
      <c r="O1186" s="17">
        <f t="shared" si="40"/>
        <v>0</v>
      </c>
      <c r="P1186" s="17">
        <f t="shared" si="39"/>
        <v>9084.4</v>
      </c>
      <c r="Q1186" t="str">
        <f>A1186&amp;"-"&amp;B1186&amp;"-"&amp;D1186</f>
        <v>MARET-MJ2-L7</v>
      </c>
    </row>
    <row r="1187" spans="1:17" x14ac:dyDescent="0.25">
      <c r="A1187" t="s">
        <v>393</v>
      </c>
      <c r="B1187" s="13" t="s">
        <v>26</v>
      </c>
      <c r="C1187" s="13" t="s">
        <v>226</v>
      </c>
      <c r="D1187" s="14" t="s">
        <v>164</v>
      </c>
      <c r="E1187" s="13" t="s">
        <v>61</v>
      </c>
      <c r="F1187" s="13" t="s">
        <v>637</v>
      </c>
      <c r="G1187" s="13">
        <v>0.7</v>
      </c>
      <c r="H1187" s="15">
        <v>7844</v>
      </c>
      <c r="I1187" s="16">
        <v>5490.8</v>
      </c>
      <c r="J1187" s="16">
        <v>3852.6031426369823</v>
      </c>
      <c r="K1187" s="16">
        <v>1638.1968573630174</v>
      </c>
      <c r="L1187" s="13">
        <v>1.3</v>
      </c>
      <c r="M1187" s="13"/>
      <c r="N1187" s="17">
        <f t="shared" si="40"/>
        <v>10197.200000000001</v>
      </c>
      <c r="O1187" s="17">
        <f t="shared" si="40"/>
        <v>0</v>
      </c>
      <c r="P1187" s="17">
        <f t="shared" si="39"/>
        <v>10197.200000000001</v>
      </c>
      <c r="Q1187" t="str">
        <f>A1187&amp;"-"&amp;B1187&amp;"-"&amp;D1187</f>
        <v>MARET-MJ2-L7</v>
      </c>
    </row>
    <row r="1188" spans="1:17" x14ac:dyDescent="0.25">
      <c r="A1188" t="s">
        <v>393</v>
      </c>
      <c r="B1188" s="13" t="s">
        <v>26</v>
      </c>
      <c r="C1188" s="13" t="s">
        <v>226</v>
      </c>
      <c r="D1188" s="14" t="s">
        <v>164</v>
      </c>
      <c r="E1188" s="13" t="s">
        <v>61</v>
      </c>
      <c r="F1188" s="13" t="s">
        <v>656</v>
      </c>
      <c r="G1188" s="13">
        <v>0.72000000000000008</v>
      </c>
      <c r="H1188" s="15">
        <v>2322</v>
      </c>
      <c r="I1188" s="16">
        <v>1671.8400000000001</v>
      </c>
      <c r="J1188" s="16">
        <v>1186.9191846474544</v>
      </c>
      <c r="K1188" s="16">
        <v>484.92081535254556</v>
      </c>
      <c r="L1188" s="13">
        <v>1.34</v>
      </c>
      <c r="M1188" s="13"/>
      <c r="N1188" s="17">
        <f t="shared" si="40"/>
        <v>3111.48</v>
      </c>
      <c r="O1188" s="17">
        <f t="shared" si="40"/>
        <v>0</v>
      </c>
      <c r="P1188" s="17">
        <f t="shared" si="39"/>
        <v>3111.48</v>
      </c>
      <c r="Q1188" t="str">
        <f>A1188&amp;"-"&amp;B1188&amp;"-"&amp;D1188</f>
        <v>MARET-MJ2-L7</v>
      </c>
    </row>
    <row r="1189" spans="1:17" x14ac:dyDescent="0.25">
      <c r="A1189" t="s">
        <v>393</v>
      </c>
      <c r="B1189" s="13" t="s">
        <v>26</v>
      </c>
      <c r="C1189" s="13" t="s">
        <v>226</v>
      </c>
      <c r="D1189" s="14" t="s">
        <v>164</v>
      </c>
      <c r="E1189" s="13" t="s">
        <v>61</v>
      </c>
      <c r="F1189" s="13" t="s">
        <v>657</v>
      </c>
      <c r="G1189" s="13">
        <v>0.71999999999999986</v>
      </c>
      <c r="H1189" s="15">
        <v>5131</v>
      </c>
      <c r="I1189" s="16">
        <v>3694.32</v>
      </c>
      <c r="J1189" s="16">
        <v>3163.6143301875818</v>
      </c>
      <c r="K1189" s="16">
        <v>530.70566981241836</v>
      </c>
      <c r="L1189" s="13">
        <v>1.34</v>
      </c>
      <c r="M1189" s="13"/>
      <c r="N1189" s="17">
        <f t="shared" si="40"/>
        <v>6875.54</v>
      </c>
      <c r="O1189" s="17">
        <f t="shared" si="40"/>
        <v>0</v>
      </c>
      <c r="P1189" s="17">
        <f t="shared" si="39"/>
        <v>6875.54</v>
      </c>
      <c r="Q1189" t="str">
        <f>A1189&amp;"-"&amp;B1189&amp;"-"&amp;D1189</f>
        <v>MARET-MJ2-L7</v>
      </c>
    </row>
    <row r="1190" spans="1:17" x14ac:dyDescent="0.25">
      <c r="A1190" t="s">
        <v>393</v>
      </c>
      <c r="B1190" s="13" t="s">
        <v>26</v>
      </c>
      <c r="C1190" s="13" t="s">
        <v>226</v>
      </c>
      <c r="D1190" s="14" t="s">
        <v>164</v>
      </c>
      <c r="E1190" s="13" t="s">
        <v>61</v>
      </c>
      <c r="F1190" s="13" t="s">
        <v>658</v>
      </c>
      <c r="G1190" s="13">
        <v>0.88</v>
      </c>
      <c r="H1190" s="15">
        <v>1391</v>
      </c>
      <c r="I1190" s="16">
        <v>1224.08</v>
      </c>
      <c r="J1190" s="16">
        <v>1272.4011510132475</v>
      </c>
      <c r="K1190" s="16">
        <v>-48.32115101324738</v>
      </c>
      <c r="L1190" s="13">
        <v>2.65</v>
      </c>
      <c r="M1190" s="13"/>
      <c r="N1190" s="17">
        <f t="shared" si="40"/>
        <v>3686.15</v>
      </c>
      <c r="O1190" s="17">
        <f t="shared" si="40"/>
        <v>0</v>
      </c>
      <c r="P1190" s="17">
        <f t="shared" si="39"/>
        <v>3686.15</v>
      </c>
      <c r="Q1190" t="str">
        <f>A1190&amp;"-"&amp;B1190&amp;"-"&amp;D1190</f>
        <v>MARET-MJ2-L7</v>
      </c>
    </row>
    <row r="1191" spans="1:17" x14ac:dyDescent="0.25">
      <c r="A1191" t="s">
        <v>393</v>
      </c>
      <c r="B1191" s="13" t="s">
        <v>26</v>
      </c>
      <c r="C1191" s="13" t="s">
        <v>226</v>
      </c>
      <c r="D1191" s="14" t="s">
        <v>164</v>
      </c>
      <c r="E1191" s="13" t="s">
        <v>61</v>
      </c>
      <c r="F1191" s="13" t="s">
        <v>647</v>
      </c>
      <c r="G1191" s="13">
        <v>0.66</v>
      </c>
      <c r="H1191" s="15">
        <v>2494</v>
      </c>
      <c r="I1191" s="16">
        <v>1646.04</v>
      </c>
      <c r="J1191" s="16">
        <v>1656.2318208869763</v>
      </c>
      <c r="K1191" s="16">
        <v>-10.191820886976299</v>
      </c>
      <c r="L1191" s="13">
        <v>1.71</v>
      </c>
      <c r="M1191" s="13"/>
      <c r="N1191" s="17">
        <f t="shared" si="40"/>
        <v>4264.74</v>
      </c>
      <c r="O1191" s="17">
        <f t="shared" si="40"/>
        <v>0</v>
      </c>
      <c r="P1191" s="17">
        <f t="shared" si="39"/>
        <v>4264.74</v>
      </c>
      <c r="Q1191" t="str">
        <f>A1191&amp;"-"&amp;B1191&amp;"-"&amp;D1191</f>
        <v>MARET-MJ2-L7</v>
      </c>
    </row>
    <row r="1192" spans="1:17" x14ac:dyDescent="0.25">
      <c r="A1192" t="s">
        <v>393</v>
      </c>
      <c r="B1192" s="13" t="s">
        <v>26</v>
      </c>
      <c r="C1192" s="13" t="s">
        <v>226</v>
      </c>
      <c r="D1192" s="14" t="s">
        <v>164</v>
      </c>
      <c r="E1192" s="13" t="s">
        <v>61</v>
      </c>
      <c r="F1192" s="13" t="s">
        <v>507</v>
      </c>
      <c r="G1192" s="13">
        <v>0.79</v>
      </c>
      <c r="H1192" s="15">
        <v>142</v>
      </c>
      <c r="I1192" s="16">
        <v>112.18</v>
      </c>
      <c r="J1192" s="16">
        <v>93.595871520655294</v>
      </c>
      <c r="K1192" s="16">
        <v>18.584128479344702</v>
      </c>
      <c r="L1192" s="13">
        <v>2.15</v>
      </c>
      <c r="M1192" s="13"/>
      <c r="N1192" s="17">
        <f t="shared" si="40"/>
        <v>305.3</v>
      </c>
      <c r="O1192" s="17">
        <f t="shared" si="40"/>
        <v>0</v>
      </c>
      <c r="P1192" s="17">
        <f t="shared" si="39"/>
        <v>305.3</v>
      </c>
      <c r="Q1192" t="str">
        <f>A1192&amp;"-"&amp;B1192&amp;"-"&amp;D1192</f>
        <v>MARET-MJ2-L7</v>
      </c>
    </row>
    <row r="1193" spans="1:17" x14ac:dyDescent="0.25">
      <c r="A1193" t="s">
        <v>393</v>
      </c>
      <c r="B1193" s="13" t="s">
        <v>26</v>
      </c>
      <c r="C1193" s="13" t="s">
        <v>226</v>
      </c>
      <c r="D1193" s="14" t="s">
        <v>164</v>
      </c>
      <c r="E1193" s="13" t="s">
        <v>61</v>
      </c>
      <c r="F1193" s="13" t="s">
        <v>659</v>
      </c>
      <c r="G1193" s="13">
        <v>0.79</v>
      </c>
      <c r="H1193" s="15">
        <v>1247</v>
      </c>
      <c r="I1193" s="16">
        <v>985.13</v>
      </c>
      <c r="J1193" s="16">
        <v>926.09144719153426</v>
      </c>
      <c r="K1193" s="16">
        <v>59.038552808465816</v>
      </c>
      <c r="L1193" s="13">
        <v>2.42</v>
      </c>
      <c r="M1193" s="13"/>
      <c r="N1193" s="17">
        <f t="shared" si="40"/>
        <v>3017.74</v>
      </c>
      <c r="O1193" s="17">
        <f t="shared" si="40"/>
        <v>0</v>
      </c>
      <c r="P1193" s="17">
        <f t="shared" si="39"/>
        <v>3017.74</v>
      </c>
      <c r="Q1193" t="str">
        <f>A1193&amp;"-"&amp;B1193&amp;"-"&amp;D1193</f>
        <v>MARET-MJ2-L7</v>
      </c>
    </row>
    <row r="1194" spans="1:17" x14ac:dyDescent="0.25">
      <c r="A1194" t="s">
        <v>393</v>
      </c>
      <c r="B1194" s="13" t="s">
        <v>26</v>
      </c>
      <c r="C1194" s="13" t="s">
        <v>226</v>
      </c>
      <c r="D1194" s="14" t="s">
        <v>164</v>
      </c>
      <c r="E1194" s="13" t="s">
        <v>61</v>
      </c>
      <c r="F1194" s="13" t="s">
        <v>660</v>
      </c>
      <c r="G1194" s="13">
        <v>0.79</v>
      </c>
      <c r="H1194" s="15">
        <v>1506</v>
      </c>
      <c r="I1194" s="16">
        <v>1189.74</v>
      </c>
      <c r="J1194" s="16">
        <v>943.57789881932206</v>
      </c>
      <c r="K1194" s="16">
        <v>246.16210118067801</v>
      </c>
      <c r="L1194" s="13">
        <v>2.15</v>
      </c>
      <c r="M1194" s="13"/>
      <c r="N1194" s="17">
        <f t="shared" si="40"/>
        <v>3237.9</v>
      </c>
      <c r="O1194" s="17">
        <f t="shared" si="40"/>
        <v>0</v>
      </c>
      <c r="P1194" s="17">
        <f t="shared" si="39"/>
        <v>3237.9</v>
      </c>
      <c r="Q1194" t="str">
        <f>A1194&amp;"-"&amp;B1194&amp;"-"&amp;D1194</f>
        <v>MARET-MJ2-L7</v>
      </c>
    </row>
    <row r="1195" spans="1:17" x14ac:dyDescent="0.25">
      <c r="A1195" t="s">
        <v>393</v>
      </c>
      <c r="B1195" s="13" t="s">
        <v>26</v>
      </c>
      <c r="C1195" s="13" t="s">
        <v>226</v>
      </c>
      <c r="D1195" s="14" t="s">
        <v>164</v>
      </c>
      <c r="E1195" s="13" t="s">
        <v>61</v>
      </c>
      <c r="F1195" s="13" t="s">
        <v>661</v>
      </c>
      <c r="G1195" s="13">
        <v>0.72000000000000008</v>
      </c>
      <c r="H1195" s="15">
        <v>1106</v>
      </c>
      <c r="I1195" s="16">
        <v>796.32</v>
      </c>
      <c r="J1195" s="16">
        <v>691.47766311062753</v>
      </c>
      <c r="K1195" s="16">
        <v>104.84233688937242</v>
      </c>
      <c r="L1195" s="13">
        <v>2.31</v>
      </c>
      <c r="M1195" s="13"/>
      <c r="N1195" s="17">
        <f t="shared" si="40"/>
        <v>2554.86</v>
      </c>
      <c r="O1195" s="17">
        <f t="shared" si="40"/>
        <v>0</v>
      </c>
      <c r="P1195" s="17">
        <f t="shared" si="39"/>
        <v>2554.86</v>
      </c>
      <c r="Q1195" t="str">
        <f>A1195&amp;"-"&amp;B1195&amp;"-"&amp;D1195</f>
        <v>MARET-MJ2-L7</v>
      </c>
    </row>
    <row r="1196" spans="1:17" x14ac:dyDescent="0.25">
      <c r="A1196" t="s">
        <v>393</v>
      </c>
      <c r="B1196" s="13" t="s">
        <v>26</v>
      </c>
      <c r="C1196" s="13" t="s">
        <v>226</v>
      </c>
      <c r="D1196" s="14" t="s">
        <v>164</v>
      </c>
      <c r="E1196" s="13" t="s">
        <v>61</v>
      </c>
      <c r="F1196" s="13" t="s">
        <v>509</v>
      </c>
      <c r="G1196" s="13">
        <v>0.80000000000000016</v>
      </c>
      <c r="H1196" s="15">
        <v>169</v>
      </c>
      <c r="I1196" s="16">
        <v>135.19999999999999</v>
      </c>
      <c r="J1196" s="16">
        <v>105.53285555024685</v>
      </c>
      <c r="K1196" s="16">
        <v>29.667144449753145</v>
      </c>
      <c r="L1196" s="13">
        <v>2.16</v>
      </c>
      <c r="M1196" s="13"/>
      <c r="N1196" s="17">
        <f t="shared" si="40"/>
        <v>365.04</v>
      </c>
      <c r="O1196" s="17">
        <f t="shared" si="40"/>
        <v>0</v>
      </c>
      <c r="P1196" s="17">
        <f t="shared" si="39"/>
        <v>365.04</v>
      </c>
      <c r="Q1196" t="str">
        <f>A1196&amp;"-"&amp;B1196&amp;"-"&amp;D1196</f>
        <v>MARET-MJ2-L7</v>
      </c>
    </row>
    <row r="1197" spans="1:17" x14ac:dyDescent="0.25">
      <c r="A1197" t="s">
        <v>393</v>
      </c>
      <c r="B1197" s="13" t="s">
        <v>26</v>
      </c>
      <c r="C1197" s="13" t="s">
        <v>226</v>
      </c>
      <c r="D1197" s="14" t="s">
        <v>164</v>
      </c>
      <c r="E1197" s="13" t="s">
        <v>61</v>
      </c>
      <c r="F1197" s="13" t="s">
        <v>511</v>
      </c>
      <c r="G1197" s="13">
        <v>0.79999999999999993</v>
      </c>
      <c r="H1197" s="15">
        <v>1416</v>
      </c>
      <c r="I1197" s="16">
        <v>1132.8</v>
      </c>
      <c r="J1197" s="16">
        <v>862.98010873137162</v>
      </c>
      <c r="K1197" s="16">
        <v>269.81989126862845</v>
      </c>
      <c r="L1197" s="13">
        <v>2.16</v>
      </c>
      <c r="M1197" s="13"/>
      <c r="N1197" s="17">
        <f t="shared" si="40"/>
        <v>3058.5600000000004</v>
      </c>
      <c r="O1197" s="17">
        <f t="shared" si="40"/>
        <v>0</v>
      </c>
      <c r="P1197" s="17">
        <f t="shared" si="39"/>
        <v>3058.5600000000004</v>
      </c>
      <c r="Q1197" t="str">
        <f>A1197&amp;"-"&amp;B1197&amp;"-"&amp;D1197</f>
        <v>MARET-MJ2-L7</v>
      </c>
    </row>
    <row r="1198" spans="1:17" x14ac:dyDescent="0.25">
      <c r="A1198" t="s">
        <v>393</v>
      </c>
      <c r="B1198" s="13" t="s">
        <v>26</v>
      </c>
      <c r="C1198" s="13" t="s">
        <v>226</v>
      </c>
      <c r="D1198" s="14" t="s">
        <v>164</v>
      </c>
      <c r="E1198" s="13" t="s">
        <v>61</v>
      </c>
      <c r="F1198" s="13" t="s">
        <v>512</v>
      </c>
      <c r="G1198" s="13">
        <v>0.72</v>
      </c>
      <c r="H1198" s="15">
        <v>655</v>
      </c>
      <c r="I1198" s="16">
        <v>471.6</v>
      </c>
      <c r="J1198" s="16">
        <v>398.63919436794441</v>
      </c>
      <c r="K1198" s="16">
        <v>72.960805632055596</v>
      </c>
      <c r="L1198" s="13">
        <v>2.31</v>
      </c>
      <c r="M1198" s="13"/>
      <c r="N1198" s="17">
        <f t="shared" si="40"/>
        <v>1513.05</v>
      </c>
      <c r="O1198" s="17">
        <f t="shared" si="40"/>
        <v>0</v>
      </c>
      <c r="P1198" s="17">
        <f t="shared" si="39"/>
        <v>1513.05</v>
      </c>
      <c r="Q1198" t="str">
        <f>A1198&amp;"-"&amp;B1198&amp;"-"&amp;D1198</f>
        <v>MARET-MJ2-L7</v>
      </c>
    </row>
    <row r="1199" spans="1:17" x14ac:dyDescent="0.25">
      <c r="A1199" t="s">
        <v>393</v>
      </c>
      <c r="B1199" s="13" t="s">
        <v>26</v>
      </c>
      <c r="C1199" s="13" t="s">
        <v>226</v>
      </c>
      <c r="D1199" s="14" t="s">
        <v>164</v>
      </c>
      <c r="E1199" s="13" t="s">
        <v>61</v>
      </c>
      <c r="F1199" s="13" t="s">
        <v>662</v>
      </c>
      <c r="G1199" s="13">
        <v>0.79</v>
      </c>
      <c r="H1199" s="15">
        <v>208</v>
      </c>
      <c r="I1199" s="16">
        <v>164.32</v>
      </c>
      <c r="J1199" s="16">
        <v>137.29819858503248</v>
      </c>
      <c r="K1199" s="16">
        <v>27.021801414967513</v>
      </c>
      <c r="L1199" s="13">
        <v>2.42</v>
      </c>
      <c r="M1199" s="13"/>
      <c r="N1199" s="17">
        <f t="shared" si="40"/>
        <v>503.36</v>
      </c>
      <c r="O1199" s="17">
        <f t="shared" si="40"/>
        <v>0</v>
      </c>
      <c r="P1199" s="17">
        <f t="shared" si="39"/>
        <v>503.36</v>
      </c>
      <c r="Q1199" t="str">
        <f>A1199&amp;"-"&amp;B1199&amp;"-"&amp;D1199</f>
        <v>MARET-MJ2-L7</v>
      </c>
    </row>
    <row r="1200" spans="1:17" x14ac:dyDescent="0.25">
      <c r="A1200" t="s">
        <v>393</v>
      </c>
      <c r="B1200" s="13" t="s">
        <v>26</v>
      </c>
      <c r="C1200" s="13" t="s">
        <v>226</v>
      </c>
      <c r="D1200" s="14" t="s">
        <v>164</v>
      </c>
      <c r="E1200" s="13" t="s">
        <v>61</v>
      </c>
      <c r="F1200" s="13" t="s">
        <v>504</v>
      </c>
      <c r="G1200" s="13">
        <v>0.76000000000000012</v>
      </c>
      <c r="H1200" s="15">
        <v>1263</v>
      </c>
      <c r="I1200" s="16">
        <v>959.88000000000011</v>
      </c>
      <c r="J1200" s="16">
        <v>1052.0006174427579</v>
      </c>
      <c r="K1200" s="16">
        <v>-92.120617442757833</v>
      </c>
      <c r="L1200" s="13">
        <v>2.02</v>
      </c>
      <c r="M1200" s="13"/>
      <c r="N1200" s="17">
        <f t="shared" si="40"/>
        <v>2551.2600000000002</v>
      </c>
      <c r="O1200" s="17">
        <f t="shared" si="40"/>
        <v>0</v>
      </c>
      <c r="P1200" s="17">
        <f t="shared" si="39"/>
        <v>2551.2600000000002</v>
      </c>
      <c r="Q1200" t="str">
        <f>A1200&amp;"-"&amp;B1200&amp;"-"&amp;D1200</f>
        <v>MARET-MJ2-L7</v>
      </c>
    </row>
    <row r="1201" spans="1:17" x14ac:dyDescent="0.25">
      <c r="A1201" t="s">
        <v>393</v>
      </c>
      <c r="B1201" s="13" t="s">
        <v>26</v>
      </c>
      <c r="C1201" s="13" t="s">
        <v>226</v>
      </c>
      <c r="D1201" s="14" t="s">
        <v>164</v>
      </c>
      <c r="E1201" s="13" t="s">
        <v>61</v>
      </c>
      <c r="F1201" s="13" t="s">
        <v>663</v>
      </c>
      <c r="G1201" s="13">
        <v>0.76</v>
      </c>
      <c r="H1201" s="15">
        <v>1033</v>
      </c>
      <c r="I1201" s="16">
        <v>785.07999999999993</v>
      </c>
      <c r="J1201" s="16">
        <v>632.74099144836305</v>
      </c>
      <c r="K1201" s="16">
        <v>152.33900855163694</v>
      </c>
      <c r="L1201" s="13">
        <v>2.02</v>
      </c>
      <c r="M1201" s="13"/>
      <c r="N1201" s="17">
        <f t="shared" si="40"/>
        <v>2086.66</v>
      </c>
      <c r="O1201" s="17">
        <f t="shared" si="40"/>
        <v>0</v>
      </c>
      <c r="P1201" s="17">
        <f t="shared" si="39"/>
        <v>2086.66</v>
      </c>
      <c r="Q1201" t="str">
        <f>A1201&amp;"-"&amp;B1201&amp;"-"&amp;D1201</f>
        <v>MARET-MJ2-L7</v>
      </c>
    </row>
    <row r="1202" spans="1:17" x14ac:dyDescent="0.25">
      <c r="A1202" t="s">
        <v>393</v>
      </c>
      <c r="B1202" s="13" t="s">
        <v>26</v>
      </c>
      <c r="C1202" s="13" t="s">
        <v>226</v>
      </c>
      <c r="D1202" s="14" t="s">
        <v>164</v>
      </c>
      <c r="E1202" s="13" t="s">
        <v>61</v>
      </c>
      <c r="F1202" s="13" t="s">
        <v>645</v>
      </c>
      <c r="G1202" s="13">
        <v>0.74</v>
      </c>
      <c r="H1202" s="15">
        <v>15</v>
      </c>
      <c r="I1202" s="16">
        <v>11.1</v>
      </c>
      <c r="J1202" s="16">
        <v>9.4099378881987583</v>
      </c>
      <c r="K1202" s="16">
        <v>1.6900621118012413</v>
      </c>
      <c r="L1202" s="13">
        <v>2.16</v>
      </c>
      <c r="M1202" s="13"/>
      <c r="N1202" s="17">
        <f t="shared" si="40"/>
        <v>32.400000000000006</v>
      </c>
      <c r="O1202" s="17">
        <f t="shared" si="40"/>
        <v>0</v>
      </c>
      <c r="P1202" s="17">
        <f t="shared" si="39"/>
        <v>32.400000000000006</v>
      </c>
      <c r="Q1202" t="str">
        <f>A1202&amp;"-"&amp;B1202&amp;"-"&amp;D1202</f>
        <v>MARET-MJ2-L7</v>
      </c>
    </row>
    <row r="1203" spans="1:17" x14ac:dyDescent="0.25">
      <c r="A1203" t="s">
        <v>393</v>
      </c>
      <c r="B1203" s="13" t="s">
        <v>26</v>
      </c>
      <c r="C1203" s="13" t="s">
        <v>226</v>
      </c>
      <c r="D1203" s="14" t="s">
        <v>164</v>
      </c>
      <c r="E1203" s="13" t="s">
        <v>61</v>
      </c>
      <c r="F1203" s="13" t="s">
        <v>664</v>
      </c>
      <c r="G1203" s="13">
        <v>0.74</v>
      </c>
      <c r="H1203" s="15">
        <v>625</v>
      </c>
      <c r="I1203" s="16">
        <v>462.5</v>
      </c>
      <c r="J1203" s="16">
        <v>385.12626262626259</v>
      </c>
      <c r="K1203" s="16">
        <v>77.373737373737399</v>
      </c>
      <c r="L1203" s="13">
        <v>2.16</v>
      </c>
      <c r="M1203" s="13"/>
      <c r="N1203" s="17">
        <f t="shared" si="40"/>
        <v>1350</v>
      </c>
      <c r="O1203" s="17">
        <f t="shared" si="40"/>
        <v>0</v>
      </c>
      <c r="P1203" s="17">
        <f t="shared" si="39"/>
        <v>1350</v>
      </c>
      <c r="Q1203" t="str">
        <f>A1203&amp;"-"&amp;B1203&amp;"-"&amp;D1203</f>
        <v>MARET-MJ2-L7</v>
      </c>
    </row>
    <row r="1204" spans="1:17" x14ac:dyDescent="0.25">
      <c r="A1204" t="s">
        <v>393</v>
      </c>
      <c r="B1204" s="13" t="s">
        <v>26</v>
      </c>
      <c r="C1204" s="13" t="s">
        <v>226</v>
      </c>
      <c r="D1204" s="14" t="s">
        <v>198</v>
      </c>
      <c r="E1204" s="13" t="s">
        <v>61</v>
      </c>
      <c r="F1204" s="13" t="s">
        <v>634</v>
      </c>
      <c r="G1204" s="13">
        <v>0.66</v>
      </c>
      <c r="H1204" s="15">
        <v>1475</v>
      </c>
      <c r="I1204" s="16">
        <v>973.5</v>
      </c>
      <c r="J1204" s="16">
        <v>1010</v>
      </c>
      <c r="K1204" s="16">
        <v>-36.5</v>
      </c>
      <c r="L1204" s="13">
        <v>1.71</v>
      </c>
      <c r="M1204" s="13"/>
      <c r="N1204" s="17">
        <f t="shared" si="40"/>
        <v>2522.25</v>
      </c>
      <c r="O1204" s="17">
        <f t="shared" si="40"/>
        <v>0</v>
      </c>
      <c r="P1204" s="17">
        <f t="shared" si="39"/>
        <v>2522.25</v>
      </c>
      <c r="Q1204" t="str">
        <f>A1204&amp;"-"&amp;B1204&amp;"-"&amp;D1204</f>
        <v>MARET-MJ2-L8</v>
      </c>
    </row>
    <row r="1205" spans="1:17" x14ac:dyDescent="0.25">
      <c r="A1205" t="s">
        <v>393</v>
      </c>
      <c r="B1205" s="13" t="s">
        <v>26</v>
      </c>
      <c r="C1205" s="13" t="s">
        <v>226</v>
      </c>
      <c r="D1205" s="14" t="s">
        <v>198</v>
      </c>
      <c r="E1205" s="13" t="s">
        <v>61</v>
      </c>
      <c r="F1205" s="13" t="s">
        <v>635</v>
      </c>
      <c r="G1205" s="13">
        <v>0.70000000000000007</v>
      </c>
      <c r="H1205" s="15">
        <v>14325</v>
      </c>
      <c r="I1205" s="16">
        <v>10027.5</v>
      </c>
      <c r="J1205" s="16">
        <v>7070</v>
      </c>
      <c r="K1205" s="16">
        <v>2957.5</v>
      </c>
      <c r="L1205" s="13">
        <v>1.3</v>
      </c>
      <c r="M1205" s="13"/>
      <c r="N1205" s="17">
        <f t="shared" si="40"/>
        <v>18622.5</v>
      </c>
      <c r="O1205" s="17">
        <f t="shared" si="40"/>
        <v>0</v>
      </c>
      <c r="P1205" s="17">
        <f t="shared" si="39"/>
        <v>18622.5</v>
      </c>
      <c r="Q1205" t="str">
        <f>A1205&amp;"-"&amp;B1205&amp;"-"&amp;D1205</f>
        <v>MARET-MJ2-L8</v>
      </c>
    </row>
    <row r="1206" spans="1:17" x14ac:dyDescent="0.25">
      <c r="A1206" t="s">
        <v>393</v>
      </c>
      <c r="B1206" s="13" t="s">
        <v>26</v>
      </c>
      <c r="C1206" s="13" t="s">
        <v>226</v>
      </c>
      <c r="D1206" s="14" t="s">
        <v>198</v>
      </c>
      <c r="E1206" s="13" t="s">
        <v>61</v>
      </c>
      <c r="F1206" s="13" t="s">
        <v>636</v>
      </c>
      <c r="G1206" s="13">
        <v>0.7</v>
      </c>
      <c r="H1206" s="15">
        <v>3850</v>
      </c>
      <c r="I1206" s="16">
        <v>2695</v>
      </c>
      <c r="J1206" s="16">
        <v>2020</v>
      </c>
      <c r="K1206" s="16">
        <v>675</v>
      </c>
      <c r="L1206" s="13">
        <v>1.3</v>
      </c>
      <c r="M1206" s="13"/>
      <c r="N1206" s="17">
        <f t="shared" si="40"/>
        <v>5005</v>
      </c>
      <c r="O1206" s="17">
        <f t="shared" si="40"/>
        <v>0</v>
      </c>
      <c r="P1206" s="17">
        <f t="shared" si="39"/>
        <v>5005</v>
      </c>
      <c r="Q1206" t="str">
        <f>A1206&amp;"-"&amp;B1206&amp;"-"&amp;D1206</f>
        <v>MARET-MJ2-L8</v>
      </c>
    </row>
    <row r="1207" spans="1:17" x14ac:dyDescent="0.25">
      <c r="A1207" t="s">
        <v>393</v>
      </c>
      <c r="B1207" s="13" t="s">
        <v>26</v>
      </c>
      <c r="C1207" s="13" t="s">
        <v>226</v>
      </c>
      <c r="D1207" s="14" t="s">
        <v>198</v>
      </c>
      <c r="E1207" s="13" t="s">
        <v>61</v>
      </c>
      <c r="F1207" s="13" t="s">
        <v>637</v>
      </c>
      <c r="G1207" s="13">
        <v>0.7</v>
      </c>
      <c r="H1207" s="15">
        <v>7645</v>
      </c>
      <c r="I1207" s="16">
        <v>5351.5</v>
      </c>
      <c r="J1207" s="16">
        <v>4889.4882154882152</v>
      </c>
      <c r="K1207" s="16">
        <v>462.01178451178453</v>
      </c>
      <c r="L1207" s="13">
        <v>1.3</v>
      </c>
      <c r="M1207" s="13"/>
      <c r="N1207" s="17">
        <f t="shared" si="40"/>
        <v>9938.5</v>
      </c>
      <c r="O1207" s="17">
        <f t="shared" si="40"/>
        <v>0</v>
      </c>
      <c r="P1207" s="17">
        <f t="shared" si="39"/>
        <v>9938.5</v>
      </c>
      <c r="Q1207" t="str">
        <f>A1207&amp;"-"&amp;B1207&amp;"-"&amp;D1207</f>
        <v>MARET-MJ2-L8</v>
      </c>
    </row>
    <row r="1208" spans="1:17" x14ac:dyDescent="0.25">
      <c r="A1208" t="s">
        <v>393</v>
      </c>
      <c r="B1208" s="13" t="s">
        <v>26</v>
      </c>
      <c r="C1208" s="13" t="s">
        <v>226</v>
      </c>
      <c r="D1208" s="14" t="s">
        <v>198</v>
      </c>
      <c r="E1208" s="13" t="s">
        <v>61</v>
      </c>
      <c r="F1208" s="13" t="s">
        <v>495</v>
      </c>
      <c r="G1208" s="13">
        <v>0.8</v>
      </c>
      <c r="H1208" s="15">
        <v>440</v>
      </c>
      <c r="I1208" s="16">
        <v>352</v>
      </c>
      <c r="J1208" s="16">
        <v>284.51456801649357</v>
      </c>
      <c r="K1208" s="16">
        <v>67.48543198350643</v>
      </c>
      <c r="L1208" s="13">
        <v>2.16</v>
      </c>
      <c r="M1208" s="13"/>
      <c r="N1208" s="17">
        <f t="shared" si="40"/>
        <v>950.40000000000009</v>
      </c>
      <c r="O1208" s="17">
        <f t="shared" si="40"/>
        <v>0</v>
      </c>
      <c r="P1208" s="17">
        <f t="shared" si="39"/>
        <v>950.40000000000009</v>
      </c>
      <c r="Q1208" t="str">
        <f>A1208&amp;"-"&amp;B1208&amp;"-"&amp;D1208</f>
        <v>MARET-MJ2-L8</v>
      </c>
    </row>
    <row r="1209" spans="1:17" x14ac:dyDescent="0.25">
      <c r="A1209" t="s">
        <v>393</v>
      </c>
      <c r="B1209" s="13" t="s">
        <v>26</v>
      </c>
      <c r="C1209" s="13" t="s">
        <v>226</v>
      </c>
      <c r="D1209" s="14" t="s">
        <v>198</v>
      </c>
      <c r="E1209" s="13" t="s">
        <v>61</v>
      </c>
      <c r="F1209" s="13" t="s">
        <v>496</v>
      </c>
      <c r="G1209" s="13">
        <v>0.72</v>
      </c>
      <c r="H1209" s="15">
        <v>37</v>
      </c>
      <c r="I1209" s="16">
        <v>26.64</v>
      </c>
      <c r="J1209" s="16">
        <v>23.371400785778192</v>
      </c>
      <c r="K1209" s="16">
        <v>3.2685992142218065</v>
      </c>
      <c r="L1209" s="13">
        <v>2.31</v>
      </c>
      <c r="M1209" s="13"/>
      <c r="N1209" s="17">
        <f t="shared" si="40"/>
        <v>85.47</v>
      </c>
      <c r="O1209" s="17">
        <f t="shared" si="40"/>
        <v>0</v>
      </c>
      <c r="P1209" s="17">
        <f t="shared" si="39"/>
        <v>85.47</v>
      </c>
      <c r="Q1209" t="str">
        <f>A1209&amp;"-"&amp;B1209&amp;"-"&amp;D1209</f>
        <v>MARET-MJ2-L8</v>
      </c>
    </row>
    <row r="1210" spans="1:17" x14ac:dyDescent="0.25">
      <c r="A1210" t="s">
        <v>393</v>
      </c>
      <c r="B1210" s="13" t="s">
        <v>26</v>
      </c>
      <c r="C1210" s="13" t="s">
        <v>226</v>
      </c>
      <c r="D1210" s="14" t="s">
        <v>198</v>
      </c>
      <c r="E1210" s="13" t="s">
        <v>61</v>
      </c>
      <c r="F1210" s="13" t="s">
        <v>638</v>
      </c>
      <c r="G1210" s="13">
        <v>0.79</v>
      </c>
      <c r="H1210" s="15">
        <v>660</v>
      </c>
      <c r="I1210" s="16">
        <v>521.4</v>
      </c>
      <c r="J1210" s="16">
        <v>450.38921512355222</v>
      </c>
      <c r="K1210" s="16">
        <v>71.010784876447801</v>
      </c>
      <c r="L1210" s="13">
        <v>2.15</v>
      </c>
      <c r="M1210" s="13"/>
      <c r="N1210" s="17">
        <f t="shared" si="40"/>
        <v>1419</v>
      </c>
      <c r="O1210" s="17">
        <f t="shared" si="40"/>
        <v>0</v>
      </c>
      <c r="P1210" s="17">
        <f t="shared" si="39"/>
        <v>1419</v>
      </c>
      <c r="Q1210" t="str">
        <f>A1210&amp;"-"&amp;B1210&amp;"-"&amp;D1210</f>
        <v>MARET-MJ2-L8</v>
      </c>
    </row>
    <row r="1211" spans="1:17" x14ac:dyDescent="0.25">
      <c r="A1211" t="s">
        <v>393</v>
      </c>
      <c r="B1211" s="13" t="s">
        <v>26</v>
      </c>
      <c r="C1211" s="13" t="s">
        <v>226</v>
      </c>
      <c r="D1211" s="14" t="s">
        <v>198</v>
      </c>
      <c r="E1211" s="13" t="s">
        <v>61</v>
      </c>
      <c r="F1211" s="13" t="s">
        <v>639</v>
      </c>
      <c r="G1211" s="13">
        <v>0.72</v>
      </c>
      <c r="H1211" s="15">
        <v>970</v>
      </c>
      <c r="I1211" s="16">
        <v>698.4</v>
      </c>
      <c r="J1211" s="16">
        <v>675.65517241379314</v>
      </c>
      <c r="K1211" s="16">
        <v>22.744827586206839</v>
      </c>
      <c r="L1211" s="13">
        <v>2.31</v>
      </c>
      <c r="M1211" s="13"/>
      <c r="N1211" s="17">
        <f t="shared" si="40"/>
        <v>2240.7000000000003</v>
      </c>
      <c r="O1211" s="17">
        <f t="shared" si="40"/>
        <v>0</v>
      </c>
      <c r="P1211" s="17">
        <f t="shared" si="39"/>
        <v>2240.7000000000003</v>
      </c>
      <c r="Q1211" t="str">
        <f>A1211&amp;"-"&amp;B1211&amp;"-"&amp;D1211</f>
        <v>MARET-MJ2-L8</v>
      </c>
    </row>
    <row r="1212" spans="1:17" x14ac:dyDescent="0.25">
      <c r="A1212" t="s">
        <v>393</v>
      </c>
      <c r="B1212" s="13" t="s">
        <v>26</v>
      </c>
      <c r="C1212" s="13" t="s">
        <v>226</v>
      </c>
      <c r="D1212" s="14" t="s">
        <v>198</v>
      </c>
      <c r="E1212" s="13" t="s">
        <v>61</v>
      </c>
      <c r="F1212" s="13" t="s">
        <v>640</v>
      </c>
      <c r="G1212" s="13">
        <v>0.79</v>
      </c>
      <c r="H1212" s="15">
        <v>1184</v>
      </c>
      <c r="I1212" s="16">
        <v>935.36</v>
      </c>
      <c r="J1212" s="16">
        <v>922.42523076923078</v>
      </c>
      <c r="K1212" s="16">
        <v>12.934769230769234</v>
      </c>
      <c r="L1212" s="13">
        <v>2.42</v>
      </c>
      <c r="M1212" s="13"/>
      <c r="N1212" s="17">
        <f t="shared" si="40"/>
        <v>2865.2799999999997</v>
      </c>
      <c r="O1212" s="17">
        <f t="shared" si="40"/>
        <v>0</v>
      </c>
      <c r="P1212" s="17">
        <f t="shared" si="39"/>
        <v>2865.2799999999997</v>
      </c>
      <c r="Q1212" t="str">
        <f>A1212&amp;"-"&amp;B1212&amp;"-"&amp;D1212</f>
        <v>MARET-MJ2-L8</v>
      </c>
    </row>
    <row r="1213" spans="1:17" x14ac:dyDescent="0.25">
      <c r="A1213" t="s">
        <v>393</v>
      </c>
      <c r="B1213" s="13" t="s">
        <v>26</v>
      </c>
      <c r="C1213" s="13" t="s">
        <v>226</v>
      </c>
      <c r="D1213" s="14" t="s">
        <v>198</v>
      </c>
      <c r="E1213" s="13" t="s">
        <v>61</v>
      </c>
      <c r="F1213" s="13" t="s">
        <v>641</v>
      </c>
      <c r="G1213" s="13">
        <v>0.79</v>
      </c>
      <c r="H1213" s="15">
        <v>198</v>
      </c>
      <c r="I1213" s="16">
        <v>156.41999999999999</v>
      </c>
      <c r="J1213" s="16">
        <v>153.83076923076922</v>
      </c>
      <c r="K1213" s="16">
        <v>2.5892307692307668</v>
      </c>
      <c r="L1213" s="13">
        <v>2.42</v>
      </c>
      <c r="M1213" s="13"/>
      <c r="N1213" s="17">
        <f t="shared" si="40"/>
        <v>479.15999999999997</v>
      </c>
      <c r="O1213" s="17">
        <f t="shared" si="40"/>
        <v>0</v>
      </c>
      <c r="P1213" s="17">
        <f t="shared" si="39"/>
        <v>479.15999999999997</v>
      </c>
      <c r="Q1213" t="str">
        <f>A1213&amp;"-"&amp;B1213&amp;"-"&amp;D1213</f>
        <v>MARET-MJ2-L8</v>
      </c>
    </row>
    <row r="1214" spans="1:17" x14ac:dyDescent="0.25">
      <c r="A1214" t="s">
        <v>393</v>
      </c>
      <c r="B1214" s="13" t="s">
        <v>26</v>
      </c>
      <c r="C1214" s="13" t="s">
        <v>226</v>
      </c>
      <c r="D1214" s="14" t="s">
        <v>198</v>
      </c>
      <c r="E1214" s="13" t="s">
        <v>61</v>
      </c>
      <c r="F1214" s="13" t="s">
        <v>500</v>
      </c>
      <c r="G1214" s="13">
        <v>0.79</v>
      </c>
      <c r="H1214" s="15">
        <v>2498</v>
      </c>
      <c r="I1214" s="16">
        <v>1973.42</v>
      </c>
      <c r="J1214" s="16">
        <v>1488.9544547268649</v>
      </c>
      <c r="K1214" s="16">
        <v>484.46554527313509</v>
      </c>
      <c r="L1214" s="13">
        <v>2.15</v>
      </c>
      <c r="M1214" s="13"/>
      <c r="N1214" s="17">
        <f t="shared" si="40"/>
        <v>5370.7</v>
      </c>
      <c r="O1214" s="17">
        <f t="shared" si="40"/>
        <v>0</v>
      </c>
      <c r="P1214" s="17">
        <f t="shared" si="39"/>
        <v>5370.7</v>
      </c>
      <c r="Q1214" t="str">
        <f>A1214&amp;"-"&amp;B1214&amp;"-"&amp;D1214</f>
        <v>MARET-MJ2-L8</v>
      </c>
    </row>
    <row r="1215" spans="1:17" x14ac:dyDescent="0.25">
      <c r="A1215" t="s">
        <v>393</v>
      </c>
      <c r="B1215" s="13" t="s">
        <v>26</v>
      </c>
      <c r="C1215" s="13" t="s">
        <v>226</v>
      </c>
      <c r="D1215" s="14" t="s">
        <v>198</v>
      </c>
      <c r="E1215" s="13" t="s">
        <v>61</v>
      </c>
      <c r="F1215" s="13" t="s">
        <v>503</v>
      </c>
      <c r="G1215" s="13">
        <v>0.72</v>
      </c>
      <c r="H1215" s="15">
        <v>65</v>
      </c>
      <c r="I1215" s="16">
        <v>46.8</v>
      </c>
      <c r="J1215" s="16">
        <v>42.02944942381562</v>
      </c>
      <c r="K1215" s="16">
        <v>4.7705505761843767</v>
      </c>
      <c r="L1215" s="13">
        <v>2.31</v>
      </c>
      <c r="M1215" s="13"/>
      <c r="N1215" s="17">
        <f t="shared" si="40"/>
        <v>150.15</v>
      </c>
      <c r="O1215" s="17">
        <f t="shared" si="40"/>
        <v>0</v>
      </c>
      <c r="P1215" s="17">
        <f t="shared" si="39"/>
        <v>150.15</v>
      </c>
      <c r="Q1215" t="str">
        <f>A1215&amp;"-"&amp;B1215&amp;"-"&amp;D1215</f>
        <v>MARET-MJ2-L8</v>
      </c>
    </row>
    <row r="1216" spans="1:17" x14ac:dyDescent="0.25">
      <c r="A1216" t="s">
        <v>393</v>
      </c>
      <c r="B1216" s="13" t="s">
        <v>26</v>
      </c>
      <c r="C1216" s="13" t="s">
        <v>226</v>
      </c>
      <c r="D1216" s="14" t="s">
        <v>198</v>
      </c>
      <c r="E1216" s="13" t="s">
        <v>61</v>
      </c>
      <c r="F1216" s="13" t="s">
        <v>642</v>
      </c>
      <c r="G1216" s="13">
        <v>0.76000000000000012</v>
      </c>
      <c r="H1216" s="15">
        <v>1583</v>
      </c>
      <c r="I1216" s="16">
        <v>1203.0800000000002</v>
      </c>
      <c r="J1216" s="16">
        <v>1217.0709241433949</v>
      </c>
      <c r="K1216" s="16">
        <v>-13.990924143394754</v>
      </c>
      <c r="L1216" s="13">
        <v>2.02</v>
      </c>
      <c r="M1216" s="13"/>
      <c r="N1216" s="17">
        <f t="shared" si="40"/>
        <v>3197.66</v>
      </c>
      <c r="O1216" s="17">
        <f t="shared" si="40"/>
        <v>0</v>
      </c>
      <c r="P1216" s="17">
        <f t="shared" si="39"/>
        <v>3197.66</v>
      </c>
      <c r="Q1216" t="str">
        <f>A1216&amp;"-"&amp;B1216&amp;"-"&amp;D1216</f>
        <v>MARET-MJ2-L8</v>
      </c>
    </row>
    <row r="1217" spans="1:17" x14ac:dyDescent="0.25">
      <c r="A1217" t="s">
        <v>393</v>
      </c>
      <c r="B1217" s="13" t="s">
        <v>26</v>
      </c>
      <c r="C1217" s="13" t="s">
        <v>226</v>
      </c>
      <c r="D1217" s="14" t="s">
        <v>198</v>
      </c>
      <c r="E1217" s="13" t="s">
        <v>61</v>
      </c>
      <c r="F1217" s="13" t="s">
        <v>643</v>
      </c>
      <c r="G1217" s="13">
        <v>0.74</v>
      </c>
      <c r="H1217" s="15">
        <v>1000</v>
      </c>
      <c r="I1217" s="16">
        <v>740</v>
      </c>
      <c r="J1217" s="16">
        <v>759.93368191721129</v>
      </c>
      <c r="K1217" s="16">
        <v>-19.933681917211345</v>
      </c>
      <c r="L1217" s="13">
        <v>2.16</v>
      </c>
      <c r="M1217" s="13"/>
      <c r="N1217" s="17">
        <f t="shared" si="40"/>
        <v>2160</v>
      </c>
      <c r="O1217" s="17">
        <f t="shared" si="40"/>
        <v>0</v>
      </c>
      <c r="P1217" s="17">
        <f t="shared" si="39"/>
        <v>2160</v>
      </c>
      <c r="Q1217" t="str">
        <f>A1217&amp;"-"&amp;B1217&amp;"-"&amp;D1217</f>
        <v>MARET-MJ2-L8</v>
      </c>
    </row>
    <row r="1218" spans="1:17" x14ac:dyDescent="0.25">
      <c r="A1218" t="s">
        <v>393</v>
      </c>
      <c r="B1218" s="13" t="s">
        <v>26</v>
      </c>
      <c r="C1218" s="13" t="s">
        <v>226</v>
      </c>
      <c r="D1218" s="14" t="s">
        <v>198</v>
      </c>
      <c r="E1218" s="13" t="s">
        <v>61</v>
      </c>
      <c r="F1218" s="13" t="s">
        <v>644</v>
      </c>
      <c r="G1218" s="13">
        <v>0.79</v>
      </c>
      <c r="H1218" s="15">
        <v>145</v>
      </c>
      <c r="I1218" s="16">
        <v>114.55</v>
      </c>
      <c r="J1218" s="16">
        <v>108.48148148148148</v>
      </c>
      <c r="K1218" s="16">
        <v>6.0685185185185162</v>
      </c>
      <c r="L1218" s="13">
        <v>2.42</v>
      </c>
      <c r="M1218" s="13"/>
      <c r="N1218" s="17">
        <f t="shared" si="40"/>
        <v>350.9</v>
      </c>
      <c r="O1218" s="17">
        <f t="shared" si="40"/>
        <v>0</v>
      </c>
      <c r="P1218" s="17">
        <f t="shared" ref="P1218:P1281" si="41">N1218+O1218</f>
        <v>350.9</v>
      </c>
      <c r="Q1218" t="str">
        <f>A1218&amp;"-"&amp;B1218&amp;"-"&amp;D1218</f>
        <v>MARET-MJ2-L8</v>
      </c>
    </row>
    <row r="1219" spans="1:17" x14ac:dyDescent="0.25">
      <c r="A1219" t="s">
        <v>393</v>
      </c>
      <c r="B1219" s="13" t="s">
        <v>26</v>
      </c>
      <c r="C1219" s="13" t="s">
        <v>226</v>
      </c>
      <c r="D1219" s="14" t="s">
        <v>198</v>
      </c>
      <c r="E1219" s="13" t="s">
        <v>61</v>
      </c>
      <c r="F1219" s="13" t="s">
        <v>504</v>
      </c>
      <c r="G1219" s="13">
        <v>0.76</v>
      </c>
      <c r="H1219" s="15">
        <v>1322</v>
      </c>
      <c r="I1219" s="16">
        <v>1004.72</v>
      </c>
      <c r="J1219" s="16">
        <v>854.81434058898844</v>
      </c>
      <c r="K1219" s="16">
        <v>149.90565941101158</v>
      </c>
      <c r="L1219" s="13">
        <v>2.02</v>
      </c>
      <c r="M1219" s="13"/>
      <c r="N1219" s="17">
        <f t="shared" si="40"/>
        <v>2670.44</v>
      </c>
      <c r="O1219" s="17">
        <f t="shared" si="40"/>
        <v>0</v>
      </c>
      <c r="P1219" s="17">
        <f t="shared" si="41"/>
        <v>2670.44</v>
      </c>
      <c r="Q1219" t="str">
        <f>A1219&amp;"-"&amp;B1219&amp;"-"&amp;D1219</f>
        <v>MARET-MJ2-L8</v>
      </c>
    </row>
    <row r="1220" spans="1:17" x14ac:dyDescent="0.25">
      <c r="A1220" t="s">
        <v>393</v>
      </c>
      <c r="B1220" s="13" t="s">
        <v>26</v>
      </c>
      <c r="C1220" s="13" t="s">
        <v>226</v>
      </c>
      <c r="D1220" s="14" t="s">
        <v>198</v>
      </c>
      <c r="E1220" s="13" t="s">
        <v>61</v>
      </c>
      <c r="F1220" s="13" t="s">
        <v>645</v>
      </c>
      <c r="G1220" s="13">
        <v>0.74</v>
      </c>
      <c r="H1220" s="15">
        <v>450</v>
      </c>
      <c r="I1220" s="16">
        <v>333</v>
      </c>
      <c r="J1220" s="16">
        <v>249.04109589041096</v>
      </c>
      <c r="K1220" s="16">
        <v>83.958904109589042</v>
      </c>
      <c r="L1220" s="13">
        <v>2.16</v>
      </c>
      <c r="M1220" s="13"/>
      <c r="N1220" s="17">
        <f t="shared" si="40"/>
        <v>972.00000000000011</v>
      </c>
      <c r="O1220" s="17">
        <f t="shared" si="40"/>
        <v>0</v>
      </c>
      <c r="P1220" s="17">
        <f t="shared" si="41"/>
        <v>972.00000000000011</v>
      </c>
      <c r="Q1220" t="str">
        <f>A1220&amp;"-"&amp;B1220&amp;"-"&amp;D1220</f>
        <v>MARET-MJ2-L8</v>
      </c>
    </row>
    <row r="1221" spans="1:17" x14ac:dyDescent="0.25">
      <c r="A1221" t="s">
        <v>393</v>
      </c>
      <c r="B1221" s="13" t="s">
        <v>26</v>
      </c>
      <c r="C1221" s="13" t="s">
        <v>226</v>
      </c>
      <c r="D1221" s="14" t="s">
        <v>199</v>
      </c>
      <c r="E1221" s="13" t="s">
        <v>61</v>
      </c>
      <c r="F1221" s="13" t="s">
        <v>634</v>
      </c>
      <c r="G1221" s="13">
        <v>0.66</v>
      </c>
      <c r="H1221" s="15">
        <v>1475</v>
      </c>
      <c r="I1221" s="16">
        <v>973.5</v>
      </c>
      <c r="J1221" s="16">
        <v>1010</v>
      </c>
      <c r="K1221" s="16">
        <v>-36.5</v>
      </c>
      <c r="L1221" s="13">
        <v>1.71</v>
      </c>
      <c r="M1221" s="13"/>
      <c r="N1221" s="17">
        <f t="shared" si="40"/>
        <v>2522.25</v>
      </c>
      <c r="O1221" s="17">
        <f t="shared" si="40"/>
        <v>0</v>
      </c>
      <c r="P1221" s="17">
        <f t="shared" si="41"/>
        <v>2522.25</v>
      </c>
      <c r="Q1221" t="str">
        <f>A1221&amp;"-"&amp;B1221&amp;"-"&amp;D1221</f>
        <v>MARET-MJ2-L9</v>
      </c>
    </row>
    <row r="1222" spans="1:17" x14ac:dyDescent="0.25">
      <c r="A1222" t="s">
        <v>393</v>
      </c>
      <c r="B1222" s="13" t="s">
        <v>26</v>
      </c>
      <c r="C1222" s="13" t="s">
        <v>226</v>
      </c>
      <c r="D1222" s="14" t="s">
        <v>199</v>
      </c>
      <c r="E1222" s="13" t="s">
        <v>61</v>
      </c>
      <c r="F1222" s="13" t="s">
        <v>635</v>
      </c>
      <c r="G1222" s="13">
        <v>0.70000000000000007</v>
      </c>
      <c r="H1222" s="15">
        <v>14325</v>
      </c>
      <c r="I1222" s="16">
        <v>10027.5</v>
      </c>
      <c r="J1222" s="16">
        <v>7070</v>
      </c>
      <c r="K1222" s="16">
        <v>2957.5</v>
      </c>
      <c r="L1222" s="13">
        <v>1.3</v>
      </c>
      <c r="M1222" s="13"/>
      <c r="N1222" s="17">
        <f t="shared" si="40"/>
        <v>18622.5</v>
      </c>
      <c r="O1222" s="17">
        <f t="shared" si="40"/>
        <v>0</v>
      </c>
      <c r="P1222" s="17">
        <f t="shared" si="41"/>
        <v>18622.5</v>
      </c>
      <c r="Q1222" t="str">
        <f>A1222&amp;"-"&amp;B1222&amp;"-"&amp;D1222</f>
        <v>MARET-MJ2-L9</v>
      </c>
    </row>
    <row r="1223" spans="1:17" x14ac:dyDescent="0.25">
      <c r="A1223" t="s">
        <v>393</v>
      </c>
      <c r="B1223" s="13" t="s">
        <v>26</v>
      </c>
      <c r="C1223" s="13" t="s">
        <v>226</v>
      </c>
      <c r="D1223" s="14" t="s">
        <v>199</v>
      </c>
      <c r="E1223" s="13" t="s">
        <v>61</v>
      </c>
      <c r="F1223" s="13" t="s">
        <v>636</v>
      </c>
      <c r="G1223" s="13">
        <v>0.7</v>
      </c>
      <c r="H1223" s="15">
        <v>3850</v>
      </c>
      <c r="I1223" s="16">
        <v>2695</v>
      </c>
      <c r="J1223" s="16">
        <v>2020</v>
      </c>
      <c r="K1223" s="16">
        <v>675</v>
      </c>
      <c r="L1223" s="13">
        <v>1.3</v>
      </c>
      <c r="M1223" s="13"/>
      <c r="N1223" s="17">
        <f t="shared" si="40"/>
        <v>5005</v>
      </c>
      <c r="O1223" s="17">
        <f t="shared" si="40"/>
        <v>0</v>
      </c>
      <c r="P1223" s="17">
        <f t="shared" si="41"/>
        <v>5005</v>
      </c>
      <c r="Q1223" t="str">
        <f>A1223&amp;"-"&amp;B1223&amp;"-"&amp;D1223</f>
        <v>MARET-MJ2-L9</v>
      </c>
    </row>
    <row r="1224" spans="1:17" x14ac:dyDescent="0.25">
      <c r="A1224" t="s">
        <v>393</v>
      </c>
      <c r="B1224" s="13" t="s">
        <v>26</v>
      </c>
      <c r="C1224" s="13" t="s">
        <v>226</v>
      </c>
      <c r="D1224" s="14" t="s">
        <v>199</v>
      </c>
      <c r="E1224" s="13" t="s">
        <v>61</v>
      </c>
      <c r="F1224" s="13" t="s">
        <v>637</v>
      </c>
      <c r="G1224" s="13">
        <v>0.7</v>
      </c>
      <c r="H1224" s="15">
        <v>7644</v>
      </c>
      <c r="I1224" s="16">
        <v>5350.8</v>
      </c>
      <c r="J1224" s="16">
        <v>4888.8760942760946</v>
      </c>
      <c r="K1224" s="16">
        <v>461.9239057239057</v>
      </c>
      <c r="L1224" s="13">
        <v>1.3</v>
      </c>
      <c r="M1224" s="13"/>
      <c r="N1224" s="17">
        <f t="shared" si="40"/>
        <v>9937.2000000000007</v>
      </c>
      <c r="O1224" s="17">
        <f t="shared" si="40"/>
        <v>0</v>
      </c>
      <c r="P1224" s="17">
        <f t="shared" si="41"/>
        <v>9937.2000000000007</v>
      </c>
      <c r="Q1224" t="str">
        <f>A1224&amp;"-"&amp;B1224&amp;"-"&amp;D1224</f>
        <v>MARET-MJ2-L9</v>
      </c>
    </row>
    <row r="1225" spans="1:17" x14ac:dyDescent="0.25">
      <c r="A1225" t="s">
        <v>393</v>
      </c>
      <c r="B1225" s="13" t="s">
        <v>26</v>
      </c>
      <c r="C1225" s="13" t="s">
        <v>226</v>
      </c>
      <c r="D1225" s="14" t="s">
        <v>199</v>
      </c>
      <c r="E1225" s="13" t="s">
        <v>61</v>
      </c>
      <c r="F1225" s="13" t="s">
        <v>495</v>
      </c>
      <c r="G1225" s="13">
        <v>0.8</v>
      </c>
      <c r="H1225" s="15">
        <v>21</v>
      </c>
      <c r="I1225" s="16">
        <v>16.8</v>
      </c>
      <c r="J1225" s="16">
        <v>12.854545454545455</v>
      </c>
      <c r="K1225" s="16">
        <v>3.9454545454545453</v>
      </c>
      <c r="L1225" s="13">
        <v>2.16</v>
      </c>
      <c r="M1225" s="13"/>
      <c r="N1225" s="17">
        <f t="shared" si="40"/>
        <v>45.36</v>
      </c>
      <c r="O1225" s="17">
        <f t="shared" si="40"/>
        <v>0</v>
      </c>
      <c r="P1225" s="17">
        <f t="shared" si="41"/>
        <v>45.36</v>
      </c>
      <c r="Q1225" t="str">
        <f>A1225&amp;"-"&amp;B1225&amp;"-"&amp;D1225</f>
        <v>MARET-MJ2-L9</v>
      </c>
    </row>
    <row r="1226" spans="1:17" x14ac:dyDescent="0.25">
      <c r="A1226" t="s">
        <v>393</v>
      </c>
      <c r="B1226" s="13" t="s">
        <v>26</v>
      </c>
      <c r="C1226" s="13" t="s">
        <v>226</v>
      </c>
      <c r="D1226" s="14" t="s">
        <v>199</v>
      </c>
      <c r="E1226" s="13" t="s">
        <v>61</v>
      </c>
      <c r="F1226" s="13" t="s">
        <v>496</v>
      </c>
      <c r="G1226" s="13">
        <v>0.72</v>
      </c>
      <c r="H1226" s="15">
        <v>18</v>
      </c>
      <c r="I1226" s="16">
        <v>12.96</v>
      </c>
      <c r="J1226" s="16">
        <v>11.018181818181819</v>
      </c>
      <c r="K1226" s="16">
        <v>1.9418181818181814</v>
      </c>
      <c r="L1226" s="13">
        <v>2.31</v>
      </c>
      <c r="M1226" s="13"/>
      <c r="N1226" s="17">
        <f t="shared" si="40"/>
        <v>41.58</v>
      </c>
      <c r="O1226" s="17">
        <f t="shared" si="40"/>
        <v>0</v>
      </c>
      <c r="P1226" s="17">
        <f t="shared" si="41"/>
        <v>41.58</v>
      </c>
      <c r="Q1226" t="str">
        <f>A1226&amp;"-"&amp;B1226&amp;"-"&amp;D1226</f>
        <v>MARET-MJ2-L9</v>
      </c>
    </row>
    <row r="1227" spans="1:17" x14ac:dyDescent="0.25">
      <c r="A1227" t="s">
        <v>393</v>
      </c>
      <c r="B1227" s="13" t="s">
        <v>26</v>
      </c>
      <c r="C1227" s="13" t="s">
        <v>226</v>
      </c>
      <c r="D1227" s="14" t="s">
        <v>199</v>
      </c>
      <c r="E1227" s="13" t="s">
        <v>61</v>
      </c>
      <c r="F1227" s="13" t="s">
        <v>638</v>
      </c>
      <c r="G1227" s="13">
        <v>0.79</v>
      </c>
      <c r="H1227" s="15">
        <v>1460</v>
      </c>
      <c r="I1227" s="16">
        <v>1153.4000000000001</v>
      </c>
      <c r="J1227" s="16">
        <v>1016.1212121212121</v>
      </c>
      <c r="K1227" s="16">
        <v>137.27878787878788</v>
      </c>
      <c r="L1227" s="13">
        <v>2.15</v>
      </c>
      <c r="M1227" s="13"/>
      <c r="N1227" s="17">
        <f t="shared" si="40"/>
        <v>3139</v>
      </c>
      <c r="O1227" s="17">
        <f t="shared" si="40"/>
        <v>0</v>
      </c>
      <c r="P1227" s="17">
        <f t="shared" si="41"/>
        <v>3139</v>
      </c>
      <c r="Q1227" t="str">
        <f>A1227&amp;"-"&amp;B1227&amp;"-"&amp;D1227</f>
        <v>MARET-MJ2-L9</v>
      </c>
    </row>
    <row r="1228" spans="1:17" x14ac:dyDescent="0.25">
      <c r="A1228" t="s">
        <v>393</v>
      </c>
      <c r="B1228" s="13" t="s">
        <v>26</v>
      </c>
      <c r="C1228" s="13" t="s">
        <v>226</v>
      </c>
      <c r="D1228" s="14" t="s">
        <v>199</v>
      </c>
      <c r="E1228" s="13" t="s">
        <v>61</v>
      </c>
      <c r="F1228" s="13" t="s">
        <v>640</v>
      </c>
      <c r="G1228" s="13">
        <v>0.79</v>
      </c>
      <c r="H1228" s="15">
        <v>1186</v>
      </c>
      <c r="I1228" s="16">
        <v>936.94</v>
      </c>
      <c r="J1228" s="16">
        <v>924.0101538461538</v>
      </c>
      <c r="K1228" s="16">
        <v>12.929846153846157</v>
      </c>
      <c r="L1228" s="13">
        <v>2.42</v>
      </c>
      <c r="M1228" s="13"/>
      <c r="N1228" s="17">
        <f t="shared" si="40"/>
        <v>2870.12</v>
      </c>
      <c r="O1228" s="17">
        <f t="shared" si="40"/>
        <v>0</v>
      </c>
      <c r="P1228" s="17">
        <f t="shared" si="41"/>
        <v>2870.12</v>
      </c>
      <c r="Q1228" t="str">
        <f>A1228&amp;"-"&amp;B1228&amp;"-"&amp;D1228</f>
        <v>MARET-MJ2-L9</v>
      </c>
    </row>
    <row r="1229" spans="1:17" x14ac:dyDescent="0.25">
      <c r="A1229" t="s">
        <v>393</v>
      </c>
      <c r="B1229" s="13" t="s">
        <v>26</v>
      </c>
      <c r="C1229" s="13" t="s">
        <v>226</v>
      </c>
      <c r="D1229" s="14" t="s">
        <v>199</v>
      </c>
      <c r="E1229" s="13" t="s">
        <v>61</v>
      </c>
      <c r="F1229" s="13" t="s">
        <v>641</v>
      </c>
      <c r="G1229" s="13">
        <v>0.79</v>
      </c>
      <c r="H1229" s="15">
        <v>197</v>
      </c>
      <c r="I1229" s="16">
        <v>155.63</v>
      </c>
      <c r="J1229" s="16">
        <v>153.05384615384617</v>
      </c>
      <c r="K1229" s="16">
        <v>2.5761538461538294</v>
      </c>
      <c r="L1229" s="13">
        <v>2.42</v>
      </c>
      <c r="M1229" s="13"/>
      <c r="N1229" s="17">
        <f t="shared" si="40"/>
        <v>476.74</v>
      </c>
      <c r="O1229" s="17">
        <f t="shared" si="40"/>
        <v>0</v>
      </c>
      <c r="P1229" s="17">
        <f t="shared" si="41"/>
        <v>476.74</v>
      </c>
      <c r="Q1229" t="str">
        <f>A1229&amp;"-"&amp;B1229&amp;"-"&amp;D1229</f>
        <v>MARET-MJ2-L9</v>
      </c>
    </row>
    <row r="1230" spans="1:17" x14ac:dyDescent="0.25">
      <c r="A1230" t="s">
        <v>393</v>
      </c>
      <c r="B1230" s="13" t="s">
        <v>26</v>
      </c>
      <c r="C1230" s="13" t="s">
        <v>226</v>
      </c>
      <c r="D1230" s="14" t="s">
        <v>199</v>
      </c>
      <c r="E1230" s="13" t="s">
        <v>61</v>
      </c>
      <c r="F1230" s="13" t="s">
        <v>500</v>
      </c>
      <c r="G1230" s="13">
        <v>0.79</v>
      </c>
      <c r="H1230" s="15">
        <v>1877</v>
      </c>
      <c r="I1230" s="16">
        <v>1482.83</v>
      </c>
      <c r="J1230" s="16">
        <v>1245.0545454545454</v>
      </c>
      <c r="K1230" s="16">
        <v>237.77545454545452</v>
      </c>
      <c r="L1230" s="13">
        <v>2.15</v>
      </c>
      <c r="M1230" s="13"/>
      <c r="N1230" s="17">
        <f t="shared" si="40"/>
        <v>4035.5499999999997</v>
      </c>
      <c r="O1230" s="17">
        <f t="shared" si="40"/>
        <v>0</v>
      </c>
      <c r="P1230" s="17">
        <f t="shared" si="41"/>
        <v>4035.5499999999997</v>
      </c>
      <c r="Q1230" t="str">
        <f>A1230&amp;"-"&amp;B1230&amp;"-"&amp;D1230</f>
        <v>MARET-MJ2-L9</v>
      </c>
    </row>
    <row r="1231" spans="1:17" x14ac:dyDescent="0.25">
      <c r="A1231" t="s">
        <v>393</v>
      </c>
      <c r="B1231" s="13" t="s">
        <v>26</v>
      </c>
      <c r="C1231" s="13" t="s">
        <v>226</v>
      </c>
      <c r="D1231" s="14" t="s">
        <v>199</v>
      </c>
      <c r="E1231" s="13" t="s">
        <v>61</v>
      </c>
      <c r="F1231" s="13" t="s">
        <v>503</v>
      </c>
      <c r="G1231" s="13">
        <v>0.72</v>
      </c>
      <c r="H1231" s="15">
        <v>780</v>
      </c>
      <c r="I1231" s="16">
        <v>561.6</v>
      </c>
      <c r="J1231" s="16">
        <v>572.94545454545448</v>
      </c>
      <c r="K1231" s="16">
        <v>-11.345454545454459</v>
      </c>
      <c r="L1231" s="13">
        <v>2.31</v>
      </c>
      <c r="M1231" s="13"/>
      <c r="N1231" s="17">
        <f t="shared" si="40"/>
        <v>1801.8</v>
      </c>
      <c r="O1231" s="17">
        <f t="shared" si="40"/>
        <v>0</v>
      </c>
      <c r="P1231" s="17">
        <f t="shared" si="41"/>
        <v>1801.8</v>
      </c>
      <c r="Q1231" t="str">
        <f>A1231&amp;"-"&amp;B1231&amp;"-"&amp;D1231</f>
        <v>MARET-MJ2-L9</v>
      </c>
    </row>
    <row r="1232" spans="1:17" x14ac:dyDescent="0.25">
      <c r="A1232" t="s">
        <v>393</v>
      </c>
      <c r="B1232" s="13" t="s">
        <v>26</v>
      </c>
      <c r="C1232" s="13" t="s">
        <v>226</v>
      </c>
      <c r="D1232" s="14" t="s">
        <v>199</v>
      </c>
      <c r="E1232" s="13" t="s">
        <v>61</v>
      </c>
      <c r="F1232" s="13" t="s">
        <v>642</v>
      </c>
      <c r="G1232" s="13">
        <v>0.76000000000000012</v>
      </c>
      <c r="H1232" s="15">
        <v>2225</v>
      </c>
      <c r="I1232" s="16">
        <v>1691</v>
      </c>
      <c r="J1232" s="16">
        <v>1688.7444848484849</v>
      </c>
      <c r="K1232" s="16">
        <v>2.2555151515151444</v>
      </c>
      <c r="L1232" s="13">
        <v>2.02</v>
      </c>
      <c r="M1232" s="13"/>
      <c r="N1232" s="17">
        <f t="shared" si="40"/>
        <v>4494.5</v>
      </c>
      <c r="O1232" s="17">
        <f t="shared" si="40"/>
        <v>0</v>
      </c>
      <c r="P1232" s="17">
        <f t="shared" si="41"/>
        <v>4494.5</v>
      </c>
      <c r="Q1232" t="str">
        <f>A1232&amp;"-"&amp;B1232&amp;"-"&amp;D1232</f>
        <v>MARET-MJ2-L9</v>
      </c>
    </row>
    <row r="1233" spans="1:17" x14ac:dyDescent="0.25">
      <c r="A1233" t="s">
        <v>393</v>
      </c>
      <c r="B1233" s="13" t="s">
        <v>26</v>
      </c>
      <c r="C1233" s="13" t="s">
        <v>226</v>
      </c>
      <c r="D1233" s="14" t="s">
        <v>199</v>
      </c>
      <c r="E1233" s="13" t="s">
        <v>61</v>
      </c>
      <c r="F1233" s="13" t="s">
        <v>643</v>
      </c>
      <c r="G1233" s="13">
        <v>0.74</v>
      </c>
      <c r="H1233" s="15">
        <v>355</v>
      </c>
      <c r="I1233" s="16">
        <v>262.7</v>
      </c>
      <c r="J1233" s="16">
        <v>286.83999999999997</v>
      </c>
      <c r="K1233" s="16">
        <v>-24.139999999999986</v>
      </c>
      <c r="L1233" s="13">
        <v>2.16</v>
      </c>
      <c r="M1233" s="13"/>
      <c r="N1233" s="17">
        <f t="shared" si="40"/>
        <v>766.80000000000007</v>
      </c>
      <c r="O1233" s="17">
        <f t="shared" si="40"/>
        <v>0</v>
      </c>
      <c r="P1233" s="17">
        <f t="shared" si="41"/>
        <v>766.80000000000007</v>
      </c>
      <c r="Q1233" t="str">
        <f>A1233&amp;"-"&amp;B1233&amp;"-"&amp;D1233</f>
        <v>MARET-MJ2-L9</v>
      </c>
    </row>
    <row r="1234" spans="1:17" x14ac:dyDescent="0.25">
      <c r="A1234" t="s">
        <v>393</v>
      </c>
      <c r="B1234" s="13" t="s">
        <v>26</v>
      </c>
      <c r="C1234" s="13" t="s">
        <v>226</v>
      </c>
      <c r="D1234" s="14" t="s">
        <v>199</v>
      </c>
      <c r="E1234" s="13" t="s">
        <v>61</v>
      </c>
      <c r="F1234" s="13" t="s">
        <v>644</v>
      </c>
      <c r="G1234" s="13">
        <v>0.79</v>
      </c>
      <c r="H1234" s="15">
        <v>145</v>
      </c>
      <c r="I1234" s="16">
        <v>114.55</v>
      </c>
      <c r="J1234" s="16">
        <v>108.48148148148148</v>
      </c>
      <c r="K1234" s="16">
        <v>6.0685185185185162</v>
      </c>
      <c r="L1234" s="13">
        <v>2.42</v>
      </c>
      <c r="M1234" s="13"/>
      <c r="N1234" s="17">
        <f t="shared" si="40"/>
        <v>350.9</v>
      </c>
      <c r="O1234" s="17">
        <f t="shared" si="40"/>
        <v>0</v>
      </c>
      <c r="P1234" s="17">
        <f t="shared" si="41"/>
        <v>350.9</v>
      </c>
      <c r="Q1234" t="str">
        <f>A1234&amp;"-"&amp;B1234&amp;"-"&amp;D1234</f>
        <v>MARET-MJ2-L9</v>
      </c>
    </row>
    <row r="1235" spans="1:17" x14ac:dyDescent="0.25">
      <c r="A1235" t="s">
        <v>393</v>
      </c>
      <c r="B1235" s="13" t="s">
        <v>26</v>
      </c>
      <c r="C1235" s="13" t="s">
        <v>226</v>
      </c>
      <c r="D1235" s="14" t="s">
        <v>199</v>
      </c>
      <c r="E1235" s="13" t="s">
        <v>61</v>
      </c>
      <c r="F1235" s="13" t="s">
        <v>504</v>
      </c>
      <c r="G1235" s="13">
        <v>0.76</v>
      </c>
      <c r="H1235" s="15">
        <v>1838</v>
      </c>
      <c r="I1235" s="16">
        <v>1396.88</v>
      </c>
      <c r="J1235" s="16">
        <v>1212</v>
      </c>
      <c r="K1235" s="16">
        <v>184.88000000000011</v>
      </c>
      <c r="L1235" s="13">
        <v>2.02</v>
      </c>
      <c r="M1235" s="13"/>
      <c r="N1235" s="17">
        <f t="shared" si="40"/>
        <v>3712.76</v>
      </c>
      <c r="O1235" s="17">
        <f t="shared" si="40"/>
        <v>0</v>
      </c>
      <c r="P1235" s="17">
        <f t="shared" si="41"/>
        <v>3712.76</v>
      </c>
      <c r="Q1235" t="str">
        <f>A1235&amp;"-"&amp;B1235&amp;"-"&amp;D1235</f>
        <v>MARET-MJ2-L9</v>
      </c>
    </row>
    <row r="1236" spans="1:17" x14ac:dyDescent="0.25">
      <c r="A1236" t="s">
        <v>393</v>
      </c>
      <c r="B1236" s="13" t="s">
        <v>26</v>
      </c>
      <c r="C1236" s="13" t="s">
        <v>43</v>
      </c>
      <c r="D1236" s="14" t="s">
        <v>44</v>
      </c>
      <c r="E1236" s="13" t="s">
        <v>179</v>
      </c>
      <c r="F1236" s="13" t="s">
        <v>666</v>
      </c>
      <c r="G1236" s="13">
        <v>1.54</v>
      </c>
      <c r="H1236" s="15">
        <v>2350</v>
      </c>
      <c r="I1236" s="16">
        <v>3619.0000000000005</v>
      </c>
      <c r="J1236" s="16">
        <v>4495.2348414591061</v>
      </c>
      <c r="K1236" s="16">
        <v>-876.23484145910606</v>
      </c>
      <c r="L1236" s="13"/>
      <c r="M1236" s="13">
        <v>1.65</v>
      </c>
      <c r="N1236" s="17">
        <f t="shared" si="40"/>
        <v>0</v>
      </c>
      <c r="O1236" s="17">
        <f t="shared" si="40"/>
        <v>3877.5</v>
      </c>
      <c r="P1236" s="17">
        <f t="shared" si="41"/>
        <v>3877.5</v>
      </c>
      <c r="Q1236" t="str">
        <f>A1236&amp;"-"&amp;B1236&amp;"-"&amp;D1236</f>
        <v>MARET-MJ2-L1</v>
      </c>
    </row>
    <row r="1237" spans="1:17" x14ac:dyDescent="0.25">
      <c r="A1237" t="s">
        <v>393</v>
      </c>
      <c r="B1237" s="13" t="s">
        <v>26</v>
      </c>
      <c r="C1237" s="13" t="s">
        <v>43</v>
      </c>
      <c r="D1237" s="14" t="s">
        <v>44</v>
      </c>
      <c r="E1237" s="13" t="s">
        <v>179</v>
      </c>
      <c r="F1237" s="13" t="s">
        <v>514</v>
      </c>
      <c r="G1237" s="13">
        <v>1.54</v>
      </c>
      <c r="H1237" s="15">
        <v>384</v>
      </c>
      <c r="I1237" s="16">
        <v>591.3599999999999</v>
      </c>
      <c r="J1237" s="16">
        <v>881.39939939939939</v>
      </c>
      <c r="K1237" s="16">
        <v>-290.03939939939937</v>
      </c>
      <c r="L1237" s="13"/>
      <c r="M1237" s="13">
        <v>1.65</v>
      </c>
      <c r="N1237" s="17">
        <f t="shared" si="40"/>
        <v>0</v>
      </c>
      <c r="O1237" s="17">
        <f t="shared" si="40"/>
        <v>633.59999999999991</v>
      </c>
      <c r="P1237" s="17">
        <f t="shared" si="41"/>
        <v>633.59999999999991</v>
      </c>
      <c r="Q1237" t="str">
        <f>A1237&amp;"-"&amp;B1237&amp;"-"&amp;D1237</f>
        <v>MARET-MJ2-L1</v>
      </c>
    </row>
    <row r="1238" spans="1:17" x14ac:dyDescent="0.25">
      <c r="A1238" t="s">
        <v>393</v>
      </c>
      <c r="B1238" s="13" t="s">
        <v>26</v>
      </c>
      <c r="C1238" s="13" t="s">
        <v>43</v>
      </c>
      <c r="D1238" s="14" t="s">
        <v>44</v>
      </c>
      <c r="E1238" s="13" t="s">
        <v>179</v>
      </c>
      <c r="F1238" s="13" t="s">
        <v>667</v>
      </c>
      <c r="G1238" s="13">
        <v>1.54</v>
      </c>
      <c r="H1238" s="15">
        <v>249</v>
      </c>
      <c r="I1238" s="16">
        <v>383.46</v>
      </c>
      <c r="J1238" s="16">
        <v>436.61458333333337</v>
      </c>
      <c r="K1238" s="16">
        <v>-53.154583333333392</v>
      </c>
      <c r="L1238" s="13"/>
      <c r="M1238" s="13">
        <v>1.65</v>
      </c>
      <c r="N1238" s="17">
        <f t="shared" si="40"/>
        <v>0</v>
      </c>
      <c r="O1238" s="17">
        <f t="shared" si="40"/>
        <v>410.84999999999997</v>
      </c>
      <c r="P1238" s="17">
        <f t="shared" si="41"/>
        <v>410.84999999999997</v>
      </c>
      <c r="Q1238" t="str">
        <f>A1238&amp;"-"&amp;B1238&amp;"-"&amp;D1238</f>
        <v>MARET-MJ2-L1</v>
      </c>
    </row>
    <row r="1239" spans="1:17" x14ac:dyDescent="0.25">
      <c r="A1239" t="s">
        <v>393</v>
      </c>
      <c r="B1239" s="13" t="s">
        <v>26</v>
      </c>
      <c r="C1239" s="13" t="s">
        <v>43</v>
      </c>
      <c r="D1239" s="14" t="s">
        <v>44</v>
      </c>
      <c r="E1239" s="13" t="s">
        <v>179</v>
      </c>
      <c r="F1239" s="13" t="s">
        <v>668</v>
      </c>
      <c r="G1239" s="13">
        <v>1.54</v>
      </c>
      <c r="H1239" s="15">
        <v>2981</v>
      </c>
      <c r="I1239" s="16">
        <v>4590.74</v>
      </c>
      <c r="J1239" s="16">
        <v>5354.5694738681286</v>
      </c>
      <c r="K1239" s="16">
        <v>-763.82947386812839</v>
      </c>
      <c r="L1239" s="13"/>
      <c r="M1239" s="13">
        <v>1.65</v>
      </c>
      <c r="N1239" s="17">
        <f t="shared" ref="N1239:O1260" si="42">$H1239*L1239</f>
        <v>0</v>
      </c>
      <c r="O1239" s="17">
        <f t="shared" si="42"/>
        <v>4918.6499999999996</v>
      </c>
      <c r="P1239" s="17">
        <f t="shared" si="41"/>
        <v>4918.6499999999996</v>
      </c>
      <c r="Q1239" t="str">
        <f>A1239&amp;"-"&amp;B1239&amp;"-"&amp;D1239</f>
        <v>MARET-MJ2-L1</v>
      </c>
    </row>
    <row r="1240" spans="1:17" x14ac:dyDescent="0.25">
      <c r="A1240" t="s">
        <v>393</v>
      </c>
      <c r="B1240" s="13" t="s">
        <v>26</v>
      </c>
      <c r="C1240" s="13" t="s">
        <v>43</v>
      </c>
      <c r="D1240" s="14" t="s">
        <v>44</v>
      </c>
      <c r="E1240" s="13" t="s">
        <v>179</v>
      </c>
      <c r="F1240" s="13" t="s">
        <v>364</v>
      </c>
      <c r="G1240" s="13">
        <v>1.5399999999999998</v>
      </c>
      <c r="H1240" s="15">
        <v>4304</v>
      </c>
      <c r="I1240" s="16">
        <v>6628.1600000000008</v>
      </c>
      <c r="J1240" s="16">
        <v>7711.0699300462711</v>
      </c>
      <c r="K1240" s="16">
        <v>-1082.9099300462703</v>
      </c>
      <c r="L1240" s="13"/>
      <c r="M1240" s="13">
        <v>1.65</v>
      </c>
      <c r="N1240" s="17">
        <f t="shared" si="42"/>
        <v>0</v>
      </c>
      <c r="O1240" s="17">
        <f t="shared" si="42"/>
        <v>7101.5999999999995</v>
      </c>
      <c r="P1240" s="17">
        <f t="shared" si="41"/>
        <v>7101.5999999999995</v>
      </c>
      <c r="Q1240" t="str">
        <f>A1240&amp;"-"&amp;B1240&amp;"-"&amp;D1240</f>
        <v>MARET-MJ2-L1</v>
      </c>
    </row>
    <row r="1241" spans="1:17" x14ac:dyDescent="0.25">
      <c r="A1241" t="s">
        <v>393</v>
      </c>
      <c r="B1241" s="13" t="s">
        <v>26</v>
      </c>
      <c r="C1241" s="13" t="s">
        <v>43</v>
      </c>
      <c r="D1241" s="14" t="s">
        <v>44</v>
      </c>
      <c r="E1241" s="13" t="s">
        <v>179</v>
      </c>
      <c r="F1241" s="13" t="s">
        <v>515</v>
      </c>
      <c r="G1241" s="13">
        <v>1.54</v>
      </c>
      <c r="H1241" s="15">
        <v>1179</v>
      </c>
      <c r="I1241" s="16">
        <v>1815.66</v>
      </c>
      <c r="J1241" s="16">
        <v>3341.1117718937621</v>
      </c>
      <c r="K1241" s="16">
        <v>-1525.4517718937625</v>
      </c>
      <c r="L1241" s="13"/>
      <c r="M1241" s="13">
        <v>1.65</v>
      </c>
      <c r="N1241" s="17">
        <f t="shared" si="42"/>
        <v>0</v>
      </c>
      <c r="O1241" s="17">
        <f t="shared" si="42"/>
        <v>1945.35</v>
      </c>
      <c r="P1241" s="17">
        <f t="shared" si="41"/>
        <v>1945.35</v>
      </c>
      <c r="Q1241" t="str">
        <f>A1241&amp;"-"&amp;B1241&amp;"-"&amp;D1241</f>
        <v>MARET-MJ2-L1</v>
      </c>
    </row>
    <row r="1242" spans="1:17" x14ac:dyDescent="0.25">
      <c r="A1242" t="s">
        <v>393</v>
      </c>
      <c r="B1242" s="13" t="s">
        <v>26</v>
      </c>
      <c r="C1242" s="13" t="s">
        <v>43</v>
      </c>
      <c r="D1242" s="14" t="s">
        <v>50</v>
      </c>
      <c r="E1242" s="13" t="s">
        <v>358</v>
      </c>
      <c r="F1242" s="13" t="s">
        <v>518</v>
      </c>
      <c r="G1242" s="13">
        <v>1.49</v>
      </c>
      <c r="H1242" s="15">
        <v>21</v>
      </c>
      <c r="I1242" s="16">
        <v>31.29</v>
      </c>
      <c r="J1242" s="16">
        <v>58.429752066115704</v>
      </c>
      <c r="K1242" s="16">
        <v>-27.139752066115705</v>
      </c>
      <c r="L1242" s="13"/>
      <c r="M1242" s="13">
        <v>1.6</v>
      </c>
      <c r="N1242" s="17">
        <f t="shared" si="42"/>
        <v>0</v>
      </c>
      <c r="O1242" s="17">
        <f t="shared" si="42"/>
        <v>33.6</v>
      </c>
      <c r="P1242" s="17">
        <f t="shared" si="41"/>
        <v>33.6</v>
      </c>
      <c r="Q1242" t="str">
        <f>A1242&amp;"-"&amp;B1242&amp;"-"&amp;D1242</f>
        <v>MARET-MJ2-L2</v>
      </c>
    </row>
    <row r="1243" spans="1:17" x14ac:dyDescent="0.25">
      <c r="A1243" t="s">
        <v>393</v>
      </c>
      <c r="B1243" s="13" t="s">
        <v>26</v>
      </c>
      <c r="C1243" s="13" t="s">
        <v>43</v>
      </c>
      <c r="D1243" s="14" t="s">
        <v>50</v>
      </c>
      <c r="E1243" s="13" t="s">
        <v>358</v>
      </c>
      <c r="F1243" s="13" t="s">
        <v>373</v>
      </c>
      <c r="G1243" s="13">
        <v>1.49</v>
      </c>
      <c r="H1243" s="15">
        <v>7</v>
      </c>
      <c r="I1243" s="16">
        <v>10.43</v>
      </c>
      <c r="J1243" s="16">
        <v>19.056603773584904</v>
      </c>
      <c r="K1243" s="16">
        <v>-8.6266037735849039</v>
      </c>
      <c r="L1243" s="13"/>
      <c r="M1243" s="13">
        <v>1.6</v>
      </c>
      <c r="N1243" s="17">
        <f t="shared" si="42"/>
        <v>0</v>
      </c>
      <c r="O1243" s="17">
        <f t="shared" si="42"/>
        <v>11.200000000000001</v>
      </c>
      <c r="P1243" s="17">
        <f t="shared" si="41"/>
        <v>11.200000000000001</v>
      </c>
      <c r="Q1243" t="str">
        <f>A1243&amp;"-"&amp;B1243&amp;"-"&amp;D1243</f>
        <v>MARET-MJ2-L2</v>
      </c>
    </row>
    <row r="1244" spans="1:17" x14ac:dyDescent="0.25">
      <c r="A1244" t="s">
        <v>393</v>
      </c>
      <c r="B1244" s="13" t="s">
        <v>26</v>
      </c>
      <c r="C1244" s="13" t="s">
        <v>43</v>
      </c>
      <c r="D1244" s="14" t="s">
        <v>50</v>
      </c>
      <c r="E1244" s="13" t="s">
        <v>58</v>
      </c>
      <c r="F1244" s="13" t="s">
        <v>521</v>
      </c>
      <c r="G1244" s="13">
        <v>1.49</v>
      </c>
      <c r="H1244" s="15">
        <v>57</v>
      </c>
      <c r="I1244" s="16">
        <v>84.929999999999993</v>
      </c>
      <c r="J1244" s="16">
        <v>133.460282226098</v>
      </c>
      <c r="K1244" s="16">
        <v>-48.530282226097995</v>
      </c>
      <c r="L1244" s="13"/>
      <c r="M1244" s="13">
        <v>1.6</v>
      </c>
      <c r="N1244" s="17">
        <f t="shared" si="42"/>
        <v>0</v>
      </c>
      <c r="O1244" s="17">
        <f t="shared" si="42"/>
        <v>91.2</v>
      </c>
      <c r="P1244" s="17">
        <f t="shared" si="41"/>
        <v>91.2</v>
      </c>
      <c r="Q1244" t="str">
        <f>A1244&amp;"-"&amp;B1244&amp;"-"&amp;D1244</f>
        <v>MARET-MJ2-L2</v>
      </c>
    </row>
    <row r="1245" spans="1:17" x14ac:dyDescent="0.25">
      <c r="A1245" t="s">
        <v>393</v>
      </c>
      <c r="B1245" s="13" t="s">
        <v>26</v>
      </c>
      <c r="C1245" s="13" t="s">
        <v>43</v>
      </c>
      <c r="D1245" s="14" t="s">
        <v>50</v>
      </c>
      <c r="E1245" s="13" t="s">
        <v>58</v>
      </c>
      <c r="F1245" s="13" t="s">
        <v>669</v>
      </c>
      <c r="G1245" s="13">
        <v>1.49</v>
      </c>
      <c r="H1245" s="15">
        <v>603</v>
      </c>
      <c r="I1245" s="16">
        <v>898.46999999999991</v>
      </c>
      <c r="J1245" s="16">
        <v>1497.2405263992391</v>
      </c>
      <c r="K1245" s="16">
        <v>-598.77052639923909</v>
      </c>
      <c r="L1245" s="13"/>
      <c r="M1245" s="13">
        <v>1.6</v>
      </c>
      <c r="N1245" s="17">
        <f t="shared" si="42"/>
        <v>0</v>
      </c>
      <c r="O1245" s="17">
        <f t="shared" si="42"/>
        <v>964.80000000000007</v>
      </c>
      <c r="P1245" s="17">
        <f t="shared" si="41"/>
        <v>964.80000000000007</v>
      </c>
      <c r="Q1245" t="str">
        <f>A1245&amp;"-"&amp;B1245&amp;"-"&amp;D1245</f>
        <v>MARET-MJ2-L2</v>
      </c>
    </row>
    <row r="1246" spans="1:17" x14ac:dyDescent="0.25">
      <c r="A1246" t="s">
        <v>393</v>
      </c>
      <c r="B1246" s="13" t="s">
        <v>26</v>
      </c>
      <c r="C1246" s="13" t="s">
        <v>43</v>
      </c>
      <c r="D1246" s="14" t="s">
        <v>50</v>
      </c>
      <c r="E1246" s="13" t="s">
        <v>58</v>
      </c>
      <c r="F1246" s="13" t="s">
        <v>670</v>
      </c>
      <c r="G1246" s="13">
        <v>1.49</v>
      </c>
      <c r="H1246" s="15">
        <v>432</v>
      </c>
      <c r="I1246" s="16">
        <v>643.67999999999995</v>
      </c>
      <c r="J1246" s="16">
        <v>1101.6601700186607</v>
      </c>
      <c r="K1246" s="16">
        <v>-457.98017001866066</v>
      </c>
      <c r="L1246" s="13"/>
      <c r="M1246" s="13">
        <v>1.6</v>
      </c>
      <c r="N1246" s="17">
        <f t="shared" si="42"/>
        <v>0</v>
      </c>
      <c r="O1246" s="17">
        <f t="shared" si="42"/>
        <v>691.2</v>
      </c>
      <c r="P1246" s="17">
        <f t="shared" si="41"/>
        <v>691.2</v>
      </c>
      <c r="Q1246" t="str">
        <f>A1246&amp;"-"&amp;B1246&amp;"-"&amp;D1246</f>
        <v>MARET-MJ2-L2</v>
      </c>
    </row>
    <row r="1247" spans="1:17" x14ac:dyDescent="0.25">
      <c r="A1247" t="s">
        <v>393</v>
      </c>
      <c r="B1247" s="13" t="s">
        <v>26</v>
      </c>
      <c r="C1247" s="13" t="s">
        <v>43</v>
      </c>
      <c r="D1247" s="14" t="s">
        <v>50</v>
      </c>
      <c r="E1247" s="13" t="s">
        <v>58</v>
      </c>
      <c r="F1247" s="13" t="s">
        <v>671</v>
      </c>
      <c r="G1247" s="13">
        <v>1.49</v>
      </c>
      <c r="H1247" s="15">
        <v>708</v>
      </c>
      <c r="I1247" s="16">
        <v>1054.9199999999998</v>
      </c>
      <c r="J1247" s="16">
        <v>1769.9924090871721</v>
      </c>
      <c r="K1247" s="16">
        <v>-715.0724090871721</v>
      </c>
      <c r="L1247" s="13"/>
      <c r="M1247" s="13">
        <v>1.6</v>
      </c>
      <c r="N1247" s="17">
        <f t="shared" si="42"/>
        <v>0</v>
      </c>
      <c r="O1247" s="17">
        <f t="shared" si="42"/>
        <v>1132.8</v>
      </c>
      <c r="P1247" s="17">
        <f t="shared" si="41"/>
        <v>1132.8</v>
      </c>
      <c r="Q1247" t="str">
        <f>A1247&amp;"-"&amp;B1247&amp;"-"&amp;D1247</f>
        <v>MARET-MJ2-L2</v>
      </c>
    </row>
    <row r="1248" spans="1:17" x14ac:dyDescent="0.25">
      <c r="A1248" t="s">
        <v>393</v>
      </c>
      <c r="B1248" s="13" t="s">
        <v>26</v>
      </c>
      <c r="C1248" s="13" t="s">
        <v>43</v>
      </c>
      <c r="D1248" s="14" t="s">
        <v>50</v>
      </c>
      <c r="E1248" s="13" t="s">
        <v>58</v>
      </c>
      <c r="F1248" s="13" t="s">
        <v>672</v>
      </c>
      <c r="G1248" s="13">
        <v>1.49</v>
      </c>
      <c r="H1248" s="15">
        <v>825</v>
      </c>
      <c r="I1248" s="16">
        <v>1229.25</v>
      </c>
      <c r="J1248" s="16">
        <v>2100.9194492906413</v>
      </c>
      <c r="K1248" s="16">
        <v>-871.66944929064141</v>
      </c>
      <c r="L1248" s="13"/>
      <c r="M1248" s="13">
        <v>1.6</v>
      </c>
      <c r="N1248" s="17">
        <f t="shared" si="42"/>
        <v>0</v>
      </c>
      <c r="O1248" s="17">
        <f t="shared" si="42"/>
        <v>1320</v>
      </c>
      <c r="P1248" s="17">
        <f t="shared" si="41"/>
        <v>1320</v>
      </c>
      <c r="Q1248" t="str">
        <f>A1248&amp;"-"&amp;B1248&amp;"-"&amp;D1248</f>
        <v>MARET-MJ2-L2</v>
      </c>
    </row>
    <row r="1249" spans="1:17" x14ac:dyDescent="0.25">
      <c r="A1249" t="s">
        <v>393</v>
      </c>
      <c r="B1249" s="13" t="s">
        <v>26</v>
      </c>
      <c r="C1249" s="13" t="s">
        <v>43</v>
      </c>
      <c r="D1249" s="14" t="s">
        <v>50</v>
      </c>
      <c r="E1249" s="13" t="s">
        <v>58</v>
      </c>
      <c r="F1249" s="13" t="s">
        <v>522</v>
      </c>
      <c r="G1249" s="13">
        <v>1.49</v>
      </c>
      <c r="H1249" s="15">
        <v>840</v>
      </c>
      <c r="I1249" s="16">
        <v>1251.5999999999999</v>
      </c>
      <c r="J1249" s="16">
        <v>2020</v>
      </c>
      <c r="K1249" s="16">
        <v>-768.40000000000009</v>
      </c>
      <c r="L1249" s="13"/>
      <c r="M1249" s="13">
        <v>1.6</v>
      </c>
      <c r="N1249" s="17">
        <f t="shared" si="42"/>
        <v>0</v>
      </c>
      <c r="O1249" s="17">
        <f t="shared" si="42"/>
        <v>1344</v>
      </c>
      <c r="P1249" s="17">
        <f t="shared" si="41"/>
        <v>1344</v>
      </c>
      <c r="Q1249" t="str">
        <f>A1249&amp;"-"&amp;B1249&amp;"-"&amp;D1249</f>
        <v>MARET-MJ2-L2</v>
      </c>
    </row>
    <row r="1250" spans="1:17" x14ac:dyDescent="0.25">
      <c r="A1250" t="s">
        <v>393</v>
      </c>
      <c r="B1250" s="13" t="s">
        <v>26</v>
      </c>
      <c r="C1250" s="13" t="s">
        <v>43</v>
      </c>
      <c r="D1250" s="14" t="s">
        <v>50</v>
      </c>
      <c r="E1250" s="13" t="s">
        <v>58</v>
      </c>
      <c r="F1250" s="13" t="s">
        <v>673</v>
      </c>
      <c r="G1250" s="13">
        <v>1.49</v>
      </c>
      <c r="H1250" s="15">
        <v>1046</v>
      </c>
      <c r="I1250" s="16">
        <v>1558.5400000000002</v>
      </c>
      <c r="J1250" s="16">
        <v>2451.6555053012175</v>
      </c>
      <c r="K1250" s="16">
        <v>-893.11550530121781</v>
      </c>
      <c r="L1250" s="13"/>
      <c r="M1250" s="13">
        <v>1.6</v>
      </c>
      <c r="N1250" s="17">
        <f t="shared" si="42"/>
        <v>0</v>
      </c>
      <c r="O1250" s="17">
        <f t="shared" si="42"/>
        <v>1673.6000000000001</v>
      </c>
      <c r="P1250" s="17">
        <f t="shared" si="41"/>
        <v>1673.6000000000001</v>
      </c>
      <c r="Q1250" t="str">
        <f>A1250&amp;"-"&amp;B1250&amp;"-"&amp;D1250</f>
        <v>MARET-MJ2-L2</v>
      </c>
    </row>
    <row r="1251" spans="1:17" x14ac:dyDescent="0.25">
      <c r="A1251" t="s">
        <v>393</v>
      </c>
      <c r="B1251" s="13" t="s">
        <v>26</v>
      </c>
      <c r="C1251" s="13" t="s">
        <v>43</v>
      </c>
      <c r="D1251" s="14" t="s">
        <v>56</v>
      </c>
      <c r="E1251" s="13" t="s">
        <v>358</v>
      </c>
      <c r="F1251" s="13" t="s">
        <v>518</v>
      </c>
      <c r="G1251" s="13">
        <v>1.49</v>
      </c>
      <c r="H1251" s="15">
        <v>21</v>
      </c>
      <c r="I1251" s="16">
        <v>31.29</v>
      </c>
      <c r="J1251" s="16">
        <v>58.429752066115704</v>
      </c>
      <c r="K1251" s="16">
        <v>-27.139752066115705</v>
      </c>
      <c r="L1251" s="13"/>
      <c r="M1251" s="13">
        <v>1.6</v>
      </c>
      <c r="N1251" s="17">
        <f t="shared" si="42"/>
        <v>0</v>
      </c>
      <c r="O1251" s="17">
        <f t="shared" si="42"/>
        <v>33.6</v>
      </c>
      <c r="P1251" s="17">
        <f t="shared" si="41"/>
        <v>33.6</v>
      </c>
      <c r="Q1251" t="str">
        <f>A1251&amp;"-"&amp;B1251&amp;"-"&amp;D1251</f>
        <v>MARET-MJ2-L3</v>
      </c>
    </row>
    <row r="1252" spans="1:17" x14ac:dyDescent="0.25">
      <c r="A1252" t="s">
        <v>393</v>
      </c>
      <c r="B1252" s="13" t="s">
        <v>26</v>
      </c>
      <c r="C1252" s="13" t="s">
        <v>43</v>
      </c>
      <c r="D1252" s="14" t="s">
        <v>56</v>
      </c>
      <c r="E1252" s="13" t="s">
        <v>58</v>
      </c>
      <c r="F1252" s="13" t="s">
        <v>521</v>
      </c>
      <c r="G1252" s="13">
        <v>1.49</v>
      </c>
      <c r="H1252" s="15">
        <v>552</v>
      </c>
      <c r="I1252" s="16">
        <v>822.48</v>
      </c>
      <c r="J1252" s="16">
        <v>1278.5152537123877</v>
      </c>
      <c r="K1252" s="16">
        <v>-456.03525371238783</v>
      </c>
      <c r="L1252" s="13"/>
      <c r="M1252" s="13">
        <v>1.6</v>
      </c>
      <c r="N1252" s="17">
        <f t="shared" si="42"/>
        <v>0</v>
      </c>
      <c r="O1252" s="17">
        <f t="shared" si="42"/>
        <v>883.2</v>
      </c>
      <c r="P1252" s="17">
        <f t="shared" si="41"/>
        <v>883.2</v>
      </c>
      <c r="Q1252" t="str">
        <f>A1252&amp;"-"&amp;B1252&amp;"-"&amp;D1252</f>
        <v>MARET-MJ2-L3</v>
      </c>
    </row>
    <row r="1253" spans="1:17" x14ac:dyDescent="0.25">
      <c r="A1253" t="s">
        <v>393</v>
      </c>
      <c r="B1253" s="13" t="s">
        <v>26</v>
      </c>
      <c r="C1253" s="13" t="s">
        <v>43</v>
      </c>
      <c r="D1253" s="14" t="s">
        <v>56</v>
      </c>
      <c r="E1253" s="13" t="s">
        <v>58</v>
      </c>
      <c r="F1253" s="13" t="s">
        <v>669</v>
      </c>
      <c r="G1253" s="13">
        <v>1.49</v>
      </c>
      <c r="H1253" s="15">
        <v>9</v>
      </c>
      <c r="I1253" s="16">
        <v>13.41</v>
      </c>
      <c r="J1253" s="16">
        <v>20.022026431718064</v>
      </c>
      <c r="K1253" s="16">
        <v>-6.6120264317180641</v>
      </c>
      <c r="L1253" s="13"/>
      <c r="M1253" s="13">
        <v>1.6</v>
      </c>
      <c r="N1253" s="17">
        <f t="shared" si="42"/>
        <v>0</v>
      </c>
      <c r="O1253" s="17">
        <f t="shared" si="42"/>
        <v>14.4</v>
      </c>
      <c r="P1253" s="17">
        <f t="shared" si="41"/>
        <v>14.4</v>
      </c>
      <c r="Q1253" t="str">
        <f>A1253&amp;"-"&amp;B1253&amp;"-"&amp;D1253</f>
        <v>MARET-MJ2-L3</v>
      </c>
    </row>
    <row r="1254" spans="1:17" x14ac:dyDescent="0.25">
      <c r="A1254" t="s">
        <v>393</v>
      </c>
      <c r="B1254" s="13" t="s">
        <v>26</v>
      </c>
      <c r="C1254" s="13" t="s">
        <v>43</v>
      </c>
      <c r="D1254" s="14" t="s">
        <v>56</v>
      </c>
      <c r="E1254" s="13" t="s">
        <v>58</v>
      </c>
      <c r="F1254" s="13" t="s">
        <v>670</v>
      </c>
      <c r="G1254" s="13">
        <v>1.49</v>
      </c>
      <c r="H1254" s="15">
        <v>180</v>
      </c>
      <c r="I1254" s="16">
        <v>268.2</v>
      </c>
      <c r="J1254" s="16">
        <v>485.04993053658995</v>
      </c>
      <c r="K1254" s="16">
        <v>-216.84993053658997</v>
      </c>
      <c r="L1254" s="13"/>
      <c r="M1254" s="13">
        <v>1.6</v>
      </c>
      <c r="N1254" s="17">
        <f t="shared" si="42"/>
        <v>0</v>
      </c>
      <c r="O1254" s="17">
        <f t="shared" si="42"/>
        <v>288</v>
      </c>
      <c r="P1254" s="17">
        <f t="shared" si="41"/>
        <v>288</v>
      </c>
      <c r="Q1254" t="str">
        <f>A1254&amp;"-"&amp;B1254&amp;"-"&amp;D1254</f>
        <v>MARET-MJ2-L3</v>
      </c>
    </row>
    <row r="1255" spans="1:17" x14ac:dyDescent="0.25">
      <c r="A1255" t="s">
        <v>393</v>
      </c>
      <c r="B1255" s="13" t="s">
        <v>26</v>
      </c>
      <c r="C1255" s="13" t="s">
        <v>43</v>
      </c>
      <c r="D1255" s="14" t="s">
        <v>56</v>
      </c>
      <c r="E1255" s="13" t="s">
        <v>58</v>
      </c>
      <c r="F1255" s="13" t="s">
        <v>520</v>
      </c>
      <c r="G1255" s="13">
        <v>1.49</v>
      </c>
      <c r="H1255" s="15">
        <v>36</v>
      </c>
      <c r="I1255" s="16">
        <v>53.64</v>
      </c>
      <c r="J1255" s="16">
        <v>82.825862624959697</v>
      </c>
      <c r="K1255" s="16">
        <v>-29.185862624959693</v>
      </c>
      <c r="L1255" s="13"/>
      <c r="M1255" s="13">
        <v>1.6</v>
      </c>
      <c r="N1255" s="17">
        <f t="shared" si="42"/>
        <v>0</v>
      </c>
      <c r="O1255" s="17">
        <f t="shared" si="42"/>
        <v>57.6</v>
      </c>
      <c r="P1255" s="17">
        <f t="shared" si="41"/>
        <v>57.6</v>
      </c>
      <c r="Q1255" t="str">
        <f>A1255&amp;"-"&amp;B1255&amp;"-"&amp;D1255</f>
        <v>MARET-MJ2-L3</v>
      </c>
    </row>
    <row r="1256" spans="1:17" x14ac:dyDescent="0.25">
      <c r="A1256" t="s">
        <v>393</v>
      </c>
      <c r="B1256" s="13" t="s">
        <v>26</v>
      </c>
      <c r="C1256" s="13" t="s">
        <v>43</v>
      </c>
      <c r="D1256" s="14" t="s">
        <v>56</v>
      </c>
      <c r="E1256" s="13" t="s">
        <v>58</v>
      </c>
      <c r="F1256" s="13" t="s">
        <v>671</v>
      </c>
      <c r="G1256" s="13">
        <v>1.49</v>
      </c>
      <c r="H1256" s="15">
        <v>1170</v>
      </c>
      <c r="I1256" s="16">
        <v>1743.3</v>
      </c>
      <c r="J1256" s="16">
        <v>2993.8661487585641</v>
      </c>
      <c r="K1256" s="16">
        <v>-1250.5661487585642</v>
      </c>
      <c r="L1256" s="13"/>
      <c r="M1256" s="13">
        <v>1.6</v>
      </c>
      <c r="N1256" s="17">
        <f t="shared" si="42"/>
        <v>0</v>
      </c>
      <c r="O1256" s="17">
        <f t="shared" si="42"/>
        <v>1872</v>
      </c>
      <c r="P1256" s="17">
        <f t="shared" si="41"/>
        <v>1872</v>
      </c>
      <c r="Q1256" t="str">
        <f>A1256&amp;"-"&amp;B1256&amp;"-"&amp;D1256</f>
        <v>MARET-MJ2-L3</v>
      </c>
    </row>
    <row r="1257" spans="1:17" x14ac:dyDescent="0.25">
      <c r="A1257" t="s">
        <v>393</v>
      </c>
      <c r="B1257" s="13" t="s">
        <v>26</v>
      </c>
      <c r="C1257" s="13" t="s">
        <v>43</v>
      </c>
      <c r="D1257" s="14" t="s">
        <v>56</v>
      </c>
      <c r="E1257" s="13" t="s">
        <v>58</v>
      </c>
      <c r="F1257" s="13" t="s">
        <v>672</v>
      </c>
      <c r="G1257" s="13">
        <v>1.49</v>
      </c>
      <c r="H1257" s="15">
        <v>827</v>
      </c>
      <c r="I1257" s="16">
        <v>1232.2299999999998</v>
      </c>
      <c r="J1257" s="16">
        <v>2105.3793561707657</v>
      </c>
      <c r="K1257" s="16">
        <v>-873.14935617076617</v>
      </c>
      <c r="L1257" s="13"/>
      <c r="M1257" s="13">
        <v>1.6</v>
      </c>
      <c r="N1257" s="17">
        <f t="shared" si="42"/>
        <v>0</v>
      </c>
      <c r="O1257" s="17">
        <f t="shared" si="42"/>
        <v>1323.2</v>
      </c>
      <c r="P1257" s="17">
        <f t="shared" si="41"/>
        <v>1323.2</v>
      </c>
      <c r="Q1257" t="str">
        <f>A1257&amp;"-"&amp;B1257&amp;"-"&amp;D1257</f>
        <v>MARET-MJ2-L3</v>
      </c>
    </row>
    <row r="1258" spans="1:17" x14ac:dyDescent="0.25">
      <c r="A1258" t="s">
        <v>393</v>
      </c>
      <c r="B1258" s="13" t="s">
        <v>26</v>
      </c>
      <c r="C1258" s="13" t="s">
        <v>43</v>
      </c>
      <c r="D1258" s="14" t="s">
        <v>56</v>
      </c>
      <c r="E1258" s="13" t="s">
        <v>58</v>
      </c>
      <c r="F1258" s="13" t="s">
        <v>522</v>
      </c>
      <c r="G1258" s="13">
        <v>1.49</v>
      </c>
      <c r="H1258" s="15">
        <v>699</v>
      </c>
      <c r="I1258" s="16">
        <v>1041.51</v>
      </c>
      <c r="J1258" s="16">
        <v>1677.5575620767495</v>
      </c>
      <c r="K1258" s="16">
        <v>-636.0475620767495</v>
      </c>
      <c r="L1258" s="13"/>
      <c r="M1258" s="13">
        <v>1.6</v>
      </c>
      <c r="N1258" s="17">
        <f t="shared" si="42"/>
        <v>0</v>
      </c>
      <c r="O1258" s="17">
        <f t="shared" si="42"/>
        <v>1118.4000000000001</v>
      </c>
      <c r="P1258" s="17">
        <f t="shared" si="41"/>
        <v>1118.4000000000001</v>
      </c>
      <c r="Q1258" t="str">
        <f>A1258&amp;"-"&amp;B1258&amp;"-"&amp;D1258</f>
        <v>MARET-MJ2-L3</v>
      </c>
    </row>
    <row r="1259" spans="1:17" x14ac:dyDescent="0.25">
      <c r="A1259" t="s">
        <v>393</v>
      </c>
      <c r="B1259" s="13" t="s">
        <v>26</v>
      </c>
      <c r="C1259" s="13" t="s">
        <v>43</v>
      </c>
      <c r="D1259" s="14" t="s">
        <v>56</v>
      </c>
      <c r="E1259" s="13" t="s">
        <v>58</v>
      </c>
      <c r="F1259" s="13" t="s">
        <v>673</v>
      </c>
      <c r="G1259" s="13">
        <v>1.49</v>
      </c>
      <c r="H1259" s="15">
        <v>1045</v>
      </c>
      <c r="I1259" s="16">
        <v>1557.0500000000002</v>
      </c>
      <c r="J1259" s="16">
        <v>2450.7688057848786</v>
      </c>
      <c r="K1259" s="16">
        <v>-893.71880578487855</v>
      </c>
      <c r="L1259" s="13"/>
      <c r="M1259" s="13">
        <v>1.6</v>
      </c>
      <c r="N1259" s="17">
        <f t="shared" si="42"/>
        <v>0</v>
      </c>
      <c r="O1259" s="17">
        <f t="shared" si="42"/>
        <v>1672</v>
      </c>
      <c r="P1259" s="17">
        <f t="shared" si="41"/>
        <v>1672</v>
      </c>
      <c r="Q1259" t="str">
        <f>A1259&amp;"-"&amp;B1259&amp;"-"&amp;D1259</f>
        <v>MARET-MJ2-L3</v>
      </c>
    </row>
    <row r="1260" spans="1:17" x14ac:dyDescent="0.25">
      <c r="A1260" t="s">
        <v>394</v>
      </c>
      <c r="B1260" s="13" t="s">
        <v>18</v>
      </c>
      <c r="C1260" s="13" t="s">
        <v>154</v>
      </c>
      <c r="D1260" s="14" t="s">
        <v>44</v>
      </c>
      <c r="E1260" s="13" t="s">
        <v>155</v>
      </c>
      <c r="F1260" s="13" t="s">
        <v>674</v>
      </c>
      <c r="G1260" s="13">
        <v>0.51</v>
      </c>
      <c r="H1260" s="15">
        <v>105</v>
      </c>
      <c r="I1260" s="16">
        <v>53.55</v>
      </c>
      <c r="J1260" s="16">
        <v>38.74364522144522</v>
      </c>
      <c r="K1260" s="16">
        <v>14.80635477855478</v>
      </c>
      <c r="L1260" s="13">
        <v>7.4</v>
      </c>
      <c r="M1260" s="13"/>
      <c r="N1260" s="17">
        <f t="shared" si="42"/>
        <v>777</v>
      </c>
      <c r="O1260" s="17">
        <f t="shared" si="42"/>
        <v>0</v>
      </c>
      <c r="P1260" s="17">
        <f t="shared" si="41"/>
        <v>777</v>
      </c>
      <c r="Q1260" t="str">
        <f>A1260&amp;"-"&amp;B1260&amp;"-"&amp;D1260</f>
        <v>APRIL-CBA-L1</v>
      </c>
    </row>
    <row r="1261" spans="1:17" x14ac:dyDescent="0.25">
      <c r="A1261" t="s">
        <v>394</v>
      </c>
      <c r="B1261" s="13" t="s">
        <v>18</v>
      </c>
      <c r="C1261" s="13" t="s">
        <v>154</v>
      </c>
      <c r="D1261" s="14" t="s">
        <v>44</v>
      </c>
      <c r="E1261" s="13" t="s">
        <v>155</v>
      </c>
      <c r="F1261" s="13" t="s">
        <v>675</v>
      </c>
      <c r="G1261" s="13">
        <v>0.51</v>
      </c>
      <c r="H1261" s="15">
        <v>1144</v>
      </c>
      <c r="I1261" s="16">
        <v>583.43999999999994</v>
      </c>
      <c r="J1261" s="16">
        <v>427.92062897102903</v>
      </c>
      <c r="K1261" s="16">
        <v>155.51937102897099</v>
      </c>
      <c r="L1261" s="13">
        <v>7.4</v>
      </c>
      <c r="M1261" s="13"/>
      <c r="N1261" s="17">
        <f t="shared" ref="N1261:O1314" si="43">$H1261*L1261</f>
        <v>8465.6</v>
      </c>
      <c r="O1261" s="17">
        <f t="shared" si="43"/>
        <v>0</v>
      </c>
      <c r="P1261" s="17">
        <f t="shared" si="41"/>
        <v>8465.6</v>
      </c>
      <c r="Q1261" t="str">
        <f>A1261&amp;"-"&amp;B1261&amp;"-"&amp;D1261</f>
        <v>APRIL-CBA-L1</v>
      </c>
    </row>
    <row r="1262" spans="1:17" x14ac:dyDescent="0.25">
      <c r="A1262" t="s">
        <v>394</v>
      </c>
      <c r="B1262" s="13" t="s">
        <v>18</v>
      </c>
      <c r="C1262" s="13" t="s">
        <v>154</v>
      </c>
      <c r="D1262" s="14" t="s">
        <v>44</v>
      </c>
      <c r="E1262" s="13" t="s">
        <v>155</v>
      </c>
      <c r="F1262" s="13" t="s">
        <v>676</v>
      </c>
      <c r="G1262" s="13">
        <v>0.51</v>
      </c>
      <c r="H1262" s="15">
        <v>21</v>
      </c>
      <c r="I1262" s="16">
        <v>10.71</v>
      </c>
      <c r="J1262" s="16">
        <v>10.531818181818181</v>
      </c>
      <c r="K1262" s="16">
        <v>0.17818181818181955</v>
      </c>
      <c r="L1262" s="13">
        <v>7.36</v>
      </c>
      <c r="M1262" s="13"/>
      <c r="N1262" s="17">
        <f t="shared" si="43"/>
        <v>154.56</v>
      </c>
      <c r="O1262" s="17">
        <f t="shared" si="43"/>
        <v>0</v>
      </c>
      <c r="P1262" s="17">
        <f t="shared" si="41"/>
        <v>154.56</v>
      </c>
      <c r="Q1262" t="str">
        <f>A1262&amp;"-"&amp;B1262&amp;"-"&amp;D1262</f>
        <v>APRIL-CBA-L1</v>
      </c>
    </row>
    <row r="1263" spans="1:17" x14ac:dyDescent="0.25">
      <c r="A1263" t="s">
        <v>394</v>
      </c>
      <c r="B1263" s="13" t="s">
        <v>18</v>
      </c>
      <c r="C1263" s="13" t="s">
        <v>154</v>
      </c>
      <c r="D1263" s="14" t="s">
        <v>44</v>
      </c>
      <c r="E1263" s="13" t="s">
        <v>155</v>
      </c>
      <c r="F1263" s="13" t="s">
        <v>677</v>
      </c>
      <c r="G1263" s="13">
        <v>0.51</v>
      </c>
      <c r="H1263" s="15">
        <v>186</v>
      </c>
      <c r="I1263" s="16">
        <v>94.86</v>
      </c>
      <c r="J1263" s="16">
        <v>70.361142857142866</v>
      </c>
      <c r="K1263" s="16">
        <v>24.498857142857133</v>
      </c>
      <c r="L1263" s="13">
        <v>7.4</v>
      </c>
      <c r="M1263" s="13"/>
      <c r="N1263" s="17">
        <f t="shared" si="43"/>
        <v>1376.4</v>
      </c>
      <c r="O1263" s="17">
        <f t="shared" si="43"/>
        <v>0</v>
      </c>
      <c r="P1263" s="17">
        <f t="shared" si="41"/>
        <v>1376.4</v>
      </c>
      <c r="Q1263" t="str">
        <f>A1263&amp;"-"&amp;B1263&amp;"-"&amp;D1263</f>
        <v>APRIL-CBA-L1</v>
      </c>
    </row>
    <row r="1264" spans="1:17" x14ac:dyDescent="0.25">
      <c r="A1264" t="s">
        <v>394</v>
      </c>
      <c r="B1264" s="13" t="s">
        <v>18</v>
      </c>
      <c r="C1264" s="13" t="s">
        <v>154</v>
      </c>
      <c r="D1264" s="14" t="s">
        <v>44</v>
      </c>
      <c r="E1264" s="13" t="s">
        <v>155</v>
      </c>
      <c r="F1264" s="13" t="s">
        <v>678</v>
      </c>
      <c r="G1264" s="13">
        <v>0.51</v>
      </c>
      <c r="H1264" s="15">
        <v>233</v>
      </c>
      <c r="I1264" s="16">
        <v>118.83</v>
      </c>
      <c r="J1264" s="16">
        <v>88.140571428571434</v>
      </c>
      <c r="K1264" s="16">
        <v>30.689428571428564</v>
      </c>
      <c r="L1264" s="13">
        <v>7.4</v>
      </c>
      <c r="M1264" s="13"/>
      <c r="N1264" s="17">
        <f t="shared" si="43"/>
        <v>1724.2</v>
      </c>
      <c r="O1264" s="17">
        <f t="shared" si="43"/>
        <v>0</v>
      </c>
      <c r="P1264" s="17">
        <f t="shared" si="41"/>
        <v>1724.2</v>
      </c>
      <c r="Q1264" t="str">
        <f>A1264&amp;"-"&amp;B1264&amp;"-"&amp;D1264</f>
        <v>APRIL-CBA-L1</v>
      </c>
    </row>
    <row r="1265" spans="1:17" x14ac:dyDescent="0.25">
      <c r="A1265" t="s">
        <v>394</v>
      </c>
      <c r="B1265" s="13" t="s">
        <v>18</v>
      </c>
      <c r="C1265" s="13" t="s">
        <v>154</v>
      </c>
      <c r="D1265" s="14" t="s">
        <v>44</v>
      </c>
      <c r="E1265" s="13" t="s">
        <v>155</v>
      </c>
      <c r="F1265" s="13" t="s">
        <v>679</v>
      </c>
      <c r="G1265" s="13">
        <v>0.51</v>
      </c>
      <c r="H1265" s="15">
        <v>21</v>
      </c>
      <c r="I1265" s="16">
        <v>10.71</v>
      </c>
      <c r="J1265" s="16">
        <v>7.6385076923076927</v>
      </c>
      <c r="K1265" s="16">
        <v>3.0714923076923082</v>
      </c>
      <c r="L1265" s="13">
        <v>7.4</v>
      </c>
      <c r="M1265" s="13"/>
      <c r="N1265" s="17">
        <f t="shared" si="43"/>
        <v>155.4</v>
      </c>
      <c r="O1265" s="17">
        <f t="shared" si="43"/>
        <v>0</v>
      </c>
      <c r="P1265" s="17">
        <f t="shared" si="41"/>
        <v>155.4</v>
      </c>
      <c r="Q1265" t="str">
        <f>A1265&amp;"-"&amp;B1265&amp;"-"&amp;D1265</f>
        <v>APRIL-CBA-L1</v>
      </c>
    </row>
    <row r="1266" spans="1:17" x14ac:dyDescent="0.25">
      <c r="A1266" t="s">
        <v>394</v>
      </c>
      <c r="B1266" s="13" t="s">
        <v>18</v>
      </c>
      <c r="C1266" s="13" t="s">
        <v>154</v>
      </c>
      <c r="D1266" s="14" t="s">
        <v>44</v>
      </c>
      <c r="E1266" s="13" t="s">
        <v>155</v>
      </c>
      <c r="F1266" s="13" t="s">
        <v>680</v>
      </c>
      <c r="G1266" s="13">
        <v>0.51</v>
      </c>
      <c r="H1266" s="15">
        <v>10</v>
      </c>
      <c r="I1266" s="16">
        <v>5.0999999999999996</v>
      </c>
      <c r="J1266" s="16">
        <v>3.6373846153846157</v>
      </c>
      <c r="K1266" s="16">
        <v>1.462615384615384</v>
      </c>
      <c r="L1266" s="13">
        <v>7.4</v>
      </c>
      <c r="M1266" s="13"/>
      <c r="N1266" s="17">
        <f t="shared" si="43"/>
        <v>74</v>
      </c>
      <c r="O1266" s="17">
        <f t="shared" si="43"/>
        <v>0</v>
      </c>
      <c r="P1266" s="17">
        <f t="shared" si="41"/>
        <v>74</v>
      </c>
      <c r="Q1266" t="str">
        <f>A1266&amp;"-"&amp;B1266&amp;"-"&amp;D1266</f>
        <v>APRIL-CBA-L1</v>
      </c>
    </row>
    <row r="1267" spans="1:17" x14ac:dyDescent="0.25">
      <c r="A1267" t="s">
        <v>394</v>
      </c>
      <c r="B1267" s="13" t="s">
        <v>18</v>
      </c>
      <c r="C1267" s="13" t="s">
        <v>154</v>
      </c>
      <c r="D1267" s="14" t="s">
        <v>44</v>
      </c>
      <c r="E1267" s="13" t="s">
        <v>155</v>
      </c>
      <c r="F1267" s="13" t="s">
        <v>681</v>
      </c>
      <c r="G1267" s="13">
        <v>0.51</v>
      </c>
      <c r="H1267" s="15">
        <v>12</v>
      </c>
      <c r="I1267" s="16">
        <v>6.12</v>
      </c>
      <c r="J1267" s="16">
        <v>4.3648615384615388</v>
      </c>
      <c r="K1267" s="16">
        <v>1.7551384615384613</v>
      </c>
      <c r="L1267" s="13">
        <v>7.4</v>
      </c>
      <c r="M1267" s="13"/>
      <c r="N1267" s="17">
        <f t="shared" si="43"/>
        <v>88.800000000000011</v>
      </c>
      <c r="O1267" s="17">
        <f t="shared" si="43"/>
        <v>0</v>
      </c>
      <c r="P1267" s="17">
        <f t="shared" si="41"/>
        <v>88.800000000000011</v>
      </c>
      <c r="Q1267" t="str">
        <f>A1267&amp;"-"&amp;B1267&amp;"-"&amp;D1267</f>
        <v>APRIL-CBA-L1</v>
      </c>
    </row>
    <row r="1268" spans="1:17" x14ac:dyDescent="0.25">
      <c r="A1268" t="s">
        <v>394</v>
      </c>
      <c r="B1268" s="13" t="s">
        <v>18</v>
      </c>
      <c r="C1268" s="13" t="s">
        <v>154</v>
      </c>
      <c r="D1268" s="14" t="s">
        <v>44</v>
      </c>
      <c r="E1268" s="13" t="s">
        <v>155</v>
      </c>
      <c r="F1268" s="13" t="s">
        <v>682</v>
      </c>
      <c r="G1268" s="13">
        <v>0.51</v>
      </c>
      <c r="H1268" s="15">
        <v>50</v>
      </c>
      <c r="I1268" s="16">
        <v>25.5</v>
      </c>
      <c r="J1268" s="16">
        <v>20.060606060606062</v>
      </c>
      <c r="K1268" s="16">
        <v>5.4393939393939377</v>
      </c>
      <c r="L1268" s="13">
        <v>7.4</v>
      </c>
      <c r="M1268" s="13"/>
      <c r="N1268" s="17">
        <f t="shared" si="43"/>
        <v>370</v>
      </c>
      <c r="O1268" s="17">
        <f t="shared" si="43"/>
        <v>0</v>
      </c>
      <c r="P1268" s="17">
        <f t="shared" si="41"/>
        <v>370</v>
      </c>
      <c r="Q1268" t="str">
        <f>A1268&amp;"-"&amp;B1268&amp;"-"&amp;D1268</f>
        <v>APRIL-CBA-L1</v>
      </c>
    </row>
    <row r="1269" spans="1:17" x14ac:dyDescent="0.25">
      <c r="A1269" t="s">
        <v>394</v>
      </c>
      <c r="B1269" s="13" t="s">
        <v>18</v>
      </c>
      <c r="C1269" s="13" t="s">
        <v>154</v>
      </c>
      <c r="D1269" s="14" t="s">
        <v>44</v>
      </c>
      <c r="E1269" s="13" t="s">
        <v>155</v>
      </c>
      <c r="F1269" s="13" t="s">
        <v>683</v>
      </c>
      <c r="G1269" s="13">
        <v>0.51</v>
      </c>
      <c r="H1269" s="15">
        <v>2</v>
      </c>
      <c r="I1269" s="16">
        <v>1.02</v>
      </c>
      <c r="J1269" s="16">
        <v>0.72747692307692313</v>
      </c>
      <c r="K1269" s="16">
        <v>0.29252307692307689</v>
      </c>
      <c r="L1269" s="13">
        <v>7.4</v>
      </c>
      <c r="M1269" s="13"/>
      <c r="N1269" s="17">
        <f t="shared" si="43"/>
        <v>14.8</v>
      </c>
      <c r="O1269" s="17">
        <f t="shared" si="43"/>
        <v>0</v>
      </c>
      <c r="P1269" s="17">
        <f t="shared" si="41"/>
        <v>14.8</v>
      </c>
      <c r="Q1269" t="str">
        <f>A1269&amp;"-"&amp;B1269&amp;"-"&amp;D1269</f>
        <v>APRIL-CBA-L1</v>
      </c>
    </row>
    <row r="1270" spans="1:17" x14ac:dyDescent="0.25">
      <c r="A1270" t="s">
        <v>394</v>
      </c>
      <c r="B1270" s="13" t="s">
        <v>18</v>
      </c>
      <c r="C1270" s="13" t="s">
        <v>154</v>
      </c>
      <c r="D1270" s="14" t="s">
        <v>44</v>
      </c>
      <c r="E1270" s="13" t="s">
        <v>155</v>
      </c>
      <c r="F1270" s="13" t="s">
        <v>684</v>
      </c>
      <c r="G1270" s="13">
        <v>0.51</v>
      </c>
      <c r="H1270" s="15">
        <v>55</v>
      </c>
      <c r="I1270" s="16">
        <v>28.05</v>
      </c>
      <c r="J1270" s="16">
        <v>20.805714285714288</v>
      </c>
      <c r="K1270" s="16">
        <v>7.2442857142857129</v>
      </c>
      <c r="L1270" s="13">
        <v>7.4</v>
      </c>
      <c r="M1270" s="13"/>
      <c r="N1270" s="17">
        <f t="shared" si="43"/>
        <v>407</v>
      </c>
      <c r="O1270" s="17">
        <f t="shared" si="43"/>
        <v>0</v>
      </c>
      <c r="P1270" s="17">
        <f t="shared" si="41"/>
        <v>407</v>
      </c>
      <c r="Q1270" t="str">
        <f>A1270&amp;"-"&amp;B1270&amp;"-"&amp;D1270</f>
        <v>APRIL-CBA-L1</v>
      </c>
    </row>
    <row r="1271" spans="1:17" x14ac:dyDescent="0.25">
      <c r="A1271" t="s">
        <v>394</v>
      </c>
      <c r="B1271" s="13" t="s">
        <v>18</v>
      </c>
      <c r="C1271" s="13" t="s">
        <v>154</v>
      </c>
      <c r="D1271" s="14" t="s">
        <v>44</v>
      </c>
      <c r="E1271" s="13" t="s">
        <v>155</v>
      </c>
      <c r="F1271" s="13" t="s">
        <v>685</v>
      </c>
      <c r="G1271" s="13">
        <v>0.51</v>
      </c>
      <c r="H1271" s="15">
        <v>462</v>
      </c>
      <c r="I1271" s="16">
        <v>235.62</v>
      </c>
      <c r="J1271" s="16">
        <v>174.768</v>
      </c>
      <c r="K1271" s="16">
        <v>60.852000000000004</v>
      </c>
      <c r="L1271" s="13">
        <v>7.4</v>
      </c>
      <c r="M1271" s="13"/>
      <c r="N1271" s="17">
        <f t="shared" si="43"/>
        <v>3418.8</v>
      </c>
      <c r="O1271" s="17">
        <f t="shared" si="43"/>
        <v>0</v>
      </c>
      <c r="P1271" s="17">
        <f t="shared" si="41"/>
        <v>3418.8</v>
      </c>
      <c r="Q1271" t="str">
        <f>A1271&amp;"-"&amp;B1271&amp;"-"&amp;D1271</f>
        <v>APRIL-CBA-L1</v>
      </c>
    </row>
    <row r="1272" spans="1:17" x14ac:dyDescent="0.25">
      <c r="A1272" t="s">
        <v>394</v>
      </c>
      <c r="B1272" s="13" t="s">
        <v>18</v>
      </c>
      <c r="C1272" s="13" t="s">
        <v>154</v>
      </c>
      <c r="D1272" s="14" t="s">
        <v>44</v>
      </c>
      <c r="E1272" s="13" t="s">
        <v>155</v>
      </c>
      <c r="F1272" s="13" t="s">
        <v>543</v>
      </c>
      <c r="G1272" s="13">
        <v>0.5099999999999999</v>
      </c>
      <c r="H1272" s="15">
        <v>15911</v>
      </c>
      <c r="I1272" s="16">
        <v>8114.6100000000006</v>
      </c>
      <c r="J1272" s="16">
        <v>6754.962008658008</v>
      </c>
      <c r="K1272" s="16">
        <v>1359.6479913419912</v>
      </c>
      <c r="L1272" s="13">
        <v>7.36</v>
      </c>
      <c r="M1272" s="13"/>
      <c r="N1272" s="17">
        <f t="shared" si="43"/>
        <v>117104.96000000001</v>
      </c>
      <c r="O1272" s="17">
        <f t="shared" si="43"/>
        <v>0</v>
      </c>
      <c r="P1272" s="17">
        <f t="shared" si="41"/>
        <v>117104.96000000001</v>
      </c>
      <c r="Q1272" t="str">
        <f>A1272&amp;"-"&amp;B1272&amp;"-"&amp;D1272</f>
        <v>APRIL-CBA-L1</v>
      </c>
    </row>
    <row r="1273" spans="1:17" x14ac:dyDescent="0.25">
      <c r="A1273" t="s">
        <v>394</v>
      </c>
      <c r="B1273" s="13" t="s">
        <v>18</v>
      </c>
      <c r="C1273" s="13" t="s">
        <v>154</v>
      </c>
      <c r="D1273" s="14" t="s">
        <v>44</v>
      </c>
      <c r="E1273" s="13" t="s">
        <v>155</v>
      </c>
      <c r="F1273" s="13" t="s">
        <v>686</v>
      </c>
      <c r="G1273" s="13">
        <v>0.51</v>
      </c>
      <c r="H1273" s="15">
        <v>1300</v>
      </c>
      <c r="I1273" s="16">
        <v>663</v>
      </c>
      <c r="J1273" s="16">
        <v>802.42424242424249</v>
      </c>
      <c r="K1273" s="16">
        <v>-139.42424242424244</v>
      </c>
      <c r="L1273" s="13">
        <v>7.36</v>
      </c>
      <c r="M1273" s="13"/>
      <c r="N1273" s="17">
        <f t="shared" si="43"/>
        <v>9568</v>
      </c>
      <c r="O1273" s="17">
        <f t="shared" si="43"/>
        <v>0</v>
      </c>
      <c r="P1273" s="17">
        <f t="shared" si="41"/>
        <v>9568</v>
      </c>
      <c r="Q1273" t="str">
        <f>A1273&amp;"-"&amp;B1273&amp;"-"&amp;D1273</f>
        <v>APRIL-CBA-L1</v>
      </c>
    </row>
    <row r="1274" spans="1:17" x14ac:dyDescent="0.25">
      <c r="A1274" t="s">
        <v>394</v>
      </c>
      <c r="B1274" s="13" t="s">
        <v>18</v>
      </c>
      <c r="C1274" s="13" t="s">
        <v>154</v>
      </c>
      <c r="D1274" s="14" t="s">
        <v>44</v>
      </c>
      <c r="E1274" s="13" t="s">
        <v>155</v>
      </c>
      <c r="F1274" s="13" t="s">
        <v>687</v>
      </c>
      <c r="G1274" s="13">
        <v>0.51</v>
      </c>
      <c r="H1274" s="15">
        <v>16</v>
      </c>
      <c r="I1274" s="16">
        <v>8.16</v>
      </c>
      <c r="J1274" s="16">
        <v>8.0242424242424235</v>
      </c>
      <c r="K1274" s="16">
        <v>0.13575757575757663</v>
      </c>
      <c r="L1274" s="13">
        <v>7.36</v>
      </c>
      <c r="M1274" s="13"/>
      <c r="N1274" s="17">
        <f t="shared" si="43"/>
        <v>117.76</v>
      </c>
      <c r="O1274" s="17">
        <f t="shared" si="43"/>
        <v>0</v>
      </c>
      <c r="P1274" s="17">
        <f t="shared" si="41"/>
        <v>117.76</v>
      </c>
      <c r="Q1274" t="str">
        <f>A1274&amp;"-"&amp;B1274&amp;"-"&amp;D1274</f>
        <v>APRIL-CBA-L1</v>
      </c>
    </row>
    <row r="1275" spans="1:17" x14ac:dyDescent="0.25">
      <c r="A1275" t="s">
        <v>394</v>
      </c>
      <c r="B1275" s="13" t="s">
        <v>18</v>
      </c>
      <c r="C1275" s="13" t="s">
        <v>154</v>
      </c>
      <c r="D1275" s="14" t="s">
        <v>44</v>
      </c>
      <c r="E1275" s="13" t="s">
        <v>155</v>
      </c>
      <c r="F1275" s="13" t="s">
        <v>688</v>
      </c>
      <c r="G1275" s="13">
        <v>0.48</v>
      </c>
      <c r="H1275" s="15">
        <v>18</v>
      </c>
      <c r="I1275" s="16">
        <v>8.64</v>
      </c>
      <c r="J1275" s="16">
        <v>7.0094117647058818</v>
      </c>
      <c r="K1275" s="16">
        <v>1.6305882352941188</v>
      </c>
      <c r="L1275" s="13">
        <v>1.8</v>
      </c>
      <c r="M1275" s="13"/>
      <c r="N1275" s="17">
        <f t="shared" si="43"/>
        <v>32.4</v>
      </c>
      <c r="O1275" s="17">
        <f t="shared" si="43"/>
        <v>0</v>
      </c>
      <c r="P1275" s="17">
        <f t="shared" si="41"/>
        <v>32.4</v>
      </c>
      <c r="Q1275" t="str">
        <f>A1275&amp;"-"&amp;B1275&amp;"-"&amp;D1275</f>
        <v>APRIL-CBA-L1</v>
      </c>
    </row>
    <row r="1276" spans="1:17" x14ac:dyDescent="0.25">
      <c r="A1276" t="s">
        <v>394</v>
      </c>
      <c r="B1276" s="13" t="s">
        <v>18</v>
      </c>
      <c r="C1276" s="13" t="s">
        <v>154</v>
      </c>
      <c r="D1276" s="14" t="s">
        <v>44</v>
      </c>
      <c r="E1276" s="13" t="s">
        <v>155</v>
      </c>
      <c r="F1276" s="13" t="s">
        <v>689</v>
      </c>
      <c r="G1276" s="13">
        <v>0.48</v>
      </c>
      <c r="H1276" s="15">
        <v>1499</v>
      </c>
      <c r="I1276" s="16">
        <v>719.52</v>
      </c>
      <c r="J1276" s="16">
        <v>854.70851674641153</v>
      </c>
      <c r="K1276" s="16">
        <v>-135.18851674641147</v>
      </c>
      <c r="L1276" s="13">
        <v>1.8</v>
      </c>
      <c r="M1276" s="13"/>
      <c r="N1276" s="17">
        <f t="shared" si="43"/>
        <v>2698.2000000000003</v>
      </c>
      <c r="O1276" s="17">
        <f t="shared" si="43"/>
        <v>0</v>
      </c>
      <c r="P1276" s="17">
        <f t="shared" si="41"/>
        <v>2698.2000000000003</v>
      </c>
      <c r="Q1276" t="str">
        <f>A1276&amp;"-"&amp;B1276&amp;"-"&amp;D1276</f>
        <v>APRIL-CBA-L1</v>
      </c>
    </row>
    <row r="1277" spans="1:17" x14ac:dyDescent="0.25">
      <c r="A1277" t="s">
        <v>394</v>
      </c>
      <c r="B1277" s="13" t="s">
        <v>18</v>
      </c>
      <c r="C1277" s="13" t="s">
        <v>154</v>
      </c>
      <c r="D1277" s="14" t="s">
        <v>44</v>
      </c>
      <c r="E1277" s="13" t="s">
        <v>155</v>
      </c>
      <c r="F1277" s="13" t="s">
        <v>690</v>
      </c>
      <c r="G1277" s="13">
        <v>0.48</v>
      </c>
      <c r="H1277" s="15">
        <v>233</v>
      </c>
      <c r="I1277" s="16">
        <v>111.84</v>
      </c>
      <c r="J1277" s="16">
        <v>89.141196380090506</v>
      </c>
      <c r="K1277" s="16">
        <v>22.698803619909498</v>
      </c>
      <c r="L1277" s="13">
        <v>1.8</v>
      </c>
      <c r="M1277" s="13"/>
      <c r="N1277" s="17">
        <f t="shared" si="43"/>
        <v>419.40000000000003</v>
      </c>
      <c r="O1277" s="17">
        <f t="shared" si="43"/>
        <v>0</v>
      </c>
      <c r="P1277" s="17">
        <f t="shared" si="41"/>
        <v>419.40000000000003</v>
      </c>
      <c r="Q1277" t="str">
        <f>A1277&amp;"-"&amp;B1277&amp;"-"&amp;D1277</f>
        <v>APRIL-CBA-L1</v>
      </c>
    </row>
    <row r="1278" spans="1:17" x14ac:dyDescent="0.25">
      <c r="A1278" t="s">
        <v>394</v>
      </c>
      <c r="B1278" s="13" t="s">
        <v>18</v>
      </c>
      <c r="C1278" s="13" t="s">
        <v>154</v>
      </c>
      <c r="D1278" s="14" t="s">
        <v>44</v>
      </c>
      <c r="E1278" s="13" t="s">
        <v>155</v>
      </c>
      <c r="F1278" s="13" t="s">
        <v>691</v>
      </c>
      <c r="G1278" s="13">
        <v>0.48</v>
      </c>
      <c r="H1278" s="15">
        <v>81</v>
      </c>
      <c r="I1278" s="16">
        <v>38.880000000000003</v>
      </c>
      <c r="J1278" s="16">
        <v>31.542352941176471</v>
      </c>
      <c r="K1278" s="16">
        <v>7.3376470588235314</v>
      </c>
      <c r="L1278" s="13">
        <v>1.8</v>
      </c>
      <c r="M1278" s="13"/>
      <c r="N1278" s="17">
        <f t="shared" si="43"/>
        <v>145.80000000000001</v>
      </c>
      <c r="O1278" s="17">
        <f t="shared" si="43"/>
        <v>0</v>
      </c>
      <c r="P1278" s="17">
        <f t="shared" si="41"/>
        <v>145.80000000000001</v>
      </c>
      <c r="Q1278" t="str">
        <f>A1278&amp;"-"&amp;B1278&amp;"-"&amp;D1278</f>
        <v>APRIL-CBA-L1</v>
      </c>
    </row>
    <row r="1279" spans="1:17" x14ac:dyDescent="0.25">
      <c r="A1279" t="s">
        <v>394</v>
      </c>
      <c r="B1279" s="13" t="s">
        <v>18</v>
      </c>
      <c r="C1279" s="13" t="s">
        <v>154</v>
      </c>
      <c r="D1279" s="14" t="s">
        <v>44</v>
      </c>
      <c r="E1279" s="13" t="s">
        <v>155</v>
      </c>
      <c r="F1279" s="13" t="s">
        <v>692</v>
      </c>
      <c r="G1279" s="13">
        <v>0.48</v>
      </c>
      <c r="H1279" s="15">
        <v>139</v>
      </c>
      <c r="I1279" s="16">
        <v>66.72</v>
      </c>
      <c r="J1279" s="16">
        <v>57.509969040247675</v>
      </c>
      <c r="K1279" s="16">
        <v>9.21003095975232</v>
      </c>
      <c r="L1279" s="13">
        <v>1.82</v>
      </c>
      <c r="M1279" s="13"/>
      <c r="N1279" s="17">
        <f t="shared" si="43"/>
        <v>252.98000000000002</v>
      </c>
      <c r="O1279" s="17">
        <f t="shared" si="43"/>
        <v>0</v>
      </c>
      <c r="P1279" s="17">
        <f t="shared" si="41"/>
        <v>252.98000000000002</v>
      </c>
      <c r="Q1279" t="str">
        <f>A1279&amp;"-"&amp;B1279&amp;"-"&amp;D1279</f>
        <v>APRIL-CBA-L1</v>
      </c>
    </row>
    <row r="1280" spans="1:17" x14ac:dyDescent="0.25">
      <c r="A1280" t="s">
        <v>394</v>
      </c>
      <c r="B1280" s="13" t="s">
        <v>18</v>
      </c>
      <c r="C1280" s="13" t="s">
        <v>154</v>
      </c>
      <c r="D1280" s="14" t="s">
        <v>44</v>
      </c>
      <c r="E1280" s="13" t="s">
        <v>155</v>
      </c>
      <c r="F1280" s="13" t="s">
        <v>693</v>
      </c>
      <c r="G1280" s="13">
        <v>0.48</v>
      </c>
      <c r="H1280" s="15">
        <v>441</v>
      </c>
      <c r="I1280" s="16">
        <v>211.68</v>
      </c>
      <c r="J1280" s="16">
        <v>171.73058823529411</v>
      </c>
      <c r="K1280" s="16">
        <v>39.9494117647059</v>
      </c>
      <c r="L1280" s="13">
        <v>1.82</v>
      </c>
      <c r="M1280" s="13"/>
      <c r="N1280" s="17">
        <f t="shared" si="43"/>
        <v>802.62</v>
      </c>
      <c r="O1280" s="17">
        <f t="shared" si="43"/>
        <v>0</v>
      </c>
      <c r="P1280" s="17">
        <f t="shared" si="41"/>
        <v>802.62</v>
      </c>
      <c r="Q1280" t="str">
        <f>A1280&amp;"-"&amp;B1280&amp;"-"&amp;D1280</f>
        <v>APRIL-CBA-L1</v>
      </c>
    </row>
    <row r="1281" spans="1:17" x14ac:dyDescent="0.25">
      <c r="A1281" t="s">
        <v>394</v>
      </c>
      <c r="B1281" s="13" t="s">
        <v>18</v>
      </c>
      <c r="C1281" s="13" t="s">
        <v>154</v>
      </c>
      <c r="D1281" s="14" t="s">
        <v>44</v>
      </c>
      <c r="E1281" s="13" t="s">
        <v>155</v>
      </c>
      <c r="F1281" s="13" t="s">
        <v>694</v>
      </c>
      <c r="G1281" s="13">
        <v>0.48</v>
      </c>
      <c r="H1281" s="15">
        <v>1586</v>
      </c>
      <c r="I1281" s="16">
        <v>761.28000000000009</v>
      </c>
      <c r="J1281" s="16">
        <v>690.00969884604558</v>
      </c>
      <c r="K1281" s="16">
        <v>71.270301153954478</v>
      </c>
      <c r="L1281" s="13">
        <v>1.82</v>
      </c>
      <c r="M1281" s="13"/>
      <c r="N1281" s="17">
        <f t="shared" si="43"/>
        <v>2886.52</v>
      </c>
      <c r="O1281" s="17">
        <f t="shared" si="43"/>
        <v>0</v>
      </c>
      <c r="P1281" s="17">
        <f t="shared" si="41"/>
        <v>2886.52</v>
      </c>
      <c r="Q1281" t="str">
        <f>A1281&amp;"-"&amp;B1281&amp;"-"&amp;D1281</f>
        <v>APRIL-CBA-L1</v>
      </c>
    </row>
    <row r="1282" spans="1:17" x14ac:dyDescent="0.25">
      <c r="A1282" t="s">
        <v>394</v>
      </c>
      <c r="B1282" s="13" t="s">
        <v>18</v>
      </c>
      <c r="C1282" s="13" t="s">
        <v>154</v>
      </c>
      <c r="D1282" s="14" t="s">
        <v>44</v>
      </c>
      <c r="E1282" s="13" t="s">
        <v>155</v>
      </c>
      <c r="F1282" s="13" t="s">
        <v>695</v>
      </c>
      <c r="G1282" s="13">
        <v>0.48</v>
      </c>
      <c r="H1282" s="15">
        <v>734</v>
      </c>
      <c r="I1282" s="16">
        <v>352.32</v>
      </c>
      <c r="J1282" s="16">
        <v>266.9840307692308</v>
      </c>
      <c r="K1282" s="16">
        <v>85.335969230769194</v>
      </c>
      <c r="L1282" s="13">
        <v>1.82</v>
      </c>
      <c r="M1282" s="13"/>
      <c r="N1282" s="17">
        <f t="shared" si="43"/>
        <v>1335.88</v>
      </c>
      <c r="O1282" s="17">
        <f t="shared" si="43"/>
        <v>0</v>
      </c>
      <c r="P1282" s="17">
        <f t="shared" ref="P1282:P1345" si="44">N1282+O1282</f>
        <v>1335.88</v>
      </c>
      <c r="Q1282" t="str">
        <f>A1282&amp;"-"&amp;B1282&amp;"-"&amp;D1282</f>
        <v>APRIL-CBA-L1</v>
      </c>
    </row>
    <row r="1283" spans="1:17" x14ac:dyDescent="0.25">
      <c r="A1283" t="s">
        <v>394</v>
      </c>
      <c r="B1283" s="13" t="s">
        <v>18</v>
      </c>
      <c r="C1283" s="13" t="s">
        <v>154</v>
      </c>
      <c r="D1283" s="14" t="s">
        <v>44</v>
      </c>
      <c r="E1283" s="13" t="s">
        <v>155</v>
      </c>
      <c r="F1283" s="13" t="s">
        <v>696</v>
      </c>
      <c r="G1283" s="13">
        <v>0.51</v>
      </c>
      <c r="H1283" s="15">
        <v>34</v>
      </c>
      <c r="I1283" s="16">
        <v>17.34</v>
      </c>
      <c r="J1283" s="16">
        <v>13.24</v>
      </c>
      <c r="K1283" s="16">
        <v>4.0999999999999996</v>
      </c>
      <c r="L1283" s="13">
        <v>1.48</v>
      </c>
      <c r="M1283" s="13"/>
      <c r="N1283" s="17">
        <f t="shared" si="43"/>
        <v>50.32</v>
      </c>
      <c r="O1283" s="17">
        <f t="shared" si="43"/>
        <v>0</v>
      </c>
      <c r="P1283" s="17">
        <f t="shared" si="44"/>
        <v>50.32</v>
      </c>
      <c r="Q1283" t="str">
        <f>A1283&amp;"-"&amp;B1283&amp;"-"&amp;D1283</f>
        <v>APRIL-CBA-L1</v>
      </c>
    </row>
    <row r="1284" spans="1:17" x14ac:dyDescent="0.25">
      <c r="A1284" t="s">
        <v>394</v>
      </c>
      <c r="B1284" s="13" t="s">
        <v>18</v>
      </c>
      <c r="C1284" s="13" t="s">
        <v>154</v>
      </c>
      <c r="D1284" s="14" t="s">
        <v>44</v>
      </c>
      <c r="E1284" s="13" t="s">
        <v>155</v>
      </c>
      <c r="F1284" s="13" t="s">
        <v>697</v>
      </c>
      <c r="G1284" s="13">
        <v>0.51</v>
      </c>
      <c r="H1284" s="15">
        <v>20</v>
      </c>
      <c r="I1284" s="16">
        <v>10.199999999999999</v>
      </c>
      <c r="J1284" s="16">
        <v>7.7882352941176469</v>
      </c>
      <c r="K1284" s="16">
        <v>2.4117647058823524</v>
      </c>
      <c r="L1284" s="13">
        <v>1.48</v>
      </c>
      <c r="M1284" s="13"/>
      <c r="N1284" s="17">
        <f t="shared" si="43"/>
        <v>29.6</v>
      </c>
      <c r="O1284" s="17">
        <f t="shared" si="43"/>
        <v>0</v>
      </c>
      <c r="P1284" s="17">
        <f t="shared" si="44"/>
        <v>29.6</v>
      </c>
      <c r="Q1284" t="str">
        <f>A1284&amp;"-"&amp;B1284&amp;"-"&amp;D1284</f>
        <v>APRIL-CBA-L1</v>
      </c>
    </row>
    <row r="1285" spans="1:17" x14ac:dyDescent="0.25">
      <c r="A1285" t="s">
        <v>394</v>
      </c>
      <c r="B1285" s="13" t="s">
        <v>18</v>
      </c>
      <c r="C1285" s="13" t="s">
        <v>154</v>
      </c>
      <c r="D1285" s="14" t="s">
        <v>44</v>
      </c>
      <c r="E1285" s="13" t="s">
        <v>155</v>
      </c>
      <c r="F1285" s="13" t="s">
        <v>698</v>
      </c>
      <c r="G1285" s="13">
        <v>0.51</v>
      </c>
      <c r="H1285" s="15">
        <v>91</v>
      </c>
      <c r="I1285" s="16">
        <v>46.41</v>
      </c>
      <c r="J1285" s="16">
        <v>35.436470588235295</v>
      </c>
      <c r="K1285" s="16">
        <v>10.973529411764702</v>
      </c>
      <c r="L1285" s="13">
        <v>1.48</v>
      </c>
      <c r="M1285" s="13"/>
      <c r="N1285" s="17">
        <f t="shared" si="43"/>
        <v>134.68</v>
      </c>
      <c r="O1285" s="17">
        <f t="shared" si="43"/>
        <v>0</v>
      </c>
      <c r="P1285" s="17">
        <f t="shared" si="44"/>
        <v>134.68</v>
      </c>
      <c r="Q1285" t="str">
        <f>A1285&amp;"-"&amp;B1285&amp;"-"&amp;D1285</f>
        <v>APRIL-CBA-L1</v>
      </c>
    </row>
    <row r="1286" spans="1:17" x14ac:dyDescent="0.25">
      <c r="A1286" t="s">
        <v>394</v>
      </c>
      <c r="B1286" s="13" t="s">
        <v>18</v>
      </c>
      <c r="C1286" s="13" t="s">
        <v>154</v>
      </c>
      <c r="D1286" s="14" t="s">
        <v>44</v>
      </c>
      <c r="E1286" s="13" t="s">
        <v>155</v>
      </c>
      <c r="F1286" s="13" t="s">
        <v>699</v>
      </c>
      <c r="G1286" s="13">
        <v>0.51</v>
      </c>
      <c r="H1286" s="15">
        <v>1963</v>
      </c>
      <c r="I1286" s="16">
        <v>1001.13</v>
      </c>
      <c r="J1286" s="16">
        <v>1352.3686781123934</v>
      </c>
      <c r="K1286" s="16">
        <v>-351.23867811239325</v>
      </c>
      <c r="L1286" s="13">
        <v>1.49</v>
      </c>
      <c r="M1286" s="13"/>
      <c r="N1286" s="17">
        <f t="shared" si="43"/>
        <v>2924.87</v>
      </c>
      <c r="O1286" s="17">
        <f t="shared" si="43"/>
        <v>0</v>
      </c>
      <c r="P1286" s="17">
        <f t="shared" si="44"/>
        <v>2924.87</v>
      </c>
      <c r="Q1286" t="str">
        <f>A1286&amp;"-"&amp;B1286&amp;"-"&amp;D1286</f>
        <v>APRIL-CBA-L1</v>
      </c>
    </row>
    <row r="1287" spans="1:17" x14ac:dyDescent="0.25">
      <c r="A1287" t="s">
        <v>394</v>
      </c>
      <c r="B1287" s="13" t="s">
        <v>18</v>
      </c>
      <c r="C1287" s="13" t="s">
        <v>43</v>
      </c>
      <c r="D1287" s="14" t="s">
        <v>44</v>
      </c>
      <c r="E1287" s="13" t="s">
        <v>45</v>
      </c>
      <c r="F1287" s="13" t="s">
        <v>700</v>
      </c>
      <c r="G1287" s="13">
        <v>2.95</v>
      </c>
      <c r="H1287" s="15">
        <v>470</v>
      </c>
      <c r="I1287" s="16">
        <v>1386.5</v>
      </c>
      <c r="J1287" s="16">
        <v>1134.8600000000001</v>
      </c>
      <c r="K1287" s="16">
        <v>251.64</v>
      </c>
      <c r="L1287" s="13"/>
      <c r="M1287" s="13">
        <v>3.13</v>
      </c>
      <c r="N1287" s="17">
        <f t="shared" si="43"/>
        <v>0</v>
      </c>
      <c r="O1287" s="17">
        <f t="shared" si="43"/>
        <v>1471.1</v>
      </c>
      <c r="P1287" s="17">
        <f t="shared" si="44"/>
        <v>1471.1</v>
      </c>
      <c r="Q1287" t="str">
        <f>A1287&amp;"-"&amp;B1287&amp;"-"&amp;D1287</f>
        <v>APRIL-CBA-L1</v>
      </c>
    </row>
    <row r="1288" spans="1:17" x14ac:dyDescent="0.25">
      <c r="A1288" t="s">
        <v>394</v>
      </c>
      <c r="B1288" s="13" t="s">
        <v>18</v>
      </c>
      <c r="C1288" s="13" t="s">
        <v>43</v>
      </c>
      <c r="D1288" s="14" t="s">
        <v>50</v>
      </c>
      <c r="E1288" s="13" t="s">
        <v>45</v>
      </c>
      <c r="F1288" s="13" t="s">
        <v>700</v>
      </c>
      <c r="G1288" s="13">
        <v>2.95</v>
      </c>
      <c r="H1288" s="15">
        <v>470</v>
      </c>
      <c r="I1288" s="16">
        <v>1386.5</v>
      </c>
      <c r="J1288" s="16">
        <v>1134.8600000000001</v>
      </c>
      <c r="K1288" s="16">
        <v>251.64</v>
      </c>
      <c r="L1288" s="13"/>
      <c r="M1288" s="13">
        <v>3.13</v>
      </c>
      <c r="N1288" s="17">
        <f t="shared" si="43"/>
        <v>0</v>
      </c>
      <c r="O1288" s="17">
        <f t="shared" si="43"/>
        <v>1471.1</v>
      </c>
      <c r="P1288" s="17">
        <f t="shared" si="44"/>
        <v>1471.1</v>
      </c>
      <c r="Q1288" t="str">
        <f>A1288&amp;"-"&amp;B1288&amp;"-"&amp;D1288</f>
        <v>APRIL-CBA-L2</v>
      </c>
    </row>
    <row r="1289" spans="1:17" x14ac:dyDescent="0.25">
      <c r="A1289" t="s">
        <v>394</v>
      </c>
      <c r="B1289" s="13" t="s">
        <v>18</v>
      </c>
      <c r="C1289" s="13" t="s">
        <v>43</v>
      </c>
      <c r="D1289" s="14" t="s">
        <v>50</v>
      </c>
      <c r="E1289" s="13" t="s">
        <v>179</v>
      </c>
      <c r="F1289" s="13" t="s">
        <v>524</v>
      </c>
      <c r="G1289" s="13">
        <v>1.5399999999999996</v>
      </c>
      <c r="H1289" s="15">
        <v>7152</v>
      </c>
      <c r="I1289" s="16">
        <v>11014.08</v>
      </c>
      <c r="J1289" s="16">
        <v>12010.580000000002</v>
      </c>
      <c r="K1289" s="16">
        <v>-996.50000000000011</v>
      </c>
      <c r="L1289" s="13"/>
      <c r="M1289" s="13">
        <v>1.65</v>
      </c>
      <c r="N1289" s="17">
        <f t="shared" si="43"/>
        <v>0</v>
      </c>
      <c r="O1289" s="17">
        <f t="shared" si="43"/>
        <v>11800.8</v>
      </c>
      <c r="P1289" s="17">
        <f t="shared" si="44"/>
        <v>11800.8</v>
      </c>
      <c r="Q1289" t="str">
        <f>A1289&amp;"-"&amp;B1289&amp;"-"&amp;D1289</f>
        <v>APRIL-CBA-L2</v>
      </c>
    </row>
    <row r="1290" spans="1:17" x14ac:dyDescent="0.25">
      <c r="A1290" t="s">
        <v>394</v>
      </c>
      <c r="B1290" s="13" t="s">
        <v>18</v>
      </c>
      <c r="C1290" s="13" t="s">
        <v>43</v>
      </c>
      <c r="D1290" s="14" t="s">
        <v>56</v>
      </c>
      <c r="E1290" s="13" t="s">
        <v>179</v>
      </c>
      <c r="F1290" s="13" t="s">
        <v>701</v>
      </c>
      <c r="G1290" s="13">
        <v>1.54</v>
      </c>
      <c r="H1290" s="15">
        <v>892</v>
      </c>
      <c r="I1290" s="16">
        <v>1373.6799999999998</v>
      </c>
      <c r="J1290" s="16">
        <v>1241.6822156985629</v>
      </c>
      <c r="K1290" s="16">
        <v>131.99778430143709</v>
      </c>
      <c r="L1290" s="13"/>
      <c r="M1290" s="13">
        <v>1.65</v>
      </c>
      <c r="N1290" s="17">
        <f t="shared" si="43"/>
        <v>0</v>
      </c>
      <c r="O1290" s="17">
        <f t="shared" si="43"/>
        <v>1471.8</v>
      </c>
      <c r="P1290" s="17">
        <f t="shared" si="44"/>
        <v>1471.8</v>
      </c>
      <c r="Q1290" t="str">
        <f>A1290&amp;"-"&amp;B1290&amp;"-"&amp;D1290</f>
        <v>APRIL-CBA-L3</v>
      </c>
    </row>
    <row r="1291" spans="1:17" x14ac:dyDescent="0.25">
      <c r="A1291" t="s">
        <v>394</v>
      </c>
      <c r="B1291" s="13" t="s">
        <v>18</v>
      </c>
      <c r="C1291" s="13" t="s">
        <v>43</v>
      </c>
      <c r="D1291" s="14" t="s">
        <v>56</v>
      </c>
      <c r="E1291" s="13" t="s">
        <v>179</v>
      </c>
      <c r="F1291" s="13" t="s">
        <v>702</v>
      </c>
      <c r="G1291" s="13">
        <v>1.54</v>
      </c>
      <c r="H1291" s="15">
        <v>2392</v>
      </c>
      <c r="I1291" s="16">
        <v>3683.68</v>
      </c>
      <c r="J1291" s="16">
        <v>3879.1382707171992</v>
      </c>
      <c r="K1291" s="16">
        <v>-195.45827071719955</v>
      </c>
      <c r="L1291" s="13"/>
      <c r="M1291" s="13">
        <v>1.65</v>
      </c>
      <c r="N1291" s="17">
        <f t="shared" si="43"/>
        <v>0</v>
      </c>
      <c r="O1291" s="17">
        <f t="shared" si="43"/>
        <v>3946.7999999999997</v>
      </c>
      <c r="P1291" s="17">
        <f t="shared" si="44"/>
        <v>3946.7999999999997</v>
      </c>
      <c r="Q1291" t="str">
        <f>A1291&amp;"-"&amp;B1291&amp;"-"&amp;D1291</f>
        <v>APRIL-CBA-L3</v>
      </c>
    </row>
    <row r="1292" spans="1:17" x14ac:dyDescent="0.25">
      <c r="A1292" t="s">
        <v>394</v>
      </c>
      <c r="B1292" s="13" t="s">
        <v>18</v>
      </c>
      <c r="C1292" s="13" t="s">
        <v>43</v>
      </c>
      <c r="D1292" s="14" t="s">
        <v>56</v>
      </c>
      <c r="E1292" s="13" t="s">
        <v>179</v>
      </c>
      <c r="F1292" s="13" t="s">
        <v>703</v>
      </c>
      <c r="G1292" s="13">
        <v>1.54</v>
      </c>
      <c r="H1292" s="15">
        <v>1344</v>
      </c>
      <c r="I1292" s="16">
        <v>2069.7600000000002</v>
      </c>
      <c r="J1292" s="16">
        <v>2267.2723004694835</v>
      </c>
      <c r="K1292" s="16">
        <v>-197.51230046948353</v>
      </c>
      <c r="L1292" s="13"/>
      <c r="M1292" s="13">
        <v>1.65</v>
      </c>
      <c r="N1292" s="17">
        <f t="shared" si="43"/>
        <v>0</v>
      </c>
      <c r="O1292" s="17">
        <f t="shared" si="43"/>
        <v>2217.6</v>
      </c>
      <c r="P1292" s="17">
        <f t="shared" si="44"/>
        <v>2217.6</v>
      </c>
      <c r="Q1292" t="str">
        <f>A1292&amp;"-"&amp;B1292&amp;"-"&amp;D1292</f>
        <v>APRIL-CBA-L3</v>
      </c>
    </row>
    <row r="1293" spans="1:17" x14ac:dyDescent="0.25">
      <c r="A1293" t="s">
        <v>394</v>
      </c>
      <c r="B1293" s="13" t="s">
        <v>18</v>
      </c>
      <c r="C1293" s="13" t="s">
        <v>43</v>
      </c>
      <c r="D1293" s="14" t="s">
        <v>56</v>
      </c>
      <c r="E1293" s="13" t="s">
        <v>179</v>
      </c>
      <c r="F1293" s="13" t="s">
        <v>704</v>
      </c>
      <c r="G1293" s="13">
        <v>1.5400000000000003</v>
      </c>
      <c r="H1293" s="15">
        <v>2258</v>
      </c>
      <c r="I1293" s="16">
        <v>3477.32</v>
      </c>
      <c r="J1293" s="16">
        <v>4005.1498044001719</v>
      </c>
      <c r="K1293" s="16">
        <v>-527.82980440017161</v>
      </c>
      <c r="L1293" s="13"/>
      <c r="M1293" s="13">
        <v>1.65</v>
      </c>
      <c r="N1293" s="17">
        <f t="shared" si="43"/>
        <v>0</v>
      </c>
      <c r="O1293" s="17">
        <f t="shared" si="43"/>
        <v>3725.7</v>
      </c>
      <c r="P1293" s="17">
        <f t="shared" si="44"/>
        <v>3725.7</v>
      </c>
      <c r="Q1293" t="str">
        <f>A1293&amp;"-"&amp;B1293&amp;"-"&amp;D1293</f>
        <v>APRIL-CBA-L3</v>
      </c>
    </row>
    <row r="1294" spans="1:17" x14ac:dyDescent="0.25">
      <c r="A1294" t="s">
        <v>394</v>
      </c>
      <c r="B1294" s="13" t="s">
        <v>18</v>
      </c>
      <c r="C1294" s="13" t="s">
        <v>43</v>
      </c>
      <c r="D1294" s="14" t="s">
        <v>56</v>
      </c>
      <c r="E1294" s="13" t="s">
        <v>179</v>
      </c>
      <c r="F1294" s="13" t="s">
        <v>705</v>
      </c>
      <c r="G1294" s="13">
        <v>1.54</v>
      </c>
      <c r="H1294" s="15">
        <v>187</v>
      </c>
      <c r="I1294" s="16">
        <v>287.98</v>
      </c>
      <c r="J1294" s="16">
        <v>207.08388758782201</v>
      </c>
      <c r="K1294" s="16">
        <v>80.896112412178013</v>
      </c>
      <c r="L1294" s="13"/>
      <c r="M1294" s="13">
        <v>1.65</v>
      </c>
      <c r="N1294" s="17">
        <f t="shared" si="43"/>
        <v>0</v>
      </c>
      <c r="O1294" s="17">
        <f t="shared" si="43"/>
        <v>308.55</v>
      </c>
      <c r="P1294" s="17">
        <f t="shared" si="44"/>
        <v>308.55</v>
      </c>
      <c r="Q1294" t="str">
        <f>A1294&amp;"-"&amp;B1294&amp;"-"&amp;D1294</f>
        <v>APRIL-CBA-L3</v>
      </c>
    </row>
    <row r="1295" spans="1:17" x14ac:dyDescent="0.25">
      <c r="A1295" t="s">
        <v>394</v>
      </c>
      <c r="B1295" s="13" t="s">
        <v>18</v>
      </c>
      <c r="C1295" s="13" t="s">
        <v>43</v>
      </c>
      <c r="D1295" s="14" t="s">
        <v>56</v>
      </c>
      <c r="E1295" s="13" t="s">
        <v>179</v>
      </c>
      <c r="F1295" s="13" t="s">
        <v>527</v>
      </c>
      <c r="G1295" s="13">
        <v>1.54</v>
      </c>
      <c r="H1295" s="15">
        <v>1005</v>
      </c>
      <c r="I1295" s="16">
        <v>1547.6999999999998</v>
      </c>
      <c r="J1295" s="16">
        <v>1545.1135211267606</v>
      </c>
      <c r="K1295" s="16">
        <v>2.5864788732394572</v>
      </c>
      <c r="L1295" s="13"/>
      <c r="M1295" s="13">
        <v>1.65</v>
      </c>
      <c r="N1295" s="17">
        <f t="shared" si="43"/>
        <v>0</v>
      </c>
      <c r="O1295" s="17">
        <f t="shared" si="43"/>
        <v>1658.25</v>
      </c>
      <c r="P1295" s="17">
        <f t="shared" si="44"/>
        <v>1658.25</v>
      </c>
      <c r="Q1295" t="str">
        <f>A1295&amp;"-"&amp;B1295&amp;"-"&amp;D1295</f>
        <v>APRIL-CBA-L3</v>
      </c>
    </row>
    <row r="1296" spans="1:17" x14ac:dyDescent="0.25">
      <c r="A1296" t="s">
        <v>394</v>
      </c>
      <c r="B1296" s="13" t="s">
        <v>19</v>
      </c>
      <c r="C1296" s="13" t="s">
        <v>60</v>
      </c>
      <c r="D1296" s="14" t="s">
        <v>50</v>
      </c>
      <c r="E1296" s="13" t="s">
        <v>61</v>
      </c>
      <c r="F1296" s="13" t="s">
        <v>530</v>
      </c>
      <c r="G1296" s="13">
        <v>1.1000000000000001</v>
      </c>
      <c r="H1296" s="15">
        <v>885</v>
      </c>
      <c r="I1296" s="16">
        <v>973.5</v>
      </c>
      <c r="J1296" s="16">
        <v>1287.3539325842696</v>
      </c>
      <c r="K1296" s="16">
        <v>-313.85393258426961</v>
      </c>
      <c r="L1296" s="13">
        <v>2.61</v>
      </c>
      <c r="M1296" s="13"/>
      <c r="N1296" s="17">
        <f t="shared" si="43"/>
        <v>2309.85</v>
      </c>
      <c r="O1296" s="17">
        <f t="shared" si="43"/>
        <v>0</v>
      </c>
      <c r="P1296" s="17">
        <f t="shared" si="44"/>
        <v>2309.85</v>
      </c>
      <c r="Q1296" t="str">
        <f>A1296&amp;"-"&amp;B1296&amp;"-"&amp;D1296</f>
        <v>APRIL-CHW-L2</v>
      </c>
    </row>
    <row r="1297" spans="1:17" x14ac:dyDescent="0.25">
      <c r="A1297" t="s">
        <v>394</v>
      </c>
      <c r="B1297" s="13" t="s">
        <v>19</v>
      </c>
      <c r="C1297" s="13" t="s">
        <v>60</v>
      </c>
      <c r="D1297" s="14" t="s">
        <v>50</v>
      </c>
      <c r="E1297" s="13" t="s">
        <v>77</v>
      </c>
      <c r="F1297" s="13" t="s">
        <v>531</v>
      </c>
      <c r="G1297" s="13">
        <v>4.28</v>
      </c>
      <c r="H1297" s="15">
        <v>48</v>
      </c>
      <c r="I1297" s="16">
        <v>205.44</v>
      </c>
      <c r="J1297" s="16">
        <v>1242</v>
      </c>
      <c r="K1297" s="16">
        <v>-1036.56</v>
      </c>
      <c r="L1297" s="13">
        <v>8.34</v>
      </c>
      <c r="M1297" s="13"/>
      <c r="N1297" s="17">
        <f t="shared" si="43"/>
        <v>400.32</v>
      </c>
      <c r="O1297" s="17">
        <f t="shared" si="43"/>
        <v>0</v>
      </c>
      <c r="P1297" s="17">
        <f t="shared" si="44"/>
        <v>400.32</v>
      </c>
      <c r="Q1297" t="str">
        <f>A1297&amp;"-"&amp;B1297&amp;"-"&amp;D1297</f>
        <v>APRIL-CHW-L2</v>
      </c>
    </row>
    <row r="1298" spans="1:17" x14ac:dyDescent="0.25">
      <c r="A1298" t="s">
        <v>394</v>
      </c>
      <c r="B1298" s="13" t="s">
        <v>19</v>
      </c>
      <c r="C1298" s="13" t="s">
        <v>286</v>
      </c>
      <c r="D1298" s="14" t="s">
        <v>56</v>
      </c>
      <c r="E1298" s="13" t="s">
        <v>534</v>
      </c>
      <c r="F1298" s="13" t="s">
        <v>535</v>
      </c>
      <c r="G1298" s="13">
        <v>2.75</v>
      </c>
      <c r="H1298" s="15">
        <v>37</v>
      </c>
      <c r="I1298" s="16">
        <v>101.75</v>
      </c>
      <c r="J1298" s="16">
        <v>98.703849056603772</v>
      </c>
      <c r="K1298" s="16">
        <v>3.0461509433962313</v>
      </c>
      <c r="L1298" s="13"/>
      <c r="M1298" s="13">
        <v>2.75</v>
      </c>
      <c r="N1298" s="17">
        <f t="shared" si="43"/>
        <v>0</v>
      </c>
      <c r="O1298" s="17">
        <f t="shared" si="43"/>
        <v>101.75</v>
      </c>
      <c r="P1298" s="17">
        <f t="shared" si="44"/>
        <v>101.75</v>
      </c>
      <c r="Q1298" t="str">
        <f>A1298&amp;"-"&amp;B1298&amp;"-"&amp;D1298</f>
        <v>APRIL-CHW-L3</v>
      </c>
    </row>
    <row r="1299" spans="1:17" x14ac:dyDescent="0.25">
      <c r="A1299" t="s">
        <v>394</v>
      </c>
      <c r="B1299" s="13" t="s">
        <v>19</v>
      </c>
      <c r="C1299" s="13" t="s">
        <v>286</v>
      </c>
      <c r="D1299" s="14" t="s">
        <v>56</v>
      </c>
      <c r="E1299" s="13" t="s">
        <v>534</v>
      </c>
      <c r="F1299" s="13" t="s">
        <v>536</v>
      </c>
      <c r="G1299" s="13">
        <v>2.75</v>
      </c>
      <c r="H1299" s="15">
        <v>460</v>
      </c>
      <c r="I1299" s="16">
        <v>1265</v>
      </c>
      <c r="J1299" s="16">
        <v>1143.5679282372255</v>
      </c>
      <c r="K1299" s="16">
        <v>121.4320717627745</v>
      </c>
      <c r="L1299" s="13"/>
      <c r="M1299" s="13">
        <v>2.75</v>
      </c>
      <c r="N1299" s="17">
        <f t="shared" si="43"/>
        <v>0</v>
      </c>
      <c r="O1299" s="17">
        <f t="shared" si="43"/>
        <v>1265</v>
      </c>
      <c r="P1299" s="17">
        <f t="shared" si="44"/>
        <v>1265</v>
      </c>
      <c r="Q1299" t="str">
        <f>A1299&amp;"-"&amp;B1299&amp;"-"&amp;D1299</f>
        <v>APRIL-CHW-L3</v>
      </c>
    </row>
    <row r="1300" spans="1:17" x14ac:dyDescent="0.25">
      <c r="A1300" t="s">
        <v>394</v>
      </c>
      <c r="B1300" s="13" t="s">
        <v>19</v>
      </c>
      <c r="C1300" s="13" t="s">
        <v>286</v>
      </c>
      <c r="D1300" s="14" t="s">
        <v>56</v>
      </c>
      <c r="E1300" s="13" t="s">
        <v>382</v>
      </c>
      <c r="F1300" s="13" t="s">
        <v>706</v>
      </c>
      <c r="G1300" s="13">
        <v>2.5499999999999998</v>
      </c>
      <c r="H1300" s="15">
        <v>1006</v>
      </c>
      <c r="I1300" s="16">
        <v>2565.3000000000002</v>
      </c>
      <c r="J1300" s="16">
        <v>1183.5201714051996</v>
      </c>
      <c r="K1300" s="16">
        <v>1381.7798285948004</v>
      </c>
      <c r="L1300" s="13"/>
      <c r="M1300" s="13">
        <v>2.5499999999999998</v>
      </c>
      <c r="N1300" s="17">
        <f t="shared" si="43"/>
        <v>0</v>
      </c>
      <c r="O1300" s="17">
        <f t="shared" si="43"/>
        <v>2565.2999999999997</v>
      </c>
      <c r="P1300" s="17">
        <f t="shared" si="44"/>
        <v>2565.2999999999997</v>
      </c>
      <c r="Q1300" t="str">
        <f>A1300&amp;"-"&amp;B1300&amp;"-"&amp;D1300</f>
        <v>APRIL-CHW-L3</v>
      </c>
    </row>
    <row r="1301" spans="1:17" x14ac:dyDescent="0.25">
      <c r="A1301" t="s">
        <v>394</v>
      </c>
      <c r="B1301" s="13" t="s">
        <v>19</v>
      </c>
      <c r="C1301" s="13" t="s">
        <v>70</v>
      </c>
      <c r="D1301" s="14" t="s">
        <v>44</v>
      </c>
      <c r="E1301" s="13" t="s">
        <v>77</v>
      </c>
      <c r="F1301" s="13" t="s">
        <v>707</v>
      </c>
      <c r="G1301" s="13">
        <v>3.7</v>
      </c>
      <c r="H1301" s="15">
        <v>98</v>
      </c>
      <c r="I1301" s="16">
        <v>362.6</v>
      </c>
      <c r="J1301" s="16">
        <v>174.87931034482759</v>
      </c>
      <c r="K1301" s="16">
        <v>187.72068965517244</v>
      </c>
      <c r="L1301" s="13">
        <v>7.18</v>
      </c>
      <c r="M1301" s="13"/>
      <c r="N1301" s="17">
        <f t="shared" si="43"/>
        <v>703.64</v>
      </c>
      <c r="O1301" s="17">
        <f t="shared" si="43"/>
        <v>0</v>
      </c>
      <c r="P1301" s="17">
        <f t="shared" si="44"/>
        <v>703.64</v>
      </c>
      <c r="Q1301" t="str">
        <f>A1301&amp;"-"&amp;B1301&amp;"-"&amp;D1301</f>
        <v>APRIL-CHW-L1</v>
      </c>
    </row>
    <row r="1302" spans="1:17" x14ac:dyDescent="0.25">
      <c r="A1302" t="s">
        <v>394</v>
      </c>
      <c r="B1302" s="13" t="s">
        <v>19</v>
      </c>
      <c r="C1302" s="13" t="s">
        <v>70</v>
      </c>
      <c r="D1302" s="14" t="s">
        <v>44</v>
      </c>
      <c r="E1302" s="13" t="s">
        <v>77</v>
      </c>
      <c r="F1302" s="13" t="s">
        <v>537</v>
      </c>
      <c r="G1302" s="13">
        <v>3.6999999999999997</v>
      </c>
      <c r="H1302" s="15">
        <v>1982</v>
      </c>
      <c r="I1302" s="16">
        <v>7333.4</v>
      </c>
      <c r="J1302" s="16">
        <v>3903.4285714285716</v>
      </c>
      <c r="K1302" s="16">
        <v>3429.9714285714281</v>
      </c>
      <c r="L1302" s="13">
        <v>8.31</v>
      </c>
      <c r="M1302" s="13"/>
      <c r="N1302" s="17">
        <f t="shared" si="43"/>
        <v>16470.420000000002</v>
      </c>
      <c r="O1302" s="17">
        <f t="shared" si="43"/>
        <v>0</v>
      </c>
      <c r="P1302" s="17">
        <f t="shared" si="44"/>
        <v>16470.420000000002</v>
      </c>
      <c r="Q1302" t="str">
        <f>A1302&amp;"-"&amp;B1302&amp;"-"&amp;D1302</f>
        <v>APRIL-CHW-L1</v>
      </c>
    </row>
    <row r="1303" spans="1:17" x14ac:dyDescent="0.25">
      <c r="A1303" t="s">
        <v>394</v>
      </c>
      <c r="B1303" s="13" t="s">
        <v>19</v>
      </c>
      <c r="C1303" s="13" t="s">
        <v>70</v>
      </c>
      <c r="D1303" s="14" t="s">
        <v>44</v>
      </c>
      <c r="E1303" s="13" t="s">
        <v>77</v>
      </c>
      <c r="F1303" s="13" t="s">
        <v>708</v>
      </c>
      <c r="G1303" s="13">
        <v>3.7</v>
      </c>
      <c r="H1303" s="15">
        <v>425</v>
      </c>
      <c r="I1303" s="16">
        <v>1572.5</v>
      </c>
      <c r="J1303" s="16">
        <v>711.24384236453193</v>
      </c>
      <c r="K1303" s="16">
        <v>861.25615763546807</v>
      </c>
      <c r="L1303" s="13">
        <v>7.81</v>
      </c>
      <c r="M1303" s="13"/>
      <c r="N1303" s="17">
        <f t="shared" si="43"/>
        <v>3319.25</v>
      </c>
      <c r="O1303" s="17">
        <f t="shared" si="43"/>
        <v>0</v>
      </c>
      <c r="P1303" s="17">
        <f t="shared" si="44"/>
        <v>3319.25</v>
      </c>
      <c r="Q1303" t="str">
        <f>A1303&amp;"-"&amp;B1303&amp;"-"&amp;D1303</f>
        <v>APRIL-CHW-L1</v>
      </c>
    </row>
    <row r="1304" spans="1:17" x14ac:dyDescent="0.25">
      <c r="A1304" t="s">
        <v>394</v>
      </c>
      <c r="B1304" s="13" t="s">
        <v>19</v>
      </c>
      <c r="C1304" s="13" t="s">
        <v>70</v>
      </c>
      <c r="D1304" s="14" t="s">
        <v>44</v>
      </c>
      <c r="E1304" s="13" t="s">
        <v>77</v>
      </c>
      <c r="F1304" s="13" t="s">
        <v>709</v>
      </c>
      <c r="G1304" s="13">
        <v>3.7</v>
      </c>
      <c r="H1304" s="15">
        <v>270</v>
      </c>
      <c r="I1304" s="16">
        <v>999</v>
      </c>
      <c r="J1304" s="16">
        <v>714.8201438848921</v>
      </c>
      <c r="K1304" s="16">
        <v>284.17985611510795</v>
      </c>
      <c r="L1304" s="13">
        <v>8.2100000000000009</v>
      </c>
      <c r="M1304" s="13"/>
      <c r="N1304" s="17">
        <f t="shared" si="43"/>
        <v>2216.7000000000003</v>
      </c>
      <c r="O1304" s="17">
        <f t="shared" si="43"/>
        <v>0</v>
      </c>
      <c r="P1304" s="17">
        <f t="shared" si="44"/>
        <v>2216.7000000000003</v>
      </c>
      <c r="Q1304" t="str">
        <f>A1304&amp;"-"&amp;B1304&amp;"-"&amp;D1304</f>
        <v>APRIL-CHW-L1</v>
      </c>
    </row>
    <row r="1305" spans="1:17" x14ac:dyDescent="0.25">
      <c r="A1305" t="s">
        <v>394</v>
      </c>
      <c r="B1305" s="13" t="s">
        <v>19</v>
      </c>
      <c r="C1305" s="13" t="s">
        <v>70</v>
      </c>
      <c r="D1305" s="14" t="s">
        <v>44</v>
      </c>
      <c r="E1305" s="13" t="s">
        <v>77</v>
      </c>
      <c r="F1305" s="13" t="s">
        <v>710</v>
      </c>
      <c r="G1305" s="13">
        <v>3.7</v>
      </c>
      <c r="H1305" s="15">
        <v>1244</v>
      </c>
      <c r="I1305" s="16">
        <v>4602.8</v>
      </c>
      <c r="J1305" s="16">
        <v>2568.628131977177</v>
      </c>
      <c r="K1305" s="16">
        <v>2034.1718680228234</v>
      </c>
      <c r="L1305" s="13">
        <v>7.6</v>
      </c>
      <c r="M1305" s="13"/>
      <c r="N1305" s="17">
        <f t="shared" si="43"/>
        <v>9454.4</v>
      </c>
      <c r="O1305" s="17">
        <f t="shared" si="43"/>
        <v>0</v>
      </c>
      <c r="P1305" s="17">
        <f t="shared" si="44"/>
        <v>9454.4</v>
      </c>
      <c r="Q1305" t="str">
        <f>A1305&amp;"-"&amp;B1305&amp;"-"&amp;D1305</f>
        <v>APRIL-CHW-L1</v>
      </c>
    </row>
    <row r="1306" spans="1:17" x14ac:dyDescent="0.25">
      <c r="A1306" t="s">
        <v>394</v>
      </c>
      <c r="B1306" s="13" t="s">
        <v>19</v>
      </c>
      <c r="C1306" s="13" t="s">
        <v>70</v>
      </c>
      <c r="D1306" s="14" t="s">
        <v>50</v>
      </c>
      <c r="E1306" s="13" t="s">
        <v>73</v>
      </c>
      <c r="F1306" s="13" t="s">
        <v>711</v>
      </c>
      <c r="G1306" s="13">
        <v>4.5</v>
      </c>
      <c r="H1306" s="15">
        <v>1288</v>
      </c>
      <c r="I1306" s="16">
        <v>5796</v>
      </c>
      <c r="J1306" s="16">
        <v>4114.9432391853206</v>
      </c>
      <c r="K1306" s="16">
        <v>1681.0567608146796</v>
      </c>
      <c r="L1306" s="13">
        <v>10.82</v>
      </c>
      <c r="M1306" s="13"/>
      <c r="N1306" s="17">
        <f t="shared" si="43"/>
        <v>13936.16</v>
      </c>
      <c r="O1306" s="17">
        <f t="shared" si="43"/>
        <v>0</v>
      </c>
      <c r="P1306" s="17">
        <f t="shared" si="44"/>
        <v>13936.16</v>
      </c>
      <c r="Q1306" t="str">
        <f>A1306&amp;"-"&amp;B1306&amp;"-"&amp;D1306</f>
        <v>APRIL-CHW-L2</v>
      </c>
    </row>
    <row r="1307" spans="1:17" x14ac:dyDescent="0.25">
      <c r="A1307" t="s">
        <v>394</v>
      </c>
      <c r="B1307" s="13" t="s">
        <v>19</v>
      </c>
      <c r="C1307" s="13" t="s">
        <v>70</v>
      </c>
      <c r="D1307" s="14" t="s">
        <v>50</v>
      </c>
      <c r="E1307" s="13" t="s">
        <v>73</v>
      </c>
      <c r="F1307" s="13" t="s">
        <v>712</v>
      </c>
      <c r="G1307" s="13">
        <v>4.5</v>
      </c>
      <c r="H1307" s="15">
        <v>255</v>
      </c>
      <c r="I1307" s="16">
        <v>1147.5</v>
      </c>
      <c r="J1307" s="16">
        <v>807.70282823040998</v>
      </c>
      <c r="K1307" s="16">
        <v>339.79717176959008</v>
      </c>
      <c r="L1307" s="13">
        <v>10.42</v>
      </c>
      <c r="M1307" s="13"/>
      <c r="N1307" s="17">
        <f t="shared" si="43"/>
        <v>2657.1</v>
      </c>
      <c r="O1307" s="17">
        <f t="shared" si="43"/>
        <v>0</v>
      </c>
      <c r="P1307" s="17">
        <f t="shared" si="44"/>
        <v>2657.1</v>
      </c>
      <c r="Q1307" t="str">
        <f>A1307&amp;"-"&amp;B1307&amp;"-"&amp;D1307</f>
        <v>APRIL-CHW-L2</v>
      </c>
    </row>
    <row r="1308" spans="1:17" x14ac:dyDescent="0.25">
      <c r="A1308" t="s">
        <v>394</v>
      </c>
      <c r="B1308" s="13" t="s">
        <v>19</v>
      </c>
      <c r="C1308" s="13" t="s">
        <v>70</v>
      </c>
      <c r="D1308" s="14" t="s">
        <v>56</v>
      </c>
      <c r="E1308" s="13" t="s">
        <v>713</v>
      </c>
      <c r="F1308" s="13" t="s">
        <v>714</v>
      </c>
      <c r="G1308" s="13">
        <v>1.75</v>
      </c>
      <c r="H1308" s="15">
        <v>5704</v>
      </c>
      <c r="I1308" s="16">
        <v>9982</v>
      </c>
      <c r="J1308" s="16">
        <v>6268.2080513009714</v>
      </c>
      <c r="K1308" s="16">
        <v>3713.7919486990286</v>
      </c>
      <c r="L1308" s="13">
        <v>4.07</v>
      </c>
      <c r="M1308" s="13"/>
      <c r="N1308" s="17">
        <f t="shared" si="43"/>
        <v>23215.280000000002</v>
      </c>
      <c r="O1308" s="17">
        <f t="shared" si="43"/>
        <v>0</v>
      </c>
      <c r="P1308" s="17">
        <f t="shared" si="44"/>
        <v>23215.280000000002</v>
      </c>
      <c r="Q1308" t="str">
        <f>A1308&amp;"-"&amp;B1308&amp;"-"&amp;D1308</f>
        <v>APRIL-CHW-L3</v>
      </c>
    </row>
    <row r="1309" spans="1:17" x14ac:dyDescent="0.25">
      <c r="A1309" t="s">
        <v>394</v>
      </c>
      <c r="B1309" s="13" t="s">
        <v>20</v>
      </c>
      <c r="C1309" s="13" t="s">
        <v>286</v>
      </c>
      <c r="D1309" s="14" t="s">
        <v>56</v>
      </c>
      <c r="E1309" s="13" t="s">
        <v>71</v>
      </c>
      <c r="F1309" s="13" t="s">
        <v>538</v>
      </c>
      <c r="G1309" s="13">
        <v>7.25</v>
      </c>
      <c r="H1309" s="15">
        <v>58</v>
      </c>
      <c r="I1309" s="16">
        <v>420.5</v>
      </c>
      <c r="J1309" s="16">
        <v>900.0545454545454</v>
      </c>
      <c r="K1309" s="16">
        <v>-479.5545454545454</v>
      </c>
      <c r="L1309" s="13"/>
      <c r="M1309" s="13">
        <v>7.25</v>
      </c>
      <c r="N1309" s="17">
        <f t="shared" si="43"/>
        <v>0</v>
      </c>
      <c r="O1309" s="17">
        <f t="shared" si="43"/>
        <v>420.5</v>
      </c>
      <c r="P1309" s="17">
        <f t="shared" si="44"/>
        <v>420.5</v>
      </c>
      <c r="Q1309" t="str">
        <f>A1309&amp;"-"&amp;B1309&amp;"-"&amp;D1309</f>
        <v>APRIL-CJL-L3</v>
      </c>
    </row>
    <row r="1310" spans="1:17" x14ac:dyDescent="0.25">
      <c r="A1310" t="s">
        <v>394</v>
      </c>
      <c r="B1310" s="13" t="s">
        <v>20</v>
      </c>
      <c r="C1310" s="13" t="s">
        <v>286</v>
      </c>
      <c r="D1310" s="14" t="s">
        <v>56</v>
      </c>
      <c r="E1310" s="13" t="s">
        <v>71</v>
      </c>
      <c r="F1310" s="13" t="s">
        <v>539</v>
      </c>
      <c r="G1310" s="13">
        <v>7.25</v>
      </c>
      <c r="H1310" s="15">
        <v>356</v>
      </c>
      <c r="I1310" s="16">
        <v>2581</v>
      </c>
      <c r="J1310" s="16">
        <v>4944.1080161218088</v>
      </c>
      <c r="K1310" s="16">
        <v>-2363.1080161218092</v>
      </c>
      <c r="L1310" s="13"/>
      <c r="M1310" s="13">
        <v>7.25</v>
      </c>
      <c r="N1310" s="17">
        <f t="shared" si="43"/>
        <v>0</v>
      </c>
      <c r="O1310" s="17">
        <f t="shared" si="43"/>
        <v>2581</v>
      </c>
      <c r="P1310" s="17">
        <f t="shared" si="44"/>
        <v>2581</v>
      </c>
      <c r="Q1310" t="str">
        <f>A1310&amp;"-"&amp;B1310&amp;"-"&amp;D1310</f>
        <v>APRIL-CJL-L3</v>
      </c>
    </row>
    <row r="1311" spans="1:17" x14ac:dyDescent="0.25">
      <c r="A1311" t="s">
        <v>394</v>
      </c>
      <c r="B1311" s="13" t="s">
        <v>20</v>
      </c>
      <c r="C1311" s="13" t="s">
        <v>286</v>
      </c>
      <c r="D1311" s="14" t="s">
        <v>56</v>
      </c>
      <c r="E1311" s="13" t="s">
        <v>58</v>
      </c>
      <c r="F1311" s="13" t="s">
        <v>715</v>
      </c>
      <c r="G1311" s="13">
        <v>8.65</v>
      </c>
      <c r="H1311" s="15">
        <v>1136</v>
      </c>
      <c r="I1311" s="16">
        <v>9826.4</v>
      </c>
      <c r="J1311" s="16">
        <v>11883.346153846154</v>
      </c>
      <c r="K1311" s="16">
        <v>-2056.9461538461537</v>
      </c>
      <c r="L1311" s="13"/>
      <c r="M1311" s="13">
        <v>8.65</v>
      </c>
      <c r="N1311" s="17">
        <f t="shared" si="43"/>
        <v>0</v>
      </c>
      <c r="O1311" s="17">
        <f t="shared" si="43"/>
        <v>9826.4</v>
      </c>
      <c r="P1311" s="17">
        <f t="shared" si="44"/>
        <v>9826.4</v>
      </c>
      <c r="Q1311" t="str">
        <f>A1311&amp;"-"&amp;B1311&amp;"-"&amp;D1311</f>
        <v>APRIL-CJL-L3</v>
      </c>
    </row>
    <row r="1312" spans="1:17" x14ac:dyDescent="0.25">
      <c r="A1312" t="s">
        <v>394</v>
      </c>
      <c r="B1312" s="13" t="s">
        <v>20</v>
      </c>
      <c r="C1312" s="13" t="s">
        <v>185</v>
      </c>
      <c r="D1312" s="14" t="s">
        <v>56</v>
      </c>
      <c r="E1312" s="13" t="s">
        <v>77</v>
      </c>
      <c r="F1312" s="13" t="s">
        <v>542</v>
      </c>
      <c r="G1312" s="13">
        <v>1.54</v>
      </c>
      <c r="H1312" s="15">
        <v>800</v>
      </c>
      <c r="I1312" s="16">
        <v>1232</v>
      </c>
      <c r="J1312" s="16">
        <v>6170.4912845774907</v>
      </c>
      <c r="K1312" s="16">
        <v>-4938.4912845774907</v>
      </c>
      <c r="L1312" s="13"/>
      <c r="M1312" s="13">
        <v>2.75</v>
      </c>
      <c r="N1312" s="17">
        <f t="shared" si="43"/>
        <v>0</v>
      </c>
      <c r="O1312" s="17">
        <f t="shared" si="43"/>
        <v>2200</v>
      </c>
      <c r="P1312" s="17">
        <f t="shared" si="44"/>
        <v>2200</v>
      </c>
      <c r="Q1312" t="str">
        <f>A1312&amp;"-"&amp;B1312&amp;"-"&amp;D1312</f>
        <v>APRIL-CJL-L3</v>
      </c>
    </row>
    <row r="1313" spans="1:17" x14ac:dyDescent="0.25">
      <c r="A1313" t="s">
        <v>394</v>
      </c>
      <c r="B1313" s="13" t="s">
        <v>22</v>
      </c>
      <c r="C1313" s="13" t="s">
        <v>154</v>
      </c>
      <c r="D1313" s="14" t="s">
        <v>158</v>
      </c>
      <c r="E1313" s="13" t="s">
        <v>155</v>
      </c>
      <c r="F1313" s="13" t="s">
        <v>675</v>
      </c>
      <c r="G1313" s="13">
        <v>0.51</v>
      </c>
      <c r="H1313" s="15">
        <v>2775</v>
      </c>
      <c r="I1313" s="16">
        <v>1415.25</v>
      </c>
      <c r="J1313" s="16">
        <v>1324</v>
      </c>
      <c r="K1313" s="16">
        <v>91.25</v>
      </c>
      <c r="L1313" s="13">
        <v>7.4</v>
      </c>
      <c r="M1313" s="13"/>
      <c r="N1313" s="17">
        <f t="shared" si="43"/>
        <v>20535</v>
      </c>
      <c r="O1313" s="17">
        <f t="shared" si="43"/>
        <v>0</v>
      </c>
      <c r="P1313" s="17">
        <f t="shared" si="44"/>
        <v>20535</v>
      </c>
      <c r="Q1313" t="str">
        <f>A1313&amp;"-"&amp;B1313&amp;"-"&amp;D1313</f>
        <v>APRIL-CNJ2-L4</v>
      </c>
    </row>
    <row r="1314" spans="1:17" x14ac:dyDescent="0.25">
      <c r="A1314" t="s">
        <v>394</v>
      </c>
      <c r="B1314" s="13" t="s">
        <v>22</v>
      </c>
      <c r="C1314" s="13" t="s">
        <v>154</v>
      </c>
      <c r="D1314" s="14" t="s">
        <v>158</v>
      </c>
      <c r="E1314" s="13" t="s">
        <v>155</v>
      </c>
      <c r="F1314" s="13" t="s">
        <v>543</v>
      </c>
      <c r="G1314" s="13">
        <v>0.5099999999999999</v>
      </c>
      <c r="H1314" s="15">
        <v>8935</v>
      </c>
      <c r="I1314" s="16">
        <v>4556.8500000000004</v>
      </c>
      <c r="J1314" s="16">
        <v>4255.72</v>
      </c>
      <c r="K1314" s="16">
        <v>301.13</v>
      </c>
      <c r="L1314" s="13">
        <v>7.36</v>
      </c>
      <c r="M1314" s="13"/>
      <c r="N1314" s="17">
        <f t="shared" si="43"/>
        <v>65761.600000000006</v>
      </c>
      <c r="O1314" s="17">
        <f t="shared" si="43"/>
        <v>0</v>
      </c>
      <c r="P1314" s="17">
        <f t="shared" si="44"/>
        <v>65761.600000000006</v>
      </c>
      <c r="Q1314" t="str">
        <f>A1314&amp;"-"&amp;B1314&amp;"-"&amp;D1314</f>
        <v>APRIL-CNJ2-L4</v>
      </c>
    </row>
    <row r="1315" spans="1:17" x14ac:dyDescent="0.25">
      <c r="A1315" t="s">
        <v>394</v>
      </c>
      <c r="B1315" s="13" t="s">
        <v>22</v>
      </c>
      <c r="C1315" s="13" t="s">
        <v>154</v>
      </c>
      <c r="D1315" s="14" t="s">
        <v>158</v>
      </c>
      <c r="E1315" s="13" t="s">
        <v>155</v>
      </c>
      <c r="F1315" s="13" t="s">
        <v>686</v>
      </c>
      <c r="G1315" s="13">
        <v>0.51</v>
      </c>
      <c r="H1315" s="15">
        <v>6824</v>
      </c>
      <c r="I1315" s="16">
        <v>3480.24</v>
      </c>
      <c r="J1315" s="16">
        <v>3310</v>
      </c>
      <c r="K1315" s="16">
        <v>170.24</v>
      </c>
      <c r="L1315" s="13">
        <v>7.36</v>
      </c>
      <c r="M1315" s="13"/>
      <c r="N1315" s="17">
        <f t="shared" ref="N1315:O1375" si="45">$H1315*L1315</f>
        <v>50224.639999999999</v>
      </c>
      <c r="O1315" s="17">
        <f t="shared" si="45"/>
        <v>0</v>
      </c>
      <c r="P1315" s="17">
        <f t="shared" si="44"/>
        <v>50224.639999999999</v>
      </c>
      <c r="Q1315" t="str">
        <f>A1315&amp;"-"&amp;B1315&amp;"-"&amp;D1315</f>
        <v>APRIL-CNJ2-L4</v>
      </c>
    </row>
    <row r="1316" spans="1:17" x14ac:dyDescent="0.25">
      <c r="A1316" t="s">
        <v>394</v>
      </c>
      <c r="B1316" s="13" t="s">
        <v>22</v>
      </c>
      <c r="C1316" s="13" t="s">
        <v>154</v>
      </c>
      <c r="D1316" s="14" t="s">
        <v>160</v>
      </c>
      <c r="E1316" s="13" t="s">
        <v>155</v>
      </c>
      <c r="F1316" s="13" t="s">
        <v>543</v>
      </c>
      <c r="G1316" s="13">
        <v>0.5099999999999999</v>
      </c>
      <c r="H1316" s="15">
        <v>10100</v>
      </c>
      <c r="I1316" s="16">
        <v>5151</v>
      </c>
      <c r="J1316" s="16">
        <v>4255.72</v>
      </c>
      <c r="K1316" s="16">
        <v>895.28</v>
      </c>
      <c r="L1316" s="13">
        <v>7.36</v>
      </c>
      <c r="M1316" s="13"/>
      <c r="N1316" s="17">
        <f t="shared" si="45"/>
        <v>74336</v>
      </c>
      <c r="O1316" s="17">
        <f t="shared" si="45"/>
        <v>0</v>
      </c>
      <c r="P1316" s="17">
        <f t="shared" si="44"/>
        <v>74336</v>
      </c>
      <c r="Q1316" t="str">
        <f>A1316&amp;"-"&amp;B1316&amp;"-"&amp;D1316</f>
        <v>APRIL-CNJ2-L5</v>
      </c>
    </row>
    <row r="1317" spans="1:17" x14ac:dyDescent="0.25">
      <c r="A1317" t="s">
        <v>394</v>
      </c>
      <c r="B1317" s="13" t="s">
        <v>22</v>
      </c>
      <c r="C1317" s="13" t="s">
        <v>154</v>
      </c>
      <c r="D1317" s="14" t="s">
        <v>160</v>
      </c>
      <c r="E1317" s="13" t="s">
        <v>155</v>
      </c>
      <c r="F1317" s="13" t="s">
        <v>686</v>
      </c>
      <c r="G1317" s="13">
        <v>0.5099999999999999</v>
      </c>
      <c r="H1317" s="15">
        <v>8775</v>
      </c>
      <c r="I1317" s="16">
        <v>4475.25</v>
      </c>
      <c r="J1317" s="16">
        <v>3972</v>
      </c>
      <c r="K1317" s="16">
        <v>503.25</v>
      </c>
      <c r="L1317" s="13">
        <v>7.36</v>
      </c>
      <c r="M1317" s="13"/>
      <c r="N1317" s="17">
        <f t="shared" si="45"/>
        <v>64584</v>
      </c>
      <c r="O1317" s="17">
        <f t="shared" si="45"/>
        <v>0</v>
      </c>
      <c r="P1317" s="17">
        <f t="shared" si="44"/>
        <v>64584</v>
      </c>
      <c r="Q1317" t="str">
        <f>A1317&amp;"-"&amp;B1317&amp;"-"&amp;D1317</f>
        <v>APRIL-CNJ2-L5</v>
      </c>
    </row>
    <row r="1318" spans="1:17" x14ac:dyDescent="0.25">
      <c r="A1318" t="s">
        <v>394</v>
      </c>
      <c r="B1318" s="13" t="s">
        <v>22</v>
      </c>
      <c r="C1318" s="13" t="s">
        <v>154</v>
      </c>
      <c r="D1318" s="14" t="s">
        <v>160</v>
      </c>
      <c r="E1318" s="13" t="s">
        <v>155</v>
      </c>
      <c r="F1318" s="13" t="s">
        <v>699</v>
      </c>
      <c r="G1318" s="13">
        <v>0.51</v>
      </c>
      <c r="H1318" s="15">
        <v>1550</v>
      </c>
      <c r="I1318" s="16">
        <v>790.5</v>
      </c>
      <c r="J1318" s="16">
        <v>662</v>
      </c>
      <c r="K1318" s="16">
        <v>128.5</v>
      </c>
      <c r="L1318" s="13">
        <v>1.49</v>
      </c>
      <c r="M1318" s="13"/>
      <c r="N1318" s="17">
        <f t="shared" si="45"/>
        <v>2309.5</v>
      </c>
      <c r="O1318" s="17">
        <f t="shared" si="45"/>
        <v>0</v>
      </c>
      <c r="P1318" s="17">
        <f t="shared" si="44"/>
        <v>2309.5</v>
      </c>
      <c r="Q1318" t="str">
        <f>A1318&amp;"-"&amp;B1318&amp;"-"&amp;D1318</f>
        <v>APRIL-CNJ2-L5</v>
      </c>
    </row>
    <row r="1319" spans="1:17" x14ac:dyDescent="0.25">
      <c r="A1319" t="s">
        <v>394</v>
      </c>
      <c r="B1319" s="13" t="s">
        <v>22</v>
      </c>
      <c r="C1319" s="13" t="s">
        <v>154</v>
      </c>
      <c r="D1319" s="14" t="s">
        <v>163</v>
      </c>
      <c r="E1319" s="13" t="s">
        <v>155</v>
      </c>
      <c r="F1319" s="13" t="s">
        <v>543</v>
      </c>
      <c r="G1319" s="13">
        <v>0.5099999999999999</v>
      </c>
      <c r="H1319" s="15">
        <v>8900</v>
      </c>
      <c r="I1319" s="16">
        <v>4539</v>
      </c>
      <c r="J1319" s="16">
        <v>4255.72</v>
      </c>
      <c r="K1319" s="16">
        <v>283.27999999999992</v>
      </c>
      <c r="L1319" s="13">
        <v>7.36</v>
      </c>
      <c r="M1319" s="13"/>
      <c r="N1319" s="17">
        <f t="shared" si="45"/>
        <v>65504</v>
      </c>
      <c r="O1319" s="17">
        <f t="shared" si="45"/>
        <v>0</v>
      </c>
      <c r="P1319" s="17">
        <f t="shared" si="44"/>
        <v>65504</v>
      </c>
      <c r="Q1319" t="str">
        <f>A1319&amp;"-"&amp;B1319&amp;"-"&amp;D1319</f>
        <v>APRIL-CNJ2-L6</v>
      </c>
    </row>
    <row r="1320" spans="1:17" x14ac:dyDescent="0.25">
      <c r="A1320" t="s">
        <v>394</v>
      </c>
      <c r="B1320" s="13" t="s">
        <v>22</v>
      </c>
      <c r="C1320" s="13" t="s">
        <v>154</v>
      </c>
      <c r="D1320" s="14" t="s">
        <v>163</v>
      </c>
      <c r="E1320" s="13" t="s">
        <v>155</v>
      </c>
      <c r="F1320" s="13" t="s">
        <v>686</v>
      </c>
      <c r="G1320" s="13">
        <v>0.5099999999999999</v>
      </c>
      <c r="H1320" s="15">
        <v>8255</v>
      </c>
      <c r="I1320" s="16">
        <v>4210.05</v>
      </c>
      <c r="J1320" s="16">
        <v>3972</v>
      </c>
      <c r="K1320" s="16">
        <v>238.04999999999995</v>
      </c>
      <c r="L1320" s="13">
        <v>7.36</v>
      </c>
      <c r="M1320" s="13"/>
      <c r="N1320" s="17">
        <f t="shared" si="45"/>
        <v>60756.800000000003</v>
      </c>
      <c r="O1320" s="17">
        <f t="shared" si="45"/>
        <v>0</v>
      </c>
      <c r="P1320" s="17">
        <f t="shared" si="44"/>
        <v>60756.800000000003</v>
      </c>
      <c r="Q1320" t="str">
        <f>A1320&amp;"-"&amp;B1320&amp;"-"&amp;D1320</f>
        <v>APRIL-CNJ2-L6</v>
      </c>
    </row>
    <row r="1321" spans="1:17" x14ac:dyDescent="0.25">
      <c r="A1321" t="s">
        <v>394</v>
      </c>
      <c r="B1321" s="13" t="s">
        <v>22</v>
      </c>
      <c r="C1321" s="13" t="s">
        <v>154</v>
      </c>
      <c r="D1321" s="14" t="s">
        <v>163</v>
      </c>
      <c r="E1321" s="13" t="s">
        <v>155</v>
      </c>
      <c r="F1321" s="13" t="s">
        <v>699</v>
      </c>
      <c r="G1321" s="13">
        <v>0.51</v>
      </c>
      <c r="H1321" s="15">
        <v>1450</v>
      </c>
      <c r="I1321" s="16">
        <v>739.5</v>
      </c>
      <c r="J1321" s="16">
        <v>662</v>
      </c>
      <c r="K1321" s="16">
        <v>77.5</v>
      </c>
      <c r="L1321" s="13">
        <v>1.49</v>
      </c>
      <c r="M1321" s="13"/>
      <c r="N1321" s="17">
        <f t="shared" si="45"/>
        <v>2160.5</v>
      </c>
      <c r="O1321" s="17">
        <f t="shared" si="45"/>
        <v>0</v>
      </c>
      <c r="P1321" s="17">
        <f t="shared" si="44"/>
        <v>2160.5</v>
      </c>
      <c r="Q1321" t="str">
        <f>A1321&amp;"-"&amp;B1321&amp;"-"&amp;D1321</f>
        <v>APRIL-CNJ2-L6</v>
      </c>
    </row>
    <row r="1322" spans="1:17" x14ac:dyDescent="0.25">
      <c r="A1322" t="s">
        <v>394</v>
      </c>
      <c r="B1322" s="13" t="s">
        <v>22</v>
      </c>
      <c r="C1322" s="13" t="s">
        <v>154</v>
      </c>
      <c r="D1322" s="14" t="s">
        <v>164</v>
      </c>
      <c r="E1322" s="13" t="s">
        <v>155</v>
      </c>
      <c r="F1322" s="13" t="s">
        <v>543</v>
      </c>
      <c r="G1322" s="13">
        <v>0.5099999999999999</v>
      </c>
      <c r="H1322" s="15">
        <v>6940</v>
      </c>
      <c r="I1322" s="16">
        <v>3539.4</v>
      </c>
      <c r="J1322" s="16">
        <v>4255.72</v>
      </c>
      <c r="K1322" s="16">
        <v>-716.32</v>
      </c>
      <c r="L1322" s="13">
        <v>7.36</v>
      </c>
      <c r="M1322" s="13"/>
      <c r="N1322" s="17">
        <f t="shared" si="45"/>
        <v>51078.400000000001</v>
      </c>
      <c r="O1322" s="17">
        <f t="shared" si="45"/>
        <v>0</v>
      </c>
      <c r="P1322" s="17">
        <f t="shared" si="44"/>
        <v>51078.400000000001</v>
      </c>
      <c r="Q1322" t="str">
        <f>A1322&amp;"-"&amp;B1322&amp;"-"&amp;D1322</f>
        <v>APRIL-CNJ2-L7</v>
      </c>
    </row>
    <row r="1323" spans="1:17" x14ac:dyDescent="0.25">
      <c r="A1323" t="s">
        <v>394</v>
      </c>
      <c r="B1323" s="13" t="s">
        <v>22</v>
      </c>
      <c r="C1323" s="13" t="s">
        <v>154</v>
      </c>
      <c r="D1323" s="14" t="s">
        <v>164</v>
      </c>
      <c r="E1323" s="13" t="s">
        <v>155</v>
      </c>
      <c r="F1323" s="13" t="s">
        <v>686</v>
      </c>
      <c r="G1323" s="13">
        <v>0.5099999999999999</v>
      </c>
      <c r="H1323" s="15">
        <v>6450</v>
      </c>
      <c r="I1323" s="16">
        <v>3289.5</v>
      </c>
      <c r="J1323" s="16">
        <v>4634</v>
      </c>
      <c r="K1323" s="16">
        <v>-1344.5</v>
      </c>
      <c r="L1323" s="13">
        <v>7.36</v>
      </c>
      <c r="M1323" s="13"/>
      <c r="N1323" s="17">
        <f t="shared" si="45"/>
        <v>47472</v>
      </c>
      <c r="O1323" s="17">
        <f t="shared" si="45"/>
        <v>0</v>
      </c>
      <c r="P1323" s="17">
        <f t="shared" si="44"/>
        <v>47472</v>
      </c>
      <c r="Q1323" t="str">
        <f>A1323&amp;"-"&amp;B1323&amp;"-"&amp;D1323</f>
        <v>APRIL-CNJ2-L7</v>
      </c>
    </row>
    <row r="1324" spans="1:17" x14ac:dyDescent="0.25">
      <c r="A1324" t="s">
        <v>394</v>
      </c>
      <c r="B1324" s="13" t="s">
        <v>22</v>
      </c>
      <c r="C1324" s="13" t="s">
        <v>43</v>
      </c>
      <c r="D1324" s="14" t="s">
        <v>44</v>
      </c>
      <c r="E1324" s="13" t="s">
        <v>165</v>
      </c>
      <c r="F1324" s="13" t="s">
        <v>716</v>
      </c>
      <c r="G1324" s="13">
        <v>1.86</v>
      </c>
      <c r="H1324" s="15">
        <v>355</v>
      </c>
      <c r="I1324" s="16">
        <v>660.3</v>
      </c>
      <c r="J1324" s="16">
        <v>662</v>
      </c>
      <c r="K1324" s="16">
        <v>-1.7000000000000455</v>
      </c>
      <c r="L1324" s="13"/>
      <c r="M1324" s="13">
        <v>1.95</v>
      </c>
      <c r="N1324" s="17">
        <f t="shared" si="45"/>
        <v>0</v>
      </c>
      <c r="O1324" s="17">
        <f t="shared" si="45"/>
        <v>692.25</v>
      </c>
      <c r="P1324" s="17">
        <f t="shared" si="44"/>
        <v>692.25</v>
      </c>
      <c r="Q1324" t="str">
        <f>A1324&amp;"-"&amp;B1324&amp;"-"&amp;D1324</f>
        <v>APRIL-CNJ2-L1</v>
      </c>
    </row>
    <row r="1325" spans="1:17" x14ac:dyDescent="0.25">
      <c r="A1325" t="s">
        <v>394</v>
      </c>
      <c r="B1325" s="13" t="s">
        <v>22</v>
      </c>
      <c r="C1325" s="13" t="s">
        <v>43</v>
      </c>
      <c r="D1325" s="14" t="s">
        <v>44</v>
      </c>
      <c r="E1325" s="13" t="s">
        <v>179</v>
      </c>
      <c r="F1325" s="13" t="s">
        <v>717</v>
      </c>
      <c r="G1325" s="13">
        <v>2.85</v>
      </c>
      <c r="H1325" s="15">
        <v>1015</v>
      </c>
      <c r="I1325" s="16">
        <v>2892.75</v>
      </c>
      <c r="J1325" s="16">
        <v>2648</v>
      </c>
      <c r="K1325" s="16">
        <v>244.75</v>
      </c>
      <c r="L1325" s="13"/>
      <c r="M1325" s="13">
        <v>2.9</v>
      </c>
      <c r="N1325" s="17">
        <f t="shared" si="45"/>
        <v>0</v>
      </c>
      <c r="O1325" s="17">
        <f t="shared" si="45"/>
        <v>2943.5</v>
      </c>
      <c r="P1325" s="17">
        <f t="shared" si="44"/>
        <v>2943.5</v>
      </c>
      <c r="Q1325" t="str">
        <f>A1325&amp;"-"&amp;B1325&amp;"-"&amp;D1325</f>
        <v>APRIL-CNJ2-L1</v>
      </c>
    </row>
    <row r="1326" spans="1:17" x14ac:dyDescent="0.25">
      <c r="A1326" t="s">
        <v>394</v>
      </c>
      <c r="B1326" s="13" t="s">
        <v>22</v>
      </c>
      <c r="C1326" s="13" t="s">
        <v>43</v>
      </c>
      <c r="D1326" s="14" t="s">
        <v>44</v>
      </c>
      <c r="E1326" s="13" t="s">
        <v>179</v>
      </c>
      <c r="F1326" s="13" t="s">
        <v>718</v>
      </c>
      <c r="G1326" s="13">
        <v>2.85</v>
      </c>
      <c r="H1326" s="15">
        <v>455</v>
      </c>
      <c r="I1326" s="16">
        <v>1296.75</v>
      </c>
      <c r="J1326" s="16">
        <v>1324</v>
      </c>
      <c r="K1326" s="16">
        <v>-27.25</v>
      </c>
      <c r="L1326" s="13"/>
      <c r="M1326" s="13">
        <v>3</v>
      </c>
      <c r="N1326" s="17">
        <f t="shared" si="45"/>
        <v>0</v>
      </c>
      <c r="O1326" s="17">
        <f t="shared" si="45"/>
        <v>1365</v>
      </c>
      <c r="P1326" s="17">
        <f t="shared" si="44"/>
        <v>1365</v>
      </c>
      <c r="Q1326" t="str">
        <f>A1326&amp;"-"&amp;B1326&amp;"-"&amp;D1326</f>
        <v>APRIL-CNJ2-L1</v>
      </c>
    </row>
    <row r="1327" spans="1:17" x14ac:dyDescent="0.25">
      <c r="A1327" t="s">
        <v>394</v>
      </c>
      <c r="B1327" s="13" t="s">
        <v>22</v>
      </c>
      <c r="C1327" s="13" t="s">
        <v>43</v>
      </c>
      <c r="D1327" s="14" t="s">
        <v>44</v>
      </c>
      <c r="E1327" s="13" t="s">
        <v>179</v>
      </c>
      <c r="F1327" s="13" t="s">
        <v>719</v>
      </c>
      <c r="G1327" s="13">
        <v>2.8500000000000005</v>
      </c>
      <c r="H1327" s="15">
        <v>1623</v>
      </c>
      <c r="I1327" s="16">
        <v>4625.55</v>
      </c>
      <c r="J1327" s="16">
        <v>4255.72</v>
      </c>
      <c r="K1327" s="16">
        <v>369.83000000000004</v>
      </c>
      <c r="L1327" s="13"/>
      <c r="M1327" s="13">
        <v>2.9</v>
      </c>
      <c r="N1327" s="17">
        <f t="shared" si="45"/>
        <v>0</v>
      </c>
      <c r="O1327" s="17">
        <f t="shared" si="45"/>
        <v>4706.7</v>
      </c>
      <c r="P1327" s="17">
        <f t="shared" si="44"/>
        <v>4706.7</v>
      </c>
      <c r="Q1327" t="str">
        <f>A1327&amp;"-"&amp;B1327&amp;"-"&amp;D1327</f>
        <v>APRIL-CNJ2-L1</v>
      </c>
    </row>
    <row r="1328" spans="1:17" x14ac:dyDescent="0.25">
      <c r="A1328" t="s">
        <v>394</v>
      </c>
      <c r="B1328" s="13" t="s">
        <v>22</v>
      </c>
      <c r="C1328" s="13" t="s">
        <v>43</v>
      </c>
      <c r="D1328" s="14" t="s">
        <v>50</v>
      </c>
      <c r="E1328" s="13" t="s">
        <v>174</v>
      </c>
      <c r="F1328" s="13" t="s">
        <v>549</v>
      </c>
      <c r="G1328" s="13">
        <v>0.28999999999999998</v>
      </c>
      <c r="H1328" s="15">
        <v>2586</v>
      </c>
      <c r="I1328" s="16">
        <v>749.94</v>
      </c>
      <c r="J1328" s="16">
        <v>802.40304615384616</v>
      </c>
      <c r="K1328" s="16">
        <v>-52.463046153846136</v>
      </c>
      <c r="L1328" s="13"/>
      <c r="M1328" s="13">
        <v>0.3</v>
      </c>
      <c r="N1328" s="17">
        <f t="shared" si="45"/>
        <v>0</v>
      </c>
      <c r="O1328" s="17">
        <f t="shared" si="45"/>
        <v>775.8</v>
      </c>
      <c r="P1328" s="17">
        <f t="shared" si="44"/>
        <v>775.8</v>
      </c>
      <c r="Q1328" t="str">
        <f>A1328&amp;"-"&amp;B1328&amp;"-"&amp;D1328</f>
        <v>APRIL-CNJ2-L2</v>
      </c>
    </row>
    <row r="1329" spans="1:17" x14ac:dyDescent="0.25">
      <c r="A1329" t="s">
        <v>394</v>
      </c>
      <c r="B1329" s="13" t="s">
        <v>22</v>
      </c>
      <c r="C1329" s="13" t="s">
        <v>43</v>
      </c>
      <c r="D1329" s="14" t="s">
        <v>50</v>
      </c>
      <c r="E1329" s="13" t="s">
        <v>550</v>
      </c>
      <c r="F1329" s="13" t="s">
        <v>551</v>
      </c>
      <c r="G1329" s="13">
        <v>0.37000000000000005</v>
      </c>
      <c r="H1329" s="15">
        <v>4295</v>
      </c>
      <c r="I1329" s="16">
        <v>1589.15</v>
      </c>
      <c r="J1329" s="16">
        <v>2127.86</v>
      </c>
      <c r="K1329" s="16">
        <v>-538.71</v>
      </c>
      <c r="L1329" s="13"/>
      <c r="M1329" s="13">
        <v>0.38</v>
      </c>
      <c r="N1329" s="17">
        <f t="shared" si="45"/>
        <v>0</v>
      </c>
      <c r="O1329" s="17">
        <f t="shared" si="45"/>
        <v>1632.1</v>
      </c>
      <c r="P1329" s="17">
        <f t="shared" si="44"/>
        <v>1632.1</v>
      </c>
      <c r="Q1329" t="str">
        <f>A1329&amp;"-"&amp;B1329&amp;"-"&amp;D1329</f>
        <v>APRIL-CNJ2-L2</v>
      </c>
    </row>
    <row r="1330" spans="1:17" x14ac:dyDescent="0.25">
      <c r="A1330" t="s">
        <v>394</v>
      </c>
      <c r="B1330" s="13" t="s">
        <v>22</v>
      </c>
      <c r="C1330" s="13" t="s">
        <v>43</v>
      </c>
      <c r="D1330" s="14" t="s">
        <v>50</v>
      </c>
      <c r="E1330" s="13" t="s">
        <v>550</v>
      </c>
      <c r="F1330" s="13" t="s">
        <v>552</v>
      </c>
      <c r="G1330" s="13">
        <v>0.37</v>
      </c>
      <c r="H1330" s="15">
        <v>3500</v>
      </c>
      <c r="I1330" s="16">
        <v>1295</v>
      </c>
      <c r="J1330" s="16">
        <v>1324</v>
      </c>
      <c r="K1330" s="16">
        <v>-29</v>
      </c>
      <c r="L1330" s="13"/>
      <c r="M1330" s="13">
        <v>0.38</v>
      </c>
      <c r="N1330" s="17">
        <f t="shared" si="45"/>
        <v>0</v>
      </c>
      <c r="O1330" s="17">
        <f t="shared" si="45"/>
        <v>1330</v>
      </c>
      <c r="P1330" s="17">
        <f t="shared" si="44"/>
        <v>1330</v>
      </c>
      <c r="Q1330" t="str">
        <f>A1330&amp;"-"&amp;B1330&amp;"-"&amp;D1330</f>
        <v>APRIL-CNJ2-L2</v>
      </c>
    </row>
    <row r="1331" spans="1:17" x14ac:dyDescent="0.25">
      <c r="A1331" t="s">
        <v>394</v>
      </c>
      <c r="B1331" s="13" t="s">
        <v>22</v>
      </c>
      <c r="C1331" s="13" t="s">
        <v>43</v>
      </c>
      <c r="D1331" s="14" t="s">
        <v>50</v>
      </c>
      <c r="E1331" s="13" t="s">
        <v>555</v>
      </c>
      <c r="F1331" s="13" t="s">
        <v>720</v>
      </c>
      <c r="G1331" s="13">
        <v>0.23</v>
      </c>
      <c r="H1331" s="15">
        <v>200</v>
      </c>
      <c r="I1331" s="16">
        <v>46</v>
      </c>
      <c r="J1331" s="16">
        <v>236.43</v>
      </c>
      <c r="K1331" s="16">
        <v>-190.43</v>
      </c>
      <c r="L1331" s="13"/>
      <c r="M1331" s="13">
        <v>0.24</v>
      </c>
      <c r="N1331" s="17">
        <f t="shared" si="45"/>
        <v>0</v>
      </c>
      <c r="O1331" s="17">
        <f t="shared" si="45"/>
        <v>48</v>
      </c>
      <c r="P1331" s="17">
        <f t="shared" si="44"/>
        <v>48</v>
      </c>
      <c r="Q1331" t="str">
        <f>A1331&amp;"-"&amp;B1331&amp;"-"&amp;D1331</f>
        <v>APRIL-CNJ2-L2</v>
      </c>
    </row>
    <row r="1332" spans="1:17" x14ac:dyDescent="0.25">
      <c r="A1332" t="s">
        <v>394</v>
      </c>
      <c r="B1332" s="13" t="s">
        <v>22</v>
      </c>
      <c r="C1332" s="13" t="s">
        <v>43</v>
      </c>
      <c r="D1332" s="14" t="s">
        <v>50</v>
      </c>
      <c r="E1332" s="13" t="s">
        <v>555</v>
      </c>
      <c r="F1332" s="13" t="s">
        <v>721</v>
      </c>
      <c r="G1332" s="13">
        <v>0.23000000000000004</v>
      </c>
      <c r="H1332" s="15">
        <v>1000</v>
      </c>
      <c r="I1332" s="16">
        <v>230</v>
      </c>
      <c r="J1332" s="16">
        <v>1392.9583333333335</v>
      </c>
      <c r="K1332" s="16">
        <v>-1162.9583333333335</v>
      </c>
      <c r="L1332" s="13"/>
      <c r="M1332" s="13">
        <v>0.24</v>
      </c>
      <c r="N1332" s="17">
        <f t="shared" si="45"/>
        <v>0</v>
      </c>
      <c r="O1332" s="17">
        <f t="shared" si="45"/>
        <v>240</v>
      </c>
      <c r="P1332" s="17">
        <f t="shared" si="44"/>
        <v>240</v>
      </c>
      <c r="Q1332" t="str">
        <f>A1332&amp;"-"&amp;B1332&amp;"-"&amp;D1332</f>
        <v>APRIL-CNJ2-L2</v>
      </c>
    </row>
    <row r="1333" spans="1:17" x14ac:dyDescent="0.25">
      <c r="A1333" t="s">
        <v>394</v>
      </c>
      <c r="B1333" s="13" t="s">
        <v>22</v>
      </c>
      <c r="C1333" s="13" t="s">
        <v>43</v>
      </c>
      <c r="D1333" s="14" t="s">
        <v>50</v>
      </c>
      <c r="E1333" s="13" t="s">
        <v>177</v>
      </c>
      <c r="F1333" s="13" t="s">
        <v>558</v>
      </c>
      <c r="G1333" s="13">
        <v>0.24</v>
      </c>
      <c r="H1333" s="15">
        <v>1120</v>
      </c>
      <c r="I1333" s="16">
        <v>268.8</v>
      </c>
      <c r="J1333" s="16">
        <v>331</v>
      </c>
      <c r="K1333" s="16">
        <v>-62.199999999999989</v>
      </c>
      <c r="L1333" s="13"/>
      <c r="M1333" s="13">
        <v>0.25</v>
      </c>
      <c r="N1333" s="17">
        <f t="shared" si="45"/>
        <v>0</v>
      </c>
      <c r="O1333" s="17">
        <f t="shared" si="45"/>
        <v>280</v>
      </c>
      <c r="P1333" s="17">
        <f t="shared" si="44"/>
        <v>280</v>
      </c>
      <c r="Q1333" t="str">
        <f>A1333&amp;"-"&amp;B1333&amp;"-"&amp;D1333</f>
        <v>APRIL-CNJ2-L2</v>
      </c>
    </row>
    <row r="1334" spans="1:17" x14ac:dyDescent="0.25">
      <c r="A1334" t="s">
        <v>394</v>
      </c>
      <c r="B1334" s="13" t="s">
        <v>22</v>
      </c>
      <c r="C1334" s="13" t="s">
        <v>43</v>
      </c>
      <c r="D1334" s="14" t="s">
        <v>50</v>
      </c>
      <c r="E1334" s="13" t="s">
        <v>177</v>
      </c>
      <c r="F1334" s="13" t="s">
        <v>722</v>
      </c>
      <c r="G1334" s="13">
        <v>0.24</v>
      </c>
      <c r="H1334" s="15">
        <v>910</v>
      </c>
      <c r="I1334" s="16">
        <v>218.39999999999998</v>
      </c>
      <c r="J1334" s="16">
        <v>358.06862051282047</v>
      </c>
      <c r="K1334" s="16">
        <v>-139.6686205128205</v>
      </c>
      <c r="L1334" s="13"/>
      <c r="M1334" s="13">
        <v>0.25</v>
      </c>
      <c r="N1334" s="17">
        <f t="shared" si="45"/>
        <v>0</v>
      </c>
      <c r="O1334" s="17">
        <f t="shared" si="45"/>
        <v>227.5</v>
      </c>
      <c r="P1334" s="17">
        <f t="shared" si="44"/>
        <v>227.5</v>
      </c>
      <c r="Q1334" t="str">
        <f>A1334&amp;"-"&amp;B1334&amp;"-"&amp;D1334</f>
        <v>APRIL-CNJ2-L2</v>
      </c>
    </row>
    <row r="1335" spans="1:17" x14ac:dyDescent="0.25">
      <c r="A1335" t="s">
        <v>394</v>
      </c>
      <c r="B1335" s="13" t="s">
        <v>22</v>
      </c>
      <c r="C1335" s="13" t="s">
        <v>43</v>
      </c>
      <c r="D1335" s="14" t="s">
        <v>56</v>
      </c>
      <c r="E1335" s="13" t="s">
        <v>165</v>
      </c>
      <c r="F1335" s="13" t="s">
        <v>561</v>
      </c>
      <c r="G1335" s="13">
        <v>1.8599999999999997</v>
      </c>
      <c r="H1335" s="15">
        <v>4640</v>
      </c>
      <c r="I1335" s="16">
        <v>8630.4</v>
      </c>
      <c r="J1335" s="16">
        <v>8889.7200000000012</v>
      </c>
      <c r="K1335" s="16">
        <v>-259.31999999999982</v>
      </c>
      <c r="L1335" s="13"/>
      <c r="M1335" s="13">
        <v>1.95</v>
      </c>
      <c r="N1335" s="17">
        <f t="shared" si="45"/>
        <v>0</v>
      </c>
      <c r="O1335" s="17">
        <f t="shared" si="45"/>
        <v>9048</v>
      </c>
      <c r="P1335" s="17">
        <f t="shared" si="44"/>
        <v>9048</v>
      </c>
      <c r="Q1335" t="str">
        <f>A1335&amp;"-"&amp;B1335&amp;"-"&amp;D1335</f>
        <v>APRIL-CNJ2-L3</v>
      </c>
    </row>
    <row r="1336" spans="1:17" x14ac:dyDescent="0.25">
      <c r="A1336" t="s">
        <v>394</v>
      </c>
      <c r="B1336" s="13" t="s">
        <v>23</v>
      </c>
      <c r="C1336" s="13" t="s">
        <v>201</v>
      </c>
      <c r="D1336" s="14" t="s">
        <v>44</v>
      </c>
      <c r="E1336" s="13" t="s">
        <v>186</v>
      </c>
      <c r="F1336" s="13" t="s">
        <v>723</v>
      </c>
      <c r="G1336" s="13">
        <v>1.1200000000000001</v>
      </c>
      <c r="H1336" s="15">
        <v>2675</v>
      </c>
      <c r="I1336" s="16">
        <v>2995.9999999999995</v>
      </c>
      <c r="J1336" s="16">
        <v>3957.4300000000003</v>
      </c>
      <c r="K1336" s="16">
        <v>-961.43000000000018</v>
      </c>
      <c r="L1336" s="13">
        <v>3.25</v>
      </c>
      <c r="M1336" s="13"/>
      <c r="N1336" s="17">
        <f t="shared" si="45"/>
        <v>8693.75</v>
      </c>
      <c r="O1336" s="17">
        <f t="shared" si="45"/>
        <v>0</v>
      </c>
      <c r="P1336" s="17">
        <f t="shared" si="44"/>
        <v>8693.75</v>
      </c>
      <c r="Q1336" t="str">
        <f>A1336&amp;"-"&amp;B1336&amp;"-"&amp;D1336</f>
        <v>APRIL-CVA-L1</v>
      </c>
    </row>
    <row r="1337" spans="1:17" x14ac:dyDescent="0.25">
      <c r="A1337" t="s">
        <v>394</v>
      </c>
      <c r="B1337" s="13" t="s">
        <v>23</v>
      </c>
      <c r="C1337" s="13" t="s">
        <v>201</v>
      </c>
      <c r="D1337" s="14" t="s">
        <v>44</v>
      </c>
      <c r="E1337" s="13" t="s">
        <v>191</v>
      </c>
      <c r="F1337" s="13" t="s">
        <v>724</v>
      </c>
      <c r="G1337" s="13">
        <v>0.38</v>
      </c>
      <c r="H1337" s="15">
        <v>720</v>
      </c>
      <c r="I1337" s="16">
        <v>273.60000000000002</v>
      </c>
      <c r="J1337" s="16">
        <v>513</v>
      </c>
      <c r="K1337" s="16">
        <v>-239.39999999999998</v>
      </c>
      <c r="L1337" s="13">
        <v>1.24</v>
      </c>
      <c r="M1337" s="13"/>
      <c r="N1337" s="17">
        <f t="shared" si="45"/>
        <v>892.8</v>
      </c>
      <c r="O1337" s="17">
        <f t="shared" si="45"/>
        <v>0</v>
      </c>
      <c r="P1337" s="17">
        <f t="shared" si="44"/>
        <v>892.8</v>
      </c>
      <c r="Q1337" t="str">
        <f>A1337&amp;"-"&amp;B1337&amp;"-"&amp;D1337</f>
        <v>APRIL-CVA-L1</v>
      </c>
    </row>
    <row r="1338" spans="1:17" x14ac:dyDescent="0.25">
      <c r="A1338" t="s">
        <v>394</v>
      </c>
      <c r="B1338" s="13" t="s">
        <v>23</v>
      </c>
      <c r="C1338" s="13" t="s">
        <v>201</v>
      </c>
      <c r="D1338" s="14" t="s">
        <v>44</v>
      </c>
      <c r="E1338" s="13" t="s">
        <v>191</v>
      </c>
      <c r="F1338" s="13" t="s">
        <v>568</v>
      </c>
      <c r="G1338" s="13">
        <v>0.38000000000000006</v>
      </c>
      <c r="H1338" s="15">
        <v>5260</v>
      </c>
      <c r="I1338" s="16">
        <v>1998.8</v>
      </c>
      <c r="J1338" s="16">
        <v>1392.43</v>
      </c>
      <c r="K1338" s="16">
        <v>606.36999999999989</v>
      </c>
      <c r="L1338" s="13">
        <v>1.1499999999999999</v>
      </c>
      <c r="M1338" s="13"/>
      <c r="N1338" s="17">
        <f t="shared" si="45"/>
        <v>6048.9999999999991</v>
      </c>
      <c r="O1338" s="17">
        <f t="shared" si="45"/>
        <v>0</v>
      </c>
      <c r="P1338" s="17">
        <f t="shared" si="44"/>
        <v>6048.9999999999991</v>
      </c>
      <c r="Q1338" t="str">
        <f>A1338&amp;"-"&amp;B1338&amp;"-"&amp;D1338</f>
        <v>APRIL-CVA-L1</v>
      </c>
    </row>
    <row r="1339" spans="1:17" x14ac:dyDescent="0.25">
      <c r="A1339" t="s">
        <v>394</v>
      </c>
      <c r="B1339" s="13" t="s">
        <v>23</v>
      </c>
      <c r="C1339" s="13" t="s">
        <v>201</v>
      </c>
      <c r="D1339" s="14" t="s">
        <v>44</v>
      </c>
      <c r="E1339" s="13" t="s">
        <v>191</v>
      </c>
      <c r="F1339" s="13" t="s">
        <v>725</v>
      </c>
      <c r="G1339" s="13">
        <v>0.59</v>
      </c>
      <c r="H1339" s="15">
        <v>7195</v>
      </c>
      <c r="I1339" s="16">
        <v>4245.05</v>
      </c>
      <c r="J1339" s="16">
        <v>3297.86</v>
      </c>
      <c r="K1339" s="16">
        <v>947.19</v>
      </c>
      <c r="L1339" s="13">
        <v>2</v>
      </c>
      <c r="M1339" s="13"/>
      <c r="N1339" s="17">
        <f t="shared" si="45"/>
        <v>14390</v>
      </c>
      <c r="O1339" s="17">
        <f t="shared" si="45"/>
        <v>0</v>
      </c>
      <c r="P1339" s="17">
        <f t="shared" si="44"/>
        <v>14390</v>
      </c>
      <c r="Q1339" t="str">
        <f>A1339&amp;"-"&amp;B1339&amp;"-"&amp;D1339</f>
        <v>APRIL-CVA-L1</v>
      </c>
    </row>
    <row r="1340" spans="1:17" x14ac:dyDescent="0.25">
      <c r="A1340" t="s">
        <v>394</v>
      </c>
      <c r="B1340" s="13" t="s">
        <v>23</v>
      </c>
      <c r="C1340" s="13" t="s">
        <v>201</v>
      </c>
      <c r="D1340" s="14" t="s">
        <v>301</v>
      </c>
      <c r="E1340" s="13" t="s">
        <v>191</v>
      </c>
      <c r="F1340" s="13" t="s">
        <v>724</v>
      </c>
      <c r="G1340" s="13">
        <v>0.37999999999999995</v>
      </c>
      <c r="H1340" s="15">
        <v>10328</v>
      </c>
      <c r="I1340" s="16">
        <v>3924.64</v>
      </c>
      <c r="J1340" s="16">
        <v>4807.2870588235301</v>
      </c>
      <c r="K1340" s="16">
        <v>-882.64705882352951</v>
      </c>
      <c r="L1340" s="13">
        <v>1.24</v>
      </c>
      <c r="M1340" s="13"/>
      <c r="N1340" s="17">
        <f t="shared" si="45"/>
        <v>12806.72</v>
      </c>
      <c r="O1340" s="17">
        <f t="shared" si="45"/>
        <v>0</v>
      </c>
      <c r="P1340" s="17">
        <f t="shared" si="44"/>
        <v>12806.72</v>
      </c>
      <c r="Q1340" t="str">
        <f>A1340&amp;"-"&amp;B1340&amp;"-"&amp;D1340</f>
        <v>APRIL-CVA-L10</v>
      </c>
    </row>
    <row r="1341" spans="1:17" x14ac:dyDescent="0.25">
      <c r="A1341" t="s">
        <v>394</v>
      </c>
      <c r="B1341" s="13" t="s">
        <v>23</v>
      </c>
      <c r="C1341" s="13" t="s">
        <v>201</v>
      </c>
      <c r="D1341" s="14" t="s">
        <v>301</v>
      </c>
      <c r="E1341" s="13" t="s">
        <v>191</v>
      </c>
      <c r="F1341" s="13" t="s">
        <v>443</v>
      </c>
      <c r="G1341" s="13">
        <v>0.38</v>
      </c>
      <c r="H1341" s="15">
        <v>425</v>
      </c>
      <c r="I1341" s="16">
        <v>161.5</v>
      </c>
      <c r="J1341" s="16">
        <v>217.20048814504884</v>
      </c>
      <c r="K1341" s="16">
        <v>-55.700488145048837</v>
      </c>
      <c r="L1341" s="13">
        <v>1.1499999999999999</v>
      </c>
      <c r="M1341" s="13"/>
      <c r="N1341" s="17">
        <f t="shared" si="45"/>
        <v>488.74999999999994</v>
      </c>
      <c r="O1341" s="17">
        <f t="shared" si="45"/>
        <v>0</v>
      </c>
      <c r="P1341" s="17">
        <f t="shared" si="44"/>
        <v>488.74999999999994</v>
      </c>
      <c r="Q1341" t="str">
        <f>A1341&amp;"-"&amp;B1341&amp;"-"&amp;D1341</f>
        <v>APRIL-CVA-L10</v>
      </c>
    </row>
    <row r="1342" spans="1:17" x14ac:dyDescent="0.25">
      <c r="A1342" t="s">
        <v>394</v>
      </c>
      <c r="B1342" s="13" t="s">
        <v>23</v>
      </c>
      <c r="C1342" s="13" t="s">
        <v>201</v>
      </c>
      <c r="D1342" s="14" t="s">
        <v>301</v>
      </c>
      <c r="E1342" s="13" t="s">
        <v>191</v>
      </c>
      <c r="F1342" s="13" t="s">
        <v>569</v>
      </c>
      <c r="G1342" s="13">
        <v>0.38</v>
      </c>
      <c r="H1342" s="15">
        <v>147</v>
      </c>
      <c r="I1342" s="16">
        <v>55.86</v>
      </c>
      <c r="J1342" s="16">
        <v>75.125815899581596</v>
      </c>
      <c r="K1342" s="16">
        <v>-19.265815899581597</v>
      </c>
      <c r="L1342" s="13">
        <v>1.1000000000000001</v>
      </c>
      <c r="M1342" s="13"/>
      <c r="N1342" s="17">
        <f t="shared" si="45"/>
        <v>161.70000000000002</v>
      </c>
      <c r="O1342" s="17">
        <f t="shared" si="45"/>
        <v>0</v>
      </c>
      <c r="P1342" s="17">
        <f t="shared" si="44"/>
        <v>161.70000000000002</v>
      </c>
      <c r="Q1342" t="str">
        <f>A1342&amp;"-"&amp;B1342&amp;"-"&amp;D1342</f>
        <v>APRIL-CVA-L10</v>
      </c>
    </row>
    <row r="1343" spans="1:17" x14ac:dyDescent="0.25">
      <c r="A1343" t="s">
        <v>394</v>
      </c>
      <c r="B1343" s="13" t="s">
        <v>23</v>
      </c>
      <c r="C1343" s="13" t="s">
        <v>201</v>
      </c>
      <c r="D1343" s="14" t="s">
        <v>301</v>
      </c>
      <c r="E1343" s="13" t="s">
        <v>191</v>
      </c>
      <c r="F1343" s="13" t="s">
        <v>568</v>
      </c>
      <c r="G1343" s="13">
        <v>0.38</v>
      </c>
      <c r="H1343" s="15">
        <v>5170</v>
      </c>
      <c r="I1343" s="16">
        <v>1964.6</v>
      </c>
      <c r="J1343" s="16">
        <v>2126.1036959553694</v>
      </c>
      <c r="K1343" s="16">
        <v>-161.50369595536961</v>
      </c>
      <c r="L1343" s="13">
        <v>1.1499999999999999</v>
      </c>
      <c r="M1343" s="13"/>
      <c r="N1343" s="17">
        <f t="shared" si="45"/>
        <v>5945.4999999999991</v>
      </c>
      <c r="O1343" s="17">
        <f t="shared" si="45"/>
        <v>0</v>
      </c>
      <c r="P1343" s="17">
        <f t="shared" si="44"/>
        <v>5945.4999999999991</v>
      </c>
      <c r="Q1343" t="str">
        <f>A1343&amp;"-"&amp;B1343&amp;"-"&amp;D1343</f>
        <v>APRIL-CVA-L10</v>
      </c>
    </row>
    <row r="1344" spans="1:17" x14ac:dyDescent="0.25">
      <c r="A1344" t="s">
        <v>394</v>
      </c>
      <c r="B1344" s="13" t="s">
        <v>23</v>
      </c>
      <c r="C1344" s="13" t="s">
        <v>201</v>
      </c>
      <c r="D1344" s="14" t="s">
        <v>301</v>
      </c>
      <c r="E1344" s="13" t="s">
        <v>191</v>
      </c>
      <c r="F1344" s="13" t="s">
        <v>726</v>
      </c>
      <c r="G1344" s="13">
        <v>0.37999999999999995</v>
      </c>
      <c r="H1344" s="15">
        <v>6284</v>
      </c>
      <c r="I1344" s="16">
        <v>2387.92</v>
      </c>
      <c r="J1344" s="16">
        <v>2448.0029411764708</v>
      </c>
      <c r="K1344" s="16">
        <v>-60.082941176470584</v>
      </c>
      <c r="L1344" s="13">
        <v>1.1000000000000001</v>
      </c>
      <c r="M1344" s="13"/>
      <c r="N1344" s="17">
        <f t="shared" si="45"/>
        <v>6912.4000000000005</v>
      </c>
      <c r="O1344" s="17">
        <f t="shared" si="45"/>
        <v>0</v>
      </c>
      <c r="P1344" s="17">
        <f t="shared" si="44"/>
        <v>6912.4000000000005</v>
      </c>
      <c r="Q1344" t="str">
        <f>A1344&amp;"-"&amp;B1344&amp;"-"&amp;D1344</f>
        <v>APRIL-CVA-L10</v>
      </c>
    </row>
    <row r="1345" spans="1:17" x14ac:dyDescent="0.25">
      <c r="A1345" t="s">
        <v>394</v>
      </c>
      <c r="B1345" s="13" t="s">
        <v>23</v>
      </c>
      <c r="C1345" s="13" t="s">
        <v>201</v>
      </c>
      <c r="D1345" s="14" t="s">
        <v>50</v>
      </c>
      <c r="E1345" s="13" t="s">
        <v>186</v>
      </c>
      <c r="F1345" s="13" t="s">
        <v>723</v>
      </c>
      <c r="G1345" s="13">
        <v>1.1200000000000001</v>
      </c>
      <c r="H1345" s="15">
        <v>2471</v>
      </c>
      <c r="I1345" s="16">
        <v>2767.5200000000004</v>
      </c>
      <c r="J1345" s="16">
        <v>3444.4300000000003</v>
      </c>
      <c r="K1345" s="16">
        <v>-676.90999999999985</v>
      </c>
      <c r="L1345" s="13">
        <v>3.25</v>
      </c>
      <c r="M1345" s="13"/>
      <c r="N1345" s="17">
        <f t="shared" si="45"/>
        <v>8030.75</v>
      </c>
      <c r="O1345" s="17">
        <f t="shared" si="45"/>
        <v>0</v>
      </c>
      <c r="P1345" s="17">
        <f t="shared" si="44"/>
        <v>8030.75</v>
      </c>
      <c r="Q1345" t="str">
        <f>A1345&amp;"-"&amp;B1345&amp;"-"&amp;D1345</f>
        <v>APRIL-CVA-L2</v>
      </c>
    </row>
    <row r="1346" spans="1:17" x14ac:dyDescent="0.25">
      <c r="A1346" t="s">
        <v>394</v>
      </c>
      <c r="B1346" s="13" t="s">
        <v>23</v>
      </c>
      <c r="C1346" s="13" t="s">
        <v>201</v>
      </c>
      <c r="D1346" s="14" t="s">
        <v>50</v>
      </c>
      <c r="E1346" s="13" t="s">
        <v>191</v>
      </c>
      <c r="F1346" s="13" t="s">
        <v>724</v>
      </c>
      <c r="G1346" s="13">
        <v>0.38000000000000006</v>
      </c>
      <c r="H1346" s="15">
        <v>992</v>
      </c>
      <c r="I1346" s="16">
        <v>376.96000000000004</v>
      </c>
      <c r="J1346" s="16">
        <v>590.01342880945765</v>
      </c>
      <c r="K1346" s="16">
        <v>-213.05342880945767</v>
      </c>
      <c r="L1346" s="13">
        <v>1.24</v>
      </c>
      <c r="M1346" s="13"/>
      <c r="N1346" s="17">
        <f t="shared" si="45"/>
        <v>1230.08</v>
      </c>
      <c r="O1346" s="17">
        <f t="shared" si="45"/>
        <v>0</v>
      </c>
      <c r="P1346" s="17">
        <f t="shared" ref="P1346:P1409" si="46">N1346+O1346</f>
        <v>1230.08</v>
      </c>
      <c r="Q1346" t="str">
        <f>A1346&amp;"-"&amp;B1346&amp;"-"&amp;D1346</f>
        <v>APRIL-CVA-L2</v>
      </c>
    </row>
    <row r="1347" spans="1:17" x14ac:dyDescent="0.25">
      <c r="A1347" t="s">
        <v>394</v>
      </c>
      <c r="B1347" s="13" t="s">
        <v>23</v>
      </c>
      <c r="C1347" s="13" t="s">
        <v>201</v>
      </c>
      <c r="D1347" s="14" t="s">
        <v>50</v>
      </c>
      <c r="E1347" s="13" t="s">
        <v>191</v>
      </c>
      <c r="F1347" s="13" t="s">
        <v>568</v>
      </c>
      <c r="G1347" s="13">
        <v>0.38</v>
      </c>
      <c r="H1347" s="15">
        <v>6576</v>
      </c>
      <c r="I1347" s="16">
        <v>2498.8799999999997</v>
      </c>
      <c r="J1347" s="16">
        <v>1905.43</v>
      </c>
      <c r="K1347" s="16">
        <v>593.45000000000005</v>
      </c>
      <c r="L1347" s="13">
        <v>1.1499999999999999</v>
      </c>
      <c r="M1347" s="13"/>
      <c r="N1347" s="17">
        <f t="shared" si="45"/>
        <v>7562.4</v>
      </c>
      <c r="O1347" s="17">
        <f t="shared" si="45"/>
        <v>0</v>
      </c>
      <c r="P1347" s="17">
        <f t="shared" si="46"/>
        <v>7562.4</v>
      </c>
      <c r="Q1347" t="str">
        <f>A1347&amp;"-"&amp;B1347&amp;"-"&amp;D1347</f>
        <v>APRIL-CVA-L2</v>
      </c>
    </row>
    <row r="1348" spans="1:17" x14ac:dyDescent="0.25">
      <c r="A1348" t="s">
        <v>394</v>
      </c>
      <c r="B1348" s="13" t="s">
        <v>23</v>
      </c>
      <c r="C1348" s="13" t="s">
        <v>201</v>
      </c>
      <c r="D1348" s="14" t="s">
        <v>50</v>
      </c>
      <c r="E1348" s="13" t="s">
        <v>191</v>
      </c>
      <c r="F1348" s="13" t="s">
        <v>725</v>
      </c>
      <c r="G1348" s="13">
        <v>0.59</v>
      </c>
      <c r="H1348" s="15">
        <v>7993</v>
      </c>
      <c r="I1348" s="16">
        <v>4715.87</v>
      </c>
      <c r="J1348" s="16">
        <v>3733.8465711905424</v>
      </c>
      <c r="K1348" s="16">
        <v>982.02342880945753</v>
      </c>
      <c r="L1348" s="13">
        <v>2</v>
      </c>
      <c r="M1348" s="13"/>
      <c r="N1348" s="17">
        <f t="shared" si="45"/>
        <v>15986</v>
      </c>
      <c r="O1348" s="17">
        <f t="shared" si="45"/>
        <v>0</v>
      </c>
      <c r="P1348" s="17">
        <f t="shared" si="46"/>
        <v>15986</v>
      </c>
      <c r="Q1348" t="str">
        <f>A1348&amp;"-"&amp;B1348&amp;"-"&amp;D1348</f>
        <v>APRIL-CVA-L2</v>
      </c>
    </row>
    <row r="1349" spans="1:17" x14ac:dyDescent="0.25">
      <c r="A1349" t="s">
        <v>394</v>
      </c>
      <c r="B1349" s="13" t="s">
        <v>23</v>
      </c>
      <c r="C1349" s="13" t="s">
        <v>201</v>
      </c>
      <c r="D1349" s="14" t="s">
        <v>56</v>
      </c>
      <c r="E1349" s="13" t="s">
        <v>191</v>
      </c>
      <c r="F1349" s="13" t="s">
        <v>727</v>
      </c>
      <c r="G1349" s="13">
        <v>0.76</v>
      </c>
      <c r="H1349" s="15">
        <v>110</v>
      </c>
      <c r="I1349" s="16">
        <v>83.6</v>
      </c>
      <c r="J1349" s="16">
        <v>366.43</v>
      </c>
      <c r="K1349" s="16">
        <v>-282.83000000000004</v>
      </c>
      <c r="L1349" s="13">
        <v>1.95</v>
      </c>
      <c r="M1349" s="13"/>
      <c r="N1349" s="17">
        <f t="shared" si="45"/>
        <v>214.5</v>
      </c>
      <c r="O1349" s="17">
        <f t="shared" si="45"/>
        <v>0</v>
      </c>
      <c r="P1349" s="17">
        <f t="shared" si="46"/>
        <v>214.5</v>
      </c>
      <c r="Q1349" t="str">
        <f>A1349&amp;"-"&amp;B1349&amp;"-"&amp;D1349</f>
        <v>APRIL-CVA-L3</v>
      </c>
    </row>
    <row r="1350" spans="1:17" x14ac:dyDescent="0.25">
      <c r="A1350" t="s">
        <v>394</v>
      </c>
      <c r="B1350" s="13" t="s">
        <v>23</v>
      </c>
      <c r="C1350" s="13" t="s">
        <v>201</v>
      </c>
      <c r="D1350" s="14" t="s">
        <v>56</v>
      </c>
      <c r="E1350" s="13" t="s">
        <v>191</v>
      </c>
      <c r="F1350" s="13" t="s">
        <v>728</v>
      </c>
      <c r="G1350" s="13">
        <v>0.37999999999999995</v>
      </c>
      <c r="H1350" s="15">
        <v>10291</v>
      </c>
      <c r="I1350" s="16">
        <v>3910.58</v>
      </c>
      <c r="J1350" s="16">
        <v>4246.2203553299496</v>
      </c>
      <c r="K1350" s="16">
        <v>-335.64035532994922</v>
      </c>
      <c r="L1350" s="13">
        <v>1.24</v>
      </c>
      <c r="M1350" s="13"/>
      <c r="N1350" s="17">
        <f t="shared" si="45"/>
        <v>12760.84</v>
      </c>
      <c r="O1350" s="17">
        <f t="shared" si="45"/>
        <v>0</v>
      </c>
      <c r="P1350" s="17">
        <f t="shared" si="46"/>
        <v>12760.84</v>
      </c>
      <c r="Q1350" t="str">
        <f>A1350&amp;"-"&amp;B1350&amp;"-"&amp;D1350</f>
        <v>APRIL-CVA-L3</v>
      </c>
    </row>
    <row r="1351" spans="1:17" x14ac:dyDescent="0.25">
      <c r="A1351" t="s">
        <v>394</v>
      </c>
      <c r="B1351" s="13" t="s">
        <v>23</v>
      </c>
      <c r="C1351" s="13" t="s">
        <v>201</v>
      </c>
      <c r="D1351" s="14" t="s">
        <v>56</v>
      </c>
      <c r="E1351" s="13" t="s">
        <v>191</v>
      </c>
      <c r="F1351" s="13" t="s">
        <v>443</v>
      </c>
      <c r="G1351" s="13">
        <v>0.38</v>
      </c>
      <c r="H1351" s="15">
        <v>1600</v>
      </c>
      <c r="I1351" s="16">
        <v>608</v>
      </c>
      <c r="J1351" s="16">
        <v>366.43</v>
      </c>
      <c r="K1351" s="16">
        <v>241.57</v>
      </c>
      <c r="L1351" s="13">
        <v>1.1499999999999999</v>
      </c>
      <c r="M1351" s="13"/>
      <c r="N1351" s="17">
        <f t="shared" si="45"/>
        <v>1839.9999999999998</v>
      </c>
      <c r="O1351" s="17">
        <f t="shared" si="45"/>
        <v>0</v>
      </c>
      <c r="P1351" s="17">
        <f t="shared" si="46"/>
        <v>1839.9999999999998</v>
      </c>
      <c r="Q1351" t="str">
        <f>A1351&amp;"-"&amp;B1351&amp;"-"&amp;D1351</f>
        <v>APRIL-CVA-L3</v>
      </c>
    </row>
    <row r="1352" spans="1:17" x14ac:dyDescent="0.25">
      <c r="A1352" t="s">
        <v>394</v>
      </c>
      <c r="B1352" s="13" t="s">
        <v>23</v>
      </c>
      <c r="C1352" s="13" t="s">
        <v>201</v>
      </c>
      <c r="D1352" s="14" t="s">
        <v>56</v>
      </c>
      <c r="E1352" s="13" t="s">
        <v>191</v>
      </c>
      <c r="F1352" s="13" t="s">
        <v>726</v>
      </c>
      <c r="G1352" s="13">
        <v>0.38</v>
      </c>
      <c r="H1352" s="15">
        <v>861</v>
      </c>
      <c r="I1352" s="16">
        <v>327.18</v>
      </c>
      <c r="J1352" s="16">
        <v>224.20964467005078</v>
      </c>
      <c r="K1352" s="16">
        <v>102.97035532994923</v>
      </c>
      <c r="L1352" s="13">
        <v>1.1000000000000001</v>
      </c>
      <c r="M1352" s="13"/>
      <c r="N1352" s="17">
        <f t="shared" si="45"/>
        <v>947.1</v>
      </c>
      <c r="O1352" s="17">
        <f t="shared" si="45"/>
        <v>0</v>
      </c>
      <c r="P1352" s="17">
        <f t="shared" si="46"/>
        <v>947.1</v>
      </c>
      <c r="Q1352" t="str">
        <f>A1352&amp;"-"&amp;B1352&amp;"-"&amp;D1352</f>
        <v>APRIL-CVA-L3</v>
      </c>
    </row>
    <row r="1353" spans="1:17" x14ac:dyDescent="0.25">
      <c r="A1353" t="s">
        <v>394</v>
      </c>
      <c r="B1353" s="13" t="s">
        <v>23</v>
      </c>
      <c r="C1353" s="13" t="s">
        <v>201</v>
      </c>
      <c r="D1353" s="14" t="s">
        <v>56</v>
      </c>
      <c r="E1353" s="13" t="s">
        <v>191</v>
      </c>
      <c r="F1353" s="13" t="s">
        <v>729</v>
      </c>
      <c r="G1353" s="13">
        <v>0.43000000000000005</v>
      </c>
      <c r="H1353" s="15">
        <v>9380</v>
      </c>
      <c r="I1353" s="16">
        <v>4033.4</v>
      </c>
      <c r="J1353" s="16">
        <v>3957.43</v>
      </c>
      <c r="K1353" s="16">
        <v>75.970000000000084</v>
      </c>
      <c r="L1353" s="13">
        <v>1.1499999999999999</v>
      </c>
      <c r="M1353" s="13"/>
      <c r="N1353" s="17">
        <f t="shared" si="45"/>
        <v>10787</v>
      </c>
      <c r="O1353" s="17">
        <f t="shared" si="45"/>
        <v>0</v>
      </c>
      <c r="P1353" s="17">
        <f t="shared" si="46"/>
        <v>10787</v>
      </c>
      <c r="Q1353" t="str">
        <f>A1353&amp;"-"&amp;B1353&amp;"-"&amp;D1353</f>
        <v>APRIL-CVA-L3</v>
      </c>
    </row>
    <row r="1354" spans="1:17" x14ac:dyDescent="0.25">
      <c r="A1354" t="s">
        <v>394</v>
      </c>
      <c r="B1354" s="13" t="s">
        <v>23</v>
      </c>
      <c r="C1354" s="13" t="s">
        <v>201</v>
      </c>
      <c r="D1354" s="14" t="s">
        <v>158</v>
      </c>
      <c r="E1354" s="13" t="s">
        <v>191</v>
      </c>
      <c r="F1354" s="13" t="s">
        <v>727</v>
      </c>
      <c r="G1354" s="13">
        <v>0.76</v>
      </c>
      <c r="H1354" s="15">
        <v>200</v>
      </c>
      <c r="I1354" s="16">
        <v>152</v>
      </c>
      <c r="J1354" s="16">
        <v>366.43</v>
      </c>
      <c r="K1354" s="16">
        <v>-214.43</v>
      </c>
      <c r="L1354" s="13">
        <v>1.95</v>
      </c>
      <c r="M1354" s="13"/>
      <c r="N1354" s="17">
        <f t="shared" si="45"/>
        <v>390</v>
      </c>
      <c r="O1354" s="17">
        <f t="shared" si="45"/>
        <v>0</v>
      </c>
      <c r="P1354" s="17">
        <f t="shared" si="46"/>
        <v>390</v>
      </c>
      <c r="Q1354" t="str">
        <f>A1354&amp;"-"&amp;B1354&amp;"-"&amp;D1354</f>
        <v>APRIL-CVA-L4</v>
      </c>
    </row>
    <row r="1355" spans="1:17" x14ac:dyDescent="0.25">
      <c r="A1355" t="s">
        <v>394</v>
      </c>
      <c r="B1355" s="13" t="s">
        <v>23</v>
      </c>
      <c r="C1355" s="13" t="s">
        <v>201</v>
      </c>
      <c r="D1355" s="14" t="s">
        <v>158</v>
      </c>
      <c r="E1355" s="13" t="s">
        <v>191</v>
      </c>
      <c r="F1355" s="13" t="s">
        <v>728</v>
      </c>
      <c r="G1355" s="13">
        <v>0.37999999999999995</v>
      </c>
      <c r="H1355" s="15">
        <v>11550</v>
      </c>
      <c r="I1355" s="16">
        <v>4389</v>
      </c>
      <c r="J1355" s="16">
        <v>4043.83</v>
      </c>
      <c r="K1355" s="16">
        <v>345.16999999999996</v>
      </c>
      <c r="L1355" s="13">
        <v>1.24</v>
      </c>
      <c r="M1355" s="13"/>
      <c r="N1355" s="17">
        <f t="shared" si="45"/>
        <v>14322</v>
      </c>
      <c r="O1355" s="17">
        <f t="shared" si="45"/>
        <v>0</v>
      </c>
      <c r="P1355" s="17">
        <f t="shared" si="46"/>
        <v>14322</v>
      </c>
      <c r="Q1355" t="str">
        <f>A1355&amp;"-"&amp;B1355&amp;"-"&amp;D1355</f>
        <v>APRIL-CVA-L4</v>
      </c>
    </row>
    <row r="1356" spans="1:17" x14ac:dyDescent="0.25">
      <c r="A1356" t="s">
        <v>394</v>
      </c>
      <c r="B1356" s="13" t="s">
        <v>23</v>
      </c>
      <c r="C1356" s="13" t="s">
        <v>201</v>
      </c>
      <c r="D1356" s="14" t="s">
        <v>158</v>
      </c>
      <c r="E1356" s="13" t="s">
        <v>191</v>
      </c>
      <c r="F1356" s="13" t="s">
        <v>443</v>
      </c>
      <c r="G1356" s="13">
        <v>0.38</v>
      </c>
      <c r="H1356" s="15">
        <v>760</v>
      </c>
      <c r="I1356" s="16">
        <v>288.8</v>
      </c>
      <c r="J1356" s="16">
        <v>366.43</v>
      </c>
      <c r="K1356" s="16">
        <v>-77.63</v>
      </c>
      <c r="L1356" s="13">
        <v>1.1499999999999999</v>
      </c>
      <c r="M1356" s="13"/>
      <c r="N1356" s="17">
        <f t="shared" si="45"/>
        <v>873.99999999999989</v>
      </c>
      <c r="O1356" s="17">
        <f t="shared" si="45"/>
        <v>0</v>
      </c>
      <c r="P1356" s="17">
        <f t="shared" si="46"/>
        <v>873.99999999999989</v>
      </c>
      <c r="Q1356" t="str">
        <f>A1356&amp;"-"&amp;B1356&amp;"-"&amp;D1356</f>
        <v>APRIL-CVA-L4</v>
      </c>
    </row>
    <row r="1357" spans="1:17" x14ac:dyDescent="0.25">
      <c r="A1357" t="s">
        <v>394</v>
      </c>
      <c r="B1357" s="13" t="s">
        <v>23</v>
      </c>
      <c r="C1357" s="13" t="s">
        <v>201</v>
      </c>
      <c r="D1357" s="14" t="s">
        <v>158</v>
      </c>
      <c r="E1357" s="13" t="s">
        <v>191</v>
      </c>
      <c r="F1357" s="13" t="s">
        <v>726</v>
      </c>
      <c r="G1357" s="13">
        <v>0.38</v>
      </c>
      <c r="H1357" s="15">
        <v>1580</v>
      </c>
      <c r="I1357" s="16">
        <v>600.4</v>
      </c>
      <c r="J1357" s="16">
        <v>426.6</v>
      </c>
      <c r="K1357" s="16">
        <v>173.79999999999995</v>
      </c>
      <c r="L1357" s="13">
        <v>1.1000000000000001</v>
      </c>
      <c r="M1357" s="13"/>
      <c r="N1357" s="17">
        <f t="shared" si="45"/>
        <v>1738.0000000000002</v>
      </c>
      <c r="O1357" s="17">
        <f t="shared" si="45"/>
        <v>0</v>
      </c>
      <c r="P1357" s="17">
        <f t="shared" si="46"/>
        <v>1738.0000000000002</v>
      </c>
      <c r="Q1357" t="str">
        <f>A1357&amp;"-"&amp;B1357&amp;"-"&amp;D1357</f>
        <v>APRIL-CVA-L4</v>
      </c>
    </row>
    <row r="1358" spans="1:17" x14ac:dyDescent="0.25">
      <c r="A1358" t="s">
        <v>394</v>
      </c>
      <c r="B1358" s="13" t="s">
        <v>23</v>
      </c>
      <c r="C1358" s="13" t="s">
        <v>201</v>
      </c>
      <c r="D1358" s="14" t="s">
        <v>158</v>
      </c>
      <c r="E1358" s="13" t="s">
        <v>191</v>
      </c>
      <c r="F1358" s="13" t="s">
        <v>729</v>
      </c>
      <c r="G1358" s="13">
        <v>0.43000000000000005</v>
      </c>
      <c r="H1358" s="15">
        <v>8610</v>
      </c>
      <c r="I1358" s="16">
        <v>3702.2999999999993</v>
      </c>
      <c r="J1358" s="16">
        <v>3957.43</v>
      </c>
      <c r="K1358" s="16">
        <v>-255.13000000000005</v>
      </c>
      <c r="L1358" s="13">
        <v>1.1499999999999999</v>
      </c>
      <c r="M1358" s="13"/>
      <c r="N1358" s="17">
        <f t="shared" si="45"/>
        <v>9901.5</v>
      </c>
      <c r="O1358" s="17">
        <f t="shared" si="45"/>
        <v>0</v>
      </c>
      <c r="P1358" s="17">
        <f t="shared" si="46"/>
        <v>9901.5</v>
      </c>
      <c r="Q1358" t="str">
        <f>A1358&amp;"-"&amp;B1358&amp;"-"&amp;D1358</f>
        <v>APRIL-CVA-L4</v>
      </c>
    </row>
    <row r="1359" spans="1:17" x14ac:dyDescent="0.25">
      <c r="A1359" t="s">
        <v>394</v>
      </c>
      <c r="B1359" s="13" t="s">
        <v>23</v>
      </c>
      <c r="C1359" s="13" t="s">
        <v>201</v>
      </c>
      <c r="D1359" s="14" t="s">
        <v>160</v>
      </c>
      <c r="E1359" s="13" t="s">
        <v>191</v>
      </c>
      <c r="F1359" s="13" t="s">
        <v>728</v>
      </c>
      <c r="G1359" s="13">
        <v>0.37999999999999995</v>
      </c>
      <c r="H1359" s="15">
        <v>16967</v>
      </c>
      <c r="I1359" s="16">
        <v>6447.46</v>
      </c>
      <c r="J1359" s="16">
        <v>5349.8600000000006</v>
      </c>
      <c r="K1359" s="16">
        <v>1097.5999999999999</v>
      </c>
      <c r="L1359" s="13">
        <v>1.24</v>
      </c>
      <c r="M1359" s="13"/>
      <c r="N1359" s="17">
        <f t="shared" si="45"/>
        <v>21039.079999999998</v>
      </c>
      <c r="O1359" s="17">
        <f t="shared" si="45"/>
        <v>0</v>
      </c>
      <c r="P1359" s="17">
        <f t="shared" si="46"/>
        <v>21039.079999999998</v>
      </c>
      <c r="Q1359" t="str">
        <f>A1359&amp;"-"&amp;B1359&amp;"-"&amp;D1359</f>
        <v>APRIL-CVA-L5</v>
      </c>
    </row>
    <row r="1360" spans="1:17" x14ac:dyDescent="0.25">
      <c r="A1360" t="s">
        <v>394</v>
      </c>
      <c r="B1360" s="13" t="s">
        <v>23</v>
      </c>
      <c r="C1360" s="13" t="s">
        <v>201</v>
      </c>
      <c r="D1360" s="14" t="s">
        <v>160</v>
      </c>
      <c r="E1360" s="13" t="s">
        <v>191</v>
      </c>
      <c r="F1360" s="13" t="s">
        <v>568</v>
      </c>
      <c r="G1360" s="13">
        <v>0.38</v>
      </c>
      <c r="H1360" s="15">
        <v>10560</v>
      </c>
      <c r="I1360" s="16">
        <v>4012.8</v>
      </c>
      <c r="J1360" s="16">
        <v>2418.4300000000003</v>
      </c>
      <c r="K1360" s="16">
        <v>1594.3700000000001</v>
      </c>
      <c r="L1360" s="13">
        <v>1.1499999999999999</v>
      </c>
      <c r="M1360" s="13"/>
      <c r="N1360" s="17">
        <f t="shared" si="45"/>
        <v>12143.999999999998</v>
      </c>
      <c r="O1360" s="17">
        <f t="shared" si="45"/>
        <v>0</v>
      </c>
      <c r="P1360" s="17">
        <f t="shared" si="46"/>
        <v>12143.999999999998</v>
      </c>
      <c r="Q1360" t="str">
        <f>A1360&amp;"-"&amp;B1360&amp;"-"&amp;D1360</f>
        <v>APRIL-CVA-L5</v>
      </c>
    </row>
    <row r="1361" spans="1:17" x14ac:dyDescent="0.25">
      <c r="A1361" t="s">
        <v>394</v>
      </c>
      <c r="B1361" s="13" t="s">
        <v>23</v>
      </c>
      <c r="C1361" s="13" t="s">
        <v>201</v>
      </c>
      <c r="D1361" s="14" t="s">
        <v>160</v>
      </c>
      <c r="E1361" s="13" t="s">
        <v>191</v>
      </c>
      <c r="F1361" s="13" t="s">
        <v>729</v>
      </c>
      <c r="G1361" s="13">
        <v>0.43</v>
      </c>
      <c r="H1361" s="15">
        <v>4480</v>
      </c>
      <c r="I1361" s="16">
        <v>1926.4</v>
      </c>
      <c r="J1361" s="16">
        <v>1905.43</v>
      </c>
      <c r="K1361" s="16">
        <v>20.96999999999997</v>
      </c>
      <c r="L1361" s="13">
        <v>1.1499999999999999</v>
      </c>
      <c r="M1361" s="13"/>
      <c r="N1361" s="17">
        <f t="shared" si="45"/>
        <v>5152</v>
      </c>
      <c r="O1361" s="17">
        <f t="shared" si="45"/>
        <v>0</v>
      </c>
      <c r="P1361" s="17">
        <f t="shared" si="46"/>
        <v>5152</v>
      </c>
      <c r="Q1361" t="str">
        <f>A1361&amp;"-"&amp;B1361&amp;"-"&amp;D1361</f>
        <v>APRIL-CVA-L5</v>
      </c>
    </row>
    <row r="1362" spans="1:17" x14ac:dyDescent="0.25">
      <c r="A1362" t="s">
        <v>394</v>
      </c>
      <c r="B1362" s="13" t="s">
        <v>23</v>
      </c>
      <c r="C1362" s="13" t="s">
        <v>201</v>
      </c>
      <c r="D1362" s="14" t="s">
        <v>163</v>
      </c>
      <c r="E1362" s="13" t="s">
        <v>191</v>
      </c>
      <c r="F1362" s="13" t="s">
        <v>728</v>
      </c>
      <c r="G1362" s="13">
        <v>0.37999999999999995</v>
      </c>
      <c r="H1362" s="15">
        <v>13530</v>
      </c>
      <c r="I1362" s="16">
        <v>5141.4000000000005</v>
      </c>
      <c r="J1362" s="16">
        <v>4323.8600000000006</v>
      </c>
      <c r="K1362" s="16">
        <v>817.54000000000019</v>
      </c>
      <c r="L1362" s="13">
        <v>1.24</v>
      </c>
      <c r="M1362" s="13"/>
      <c r="N1362" s="17">
        <f t="shared" si="45"/>
        <v>16777.2</v>
      </c>
      <c r="O1362" s="17">
        <f t="shared" si="45"/>
        <v>0</v>
      </c>
      <c r="P1362" s="17">
        <f t="shared" si="46"/>
        <v>16777.2</v>
      </c>
      <c r="Q1362" t="str">
        <f>A1362&amp;"-"&amp;B1362&amp;"-"&amp;D1362</f>
        <v>APRIL-CVA-L6</v>
      </c>
    </row>
    <row r="1363" spans="1:17" x14ac:dyDescent="0.25">
      <c r="A1363" t="s">
        <v>394</v>
      </c>
      <c r="B1363" s="13" t="s">
        <v>23</v>
      </c>
      <c r="C1363" s="13" t="s">
        <v>201</v>
      </c>
      <c r="D1363" s="14" t="s">
        <v>163</v>
      </c>
      <c r="E1363" s="13" t="s">
        <v>191</v>
      </c>
      <c r="F1363" s="13" t="s">
        <v>568</v>
      </c>
      <c r="G1363" s="13">
        <v>0.38</v>
      </c>
      <c r="H1363" s="15">
        <v>8545</v>
      </c>
      <c r="I1363" s="16">
        <v>3247.1</v>
      </c>
      <c r="J1363" s="16">
        <v>2319.9340000000002</v>
      </c>
      <c r="K1363" s="16">
        <v>927.16599999999994</v>
      </c>
      <c r="L1363" s="13">
        <v>1.1499999999999999</v>
      </c>
      <c r="M1363" s="13"/>
      <c r="N1363" s="17">
        <f t="shared" si="45"/>
        <v>9826.75</v>
      </c>
      <c r="O1363" s="17">
        <f t="shared" si="45"/>
        <v>0</v>
      </c>
      <c r="P1363" s="17">
        <f t="shared" si="46"/>
        <v>9826.75</v>
      </c>
      <c r="Q1363" t="str">
        <f>A1363&amp;"-"&amp;B1363&amp;"-"&amp;D1363</f>
        <v>APRIL-CVA-L6</v>
      </c>
    </row>
    <row r="1364" spans="1:17" x14ac:dyDescent="0.25">
      <c r="A1364" t="s">
        <v>394</v>
      </c>
      <c r="B1364" s="13" t="s">
        <v>23</v>
      </c>
      <c r="C1364" s="13" t="s">
        <v>201</v>
      </c>
      <c r="D1364" s="14" t="s">
        <v>163</v>
      </c>
      <c r="E1364" s="13" t="s">
        <v>191</v>
      </c>
      <c r="F1364" s="13" t="s">
        <v>729</v>
      </c>
      <c r="G1364" s="13">
        <v>0.43</v>
      </c>
      <c r="H1364" s="15">
        <v>4703</v>
      </c>
      <c r="I1364" s="16">
        <v>2022.29</v>
      </c>
      <c r="J1364" s="16">
        <v>2516.9259999999999</v>
      </c>
      <c r="K1364" s="16">
        <v>-494.63600000000002</v>
      </c>
      <c r="L1364" s="13">
        <v>1.1499999999999999</v>
      </c>
      <c r="M1364" s="13"/>
      <c r="N1364" s="17">
        <f t="shared" si="45"/>
        <v>5408.45</v>
      </c>
      <c r="O1364" s="17">
        <f t="shared" si="45"/>
        <v>0</v>
      </c>
      <c r="P1364" s="17">
        <f t="shared" si="46"/>
        <v>5408.45</v>
      </c>
      <c r="Q1364" t="str">
        <f>A1364&amp;"-"&amp;B1364&amp;"-"&amp;D1364</f>
        <v>APRIL-CVA-L6</v>
      </c>
    </row>
    <row r="1365" spans="1:17" x14ac:dyDescent="0.25">
      <c r="A1365" t="s">
        <v>394</v>
      </c>
      <c r="B1365" s="13" t="s">
        <v>23</v>
      </c>
      <c r="C1365" s="13" t="s">
        <v>201</v>
      </c>
      <c r="D1365" s="14" t="s">
        <v>164</v>
      </c>
      <c r="E1365" s="13" t="s">
        <v>191</v>
      </c>
      <c r="F1365" s="13" t="s">
        <v>728</v>
      </c>
      <c r="G1365" s="13">
        <v>0.38</v>
      </c>
      <c r="H1365" s="15">
        <v>1640</v>
      </c>
      <c r="I1365" s="16">
        <v>623.20000000000005</v>
      </c>
      <c r="J1365" s="16">
        <v>534.92266862170095</v>
      </c>
      <c r="K1365" s="16">
        <v>88.277331378299095</v>
      </c>
      <c r="L1365" s="13">
        <v>1.24</v>
      </c>
      <c r="M1365" s="13"/>
      <c r="N1365" s="17">
        <f t="shared" si="45"/>
        <v>2033.6</v>
      </c>
      <c r="O1365" s="17">
        <f t="shared" si="45"/>
        <v>0</v>
      </c>
      <c r="P1365" s="17">
        <f t="shared" si="46"/>
        <v>2033.6</v>
      </c>
      <c r="Q1365" t="str">
        <f>A1365&amp;"-"&amp;B1365&amp;"-"&amp;D1365</f>
        <v>APRIL-CVA-L7</v>
      </c>
    </row>
    <row r="1366" spans="1:17" x14ac:dyDescent="0.25">
      <c r="A1366" t="s">
        <v>394</v>
      </c>
      <c r="B1366" s="13" t="s">
        <v>23</v>
      </c>
      <c r="C1366" s="13" t="s">
        <v>201</v>
      </c>
      <c r="D1366" s="14" t="s">
        <v>164</v>
      </c>
      <c r="E1366" s="13" t="s">
        <v>191</v>
      </c>
      <c r="F1366" s="13" t="s">
        <v>724</v>
      </c>
      <c r="G1366" s="13">
        <v>0.37999999999999995</v>
      </c>
      <c r="H1366" s="15">
        <v>11539</v>
      </c>
      <c r="I1366" s="16">
        <v>4384.8200000000006</v>
      </c>
      <c r="J1366" s="16">
        <v>3781.3023207475408</v>
      </c>
      <c r="K1366" s="16">
        <v>603.51767925245917</v>
      </c>
      <c r="L1366" s="13">
        <v>1.24</v>
      </c>
      <c r="M1366" s="13"/>
      <c r="N1366" s="17">
        <f t="shared" si="45"/>
        <v>14308.36</v>
      </c>
      <c r="O1366" s="17">
        <f t="shared" si="45"/>
        <v>0</v>
      </c>
      <c r="P1366" s="17">
        <f t="shared" si="46"/>
        <v>14308.36</v>
      </c>
      <c r="Q1366" t="str">
        <f>A1366&amp;"-"&amp;B1366&amp;"-"&amp;D1366</f>
        <v>APRIL-CVA-L7</v>
      </c>
    </row>
    <row r="1367" spans="1:17" x14ac:dyDescent="0.25">
      <c r="A1367" t="s">
        <v>394</v>
      </c>
      <c r="B1367" s="13" t="s">
        <v>23</v>
      </c>
      <c r="C1367" s="13" t="s">
        <v>201</v>
      </c>
      <c r="D1367" s="14" t="s">
        <v>164</v>
      </c>
      <c r="E1367" s="13" t="s">
        <v>191</v>
      </c>
      <c r="F1367" s="13" t="s">
        <v>568</v>
      </c>
      <c r="G1367" s="13">
        <v>0.38</v>
      </c>
      <c r="H1367" s="15">
        <v>7765</v>
      </c>
      <c r="I1367" s="16">
        <v>2950.7</v>
      </c>
      <c r="J1367" s="16">
        <v>1905.43</v>
      </c>
      <c r="K1367" s="16">
        <v>1045.27</v>
      </c>
      <c r="L1367" s="13">
        <v>1.1499999999999999</v>
      </c>
      <c r="M1367" s="13"/>
      <c r="N1367" s="17">
        <f t="shared" si="45"/>
        <v>8929.75</v>
      </c>
      <c r="O1367" s="17">
        <f t="shared" si="45"/>
        <v>0</v>
      </c>
      <c r="P1367" s="17">
        <f t="shared" si="46"/>
        <v>8929.75</v>
      </c>
      <c r="Q1367" t="str">
        <f>A1367&amp;"-"&amp;B1367&amp;"-"&amp;D1367</f>
        <v>APRIL-CVA-L7</v>
      </c>
    </row>
    <row r="1368" spans="1:17" x14ac:dyDescent="0.25">
      <c r="A1368" t="s">
        <v>394</v>
      </c>
      <c r="B1368" s="13" t="s">
        <v>23</v>
      </c>
      <c r="C1368" s="13" t="s">
        <v>201</v>
      </c>
      <c r="D1368" s="14" t="s">
        <v>164</v>
      </c>
      <c r="E1368" s="13" t="s">
        <v>191</v>
      </c>
      <c r="F1368" s="13" t="s">
        <v>726</v>
      </c>
      <c r="G1368" s="13">
        <v>0.37999999999999995</v>
      </c>
      <c r="H1368" s="15">
        <v>11153</v>
      </c>
      <c r="I1368" s="16">
        <v>4238.1399999999994</v>
      </c>
      <c r="J1368" s="16">
        <v>2939.0650106307585</v>
      </c>
      <c r="K1368" s="16">
        <v>1299.0749893692416</v>
      </c>
      <c r="L1368" s="13">
        <v>1.1000000000000001</v>
      </c>
      <c r="M1368" s="13"/>
      <c r="N1368" s="17">
        <f t="shared" si="45"/>
        <v>12268.300000000001</v>
      </c>
      <c r="O1368" s="17">
        <f t="shared" si="45"/>
        <v>0</v>
      </c>
      <c r="P1368" s="17">
        <f t="shared" si="46"/>
        <v>12268.300000000001</v>
      </c>
      <c r="Q1368" t="str">
        <f>A1368&amp;"-"&amp;B1368&amp;"-"&amp;D1368</f>
        <v>APRIL-CVA-L7</v>
      </c>
    </row>
    <row r="1369" spans="1:17" x14ac:dyDescent="0.25">
      <c r="A1369" t="s">
        <v>394</v>
      </c>
      <c r="B1369" s="13" t="s">
        <v>23</v>
      </c>
      <c r="C1369" s="13" t="s">
        <v>201</v>
      </c>
      <c r="D1369" s="14" t="s">
        <v>198</v>
      </c>
      <c r="E1369" s="13" t="s">
        <v>191</v>
      </c>
      <c r="F1369" s="13" t="s">
        <v>728</v>
      </c>
      <c r="G1369" s="13">
        <v>0.38</v>
      </c>
      <c r="H1369" s="15">
        <v>2480</v>
      </c>
      <c r="I1369" s="16">
        <v>942.40000000000009</v>
      </c>
      <c r="J1369" s="16">
        <v>879.43000000000006</v>
      </c>
      <c r="K1369" s="16">
        <v>62.970000000000027</v>
      </c>
      <c r="L1369" s="13">
        <v>1.24</v>
      </c>
      <c r="M1369" s="13"/>
      <c r="N1369" s="17">
        <f t="shared" si="45"/>
        <v>3075.2</v>
      </c>
      <c r="O1369" s="17">
        <f t="shared" si="45"/>
        <v>0</v>
      </c>
      <c r="P1369" s="17">
        <f t="shared" si="46"/>
        <v>3075.2</v>
      </c>
      <c r="Q1369" t="str">
        <f>A1369&amp;"-"&amp;B1369&amp;"-"&amp;D1369</f>
        <v>APRIL-CVA-L8</v>
      </c>
    </row>
    <row r="1370" spans="1:17" x14ac:dyDescent="0.25">
      <c r="A1370" t="s">
        <v>394</v>
      </c>
      <c r="B1370" s="13" t="s">
        <v>23</v>
      </c>
      <c r="C1370" s="13" t="s">
        <v>201</v>
      </c>
      <c r="D1370" s="14" t="s">
        <v>198</v>
      </c>
      <c r="E1370" s="13" t="s">
        <v>191</v>
      </c>
      <c r="F1370" s="13" t="s">
        <v>724</v>
      </c>
      <c r="G1370" s="13">
        <v>0.37999999999999995</v>
      </c>
      <c r="H1370" s="15">
        <v>11807</v>
      </c>
      <c r="I1370" s="16">
        <v>4486.66</v>
      </c>
      <c r="J1370" s="16">
        <v>3957.4300000000003</v>
      </c>
      <c r="K1370" s="16">
        <v>529.23</v>
      </c>
      <c r="L1370" s="13">
        <v>1.24</v>
      </c>
      <c r="M1370" s="13"/>
      <c r="N1370" s="17">
        <f t="shared" si="45"/>
        <v>14640.68</v>
      </c>
      <c r="O1370" s="17">
        <f t="shared" si="45"/>
        <v>0</v>
      </c>
      <c r="P1370" s="17">
        <f t="shared" si="46"/>
        <v>14640.68</v>
      </c>
      <c r="Q1370" t="str">
        <f>A1370&amp;"-"&amp;B1370&amp;"-"&amp;D1370</f>
        <v>APRIL-CVA-L8</v>
      </c>
    </row>
    <row r="1371" spans="1:17" x14ac:dyDescent="0.25">
      <c r="A1371" t="s">
        <v>394</v>
      </c>
      <c r="B1371" s="13" t="s">
        <v>23</v>
      </c>
      <c r="C1371" s="13" t="s">
        <v>201</v>
      </c>
      <c r="D1371" s="14" t="s">
        <v>198</v>
      </c>
      <c r="E1371" s="13" t="s">
        <v>191</v>
      </c>
      <c r="F1371" s="13" t="s">
        <v>568</v>
      </c>
      <c r="G1371" s="13">
        <v>0.38</v>
      </c>
      <c r="H1371" s="15">
        <v>7590</v>
      </c>
      <c r="I1371" s="16">
        <v>2884.2</v>
      </c>
      <c r="J1371" s="16">
        <v>1905.43</v>
      </c>
      <c r="K1371" s="16">
        <v>978.77</v>
      </c>
      <c r="L1371" s="13">
        <v>1.1499999999999999</v>
      </c>
      <c r="M1371" s="13"/>
      <c r="N1371" s="17">
        <f t="shared" si="45"/>
        <v>8728.5</v>
      </c>
      <c r="O1371" s="17">
        <f t="shared" si="45"/>
        <v>0</v>
      </c>
      <c r="P1371" s="17">
        <f t="shared" si="46"/>
        <v>8728.5</v>
      </c>
      <c r="Q1371" t="str">
        <f>A1371&amp;"-"&amp;B1371&amp;"-"&amp;D1371</f>
        <v>APRIL-CVA-L8</v>
      </c>
    </row>
    <row r="1372" spans="1:17" x14ac:dyDescent="0.25">
      <c r="A1372" t="s">
        <v>394</v>
      </c>
      <c r="B1372" s="13" t="s">
        <v>23</v>
      </c>
      <c r="C1372" s="13" t="s">
        <v>201</v>
      </c>
      <c r="D1372" s="14" t="s">
        <v>198</v>
      </c>
      <c r="E1372" s="13" t="s">
        <v>191</v>
      </c>
      <c r="F1372" s="13" t="s">
        <v>726</v>
      </c>
      <c r="G1372" s="13">
        <v>0.37999999999999995</v>
      </c>
      <c r="H1372" s="15">
        <v>10905</v>
      </c>
      <c r="I1372" s="16">
        <v>4143.8999999999996</v>
      </c>
      <c r="J1372" s="16">
        <v>2931.4300000000003</v>
      </c>
      <c r="K1372" s="16">
        <v>1212.47</v>
      </c>
      <c r="L1372" s="13">
        <v>1.1000000000000001</v>
      </c>
      <c r="M1372" s="13"/>
      <c r="N1372" s="17">
        <f t="shared" si="45"/>
        <v>11995.500000000002</v>
      </c>
      <c r="O1372" s="17">
        <f t="shared" si="45"/>
        <v>0</v>
      </c>
      <c r="P1372" s="17">
        <f t="shared" si="46"/>
        <v>11995.500000000002</v>
      </c>
      <c r="Q1372" t="str">
        <f>A1372&amp;"-"&amp;B1372&amp;"-"&amp;D1372</f>
        <v>APRIL-CVA-L8</v>
      </c>
    </row>
    <row r="1373" spans="1:17" x14ac:dyDescent="0.25">
      <c r="A1373" t="s">
        <v>394</v>
      </c>
      <c r="B1373" s="13" t="s">
        <v>23</v>
      </c>
      <c r="C1373" s="13" t="s">
        <v>201</v>
      </c>
      <c r="D1373" s="14" t="s">
        <v>199</v>
      </c>
      <c r="E1373" s="13" t="s">
        <v>191</v>
      </c>
      <c r="F1373" s="13" t="s">
        <v>724</v>
      </c>
      <c r="G1373" s="13">
        <v>0.37999999999999995</v>
      </c>
      <c r="H1373" s="15">
        <v>7801</v>
      </c>
      <c r="I1373" s="16">
        <v>2964.38</v>
      </c>
      <c r="J1373" s="16">
        <v>3927.8052887537992</v>
      </c>
      <c r="K1373" s="16">
        <v>-963.42528875379946</v>
      </c>
      <c r="L1373" s="13">
        <v>1.24</v>
      </c>
      <c r="M1373" s="13"/>
      <c r="N1373" s="17">
        <f t="shared" si="45"/>
        <v>9673.24</v>
      </c>
      <c r="O1373" s="17">
        <f t="shared" si="45"/>
        <v>0</v>
      </c>
      <c r="P1373" s="17">
        <f t="shared" si="46"/>
        <v>9673.24</v>
      </c>
      <c r="Q1373" t="str">
        <f>A1373&amp;"-"&amp;B1373&amp;"-"&amp;D1373</f>
        <v>APRIL-CVA-L9</v>
      </c>
    </row>
    <row r="1374" spans="1:17" x14ac:dyDescent="0.25">
      <c r="A1374" t="s">
        <v>394</v>
      </c>
      <c r="B1374" s="13" t="s">
        <v>23</v>
      </c>
      <c r="C1374" s="13" t="s">
        <v>201</v>
      </c>
      <c r="D1374" s="14" t="s">
        <v>199</v>
      </c>
      <c r="E1374" s="13" t="s">
        <v>191</v>
      </c>
      <c r="F1374" s="13" t="s">
        <v>443</v>
      </c>
      <c r="G1374" s="13">
        <v>0.38</v>
      </c>
      <c r="H1374" s="15">
        <v>1000</v>
      </c>
      <c r="I1374" s="16">
        <v>380</v>
      </c>
      <c r="J1374" s="16">
        <v>366.43</v>
      </c>
      <c r="K1374" s="16">
        <v>13.569999999999993</v>
      </c>
      <c r="L1374" s="13">
        <v>1.1499999999999999</v>
      </c>
      <c r="M1374" s="13"/>
      <c r="N1374" s="17">
        <f t="shared" si="45"/>
        <v>1150</v>
      </c>
      <c r="O1374" s="17">
        <f t="shared" si="45"/>
        <v>0</v>
      </c>
      <c r="P1374" s="17">
        <f t="shared" si="46"/>
        <v>1150</v>
      </c>
      <c r="Q1374" t="str">
        <f>A1374&amp;"-"&amp;B1374&amp;"-"&amp;D1374</f>
        <v>APRIL-CVA-L9</v>
      </c>
    </row>
    <row r="1375" spans="1:17" x14ac:dyDescent="0.25">
      <c r="A1375" t="s">
        <v>394</v>
      </c>
      <c r="B1375" s="13" t="s">
        <v>23</v>
      </c>
      <c r="C1375" s="13" t="s">
        <v>201</v>
      </c>
      <c r="D1375" s="14" t="s">
        <v>199</v>
      </c>
      <c r="E1375" s="13" t="s">
        <v>191</v>
      </c>
      <c r="F1375" s="13" t="s">
        <v>568</v>
      </c>
      <c r="G1375" s="13">
        <v>0.38</v>
      </c>
      <c r="H1375" s="15">
        <v>4813</v>
      </c>
      <c r="I1375" s="16">
        <v>1828.94</v>
      </c>
      <c r="J1375" s="16">
        <v>2090.9817629179333</v>
      </c>
      <c r="K1375" s="16">
        <v>-262.04176291793311</v>
      </c>
      <c r="L1375" s="13">
        <v>1.1499999999999999</v>
      </c>
      <c r="M1375" s="13"/>
      <c r="N1375" s="17">
        <f t="shared" si="45"/>
        <v>5534.95</v>
      </c>
      <c r="O1375" s="17">
        <f t="shared" si="45"/>
        <v>0</v>
      </c>
      <c r="P1375" s="17">
        <f t="shared" si="46"/>
        <v>5534.95</v>
      </c>
      <c r="Q1375" t="str">
        <f>A1375&amp;"-"&amp;B1375&amp;"-"&amp;D1375</f>
        <v>APRIL-CVA-L9</v>
      </c>
    </row>
    <row r="1376" spans="1:17" x14ac:dyDescent="0.25">
      <c r="A1376" t="s">
        <v>394</v>
      </c>
      <c r="B1376" s="13" t="s">
        <v>23</v>
      </c>
      <c r="C1376" s="13" t="s">
        <v>201</v>
      </c>
      <c r="D1376" s="14" t="s">
        <v>199</v>
      </c>
      <c r="E1376" s="13" t="s">
        <v>191</v>
      </c>
      <c r="F1376" s="13" t="s">
        <v>726</v>
      </c>
      <c r="G1376" s="13">
        <v>0.37999999999999995</v>
      </c>
      <c r="H1376" s="15">
        <v>7066</v>
      </c>
      <c r="I1376" s="16">
        <v>2685.08</v>
      </c>
      <c r="J1376" s="16">
        <v>2775.5029483282678</v>
      </c>
      <c r="K1376" s="16">
        <v>-90.422948328267466</v>
      </c>
      <c r="L1376" s="13">
        <v>1.1000000000000001</v>
      </c>
      <c r="M1376" s="13"/>
      <c r="N1376" s="17">
        <f t="shared" ref="N1376:O1437" si="47">$H1376*L1376</f>
        <v>7772.6</v>
      </c>
      <c r="O1376" s="17">
        <f t="shared" si="47"/>
        <v>0</v>
      </c>
      <c r="P1376" s="17">
        <f t="shared" si="46"/>
        <v>7772.6</v>
      </c>
      <c r="Q1376" t="str">
        <f>A1376&amp;"-"&amp;B1376&amp;"-"&amp;D1376</f>
        <v>APRIL-CVA-L9</v>
      </c>
    </row>
    <row r="1377" spans="1:17" x14ac:dyDescent="0.25">
      <c r="A1377" t="s">
        <v>394</v>
      </c>
      <c r="B1377" s="13" t="s">
        <v>24</v>
      </c>
      <c r="C1377" s="13" t="s">
        <v>226</v>
      </c>
      <c r="D1377" s="14" t="s">
        <v>219</v>
      </c>
      <c r="E1377" s="13" t="s">
        <v>61</v>
      </c>
      <c r="F1377" s="13" t="s">
        <v>730</v>
      </c>
      <c r="G1377" s="13">
        <v>0.68</v>
      </c>
      <c r="H1377" s="15">
        <v>1540</v>
      </c>
      <c r="I1377" s="16">
        <v>1047.2</v>
      </c>
      <c r="J1377" s="16">
        <v>712.91733333333332</v>
      </c>
      <c r="K1377" s="16">
        <v>334.28266666666673</v>
      </c>
      <c r="L1377" s="13">
        <v>1.82</v>
      </c>
      <c r="M1377" s="13"/>
      <c r="N1377" s="17">
        <f t="shared" si="47"/>
        <v>2802.8</v>
      </c>
      <c r="O1377" s="17">
        <f t="shared" si="47"/>
        <v>0</v>
      </c>
      <c r="P1377" s="17">
        <f t="shared" si="46"/>
        <v>2802.8</v>
      </c>
      <c r="Q1377" t="str">
        <f>A1377&amp;"-"&amp;B1377&amp;"-"&amp;D1377</f>
        <v>APRIL-KLB-L1A</v>
      </c>
    </row>
    <row r="1378" spans="1:17" x14ac:dyDescent="0.25">
      <c r="A1378" t="s">
        <v>394</v>
      </c>
      <c r="B1378" s="13" t="s">
        <v>24</v>
      </c>
      <c r="C1378" s="13" t="s">
        <v>226</v>
      </c>
      <c r="D1378" s="14" t="s">
        <v>219</v>
      </c>
      <c r="E1378" s="13" t="s">
        <v>61</v>
      </c>
      <c r="F1378" s="13" t="s">
        <v>731</v>
      </c>
      <c r="G1378" s="13">
        <v>0.68</v>
      </c>
      <c r="H1378" s="15">
        <v>890</v>
      </c>
      <c r="I1378" s="16">
        <v>605.20000000000005</v>
      </c>
      <c r="J1378" s="16">
        <v>466.36799999999994</v>
      </c>
      <c r="K1378" s="16">
        <v>138.83200000000005</v>
      </c>
      <c r="L1378" s="13">
        <v>1.82</v>
      </c>
      <c r="M1378" s="13"/>
      <c r="N1378" s="17">
        <f t="shared" si="47"/>
        <v>1619.8</v>
      </c>
      <c r="O1378" s="17">
        <f t="shared" si="47"/>
        <v>0</v>
      </c>
      <c r="P1378" s="17">
        <f t="shared" si="46"/>
        <v>1619.8</v>
      </c>
      <c r="Q1378" t="str">
        <f>A1378&amp;"-"&amp;B1378&amp;"-"&amp;D1378</f>
        <v>APRIL-KLB-L1A</v>
      </c>
    </row>
    <row r="1379" spans="1:17" x14ac:dyDescent="0.25">
      <c r="A1379" t="s">
        <v>394</v>
      </c>
      <c r="B1379" s="13" t="s">
        <v>24</v>
      </c>
      <c r="C1379" s="13" t="s">
        <v>226</v>
      </c>
      <c r="D1379" s="14" t="s">
        <v>219</v>
      </c>
      <c r="E1379" s="13" t="s">
        <v>61</v>
      </c>
      <c r="F1379" s="13" t="s">
        <v>732</v>
      </c>
      <c r="G1379" s="13">
        <v>0.8</v>
      </c>
      <c r="H1379" s="15">
        <v>8810</v>
      </c>
      <c r="I1379" s="16">
        <v>7048</v>
      </c>
      <c r="J1379" s="16">
        <v>3419.2497868712703</v>
      </c>
      <c r="K1379" s="16">
        <v>3628.7502131287297</v>
      </c>
      <c r="L1379" s="13">
        <v>2.1</v>
      </c>
      <c r="M1379" s="13"/>
      <c r="N1379" s="17">
        <f t="shared" si="47"/>
        <v>18501</v>
      </c>
      <c r="O1379" s="17">
        <f t="shared" si="47"/>
        <v>0</v>
      </c>
      <c r="P1379" s="17">
        <f t="shared" si="46"/>
        <v>18501</v>
      </c>
      <c r="Q1379" t="str">
        <f>A1379&amp;"-"&amp;B1379&amp;"-"&amp;D1379</f>
        <v>APRIL-KLB-L1A</v>
      </c>
    </row>
    <row r="1380" spans="1:17" x14ac:dyDescent="0.25">
      <c r="A1380" t="s">
        <v>394</v>
      </c>
      <c r="B1380" s="13" t="s">
        <v>24</v>
      </c>
      <c r="C1380" s="13" t="s">
        <v>226</v>
      </c>
      <c r="D1380" s="14" t="s">
        <v>219</v>
      </c>
      <c r="E1380" s="13" t="s">
        <v>61</v>
      </c>
      <c r="F1380" s="13" t="s">
        <v>733</v>
      </c>
      <c r="G1380" s="13">
        <v>0.68</v>
      </c>
      <c r="H1380" s="15">
        <v>1140</v>
      </c>
      <c r="I1380" s="16">
        <v>775.2</v>
      </c>
      <c r="J1380" s="16">
        <v>537.78260869565213</v>
      </c>
      <c r="K1380" s="16">
        <v>237.41739130434792</v>
      </c>
      <c r="L1380" s="13">
        <v>1.82</v>
      </c>
      <c r="M1380" s="13"/>
      <c r="N1380" s="17">
        <f t="shared" si="47"/>
        <v>2074.8000000000002</v>
      </c>
      <c r="O1380" s="17">
        <f t="shared" si="47"/>
        <v>0</v>
      </c>
      <c r="P1380" s="17">
        <f t="shared" si="46"/>
        <v>2074.8000000000002</v>
      </c>
      <c r="Q1380" t="str">
        <f>A1380&amp;"-"&amp;B1380&amp;"-"&amp;D1380</f>
        <v>APRIL-KLB-L1A</v>
      </c>
    </row>
    <row r="1381" spans="1:17" x14ac:dyDescent="0.25">
      <c r="A1381" t="s">
        <v>394</v>
      </c>
      <c r="B1381" s="13" t="s">
        <v>24</v>
      </c>
      <c r="C1381" s="13" t="s">
        <v>226</v>
      </c>
      <c r="D1381" s="14" t="s">
        <v>219</v>
      </c>
      <c r="E1381" s="13" t="s">
        <v>61</v>
      </c>
      <c r="F1381" s="13" t="s">
        <v>734</v>
      </c>
      <c r="G1381" s="13">
        <v>0.68</v>
      </c>
      <c r="H1381" s="15">
        <v>9490</v>
      </c>
      <c r="I1381" s="16">
        <v>6453.1999999999989</v>
      </c>
      <c r="J1381" s="16">
        <v>3797.8665141113656</v>
      </c>
      <c r="K1381" s="16">
        <v>2655.3334858886346</v>
      </c>
      <c r="L1381" s="13">
        <v>1.82</v>
      </c>
      <c r="M1381" s="13"/>
      <c r="N1381" s="17">
        <f t="shared" si="47"/>
        <v>17271.8</v>
      </c>
      <c r="O1381" s="17">
        <f t="shared" si="47"/>
        <v>0</v>
      </c>
      <c r="P1381" s="17">
        <f t="shared" si="46"/>
        <v>17271.8</v>
      </c>
      <c r="Q1381" t="str">
        <f>A1381&amp;"-"&amp;B1381&amp;"-"&amp;D1381</f>
        <v>APRIL-KLB-L1A</v>
      </c>
    </row>
    <row r="1382" spans="1:17" x14ac:dyDescent="0.25">
      <c r="A1382" t="s">
        <v>394</v>
      </c>
      <c r="B1382" s="13" t="s">
        <v>24</v>
      </c>
      <c r="C1382" s="13" t="s">
        <v>226</v>
      </c>
      <c r="D1382" s="14" t="s">
        <v>219</v>
      </c>
      <c r="E1382" s="13" t="s">
        <v>61</v>
      </c>
      <c r="F1382" s="13" t="s">
        <v>735</v>
      </c>
      <c r="G1382" s="13">
        <v>0.8</v>
      </c>
      <c r="H1382" s="15">
        <v>2230</v>
      </c>
      <c r="I1382" s="16">
        <v>1784</v>
      </c>
      <c r="J1382" s="16">
        <v>868</v>
      </c>
      <c r="K1382" s="16">
        <v>916</v>
      </c>
      <c r="L1382" s="13">
        <v>2.1</v>
      </c>
      <c r="M1382" s="13"/>
      <c r="N1382" s="17">
        <f t="shared" si="47"/>
        <v>4683</v>
      </c>
      <c r="O1382" s="17">
        <f t="shared" si="47"/>
        <v>0</v>
      </c>
      <c r="P1382" s="17">
        <f t="shared" si="46"/>
        <v>4683</v>
      </c>
      <c r="Q1382" t="str">
        <f>A1382&amp;"-"&amp;B1382&amp;"-"&amp;D1382</f>
        <v>APRIL-KLB-L1A</v>
      </c>
    </row>
    <row r="1383" spans="1:17" x14ac:dyDescent="0.25">
      <c r="A1383" t="s">
        <v>394</v>
      </c>
      <c r="B1383" s="13" t="s">
        <v>24</v>
      </c>
      <c r="C1383" s="13" t="s">
        <v>226</v>
      </c>
      <c r="D1383" s="14" t="s">
        <v>219</v>
      </c>
      <c r="E1383" s="13" t="s">
        <v>61</v>
      </c>
      <c r="F1383" s="13" t="s">
        <v>736</v>
      </c>
      <c r="G1383" s="13">
        <v>0.69</v>
      </c>
      <c r="H1383" s="15">
        <v>725</v>
      </c>
      <c r="I1383" s="16">
        <v>500.25</v>
      </c>
      <c r="J1383" s="16">
        <v>405.5146666666667</v>
      </c>
      <c r="K1383" s="16">
        <v>94.735333333333301</v>
      </c>
      <c r="L1383" s="13">
        <v>1.83</v>
      </c>
      <c r="M1383" s="13"/>
      <c r="N1383" s="17">
        <f t="shared" si="47"/>
        <v>1326.75</v>
      </c>
      <c r="O1383" s="17">
        <f t="shared" si="47"/>
        <v>0</v>
      </c>
      <c r="P1383" s="17">
        <f t="shared" si="46"/>
        <v>1326.75</v>
      </c>
      <c r="Q1383" t="str">
        <f>A1383&amp;"-"&amp;B1383&amp;"-"&amp;D1383</f>
        <v>APRIL-KLB-L1A</v>
      </c>
    </row>
    <row r="1384" spans="1:17" x14ac:dyDescent="0.25">
      <c r="A1384" t="s">
        <v>394</v>
      </c>
      <c r="B1384" s="13" t="s">
        <v>24</v>
      </c>
      <c r="C1384" s="13" t="s">
        <v>226</v>
      </c>
      <c r="D1384" s="14" t="s">
        <v>219</v>
      </c>
      <c r="E1384" s="13" t="s">
        <v>61</v>
      </c>
      <c r="F1384" s="13" t="s">
        <v>737</v>
      </c>
      <c r="G1384" s="13">
        <v>0.66</v>
      </c>
      <c r="H1384" s="15">
        <v>270</v>
      </c>
      <c r="I1384" s="16">
        <v>178.2</v>
      </c>
      <c r="J1384" s="16">
        <v>151.19999999999999</v>
      </c>
      <c r="K1384" s="16">
        <v>27</v>
      </c>
      <c r="L1384" s="13">
        <v>1.98</v>
      </c>
      <c r="M1384" s="13"/>
      <c r="N1384" s="17">
        <f t="shared" si="47"/>
        <v>534.6</v>
      </c>
      <c r="O1384" s="17">
        <f t="shared" si="47"/>
        <v>0</v>
      </c>
      <c r="P1384" s="17">
        <f t="shared" si="46"/>
        <v>534.6</v>
      </c>
      <c r="Q1384" t="str">
        <f>A1384&amp;"-"&amp;B1384&amp;"-"&amp;D1384</f>
        <v>APRIL-KLB-L1A</v>
      </c>
    </row>
    <row r="1385" spans="1:17" x14ac:dyDescent="0.25">
      <c r="A1385" t="s">
        <v>394</v>
      </c>
      <c r="B1385" s="13" t="s">
        <v>24</v>
      </c>
      <c r="C1385" s="13" t="s">
        <v>226</v>
      </c>
      <c r="D1385" s="14" t="s">
        <v>219</v>
      </c>
      <c r="E1385" s="13" t="s">
        <v>61</v>
      </c>
      <c r="F1385" s="13" t="s">
        <v>577</v>
      </c>
      <c r="G1385" s="13">
        <v>0.66</v>
      </c>
      <c r="H1385" s="15">
        <v>3550</v>
      </c>
      <c r="I1385" s="16">
        <v>2343</v>
      </c>
      <c r="J1385" s="16">
        <v>1494.2078318212477</v>
      </c>
      <c r="K1385" s="16">
        <v>848.79216817875204</v>
      </c>
      <c r="L1385" s="13">
        <v>1.73</v>
      </c>
      <c r="M1385" s="13"/>
      <c r="N1385" s="17">
        <f t="shared" si="47"/>
        <v>6141.5</v>
      </c>
      <c r="O1385" s="17">
        <f t="shared" si="47"/>
        <v>0</v>
      </c>
      <c r="P1385" s="17">
        <f t="shared" si="46"/>
        <v>6141.5</v>
      </c>
      <c r="Q1385" t="str">
        <f>A1385&amp;"-"&amp;B1385&amp;"-"&amp;D1385</f>
        <v>APRIL-KLB-L1A</v>
      </c>
    </row>
    <row r="1386" spans="1:17" x14ac:dyDescent="0.25">
      <c r="A1386" t="s">
        <v>394</v>
      </c>
      <c r="B1386" s="13" t="s">
        <v>24</v>
      </c>
      <c r="C1386" s="13" t="s">
        <v>226</v>
      </c>
      <c r="D1386" s="14" t="s">
        <v>219</v>
      </c>
      <c r="E1386" s="13" t="s">
        <v>61</v>
      </c>
      <c r="F1386" s="13" t="s">
        <v>578</v>
      </c>
      <c r="G1386" s="13">
        <v>0.64</v>
      </c>
      <c r="H1386" s="15">
        <v>695</v>
      </c>
      <c r="I1386" s="16">
        <v>444.79999999999995</v>
      </c>
      <c r="J1386" s="16">
        <v>292.2460850111857</v>
      </c>
      <c r="K1386" s="16">
        <v>152.55391498881428</v>
      </c>
      <c r="L1386" s="13">
        <v>1.87</v>
      </c>
      <c r="M1386" s="13"/>
      <c r="N1386" s="17">
        <f t="shared" si="47"/>
        <v>1299.6500000000001</v>
      </c>
      <c r="O1386" s="17">
        <f t="shared" si="47"/>
        <v>0</v>
      </c>
      <c r="P1386" s="17">
        <f t="shared" si="46"/>
        <v>1299.6500000000001</v>
      </c>
      <c r="Q1386" t="str">
        <f>A1386&amp;"-"&amp;B1386&amp;"-"&amp;D1386</f>
        <v>APRIL-KLB-L1A</v>
      </c>
    </row>
    <row r="1387" spans="1:17" x14ac:dyDescent="0.25">
      <c r="A1387" t="s">
        <v>394</v>
      </c>
      <c r="B1387" s="13" t="s">
        <v>24</v>
      </c>
      <c r="C1387" s="13" t="s">
        <v>226</v>
      </c>
      <c r="D1387" s="14" t="s">
        <v>219</v>
      </c>
      <c r="E1387" s="13" t="s">
        <v>61</v>
      </c>
      <c r="F1387" s="13" t="s">
        <v>738</v>
      </c>
      <c r="G1387" s="13">
        <v>0.69</v>
      </c>
      <c r="H1387" s="15">
        <v>2055</v>
      </c>
      <c r="I1387" s="16">
        <v>1417.95</v>
      </c>
      <c r="J1387" s="16">
        <v>872.35087719298247</v>
      </c>
      <c r="K1387" s="16">
        <v>545.59912280701747</v>
      </c>
      <c r="L1387" s="13">
        <v>1.83</v>
      </c>
      <c r="M1387" s="13"/>
      <c r="N1387" s="17">
        <f t="shared" si="47"/>
        <v>3760.65</v>
      </c>
      <c r="O1387" s="17">
        <f t="shared" si="47"/>
        <v>0</v>
      </c>
      <c r="P1387" s="17">
        <f t="shared" si="46"/>
        <v>3760.65</v>
      </c>
      <c r="Q1387" t="str">
        <f>A1387&amp;"-"&amp;B1387&amp;"-"&amp;D1387</f>
        <v>APRIL-KLB-L1A</v>
      </c>
    </row>
    <row r="1388" spans="1:17" x14ac:dyDescent="0.25">
      <c r="A1388" t="s">
        <v>394</v>
      </c>
      <c r="B1388" s="13" t="s">
        <v>24</v>
      </c>
      <c r="C1388" s="13" t="s">
        <v>226</v>
      </c>
      <c r="D1388" s="14" t="s">
        <v>219</v>
      </c>
      <c r="E1388" s="13" t="s">
        <v>61</v>
      </c>
      <c r="F1388" s="13" t="s">
        <v>579</v>
      </c>
      <c r="G1388" s="13">
        <v>0.69</v>
      </c>
      <c r="H1388" s="15">
        <v>5</v>
      </c>
      <c r="I1388" s="16">
        <v>3.45</v>
      </c>
      <c r="J1388" s="16">
        <v>2.2962962962962963</v>
      </c>
      <c r="K1388" s="16">
        <v>1.1537037037037039</v>
      </c>
      <c r="L1388" s="13">
        <v>1.83</v>
      </c>
      <c r="M1388" s="13"/>
      <c r="N1388" s="17">
        <f t="shared" si="47"/>
        <v>9.15</v>
      </c>
      <c r="O1388" s="17">
        <f t="shared" si="47"/>
        <v>0</v>
      </c>
      <c r="P1388" s="17">
        <f t="shared" si="46"/>
        <v>9.15</v>
      </c>
      <c r="Q1388" t="str">
        <f>A1388&amp;"-"&amp;B1388&amp;"-"&amp;D1388</f>
        <v>APRIL-KLB-L1A</v>
      </c>
    </row>
    <row r="1389" spans="1:17" x14ac:dyDescent="0.25">
      <c r="A1389" t="s">
        <v>394</v>
      </c>
      <c r="B1389" s="13" t="s">
        <v>24</v>
      </c>
      <c r="C1389" s="13" t="s">
        <v>226</v>
      </c>
      <c r="D1389" s="14" t="s">
        <v>221</v>
      </c>
      <c r="E1389" s="13" t="s">
        <v>61</v>
      </c>
      <c r="F1389" s="13" t="s">
        <v>730</v>
      </c>
      <c r="G1389" s="13">
        <v>0.68</v>
      </c>
      <c r="H1389" s="15">
        <v>399</v>
      </c>
      <c r="I1389" s="16">
        <v>271.32</v>
      </c>
      <c r="J1389" s="16">
        <v>169.35550122249387</v>
      </c>
      <c r="K1389" s="16">
        <v>101.96449877750612</v>
      </c>
      <c r="L1389" s="13">
        <v>1.82</v>
      </c>
      <c r="M1389" s="13"/>
      <c r="N1389" s="17">
        <f t="shared" si="47"/>
        <v>726.18000000000006</v>
      </c>
      <c r="O1389" s="17">
        <f t="shared" si="47"/>
        <v>0</v>
      </c>
      <c r="P1389" s="17">
        <f t="shared" si="46"/>
        <v>726.18000000000006</v>
      </c>
      <c r="Q1389" t="str">
        <f>A1389&amp;"-"&amp;B1389&amp;"-"&amp;D1389</f>
        <v>APRIL-KLB-L1B</v>
      </c>
    </row>
    <row r="1390" spans="1:17" x14ac:dyDescent="0.25">
      <c r="A1390" t="s">
        <v>394</v>
      </c>
      <c r="B1390" s="13" t="s">
        <v>24</v>
      </c>
      <c r="C1390" s="13" t="s">
        <v>226</v>
      </c>
      <c r="D1390" s="14" t="s">
        <v>221</v>
      </c>
      <c r="E1390" s="13" t="s">
        <v>61</v>
      </c>
      <c r="F1390" s="13" t="s">
        <v>731</v>
      </c>
      <c r="G1390" s="13">
        <v>0.68</v>
      </c>
      <c r="H1390" s="15">
        <v>1350</v>
      </c>
      <c r="I1390" s="16">
        <v>918</v>
      </c>
      <c r="J1390" s="16">
        <v>573.00733496332521</v>
      </c>
      <c r="K1390" s="16">
        <v>344.99266503667479</v>
      </c>
      <c r="L1390" s="13">
        <v>1.82</v>
      </c>
      <c r="M1390" s="13"/>
      <c r="N1390" s="17">
        <f t="shared" si="47"/>
        <v>2457</v>
      </c>
      <c r="O1390" s="17">
        <f t="shared" si="47"/>
        <v>0</v>
      </c>
      <c r="P1390" s="17">
        <f t="shared" si="46"/>
        <v>2457</v>
      </c>
      <c r="Q1390" t="str">
        <f>A1390&amp;"-"&amp;B1390&amp;"-"&amp;D1390</f>
        <v>APRIL-KLB-L1B</v>
      </c>
    </row>
    <row r="1391" spans="1:17" x14ac:dyDescent="0.25">
      <c r="A1391" t="s">
        <v>394</v>
      </c>
      <c r="B1391" s="13" t="s">
        <v>24</v>
      </c>
      <c r="C1391" s="13" t="s">
        <v>226</v>
      </c>
      <c r="D1391" s="14" t="s">
        <v>221</v>
      </c>
      <c r="E1391" s="13" t="s">
        <v>61</v>
      </c>
      <c r="F1391" s="13" t="s">
        <v>732</v>
      </c>
      <c r="G1391" s="13">
        <v>0.79999999999999993</v>
      </c>
      <c r="H1391" s="15">
        <v>10638</v>
      </c>
      <c r="I1391" s="16">
        <v>8510.4</v>
      </c>
      <c r="J1391" s="16">
        <v>4362.7831046629271</v>
      </c>
      <c r="K1391" s="16">
        <v>4147.6168953370725</v>
      </c>
      <c r="L1391" s="13">
        <v>2.1</v>
      </c>
      <c r="M1391" s="13"/>
      <c r="N1391" s="17">
        <f t="shared" si="47"/>
        <v>22339.8</v>
      </c>
      <c r="O1391" s="17">
        <f t="shared" si="47"/>
        <v>0</v>
      </c>
      <c r="P1391" s="17">
        <f t="shared" si="46"/>
        <v>22339.8</v>
      </c>
      <c r="Q1391" t="str">
        <f>A1391&amp;"-"&amp;B1391&amp;"-"&amp;D1391</f>
        <v>APRIL-KLB-L1B</v>
      </c>
    </row>
    <row r="1392" spans="1:17" x14ac:dyDescent="0.25">
      <c r="A1392" t="s">
        <v>394</v>
      </c>
      <c r="B1392" s="13" t="s">
        <v>24</v>
      </c>
      <c r="C1392" s="13" t="s">
        <v>226</v>
      </c>
      <c r="D1392" s="14" t="s">
        <v>221</v>
      </c>
      <c r="E1392" s="13" t="s">
        <v>61</v>
      </c>
      <c r="F1392" s="13" t="s">
        <v>733</v>
      </c>
      <c r="G1392" s="13">
        <v>0.68</v>
      </c>
      <c r="H1392" s="15">
        <v>1430</v>
      </c>
      <c r="I1392" s="16">
        <v>972.4</v>
      </c>
      <c r="J1392" s="16">
        <v>540.84531590413951</v>
      </c>
      <c r="K1392" s="16">
        <v>431.55468409586047</v>
      </c>
      <c r="L1392" s="13">
        <v>1.82</v>
      </c>
      <c r="M1392" s="13"/>
      <c r="N1392" s="17">
        <f t="shared" si="47"/>
        <v>2602.6</v>
      </c>
      <c r="O1392" s="17">
        <f t="shared" si="47"/>
        <v>0</v>
      </c>
      <c r="P1392" s="17">
        <f t="shared" si="46"/>
        <v>2602.6</v>
      </c>
      <c r="Q1392" t="str">
        <f>A1392&amp;"-"&amp;B1392&amp;"-"&amp;D1392</f>
        <v>APRIL-KLB-L1B</v>
      </c>
    </row>
    <row r="1393" spans="1:17" x14ac:dyDescent="0.25">
      <c r="A1393" t="s">
        <v>394</v>
      </c>
      <c r="B1393" s="13" t="s">
        <v>24</v>
      </c>
      <c r="C1393" s="13" t="s">
        <v>226</v>
      </c>
      <c r="D1393" s="14" t="s">
        <v>221</v>
      </c>
      <c r="E1393" s="13" t="s">
        <v>61</v>
      </c>
      <c r="F1393" s="13" t="s">
        <v>734</v>
      </c>
      <c r="G1393" s="13">
        <v>0.68</v>
      </c>
      <c r="H1393" s="15">
        <v>11551</v>
      </c>
      <c r="I1393" s="16">
        <v>7854.6799999999994</v>
      </c>
      <c r="J1393" s="16">
        <v>4172.3184541062801</v>
      </c>
      <c r="K1393" s="16">
        <v>3682.3615458937193</v>
      </c>
      <c r="L1393" s="13">
        <v>1.82</v>
      </c>
      <c r="M1393" s="13"/>
      <c r="N1393" s="17">
        <f t="shared" si="47"/>
        <v>21022.82</v>
      </c>
      <c r="O1393" s="17">
        <f t="shared" si="47"/>
        <v>0</v>
      </c>
      <c r="P1393" s="17">
        <f t="shared" si="46"/>
        <v>21022.82</v>
      </c>
      <c r="Q1393" t="str">
        <f>A1393&amp;"-"&amp;B1393&amp;"-"&amp;D1393</f>
        <v>APRIL-KLB-L1B</v>
      </c>
    </row>
    <row r="1394" spans="1:17" x14ac:dyDescent="0.25">
      <c r="A1394" t="s">
        <v>394</v>
      </c>
      <c r="B1394" s="13" t="s">
        <v>24</v>
      </c>
      <c r="C1394" s="13" t="s">
        <v>226</v>
      </c>
      <c r="D1394" s="14" t="s">
        <v>221</v>
      </c>
      <c r="E1394" s="13" t="s">
        <v>61</v>
      </c>
      <c r="F1394" s="13" t="s">
        <v>735</v>
      </c>
      <c r="G1394" s="13">
        <v>0.8</v>
      </c>
      <c r="H1394" s="15">
        <v>2785</v>
      </c>
      <c r="I1394" s="16">
        <v>2228</v>
      </c>
      <c r="J1394" s="16">
        <v>1076.7653222544948</v>
      </c>
      <c r="K1394" s="16">
        <v>1151.2346777455052</v>
      </c>
      <c r="L1394" s="13">
        <v>2.1</v>
      </c>
      <c r="M1394" s="13"/>
      <c r="N1394" s="17">
        <f t="shared" si="47"/>
        <v>5848.5</v>
      </c>
      <c r="O1394" s="17">
        <f t="shared" si="47"/>
        <v>0</v>
      </c>
      <c r="P1394" s="17">
        <f t="shared" si="46"/>
        <v>5848.5</v>
      </c>
      <c r="Q1394" t="str">
        <f>A1394&amp;"-"&amp;B1394&amp;"-"&amp;D1394</f>
        <v>APRIL-KLB-L1B</v>
      </c>
    </row>
    <row r="1395" spans="1:17" x14ac:dyDescent="0.25">
      <c r="A1395" t="s">
        <v>394</v>
      </c>
      <c r="B1395" s="13" t="s">
        <v>24</v>
      </c>
      <c r="C1395" s="13" t="s">
        <v>226</v>
      </c>
      <c r="D1395" s="14" t="s">
        <v>221</v>
      </c>
      <c r="E1395" s="13" t="s">
        <v>61</v>
      </c>
      <c r="F1395" s="13" t="s">
        <v>736</v>
      </c>
      <c r="G1395" s="13">
        <v>0.69</v>
      </c>
      <c r="H1395" s="15">
        <v>1059</v>
      </c>
      <c r="I1395" s="16">
        <v>730.71</v>
      </c>
      <c r="J1395" s="16">
        <v>409.4979603794792</v>
      </c>
      <c r="K1395" s="16">
        <v>321.21203962052084</v>
      </c>
      <c r="L1395" s="13">
        <v>1.83</v>
      </c>
      <c r="M1395" s="13"/>
      <c r="N1395" s="17">
        <f t="shared" si="47"/>
        <v>1937.97</v>
      </c>
      <c r="O1395" s="17">
        <f t="shared" si="47"/>
        <v>0</v>
      </c>
      <c r="P1395" s="17">
        <f t="shared" si="46"/>
        <v>1937.97</v>
      </c>
      <c r="Q1395" t="str">
        <f>A1395&amp;"-"&amp;B1395&amp;"-"&amp;D1395</f>
        <v>APRIL-KLB-L1B</v>
      </c>
    </row>
    <row r="1396" spans="1:17" x14ac:dyDescent="0.25">
      <c r="A1396" t="s">
        <v>394</v>
      </c>
      <c r="B1396" s="13" t="s">
        <v>24</v>
      </c>
      <c r="C1396" s="13" t="s">
        <v>226</v>
      </c>
      <c r="D1396" s="14" t="s">
        <v>221</v>
      </c>
      <c r="E1396" s="13" t="s">
        <v>61</v>
      </c>
      <c r="F1396" s="13" t="s">
        <v>737</v>
      </c>
      <c r="G1396" s="13">
        <v>0.66</v>
      </c>
      <c r="H1396" s="15">
        <v>102</v>
      </c>
      <c r="I1396" s="16">
        <v>67.319999999999993</v>
      </c>
      <c r="J1396" s="16">
        <v>43.293887530562344</v>
      </c>
      <c r="K1396" s="16">
        <v>24.026112469437649</v>
      </c>
      <c r="L1396" s="13">
        <v>1.98</v>
      </c>
      <c r="M1396" s="13"/>
      <c r="N1396" s="17">
        <f t="shared" si="47"/>
        <v>201.96</v>
      </c>
      <c r="O1396" s="17">
        <f t="shared" si="47"/>
        <v>0</v>
      </c>
      <c r="P1396" s="17">
        <f t="shared" si="46"/>
        <v>201.96</v>
      </c>
      <c r="Q1396" t="str">
        <f>A1396&amp;"-"&amp;B1396&amp;"-"&amp;D1396</f>
        <v>APRIL-KLB-L1B</v>
      </c>
    </row>
    <row r="1397" spans="1:17" x14ac:dyDescent="0.25">
      <c r="A1397" t="s">
        <v>394</v>
      </c>
      <c r="B1397" s="13" t="s">
        <v>24</v>
      </c>
      <c r="C1397" s="13" t="s">
        <v>226</v>
      </c>
      <c r="D1397" s="14" t="s">
        <v>221</v>
      </c>
      <c r="E1397" s="13" t="s">
        <v>61</v>
      </c>
      <c r="F1397" s="13" t="s">
        <v>577</v>
      </c>
      <c r="G1397" s="13">
        <v>0.66</v>
      </c>
      <c r="H1397" s="15">
        <v>1989</v>
      </c>
      <c r="I1397" s="16">
        <v>1312.74</v>
      </c>
      <c r="J1397" s="16">
        <v>754.25866209670528</v>
      </c>
      <c r="K1397" s="16">
        <v>558.48133790329462</v>
      </c>
      <c r="L1397" s="13">
        <v>1.73</v>
      </c>
      <c r="M1397" s="13"/>
      <c r="N1397" s="17">
        <f t="shared" si="47"/>
        <v>3440.97</v>
      </c>
      <c r="O1397" s="17">
        <f t="shared" si="47"/>
        <v>0</v>
      </c>
      <c r="P1397" s="17">
        <f t="shared" si="46"/>
        <v>3440.97</v>
      </c>
      <c r="Q1397" t="str">
        <f>A1397&amp;"-"&amp;B1397&amp;"-"&amp;D1397</f>
        <v>APRIL-KLB-L1B</v>
      </c>
    </row>
    <row r="1398" spans="1:17" x14ac:dyDescent="0.25">
      <c r="A1398" t="s">
        <v>394</v>
      </c>
      <c r="B1398" s="13" t="s">
        <v>24</v>
      </c>
      <c r="C1398" s="13" t="s">
        <v>226</v>
      </c>
      <c r="D1398" s="14" t="s">
        <v>221</v>
      </c>
      <c r="E1398" s="13" t="s">
        <v>61</v>
      </c>
      <c r="F1398" s="13" t="s">
        <v>578</v>
      </c>
      <c r="G1398" s="13">
        <v>0.64</v>
      </c>
      <c r="H1398" s="15">
        <v>430</v>
      </c>
      <c r="I1398" s="16">
        <v>275.2</v>
      </c>
      <c r="J1398" s="16">
        <v>162.01163791619325</v>
      </c>
      <c r="K1398" s="16">
        <v>113.18836208380675</v>
      </c>
      <c r="L1398" s="13">
        <v>1.87</v>
      </c>
      <c r="M1398" s="13"/>
      <c r="N1398" s="17">
        <f t="shared" si="47"/>
        <v>804.1</v>
      </c>
      <c r="O1398" s="17">
        <f t="shared" si="47"/>
        <v>0</v>
      </c>
      <c r="P1398" s="17">
        <f t="shared" si="46"/>
        <v>804.1</v>
      </c>
      <c r="Q1398" t="str">
        <f>A1398&amp;"-"&amp;B1398&amp;"-"&amp;D1398</f>
        <v>APRIL-KLB-L1B</v>
      </c>
    </row>
    <row r="1399" spans="1:17" x14ac:dyDescent="0.25">
      <c r="A1399" t="s">
        <v>394</v>
      </c>
      <c r="B1399" s="13" t="s">
        <v>24</v>
      </c>
      <c r="C1399" s="13" t="s">
        <v>226</v>
      </c>
      <c r="D1399" s="14" t="s">
        <v>221</v>
      </c>
      <c r="E1399" s="13" t="s">
        <v>61</v>
      </c>
      <c r="F1399" s="13" t="s">
        <v>738</v>
      </c>
      <c r="G1399" s="13">
        <v>0.69</v>
      </c>
      <c r="H1399" s="15">
        <v>1832</v>
      </c>
      <c r="I1399" s="16">
        <v>1264.0800000000002</v>
      </c>
      <c r="J1399" s="16">
        <v>755.86281896339972</v>
      </c>
      <c r="K1399" s="16">
        <v>508.21718103660027</v>
      </c>
      <c r="L1399" s="13">
        <v>1.83</v>
      </c>
      <c r="M1399" s="13"/>
      <c r="N1399" s="17">
        <f t="shared" si="47"/>
        <v>3352.56</v>
      </c>
      <c r="O1399" s="17">
        <f t="shared" si="47"/>
        <v>0</v>
      </c>
      <c r="P1399" s="17">
        <f t="shared" si="46"/>
        <v>3352.56</v>
      </c>
      <c r="Q1399" t="str">
        <f>A1399&amp;"-"&amp;B1399&amp;"-"&amp;D1399</f>
        <v>APRIL-KLB-L1B</v>
      </c>
    </row>
    <row r="1400" spans="1:17" x14ac:dyDescent="0.25">
      <c r="A1400" t="s">
        <v>394</v>
      </c>
      <c r="B1400" s="13" t="s">
        <v>24</v>
      </c>
      <c r="C1400" s="13" t="s">
        <v>226</v>
      </c>
      <c r="D1400" s="14" t="s">
        <v>222</v>
      </c>
      <c r="E1400" s="13" t="s">
        <v>61</v>
      </c>
      <c r="F1400" s="13" t="s">
        <v>731</v>
      </c>
      <c r="G1400" s="13">
        <v>0.68</v>
      </c>
      <c r="H1400" s="15">
        <v>1680</v>
      </c>
      <c r="I1400" s="16">
        <v>1142.4000000000001</v>
      </c>
      <c r="J1400" s="16">
        <v>648.10666666666668</v>
      </c>
      <c r="K1400" s="16">
        <v>494.29333333333341</v>
      </c>
      <c r="L1400" s="13">
        <v>1.82</v>
      </c>
      <c r="M1400" s="13"/>
      <c r="N1400" s="17">
        <f t="shared" si="47"/>
        <v>3057.6</v>
      </c>
      <c r="O1400" s="17">
        <f t="shared" si="47"/>
        <v>0</v>
      </c>
      <c r="P1400" s="17">
        <f t="shared" si="46"/>
        <v>3057.6</v>
      </c>
      <c r="Q1400" t="str">
        <f>A1400&amp;"-"&amp;B1400&amp;"-"&amp;D1400</f>
        <v>APRIL-KLB-L2A</v>
      </c>
    </row>
    <row r="1401" spans="1:17" x14ac:dyDescent="0.25">
      <c r="A1401" t="s">
        <v>394</v>
      </c>
      <c r="B1401" s="13" t="s">
        <v>24</v>
      </c>
      <c r="C1401" s="13" t="s">
        <v>226</v>
      </c>
      <c r="D1401" s="14" t="s">
        <v>222</v>
      </c>
      <c r="E1401" s="13" t="s">
        <v>61</v>
      </c>
      <c r="F1401" s="13" t="s">
        <v>732</v>
      </c>
      <c r="G1401" s="13">
        <v>0.8</v>
      </c>
      <c r="H1401" s="15">
        <v>8240</v>
      </c>
      <c r="I1401" s="16">
        <v>6592</v>
      </c>
      <c r="J1401" s="16">
        <v>3438.8808227465215</v>
      </c>
      <c r="K1401" s="16">
        <v>3153.1191772534785</v>
      </c>
      <c r="L1401" s="13">
        <v>2.1</v>
      </c>
      <c r="M1401" s="13"/>
      <c r="N1401" s="17">
        <f t="shared" si="47"/>
        <v>17304</v>
      </c>
      <c r="O1401" s="17">
        <f t="shared" si="47"/>
        <v>0</v>
      </c>
      <c r="P1401" s="17">
        <f t="shared" si="46"/>
        <v>17304</v>
      </c>
      <c r="Q1401" t="str">
        <f>A1401&amp;"-"&amp;B1401&amp;"-"&amp;D1401</f>
        <v>APRIL-KLB-L2A</v>
      </c>
    </row>
    <row r="1402" spans="1:17" x14ac:dyDescent="0.25">
      <c r="A1402" t="s">
        <v>394</v>
      </c>
      <c r="B1402" s="13" t="s">
        <v>24</v>
      </c>
      <c r="C1402" s="13" t="s">
        <v>226</v>
      </c>
      <c r="D1402" s="14" t="s">
        <v>222</v>
      </c>
      <c r="E1402" s="13" t="s">
        <v>61</v>
      </c>
      <c r="F1402" s="13" t="s">
        <v>733</v>
      </c>
      <c r="G1402" s="13">
        <v>0.68</v>
      </c>
      <c r="H1402" s="15">
        <v>925</v>
      </c>
      <c r="I1402" s="16">
        <v>629</v>
      </c>
      <c r="J1402" s="16">
        <v>367.45995423340963</v>
      </c>
      <c r="K1402" s="16">
        <v>261.54004576659037</v>
      </c>
      <c r="L1402" s="13">
        <v>1.82</v>
      </c>
      <c r="M1402" s="13"/>
      <c r="N1402" s="17">
        <f t="shared" si="47"/>
        <v>1683.5</v>
      </c>
      <c r="O1402" s="17">
        <f t="shared" si="47"/>
        <v>0</v>
      </c>
      <c r="P1402" s="17">
        <f t="shared" si="46"/>
        <v>1683.5</v>
      </c>
      <c r="Q1402" t="str">
        <f>A1402&amp;"-"&amp;B1402&amp;"-"&amp;D1402</f>
        <v>APRIL-KLB-L2A</v>
      </c>
    </row>
    <row r="1403" spans="1:17" x14ac:dyDescent="0.25">
      <c r="A1403" t="s">
        <v>394</v>
      </c>
      <c r="B1403" s="13" t="s">
        <v>24</v>
      </c>
      <c r="C1403" s="13" t="s">
        <v>226</v>
      </c>
      <c r="D1403" s="14" t="s">
        <v>222</v>
      </c>
      <c r="E1403" s="13" t="s">
        <v>61</v>
      </c>
      <c r="F1403" s="13" t="s">
        <v>734</v>
      </c>
      <c r="G1403" s="13">
        <v>0.68</v>
      </c>
      <c r="H1403" s="15">
        <v>9265</v>
      </c>
      <c r="I1403" s="16">
        <v>6300.2</v>
      </c>
      <c r="J1403" s="16">
        <v>3470.6512445914482</v>
      </c>
      <c r="K1403" s="16">
        <v>2829.5487554085521</v>
      </c>
      <c r="L1403" s="13">
        <v>1.82</v>
      </c>
      <c r="M1403" s="13"/>
      <c r="N1403" s="17">
        <f t="shared" si="47"/>
        <v>16862.3</v>
      </c>
      <c r="O1403" s="17">
        <f t="shared" si="47"/>
        <v>0</v>
      </c>
      <c r="P1403" s="17">
        <f t="shared" si="46"/>
        <v>16862.3</v>
      </c>
      <c r="Q1403" t="str">
        <f>A1403&amp;"-"&amp;B1403&amp;"-"&amp;D1403</f>
        <v>APRIL-KLB-L2A</v>
      </c>
    </row>
    <row r="1404" spans="1:17" x14ac:dyDescent="0.25">
      <c r="A1404" t="s">
        <v>394</v>
      </c>
      <c r="B1404" s="13" t="s">
        <v>24</v>
      </c>
      <c r="C1404" s="13" t="s">
        <v>226</v>
      </c>
      <c r="D1404" s="14" t="s">
        <v>222</v>
      </c>
      <c r="E1404" s="13" t="s">
        <v>61</v>
      </c>
      <c r="F1404" s="13" t="s">
        <v>739</v>
      </c>
      <c r="G1404" s="13">
        <v>0.68</v>
      </c>
      <c r="H1404" s="15">
        <v>2995</v>
      </c>
      <c r="I1404" s="16">
        <v>2036.6</v>
      </c>
      <c r="J1404" s="16">
        <v>1201.1001517274817</v>
      </c>
      <c r="K1404" s="16">
        <v>835.49984827251808</v>
      </c>
      <c r="L1404" s="13">
        <v>1.82</v>
      </c>
      <c r="M1404" s="13"/>
      <c r="N1404" s="17">
        <f t="shared" si="47"/>
        <v>5450.9000000000005</v>
      </c>
      <c r="O1404" s="17">
        <f t="shared" si="47"/>
        <v>0</v>
      </c>
      <c r="P1404" s="17">
        <f t="shared" si="46"/>
        <v>5450.9000000000005</v>
      </c>
      <c r="Q1404" t="str">
        <f>A1404&amp;"-"&amp;B1404&amp;"-"&amp;D1404</f>
        <v>APRIL-KLB-L2A</v>
      </c>
    </row>
    <row r="1405" spans="1:17" x14ac:dyDescent="0.25">
      <c r="A1405" t="s">
        <v>394</v>
      </c>
      <c r="B1405" s="13" t="s">
        <v>24</v>
      </c>
      <c r="C1405" s="13" t="s">
        <v>226</v>
      </c>
      <c r="D1405" s="14" t="s">
        <v>222</v>
      </c>
      <c r="E1405" s="13" t="s">
        <v>61</v>
      </c>
      <c r="F1405" s="13" t="s">
        <v>740</v>
      </c>
      <c r="G1405" s="13">
        <v>0.66</v>
      </c>
      <c r="H1405" s="15">
        <v>430</v>
      </c>
      <c r="I1405" s="16">
        <v>283.79999999999995</v>
      </c>
      <c r="J1405" s="16">
        <v>172.88227390180879</v>
      </c>
      <c r="K1405" s="16">
        <v>110.91772609819118</v>
      </c>
      <c r="L1405" s="13">
        <v>1.97</v>
      </c>
      <c r="M1405" s="13"/>
      <c r="N1405" s="17">
        <f t="shared" si="47"/>
        <v>847.1</v>
      </c>
      <c r="O1405" s="17">
        <f t="shared" si="47"/>
        <v>0</v>
      </c>
      <c r="P1405" s="17">
        <f t="shared" si="46"/>
        <v>847.1</v>
      </c>
      <c r="Q1405" t="str">
        <f>A1405&amp;"-"&amp;B1405&amp;"-"&amp;D1405</f>
        <v>APRIL-KLB-L2A</v>
      </c>
    </row>
    <row r="1406" spans="1:17" x14ac:dyDescent="0.25">
      <c r="A1406" t="s">
        <v>394</v>
      </c>
      <c r="B1406" s="13" t="s">
        <v>24</v>
      </c>
      <c r="C1406" s="13" t="s">
        <v>226</v>
      </c>
      <c r="D1406" s="14" t="s">
        <v>222</v>
      </c>
      <c r="E1406" s="13" t="s">
        <v>61</v>
      </c>
      <c r="F1406" s="13" t="s">
        <v>586</v>
      </c>
      <c r="G1406" s="13">
        <v>0.66</v>
      </c>
      <c r="H1406" s="15">
        <v>65</v>
      </c>
      <c r="I1406" s="16">
        <v>42.9</v>
      </c>
      <c r="J1406" s="16">
        <v>30.320175438596486</v>
      </c>
      <c r="K1406" s="16">
        <v>12.579824561403511</v>
      </c>
      <c r="L1406" s="13">
        <v>1.71</v>
      </c>
      <c r="M1406" s="13"/>
      <c r="N1406" s="17">
        <f t="shared" si="47"/>
        <v>111.14999999999999</v>
      </c>
      <c r="O1406" s="17">
        <f t="shared" si="47"/>
        <v>0</v>
      </c>
      <c r="P1406" s="17">
        <f t="shared" si="46"/>
        <v>111.14999999999999</v>
      </c>
      <c r="Q1406" t="str">
        <f>A1406&amp;"-"&amp;B1406&amp;"-"&amp;D1406</f>
        <v>APRIL-KLB-L2A</v>
      </c>
    </row>
    <row r="1407" spans="1:17" x14ac:dyDescent="0.25">
      <c r="A1407" t="s">
        <v>394</v>
      </c>
      <c r="B1407" s="13" t="s">
        <v>24</v>
      </c>
      <c r="C1407" s="13" t="s">
        <v>226</v>
      </c>
      <c r="D1407" s="14" t="s">
        <v>222</v>
      </c>
      <c r="E1407" s="13" t="s">
        <v>61</v>
      </c>
      <c r="F1407" s="13" t="s">
        <v>587</v>
      </c>
      <c r="G1407" s="13">
        <v>0.93</v>
      </c>
      <c r="H1407" s="15">
        <v>160</v>
      </c>
      <c r="I1407" s="16">
        <v>148.80000000000001</v>
      </c>
      <c r="J1407" s="16">
        <v>76.557431624610672</v>
      </c>
      <c r="K1407" s="16">
        <v>72.24256837538934</v>
      </c>
      <c r="L1407" s="13">
        <v>2.2400000000000002</v>
      </c>
      <c r="M1407" s="13"/>
      <c r="N1407" s="17">
        <f t="shared" si="47"/>
        <v>358.40000000000003</v>
      </c>
      <c r="O1407" s="17">
        <f t="shared" si="47"/>
        <v>0</v>
      </c>
      <c r="P1407" s="17">
        <f t="shared" si="46"/>
        <v>358.40000000000003</v>
      </c>
      <c r="Q1407" t="str">
        <f>A1407&amp;"-"&amp;B1407&amp;"-"&amp;D1407</f>
        <v>APRIL-KLB-L2A</v>
      </c>
    </row>
    <row r="1408" spans="1:17" x14ac:dyDescent="0.25">
      <c r="A1408" t="s">
        <v>394</v>
      </c>
      <c r="B1408" s="13" t="s">
        <v>24</v>
      </c>
      <c r="C1408" s="13" t="s">
        <v>226</v>
      </c>
      <c r="D1408" s="14" t="s">
        <v>222</v>
      </c>
      <c r="E1408" s="13" t="s">
        <v>61</v>
      </c>
      <c r="F1408" s="13" t="s">
        <v>736</v>
      </c>
      <c r="G1408" s="13">
        <v>0.69</v>
      </c>
      <c r="H1408" s="15">
        <v>375</v>
      </c>
      <c r="I1408" s="16">
        <v>258.75</v>
      </c>
      <c r="J1408" s="16">
        <v>144.66666666666666</v>
      </c>
      <c r="K1408" s="16">
        <v>114.08333333333334</v>
      </c>
      <c r="L1408" s="13">
        <v>1.83</v>
      </c>
      <c r="M1408" s="13"/>
      <c r="N1408" s="17">
        <f t="shared" si="47"/>
        <v>686.25</v>
      </c>
      <c r="O1408" s="17">
        <f t="shared" si="47"/>
        <v>0</v>
      </c>
      <c r="P1408" s="17">
        <f t="shared" si="46"/>
        <v>686.25</v>
      </c>
      <c r="Q1408" t="str">
        <f>A1408&amp;"-"&amp;B1408&amp;"-"&amp;D1408</f>
        <v>APRIL-KLB-L2A</v>
      </c>
    </row>
    <row r="1409" spans="1:17" x14ac:dyDescent="0.25">
      <c r="A1409" t="s">
        <v>394</v>
      </c>
      <c r="B1409" s="13" t="s">
        <v>24</v>
      </c>
      <c r="C1409" s="13" t="s">
        <v>226</v>
      </c>
      <c r="D1409" s="14" t="s">
        <v>222</v>
      </c>
      <c r="E1409" s="13" t="s">
        <v>61</v>
      </c>
      <c r="F1409" s="13" t="s">
        <v>737</v>
      </c>
      <c r="G1409" s="13">
        <v>0.66</v>
      </c>
      <c r="H1409" s="15">
        <v>150</v>
      </c>
      <c r="I1409" s="16">
        <v>99</v>
      </c>
      <c r="J1409" s="16">
        <v>57.866666666666667</v>
      </c>
      <c r="K1409" s="16">
        <v>41.133333333333333</v>
      </c>
      <c r="L1409" s="13">
        <v>1.98</v>
      </c>
      <c r="M1409" s="13"/>
      <c r="N1409" s="17">
        <f t="shared" si="47"/>
        <v>297</v>
      </c>
      <c r="O1409" s="17">
        <f t="shared" si="47"/>
        <v>0</v>
      </c>
      <c r="P1409" s="17">
        <f t="shared" si="46"/>
        <v>297</v>
      </c>
      <c r="Q1409" t="str">
        <f>A1409&amp;"-"&amp;B1409&amp;"-"&amp;D1409</f>
        <v>APRIL-KLB-L2A</v>
      </c>
    </row>
    <row r="1410" spans="1:17" x14ac:dyDescent="0.25">
      <c r="A1410" t="s">
        <v>394</v>
      </c>
      <c r="B1410" s="13" t="s">
        <v>24</v>
      </c>
      <c r="C1410" s="13" t="s">
        <v>226</v>
      </c>
      <c r="D1410" s="14" t="s">
        <v>222</v>
      </c>
      <c r="E1410" s="13" t="s">
        <v>61</v>
      </c>
      <c r="F1410" s="13" t="s">
        <v>738</v>
      </c>
      <c r="G1410" s="13">
        <v>0.69</v>
      </c>
      <c r="H1410" s="15">
        <v>2000</v>
      </c>
      <c r="I1410" s="16">
        <v>1380</v>
      </c>
      <c r="J1410" s="16">
        <v>853.47327209757555</v>
      </c>
      <c r="K1410" s="16">
        <v>526.52672790242434</v>
      </c>
      <c r="L1410" s="13">
        <v>1.83</v>
      </c>
      <c r="M1410" s="13"/>
      <c r="N1410" s="17">
        <f t="shared" si="47"/>
        <v>3660</v>
      </c>
      <c r="O1410" s="17">
        <f t="shared" si="47"/>
        <v>0</v>
      </c>
      <c r="P1410" s="17">
        <f t="shared" ref="P1410:P1473" si="48">N1410+O1410</f>
        <v>3660</v>
      </c>
      <c r="Q1410" t="str">
        <f>A1410&amp;"-"&amp;B1410&amp;"-"&amp;D1410</f>
        <v>APRIL-KLB-L2A</v>
      </c>
    </row>
    <row r="1411" spans="1:17" x14ac:dyDescent="0.25">
      <c r="A1411" t="s">
        <v>394</v>
      </c>
      <c r="B1411" s="13" t="s">
        <v>24</v>
      </c>
      <c r="C1411" s="13" t="s">
        <v>226</v>
      </c>
      <c r="D1411" s="14" t="s">
        <v>222</v>
      </c>
      <c r="E1411" s="13" t="s">
        <v>61</v>
      </c>
      <c r="F1411" s="13" t="s">
        <v>741</v>
      </c>
      <c r="G1411" s="13">
        <v>0.84</v>
      </c>
      <c r="H1411" s="15">
        <v>1710</v>
      </c>
      <c r="I1411" s="16">
        <v>1436.4</v>
      </c>
      <c r="J1411" s="16">
        <v>939.63309231545327</v>
      </c>
      <c r="K1411" s="16">
        <v>496.76690768454682</v>
      </c>
      <c r="L1411" s="13">
        <v>2.59</v>
      </c>
      <c r="M1411" s="13"/>
      <c r="N1411" s="17">
        <f t="shared" si="47"/>
        <v>4428.8999999999996</v>
      </c>
      <c r="O1411" s="17">
        <f t="shared" si="47"/>
        <v>0</v>
      </c>
      <c r="P1411" s="17">
        <f t="shared" si="48"/>
        <v>4428.8999999999996</v>
      </c>
      <c r="Q1411" t="str">
        <f>A1411&amp;"-"&amp;B1411&amp;"-"&amp;D1411</f>
        <v>APRIL-KLB-L2A</v>
      </c>
    </row>
    <row r="1412" spans="1:17" x14ac:dyDescent="0.25">
      <c r="A1412" t="s">
        <v>394</v>
      </c>
      <c r="B1412" s="13" t="s">
        <v>24</v>
      </c>
      <c r="C1412" s="13" t="s">
        <v>226</v>
      </c>
      <c r="D1412" s="14" t="s">
        <v>222</v>
      </c>
      <c r="E1412" s="13" t="s">
        <v>61</v>
      </c>
      <c r="F1412" s="13" t="s">
        <v>590</v>
      </c>
      <c r="G1412" s="13">
        <v>0.84</v>
      </c>
      <c r="H1412" s="15">
        <v>1640</v>
      </c>
      <c r="I1412" s="16">
        <v>1377.6000000000001</v>
      </c>
      <c r="J1412" s="16">
        <v>871.81824798976072</v>
      </c>
      <c r="K1412" s="16">
        <v>505.78175201023925</v>
      </c>
      <c r="L1412" s="13">
        <v>2.59</v>
      </c>
      <c r="M1412" s="13"/>
      <c r="N1412" s="17">
        <f t="shared" si="47"/>
        <v>4247.5999999999995</v>
      </c>
      <c r="O1412" s="17">
        <f t="shared" si="47"/>
        <v>0</v>
      </c>
      <c r="P1412" s="17">
        <f t="shared" si="48"/>
        <v>4247.5999999999995</v>
      </c>
      <c r="Q1412" t="str">
        <f>A1412&amp;"-"&amp;B1412&amp;"-"&amp;D1412</f>
        <v>APRIL-KLB-L2A</v>
      </c>
    </row>
    <row r="1413" spans="1:17" x14ac:dyDescent="0.25">
      <c r="A1413" t="s">
        <v>394</v>
      </c>
      <c r="B1413" s="13" t="s">
        <v>24</v>
      </c>
      <c r="C1413" s="13" t="s">
        <v>226</v>
      </c>
      <c r="D1413" s="14" t="s">
        <v>222</v>
      </c>
      <c r="E1413" s="13" t="s">
        <v>61</v>
      </c>
      <c r="F1413" s="13" t="s">
        <v>742</v>
      </c>
      <c r="G1413" s="13">
        <v>0.88</v>
      </c>
      <c r="H1413" s="15">
        <v>1445</v>
      </c>
      <c r="I1413" s="16">
        <v>1271.5999999999999</v>
      </c>
      <c r="J1413" s="16">
        <v>746.58333333333337</v>
      </c>
      <c r="K1413" s="16">
        <v>525.01666666666654</v>
      </c>
      <c r="L1413" s="13">
        <v>2.61</v>
      </c>
      <c r="M1413" s="13"/>
      <c r="N1413" s="17">
        <f t="shared" si="47"/>
        <v>3771.45</v>
      </c>
      <c r="O1413" s="17">
        <f t="shared" si="47"/>
        <v>0</v>
      </c>
      <c r="P1413" s="17">
        <f t="shared" si="48"/>
        <v>3771.45</v>
      </c>
      <c r="Q1413" t="str">
        <f>A1413&amp;"-"&amp;B1413&amp;"-"&amp;D1413</f>
        <v>APRIL-KLB-L2A</v>
      </c>
    </row>
    <row r="1414" spans="1:17" x14ac:dyDescent="0.25">
      <c r="A1414" t="s">
        <v>394</v>
      </c>
      <c r="B1414" s="13" t="s">
        <v>24</v>
      </c>
      <c r="C1414" s="13" t="s">
        <v>226</v>
      </c>
      <c r="D1414" s="14" t="s">
        <v>223</v>
      </c>
      <c r="E1414" s="13" t="s">
        <v>61</v>
      </c>
      <c r="F1414" s="13" t="s">
        <v>732</v>
      </c>
      <c r="G1414" s="13">
        <v>0.79999999999999993</v>
      </c>
      <c r="H1414" s="15">
        <v>11144</v>
      </c>
      <c r="I1414" s="16">
        <v>8915.2000000000007</v>
      </c>
      <c r="J1414" s="16">
        <v>4822.2473619360308</v>
      </c>
      <c r="K1414" s="16">
        <v>4092.9526380639695</v>
      </c>
      <c r="L1414" s="13">
        <v>2.1</v>
      </c>
      <c r="M1414" s="13"/>
      <c r="N1414" s="17">
        <f t="shared" si="47"/>
        <v>23402.400000000001</v>
      </c>
      <c r="O1414" s="17">
        <f t="shared" si="47"/>
        <v>0</v>
      </c>
      <c r="P1414" s="17">
        <f t="shared" si="48"/>
        <v>23402.400000000001</v>
      </c>
      <c r="Q1414" t="str">
        <f>A1414&amp;"-"&amp;B1414&amp;"-"&amp;D1414</f>
        <v>APRIL-KLB-L2B</v>
      </c>
    </row>
    <row r="1415" spans="1:17" x14ac:dyDescent="0.25">
      <c r="A1415" t="s">
        <v>394</v>
      </c>
      <c r="B1415" s="13" t="s">
        <v>24</v>
      </c>
      <c r="C1415" s="13" t="s">
        <v>226</v>
      </c>
      <c r="D1415" s="14" t="s">
        <v>223</v>
      </c>
      <c r="E1415" s="13" t="s">
        <v>61</v>
      </c>
      <c r="F1415" s="13" t="s">
        <v>733</v>
      </c>
      <c r="G1415" s="13">
        <v>0.68</v>
      </c>
      <c r="H1415" s="15">
        <v>1810</v>
      </c>
      <c r="I1415" s="16">
        <v>1230.8000000000002</v>
      </c>
      <c r="J1415" s="16">
        <v>760.86859740241232</v>
      </c>
      <c r="K1415" s="16">
        <v>469.93140259758769</v>
      </c>
      <c r="L1415" s="13">
        <v>1.82</v>
      </c>
      <c r="M1415" s="13"/>
      <c r="N1415" s="17">
        <f t="shared" si="47"/>
        <v>3294.2000000000003</v>
      </c>
      <c r="O1415" s="17">
        <f t="shared" si="47"/>
        <v>0</v>
      </c>
      <c r="P1415" s="17">
        <f t="shared" si="48"/>
        <v>3294.2000000000003</v>
      </c>
      <c r="Q1415" t="str">
        <f>A1415&amp;"-"&amp;B1415&amp;"-"&amp;D1415</f>
        <v>APRIL-KLB-L2B</v>
      </c>
    </row>
    <row r="1416" spans="1:17" x14ac:dyDescent="0.25">
      <c r="A1416" t="s">
        <v>394</v>
      </c>
      <c r="B1416" s="13" t="s">
        <v>24</v>
      </c>
      <c r="C1416" s="13" t="s">
        <v>226</v>
      </c>
      <c r="D1416" s="14" t="s">
        <v>223</v>
      </c>
      <c r="E1416" s="13" t="s">
        <v>61</v>
      </c>
      <c r="F1416" s="13" t="s">
        <v>734</v>
      </c>
      <c r="G1416" s="13">
        <v>0.68</v>
      </c>
      <c r="H1416" s="15">
        <v>7585</v>
      </c>
      <c r="I1416" s="16">
        <v>5157.8</v>
      </c>
      <c r="J1416" s="16">
        <v>2928.0498305084743</v>
      </c>
      <c r="K1416" s="16">
        <v>2229.7501694915254</v>
      </c>
      <c r="L1416" s="13">
        <v>1.82</v>
      </c>
      <c r="M1416" s="13"/>
      <c r="N1416" s="17">
        <f t="shared" si="47"/>
        <v>13804.7</v>
      </c>
      <c r="O1416" s="17">
        <f t="shared" si="47"/>
        <v>0</v>
      </c>
      <c r="P1416" s="17">
        <f t="shared" si="48"/>
        <v>13804.7</v>
      </c>
      <c r="Q1416" t="str">
        <f>A1416&amp;"-"&amp;B1416&amp;"-"&amp;D1416</f>
        <v>APRIL-KLB-L2B</v>
      </c>
    </row>
    <row r="1417" spans="1:17" x14ac:dyDescent="0.25">
      <c r="A1417" t="s">
        <v>394</v>
      </c>
      <c r="B1417" s="13" t="s">
        <v>24</v>
      </c>
      <c r="C1417" s="13" t="s">
        <v>226</v>
      </c>
      <c r="D1417" s="14" t="s">
        <v>223</v>
      </c>
      <c r="E1417" s="13" t="s">
        <v>61</v>
      </c>
      <c r="F1417" s="13" t="s">
        <v>739</v>
      </c>
      <c r="G1417" s="13">
        <v>0.68</v>
      </c>
      <c r="H1417" s="15">
        <v>2184</v>
      </c>
      <c r="I1417" s="16">
        <v>1485.1200000000001</v>
      </c>
      <c r="J1417" s="16">
        <v>890.00413619167728</v>
      </c>
      <c r="K1417" s="16">
        <v>595.11586380832284</v>
      </c>
      <c r="L1417" s="13">
        <v>1.82</v>
      </c>
      <c r="M1417" s="13"/>
      <c r="N1417" s="17">
        <f t="shared" si="47"/>
        <v>3974.88</v>
      </c>
      <c r="O1417" s="17">
        <f t="shared" si="47"/>
        <v>0</v>
      </c>
      <c r="P1417" s="17">
        <f t="shared" si="48"/>
        <v>3974.88</v>
      </c>
      <c r="Q1417" t="str">
        <f>A1417&amp;"-"&amp;B1417&amp;"-"&amp;D1417</f>
        <v>APRIL-KLB-L2B</v>
      </c>
    </row>
    <row r="1418" spans="1:17" x14ac:dyDescent="0.25">
      <c r="A1418" t="s">
        <v>394</v>
      </c>
      <c r="B1418" s="13" t="s">
        <v>24</v>
      </c>
      <c r="C1418" s="13" t="s">
        <v>226</v>
      </c>
      <c r="D1418" s="14" t="s">
        <v>223</v>
      </c>
      <c r="E1418" s="13" t="s">
        <v>61</v>
      </c>
      <c r="F1418" s="13" t="s">
        <v>740</v>
      </c>
      <c r="G1418" s="13">
        <v>0.66</v>
      </c>
      <c r="H1418" s="15">
        <v>274</v>
      </c>
      <c r="I1418" s="16">
        <v>180.84</v>
      </c>
      <c r="J1418" s="16">
        <v>121.96512820512821</v>
      </c>
      <c r="K1418" s="16">
        <v>58.874871794871794</v>
      </c>
      <c r="L1418" s="13">
        <v>1.97</v>
      </c>
      <c r="M1418" s="13"/>
      <c r="N1418" s="17">
        <f t="shared" si="47"/>
        <v>539.78</v>
      </c>
      <c r="O1418" s="17">
        <f t="shared" si="47"/>
        <v>0</v>
      </c>
      <c r="P1418" s="17">
        <f t="shared" si="48"/>
        <v>539.78</v>
      </c>
      <c r="Q1418" t="str">
        <f>A1418&amp;"-"&amp;B1418&amp;"-"&amp;D1418</f>
        <v>APRIL-KLB-L2B</v>
      </c>
    </row>
    <row r="1419" spans="1:17" x14ac:dyDescent="0.25">
      <c r="A1419" t="s">
        <v>394</v>
      </c>
      <c r="B1419" s="13" t="s">
        <v>24</v>
      </c>
      <c r="C1419" s="13" t="s">
        <v>226</v>
      </c>
      <c r="D1419" s="14" t="s">
        <v>223</v>
      </c>
      <c r="E1419" s="13" t="s">
        <v>61</v>
      </c>
      <c r="F1419" s="13" t="s">
        <v>586</v>
      </c>
      <c r="G1419" s="13">
        <v>0.66</v>
      </c>
      <c r="H1419" s="15">
        <v>8</v>
      </c>
      <c r="I1419" s="16">
        <v>5.28</v>
      </c>
      <c r="J1419" s="16">
        <v>3.8364640883977903</v>
      </c>
      <c r="K1419" s="16">
        <v>1.44353591160221</v>
      </c>
      <c r="L1419" s="13">
        <v>1.71</v>
      </c>
      <c r="M1419" s="13"/>
      <c r="N1419" s="17">
        <f t="shared" si="47"/>
        <v>13.68</v>
      </c>
      <c r="O1419" s="17">
        <f t="shared" si="47"/>
        <v>0</v>
      </c>
      <c r="P1419" s="17">
        <f t="shared" si="48"/>
        <v>13.68</v>
      </c>
      <c r="Q1419" t="str">
        <f>A1419&amp;"-"&amp;B1419&amp;"-"&amp;D1419</f>
        <v>APRIL-KLB-L2B</v>
      </c>
    </row>
    <row r="1420" spans="1:17" x14ac:dyDescent="0.25">
      <c r="A1420" t="s">
        <v>394</v>
      </c>
      <c r="B1420" s="13" t="s">
        <v>24</v>
      </c>
      <c r="C1420" s="13" t="s">
        <v>226</v>
      </c>
      <c r="D1420" s="14" t="s">
        <v>223</v>
      </c>
      <c r="E1420" s="13" t="s">
        <v>61</v>
      </c>
      <c r="F1420" s="13" t="s">
        <v>587</v>
      </c>
      <c r="G1420" s="13">
        <v>0.93</v>
      </c>
      <c r="H1420" s="15">
        <v>285</v>
      </c>
      <c r="I1420" s="16">
        <v>265.05</v>
      </c>
      <c r="J1420" s="16">
        <v>139.5986752953805</v>
      </c>
      <c r="K1420" s="16">
        <v>125.45132470461948</v>
      </c>
      <c r="L1420" s="13">
        <v>2.2400000000000002</v>
      </c>
      <c r="M1420" s="13"/>
      <c r="N1420" s="17">
        <f t="shared" si="47"/>
        <v>638.40000000000009</v>
      </c>
      <c r="O1420" s="17">
        <f t="shared" si="47"/>
        <v>0</v>
      </c>
      <c r="P1420" s="17">
        <f t="shared" si="48"/>
        <v>638.40000000000009</v>
      </c>
      <c r="Q1420" t="str">
        <f>A1420&amp;"-"&amp;B1420&amp;"-"&amp;D1420</f>
        <v>APRIL-KLB-L2B</v>
      </c>
    </row>
    <row r="1421" spans="1:17" x14ac:dyDescent="0.25">
      <c r="A1421" t="s">
        <v>394</v>
      </c>
      <c r="B1421" s="13" t="s">
        <v>24</v>
      </c>
      <c r="C1421" s="13" t="s">
        <v>226</v>
      </c>
      <c r="D1421" s="14" t="s">
        <v>223</v>
      </c>
      <c r="E1421" s="13" t="s">
        <v>61</v>
      </c>
      <c r="F1421" s="13" t="s">
        <v>588</v>
      </c>
      <c r="G1421" s="13">
        <v>0.93</v>
      </c>
      <c r="H1421" s="15">
        <v>35</v>
      </c>
      <c r="I1421" s="16">
        <v>32.549999999999997</v>
      </c>
      <c r="J1421" s="16">
        <v>21.024221453287197</v>
      </c>
      <c r="K1421" s="16">
        <v>11.5257785467128</v>
      </c>
      <c r="L1421" s="13">
        <v>2.4300000000000002</v>
      </c>
      <c r="M1421" s="13"/>
      <c r="N1421" s="17">
        <f t="shared" si="47"/>
        <v>85.050000000000011</v>
      </c>
      <c r="O1421" s="17">
        <f t="shared" si="47"/>
        <v>0</v>
      </c>
      <c r="P1421" s="17">
        <f t="shared" si="48"/>
        <v>85.050000000000011</v>
      </c>
      <c r="Q1421" t="str">
        <f>A1421&amp;"-"&amp;B1421&amp;"-"&amp;D1421</f>
        <v>APRIL-KLB-L2B</v>
      </c>
    </row>
    <row r="1422" spans="1:17" x14ac:dyDescent="0.25">
      <c r="A1422" t="s">
        <v>394</v>
      </c>
      <c r="B1422" s="13" t="s">
        <v>24</v>
      </c>
      <c r="C1422" s="13" t="s">
        <v>226</v>
      </c>
      <c r="D1422" s="14" t="s">
        <v>223</v>
      </c>
      <c r="E1422" s="13" t="s">
        <v>61</v>
      </c>
      <c r="F1422" s="13" t="s">
        <v>736</v>
      </c>
      <c r="G1422" s="13">
        <v>0.69</v>
      </c>
      <c r="H1422" s="15">
        <v>1400</v>
      </c>
      <c r="I1422" s="16">
        <v>966</v>
      </c>
      <c r="J1422" s="16">
        <v>623.17948717948718</v>
      </c>
      <c r="K1422" s="16">
        <v>342.82051282051282</v>
      </c>
      <c r="L1422" s="13">
        <v>1.83</v>
      </c>
      <c r="M1422" s="13"/>
      <c r="N1422" s="17">
        <f t="shared" si="47"/>
        <v>2562</v>
      </c>
      <c r="O1422" s="17">
        <f t="shared" si="47"/>
        <v>0</v>
      </c>
      <c r="P1422" s="17">
        <f t="shared" si="48"/>
        <v>2562</v>
      </c>
      <c r="Q1422" t="str">
        <f>A1422&amp;"-"&amp;B1422&amp;"-"&amp;D1422</f>
        <v>APRIL-KLB-L2B</v>
      </c>
    </row>
    <row r="1423" spans="1:17" x14ac:dyDescent="0.25">
      <c r="A1423" t="s">
        <v>394</v>
      </c>
      <c r="B1423" s="13" t="s">
        <v>24</v>
      </c>
      <c r="C1423" s="13" t="s">
        <v>226</v>
      </c>
      <c r="D1423" s="14" t="s">
        <v>223</v>
      </c>
      <c r="E1423" s="13" t="s">
        <v>61</v>
      </c>
      <c r="F1423" s="13" t="s">
        <v>737</v>
      </c>
      <c r="G1423" s="13">
        <v>0.66</v>
      </c>
      <c r="H1423" s="15">
        <v>217</v>
      </c>
      <c r="I1423" s="16">
        <v>143.22</v>
      </c>
      <c r="J1423" s="16">
        <v>96.592820512820509</v>
      </c>
      <c r="K1423" s="16">
        <v>46.62717948717949</v>
      </c>
      <c r="L1423" s="13">
        <v>1.98</v>
      </c>
      <c r="M1423" s="13"/>
      <c r="N1423" s="17">
        <f t="shared" si="47"/>
        <v>429.65999999999997</v>
      </c>
      <c r="O1423" s="17">
        <f t="shared" si="47"/>
        <v>0</v>
      </c>
      <c r="P1423" s="17">
        <f t="shared" si="48"/>
        <v>429.65999999999997</v>
      </c>
      <c r="Q1423" t="str">
        <f>A1423&amp;"-"&amp;B1423&amp;"-"&amp;D1423</f>
        <v>APRIL-KLB-L2B</v>
      </c>
    </row>
    <row r="1424" spans="1:17" x14ac:dyDescent="0.25">
      <c r="A1424" t="s">
        <v>394</v>
      </c>
      <c r="B1424" s="13" t="s">
        <v>24</v>
      </c>
      <c r="C1424" s="13" t="s">
        <v>226</v>
      </c>
      <c r="D1424" s="14" t="s">
        <v>223</v>
      </c>
      <c r="E1424" s="13" t="s">
        <v>61</v>
      </c>
      <c r="F1424" s="13" t="s">
        <v>738</v>
      </c>
      <c r="G1424" s="13">
        <v>0.69</v>
      </c>
      <c r="H1424" s="15">
        <v>1530</v>
      </c>
      <c r="I1424" s="16">
        <v>1055.7</v>
      </c>
      <c r="J1424" s="16">
        <v>663.38075961093102</v>
      </c>
      <c r="K1424" s="16">
        <v>392.31924038906908</v>
      </c>
      <c r="L1424" s="13">
        <v>1.83</v>
      </c>
      <c r="M1424" s="13"/>
      <c r="N1424" s="17">
        <f t="shared" si="47"/>
        <v>2799.9</v>
      </c>
      <c r="O1424" s="17">
        <f t="shared" si="47"/>
        <v>0</v>
      </c>
      <c r="P1424" s="17">
        <f t="shared" si="48"/>
        <v>2799.9</v>
      </c>
      <c r="Q1424" t="str">
        <f>A1424&amp;"-"&amp;B1424&amp;"-"&amp;D1424</f>
        <v>APRIL-KLB-L2B</v>
      </c>
    </row>
    <row r="1425" spans="1:17" x14ac:dyDescent="0.25">
      <c r="A1425" t="s">
        <v>394</v>
      </c>
      <c r="B1425" s="13" t="s">
        <v>24</v>
      </c>
      <c r="C1425" s="13" t="s">
        <v>226</v>
      </c>
      <c r="D1425" s="14" t="s">
        <v>223</v>
      </c>
      <c r="E1425" s="13" t="s">
        <v>61</v>
      </c>
      <c r="F1425" s="13" t="s">
        <v>741</v>
      </c>
      <c r="G1425" s="13">
        <v>0.84</v>
      </c>
      <c r="H1425" s="15">
        <v>1225</v>
      </c>
      <c r="I1425" s="16">
        <v>1029</v>
      </c>
      <c r="J1425" s="16">
        <v>716.39952579457213</v>
      </c>
      <c r="K1425" s="16">
        <v>312.60047420542787</v>
      </c>
      <c r="L1425" s="13">
        <v>2.59</v>
      </c>
      <c r="M1425" s="13"/>
      <c r="N1425" s="17">
        <f t="shared" si="47"/>
        <v>3172.75</v>
      </c>
      <c r="O1425" s="17">
        <f t="shared" si="47"/>
        <v>0</v>
      </c>
      <c r="P1425" s="17">
        <f t="shared" si="48"/>
        <v>3172.75</v>
      </c>
      <c r="Q1425" t="str">
        <f>A1425&amp;"-"&amp;B1425&amp;"-"&amp;D1425</f>
        <v>APRIL-KLB-L2B</v>
      </c>
    </row>
    <row r="1426" spans="1:17" x14ac:dyDescent="0.25">
      <c r="A1426" t="s">
        <v>394</v>
      </c>
      <c r="B1426" s="13" t="s">
        <v>24</v>
      </c>
      <c r="C1426" s="13" t="s">
        <v>226</v>
      </c>
      <c r="D1426" s="14" t="s">
        <v>223</v>
      </c>
      <c r="E1426" s="13" t="s">
        <v>61</v>
      </c>
      <c r="F1426" s="13" t="s">
        <v>590</v>
      </c>
      <c r="G1426" s="13">
        <v>0.84</v>
      </c>
      <c r="H1426" s="15">
        <v>705</v>
      </c>
      <c r="I1426" s="16">
        <v>592.19999999999993</v>
      </c>
      <c r="J1426" s="16">
        <v>423.13569198516728</v>
      </c>
      <c r="K1426" s="16">
        <v>169.06430801483268</v>
      </c>
      <c r="L1426" s="13">
        <v>2.59</v>
      </c>
      <c r="M1426" s="13"/>
      <c r="N1426" s="17">
        <f t="shared" si="47"/>
        <v>1825.9499999999998</v>
      </c>
      <c r="O1426" s="17">
        <f t="shared" si="47"/>
        <v>0</v>
      </c>
      <c r="P1426" s="17">
        <f t="shared" si="48"/>
        <v>1825.9499999999998</v>
      </c>
      <c r="Q1426" t="str">
        <f>A1426&amp;"-"&amp;B1426&amp;"-"&amp;D1426</f>
        <v>APRIL-KLB-L2B</v>
      </c>
    </row>
    <row r="1427" spans="1:17" x14ac:dyDescent="0.25">
      <c r="A1427" t="s">
        <v>394</v>
      </c>
      <c r="B1427" s="13" t="s">
        <v>24</v>
      </c>
      <c r="C1427" s="13" t="s">
        <v>226</v>
      </c>
      <c r="D1427" s="14" t="s">
        <v>223</v>
      </c>
      <c r="E1427" s="13" t="s">
        <v>61</v>
      </c>
      <c r="F1427" s="13" t="s">
        <v>742</v>
      </c>
      <c r="G1427" s="13">
        <v>0.88</v>
      </c>
      <c r="H1427" s="15">
        <v>1512</v>
      </c>
      <c r="I1427" s="16">
        <v>1330.56</v>
      </c>
      <c r="J1427" s="16">
        <v>809.71729983623368</v>
      </c>
      <c r="K1427" s="16">
        <v>520.84270016376627</v>
      </c>
      <c r="L1427" s="13">
        <v>2.61</v>
      </c>
      <c r="M1427" s="13"/>
      <c r="N1427" s="17">
        <f t="shared" si="47"/>
        <v>3946.3199999999997</v>
      </c>
      <c r="O1427" s="17">
        <f t="shared" si="47"/>
        <v>0</v>
      </c>
      <c r="P1427" s="17">
        <f t="shared" si="48"/>
        <v>3946.3199999999997</v>
      </c>
      <c r="Q1427" t="str">
        <f>A1427&amp;"-"&amp;B1427&amp;"-"&amp;D1427</f>
        <v>APRIL-KLB-L2B</v>
      </c>
    </row>
    <row r="1428" spans="1:17" x14ac:dyDescent="0.25">
      <c r="A1428" t="s">
        <v>394</v>
      </c>
      <c r="B1428" s="13" t="s">
        <v>24</v>
      </c>
      <c r="C1428" s="13" t="s">
        <v>226</v>
      </c>
      <c r="D1428" s="14" t="s">
        <v>224</v>
      </c>
      <c r="E1428" s="13" t="s">
        <v>61</v>
      </c>
      <c r="F1428" s="13" t="s">
        <v>730</v>
      </c>
      <c r="G1428" s="13">
        <v>0.68</v>
      </c>
      <c r="H1428" s="15">
        <v>2032</v>
      </c>
      <c r="I1428" s="16">
        <v>1381.76</v>
      </c>
      <c r="J1428" s="16">
        <v>778.02205558006176</v>
      </c>
      <c r="K1428" s="16">
        <v>603.73794441993823</v>
      </c>
      <c r="L1428" s="13">
        <v>1.82</v>
      </c>
      <c r="M1428" s="13"/>
      <c r="N1428" s="17">
        <f t="shared" si="47"/>
        <v>3698.2400000000002</v>
      </c>
      <c r="O1428" s="17">
        <f t="shared" si="47"/>
        <v>0</v>
      </c>
      <c r="P1428" s="17">
        <f t="shared" si="48"/>
        <v>3698.2400000000002</v>
      </c>
      <c r="Q1428" t="str">
        <f>A1428&amp;"-"&amp;B1428&amp;"-"&amp;D1428</f>
        <v>APRIL-KLB-L3A</v>
      </c>
    </row>
    <row r="1429" spans="1:17" x14ac:dyDescent="0.25">
      <c r="A1429" t="s">
        <v>394</v>
      </c>
      <c r="B1429" s="13" t="s">
        <v>24</v>
      </c>
      <c r="C1429" s="13" t="s">
        <v>226</v>
      </c>
      <c r="D1429" s="14" t="s">
        <v>224</v>
      </c>
      <c r="E1429" s="13" t="s">
        <v>61</v>
      </c>
      <c r="F1429" s="13" t="s">
        <v>731</v>
      </c>
      <c r="G1429" s="13">
        <v>0.68</v>
      </c>
      <c r="H1429" s="15">
        <v>230</v>
      </c>
      <c r="I1429" s="16">
        <v>156.4</v>
      </c>
      <c r="J1429" s="16">
        <v>88.063520070577852</v>
      </c>
      <c r="K1429" s="16">
        <v>68.336479929422154</v>
      </c>
      <c r="L1429" s="13">
        <v>1.82</v>
      </c>
      <c r="M1429" s="13"/>
      <c r="N1429" s="17">
        <f t="shared" si="47"/>
        <v>418.6</v>
      </c>
      <c r="O1429" s="17">
        <f t="shared" si="47"/>
        <v>0</v>
      </c>
      <c r="P1429" s="17">
        <f t="shared" si="48"/>
        <v>418.6</v>
      </c>
      <c r="Q1429" t="str">
        <f>A1429&amp;"-"&amp;B1429&amp;"-"&amp;D1429</f>
        <v>APRIL-KLB-L3A</v>
      </c>
    </row>
    <row r="1430" spans="1:17" x14ac:dyDescent="0.25">
      <c r="A1430" t="s">
        <v>394</v>
      </c>
      <c r="B1430" s="13" t="s">
        <v>24</v>
      </c>
      <c r="C1430" s="13" t="s">
        <v>226</v>
      </c>
      <c r="D1430" s="14" t="s">
        <v>224</v>
      </c>
      <c r="E1430" s="13" t="s">
        <v>61</v>
      </c>
      <c r="F1430" s="13" t="s">
        <v>732</v>
      </c>
      <c r="G1430" s="13">
        <v>0.80000000000000016</v>
      </c>
      <c r="H1430" s="15">
        <v>3110</v>
      </c>
      <c r="I1430" s="16">
        <v>2488</v>
      </c>
      <c r="J1430" s="16">
        <v>1380.4246558308764</v>
      </c>
      <c r="K1430" s="16">
        <v>1107.5753441691236</v>
      </c>
      <c r="L1430" s="13">
        <v>2.1</v>
      </c>
      <c r="M1430" s="13"/>
      <c r="N1430" s="17">
        <f t="shared" si="47"/>
        <v>6531</v>
      </c>
      <c r="O1430" s="17">
        <f t="shared" si="47"/>
        <v>0</v>
      </c>
      <c r="P1430" s="17">
        <f t="shared" si="48"/>
        <v>6531</v>
      </c>
      <c r="Q1430" t="str">
        <f>A1430&amp;"-"&amp;B1430&amp;"-"&amp;D1430</f>
        <v>APRIL-KLB-L3A</v>
      </c>
    </row>
    <row r="1431" spans="1:17" x14ac:dyDescent="0.25">
      <c r="A1431" t="s">
        <v>394</v>
      </c>
      <c r="B1431" s="13" t="s">
        <v>24</v>
      </c>
      <c r="C1431" s="13" t="s">
        <v>226</v>
      </c>
      <c r="D1431" s="14" t="s">
        <v>224</v>
      </c>
      <c r="E1431" s="13" t="s">
        <v>61</v>
      </c>
      <c r="F1431" s="13" t="s">
        <v>733</v>
      </c>
      <c r="G1431" s="13">
        <v>0.68</v>
      </c>
      <c r="H1431" s="15">
        <v>2235</v>
      </c>
      <c r="I1431" s="16">
        <v>1519.8000000000002</v>
      </c>
      <c r="J1431" s="16">
        <v>782.41442434936039</v>
      </c>
      <c r="K1431" s="16">
        <v>737.38557565063968</v>
      </c>
      <c r="L1431" s="13">
        <v>1.82</v>
      </c>
      <c r="M1431" s="13"/>
      <c r="N1431" s="17">
        <f t="shared" si="47"/>
        <v>4067.7000000000003</v>
      </c>
      <c r="O1431" s="17">
        <f t="shared" si="47"/>
        <v>0</v>
      </c>
      <c r="P1431" s="17">
        <f t="shared" si="48"/>
        <v>4067.7000000000003</v>
      </c>
      <c r="Q1431" t="str">
        <f>A1431&amp;"-"&amp;B1431&amp;"-"&amp;D1431</f>
        <v>APRIL-KLB-L3A</v>
      </c>
    </row>
    <row r="1432" spans="1:17" x14ac:dyDescent="0.25">
      <c r="A1432" t="s">
        <v>394</v>
      </c>
      <c r="B1432" s="13" t="s">
        <v>24</v>
      </c>
      <c r="C1432" s="13" t="s">
        <v>226</v>
      </c>
      <c r="D1432" s="14" t="s">
        <v>224</v>
      </c>
      <c r="E1432" s="13" t="s">
        <v>61</v>
      </c>
      <c r="F1432" s="13" t="s">
        <v>734</v>
      </c>
      <c r="G1432" s="13">
        <v>0.68</v>
      </c>
      <c r="H1432" s="15">
        <v>8950</v>
      </c>
      <c r="I1432" s="16">
        <v>6086</v>
      </c>
      <c r="J1432" s="16">
        <v>3201.0534655630463</v>
      </c>
      <c r="K1432" s="16">
        <v>2884.9465344369537</v>
      </c>
      <c r="L1432" s="13">
        <v>1.82</v>
      </c>
      <c r="M1432" s="13"/>
      <c r="N1432" s="17">
        <f t="shared" si="47"/>
        <v>16289</v>
      </c>
      <c r="O1432" s="17">
        <f t="shared" si="47"/>
        <v>0</v>
      </c>
      <c r="P1432" s="17">
        <f t="shared" si="48"/>
        <v>16289</v>
      </c>
      <c r="Q1432" t="str">
        <f>A1432&amp;"-"&amp;B1432&amp;"-"&amp;D1432</f>
        <v>APRIL-KLB-L3A</v>
      </c>
    </row>
    <row r="1433" spans="1:17" x14ac:dyDescent="0.25">
      <c r="A1433" t="s">
        <v>394</v>
      </c>
      <c r="B1433" s="13" t="s">
        <v>24</v>
      </c>
      <c r="C1433" s="13" t="s">
        <v>226</v>
      </c>
      <c r="D1433" s="14" t="s">
        <v>224</v>
      </c>
      <c r="E1433" s="13" t="s">
        <v>61</v>
      </c>
      <c r="F1433" s="13" t="s">
        <v>739</v>
      </c>
      <c r="G1433" s="13">
        <v>0.68</v>
      </c>
      <c r="H1433" s="15">
        <v>527</v>
      </c>
      <c r="I1433" s="16">
        <v>358.36</v>
      </c>
      <c r="J1433" s="16">
        <v>203.30488888888888</v>
      </c>
      <c r="K1433" s="16">
        <v>155.05511111111113</v>
      </c>
      <c r="L1433" s="13">
        <v>1.82</v>
      </c>
      <c r="M1433" s="13"/>
      <c r="N1433" s="17">
        <f t="shared" si="47"/>
        <v>959.14</v>
      </c>
      <c r="O1433" s="17">
        <f t="shared" si="47"/>
        <v>0</v>
      </c>
      <c r="P1433" s="17">
        <f t="shared" si="48"/>
        <v>959.14</v>
      </c>
      <c r="Q1433" t="str">
        <f>A1433&amp;"-"&amp;B1433&amp;"-"&amp;D1433</f>
        <v>APRIL-KLB-L3A</v>
      </c>
    </row>
    <row r="1434" spans="1:17" x14ac:dyDescent="0.25">
      <c r="A1434" t="s">
        <v>394</v>
      </c>
      <c r="B1434" s="13" t="s">
        <v>24</v>
      </c>
      <c r="C1434" s="13" t="s">
        <v>226</v>
      </c>
      <c r="D1434" s="14" t="s">
        <v>224</v>
      </c>
      <c r="E1434" s="13" t="s">
        <v>61</v>
      </c>
      <c r="F1434" s="13" t="s">
        <v>592</v>
      </c>
      <c r="G1434" s="13">
        <v>0.68</v>
      </c>
      <c r="H1434" s="15">
        <v>25</v>
      </c>
      <c r="I1434" s="16">
        <v>17</v>
      </c>
      <c r="J1434" s="16">
        <v>11.988950276243093</v>
      </c>
      <c r="K1434" s="16">
        <v>5.0110497237569067</v>
      </c>
      <c r="L1434" s="13">
        <v>1.82</v>
      </c>
      <c r="M1434" s="13"/>
      <c r="N1434" s="17">
        <f t="shared" si="47"/>
        <v>45.5</v>
      </c>
      <c r="O1434" s="17">
        <f t="shared" si="47"/>
        <v>0</v>
      </c>
      <c r="P1434" s="17">
        <f t="shared" si="48"/>
        <v>45.5</v>
      </c>
      <c r="Q1434" t="str">
        <f>A1434&amp;"-"&amp;B1434&amp;"-"&amp;D1434</f>
        <v>APRIL-KLB-L3A</v>
      </c>
    </row>
    <row r="1435" spans="1:17" x14ac:dyDescent="0.25">
      <c r="A1435" t="s">
        <v>394</v>
      </c>
      <c r="B1435" s="13" t="s">
        <v>24</v>
      </c>
      <c r="C1435" s="13" t="s">
        <v>226</v>
      </c>
      <c r="D1435" s="14" t="s">
        <v>224</v>
      </c>
      <c r="E1435" s="13" t="s">
        <v>61</v>
      </c>
      <c r="F1435" s="13" t="s">
        <v>740</v>
      </c>
      <c r="G1435" s="13">
        <v>0.66</v>
      </c>
      <c r="H1435" s="15">
        <v>345</v>
      </c>
      <c r="I1435" s="16">
        <v>227.7</v>
      </c>
      <c r="J1435" s="16">
        <v>133.09333333333333</v>
      </c>
      <c r="K1435" s="16">
        <v>94.606666666666655</v>
      </c>
      <c r="L1435" s="13">
        <v>1.97</v>
      </c>
      <c r="M1435" s="13"/>
      <c r="N1435" s="17">
        <f t="shared" si="47"/>
        <v>679.65</v>
      </c>
      <c r="O1435" s="17">
        <f t="shared" si="47"/>
        <v>0</v>
      </c>
      <c r="P1435" s="17">
        <f t="shared" si="48"/>
        <v>679.65</v>
      </c>
      <c r="Q1435" t="str">
        <f>A1435&amp;"-"&amp;B1435&amp;"-"&amp;D1435</f>
        <v>APRIL-KLB-L3A</v>
      </c>
    </row>
    <row r="1436" spans="1:17" x14ac:dyDescent="0.25">
      <c r="A1436" t="s">
        <v>394</v>
      </c>
      <c r="B1436" s="13" t="s">
        <v>24</v>
      </c>
      <c r="C1436" s="13" t="s">
        <v>226</v>
      </c>
      <c r="D1436" s="14" t="s">
        <v>224</v>
      </c>
      <c r="E1436" s="13" t="s">
        <v>61</v>
      </c>
      <c r="F1436" s="13" t="s">
        <v>593</v>
      </c>
      <c r="G1436" s="13">
        <v>0.93</v>
      </c>
      <c r="H1436" s="15">
        <v>2433</v>
      </c>
      <c r="I1436" s="16">
        <v>2262.6900000000005</v>
      </c>
      <c r="J1436" s="16">
        <v>1169.0112204484496</v>
      </c>
      <c r="K1436" s="16">
        <v>1093.6787795515502</v>
      </c>
      <c r="L1436" s="13">
        <v>2.2400000000000002</v>
      </c>
      <c r="M1436" s="13"/>
      <c r="N1436" s="17">
        <f t="shared" si="47"/>
        <v>5449.92</v>
      </c>
      <c r="O1436" s="17">
        <f t="shared" si="47"/>
        <v>0</v>
      </c>
      <c r="P1436" s="17">
        <f t="shared" si="48"/>
        <v>5449.92</v>
      </c>
      <c r="Q1436" t="str">
        <f>A1436&amp;"-"&amp;B1436&amp;"-"&amp;D1436</f>
        <v>APRIL-KLB-L3A</v>
      </c>
    </row>
    <row r="1437" spans="1:17" x14ac:dyDescent="0.25">
      <c r="A1437" t="s">
        <v>394</v>
      </c>
      <c r="B1437" s="13" t="s">
        <v>24</v>
      </c>
      <c r="C1437" s="13" t="s">
        <v>226</v>
      </c>
      <c r="D1437" s="14" t="s">
        <v>224</v>
      </c>
      <c r="E1437" s="13" t="s">
        <v>61</v>
      </c>
      <c r="F1437" s="13" t="s">
        <v>743</v>
      </c>
      <c r="G1437" s="13">
        <v>0.93</v>
      </c>
      <c r="H1437" s="15">
        <v>2754</v>
      </c>
      <c r="I1437" s="16">
        <v>2561.2199999999998</v>
      </c>
      <c r="J1437" s="16">
        <v>1441.9822280514384</v>
      </c>
      <c r="K1437" s="16">
        <v>1119.2377719485614</v>
      </c>
      <c r="L1437" s="13">
        <v>2.2400000000000002</v>
      </c>
      <c r="M1437" s="13"/>
      <c r="N1437" s="17">
        <f t="shared" si="47"/>
        <v>6168.9600000000009</v>
      </c>
      <c r="O1437" s="17">
        <f t="shared" si="47"/>
        <v>0</v>
      </c>
      <c r="P1437" s="17">
        <f t="shared" si="48"/>
        <v>6168.9600000000009</v>
      </c>
      <c r="Q1437" t="str">
        <f>A1437&amp;"-"&amp;B1437&amp;"-"&amp;D1437</f>
        <v>APRIL-KLB-L3A</v>
      </c>
    </row>
    <row r="1438" spans="1:17" x14ac:dyDescent="0.25">
      <c r="A1438" t="s">
        <v>394</v>
      </c>
      <c r="B1438" s="13" t="s">
        <v>24</v>
      </c>
      <c r="C1438" s="13" t="s">
        <v>226</v>
      </c>
      <c r="D1438" s="14" t="s">
        <v>224</v>
      </c>
      <c r="E1438" s="13" t="s">
        <v>61</v>
      </c>
      <c r="F1438" s="13" t="s">
        <v>736</v>
      </c>
      <c r="G1438" s="13">
        <v>0.69</v>
      </c>
      <c r="H1438" s="15">
        <v>1073</v>
      </c>
      <c r="I1438" s="16">
        <v>740.37</v>
      </c>
      <c r="J1438" s="16">
        <v>413.93955555555556</v>
      </c>
      <c r="K1438" s="16">
        <v>326.43044444444445</v>
      </c>
      <c r="L1438" s="13">
        <v>1.83</v>
      </c>
      <c r="M1438" s="13"/>
      <c r="N1438" s="17">
        <f t="shared" ref="N1438:O1499" si="49">$H1438*L1438</f>
        <v>1963.5900000000001</v>
      </c>
      <c r="O1438" s="17">
        <f t="shared" si="49"/>
        <v>0</v>
      </c>
      <c r="P1438" s="17">
        <f t="shared" si="48"/>
        <v>1963.5900000000001</v>
      </c>
      <c r="Q1438" t="str">
        <f>A1438&amp;"-"&amp;B1438&amp;"-"&amp;D1438</f>
        <v>APRIL-KLB-L3A</v>
      </c>
    </row>
    <row r="1439" spans="1:17" x14ac:dyDescent="0.25">
      <c r="A1439" t="s">
        <v>394</v>
      </c>
      <c r="B1439" s="13" t="s">
        <v>24</v>
      </c>
      <c r="C1439" s="13" t="s">
        <v>226</v>
      </c>
      <c r="D1439" s="14" t="s">
        <v>224</v>
      </c>
      <c r="E1439" s="13" t="s">
        <v>61</v>
      </c>
      <c r="F1439" s="13" t="s">
        <v>737</v>
      </c>
      <c r="G1439" s="13">
        <v>0.66</v>
      </c>
      <c r="H1439" s="15">
        <v>305</v>
      </c>
      <c r="I1439" s="16">
        <v>201.3</v>
      </c>
      <c r="J1439" s="16">
        <v>117.66222222222223</v>
      </c>
      <c r="K1439" s="16">
        <v>83.637777777777785</v>
      </c>
      <c r="L1439" s="13">
        <v>1.98</v>
      </c>
      <c r="M1439" s="13"/>
      <c r="N1439" s="17">
        <f t="shared" si="49"/>
        <v>603.9</v>
      </c>
      <c r="O1439" s="17">
        <f t="shared" si="49"/>
        <v>0</v>
      </c>
      <c r="P1439" s="17">
        <f t="shared" si="48"/>
        <v>603.9</v>
      </c>
      <c r="Q1439" t="str">
        <f>A1439&amp;"-"&amp;B1439&amp;"-"&amp;D1439</f>
        <v>APRIL-KLB-L3A</v>
      </c>
    </row>
    <row r="1440" spans="1:17" x14ac:dyDescent="0.25">
      <c r="A1440" t="s">
        <v>394</v>
      </c>
      <c r="B1440" s="13" t="s">
        <v>24</v>
      </c>
      <c r="C1440" s="13" t="s">
        <v>226</v>
      </c>
      <c r="D1440" s="14" t="s">
        <v>224</v>
      </c>
      <c r="E1440" s="13" t="s">
        <v>61</v>
      </c>
      <c r="F1440" s="13" t="s">
        <v>738</v>
      </c>
      <c r="G1440" s="13">
        <v>0.69</v>
      </c>
      <c r="H1440" s="15">
        <v>1295</v>
      </c>
      <c r="I1440" s="16">
        <v>893.55000000000007</v>
      </c>
      <c r="J1440" s="16">
        <v>583.21599418804328</v>
      </c>
      <c r="K1440" s="16">
        <v>310.33400581195684</v>
      </c>
      <c r="L1440" s="13">
        <v>1.83</v>
      </c>
      <c r="M1440" s="13"/>
      <c r="N1440" s="17">
        <f t="shared" si="49"/>
        <v>2369.85</v>
      </c>
      <c r="O1440" s="17">
        <f t="shared" si="49"/>
        <v>0</v>
      </c>
      <c r="P1440" s="17">
        <f t="shared" si="48"/>
        <v>2369.85</v>
      </c>
      <c r="Q1440" t="str">
        <f>A1440&amp;"-"&amp;B1440&amp;"-"&amp;D1440</f>
        <v>APRIL-KLB-L3A</v>
      </c>
    </row>
    <row r="1441" spans="1:17" x14ac:dyDescent="0.25">
      <c r="A1441" t="s">
        <v>394</v>
      </c>
      <c r="B1441" s="13" t="s">
        <v>24</v>
      </c>
      <c r="C1441" s="13" t="s">
        <v>226</v>
      </c>
      <c r="D1441" s="14" t="s">
        <v>224</v>
      </c>
      <c r="E1441" s="13" t="s">
        <v>61</v>
      </c>
      <c r="F1441" s="13" t="s">
        <v>744</v>
      </c>
      <c r="G1441" s="13">
        <v>0.69</v>
      </c>
      <c r="H1441" s="15">
        <v>535</v>
      </c>
      <c r="I1441" s="16">
        <v>369.15</v>
      </c>
      <c r="J1441" s="16">
        <v>215.08229787511223</v>
      </c>
      <c r="K1441" s="16">
        <v>154.06770212488775</v>
      </c>
      <c r="L1441" s="13">
        <v>1.83</v>
      </c>
      <c r="M1441" s="13"/>
      <c r="N1441" s="17">
        <f t="shared" si="49"/>
        <v>979.05000000000007</v>
      </c>
      <c r="O1441" s="17">
        <f t="shared" si="49"/>
        <v>0</v>
      </c>
      <c r="P1441" s="17">
        <f t="shared" si="48"/>
        <v>979.05000000000007</v>
      </c>
      <c r="Q1441" t="str">
        <f>A1441&amp;"-"&amp;B1441&amp;"-"&amp;D1441</f>
        <v>APRIL-KLB-L3A</v>
      </c>
    </row>
    <row r="1442" spans="1:17" x14ac:dyDescent="0.25">
      <c r="A1442" t="s">
        <v>394</v>
      </c>
      <c r="B1442" s="13" t="s">
        <v>24</v>
      </c>
      <c r="C1442" s="13" t="s">
        <v>226</v>
      </c>
      <c r="D1442" s="14" t="s">
        <v>224</v>
      </c>
      <c r="E1442" s="13" t="s">
        <v>61</v>
      </c>
      <c r="F1442" s="13" t="s">
        <v>745</v>
      </c>
      <c r="G1442" s="13">
        <v>0.66</v>
      </c>
      <c r="H1442" s="15">
        <v>350</v>
      </c>
      <c r="I1442" s="16">
        <v>231</v>
      </c>
      <c r="J1442" s="16">
        <v>141.34092653853131</v>
      </c>
      <c r="K1442" s="16">
        <v>89.659073461468665</v>
      </c>
      <c r="L1442" s="13">
        <v>1.98</v>
      </c>
      <c r="M1442" s="13"/>
      <c r="N1442" s="17">
        <f t="shared" si="49"/>
        <v>693</v>
      </c>
      <c r="O1442" s="17">
        <f t="shared" si="49"/>
        <v>0</v>
      </c>
      <c r="P1442" s="17">
        <f t="shared" si="48"/>
        <v>693</v>
      </c>
      <c r="Q1442" t="str">
        <f>A1442&amp;"-"&amp;B1442&amp;"-"&amp;D1442</f>
        <v>APRIL-KLB-L3A</v>
      </c>
    </row>
    <row r="1443" spans="1:17" x14ac:dyDescent="0.25">
      <c r="A1443" t="s">
        <v>394</v>
      </c>
      <c r="B1443" s="13" t="s">
        <v>24</v>
      </c>
      <c r="C1443" s="13" t="s">
        <v>226</v>
      </c>
      <c r="D1443" s="14" t="s">
        <v>224</v>
      </c>
      <c r="E1443" s="13" t="s">
        <v>61</v>
      </c>
      <c r="F1443" s="13" t="s">
        <v>746</v>
      </c>
      <c r="G1443" s="13">
        <v>0.79</v>
      </c>
      <c r="H1443" s="15">
        <v>4605</v>
      </c>
      <c r="I1443" s="16">
        <v>3637.95</v>
      </c>
      <c r="J1443" s="16">
        <v>2042.1172538009871</v>
      </c>
      <c r="K1443" s="16">
        <v>1595.8327461990132</v>
      </c>
      <c r="L1443" s="13">
        <v>2.08</v>
      </c>
      <c r="M1443" s="13"/>
      <c r="N1443" s="17">
        <f t="shared" si="49"/>
        <v>9578.4</v>
      </c>
      <c r="O1443" s="17">
        <f t="shared" si="49"/>
        <v>0</v>
      </c>
      <c r="P1443" s="17">
        <f t="shared" si="48"/>
        <v>9578.4</v>
      </c>
      <c r="Q1443" t="str">
        <f>A1443&amp;"-"&amp;B1443&amp;"-"&amp;D1443</f>
        <v>APRIL-KLB-L3A</v>
      </c>
    </row>
    <row r="1444" spans="1:17" x14ac:dyDescent="0.25">
      <c r="A1444" t="s">
        <v>394</v>
      </c>
      <c r="B1444" s="13" t="s">
        <v>24</v>
      </c>
      <c r="C1444" s="13" t="s">
        <v>226</v>
      </c>
      <c r="D1444" s="14" t="s">
        <v>224</v>
      </c>
      <c r="E1444" s="13" t="s">
        <v>61</v>
      </c>
      <c r="F1444" s="13" t="s">
        <v>747</v>
      </c>
      <c r="G1444" s="13">
        <v>0.77</v>
      </c>
      <c r="H1444" s="15">
        <v>715</v>
      </c>
      <c r="I1444" s="16">
        <v>550.54999999999995</v>
      </c>
      <c r="J1444" s="16">
        <v>317.28300742727214</v>
      </c>
      <c r="K1444" s="16">
        <v>233.26699257272787</v>
      </c>
      <c r="L1444" s="13">
        <v>2.2400000000000002</v>
      </c>
      <c r="M1444" s="13"/>
      <c r="N1444" s="17">
        <f t="shared" si="49"/>
        <v>1601.6000000000001</v>
      </c>
      <c r="O1444" s="17">
        <f t="shared" si="49"/>
        <v>0</v>
      </c>
      <c r="P1444" s="17">
        <f t="shared" si="48"/>
        <v>1601.6000000000001</v>
      </c>
      <c r="Q1444" t="str">
        <f>A1444&amp;"-"&amp;B1444&amp;"-"&amp;D1444</f>
        <v>APRIL-KLB-L3A</v>
      </c>
    </row>
    <row r="1445" spans="1:17" x14ac:dyDescent="0.25">
      <c r="A1445" t="s">
        <v>394</v>
      </c>
      <c r="B1445" s="13" t="s">
        <v>24</v>
      </c>
      <c r="C1445" s="13" t="s">
        <v>226</v>
      </c>
      <c r="D1445" s="14" t="s">
        <v>225</v>
      </c>
      <c r="E1445" s="13" t="s">
        <v>61</v>
      </c>
      <c r="F1445" s="13" t="s">
        <v>730</v>
      </c>
      <c r="G1445" s="13">
        <v>0.68</v>
      </c>
      <c r="H1445" s="15">
        <v>58</v>
      </c>
      <c r="I1445" s="16">
        <v>39.44</v>
      </c>
      <c r="J1445" s="16">
        <v>22.811055731762576</v>
      </c>
      <c r="K1445" s="16">
        <v>16.628944268237422</v>
      </c>
      <c r="L1445" s="13">
        <v>1.82</v>
      </c>
      <c r="M1445" s="13"/>
      <c r="N1445" s="17">
        <f t="shared" si="49"/>
        <v>105.56</v>
      </c>
      <c r="O1445" s="17">
        <f t="shared" si="49"/>
        <v>0</v>
      </c>
      <c r="P1445" s="17">
        <f t="shared" si="48"/>
        <v>105.56</v>
      </c>
      <c r="Q1445" t="str">
        <f>A1445&amp;"-"&amp;B1445&amp;"-"&amp;D1445</f>
        <v>APRIL-KLB-L3B</v>
      </c>
    </row>
    <row r="1446" spans="1:17" x14ac:dyDescent="0.25">
      <c r="A1446" t="s">
        <v>394</v>
      </c>
      <c r="B1446" s="13" t="s">
        <v>24</v>
      </c>
      <c r="C1446" s="13" t="s">
        <v>226</v>
      </c>
      <c r="D1446" s="14" t="s">
        <v>225</v>
      </c>
      <c r="E1446" s="13" t="s">
        <v>61</v>
      </c>
      <c r="F1446" s="13" t="s">
        <v>731</v>
      </c>
      <c r="G1446" s="13">
        <v>0.68</v>
      </c>
      <c r="H1446" s="15">
        <v>1982</v>
      </c>
      <c r="I1446" s="16">
        <v>1347.76</v>
      </c>
      <c r="J1446" s="16">
        <v>779.50883552333482</v>
      </c>
      <c r="K1446" s="16">
        <v>568.25116447666517</v>
      </c>
      <c r="L1446" s="13">
        <v>1.82</v>
      </c>
      <c r="M1446" s="13"/>
      <c r="N1446" s="17">
        <f t="shared" si="49"/>
        <v>3607.2400000000002</v>
      </c>
      <c r="O1446" s="17">
        <f t="shared" si="49"/>
        <v>0</v>
      </c>
      <c r="P1446" s="17">
        <f t="shared" si="48"/>
        <v>3607.2400000000002</v>
      </c>
      <c r="Q1446" t="str">
        <f>A1446&amp;"-"&amp;B1446&amp;"-"&amp;D1446</f>
        <v>APRIL-KLB-L3B</v>
      </c>
    </row>
    <row r="1447" spans="1:17" x14ac:dyDescent="0.25">
      <c r="A1447" t="s">
        <v>394</v>
      </c>
      <c r="B1447" s="13" t="s">
        <v>24</v>
      </c>
      <c r="C1447" s="13" t="s">
        <v>226</v>
      </c>
      <c r="D1447" s="14" t="s">
        <v>225</v>
      </c>
      <c r="E1447" s="13" t="s">
        <v>61</v>
      </c>
      <c r="F1447" s="13" t="s">
        <v>732</v>
      </c>
      <c r="G1447" s="13">
        <v>0.8</v>
      </c>
      <c r="H1447" s="15">
        <v>5880</v>
      </c>
      <c r="I1447" s="16">
        <v>4704</v>
      </c>
      <c r="J1447" s="16">
        <v>2582.5375675227579</v>
      </c>
      <c r="K1447" s="16">
        <v>2121.4624324772421</v>
      </c>
      <c r="L1447" s="13">
        <v>2.1</v>
      </c>
      <c r="M1447" s="13"/>
      <c r="N1447" s="17">
        <f t="shared" si="49"/>
        <v>12348</v>
      </c>
      <c r="O1447" s="17">
        <f t="shared" si="49"/>
        <v>0</v>
      </c>
      <c r="P1447" s="17">
        <f t="shared" si="48"/>
        <v>12348</v>
      </c>
      <c r="Q1447" t="str">
        <f>A1447&amp;"-"&amp;B1447&amp;"-"&amp;D1447</f>
        <v>APRIL-KLB-L3B</v>
      </c>
    </row>
    <row r="1448" spans="1:17" x14ac:dyDescent="0.25">
      <c r="A1448" t="s">
        <v>394</v>
      </c>
      <c r="B1448" s="13" t="s">
        <v>24</v>
      </c>
      <c r="C1448" s="13" t="s">
        <v>226</v>
      </c>
      <c r="D1448" s="14" t="s">
        <v>225</v>
      </c>
      <c r="E1448" s="13" t="s">
        <v>61</v>
      </c>
      <c r="F1448" s="13" t="s">
        <v>733</v>
      </c>
      <c r="G1448" s="13">
        <v>0.68</v>
      </c>
      <c r="H1448" s="15">
        <v>390</v>
      </c>
      <c r="I1448" s="16">
        <v>265.2</v>
      </c>
      <c r="J1448" s="16">
        <v>147.07515685489255</v>
      </c>
      <c r="K1448" s="16">
        <v>118.12484314510746</v>
      </c>
      <c r="L1448" s="13">
        <v>1.82</v>
      </c>
      <c r="M1448" s="13"/>
      <c r="N1448" s="17">
        <f t="shared" si="49"/>
        <v>709.80000000000007</v>
      </c>
      <c r="O1448" s="17">
        <f t="shared" si="49"/>
        <v>0</v>
      </c>
      <c r="P1448" s="17">
        <f t="shared" si="48"/>
        <v>709.80000000000007</v>
      </c>
      <c r="Q1448" t="str">
        <f>A1448&amp;"-"&amp;B1448&amp;"-"&amp;D1448</f>
        <v>APRIL-KLB-L3B</v>
      </c>
    </row>
    <row r="1449" spans="1:17" x14ac:dyDescent="0.25">
      <c r="A1449" t="s">
        <v>394</v>
      </c>
      <c r="B1449" s="13" t="s">
        <v>24</v>
      </c>
      <c r="C1449" s="13" t="s">
        <v>226</v>
      </c>
      <c r="D1449" s="14" t="s">
        <v>225</v>
      </c>
      <c r="E1449" s="13" t="s">
        <v>61</v>
      </c>
      <c r="F1449" s="13" t="s">
        <v>734</v>
      </c>
      <c r="G1449" s="13">
        <v>0.68</v>
      </c>
      <c r="H1449" s="15">
        <v>9400</v>
      </c>
      <c r="I1449" s="16">
        <v>6391.9999999999991</v>
      </c>
      <c r="J1449" s="16">
        <v>3443.2884795087439</v>
      </c>
      <c r="K1449" s="16">
        <v>2948.7115204912566</v>
      </c>
      <c r="L1449" s="13">
        <v>1.82</v>
      </c>
      <c r="M1449" s="13"/>
      <c r="N1449" s="17">
        <f t="shared" si="49"/>
        <v>17108</v>
      </c>
      <c r="O1449" s="17">
        <f t="shared" si="49"/>
        <v>0</v>
      </c>
      <c r="P1449" s="17">
        <f t="shared" si="48"/>
        <v>17108</v>
      </c>
      <c r="Q1449" t="str">
        <f>A1449&amp;"-"&amp;B1449&amp;"-"&amp;D1449</f>
        <v>APRIL-KLB-L3B</v>
      </c>
    </row>
    <row r="1450" spans="1:17" x14ac:dyDescent="0.25">
      <c r="A1450" t="s">
        <v>394</v>
      </c>
      <c r="B1450" s="13" t="s">
        <v>24</v>
      </c>
      <c r="C1450" s="13" t="s">
        <v>226</v>
      </c>
      <c r="D1450" s="14" t="s">
        <v>225</v>
      </c>
      <c r="E1450" s="13" t="s">
        <v>61</v>
      </c>
      <c r="F1450" s="13" t="s">
        <v>739</v>
      </c>
      <c r="G1450" s="13">
        <v>0.68</v>
      </c>
      <c r="H1450" s="15">
        <v>2051</v>
      </c>
      <c r="I1450" s="16">
        <v>1394.6799999999998</v>
      </c>
      <c r="J1450" s="16">
        <v>771.66083123944475</v>
      </c>
      <c r="K1450" s="16">
        <v>623.0191687605552</v>
      </c>
      <c r="L1450" s="13">
        <v>1.82</v>
      </c>
      <c r="M1450" s="13"/>
      <c r="N1450" s="17">
        <f t="shared" si="49"/>
        <v>3732.82</v>
      </c>
      <c r="O1450" s="17">
        <f t="shared" si="49"/>
        <v>0</v>
      </c>
      <c r="P1450" s="17">
        <f t="shared" si="48"/>
        <v>3732.82</v>
      </c>
      <c r="Q1450" t="str">
        <f>A1450&amp;"-"&amp;B1450&amp;"-"&amp;D1450</f>
        <v>APRIL-KLB-L3B</v>
      </c>
    </row>
    <row r="1451" spans="1:17" x14ac:dyDescent="0.25">
      <c r="A1451" t="s">
        <v>394</v>
      </c>
      <c r="B1451" s="13" t="s">
        <v>24</v>
      </c>
      <c r="C1451" s="13" t="s">
        <v>226</v>
      </c>
      <c r="D1451" s="14" t="s">
        <v>225</v>
      </c>
      <c r="E1451" s="13" t="s">
        <v>61</v>
      </c>
      <c r="F1451" s="13" t="s">
        <v>593</v>
      </c>
      <c r="G1451" s="13">
        <v>0.93</v>
      </c>
      <c r="H1451" s="15">
        <v>1900</v>
      </c>
      <c r="I1451" s="16">
        <v>1767</v>
      </c>
      <c r="J1451" s="16">
        <v>893.74834270762085</v>
      </c>
      <c r="K1451" s="16">
        <v>873.25165729237926</v>
      </c>
      <c r="L1451" s="13">
        <v>2.2400000000000002</v>
      </c>
      <c r="M1451" s="13"/>
      <c r="N1451" s="17">
        <f t="shared" si="49"/>
        <v>4256</v>
      </c>
      <c r="O1451" s="17">
        <f t="shared" si="49"/>
        <v>0</v>
      </c>
      <c r="P1451" s="17">
        <f t="shared" si="48"/>
        <v>4256</v>
      </c>
      <c r="Q1451" t="str">
        <f>A1451&amp;"-"&amp;B1451&amp;"-"&amp;D1451</f>
        <v>APRIL-KLB-L3B</v>
      </c>
    </row>
    <row r="1452" spans="1:17" x14ac:dyDescent="0.25">
      <c r="A1452" t="s">
        <v>394</v>
      </c>
      <c r="B1452" s="13" t="s">
        <v>24</v>
      </c>
      <c r="C1452" s="13" t="s">
        <v>226</v>
      </c>
      <c r="D1452" s="14" t="s">
        <v>225</v>
      </c>
      <c r="E1452" s="13" t="s">
        <v>61</v>
      </c>
      <c r="F1452" s="13" t="s">
        <v>743</v>
      </c>
      <c r="G1452" s="13">
        <v>0.93</v>
      </c>
      <c r="H1452" s="15">
        <v>1895</v>
      </c>
      <c r="I1452" s="16">
        <v>1762.35</v>
      </c>
      <c r="J1452" s="16">
        <v>873.06242803504381</v>
      </c>
      <c r="K1452" s="16">
        <v>889.2875719649561</v>
      </c>
      <c r="L1452" s="13">
        <v>2.2400000000000002</v>
      </c>
      <c r="M1452" s="13"/>
      <c r="N1452" s="17">
        <f t="shared" si="49"/>
        <v>4244.8</v>
      </c>
      <c r="O1452" s="17">
        <f t="shared" si="49"/>
        <v>0</v>
      </c>
      <c r="P1452" s="17">
        <f t="shared" si="48"/>
        <v>4244.8</v>
      </c>
      <c r="Q1452" t="str">
        <f>A1452&amp;"-"&amp;B1452&amp;"-"&amp;D1452</f>
        <v>APRIL-KLB-L3B</v>
      </c>
    </row>
    <row r="1453" spans="1:17" x14ac:dyDescent="0.25">
      <c r="A1453" t="s">
        <v>394</v>
      </c>
      <c r="B1453" s="13" t="s">
        <v>24</v>
      </c>
      <c r="C1453" s="13" t="s">
        <v>226</v>
      </c>
      <c r="D1453" s="14" t="s">
        <v>225</v>
      </c>
      <c r="E1453" s="13" t="s">
        <v>61</v>
      </c>
      <c r="F1453" s="13" t="s">
        <v>736</v>
      </c>
      <c r="G1453" s="13">
        <v>0.69</v>
      </c>
      <c r="H1453" s="15">
        <v>46</v>
      </c>
      <c r="I1453" s="16">
        <v>31.74</v>
      </c>
      <c r="J1453" s="16">
        <v>18.091526959673764</v>
      </c>
      <c r="K1453" s="16">
        <v>13.648473040326234</v>
      </c>
      <c r="L1453" s="13">
        <v>1.83</v>
      </c>
      <c r="M1453" s="13"/>
      <c r="N1453" s="17">
        <f t="shared" si="49"/>
        <v>84.18</v>
      </c>
      <c r="O1453" s="17">
        <f t="shared" si="49"/>
        <v>0</v>
      </c>
      <c r="P1453" s="17">
        <f t="shared" si="48"/>
        <v>84.18</v>
      </c>
      <c r="Q1453" t="str">
        <f>A1453&amp;"-"&amp;B1453&amp;"-"&amp;D1453</f>
        <v>APRIL-KLB-L3B</v>
      </c>
    </row>
    <row r="1454" spans="1:17" x14ac:dyDescent="0.25">
      <c r="A1454" t="s">
        <v>394</v>
      </c>
      <c r="B1454" s="13" t="s">
        <v>24</v>
      </c>
      <c r="C1454" s="13" t="s">
        <v>226</v>
      </c>
      <c r="D1454" s="14" t="s">
        <v>225</v>
      </c>
      <c r="E1454" s="13" t="s">
        <v>61</v>
      </c>
      <c r="F1454" s="13" t="s">
        <v>737</v>
      </c>
      <c r="G1454" s="13">
        <v>0.66</v>
      </c>
      <c r="H1454" s="15">
        <v>65</v>
      </c>
      <c r="I1454" s="16">
        <v>42.9</v>
      </c>
      <c r="J1454" s="16">
        <v>25.564114182147712</v>
      </c>
      <c r="K1454" s="16">
        <v>17.335885817852287</v>
      </c>
      <c r="L1454" s="13">
        <v>1.98</v>
      </c>
      <c r="M1454" s="13"/>
      <c r="N1454" s="17">
        <f t="shared" si="49"/>
        <v>128.69999999999999</v>
      </c>
      <c r="O1454" s="17">
        <f t="shared" si="49"/>
        <v>0</v>
      </c>
      <c r="P1454" s="17">
        <f t="shared" si="48"/>
        <v>128.69999999999999</v>
      </c>
      <c r="Q1454" t="str">
        <f>A1454&amp;"-"&amp;B1454&amp;"-"&amp;D1454</f>
        <v>APRIL-KLB-L3B</v>
      </c>
    </row>
    <row r="1455" spans="1:17" x14ac:dyDescent="0.25">
      <c r="A1455" t="s">
        <v>394</v>
      </c>
      <c r="B1455" s="13" t="s">
        <v>24</v>
      </c>
      <c r="C1455" s="13" t="s">
        <v>226</v>
      </c>
      <c r="D1455" s="14" t="s">
        <v>225</v>
      </c>
      <c r="E1455" s="13" t="s">
        <v>61</v>
      </c>
      <c r="F1455" s="13" t="s">
        <v>738</v>
      </c>
      <c r="G1455" s="13">
        <v>0.69</v>
      </c>
      <c r="H1455" s="15">
        <v>1775</v>
      </c>
      <c r="I1455" s="16">
        <v>1224.75</v>
      </c>
      <c r="J1455" s="16">
        <v>804.97296369410344</v>
      </c>
      <c r="K1455" s="16">
        <v>419.7770363058965</v>
      </c>
      <c r="L1455" s="13">
        <v>1.83</v>
      </c>
      <c r="M1455" s="13"/>
      <c r="N1455" s="17">
        <f t="shared" si="49"/>
        <v>3248.25</v>
      </c>
      <c r="O1455" s="17">
        <f t="shared" si="49"/>
        <v>0</v>
      </c>
      <c r="P1455" s="17">
        <f t="shared" si="48"/>
        <v>3248.25</v>
      </c>
      <c r="Q1455" t="str">
        <f>A1455&amp;"-"&amp;B1455&amp;"-"&amp;D1455</f>
        <v>APRIL-KLB-L3B</v>
      </c>
    </row>
    <row r="1456" spans="1:17" x14ac:dyDescent="0.25">
      <c r="A1456" t="s">
        <v>394</v>
      </c>
      <c r="B1456" s="13" t="s">
        <v>24</v>
      </c>
      <c r="C1456" s="13" t="s">
        <v>226</v>
      </c>
      <c r="D1456" s="14" t="s">
        <v>225</v>
      </c>
      <c r="E1456" s="13" t="s">
        <v>61</v>
      </c>
      <c r="F1456" s="13" t="s">
        <v>744</v>
      </c>
      <c r="G1456" s="13">
        <v>0.69</v>
      </c>
      <c r="H1456" s="15">
        <v>1770</v>
      </c>
      <c r="I1456" s="16">
        <v>1221.3</v>
      </c>
      <c r="J1456" s="16">
        <v>719.60655737704917</v>
      </c>
      <c r="K1456" s="16">
        <v>501.69344262295078</v>
      </c>
      <c r="L1456" s="13">
        <v>1.83</v>
      </c>
      <c r="M1456" s="13"/>
      <c r="N1456" s="17">
        <f t="shared" si="49"/>
        <v>3239.1</v>
      </c>
      <c r="O1456" s="17">
        <f t="shared" si="49"/>
        <v>0</v>
      </c>
      <c r="P1456" s="17">
        <f t="shared" si="48"/>
        <v>3239.1</v>
      </c>
      <c r="Q1456" t="str">
        <f>A1456&amp;"-"&amp;B1456&amp;"-"&amp;D1456</f>
        <v>APRIL-KLB-L3B</v>
      </c>
    </row>
    <row r="1457" spans="1:17" x14ac:dyDescent="0.25">
      <c r="A1457" t="s">
        <v>394</v>
      </c>
      <c r="B1457" s="13" t="s">
        <v>24</v>
      </c>
      <c r="C1457" s="13" t="s">
        <v>226</v>
      </c>
      <c r="D1457" s="14" t="s">
        <v>225</v>
      </c>
      <c r="E1457" s="13" t="s">
        <v>61</v>
      </c>
      <c r="F1457" s="13" t="s">
        <v>746</v>
      </c>
      <c r="G1457" s="13">
        <v>0.79</v>
      </c>
      <c r="H1457" s="15">
        <v>3840</v>
      </c>
      <c r="I1457" s="16">
        <v>3033.6</v>
      </c>
      <c r="J1457" s="16">
        <v>1758.1289661075027</v>
      </c>
      <c r="K1457" s="16">
        <v>1275.4710338924974</v>
      </c>
      <c r="L1457" s="13">
        <v>2.08</v>
      </c>
      <c r="M1457" s="13"/>
      <c r="N1457" s="17">
        <f t="shared" si="49"/>
        <v>7987.2000000000007</v>
      </c>
      <c r="O1457" s="17">
        <f t="shared" si="49"/>
        <v>0</v>
      </c>
      <c r="P1457" s="17">
        <f t="shared" si="48"/>
        <v>7987.2000000000007</v>
      </c>
      <c r="Q1457" t="str">
        <f>A1457&amp;"-"&amp;B1457&amp;"-"&amp;D1457</f>
        <v>APRIL-KLB-L3B</v>
      </c>
    </row>
    <row r="1458" spans="1:17" x14ac:dyDescent="0.25">
      <c r="A1458" t="s">
        <v>394</v>
      </c>
      <c r="B1458" s="13" t="s">
        <v>24</v>
      </c>
      <c r="C1458" s="13" t="s">
        <v>226</v>
      </c>
      <c r="D1458" s="14" t="s">
        <v>225</v>
      </c>
      <c r="E1458" s="13" t="s">
        <v>61</v>
      </c>
      <c r="F1458" s="13" t="s">
        <v>747</v>
      </c>
      <c r="G1458" s="13">
        <v>0.77</v>
      </c>
      <c r="H1458" s="15">
        <v>395</v>
      </c>
      <c r="I1458" s="16">
        <v>304.14999999999998</v>
      </c>
      <c r="J1458" s="16">
        <v>179.94317455592227</v>
      </c>
      <c r="K1458" s="16">
        <v>124.20682544407774</v>
      </c>
      <c r="L1458" s="13">
        <v>2.2400000000000002</v>
      </c>
      <c r="M1458" s="13"/>
      <c r="N1458" s="17">
        <f t="shared" si="49"/>
        <v>884.80000000000007</v>
      </c>
      <c r="O1458" s="17">
        <f t="shared" si="49"/>
        <v>0</v>
      </c>
      <c r="P1458" s="17">
        <f t="shared" si="48"/>
        <v>884.80000000000007</v>
      </c>
      <c r="Q1458" t="str">
        <f>A1458&amp;"-"&amp;B1458&amp;"-"&amp;D1458</f>
        <v>APRIL-KLB-L3B</v>
      </c>
    </row>
    <row r="1459" spans="1:17" x14ac:dyDescent="0.25">
      <c r="A1459" t="s">
        <v>394</v>
      </c>
      <c r="B1459" s="13" t="s">
        <v>25</v>
      </c>
      <c r="C1459" s="13" t="s">
        <v>154</v>
      </c>
      <c r="D1459" s="14" t="s">
        <v>301</v>
      </c>
      <c r="E1459" s="13" t="s">
        <v>155</v>
      </c>
      <c r="F1459" s="13" t="s">
        <v>748</v>
      </c>
      <c r="G1459" s="13">
        <v>0.51</v>
      </c>
      <c r="H1459" s="15">
        <v>1023</v>
      </c>
      <c r="I1459" s="16">
        <v>521.73</v>
      </c>
      <c r="J1459" s="16">
        <v>1130.3906459651139</v>
      </c>
      <c r="K1459" s="16">
        <v>-608.66064596511399</v>
      </c>
      <c r="L1459" s="13">
        <v>7.36</v>
      </c>
      <c r="M1459" s="13"/>
      <c r="N1459" s="17">
        <f t="shared" si="49"/>
        <v>7529.2800000000007</v>
      </c>
      <c r="O1459" s="17">
        <f t="shared" si="49"/>
        <v>0</v>
      </c>
      <c r="P1459" s="17">
        <f t="shared" si="48"/>
        <v>7529.2800000000007</v>
      </c>
      <c r="Q1459" t="str">
        <f>A1459&amp;"-"&amp;B1459&amp;"-"&amp;D1459</f>
        <v>APRIL-MJ1-L10</v>
      </c>
    </row>
    <row r="1460" spans="1:17" x14ac:dyDescent="0.25">
      <c r="A1460" t="s">
        <v>394</v>
      </c>
      <c r="B1460" s="13" t="s">
        <v>25</v>
      </c>
      <c r="C1460" s="13" t="s">
        <v>154</v>
      </c>
      <c r="D1460" s="14" t="s">
        <v>301</v>
      </c>
      <c r="E1460" s="13" t="s">
        <v>155</v>
      </c>
      <c r="F1460" s="13" t="s">
        <v>603</v>
      </c>
      <c r="G1460" s="13">
        <v>0.51</v>
      </c>
      <c r="H1460" s="15">
        <v>600</v>
      </c>
      <c r="I1460" s="16">
        <v>306</v>
      </c>
      <c r="J1460" s="16">
        <v>580.12293359586181</v>
      </c>
      <c r="K1460" s="16">
        <v>-274.12293359586175</v>
      </c>
      <c r="L1460" s="13">
        <v>7.36</v>
      </c>
      <c r="M1460" s="13"/>
      <c r="N1460" s="17">
        <f t="shared" si="49"/>
        <v>4416</v>
      </c>
      <c r="O1460" s="17">
        <f t="shared" si="49"/>
        <v>0</v>
      </c>
      <c r="P1460" s="17">
        <f t="shared" si="48"/>
        <v>4416</v>
      </c>
      <c r="Q1460" t="str">
        <f>A1460&amp;"-"&amp;B1460&amp;"-"&amp;D1460</f>
        <v>APRIL-MJ1-L10</v>
      </c>
    </row>
    <row r="1461" spans="1:17" x14ac:dyDescent="0.25">
      <c r="A1461" t="s">
        <v>394</v>
      </c>
      <c r="B1461" s="13" t="s">
        <v>25</v>
      </c>
      <c r="C1461" s="13" t="s">
        <v>154</v>
      </c>
      <c r="D1461" s="14" t="s">
        <v>301</v>
      </c>
      <c r="E1461" s="13" t="s">
        <v>155</v>
      </c>
      <c r="F1461" s="13" t="s">
        <v>604</v>
      </c>
      <c r="G1461" s="13">
        <v>0.51</v>
      </c>
      <c r="H1461" s="15">
        <v>408</v>
      </c>
      <c r="I1461" s="16">
        <v>208.08</v>
      </c>
      <c r="J1461" s="16">
        <v>413.44715266595819</v>
      </c>
      <c r="K1461" s="16">
        <v>-205.36715266595817</v>
      </c>
      <c r="L1461" s="13">
        <v>7.36</v>
      </c>
      <c r="M1461" s="13"/>
      <c r="N1461" s="17">
        <f t="shared" si="49"/>
        <v>3002.88</v>
      </c>
      <c r="O1461" s="17">
        <f t="shared" si="49"/>
        <v>0</v>
      </c>
      <c r="P1461" s="17">
        <f t="shared" si="48"/>
        <v>3002.88</v>
      </c>
      <c r="Q1461" t="str">
        <f>A1461&amp;"-"&amp;B1461&amp;"-"&amp;D1461</f>
        <v>APRIL-MJ1-L10</v>
      </c>
    </row>
    <row r="1462" spans="1:17" x14ac:dyDescent="0.25">
      <c r="A1462" t="s">
        <v>394</v>
      </c>
      <c r="B1462" s="13" t="s">
        <v>25</v>
      </c>
      <c r="C1462" s="13" t="s">
        <v>154</v>
      </c>
      <c r="D1462" s="14" t="s">
        <v>301</v>
      </c>
      <c r="E1462" s="13" t="s">
        <v>155</v>
      </c>
      <c r="F1462" s="13" t="s">
        <v>601</v>
      </c>
      <c r="G1462" s="13">
        <v>0.51</v>
      </c>
      <c r="H1462" s="15">
        <v>1077</v>
      </c>
      <c r="I1462" s="16">
        <v>549.27</v>
      </c>
      <c r="J1462" s="16">
        <v>1051.2122484953409</v>
      </c>
      <c r="K1462" s="16">
        <v>-501.94224849534089</v>
      </c>
      <c r="L1462" s="13">
        <v>7.36</v>
      </c>
      <c r="M1462" s="13"/>
      <c r="N1462" s="17">
        <f t="shared" si="49"/>
        <v>7926.72</v>
      </c>
      <c r="O1462" s="17">
        <f t="shared" si="49"/>
        <v>0</v>
      </c>
      <c r="P1462" s="17">
        <f t="shared" si="48"/>
        <v>7926.72</v>
      </c>
      <c r="Q1462" t="str">
        <f>A1462&amp;"-"&amp;B1462&amp;"-"&amp;D1462</f>
        <v>APRIL-MJ1-L10</v>
      </c>
    </row>
    <row r="1463" spans="1:17" x14ac:dyDescent="0.25">
      <c r="A1463" t="s">
        <v>394</v>
      </c>
      <c r="B1463" s="13" t="s">
        <v>25</v>
      </c>
      <c r="C1463" s="13" t="s">
        <v>154</v>
      </c>
      <c r="D1463" s="14" t="s">
        <v>301</v>
      </c>
      <c r="E1463" s="13" t="s">
        <v>155</v>
      </c>
      <c r="F1463" s="13" t="s">
        <v>749</v>
      </c>
      <c r="G1463" s="13">
        <v>0.51</v>
      </c>
      <c r="H1463" s="15">
        <v>240</v>
      </c>
      <c r="I1463" s="16">
        <v>122.39999999999999</v>
      </c>
      <c r="J1463" s="16">
        <v>241.29637454684234</v>
      </c>
      <c r="K1463" s="16">
        <v>-118.89637454684234</v>
      </c>
      <c r="L1463" s="13">
        <v>7.36</v>
      </c>
      <c r="M1463" s="13"/>
      <c r="N1463" s="17">
        <f t="shared" si="49"/>
        <v>1766.4</v>
      </c>
      <c r="O1463" s="17">
        <f t="shared" si="49"/>
        <v>0</v>
      </c>
      <c r="P1463" s="17">
        <f t="shared" si="48"/>
        <v>1766.4</v>
      </c>
      <c r="Q1463" t="str">
        <f>A1463&amp;"-"&amp;B1463&amp;"-"&amp;D1463</f>
        <v>APRIL-MJ1-L10</v>
      </c>
    </row>
    <row r="1464" spans="1:17" x14ac:dyDescent="0.25">
      <c r="A1464" t="s">
        <v>394</v>
      </c>
      <c r="B1464" s="13" t="s">
        <v>25</v>
      </c>
      <c r="C1464" s="13" t="s">
        <v>154</v>
      </c>
      <c r="D1464" s="14" t="s">
        <v>301</v>
      </c>
      <c r="E1464" s="13" t="s">
        <v>155</v>
      </c>
      <c r="F1464" s="13" t="s">
        <v>750</v>
      </c>
      <c r="G1464" s="13">
        <v>0.51</v>
      </c>
      <c r="H1464" s="15">
        <v>1001</v>
      </c>
      <c r="I1464" s="16">
        <v>510.51</v>
      </c>
      <c r="J1464" s="16">
        <v>992.66015003409871</v>
      </c>
      <c r="K1464" s="16">
        <v>-482.15015003409871</v>
      </c>
      <c r="L1464" s="13">
        <v>7.36</v>
      </c>
      <c r="M1464" s="13"/>
      <c r="N1464" s="17">
        <f t="shared" si="49"/>
        <v>7367.3600000000006</v>
      </c>
      <c r="O1464" s="17">
        <f t="shared" si="49"/>
        <v>0</v>
      </c>
      <c r="P1464" s="17">
        <f t="shared" si="48"/>
        <v>7367.3600000000006</v>
      </c>
      <c r="Q1464" t="str">
        <f>A1464&amp;"-"&amp;B1464&amp;"-"&amp;D1464</f>
        <v>APRIL-MJ1-L10</v>
      </c>
    </row>
    <row r="1465" spans="1:17" x14ac:dyDescent="0.25">
      <c r="A1465" t="s">
        <v>394</v>
      </c>
      <c r="B1465" s="13" t="s">
        <v>25</v>
      </c>
      <c r="C1465" s="13" t="s">
        <v>154</v>
      </c>
      <c r="D1465" s="14" t="s">
        <v>301</v>
      </c>
      <c r="E1465" s="13" t="s">
        <v>155</v>
      </c>
      <c r="F1465" s="13" t="s">
        <v>751</v>
      </c>
      <c r="G1465" s="13">
        <v>0.51</v>
      </c>
      <c r="H1465" s="15">
        <v>36</v>
      </c>
      <c r="I1465" s="16">
        <v>18.36</v>
      </c>
      <c r="J1465" s="16">
        <v>33.516209476309228</v>
      </c>
      <c r="K1465" s="16">
        <v>-15.156209476309229</v>
      </c>
      <c r="L1465" s="13">
        <v>7.36</v>
      </c>
      <c r="M1465" s="13"/>
      <c r="N1465" s="17">
        <f t="shared" si="49"/>
        <v>264.96000000000004</v>
      </c>
      <c r="O1465" s="17">
        <f t="shared" si="49"/>
        <v>0</v>
      </c>
      <c r="P1465" s="17">
        <f t="shared" si="48"/>
        <v>264.96000000000004</v>
      </c>
      <c r="Q1465" t="str">
        <f>A1465&amp;"-"&amp;B1465&amp;"-"&amp;D1465</f>
        <v>APRIL-MJ1-L10</v>
      </c>
    </row>
    <row r="1466" spans="1:17" x14ac:dyDescent="0.25">
      <c r="A1466" t="s">
        <v>394</v>
      </c>
      <c r="B1466" s="13" t="s">
        <v>25</v>
      </c>
      <c r="C1466" s="13" t="s">
        <v>154</v>
      </c>
      <c r="D1466" s="14" t="s">
        <v>301</v>
      </c>
      <c r="E1466" s="13" t="s">
        <v>155</v>
      </c>
      <c r="F1466" s="13" t="s">
        <v>602</v>
      </c>
      <c r="G1466" s="13">
        <v>0.51</v>
      </c>
      <c r="H1466" s="15">
        <v>1546</v>
      </c>
      <c r="I1466" s="16">
        <v>788.46</v>
      </c>
      <c r="J1466" s="16">
        <v>1452.9554522684705</v>
      </c>
      <c r="K1466" s="16">
        <v>-664.49545226847056</v>
      </c>
      <c r="L1466" s="13">
        <v>7.36</v>
      </c>
      <c r="M1466" s="13"/>
      <c r="N1466" s="17">
        <f t="shared" si="49"/>
        <v>11378.560000000001</v>
      </c>
      <c r="O1466" s="17">
        <f t="shared" si="49"/>
        <v>0</v>
      </c>
      <c r="P1466" s="17">
        <f t="shared" si="48"/>
        <v>11378.560000000001</v>
      </c>
      <c r="Q1466" t="str">
        <f>A1466&amp;"-"&amp;B1466&amp;"-"&amp;D1466</f>
        <v>APRIL-MJ1-L10</v>
      </c>
    </row>
    <row r="1467" spans="1:17" x14ac:dyDescent="0.25">
      <c r="A1467" t="s">
        <v>394</v>
      </c>
      <c r="B1467" s="13" t="s">
        <v>25</v>
      </c>
      <c r="C1467" s="13" t="s">
        <v>154</v>
      </c>
      <c r="D1467" s="14" t="s">
        <v>301</v>
      </c>
      <c r="E1467" s="13" t="s">
        <v>155</v>
      </c>
      <c r="F1467" s="13" t="s">
        <v>752</v>
      </c>
      <c r="G1467" s="13">
        <v>0.51</v>
      </c>
      <c r="H1467" s="15">
        <v>397</v>
      </c>
      <c r="I1467" s="16">
        <v>202.47000000000003</v>
      </c>
      <c r="J1467" s="16">
        <v>423.5691010159095</v>
      </c>
      <c r="K1467" s="16">
        <v>-221.09910101590953</v>
      </c>
      <c r="L1467" s="13">
        <v>7.36</v>
      </c>
      <c r="M1467" s="13"/>
      <c r="N1467" s="17">
        <f t="shared" si="49"/>
        <v>2921.92</v>
      </c>
      <c r="O1467" s="17">
        <f t="shared" si="49"/>
        <v>0</v>
      </c>
      <c r="P1467" s="17">
        <f t="shared" si="48"/>
        <v>2921.92</v>
      </c>
      <c r="Q1467" t="str">
        <f>A1467&amp;"-"&amp;B1467&amp;"-"&amp;D1467</f>
        <v>APRIL-MJ1-L10</v>
      </c>
    </row>
    <row r="1468" spans="1:17" x14ac:dyDescent="0.25">
      <c r="A1468" t="s">
        <v>394</v>
      </c>
      <c r="B1468" s="13" t="s">
        <v>25</v>
      </c>
      <c r="C1468" s="13" t="s">
        <v>154</v>
      </c>
      <c r="D1468" s="14" t="s">
        <v>301</v>
      </c>
      <c r="E1468" s="13" t="s">
        <v>155</v>
      </c>
      <c r="F1468" s="13" t="s">
        <v>753</v>
      </c>
      <c r="G1468" s="13">
        <v>0.51</v>
      </c>
      <c r="H1468" s="15">
        <v>2636</v>
      </c>
      <c r="I1468" s="16">
        <v>1344.36</v>
      </c>
      <c r="J1468" s="16">
        <v>3051.557368689444</v>
      </c>
      <c r="K1468" s="16">
        <v>-1707.1973686894441</v>
      </c>
      <c r="L1468" s="13">
        <v>7.36</v>
      </c>
      <c r="M1468" s="13"/>
      <c r="N1468" s="17">
        <f t="shared" si="49"/>
        <v>19400.96</v>
      </c>
      <c r="O1468" s="17">
        <f t="shared" si="49"/>
        <v>0</v>
      </c>
      <c r="P1468" s="17">
        <f t="shared" si="48"/>
        <v>19400.96</v>
      </c>
      <c r="Q1468" t="str">
        <f>A1468&amp;"-"&amp;B1468&amp;"-"&amp;D1468</f>
        <v>APRIL-MJ1-L10</v>
      </c>
    </row>
    <row r="1469" spans="1:17" x14ac:dyDescent="0.25">
      <c r="A1469" t="s">
        <v>394</v>
      </c>
      <c r="B1469" s="13" t="s">
        <v>25</v>
      </c>
      <c r="C1469" s="13" t="s">
        <v>154</v>
      </c>
      <c r="D1469" s="14" t="s">
        <v>301</v>
      </c>
      <c r="E1469" s="13" t="s">
        <v>155</v>
      </c>
      <c r="F1469" s="13" t="s">
        <v>754</v>
      </c>
      <c r="G1469" s="13">
        <v>0.51</v>
      </c>
      <c r="H1469" s="15">
        <v>47</v>
      </c>
      <c r="I1469" s="16">
        <v>23.97</v>
      </c>
      <c r="J1469" s="16">
        <v>48.702725796804238</v>
      </c>
      <c r="K1469" s="16">
        <v>-24.732725796804239</v>
      </c>
      <c r="L1469" s="13">
        <v>7.36</v>
      </c>
      <c r="M1469" s="13"/>
      <c r="N1469" s="17">
        <f t="shared" si="49"/>
        <v>345.92</v>
      </c>
      <c r="O1469" s="17">
        <f t="shared" si="49"/>
        <v>0</v>
      </c>
      <c r="P1469" s="17">
        <f t="shared" si="48"/>
        <v>345.92</v>
      </c>
      <c r="Q1469" t="str">
        <f>A1469&amp;"-"&amp;B1469&amp;"-"&amp;D1469</f>
        <v>APRIL-MJ1-L10</v>
      </c>
    </row>
    <row r="1470" spans="1:17" x14ac:dyDescent="0.25">
      <c r="A1470" t="s">
        <v>394</v>
      </c>
      <c r="B1470" s="13" t="s">
        <v>25</v>
      </c>
      <c r="C1470" s="13" t="s">
        <v>154</v>
      </c>
      <c r="D1470" s="14" t="s">
        <v>301</v>
      </c>
      <c r="E1470" s="13" t="s">
        <v>155</v>
      </c>
      <c r="F1470" s="13" t="s">
        <v>755</v>
      </c>
      <c r="G1470" s="13">
        <v>0.51</v>
      </c>
      <c r="H1470" s="15">
        <v>724</v>
      </c>
      <c r="I1470" s="16">
        <v>369.24</v>
      </c>
      <c r="J1470" s="16">
        <v>653.27862802561606</v>
      </c>
      <c r="K1470" s="16">
        <v>-284.03862802561605</v>
      </c>
      <c r="L1470" s="13">
        <v>7.36</v>
      </c>
      <c r="M1470" s="13"/>
      <c r="N1470" s="17">
        <f t="shared" si="49"/>
        <v>5328.64</v>
      </c>
      <c r="O1470" s="17">
        <f t="shared" si="49"/>
        <v>0</v>
      </c>
      <c r="P1470" s="17">
        <f t="shared" si="48"/>
        <v>5328.64</v>
      </c>
      <c r="Q1470" t="str">
        <f>A1470&amp;"-"&amp;B1470&amp;"-"&amp;D1470</f>
        <v>APRIL-MJ1-L10</v>
      </c>
    </row>
    <row r="1471" spans="1:17" x14ac:dyDescent="0.25">
      <c r="A1471" t="s">
        <v>394</v>
      </c>
      <c r="B1471" s="13" t="s">
        <v>25</v>
      </c>
      <c r="C1471" s="13" t="s">
        <v>154</v>
      </c>
      <c r="D1471" s="14" t="s">
        <v>50</v>
      </c>
      <c r="E1471" s="13" t="s">
        <v>155</v>
      </c>
      <c r="F1471" s="13" t="s">
        <v>756</v>
      </c>
      <c r="G1471" s="13">
        <v>0.51</v>
      </c>
      <c r="H1471" s="15">
        <v>500</v>
      </c>
      <c r="I1471" s="16">
        <v>255</v>
      </c>
      <c r="J1471" s="16">
        <v>223.10756972111554</v>
      </c>
      <c r="K1471" s="16">
        <v>31.892430278884461</v>
      </c>
      <c r="L1471" s="13">
        <v>7.4</v>
      </c>
      <c r="M1471" s="13"/>
      <c r="N1471" s="17">
        <f t="shared" si="49"/>
        <v>3700</v>
      </c>
      <c r="O1471" s="17">
        <f t="shared" si="49"/>
        <v>0</v>
      </c>
      <c r="P1471" s="17">
        <f t="shared" si="48"/>
        <v>3700</v>
      </c>
      <c r="Q1471" t="str">
        <f>A1471&amp;"-"&amp;B1471&amp;"-"&amp;D1471</f>
        <v>APRIL-MJ1-L2</v>
      </c>
    </row>
    <row r="1472" spans="1:17" x14ac:dyDescent="0.25">
      <c r="A1472" t="s">
        <v>394</v>
      </c>
      <c r="B1472" s="13" t="s">
        <v>25</v>
      </c>
      <c r="C1472" s="13" t="s">
        <v>154</v>
      </c>
      <c r="D1472" s="14" t="s">
        <v>50</v>
      </c>
      <c r="E1472" s="13" t="s">
        <v>155</v>
      </c>
      <c r="F1472" s="13" t="s">
        <v>757</v>
      </c>
      <c r="G1472" s="13">
        <v>0.51</v>
      </c>
      <c r="H1472" s="15">
        <v>380</v>
      </c>
      <c r="I1472" s="16">
        <v>193.8</v>
      </c>
      <c r="J1472" s="16">
        <v>169.5617529880478</v>
      </c>
      <c r="K1472" s="16">
        <v>24.238247011952211</v>
      </c>
      <c r="L1472" s="13">
        <v>7.4</v>
      </c>
      <c r="M1472" s="13"/>
      <c r="N1472" s="17">
        <f t="shared" si="49"/>
        <v>2812</v>
      </c>
      <c r="O1472" s="17">
        <f t="shared" si="49"/>
        <v>0</v>
      </c>
      <c r="P1472" s="17">
        <f t="shared" si="48"/>
        <v>2812</v>
      </c>
      <c r="Q1472" t="str">
        <f>A1472&amp;"-"&amp;B1472&amp;"-"&amp;D1472</f>
        <v>APRIL-MJ1-L2</v>
      </c>
    </row>
    <row r="1473" spans="1:17" x14ac:dyDescent="0.25">
      <c r="A1473" t="s">
        <v>394</v>
      </c>
      <c r="B1473" s="13" t="s">
        <v>25</v>
      </c>
      <c r="C1473" s="13" t="s">
        <v>154</v>
      </c>
      <c r="D1473" s="14" t="s">
        <v>50</v>
      </c>
      <c r="E1473" s="13" t="s">
        <v>155</v>
      </c>
      <c r="F1473" s="13" t="s">
        <v>758</v>
      </c>
      <c r="G1473" s="13">
        <v>0.51</v>
      </c>
      <c r="H1473" s="15">
        <v>1120</v>
      </c>
      <c r="I1473" s="16">
        <v>571.20000000000005</v>
      </c>
      <c r="J1473" s="16">
        <v>499.76095617529882</v>
      </c>
      <c r="K1473" s="16">
        <v>71.43904382470123</v>
      </c>
      <c r="L1473" s="13">
        <v>7.4</v>
      </c>
      <c r="M1473" s="13"/>
      <c r="N1473" s="17">
        <f t="shared" si="49"/>
        <v>8288</v>
      </c>
      <c r="O1473" s="17">
        <f t="shared" si="49"/>
        <v>0</v>
      </c>
      <c r="P1473" s="17">
        <f t="shared" si="48"/>
        <v>8288</v>
      </c>
      <c r="Q1473" t="str">
        <f>A1473&amp;"-"&amp;B1473&amp;"-"&amp;D1473</f>
        <v>APRIL-MJ1-L2</v>
      </c>
    </row>
    <row r="1474" spans="1:17" x14ac:dyDescent="0.25">
      <c r="A1474" t="s">
        <v>394</v>
      </c>
      <c r="B1474" s="13" t="s">
        <v>25</v>
      </c>
      <c r="C1474" s="13" t="s">
        <v>154</v>
      </c>
      <c r="D1474" s="14" t="s">
        <v>50</v>
      </c>
      <c r="E1474" s="13" t="s">
        <v>155</v>
      </c>
      <c r="F1474" s="13" t="s">
        <v>748</v>
      </c>
      <c r="G1474" s="13">
        <v>0.51</v>
      </c>
      <c r="H1474" s="15">
        <v>2445</v>
      </c>
      <c r="I1474" s="16">
        <v>1246.95</v>
      </c>
      <c r="J1474" s="16">
        <v>1057.7960398443161</v>
      </c>
      <c r="K1474" s="16">
        <v>189.1539601556839</v>
      </c>
      <c r="L1474" s="13">
        <v>7.36</v>
      </c>
      <c r="M1474" s="13"/>
      <c r="N1474" s="17">
        <f t="shared" si="49"/>
        <v>17995.2</v>
      </c>
      <c r="O1474" s="17">
        <f t="shared" si="49"/>
        <v>0</v>
      </c>
      <c r="P1474" s="17">
        <f t="shared" ref="P1474:P1537" si="50">N1474+O1474</f>
        <v>17995.2</v>
      </c>
      <c r="Q1474" t="str">
        <f>A1474&amp;"-"&amp;B1474&amp;"-"&amp;D1474</f>
        <v>APRIL-MJ1-L2</v>
      </c>
    </row>
    <row r="1475" spans="1:17" x14ac:dyDescent="0.25">
      <c r="A1475" t="s">
        <v>394</v>
      </c>
      <c r="B1475" s="13" t="s">
        <v>25</v>
      </c>
      <c r="C1475" s="13" t="s">
        <v>154</v>
      </c>
      <c r="D1475" s="14" t="s">
        <v>50</v>
      </c>
      <c r="E1475" s="13" t="s">
        <v>155</v>
      </c>
      <c r="F1475" s="13" t="s">
        <v>603</v>
      </c>
      <c r="G1475" s="13">
        <v>0.51</v>
      </c>
      <c r="H1475" s="15">
        <v>1151</v>
      </c>
      <c r="I1475" s="16">
        <v>587.01</v>
      </c>
      <c r="J1475" s="16">
        <v>535.30334762149846</v>
      </c>
      <c r="K1475" s="16">
        <v>51.706652378501566</v>
      </c>
      <c r="L1475" s="13">
        <v>7.36</v>
      </c>
      <c r="M1475" s="13"/>
      <c r="N1475" s="17">
        <f t="shared" si="49"/>
        <v>8471.36</v>
      </c>
      <c r="O1475" s="17">
        <f t="shared" si="49"/>
        <v>0</v>
      </c>
      <c r="P1475" s="17">
        <f t="shared" si="50"/>
        <v>8471.36</v>
      </c>
      <c r="Q1475" t="str">
        <f>A1475&amp;"-"&amp;B1475&amp;"-"&amp;D1475</f>
        <v>APRIL-MJ1-L2</v>
      </c>
    </row>
    <row r="1476" spans="1:17" x14ac:dyDescent="0.25">
      <c r="A1476" t="s">
        <v>394</v>
      </c>
      <c r="B1476" s="13" t="s">
        <v>25</v>
      </c>
      <c r="C1476" s="13" t="s">
        <v>154</v>
      </c>
      <c r="D1476" s="14" t="s">
        <v>50</v>
      </c>
      <c r="E1476" s="13" t="s">
        <v>155</v>
      </c>
      <c r="F1476" s="13" t="s">
        <v>604</v>
      </c>
      <c r="G1476" s="13">
        <v>0.51</v>
      </c>
      <c r="H1476" s="15">
        <v>780</v>
      </c>
      <c r="I1476" s="16">
        <v>397.8</v>
      </c>
      <c r="J1476" s="16">
        <v>393.30994152046787</v>
      </c>
      <c r="K1476" s="16">
        <v>4.4900584795321663</v>
      </c>
      <c r="L1476" s="13">
        <v>7.36</v>
      </c>
      <c r="M1476" s="13"/>
      <c r="N1476" s="17">
        <f t="shared" si="49"/>
        <v>5740.8</v>
      </c>
      <c r="O1476" s="17">
        <f t="shared" si="49"/>
        <v>0</v>
      </c>
      <c r="P1476" s="17">
        <f t="shared" si="50"/>
        <v>5740.8</v>
      </c>
      <c r="Q1476" t="str">
        <f>A1476&amp;"-"&amp;B1476&amp;"-"&amp;D1476</f>
        <v>APRIL-MJ1-L2</v>
      </c>
    </row>
    <row r="1477" spans="1:17" x14ac:dyDescent="0.25">
      <c r="A1477" t="s">
        <v>394</v>
      </c>
      <c r="B1477" s="13" t="s">
        <v>25</v>
      </c>
      <c r="C1477" s="13" t="s">
        <v>154</v>
      </c>
      <c r="D1477" s="14" t="s">
        <v>50</v>
      </c>
      <c r="E1477" s="13" t="s">
        <v>155</v>
      </c>
      <c r="F1477" s="13" t="s">
        <v>601</v>
      </c>
      <c r="G1477" s="13">
        <v>0.51</v>
      </c>
      <c r="H1477" s="15">
        <v>1149</v>
      </c>
      <c r="I1477" s="16">
        <v>585.9899999999999</v>
      </c>
      <c r="J1477" s="16">
        <v>590.83152067808612</v>
      </c>
      <c r="K1477" s="16">
        <v>-4.841520678086237</v>
      </c>
      <c r="L1477" s="13">
        <v>7.36</v>
      </c>
      <c r="M1477" s="13"/>
      <c r="N1477" s="17">
        <f t="shared" si="49"/>
        <v>8456.6400000000012</v>
      </c>
      <c r="O1477" s="17">
        <f t="shared" si="49"/>
        <v>0</v>
      </c>
      <c r="P1477" s="17">
        <f t="shared" si="50"/>
        <v>8456.6400000000012</v>
      </c>
      <c r="Q1477" t="str">
        <f>A1477&amp;"-"&amp;B1477&amp;"-"&amp;D1477</f>
        <v>APRIL-MJ1-L2</v>
      </c>
    </row>
    <row r="1478" spans="1:17" x14ac:dyDescent="0.25">
      <c r="A1478" t="s">
        <v>394</v>
      </c>
      <c r="B1478" s="13" t="s">
        <v>25</v>
      </c>
      <c r="C1478" s="13" t="s">
        <v>154</v>
      </c>
      <c r="D1478" s="14" t="s">
        <v>50</v>
      </c>
      <c r="E1478" s="13" t="s">
        <v>155</v>
      </c>
      <c r="F1478" s="13" t="s">
        <v>749</v>
      </c>
      <c r="G1478" s="13">
        <v>0.51</v>
      </c>
      <c r="H1478" s="15">
        <v>240</v>
      </c>
      <c r="I1478" s="16">
        <v>122.4</v>
      </c>
      <c r="J1478" s="16">
        <v>111.07298678128295</v>
      </c>
      <c r="K1478" s="16">
        <v>11.327013218717051</v>
      </c>
      <c r="L1478" s="13">
        <v>7.36</v>
      </c>
      <c r="M1478" s="13"/>
      <c r="N1478" s="17">
        <f t="shared" si="49"/>
        <v>1766.4</v>
      </c>
      <c r="O1478" s="17">
        <f t="shared" si="49"/>
        <v>0</v>
      </c>
      <c r="P1478" s="17">
        <f t="shared" si="50"/>
        <v>1766.4</v>
      </c>
      <c r="Q1478" t="str">
        <f>A1478&amp;"-"&amp;B1478&amp;"-"&amp;D1478</f>
        <v>APRIL-MJ1-L2</v>
      </c>
    </row>
    <row r="1479" spans="1:17" x14ac:dyDescent="0.25">
      <c r="A1479" t="s">
        <v>394</v>
      </c>
      <c r="B1479" s="13" t="s">
        <v>25</v>
      </c>
      <c r="C1479" s="13" t="s">
        <v>154</v>
      </c>
      <c r="D1479" s="14" t="s">
        <v>50</v>
      </c>
      <c r="E1479" s="13" t="s">
        <v>155</v>
      </c>
      <c r="F1479" s="13" t="s">
        <v>759</v>
      </c>
      <c r="G1479" s="13">
        <v>0.51</v>
      </c>
      <c r="H1479" s="15">
        <v>570</v>
      </c>
      <c r="I1479" s="16">
        <v>290.7</v>
      </c>
      <c r="J1479" s="16">
        <v>270.9677419354839</v>
      </c>
      <c r="K1479" s="16">
        <v>19.732258064516088</v>
      </c>
      <c r="L1479" s="13">
        <v>7.36</v>
      </c>
      <c r="M1479" s="13"/>
      <c r="N1479" s="17">
        <f t="shared" si="49"/>
        <v>4195.2</v>
      </c>
      <c r="O1479" s="17">
        <f t="shared" si="49"/>
        <v>0</v>
      </c>
      <c r="P1479" s="17">
        <f t="shared" si="50"/>
        <v>4195.2</v>
      </c>
      <c r="Q1479" t="str">
        <f>A1479&amp;"-"&amp;B1479&amp;"-"&amp;D1479</f>
        <v>APRIL-MJ1-L2</v>
      </c>
    </row>
    <row r="1480" spans="1:17" x14ac:dyDescent="0.25">
      <c r="A1480" t="s">
        <v>394</v>
      </c>
      <c r="B1480" s="13" t="s">
        <v>25</v>
      </c>
      <c r="C1480" s="13" t="s">
        <v>154</v>
      </c>
      <c r="D1480" s="14" t="s">
        <v>50</v>
      </c>
      <c r="E1480" s="13" t="s">
        <v>155</v>
      </c>
      <c r="F1480" s="13" t="s">
        <v>750</v>
      </c>
      <c r="G1480" s="13">
        <v>0.51</v>
      </c>
      <c r="H1480" s="15">
        <v>2002</v>
      </c>
      <c r="I1480" s="16">
        <v>1021.02</v>
      </c>
      <c r="J1480" s="16">
        <v>893.71673744472423</v>
      </c>
      <c r="K1480" s="16">
        <v>127.30326255527578</v>
      </c>
      <c r="L1480" s="13">
        <v>7.36</v>
      </c>
      <c r="M1480" s="13"/>
      <c r="N1480" s="17">
        <f t="shared" si="49"/>
        <v>14734.720000000001</v>
      </c>
      <c r="O1480" s="17">
        <f t="shared" si="49"/>
        <v>0</v>
      </c>
      <c r="P1480" s="17">
        <f t="shared" si="50"/>
        <v>14734.720000000001</v>
      </c>
      <c r="Q1480" t="str">
        <f>A1480&amp;"-"&amp;B1480&amp;"-"&amp;D1480</f>
        <v>APRIL-MJ1-L2</v>
      </c>
    </row>
    <row r="1481" spans="1:17" x14ac:dyDescent="0.25">
      <c r="A1481" t="s">
        <v>394</v>
      </c>
      <c r="B1481" s="13" t="s">
        <v>25</v>
      </c>
      <c r="C1481" s="13" t="s">
        <v>154</v>
      </c>
      <c r="D1481" s="14" t="s">
        <v>50</v>
      </c>
      <c r="E1481" s="13" t="s">
        <v>155</v>
      </c>
      <c r="F1481" s="13" t="s">
        <v>760</v>
      </c>
      <c r="G1481" s="13">
        <v>0.51</v>
      </c>
      <c r="H1481" s="15">
        <v>1560</v>
      </c>
      <c r="I1481" s="16">
        <v>795.6</v>
      </c>
      <c r="J1481" s="16">
        <v>642.35294117647049</v>
      </c>
      <c r="K1481" s="16">
        <v>153.24705882352953</v>
      </c>
      <c r="L1481" s="13">
        <v>7.36</v>
      </c>
      <c r="M1481" s="13"/>
      <c r="N1481" s="17">
        <f t="shared" si="49"/>
        <v>11481.6</v>
      </c>
      <c r="O1481" s="17">
        <f t="shared" si="49"/>
        <v>0</v>
      </c>
      <c r="P1481" s="17">
        <f t="shared" si="50"/>
        <v>11481.6</v>
      </c>
      <c r="Q1481" t="str">
        <f>A1481&amp;"-"&amp;B1481&amp;"-"&amp;D1481</f>
        <v>APRIL-MJ1-L2</v>
      </c>
    </row>
    <row r="1482" spans="1:17" x14ac:dyDescent="0.25">
      <c r="A1482" t="s">
        <v>394</v>
      </c>
      <c r="B1482" s="13" t="s">
        <v>25</v>
      </c>
      <c r="C1482" s="13" t="s">
        <v>154</v>
      </c>
      <c r="D1482" s="14" t="s">
        <v>50</v>
      </c>
      <c r="E1482" s="13" t="s">
        <v>155</v>
      </c>
      <c r="F1482" s="13" t="s">
        <v>751</v>
      </c>
      <c r="G1482" s="13">
        <v>0.51</v>
      </c>
      <c r="H1482" s="15">
        <v>37</v>
      </c>
      <c r="I1482" s="16">
        <v>18.869999999999997</v>
      </c>
      <c r="J1482" s="16">
        <v>16.855494123689539</v>
      </c>
      <c r="K1482" s="16">
        <v>2.0145058763104622</v>
      </c>
      <c r="L1482" s="13">
        <v>7.36</v>
      </c>
      <c r="M1482" s="13"/>
      <c r="N1482" s="17">
        <f t="shared" si="49"/>
        <v>272.32</v>
      </c>
      <c r="O1482" s="17">
        <f t="shared" si="49"/>
        <v>0</v>
      </c>
      <c r="P1482" s="17">
        <f t="shared" si="50"/>
        <v>272.32</v>
      </c>
      <c r="Q1482" t="str">
        <f>A1482&amp;"-"&amp;B1482&amp;"-"&amp;D1482</f>
        <v>APRIL-MJ1-L2</v>
      </c>
    </row>
    <row r="1483" spans="1:17" x14ac:dyDescent="0.25">
      <c r="A1483" t="s">
        <v>394</v>
      </c>
      <c r="B1483" s="13" t="s">
        <v>25</v>
      </c>
      <c r="C1483" s="13" t="s">
        <v>154</v>
      </c>
      <c r="D1483" s="14" t="s">
        <v>50</v>
      </c>
      <c r="E1483" s="13" t="s">
        <v>155</v>
      </c>
      <c r="F1483" s="13" t="s">
        <v>602</v>
      </c>
      <c r="G1483" s="13">
        <v>0.51</v>
      </c>
      <c r="H1483" s="15">
        <v>1758</v>
      </c>
      <c r="I1483" s="16">
        <v>896.57999999999993</v>
      </c>
      <c r="J1483" s="16">
        <v>875.45037649765572</v>
      </c>
      <c r="K1483" s="16">
        <v>21.129623502344327</v>
      </c>
      <c r="L1483" s="13">
        <v>7.36</v>
      </c>
      <c r="M1483" s="13"/>
      <c r="N1483" s="17">
        <f t="shared" si="49"/>
        <v>12938.880000000001</v>
      </c>
      <c r="O1483" s="17">
        <f t="shared" si="49"/>
        <v>0</v>
      </c>
      <c r="P1483" s="17">
        <f t="shared" si="50"/>
        <v>12938.880000000001</v>
      </c>
      <c r="Q1483" t="str">
        <f>A1483&amp;"-"&amp;B1483&amp;"-"&amp;D1483</f>
        <v>APRIL-MJ1-L2</v>
      </c>
    </row>
    <row r="1484" spans="1:17" x14ac:dyDescent="0.25">
      <c r="A1484" t="s">
        <v>394</v>
      </c>
      <c r="B1484" s="13" t="s">
        <v>25</v>
      </c>
      <c r="C1484" s="13" t="s">
        <v>154</v>
      </c>
      <c r="D1484" s="14" t="s">
        <v>50</v>
      </c>
      <c r="E1484" s="13" t="s">
        <v>155</v>
      </c>
      <c r="F1484" s="13" t="s">
        <v>752</v>
      </c>
      <c r="G1484" s="13">
        <v>0.51</v>
      </c>
      <c r="H1484" s="15">
        <v>803</v>
      </c>
      <c r="I1484" s="16">
        <v>409.53</v>
      </c>
      <c r="J1484" s="16">
        <v>349.5593395252838</v>
      </c>
      <c r="K1484" s="16">
        <v>59.970660474716155</v>
      </c>
      <c r="L1484" s="13">
        <v>7.36</v>
      </c>
      <c r="M1484" s="13"/>
      <c r="N1484" s="17">
        <f t="shared" si="49"/>
        <v>5910.08</v>
      </c>
      <c r="O1484" s="17">
        <f t="shared" si="49"/>
        <v>0</v>
      </c>
      <c r="P1484" s="17">
        <f t="shared" si="50"/>
        <v>5910.08</v>
      </c>
      <c r="Q1484" t="str">
        <f>A1484&amp;"-"&amp;B1484&amp;"-"&amp;D1484</f>
        <v>APRIL-MJ1-L2</v>
      </c>
    </row>
    <row r="1485" spans="1:17" x14ac:dyDescent="0.25">
      <c r="A1485" t="s">
        <v>394</v>
      </c>
      <c r="B1485" s="13" t="s">
        <v>25</v>
      </c>
      <c r="C1485" s="13" t="s">
        <v>154</v>
      </c>
      <c r="D1485" s="14" t="s">
        <v>50</v>
      </c>
      <c r="E1485" s="13" t="s">
        <v>155</v>
      </c>
      <c r="F1485" s="13" t="s">
        <v>761</v>
      </c>
      <c r="G1485" s="13">
        <v>0.51</v>
      </c>
      <c r="H1485" s="15">
        <v>592</v>
      </c>
      <c r="I1485" s="16">
        <v>301.92</v>
      </c>
      <c r="J1485" s="16">
        <v>282.83220545684981</v>
      </c>
      <c r="K1485" s="16">
        <v>19.087794543150224</v>
      </c>
      <c r="L1485" s="13">
        <v>7.36</v>
      </c>
      <c r="M1485" s="13"/>
      <c r="N1485" s="17">
        <f t="shared" si="49"/>
        <v>4357.12</v>
      </c>
      <c r="O1485" s="17">
        <f t="shared" si="49"/>
        <v>0</v>
      </c>
      <c r="P1485" s="17">
        <f t="shared" si="50"/>
        <v>4357.12</v>
      </c>
      <c r="Q1485" t="str">
        <f>A1485&amp;"-"&amp;B1485&amp;"-"&amp;D1485</f>
        <v>APRIL-MJ1-L2</v>
      </c>
    </row>
    <row r="1486" spans="1:17" x14ac:dyDescent="0.25">
      <c r="A1486" t="s">
        <v>394</v>
      </c>
      <c r="B1486" s="13" t="s">
        <v>25</v>
      </c>
      <c r="C1486" s="13" t="s">
        <v>154</v>
      </c>
      <c r="D1486" s="14" t="s">
        <v>50</v>
      </c>
      <c r="E1486" s="13" t="s">
        <v>155</v>
      </c>
      <c r="F1486" s="13" t="s">
        <v>753</v>
      </c>
      <c r="G1486" s="13">
        <v>0.5099999999999999</v>
      </c>
      <c r="H1486" s="15">
        <v>8730</v>
      </c>
      <c r="I1486" s="16">
        <v>4452.3</v>
      </c>
      <c r="J1486" s="16">
        <v>3871.0214094096991</v>
      </c>
      <c r="K1486" s="16">
        <v>581.27859059030084</v>
      </c>
      <c r="L1486" s="13">
        <v>7.36</v>
      </c>
      <c r="M1486" s="13"/>
      <c r="N1486" s="17">
        <f t="shared" si="49"/>
        <v>64252.800000000003</v>
      </c>
      <c r="O1486" s="17">
        <f t="shared" si="49"/>
        <v>0</v>
      </c>
      <c r="P1486" s="17">
        <f t="shared" si="50"/>
        <v>64252.800000000003</v>
      </c>
      <c r="Q1486" t="str">
        <f>A1486&amp;"-"&amp;B1486&amp;"-"&amp;D1486</f>
        <v>APRIL-MJ1-L2</v>
      </c>
    </row>
    <row r="1487" spans="1:17" x14ac:dyDescent="0.25">
      <c r="A1487" t="s">
        <v>394</v>
      </c>
      <c r="B1487" s="13" t="s">
        <v>25</v>
      </c>
      <c r="C1487" s="13" t="s">
        <v>154</v>
      </c>
      <c r="D1487" s="14" t="s">
        <v>50</v>
      </c>
      <c r="E1487" s="13" t="s">
        <v>155</v>
      </c>
      <c r="F1487" s="13" t="s">
        <v>754</v>
      </c>
      <c r="G1487" s="13">
        <v>0.51</v>
      </c>
      <c r="H1487" s="15">
        <v>68</v>
      </c>
      <c r="I1487" s="16">
        <v>34.68</v>
      </c>
      <c r="J1487" s="16">
        <v>31.009690227562928</v>
      </c>
      <c r="K1487" s="16">
        <v>3.6703097724370757</v>
      </c>
      <c r="L1487" s="13">
        <v>7.36</v>
      </c>
      <c r="M1487" s="13"/>
      <c r="N1487" s="17">
        <f t="shared" si="49"/>
        <v>500.48</v>
      </c>
      <c r="O1487" s="17">
        <f t="shared" si="49"/>
        <v>0</v>
      </c>
      <c r="P1487" s="17">
        <f t="shared" si="50"/>
        <v>500.48</v>
      </c>
      <c r="Q1487" t="str">
        <f>A1487&amp;"-"&amp;B1487&amp;"-"&amp;D1487</f>
        <v>APRIL-MJ1-L2</v>
      </c>
    </row>
    <row r="1488" spans="1:17" x14ac:dyDescent="0.25">
      <c r="A1488" t="s">
        <v>394</v>
      </c>
      <c r="B1488" s="13" t="s">
        <v>25</v>
      </c>
      <c r="C1488" s="13" t="s">
        <v>154</v>
      </c>
      <c r="D1488" s="14" t="s">
        <v>50</v>
      </c>
      <c r="E1488" s="13" t="s">
        <v>155</v>
      </c>
      <c r="F1488" s="13" t="s">
        <v>762</v>
      </c>
      <c r="G1488" s="13">
        <v>0.51</v>
      </c>
      <c r="H1488" s="15">
        <v>1460</v>
      </c>
      <c r="I1488" s="16">
        <v>744.6</v>
      </c>
      <c r="J1488" s="16">
        <v>742.93502953203085</v>
      </c>
      <c r="K1488" s="16">
        <v>1.6649704679691695</v>
      </c>
      <c r="L1488" s="13">
        <v>7.36</v>
      </c>
      <c r="M1488" s="13"/>
      <c r="N1488" s="17">
        <f t="shared" si="49"/>
        <v>10745.6</v>
      </c>
      <c r="O1488" s="17">
        <f t="shared" si="49"/>
        <v>0</v>
      </c>
      <c r="P1488" s="17">
        <f t="shared" si="50"/>
        <v>10745.6</v>
      </c>
      <c r="Q1488" t="str">
        <f>A1488&amp;"-"&amp;B1488&amp;"-"&amp;D1488</f>
        <v>APRIL-MJ1-L2</v>
      </c>
    </row>
    <row r="1489" spans="1:17" x14ac:dyDescent="0.25">
      <c r="A1489" t="s">
        <v>394</v>
      </c>
      <c r="B1489" s="13" t="s">
        <v>25</v>
      </c>
      <c r="C1489" s="13" t="s">
        <v>154</v>
      </c>
      <c r="D1489" s="14" t="s">
        <v>50</v>
      </c>
      <c r="E1489" s="13" t="s">
        <v>155</v>
      </c>
      <c r="F1489" s="13" t="s">
        <v>763</v>
      </c>
      <c r="G1489" s="13">
        <v>0.51</v>
      </c>
      <c r="H1489" s="15">
        <v>4085</v>
      </c>
      <c r="I1489" s="16">
        <v>2083.35</v>
      </c>
      <c r="J1489" s="16">
        <v>1755.6133756044151</v>
      </c>
      <c r="K1489" s="16">
        <v>327.73662439558495</v>
      </c>
      <c r="L1489" s="13">
        <v>7.36</v>
      </c>
      <c r="M1489" s="13"/>
      <c r="N1489" s="17">
        <f t="shared" si="49"/>
        <v>30065.600000000002</v>
      </c>
      <c r="O1489" s="17">
        <f t="shared" si="49"/>
        <v>0</v>
      </c>
      <c r="P1489" s="17">
        <f t="shared" si="50"/>
        <v>30065.600000000002</v>
      </c>
      <c r="Q1489" t="str">
        <f>A1489&amp;"-"&amp;B1489&amp;"-"&amp;D1489</f>
        <v>APRIL-MJ1-L2</v>
      </c>
    </row>
    <row r="1490" spans="1:17" x14ac:dyDescent="0.25">
      <c r="A1490" t="s">
        <v>394</v>
      </c>
      <c r="B1490" s="13" t="s">
        <v>25</v>
      </c>
      <c r="C1490" s="13" t="s">
        <v>154</v>
      </c>
      <c r="D1490" s="14" t="s">
        <v>50</v>
      </c>
      <c r="E1490" s="13" t="s">
        <v>155</v>
      </c>
      <c r="F1490" s="13" t="s">
        <v>764</v>
      </c>
      <c r="G1490" s="13">
        <v>0.51</v>
      </c>
      <c r="H1490" s="15">
        <v>699</v>
      </c>
      <c r="I1490" s="16">
        <v>356.49</v>
      </c>
      <c r="J1490" s="16">
        <v>355.69286687869152</v>
      </c>
      <c r="K1490" s="16">
        <v>0.7971331213084909</v>
      </c>
      <c r="L1490" s="13">
        <v>1.47</v>
      </c>
      <c r="M1490" s="13"/>
      <c r="N1490" s="17">
        <f t="shared" si="49"/>
        <v>1027.53</v>
      </c>
      <c r="O1490" s="17">
        <f t="shared" si="49"/>
        <v>0</v>
      </c>
      <c r="P1490" s="17">
        <f t="shared" si="50"/>
        <v>1027.53</v>
      </c>
      <c r="Q1490" t="str">
        <f>A1490&amp;"-"&amp;B1490&amp;"-"&amp;D1490</f>
        <v>APRIL-MJ1-L2</v>
      </c>
    </row>
    <row r="1491" spans="1:17" x14ac:dyDescent="0.25">
      <c r="A1491" t="s">
        <v>394</v>
      </c>
      <c r="B1491" s="13" t="s">
        <v>25</v>
      </c>
      <c r="C1491" s="13" t="s">
        <v>154</v>
      </c>
      <c r="D1491" s="14" t="s">
        <v>50</v>
      </c>
      <c r="E1491" s="13" t="s">
        <v>155</v>
      </c>
      <c r="F1491" s="13" t="s">
        <v>755</v>
      </c>
      <c r="G1491" s="13">
        <v>0.51</v>
      </c>
      <c r="H1491" s="15">
        <v>773</v>
      </c>
      <c r="I1491" s="16">
        <v>394.23</v>
      </c>
      <c r="J1491" s="16">
        <v>349.53261427837697</v>
      </c>
      <c r="K1491" s="16">
        <v>44.697385721623021</v>
      </c>
      <c r="L1491" s="13">
        <v>7.36</v>
      </c>
      <c r="M1491" s="13"/>
      <c r="N1491" s="17">
        <f t="shared" si="49"/>
        <v>5689.2800000000007</v>
      </c>
      <c r="O1491" s="17">
        <f t="shared" si="49"/>
        <v>0</v>
      </c>
      <c r="P1491" s="17">
        <f t="shared" si="50"/>
        <v>5689.2800000000007</v>
      </c>
      <c r="Q1491" t="str">
        <f>A1491&amp;"-"&amp;B1491&amp;"-"&amp;D1491</f>
        <v>APRIL-MJ1-L2</v>
      </c>
    </row>
    <row r="1492" spans="1:17" x14ac:dyDescent="0.25">
      <c r="A1492" t="s">
        <v>394</v>
      </c>
      <c r="B1492" s="13" t="s">
        <v>25</v>
      </c>
      <c r="C1492" s="13" t="s">
        <v>154</v>
      </c>
      <c r="D1492" s="14" t="s">
        <v>50</v>
      </c>
      <c r="E1492" s="13" t="s">
        <v>65</v>
      </c>
      <c r="F1492" s="13" t="s">
        <v>765</v>
      </c>
      <c r="G1492" s="13">
        <v>1.03</v>
      </c>
      <c r="H1492" s="15">
        <v>1200</v>
      </c>
      <c r="I1492" s="16">
        <v>1236</v>
      </c>
      <c r="J1492" s="16">
        <v>541.71606257895257</v>
      </c>
      <c r="K1492" s="16">
        <v>694.28393742104754</v>
      </c>
      <c r="L1492" s="13">
        <v>0.95</v>
      </c>
      <c r="M1492" s="13"/>
      <c r="N1492" s="17">
        <f t="shared" si="49"/>
        <v>1140</v>
      </c>
      <c r="O1492" s="17">
        <f t="shared" si="49"/>
        <v>0</v>
      </c>
      <c r="P1492" s="17">
        <f t="shared" si="50"/>
        <v>1140</v>
      </c>
      <c r="Q1492" t="str">
        <f>A1492&amp;"-"&amp;B1492&amp;"-"&amp;D1492</f>
        <v>APRIL-MJ1-L2</v>
      </c>
    </row>
    <row r="1493" spans="1:17" x14ac:dyDescent="0.25">
      <c r="A1493" t="s">
        <v>394</v>
      </c>
      <c r="B1493" s="13" t="s">
        <v>25</v>
      </c>
      <c r="C1493" s="13" t="s">
        <v>154</v>
      </c>
      <c r="D1493" s="14" t="s">
        <v>164</v>
      </c>
      <c r="E1493" s="13" t="s">
        <v>155</v>
      </c>
      <c r="F1493" s="13" t="s">
        <v>762</v>
      </c>
      <c r="G1493" s="13">
        <v>0.51</v>
      </c>
      <c r="H1493" s="15">
        <v>1460</v>
      </c>
      <c r="I1493" s="16">
        <v>744.6</v>
      </c>
      <c r="J1493" s="16">
        <v>1060.7692307692307</v>
      </c>
      <c r="K1493" s="16">
        <v>-316.16923076923069</v>
      </c>
      <c r="L1493" s="13">
        <v>7.36</v>
      </c>
      <c r="M1493" s="13"/>
      <c r="N1493" s="17">
        <f t="shared" si="49"/>
        <v>10745.6</v>
      </c>
      <c r="O1493" s="17">
        <f t="shared" si="49"/>
        <v>0</v>
      </c>
      <c r="P1493" s="17">
        <f t="shared" si="50"/>
        <v>10745.6</v>
      </c>
      <c r="Q1493" t="str">
        <f>A1493&amp;"-"&amp;B1493&amp;"-"&amp;D1493</f>
        <v>APRIL-MJ1-L7</v>
      </c>
    </row>
    <row r="1494" spans="1:17" x14ac:dyDescent="0.25">
      <c r="A1494" t="s">
        <v>394</v>
      </c>
      <c r="B1494" s="13" t="s">
        <v>25</v>
      </c>
      <c r="C1494" s="13" t="s">
        <v>154</v>
      </c>
      <c r="D1494" s="14" t="s">
        <v>164</v>
      </c>
      <c r="E1494" s="13" t="s">
        <v>155</v>
      </c>
      <c r="F1494" s="13" t="s">
        <v>763</v>
      </c>
      <c r="G1494" s="13">
        <v>0.51</v>
      </c>
      <c r="H1494" s="15">
        <v>4084</v>
      </c>
      <c r="I1494" s="16">
        <v>2082.84</v>
      </c>
      <c r="J1494" s="16">
        <v>4998.4106253458776</v>
      </c>
      <c r="K1494" s="16">
        <v>-2915.570625345877</v>
      </c>
      <c r="L1494" s="13">
        <v>7.36</v>
      </c>
      <c r="M1494" s="13"/>
      <c r="N1494" s="17">
        <f t="shared" si="49"/>
        <v>30058.240000000002</v>
      </c>
      <c r="O1494" s="17">
        <f t="shared" si="49"/>
        <v>0</v>
      </c>
      <c r="P1494" s="17">
        <f t="shared" si="50"/>
        <v>30058.240000000002</v>
      </c>
      <c r="Q1494" t="str">
        <f>A1494&amp;"-"&amp;B1494&amp;"-"&amp;D1494</f>
        <v>APRIL-MJ1-L7</v>
      </c>
    </row>
    <row r="1495" spans="1:17" x14ac:dyDescent="0.25">
      <c r="A1495" t="s">
        <v>394</v>
      </c>
      <c r="B1495" s="13" t="s">
        <v>25</v>
      </c>
      <c r="C1495" s="13" t="s">
        <v>154</v>
      </c>
      <c r="D1495" s="14" t="s">
        <v>164</v>
      </c>
      <c r="E1495" s="13" t="s">
        <v>155</v>
      </c>
      <c r="F1495" s="13" t="s">
        <v>764</v>
      </c>
      <c r="G1495" s="13">
        <v>0.51</v>
      </c>
      <c r="H1495" s="15">
        <v>380</v>
      </c>
      <c r="I1495" s="16">
        <v>193.8</v>
      </c>
      <c r="J1495" s="16">
        <v>266</v>
      </c>
      <c r="K1495" s="16">
        <v>-72.199999999999989</v>
      </c>
      <c r="L1495" s="13">
        <v>1.47</v>
      </c>
      <c r="M1495" s="13"/>
      <c r="N1495" s="17">
        <f t="shared" si="49"/>
        <v>558.6</v>
      </c>
      <c r="O1495" s="17">
        <f t="shared" si="49"/>
        <v>0</v>
      </c>
      <c r="P1495" s="17">
        <f t="shared" si="50"/>
        <v>558.6</v>
      </c>
      <c r="Q1495" t="str">
        <f>A1495&amp;"-"&amp;B1495&amp;"-"&amp;D1495</f>
        <v>APRIL-MJ1-L7</v>
      </c>
    </row>
    <row r="1496" spans="1:17" x14ac:dyDescent="0.25">
      <c r="A1496" t="s">
        <v>394</v>
      </c>
      <c r="B1496" s="13" t="s">
        <v>25</v>
      </c>
      <c r="C1496" s="13" t="s">
        <v>154</v>
      </c>
      <c r="D1496" s="14" t="s">
        <v>198</v>
      </c>
      <c r="E1496" s="13" t="s">
        <v>155</v>
      </c>
      <c r="F1496" s="13" t="s">
        <v>748</v>
      </c>
      <c r="G1496" s="13">
        <v>0.51</v>
      </c>
      <c r="H1496" s="15">
        <v>977</v>
      </c>
      <c r="I1496" s="16">
        <v>498.27</v>
      </c>
      <c r="J1496" s="16">
        <v>701.43589743589746</v>
      </c>
      <c r="K1496" s="16">
        <v>-203.16589743589748</v>
      </c>
      <c r="L1496" s="13">
        <v>7.36</v>
      </c>
      <c r="M1496" s="13"/>
      <c r="N1496" s="17">
        <f t="shared" si="49"/>
        <v>7190.72</v>
      </c>
      <c r="O1496" s="17">
        <f t="shared" si="49"/>
        <v>0</v>
      </c>
      <c r="P1496" s="17">
        <f t="shared" si="50"/>
        <v>7190.72</v>
      </c>
      <c r="Q1496" t="str">
        <f>A1496&amp;"-"&amp;B1496&amp;"-"&amp;D1496</f>
        <v>APRIL-MJ1-L8</v>
      </c>
    </row>
    <row r="1497" spans="1:17" x14ac:dyDescent="0.25">
      <c r="A1497" t="s">
        <v>394</v>
      </c>
      <c r="B1497" s="13" t="s">
        <v>25</v>
      </c>
      <c r="C1497" s="13" t="s">
        <v>154</v>
      </c>
      <c r="D1497" s="14" t="s">
        <v>198</v>
      </c>
      <c r="E1497" s="13" t="s">
        <v>155</v>
      </c>
      <c r="F1497" s="13" t="s">
        <v>604</v>
      </c>
      <c r="G1497" s="13">
        <v>0.51</v>
      </c>
      <c r="H1497" s="15">
        <v>398</v>
      </c>
      <c r="I1497" s="16">
        <v>202.98</v>
      </c>
      <c r="J1497" s="16">
        <v>361.51368932255116</v>
      </c>
      <c r="K1497" s="16">
        <v>-158.5336893225512</v>
      </c>
      <c r="L1497" s="13">
        <v>7.36</v>
      </c>
      <c r="M1497" s="13"/>
      <c r="N1497" s="17">
        <f t="shared" si="49"/>
        <v>2929.28</v>
      </c>
      <c r="O1497" s="17">
        <f t="shared" si="49"/>
        <v>0</v>
      </c>
      <c r="P1497" s="17">
        <f t="shared" si="50"/>
        <v>2929.28</v>
      </c>
      <c r="Q1497" t="str">
        <f>A1497&amp;"-"&amp;B1497&amp;"-"&amp;D1497</f>
        <v>APRIL-MJ1-L8</v>
      </c>
    </row>
    <row r="1498" spans="1:17" x14ac:dyDescent="0.25">
      <c r="A1498" t="s">
        <v>394</v>
      </c>
      <c r="B1498" s="13" t="s">
        <v>25</v>
      </c>
      <c r="C1498" s="13" t="s">
        <v>154</v>
      </c>
      <c r="D1498" s="14" t="s">
        <v>198</v>
      </c>
      <c r="E1498" s="13" t="s">
        <v>155</v>
      </c>
      <c r="F1498" s="13" t="s">
        <v>601</v>
      </c>
      <c r="G1498" s="13">
        <v>0.51</v>
      </c>
      <c r="H1498" s="15">
        <v>1108</v>
      </c>
      <c r="I1498" s="16">
        <v>565.07999999999993</v>
      </c>
      <c r="J1498" s="16">
        <v>1346.7349919700919</v>
      </c>
      <c r="K1498" s="16">
        <v>-781.65499197009194</v>
      </c>
      <c r="L1498" s="13">
        <v>7.36</v>
      </c>
      <c r="M1498" s="13"/>
      <c r="N1498" s="17">
        <f t="shared" si="49"/>
        <v>8154.88</v>
      </c>
      <c r="O1498" s="17">
        <f t="shared" si="49"/>
        <v>0</v>
      </c>
      <c r="P1498" s="17">
        <f t="shared" si="50"/>
        <v>8154.88</v>
      </c>
      <c r="Q1498" t="str">
        <f>A1498&amp;"-"&amp;B1498&amp;"-"&amp;D1498</f>
        <v>APRIL-MJ1-L8</v>
      </c>
    </row>
    <row r="1499" spans="1:17" x14ac:dyDescent="0.25">
      <c r="A1499" t="s">
        <v>394</v>
      </c>
      <c r="B1499" s="13" t="s">
        <v>25</v>
      </c>
      <c r="C1499" s="13" t="s">
        <v>154</v>
      </c>
      <c r="D1499" s="14" t="s">
        <v>198</v>
      </c>
      <c r="E1499" s="13" t="s">
        <v>155</v>
      </c>
      <c r="F1499" s="13" t="s">
        <v>759</v>
      </c>
      <c r="G1499" s="13">
        <v>0.51</v>
      </c>
      <c r="H1499" s="15">
        <v>570</v>
      </c>
      <c r="I1499" s="16">
        <v>290.7</v>
      </c>
      <c r="J1499" s="16">
        <v>370.08695652173913</v>
      </c>
      <c r="K1499" s="16">
        <v>-79.386956521739137</v>
      </c>
      <c r="L1499" s="13">
        <v>7.36</v>
      </c>
      <c r="M1499" s="13"/>
      <c r="N1499" s="17">
        <f t="shared" si="49"/>
        <v>4195.2</v>
      </c>
      <c r="O1499" s="17">
        <f t="shared" si="49"/>
        <v>0</v>
      </c>
      <c r="P1499" s="17">
        <f t="shared" si="50"/>
        <v>4195.2</v>
      </c>
      <c r="Q1499" t="str">
        <f>A1499&amp;"-"&amp;B1499&amp;"-"&amp;D1499</f>
        <v>APRIL-MJ1-L8</v>
      </c>
    </row>
    <row r="1500" spans="1:17" x14ac:dyDescent="0.25">
      <c r="A1500" t="s">
        <v>394</v>
      </c>
      <c r="B1500" s="13" t="s">
        <v>25</v>
      </c>
      <c r="C1500" s="13" t="s">
        <v>154</v>
      </c>
      <c r="D1500" s="14" t="s">
        <v>198</v>
      </c>
      <c r="E1500" s="13" t="s">
        <v>155</v>
      </c>
      <c r="F1500" s="13" t="s">
        <v>750</v>
      </c>
      <c r="G1500" s="13">
        <v>0.51</v>
      </c>
      <c r="H1500" s="15">
        <v>2002</v>
      </c>
      <c r="I1500" s="16">
        <v>1021.02</v>
      </c>
      <c r="J1500" s="16">
        <v>1613.0300807043286</v>
      </c>
      <c r="K1500" s="16">
        <v>-592.01008070432874</v>
      </c>
      <c r="L1500" s="13">
        <v>7.36</v>
      </c>
      <c r="M1500" s="13"/>
      <c r="N1500" s="17">
        <f t="shared" ref="N1500:O1557" si="51">$H1500*L1500</f>
        <v>14734.720000000001</v>
      </c>
      <c r="O1500" s="17">
        <f t="shared" si="51"/>
        <v>0</v>
      </c>
      <c r="P1500" s="17">
        <f t="shared" si="50"/>
        <v>14734.720000000001</v>
      </c>
      <c r="Q1500" t="str">
        <f>A1500&amp;"-"&amp;B1500&amp;"-"&amp;D1500</f>
        <v>APRIL-MJ1-L8</v>
      </c>
    </row>
    <row r="1501" spans="1:17" x14ac:dyDescent="0.25">
      <c r="A1501" t="s">
        <v>394</v>
      </c>
      <c r="B1501" s="13" t="s">
        <v>25</v>
      </c>
      <c r="C1501" s="13" t="s">
        <v>154</v>
      </c>
      <c r="D1501" s="14" t="s">
        <v>198</v>
      </c>
      <c r="E1501" s="13" t="s">
        <v>155</v>
      </c>
      <c r="F1501" s="13" t="s">
        <v>760</v>
      </c>
      <c r="G1501" s="13">
        <v>0.51</v>
      </c>
      <c r="H1501" s="15">
        <v>52</v>
      </c>
      <c r="I1501" s="16">
        <v>26.52</v>
      </c>
      <c r="J1501" s="16">
        <v>33.762318840579709</v>
      </c>
      <c r="K1501" s="16">
        <v>-7.2423188405797099</v>
      </c>
      <c r="L1501" s="13">
        <v>7.36</v>
      </c>
      <c r="M1501" s="13"/>
      <c r="N1501" s="17">
        <f t="shared" si="51"/>
        <v>382.72</v>
      </c>
      <c r="O1501" s="17">
        <f t="shared" si="51"/>
        <v>0</v>
      </c>
      <c r="P1501" s="17">
        <f t="shared" si="50"/>
        <v>382.72</v>
      </c>
      <c r="Q1501" t="str">
        <f>A1501&amp;"-"&amp;B1501&amp;"-"&amp;D1501</f>
        <v>APRIL-MJ1-L8</v>
      </c>
    </row>
    <row r="1502" spans="1:17" x14ac:dyDescent="0.25">
      <c r="A1502" t="s">
        <v>394</v>
      </c>
      <c r="B1502" s="13" t="s">
        <v>25</v>
      </c>
      <c r="C1502" s="13" t="s">
        <v>154</v>
      </c>
      <c r="D1502" s="14" t="s">
        <v>198</v>
      </c>
      <c r="E1502" s="13" t="s">
        <v>155</v>
      </c>
      <c r="F1502" s="13" t="s">
        <v>751</v>
      </c>
      <c r="G1502" s="13">
        <v>0.51</v>
      </c>
      <c r="H1502" s="15">
        <v>37</v>
      </c>
      <c r="I1502" s="16">
        <v>18.869999999999997</v>
      </c>
      <c r="J1502" s="16">
        <v>41.277389277389275</v>
      </c>
      <c r="K1502" s="16">
        <v>-22.407389277389278</v>
      </c>
      <c r="L1502" s="13">
        <v>7.36</v>
      </c>
      <c r="M1502" s="13"/>
      <c r="N1502" s="17">
        <f t="shared" si="51"/>
        <v>272.32</v>
      </c>
      <c r="O1502" s="17">
        <f t="shared" si="51"/>
        <v>0</v>
      </c>
      <c r="P1502" s="17">
        <f t="shared" si="50"/>
        <v>272.32</v>
      </c>
      <c r="Q1502" t="str">
        <f>A1502&amp;"-"&amp;B1502&amp;"-"&amp;D1502</f>
        <v>APRIL-MJ1-L8</v>
      </c>
    </row>
    <row r="1503" spans="1:17" x14ac:dyDescent="0.25">
      <c r="A1503" t="s">
        <v>394</v>
      </c>
      <c r="B1503" s="13" t="s">
        <v>25</v>
      </c>
      <c r="C1503" s="13" t="s">
        <v>154</v>
      </c>
      <c r="D1503" s="14" t="s">
        <v>198</v>
      </c>
      <c r="E1503" s="13" t="s">
        <v>155</v>
      </c>
      <c r="F1503" s="13" t="s">
        <v>602</v>
      </c>
      <c r="G1503" s="13">
        <v>0.51</v>
      </c>
      <c r="H1503" s="15">
        <v>1101</v>
      </c>
      <c r="I1503" s="16">
        <v>561.51</v>
      </c>
      <c r="J1503" s="16">
        <v>1449.5193323328858</v>
      </c>
      <c r="K1503" s="16">
        <v>-888.00933233288583</v>
      </c>
      <c r="L1503" s="13">
        <v>7.36</v>
      </c>
      <c r="M1503" s="13"/>
      <c r="N1503" s="17">
        <f t="shared" si="51"/>
        <v>8103.3600000000006</v>
      </c>
      <c r="O1503" s="17">
        <f t="shared" si="51"/>
        <v>0</v>
      </c>
      <c r="P1503" s="17">
        <f t="shared" si="50"/>
        <v>8103.3600000000006</v>
      </c>
      <c r="Q1503" t="str">
        <f>A1503&amp;"-"&amp;B1503&amp;"-"&amp;D1503</f>
        <v>APRIL-MJ1-L8</v>
      </c>
    </row>
    <row r="1504" spans="1:17" x14ac:dyDescent="0.25">
      <c r="A1504" t="s">
        <v>394</v>
      </c>
      <c r="B1504" s="13" t="s">
        <v>25</v>
      </c>
      <c r="C1504" s="13" t="s">
        <v>154</v>
      </c>
      <c r="D1504" s="14" t="s">
        <v>198</v>
      </c>
      <c r="E1504" s="13" t="s">
        <v>155</v>
      </c>
      <c r="F1504" s="13" t="s">
        <v>752</v>
      </c>
      <c r="G1504" s="13">
        <v>0.51</v>
      </c>
      <c r="H1504" s="15">
        <v>300</v>
      </c>
      <c r="I1504" s="16">
        <v>153</v>
      </c>
      <c r="J1504" s="16">
        <v>275.90997592040168</v>
      </c>
      <c r="K1504" s="16">
        <v>-122.90997592040165</v>
      </c>
      <c r="L1504" s="13">
        <v>7.36</v>
      </c>
      <c r="M1504" s="13"/>
      <c r="N1504" s="17">
        <f t="shared" si="51"/>
        <v>2208</v>
      </c>
      <c r="O1504" s="17">
        <f t="shared" si="51"/>
        <v>0</v>
      </c>
      <c r="P1504" s="17">
        <f t="shared" si="50"/>
        <v>2208</v>
      </c>
      <c r="Q1504" t="str">
        <f>A1504&amp;"-"&amp;B1504&amp;"-"&amp;D1504</f>
        <v>APRIL-MJ1-L8</v>
      </c>
    </row>
    <row r="1505" spans="1:17" x14ac:dyDescent="0.25">
      <c r="A1505" t="s">
        <v>394</v>
      </c>
      <c r="B1505" s="13" t="s">
        <v>25</v>
      </c>
      <c r="C1505" s="13" t="s">
        <v>154</v>
      </c>
      <c r="D1505" s="14" t="s">
        <v>198</v>
      </c>
      <c r="E1505" s="13" t="s">
        <v>155</v>
      </c>
      <c r="F1505" s="13" t="s">
        <v>753</v>
      </c>
      <c r="G1505" s="13">
        <v>0.51</v>
      </c>
      <c r="H1505" s="15">
        <v>3128</v>
      </c>
      <c r="I1505" s="16">
        <v>1595.2800000000002</v>
      </c>
      <c r="J1505" s="16">
        <v>2246.2626729188596</v>
      </c>
      <c r="K1505" s="16">
        <v>-650.98267291885963</v>
      </c>
      <c r="L1505" s="13">
        <v>7.36</v>
      </c>
      <c r="M1505" s="13"/>
      <c r="N1505" s="17">
        <f t="shared" si="51"/>
        <v>23022.080000000002</v>
      </c>
      <c r="O1505" s="17">
        <f t="shared" si="51"/>
        <v>0</v>
      </c>
      <c r="P1505" s="17">
        <f t="shared" si="50"/>
        <v>23022.080000000002</v>
      </c>
      <c r="Q1505" t="str">
        <f>A1505&amp;"-"&amp;B1505&amp;"-"&amp;D1505</f>
        <v>APRIL-MJ1-L8</v>
      </c>
    </row>
    <row r="1506" spans="1:17" x14ac:dyDescent="0.25">
      <c r="A1506" t="s">
        <v>394</v>
      </c>
      <c r="B1506" s="13" t="s">
        <v>25</v>
      </c>
      <c r="C1506" s="13" t="s">
        <v>154</v>
      </c>
      <c r="D1506" s="14" t="s">
        <v>198</v>
      </c>
      <c r="E1506" s="13" t="s">
        <v>155</v>
      </c>
      <c r="F1506" s="13" t="s">
        <v>763</v>
      </c>
      <c r="G1506" s="13">
        <v>0.51</v>
      </c>
      <c r="H1506" s="15">
        <v>6802</v>
      </c>
      <c r="I1506" s="16">
        <v>3469.02</v>
      </c>
      <c r="J1506" s="16">
        <v>4480</v>
      </c>
      <c r="K1506" s="16">
        <v>-1010.98</v>
      </c>
      <c r="L1506" s="13">
        <v>7.36</v>
      </c>
      <c r="M1506" s="13"/>
      <c r="N1506" s="17">
        <f t="shared" si="51"/>
        <v>50062.720000000001</v>
      </c>
      <c r="O1506" s="17">
        <f t="shared" si="51"/>
        <v>0</v>
      </c>
      <c r="P1506" s="17">
        <f t="shared" si="50"/>
        <v>50062.720000000001</v>
      </c>
      <c r="Q1506" t="str">
        <f>A1506&amp;"-"&amp;B1506&amp;"-"&amp;D1506</f>
        <v>APRIL-MJ1-L8</v>
      </c>
    </row>
    <row r="1507" spans="1:17" x14ac:dyDescent="0.25">
      <c r="A1507" t="s">
        <v>394</v>
      </c>
      <c r="B1507" s="13" t="s">
        <v>25</v>
      </c>
      <c r="C1507" s="13" t="s">
        <v>154</v>
      </c>
      <c r="D1507" s="14" t="s">
        <v>198</v>
      </c>
      <c r="E1507" s="13" t="s">
        <v>155</v>
      </c>
      <c r="F1507" s="13" t="s">
        <v>755</v>
      </c>
      <c r="G1507" s="13">
        <v>0.51</v>
      </c>
      <c r="H1507" s="15">
        <v>748</v>
      </c>
      <c r="I1507" s="16">
        <v>381.48</v>
      </c>
      <c r="J1507" s="16">
        <v>520.46669475527551</v>
      </c>
      <c r="K1507" s="16">
        <v>-138.98669475527555</v>
      </c>
      <c r="L1507" s="13">
        <v>7.36</v>
      </c>
      <c r="M1507" s="13"/>
      <c r="N1507" s="17">
        <f t="shared" si="51"/>
        <v>5505.2800000000007</v>
      </c>
      <c r="O1507" s="17">
        <f t="shared" si="51"/>
        <v>0</v>
      </c>
      <c r="P1507" s="17">
        <f t="shared" si="50"/>
        <v>5505.2800000000007</v>
      </c>
      <c r="Q1507" t="str">
        <f>A1507&amp;"-"&amp;B1507&amp;"-"&amp;D1507</f>
        <v>APRIL-MJ1-L8</v>
      </c>
    </row>
    <row r="1508" spans="1:17" x14ac:dyDescent="0.25">
      <c r="A1508" t="s">
        <v>394</v>
      </c>
      <c r="B1508" s="13" t="s">
        <v>25</v>
      </c>
      <c r="C1508" s="13" t="s">
        <v>154</v>
      </c>
      <c r="D1508" s="14" t="s">
        <v>198</v>
      </c>
      <c r="E1508" s="13" t="s">
        <v>65</v>
      </c>
      <c r="F1508" s="13" t="s">
        <v>608</v>
      </c>
      <c r="G1508" s="13">
        <v>1.03</v>
      </c>
      <c r="H1508" s="15">
        <v>102</v>
      </c>
      <c r="I1508" s="16">
        <v>105.06</v>
      </c>
      <c r="J1508" s="16">
        <v>420</v>
      </c>
      <c r="K1508" s="16">
        <v>-314.94</v>
      </c>
      <c r="L1508" s="13">
        <v>3.78</v>
      </c>
      <c r="M1508" s="13"/>
      <c r="N1508" s="17">
        <f t="shared" si="51"/>
        <v>385.56</v>
      </c>
      <c r="O1508" s="17">
        <f t="shared" si="51"/>
        <v>0</v>
      </c>
      <c r="P1508" s="17">
        <f t="shared" si="50"/>
        <v>385.56</v>
      </c>
      <c r="Q1508" t="str">
        <f>A1508&amp;"-"&amp;B1508&amp;"-"&amp;D1508</f>
        <v>APRIL-MJ1-L8</v>
      </c>
    </row>
    <row r="1509" spans="1:17" x14ac:dyDescent="0.25">
      <c r="A1509" t="s">
        <v>394</v>
      </c>
      <c r="B1509" s="13" t="s">
        <v>25</v>
      </c>
      <c r="C1509" s="13" t="s">
        <v>154</v>
      </c>
      <c r="D1509" s="14" t="s">
        <v>198</v>
      </c>
      <c r="E1509" s="13" t="s">
        <v>65</v>
      </c>
      <c r="F1509" s="13" t="s">
        <v>610</v>
      </c>
      <c r="G1509" s="13">
        <v>1.07</v>
      </c>
      <c r="H1509" s="15">
        <v>46</v>
      </c>
      <c r="I1509" s="16">
        <v>49.22</v>
      </c>
      <c r="J1509" s="16">
        <v>189.41176470588238</v>
      </c>
      <c r="K1509" s="16">
        <v>-140.19176470588238</v>
      </c>
      <c r="L1509" s="13">
        <v>3.78</v>
      </c>
      <c r="M1509" s="13"/>
      <c r="N1509" s="17">
        <f t="shared" si="51"/>
        <v>173.88</v>
      </c>
      <c r="O1509" s="17">
        <f t="shared" si="51"/>
        <v>0</v>
      </c>
      <c r="P1509" s="17">
        <f t="shared" si="50"/>
        <v>173.88</v>
      </c>
      <c r="Q1509" t="str">
        <f>A1509&amp;"-"&amp;B1509&amp;"-"&amp;D1509</f>
        <v>APRIL-MJ1-L8</v>
      </c>
    </row>
    <row r="1510" spans="1:17" x14ac:dyDescent="0.25">
      <c r="A1510" t="s">
        <v>394</v>
      </c>
      <c r="B1510" s="13" t="s">
        <v>25</v>
      </c>
      <c r="C1510" s="13" t="s">
        <v>154</v>
      </c>
      <c r="D1510" s="14" t="s">
        <v>198</v>
      </c>
      <c r="E1510" s="13" t="s">
        <v>65</v>
      </c>
      <c r="F1510" s="13" t="s">
        <v>612</v>
      </c>
      <c r="G1510" s="13">
        <v>1.07</v>
      </c>
      <c r="H1510" s="15">
        <v>5</v>
      </c>
      <c r="I1510" s="16">
        <v>5.35</v>
      </c>
      <c r="J1510" s="16">
        <v>20.588235294117649</v>
      </c>
      <c r="K1510" s="16">
        <v>-15.238235294117649</v>
      </c>
      <c r="L1510" s="13">
        <v>3.78</v>
      </c>
      <c r="M1510" s="13"/>
      <c r="N1510" s="17">
        <f t="shared" si="51"/>
        <v>18.899999999999999</v>
      </c>
      <c r="O1510" s="17">
        <f t="shared" si="51"/>
        <v>0</v>
      </c>
      <c r="P1510" s="17">
        <f t="shared" si="50"/>
        <v>18.899999999999999</v>
      </c>
      <c r="Q1510" t="str">
        <f>A1510&amp;"-"&amp;B1510&amp;"-"&amp;D1510</f>
        <v>APRIL-MJ1-L8</v>
      </c>
    </row>
    <row r="1511" spans="1:17" x14ac:dyDescent="0.25">
      <c r="A1511" t="s">
        <v>394</v>
      </c>
      <c r="B1511" s="13" t="s">
        <v>25</v>
      </c>
      <c r="C1511" s="13" t="s">
        <v>154</v>
      </c>
      <c r="D1511" s="14" t="s">
        <v>198</v>
      </c>
      <c r="E1511" s="13" t="s">
        <v>65</v>
      </c>
      <c r="F1511" s="13" t="s">
        <v>614</v>
      </c>
      <c r="G1511" s="13">
        <v>1.07</v>
      </c>
      <c r="H1511" s="15">
        <v>119</v>
      </c>
      <c r="I1511" s="16">
        <v>127.33</v>
      </c>
      <c r="J1511" s="16">
        <v>490</v>
      </c>
      <c r="K1511" s="16">
        <v>-362.67</v>
      </c>
      <c r="L1511" s="13">
        <v>3.78</v>
      </c>
      <c r="M1511" s="13"/>
      <c r="N1511" s="17">
        <f t="shared" si="51"/>
        <v>449.82</v>
      </c>
      <c r="O1511" s="17">
        <f t="shared" si="51"/>
        <v>0</v>
      </c>
      <c r="P1511" s="17">
        <f t="shared" si="50"/>
        <v>449.82</v>
      </c>
      <c r="Q1511" t="str">
        <f>A1511&amp;"-"&amp;B1511&amp;"-"&amp;D1511</f>
        <v>APRIL-MJ1-L8</v>
      </c>
    </row>
    <row r="1512" spans="1:17" x14ac:dyDescent="0.25">
      <c r="A1512" t="s">
        <v>394</v>
      </c>
      <c r="B1512" s="13" t="s">
        <v>25</v>
      </c>
      <c r="C1512" s="13" t="s">
        <v>286</v>
      </c>
      <c r="D1512" s="14" t="s">
        <v>301</v>
      </c>
      <c r="E1512" s="13" t="s">
        <v>58</v>
      </c>
      <c r="F1512" s="13" t="s">
        <v>766</v>
      </c>
      <c r="G1512" s="13">
        <v>3.85</v>
      </c>
      <c r="H1512" s="15">
        <v>532</v>
      </c>
      <c r="I1512" s="16">
        <v>2048.1999999999998</v>
      </c>
      <c r="J1512" s="16">
        <v>4480</v>
      </c>
      <c r="K1512" s="16">
        <v>-2431.8000000000002</v>
      </c>
      <c r="L1512" s="13"/>
      <c r="M1512" s="13">
        <v>3.85</v>
      </c>
      <c r="N1512" s="17">
        <f t="shared" si="51"/>
        <v>0</v>
      </c>
      <c r="O1512" s="17">
        <f t="shared" si="51"/>
        <v>2048.2000000000003</v>
      </c>
      <c r="P1512" s="17">
        <f t="shared" si="50"/>
        <v>2048.2000000000003</v>
      </c>
      <c r="Q1512" t="str">
        <f>A1512&amp;"-"&amp;B1512&amp;"-"&amp;D1512</f>
        <v>APRIL-MJ1-L10</v>
      </c>
    </row>
    <row r="1513" spans="1:17" x14ac:dyDescent="0.25">
      <c r="A1513" t="s">
        <v>394</v>
      </c>
      <c r="B1513" s="13" t="s">
        <v>25</v>
      </c>
      <c r="C1513" s="13" t="s">
        <v>185</v>
      </c>
      <c r="D1513" s="14" t="s">
        <v>44</v>
      </c>
      <c r="E1513" s="13" t="s">
        <v>186</v>
      </c>
      <c r="F1513" s="13" t="s">
        <v>615</v>
      </c>
      <c r="G1513" s="13">
        <v>1.1399999999999999</v>
      </c>
      <c r="H1513" s="15">
        <v>614</v>
      </c>
      <c r="I1513" s="16">
        <v>699.96</v>
      </c>
      <c r="J1513" s="16">
        <v>2327.7419354838712</v>
      </c>
      <c r="K1513" s="16">
        <v>-1627.7819354838709</v>
      </c>
      <c r="L1513" s="13"/>
      <c r="M1513" s="13">
        <v>2.83</v>
      </c>
      <c r="N1513" s="17">
        <f t="shared" si="51"/>
        <v>0</v>
      </c>
      <c r="O1513" s="17">
        <f t="shared" si="51"/>
        <v>1737.6200000000001</v>
      </c>
      <c r="P1513" s="17">
        <f t="shared" si="50"/>
        <v>1737.6200000000001</v>
      </c>
      <c r="Q1513" t="str">
        <f>A1513&amp;"-"&amp;B1513&amp;"-"&amp;D1513</f>
        <v>APRIL-MJ1-L1</v>
      </c>
    </row>
    <row r="1514" spans="1:17" x14ac:dyDescent="0.25">
      <c r="A1514" t="s">
        <v>394</v>
      </c>
      <c r="B1514" s="13" t="s">
        <v>25</v>
      </c>
      <c r="C1514" s="13" t="s">
        <v>185</v>
      </c>
      <c r="D1514" s="14" t="s">
        <v>44</v>
      </c>
      <c r="E1514" s="13" t="s">
        <v>186</v>
      </c>
      <c r="F1514" s="13" t="s">
        <v>616</v>
      </c>
      <c r="G1514" s="13">
        <v>1.18</v>
      </c>
      <c r="H1514" s="15">
        <v>10</v>
      </c>
      <c r="I1514" s="16">
        <v>11.8</v>
      </c>
      <c r="J1514" s="16">
        <v>21.53846153846154</v>
      </c>
      <c r="K1514" s="16">
        <v>-9.7384615384615394</v>
      </c>
      <c r="L1514" s="13"/>
      <c r="M1514" s="13">
        <v>2.85</v>
      </c>
      <c r="N1514" s="17">
        <f t="shared" si="51"/>
        <v>0</v>
      </c>
      <c r="O1514" s="17">
        <f t="shared" si="51"/>
        <v>28.5</v>
      </c>
      <c r="P1514" s="17">
        <f t="shared" si="50"/>
        <v>28.5</v>
      </c>
      <c r="Q1514" t="str">
        <f>A1514&amp;"-"&amp;B1514&amp;"-"&amp;D1514</f>
        <v>APRIL-MJ1-L1</v>
      </c>
    </row>
    <row r="1515" spans="1:17" x14ac:dyDescent="0.25">
      <c r="A1515" t="s">
        <v>394</v>
      </c>
      <c r="B1515" s="13" t="s">
        <v>25</v>
      </c>
      <c r="C1515" s="13" t="s">
        <v>185</v>
      </c>
      <c r="D1515" s="14" t="s">
        <v>44</v>
      </c>
      <c r="E1515" s="13" t="s">
        <v>186</v>
      </c>
      <c r="F1515" s="13" t="s">
        <v>767</v>
      </c>
      <c r="G1515" s="13">
        <v>1.0900000000000001</v>
      </c>
      <c r="H1515" s="15">
        <v>777</v>
      </c>
      <c r="I1515" s="16">
        <v>846.93000000000006</v>
      </c>
      <c r="J1515" s="16">
        <v>1675.2444137784619</v>
      </c>
      <c r="K1515" s="16">
        <v>-828.31441377846181</v>
      </c>
      <c r="L1515" s="13"/>
      <c r="M1515" s="13">
        <v>3.15</v>
      </c>
      <c r="N1515" s="17">
        <f t="shared" si="51"/>
        <v>0</v>
      </c>
      <c r="O1515" s="17">
        <f t="shared" si="51"/>
        <v>2447.5499999999997</v>
      </c>
      <c r="P1515" s="17">
        <f t="shared" si="50"/>
        <v>2447.5499999999997</v>
      </c>
      <c r="Q1515" t="str">
        <f>A1515&amp;"-"&amp;B1515&amp;"-"&amp;D1515</f>
        <v>APRIL-MJ1-L1</v>
      </c>
    </row>
    <row r="1516" spans="1:17" x14ac:dyDescent="0.25">
      <c r="A1516" t="s">
        <v>394</v>
      </c>
      <c r="B1516" s="13" t="s">
        <v>25</v>
      </c>
      <c r="C1516" s="13" t="s">
        <v>185</v>
      </c>
      <c r="D1516" s="14" t="s">
        <v>44</v>
      </c>
      <c r="E1516" s="13" t="s">
        <v>186</v>
      </c>
      <c r="F1516" s="13" t="s">
        <v>618</v>
      </c>
      <c r="G1516" s="13">
        <v>0.96</v>
      </c>
      <c r="H1516" s="15">
        <v>1194</v>
      </c>
      <c r="I1516" s="16">
        <v>1146.24</v>
      </c>
      <c r="J1516" s="16">
        <v>2869.7147542653038</v>
      </c>
      <c r="K1516" s="16">
        <v>-1723.4747542653035</v>
      </c>
      <c r="L1516" s="13">
        <v>2.85</v>
      </c>
      <c r="M1516" s="13"/>
      <c r="N1516" s="17">
        <f t="shared" si="51"/>
        <v>3402.9</v>
      </c>
      <c r="O1516" s="17">
        <f t="shared" si="51"/>
        <v>0</v>
      </c>
      <c r="P1516" s="17">
        <f t="shared" si="50"/>
        <v>3402.9</v>
      </c>
      <c r="Q1516" t="str">
        <f>A1516&amp;"-"&amp;B1516&amp;"-"&amp;D1516</f>
        <v>APRIL-MJ1-L1</v>
      </c>
    </row>
    <row r="1517" spans="1:17" x14ac:dyDescent="0.25">
      <c r="A1517" t="s">
        <v>394</v>
      </c>
      <c r="B1517" s="13" t="s">
        <v>25</v>
      </c>
      <c r="C1517" s="13" t="s">
        <v>185</v>
      </c>
      <c r="D1517" s="14" t="s">
        <v>44</v>
      </c>
      <c r="E1517" s="13" t="s">
        <v>186</v>
      </c>
      <c r="F1517" s="13" t="s">
        <v>768</v>
      </c>
      <c r="G1517" s="13">
        <v>1.1100000000000001</v>
      </c>
      <c r="H1517" s="15">
        <v>1826</v>
      </c>
      <c r="I1517" s="16">
        <v>2026.86</v>
      </c>
      <c r="J1517" s="16">
        <v>3499.5688290311559</v>
      </c>
      <c r="K1517" s="16">
        <v>-1472.7088290311558</v>
      </c>
      <c r="L1517" s="13">
        <v>2.98</v>
      </c>
      <c r="M1517" s="13"/>
      <c r="N1517" s="17">
        <f t="shared" si="51"/>
        <v>5441.48</v>
      </c>
      <c r="O1517" s="17">
        <f t="shared" si="51"/>
        <v>0</v>
      </c>
      <c r="P1517" s="17">
        <f t="shared" si="50"/>
        <v>5441.48</v>
      </c>
      <c r="Q1517" t="str">
        <f>A1517&amp;"-"&amp;B1517&amp;"-"&amp;D1517</f>
        <v>APRIL-MJ1-L1</v>
      </c>
    </row>
    <row r="1518" spans="1:17" x14ac:dyDescent="0.25">
      <c r="A1518" t="s">
        <v>394</v>
      </c>
      <c r="B1518" s="13" t="s">
        <v>25</v>
      </c>
      <c r="C1518" s="13" t="s">
        <v>185</v>
      </c>
      <c r="D1518" s="14" t="s">
        <v>44</v>
      </c>
      <c r="E1518" s="13" t="s">
        <v>191</v>
      </c>
      <c r="F1518" s="13" t="s">
        <v>619</v>
      </c>
      <c r="G1518" s="13">
        <v>1.18</v>
      </c>
      <c r="H1518" s="15">
        <v>15</v>
      </c>
      <c r="I1518" s="16">
        <v>17.7</v>
      </c>
      <c r="J1518" s="16">
        <v>27.317073170731707</v>
      </c>
      <c r="K1518" s="16">
        <v>-9.6170731707317074</v>
      </c>
      <c r="L1518" s="13"/>
      <c r="M1518" s="13">
        <v>2.75</v>
      </c>
      <c r="N1518" s="17">
        <f t="shared" si="51"/>
        <v>0</v>
      </c>
      <c r="O1518" s="17">
        <f t="shared" si="51"/>
        <v>41.25</v>
      </c>
      <c r="P1518" s="17">
        <f t="shared" si="50"/>
        <v>41.25</v>
      </c>
      <c r="Q1518" t="str">
        <f>A1518&amp;"-"&amp;B1518&amp;"-"&amp;D1518</f>
        <v>APRIL-MJ1-L1</v>
      </c>
    </row>
    <row r="1519" spans="1:17" x14ac:dyDescent="0.25">
      <c r="A1519" t="s">
        <v>394</v>
      </c>
      <c r="B1519" s="13" t="s">
        <v>25</v>
      </c>
      <c r="C1519" s="13" t="s">
        <v>185</v>
      </c>
      <c r="D1519" s="14" t="s">
        <v>44</v>
      </c>
      <c r="E1519" s="13" t="s">
        <v>65</v>
      </c>
      <c r="F1519" s="13" t="s">
        <v>769</v>
      </c>
      <c r="G1519" s="13">
        <v>0.55000000000000004</v>
      </c>
      <c r="H1519" s="15">
        <v>788</v>
      </c>
      <c r="I1519" s="16">
        <v>433.4</v>
      </c>
      <c r="J1519" s="16">
        <v>1696.6153846153845</v>
      </c>
      <c r="K1519" s="16">
        <v>-1263.2153846153844</v>
      </c>
      <c r="L1519" s="13">
        <v>1.61</v>
      </c>
      <c r="M1519" s="13"/>
      <c r="N1519" s="17">
        <f t="shared" si="51"/>
        <v>1268.68</v>
      </c>
      <c r="O1519" s="17">
        <f t="shared" si="51"/>
        <v>0</v>
      </c>
      <c r="P1519" s="17">
        <f t="shared" si="50"/>
        <v>1268.68</v>
      </c>
      <c r="Q1519" t="str">
        <f>A1519&amp;"-"&amp;B1519&amp;"-"&amp;D1519</f>
        <v>APRIL-MJ1-L1</v>
      </c>
    </row>
    <row r="1520" spans="1:17" x14ac:dyDescent="0.25">
      <c r="A1520" t="s">
        <v>394</v>
      </c>
      <c r="B1520" s="13" t="s">
        <v>25</v>
      </c>
      <c r="C1520" s="13" t="s">
        <v>185</v>
      </c>
      <c r="D1520" s="14" t="s">
        <v>44</v>
      </c>
      <c r="E1520" s="13" t="s">
        <v>65</v>
      </c>
      <c r="F1520" s="13" t="s">
        <v>770</v>
      </c>
      <c r="G1520" s="13">
        <v>0.55000000000000004</v>
      </c>
      <c r="H1520" s="15">
        <v>723</v>
      </c>
      <c r="I1520" s="16">
        <v>397.65</v>
      </c>
      <c r="J1520" s="16">
        <v>2442.2591481166301</v>
      </c>
      <c r="K1520" s="16">
        <v>-2044.6091481166302</v>
      </c>
      <c r="L1520" s="13">
        <v>1.61</v>
      </c>
      <c r="M1520" s="13"/>
      <c r="N1520" s="17">
        <f t="shared" si="51"/>
        <v>1164.03</v>
      </c>
      <c r="O1520" s="17">
        <f t="shared" si="51"/>
        <v>0</v>
      </c>
      <c r="P1520" s="17">
        <f t="shared" si="50"/>
        <v>1164.03</v>
      </c>
      <c r="Q1520" t="str">
        <f>A1520&amp;"-"&amp;B1520&amp;"-"&amp;D1520</f>
        <v>APRIL-MJ1-L1</v>
      </c>
    </row>
    <row r="1521" spans="1:17" x14ac:dyDescent="0.25">
      <c r="A1521" t="s">
        <v>394</v>
      </c>
      <c r="B1521" s="13" t="s">
        <v>25</v>
      </c>
      <c r="C1521" s="13" t="s">
        <v>185</v>
      </c>
      <c r="D1521" s="14" t="s">
        <v>160</v>
      </c>
      <c r="E1521" s="13" t="s">
        <v>186</v>
      </c>
      <c r="F1521" s="13" t="s">
        <v>767</v>
      </c>
      <c r="G1521" s="13">
        <v>1.0900000000000001</v>
      </c>
      <c r="H1521" s="15">
        <v>795</v>
      </c>
      <c r="I1521" s="16">
        <v>866.55</v>
      </c>
      <c r="J1521" s="16">
        <v>2172.401462819992</v>
      </c>
      <c r="K1521" s="16">
        <v>-1305.8514628199921</v>
      </c>
      <c r="L1521" s="13"/>
      <c r="M1521" s="13">
        <v>3.15</v>
      </c>
      <c r="N1521" s="17">
        <f t="shared" si="51"/>
        <v>0</v>
      </c>
      <c r="O1521" s="17">
        <f t="shared" si="51"/>
        <v>2504.25</v>
      </c>
      <c r="P1521" s="17">
        <f t="shared" si="50"/>
        <v>2504.25</v>
      </c>
      <c r="Q1521" t="str">
        <f>A1521&amp;"-"&amp;B1521&amp;"-"&amp;D1521</f>
        <v>APRIL-MJ1-L5</v>
      </c>
    </row>
    <row r="1522" spans="1:17" x14ac:dyDescent="0.25">
      <c r="A1522" t="s">
        <v>394</v>
      </c>
      <c r="B1522" s="13" t="s">
        <v>25</v>
      </c>
      <c r="C1522" s="13" t="s">
        <v>185</v>
      </c>
      <c r="D1522" s="14" t="s">
        <v>160</v>
      </c>
      <c r="E1522" s="13" t="s">
        <v>186</v>
      </c>
      <c r="F1522" s="13" t="s">
        <v>771</v>
      </c>
      <c r="G1522" s="13">
        <v>1.1599999999999999</v>
      </c>
      <c r="H1522" s="15">
        <v>1566</v>
      </c>
      <c r="I1522" s="16">
        <v>1816.56</v>
      </c>
      <c r="J1522" s="16">
        <v>4080.2131549609812</v>
      </c>
      <c r="K1522" s="16">
        <v>-2263.6531549609808</v>
      </c>
      <c r="L1522" s="13">
        <v>3.08</v>
      </c>
      <c r="M1522" s="13"/>
      <c r="N1522" s="17">
        <f t="shared" si="51"/>
        <v>4823.28</v>
      </c>
      <c r="O1522" s="17">
        <f t="shared" si="51"/>
        <v>0</v>
      </c>
      <c r="P1522" s="17">
        <f t="shared" si="50"/>
        <v>4823.28</v>
      </c>
      <c r="Q1522" t="str">
        <f>A1522&amp;"-"&amp;B1522&amp;"-"&amp;D1522</f>
        <v>APRIL-MJ1-L5</v>
      </c>
    </row>
    <row r="1523" spans="1:17" x14ac:dyDescent="0.25">
      <c r="A1523" t="s">
        <v>394</v>
      </c>
      <c r="B1523" s="13" t="s">
        <v>25</v>
      </c>
      <c r="C1523" s="13" t="s">
        <v>185</v>
      </c>
      <c r="D1523" s="14" t="s">
        <v>160</v>
      </c>
      <c r="E1523" s="13" t="s">
        <v>191</v>
      </c>
      <c r="F1523" s="13" t="s">
        <v>622</v>
      </c>
      <c r="G1523" s="13">
        <v>1.36</v>
      </c>
      <c r="H1523" s="15">
        <v>903</v>
      </c>
      <c r="I1523" s="16">
        <v>1228.08</v>
      </c>
      <c r="J1523" s="16">
        <v>1930.0963792369716</v>
      </c>
      <c r="K1523" s="16">
        <v>-702.01637923697149</v>
      </c>
      <c r="L1523" s="13"/>
      <c r="M1523" s="13">
        <v>2.48</v>
      </c>
      <c r="N1523" s="17">
        <f t="shared" si="51"/>
        <v>0</v>
      </c>
      <c r="O1523" s="17">
        <f t="shared" si="51"/>
        <v>2239.44</v>
      </c>
      <c r="P1523" s="17">
        <f t="shared" si="50"/>
        <v>2239.44</v>
      </c>
      <c r="Q1523" t="str">
        <f>A1523&amp;"-"&amp;B1523&amp;"-"&amp;D1523</f>
        <v>APRIL-MJ1-L5</v>
      </c>
    </row>
    <row r="1524" spans="1:17" x14ac:dyDescent="0.25">
      <c r="A1524" t="s">
        <v>394</v>
      </c>
      <c r="B1524" s="13" t="s">
        <v>25</v>
      </c>
      <c r="C1524" s="13" t="s">
        <v>185</v>
      </c>
      <c r="D1524" s="14" t="s">
        <v>160</v>
      </c>
      <c r="E1524" s="13" t="s">
        <v>191</v>
      </c>
      <c r="F1524" s="13" t="s">
        <v>623</v>
      </c>
      <c r="G1524" s="13">
        <v>1.27</v>
      </c>
      <c r="H1524" s="15">
        <v>37</v>
      </c>
      <c r="I1524" s="16">
        <v>46.99</v>
      </c>
      <c r="J1524" s="16">
        <v>58.281490143668563</v>
      </c>
      <c r="K1524" s="16">
        <v>-11.291490143668559</v>
      </c>
      <c r="L1524" s="13"/>
      <c r="M1524" s="13">
        <v>2.48</v>
      </c>
      <c r="N1524" s="17">
        <f t="shared" si="51"/>
        <v>0</v>
      </c>
      <c r="O1524" s="17">
        <f t="shared" si="51"/>
        <v>91.76</v>
      </c>
      <c r="P1524" s="17">
        <f t="shared" si="50"/>
        <v>91.76</v>
      </c>
      <c r="Q1524" t="str">
        <f>A1524&amp;"-"&amp;B1524&amp;"-"&amp;D1524</f>
        <v>APRIL-MJ1-L5</v>
      </c>
    </row>
    <row r="1525" spans="1:17" x14ac:dyDescent="0.25">
      <c r="A1525" t="s">
        <v>394</v>
      </c>
      <c r="B1525" s="13" t="s">
        <v>25</v>
      </c>
      <c r="C1525" s="13" t="s">
        <v>185</v>
      </c>
      <c r="D1525" s="14" t="s">
        <v>160</v>
      </c>
      <c r="E1525" s="13" t="s">
        <v>191</v>
      </c>
      <c r="F1525" s="13" t="s">
        <v>624</v>
      </c>
      <c r="G1525" s="13">
        <v>1.2699999999999998</v>
      </c>
      <c r="H1525" s="15">
        <v>2119</v>
      </c>
      <c r="I1525" s="16">
        <v>2691.1299999999997</v>
      </c>
      <c r="J1525" s="16">
        <v>3195.2422464292999</v>
      </c>
      <c r="K1525" s="16">
        <v>-504.11224642930006</v>
      </c>
      <c r="L1525" s="13"/>
      <c r="M1525" s="13">
        <v>2.48</v>
      </c>
      <c r="N1525" s="17">
        <f t="shared" si="51"/>
        <v>0</v>
      </c>
      <c r="O1525" s="17">
        <f t="shared" si="51"/>
        <v>5255.12</v>
      </c>
      <c r="P1525" s="17">
        <f t="shared" si="50"/>
        <v>5255.12</v>
      </c>
      <c r="Q1525" t="str">
        <f>A1525&amp;"-"&amp;B1525&amp;"-"&amp;D1525</f>
        <v>APRIL-MJ1-L5</v>
      </c>
    </row>
    <row r="1526" spans="1:17" x14ac:dyDescent="0.25">
      <c r="A1526" t="s">
        <v>394</v>
      </c>
      <c r="B1526" s="13" t="s">
        <v>25</v>
      </c>
      <c r="C1526" s="13" t="s">
        <v>185</v>
      </c>
      <c r="D1526" s="14" t="s">
        <v>160</v>
      </c>
      <c r="E1526" s="13" t="s">
        <v>191</v>
      </c>
      <c r="F1526" s="13" t="s">
        <v>625</v>
      </c>
      <c r="G1526" s="13">
        <v>0.55000000000000004</v>
      </c>
      <c r="H1526" s="15">
        <v>11</v>
      </c>
      <c r="I1526" s="16">
        <v>6.05</v>
      </c>
      <c r="J1526" s="16">
        <v>13.858447488584474</v>
      </c>
      <c r="K1526" s="16">
        <v>-7.8084474885844743</v>
      </c>
      <c r="L1526" s="13"/>
      <c r="M1526" s="13">
        <v>1.61</v>
      </c>
      <c r="N1526" s="17">
        <f t="shared" si="51"/>
        <v>0</v>
      </c>
      <c r="O1526" s="17">
        <f t="shared" si="51"/>
        <v>17.71</v>
      </c>
      <c r="P1526" s="17">
        <f t="shared" si="50"/>
        <v>17.71</v>
      </c>
      <c r="Q1526" t="str">
        <f>A1526&amp;"-"&amp;B1526&amp;"-"&amp;D1526</f>
        <v>APRIL-MJ1-L5</v>
      </c>
    </row>
    <row r="1527" spans="1:17" x14ac:dyDescent="0.25">
      <c r="A1527" t="s">
        <v>394</v>
      </c>
      <c r="B1527" s="13" t="s">
        <v>25</v>
      </c>
      <c r="C1527" s="13" t="s">
        <v>185</v>
      </c>
      <c r="D1527" s="14" t="s">
        <v>160</v>
      </c>
      <c r="E1527" s="13" t="s">
        <v>191</v>
      </c>
      <c r="F1527" s="13" t="s">
        <v>626</v>
      </c>
      <c r="G1527" s="13">
        <v>0.55000000000000004</v>
      </c>
      <c r="H1527" s="15">
        <v>17</v>
      </c>
      <c r="I1527" s="16">
        <v>9.35</v>
      </c>
      <c r="J1527" s="16">
        <v>27.475875199840431</v>
      </c>
      <c r="K1527" s="16">
        <v>-18.125875199840433</v>
      </c>
      <c r="L1527" s="13"/>
      <c r="M1527" s="13">
        <v>1.61</v>
      </c>
      <c r="N1527" s="17">
        <f t="shared" si="51"/>
        <v>0</v>
      </c>
      <c r="O1527" s="17">
        <f t="shared" si="51"/>
        <v>27.37</v>
      </c>
      <c r="P1527" s="17">
        <f t="shared" si="50"/>
        <v>27.37</v>
      </c>
      <c r="Q1527" t="str">
        <f>A1527&amp;"-"&amp;B1527&amp;"-"&amp;D1527</f>
        <v>APRIL-MJ1-L5</v>
      </c>
    </row>
    <row r="1528" spans="1:17" x14ac:dyDescent="0.25">
      <c r="A1528" t="s">
        <v>394</v>
      </c>
      <c r="B1528" s="13" t="s">
        <v>25</v>
      </c>
      <c r="C1528" s="13" t="s">
        <v>185</v>
      </c>
      <c r="D1528" s="14" t="s">
        <v>160</v>
      </c>
      <c r="E1528" s="13" t="s">
        <v>191</v>
      </c>
      <c r="F1528" s="13" t="s">
        <v>627</v>
      </c>
      <c r="G1528" s="13">
        <v>0.55000000000000004</v>
      </c>
      <c r="H1528" s="15">
        <v>22</v>
      </c>
      <c r="I1528" s="16">
        <v>12.100000000000001</v>
      </c>
      <c r="J1528" s="16">
        <v>36.470615042473291</v>
      </c>
      <c r="K1528" s="16">
        <v>-24.370615042473293</v>
      </c>
      <c r="L1528" s="13"/>
      <c r="M1528" s="13">
        <v>1.61</v>
      </c>
      <c r="N1528" s="17">
        <f t="shared" si="51"/>
        <v>0</v>
      </c>
      <c r="O1528" s="17">
        <f t="shared" si="51"/>
        <v>35.42</v>
      </c>
      <c r="P1528" s="17">
        <f t="shared" si="50"/>
        <v>35.42</v>
      </c>
      <c r="Q1528" t="str">
        <f>A1528&amp;"-"&amp;B1528&amp;"-"&amp;D1528</f>
        <v>APRIL-MJ1-L5</v>
      </c>
    </row>
    <row r="1529" spans="1:17" x14ac:dyDescent="0.25">
      <c r="A1529" t="s">
        <v>394</v>
      </c>
      <c r="B1529" s="13" t="s">
        <v>25</v>
      </c>
      <c r="C1529" s="13" t="s">
        <v>185</v>
      </c>
      <c r="D1529" s="14" t="s">
        <v>160</v>
      </c>
      <c r="E1529" s="13" t="s">
        <v>191</v>
      </c>
      <c r="F1529" s="13" t="s">
        <v>628</v>
      </c>
      <c r="G1529" s="13">
        <v>1.37</v>
      </c>
      <c r="H1529" s="15">
        <v>814</v>
      </c>
      <c r="I1529" s="16">
        <v>1115.18</v>
      </c>
      <c r="J1529" s="16">
        <v>1278.8361845648164</v>
      </c>
      <c r="K1529" s="16">
        <v>-163.65618456481647</v>
      </c>
      <c r="L1529" s="13"/>
      <c r="M1529" s="13">
        <v>2.62</v>
      </c>
      <c r="N1529" s="17">
        <f t="shared" si="51"/>
        <v>0</v>
      </c>
      <c r="O1529" s="17">
        <f t="shared" si="51"/>
        <v>2132.6800000000003</v>
      </c>
      <c r="P1529" s="17">
        <f t="shared" si="50"/>
        <v>2132.6800000000003</v>
      </c>
      <c r="Q1529" t="str">
        <f>A1529&amp;"-"&amp;B1529&amp;"-"&amp;D1529</f>
        <v>APRIL-MJ1-L5</v>
      </c>
    </row>
    <row r="1530" spans="1:17" x14ac:dyDescent="0.25">
      <c r="A1530" t="s">
        <v>394</v>
      </c>
      <c r="B1530" s="13" t="s">
        <v>25</v>
      </c>
      <c r="C1530" s="13" t="s">
        <v>185</v>
      </c>
      <c r="D1530" s="14" t="s">
        <v>160</v>
      </c>
      <c r="E1530" s="13" t="s">
        <v>191</v>
      </c>
      <c r="F1530" s="13" t="s">
        <v>490</v>
      </c>
      <c r="G1530" s="13">
        <v>1.33</v>
      </c>
      <c r="H1530" s="15">
        <v>106</v>
      </c>
      <c r="I1530" s="16">
        <v>140.98000000000002</v>
      </c>
      <c r="J1530" s="16">
        <v>179.73876189434543</v>
      </c>
      <c r="K1530" s="16">
        <v>-38.758761894345405</v>
      </c>
      <c r="L1530" s="13"/>
      <c r="M1530" s="13">
        <v>2.5499999999999998</v>
      </c>
      <c r="N1530" s="17">
        <f t="shared" si="51"/>
        <v>0</v>
      </c>
      <c r="O1530" s="17">
        <f t="shared" si="51"/>
        <v>270.29999999999995</v>
      </c>
      <c r="P1530" s="17">
        <f t="shared" si="50"/>
        <v>270.29999999999995</v>
      </c>
      <c r="Q1530" t="str">
        <f>A1530&amp;"-"&amp;B1530&amp;"-"&amp;D1530</f>
        <v>APRIL-MJ1-L5</v>
      </c>
    </row>
    <row r="1531" spans="1:17" x14ac:dyDescent="0.25">
      <c r="A1531" t="s">
        <v>394</v>
      </c>
      <c r="B1531" s="13" t="s">
        <v>25</v>
      </c>
      <c r="C1531" s="13" t="s">
        <v>185</v>
      </c>
      <c r="D1531" s="14" t="s">
        <v>160</v>
      </c>
      <c r="E1531" s="13" t="s">
        <v>65</v>
      </c>
      <c r="F1531" s="13" t="s">
        <v>772</v>
      </c>
      <c r="G1531" s="13">
        <v>0.55000000000000004</v>
      </c>
      <c r="H1531" s="15">
        <v>750</v>
      </c>
      <c r="I1531" s="16">
        <v>412.49999999999994</v>
      </c>
      <c r="J1531" s="16">
        <v>1587.3853822190272</v>
      </c>
      <c r="K1531" s="16">
        <v>-1174.8853822190272</v>
      </c>
      <c r="L1531" s="13">
        <v>1.61</v>
      </c>
      <c r="M1531" s="13"/>
      <c r="N1531" s="17">
        <f t="shared" si="51"/>
        <v>1207.5</v>
      </c>
      <c r="O1531" s="17">
        <f t="shared" si="51"/>
        <v>0</v>
      </c>
      <c r="P1531" s="17">
        <f t="shared" si="50"/>
        <v>1207.5</v>
      </c>
      <c r="Q1531" t="str">
        <f>A1531&amp;"-"&amp;B1531&amp;"-"&amp;D1531</f>
        <v>APRIL-MJ1-L5</v>
      </c>
    </row>
    <row r="1532" spans="1:17" x14ac:dyDescent="0.25">
      <c r="A1532" t="s">
        <v>394</v>
      </c>
      <c r="B1532" s="13" t="s">
        <v>25</v>
      </c>
      <c r="C1532" s="13" t="s">
        <v>43</v>
      </c>
      <c r="D1532" s="14" t="s">
        <v>301</v>
      </c>
      <c r="E1532" s="13" t="s">
        <v>71</v>
      </c>
      <c r="F1532" s="13" t="s">
        <v>629</v>
      </c>
      <c r="G1532" s="13">
        <v>4.12</v>
      </c>
      <c r="H1532" s="15">
        <v>8</v>
      </c>
      <c r="I1532" s="16">
        <v>32.96</v>
      </c>
      <c r="J1532" s="16">
        <v>7.2910094242305883</v>
      </c>
      <c r="K1532" s="16">
        <v>25.668990575769413</v>
      </c>
      <c r="L1532" s="13"/>
      <c r="M1532" s="13">
        <v>3.65</v>
      </c>
      <c r="N1532" s="17">
        <f t="shared" si="51"/>
        <v>0</v>
      </c>
      <c r="O1532" s="17">
        <f t="shared" si="51"/>
        <v>29.2</v>
      </c>
      <c r="P1532" s="17">
        <f t="shared" si="50"/>
        <v>29.2</v>
      </c>
      <c r="Q1532" t="str">
        <f>A1532&amp;"-"&amp;B1532&amp;"-"&amp;D1532</f>
        <v>APRIL-MJ1-L10</v>
      </c>
    </row>
    <row r="1533" spans="1:17" x14ac:dyDescent="0.25">
      <c r="A1533" t="s">
        <v>394</v>
      </c>
      <c r="B1533" s="13" t="s">
        <v>25</v>
      </c>
      <c r="C1533" s="13" t="s">
        <v>43</v>
      </c>
      <c r="D1533" s="14" t="s">
        <v>287</v>
      </c>
      <c r="E1533" s="13" t="s">
        <v>179</v>
      </c>
      <c r="F1533" s="13" t="s">
        <v>630</v>
      </c>
      <c r="G1533" s="13">
        <v>3.6</v>
      </c>
      <c r="H1533" s="15">
        <v>316</v>
      </c>
      <c r="I1533" s="16">
        <v>1137.5999999999999</v>
      </c>
      <c r="J1533" s="16">
        <v>1276.96</v>
      </c>
      <c r="K1533" s="16">
        <v>-139.35999999999999</v>
      </c>
      <c r="L1533" s="13"/>
      <c r="M1533" s="13">
        <v>3.75</v>
      </c>
      <c r="N1533" s="17">
        <f t="shared" si="51"/>
        <v>0</v>
      </c>
      <c r="O1533" s="17">
        <f t="shared" si="51"/>
        <v>1185</v>
      </c>
      <c r="P1533" s="17">
        <f t="shared" si="50"/>
        <v>1185</v>
      </c>
      <c r="Q1533" t="str">
        <f>A1533&amp;"-"&amp;B1533&amp;"-"&amp;D1533</f>
        <v>APRIL-MJ1-L11</v>
      </c>
    </row>
    <row r="1534" spans="1:17" x14ac:dyDescent="0.25">
      <c r="A1534" t="s">
        <v>394</v>
      </c>
      <c r="B1534" s="13" t="s">
        <v>25</v>
      </c>
      <c r="C1534" s="13" t="s">
        <v>43</v>
      </c>
      <c r="D1534" s="14" t="s">
        <v>287</v>
      </c>
      <c r="E1534" s="13" t="s">
        <v>179</v>
      </c>
      <c r="F1534" s="13" t="s">
        <v>773</v>
      </c>
      <c r="G1534" s="13">
        <v>3.6000000000000005</v>
      </c>
      <c r="H1534" s="15">
        <v>1878</v>
      </c>
      <c r="I1534" s="16">
        <v>6760.8</v>
      </c>
      <c r="J1534" s="16">
        <v>8033.6</v>
      </c>
      <c r="K1534" s="16">
        <v>-1272.8</v>
      </c>
      <c r="L1534" s="13"/>
      <c r="M1534" s="13">
        <v>3.75</v>
      </c>
      <c r="N1534" s="17">
        <f t="shared" si="51"/>
        <v>0</v>
      </c>
      <c r="O1534" s="17">
        <f t="shared" si="51"/>
        <v>7042.5</v>
      </c>
      <c r="P1534" s="17">
        <f t="shared" si="50"/>
        <v>7042.5</v>
      </c>
      <c r="Q1534" t="str">
        <f>A1534&amp;"-"&amp;B1534&amp;"-"&amp;D1534</f>
        <v>APRIL-MJ1-L11</v>
      </c>
    </row>
    <row r="1535" spans="1:17" x14ac:dyDescent="0.25">
      <c r="A1535" t="s">
        <v>394</v>
      </c>
      <c r="B1535" s="13" t="s">
        <v>25</v>
      </c>
      <c r="C1535" s="13" t="s">
        <v>43</v>
      </c>
      <c r="D1535" s="14" t="s">
        <v>287</v>
      </c>
      <c r="E1535" s="13" t="s">
        <v>179</v>
      </c>
      <c r="F1535" s="13" t="s">
        <v>631</v>
      </c>
      <c r="G1535" s="13">
        <v>3.6000000000000005</v>
      </c>
      <c r="H1535" s="15">
        <v>559</v>
      </c>
      <c r="I1535" s="16">
        <v>2012.3999999999999</v>
      </c>
      <c r="J1535" s="16">
        <v>2240.8000000000002</v>
      </c>
      <c r="K1535" s="16">
        <v>-228.40000000000006</v>
      </c>
      <c r="L1535" s="13"/>
      <c r="M1535" s="13">
        <v>3.75</v>
      </c>
      <c r="N1535" s="17">
        <f t="shared" si="51"/>
        <v>0</v>
      </c>
      <c r="O1535" s="17">
        <f t="shared" si="51"/>
        <v>2096.25</v>
      </c>
      <c r="P1535" s="17">
        <f t="shared" si="50"/>
        <v>2096.25</v>
      </c>
      <c r="Q1535" t="str">
        <f>A1535&amp;"-"&amp;B1535&amp;"-"&amp;D1535</f>
        <v>APRIL-MJ1-L11</v>
      </c>
    </row>
    <row r="1536" spans="1:17" x14ac:dyDescent="0.25">
      <c r="A1536" t="s">
        <v>394</v>
      </c>
      <c r="B1536" s="13" t="s">
        <v>25</v>
      </c>
      <c r="C1536" s="13" t="s">
        <v>43</v>
      </c>
      <c r="D1536" s="14" t="s">
        <v>287</v>
      </c>
      <c r="E1536" s="13" t="s">
        <v>179</v>
      </c>
      <c r="F1536" s="13" t="s">
        <v>774</v>
      </c>
      <c r="G1536" s="13">
        <v>3.6</v>
      </c>
      <c r="H1536" s="15">
        <v>726</v>
      </c>
      <c r="I1536" s="16">
        <v>2613.6</v>
      </c>
      <c r="J1536" s="16">
        <v>3008.64</v>
      </c>
      <c r="K1536" s="16">
        <v>-395.04000000000008</v>
      </c>
      <c r="L1536" s="13"/>
      <c r="M1536" s="13">
        <v>3.75</v>
      </c>
      <c r="N1536" s="17">
        <f t="shared" si="51"/>
        <v>0</v>
      </c>
      <c r="O1536" s="17">
        <f t="shared" si="51"/>
        <v>2722.5</v>
      </c>
      <c r="P1536" s="17">
        <f t="shared" si="50"/>
        <v>2722.5</v>
      </c>
      <c r="Q1536" t="str">
        <f>A1536&amp;"-"&amp;B1536&amp;"-"&amp;D1536</f>
        <v>APRIL-MJ1-L11</v>
      </c>
    </row>
    <row r="1537" spans="1:17" x14ac:dyDescent="0.25">
      <c r="A1537" t="s">
        <v>394</v>
      </c>
      <c r="B1537" s="13" t="s">
        <v>25</v>
      </c>
      <c r="C1537" s="13" t="s">
        <v>43</v>
      </c>
      <c r="D1537" s="14" t="s">
        <v>163</v>
      </c>
      <c r="E1537" s="13" t="s">
        <v>71</v>
      </c>
      <c r="F1537" s="13" t="s">
        <v>775</v>
      </c>
      <c r="G1537" s="13">
        <v>3.37</v>
      </c>
      <c r="H1537" s="15">
        <v>498</v>
      </c>
      <c r="I1537" s="16">
        <v>1678.26</v>
      </c>
      <c r="J1537" s="16">
        <v>4000</v>
      </c>
      <c r="K1537" s="16">
        <v>-2321.7399999999998</v>
      </c>
      <c r="L1537" s="13"/>
      <c r="M1537" s="13">
        <v>4.07</v>
      </c>
      <c r="N1537" s="17">
        <f t="shared" si="51"/>
        <v>0</v>
      </c>
      <c r="O1537" s="17">
        <f t="shared" si="51"/>
        <v>2026.8600000000001</v>
      </c>
      <c r="P1537" s="17">
        <f t="shared" si="50"/>
        <v>2026.8600000000001</v>
      </c>
      <c r="Q1537" t="str">
        <f>A1537&amp;"-"&amp;B1537&amp;"-"&amp;D1537</f>
        <v>APRIL-MJ1-L6</v>
      </c>
    </row>
    <row r="1538" spans="1:17" x14ac:dyDescent="0.25">
      <c r="A1538" t="s">
        <v>394</v>
      </c>
      <c r="B1538" s="13" t="s">
        <v>25</v>
      </c>
      <c r="C1538" s="13" t="s">
        <v>43</v>
      </c>
      <c r="D1538" s="14" t="s">
        <v>163</v>
      </c>
      <c r="E1538" s="13" t="s">
        <v>58</v>
      </c>
      <c r="F1538" s="13" t="s">
        <v>632</v>
      </c>
      <c r="G1538" s="13">
        <v>3.92</v>
      </c>
      <c r="H1538" s="15">
        <v>3</v>
      </c>
      <c r="I1538" s="16">
        <v>11.76</v>
      </c>
      <c r="J1538" s="16">
        <v>42</v>
      </c>
      <c r="K1538" s="16">
        <v>-30.240000000000002</v>
      </c>
      <c r="L1538" s="13"/>
      <c r="M1538" s="13">
        <v>2.25</v>
      </c>
      <c r="N1538" s="17">
        <f t="shared" si="51"/>
        <v>0</v>
      </c>
      <c r="O1538" s="17">
        <f t="shared" si="51"/>
        <v>6.75</v>
      </c>
      <c r="P1538" s="17">
        <f t="shared" ref="P1538:P1601" si="52">N1538+O1538</f>
        <v>6.75</v>
      </c>
      <c r="Q1538" t="str">
        <f>A1538&amp;"-"&amp;B1538&amp;"-"&amp;D1538</f>
        <v>APRIL-MJ1-L6</v>
      </c>
    </row>
    <row r="1539" spans="1:17" x14ac:dyDescent="0.25">
      <c r="A1539" t="s">
        <v>394</v>
      </c>
      <c r="B1539" s="13" t="s">
        <v>25</v>
      </c>
      <c r="C1539" s="13" t="s">
        <v>43</v>
      </c>
      <c r="D1539" s="14" t="s">
        <v>163</v>
      </c>
      <c r="E1539" s="13" t="s">
        <v>179</v>
      </c>
      <c r="F1539" s="13" t="s">
        <v>308</v>
      </c>
      <c r="G1539" s="13">
        <v>2.85</v>
      </c>
      <c r="H1539" s="15">
        <v>1</v>
      </c>
      <c r="I1539" s="16">
        <v>2.85</v>
      </c>
      <c r="J1539" s="16">
        <v>160</v>
      </c>
      <c r="K1539" s="16">
        <v>-157.15</v>
      </c>
      <c r="L1539" s="13"/>
      <c r="M1539" s="13">
        <v>2.9</v>
      </c>
      <c r="N1539" s="17">
        <f t="shared" si="51"/>
        <v>0</v>
      </c>
      <c r="O1539" s="17">
        <f t="shared" si="51"/>
        <v>2.9</v>
      </c>
      <c r="P1539" s="17">
        <f t="shared" si="52"/>
        <v>2.9</v>
      </c>
      <c r="Q1539" t="str">
        <f>A1539&amp;"-"&amp;B1539&amp;"-"&amp;D1539</f>
        <v>APRIL-MJ1-L6</v>
      </c>
    </row>
    <row r="1540" spans="1:17" x14ac:dyDescent="0.25">
      <c r="A1540" t="s">
        <v>394</v>
      </c>
      <c r="B1540" s="13" t="s">
        <v>25</v>
      </c>
      <c r="C1540" s="13" t="s">
        <v>43</v>
      </c>
      <c r="D1540" s="14" t="s">
        <v>163</v>
      </c>
      <c r="E1540" s="13" t="s">
        <v>179</v>
      </c>
      <c r="F1540" s="13" t="s">
        <v>776</v>
      </c>
      <c r="G1540" s="13">
        <v>3.2</v>
      </c>
      <c r="H1540" s="15">
        <v>627</v>
      </c>
      <c r="I1540" s="16">
        <v>2006.4</v>
      </c>
      <c r="J1540" s="16">
        <v>4660</v>
      </c>
      <c r="K1540" s="16">
        <v>-2653.6</v>
      </c>
      <c r="L1540" s="13"/>
      <c r="M1540" s="13">
        <v>3.35</v>
      </c>
      <c r="N1540" s="17">
        <f t="shared" si="51"/>
        <v>0</v>
      </c>
      <c r="O1540" s="17">
        <f t="shared" si="51"/>
        <v>2100.4500000000003</v>
      </c>
      <c r="P1540" s="17">
        <f t="shared" si="52"/>
        <v>2100.4500000000003</v>
      </c>
      <c r="Q1540" t="str">
        <f>A1540&amp;"-"&amp;B1540&amp;"-"&amp;D1540</f>
        <v>APRIL-MJ1-L6</v>
      </c>
    </row>
    <row r="1541" spans="1:17" x14ac:dyDescent="0.25">
      <c r="A1541" t="s">
        <v>394</v>
      </c>
      <c r="B1541" s="13" t="s">
        <v>25</v>
      </c>
      <c r="C1541" s="13" t="s">
        <v>43</v>
      </c>
      <c r="D1541" s="14" t="s">
        <v>163</v>
      </c>
      <c r="E1541" s="13" t="s">
        <v>179</v>
      </c>
      <c r="F1541" s="13" t="s">
        <v>491</v>
      </c>
      <c r="G1541" s="13">
        <v>2.85</v>
      </c>
      <c r="H1541" s="15">
        <v>50</v>
      </c>
      <c r="I1541" s="16">
        <v>142.5</v>
      </c>
      <c r="J1541" s="16">
        <v>203.94029850746267</v>
      </c>
      <c r="K1541" s="16">
        <v>-61.440298507462686</v>
      </c>
      <c r="L1541" s="13"/>
      <c r="M1541" s="13">
        <v>2.9</v>
      </c>
      <c r="N1541" s="17">
        <f t="shared" si="51"/>
        <v>0</v>
      </c>
      <c r="O1541" s="17">
        <f t="shared" si="51"/>
        <v>145</v>
      </c>
      <c r="P1541" s="17">
        <f t="shared" si="52"/>
        <v>145</v>
      </c>
      <c r="Q1541" t="str">
        <f>A1541&amp;"-"&amp;B1541&amp;"-"&amp;D1541</f>
        <v>APRIL-MJ1-L6</v>
      </c>
    </row>
    <row r="1542" spans="1:17" x14ac:dyDescent="0.25">
      <c r="A1542" t="s">
        <v>394</v>
      </c>
      <c r="B1542" s="13" t="s">
        <v>25</v>
      </c>
      <c r="C1542" s="13" t="s">
        <v>43</v>
      </c>
      <c r="D1542" s="14" t="s">
        <v>163</v>
      </c>
      <c r="E1542" s="13" t="s">
        <v>179</v>
      </c>
      <c r="F1542" s="13" t="s">
        <v>630</v>
      </c>
      <c r="G1542" s="13">
        <v>3.6</v>
      </c>
      <c r="H1542" s="15">
        <v>504</v>
      </c>
      <c r="I1542" s="16">
        <v>1814.4</v>
      </c>
      <c r="J1542" s="16">
        <v>2016</v>
      </c>
      <c r="K1542" s="16">
        <v>-201.60000000000002</v>
      </c>
      <c r="L1542" s="13"/>
      <c r="M1542" s="13">
        <v>3.75</v>
      </c>
      <c r="N1542" s="17">
        <f t="shared" si="51"/>
        <v>0</v>
      </c>
      <c r="O1542" s="17">
        <f t="shared" si="51"/>
        <v>1890</v>
      </c>
      <c r="P1542" s="17">
        <f t="shared" si="52"/>
        <v>1890</v>
      </c>
      <c r="Q1542" t="str">
        <f>A1542&amp;"-"&amp;B1542&amp;"-"&amp;D1542</f>
        <v>APRIL-MJ1-L6</v>
      </c>
    </row>
    <row r="1543" spans="1:17" x14ac:dyDescent="0.25">
      <c r="A1543" t="s">
        <v>394</v>
      </c>
      <c r="B1543" s="13" t="s">
        <v>25</v>
      </c>
      <c r="C1543" s="13" t="s">
        <v>43</v>
      </c>
      <c r="D1543" s="14" t="s">
        <v>163</v>
      </c>
      <c r="E1543" s="13" t="s">
        <v>179</v>
      </c>
      <c r="F1543" s="13" t="s">
        <v>774</v>
      </c>
      <c r="G1543" s="13">
        <v>3.6</v>
      </c>
      <c r="H1543" s="15">
        <v>745</v>
      </c>
      <c r="I1543" s="16">
        <v>2682</v>
      </c>
      <c r="J1543" s="16">
        <v>3478.059701492537</v>
      </c>
      <c r="K1543" s="16">
        <v>-796.05970149253699</v>
      </c>
      <c r="L1543" s="13"/>
      <c r="M1543" s="13">
        <v>3.75</v>
      </c>
      <c r="N1543" s="17">
        <f t="shared" si="51"/>
        <v>0</v>
      </c>
      <c r="O1543" s="17">
        <f t="shared" si="51"/>
        <v>2793.75</v>
      </c>
      <c r="P1543" s="17">
        <f t="shared" si="52"/>
        <v>2793.75</v>
      </c>
      <c r="Q1543" t="str">
        <f>A1543&amp;"-"&amp;B1543&amp;"-"&amp;D1543</f>
        <v>APRIL-MJ1-L6</v>
      </c>
    </row>
    <row r="1544" spans="1:17" x14ac:dyDescent="0.25">
      <c r="A1544" t="s">
        <v>394</v>
      </c>
      <c r="B1544" s="13" t="s">
        <v>25</v>
      </c>
      <c r="C1544" s="13" t="s">
        <v>43</v>
      </c>
      <c r="D1544" s="14" t="s">
        <v>164</v>
      </c>
      <c r="E1544" s="13" t="s">
        <v>302</v>
      </c>
      <c r="F1544" s="13" t="s">
        <v>304</v>
      </c>
      <c r="G1544" s="13">
        <v>2.8799999999999994</v>
      </c>
      <c r="H1544" s="15">
        <v>2161</v>
      </c>
      <c r="I1544" s="16">
        <v>6223.68</v>
      </c>
      <c r="J1544" s="16">
        <v>5527.8594238573005</v>
      </c>
      <c r="K1544" s="16">
        <v>695.82057614270002</v>
      </c>
      <c r="L1544" s="13"/>
      <c r="M1544" s="13">
        <v>3</v>
      </c>
      <c r="N1544" s="17">
        <f t="shared" si="51"/>
        <v>0</v>
      </c>
      <c r="O1544" s="17">
        <f t="shared" si="51"/>
        <v>6483</v>
      </c>
      <c r="P1544" s="17">
        <f t="shared" si="52"/>
        <v>6483</v>
      </c>
      <c r="Q1544" t="str">
        <f>A1544&amp;"-"&amp;B1544&amp;"-"&amp;D1544</f>
        <v>APRIL-MJ1-L7</v>
      </c>
    </row>
    <row r="1545" spans="1:17" x14ac:dyDescent="0.25">
      <c r="A1545" t="s">
        <v>394</v>
      </c>
      <c r="B1545" s="13" t="s">
        <v>25</v>
      </c>
      <c r="C1545" s="13" t="s">
        <v>43</v>
      </c>
      <c r="D1545" s="14" t="s">
        <v>164</v>
      </c>
      <c r="E1545" s="13" t="s">
        <v>305</v>
      </c>
      <c r="F1545" s="13" t="s">
        <v>306</v>
      </c>
      <c r="G1545" s="13">
        <v>2.7800000000000002</v>
      </c>
      <c r="H1545" s="15">
        <v>966</v>
      </c>
      <c r="I1545" s="16">
        <v>2685.48</v>
      </c>
      <c r="J1545" s="16">
        <v>2706.9607200275923</v>
      </c>
      <c r="K1545" s="16">
        <v>-21.480720027592138</v>
      </c>
      <c r="L1545" s="13"/>
      <c r="M1545" s="13">
        <v>2.9</v>
      </c>
      <c r="N1545" s="17">
        <f t="shared" si="51"/>
        <v>0</v>
      </c>
      <c r="O1545" s="17">
        <f t="shared" si="51"/>
        <v>2801.4</v>
      </c>
      <c r="P1545" s="17">
        <f t="shared" si="52"/>
        <v>2801.4</v>
      </c>
      <c r="Q1545" t="str">
        <f>A1545&amp;"-"&amp;B1545&amp;"-"&amp;D1545</f>
        <v>APRIL-MJ1-L7</v>
      </c>
    </row>
    <row r="1546" spans="1:17" x14ac:dyDescent="0.25">
      <c r="A1546" t="s">
        <v>394</v>
      </c>
      <c r="B1546" s="13" t="s">
        <v>25</v>
      </c>
      <c r="C1546" s="13" t="s">
        <v>329</v>
      </c>
      <c r="D1546" s="14" t="s">
        <v>56</v>
      </c>
      <c r="E1546" s="13" t="s">
        <v>71</v>
      </c>
      <c r="F1546" s="13" t="s">
        <v>333</v>
      </c>
      <c r="G1546" s="13">
        <v>5</v>
      </c>
      <c r="H1546" s="15">
        <v>3802</v>
      </c>
      <c r="I1546" s="16">
        <v>19010</v>
      </c>
      <c r="J1546" s="16">
        <v>14560</v>
      </c>
      <c r="K1546" s="16">
        <v>4450</v>
      </c>
      <c r="L1546" s="13"/>
      <c r="M1546" s="13">
        <v>6.95</v>
      </c>
      <c r="N1546" s="17">
        <f t="shared" si="51"/>
        <v>0</v>
      </c>
      <c r="O1546" s="17">
        <f t="shared" si="51"/>
        <v>26423.9</v>
      </c>
      <c r="P1546" s="17">
        <f t="shared" si="52"/>
        <v>26423.9</v>
      </c>
      <c r="Q1546" t="str">
        <f>A1546&amp;"-"&amp;B1546&amp;"-"&amp;D1546</f>
        <v>APRIL-MJ1-L3</v>
      </c>
    </row>
    <row r="1547" spans="1:17" x14ac:dyDescent="0.25">
      <c r="A1547" t="s">
        <v>394</v>
      </c>
      <c r="B1547" s="13" t="s">
        <v>25</v>
      </c>
      <c r="C1547" s="13" t="s">
        <v>329</v>
      </c>
      <c r="D1547" s="14" t="s">
        <v>158</v>
      </c>
      <c r="E1547" s="13" t="s">
        <v>71</v>
      </c>
      <c r="F1547" s="13" t="s">
        <v>333</v>
      </c>
      <c r="G1547" s="13">
        <v>5</v>
      </c>
      <c r="H1547" s="15">
        <v>3821</v>
      </c>
      <c r="I1547" s="16">
        <v>19105</v>
      </c>
      <c r="J1547" s="16">
        <v>14560</v>
      </c>
      <c r="K1547" s="16">
        <v>4545</v>
      </c>
      <c r="L1547" s="13"/>
      <c r="M1547" s="13">
        <v>6.95</v>
      </c>
      <c r="N1547" s="17">
        <f t="shared" si="51"/>
        <v>0</v>
      </c>
      <c r="O1547" s="17">
        <f t="shared" si="51"/>
        <v>26555.95</v>
      </c>
      <c r="P1547" s="17">
        <f t="shared" si="52"/>
        <v>26555.95</v>
      </c>
      <c r="Q1547" t="str">
        <f>A1547&amp;"-"&amp;B1547&amp;"-"&amp;D1547</f>
        <v>APRIL-MJ1-L4</v>
      </c>
    </row>
    <row r="1548" spans="1:17" x14ac:dyDescent="0.25">
      <c r="A1548" t="s">
        <v>394</v>
      </c>
      <c r="B1548" s="13" t="s">
        <v>26</v>
      </c>
      <c r="C1548" s="13" t="s">
        <v>226</v>
      </c>
      <c r="D1548" s="14" t="s">
        <v>301</v>
      </c>
      <c r="E1548" s="13" t="s">
        <v>61</v>
      </c>
      <c r="F1548" s="13" t="s">
        <v>634</v>
      </c>
      <c r="G1548" s="13">
        <v>0.66</v>
      </c>
      <c r="H1548" s="15">
        <v>5206</v>
      </c>
      <c r="I1548" s="16">
        <v>3435.96</v>
      </c>
      <c r="J1548" s="16">
        <v>2645.6235600576629</v>
      </c>
      <c r="K1548" s="16">
        <v>790.33643994233705</v>
      </c>
      <c r="L1548" s="13">
        <v>1.71</v>
      </c>
      <c r="M1548" s="13"/>
      <c r="N1548" s="17">
        <f t="shared" si="51"/>
        <v>8902.26</v>
      </c>
      <c r="O1548" s="17">
        <f t="shared" si="51"/>
        <v>0</v>
      </c>
      <c r="P1548" s="17">
        <f t="shared" si="52"/>
        <v>8902.26</v>
      </c>
      <c r="Q1548" t="str">
        <f>A1548&amp;"-"&amp;B1548&amp;"-"&amp;D1548</f>
        <v>APRIL-MJ2-L10</v>
      </c>
    </row>
    <row r="1549" spans="1:17" x14ac:dyDescent="0.25">
      <c r="A1549" t="s">
        <v>394</v>
      </c>
      <c r="B1549" s="13" t="s">
        <v>26</v>
      </c>
      <c r="C1549" s="13" t="s">
        <v>226</v>
      </c>
      <c r="D1549" s="14" t="s">
        <v>301</v>
      </c>
      <c r="E1549" s="13" t="s">
        <v>61</v>
      </c>
      <c r="F1549" s="13" t="s">
        <v>777</v>
      </c>
      <c r="G1549" s="13">
        <v>0.64</v>
      </c>
      <c r="H1549" s="15">
        <v>936</v>
      </c>
      <c r="I1549" s="16">
        <v>599.04</v>
      </c>
      <c r="J1549" s="16">
        <v>548.36926984126978</v>
      </c>
      <c r="K1549" s="16">
        <v>50.670730158730166</v>
      </c>
      <c r="L1549" s="13">
        <v>1.85</v>
      </c>
      <c r="M1549" s="13"/>
      <c r="N1549" s="17">
        <f t="shared" si="51"/>
        <v>1731.6000000000001</v>
      </c>
      <c r="O1549" s="17">
        <f t="shared" si="51"/>
        <v>0</v>
      </c>
      <c r="P1549" s="17">
        <f t="shared" si="52"/>
        <v>1731.6000000000001</v>
      </c>
      <c r="Q1549" t="str">
        <f>A1549&amp;"-"&amp;B1549&amp;"-"&amp;D1549</f>
        <v>APRIL-MJ2-L10</v>
      </c>
    </row>
    <row r="1550" spans="1:17" x14ac:dyDescent="0.25">
      <c r="A1550" t="s">
        <v>394</v>
      </c>
      <c r="B1550" s="13" t="s">
        <v>26</v>
      </c>
      <c r="C1550" s="13" t="s">
        <v>226</v>
      </c>
      <c r="D1550" s="14" t="s">
        <v>301</v>
      </c>
      <c r="E1550" s="13" t="s">
        <v>61</v>
      </c>
      <c r="F1550" s="13" t="s">
        <v>635</v>
      </c>
      <c r="G1550" s="13">
        <v>0.7</v>
      </c>
      <c r="H1550" s="15">
        <v>78</v>
      </c>
      <c r="I1550" s="16">
        <v>54.6</v>
      </c>
      <c r="J1550" s="16">
        <v>38.56539589442815</v>
      </c>
      <c r="K1550" s="16">
        <v>16.034604105571852</v>
      </c>
      <c r="L1550" s="13">
        <v>1.3</v>
      </c>
      <c r="M1550" s="13"/>
      <c r="N1550" s="17">
        <f t="shared" si="51"/>
        <v>101.4</v>
      </c>
      <c r="O1550" s="17">
        <f t="shared" si="51"/>
        <v>0</v>
      </c>
      <c r="P1550" s="17">
        <f t="shared" si="52"/>
        <v>101.4</v>
      </c>
      <c r="Q1550" t="str">
        <f>A1550&amp;"-"&amp;B1550&amp;"-"&amp;D1550</f>
        <v>APRIL-MJ2-L10</v>
      </c>
    </row>
    <row r="1551" spans="1:17" x14ac:dyDescent="0.25">
      <c r="A1551" t="s">
        <v>394</v>
      </c>
      <c r="B1551" s="13" t="s">
        <v>26</v>
      </c>
      <c r="C1551" s="13" t="s">
        <v>226</v>
      </c>
      <c r="D1551" s="14" t="s">
        <v>301</v>
      </c>
      <c r="E1551" s="13" t="s">
        <v>61</v>
      </c>
      <c r="F1551" s="13" t="s">
        <v>778</v>
      </c>
      <c r="G1551" s="13">
        <v>0.69999999999999984</v>
      </c>
      <c r="H1551" s="15">
        <v>3901</v>
      </c>
      <c r="I1551" s="16">
        <v>2730.7</v>
      </c>
      <c r="J1551" s="16">
        <v>1985.2616511375948</v>
      </c>
      <c r="K1551" s="16">
        <v>745.43834886240529</v>
      </c>
      <c r="L1551" s="13">
        <v>1.3</v>
      </c>
      <c r="M1551" s="13"/>
      <c r="N1551" s="17">
        <f t="shared" si="51"/>
        <v>5071.3</v>
      </c>
      <c r="O1551" s="17">
        <f t="shared" si="51"/>
        <v>0</v>
      </c>
      <c r="P1551" s="17">
        <f t="shared" si="52"/>
        <v>5071.3</v>
      </c>
      <c r="Q1551" t="str">
        <f>A1551&amp;"-"&amp;B1551&amp;"-"&amp;D1551</f>
        <v>APRIL-MJ2-L10</v>
      </c>
    </row>
    <row r="1552" spans="1:17" x14ac:dyDescent="0.25">
      <c r="A1552" t="s">
        <v>394</v>
      </c>
      <c r="B1552" s="13" t="s">
        <v>26</v>
      </c>
      <c r="C1552" s="13" t="s">
        <v>226</v>
      </c>
      <c r="D1552" s="14" t="s">
        <v>301</v>
      </c>
      <c r="E1552" s="13" t="s">
        <v>61</v>
      </c>
      <c r="F1552" s="13" t="s">
        <v>779</v>
      </c>
      <c r="G1552" s="13">
        <v>0.77999999999999992</v>
      </c>
      <c r="H1552" s="15">
        <v>701</v>
      </c>
      <c r="I1552" s="16">
        <v>546.78</v>
      </c>
      <c r="J1552" s="16">
        <v>393.85535387719165</v>
      </c>
      <c r="K1552" s="16">
        <v>152.9246461228083</v>
      </c>
      <c r="L1552" s="13">
        <v>2</v>
      </c>
      <c r="M1552" s="13"/>
      <c r="N1552" s="17">
        <f t="shared" si="51"/>
        <v>1402</v>
      </c>
      <c r="O1552" s="17">
        <f t="shared" si="51"/>
        <v>0</v>
      </c>
      <c r="P1552" s="17">
        <f t="shared" si="52"/>
        <v>1402</v>
      </c>
      <c r="Q1552" t="str">
        <f>A1552&amp;"-"&amp;B1552&amp;"-"&amp;D1552</f>
        <v>APRIL-MJ2-L10</v>
      </c>
    </row>
    <row r="1553" spans="1:17" x14ac:dyDescent="0.25">
      <c r="A1553" t="s">
        <v>394</v>
      </c>
      <c r="B1553" s="13" t="s">
        <v>26</v>
      </c>
      <c r="C1553" s="13" t="s">
        <v>226</v>
      </c>
      <c r="D1553" s="14" t="s">
        <v>301</v>
      </c>
      <c r="E1553" s="13" t="s">
        <v>61</v>
      </c>
      <c r="F1553" s="13" t="s">
        <v>780</v>
      </c>
      <c r="G1553" s="13">
        <v>0.76000000000000012</v>
      </c>
      <c r="H1553" s="15">
        <v>506</v>
      </c>
      <c r="I1553" s="16">
        <v>384.56</v>
      </c>
      <c r="J1553" s="16">
        <v>296.82364948613599</v>
      </c>
      <c r="K1553" s="16">
        <v>87.736350513864011</v>
      </c>
      <c r="L1553" s="13">
        <v>2.15</v>
      </c>
      <c r="M1553" s="13"/>
      <c r="N1553" s="17">
        <f t="shared" si="51"/>
        <v>1087.8999999999999</v>
      </c>
      <c r="O1553" s="17">
        <f t="shared" si="51"/>
        <v>0</v>
      </c>
      <c r="P1553" s="17">
        <f t="shared" si="52"/>
        <v>1087.8999999999999</v>
      </c>
      <c r="Q1553" t="str">
        <f>A1553&amp;"-"&amp;B1553&amp;"-"&amp;D1553</f>
        <v>APRIL-MJ2-L10</v>
      </c>
    </row>
    <row r="1554" spans="1:17" x14ac:dyDescent="0.25">
      <c r="A1554" t="s">
        <v>394</v>
      </c>
      <c r="B1554" s="13" t="s">
        <v>26</v>
      </c>
      <c r="C1554" s="13" t="s">
        <v>226</v>
      </c>
      <c r="D1554" s="14" t="s">
        <v>301</v>
      </c>
      <c r="E1554" s="13" t="s">
        <v>61</v>
      </c>
      <c r="F1554" s="13" t="s">
        <v>781</v>
      </c>
      <c r="G1554" s="13">
        <v>0.77999999999999992</v>
      </c>
      <c r="H1554" s="15">
        <v>1515</v>
      </c>
      <c r="I1554" s="16">
        <v>1181.6999999999998</v>
      </c>
      <c r="J1554" s="16">
        <v>873.82673285335352</v>
      </c>
      <c r="K1554" s="16">
        <v>307.87326714664636</v>
      </c>
      <c r="L1554" s="13">
        <v>2</v>
      </c>
      <c r="M1554" s="13"/>
      <c r="N1554" s="17">
        <f t="shared" si="51"/>
        <v>3030</v>
      </c>
      <c r="O1554" s="17">
        <f t="shared" si="51"/>
        <v>0</v>
      </c>
      <c r="P1554" s="17">
        <f t="shared" si="52"/>
        <v>3030</v>
      </c>
      <c r="Q1554" t="str">
        <f>A1554&amp;"-"&amp;B1554&amp;"-"&amp;D1554</f>
        <v>APRIL-MJ2-L10</v>
      </c>
    </row>
    <row r="1555" spans="1:17" x14ac:dyDescent="0.25">
      <c r="A1555" t="s">
        <v>394</v>
      </c>
      <c r="B1555" s="13" t="s">
        <v>26</v>
      </c>
      <c r="C1555" s="13" t="s">
        <v>226</v>
      </c>
      <c r="D1555" s="14" t="s">
        <v>301</v>
      </c>
      <c r="E1555" s="13" t="s">
        <v>61</v>
      </c>
      <c r="F1555" s="13" t="s">
        <v>782</v>
      </c>
      <c r="G1555" s="13">
        <v>0.93</v>
      </c>
      <c r="H1555" s="15">
        <v>652</v>
      </c>
      <c r="I1555" s="16">
        <v>606.36000000000013</v>
      </c>
      <c r="J1555" s="16">
        <v>392.09083407918638</v>
      </c>
      <c r="K1555" s="16">
        <v>214.26916592081361</v>
      </c>
      <c r="L1555" s="13">
        <v>2.2400000000000002</v>
      </c>
      <c r="M1555" s="13"/>
      <c r="N1555" s="17">
        <f t="shared" si="51"/>
        <v>1460.4800000000002</v>
      </c>
      <c r="O1555" s="17">
        <f t="shared" si="51"/>
        <v>0</v>
      </c>
      <c r="P1555" s="17">
        <f t="shared" si="52"/>
        <v>1460.4800000000002</v>
      </c>
      <c r="Q1555" t="str">
        <f>A1555&amp;"-"&amp;B1555&amp;"-"&amp;D1555</f>
        <v>APRIL-MJ2-L10</v>
      </c>
    </row>
    <row r="1556" spans="1:17" x14ac:dyDescent="0.25">
      <c r="A1556" t="s">
        <v>394</v>
      </c>
      <c r="B1556" s="13" t="s">
        <v>26</v>
      </c>
      <c r="C1556" s="13" t="s">
        <v>226</v>
      </c>
      <c r="D1556" s="14" t="s">
        <v>301</v>
      </c>
      <c r="E1556" s="13" t="s">
        <v>61</v>
      </c>
      <c r="F1556" s="13" t="s">
        <v>783</v>
      </c>
      <c r="G1556" s="13">
        <v>0.93</v>
      </c>
      <c r="H1556" s="15">
        <v>1230</v>
      </c>
      <c r="I1556" s="16">
        <v>1143.8999999999999</v>
      </c>
      <c r="J1556" s="16">
        <v>691.26</v>
      </c>
      <c r="K1556" s="16">
        <v>452.64</v>
      </c>
      <c r="L1556" s="13">
        <v>2.2400000000000002</v>
      </c>
      <c r="M1556" s="13"/>
      <c r="N1556" s="17">
        <f t="shared" si="51"/>
        <v>2755.2000000000003</v>
      </c>
      <c r="O1556" s="17">
        <f t="shared" si="51"/>
        <v>0</v>
      </c>
      <c r="P1556" s="17">
        <f t="shared" si="52"/>
        <v>2755.2000000000003</v>
      </c>
      <c r="Q1556" t="str">
        <f>A1556&amp;"-"&amp;B1556&amp;"-"&amp;D1556</f>
        <v>APRIL-MJ2-L10</v>
      </c>
    </row>
    <row r="1557" spans="1:17" x14ac:dyDescent="0.25">
      <c r="A1557" t="s">
        <v>394</v>
      </c>
      <c r="B1557" s="13" t="s">
        <v>26</v>
      </c>
      <c r="C1557" s="13" t="s">
        <v>226</v>
      </c>
      <c r="D1557" s="14" t="s">
        <v>301</v>
      </c>
      <c r="E1557" s="13" t="s">
        <v>61</v>
      </c>
      <c r="F1557" s="13" t="s">
        <v>784</v>
      </c>
      <c r="G1557" s="13">
        <v>0.93</v>
      </c>
      <c r="H1557" s="15">
        <v>196</v>
      </c>
      <c r="I1557" s="16">
        <v>182.28</v>
      </c>
      <c r="J1557" s="16">
        <v>110.74355734112491</v>
      </c>
      <c r="K1557" s="16">
        <v>71.536442658875103</v>
      </c>
      <c r="L1557" s="13">
        <v>2.4300000000000002</v>
      </c>
      <c r="M1557" s="13"/>
      <c r="N1557" s="17">
        <f t="shared" si="51"/>
        <v>476.28000000000003</v>
      </c>
      <c r="O1557" s="17">
        <f t="shared" si="51"/>
        <v>0</v>
      </c>
      <c r="P1557" s="17">
        <f t="shared" si="52"/>
        <v>476.28000000000003</v>
      </c>
      <c r="Q1557" t="str">
        <f>A1557&amp;"-"&amp;B1557&amp;"-"&amp;D1557</f>
        <v>APRIL-MJ2-L10</v>
      </c>
    </row>
    <row r="1558" spans="1:17" x14ac:dyDescent="0.25">
      <c r="A1558" t="s">
        <v>394</v>
      </c>
      <c r="B1558" s="13" t="s">
        <v>26</v>
      </c>
      <c r="C1558" s="13" t="s">
        <v>226</v>
      </c>
      <c r="D1558" s="14" t="s">
        <v>301</v>
      </c>
      <c r="E1558" s="13" t="s">
        <v>61</v>
      </c>
      <c r="F1558" s="13" t="s">
        <v>785</v>
      </c>
      <c r="G1558" s="13">
        <v>0.79</v>
      </c>
      <c r="H1558" s="15">
        <v>437</v>
      </c>
      <c r="I1558" s="16">
        <v>345.23</v>
      </c>
      <c r="J1558" s="16">
        <v>248.03179644509373</v>
      </c>
      <c r="K1558" s="16">
        <v>97.198203554906243</v>
      </c>
      <c r="L1558" s="13">
        <v>2.08</v>
      </c>
      <c r="M1558" s="13"/>
      <c r="N1558" s="17">
        <f t="shared" ref="N1558:O1621" si="53">$H1558*L1558</f>
        <v>908.96</v>
      </c>
      <c r="O1558" s="17">
        <f t="shared" si="53"/>
        <v>0</v>
      </c>
      <c r="P1558" s="17">
        <f t="shared" si="52"/>
        <v>908.96</v>
      </c>
      <c r="Q1558" t="str">
        <f>A1558&amp;"-"&amp;B1558&amp;"-"&amp;D1558</f>
        <v>APRIL-MJ2-L10</v>
      </c>
    </row>
    <row r="1559" spans="1:17" x14ac:dyDescent="0.25">
      <c r="A1559" t="s">
        <v>394</v>
      </c>
      <c r="B1559" s="13" t="s">
        <v>26</v>
      </c>
      <c r="C1559" s="13" t="s">
        <v>226</v>
      </c>
      <c r="D1559" s="14" t="s">
        <v>301</v>
      </c>
      <c r="E1559" s="13" t="s">
        <v>61</v>
      </c>
      <c r="F1559" s="13" t="s">
        <v>786</v>
      </c>
      <c r="G1559" s="13">
        <v>0.77</v>
      </c>
      <c r="H1559" s="15">
        <v>705</v>
      </c>
      <c r="I1559" s="16">
        <v>542.85</v>
      </c>
      <c r="J1559" s="16">
        <v>396.21</v>
      </c>
      <c r="K1559" s="16">
        <v>146.64000000000004</v>
      </c>
      <c r="L1559" s="13">
        <v>2.2400000000000002</v>
      </c>
      <c r="M1559" s="13"/>
      <c r="N1559" s="17">
        <f t="shared" si="53"/>
        <v>1579.2</v>
      </c>
      <c r="O1559" s="17">
        <f t="shared" si="53"/>
        <v>0</v>
      </c>
      <c r="P1559" s="17">
        <f t="shared" si="52"/>
        <v>1579.2</v>
      </c>
      <c r="Q1559" t="str">
        <f>A1559&amp;"-"&amp;B1559&amp;"-"&amp;D1559</f>
        <v>APRIL-MJ2-L10</v>
      </c>
    </row>
    <row r="1560" spans="1:17" x14ac:dyDescent="0.25">
      <c r="A1560" t="s">
        <v>394</v>
      </c>
      <c r="B1560" s="13" t="s">
        <v>26</v>
      </c>
      <c r="C1560" s="13" t="s">
        <v>226</v>
      </c>
      <c r="D1560" s="14" t="s">
        <v>301</v>
      </c>
      <c r="E1560" s="13" t="s">
        <v>61</v>
      </c>
      <c r="F1560" s="13" t="s">
        <v>787</v>
      </c>
      <c r="G1560" s="13">
        <v>0.79</v>
      </c>
      <c r="H1560" s="15">
        <v>3513</v>
      </c>
      <c r="I1560" s="16">
        <v>2775.27</v>
      </c>
      <c r="J1560" s="16">
        <v>1901.1740224007792</v>
      </c>
      <c r="K1560" s="16">
        <v>874.09597759922099</v>
      </c>
      <c r="L1560" s="13">
        <v>2.08</v>
      </c>
      <c r="M1560" s="13"/>
      <c r="N1560" s="17">
        <f t="shared" si="53"/>
        <v>7307.04</v>
      </c>
      <c r="O1560" s="17">
        <f t="shared" si="53"/>
        <v>0</v>
      </c>
      <c r="P1560" s="17">
        <f t="shared" si="52"/>
        <v>7307.04</v>
      </c>
      <c r="Q1560" t="str">
        <f>A1560&amp;"-"&amp;B1560&amp;"-"&amp;D1560</f>
        <v>APRIL-MJ2-L10</v>
      </c>
    </row>
    <row r="1561" spans="1:17" x14ac:dyDescent="0.25">
      <c r="A1561" t="s">
        <v>394</v>
      </c>
      <c r="B1561" s="13" t="s">
        <v>26</v>
      </c>
      <c r="C1561" s="13" t="s">
        <v>226</v>
      </c>
      <c r="D1561" s="14" t="s">
        <v>301</v>
      </c>
      <c r="E1561" s="13" t="s">
        <v>61</v>
      </c>
      <c r="F1561" s="13" t="s">
        <v>788</v>
      </c>
      <c r="G1561" s="13">
        <v>0.79</v>
      </c>
      <c r="H1561" s="15">
        <v>413</v>
      </c>
      <c r="I1561" s="16">
        <v>326.27</v>
      </c>
      <c r="J1561" s="16">
        <v>254.31628926223519</v>
      </c>
      <c r="K1561" s="16">
        <v>71.953710737764794</v>
      </c>
      <c r="L1561" s="13">
        <v>2.42</v>
      </c>
      <c r="M1561" s="13"/>
      <c r="N1561" s="17">
        <f t="shared" si="53"/>
        <v>999.45999999999992</v>
      </c>
      <c r="O1561" s="17">
        <f t="shared" si="53"/>
        <v>0</v>
      </c>
      <c r="P1561" s="17">
        <f t="shared" si="52"/>
        <v>999.45999999999992</v>
      </c>
      <c r="Q1561" t="str">
        <f>A1561&amp;"-"&amp;B1561&amp;"-"&amp;D1561</f>
        <v>APRIL-MJ2-L10</v>
      </c>
    </row>
    <row r="1562" spans="1:17" x14ac:dyDescent="0.25">
      <c r="A1562" t="s">
        <v>394</v>
      </c>
      <c r="B1562" s="13" t="s">
        <v>26</v>
      </c>
      <c r="C1562" s="13" t="s">
        <v>226</v>
      </c>
      <c r="D1562" s="14" t="s">
        <v>301</v>
      </c>
      <c r="E1562" s="13" t="s">
        <v>61</v>
      </c>
      <c r="F1562" s="13" t="s">
        <v>789</v>
      </c>
      <c r="G1562" s="13">
        <v>0.79</v>
      </c>
      <c r="H1562" s="15">
        <v>385</v>
      </c>
      <c r="I1562" s="16">
        <v>304.14999999999998</v>
      </c>
      <c r="J1562" s="16">
        <v>182.84788732394364</v>
      </c>
      <c r="K1562" s="16">
        <v>121.30211267605634</v>
      </c>
      <c r="L1562" s="13"/>
      <c r="M1562" s="13"/>
      <c r="N1562" s="17">
        <f t="shared" si="53"/>
        <v>0</v>
      </c>
      <c r="O1562" s="17">
        <f t="shared" si="53"/>
        <v>0</v>
      </c>
      <c r="P1562" s="17">
        <f t="shared" si="52"/>
        <v>0</v>
      </c>
      <c r="Q1562" t="str">
        <f>A1562&amp;"-"&amp;B1562&amp;"-"&amp;D1562</f>
        <v>APRIL-MJ2-L10</v>
      </c>
    </row>
    <row r="1563" spans="1:17" x14ac:dyDescent="0.25">
      <c r="A1563" t="s">
        <v>394</v>
      </c>
      <c r="B1563" s="13" t="s">
        <v>26</v>
      </c>
      <c r="C1563" s="13" t="s">
        <v>226</v>
      </c>
      <c r="D1563" s="14" t="s">
        <v>287</v>
      </c>
      <c r="E1563" s="13" t="s">
        <v>61</v>
      </c>
      <c r="F1563" s="13" t="s">
        <v>634</v>
      </c>
      <c r="G1563" s="13">
        <v>0.66</v>
      </c>
      <c r="H1563" s="15">
        <v>5209</v>
      </c>
      <c r="I1563" s="16">
        <v>3437.94</v>
      </c>
      <c r="J1563" s="16">
        <v>2647.2258334276557</v>
      </c>
      <c r="K1563" s="16">
        <v>790.71416657234488</v>
      </c>
      <c r="L1563" s="13">
        <v>1.71</v>
      </c>
      <c r="M1563" s="13"/>
      <c r="N1563" s="17">
        <f t="shared" si="53"/>
        <v>8907.39</v>
      </c>
      <c r="O1563" s="17">
        <f t="shared" si="53"/>
        <v>0</v>
      </c>
      <c r="P1563" s="17">
        <f t="shared" si="52"/>
        <v>8907.39</v>
      </c>
      <c r="Q1563" t="str">
        <f>A1563&amp;"-"&amp;B1563&amp;"-"&amp;D1563</f>
        <v>APRIL-MJ2-L11</v>
      </c>
    </row>
    <row r="1564" spans="1:17" x14ac:dyDescent="0.25">
      <c r="A1564" t="s">
        <v>394</v>
      </c>
      <c r="B1564" s="13" t="s">
        <v>26</v>
      </c>
      <c r="C1564" s="13" t="s">
        <v>226</v>
      </c>
      <c r="D1564" s="14" t="s">
        <v>287</v>
      </c>
      <c r="E1564" s="13" t="s">
        <v>61</v>
      </c>
      <c r="F1564" s="13" t="s">
        <v>777</v>
      </c>
      <c r="G1564" s="13">
        <v>0.64</v>
      </c>
      <c r="H1564" s="15">
        <v>934</v>
      </c>
      <c r="I1564" s="16">
        <v>597.76</v>
      </c>
      <c r="J1564" s="16">
        <v>547.26311111111113</v>
      </c>
      <c r="K1564" s="16">
        <v>50.49688888888889</v>
      </c>
      <c r="L1564" s="13">
        <v>1.85</v>
      </c>
      <c r="M1564" s="13"/>
      <c r="N1564" s="17">
        <f t="shared" si="53"/>
        <v>1727.9</v>
      </c>
      <c r="O1564" s="17">
        <f t="shared" si="53"/>
        <v>0</v>
      </c>
      <c r="P1564" s="17">
        <f t="shared" si="52"/>
        <v>1727.9</v>
      </c>
      <c r="Q1564" t="str">
        <f>A1564&amp;"-"&amp;B1564&amp;"-"&amp;D1564</f>
        <v>APRIL-MJ2-L11</v>
      </c>
    </row>
    <row r="1565" spans="1:17" x14ac:dyDescent="0.25">
      <c r="A1565" t="s">
        <v>394</v>
      </c>
      <c r="B1565" s="13" t="s">
        <v>26</v>
      </c>
      <c r="C1565" s="13" t="s">
        <v>226</v>
      </c>
      <c r="D1565" s="14" t="s">
        <v>287</v>
      </c>
      <c r="E1565" s="13" t="s">
        <v>61</v>
      </c>
      <c r="F1565" s="13" t="s">
        <v>635</v>
      </c>
      <c r="G1565" s="13">
        <v>0.7</v>
      </c>
      <c r="H1565" s="15">
        <v>77</v>
      </c>
      <c r="I1565" s="16">
        <v>53.9</v>
      </c>
      <c r="J1565" s="16">
        <v>38.070967741935483</v>
      </c>
      <c r="K1565" s="16">
        <v>15.829032258064515</v>
      </c>
      <c r="L1565" s="13">
        <v>1.3</v>
      </c>
      <c r="M1565" s="13"/>
      <c r="N1565" s="17">
        <f t="shared" si="53"/>
        <v>100.10000000000001</v>
      </c>
      <c r="O1565" s="17">
        <f t="shared" si="53"/>
        <v>0</v>
      </c>
      <c r="P1565" s="17">
        <f t="shared" si="52"/>
        <v>100.10000000000001</v>
      </c>
      <c r="Q1565" t="str">
        <f>A1565&amp;"-"&amp;B1565&amp;"-"&amp;D1565</f>
        <v>APRIL-MJ2-L11</v>
      </c>
    </row>
    <row r="1566" spans="1:17" x14ac:dyDescent="0.25">
      <c r="A1566" t="s">
        <v>394</v>
      </c>
      <c r="B1566" s="13" t="s">
        <v>26</v>
      </c>
      <c r="C1566" s="13" t="s">
        <v>226</v>
      </c>
      <c r="D1566" s="14" t="s">
        <v>287</v>
      </c>
      <c r="E1566" s="13" t="s">
        <v>61</v>
      </c>
      <c r="F1566" s="13" t="s">
        <v>778</v>
      </c>
      <c r="G1566" s="13">
        <v>0.69999999999999984</v>
      </c>
      <c r="H1566" s="15">
        <v>3901</v>
      </c>
      <c r="I1566" s="16">
        <v>2730.7</v>
      </c>
      <c r="J1566" s="16">
        <v>1985.2616511375948</v>
      </c>
      <c r="K1566" s="16">
        <v>745.43834886240529</v>
      </c>
      <c r="L1566" s="13">
        <v>1.3</v>
      </c>
      <c r="M1566" s="13"/>
      <c r="N1566" s="17">
        <f t="shared" si="53"/>
        <v>5071.3</v>
      </c>
      <c r="O1566" s="17">
        <f t="shared" si="53"/>
        <v>0</v>
      </c>
      <c r="P1566" s="17">
        <f t="shared" si="52"/>
        <v>5071.3</v>
      </c>
      <c r="Q1566" t="str">
        <f>A1566&amp;"-"&amp;B1566&amp;"-"&amp;D1566</f>
        <v>APRIL-MJ2-L11</v>
      </c>
    </row>
    <row r="1567" spans="1:17" x14ac:dyDescent="0.25">
      <c r="A1567" t="s">
        <v>394</v>
      </c>
      <c r="B1567" s="13" t="s">
        <v>26</v>
      </c>
      <c r="C1567" s="13" t="s">
        <v>226</v>
      </c>
      <c r="D1567" s="14" t="s">
        <v>287</v>
      </c>
      <c r="E1567" s="13" t="s">
        <v>61</v>
      </c>
      <c r="F1567" s="13" t="s">
        <v>779</v>
      </c>
      <c r="G1567" s="13">
        <v>0.77999999999999992</v>
      </c>
      <c r="H1567" s="15">
        <v>704</v>
      </c>
      <c r="I1567" s="16">
        <v>549.12</v>
      </c>
      <c r="J1567" s="16">
        <v>395.65027530364375</v>
      </c>
      <c r="K1567" s="16">
        <v>153.46972469635625</v>
      </c>
      <c r="L1567" s="13">
        <v>2</v>
      </c>
      <c r="M1567" s="13"/>
      <c r="N1567" s="17">
        <f t="shared" si="53"/>
        <v>1408</v>
      </c>
      <c r="O1567" s="17">
        <f t="shared" si="53"/>
        <v>0</v>
      </c>
      <c r="P1567" s="17">
        <f t="shared" si="52"/>
        <v>1408</v>
      </c>
      <c r="Q1567" t="str">
        <f>A1567&amp;"-"&amp;B1567&amp;"-"&amp;D1567</f>
        <v>APRIL-MJ2-L11</v>
      </c>
    </row>
    <row r="1568" spans="1:17" x14ac:dyDescent="0.25">
      <c r="A1568" t="s">
        <v>394</v>
      </c>
      <c r="B1568" s="13" t="s">
        <v>26</v>
      </c>
      <c r="C1568" s="13" t="s">
        <v>226</v>
      </c>
      <c r="D1568" s="14" t="s">
        <v>287</v>
      </c>
      <c r="E1568" s="13" t="s">
        <v>61</v>
      </c>
      <c r="F1568" s="13" t="s">
        <v>780</v>
      </c>
      <c r="G1568" s="13">
        <v>0.76000000000000012</v>
      </c>
      <c r="H1568" s="15">
        <v>504</v>
      </c>
      <c r="I1568" s="16">
        <v>383.03999999999996</v>
      </c>
      <c r="J1568" s="16">
        <v>295.8475481010218</v>
      </c>
      <c r="K1568" s="16">
        <v>87.192451898978192</v>
      </c>
      <c r="L1568" s="13">
        <v>2.15</v>
      </c>
      <c r="M1568" s="13"/>
      <c r="N1568" s="17">
        <f t="shared" si="53"/>
        <v>1083.5999999999999</v>
      </c>
      <c r="O1568" s="17">
        <f t="shared" si="53"/>
        <v>0</v>
      </c>
      <c r="P1568" s="17">
        <f t="shared" si="52"/>
        <v>1083.5999999999999</v>
      </c>
      <c r="Q1568" t="str">
        <f>A1568&amp;"-"&amp;B1568&amp;"-"&amp;D1568</f>
        <v>APRIL-MJ2-L11</v>
      </c>
    </row>
    <row r="1569" spans="1:17" x14ac:dyDescent="0.25">
      <c r="A1569" t="s">
        <v>394</v>
      </c>
      <c r="B1569" s="13" t="s">
        <v>26</v>
      </c>
      <c r="C1569" s="13" t="s">
        <v>226</v>
      </c>
      <c r="D1569" s="14" t="s">
        <v>287</v>
      </c>
      <c r="E1569" s="13" t="s">
        <v>61</v>
      </c>
      <c r="F1569" s="13" t="s">
        <v>781</v>
      </c>
      <c r="G1569" s="13">
        <v>0.77999999999999992</v>
      </c>
      <c r="H1569" s="15">
        <v>1515</v>
      </c>
      <c r="I1569" s="16">
        <v>1181.6999999999998</v>
      </c>
      <c r="J1569" s="16">
        <v>873.87287406846019</v>
      </c>
      <c r="K1569" s="16">
        <v>307.82712593153963</v>
      </c>
      <c r="L1569" s="13">
        <v>2</v>
      </c>
      <c r="M1569" s="13"/>
      <c r="N1569" s="17">
        <f t="shared" si="53"/>
        <v>3030</v>
      </c>
      <c r="O1569" s="17">
        <f t="shared" si="53"/>
        <v>0</v>
      </c>
      <c r="P1569" s="17">
        <f t="shared" si="52"/>
        <v>3030</v>
      </c>
      <c r="Q1569" t="str">
        <f>A1569&amp;"-"&amp;B1569&amp;"-"&amp;D1569</f>
        <v>APRIL-MJ2-L11</v>
      </c>
    </row>
    <row r="1570" spans="1:17" x14ac:dyDescent="0.25">
      <c r="A1570" t="s">
        <v>394</v>
      </c>
      <c r="B1570" s="13" t="s">
        <v>26</v>
      </c>
      <c r="C1570" s="13" t="s">
        <v>226</v>
      </c>
      <c r="D1570" s="14" t="s">
        <v>287</v>
      </c>
      <c r="E1570" s="13" t="s">
        <v>61</v>
      </c>
      <c r="F1570" s="13" t="s">
        <v>782</v>
      </c>
      <c r="G1570" s="13">
        <v>0.93</v>
      </c>
      <c r="H1570" s="15">
        <v>651</v>
      </c>
      <c r="I1570" s="16">
        <v>605.42999999999995</v>
      </c>
      <c r="J1570" s="16">
        <v>391.58990441621302</v>
      </c>
      <c r="K1570" s="16">
        <v>213.84009558378696</v>
      </c>
      <c r="L1570" s="13">
        <v>2.2400000000000002</v>
      </c>
      <c r="M1570" s="13"/>
      <c r="N1570" s="17">
        <f t="shared" si="53"/>
        <v>1458.2400000000002</v>
      </c>
      <c r="O1570" s="17">
        <f t="shared" si="53"/>
        <v>0</v>
      </c>
      <c r="P1570" s="17">
        <f t="shared" si="52"/>
        <v>1458.2400000000002</v>
      </c>
      <c r="Q1570" t="str">
        <f>A1570&amp;"-"&amp;B1570&amp;"-"&amp;D1570</f>
        <v>APRIL-MJ2-L11</v>
      </c>
    </row>
    <row r="1571" spans="1:17" x14ac:dyDescent="0.25">
      <c r="A1571" t="s">
        <v>394</v>
      </c>
      <c r="B1571" s="13" t="s">
        <v>26</v>
      </c>
      <c r="C1571" s="13" t="s">
        <v>226</v>
      </c>
      <c r="D1571" s="14" t="s">
        <v>287</v>
      </c>
      <c r="E1571" s="13" t="s">
        <v>61</v>
      </c>
      <c r="F1571" s="13" t="s">
        <v>783</v>
      </c>
      <c r="G1571" s="13">
        <v>0.93</v>
      </c>
      <c r="H1571" s="15">
        <v>1230</v>
      </c>
      <c r="I1571" s="16">
        <v>1143.9000000000001</v>
      </c>
      <c r="J1571" s="16">
        <v>691.26</v>
      </c>
      <c r="K1571" s="16">
        <v>452.64</v>
      </c>
      <c r="L1571" s="13">
        <v>2.2400000000000002</v>
      </c>
      <c r="M1571" s="13"/>
      <c r="N1571" s="17">
        <f t="shared" si="53"/>
        <v>2755.2000000000003</v>
      </c>
      <c r="O1571" s="17">
        <f t="shared" si="53"/>
        <v>0</v>
      </c>
      <c r="P1571" s="17">
        <f t="shared" si="52"/>
        <v>2755.2000000000003</v>
      </c>
      <c r="Q1571" t="str">
        <f>A1571&amp;"-"&amp;B1571&amp;"-"&amp;D1571</f>
        <v>APRIL-MJ2-L11</v>
      </c>
    </row>
    <row r="1572" spans="1:17" x14ac:dyDescent="0.25">
      <c r="A1572" t="s">
        <v>394</v>
      </c>
      <c r="B1572" s="13" t="s">
        <v>26</v>
      </c>
      <c r="C1572" s="13" t="s">
        <v>226</v>
      </c>
      <c r="D1572" s="14" t="s">
        <v>287</v>
      </c>
      <c r="E1572" s="13" t="s">
        <v>61</v>
      </c>
      <c r="F1572" s="13" t="s">
        <v>784</v>
      </c>
      <c r="G1572" s="13">
        <v>0.93</v>
      </c>
      <c r="H1572" s="15">
        <v>196</v>
      </c>
      <c r="I1572" s="16">
        <v>182.28</v>
      </c>
      <c r="J1572" s="16">
        <v>110.74850877192982</v>
      </c>
      <c r="K1572" s="16">
        <v>71.53149122807018</v>
      </c>
      <c r="L1572" s="13">
        <v>2.4300000000000002</v>
      </c>
      <c r="M1572" s="13"/>
      <c r="N1572" s="17">
        <f t="shared" si="53"/>
        <v>476.28000000000003</v>
      </c>
      <c r="O1572" s="17">
        <f t="shared" si="53"/>
        <v>0</v>
      </c>
      <c r="P1572" s="17">
        <f t="shared" si="52"/>
        <v>476.28000000000003</v>
      </c>
      <c r="Q1572" t="str">
        <f>A1572&amp;"-"&amp;B1572&amp;"-"&amp;D1572</f>
        <v>APRIL-MJ2-L11</v>
      </c>
    </row>
    <row r="1573" spans="1:17" x14ac:dyDescent="0.25">
      <c r="A1573" t="s">
        <v>394</v>
      </c>
      <c r="B1573" s="13" t="s">
        <v>26</v>
      </c>
      <c r="C1573" s="13" t="s">
        <v>226</v>
      </c>
      <c r="D1573" s="14" t="s">
        <v>287</v>
      </c>
      <c r="E1573" s="13" t="s">
        <v>61</v>
      </c>
      <c r="F1573" s="13" t="s">
        <v>785</v>
      </c>
      <c r="G1573" s="13">
        <v>0.79</v>
      </c>
      <c r="H1573" s="15">
        <v>437</v>
      </c>
      <c r="I1573" s="16">
        <v>345.23</v>
      </c>
      <c r="J1573" s="16">
        <v>248.02933333333334</v>
      </c>
      <c r="K1573" s="16">
        <v>97.200666666666649</v>
      </c>
      <c r="L1573" s="13">
        <v>2.08</v>
      </c>
      <c r="M1573" s="13"/>
      <c r="N1573" s="17">
        <f t="shared" si="53"/>
        <v>908.96</v>
      </c>
      <c r="O1573" s="17">
        <f t="shared" si="53"/>
        <v>0</v>
      </c>
      <c r="P1573" s="17">
        <f t="shared" si="52"/>
        <v>908.96</v>
      </c>
      <c r="Q1573" t="str">
        <f>A1573&amp;"-"&amp;B1573&amp;"-"&amp;D1573</f>
        <v>APRIL-MJ2-L11</v>
      </c>
    </row>
    <row r="1574" spans="1:17" x14ac:dyDescent="0.25">
      <c r="A1574" t="s">
        <v>394</v>
      </c>
      <c r="B1574" s="13" t="s">
        <v>26</v>
      </c>
      <c r="C1574" s="13" t="s">
        <v>226</v>
      </c>
      <c r="D1574" s="14" t="s">
        <v>287</v>
      </c>
      <c r="E1574" s="13" t="s">
        <v>61</v>
      </c>
      <c r="F1574" s="13" t="s">
        <v>786</v>
      </c>
      <c r="G1574" s="13">
        <v>0.77</v>
      </c>
      <c r="H1574" s="15">
        <v>705</v>
      </c>
      <c r="I1574" s="16">
        <v>542.85</v>
      </c>
      <c r="J1574" s="16">
        <v>396.21</v>
      </c>
      <c r="K1574" s="16">
        <v>146.64000000000004</v>
      </c>
      <c r="L1574" s="13">
        <v>2.2400000000000002</v>
      </c>
      <c r="M1574" s="13"/>
      <c r="N1574" s="17">
        <f t="shared" si="53"/>
        <v>1579.2</v>
      </c>
      <c r="O1574" s="17">
        <f t="shared" si="53"/>
        <v>0</v>
      </c>
      <c r="P1574" s="17">
        <f t="shared" si="52"/>
        <v>1579.2</v>
      </c>
      <c r="Q1574" t="str">
        <f>A1574&amp;"-"&amp;B1574&amp;"-"&amp;D1574</f>
        <v>APRIL-MJ2-L11</v>
      </c>
    </row>
    <row r="1575" spans="1:17" x14ac:dyDescent="0.25">
      <c r="A1575" t="s">
        <v>394</v>
      </c>
      <c r="B1575" s="13" t="s">
        <v>26</v>
      </c>
      <c r="C1575" s="13" t="s">
        <v>226</v>
      </c>
      <c r="D1575" s="14" t="s">
        <v>287</v>
      </c>
      <c r="E1575" s="13" t="s">
        <v>61</v>
      </c>
      <c r="F1575" s="13" t="s">
        <v>787</v>
      </c>
      <c r="G1575" s="13">
        <v>0.79</v>
      </c>
      <c r="H1575" s="15">
        <v>3513</v>
      </c>
      <c r="I1575" s="16">
        <v>2775.27</v>
      </c>
      <c r="J1575" s="16">
        <v>1901.2361403508771</v>
      </c>
      <c r="K1575" s="16">
        <v>874.03385964912297</v>
      </c>
      <c r="L1575" s="13">
        <v>2.08</v>
      </c>
      <c r="M1575" s="13"/>
      <c r="N1575" s="17">
        <f t="shared" si="53"/>
        <v>7307.04</v>
      </c>
      <c r="O1575" s="17">
        <f t="shared" si="53"/>
        <v>0</v>
      </c>
      <c r="P1575" s="17">
        <f t="shared" si="52"/>
        <v>7307.04</v>
      </c>
      <c r="Q1575" t="str">
        <f>A1575&amp;"-"&amp;B1575&amp;"-"&amp;D1575</f>
        <v>APRIL-MJ2-L11</v>
      </c>
    </row>
    <row r="1576" spans="1:17" x14ac:dyDescent="0.25">
      <c r="A1576" t="s">
        <v>394</v>
      </c>
      <c r="B1576" s="13" t="s">
        <v>26</v>
      </c>
      <c r="C1576" s="13" t="s">
        <v>226</v>
      </c>
      <c r="D1576" s="14" t="s">
        <v>287</v>
      </c>
      <c r="E1576" s="13" t="s">
        <v>61</v>
      </c>
      <c r="F1576" s="13" t="s">
        <v>788</v>
      </c>
      <c r="G1576" s="13">
        <v>0.79</v>
      </c>
      <c r="H1576" s="15">
        <v>412</v>
      </c>
      <c r="I1576" s="16">
        <v>325.48</v>
      </c>
      <c r="J1576" s="16">
        <v>253.88596491228071</v>
      </c>
      <c r="K1576" s="16">
        <v>71.594035087719305</v>
      </c>
      <c r="L1576" s="13">
        <v>2.42</v>
      </c>
      <c r="M1576" s="13"/>
      <c r="N1576" s="17">
        <f t="shared" si="53"/>
        <v>997.04</v>
      </c>
      <c r="O1576" s="17">
        <f t="shared" si="53"/>
        <v>0</v>
      </c>
      <c r="P1576" s="17">
        <f t="shared" si="52"/>
        <v>997.04</v>
      </c>
      <c r="Q1576" t="str">
        <f>A1576&amp;"-"&amp;B1576&amp;"-"&amp;D1576</f>
        <v>APRIL-MJ2-L11</v>
      </c>
    </row>
    <row r="1577" spans="1:17" x14ac:dyDescent="0.25">
      <c r="A1577" t="s">
        <v>394</v>
      </c>
      <c r="B1577" s="13" t="s">
        <v>26</v>
      </c>
      <c r="C1577" s="13" t="s">
        <v>226</v>
      </c>
      <c r="D1577" s="14" t="s">
        <v>287</v>
      </c>
      <c r="E1577" s="13" t="s">
        <v>61</v>
      </c>
      <c r="F1577" s="13" t="s">
        <v>789</v>
      </c>
      <c r="G1577" s="13">
        <v>0.79</v>
      </c>
      <c r="H1577" s="15">
        <v>385</v>
      </c>
      <c r="I1577" s="16">
        <v>304.14999999999998</v>
      </c>
      <c r="J1577" s="16">
        <v>182.84788732394364</v>
      </c>
      <c r="K1577" s="16">
        <v>121.30211267605634</v>
      </c>
      <c r="L1577" s="13"/>
      <c r="M1577" s="13"/>
      <c r="N1577" s="17">
        <f t="shared" si="53"/>
        <v>0</v>
      </c>
      <c r="O1577" s="17">
        <f t="shared" si="53"/>
        <v>0</v>
      </c>
      <c r="P1577" s="17">
        <f t="shared" si="52"/>
        <v>0</v>
      </c>
      <c r="Q1577" t="str">
        <f>A1577&amp;"-"&amp;B1577&amp;"-"&amp;D1577</f>
        <v>APRIL-MJ2-L11</v>
      </c>
    </row>
    <row r="1578" spans="1:17" x14ac:dyDescent="0.25">
      <c r="A1578" t="s">
        <v>394</v>
      </c>
      <c r="B1578" s="13" t="s">
        <v>26</v>
      </c>
      <c r="C1578" s="13" t="s">
        <v>226</v>
      </c>
      <c r="D1578" s="14" t="s">
        <v>310</v>
      </c>
      <c r="E1578" s="13" t="s">
        <v>61</v>
      </c>
      <c r="F1578" s="13" t="s">
        <v>790</v>
      </c>
      <c r="G1578" s="13">
        <v>0.65000000000000013</v>
      </c>
      <c r="H1578" s="15">
        <v>6283</v>
      </c>
      <c r="I1578" s="16">
        <v>4083.9499999999994</v>
      </c>
      <c r="J1578" s="16">
        <v>3151.4446745988889</v>
      </c>
      <c r="K1578" s="16">
        <v>932.50532540111101</v>
      </c>
      <c r="L1578" s="13">
        <v>1.91</v>
      </c>
      <c r="M1578" s="13"/>
      <c r="N1578" s="17">
        <f t="shared" si="53"/>
        <v>12000.529999999999</v>
      </c>
      <c r="O1578" s="17">
        <f t="shared" si="53"/>
        <v>0</v>
      </c>
      <c r="P1578" s="17">
        <f t="shared" si="52"/>
        <v>12000.529999999999</v>
      </c>
      <c r="Q1578" t="str">
        <f>A1578&amp;"-"&amp;B1578&amp;"-"&amp;D1578</f>
        <v>APRIL-MJ2-L12</v>
      </c>
    </row>
    <row r="1579" spans="1:17" x14ac:dyDescent="0.25">
      <c r="A1579" t="s">
        <v>394</v>
      </c>
      <c r="B1579" s="13" t="s">
        <v>26</v>
      </c>
      <c r="C1579" s="13" t="s">
        <v>226</v>
      </c>
      <c r="D1579" s="14" t="s">
        <v>310</v>
      </c>
      <c r="E1579" s="13" t="s">
        <v>61</v>
      </c>
      <c r="F1579" s="13" t="s">
        <v>636</v>
      </c>
      <c r="G1579" s="13">
        <v>0.69999999999999984</v>
      </c>
      <c r="H1579" s="15">
        <v>366</v>
      </c>
      <c r="I1579" s="16">
        <v>256.2</v>
      </c>
      <c r="J1579" s="16">
        <v>184.74716911764708</v>
      </c>
      <c r="K1579" s="16">
        <v>71.452830882352927</v>
      </c>
      <c r="L1579" s="13">
        <v>1.3</v>
      </c>
      <c r="M1579" s="13"/>
      <c r="N1579" s="17">
        <f t="shared" si="53"/>
        <v>475.8</v>
      </c>
      <c r="O1579" s="17">
        <f t="shared" si="53"/>
        <v>0</v>
      </c>
      <c r="P1579" s="17">
        <f t="shared" si="52"/>
        <v>475.8</v>
      </c>
      <c r="Q1579" t="str">
        <f>A1579&amp;"-"&amp;B1579&amp;"-"&amp;D1579</f>
        <v>APRIL-MJ2-L12</v>
      </c>
    </row>
    <row r="1580" spans="1:17" x14ac:dyDescent="0.25">
      <c r="A1580" t="s">
        <v>394</v>
      </c>
      <c r="B1580" s="13" t="s">
        <v>26</v>
      </c>
      <c r="C1580" s="13" t="s">
        <v>226</v>
      </c>
      <c r="D1580" s="14" t="s">
        <v>310</v>
      </c>
      <c r="E1580" s="13" t="s">
        <v>61</v>
      </c>
      <c r="F1580" s="13" t="s">
        <v>791</v>
      </c>
      <c r="G1580" s="13">
        <v>0.78000000000000014</v>
      </c>
      <c r="H1580" s="15">
        <v>4711</v>
      </c>
      <c r="I1580" s="16">
        <v>3674.5799999999995</v>
      </c>
      <c r="J1580" s="16">
        <v>2483.7031312034742</v>
      </c>
      <c r="K1580" s="16">
        <v>1190.876868796526</v>
      </c>
      <c r="L1580" s="13">
        <v>2.14</v>
      </c>
      <c r="M1580" s="13"/>
      <c r="N1580" s="17">
        <f t="shared" si="53"/>
        <v>10081.540000000001</v>
      </c>
      <c r="O1580" s="17">
        <f t="shared" si="53"/>
        <v>0</v>
      </c>
      <c r="P1580" s="17">
        <f t="shared" si="52"/>
        <v>10081.540000000001</v>
      </c>
      <c r="Q1580" t="str">
        <f>A1580&amp;"-"&amp;B1580&amp;"-"&amp;D1580</f>
        <v>APRIL-MJ2-L12</v>
      </c>
    </row>
    <row r="1581" spans="1:17" x14ac:dyDescent="0.25">
      <c r="A1581" t="s">
        <v>394</v>
      </c>
      <c r="B1581" s="13" t="s">
        <v>26</v>
      </c>
      <c r="C1581" s="13" t="s">
        <v>226</v>
      </c>
      <c r="D1581" s="14" t="s">
        <v>310</v>
      </c>
      <c r="E1581" s="13" t="s">
        <v>61</v>
      </c>
      <c r="F1581" s="13" t="s">
        <v>792</v>
      </c>
      <c r="G1581" s="13">
        <v>0.7</v>
      </c>
      <c r="H1581" s="15">
        <v>734</v>
      </c>
      <c r="I1581" s="16">
        <v>513.79999999999995</v>
      </c>
      <c r="J1581" s="16">
        <v>392.75524271091808</v>
      </c>
      <c r="K1581" s="16">
        <v>121.0447572890819</v>
      </c>
      <c r="L1581" s="13">
        <v>2.29</v>
      </c>
      <c r="M1581" s="13"/>
      <c r="N1581" s="17">
        <f t="shared" si="53"/>
        <v>1680.8600000000001</v>
      </c>
      <c r="O1581" s="17">
        <f t="shared" si="53"/>
        <v>0</v>
      </c>
      <c r="P1581" s="17">
        <f t="shared" si="52"/>
        <v>1680.8600000000001</v>
      </c>
      <c r="Q1581" t="str">
        <f>A1581&amp;"-"&amp;B1581&amp;"-"&amp;D1581</f>
        <v>APRIL-MJ2-L12</v>
      </c>
    </row>
    <row r="1582" spans="1:17" x14ac:dyDescent="0.25">
      <c r="A1582" t="s">
        <v>394</v>
      </c>
      <c r="B1582" s="13" t="s">
        <v>26</v>
      </c>
      <c r="C1582" s="13" t="s">
        <v>226</v>
      </c>
      <c r="D1582" s="14" t="s">
        <v>310</v>
      </c>
      <c r="E1582" s="13" t="s">
        <v>61</v>
      </c>
      <c r="F1582" s="13" t="s">
        <v>793</v>
      </c>
      <c r="G1582" s="13">
        <v>0.77999999999999992</v>
      </c>
      <c r="H1582" s="15">
        <v>3200</v>
      </c>
      <c r="I1582" s="16">
        <v>2496</v>
      </c>
      <c r="J1582" s="16">
        <v>1722.7962701612903</v>
      </c>
      <c r="K1582" s="16">
        <v>773.20372983870971</v>
      </c>
      <c r="L1582" s="13">
        <v>2.14</v>
      </c>
      <c r="M1582" s="13"/>
      <c r="N1582" s="17">
        <f t="shared" si="53"/>
        <v>6848</v>
      </c>
      <c r="O1582" s="17">
        <f t="shared" si="53"/>
        <v>0</v>
      </c>
      <c r="P1582" s="17">
        <f t="shared" si="52"/>
        <v>6848</v>
      </c>
      <c r="Q1582" t="str">
        <f>A1582&amp;"-"&amp;B1582&amp;"-"&amp;D1582</f>
        <v>APRIL-MJ2-L12</v>
      </c>
    </row>
    <row r="1583" spans="1:17" x14ac:dyDescent="0.25">
      <c r="A1583" t="s">
        <v>394</v>
      </c>
      <c r="B1583" s="13" t="s">
        <v>26</v>
      </c>
      <c r="C1583" s="13" t="s">
        <v>226</v>
      </c>
      <c r="D1583" s="14" t="s">
        <v>310</v>
      </c>
      <c r="E1583" s="13" t="s">
        <v>61</v>
      </c>
      <c r="F1583" s="13" t="s">
        <v>794</v>
      </c>
      <c r="G1583" s="13">
        <v>0.7</v>
      </c>
      <c r="H1583" s="15">
        <v>177</v>
      </c>
      <c r="I1583" s="16">
        <v>123.9</v>
      </c>
      <c r="J1583" s="16">
        <v>96.265161290322581</v>
      </c>
      <c r="K1583" s="16">
        <v>27.634838709677425</v>
      </c>
      <c r="L1583" s="13">
        <v>2.29</v>
      </c>
      <c r="M1583" s="13"/>
      <c r="N1583" s="17">
        <f t="shared" si="53"/>
        <v>405.33</v>
      </c>
      <c r="O1583" s="17">
        <f t="shared" si="53"/>
        <v>0</v>
      </c>
      <c r="P1583" s="17">
        <f t="shared" si="52"/>
        <v>405.33</v>
      </c>
      <c r="Q1583" t="str">
        <f>A1583&amp;"-"&amp;B1583&amp;"-"&amp;D1583</f>
        <v>APRIL-MJ2-L12</v>
      </c>
    </row>
    <row r="1584" spans="1:17" x14ac:dyDescent="0.25">
      <c r="A1584" t="s">
        <v>394</v>
      </c>
      <c r="B1584" s="13" t="s">
        <v>26</v>
      </c>
      <c r="C1584" s="13" t="s">
        <v>226</v>
      </c>
      <c r="D1584" s="14" t="s">
        <v>310</v>
      </c>
      <c r="E1584" s="13" t="s">
        <v>61</v>
      </c>
      <c r="F1584" s="13" t="s">
        <v>795</v>
      </c>
      <c r="G1584" s="13">
        <v>0.7400000000000001</v>
      </c>
      <c r="H1584" s="15">
        <v>2979</v>
      </c>
      <c r="I1584" s="16">
        <v>2204.46</v>
      </c>
      <c r="J1584" s="16">
        <v>1589.5720146888739</v>
      </c>
      <c r="K1584" s="16">
        <v>614.88798531112593</v>
      </c>
      <c r="L1584" s="13">
        <v>2</v>
      </c>
      <c r="M1584" s="13"/>
      <c r="N1584" s="17">
        <f t="shared" si="53"/>
        <v>5958</v>
      </c>
      <c r="O1584" s="17">
        <f t="shared" si="53"/>
        <v>0</v>
      </c>
      <c r="P1584" s="17">
        <f t="shared" si="52"/>
        <v>5958</v>
      </c>
      <c r="Q1584" t="str">
        <f>A1584&amp;"-"&amp;B1584&amp;"-"&amp;D1584</f>
        <v>APRIL-MJ2-L12</v>
      </c>
    </row>
    <row r="1585" spans="1:17" x14ac:dyDescent="0.25">
      <c r="A1585" t="s">
        <v>394</v>
      </c>
      <c r="B1585" s="13" t="s">
        <v>26</v>
      </c>
      <c r="C1585" s="13" t="s">
        <v>226</v>
      </c>
      <c r="D1585" s="14" t="s">
        <v>310</v>
      </c>
      <c r="E1585" s="13" t="s">
        <v>61</v>
      </c>
      <c r="F1585" s="13" t="s">
        <v>796</v>
      </c>
      <c r="G1585" s="13">
        <v>0.7400000000000001</v>
      </c>
      <c r="H1585" s="15">
        <v>2504</v>
      </c>
      <c r="I1585" s="16">
        <v>1852.9600000000003</v>
      </c>
      <c r="J1585" s="16">
        <v>1337.7163362285851</v>
      </c>
      <c r="K1585" s="16">
        <v>515.24366377141496</v>
      </c>
      <c r="L1585" s="13">
        <v>2</v>
      </c>
      <c r="M1585" s="13"/>
      <c r="N1585" s="17">
        <f t="shared" si="53"/>
        <v>5008</v>
      </c>
      <c r="O1585" s="17">
        <f t="shared" si="53"/>
        <v>0</v>
      </c>
      <c r="P1585" s="17">
        <f t="shared" si="52"/>
        <v>5008</v>
      </c>
      <c r="Q1585" t="str">
        <f>A1585&amp;"-"&amp;B1585&amp;"-"&amp;D1585</f>
        <v>APRIL-MJ2-L12</v>
      </c>
    </row>
    <row r="1586" spans="1:17" x14ac:dyDescent="0.25">
      <c r="A1586" t="s">
        <v>394</v>
      </c>
      <c r="B1586" s="13" t="s">
        <v>26</v>
      </c>
      <c r="C1586" s="13" t="s">
        <v>226</v>
      </c>
      <c r="D1586" s="14" t="s">
        <v>320</v>
      </c>
      <c r="E1586" s="13" t="s">
        <v>61</v>
      </c>
      <c r="F1586" s="13" t="s">
        <v>790</v>
      </c>
      <c r="G1586" s="13">
        <v>0.65000000000000013</v>
      </c>
      <c r="H1586" s="15">
        <v>6284</v>
      </c>
      <c r="I1586" s="16">
        <v>4084.6000000000008</v>
      </c>
      <c r="J1586" s="16">
        <v>3151.8725093597168</v>
      </c>
      <c r="K1586" s="16">
        <v>932.7274906402838</v>
      </c>
      <c r="L1586" s="13">
        <v>1.91</v>
      </c>
      <c r="M1586" s="13"/>
      <c r="N1586" s="17">
        <f t="shared" si="53"/>
        <v>12002.439999999999</v>
      </c>
      <c r="O1586" s="17">
        <f t="shared" si="53"/>
        <v>0</v>
      </c>
      <c r="P1586" s="17">
        <f t="shared" si="52"/>
        <v>12002.439999999999</v>
      </c>
      <c r="Q1586" t="str">
        <f>A1586&amp;"-"&amp;B1586&amp;"-"&amp;D1586</f>
        <v>APRIL-MJ2-L13</v>
      </c>
    </row>
    <row r="1587" spans="1:17" x14ac:dyDescent="0.25">
      <c r="A1587" t="s">
        <v>394</v>
      </c>
      <c r="B1587" s="13" t="s">
        <v>26</v>
      </c>
      <c r="C1587" s="13" t="s">
        <v>226</v>
      </c>
      <c r="D1587" s="14" t="s">
        <v>320</v>
      </c>
      <c r="E1587" s="13" t="s">
        <v>61</v>
      </c>
      <c r="F1587" s="13" t="s">
        <v>636</v>
      </c>
      <c r="G1587" s="13">
        <v>0.69999999999999984</v>
      </c>
      <c r="H1587" s="15">
        <v>364</v>
      </c>
      <c r="I1587" s="16">
        <v>254.8</v>
      </c>
      <c r="J1587" s="16">
        <v>183.75540441176474</v>
      </c>
      <c r="K1587" s="16">
        <v>71.044595588235282</v>
      </c>
      <c r="L1587" s="13">
        <v>1.3</v>
      </c>
      <c r="M1587" s="13"/>
      <c r="N1587" s="17">
        <f t="shared" si="53"/>
        <v>473.2</v>
      </c>
      <c r="O1587" s="17">
        <f t="shared" si="53"/>
        <v>0</v>
      </c>
      <c r="P1587" s="17">
        <f t="shared" si="52"/>
        <v>473.2</v>
      </c>
      <c r="Q1587" t="str">
        <f>A1587&amp;"-"&amp;B1587&amp;"-"&amp;D1587</f>
        <v>APRIL-MJ2-L13</v>
      </c>
    </row>
    <row r="1588" spans="1:17" x14ac:dyDescent="0.25">
      <c r="A1588" t="s">
        <v>394</v>
      </c>
      <c r="B1588" s="13" t="s">
        <v>26</v>
      </c>
      <c r="C1588" s="13" t="s">
        <v>226</v>
      </c>
      <c r="D1588" s="14" t="s">
        <v>320</v>
      </c>
      <c r="E1588" s="13" t="s">
        <v>61</v>
      </c>
      <c r="F1588" s="13" t="s">
        <v>791</v>
      </c>
      <c r="G1588" s="13">
        <v>0.78000000000000014</v>
      </c>
      <c r="H1588" s="15">
        <v>4714</v>
      </c>
      <c r="I1588" s="16">
        <v>3676.9199999999996</v>
      </c>
      <c r="J1588" s="16">
        <v>2485.2804877481385</v>
      </c>
      <c r="K1588" s="16">
        <v>1191.6395122518611</v>
      </c>
      <c r="L1588" s="13">
        <v>2.14</v>
      </c>
      <c r="M1588" s="13"/>
      <c r="N1588" s="17">
        <f t="shared" si="53"/>
        <v>10087.960000000001</v>
      </c>
      <c r="O1588" s="17">
        <f t="shared" si="53"/>
        <v>0</v>
      </c>
      <c r="P1588" s="17">
        <f t="shared" si="52"/>
        <v>10087.960000000001</v>
      </c>
      <c r="Q1588" t="str">
        <f>A1588&amp;"-"&amp;B1588&amp;"-"&amp;D1588</f>
        <v>APRIL-MJ2-L13</v>
      </c>
    </row>
    <row r="1589" spans="1:17" x14ac:dyDescent="0.25">
      <c r="A1589" t="s">
        <v>394</v>
      </c>
      <c r="B1589" s="13" t="s">
        <v>26</v>
      </c>
      <c r="C1589" s="13" t="s">
        <v>226</v>
      </c>
      <c r="D1589" s="14" t="s">
        <v>320</v>
      </c>
      <c r="E1589" s="13" t="s">
        <v>61</v>
      </c>
      <c r="F1589" s="13" t="s">
        <v>792</v>
      </c>
      <c r="G1589" s="13">
        <v>0.7</v>
      </c>
      <c r="H1589" s="15">
        <v>731</v>
      </c>
      <c r="I1589" s="16">
        <v>511.7</v>
      </c>
      <c r="J1589" s="16">
        <v>391.16089019851108</v>
      </c>
      <c r="K1589" s="16">
        <v>120.53910980148886</v>
      </c>
      <c r="L1589" s="13">
        <v>2.29</v>
      </c>
      <c r="M1589" s="13"/>
      <c r="N1589" s="17">
        <f t="shared" si="53"/>
        <v>1673.99</v>
      </c>
      <c r="O1589" s="17">
        <f t="shared" si="53"/>
        <v>0</v>
      </c>
      <c r="P1589" s="17">
        <f t="shared" si="52"/>
        <v>1673.99</v>
      </c>
      <c r="Q1589" t="str">
        <f>A1589&amp;"-"&amp;B1589&amp;"-"&amp;D1589</f>
        <v>APRIL-MJ2-L13</v>
      </c>
    </row>
    <row r="1590" spans="1:17" x14ac:dyDescent="0.25">
      <c r="A1590" t="s">
        <v>394</v>
      </c>
      <c r="B1590" s="13" t="s">
        <v>26</v>
      </c>
      <c r="C1590" s="13" t="s">
        <v>226</v>
      </c>
      <c r="D1590" s="14" t="s">
        <v>320</v>
      </c>
      <c r="E1590" s="13" t="s">
        <v>61</v>
      </c>
      <c r="F1590" s="13" t="s">
        <v>793</v>
      </c>
      <c r="G1590" s="13">
        <v>0.77999999999999992</v>
      </c>
      <c r="H1590" s="15">
        <v>3200</v>
      </c>
      <c r="I1590" s="16">
        <v>2496</v>
      </c>
      <c r="J1590" s="16">
        <v>1722.7962701612903</v>
      </c>
      <c r="K1590" s="16">
        <v>773.20372983870971</v>
      </c>
      <c r="L1590" s="13">
        <v>2.14</v>
      </c>
      <c r="M1590" s="13"/>
      <c r="N1590" s="17">
        <f t="shared" si="53"/>
        <v>6848</v>
      </c>
      <c r="O1590" s="17">
        <f t="shared" si="53"/>
        <v>0</v>
      </c>
      <c r="P1590" s="17">
        <f t="shared" si="52"/>
        <v>6848</v>
      </c>
      <c r="Q1590" t="str">
        <f>A1590&amp;"-"&amp;B1590&amp;"-"&amp;D1590</f>
        <v>APRIL-MJ2-L13</v>
      </c>
    </row>
    <row r="1591" spans="1:17" x14ac:dyDescent="0.25">
      <c r="A1591" t="s">
        <v>394</v>
      </c>
      <c r="B1591" s="13" t="s">
        <v>26</v>
      </c>
      <c r="C1591" s="13" t="s">
        <v>226</v>
      </c>
      <c r="D1591" s="14" t="s">
        <v>320</v>
      </c>
      <c r="E1591" s="13" t="s">
        <v>61</v>
      </c>
      <c r="F1591" s="13" t="s">
        <v>794</v>
      </c>
      <c r="G1591" s="13">
        <v>0.7</v>
      </c>
      <c r="H1591" s="15">
        <v>178</v>
      </c>
      <c r="I1591" s="16">
        <v>124.6</v>
      </c>
      <c r="J1591" s="16">
        <v>96.809032258064519</v>
      </c>
      <c r="K1591" s="16">
        <v>27.790967741935475</v>
      </c>
      <c r="L1591" s="13">
        <v>2.29</v>
      </c>
      <c r="M1591" s="13"/>
      <c r="N1591" s="17">
        <f t="shared" si="53"/>
        <v>407.62</v>
      </c>
      <c r="O1591" s="17">
        <f t="shared" si="53"/>
        <v>0</v>
      </c>
      <c r="P1591" s="17">
        <f t="shared" si="52"/>
        <v>407.62</v>
      </c>
      <c r="Q1591" t="str">
        <f>A1591&amp;"-"&amp;B1591&amp;"-"&amp;D1591</f>
        <v>APRIL-MJ2-L13</v>
      </c>
    </row>
    <row r="1592" spans="1:17" x14ac:dyDescent="0.25">
      <c r="A1592" t="s">
        <v>394</v>
      </c>
      <c r="B1592" s="13" t="s">
        <v>26</v>
      </c>
      <c r="C1592" s="13" t="s">
        <v>226</v>
      </c>
      <c r="D1592" s="14" t="s">
        <v>320</v>
      </c>
      <c r="E1592" s="13" t="s">
        <v>61</v>
      </c>
      <c r="F1592" s="13" t="s">
        <v>795</v>
      </c>
      <c r="G1592" s="13">
        <v>0.7400000000000001</v>
      </c>
      <c r="H1592" s="15">
        <v>2979</v>
      </c>
      <c r="I1592" s="16">
        <v>2204.46</v>
      </c>
      <c r="J1592" s="16">
        <v>1589.5879950625786</v>
      </c>
      <c r="K1592" s="16">
        <v>614.87200493742137</v>
      </c>
      <c r="L1592" s="13">
        <v>2</v>
      </c>
      <c r="M1592" s="13"/>
      <c r="N1592" s="17">
        <f t="shared" si="53"/>
        <v>5958</v>
      </c>
      <c r="O1592" s="17">
        <f t="shared" si="53"/>
        <v>0</v>
      </c>
      <c r="P1592" s="17">
        <f t="shared" si="52"/>
        <v>5958</v>
      </c>
      <c r="Q1592" t="str">
        <f>A1592&amp;"-"&amp;B1592&amp;"-"&amp;D1592</f>
        <v>APRIL-MJ2-L13</v>
      </c>
    </row>
    <row r="1593" spans="1:17" x14ac:dyDescent="0.25">
      <c r="A1593" t="s">
        <v>394</v>
      </c>
      <c r="B1593" s="13" t="s">
        <v>26</v>
      </c>
      <c r="C1593" s="13" t="s">
        <v>226</v>
      </c>
      <c r="D1593" s="14" t="s">
        <v>320</v>
      </c>
      <c r="E1593" s="13" t="s">
        <v>61</v>
      </c>
      <c r="F1593" s="13" t="s">
        <v>796</v>
      </c>
      <c r="G1593" s="13">
        <v>0.7400000000000001</v>
      </c>
      <c r="H1593" s="15">
        <v>2504</v>
      </c>
      <c r="I1593" s="16">
        <v>1852.9600000000003</v>
      </c>
      <c r="J1593" s="16">
        <v>1337.7374107999351</v>
      </c>
      <c r="K1593" s="16">
        <v>515.22258920006493</v>
      </c>
      <c r="L1593" s="13">
        <v>2</v>
      </c>
      <c r="M1593" s="13"/>
      <c r="N1593" s="17">
        <f t="shared" si="53"/>
        <v>5008</v>
      </c>
      <c r="O1593" s="17">
        <f t="shared" si="53"/>
        <v>0</v>
      </c>
      <c r="P1593" s="17">
        <f t="shared" si="52"/>
        <v>5008</v>
      </c>
      <c r="Q1593" t="str">
        <f>A1593&amp;"-"&amp;B1593&amp;"-"&amp;D1593</f>
        <v>APRIL-MJ2-L13</v>
      </c>
    </row>
    <row r="1594" spans="1:17" x14ac:dyDescent="0.25">
      <c r="A1594" t="s">
        <v>394</v>
      </c>
      <c r="B1594" s="13" t="s">
        <v>26</v>
      </c>
      <c r="C1594" s="13" t="s">
        <v>226</v>
      </c>
      <c r="D1594" s="14" t="s">
        <v>50</v>
      </c>
      <c r="E1594" s="13" t="s">
        <v>61</v>
      </c>
      <c r="F1594" s="13" t="s">
        <v>652</v>
      </c>
      <c r="G1594" s="13">
        <v>0.65</v>
      </c>
      <c r="H1594" s="15">
        <v>3622</v>
      </c>
      <c r="I1594" s="16">
        <v>2354.2999999999997</v>
      </c>
      <c r="J1594" s="16">
        <v>1988.0201399794246</v>
      </c>
      <c r="K1594" s="16">
        <v>366.27986002057531</v>
      </c>
      <c r="L1594" s="13">
        <v>1.72</v>
      </c>
      <c r="M1594" s="13"/>
      <c r="N1594" s="17">
        <f t="shared" si="53"/>
        <v>6229.84</v>
      </c>
      <c r="O1594" s="17">
        <f t="shared" si="53"/>
        <v>0</v>
      </c>
      <c r="P1594" s="17">
        <f t="shared" si="52"/>
        <v>6229.84</v>
      </c>
      <c r="Q1594" t="str">
        <f>A1594&amp;"-"&amp;B1594&amp;"-"&amp;D1594</f>
        <v>APRIL-MJ2-L2</v>
      </c>
    </row>
    <row r="1595" spans="1:17" x14ac:dyDescent="0.25">
      <c r="A1595" t="s">
        <v>394</v>
      </c>
      <c r="B1595" s="13" t="s">
        <v>26</v>
      </c>
      <c r="C1595" s="13" t="s">
        <v>226</v>
      </c>
      <c r="D1595" s="14" t="s">
        <v>50</v>
      </c>
      <c r="E1595" s="13" t="s">
        <v>61</v>
      </c>
      <c r="F1595" s="13" t="s">
        <v>797</v>
      </c>
      <c r="G1595" s="13">
        <v>0.66</v>
      </c>
      <c r="H1595" s="15">
        <v>6727</v>
      </c>
      <c r="I1595" s="16">
        <v>4439.82</v>
      </c>
      <c r="J1595" s="16">
        <v>3705.3515763101955</v>
      </c>
      <c r="K1595" s="16">
        <v>734.46842368980458</v>
      </c>
      <c r="L1595" s="13">
        <v>1.71</v>
      </c>
      <c r="M1595" s="13"/>
      <c r="N1595" s="17">
        <f t="shared" si="53"/>
        <v>11503.17</v>
      </c>
      <c r="O1595" s="17">
        <f t="shared" si="53"/>
        <v>0</v>
      </c>
      <c r="P1595" s="17">
        <f t="shared" si="52"/>
        <v>11503.17</v>
      </c>
      <c r="Q1595" t="str">
        <f>A1595&amp;"-"&amp;B1595&amp;"-"&amp;D1595</f>
        <v>APRIL-MJ2-L2</v>
      </c>
    </row>
    <row r="1596" spans="1:17" x14ac:dyDescent="0.25">
      <c r="A1596" t="s">
        <v>394</v>
      </c>
      <c r="B1596" s="13" t="s">
        <v>26</v>
      </c>
      <c r="C1596" s="13" t="s">
        <v>226</v>
      </c>
      <c r="D1596" s="14" t="s">
        <v>50</v>
      </c>
      <c r="E1596" s="13" t="s">
        <v>61</v>
      </c>
      <c r="F1596" s="13" t="s">
        <v>798</v>
      </c>
      <c r="G1596" s="13">
        <v>0.7</v>
      </c>
      <c r="H1596" s="15">
        <v>390</v>
      </c>
      <c r="I1596" s="16">
        <v>273</v>
      </c>
      <c r="J1596" s="16">
        <v>263.01600000000002</v>
      </c>
      <c r="K1596" s="16">
        <v>9.9839999999999804</v>
      </c>
      <c r="L1596" s="13">
        <v>1.3</v>
      </c>
      <c r="M1596" s="13"/>
      <c r="N1596" s="17">
        <f t="shared" si="53"/>
        <v>507</v>
      </c>
      <c r="O1596" s="17">
        <f t="shared" si="53"/>
        <v>0</v>
      </c>
      <c r="P1596" s="17">
        <f t="shared" si="52"/>
        <v>507</v>
      </c>
      <c r="Q1596" t="str">
        <f>A1596&amp;"-"&amp;B1596&amp;"-"&amp;D1596</f>
        <v>APRIL-MJ2-L2</v>
      </c>
    </row>
    <row r="1597" spans="1:17" x14ac:dyDescent="0.25">
      <c r="A1597" t="s">
        <v>394</v>
      </c>
      <c r="B1597" s="13" t="s">
        <v>26</v>
      </c>
      <c r="C1597" s="13" t="s">
        <v>226</v>
      </c>
      <c r="D1597" s="14" t="s">
        <v>50</v>
      </c>
      <c r="E1597" s="13" t="s">
        <v>61</v>
      </c>
      <c r="F1597" s="13" t="s">
        <v>636</v>
      </c>
      <c r="G1597" s="13">
        <v>0.69999999999999984</v>
      </c>
      <c r="H1597" s="15">
        <v>688</v>
      </c>
      <c r="I1597" s="16">
        <v>481.6</v>
      </c>
      <c r="J1597" s="16">
        <v>410.43926672738439</v>
      </c>
      <c r="K1597" s="16">
        <v>71.16073327261563</v>
      </c>
      <c r="L1597" s="13">
        <v>1.3</v>
      </c>
      <c r="M1597" s="13"/>
      <c r="N1597" s="17">
        <f t="shared" si="53"/>
        <v>894.4</v>
      </c>
      <c r="O1597" s="17">
        <f t="shared" si="53"/>
        <v>0</v>
      </c>
      <c r="P1597" s="17">
        <f t="shared" si="52"/>
        <v>894.4</v>
      </c>
      <c r="Q1597" t="str">
        <f>A1597&amp;"-"&amp;B1597&amp;"-"&amp;D1597</f>
        <v>APRIL-MJ2-L2</v>
      </c>
    </row>
    <row r="1598" spans="1:17" x14ac:dyDescent="0.25">
      <c r="A1598" t="s">
        <v>394</v>
      </c>
      <c r="B1598" s="13" t="s">
        <v>26</v>
      </c>
      <c r="C1598" s="13" t="s">
        <v>226</v>
      </c>
      <c r="D1598" s="14" t="s">
        <v>50</v>
      </c>
      <c r="E1598" s="13" t="s">
        <v>61</v>
      </c>
      <c r="F1598" s="13" t="s">
        <v>653</v>
      </c>
      <c r="G1598" s="13">
        <v>0.65</v>
      </c>
      <c r="H1598" s="15">
        <v>9</v>
      </c>
      <c r="I1598" s="16">
        <v>5.85</v>
      </c>
      <c r="J1598" s="16">
        <v>5.4387096774193546</v>
      </c>
      <c r="K1598" s="16">
        <v>0.41129032258064502</v>
      </c>
      <c r="L1598" s="13">
        <v>1.72</v>
      </c>
      <c r="M1598" s="13"/>
      <c r="N1598" s="17">
        <f t="shared" si="53"/>
        <v>15.48</v>
      </c>
      <c r="O1598" s="17">
        <f t="shared" si="53"/>
        <v>0</v>
      </c>
      <c r="P1598" s="17">
        <f t="shared" si="52"/>
        <v>15.48</v>
      </c>
      <c r="Q1598" t="str">
        <f>A1598&amp;"-"&amp;B1598&amp;"-"&amp;D1598</f>
        <v>APRIL-MJ2-L2</v>
      </c>
    </row>
    <row r="1599" spans="1:17" x14ac:dyDescent="0.25">
      <c r="A1599" t="s">
        <v>394</v>
      </c>
      <c r="B1599" s="13" t="s">
        <v>26</v>
      </c>
      <c r="C1599" s="13" t="s">
        <v>226</v>
      </c>
      <c r="D1599" s="14" t="s">
        <v>50</v>
      </c>
      <c r="E1599" s="13" t="s">
        <v>61</v>
      </c>
      <c r="F1599" s="13" t="s">
        <v>799</v>
      </c>
      <c r="G1599" s="13">
        <v>0.78000000000000014</v>
      </c>
      <c r="H1599" s="15">
        <v>2607</v>
      </c>
      <c r="I1599" s="16">
        <v>2033.46</v>
      </c>
      <c r="J1599" s="16">
        <v>1876.5012359895936</v>
      </c>
      <c r="K1599" s="16">
        <v>156.95876401040641</v>
      </c>
      <c r="L1599" s="13">
        <v>2.13</v>
      </c>
      <c r="M1599" s="13"/>
      <c r="N1599" s="17">
        <f t="shared" si="53"/>
        <v>5552.91</v>
      </c>
      <c r="O1599" s="17">
        <f t="shared" si="53"/>
        <v>0</v>
      </c>
      <c r="P1599" s="17">
        <f t="shared" si="52"/>
        <v>5552.91</v>
      </c>
      <c r="Q1599" t="str">
        <f>A1599&amp;"-"&amp;B1599&amp;"-"&amp;D1599</f>
        <v>APRIL-MJ2-L2</v>
      </c>
    </row>
    <row r="1600" spans="1:17" x14ac:dyDescent="0.25">
      <c r="A1600" t="s">
        <v>394</v>
      </c>
      <c r="B1600" s="13" t="s">
        <v>26</v>
      </c>
      <c r="C1600" s="13" t="s">
        <v>226</v>
      </c>
      <c r="D1600" s="14" t="s">
        <v>50</v>
      </c>
      <c r="E1600" s="13" t="s">
        <v>61</v>
      </c>
      <c r="F1600" s="13" t="s">
        <v>800</v>
      </c>
      <c r="G1600" s="13">
        <v>0.78</v>
      </c>
      <c r="H1600" s="15">
        <v>3114</v>
      </c>
      <c r="I1600" s="16">
        <v>2428.92</v>
      </c>
      <c r="J1600" s="16">
        <v>1956.6385372582399</v>
      </c>
      <c r="K1600" s="16">
        <v>472.28146274175998</v>
      </c>
      <c r="L1600" s="13">
        <v>2.13</v>
      </c>
      <c r="M1600" s="13"/>
      <c r="N1600" s="17">
        <f t="shared" si="53"/>
        <v>6632.82</v>
      </c>
      <c r="O1600" s="17">
        <f t="shared" si="53"/>
        <v>0</v>
      </c>
      <c r="P1600" s="17">
        <f t="shared" si="52"/>
        <v>6632.82</v>
      </c>
      <c r="Q1600" t="str">
        <f>A1600&amp;"-"&amp;B1600&amp;"-"&amp;D1600</f>
        <v>APRIL-MJ2-L2</v>
      </c>
    </row>
    <row r="1601" spans="1:17" x14ac:dyDescent="0.25">
      <c r="A1601" t="s">
        <v>394</v>
      </c>
      <c r="B1601" s="13" t="s">
        <v>26</v>
      </c>
      <c r="C1601" s="13" t="s">
        <v>226</v>
      </c>
      <c r="D1601" s="14" t="s">
        <v>50</v>
      </c>
      <c r="E1601" s="13" t="s">
        <v>61</v>
      </c>
      <c r="F1601" s="13" t="s">
        <v>795</v>
      </c>
      <c r="G1601" s="13">
        <v>0.73999999999999988</v>
      </c>
      <c r="H1601" s="15">
        <v>992</v>
      </c>
      <c r="I1601" s="16">
        <v>734.07999999999993</v>
      </c>
      <c r="J1601" s="16">
        <v>743.92571685344149</v>
      </c>
      <c r="K1601" s="16">
        <v>-9.845716853441548</v>
      </c>
      <c r="L1601" s="13">
        <v>2</v>
      </c>
      <c r="M1601" s="13"/>
      <c r="N1601" s="17">
        <f t="shared" si="53"/>
        <v>1984</v>
      </c>
      <c r="O1601" s="17">
        <f t="shared" si="53"/>
        <v>0</v>
      </c>
      <c r="P1601" s="17">
        <f t="shared" si="52"/>
        <v>1984</v>
      </c>
      <c r="Q1601" t="str">
        <f>A1601&amp;"-"&amp;B1601&amp;"-"&amp;D1601</f>
        <v>APRIL-MJ2-L2</v>
      </c>
    </row>
    <row r="1602" spans="1:17" x14ac:dyDescent="0.25">
      <c r="A1602" t="s">
        <v>394</v>
      </c>
      <c r="B1602" s="13" t="s">
        <v>26</v>
      </c>
      <c r="C1602" s="13" t="s">
        <v>226</v>
      </c>
      <c r="D1602" s="14" t="s">
        <v>50</v>
      </c>
      <c r="E1602" s="13" t="s">
        <v>61</v>
      </c>
      <c r="F1602" s="13" t="s">
        <v>654</v>
      </c>
      <c r="G1602" s="13">
        <v>0.65</v>
      </c>
      <c r="H1602" s="15">
        <v>16</v>
      </c>
      <c r="I1602" s="16">
        <v>10.4</v>
      </c>
      <c r="J1602" s="16">
        <v>9.6688172043010745</v>
      </c>
      <c r="K1602" s="16">
        <v>0.73118279569892586</v>
      </c>
      <c r="L1602" s="13">
        <v>1.72</v>
      </c>
      <c r="M1602" s="13"/>
      <c r="N1602" s="17">
        <f t="shared" si="53"/>
        <v>27.52</v>
      </c>
      <c r="O1602" s="17">
        <f t="shared" si="53"/>
        <v>0</v>
      </c>
      <c r="P1602" s="17">
        <f t="shared" ref="P1602:P1665" si="54">N1602+O1602</f>
        <v>27.52</v>
      </c>
      <c r="Q1602" t="str">
        <f>A1602&amp;"-"&amp;B1602&amp;"-"&amp;D1602</f>
        <v>APRIL-MJ2-L2</v>
      </c>
    </row>
    <row r="1603" spans="1:17" x14ac:dyDescent="0.25">
      <c r="A1603" t="s">
        <v>394</v>
      </c>
      <c r="B1603" s="13" t="s">
        <v>26</v>
      </c>
      <c r="C1603" s="13" t="s">
        <v>226</v>
      </c>
      <c r="D1603" s="14" t="s">
        <v>56</v>
      </c>
      <c r="E1603" s="13" t="s">
        <v>61</v>
      </c>
      <c r="F1603" s="13" t="s">
        <v>652</v>
      </c>
      <c r="G1603" s="13">
        <v>0.65</v>
      </c>
      <c r="H1603" s="15">
        <v>3624</v>
      </c>
      <c r="I1603" s="16">
        <v>2355.6</v>
      </c>
      <c r="J1603" s="16">
        <v>1989.0514549445447</v>
      </c>
      <c r="K1603" s="16">
        <v>366.54854505545552</v>
      </c>
      <c r="L1603" s="13">
        <v>1.72</v>
      </c>
      <c r="M1603" s="13"/>
      <c r="N1603" s="17">
        <f t="shared" si="53"/>
        <v>6233.28</v>
      </c>
      <c r="O1603" s="17">
        <f t="shared" si="53"/>
        <v>0</v>
      </c>
      <c r="P1603" s="17">
        <f t="shared" si="54"/>
        <v>6233.28</v>
      </c>
      <c r="Q1603" t="str">
        <f>A1603&amp;"-"&amp;B1603&amp;"-"&amp;D1603</f>
        <v>APRIL-MJ2-L3</v>
      </c>
    </row>
    <row r="1604" spans="1:17" x14ac:dyDescent="0.25">
      <c r="A1604" t="s">
        <v>394</v>
      </c>
      <c r="B1604" s="13" t="s">
        <v>26</v>
      </c>
      <c r="C1604" s="13" t="s">
        <v>226</v>
      </c>
      <c r="D1604" s="14" t="s">
        <v>56</v>
      </c>
      <c r="E1604" s="13" t="s">
        <v>61</v>
      </c>
      <c r="F1604" s="13" t="s">
        <v>797</v>
      </c>
      <c r="G1604" s="13">
        <v>0.66</v>
      </c>
      <c r="H1604" s="15">
        <v>6725</v>
      </c>
      <c r="I1604" s="16">
        <v>4438.5</v>
      </c>
      <c r="J1604" s="16">
        <v>3704.1734273629409</v>
      </c>
      <c r="K1604" s="16">
        <v>734.32657263705914</v>
      </c>
      <c r="L1604" s="13">
        <v>1.71</v>
      </c>
      <c r="M1604" s="13"/>
      <c r="N1604" s="17">
        <f t="shared" si="53"/>
        <v>11499.75</v>
      </c>
      <c r="O1604" s="17">
        <f t="shared" si="53"/>
        <v>0</v>
      </c>
      <c r="P1604" s="17">
        <f t="shared" si="54"/>
        <v>11499.75</v>
      </c>
      <c r="Q1604" t="str">
        <f>A1604&amp;"-"&amp;B1604&amp;"-"&amp;D1604</f>
        <v>APRIL-MJ2-L3</v>
      </c>
    </row>
    <row r="1605" spans="1:17" x14ac:dyDescent="0.25">
      <c r="A1605" t="s">
        <v>394</v>
      </c>
      <c r="B1605" s="13" t="s">
        <v>26</v>
      </c>
      <c r="C1605" s="13" t="s">
        <v>226</v>
      </c>
      <c r="D1605" s="14" t="s">
        <v>56</v>
      </c>
      <c r="E1605" s="13" t="s">
        <v>61</v>
      </c>
      <c r="F1605" s="13" t="s">
        <v>798</v>
      </c>
      <c r="G1605" s="13">
        <v>0.7</v>
      </c>
      <c r="H1605" s="15">
        <v>390</v>
      </c>
      <c r="I1605" s="16">
        <v>273</v>
      </c>
      <c r="J1605" s="16">
        <v>263.01600000000002</v>
      </c>
      <c r="K1605" s="16">
        <v>9.9839999999999804</v>
      </c>
      <c r="L1605" s="13">
        <v>1.3</v>
      </c>
      <c r="M1605" s="13"/>
      <c r="N1605" s="17">
        <f t="shared" si="53"/>
        <v>507</v>
      </c>
      <c r="O1605" s="17">
        <f t="shared" si="53"/>
        <v>0</v>
      </c>
      <c r="P1605" s="17">
        <f t="shared" si="54"/>
        <v>507</v>
      </c>
      <c r="Q1605" t="str">
        <f>A1605&amp;"-"&amp;B1605&amp;"-"&amp;D1605</f>
        <v>APRIL-MJ2-L3</v>
      </c>
    </row>
    <row r="1606" spans="1:17" x14ac:dyDescent="0.25">
      <c r="A1606" t="s">
        <v>394</v>
      </c>
      <c r="B1606" s="13" t="s">
        <v>26</v>
      </c>
      <c r="C1606" s="13" t="s">
        <v>226</v>
      </c>
      <c r="D1606" s="14" t="s">
        <v>56</v>
      </c>
      <c r="E1606" s="13" t="s">
        <v>61</v>
      </c>
      <c r="F1606" s="13" t="s">
        <v>636</v>
      </c>
      <c r="G1606" s="13">
        <v>0.69999999999999984</v>
      </c>
      <c r="H1606" s="15">
        <v>687</v>
      </c>
      <c r="I1606" s="16">
        <v>480.9</v>
      </c>
      <c r="J1606" s="16">
        <v>409.8622412501943</v>
      </c>
      <c r="K1606" s="16">
        <v>71.037758749805676</v>
      </c>
      <c r="L1606" s="13">
        <v>1.3</v>
      </c>
      <c r="M1606" s="13"/>
      <c r="N1606" s="17">
        <f t="shared" si="53"/>
        <v>893.1</v>
      </c>
      <c r="O1606" s="17">
        <f t="shared" si="53"/>
        <v>0</v>
      </c>
      <c r="P1606" s="17">
        <f t="shared" si="54"/>
        <v>893.1</v>
      </c>
      <c r="Q1606" t="str">
        <f>A1606&amp;"-"&amp;B1606&amp;"-"&amp;D1606</f>
        <v>APRIL-MJ2-L3</v>
      </c>
    </row>
    <row r="1607" spans="1:17" x14ac:dyDescent="0.25">
      <c r="A1607" t="s">
        <v>394</v>
      </c>
      <c r="B1607" s="13" t="s">
        <v>26</v>
      </c>
      <c r="C1607" s="13" t="s">
        <v>226</v>
      </c>
      <c r="D1607" s="14" t="s">
        <v>56</v>
      </c>
      <c r="E1607" s="13" t="s">
        <v>61</v>
      </c>
      <c r="F1607" s="13" t="s">
        <v>653</v>
      </c>
      <c r="G1607" s="13">
        <v>0.65</v>
      </c>
      <c r="H1607" s="15">
        <v>10</v>
      </c>
      <c r="I1607" s="16">
        <v>6.5</v>
      </c>
      <c r="J1607" s="16">
        <v>6.043010752688172</v>
      </c>
      <c r="K1607" s="16">
        <v>0.456989247311828</v>
      </c>
      <c r="L1607" s="13">
        <v>1.72</v>
      </c>
      <c r="M1607" s="13"/>
      <c r="N1607" s="17">
        <f t="shared" si="53"/>
        <v>17.2</v>
      </c>
      <c r="O1607" s="17">
        <f t="shared" si="53"/>
        <v>0</v>
      </c>
      <c r="P1607" s="17">
        <f t="shared" si="54"/>
        <v>17.2</v>
      </c>
      <c r="Q1607" t="str">
        <f>A1607&amp;"-"&amp;B1607&amp;"-"&amp;D1607</f>
        <v>APRIL-MJ2-L3</v>
      </c>
    </row>
    <row r="1608" spans="1:17" x14ac:dyDescent="0.25">
      <c r="A1608" t="s">
        <v>394</v>
      </c>
      <c r="B1608" s="13" t="s">
        <v>26</v>
      </c>
      <c r="C1608" s="13" t="s">
        <v>226</v>
      </c>
      <c r="D1608" s="14" t="s">
        <v>56</v>
      </c>
      <c r="E1608" s="13" t="s">
        <v>61</v>
      </c>
      <c r="F1608" s="13" t="s">
        <v>799</v>
      </c>
      <c r="G1608" s="13">
        <v>0.78000000000000014</v>
      </c>
      <c r="H1608" s="15">
        <v>2608</v>
      </c>
      <c r="I1608" s="16">
        <v>2034.2399999999998</v>
      </c>
      <c r="J1608" s="16">
        <v>1877.6643999479847</v>
      </c>
      <c r="K1608" s="16">
        <v>156.57560005201543</v>
      </c>
      <c r="L1608" s="13">
        <v>2.13</v>
      </c>
      <c r="M1608" s="13"/>
      <c r="N1608" s="17">
        <f t="shared" si="53"/>
        <v>5555.04</v>
      </c>
      <c r="O1608" s="17">
        <f t="shared" si="53"/>
        <v>0</v>
      </c>
      <c r="P1608" s="17">
        <f t="shared" si="54"/>
        <v>5555.04</v>
      </c>
      <c r="Q1608" t="str">
        <f>A1608&amp;"-"&amp;B1608&amp;"-"&amp;D1608</f>
        <v>APRIL-MJ2-L3</v>
      </c>
    </row>
    <row r="1609" spans="1:17" x14ac:dyDescent="0.25">
      <c r="A1609" t="s">
        <v>394</v>
      </c>
      <c r="B1609" s="13" t="s">
        <v>26</v>
      </c>
      <c r="C1609" s="13" t="s">
        <v>226</v>
      </c>
      <c r="D1609" s="14" t="s">
        <v>56</v>
      </c>
      <c r="E1609" s="13" t="s">
        <v>61</v>
      </c>
      <c r="F1609" s="13" t="s">
        <v>800</v>
      </c>
      <c r="G1609" s="13">
        <v>0.78</v>
      </c>
      <c r="H1609" s="15">
        <v>3111</v>
      </c>
      <c r="I1609" s="16">
        <v>2426.58</v>
      </c>
      <c r="J1609" s="16">
        <v>1954.6647999098523</v>
      </c>
      <c r="K1609" s="16">
        <v>471.91520009014778</v>
      </c>
      <c r="L1609" s="13">
        <v>2.13</v>
      </c>
      <c r="M1609" s="13"/>
      <c r="N1609" s="17">
        <f t="shared" si="53"/>
        <v>6626.4299999999994</v>
      </c>
      <c r="O1609" s="17">
        <f t="shared" si="53"/>
        <v>0</v>
      </c>
      <c r="P1609" s="17">
        <f t="shared" si="54"/>
        <v>6626.4299999999994</v>
      </c>
      <c r="Q1609" t="str">
        <f>A1609&amp;"-"&amp;B1609&amp;"-"&amp;D1609</f>
        <v>APRIL-MJ2-L3</v>
      </c>
    </row>
    <row r="1610" spans="1:17" x14ac:dyDescent="0.25">
      <c r="A1610" t="s">
        <v>394</v>
      </c>
      <c r="B1610" s="13" t="s">
        <v>26</v>
      </c>
      <c r="C1610" s="13" t="s">
        <v>226</v>
      </c>
      <c r="D1610" s="14" t="s">
        <v>56</v>
      </c>
      <c r="E1610" s="13" t="s">
        <v>61</v>
      </c>
      <c r="F1610" s="13" t="s">
        <v>795</v>
      </c>
      <c r="G1610" s="13">
        <v>0.73999999999999988</v>
      </c>
      <c r="H1610" s="15">
        <v>994</v>
      </c>
      <c r="I1610" s="16">
        <v>735.56</v>
      </c>
      <c r="J1610" s="16">
        <v>745.46014970276337</v>
      </c>
      <c r="K1610" s="16">
        <v>-9.9001497027633931</v>
      </c>
      <c r="L1610" s="13">
        <v>2</v>
      </c>
      <c r="M1610" s="13"/>
      <c r="N1610" s="17">
        <f t="shared" si="53"/>
        <v>1988</v>
      </c>
      <c r="O1610" s="17">
        <f t="shared" si="53"/>
        <v>0</v>
      </c>
      <c r="P1610" s="17">
        <f t="shared" si="54"/>
        <v>1988</v>
      </c>
      <c r="Q1610" t="str">
        <f>A1610&amp;"-"&amp;B1610&amp;"-"&amp;D1610</f>
        <v>APRIL-MJ2-L3</v>
      </c>
    </row>
    <row r="1611" spans="1:17" x14ac:dyDescent="0.25">
      <c r="A1611" t="s">
        <v>394</v>
      </c>
      <c r="B1611" s="13" t="s">
        <v>26</v>
      </c>
      <c r="C1611" s="13" t="s">
        <v>226</v>
      </c>
      <c r="D1611" s="14" t="s">
        <v>56</v>
      </c>
      <c r="E1611" s="13" t="s">
        <v>61</v>
      </c>
      <c r="F1611" s="13" t="s">
        <v>654</v>
      </c>
      <c r="G1611" s="13">
        <v>0.65</v>
      </c>
      <c r="H1611" s="15">
        <v>15</v>
      </c>
      <c r="I1611" s="16">
        <v>9.75</v>
      </c>
      <c r="J1611" s="16">
        <v>9.064516129032258</v>
      </c>
      <c r="K1611" s="16">
        <v>0.68548387096774199</v>
      </c>
      <c r="L1611" s="13">
        <v>1.72</v>
      </c>
      <c r="M1611" s="13"/>
      <c r="N1611" s="17">
        <f t="shared" si="53"/>
        <v>25.8</v>
      </c>
      <c r="O1611" s="17">
        <f t="shared" si="53"/>
        <v>0</v>
      </c>
      <c r="P1611" s="17">
        <f t="shared" si="54"/>
        <v>25.8</v>
      </c>
      <c r="Q1611" t="str">
        <f>A1611&amp;"-"&amp;B1611&amp;"-"&amp;D1611</f>
        <v>APRIL-MJ2-L3</v>
      </c>
    </row>
    <row r="1612" spans="1:17" x14ac:dyDescent="0.25">
      <c r="A1612" t="s">
        <v>394</v>
      </c>
      <c r="B1612" s="13" t="s">
        <v>26</v>
      </c>
      <c r="C1612" s="13" t="s">
        <v>226</v>
      </c>
      <c r="D1612" s="14" t="s">
        <v>158</v>
      </c>
      <c r="E1612" s="13" t="s">
        <v>61</v>
      </c>
      <c r="F1612" s="13" t="s">
        <v>665</v>
      </c>
      <c r="G1612" s="13">
        <v>0.7599999999999999</v>
      </c>
      <c r="H1612" s="15">
        <v>4965</v>
      </c>
      <c r="I1612" s="16">
        <v>3773.4</v>
      </c>
      <c r="J1612" s="16">
        <v>2621.3281044315927</v>
      </c>
      <c r="K1612" s="16">
        <v>1152.0718955684079</v>
      </c>
      <c r="L1612" s="13">
        <v>2</v>
      </c>
      <c r="M1612" s="13"/>
      <c r="N1612" s="17">
        <f t="shared" si="53"/>
        <v>9930</v>
      </c>
      <c r="O1612" s="17">
        <f t="shared" si="53"/>
        <v>0</v>
      </c>
      <c r="P1612" s="17">
        <f t="shared" si="54"/>
        <v>9930</v>
      </c>
      <c r="Q1612" t="str">
        <f>A1612&amp;"-"&amp;B1612&amp;"-"&amp;D1612</f>
        <v>APRIL-MJ2-L4</v>
      </c>
    </row>
    <row r="1613" spans="1:17" x14ac:dyDescent="0.25">
      <c r="A1613" t="s">
        <v>394</v>
      </c>
      <c r="B1613" s="13" t="s">
        <v>26</v>
      </c>
      <c r="C1613" s="13" t="s">
        <v>226</v>
      </c>
      <c r="D1613" s="14" t="s">
        <v>158</v>
      </c>
      <c r="E1613" s="13" t="s">
        <v>61</v>
      </c>
      <c r="F1613" s="13" t="s">
        <v>801</v>
      </c>
      <c r="G1613" s="13">
        <v>0.73999999999999988</v>
      </c>
      <c r="H1613" s="15">
        <v>406</v>
      </c>
      <c r="I1613" s="16">
        <v>300.44</v>
      </c>
      <c r="J1613" s="16">
        <v>204.14875222554218</v>
      </c>
      <c r="K1613" s="16">
        <v>96.291247774457801</v>
      </c>
      <c r="L1613" s="13">
        <v>2.17</v>
      </c>
      <c r="M1613" s="13"/>
      <c r="N1613" s="17">
        <f t="shared" si="53"/>
        <v>881.02</v>
      </c>
      <c r="O1613" s="17">
        <f t="shared" si="53"/>
        <v>0</v>
      </c>
      <c r="P1613" s="17">
        <f t="shared" si="54"/>
        <v>881.02</v>
      </c>
      <c r="Q1613" t="str">
        <f>A1613&amp;"-"&amp;B1613&amp;"-"&amp;D1613</f>
        <v>APRIL-MJ2-L4</v>
      </c>
    </row>
    <row r="1614" spans="1:17" x14ac:dyDescent="0.25">
      <c r="A1614" t="s">
        <v>394</v>
      </c>
      <c r="B1614" s="13" t="s">
        <v>26</v>
      </c>
      <c r="C1614" s="13" t="s">
        <v>226</v>
      </c>
      <c r="D1614" s="14" t="s">
        <v>158</v>
      </c>
      <c r="E1614" s="13" t="s">
        <v>61</v>
      </c>
      <c r="F1614" s="13" t="s">
        <v>802</v>
      </c>
      <c r="G1614" s="13">
        <v>0.7599999999999999</v>
      </c>
      <c r="H1614" s="15">
        <v>2978</v>
      </c>
      <c r="I1614" s="16">
        <v>2263.2800000000002</v>
      </c>
      <c r="J1614" s="16">
        <v>1553.0173805040231</v>
      </c>
      <c r="K1614" s="16">
        <v>710.26261949597699</v>
      </c>
      <c r="L1614" s="13">
        <v>2</v>
      </c>
      <c r="M1614" s="13"/>
      <c r="N1614" s="17">
        <f t="shared" si="53"/>
        <v>5956</v>
      </c>
      <c r="O1614" s="17">
        <f t="shared" si="53"/>
        <v>0</v>
      </c>
      <c r="P1614" s="17">
        <f t="shared" si="54"/>
        <v>5956</v>
      </c>
      <c r="Q1614" t="str">
        <f>A1614&amp;"-"&amp;B1614&amp;"-"&amp;D1614</f>
        <v>APRIL-MJ2-L4</v>
      </c>
    </row>
    <row r="1615" spans="1:17" x14ac:dyDescent="0.25">
      <c r="A1615" t="s">
        <v>394</v>
      </c>
      <c r="B1615" s="13" t="s">
        <v>26</v>
      </c>
      <c r="C1615" s="13" t="s">
        <v>226</v>
      </c>
      <c r="D1615" s="14" t="s">
        <v>158</v>
      </c>
      <c r="E1615" s="13" t="s">
        <v>61</v>
      </c>
      <c r="F1615" s="13" t="s">
        <v>803</v>
      </c>
      <c r="G1615" s="13">
        <v>0.74</v>
      </c>
      <c r="H1615" s="15">
        <v>30</v>
      </c>
      <c r="I1615" s="16">
        <v>22.2</v>
      </c>
      <c r="J1615" s="16">
        <v>14.316314779869309</v>
      </c>
      <c r="K1615" s="16">
        <v>7.8836852201306895</v>
      </c>
      <c r="L1615" s="13">
        <v>2.17</v>
      </c>
      <c r="M1615" s="13"/>
      <c r="N1615" s="17">
        <f t="shared" si="53"/>
        <v>65.099999999999994</v>
      </c>
      <c r="O1615" s="17">
        <f t="shared" si="53"/>
        <v>0</v>
      </c>
      <c r="P1615" s="17">
        <f t="shared" si="54"/>
        <v>65.099999999999994</v>
      </c>
      <c r="Q1615" t="str">
        <f>A1615&amp;"-"&amp;B1615&amp;"-"&amp;D1615</f>
        <v>APRIL-MJ2-L4</v>
      </c>
    </row>
    <row r="1616" spans="1:17" x14ac:dyDescent="0.25">
      <c r="A1616" t="s">
        <v>394</v>
      </c>
      <c r="B1616" s="13" t="s">
        <v>26</v>
      </c>
      <c r="C1616" s="13" t="s">
        <v>226</v>
      </c>
      <c r="D1616" s="14" t="s">
        <v>158</v>
      </c>
      <c r="E1616" s="13" t="s">
        <v>61</v>
      </c>
      <c r="F1616" s="13" t="s">
        <v>804</v>
      </c>
      <c r="G1616" s="13">
        <v>0.76000000000000012</v>
      </c>
      <c r="H1616" s="15">
        <v>1179</v>
      </c>
      <c r="I1616" s="16">
        <v>896.04</v>
      </c>
      <c r="J1616" s="16">
        <v>620.44342528464995</v>
      </c>
      <c r="K1616" s="16">
        <v>275.59657471534996</v>
      </c>
      <c r="L1616" s="13">
        <v>2</v>
      </c>
      <c r="M1616" s="13"/>
      <c r="N1616" s="17">
        <f t="shared" si="53"/>
        <v>2358</v>
      </c>
      <c r="O1616" s="17">
        <f t="shared" si="53"/>
        <v>0</v>
      </c>
      <c r="P1616" s="17">
        <f t="shared" si="54"/>
        <v>2358</v>
      </c>
      <c r="Q1616" t="str">
        <f>A1616&amp;"-"&amp;B1616&amp;"-"&amp;D1616</f>
        <v>APRIL-MJ2-L4</v>
      </c>
    </row>
    <row r="1617" spans="1:17" x14ac:dyDescent="0.25">
      <c r="A1617" t="s">
        <v>394</v>
      </c>
      <c r="B1617" s="13" t="s">
        <v>26</v>
      </c>
      <c r="C1617" s="13" t="s">
        <v>226</v>
      </c>
      <c r="D1617" s="14" t="s">
        <v>158</v>
      </c>
      <c r="E1617" s="13" t="s">
        <v>61</v>
      </c>
      <c r="F1617" s="13" t="s">
        <v>805</v>
      </c>
      <c r="G1617" s="13">
        <v>0.73999999999999988</v>
      </c>
      <c r="H1617" s="15">
        <v>1052</v>
      </c>
      <c r="I1617" s="16">
        <v>778.48</v>
      </c>
      <c r="J1617" s="16">
        <v>578.53604649015392</v>
      </c>
      <c r="K1617" s="16">
        <v>199.94395350984604</v>
      </c>
      <c r="L1617" s="13">
        <v>2.17</v>
      </c>
      <c r="M1617" s="13"/>
      <c r="N1617" s="17">
        <f t="shared" si="53"/>
        <v>2282.84</v>
      </c>
      <c r="O1617" s="17">
        <f t="shared" si="53"/>
        <v>0</v>
      </c>
      <c r="P1617" s="17">
        <f t="shared" si="54"/>
        <v>2282.84</v>
      </c>
      <c r="Q1617" t="str">
        <f>A1617&amp;"-"&amp;B1617&amp;"-"&amp;D1617</f>
        <v>APRIL-MJ2-L4</v>
      </c>
    </row>
    <row r="1618" spans="1:17" x14ac:dyDescent="0.25">
      <c r="A1618" t="s">
        <v>394</v>
      </c>
      <c r="B1618" s="13" t="s">
        <v>26</v>
      </c>
      <c r="C1618" s="13" t="s">
        <v>226</v>
      </c>
      <c r="D1618" s="14" t="s">
        <v>158</v>
      </c>
      <c r="E1618" s="13" t="s">
        <v>61</v>
      </c>
      <c r="F1618" s="13" t="s">
        <v>636</v>
      </c>
      <c r="G1618" s="13">
        <v>0.7</v>
      </c>
      <c r="H1618" s="15">
        <v>4</v>
      </c>
      <c r="I1618" s="16">
        <v>2.8</v>
      </c>
      <c r="J1618" s="16">
        <v>2.1754838709677418</v>
      </c>
      <c r="K1618" s="16">
        <v>0.62451612903225806</v>
      </c>
      <c r="L1618" s="13">
        <v>1.3</v>
      </c>
      <c r="M1618" s="13"/>
      <c r="N1618" s="17">
        <f t="shared" si="53"/>
        <v>5.2</v>
      </c>
      <c r="O1618" s="17">
        <f t="shared" si="53"/>
        <v>0</v>
      </c>
      <c r="P1618" s="17">
        <f t="shared" si="54"/>
        <v>5.2</v>
      </c>
      <c r="Q1618" t="str">
        <f>A1618&amp;"-"&amp;B1618&amp;"-"&amp;D1618</f>
        <v>APRIL-MJ2-L4</v>
      </c>
    </row>
    <row r="1619" spans="1:17" x14ac:dyDescent="0.25">
      <c r="A1619" t="s">
        <v>394</v>
      </c>
      <c r="B1619" s="13" t="s">
        <v>26</v>
      </c>
      <c r="C1619" s="13" t="s">
        <v>226</v>
      </c>
      <c r="D1619" s="14" t="s">
        <v>158</v>
      </c>
      <c r="E1619" s="13" t="s">
        <v>61</v>
      </c>
      <c r="F1619" s="13" t="s">
        <v>778</v>
      </c>
      <c r="G1619" s="13">
        <v>0.7</v>
      </c>
      <c r="H1619" s="15">
        <v>700</v>
      </c>
      <c r="I1619" s="16">
        <v>490</v>
      </c>
      <c r="J1619" s="16">
        <v>286.45631067961165</v>
      </c>
      <c r="K1619" s="16">
        <v>203.54368932038835</v>
      </c>
      <c r="L1619" s="13">
        <v>1.3</v>
      </c>
      <c r="M1619" s="13"/>
      <c r="N1619" s="17">
        <f t="shared" si="53"/>
        <v>910</v>
      </c>
      <c r="O1619" s="17">
        <f t="shared" si="53"/>
        <v>0</v>
      </c>
      <c r="P1619" s="17">
        <f t="shared" si="54"/>
        <v>910</v>
      </c>
      <c r="Q1619" t="str">
        <f>A1619&amp;"-"&amp;B1619&amp;"-"&amp;D1619</f>
        <v>APRIL-MJ2-L4</v>
      </c>
    </row>
    <row r="1620" spans="1:17" x14ac:dyDescent="0.25">
      <c r="A1620" t="s">
        <v>394</v>
      </c>
      <c r="B1620" s="13" t="s">
        <v>26</v>
      </c>
      <c r="C1620" s="13" t="s">
        <v>226</v>
      </c>
      <c r="D1620" s="14" t="s">
        <v>158</v>
      </c>
      <c r="E1620" s="13" t="s">
        <v>61</v>
      </c>
      <c r="F1620" s="13" t="s">
        <v>806</v>
      </c>
      <c r="G1620" s="13">
        <v>0.70000000000000007</v>
      </c>
      <c r="H1620" s="15">
        <v>10847</v>
      </c>
      <c r="I1620" s="16">
        <v>7592.9</v>
      </c>
      <c r="J1620" s="16">
        <v>4257.9817238556216</v>
      </c>
      <c r="K1620" s="16">
        <v>3334.9182761443785</v>
      </c>
      <c r="L1620" s="13">
        <v>1.3</v>
      </c>
      <c r="M1620" s="13"/>
      <c r="N1620" s="17">
        <f t="shared" si="53"/>
        <v>14101.1</v>
      </c>
      <c r="O1620" s="17">
        <f t="shared" si="53"/>
        <v>0</v>
      </c>
      <c r="P1620" s="17">
        <f t="shared" si="54"/>
        <v>14101.1</v>
      </c>
      <c r="Q1620" t="str">
        <f>A1620&amp;"-"&amp;B1620&amp;"-"&amp;D1620</f>
        <v>APRIL-MJ2-L4</v>
      </c>
    </row>
    <row r="1621" spans="1:17" x14ac:dyDescent="0.25">
      <c r="A1621" t="s">
        <v>394</v>
      </c>
      <c r="B1621" s="13" t="s">
        <v>26</v>
      </c>
      <c r="C1621" s="13" t="s">
        <v>226</v>
      </c>
      <c r="D1621" s="14" t="s">
        <v>158</v>
      </c>
      <c r="E1621" s="13" t="s">
        <v>61</v>
      </c>
      <c r="F1621" s="13" t="s">
        <v>807</v>
      </c>
      <c r="G1621" s="13">
        <v>0.66</v>
      </c>
      <c r="H1621" s="15">
        <v>1472</v>
      </c>
      <c r="I1621" s="16">
        <v>971.52</v>
      </c>
      <c r="J1621" s="16">
        <v>698.90904034179391</v>
      </c>
      <c r="K1621" s="16">
        <v>272.61095965820618</v>
      </c>
      <c r="L1621" s="13">
        <v>1.73</v>
      </c>
      <c r="M1621" s="13"/>
      <c r="N1621" s="17">
        <f t="shared" si="53"/>
        <v>2546.56</v>
      </c>
      <c r="O1621" s="17">
        <f t="shared" si="53"/>
        <v>0</v>
      </c>
      <c r="P1621" s="17">
        <f t="shared" si="54"/>
        <v>2546.56</v>
      </c>
      <c r="Q1621" t="str">
        <f>A1621&amp;"-"&amp;B1621&amp;"-"&amp;D1621</f>
        <v>APRIL-MJ2-L4</v>
      </c>
    </row>
    <row r="1622" spans="1:17" x14ac:dyDescent="0.25">
      <c r="A1622" t="s">
        <v>394</v>
      </c>
      <c r="B1622" s="13" t="s">
        <v>26</v>
      </c>
      <c r="C1622" s="13" t="s">
        <v>226</v>
      </c>
      <c r="D1622" s="14" t="s">
        <v>158</v>
      </c>
      <c r="E1622" s="13" t="s">
        <v>61</v>
      </c>
      <c r="F1622" s="13" t="s">
        <v>808</v>
      </c>
      <c r="G1622" s="13">
        <v>0.63</v>
      </c>
      <c r="H1622" s="15">
        <v>156</v>
      </c>
      <c r="I1622" s="16">
        <v>98.28</v>
      </c>
      <c r="J1622" s="16">
        <v>69.754001232502873</v>
      </c>
      <c r="K1622" s="16">
        <v>28.525998767497132</v>
      </c>
      <c r="L1622" s="13">
        <v>1.87</v>
      </c>
      <c r="M1622" s="13"/>
      <c r="N1622" s="17">
        <f t="shared" ref="N1622:O1685" si="55">$H1622*L1622</f>
        <v>291.72000000000003</v>
      </c>
      <c r="O1622" s="17">
        <f t="shared" si="55"/>
        <v>0</v>
      </c>
      <c r="P1622" s="17">
        <f t="shared" si="54"/>
        <v>291.72000000000003</v>
      </c>
      <c r="Q1622" t="str">
        <f>A1622&amp;"-"&amp;B1622&amp;"-"&amp;D1622</f>
        <v>APRIL-MJ2-L4</v>
      </c>
    </row>
    <row r="1623" spans="1:17" x14ac:dyDescent="0.25">
      <c r="A1623" t="s">
        <v>394</v>
      </c>
      <c r="B1623" s="13" t="s">
        <v>26</v>
      </c>
      <c r="C1623" s="13" t="s">
        <v>226</v>
      </c>
      <c r="D1623" s="14" t="s">
        <v>158</v>
      </c>
      <c r="E1623" s="13" t="s">
        <v>61</v>
      </c>
      <c r="F1623" s="13" t="s">
        <v>658</v>
      </c>
      <c r="G1623" s="13">
        <v>0.88</v>
      </c>
      <c r="H1623" s="15">
        <v>99</v>
      </c>
      <c r="I1623" s="16">
        <v>87.12</v>
      </c>
      <c r="J1623" s="16">
        <v>51.933416303671436</v>
      </c>
      <c r="K1623" s="16">
        <v>35.186583696328569</v>
      </c>
      <c r="L1623" s="13">
        <v>2.65</v>
      </c>
      <c r="M1623" s="13"/>
      <c r="N1623" s="17">
        <f t="shared" si="55"/>
        <v>262.34999999999997</v>
      </c>
      <c r="O1623" s="17">
        <f t="shared" si="55"/>
        <v>0</v>
      </c>
      <c r="P1623" s="17">
        <f t="shared" si="54"/>
        <v>262.34999999999997</v>
      </c>
      <c r="Q1623" t="str">
        <f>A1623&amp;"-"&amp;B1623&amp;"-"&amp;D1623</f>
        <v>APRIL-MJ2-L4</v>
      </c>
    </row>
    <row r="1624" spans="1:17" x14ac:dyDescent="0.25">
      <c r="A1624" t="s">
        <v>394</v>
      </c>
      <c r="B1624" s="13" t="s">
        <v>26</v>
      </c>
      <c r="C1624" s="13" t="s">
        <v>226</v>
      </c>
      <c r="D1624" s="14" t="s">
        <v>160</v>
      </c>
      <c r="E1624" s="13" t="s">
        <v>61</v>
      </c>
      <c r="F1624" s="13" t="s">
        <v>665</v>
      </c>
      <c r="G1624" s="13">
        <v>0.7599999999999999</v>
      </c>
      <c r="H1624" s="15">
        <v>4965</v>
      </c>
      <c r="I1624" s="16">
        <v>3773.3999999999996</v>
      </c>
      <c r="J1624" s="16">
        <v>2621.5353726253652</v>
      </c>
      <c r="K1624" s="16">
        <v>1151.8646273746351</v>
      </c>
      <c r="L1624" s="13">
        <v>2</v>
      </c>
      <c r="M1624" s="13"/>
      <c r="N1624" s="17">
        <f t="shared" si="55"/>
        <v>9930</v>
      </c>
      <c r="O1624" s="17">
        <f t="shared" si="55"/>
        <v>0</v>
      </c>
      <c r="P1624" s="17">
        <f t="shared" si="54"/>
        <v>9930</v>
      </c>
      <c r="Q1624" t="str">
        <f>A1624&amp;"-"&amp;B1624&amp;"-"&amp;D1624</f>
        <v>APRIL-MJ2-L5</v>
      </c>
    </row>
    <row r="1625" spans="1:17" x14ac:dyDescent="0.25">
      <c r="A1625" t="s">
        <v>394</v>
      </c>
      <c r="B1625" s="13" t="s">
        <v>26</v>
      </c>
      <c r="C1625" s="13" t="s">
        <v>226</v>
      </c>
      <c r="D1625" s="14" t="s">
        <v>160</v>
      </c>
      <c r="E1625" s="13" t="s">
        <v>61</v>
      </c>
      <c r="F1625" s="13" t="s">
        <v>801</v>
      </c>
      <c r="G1625" s="13">
        <v>0.73999999999999988</v>
      </c>
      <c r="H1625" s="15">
        <v>407</v>
      </c>
      <c r="I1625" s="16">
        <v>301.18</v>
      </c>
      <c r="J1625" s="16">
        <v>204.81363087511039</v>
      </c>
      <c r="K1625" s="16">
        <v>96.366369124889601</v>
      </c>
      <c r="L1625" s="13">
        <v>2.17</v>
      </c>
      <c r="M1625" s="13"/>
      <c r="N1625" s="17">
        <f t="shared" si="55"/>
        <v>883.18999999999994</v>
      </c>
      <c r="O1625" s="17">
        <f t="shared" si="55"/>
        <v>0</v>
      </c>
      <c r="P1625" s="17">
        <f t="shared" si="54"/>
        <v>883.18999999999994</v>
      </c>
      <c r="Q1625" t="str">
        <f>A1625&amp;"-"&amp;B1625&amp;"-"&amp;D1625</f>
        <v>APRIL-MJ2-L5</v>
      </c>
    </row>
    <row r="1626" spans="1:17" x14ac:dyDescent="0.25">
      <c r="A1626" t="s">
        <v>394</v>
      </c>
      <c r="B1626" s="13" t="s">
        <v>26</v>
      </c>
      <c r="C1626" s="13" t="s">
        <v>226</v>
      </c>
      <c r="D1626" s="14" t="s">
        <v>160</v>
      </c>
      <c r="E1626" s="13" t="s">
        <v>61</v>
      </c>
      <c r="F1626" s="13" t="s">
        <v>802</v>
      </c>
      <c r="G1626" s="13">
        <v>0.7599999999999999</v>
      </c>
      <c r="H1626" s="15">
        <v>2977</v>
      </c>
      <c r="I1626" s="16">
        <v>2262.52</v>
      </c>
      <c r="J1626" s="16">
        <v>1552.6798656041501</v>
      </c>
      <c r="K1626" s="16">
        <v>709.84013439584999</v>
      </c>
      <c r="L1626" s="13">
        <v>2</v>
      </c>
      <c r="M1626" s="13"/>
      <c r="N1626" s="17">
        <f t="shared" si="55"/>
        <v>5954</v>
      </c>
      <c r="O1626" s="17">
        <f t="shared" si="55"/>
        <v>0</v>
      </c>
      <c r="P1626" s="17">
        <f t="shared" si="54"/>
        <v>5954</v>
      </c>
      <c r="Q1626" t="str">
        <f>A1626&amp;"-"&amp;B1626&amp;"-"&amp;D1626</f>
        <v>APRIL-MJ2-L5</v>
      </c>
    </row>
    <row r="1627" spans="1:17" x14ac:dyDescent="0.25">
      <c r="A1627" t="s">
        <v>394</v>
      </c>
      <c r="B1627" s="13" t="s">
        <v>26</v>
      </c>
      <c r="C1627" s="13" t="s">
        <v>226</v>
      </c>
      <c r="D1627" s="14" t="s">
        <v>160</v>
      </c>
      <c r="E1627" s="13" t="s">
        <v>61</v>
      </c>
      <c r="F1627" s="13" t="s">
        <v>803</v>
      </c>
      <c r="G1627" s="13">
        <v>0.74</v>
      </c>
      <c r="H1627" s="15">
        <v>31</v>
      </c>
      <c r="I1627" s="16">
        <v>22.939999999999998</v>
      </c>
      <c r="J1627" s="16">
        <v>14.771990455544985</v>
      </c>
      <c r="K1627" s="16">
        <v>8.168009544455014</v>
      </c>
      <c r="L1627" s="13">
        <v>2.17</v>
      </c>
      <c r="M1627" s="13"/>
      <c r="N1627" s="17">
        <f t="shared" si="55"/>
        <v>67.27</v>
      </c>
      <c r="O1627" s="17">
        <f t="shared" si="55"/>
        <v>0</v>
      </c>
      <c r="P1627" s="17">
        <f t="shared" si="54"/>
        <v>67.27</v>
      </c>
      <c r="Q1627" t="str">
        <f>A1627&amp;"-"&amp;B1627&amp;"-"&amp;D1627</f>
        <v>APRIL-MJ2-L5</v>
      </c>
    </row>
    <row r="1628" spans="1:17" x14ac:dyDescent="0.25">
      <c r="A1628" t="s">
        <v>394</v>
      </c>
      <c r="B1628" s="13" t="s">
        <v>26</v>
      </c>
      <c r="C1628" s="13" t="s">
        <v>226</v>
      </c>
      <c r="D1628" s="14" t="s">
        <v>160</v>
      </c>
      <c r="E1628" s="13" t="s">
        <v>61</v>
      </c>
      <c r="F1628" s="13" t="s">
        <v>804</v>
      </c>
      <c r="G1628" s="13">
        <v>0.76000000000000012</v>
      </c>
      <c r="H1628" s="15">
        <v>1178</v>
      </c>
      <c r="I1628" s="16">
        <v>895.28</v>
      </c>
      <c r="J1628" s="16">
        <v>619.88142528464994</v>
      </c>
      <c r="K1628" s="16">
        <v>275.39857471534998</v>
      </c>
      <c r="L1628" s="13">
        <v>2</v>
      </c>
      <c r="M1628" s="13"/>
      <c r="N1628" s="17">
        <f t="shared" si="55"/>
        <v>2356</v>
      </c>
      <c r="O1628" s="17">
        <f t="shared" si="55"/>
        <v>0</v>
      </c>
      <c r="P1628" s="17">
        <f t="shared" si="54"/>
        <v>2356</v>
      </c>
      <c r="Q1628" t="str">
        <f>A1628&amp;"-"&amp;B1628&amp;"-"&amp;D1628</f>
        <v>APRIL-MJ2-L5</v>
      </c>
    </row>
    <row r="1629" spans="1:17" x14ac:dyDescent="0.25">
      <c r="A1629" t="s">
        <v>394</v>
      </c>
      <c r="B1629" s="13" t="s">
        <v>26</v>
      </c>
      <c r="C1629" s="13" t="s">
        <v>226</v>
      </c>
      <c r="D1629" s="14" t="s">
        <v>160</v>
      </c>
      <c r="E1629" s="13" t="s">
        <v>61</v>
      </c>
      <c r="F1629" s="13" t="s">
        <v>805</v>
      </c>
      <c r="G1629" s="13">
        <v>0.73999999999999988</v>
      </c>
      <c r="H1629" s="15">
        <v>1052</v>
      </c>
      <c r="I1629" s="16">
        <v>778.48</v>
      </c>
      <c r="J1629" s="16">
        <v>578.53604649015392</v>
      </c>
      <c r="K1629" s="16">
        <v>199.94395350984604</v>
      </c>
      <c r="L1629" s="13">
        <v>2.17</v>
      </c>
      <c r="M1629" s="13"/>
      <c r="N1629" s="17">
        <f t="shared" si="55"/>
        <v>2282.84</v>
      </c>
      <c r="O1629" s="17">
        <f t="shared" si="55"/>
        <v>0</v>
      </c>
      <c r="P1629" s="17">
        <f t="shared" si="54"/>
        <v>2282.84</v>
      </c>
      <c r="Q1629" t="str">
        <f>A1629&amp;"-"&amp;B1629&amp;"-"&amp;D1629</f>
        <v>APRIL-MJ2-L5</v>
      </c>
    </row>
    <row r="1630" spans="1:17" x14ac:dyDescent="0.25">
      <c r="A1630" t="s">
        <v>394</v>
      </c>
      <c r="B1630" s="13" t="s">
        <v>26</v>
      </c>
      <c r="C1630" s="13" t="s">
        <v>226</v>
      </c>
      <c r="D1630" s="14" t="s">
        <v>160</v>
      </c>
      <c r="E1630" s="13" t="s">
        <v>61</v>
      </c>
      <c r="F1630" s="13" t="s">
        <v>636</v>
      </c>
      <c r="G1630" s="13">
        <v>0.7</v>
      </c>
      <c r="H1630" s="15">
        <v>4</v>
      </c>
      <c r="I1630" s="16">
        <v>2.8</v>
      </c>
      <c r="J1630" s="16">
        <v>2.1754838709677418</v>
      </c>
      <c r="K1630" s="16">
        <v>0.62451612903225806</v>
      </c>
      <c r="L1630" s="13">
        <v>1.3</v>
      </c>
      <c r="M1630" s="13"/>
      <c r="N1630" s="17">
        <f t="shared" si="55"/>
        <v>5.2</v>
      </c>
      <c r="O1630" s="17">
        <f t="shared" si="55"/>
        <v>0</v>
      </c>
      <c r="P1630" s="17">
        <f t="shared" si="54"/>
        <v>5.2</v>
      </c>
      <c r="Q1630" t="str">
        <f>A1630&amp;"-"&amp;B1630&amp;"-"&amp;D1630</f>
        <v>APRIL-MJ2-L5</v>
      </c>
    </row>
    <row r="1631" spans="1:17" x14ac:dyDescent="0.25">
      <c r="A1631" t="s">
        <v>394</v>
      </c>
      <c r="B1631" s="13" t="s">
        <v>26</v>
      </c>
      <c r="C1631" s="13" t="s">
        <v>226</v>
      </c>
      <c r="D1631" s="14" t="s">
        <v>160</v>
      </c>
      <c r="E1631" s="13" t="s">
        <v>61</v>
      </c>
      <c r="F1631" s="13" t="s">
        <v>778</v>
      </c>
      <c r="G1631" s="13">
        <v>0.7</v>
      </c>
      <c r="H1631" s="15">
        <v>700</v>
      </c>
      <c r="I1631" s="16">
        <v>490</v>
      </c>
      <c r="J1631" s="16">
        <v>286.45631067961165</v>
      </c>
      <c r="K1631" s="16">
        <v>203.54368932038835</v>
      </c>
      <c r="L1631" s="13">
        <v>1.3</v>
      </c>
      <c r="M1631" s="13"/>
      <c r="N1631" s="17">
        <f t="shared" si="55"/>
        <v>910</v>
      </c>
      <c r="O1631" s="17">
        <f t="shared" si="55"/>
        <v>0</v>
      </c>
      <c r="P1631" s="17">
        <f t="shared" si="54"/>
        <v>910</v>
      </c>
      <c r="Q1631" t="str">
        <f>A1631&amp;"-"&amp;B1631&amp;"-"&amp;D1631</f>
        <v>APRIL-MJ2-L5</v>
      </c>
    </row>
    <row r="1632" spans="1:17" x14ac:dyDescent="0.25">
      <c r="A1632" t="s">
        <v>394</v>
      </c>
      <c r="B1632" s="13" t="s">
        <v>26</v>
      </c>
      <c r="C1632" s="13" t="s">
        <v>226</v>
      </c>
      <c r="D1632" s="14" t="s">
        <v>160</v>
      </c>
      <c r="E1632" s="13" t="s">
        <v>61</v>
      </c>
      <c r="F1632" s="13" t="s">
        <v>806</v>
      </c>
      <c r="G1632" s="13">
        <v>0.70000000000000007</v>
      </c>
      <c r="H1632" s="15">
        <v>13040</v>
      </c>
      <c r="I1632" s="16">
        <v>9128</v>
      </c>
      <c r="J1632" s="16">
        <v>4256.2109288988922</v>
      </c>
      <c r="K1632" s="16">
        <v>4871.7890711011078</v>
      </c>
      <c r="L1632" s="13">
        <v>1.3</v>
      </c>
      <c r="M1632" s="13"/>
      <c r="N1632" s="17">
        <f t="shared" si="55"/>
        <v>16952</v>
      </c>
      <c r="O1632" s="17">
        <f t="shared" si="55"/>
        <v>0</v>
      </c>
      <c r="P1632" s="17">
        <f t="shared" si="54"/>
        <v>16952</v>
      </c>
      <c r="Q1632" t="str">
        <f>A1632&amp;"-"&amp;B1632&amp;"-"&amp;D1632</f>
        <v>APRIL-MJ2-L5</v>
      </c>
    </row>
    <row r="1633" spans="1:17" x14ac:dyDescent="0.25">
      <c r="A1633" t="s">
        <v>394</v>
      </c>
      <c r="B1633" s="13" t="s">
        <v>26</v>
      </c>
      <c r="C1633" s="13" t="s">
        <v>226</v>
      </c>
      <c r="D1633" s="14" t="s">
        <v>160</v>
      </c>
      <c r="E1633" s="13" t="s">
        <v>61</v>
      </c>
      <c r="F1633" s="13" t="s">
        <v>807</v>
      </c>
      <c r="G1633" s="13">
        <v>0.66</v>
      </c>
      <c r="H1633" s="15">
        <v>1473</v>
      </c>
      <c r="I1633" s="16">
        <v>972.18000000000006</v>
      </c>
      <c r="J1633" s="16">
        <v>699.29565975374317</v>
      </c>
      <c r="K1633" s="16">
        <v>272.88434024625684</v>
      </c>
      <c r="L1633" s="13">
        <v>1.73</v>
      </c>
      <c r="M1633" s="13"/>
      <c r="N1633" s="17">
        <f t="shared" si="55"/>
        <v>2548.29</v>
      </c>
      <c r="O1633" s="17">
        <f t="shared" si="55"/>
        <v>0</v>
      </c>
      <c r="P1633" s="17">
        <f t="shared" si="54"/>
        <v>2548.29</v>
      </c>
      <c r="Q1633" t="str">
        <f>A1633&amp;"-"&amp;B1633&amp;"-"&amp;D1633</f>
        <v>APRIL-MJ2-L5</v>
      </c>
    </row>
    <row r="1634" spans="1:17" x14ac:dyDescent="0.25">
      <c r="A1634" t="s">
        <v>394</v>
      </c>
      <c r="B1634" s="13" t="s">
        <v>26</v>
      </c>
      <c r="C1634" s="13" t="s">
        <v>226</v>
      </c>
      <c r="D1634" s="14" t="s">
        <v>160</v>
      </c>
      <c r="E1634" s="13" t="s">
        <v>61</v>
      </c>
      <c r="F1634" s="13" t="s">
        <v>808</v>
      </c>
      <c r="G1634" s="13">
        <v>0.63</v>
      </c>
      <c r="H1634" s="15">
        <v>156</v>
      </c>
      <c r="I1634" s="16">
        <v>98.28</v>
      </c>
      <c r="J1634" s="16">
        <v>69.750169704588316</v>
      </c>
      <c r="K1634" s="16">
        <v>28.529830295411685</v>
      </c>
      <c r="L1634" s="13">
        <v>1.87</v>
      </c>
      <c r="M1634" s="13"/>
      <c r="N1634" s="17">
        <f t="shared" si="55"/>
        <v>291.72000000000003</v>
      </c>
      <c r="O1634" s="17">
        <f t="shared" si="55"/>
        <v>0</v>
      </c>
      <c r="P1634" s="17">
        <f t="shared" si="54"/>
        <v>291.72000000000003</v>
      </c>
      <c r="Q1634" t="str">
        <f>A1634&amp;"-"&amp;B1634&amp;"-"&amp;D1634</f>
        <v>APRIL-MJ2-L5</v>
      </c>
    </row>
    <row r="1635" spans="1:17" x14ac:dyDescent="0.25">
      <c r="A1635" t="s">
        <v>394</v>
      </c>
      <c r="B1635" s="13" t="s">
        <v>26</v>
      </c>
      <c r="C1635" s="13" t="s">
        <v>226</v>
      </c>
      <c r="D1635" s="14" t="s">
        <v>160</v>
      </c>
      <c r="E1635" s="13" t="s">
        <v>61</v>
      </c>
      <c r="F1635" s="13" t="s">
        <v>809</v>
      </c>
      <c r="G1635" s="13">
        <v>0.72</v>
      </c>
      <c r="H1635" s="15">
        <v>5</v>
      </c>
      <c r="I1635" s="16">
        <v>3.6</v>
      </c>
      <c r="J1635" s="16">
        <v>0.95969945355191266</v>
      </c>
      <c r="K1635" s="16">
        <v>2.6403005464480875</v>
      </c>
      <c r="L1635" s="13">
        <v>1.34</v>
      </c>
      <c r="M1635" s="13"/>
      <c r="N1635" s="17">
        <f t="shared" si="55"/>
        <v>6.7</v>
      </c>
      <c r="O1635" s="17">
        <f t="shared" si="55"/>
        <v>0</v>
      </c>
      <c r="P1635" s="17">
        <f t="shared" si="54"/>
        <v>6.7</v>
      </c>
      <c r="Q1635" t="str">
        <f>A1635&amp;"-"&amp;B1635&amp;"-"&amp;D1635</f>
        <v>APRIL-MJ2-L5</v>
      </c>
    </row>
    <row r="1636" spans="1:17" x14ac:dyDescent="0.25">
      <c r="A1636" t="s">
        <v>394</v>
      </c>
      <c r="B1636" s="13" t="s">
        <v>26</v>
      </c>
      <c r="C1636" s="13" t="s">
        <v>226</v>
      </c>
      <c r="D1636" s="14" t="s">
        <v>160</v>
      </c>
      <c r="E1636" s="13" t="s">
        <v>61</v>
      </c>
      <c r="F1636" s="13" t="s">
        <v>658</v>
      </c>
      <c r="G1636" s="13">
        <v>0.88</v>
      </c>
      <c r="H1636" s="15">
        <v>99</v>
      </c>
      <c r="I1636" s="16">
        <v>87.12</v>
      </c>
      <c r="J1636" s="16">
        <v>51.933416303671436</v>
      </c>
      <c r="K1636" s="16">
        <v>35.186583696328569</v>
      </c>
      <c r="L1636" s="13">
        <v>2.65</v>
      </c>
      <c r="M1636" s="13"/>
      <c r="N1636" s="17">
        <f t="shared" si="55"/>
        <v>262.34999999999997</v>
      </c>
      <c r="O1636" s="17">
        <f t="shared" si="55"/>
        <v>0</v>
      </c>
      <c r="P1636" s="17">
        <f t="shared" si="54"/>
        <v>262.34999999999997</v>
      </c>
      <c r="Q1636" t="str">
        <f>A1636&amp;"-"&amp;B1636&amp;"-"&amp;D1636</f>
        <v>APRIL-MJ2-L5</v>
      </c>
    </row>
    <row r="1637" spans="1:17" x14ac:dyDescent="0.25">
      <c r="A1637" t="s">
        <v>394</v>
      </c>
      <c r="B1637" s="13" t="s">
        <v>26</v>
      </c>
      <c r="C1637" s="13" t="s">
        <v>226</v>
      </c>
      <c r="D1637" s="14" t="s">
        <v>163</v>
      </c>
      <c r="E1637" s="13" t="s">
        <v>61</v>
      </c>
      <c r="F1637" s="13" t="s">
        <v>665</v>
      </c>
      <c r="G1637" s="13">
        <v>0.76</v>
      </c>
      <c r="H1637" s="15">
        <v>5402</v>
      </c>
      <c r="I1637" s="16">
        <v>4105.5200000000004</v>
      </c>
      <c r="J1637" s="16">
        <v>2640.4050953027559</v>
      </c>
      <c r="K1637" s="16">
        <v>1465.1149046972444</v>
      </c>
      <c r="L1637" s="13">
        <v>2</v>
      </c>
      <c r="M1637" s="13"/>
      <c r="N1637" s="17">
        <f t="shared" si="55"/>
        <v>10804</v>
      </c>
      <c r="O1637" s="17">
        <f t="shared" si="55"/>
        <v>0</v>
      </c>
      <c r="P1637" s="17">
        <f t="shared" si="54"/>
        <v>10804</v>
      </c>
      <c r="Q1637" t="str">
        <f>A1637&amp;"-"&amp;B1637&amp;"-"&amp;D1637</f>
        <v>APRIL-MJ2-L6</v>
      </c>
    </row>
    <row r="1638" spans="1:17" x14ac:dyDescent="0.25">
      <c r="A1638" t="s">
        <v>394</v>
      </c>
      <c r="B1638" s="13" t="s">
        <v>26</v>
      </c>
      <c r="C1638" s="13" t="s">
        <v>226</v>
      </c>
      <c r="D1638" s="14" t="s">
        <v>163</v>
      </c>
      <c r="E1638" s="13" t="s">
        <v>61</v>
      </c>
      <c r="F1638" s="13" t="s">
        <v>801</v>
      </c>
      <c r="G1638" s="13">
        <v>0.74</v>
      </c>
      <c r="H1638" s="15">
        <v>1358</v>
      </c>
      <c r="I1638" s="16">
        <v>1004.92</v>
      </c>
      <c r="J1638" s="16">
        <v>654.89894676424171</v>
      </c>
      <c r="K1638" s="16">
        <v>350.02105323575825</v>
      </c>
      <c r="L1638" s="13">
        <v>2.17</v>
      </c>
      <c r="M1638" s="13"/>
      <c r="N1638" s="17">
        <f t="shared" si="55"/>
        <v>2946.86</v>
      </c>
      <c r="O1638" s="17">
        <f t="shared" si="55"/>
        <v>0</v>
      </c>
      <c r="P1638" s="17">
        <f t="shared" si="54"/>
        <v>2946.86</v>
      </c>
      <c r="Q1638" t="str">
        <f>A1638&amp;"-"&amp;B1638&amp;"-"&amp;D1638</f>
        <v>APRIL-MJ2-L6</v>
      </c>
    </row>
    <row r="1639" spans="1:17" x14ac:dyDescent="0.25">
      <c r="A1639" t="s">
        <v>394</v>
      </c>
      <c r="B1639" s="13" t="s">
        <v>26</v>
      </c>
      <c r="C1639" s="13" t="s">
        <v>226</v>
      </c>
      <c r="D1639" s="14" t="s">
        <v>163</v>
      </c>
      <c r="E1639" s="13" t="s">
        <v>61</v>
      </c>
      <c r="F1639" s="13" t="s">
        <v>802</v>
      </c>
      <c r="G1639" s="13">
        <v>0.76</v>
      </c>
      <c r="H1639" s="15">
        <v>1491</v>
      </c>
      <c r="I1639" s="16">
        <v>1133.1600000000001</v>
      </c>
      <c r="J1639" s="16">
        <v>798.77386631422473</v>
      </c>
      <c r="K1639" s="16">
        <v>334.38613368577535</v>
      </c>
      <c r="L1639" s="13">
        <v>2</v>
      </c>
      <c r="M1639" s="13"/>
      <c r="N1639" s="17">
        <f t="shared" si="55"/>
        <v>2982</v>
      </c>
      <c r="O1639" s="17">
        <f t="shared" si="55"/>
        <v>0</v>
      </c>
      <c r="P1639" s="17">
        <f t="shared" si="54"/>
        <v>2982</v>
      </c>
      <c r="Q1639" t="str">
        <f>A1639&amp;"-"&amp;B1639&amp;"-"&amp;D1639</f>
        <v>APRIL-MJ2-L6</v>
      </c>
    </row>
    <row r="1640" spans="1:17" x14ac:dyDescent="0.25">
      <c r="A1640" t="s">
        <v>394</v>
      </c>
      <c r="B1640" s="13" t="s">
        <v>26</v>
      </c>
      <c r="C1640" s="13" t="s">
        <v>226</v>
      </c>
      <c r="D1640" s="14" t="s">
        <v>163</v>
      </c>
      <c r="E1640" s="13" t="s">
        <v>61</v>
      </c>
      <c r="F1640" s="13" t="s">
        <v>803</v>
      </c>
      <c r="G1640" s="13">
        <v>0.74</v>
      </c>
      <c r="H1640" s="15">
        <v>528</v>
      </c>
      <c r="I1640" s="16">
        <v>390.72</v>
      </c>
      <c r="J1640" s="16">
        <v>280.18167532635141</v>
      </c>
      <c r="K1640" s="16">
        <v>110.53832467364863</v>
      </c>
      <c r="L1640" s="13">
        <v>2.17</v>
      </c>
      <c r="M1640" s="13"/>
      <c r="N1640" s="17">
        <f t="shared" si="55"/>
        <v>1145.76</v>
      </c>
      <c r="O1640" s="17">
        <f t="shared" si="55"/>
        <v>0</v>
      </c>
      <c r="P1640" s="17">
        <f t="shared" si="54"/>
        <v>1145.76</v>
      </c>
      <c r="Q1640" t="str">
        <f>A1640&amp;"-"&amp;B1640&amp;"-"&amp;D1640</f>
        <v>APRIL-MJ2-L6</v>
      </c>
    </row>
    <row r="1641" spans="1:17" x14ac:dyDescent="0.25">
      <c r="A1641" t="s">
        <v>394</v>
      </c>
      <c r="B1641" s="13" t="s">
        <v>26</v>
      </c>
      <c r="C1641" s="13" t="s">
        <v>226</v>
      </c>
      <c r="D1641" s="14" t="s">
        <v>163</v>
      </c>
      <c r="E1641" s="13" t="s">
        <v>61</v>
      </c>
      <c r="F1641" s="13" t="s">
        <v>636</v>
      </c>
      <c r="G1641" s="13">
        <v>0.69999999999999984</v>
      </c>
      <c r="H1641" s="15">
        <v>153</v>
      </c>
      <c r="I1641" s="16">
        <v>107.1</v>
      </c>
      <c r="J1641" s="16">
        <v>76.695957933002603</v>
      </c>
      <c r="K1641" s="16">
        <v>30.404042066997391</v>
      </c>
      <c r="L1641" s="13">
        <v>1.3</v>
      </c>
      <c r="M1641" s="13"/>
      <c r="N1641" s="17">
        <f t="shared" si="55"/>
        <v>198.9</v>
      </c>
      <c r="O1641" s="17">
        <f t="shared" si="55"/>
        <v>0</v>
      </c>
      <c r="P1641" s="17">
        <f t="shared" si="54"/>
        <v>198.9</v>
      </c>
      <c r="Q1641" t="str">
        <f>A1641&amp;"-"&amp;B1641&amp;"-"&amp;D1641</f>
        <v>APRIL-MJ2-L6</v>
      </c>
    </row>
    <row r="1642" spans="1:17" x14ac:dyDescent="0.25">
      <c r="A1642" t="s">
        <v>394</v>
      </c>
      <c r="B1642" s="13" t="s">
        <v>26</v>
      </c>
      <c r="C1642" s="13" t="s">
        <v>226</v>
      </c>
      <c r="D1642" s="14" t="s">
        <v>163</v>
      </c>
      <c r="E1642" s="13" t="s">
        <v>61</v>
      </c>
      <c r="F1642" s="13" t="s">
        <v>806</v>
      </c>
      <c r="G1642" s="13">
        <v>0.70000000000000007</v>
      </c>
      <c r="H1642" s="15">
        <v>12428</v>
      </c>
      <c r="I1642" s="16">
        <v>8699.6</v>
      </c>
      <c r="J1642" s="16">
        <v>4892.0398112673993</v>
      </c>
      <c r="K1642" s="16">
        <v>3807.5601887326011</v>
      </c>
      <c r="L1642" s="13">
        <v>1.3</v>
      </c>
      <c r="M1642" s="13"/>
      <c r="N1642" s="17">
        <f t="shared" si="55"/>
        <v>16156.400000000001</v>
      </c>
      <c r="O1642" s="17">
        <f t="shared" si="55"/>
        <v>0</v>
      </c>
      <c r="P1642" s="17">
        <f t="shared" si="54"/>
        <v>16156.400000000001</v>
      </c>
      <c r="Q1642" t="str">
        <f>A1642&amp;"-"&amp;B1642&amp;"-"&amp;D1642</f>
        <v>APRIL-MJ2-L6</v>
      </c>
    </row>
    <row r="1643" spans="1:17" x14ac:dyDescent="0.25">
      <c r="A1643" t="s">
        <v>394</v>
      </c>
      <c r="B1643" s="13" t="s">
        <v>26</v>
      </c>
      <c r="C1643" s="13" t="s">
        <v>226</v>
      </c>
      <c r="D1643" s="14" t="s">
        <v>163</v>
      </c>
      <c r="E1643" s="13" t="s">
        <v>61</v>
      </c>
      <c r="F1643" s="13" t="s">
        <v>807</v>
      </c>
      <c r="G1643" s="13">
        <v>0.66</v>
      </c>
      <c r="H1643" s="15">
        <v>1563</v>
      </c>
      <c r="I1643" s="16">
        <v>1031.58</v>
      </c>
      <c r="J1643" s="16">
        <v>805.99245835942395</v>
      </c>
      <c r="K1643" s="16">
        <v>225.58754164057603</v>
      </c>
      <c r="L1643" s="13">
        <v>1.73</v>
      </c>
      <c r="M1643" s="13"/>
      <c r="N1643" s="17">
        <f t="shared" si="55"/>
        <v>2703.99</v>
      </c>
      <c r="O1643" s="17">
        <f t="shared" si="55"/>
        <v>0</v>
      </c>
      <c r="P1643" s="17">
        <f t="shared" si="54"/>
        <v>2703.99</v>
      </c>
      <c r="Q1643" t="str">
        <f>A1643&amp;"-"&amp;B1643&amp;"-"&amp;D1643</f>
        <v>APRIL-MJ2-L6</v>
      </c>
    </row>
    <row r="1644" spans="1:17" x14ac:dyDescent="0.25">
      <c r="A1644" t="s">
        <v>394</v>
      </c>
      <c r="B1644" s="13" t="s">
        <v>26</v>
      </c>
      <c r="C1644" s="13" t="s">
        <v>226</v>
      </c>
      <c r="D1644" s="14" t="s">
        <v>163</v>
      </c>
      <c r="E1644" s="13" t="s">
        <v>61</v>
      </c>
      <c r="F1644" s="13" t="s">
        <v>808</v>
      </c>
      <c r="G1644" s="13">
        <v>0.63</v>
      </c>
      <c r="H1644" s="15">
        <v>402</v>
      </c>
      <c r="I1644" s="16">
        <v>253.26</v>
      </c>
      <c r="J1644" s="16">
        <v>193.64914285714286</v>
      </c>
      <c r="K1644" s="16">
        <v>59.610857142857128</v>
      </c>
      <c r="L1644" s="13">
        <v>1.87</v>
      </c>
      <c r="M1644" s="13"/>
      <c r="N1644" s="17">
        <f t="shared" si="55"/>
        <v>751.74</v>
      </c>
      <c r="O1644" s="17">
        <f t="shared" si="55"/>
        <v>0</v>
      </c>
      <c r="P1644" s="17">
        <f t="shared" si="54"/>
        <v>751.74</v>
      </c>
      <c r="Q1644" t="str">
        <f>A1644&amp;"-"&amp;B1644&amp;"-"&amp;D1644</f>
        <v>APRIL-MJ2-L6</v>
      </c>
    </row>
    <row r="1645" spans="1:17" x14ac:dyDescent="0.25">
      <c r="A1645" t="s">
        <v>394</v>
      </c>
      <c r="B1645" s="13" t="s">
        <v>26</v>
      </c>
      <c r="C1645" s="13" t="s">
        <v>226</v>
      </c>
      <c r="D1645" s="14" t="s">
        <v>163</v>
      </c>
      <c r="E1645" s="13" t="s">
        <v>61</v>
      </c>
      <c r="F1645" s="13" t="s">
        <v>809</v>
      </c>
      <c r="G1645" s="13">
        <v>0.72</v>
      </c>
      <c r="H1645" s="15">
        <v>1474</v>
      </c>
      <c r="I1645" s="16">
        <v>1061.28</v>
      </c>
      <c r="J1645" s="16">
        <v>616.36304587545806</v>
      </c>
      <c r="K1645" s="16">
        <v>444.91695412454203</v>
      </c>
      <c r="L1645" s="13">
        <v>1.34</v>
      </c>
      <c r="M1645" s="13"/>
      <c r="N1645" s="17">
        <f t="shared" si="55"/>
        <v>1975.16</v>
      </c>
      <c r="O1645" s="17">
        <f t="shared" si="55"/>
        <v>0</v>
      </c>
      <c r="P1645" s="17">
        <f t="shared" si="54"/>
        <v>1975.16</v>
      </c>
      <c r="Q1645" t="str">
        <f>A1645&amp;"-"&amp;B1645&amp;"-"&amp;D1645</f>
        <v>APRIL-MJ2-L6</v>
      </c>
    </row>
    <row r="1646" spans="1:17" x14ac:dyDescent="0.25">
      <c r="A1646" t="s">
        <v>394</v>
      </c>
      <c r="B1646" s="13" t="s">
        <v>26</v>
      </c>
      <c r="C1646" s="13" t="s">
        <v>226</v>
      </c>
      <c r="D1646" s="14" t="s">
        <v>164</v>
      </c>
      <c r="E1646" s="13" t="s">
        <v>61</v>
      </c>
      <c r="F1646" s="13" t="s">
        <v>665</v>
      </c>
      <c r="G1646" s="13">
        <v>0.76</v>
      </c>
      <c r="H1646" s="15">
        <v>5402</v>
      </c>
      <c r="I1646" s="16">
        <v>4105.5200000000004</v>
      </c>
      <c r="J1646" s="16">
        <v>2640.3828818640209</v>
      </c>
      <c r="K1646" s="16">
        <v>1465.1371181359796</v>
      </c>
      <c r="L1646" s="13">
        <v>2</v>
      </c>
      <c r="M1646" s="13"/>
      <c r="N1646" s="17">
        <f t="shared" si="55"/>
        <v>10804</v>
      </c>
      <c r="O1646" s="17">
        <f t="shared" si="55"/>
        <v>0</v>
      </c>
      <c r="P1646" s="17">
        <f t="shared" si="54"/>
        <v>10804</v>
      </c>
      <c r="Q1646" t="str">
        <f>A1646&amp;"-"&amp;B1646&amp;"-"&amp;D1646</f>
        <v>APRIL-MJ2-L7</v>
      </c>
    </row>
    <row r="1647" spans="1:17" x14ac:dyDescent="0.25">
      <c r="A1647" t="s">
        <v>394</v>
      </c>
      <c r="B1647" s="13" t="s">
        <v>26</v>
      </c>
      <c r="C1647" s="13" t="s">
        <v>226</v>
      </c>
      <c r="D1647" s="14" t="s">
        <v>164</v>
      </c>
      <c r="E1647" s="13" t="s">
        <v>61</v>
      </c>
      <c r="F1647" s="13" t="s">
        <v>801</v>
      </c>
      <c r="G1647" s="13">
        <v>0.74</v>
      </c>
      <c r="H1647" s="15">
        <v>1357</v>
      </c>
      <c r="I1647" s="16">
        <v>1004.18</v>
      </c>
      <c r="J1647" s="16">
        <v>654.41025111206773</v>
      </c>
      <c r="K1647" s="16">
        <v>349.76974888793222</v>
      </c>
      <c r="L1647" s="13">
        <v>2.17</v>
      </c>
      <c r="M1647" s="13"/>
      <c r="N1647" s="17">
        <f t="shared" si="55"/>
        <v>2944.69</v>
      </c>
      <c r="O1647" s="17">
        <f t="shared" si="55"/>
        <v>0</v>
      </c>
      <c r="P1647" s="17">
        <f t="shared" si="54"/>
        <v>2944.69</v>
      </c>
      <c r="Q1647" t="str">
        <f>A1647&amp;"-"&amp;B1647&amp;"-"&amp;D1647</f>
        <v>APRIL-MJ2-L7</v>
      </c>
    </row>
    <row r="1648" spans="1:17" x14ac:dyDescent="0.25">
      <c r="A1648" t="s">
        <v>394</v>
      </c>
      <c r="B1648" s="13" t="s">
        <v>26</v>
      </c>
      <c r="C1648" s="13" t="s">
        <v>226</v>
      </c>
      <c r="D1648" s="14" t="s">
        <v>164</v>
      </c>
      <c r="E1648" s="13" t="s">
        <v>61</v>
      </c>
      <c r="F1648" s="13" t="s">
        <v>802</v>
      </c>
      <c r="G1648" s="13">
        <v>0.76</v>
      </c>
      <c r="H1648" s="15">
        <v>1492</v>
      </c>
      <c r="I1648" s="16">
        <v>1133.92</v>
      </c>
      <c r="J1648" s="16">
        <v>798.86461624499896</v>
      </c>
      <c r="K1648" s="16">
        <v>335.055383755001</v>
      </c>
      <c r="L1648" s="13">
        <v>2</v>
      </c>
      <c r="M1648" s="13"/>
      <c r="N1648" s="17">
        <f t="shared" si="55"/>
        <v>2984</v>
      </c>
      <c r="O1648" s="17">
        <f t="shared" si="55"/>
        <v>0</v>
      </c>
      <c r="P1648" s="17">
        <f t="shared" si="54"/>
        <v>2984</v>
      </c>
      <c r="Q1648" t="str">
        <f>A1648&amp;"-"&amp;B1648&amp;"-"&amp;D1648</f>
        <v>APRIL-MJ2-L7</v>
      </c>
    </row>
    <row r="1649" spans="1:17" x14ac:dyDescent="0.25">
      <c r="A1649" t="s">
        <v>394</v>
      </c>
      <c r="B1649" s="13" t="s">
        <v>26</v>
      </c>
      <c r="C1649" s="13" t="s">
        <v>226</v>
      </c>
      <c r="D1649" s="14" t="s">
        <v>164</v>
      </c>
      <c r="E1649" s="13" t="s">
        <v>61</v>
      </c>
      <c r="F1649" s="13" t="s">
        <v>803</v>
      </c>
      <c r="G1649" s="13">
        <v>0.74</v>
      </c>
      <c r="H1649" s="15">
        <v>527</v>
      </c>
      <c r="I1649" s="16">
        <v>389.98</v>
      </c>
      <c r="J1649" s="16">
        <v>279.71057172492579</v>
      </c>
      <c r="K1649" s="16">
        <v>110.26942827507423</v>
      </c>
      <c r="L1649" s="13">
        <v>2.17</v>
      </c>
      <c r="M1649" s="13"/>
      <c r="N1649" s="17">
        <f t="shared" si="55"/>
        <v>1143.5899999999999</v>
      </c>
      <c r="O1649" s="17">
        <f t="shared" si="55"/>
        <v>0</v>
      </c>
      <c r="P1649" s="17">
        <f t="shared" si="54"/>
        <v>1143.5899999999999</v>
      </c>
      <c r="Q1649" t="str">
        <f>A1649&amp;"-"&amp;B1649&amp;"-"&amp;D1649</f>
        <v>APRIL-MJ2-L7</v>
      </c>
    </row>
    <row r="1650" spans="1:17" x14ac:dyDescent="0.25">
      <c r="A1650" t="s">
        <v>394</v>
      </c>
      <c r="B1650" s="13" t="s">
        <v>26</v>
      </c>
      <c r="C1650" s="13" t="s">
        <v>226</v>
      </c>
      <c r="D1650" s="14" t="s">
        <v>164</v>
      </c>
      <c r="E1650" s="13" t="s">
        <v>61</v>
      </c>
      <c r="F1650" s="13" t="s">
        <v>636</v>
      </c>
      <c r="G1650" s="13">
        <v>0.69999999999999984</v>
      </c>
      <c r="H1650" s="15">
        <v>154</v>
      </c>
      <c r="I1650" s="16">
        <v>107.8</v>
      </c>
      <c r="J1650" s="16">
        <v>77.206867023911684</v>
      </c>
      <c r="K1650" s="16">
        <v>30.593132976088313</v>
      </c>
      <c r="L1650" s="13">
        <v>1.3</v>
      </c>
      <c r="M1650" s="13"/>
      <c r="N1650" s="17">
        <f t="shared" si="55"/>
        <v>200.20000000000002</v>
      </c>
      <c r="O1650" s="17">
        <f t="shared" si="55"/>
        <v>0</v>
      </c>
      <c r="P1650" s="17">
        <f t="shared" si="54"/>
        <v>200.20000000000002</v>
      </c>
      <c r="Q1650" t="str">
        <f>A1650&amp;"-"&amp;B1650&amp;"-"&amp;D1650</f>
        <v>APRIL-MJ2-L7</v>
      </c>
    </row>
    <row r="1651" spans="1:17" x14ac:dyDescent="0.25">
      <c r="A1651" t="s">
        <v>394</v>
      </c>
      <c r="B1651" s="13" t="s">
        <v>26</v>
      </c>
      <c r="C1651" s="13" t="s">
        <v>226</v>
      </c>
      <c r="D1651" s="14" t="s">
        <v>164</v>
      </c>
      <c r="E1651" s="13" t="s">
        <v>61</v>
      </c>
      <c r="F1651" s="13" t="s">
        <v>806</v>
      </c>
      <c r="G1651" s="13">
        <v>0.70000000000000007</v>
      </c>
      <c r="H1651" s="15">
        <v>10232</v>
      </c>
      <c r="I1651" s="16">
        <v>7162.4</v>
      </c>
      <c r="J1651" s="16">
        <v>4050.6301838408526</v>
      </c>
      <c r="K1651" s="16">
        <v>3111.7698161591479</v>
      </c>
      <c r="L1651" s="13">
        <v>1.3</v>
      </c>
      <c r="M1651" s="13"/>
      <c r="N1651" s="17">
        <f t="shared" si="55"/>
        <v>13301.6</v>
      </c>
      <c r="O1651" s="17">
        <f t="shared" si="55"/>
        <v>0</v>
      </c>
      <c r="P1651" s="17">
        <f t="shared" si="54"/>
        <v>13301.6</v>
      </c>
      <c r="Q1651" t="str">
        <f>A1651&amp;"-"&amp;B1651&amp;"-"&amp;D1651</f>
        <v>APRIL-MJ2-L7</v>
      </c>
    </row>
    <row r="1652" spans="1:17" x14ac:dyDescent="0.25">
      <c r="A1652" t="s">
        <v>394</v>
      </c>
      <c r="B1652" s="13" t="s">
        <v>26</v>
      </c>
      <c r="C1652" s="13" t="s">
        <v>226</v>
      </c>
      <c r="D1652" s="14" t="s">
        <v>164</v>
      </c>
      <c r="E1652" s="13" t="s">
        <v>61</v>
      </c>
      <c r="F1652" s="13" t="s">
        <v>807</v>
      </c>
      <c r="G1652" s="13">
        <v>0.66</v>
      </c>
      <c r="H1652" s="15">
        <v>1563</v>
      </c>
      <c r="I1652" s="16">
        <v>1031.58</v>
      </c>
      <c r="J1652" s="16">
        <v>806.37281203007512</v>
      </c>
      <c r="K1652" s="16">
        <v>225.20718796992486</v>
      </c>
      <c r="L1652" s="13">
        <v>1.73</v>
      </c>
      <c r="M1652" s="13"/>
      <c r="N1652" s="17">
        <f t="shared" si="55"/>
        <v>2703.99</v>
      </c>
      <c r="O1652" s="17">
        <f t="shared" si="55"/>
        <v>0</v>
      </c>
      <c r="P1652" s="17">
        <f t="shared" si="54"/>
        <v>2703.99</v>
      </c>
      <c r="Q1652" t="str">
        <f>A1652&amp;"-"&amp;B1652&amp;"-"&amp;D1652</f>
        <v>APRIL-MJ2-L7</v>
      </c>
    </row>
    <row r="1653" spans="1:17" x14ac:dyDescent="0.25">
      <c r="A1653" t="s">
        <v>394</v>
      </c>
      <c r="B1653" s="13" t="s">
        <v>26</v>
      </c>
      <c r="C1653" s="13" t="s">
        <v>226</v>
      </c>
      <c r="D1653" s="14" t="s">
        <v>164</v>
      </c>
      <c r="E1653" s="13" t="s">
        <v>61</v>
      </c>
      <c r="F1653" s="13" t="s">
        <v>808</v>
      </c>
      <c r="G1653" s="13">
        <v>0.63</v>
      </c>
      <c r="H1653" s="15">
        <v>402</v>
      </c>
      <c r="I1653" s="16">
        <v>253.26</v>
      </c>
      <c r="J1653" s="16">
        <v>193.64914285714286</v>
      </c>
      <c r="K1653" s="16">
        <v>59.610857142857128</v>
      </c>
      <c r="L1653" s="13">
        <v>1.87</v>
      </c>
      <c r="M1653" s="13"/>
      <c r="N1653" s="17">
        <f t="shared" si="55"/>
        <v>751.74</v>
      </c>
      <c r="O1653" s="17">
        <f t="shared" si="55"/>
        <v>0</v>
      </c>
      <c r="P1653" s="17">
        <f t="shared" si="54"/>
        <v>751.74</v>
      </c>
      <c r="Q1653" t="str">
        <f>A1653&amp;"-"&amp;B1653&amp;"-"&amp;D1653</f>
        <v>APRIL-MJ2-L7</v>
      </c>
    </row>
    <row r="1654" spans="1:17" x14ac:dyDescent="0.25">
      <c r="A1654" t="s">
        <v>394</v>
      </c>
      <c r="B1654" s="13" t="s">
        <v>26</v>
      </c>
      <c r="C1654" s="13" t="s">
        <v>226</v>
      </c>
      <c r="D1654" s="14" t="s">
        <v>164</v>
      </c>
      <c r="E1654" s="13" t="s">
        <v>61</v>
      </c>
      <c r="F1654" s="13" t="s">
        <v>809</v>
      </c>
      <c r="G1654" s="13">
        <v>0.72</v>
      </c>
      <c r="H1654" s="15">
        <v>1470</v>
      </c>
      <c r="I1654" s="16">
        <v>1058.4000000000001</v>
      </c>
      <c r="J1654" s="16">
        <v>614.77267330200448</v>
      </c>
      <c r="K1654" s="16">
        <v>443.6273266979955</v>
      </c>
      <c r="L1654" s="13">
        <v>1.34</v>
      </c>
      <c r="M1654" s="13"/>
      <c r="N1654" s="17">
        <f t="shared" si="55"/>
        <v>1969.8000000000002</v>
      </c>
      <c r="O1654" s="17">
        <f t="shared" si="55"/>
        <v>0</v>
      </c>
      <c r="P1654" s="17">
        <f t="shared" si="54"/>
        <v>1969.8000000000002</v>
      </c>
      <c r="Q1654" t="str">
        <f>A1654&amp;"-"&amp;B1654&amp;"-"&amp;D1654</f>
        <v>APRIL-MJ2-L7</v>
      </c>
    </row>
    <row r="1655" spans="1:17" x14ac:dyDescent="0.25">
      <c r="A1655" t="s">
        <v>394</v>
      </c>
      <c r="B1655" s="13" t="s">
        <v>26</v>
      </c>
      <c r="C1655" s="13" t="s">
        <v>226</v>
      </c>
      <c r="D1655" s="14" t="s">
        <v>198</v>
      </c>
      <c r="E1655" s="13" t="s">
        <v>61</v>
      </c>
      <c r="F1655" s="13" t="s">
        <v>634</v>
      </c>
      <c r="G1655" s="13">
        <v>0.66</v>
      </c>
      <c r="H1655" s="15">
        <v>5694</v>
      </c>
      <c r="I1655" s="16">
        <v>3758.0400000000004</v>
      </c>
      <c r="J1655" s="16">
        <v>2836.0333640723147</v>
      </c>
      <c r="K1655" s="16">
        <v>922.00663592768558</v>
      </c>
      <c r="L1655" s="13">
        <v>1.71</v>
      </c>
      <c r="M1655" s="13"/>
      <c r="N1655" s="17">
        <f t="shared" si="55"/>
        <v>9736.74</v>
      </c>
      <c r="O1655" s="17">
        <f t="shared" si="55"/>
        <v>0</v>
      </c>
      <c r="P1655" s="17">
        <f t="shared" si="54"/>
        <v>9736.74</v>
      </c>
      <c r="Q1655" t="str">
        <f>A1655&amp;"-"&amp;B1655&amp;"-"&amp;D1655</f>
        <v>APRIL-MJ2-L8</v>
      </c>
    </row>
    <row r="1656" spans="1:17" x14ac:dyDescent="0.25">
      <c r="A1656" t="s">
        <v>394</v>
      </c>
      <c r="B1656" s="13" t="s">
        <v>26</v>
      </c>
      <c r="C1656" s="13" t="s">
        <v>226</v>
      </c>
      <c r="D1656" s="14" t="s">
        <v>198</v>
      </c>
      <c r="E1656" s="13" t="s">
        <v>61</v>
      </c>
      <c r="F1656" s="13" t="s">
        <v>777</v>
      </c>
      <c r="G1656" s="13">
        <v>0.64</v>
      </c>
      <c r="H1656" s="15">
        <v>1</v>
      </c>
      <c r="I1656" s="16">
        <v>0.64</v>
      </c>
      <c r="J1656" s="16">
        <v>0.60214285714285709</v>
      </c>
      <c r="K1656" s="16">
        <v>3.7857142857142922E-2</v>
      </c>
      <c r="L1656" s="13">
        <v>1.85</v>
      </c>
      <c r="M1656" s="13"/>
      <c r="N1656" s="17">
        <f t="shared" si="55"/>
        <v>1.85</v>
      </c>
      <c r="O1656" s="17">
        <f t="shared" si="55"/>
        <v>0</v>
      </c>
      <c r="P1656" s="17">
        <f t="shared" si="54"/>
        <v>1.85</v>
      </c>
      <c r="Q1656" t="str">
        <f>A1656&amp;"-"&amp;B1656&amp;"-"&amp;D1656</f>
        <v>APRIL-MJ2-L8</v>
      </c>
    </row>
    <row r="1657" spans="1:17" x14ac:dyDescent="0.25">
      <c r="A1657" t="s">
        <v>394</v>
      </c>
      <c r="B1657" s="13" t="s">
        <v>26</v>
      </c>
      <c r="C1657" s="13" t="s">
        <v>226</v>
      </c>
      <c r="D1657" s="14" t="s">
        <v>198</v>
      </c>
      <c r="E1657" s="13" t="s">
        <v>61</v>
      </c>
      <c r="F1657" s="13" t="s">
        <v>635</v>
      </c>
      <c r="G1657" s="13">
        <v>0.7</v>
      </c>
      <c r="H1657" s="15">
        <v>5</v>
      </c>
      <c r="I1657" s="16">
        <v>3.5</v>
      </c>
      <c r="J1657" s="16">
        <v>2.4750440399295361</v>
      </c>
      <c r="K1657" s="16">
        <v>1.0249559600704639</v>
      </c>
      <c r="L1657" s="13">
        <v>1.3</v>
      </c>
      <c r="M1657" s="13"/>
      <c r="N1657" s="17">
        <f t="shared" si="55"/>
        <v>6.5</v>
      </c>
      <c r="O1657" s="17">
        <f t="shared" si="55"/>
        <v>0</v>
      </c>
      <c r="P1657" s="17">
        <f t="shared" si="54"/>
        <v>6.5</v>
      </c>
      <c r="Q1657" t="str">
        <f>A1657&amp;"-"&amp;B1657&amp;"-"&amp;D1657</f>
        <v>APRIL-MJ2-L8</v>
      </c>
    </row>
    <row r="1658" spans="1:17" x14ac:dyDescent="0.25">
      <c r="A1658" t="s">
        <v>394</v>
      </c>
      <c r="B1658" s="13" t="s">
        <v>26</v>
      </c>
      <c r="C1658" s="13" t="s">
        <v>226</v>
      </c>
      <c r="D1658" s="14" t="s">
        <v>198</v>
      </c>
      <c r="E1658" s="13" t="s">
        <v>61</v>
      </c>
      <c r="F1658" s="13" t="s">
        <v>778</v>
      </c>
      <c r="G1658" s="13">
        <v>0.69999999999999984</v>
      </c>
      <c r="H1658" s="15">
        <v>3360</v>
      </c>
      <c r="I1658" s="16">
        <v>2352</v>
      </c>
      <c r="J1658" s="16">
        <v>1616.2609090909091</v>
      </c>
      <c r="K1658" s="16">
        <v>735.73909090909092</v>
      </c>
      <c r="L1658" s="13">
        <v>1.3</v>
      </c>
      <c r="M1658" s="13"/>
      <c r="N1658" s="17">
        <f t="shared" si="55"/>
        <v>4368</v>
      </c>
      <c r="O1658" s="17">
        <f t="shared" si="55"/>
        <v>0</v>
      </c>
      <c r="P1658" s="17">
        <f t="shared" si="54"/>
        <v>4368</v>
      </c>
      <c r="Q1658" t="str">
        <f>A1658&amp;"-"&amp;B1658&amp;"-"&amp;D1658</f>
        <v>APRIL-MJ2-L8</v>
      </c>
    </row>
    <row r="1659" spans="1:17" x14ac:dyDescent="0.25">
      <c r="A1659" t="s">
        <v>394</v>
      </c>
      <c r="B1659" s="13" t="s">
        <v>26</v>
      </c>
      <c r="C1659" s="13" t="s">
        <v>226</v>
      </c>
      <c r="D1659" s="14" t="s">
        <v>198</v>
      </c>
      <c r="E1659" s="13" t="s">
        <v>61</v>
      </c>
      <c r="F1659" s="13" t="s">
        <v>637</v>
      </c>
      <c r="G1659" s="13">
        <v>0.7</v>
      </c>
      <c r="H1659" s="15">
        <v>72</v>
      </c>
      <c r="I1659" s="16">
        <v>50.4</v>
      </c>
      <c r="J1659" s="16">
        <v>35.640634174985323</v>
      </c>
      <c r="K1659" s="16">
        <v>14.759365825014676</v>
      </c>
      <c r="L1659" s="13">
        <v>1.3</v>
      </c>
      <c r="M1659" s="13"/>
      <c r="N1659" s="17">
        <f t="shared" si="55"/>
        <v>93.600000000000009</v>
      </c>
      <c r="O1659" s="17">
        <f t="shared" si="55"/>
        <v>0</v>
      </c>
      <c r="P1659" s="17">
        <f t="shared" si="54"/>
        <v>93.600000000000009</v>
      </c>
      <c r="Q1659" t="str">
        <f>A1659&amp;"-"&amp;B1659&amp;"-"&amp;D1659</f>
        <v>APRIL-MJ2-L8</v>
      </c>
    </row>
    <row r="1660" spans="1:17" x14ac:dyDescent="0.25">
      <c r="A1660" t="s">
        <v>394</v>
      </c>
      <c r="B1660" s="13" t="s">
        <v>26</v>
      </c>
      <c r="C1660" s="13" t="s">
        <v>226</v>
      </c>
      <c r="D1660" s="14" t="s">
        <v>198</v>
      </c>
      <c r="E1660" s="13" t="s">
        <v>61</v>
      </c>
      <c r="F1660" s="13" t="s">
        <v>779</v>
      </c>
      <c r="G1660" s="13">
        <v>0.78</v>
      </c>
      <c r="H1660" s="15">
        <v>905</v>
      </c>
      <c r="I1660" s="16">
        <v>705.9</v>
      </c>
      <c r="J1660" s="16">
        <v>507.59481037924155</v>
      </c>
      <c r="K1660" s="16">
        <v>198.30518962075843</v>
      </c>
      <c r="L1660" s="13">
        <v>2</v>
      </c>
      <c r="M1660" s="13"/>
      <c r="N1660" s="17">
        <f t="shared" si="55"/>
        <v>1810</v>
      </c>
      <c r="O1660" s="17">
        <f t="shared" si="55"/>
        <v>0</v>
      </c>
      <c r="P1660" s="17">
        <f t="shared" si="54"/>
        <v>1810</v>
      </c>
      <c r="Q1660" t="str">
        <f>A1660&amp;"-"&amp;B1660&amp;"-"&amp;D1660</f>
        <v>APRIL-MJ2-L8</v>
      </c>
    </row>
    <row r="1661" spans="1:17" x14ac:dyDescent="0.25">
      <c r="A1661" t="s">
        <v>394</v>
      </c>
      <c r="B1661" s="13" t="s">
        <v>26</v>
      </c>
      <c r="C1661" s="13" t="s">
        <v>226</v>
      </c>
      <c r="D1661" s="14" t="s">
        <v>198</v>
      </c>
      <c r="E1661" s="13" t="s">
        <v>61</v>
      </c>
      <c r="F1661" s="13" t="s">
        <v>781</v>
      </c>
      <c r="G1661" s="13">
        <v>0.78</v>
      </c>
      <c r="H1661" s="15">
        <v>1044</v>
      </c>
      <c r="I1661" s="16">
        <v>814.31999999999994</v>
      </c>
      <c r="J1661" s="16">
        <v>608.54127601938978</v>
      </c>
      <c r="K1661" s="16">
        <v>205.77872398061021</v>
      </c>
      <c r="L1661" s="13">
        <v>2</v>
      </c>
      <c r="M1661" s="13"/>
      <c r="N1661" s="17">
        <f t="shared" si="55"/>
        <v>2088</v>
      </c>
      <c r="O1661" s="17">
        <f t="shared" si="55"/>
        <v>0</v>
      </c>
      <c r="P1661" s="17">
        <f t="shared" si="54"/>
        <v>2088</v>
      </c>
      <c r="Q1661" t="str">
        <f>A1661&amp;"-"&amp;B1661&amp;"-"&amp;D1661</f>
        <v>APRIL-MJ2-L8</v>
      </c>
    </row>
    <row r="1662" spans="1:17" x14ac:dyDescent="0.25">
      <c r="A1662" t="s">
        <v>394</v>
      </c>
      <c r="B1662" s="13" t="s">
        <v>26</v>
      </c>
      <c r="C1662" s="13" t="s">
        <v>226</v>
      </c>
      <c r="D1662" s="14" t="s">
        <v>198</v>
      </c>
      <c r="E1662" s="13" t="s">
        <v>61</v>
      </c>
      <c r="F1662" s="13" t="s">
        <v>782</v>
      </c>
      <c r="G1662" s="13">
        <v>0.93</v>
      </c>
      <c r="H1662" s="15">
        <v>2997</v>
      </c>
      <c r="I1662" s="16">
        <v>2787.2099999999996</v>
      </c>
      <c r="J1662" s="16">
        <v>1664.8626046911404</v>
      </c>
      <c r="K1662" s="16">
        <v>1122.3473953088599</v>
      </c>
      <c r="L1662" s="13">
        <v>2.2400000000000002</v>
      </c>
      <c r="M1662" s="13"/>
      <c r="N1662" s="17">
        <f t="shared" si="55"/>
        <v>6713.2800000000007</v>
      </c>
      <c r="O1662" s="17">
        <f t="shared" si="55"/>
        <v>0</v>
      </c>
      <c r="P1662" s="17">
        <f t="shared" si="54"/>
        <v>6713.2800000000007</v>
      </c>
      <c r="Q1662" t="str">
        <f>A1662&amp;"-"&amp;B1662&amp;"-"&amp;D1662</f>
        <v>APRIL-MJ2-L8</v>
      </c>
    </row>
    <row r="1663" spans="1:17" x14ac:dyDescent="0.25">
      <c r="A1663" t="s">
        <v>394</v>
      </c>
      <c r="B1663" s="13" t="s">
        <v>26</v>
      </c>
      <c r="C1663" s="13" t="s">
        <v>226</v>
      </c>
      <c r="D1663" s="14" t="s">
        <v>198</v>
      </c>
      <c r="E1663" s="13" t="s">
        <v>61</v>
      </c>
      <c r="F1663" s="13" t="s">
        <v>783</v>
      </c>
      <c r="G1663" s="13">
        <v>0.93</v>
      </c>
      <c r="H1663" s="15">
        <v>573</v>
      </c>
      <c r="I1663" s="16">
        <v>532.89</v>
      </c>
      <c r="J1663" s="16">
        <v>322.61846829775754</v>
      </c>
      <c r="K1663" s="16">
        <v>210.27153170224247</v>
      </c>
      <c r="L1663" s="13">
        <v>2.2400000000000002</v>
      </c>
      <c r="M1663" s="13"/>
      <c r="N1663" s="17">
        <f t="shared" si="55"/>
        <v>1283.5200000000002</v>
      </c>
      <c r="O1663" s="17">
        <f t="shared" si="55"/>
        <v>0</v>
      </c>
      <c r="P1663" s="17">
        <f t="shared" si="54"/>
        <v>1283.5200000000002</v>
      </c>
      <c r="Q1663" t="str">
        <f>A1663&amp;"-"&amp;B1663&amp;"-"&amp;D1663</f>
        <v>APRIL-MJ2-L8</v>
      </c>
    </row>
    <row r="1664" spans="1:17" x14ac:dyDescent="0.25">
      <c r="A1664" t="s">
        <v>394</v>
      </c>
      <c r="B1664" s="13" t="s">
        <v>26</v>
      </c>
      <c r="C1664" s="13" t="s">
        <v>226</v>
      </c>
      <c r="D1664" s="14" t="s">
        <v>198</v>
      </c>
      <c r="E1664" s="13" t="s">
        <v>61</v>
      </c>
      <c r="F1664" s="13" t="s">
        <v>784</v>
      </c>
      <c r="G1664" s="13">
        <v>0.93</v>
      </c>
      <c r="H1664" s="15">
        <v>340</v>
      </c>
      <c r="I1664" s="16">
        <v>316.20000000000005</v>
      </c>
      <c r="J1664" s="16">
        <v>196.47187679341152</v>
      </c>
      <c r="K1664" s="16">
        <v>119.72812320658846</v>
      </c>
      <c r="L1664" s="13">
        <v>2.4300000000000002</v>
      </c>
      <c r="M1664" s="13"/>
      <c r="N1664" s="17">
        <f t="shared" si="55"/>
        <v>826.2</v>
      </c>
      <c r="O1664" s="17">
        <f t="shared" si="55"/>
        <v>0</v>
      </c>
      <c r="P1664" s="17">
        <f t="shared" si="54"/>
        <v>826.2</v>
      </c>
      <c r="Q1664" t="str">
        <f>A1664&amp;"-"&amp;B1664&amp;"-"&amp;D1664</f>
        <v>APRIL-MJ2-L8</v>
      </c>
    </row>
    <row r="1665" spans="1:17" x14ac:dyDescent="0.25">
      <c r="A1665" t="s">
        <v>394</v>
      </c>
      <c r="B1665" s="13" t="s">
        <v>26</v>
      </c>
      <c r="C1665" s="13" t="s">
        <v>226</v>
      </c>
      <c r="D1665" s="14" t="s">
        <v>198</v>
      </c>
      <c r="E1665" s="13" t="s">
        <v>61</v>
      </c>
      <c r="F1665" s="13" t="s">
        <v>785</v>
      </c>
      <c r="G1665" s="13">
        <v>0.79</v>
      </c>
      <c r="H1665" s="15">
        <v>3316</v>
      </c>
      <c r="I1665" s="16">
        <v>2619.6400000000003</v>
      </c>
      <c r="J1665" s="16">
        <v>1754.0511300639657</v>
      </c>
      <c r="K1665" s="16">
        <v>865.58886993603426</v>
      </c>
      <c r="L1665" s="13">
        <v>2.08</v>
      </c>
      <c r="M1665" s="13"/>
      <c r="N1665" s="17">
        <f t="shared" si="55"/>
        <v>6897.2800000000007</v>
      </c>
      <c r="O1665" s="17">
        <f t="shared" si="55"/>
        <v>0</v>
      </c>
      <c r="P1665" s="17">
        <f t="shared" si="54"/>
        <v>6897.2800000000007</v>
      </c>
      <c r="Q1665" t="str">
        <f>A1665&amp;"-"&amp;B1665&amp;"-"&amp;D1665</f>
        <v>APRIL-MJ2-L8</v>
      </c>
    </row>
    <row r="1666" spans="1:17" x14ac:dyDescent="0.25">
      <c r="A1666" t="s">
        <v>394</v>
      </c>
      <c r="B1666" s="13" t="s">
        <v>26</v>
      </c>
      <c r="C1666" s="13" t="s">
        <v>226</v>
      </c>
      <c r="D1666" s="14" t="s">
        <v>198</v>
      </c>
      <c r="E1666" s="13" t="s">
        <v>61</v>
      </c>
      <c r="F1666" s="13" t="s">
        <v>786</v>
      </c>
      <c r="G1666" s="13">
        <v>0.77</v>
      </c>
      <c r="H1666" s="15">
        <v>69</v>
      </c>
      <c r="I1666" s="16">
        <v>53.13</v>
      </c>
      <c r="J1666" s="16">
        <v>41.547857142857147</v>
      </c>
      <c r="K1666" s="16">
        <v>11.582142857142856</v>
      </c>
      <c r="L1666" s="13">
        <v>2.2400000000000002</v>
      </c>
      <c r="M1666" s="13"/>
      <c r="N1666" s="17">
        <f t="shared" si="55"/>
        <v>154.56</v>
      </c>
      <c r="O1666" s="17">
        <f t="shared" si="55"/>
        <v>0</v>
      </c>
      <c r="P1666" s="17">
        <f t="shared" ref="P1666:P1729" si="56">N1666+O1666</f>
        <v>154.56</v>
      </c>
      <c r="Q1666" t="str">
        <f>A1666&amp;"-"&amp;B1666&amp;"-"&amp;D1666</f>
        <v>APRIL-MJ2-L8</v>
      </c>
    </row>
    <row r="1667" spans="1:17" x14ac:dyDescent="0.25">
      <c r="A1667" t="s">
        <v>394</v>
      </c>
      <c r="B1667" s="13" t="s">
        <v>26</v>
      </c>
      <c r="C1667" s="13" t="s">
        <v>226</v>
      </c>
      <c r="D1667" s="14" t="s">
        <v>198</v>
      </c>
      <c r="E1667" s="13" t="s">
        <v>61</v>
      </c>
      <c r="F1667" s="13" t="s">
        <v>787</v>
      </c>
      <c r="G1667" s="13">
        <v>0.79</v>
      </c>
      <c r="H1667" s="15">
        <v>827</v>
      </c>
      <c r="I1667" s="16">
        <v>653.32999999999993</v>
      </c>
      <c r="J1667" s="16">
        <v>459.56079146786414</v>
      </c>
      <c r="K1667" s="16">
        <v>193.76920853213582</v>
      </c>
      <c r="L1667" s="13">
        <v>2.08</v>
      </c>
      <c r="M1667" s="13"/>
      <c r="N1667" s="17">
        <f t="shared" si="55"/>
        <v>1720.16</v>
      </c>
      <c r="O1667" s="17">
        <f t="shared" si="55"/>
        <v>0</v>
      </c>
      <c r="P1667" s="17">
        <f t="shared" si="56"/>
        <v>1720.16</v>
      </c>
      <c r="Q1667" t="str">
        <f>A1667&amp;"-"&amp;B1667&amp;"-"&amp;D1667</f>
        <v>APRIL-MJ2-L8</v>
      </c>
    </row>
    <row r="1668" spans="1:17" x14ac:dyDescent="0.25">
      <c r="A1668" t="s">
        <v>394</v>
      </c>
      <c r="B1668" s="13" t="s">
        <v>26</v>
      </c>
      <c r="C1668" s="13" t="s">
        <v>226</v>
      </c>
      <c r="D1668" s="14" t="s">
        <v>198</v>
      </c>
      <c r="E1668" s="13" t="s">
        <v>61</v>
      </c>
      <c r="F1668" s="13" t="s">
        <v>788</v>
      </c>
      <c r="G1668" s="13">
        <v>0.79</v>
      </c>
      <c r="H1668" s="15">
        <v>1283</v>
      </c>
      <c r="I1668" s="16">
        <v>1013.5699999999999</v>
      </c>
      <c r="J1668" s="16">
        <v>640.16909090909098</v>
      </c>
      <c r="K1668" s="16">
        <v>373.40090909090907</v>
      </c>
      <c r="L1668" s="13">
        <v>2.42</v>
      </c>
      <c r="M1668" s="13"/>
      <c r="N1668" s="17">
        <f t="shared" si="55"/>
        <v>3104.86</v>
      </c>
      <c r="O1668" s="17">
        <f t="shared" si="55"/>
        <v>0</v>
      </c>
      <c r="P1668" s="17">
        <f t="shared" si="56"/>
        <v>3104.86</v>
      </c>
      <c r="Q1668" t="str">
        <f>A1668&amp;"-"&amp;B1668&amp;"-"&amp;D1668</f>
        <v>APRIL-MJ2-L8</v>
      </c>
    </row>
    <row r="1669" spans="1:17" x14ac:dyDescent="0.25">
      <c r="A1669" t="s">
        <v>394</v>
      </c>
      <c r="B1669" s="13" t="s">
        <v>26</v>
      </c>
      <c r="C1669" s="13" t="s">
        <v>226</v>
      </c>
      <c r="D1669" s="14" t="s">
        <v>198</v>
      </c>
      <c r="E1669" s="13" t="s">
        <v>61</v>
      </c>
      <c r="F1669" s="13" t="s">
        <v>810</v>
      </c>
      <c r="G1669" s="13">
        <v>0.79</v>
      </c>
      <c r="H1669" s="15">
        <v>582</v>
      </c>
      <c r="I1669" s="16">
        <v>459.78</v>
      </c>
      <c r="J1669" s="16">
        <v>272.57</v>
      </c>
      <c r="K1669" s="16">
        <v>187.20999999999998</v>
      </c>
      <c r="L1669" s="13">
        <v>2.42</v>
      </c>
      <c r="M1669" s="13"/>
      <c r="N1669" s="17">
        <f t="shared" si="55"/>
        <v>1408.44</v>
      </c>
      <c r="O1669" s="17">
        <f t="shared" si="55"/>
        <v>0</v>
      </c>
      <c r="P1669" s="17">
        <f t="shared" si="56"/>
        <v>1408.44</v>
      </c>
      <c r="Q1669" t="str">
        <f>A1669&amp;"-"&amp;B1669&amp;"-"&amp;D1669</f>
        <v>APRIL-MJ2-L8</v>
      </c>
    </row>
    <row r="1670" spans="1:17" x14ac:dyDescent="0.25">
      <c r="A1670" t="s">
        <v>394</v>
      </c>
      <c r="B1670" s="13" t="s">
        <v>26</v>
      </c>
      <c r="C1670" s="13" t="s">
        <v>226</v>
      </c>
      <c r="D1670" s="14" t="s">
        <v>199</v>
      </c>
      <c r="E1670" s="13" t="s">
        <v>61</v>
      </c>
      <c r="F1670" s="13" t="s">
        <v>634</v>
      </c>
      <c r="G1670" s="13">
        <v>0.66</v>
      </c>
      <c r="H1670" s="15">
        <v>5691</v>
      </c>
      <c r="I1670" s="16">
        <v>3756.0600000000004</v>
      </c>
      <c r="J1670" s="16">
        <v>2834.9222747487938</v>
      </c>
      <c r="K1670" s="16">
        <v>921.13772525120646</v>
      </c>
      <c r="L1670" s="13">
        <v>1.71</v>
      </c>
      <c r="M1670" s="13"/>
      <c r="N1670" s="17">
        <f t="shared" si="55"/>
        <v>9731.61</v>
      </c>
      <c r="O1670" s="17">
        <f t="shared" si="55"/>
        <v>0</v>
      </c>
      <c r="P1670" s="17">
        <f t="shared" si="56"/>
        <v>9731.61</v>
      </c>
      <c r="Q1670" t="str">
        <f>A1670&amp;"-"&amp;B1670&amp;"-"&amp;D1670</f>
        <v>APRIL-MJ2-L9</v>
      </c>
    </row>
    <row r="1671" spans="1:17" x14ac:dyDescent="0.25">
      <c r="A1671" t="s">
        <v>394</v>
      </c>
      <c r="B1671" s="13" t="s">
        <v>26</v>
      </c>
      <c r="C1671" s="13" t="s">
        <v>226</v>
      </c>
      <c r="D1671" s="14" t="s">
        <v>199</v>
      </c>
      <c r="E1671" s="13" t="s">
        <v>61</v>
      </c>
      <c r="F1671" s="13" t="s">
        <v>777</v>
      </c>
      <c r="G1671" s="13">
        <v>0.64</v>
      </c>
      <c r="H1671" s="15">
        <v>1</v>
      </c>
      <c r="I1671" s="16">
        <v>0.64</v>
      </c>
      <c r="J1671" s="16">
        <v>0.60214285714285709</v>
      </c>
      <c r="K1671" s="16">
        <v>3.7857142857142922E-2</v>
      </c>
      <c r="L1671" s="13">
        <v>1.85</v>
      </c>
      <c r="M1671" s="13"/>
      <c r="N1671" s="17">
        <f t="shared" si="55"/>
        <v>1.85</v>
      </c>
      <c r="O1671" s="17">
        <f t="shared" si="55"/>
        <v>0</v>
      </c>
      <c r="P1671" s="17">
        <f t="shared" si="56"/>
        <v>1.85</v>
      </c>
      <c r="Q1671" t="str">
        <f>A1671&amp;"-"&amp;B1671&amp;"-"&amp;D1671</f>
        <v>APRIL-MJ2-L9</v>
      </c>
    </row>
    <row r="1672" spans="1:17" x14ac:dyDescent="0.25">
      <c r="A1672" t="s">
        <v>394</v>
      </c>
      <c r="B1672" s="13" t="s">
        <v>26</v>
      </c>
      <c r="C1672" s="13" t="s">
        <v>226</v>
      </c>
      <c r="D1672" s="14" t="s">
        <v>199</v>
      </c>
      <c r="E1672" s="13" t="s">
        <v>61</v>
      </c>
      <c r="F1672" s="13" t="s">
        <v>635</v>
      </c>
      <c r="G1672" s="13">
        <v>0.7</v>
      </c>
      <c r="H1672" s="15">
        <v>6</v>
      </c>
      <c r="I1672" s="16">
        <v>4.2</v>
      </c>
      <c r="J1672" s="16">
        <v>2.9717978848413633</v>
      </c>
      <c r="K1672" s="16">
        <v>1.2282021151586369</v>
      </c>
      <c r="L1672" s="13">
        <v>1.3</v>
      </c>
      <c r="M1672" s="13"/>
      <c r="N1672" s="17">
        <f t="shared" si="55"/>
        <v>7.8000000000000007</v>
      </c>
      <c r="O1672" s="17">
        <f t="shared" si="55"/>
        <v>0</v>
      </c>
      <c r="P1672" s="17">
        <f t="shared" si="56"/>
        <v>7.8000000000000007</v>
      </c>
      <c r="Q1672" t="str">
        <f>A1672&amp;"-"&amp;B1672&amp;"-"&amp;D1672</f>
        <v>APRIL-MJ2-L9</v>
      </c>
    </row>
    <row r="1673" spans="1:17" x14ac:dyDescent="0.25">
      <c r="A1673" t="s">
        <v>394</v>
      </c>
      <c r="B1673" s="13" t="s">
        <v>26</v>
      </c>
      <c r="C1673" s="13" t="s">
        <v>226</v>
      </c>
      <c r="D1673" s="14" t="s">
        <v>199</v>
      </c>
      <c r="E1673" s="13" t="s">
        <v>61</v>
      </c>
      <c r="F1673" s="13" t="s">
        <v>778</v>
      </c>
      <c r="G1673" s="13">
        <v>0.69999999999999984</v>
      </c>
      <c r="H1673" s="15">
        <v>3358</v>
      </c>
      <c r="I1673" s="16">
        <v>2350.6</v>
      </c>
      <c r="J1673" s="16">
        <v>1615.2816666666668</v>
      </c>
      <c r="K1673" s="16">
        <v>735.31833333333316</v>
      </c>
      <c r="L1673" s="13">
        <v>1.3</v>
      </c>
      <c r="M1673" s="13"/>
      <c r="N1673" s="17">
        <f t="shared" si="55"/>
        <v>4365.4000000000005</v>
      </c>
      <c r="O1673" s="17">
        <f t="shared" si="55"/>
        <v>0</v>
      </c>
      <c r="P1673" s="17">
        <f t="shared" si="56"/>
        <v>4365.4000000000005</v>
      </c>
      <c r="Q1673" t="str">
        <f>A1673&amp;"-"&amp;B1673&amp;"-"&amp;D1673</f>
        <v>APRIL-MJ2-L9</v>
      </c>
    </row>
    <row r="1674" spans="1:17" x14ac:dyDescent="0.25">
      <c r="A1674" t="s">
        <v>394</v>
      </c>
      <c r="B1674" s="13" t="s">
        <v>26</v>
      </c>
      <c r="C1674" s="13" t="s">
        <v>226</v>
      </c>
      <c r="D1674" s="14" t="s">
        <v>199</v>
      </c>
      <c r="E1674" s="13" t="s">
        <v>61</v>
      </c>
      <c r="F1674" s="13" t="s">
        <v>637</v>
      </c>
      <c r="G1674" s="13">
        <v>0.7</v>
      </c>
      <c r="H1674" s="15">
        <v>72</v>
      </c>
      <c r="I1674" s="16">
        <v>50.4</v>
      </c>
      <c r="J1674" s="16">
        <v>35.66157461809636</v>
      </c>
      <c r="K1674" s="16">
        <v>14.738425381903639</v>
      </c>
      <c r="L1674" s="13">
        <v>1.3</v>
      </c>
      <c r="M1674" s="13"/>
      <c r="N1674" s="17">
        <f t="shared" si="55"/>
        <v>93.600000000000009</v>
      </c>
      <c r="O1674" s="17">
        <f t="shared" si="55"/>
        <v>0</v>
      </c>
      <c r="P1674" s="17">
        <f t="shared" si="56"/>
        <v>93.600000000000009</v>
      </c>
      <c r="Q1674" t="str">
        <f>A1674&amp;"-"&amp;B1674&amp;"-"&amp;D1674</f>
        <v>APRIL-MJ2-L9</v>
      </c>
    </row>
    <row r="1675" spans="1:17" x14ac:dyDescent="0.25">
      <c r="A1675" t="s">
        <v>394</v>
      </c>
      <c r="B1675" s="13" t="s">
        <v>26</v>
      </c>
      <c r="C1675" s="13" t="s">
        <v>226</v>
      </c>
      <c r="D1675" s="14" t="s">
        <v>199</v>
      </c>
      <c r="E1675" s="13" t="s">
        <v>61</v>
      </c>
      <c r="F1675" s="13" t="s">
        <v>779</v>
      </c>
      <c r="G1675" s="13">
        <v>0.78</v>
      </c>
      <c r="H1675" s="15">
        <v>905</v>
      </c>
      <c r="I1675" s="16">
        <v>705.9</v>
      </c>
      <c r="J1675" s="16">
        <v>507.59481037924155</v>
      </c>
      <c r="K1675" s="16">
        <v>198.30518962075843</v>
      </c>
      <c r="L1675" s="13">
        <v>2</v>
      </c>
      <c r="M1675" s="13"/>
      <c r="N1675" s="17">
        <f t="shared" si="55"/>
        <v>1810</v>
      </c>
      <c r="O1675" s="17">
        <f t="shared" si="55"/>
        <v>0</v>
      </c>
      <c r="P1675" s="17">
        <f t="shared" si="56"/>
        <v>1810</v>
      </c>
      <c r="Q1675" t="str">
        <f>A1675&amp;"-"&amp;B1675&amp;"-"&amp;D1675</f>
        <v>APRIL-MJ2-L9</v>
      </c>
    </row>
    <row r="1676" spans="1:17" x14ac:dyDescent="0.25">
      <c r="A1676" t="s">
        <v>394</v>
      </c>
      <c r="B1676" s="13" t="s">
        <v>26</v>
      </c>
      <c r="C1676" s="13" t="s">
        <v>226</v>
      </c>
      <c r="D1676" s="14" t="s">
        <v>199</v>
      </c>
      <c r="E1676" s="13" t="s">
        <v>61</v>
      </c>
      <c r="F1676" s="13" t="s">
        <v>781</v>
      </c>
      <c r="G1676" s="13">
        <v>0.78</v>
      </c>
      <c r="H1676" s="15">
        <v>1044</v>
      </c>
      <c r="I1676" s="16">
        <v>814.31999999999994</v>
      </c>
      <c r="J1676" s="16">
        <v>608.50001140575989</v>
      </c>
      <c r="K1676" s="16">
        <v>205.8199885942401</v>
      </c>
      <c r="L1676" s="13">
        <v>2</v>
      </c>
      <c r="M1676" s="13"/>
      <c r="N1676" s="17">
        <f t="shared" si="55"/>
        <v>2088</v>
      </c>
      <c r="O1676" s="17">
        <f t="shared" si="55"/>
        <v>0</v>
      </c>
      <c r="P1676" s="17">
        <f t="shared" si="56"/>
        <v>2088</v>
      </c>
      <c r="Q1676" t="str">
        <f>A1676&amp;"-"&amp;B1676&amp;"-"&amp;D1676</f>
        <v>APRIL-MJ2-L9</v>
      </c>
    </row>
    <row r="1677" spans="1:17" x14ac:dyDescent="0.25">
      <c r="A1677" t="s">
        <v>394</v>
      </c>
      <c r="B1677" s="13" t="s">
        <v>26</v>
      </c>
      <c r="C1677" s="13" t="s">
        <v>226</v>
      </c>
      <c r="D1677" s="14" t="s">
        <v>199</v>
      </c>
      <c r="E1677" s="13" t="s">
        <v>61</v>
      </c>
      <c r="F1677" s="13" t="s">
        <v>782</v>
      </c>
      <c r="G1677" s="13">
        <v>0.93</v>
      </c>
      <c r="H1677" s="15">
        <v>2998</v>
      </c>
      <c r="I1677" s="16">
        <v>2788.1399999999994</v>
      </c>
      <c r="J1677" s="16">
        <v>1665.4394567100724</v>
      </c>
      <c r="K1677" s="16">
        <v>1122.7005432899275</v>
      </c>
      <c r="L1677" s="13">
        <v>2.2400000000000002</v>
      </c>
      <c r="M1677" s="13"/>
      <c r="N1677" s="17">
        <f t="shared" si="55"/>
        <v>6715.52</v>
      </c>
      <c r="O1677" s="17">
        <f t="shared" si="55"/>
        <v>0</v>
      </c>
      <c r="P1677" s="17">
        <f t="shared" si="56"/>
        <v>6715.52</v>
      </c>
      <c r="Q1677" t="str">
        <f>A1677&amp;"-"&amp;B1677&amp;"-"&amp;D1677</f>
        <v>APRIL-MJ2-L9</v>
      </c>
    </row>
    <row r="1678" spans="1:17" x14ac:dyDescent="0.25">
      <c r="A1678" t="s">
        <v>394</v>
      </c>
      <c r="B1678" s="13" t="s">
        <v>26</v>
      </c>
      <c r="C1678" s="13" t="s">
        <v>226</v>
      </c>
      <c r="D1678" s="14" t="s">
        <v>199</v>
      </c>
      <c r="E1678" s="13" t="s">
        <v>61</v>
      </c>
      <c r="F1678" s="13" t="s">
        <v>783</v>
      </c>
      <c r="G1678" s="13">
        <v>0.93</v>
      </c>
      <c r="H1678" s="15">
        <v>573</v>
      </c>
      <c r="I1678" s="16">
        <v>532.89</v>
      </c>
      <c r="J1678" s="16">
        <v>322.45769082627567</v>
      </c>
      <c r="K1678" s="16">
        <v>210.43230917372435</v>
      </c>
      <c r="L1678" s="13">
        <v>2.2400000000000002</v>
      </c>
      <c r="M1678" s="13"/>
      <c r="N1678" s="17">
        <f t="shared" si="55"/>
        <v>1283.5200000000002</v>
      </c>
      <c r="O1678" s="17">
        <f t="shared" si="55"/>
        <v>0</v>
      </c>
      <c r="P1678" s="17">
        <f t="shared" si="56"/>
        <v>1283.5200000000002</v>
      </c>
      <c r="Q1678" t="str">
        <f>A1678&amp;"-"&amp;B1678&amp;"-"&amp;D1678</f>
        <v>APRIL-MJ2-L9</v>
      </c>
    </row>
    <row r="1679" spans="1:17" x14ac:dyDescent="0.25">
      <c r="A1679" t="s">
        <v>394</v>
      </c>
      <c r="B1679" s="13" t="s">
        <v>26</v>
      </c>
      <c r="C1679" s="13" t="s">
        <v>226</v>
      </c>
      <c r="D1679" s="14" t="s">
        <v>199</v>
      </c>
      <c r="E1679" s="13" t="s">
        <v>61</v>
      </c>
      <c r="F1679" s="13" t="s">
        <v>784</v>
      </c>
      <c r="G1679" s="13">
        <v>0.93</v>
      </c>
      <c r="H1679" s="15">
        <v>340</v>
      </c>
      <c r="I1679" s="16">
        <v>316.20000000000005</v>
      </c>
      <c r="J1679" s="16">
        <v>196.41587565165941</v>
      </c>
      <c r="K1679" s="16">
        <v>119.78412434834058</v>
      </c>
      <c r="L1679" s="13">
        <v>2.4300000000000002</v>
      </c>
      <c r="M1679" s="13"/>
      <c r="N1679" s="17">
        <f t="shared" si="55"/>
        <v>826.2</v>
      </c>
      <c r="O1679" s="17">
        <f t="shared" si="55"/>
        <v>0</v>
      </c>
      <c r="P1679" s="17">
        <f t="shared" si="56"/>
        <v>826.2</v>
      </c>
      <c r="Q1679" t="str">
        <f>A1679&amp;"-"&amp;B1679&amp;"-"&amp;D1679</f>
        <v>APRIL-MJ2-L9</v>
      </c>
    </row>
    <row r="1680" spans="1:17" x14ac:dyDescent="0.25">
      <c r="A1680" t="s">
        <v>394</v>
      </c>
      <c r="B1680" s="13" t="s">
        <v>26</v>
      </c>
      <c r="C1680" s="13" t="s">
        <v>226</v>
      </c>
      <c r="D1680" s="14" t="s">
        <v>199</v>
      </c>
      <c r="E1680" s="13" t="s">
        <v>61</v>
      </c>
      <c r="F1680" s="13" t="s">
        <v>785</v>
      </c>
      <c r="G1680" s="13">
        <v>0.79</v>
      </c>
      <c r="H1680" s="15">
        <v>3316</v>
      </c>
      <c r="I1680" s="16">
        <v>2619.6400000000003</v>
      </c>
      <c r="J1680" s="16">
        <v>1754.0511300639657</v>
      </c>
      <c r="K1680" s="16">
        <v>865.58886993603426</v>
      </c>
      <c r="L1680" s="13">
        <v>2.08</v>
      </c>
      <c r="M1680" s="13"/>
      <c r="N1680" s="17">
        <f t="shared" si="55"/>
        <v>6897.2800000000007</v>
      </c>
      <c r="O1680" s="17">
        <f t="shared" si="55"/>
        <v>0</v>
      </c>
      <c r="P1680" s="17">
        <f t="shared" si="56"/>
        <v>6897.2800000000007</v>
      </c>
      <c r="Q1680" t="str">
        <f>A1680&amp;"-"&amp;B1680&amp;"-"&amp;D1680</f>
        <v>APRIL-MJ2-L9</v>
      </c>
    </row>
    <row r="1681" spans="1:17" x14ac:dyDescent="0.25">
      <c r="A1681" t="s">
        <v>394</v>
      </c>
      <c r="B1681" s="13" t="s">
        <v>26</v>
      </c>
      <c r="C1681" s="13" t="s">
        <v>226</v>
      </c>
      <c r="D1681" s="14" t="s">
        <v>199</v>
      </c>
      <c r="E1681" s="13" t="s">
        <v>61</v>
      </c>
      <c r="F1681" s="13" t="s">
        <v>786</v>
      </c>
      <c r="G1681" s="13">
        <v>0.77</v>
      </c>
      <c r="H1681" s="15">
        <v>69</v>
      </c>
      <c r="I1681" s="16">
        <v>53.13</v>
      </c>
      <c r="J1681" s="16">
        <v>41.547857142857147</v>
      </c>
      <c r="K1681" s="16">
        <v>11.582142857142856</v>
      </c>
      <c r="L1681" s="13">
        <v>2.2400000000000002</v>
      </c>
      <c r="M1681" s="13"/>
      <c r="N1681" s="17">
        <f t="shared" si="55"/>
        <v>154.56</v>
      </c>
      <c r="O1681" s="17">
        <f t="shared" si="55"/>
        <v>0</v>
      </c>
      <c r="P1681" s="17">
        <f t="shared" si="56"/>
        <v>154.56</v>
      </c>
      <c r="Q1681" t="str">
        <f>A1681&amp;"-"&amp;B1681&amp;"-"&amp;D1681</f>
        <v>APRIL-MJ2-L9</v>
      </c>
    </row>
    <row r="1682" spans="1:17" x14ac:dyDescent="0.25">
      <c r="A1682" t="s">
        <v>394</v>
      </c>
      <c r="B1682" s="13" t="s">
        <v>26</v>
      </c>
      <c r="C1682" s="13" t="s">
        <v>226</v>
      </c>
      <c r="D1682" s="14" t="s">
        <v>199</v>
      </c>
      <c r="E1682" s="13" t="s">
        <v>61</v>
      </c>
      <c r="F1682" s="13" t="s">
        <v>787</v>
      </c>
      <c r="G1682" s="13">
        <v>0.79</v>
      </c>
      <c r="H1682" s="15">
        <v>828</v>
      </c>
      <c r="I1682" s="16">
        <v>654.12</v>
      </c>
      <c r="J1682" s="16">
        <v>459.83537771129392</v>
      </c>
      <c r="K1682" s="16">
        <v>194.28462228870612</v>
      </c>
      <c r="L1682" s="13">
        <v>2.08</v>
      </c>
      <c r="M1682" s="13"/>
      <c r="N1682" s="17">
        <f t="shared" si="55"/>
        <v>1722.24</v>
      </c>
      <c r="O1682" s="17">
        <f t="shared" si="55"/>
        <v>0</v>
      </c>
      <c r="P1682" s="17">
        <f t="shared" si="56"/>
        <v>1722.24</v>
      </c>
      <c r="Q1682" t="str">
        <f>A1682&amp;"-"&amp;B1682&amp;"-"&amp;D1682</f>
        <v>APRIL-MJ2-L9</v>
      </c>
    </row>
    <row r="1683" spans="1:17" x14ac:dyDescent="0.25">
      <c r="A1683" t="s">
        <v>394</v>
      </c>
      <c r="B1683" s="13" t="s">
        <v>26</v>
      </c>
      <c r="C1683" s="13" t="s">
        <v>226</v>
      </c>
      <c r="D1683" s="14" t="s">
        <v>199</v>
      </c>
      <c r="E1683" s="13" t="s">
        <v>61</v>
      </c>
      <c r="F1683" s="13" t="s">
        <v>788</v>
      </c>
      <c r="G1683" s="13">
        <v>0.79</v>
      </c>
      <c r="H1683" s="15">
        <v>1284</v>
      </c>
      <c r="I1683" s="16">
        <v>1014.3600000000001</v>
      </c>
      <c r="J1683" s="16">
        <v>640.68000000000006</v>
      </c>
      <c r="K1683" s="16">
        <v>373.68000000000006</v>
      </c>
      <c r="L1683" s="13">
        <v>2.42</v>
      </c>
      <c r="M1683" s="13"/>
      <c r="N1683" s="17">
        <f t="shared" si="55"/>
        <v>3107.2799999999997</v>
      </c>
      <c r="O1683" s="17">
        <f t="shared" si="55"/>
        <v>0</v>
      </c>
      <c r="P1683" s="17">
        <f t="shared" si="56"/>
        <v>3107.2799999999997</v>
      </c>
      <c r="Q1683" t="str">
        <f>A1683&amp;"-"&amp;B1683&amp;"-"&amp;D1683</f>
        <v>APRIL-MJ2-L9</v>
      </c>
    </row>
    <row r="1684" spans="1:17" x14ac:dyDescent="0.25">
      <c r="A1684" t="s">
        <v>394</v>
      </c>
      <c r="B1684" s="13" t="s">
        <v>26</v>
      </c>
      <c r="C1684" s="13" t="s">
        <v>226</v>
      </c>
      <c r="D1684" s="14" t="s">
        <v>199</v>
      </c>
      <c r="E1684" s="13" t="s">
        <v>61</v>
      </c>
      <c r="F1684" s="13" t="s">
        <v>810</v>
      </c>
      <c r="G1684" s="13">
        <v>0.79</v>
      </c>
      <c r="H1684" s="15">
        <v>583</v>
      </c>
      <c r="I1684" s="16">
        <v>460.57</v>
      </c>
      <c r="J1684" s="16">
        <v>273.03833333333336</v>
      </c>
      <c r="K1684" s="16">
        <v>187.53166666666664</v>
      </c>
      <c r="L1684" s="13">
        <v>2.42</v>
      </c>
      <c r="M1684" s="13"/>
      <c r="N1684" s="17">
        <f t="shared" si="55"/>
        <v>1410.86</v>
      </c>
      <c r="O1684" s="17">
        <f t="shared" si="55"/>
        <v>0</v>
      </c>
      <c r="P1684" s="17">
        <f t="shared" si="56"/>
        <v>1410.86</v>
      </c>
      <c r="Q1684" t="str">
        <f>A1684&amp;"-"&amp;B1684&amp;"-"&amp;D1684</f>
        <v>APRIL-MJ2-L9</v>
      </c>
    </row>
    <row r="1685" spans="1:17" x14ac:dyDescent="0.25">
      <c r="A1685" t="s">
        <v>394</v>
      </c>
      <c r="B1685" s="13" t="s">
        <v>26</v>
      </c>
      <c r="C1685" s="13" t="s">
        <v>43</v>
      </c>
      <c r="D1685" s="14" t="s">
        <v>44</v>
      </c>
      <c r="E1685" s="13" t="s">
        <v>179</v>
      </c>
      <c r="F1685" s="13" t="s">
        <v>811</v>
      </c>
      <c r="G1685" s="13">
        <v>1.54</v>
      </c>
      <c r="H1685" s="15">
        <v>1152</v>
      </c>
      <c r="I1685" s="16">
        <v>1774.08</v>
      </c>
      <c r="J1685" s="16">
        <v>1775.1832140181782</v>
      </c>
      <c r="K1685" s="16">
        <v>-1.1032140181782921</v>
      </c>
      <c r="L1685" s="13"/>
      <c r="M1685" s="13">
        <v>1.65</v>
      </c>
      <c r="N1685" s="17">
        <f t="shared" si="55"/>
        <v>0</v>
      </c>
      <c r="O1685" s="17">
        <f t="shared" si="55"/>
        <v>1900.8</v>
      </c>
      <c r="P1685" s="17">
        <f t="shared" si="56"/>
        <v>1900.8</v>
      </c>
      <c r="Q1685" t="str">
        <f>A1685&amp;"-"&amp;B1685&amp;"-"&amp;D1685</f>
        <v>APRIL-MJ2-L1</v>
      </c>
    </row>
    <row r="1686" spans="1:17" x14ac:dyDescent="0.25">
      <c r="A1686" t="s">
        <v>394</v>
      </c>
      <c r="B1686" s="13" t="s">
        <v>26</v>
      </c>
      <c r="C1686" s="13" t="s">
        <v>43</v>
      </c>
      <c r="D1686" s="14" t="s">
        <v>44</v>
      </c>
      <c r="E1686" s="13" t="s">
        <v>179</v>
      </c>
      <c r="F1686" s="13" t="s">
        <v>667</v>
      </c>
      <c r="G1686" s="13">
        <v>1.54</v>
      </c>
      <c r="H1686" s="15">
        <v>1517</v>
      </c>
      <c r="I1686" s="16">
        <v>2336.1800000000003</v>
      </c>
      <c r="J1686" s="16">
        <v>2234.6325910931178</v>
      </c>
      <c r="K1686" s="16">
        <v>101.54740890688259</v>
      </c>
      <c r="L1686" s="13"/>
      <c r="M1686" s="13">
        <v>1.65</v>
      </c>
      <c r="N1686" s="17">
        <f t="shared" ref="N1686:O1701" si="57">$H1686*L1686</f>
        <v>0</v>
      </c>
      <c r="O1686" s="17">
        <f t="shared" si="57"/>
        <v>2503.0499999999997</v>
      </c>
      <c r="P1686" s="17">
        <f t="shared" si="56"/>
        <v>2503.0499999999997</v>
      </c>
      <c r="Q1686" t="str">
        <f>A1686&amp;"-"&amp;B1686&amp;"-"&amp;D1686</f>
        <v>APRIL-MJ2-L1</v>
      </c>
    </row>
    <row r="1687" spans="1:17" x14ac:dyDescent="0.25">
      <c r="A1687" t="s">
        <v>394</v>
      </c>
      <c r="B1687" s="13" t="s">
        <v>26</v>
      </c>
      <c r="C1687" s="13" t="s">
        <v>43</v>
      </c>
      <c r="D1687" s="14" t="s">
        <v>44</v>
      </c>
      <c r="E1687" s="13" t="s">
        <v>179</v>
      </c>
      <c r="F1687" s="13" t="s">
        <v>812</v>
      </c>
      <c r="G1687" s="13">
        <v>1.5400000000000003</v>
      </c>
      <c r="H1687" s="15">
        <v>2882</v>
      </c>
      <c r="I1687" s="16">
        <v>4438.28</v>
      </c>
      <c r="J1687" s="16">
        <v>4406.9780526562154</v>
      </c>
      <c r="K1687" s="16">
        <v>31.301947343784647</v>
      </c>
      <c r="L1687" s="13"/>
      <c r="M1687" s="13">
        <v>1.65</v>
      </c>
      <c r="N1687" s="17">
        <f t="shared" si="57"/>
        <v>0</v>
      </c>
      <c r="O1687" s="17">
        <f t="shared" si="57"/>
        <v>4755.3</v>
      </c>
      <c r="P1687" s="17">
        <f t="shared" si="56"/>
        <v>4755.3</v>
      </c>
      <c r="Q1687" t="str">
        <f>A1687&amp;"-"&amp;B1687&amp;"-"&amp;D1687</f>
        <v>APRIL-MJ2-L1</v>
      </c>
    </row>
    <row r="1688" spans="1:17" x14ac:dyDescent="0.25">
      <c r="A1688" t="s">
        <v>394</v>
      </c>
      <c r="B1688" s="13" t="s">
        <v>26</v>
      </c>
      <c r="C1688" s="13" t="s">
        <v>43</v>
      </c>
      <c r="D1688" s="14" t="s">
        <v>44</v>
      </c>
      <c r="E1688" s="13" t="s">
        <v>179</v>
      </c>
      <c r="F1688" s="13" t="s">
        <v>813</v>
      </c>
      <c r="G1688" s="13">
        <v>1.54</v>
      </c>
      <c r="H1688" s="15">
        <v>1647</v>
      </c>
      <c r="I1688" s="16">
        <v>2536.38</v>
      </c>
      <c r="J1688" s="16">
        <v>2542.2061422324891</v>
      </c>
      <c r="K1688" s="16">
        <v>-5.8261422324890759</v>
      </c>
      <c r="L1688" s="13"/>
      <c r="M1688" s="13">
        <v>1.65</v>
      </c>
      <c r="N1688" s="17">
        <f t="shared" si="57"/>
        <v>0</v>
      </c>
      <c r="O1688" s="17">
        <f t="shared" si="57"/>
        <v>2717.5499999999997</v>
      </c>
      <c r="P1688" s="17">
        <f t="shared" si="56"/>
        <v>2717.5499999999997</v>
      </c>
      <c r="Q1688" t="str">
        <f>A1688&amp;"-"&amp;B1688&amp;"-"&amp;D1688</f>
        <v>APRIL-MJ2-L1</v>
      </c>
    </row>
    <row r="1689" spans="1:17" x14ac:dyDescent="0.25">
      <c r="A1689" t="s">
        <v>395</v>
      </c>
      <c r="B1689" s="13" t="s">
        <v>18</v>
      </c>
      <c r="C1689" s="13" t="s">
        <v>43</v>
      </c>
      <c r="D1689" s="14" t="s">
        <v>44</v>
      </c>
      <c r="E1689" s="13" t="s">
        <v>45</v>
      </c>
      <c r="F1689" s="13" t="s">
        <v>814</v>
      </c>
      <c r="G1689" s="13">
        <v>3.0900000000000012</v>
      </c>
      <c r="H1689" s="15">
        <v>3853</v>
      </c>
      <c r="I1689" s="16">
        <v>11905.77</v>
      </c>
      <c r="J1689" s="16">
        <v>12323.722077294686</v>
      </c>
      <c r="K1689" s="16">
        <v>-417.95207729468581</v>
      </c>
      <c r="L1689" s="13"/>
      <c r="M1689" s="13">
        <v>3.33</v>
      </c>
      <c r="N1689" s="17">
        <f t="shared" si="57"/>
        <v>0</v>
      </c>
      <c r="O1689" s="17">
        <f t="shared" si="57"/>
        <v>12830.49</v>
      </c>
      <c r="P1689" s="17">
        <f t="shared" si="56"/>
        <v>12830.49</v>
      </c>
      <c r="Q1689" t="str">
        <f>A1689&amp;"-"&amp;B1689&amp;"-"&amp;D1689</f>
        <v>MEI-CBA-L1</v>
      </c>
    </row>
    <row r="1690" spans="1:17" x14ac:dyDescent="0.25">
      <c r="A1690" t="s">
        <v>395</v>
      </c>
      <c r="B1690" s="13" t="s">
        <v>18</v>
      </c>
      <c r="C1690" s="13" t="s">
        <v>43</v>
      </c>
      <c r="D1690" s="14" t="s">
        <v>44</v>
      </c>
      <c r="E1690" s="13" t="s">
        <v>45</v>
      </c>
      <c r="F1690" s="13" t="s">
        <v>700</v>
      </c>
      <c r="G1690" s="13">
        <v>2.9499999999999997</v>
      </c>
      <c r="H1690" s="15">
        <v>1460</v>
      </c>
      <c r="I1690" s="16">
        <v>4307</v>
      </c>
      <c r="J1690" s="16">
        <v>4233.1179227053135</v>
      </c>
      <c r="K1690" s="16">
        <v>73.882077294686042</v>
      </c>
      <c r="L1690" s="13"/>
      <c r="M1690" s="13">
        <v>3.13</v>
      </c>
      <c r="N1690" s="17">
        <f t="shared" si="57"/>
        <v>0</v>
      </c>
      <c r="O1690" s="17">
        <f t="shared" si="57"/>
        <v>4569.8</v>
      </c>
      <c r="P1690" s="17">
        <f t="shared" si="56"/>
        <v>4569.8</v>
      </c>
      <c r="Q1690" t="str">
        <f>A1690&amp;"-"&amp;B1690&amp;"-"&amp;D1690</f>
        <v>MEI-CBA-L1</v>
      </c>
    </row>
    <row r="1691" spans="1:17" x14ac:dyDescent="0.25">
      <c r="A1691" t="s">
        <v>395</v>
      </c>
      <c r="B1691" s="13" t="s">
        <v>18</v>
      </c>
      <c r="C1691" s="13" t="s">
        <v>43</v>
      </c>
      <c r="D1691" s="14" t="s">
        <v>44</v>
      </c>
      <c r="E1691" s="13" t="s">
        <v>71</v>
      </c>
      <c r="F1691" s="13" t="s">
        <v>815</v>
      </c>
      <c r="G1691" s="13">
        <v>4.0599999999999996</v>
      </c>
      <c r="H1691" s="15">
        <v>0</v>
      </c>
      <c r="I1691" s="16">
        <v>0</v>
      </c>
      <c r="J1691" s="16">
        <v>694</v>
      </c>
      <c r="K1691" s="16">
        <v>-694</v>
      </c>
      <c r="L1691" s="13"/>
      <c r="M1691" s="13">
        <v>4.33</v>
      </c>
      <c r="N1691" s="17">
        <f t="shared" si="57"/>
        <v>0</v>
      </c>
      <c r="O1691" s="17">
        <f t="shared" si="57"/>
        <v>0</v>
      </c>
      <c r="P1691" s="17">
        <f t="shared" si="56"/>
        <v>0</v>
      </c>
      <c r="Q1691" t="str">
        <f>A1691&amp;"-"&amp;B1691&amp;"-"&amp;D1691</f>
        <v>MEI-CBA-L1</v>
      </c>
    </row>
    <row r="1692" spans="1:17" x14ac:dyDescent="0.25">
      <c r="A1692" t="s">
        <v>395</v>
      </c>
      <c r="B1692" s="13" t="s">
        <v>18</v>
      </c>
      <c r="C1692" s="13" t="s">
        <v>43</v>
      </c>
      <c r="D1692" s="14" t="s">
        <v>50</v>
      </c>
      <c r="E1692" s="13" t="s">
        <v>45</v>
      </c>
      <c r="F1692" s="13" t="s">
        <v>814</v>
      </c>
      <c r="G1692" s="13">
        <v>3.0900000000000007</v>
      </c>
      <c r="H1692" s="15">
        <v>3465</v>
      </c>
      <c r="I1692" s="16">
        <v>10706.849999999999</v>
      </c>
      <c r="J1692" s="16">
        <v>10261.051498122653</v>
      </c>
      <c r="K1692" s="16">
        <v>445.79850187734684</v>
      </c>
      <c r="L1692" s="13"/>
      <c r="M1692" s="13">
        <v>3.33</v>
      </c>
      <c r="N1692" s="17">
        <f t="shared" si="57"/>
        <v>0</v>
      </c>
      <c r="O1692" s="17">
        <f t="shared" si="57"/>
        <v>11538.45</v>
      </c>
      <c r="P1692" s="17">
        <f t="shared" si="56"/>
        <v>11538.45</v>
      </c>
      <c r="Q1692" t="str">
        <f>A1692&amp;"-"&amp;B1692&amp;"-"&amp;D1692</f>
        <v>MEI-CBA-L2</v>
      </c>
    </row>
    <row r="1693" spans="1:17" x14ac:dyDescent="0.25">
      <c r="A1693" t="s">
        <v>395</v>
      </c>
      <c r="B1693" s="13" t="s">
        <v>18</v>
      </c>
      <c r="C1693" s="13" t="s">
        <v>43</v>
      </c>
      <c r="D1693" s="14" t="s">
        <v>50</v>
      </c>
      <c r="E1693" s="13" t="s">
        <v>45</v>
      </c>
      <c r="F1693" s="13" t="s">
        <v>700</v>
      </c>
      <c r="G1693" s="13">
        <v>2.9499999999999997</v>
      </c>
      <c r="H1693" s="15">
        <v>2475</v>
      </c>
      <c r="I1693" s="16">
        <v>7301.25</v>
      </c>
      <c r="J1693" s="16">
        <v>6989.7885018773468</v>
      </c>
      <c r="K1693" s="16">
        <v>311.46149812265338</v>
      </c>
      <c r="L1693" s="13"/>
      <c r="M1693" s="13">
        <v>3.13</v>
      </c>
      <c r="N1693" s="17">
        <f t="shared" si="57"/>
        <v>0</v>
      </c>
      <c r="O1693" s="17">
        <f t="shared" si="57"/>
        <v>7746.75</v>
      </c>
      <c r="P1693" s="17">
        <f t="shared" si="56"/>
        <v>7746.75</v>
      </c>
      <c r="Q1693" t="str">
        <f>A1693&amp;"-"&amp;B1693&amp;"-"&amp;D1693</f>
        <v>MEI-CBA-L2</v>
      </c>
    </row>
    <row r="1694" spans="1:17" x14ac:dyDescent="0.25">
      <c r="A1694" t="s">
        <v>395</v>
      </c>
      <c r="B1694" s="13" t="s">
        <v>18</v>
      </c>
      <c r="C1694" s="13" t="s">
        <v>43</v>
      </c>
      <c r="D1694" s="14" t="s">
        <v>56</v>
      </c>
      <c r="E1694" s="13" t="s">
        <v>179</v>
      </c>
      <c r="F1694" s="13" t="s">
        <v>816</v>
      </c>
      <c r="G1694" s="13">
        <v>1.54</v>
      </c>
      <c r="H1694" s="15">
        <v>875</v>
      </c>
      <c r="I1694" s="16">
        <v>1347.5</v>
      </c>
      <c r="J1694" s="16">
        <v>1382.8760806686046</v>
      </c>
      <c r="K1694" s="16">
        <v>-35.376080668604757</v>
      </c>
      <c r="L1694" s="13"/>
      <c r="M1694" s="13">
        <v>1.65</v>
      </c>
      <c r="N1694" s="17">
        <f t="shared" si="57"/>
        <v>0</v>
      </c>
      <c r="O1694" s="17">
        <f t="shared" si="57"/>
        <v>1443.75</v>
      </c>
      <c r="P1694" s="17">
        <f t="shared" si="56"/>
        <v>1443.75</v>
      </c>
      <c r="Q1694" t="str">
        <f>A1694&amp;"-"&amp;B1694&amp;"-"&amp;D1694</f>
        <v>MEI-CBA-L3</v>
      </c>
    </row>
    <row r="1695" spans="1:17" x14ac:dyDescent="0.25">
      <c r="A1695" t="s">
        <v>395</v>
      </c>
      <c r="B1695" s="13" t="s">
        <v>18</v>
      </c>
      <c r="C1695" s="13" t="s">
        <v>43</v>
      </c>
      <c r="D1695" s="14" t="s">
        <v>56</v>
      </c>
      <c r="E1695" s="13" t="s">
        <v>179</v>
      </c>
      <c r="F1695" s="13" t="s">
        <v>817</v>
      </c>
      <c r="G1695" s="13">
        <v>1.54</v>
      </c>
      <c r="H1695" s="15">
        <v>1354</v>
      </c>
      <c r="I1695" s="16">
        <v>2085.1600000000003</v>
      </c>
      <c r="J1695" s="16">
        <v>2082.521086691087</v>
      </c>
      <c r="K1695" s="16">
        <v>2.638913308913307</v>
      </c>
      <c r="L1695" s="13"/>
      <c r="M1695" s="13">
        <v>1.65</v>
      </c>
      <c r="N1695" s="17">
        <f t="shared" si="57"/>
        <v>0</v>
      </c>
      <c r="O1695" s="17">
        <f t="shared" si="57"/>
        <v>2234.1</v>
      </c>
      <c r="P1695" s="17">
        <f t="shared" si="56"/>
        <v>2234.1</v>
      </c>
      <c r="Q1695" t="str">
        <f>A1695&amp;"-"&amp;B1695&amp;"-"&amp;D1695</f>
        <v>MEI-CBA-L3</v>
      </c>
    </row>
    <row r="1696" spans="1:17" x14ac:dyDescent="0.25">
      <c r="A1696" t="s">
        <v>395</v>
      </c>
      <c r="B1696" s="13" t="s">
        <v>18</v>
      </c>
      <c r="C1696" s="13" t="s">
        <v>43</v>
      </c>
      <c r="D1696" s="14" t="s">
        <v>56</v>
      </c>
      <c r="E1696" s="13" t="s">
        <v>179</v>
      </c>
      <c r="F1696" s="13" t="s">
        <v>818</v>
      </c>
      <c r="G1696" s="13">
        <v>1.5399999999999998</v>
      </c>
      <c r="H1696" s="15">
        <v>2469</v>
      </c>
      <c r="I1696" s="16">
        <v>3802.26</v>
      </c>
      <c r="J1696" s="16">
        <v>3773.5902543929501</v>
      </c>
      <c r="K1696" s="16">
        <v>28.669745607049975</v>
      </c>
      <c r="L1696" s="13"/>
      <c r="M1696" s="13">
        <v>1.65</v>
      </c>
      <c r="N1696" s="17">
        <f t="shared" si="57"/>
        <v>0</v>
      </c>
      <c r="O1696" s="17">
        <f t="shared" si="57"/>
        <v>4073.85</v>
      </c>
      <c r="P1696" s="17">
        <f t="shared" si="56"/>
        <v>4073.85</v>
      </c>
      <c r="Q1696" t="str">
        <f>A1696&amp;"-"&amp;B1696&amp;"-"&amp;D1696</f>
        <v>MEI-CBA-L3</v>
      </c>
    </row>
    <row r="1697" spans="1:17" x14ac:dyDescent="0.25">
      <c r="A1697" t="s">
        <v>395</v>
      </c>
      <c r="B1697" s="13" t="s">
        <v>18</v>
      </c>
      <c r="C1697" s="13" t="s">
        <v>43</v>
      </c>
      <c r="D1697" s="14" t="s">
        <v>56</v>
      </c>
      <c r="E1697" s="13" t="s">
        <v>179</v>
      </c>
      <c r="F1697" s="13" t="s">
        <v>705</v>
      </c>
      <c r="G1697" s="13">
        <v>1.54</v>
      </c>
      <c r="H1697" s="15">
        <v>897</v>
      </c>
      <c r="I1697" s="16">
        <v>1381.38</v>
      </c>
      <c r="J1697" s="16">
        <v>1515.5023255813953</v>
      </c>
      <c r="K1697" s="16">
        <v>-134.12232558139533</v>
      </c>
      <c r="L1697" s="13"/>
      <c r="M1697" s="13">
        <v>1.65</v>
      </c>
      <c r="N1697" s="17">
        <f t="shared" si="57"/>
        <v>0</v>
      </c>
      <c r="O1697" s="17">
        <f t="shared" si="57"/>
        <v>1480.05</v>
      </c>
      <c r="P1697" s="17">
        <f t="shared" si="56"/>
        <v>1480.05</v>
      </c>
      <c r="Q1697" t="str">
        <f>A1697&amp;"-"&amp;B1697&amp;"-"&amp;D1697</f>
        <v>MEI-CBA-L3</v>
      </c>
    </row>
    <row r="1698" spans="1:17" x14ac:dyDescent="0.25">
      <c r="A1698" t="s">
        <v>395</v>
      </c>
      <c r="B1698" s="13" t="s">
        <v>18</v>
      </c>
      <c r="C1698" s="13" t="s">
        <v>43</v>
      </c>
      <c r="D1698" s="14" t="s">
        <v>56</v>
      </c>
      <c r="E1698" s="13" t="s">
        <v>179</v>
      </c>
      <c r="F1698" s="13" t="s">
        <v>819</v>
      </c>
      <c r="G1698" s="13">
        <v>1.54</v>
      </c>
      <c r="H1698" s="15">
        <v>1780</v>
      </c>
      <c r="I1698" s="16">
        <v>2741.2</v>
      </c>
      <c r="J1698" s="16">
        <v>2762.2338159722221</v>
      </c>
      <c r="K1698" s="16">
        <v>-21.033815972222385</v>
      </c>
      <c r="L1698" s="13"/>
      <c r="M1698" s="13">
        <v>1.65</v>
      </c>
      <c r="N1698" s="17">
        <f t="shared" si="57"/>
        <v>0</v>
      </c>
      <c r="O1698" s="17">
        <f t="shared" si="57"/>
        <v>2937</v>
      </c>
      <c r="P1698" s="17">
        <f t="shared" si="56"/>
        <v>2937</v>
      </c>
      <c r="Q1698" t="str">
        <f>A1698&amp;"-"&amp;B1698&amp;"-"&amp;D1698</f>
        <v>MEI-CBA-L3</v>
      </c>
    </row>
    <row r="1699" spans="1:17" x14ac:dyDescent="0.25">
      <c r="A1699" t="s">
        <v>395</v>
      </c>
      <c r="B1699" s="13" t="s">
        <v>18</v>
      </c>
      <c r="C1699" s="13" t="s">
        <v>43</v>
      </c>
      <c r="D1699" s="14" t="s">
        <v>56</v>
      </c>
      <c r="E1699" s="13" t="s">
        <v>179</v>
      </c>
      <c r="F1699" s="13" t="s">
        <v>820</v>
      </c>
      <c r="G1699" s="13">
        <v>1.5399999999999998</v>
      </c>
      <c r="H1699" s="15">
        <v>3778</v>
      </c>
      <c r="I1699" s="16">
        <v>5818.12</v>
      </c>
      <c r="J1699" s="16">
        <v>5734.1164366937401</v>
      </c>
      <c r="K1699" s="16">
        <v>84.00356330625911</v>
      </c>
      <c r="L1699" s="13"/>
      <c r="M1699" s="13">
        <v>1.65</v>
      </c>
      <c r="N1699" s="17">
        <f t="shared" si="57"/>
        <v>0</v>
      </c>
      <c r="O1699" s="17">
        <f t="shared" si="57"/>
        <v>6233.7</v>
      </c>
      <c r="P1699" s="17">
        <f t="shared" si="56"/>
        <v>6233.7</v>
      </c>
      <c r="Q1699" t="str">
        <f>A1699&amp;"-"&amp;B1699&amp;"-"&amp;D1699</f>
        <v>MEI-CBA-L3</v>
      </c>
    </row>
    <row r="1700" spans="1:17" x14ac:dyDescent="0.25">
      <c r="A1700" t="s">
        <v>395</v>
      </c>
      <c r="B1700" s="13" t="s">
        <v>19</v>
      </c>
      <c r="C1700" s="13" t="s">
        <v>286</v>
      </c>
      <c r="D1700" s="14" t="s">
        <v>56</v>
      </c>
      <c r="E1700" s="13" t="s">
        <v>534</v>
      </c>
      <c r="F1700" s="13" t="s">
        <v>535</v>
      </c>
      <c r="G1700" s="13">
        <v>2.75</v>
      </c>
      <c r="H1700" s="15">
        <v>47</v>
      </c>
      <c r="I1700" s="16">
        <v>129.25</v>
      </c>
      <c r="J1700" s="16">
        <v>166.71698113207546</v>
      </c>
      <c r="K1700" s="16">
        <v>-37.46698113207546</v>
      </c>
      <c r="L1700" s="13"/>
      <c r="M1700" s="13">
        <v>2.75</v>
      </c>
      <c r="N1700" s="17">
        <f t="shared" si="57"/>
        <v>0</v>
      </c>
      <c r="O1700" s="17">
        <f t="shared" si="57"/>
        <v>129.25</v>
      </c>
      <c r="P1700" s="17">
        <f t="shared" si="56"/>
        <v>129.25</v>
      </c>
      <c r="Q1700" t="str">
        <f>A1700&amp;"-"&amp;B1700&amp;"-"&amp;D1700</f>
        <v>MEI-CHW-L3</v>
      </c>
    </row>
    <row r="1701" spans="1:17" x14ac:dyDescent="0.25">
      <c r="A1701" t="s">
        <v>395</v>
      </c>
      <c r="B1701" s="13" t="s">
        <v>19</v>
      </c>
      <c r="C1701" s="13" t="s">
        <v>286</v>
      </c>
      <c r="D1701" s="14" t="s">
        <v>56</v>
      </c>
      <c r="E1701" s="13" t="s">
        <v>534</v>
      </c>
      <c r="F1701" s="13" t="s">
        <v>536</v>
      </c>
      <c r="G1701" s="13">
        <v>2.75</v>
      </c>
      <c r="H1701" s="15">
        <v>6</v>
      </c>
      <c r="I1701" s="16">
        <v>16.5</v>
      </c>
      <c r="J1701" s="16">
        <v>21.283018867924529</v>
      </c>
      <c r="K1701" s="16">
        <v>-4.7830188679245289</v>
      </c>
      <c r="L1701" s="13"/>
      <c r="M1701" s="13">
        <v>2.75</v>
      </c>
      <c r="N1701" s="17">
        <f t="shared" si="57"/>
        <v>0</v>
      </c>
      <c r="O1701" s="17">
        <f t="shared" si="57"/>
        <v>16.5</v>
      </c>
      <c r="P1701" s="17">
        <f t="shared" si="56"/>
        <v>16.5</v>
      </c>
      <c r="Q1701" t="str">
        <f>A1701&amp;"-"&amp;B1701&amp;"-"&amp;D1701</f>
        <v>MEI-CHW-L3</v>
      </c>
    </row>
    <row r="1702" spans="1:17" x14ac:dyDescent="0.25">
      <c r="A1702" t="s">
        <v>395</v>
      </c>
      <c r="B1702" s="13" t="s">
        <v>19</v>
      </c>
      <c r="C1702" s="13" t="s">
        <v>286</v>
      </c>
      <c r="D1702" s="14" t="s">
        <v>56</v>
      </c>
      <c r="E1702" s="13" t="s">
        <v>382</v>
      </c>
      <c r="F1702" s="13" t="s">
        <v>706</v>
      </c>
      <c r="G1702" s="13">
        <v>2.5499999999999998</v>
      </c>
      <c r="H1702" s="15">
        <v>6</v>
      </c>
      <c r="I1702" s="16">
        <v>15.3</v>
      </c>
      <c r="J1702" s="16">
        <v>21.283018867924529</v>
      </c>
      <c r="K1702" s="16">
        <v>-5.9830188679245282</v>
      </c>
      <c r="L1702" s="13"/>
      <c r="M1702" s="13">
        <v>2.5499999999999998</v>
      </c>
      <c r="N1702" s="17">
        <f t="shared" ref="N1702:O1757" si="58">$H1702*L1702</f>
        <v>0</v>
      </c>
      <c r="O1702" s="17">
        <f t="shared" si="58"/>
        <v>15.299999999999999</v>
      </c>
      <c r="P1702" s="17">
        <f t="shared" si="56"/>
        <v>15.299999999999999</v>
      </c>
      <c r="Q1702" t="str">
        <f>A1702&amp;"-"&amp;B1702&amp;"-"&amp;D1702</f>
        <v>MEI-CHW-L3</v>
      </c>
    </row>
    <row r="1703" spans="1:17" x14ac:dyDescent="0.25">
      <c r="A1703" t="s">
        <v>395</v>
      </c>
      <c r="B1703" s="13" t="s">
        <v>19</v>
      </c>
      <c r="C1703" s="13" t="s">
        <v>70</v>
      </c>
      <c r="D1703" s="14" t="s">
        <v>44</v>
      </c>
      <c r="E1703" s="13" t="s">
        <v>77</v>
      </c>
      <c r="F1703" s="13" t="s">
        <v>821</v>
      </c>
      <c r="G1703" s="13">
        <v>3.6999999999999997</v>
      </c>
      <c r="H1703" s="15">
        <v>937</v>
      </c>
      <c r="I1703" s="16">
        <v>3466.9</v>
      </c>
      <c r="J1703" s="16">
        <v>2346.7590249433106</v>
      </c>
      <c r="K1703" s="16">
        <v>1120.1409750566893</v>
      </c>
      <c r="L1703" s="13">
        <v>8.25</v>
      </c>
      <c r="M1703" s="13"/>
      <c r="N1703" s="17">
        <f t="shared" si="58"/>
        <v>7730.25</v>
      </c>
      <c r="O1703" s="17">
        <f t="shared" si="58"/>
        <v>0</v>
      </c>
      <c r="P1703" s="17">
        <f t="shared" si="56"/>
        <v>7730.25</v>
      </c>
      <c r="Q1703" t="str">
        <f>A1703&amp;"-"&amp;B1703&amp;"-"&amp;D1703</f>
        <v>MEI-CHW-L1</v>
      </c>
    </row>
    <row r="1704" spans="1:17" x14ac:dyDescent="0.25">
      <c r="A1704" t="s">
        <v>395</v>
      </c>
      <c r="B1704" s="13" t="s">
        <v>19</v>
      </c>
      <c r="C1704" s="13" t="s">
        <v>70</v>
      </c>
      <c r="D1704" s="14" t="s">
        <v>44</v>
      </c>
      <c r="E1704" s="13" t="s">
        <v>77</v>
      </c>
      <c r="F1704" s="13" t="s">
        <v>822</v>
      </c>
      <c r="G1704" s="13">
        <v>3.6999999999999997</v>
      </c>
      <c r="H1704" s="15">
        <v>967</v>
      </c>
      <c r="I1704" s="16">
        <v>3577.9000000000005</v>
      </c>
      <c r="J1704" s="16">
        <v>2463.0249230040276</v>
      </c>
      <c r="K1704" s="16">
        <v>1114.8750769959727</v>
      </c>
      <c r="L1704" s="13">
        <v>8.64</v>
      </c>
      <c r="M1704" s="13"/>
      <c r="N1704" s="17">
        <f t="shared" si="58"/>
        <v>8354.880000000001</v>
      </c>
      <c r="O1704" s="17">
        <f t="shared" si="58"/>
        <v>0</v>
      </c>
      <c r="P1704" s="17">
        <f t="shared" si="56"/>
        <v>8354.880000000001</v>
      </c>
      <c r="Q1704" t="str">
        <f>A1704&amp;"-"&amp;B1704&amp;"-"&amp;D1704</f>
        <v>MEI-CHW-L1</v>
      </c>
    </row>
    <row r="1705" spans="1:17" x14ac:dyDescent="0.25">
      <c r="A1705" t="s">
        <v>395</v>
      </c>
      <c r="B1705" s="13" t="s">
        <v>19</v>
      </c>
      <c r="C1705" s="13" t="s">
        <v>70</v>
      </c>
      <c r="D1705" s="14" t="s">
        <v>44</v>
      </c>
      <c r="E1705" s="13" t="s">
        <v>77</v>
      </c>
      <c r="F1705" s="13" t="s">
        <v>823</v>
      </c>
      <c r="G1705" s="13">
        <v>3.7000000000000006</v>
      </c>
      <c r="H1705" s="15">
        <v>162</v>
      </c>
      <c r="I1705" s="16">
        <v>599.4</v>
      </c>
      <c r="J1705" s="16">
        <v>413.88059701492534</v>
      </c>
      <c r="K1705" s="16">
        <v>185.51940298507463</v>
      </c>
      <c r="L1705" s="13">
        <v>7.48</v>
      </c>
      <c r="M1705" s="13"/>
      <c r="N1705" s="17">
        <f t="shared" si="58"/>
        <v>1211.76</v>
      </c>
      <c r="O1705" s="17">
        <f t="shared" si="58"/>
        <v>0</v>
      </c>
      <c r="P1705" s="17">
        <f t="shared" si="56"/>
        <v>1211.76</v>
      </c>
      <c r="Q1705" t="str">
        <f>A1705&amp;"-"&amp;B1705&amp;"-"&amp;D1705</f>
        <v>MEI-CHW-L1</v>
      </c>
    </row>
    <row r="1706" spans="1:17" x14ac:dyDescent="0.25">
      <c r="A1706" t="s">
        <v>395</v>
      </c>
      <c r="B1706" s="13" t="s">
        <v>19</v>
      </c>
      <c r="C1706" s="13" t="s">
        <v>70</v>
      </c>
      <c r="D1706" s="14" t="s">
        <v>44</v>
      </c>
      <c r="E1706" s="13" t="s">
        <v>77</v>
      </c>
      <c r="F1706" s="13" t="s">
        <v>824</v>
      </c>
      <c r="G1706" s="13">
        <v>3.7000000000000006</v>
      </c>
      <c r="H1706" s="15">
        <v>680</v>
      </c>
      <c r="I1706" s="16">
        <v>2516</v>
      </c>
      <c r="J1706" s="16">
        <v>1266.8955223880598</v>
      </c>
      <c r="K1706" s="16">
        <v>1249.1044776119402</v>
      </c>
      <c r="L1706" s="13">
        <v>7.16</v>
      </c>
      <c r="M1706" s="13"/>
      <c r="N1706" s="17">
        <f t="shared" si="58"/>
        <v>4868.8</v>
      </c>
      <c r="O1706" s="17">
        <f t="shared" si="58"/>
        <v>0</v>
      </c>
      <c r="P1706" s="17">
        <f t="shared" si="56"/>
        <v>4868.8</v>
      </c>
      <c r="Q1706" t="str">
        <f>A1706&amp;"-"&amp;B1706&amp;"-"&amp;D1706</f>
        <v>MEI-CHW-L1</v>
      </c>
    </row>
    <row r="1707" spans="1:17" x14ac:dyDescent="0.25">
      <c r="A1707" t="s">
        <v>395</v>
      </c>
      <c r="B1707" s="13" t="s">
        <v>19</v>
      </c>
      <c r="C1707" s="13" t="s">
        <v>70</v>
      </c>
      <c r="D1707" s="14" t="s">
        <v>44</v>
      </c>
      <c r="E1707" s="13" t="s">
        <v>77</v>
      </c>
      <c r="F1707" s="13" t="s">
        <v>825</v>
      </c>
      <c r="G1707" s="13">
        <v>3.7</v>
      </c>
      <c r="H1707" s="15">
        <v>596</v>
      </c>
      <c r="I1707" s="16">
        <v>2205.1999999999998</v>
      </c>
      <c r="J1707" s="16">
        <v>1526.3525675077469</v>
      </c>
      <c r="K1707" s="16">
        <v>678.84743249225335</v>
      </c>
      <c r="L1707" s="13">
        <v>8.16</v>
      </c>
      <c r="M1707" s="13"/>
      <c r="N1707" s="17">
        <f t="shared" si="58"/>
        <v>4863.3599999999997</v>
      </c>
      <c r="O1707" s="17">
        <f t="shared" si="58"/>
        <v>0</v>
      </c>
      <c r="P1707" s="17">
        <f t="shared" si="56"/>
        <v>4863.3599999999997</v>
      </c>
      <c r="Q1707" t="str">
        <f>A1707&amp;"-"&amp;B1707&amp;"-"&amp;D1707</f>
        <v>MEI-CHW-L1</v>
      </c>
    </row>
    <row r="1708" spans="1:17" x14ac:dyDescent="0.25">
      <c r="A1708" t="s">
        <v>395</v>
      </c>
      <c r="B1708" s="13" t="s">
        <v>19</v>
      </c>
      <c r="C1708" s="13" t="s">
        <v>70</v>
      </c>
      <c r="D1708" s="14" t="s">
        <v>44</v>
      </c>
      <c r="E1708" s="13" t="s">
        <v>77</v>
      </c>
      <c r="F1708" s="13" t="s">
        <v>537</v>
      </c>
      <c r="G1708" s="13">
        <v>3.7</v>
      </c>
      <c r="H1708" s="15">
        <v>27</v>
      </c>
      <c r="I1708" s="16">
        <v>99.9</v>
      </c>
      <c r="J1708" s="16">
        <v>70.5</v>
      </c>
      <c r="K1708" s="16">
        <v>29.400000000000006</v>
      </c>
      <c r="L1708" s="13">
        <v>8.31</v>
      </c>
      <c r="M1708" s="13"/>
      <c r="N1708" s="17">
        <f t="shared" si="58"/>
        <v>224.37</v>
      </c>
      <c r="O1708" s="17">
        <f t="shared" si="58"/>
        <v>0</v>
      </c>
      <c r="P1708" s="17">
        <f t="shared" si="56"/>
        <v>224.37</v>
      </c>
      <c r="Q1708" t="str">
        <f>A1708&amp;"-"&amp;B1708&amp;"-"&amp;D1708</f>
        <v>MEI-CHW-L1</v>
      </c>
    </row>
    <row r="1709" spans="1:17" x14ac:dyDescent="0.25">
      <c r="A1709" t="s">
        <v>395</v>
      </c>
      <c r="B1709" s="13" t="s">
        <v>19</v>
      </c>
      <c r="C1709" s="13" t="s">
        <v>70</v>
      </c>
      <c r="D1709" s="14" t="s">
        <v>44</v>
      </c>
      <c r="E1709" s="13" t="s">
        <v>77</v>
      </c>
      <c r="F1709" s="13" t="s">
        <v>709</v>
      </c>
      <c r="G1709" s="13">
        <v>3.7000000000000006</v>
      </c>
      <c r="H1709" s="15">
        <v>364</v>
      </c>
      <c r="I1709" s="16">
        <v>1346.8000000000002</v>
      </c>
      <c r="J1709" s="16">
        <v>1093.0579310344829</v>
      </c>
      <c r="K1709" s="16">
        <v>253.74206896551726</v>
      </c>
      <c r="L1709" s="13">
        <v>8.2100000000000009</v>
      </c>
      <c r="M1709" s="13"/>
      <c r="N1709" s="17">
        <f t="shared" si="58"/>
        <v>2988.4400000000005</v>
      </c>
      <c r="O1709" s="17">
        <f t="shared" si="58"/>
        <v>0</v>
      </c>
      <c r="P1709" s="17">
        <f t="shared" si="56"/>
        <v>2988.4400000000005</v>
      </c>
      <c r="Q1709" t="str">
        <f>A1709&amp;"-"&amp;B1709&amp;"-"&amp;D1709</f>
        <v>MEI-CHW-L1</v>
      </c>
    </row>
    <row r="1710" spans="1:17" x14ac:dyDescent="0.25">
      <c r="A1710" t="s">
        <v>395</v>
      </c>
      <c r="B1710" s="13" t="s">
        <v>19</v>
      </c>
      <c r="C1710" s="13" t="s">
        <v>70</v>
      </c>
      <c r="D1710" s="14" t="s">
        <v>44</v>
      </c>
      <c r="E1710" s="13" t="s">
        <v>77</v>
      </c>
      <c r="F1710" s="13" t="s">
        <v>710</v>
      </c>
      <c r="G1710" s="13">
        <v>3.6999999999999997</v>
      </c>
      <c r="H1710" s="15">
        <v>792</v>
      </c>
      <c r="I1710" s="16">
        <v>2930.4</v>
      </c>
      <c r="J1710" s="16">
        <v>1708.4004069626087</v>
      </c>
      <c r="K1710" s="16">
        <v>1221.9995930373912</v>
      </c>
      <c r="L1710" s="13">
        <v>7.6</v>
      </c>
      <c r="M1710" s="13"/>
      <c r="N1710" s="17">
        <f t="shared" si="58"/>
        <v>6019.2</v>
      </c>
      <c r="O1710" s="17">
        <f t="shared" si="58"/>
        <v>0</v>
      </c>
      <c r="P1710" s="17">
        <f t="shared" si="56"/>
        <v>6019.2</v>
      </c>
      <c r="Q1710" t="str">
        <f>A1710&amp;"-"&amp;B1710&amp;"-"&amp;D1710</f>
        <v>MEI-CHW-L1</v>
      </c>
    </row>
    <row r="1711" spans="1:17" x14ac:dyDescent="0.25">
      <c r="A1711" t="s">
        <v>395</v>
      </c>
      <c r="B1711" s="13" t="s">
        <v>19</v>
      </c>
      <c r="C1711" s="13" t="s">
        <v>70</v>
      </c>
      <c r="D1711" s="14" t="s">
        <v>44</v>
      </c>
      <c r="E1711" s="13" t="s">
        <v>77</v>
      </c>
      <c r="F1711" s="13" t="s">
        <v>826</v>
      </c>
      <c r="G1711" s="13">
        <v>3.7000000000000006</v>
      </c>
      <c r="H1711" s="15">
        <v>275</v>
      </c>
      <c r="I1711" s="16">
        <v>1017.5</v>
      </c>
      <c r="J1711" s="16">
        <v>955.12902714483857</v>
      </c>
      <c r="K1711" s="16">
        <v>62.370972855161455</v>
      </c>
      <c r="L1711" s="13">
        <v>9.69</v>
      </c>
      <c r="M1711" s="13"/>
      <c r="N1711" s="17">
        <f t="shared" si="58"/>
        <v>2664.75</v>
      </c>
      <c r="O1711" s="17">
        <f t="shared" si="58"/>
        <v>0</v>
      </c>
      <c r="P1711" s="17">
        <f t="shared" si="56"/>
        <v>2664.75</v>
      </c>
      <c r="Q1711" t="str">
        <f>A1711&amp;"-"&amp;B1711&amp;"-"&amp;D1711</f>
        <v>MEI-CHW-L1</v>
      </c>
    </row>
    <row r="1712" spans="1:17" x14ac:dyDescent="0.25">
      <c r="A1712" t="s">
        <v>395</v>
      </c>
      <c r="B1712" s="13" t="s">
        <v>19</v>
      </c>
      <c r="C1712" s="13" t="s">
        <v>70</v>
      </c>
      <c r="D1712" s="14" t="s">
        <v>50</v>
      </c>
      <c r="E1712" s="13" t="s">
        <v>73</v>
      </c>
      <c r="F1712" s="13" t="s">
        <v>827</v>
      </c>
      <c r="G1712" s="13">
        <v>4.7</v>
      </c>
      <c r="H1712" s="15">
        <v>716</v>
      </c>
      <c r="I1712" s="16">
        <v>3365.2</v>
      </c>
      <c r="J1712" s="16">
        <v>2430.5003779289491</v>
      </c>
      <c r="K1712" s="16">
        <v>934.69962207105073</v>
      </c>
      <c r="L1712" s="13">
        <v>11.39</v>
      </c>
      <c r="M1712" s="13"/>
      <c r="N1712" s="17">
        <f t="shared" si="58"/>
        <v>8155.2400000000007</v>
      </c>
      <c r="O1712" s="17">
        <f t="shared" si="58"/>
        <v>0</v>
      </c>
      <c r="P1712" s="17">
        <f t="shared" si="56"/>
        <v>8155.2400000000007</v>
      </c>
      <c r="Q1712" t="str">
        <f>A1712&amp;"-"&amp;B1712&amp;"-"&amp;D1712</f>
        <v>MEI-CHW-L2</v>
      </c>
    </row>
    <row r="1713" spans="1:17" x14ac:dyDescent="0.25">
      <c r="A1713" t="s">
        <v>395</v>
      </c>
      <c r="B1713" s="13" t="s">
        <v>19</v>
      </c>
      <c r="C1713" s="13" t="s">
        <v>70</v>
      </c>
      <c r="D1713" s="14" t="s">
        <v>50</v>
      </c>
      <c r="E1713" s="13" t="s">
        <v>73</v>
      </c>
      <c r="F1713" s="13" t="s">
        <v>828</v>
      </c>
      <c r="G1713" s="13">
        <v>4.5</v>
      </c>
      <c r="H1713" s="15">
        <v>94</v>
      </c>
      <c r="I1713" s="16">
        <v>423</v>
      </c>
      <c r="J1713" s="16">
        <v>471.53290623179964</v>
      </c>
      <c r="K1713" s="16">
        <v>-48.532906231799672</v>
      </c>
      <c r="L1713" s="13">
        <v>9.3699999999999992</v>
      </c>
      <c r="M1713" s="13"/>
      <c r="N1713" s="17">
        <f t="shared" si="58"/>
        <v>880.78</v>
      </c>
      <c r="O1713" s="17">
        <f t="shared" si="58"/>
        <v>0</v>
      </c>
      <c r="P1713" s="17">
        <f t="shared" si="56"/>
        <v>880.78</v>
      </c>
      <c r="Q1713" t="str">
        <f>A1713&amp;"-"&amp;B1713&amp;"-"&amp;D1713</f>
        <v>MEI-CHW-L2</v>
      </c>
    </row>
    <row r="1714" spans="1:17" x14ac:dyDescent="0.25">
      <c r="A1714" t="s">
        <v>395</v>
      </c>
      <c r="B1714" s="13" t="s">
        <v>19</v>
      </c>
      <c r="C1714" s="13" t="s">
        <v>70</v>
      </c>
      <c r="D1714" s="14" t="s">
        <v>50</v>
      </c>
      <c r="E1714" s="13" t="s">
        <v>73</v>
      </c>
      <c r="F1714" s="13" t="s">
        <v>829</v>
      </c>
      <c r="G1714" s="13">
        <v>4.5</v>
      </c>
      <c r="H1714" s="15">
        <v>1159</v>
      </c>
      <c r="I1714" s="16">
        <v>5215.5</v>
      </c>
      <c r="J1714" s="16">
        <v>4665.8803730187738</v>
      </c>
      <c r="K1714" s="16">
        <v>549.61962698122738</v>
      </c>
      <c r="L1714" s="13">
        <v>10.94</v>
      </c>
      <c r="M1714" s="13"/>
      <c r="N1714" s="17">
        <f t="shared" si="58"/>
        <v>12679.46</v>
      </c>
      <c r="O1714" s="17">
        <f t="shared" si="58"/>
        <v>0</v>
      </c>
      <c r="P1714" s="17">
        <f t="shared" si="56"/>
        <v>12679.46</v>
      </c>
      <c r="Q1714" t="str">
        <f>A1714&amp;"-"&amp;B1714&amp;"-"&amp;D1714</f>
        <v>MEI-CHW-L2</v>
      </c>
    </row>
    <row r="1715" spans="1:17" x14ac:dyDescent="0.25">
      <c r="A1715" t="s">
        <v>395</v>
      </c>
      <c r="B1715" s="13" t="s">
        <v>19</v>
      </c>
      <c r="C1715" s="13" t="s">
        <v>70</v>
      </c>
      <c r="D1715" s="14" t="s">
        <v>50</v>
      </c>
      <c r="E1715" s="13" t="s">
        <v>73</v>
      </c>
      <c r="F1715" s="13" t="s">
        <v>711</v>
      </c>
      <c r="G1715" s="13">
        <v>4.5</v>
      </c>
      <c r="H1715" s="15">
        <v>530</v>
      </c>
      <c r="I1715" s="16">
        <v>2385</v>
      </c>
      <c r="J1715" s="16">
        <v>1961.5905599088537</v>
      </c>
      <c r="K1715" s="16">
        <v>423.40944009114634</v>
      </c>
      <c r="L1715" s="13">
        <v>10.82</v>
      </c>
      <c r="M1715" s="13"/>
      <c r="N1715" s="17">
        <f t="shared" si="58"/>
        <v>5734.6</v>
      </c>
      <c r="O1715" s="17">
        <f t="shared" si="58"/>
        <v>0</v>
      </c>
      <c r="P1715" s="17">
        <f t="shared" si="56"/>
        <v>5734.6</v>
      </c>
      <c r="Q1715" t="str">
        <f>A1715&amp;"-"&amp;B1715&amp;"-"&amp;D1715</f>
        <v>MEI-CHW-L2</v>
      </c>
    </row>
    <row r="1716" spans="1:17" x14ac:dyDescent="0.25">
      <c r="A1716" t="s">
        <v>395</v>
      </c>
      <c r="B1716" s="13" t="s">
        <v>19</v>
      </c>
      <c r="C1716" s="13" t="s">
        <v>70</v>
      </c>
      <c r="D1716" s="14" t="s">
        <v>50</v>
      </c>
      <c r="E1716" s="13" t="s">
        <v>73</v>
      </c>
      <c r="F1716" s="13" t="s">
        <v>712</v>
      </c>
      <c r="G1716" s="13">
        <v>4.5</v>
      </c>
      <c r="H1716" s="15">
        <v>1</v>
      </c>
      <c r="I1716" s="16">
        <v>4.5</v>
      </c>
      <c r="J1716" s="16">
        <v>2.7920792079207919</v>
      </c>
      <c r="K1716" s="16">
        <v>1.7079207920792081</v>
      </c>
      <c r="L1716" s="13">
        <v>10.42</v>
      </c>
      <c r="M1716" s="13"/>
      <c r="N1716" s="17">
        <f t="shared" si="58"/>
        <v>10.42</v>
      </c>
      <c r="O1716" s="17">
        <f t="shared" si="58"/>
        <v>0</v>
      </c>
      <c r="P1716" s="17">
        <f t="shared" si="56"/>
        <v>10.42</v>
      </c>
      <c r="Q1716" t="str">
        <f>A1716&amp;"-"&amp;B1716&amp;"-"&amp;D1716</f>
        <v>MEI-CHW-L2</v>
      </c>
    </row>
    <row r="1717" spans="1:17" x14ac:dyDescent="0.25">
      <c r="A1717" t="s">
        <v>395</v>
      </c>
      <c r="B1717" s="13" t="s">
        <v>19</v>
      </c>
      <c r="C1717" s="13" t="s">
        <v>70</v>
      </c>
      <c r="D1717" s="14" t="s">
        <v>50</v>
      </c>
      <c r="E1717" s="13" t="s">
        <v>73</v>
      </c>
      <c r="F1717" s="13" t="s">
        <v>830</v>
      </c>
      <c r="G1717" s="13">
        <v>4.5</v>
      </c>
      <c r="H1717" s="15">
        <v>687</v>
      </c>
      <c r="I1717" s="16">
        <v>3091.5</v>
      </c>
      <c r="J1717" s="16">
        <v>2311.7037037037035</v>
      </c>
      <c r="K1717" s="16">
        <v>779.7962962962963</v>
      </c>
      <c r="L1717" s="13">
        <v>11.12</v>
      </c>
      <c r="M1717" s="13"/>
      <c r="N1717" s="17">
        <f t="shared" si="58"/>
        <v>7639.44</v>
      </c>
      <c r="O1717" s="17">
        <f t="shared" si="58"/>
        <v>0</v>
      </c>
      <c r="P1717" s="17">
        <f t="shared" si="56"/>
        <v>7639.44</v>
      </c>
      <c r="Q1717" t="str">
        <f>A1717&amp;"-"&amp;B1717&amp;"-"&amp;D1717</f>
        <v>MEI-CHW-L2</v>
      </c>
    </row>
    <row r="1718" spans="1:17" x14ac:dyDescent="0.25">
      <c r="A1718" t="s">
        <v>395</v>
      </c>
      <c r="B1718" s="13" t="s">
        <v>19</v>
      </c>
      <c r="C1718" s="13" t="s">
        <v>70</v>
      </c>
      <c r="D1718" s="14" t="s">
        <v>56</v>
      </c>
      <c r="E1718" s="13" t="s">
        <v>71</v>
      </c>
      <c r="F1718" s="13" t="s">
        <v>831</v>
      </c>
      <c r="G1718" s="13">
        <v>5</v>
      </c>
      <c r="H1718" s="15">
        <v>482</v>
      </c>
      <c r="I1718" s="16">
        <v>2410</v>
      </c>
      <c r="J1718" s="16">
        <v>3354.3157894736842</v>
      </c>
      <c r="K1718" s="16">
        <v>-944.31578947368416</v>
      </c>
      <c r="L1718" s="13">
        <v>12.82</v>
      </c>
      <c r="M1718" s="13"/>
      <c r="N1718" s="17">
        <f t="shared" si="58"/>
        <v>6179.24</v>
      </c>
      <c r="O1718" s="17">
        <f t="shared" si="58"/>
        <v>0</v>
      </c>
      <c r="P1718" s="17">
        <f t="shared" si="56"/>
        <v>6179.24</v>
      </c>
      <c r="Q1718" t="str">
        <f>A1718&amp;"-"&amp;B1718&amp;"-"&amp;D1718</f>
        <v>MEI-CHW-L3</v>
      </c>
    </row>
    <row r="1719" spans="1:17" x14ac:dyDescent="0.25">
      <c r="A1719" t="s">
        <v>395</v>
      </c>
      <c r="B1719" s="13" t="s">
        <v>19</v>
      </c>
      <c r="C1719" s="13" t="s">
        <v>70</v>
      </c>
      <c r="D1719" s="14" t="s">
        <v>56</v>
      </c>
      <c r="E1719" s="13" t="s">
        <v>71</v>
      </c>
      <c r="F1719" s="13" t="s">
        <v>832</v>
      </c>
      <c r="G1719" s="13">
        <v>4.8</v>
      </c>
      <c r="H1719" s="15">
        <v>167</v>
      </c>
      <c r="I1719" s="16">
        <v>801.6</v>
      </c>
      <c r="J1719" s="16">
        <v>2217.7953216374272</v>
      </c>
      <c r="K1719" s="16">
        <v>-1416.1953216374268</v>
      </c>
      <c r="L1719" s="13">
        <v>10.81</v>
      </c>
      <c r="M1719" s="13"/>
      <c r="N1719" s="17">
        <f t="shared" si="58"/>
        <v>1805.27</v>
      </c>
      <c r="O1719" s="17">
        <f t="shared" si="58"/>
        <v>0</v>
      </c>
      <c r="P1719" s="17">
        <f t="shared" si="56"/>
        <v>1805.27</v>
      </c>
      <c r="Q1719" t="str">
        <f>A1719&amp;"-"&amp;B1719&amp;"-"&amp;D1719</f>
        <v>MEI-CHW-L3</v>
      </c>
    </row>
    <row r="1720" spans="1:17" x14ac:dyDescent="0.25">
      <c r="A1720" t="s">
        <v>395</v>
      </c>
      <c r="B1720" s="13" t="s">
        <v>19</v>
      </c>
      <c r="C1720" s="13" t="s">
        <v>70</v>
      </c>
      <c r="D1720" s="14" t="s">
        <v>56</v>
      </c>
      <c r="E1720" s="13" t="s">
        <v>71</v>
      </c>
      <c r="F1720" s="13" t="s">
        <v>833</v>
      </c>
      <c r="G1720" s="13">
        <v>5</v>
      </c>
      <c r="H1720" s="15">
        <v>579</v>
      </c>
      <c r="I1720" s="16">
        <v>2895</v>
      </c>
      <c r="J1720" s="16">
        <v>4302.7169811320755</v>
      </c>
      <c r="K1720" s="16">
        <v>-1407.7169811320755</v>
      </c>
      <c r="L1720" s="13">
        <v>10.72</v>
      </c>
      <c r="M1720" s="13"/>
      <c r="N1720" s="17">
        <f t="shared" si="58"/>
        <v>6206.88</v>
      </c>
      <c r="O1720" s="17">
        <f t="shared" si="58"/>
        <v>0</v>
      </c>
      <c r="P1720" s="17">
        <f t="shared" si="56"/>
        <v>6206.88</v>
      </c>
      <c r="Q1720" t="str">
        <f>A1720&amp;"-"&amp;B1720&amp;"-"&amp;D1720</f>
        <v>MEI-CHW-L3</v>
      </c>
    </row>
    <row r="1721" spans="1:17" x14ac:dyDescent="0.25">
      <c r="A1721" t="s">
        <v>395</v>
      </c>
      <c r="B1721" s="13" t="s">
        <v>19</v>
      </c>
      <c r="C1721" s="13" t="s">
        <v>70</v>
      </c>
      <c r="D1721" s="14" t="s">
        <v>56</v>
      </c>
      <c r="E1721" s="13" t="s">
        <v>713</v>
      </c>
      <c r="F1721" s="13" t="s">
        <v>714</v>
      </c>
      <c r="G1721" s="13">
        <v>1.75</v>
      </c>
      <c r="H1721" s="15">
        <v>306</v>
      </c>
      <c r="I1721" s="16">
        <v>535.5</v>
      </c>
      <c r="J1721" s="16">
        <v>1195.8888888888889</v>
      </c>
      <c r="K1721" s="16">
        <v>-660.38888888888891</v>
      </c>
      <c r="L1721" s="13">
        <v>4.07</v>
      </c>
      <c r="M1721" s="13"/>
      <c r="N1721" s="17">
        <f t="shared" si="58"/>
        <v>1245.42</v>
      </c>
      <c r="O1721" s="17">
        <f t="shared" si="58"/>
        <v>0</v>
      </c>
      <c r="P1721" s="17">
        <f t="shared" si="56"/>
        <v>1245.42</v>
      </c>
      <c r="Q1721" t="str">
        <f>A1721&amp;"-"&amp;B1721&amp;"-"&amp;D1721</f>
        <v>MEI-CHW-L3</v>
      </c>
    </row>
    <row r="1722" spans="1:17" x14ac:dyDescent="0.25">
      <c r="A1722" t="s">
        <v>395</v>
      </c>
      <c r="B1722" s="13" t="s">
        <v>19</v>
      </c>
      <c r="C1722" s="13" t="s">
        <v>70</v>
      </c>
      <c r="D1722" s="14" t="s">
        <v>158</v>
      </c>
      <c r="E1722" s="13" t="s">
        <v>142</v>
      </c>
      <c r="F1722" s="13" t="s">
        <v>834</v>
      </c>
      <c r="G1722" s="13">
        <v>1.5</v>
      </c>
      <c r="H1722" s="15">
        <v>20</v>
      </c>
      <c r="I1722" s="16">
        <v>30</v>
      </c>
      <c r="J1722" s="16">
        <v>564</v>
      </c>
      <c r="K1722" s="16">
        <v>-534</v>
      </c>
      <c r="L1722" s="13">
        <v>4.42</v>
      </c>
      <c r="M1722" s="13"/>
      <c r="N1722" s="17">
        <f t="shared" si="58"/>
        <v>88.4</v>
      </c>
      <c r="O1722" s="17">
        <f t="shared" si="58"/>
        <v>0</v>
      </c>
      <c r="P1722" s="17">
        <f t="shared" si="56"/>
        <v>88.4</v>
      </c>
      <c r="Q1722" t="str">
        <f>A1722&amp;"-"&amp;B1722&amp;"-"&amp;D1722</f>
        <v>MEI-CHW-L4</v>
      </c>
    </row>
    <row r="1723" spans="1:17" x14ac:dyDescent="0.25">
      <c r="A1723" t="s">
        <v>395</v>
      </c>
      <c r="B1723" s="13" t="s">
        <v>20</v>
      </c>
      <c r="C1723" s="13" t="s">
        <v>286</v>
      </c>
      <c r="D1723" s="14" t="s">
        <v>56</v>
      </c>
      <c r="E1723" s="13" t="s">
        <v>835</v>
      </c>
      <c r="F1723" s="13" t="s">
        <v>836</v>
      </c>
      <c r="G1723" s="13">
        <v>1.35</v>
      </c>
      <c r="H1723" s="15">
        <v>1034</v>
      </c>
      <c r="I1723" s="16">
        <v>1395.9</v>
      </c>
      <c r="J1723" s="16">
        <v>3893.3951138767447</v>
      </c>
      <c r="K1723" s="16">
        <v>-2497.4951138767447</v>
      </c>
      <c r="L1723" s="13"/>
      <c r="M1723" s="13">
        <v>1.35</v>
      </c>
      <c r="N1723" s="17">
        <f t="shared" si="58"/>
        <v>0</v>
      </c>
      <c r="O1723" s="17">
        <f t="shared" si="58"/>
        <v>1395.9</v>
      </c>
      <c r="P1723" s="17">
        <f t="shared" si="56"/>
        <v>1395.9</v>
      </c>
      <c r="Q1723" t="str">
        <f>A1723&amp;"-"&amp;B1723&amp;"-"&amp;D1723</f>
        <v>MEI-CJL-L3</v>
      </c>
    </row>
    <row r="1724" spans="1:17" x14ac:dyDescent="0.25">
      <c r="A1724" t="s">
        <v>395</v>
      </c>
      <c r="B1724" s="13" t="s">
        <v>20</v>
      </c>
      <c r="C1724" s="13" t="s">
        <v>286</v>
      </c>
      <c r="D1724" s="14" t="s">
        <v>56</v>
      </c>
      <c r="E1724" s="13" t="s">
        <v>71</v>
      </c>
      <c r="F1724" s="13" t="s">
        <v>539</v>
      </c>
      <c r="G1724" s="13">
        <v>7.25</v>
      </c>
      <c r="H1724" s="15">
        <v>602</v>
      </c>
      <c r="I1724" s="16">
        <v>4364.5</v>
      </c>
      <c r="J1724" s="16">
        <v>9575.8536585365855</v>
      </c>
      <c r="K1724" s="16">
        <v>-5211.3536585365855</v>
      </c>
      <c r="L1724" s="13"/>
      <c r="M1724" s="13">
        <v>7.25</v>
      </c>
      <c r="N1724" s="17">
        <f t="shared" si="58"/>
        <v>0</v>
      </c>
      <c r="O1724" s="17">
        <f t="shared" si="58"/>
        <v>4364.5</v>
      </c>
      <c r="P1724" s="17">
        <f t="shared" si="56"/>
        <v>4364.5</v>
      </c>
      <c r="Q1724" t="str">
        <f>A1724&amp;"-"&amp;B1724&amp;"-"&amp;D1724</f>
        <v>MEI-CJL-L3</v>
      </c>
    </row>
    <row r="1725" spans="1:17" x14ac:dyDescent="0.25">
      <c r="A1725" t="s">
        <v>395</v>
      </c>
      <c r="B1725" s="13" t="s">
        <v>20</v>
      </c>
      <c r="C1725" s="13" t="s">
        <v>286</v>
      </c>
      <c r="D1725" s="14" t="s">
        <v>56</v>
      </c>
      <c r="E1725" s="13" t="s">
        <v>58</v>
      </c>
      <c r="F1725" s="13" t="s">
        <v>715</v>
      </c>
      <c r="G1725" s="13">
        <v>8.65</v>
      </c>
      <c r="H1725" s="15">
        <v>167</v>
      </c>
      <c r="I1725" s="16">
        <v>1444.55</v>
      </c>
      <c r="J1725" s="16">
        <v>2373.1463414634145</v>
      </c>
      <c r="K1725" s="16">
        <v>-928.59634146341455</v>
      </c>
      <c r="L1725" s="13"/>
      <c r="M1725" s="13">
        <v>8.65</v>
      </c>
      <c r="N1725" s="17">
        <f t="shared" si="58"/>
        <v>0</v>
      </c>
      <c r="O1725" s="17">
        <f t="shared" si="58"/>
        <v>1444.55</v>
      </c>
      <c r="P1725" s="17">
        <f t="shared" si="56"/>
        <v>1444.55</v>
      </c>
      <c r="Q1725" t="str">
        <f>A1725&amp;"-"&amp;B1725&amp;"-"&amp;D1725</f>
        <v>MEI-CJL-L3</v>
      </c>
    </row>
    <row r="1726" spans="1:17" x14ac:dyDescent="0.25">
      <c r="A1726" t="s">
        <v>395</v>
      </c>
      <c r="B1726" s="13" t="s">
        <v>20</v>
      </c>
      <c r="C1726" s="13" t="s">
        <v>286</v>
      </c>
      <c r="D1726" s="14" t="s">
        <v>56</v>
      </c>
      <c r="E1726" s="13" t="s">
        <v>837</v>
      </c>
      <c r="F1726" s="13" t="s">
        <v>838</v>
      </c>
      <c r="G1726" s="13">
        <v>5.25</v>
      </c>
      <c r="H1726" s="15">
        <v>765</v>
      </c>
      <c r="I1726" s="16">
        <v>4016.25</v>
      </c>
      <c r="J1726" s="16">
        <v>4997.87179943101</v>
      </c>
      <c r="K1726" s="16">
        <v>-981.62179943100978</v>
      </c>
      <c r="L1726" s="13"/>
      <c r="M1726" s="13">
        <v>5.25</v>
      </c>
      <c r="N1726" s="17">
        <f t="shared" si="58"/>
        <v>0</v>
      </c>
      <c r="O1726" s="17">
        <f t="shared" si="58"/>
        <v>4016.25</v>
      </c>
      <c r="P1726" s="17">
        <f t="shared" si="56"/>
        <v>4016.25</v>
      </c>
      <c r="Q1726" t="str">
        <f>A1726&amp;"-"&amp;B1726&amp;"-"&amp;D1726</f>
        <v>MEI-CJL-L3</v>
      </c>
    </row>
    <row r="1727" spans="1:17" x14ac:dyDescent="0.25">
      <c r="A1727" t="s">
        <v>395</v>
      </c>
      <c r="B1727" s="13" t="s">
        <v>20</v>
      </c>
      <c r="C1727" s="13" t="s">
        <v>286</v>
      </c>
      <c r="D1727" s="14" t="s">
        <v>56</v>
      </c>
      <c r="E1727" s="13" t="s">
        <v>837</v>
      </c>
      <c r="F1727" s="13" t="s">
        <v>839</v>
      </c>
      <c r="G1727" s="13">
        <v>4.3500000000000005</v>
      </c>
      <c r="H1727" s="15">
        <v>1000</v>
      </c>
      <c r="I1727" s="16">
        <v>4350.0000000000009</v>
      </c>
      <c r="J1727" s="16">
        <v>5349.1471733795515</v>
      </c>
      <c r="K1727" s="16">
        <v>-999.14717337955176</v>
      </c>
      <c r="L1727" s="13"/>
      <c r="M1727" s="13">
        <v>4.3499999999999996</v>
      </c>
      <c r="N1727" s="17">
        <f t="shared" si="58"/>
        <v>0</v>
      </c>
      <c r="O1727" s="17">
        <f t="shared" si="58"/>
        <v>4350</v>
      </c>
      <c r="P1727" s="17">
        <f t="shared" si="56"/>
        <v>4350</v>
      </c>
      <c r="Q1727" t="str">
        <f>A1727&amp;"-"&amp;B1727&amp;"-"&amp;D1727</f>
        <v>MEI-CJL-L3</v>
      </c>
    </row>
    <row r="1728" spans="1:17" x14ac:dyDescent="0.25">
      <c r="A1728" t="s">
        <v>395</v>
      </c>
      <c r="B1728" s="13" t="s">
        <v>20</v>
      </c>
      <c r="C1728" s="13" t="s">
        <v>286</v>
      </c>
      <c r="D1728" s="14" t="s">
        <v>56</v>
      </c>
      <c r="E1728" s="13" t="s">
        <v>837</v>
      </c>
      <c r="F1728" s="13" t="s">
        <v>840</v>
      </c>
      <c r="G1728" s="13">
        <v>3.9499999999999997</v>
      </c>
      <c r="H1728" s="15">
        <v>1004</v>
      </c>
      <c r="I1728" s="16">
        <v>3965.8</v>
      </c>
      <c r="J1728" s="16">
        <v>9657.5859133126942</v>
      </c>
      <c r="K1728" s="16">
        <v>-5691.7859133126931</v>
      </c>
      <c r="L1728" s="13"/>
      <c r="M1728" s="13">
        <v>3.95</v>
      </c>
      <c r="N1728" s="17">
        <f t="shared" si="58"/>
        <v>0</v>
      </c>
      <c r="O1728" s="17">
        <f t="shared" si="58"/>
        <v>3965.8</v>
      </c>
      <c r="P1728" s="17">
        <f t="shared" si="56"/>
        <v>3965.8</v>
      </c>
      <c r="Q1728" t="str">
        <f>A1728&amp;"-"&amp;B1728&amp;"-"&amp;D1728</f>
        <v>MEI-CJL-L3</v>
      </c>
    </row>
    <row r="1729" spans="1:17" x14ac:dyDescent="0.25">
      <c r="A1729" t="s">
        <v>395</v>
      </c>
      <c r="B1729" s="13" t="s">
        <v>22</v>
      </c>
      <c r="C1729" s="13" t="s">
        <v>154</v>
      </c>
      <c r="D1729" s="14" t="s">
        <v>158</v>
      </c>
      <c r="E1729" s="13" t="s">
        <v>155</v>
      </c>
      <c r="F1729" s="13" t="s">
        <v>841</v>
      </c>
      <c r="G1729" s="13">
        <v>0.5099999999999999</v>
      </c>
      <c r="H1729" s="15">
        <v>8250</v>
      </c>
      <c r="I1729" s="16">
        <v>4207.5</v>
      </c>
      <c r="J1729" s="16">
        <v>3965.71</v>
      </c>
      <c r="K1729" s="16">
        <v>241.79000000000002</v>
      </c>
      <c r="L1729" s="13">
        <v>1.48</v>
      </c>
      <c r="M1729" s="13"/>
      <c r="N1729" s="17">
        <f t="shared" si="58"/>
        <v>12210</v>
      </c>
      <c r="O1729" s="17">
        <f t="shared" si="58"/>
        <v>0</v>
      </c>
      <c r="P1729" s="17">
        <f t="shared" si="56"/>
        <v>12210</v>
      </c>
      <c r="Q1729" t="str">
        <f>A1729&amp;"-"&amp;B1729&amp;"-"&amp;D1729</f>
        <v>MEI-CNJ2-L4</v>
      </c>
    </row>
    <row r="1730" spans="1:17" x14ac:dyDescent="0.25">
      <c r="A1730" t="s">
        <v>395</v>
      </c>
      <c r="B1730" s="13" t="s">
        <v>22</v>
      </c>
      <c r="C1730" s="13" t="s">
        <v>154</v>
      </c>
      <c r="D1730" s="14" t="s">
        <v>158</v>
      </c>
      <c r="E1730" s="13" t="s">
        <v>155</v>
      </c>
      <c r="F1730" s="13" t="s">
        <v>699</v>
      </c>
      <c r="G1730" s="13">
        <v>0.5099999999999999</v>
      </c>
      <c r="H1730" s="15">
        <v>10550</v>
      </c>
      <c r="I1730" s="16">
        <v>5380.5</v>
      </c>
      <c r="J1730" s="16">
        <v>5155.42</v>
      </c>
      <c r="K1730" s="16">
        <v>225.08000000000004</v>
      </c>
      <c r="L1730" s="13">
        <v>1.49</v>
      </c>
      <c r="M1730" s="13"/>
      <c r="N1730" s="17">
        <f t="shared" si="58"/>
        <v>15719.5</v>
      </c>
      <c r="O1730" s="17">
        <f t="shared" si="58"/>
        <v>0</v>
      </c>
      <c r="P1730" s="17">
        <f t="shared" ref="P1730:P1793" si="59">N1730+O1730</f>
        <v>15719.5</v>
      </c>
      <c r="Q1730" t="str">
        <f>A1730&amp;"-"&amp;B1730&amp;"-"&amp;D1730</f>
        <v>MEI-CNJ2-L4</v>
      </c>
    </row>
    <row r="1731" spans="1:17" x14ac:dyDescent="0.25">
      <c r="A1731" t="s">
        <v>395</v>
      </c>
      <c r="B1731" s="13" t="s">
        <v>22</v>
      </c>
      <c r="C1731" s="13" t="s">
        <v>154</v>
      </c>
      <c r="D1731" s="14" t="s">
        <v>158</v>
      </c>
      <c r="E1731" s="13" t="s">
        <v>155</v>
      </c>
      <c r="F1731" s="13" t="s">
        <v>842</v>
      </c>
      <c r="G1731" s="13">
        <v>0.5099999999999999</v>
      </c>
      <c r="H1731" s="15">
        <v>7439</v>
      </c>
      <c r="I1731" s="16">
        <v>3793.89</v>
      </c>
      <c r="J1731" s="16">
        <v>3965.71</v>
      </c>
      <c r="K1731" s="16">
        <v>-171.82</v>
      </c>
      <c r="L1731" s="13">
        <v>1.49</v>
      </c>
      <c r="M1731" s="13"/>
      <c r="N1731" s="17">
        <f t="shared" si="58"/>
        <v>11084.11</v>
      </c>
      <c r="O1731" s="17">
        <f t="shared" si="58"/>
        <v>0</v>
      </c>
      <c r="P1731" s="17">
        <f t="shared" si="59"/>
        <v>11084.11</v>
      </c>
      <c r="Q1731" t="str">
        <f>A1731&amp;"-"&amp;B1731&amp;"-"&amp;D1731</f>
        <v>MEI-CNJ2-L4</v>
      </c>
    </row>
    <row r="1732" spans="1:17" x14ac:dyDescent="0.25">
      <c r="A1732" t="s">
        <v>395</v>
      </c>
      <c r="B1732" s="13" t="s">
        <v>22</v>
      </c>
      <c r="C1732" s="13" t="s">
        <v>154</v>
      </c>
      <c r="D1732" s="14" t="s">
        <v>158</v>
      </c>
      <c r="E1732" s="13" t="s">
        <v>155</v>
      </c>
      <c r="F1732" s="13" t="s">
        <v>843</v>
      </c>
      <c r="G1732" s="13">
        <v>0.51</v>
      </c>
      <c r="H1732" s="15">
        <v>2900</v>
      </c>
      <c r="I1732" s="16">
        <v>1479</v>
      </c>
      <c r="J1732" s="16">
        <v>1388</v>
      </c>
      <c r="K1732" s="16">
        <v>91</v>
      </c>
      <c r="L1732" s="13">
        <v>1.49</v>
      </c>
      <c r="M1732" s="13"/>
      <c r="N1732" s="17">
        <f t="shared" si="58"/>
        <v>4321</v>
      </c>
      <c r="O1732" s="17">
        <f t="shared" si="58"/>
        <v>0</v>
      </c>
      <c r="P1732" s="17">
        <f t="shared" si="59"/>
        <v>4321</v>
      </c>
      <c r="Q1732" t="str">
        <f>A1732&amp;"-"&amp;B1732&amp;"-"&amp;D1732</f>
        <v>MEI-CNJ2-L4</v>
      </c>
    </row>
    <row r="1733" spans="1:17" x14ac:dyDescent="0.25">
      <c r="A1733" t="s">
        <v>395</v>
      </c>
      <c r="B1733" s="13" t="s">
        <v>22</v>
      </c>
      <c r="C1733" s="13" t="s">
        <v>154</v>
      </c>
      <c r="D1733" s="14" t="s">
        <v>160</v>
      </c>
      <c r="E1733" s="13" t="s">
        <v>155</v>
      </c>
      <c r="F1733" s="13" t="s">
        <v>844</v>
      </c>
      <c r="G1733" s="13">
        <v>0.48</v>
      </c>
      <c r="H1733" s="15">
        <v>2680</v>
      </c>
      <c r="I1733" s="16">
        <v>1286.4000000000001</v>
      </c>
      <c r="J1733" s="16">
        <v>1744.91</v>
      </c>
      <c r="K1733" s="16">
        <v>-458.51000000000005</v>
      </c>
      <c r="L1733" s="13">
        <v>2.06</v>
      </c>
      <c r="M1733" s="13"/>
      <c r="N1733" s="17">
        <f t="shared" si="58"/>
        <v>5520.8</v>
      </c>
      <c r="O1733" s="17">
        <f t="shared" si="58"/>
        <v>0</v>
      </c>
      <c r="P1733" s="17">
        <f t="shared" si="59"/>
        <v>5520.8</v>
      </c>
      <c r="Q1733" t="str">
        <f>A1733&amp;"-"&amp;B1733&amp;"-"&amp;D1733</f>
        <v>MEI-CNJ2-L5</v>
      </c>
    </row>
    <row r="1734" spans="1:17" x14ac:dyDescent="0.25">
      <c r="A1734" t="s">
        <v>395</v>
      </c>
      <c r="B1734" s="13" t="s">
        <v>22</v>
      </c>
      <c r="C1734" s="13" t="s">
        <v>154</v>
      </c>
      <c r="D1734" s="14" t="s">
        <v>160</v>
      </c>
      <c r="E1734" s="13" t="s">
        <v>155</v>
      </c>
      <c r="F1734" s="13" t="s">
        <v>689</v>
      </c>
      <c r="G1734" s="13">
        <v>0.48</v>
      </c>
      <c r="H1734" s="15">
        <v>9725</v>
      </c>
      <c r="I1734" s="16">
        <v>4668</v>
      </c>
      <c r="J1734" s="16">
        <v>4461.42</v>
      </c>
      <c r="K1734" s="16">
        <v>206.58000000000004</v>
      </c>
      <c r="L1734" s="13">
        <v>1.8</v>
      </c>
      <c r="M1734" s="13"/>
      <c r="N1734" s="17">
        <f t="shared" si="58"/>
        <v>17505</v>
      </c>
      <c r="O1734" s="17">
        <f t="shared" si="58"/>
        <v>0</v>
      </c>
      <c r="P1734" s="17">
        <f t="shared" si="59"/>
        <v>17505</v>
      </c>
      <c r="Q1734" t="str">
        <f>A1734&amp;"-"&amp;B1734&amp;"-"&amp;D1734</f>
        <v>MEI-CNJ2-L5</v>
      </c>
    </row>
    <row r="1735" spans="1:17" x14ac:dyDescent="0.25">
      <c r="A1735" t="s">
        <v>395</v>
      </c>
      <c r="B1735" s="13" t="s">
        <v>22</v>
      </c>
      <c r="C1735" s="13" t="s">
        <v>154</v>
      </c>
      <c r="D1735" s="14" t="s">
        <v>160</v>
      </c>
      <c r="E1735" s="13" t="s">
        <v>155</v>
      </c>
      <c r="F1735" s="13" t="s">
        <v>845</v>
      </c>
      <c r="G1735" s="13">
        <v>0.48</v>
      </c>
      <c r="H1735" s="15">
        <v>11900</v>
      </c>
      <c r="I1735" s="16">
        <v>5712</v>
      </c>
      <c r="J1735" s="16">
        <v>5353.71</v>
      </c>
      <c r="K1735" s="16">
        <v>358.29</v>
      </c>
      <c r="L1735" s="13">
        <v>1.82</v>
      </c>
      <c r="M1735" s="13"/>
      <c r="N1735" s="17">
        <f t="shared" si="58"/>
        <v>21658</v>
      </c>
      <c r="O1735" s="17">
        <f t="shared" si="58"/>
        <v>0</v>
      </c>
      <c r="P1735" s="17">
        <f t="shared" si="59"/>
        <v>21658</v>
      </c>
      <c r="Q1735" t="str">
        <f>A1735&amp;"-"&amp;B1735&amp;"-"&amp;D1735</f>
        <v>MEI-CNJ2-L5</v>
      </c>
    </row>
    <row r="1736" spans="1:17" x14ac:dyDescent="0.25">
      <c r="A1736" t="s">
        <v>395</v>
      </c>
      <c r="B1736" s="13" t="s">
        <v>22</v>
      </c>
      <c r="C1736" s="13" t="s">
        <v>154</v>
      </c>
      <c r="D1736" s="14" t="s">
        <v>160</v>
      </c>
      <c r="E1736" s="13" t="s">
        <v>155</v>
      </c>
      <c r="F1736" s="13" t="s">
        <v>699</v>
      </c>
      <c r="G1736" s="13">
        <v>0.51</v>
      </c>
      <c r="H1736" s="15">
        <v>1550</v>
      </c>
      <c r="I1736" s="16">
        <v>790.5</v>
      </c>
      <c r="J1736" s="16">
        <v>694</v>
      </c>
      <c r="K1736" s="16">
        <v>96.5</v>
      </c>
      <c r="L1736" s="13">
        <v>1.49</v>
      </c>
      <c r="M1736" s="13"/>
      <c r="N1736" s="17">
        <f t="shared" si="58"/>
        <v>2309.5</v>
      </c>
      <c r="O1736" s="17">
        <f t="shared" si="58"/>
        <v>0</v>
      </c>
      <c r="P1736" s="17">
        <f t="shared" si="59"/>
        <v>2309.5</v>
      </c>
      <c r="Q1736" t="str">
        <f>A1736&amp;"-"&amp;B1736&amp;"-"&amp;D1736</f>
        <v>MEI-CNJ2-L5</v>
      </c>
    </row>
    <row r="1737" spans="1:17" x14ac:dyDescent="0.25">
      <c r="A1737" t="s">
        <v>395</v>
      </c>
      <c r="B1737" s="13" t="s">
        <v>22</v>
      </c>
      <c r="C1737" s="13" t="s">
        <v>154</v>
      </c>
      <c r="D1737" s="14" t="s">
        <v>160</v>
      </c>
      <c r="E1737" s="13" t="s">
        <v>155</v>
      </c>
      <c r="F1737" s="13" t="s">
        <v>842</v>
      </c>
      <c r="G1737" s="13">
        <v>0.51</v>
      </c>
      <c r="H1737" s="15">
        <v>4650</v>
      </c>
      <c r="I1737" s="16">
        <v>2371.5</v>
      </c>
      <c r="J1737" s="16">
        <v>2082</v>
      </c>
      <c r="K1737" s="16">
        <v>289.5</v>
      </c>
      <c r="L1737" s="13">
        <v>1.49</v>
      </c>
      <c r="M1737" s="13"/>
      <c r="N1737" s="17">
        <f t="shared" si="58"/>
        <v>6928.5</v>
      </c>
      <c r="O1737" s="17">
        <f t="shared" si="58"/>
        <v>0</v>
      </c>
      <c r="P1737" s="17">
        <f t="shared" si="59"/>
        <v>6928.5</v>
      </c>
      <c r="Q1737" t="str">
        <f>A1737&amp;"-"&amp;B1737&amp;"-"&amp;D1737</f>
        <v>MEI-CNJ2-L5</v>
      </c>
    </row>
    <row r="1738" spans="1:17" x14ac:dyDescent="0.25">
      <c r="A1738" t="s">
        <v>395</v>
      </c>
      <c r="B1738" s="13" t="s">
        <v>22</v>
      </c>
      <c r="C1738" s="13" t="s">
        <v>154</v>
      </c>
      <c r="D1738" s="14" t="s">
        <v>163</v>
      </c>
      <c r="E1738" s="13" t="s">
        <v>155</v>
      </c>
      <c r="F1738" s="13" t="s">
        <v>695</v>
      </c>
      <c r="G1738" s="13">
        <v>0.48</v>
      </c>
      <c r="H1738" s="15">
        <v>9200</v>
      </c>
      <c r="I1738" s="16">
        <v>4416</v>
      </c>
      <c r="J1738" s="16">
        <v>4461.42</v>
      </c>
      <c r="K1738" s="16">
        <v>-45.419999999999959</v>
      </c>
      <c r="L1738" s="13">
        <v>1.82</v>
      </c>
      <c r="M1738" s="13"/>
      <c r="N1738" s="17">
        <f t="shared" si="58"/>
        <v>16744</v>
      </c>
      <c r="O1738" s="17">
        <f t="shared" si="58"/>
        <v>0</v>
      </c>
      <c r="P1738" s="17">
        <f t="shared" si="59"/>
        <v>16744</v>
      </c>
      <c r="Q1738" t="str">
        <f>A1738&amp;"-"&amp;B1738&amp;"-"&amp;D1738</f>
        <v>MEI-CNJ2-L6</v>
      </c>
    </row>
    <row r="1739" spans="1:17" x14ac:dyDescent="0.25">
      <c r="A1739" t="s">
        <v>395</v>
      </c>
      <c r="B1739" s="13" t="s">
        <v>22</v>
      </c>
      <c r="C1739" s="13" t="s">
        <v>154</v>
      </c>
      <c r="D1739" s="14" t="s">
        <v>163</v>
      </c>
      <c r="E1739" s="13" t="s">
        <v>155</v>
      </c>
      <c r="F1739" s="13" t="s">
        <v>845</v>
      </c>
      <c r="G1739" s="13">
        <v>0.48000000000000004</v>
      </c>
      <c r="H1739" s="15">
        <v>12550</v>
      </c>
      <c r="I1739" s="16">
        <v>6024</v>
      </c>
      <c r="J1739" s="16">
        <v>6047.71</v>
      </c>
      <c r="K1739" s="16">
        <v>-23.70999999999998</v>
      </c>
      <c r="L1739" s="13">
        <v>1.82</v>
      </c>
      <c r="M1739" s="13"/>
      <c r="N1739" s="17">
        <f t="shared" si="58"/>
        <v>22841</v>
      </c>
      <c r="O1739" s="17">
        <f t="shared" si="58"/>
        <v>0</v>
      </c>
      <c r="P1739" s="17">
        <f t="shared" si="59"/>
        <v>22841</v>
      </c>
      <c r="Q1739" t="str">
        <f>A1739&amp;"-"&amp;B1739&amp;"-"&amp;D1739</f>
        <v>MEI-CNJ2-L6</v>
      </c>
    </row>
    <row r="1740" spans="1:17" x14ac:dyDescent="0.25">
      <c r="A1740" t="s">
        <v>395</v>
      </c>
      <c r="B1740" s="13" t="s">
        <v>22</v>
      </c>
      <c r="C1740" s="13" t="s">
        <v>154</v>
      </c>
      <c r="D1740" s="14" t="s">
        <v>163</v>
      </c>
      <c r="E1740" s="13" t="s">
        <v>155</v>
      </c>
      <c r="F1740" s="13" t="s">
        <v>842</v>
      </c>
      <c r="G1740" s="13">
        <v>0.51</v>
      </c>
      <c r="H1740" s="15">
        <v>6599</v>
      </c>
      <c r="I1740" s="16">
        <v>3365.49</v>
      </c>
      <c r="J1740" s="16">
        <v>3271.71</v>
      </c>
      <c r="K1740" s="16">
        <v>93.78000000000003</v>
      </c>
      <c r="L1740" s="13">
        <v>1.49</v>
      </c>
      <c r="M1740" s="13"/>
      <c r="N1740" s="17">
        <f t="shared" si="58"/>
        <v>9832.51</v>
      </c>
      <c r="O1740" s="17">
        <f t="shared" si="58"/>
        <v>0</v>
      </c>
      <c r="P1740" s="17">
        <f t="shared" si="59"/>
        <v>9832.51</v>
      </c>
      <c r="Q1740" t="str">
        <f>A1740&amp;"-"&amp;B1740&amp;"-"&amp;D1740</f>
        <v>MEI-CNJ2-L6</v>
      </c>
    </row>
    <row r="1741" spans="1:17" x14ac:dyDescent="0.25">
      <c r="A1741" t="s">
        <v>395</v>
      </c>
      <c r="B1741" s="13" t="s">
        <v>22</v>
      </c>
      <c r="C1741" s="13" t="s">
        <v>154</v>
      </c>
      <c r="D1741" s="14" t="s">
        <v>164</v>
      </c>
      <c r="E1741" s="13" t="s">
        <v>155</v>
      </c>
      <c r="F1741" s="13" t="s">
        <v>841</v>
      </c>
      <c r="G1741" s="13">
        <v>0.5099999999999999</v>
      </c>
      <c r="H1741" s="15">
        <v>7720</v>
      </c>
      <c r="I1741" s="16">
        <v>3937.2</v>
      </c>
      <c r="J1741" s="16">
        <v>5353.71</v>
      </c>
      <c r="K1741" s="16">
        <v>-1416.51</v>
      </c>
      <c r="L1741" s="13">
        <v>1.48</v>
      </c>
      <c r="M1741" s="13"/>
      <c r="N1741" s="17">
        <f t="shared" si="58"/>
        <v>11425.6</v>
      </c>
      <c r="O1741" s="17">
        <f t="shared" si="58"/>
        <v>0</v>
      </c>
      <c r="P1741" s="17">
        <f t="shared" si="59"/>
        <v>11425.6</v>
      </c>
      <c r="Q1741" t="str">
        <f>A1741&amp;"-"&amp;B1741&amp;"-"&amp;D1741</f>
        <v>MEI-CNJ2-L7</v>
      </c>
    </row>
    <row r="1742" spans="1:17" x14ac:dyDescent="0.25">
      <c r="A1742" t="s">
        <v>395</v>
      </c>
      <c r="B1742" s="13" t="s">
        <v>22</v>
      </c>
      <c r="C1742" s="13" t="s">
        <v>154</v>
      </c>
      <c r="D1742" s="14" t="s">
        <v>164</v>
      </c>
      <c r="E1742" s="13" t="s">
        <v>155</v>
      </c>
      <c r="F1742" s="13" t="s">
        <v>699</v>
      </c>
      <c r="G1742" s="13">
        <v>0.5099999999999999</v>
      </c>
      <c r="H1742" s="15">
        <v>7670</v>
      </c>
      <c r="I1742" s="16">
        <v>3911.7</v>
      </c>
      <c r="J1742" s="16">
        <v>5155.42</v>
      </c>
      <c r="K1742" s="16">
        <v>-1243.72</v>
      </c>
      <c r="L1742" s="13">
        <v>1.49</v>
      </c>
      <c r="M1742" s="13"/>
      <c r="N1742" s="17">
        <f t="shared" si="58"/>
        <v>11428.3</v>
      </c>
      <c r="O1742" s="17">
        <f t="shared" si="58"/>
        <v>0</v>
      </c>
      <c r="P1742" s="17">
        <f t="shared" si="59"/>
        <v>11428.3</v>
      </c>
      <c r="Q1742" t="str">
        <f>A1742&amp;"-"&amp;B1742&amp;"-"&amp;D1742</f>
        <v>MEI-CNJ2-L7</v>
      </c>
    </row>
    <row r="1743" spans="1:17" x14ac:dyDescent="0.25">
      <c r="A1743" t="s">
        <v>395</v>
      </c>
      <c r="B1743" s="13" t="s">
        <v>22</v>
      </c>
      <c r="C1743" s="13" t="s">
        <v>154</v>
      </c>
      <c r="D1743" s="14" t="s">
        <v>164</v>
      </c>
      <c r="E1743" s="13" t="s">
        <v>155</v>
      </c>
      <c r="F1743" s="13" t="s">
        <v>842</v>
      </c>
      <c r="G1743" s="13">
        <v>0.51</v>
      </c>
      <c r="H1743" s="15">
        <v>4671</v>
      </c>
      <c r="I1743" s="16">
        <v>2382.21</v>
      </c>
      <c r="J1743" s="16">
        <v>3271.71</v>
      </c>
      <c r="K1743" s="16">
        <v>-889.5</v>
      </c>
      <c r="L1743" s="13">
        <v>1.49</v>
      </c>
      <c r="M1743" s="13"/>
      <c r="N1743" s="17">
        <f t="shared" si="58"/>
        <v>6959.79</v>
      </c>
      <c r="O1743" s="17">
        <f t="shared" si="58"/>
        <v>0</v>
      </c>
      <c r="P1743" s="17">
        <f t="shared" si="59"/>
        <v>6959.79</v>
      </c>
      <c r="Q1743" t="str">
        <f>A1743&amp;"-"&amp;B1743&amp;"-"&amp;D1743</f>
        <v>MEI-CNJ2-L7</v>
      </c>
    </row>
    <row r="1744" spans="1:17" x14ac:dyDescent="0.25">
      <c r="A1744" t="s">
        <v>395</v>
      </c>
      <c r="B1744" s="13" t="s">
        <v>22</v>
      </c>
      <c r="C1744" s="13" t="s">
        <v>43</v>
      </c>
      <c r="D1744" s="14" t="s">
        <v>44</v>
      </c>
      <c r="E1744" s="13" t="s">
        <v>165</v>
      </c>
      <c r="F1744" s="13" t="s">
        <v>846</v>
      </c>
      <c r="G1744" s="13">
        <v>1.41</v>
      </c>
      <c r="H1744" s="15">
        <v>7055</v>
      </c>
      <c r="I1744" s="16">
        <v>9947.5499999999975</v>
      </c>
      <c r="J1744" s="16">
        <v>10509.13</v>
      </c>
      <c r="K1744" s="16">
        <v>-561.58000000000004</v>
      </c>
      <c r="L1744" s="13"/>
      <c r="M1744" s="13">
        <v>1.5</v>
      </c>
      <c r="N1744" s="17">
        <f t="shared" si="58"/>
        <v>0</v>
      </c>
      <c r="O1744" s="17">
        <f t="shared" si="58"/>
        <v>10582.5</v>
      </c>
      <c r="P1744" s="17">
        <f t="shared" si="59"/>
        <v>10582.5</v>
      </c>
      <c r="Q1744" t="str">
        <f>A1744&amp;"-"&amp;B1744&amp;"-"&amp;D1744</f>
        <v>MEI-CNJ2-L1</v>
      </c>
    </row>
    <row r="1745" spans="1:17" x14ac:dyDescent="0.25">
      <c r="A1745" t="s">
        <v>395</v>
      </c>
      <c r="B1745" s="13" t="s">
        <v>22</v>
      </c>
      <c r="C1745" s="13" t="s">
        <v>43</v>
      </c>
      <c r="D1745" s="14" t="s">
        <v>44</v>
      </c>
      <c r="E1745" s="13" t="s">
        <v>179</v>
      </c>
      <c r="F1745" s="13" t="s">
        <v>718</v>
      </c>
      <c r="G1745" s="13">
        <v>2.85</v>
      </c>
      <c r="H1745" s="15">
        <v>250</v>
      </c>
      <c r="I1745" s="16">
        <v>712.5</v>
      </c>
      <c r="J1745" s="16">
        <v>694</v>
      </c>
      <c r="K1745" s="16">
        <v>18.5</v>
      </c>
      <c r="L1745" s="13"/>
      <c r="M1745" s="13">
        <v>3</v>
      </c>
      <c r="N1745" s="17">
        <f t="shared" si="58"/>
        <v>0</v>
      </c>
      <c r="O1745" s="17">
        <f t="shared" si="58"/>
        <v>750</v>
      </c>
      <c r="P1745" s="17">
        <f t="shared" si="59"/>
        <v>750</v>
      </c>
      <c r="Q1745" t="str">
        <f>A1745&amp;"-"&amp;B1745&amp;"-"&amp;D1745</f>
        <v>MEI-CNJ2-L1</v>
      </c>
    </row>
    <row r="1746" spans="1:17" x14ac:dyDescent="0.25">
      <c r="A1746" t="s">
        <v>395</v>
      </c>
      <c r="B1746" s="13" t="s">
        <v>22</v>
      </c>
      <c r="C1746" s="13" t="s">
        <v>43</v>
      </c>
      <c r="D1746" s="14" t="s">
        <v>44</v>
      </c>
      <c r="E1746" s="13" t="s">
        <v>179</v>
      </c>
      <c r="F1746" s="13" t="s">
        <v>847</v>
      </c>
      <c r="G1746" s="13">
        <v>3.0500000000000003</v>
      </c>
      <c r="H1746" s="15">
        <v>1650</v>
      </c>
      <c r="I1746" s="16">
        <v>5032.5</v>
      </c>
      <c r="J1746" s="16">
        <v>3965.71</v>
      </c>
      <c r="K1746" s="16">
        <v>1066.79</v>
      </c>
      <c r="L1746" s="13"/>
      <c r="M1746" s="13">
        <v>3.2</v>
      </c>
      <c r="N1746" s="17">
        <f t="shared" si="58"/>
        <v>0</v>
      </c>
      <c r="O1746" s="17">
        <f t="shared" si="58"/>
        <v>5280</v>
      </c>
      <c r="P1746" s="17">
        <f t="shared" si="59"/>
        <v>5280</v>
      </c>
      <c r="Q1746" t="str">
        <f>A1746&amp;"-"&amp;B1746&amp;"-"&amp;D1746</f>
        <v>MEI-CNJ2-L1</v>
      </c>
    </row>
    <row r="1747" spans="1:17" x14ac:dyDescent="0.25">
      <c r="A1747" t="s">
        <v>395</v>
      </c>
      <c r="B1747" s="13" t="s">
        <v>22</v>
      </c>
      <c r="C1747" s="13" t="s">
        <v>43</v>
      </c>
      <c r="D1747" s="14" t="s">
        <v>50</v>
      </c>
      <c r="E1747" s="13" t="s">
        <v>550</v>
      </c>
      <c r="F1747" s="13" t="s">
        <v>848</v>
      </c>
      <c r="G1747" s="13">
        <v>0.37000000000000005</v>
      </c>
      <c r="H1747" s="15">
        <v>14540</v>
      </c>
      <c r="I1747" s="16">
        <v>5379.8</v>
      </c>
      <c r="J1747" s="16">
        <v>6295.58</v>
      </c>
      <c r="K1747" s="16">
        <v>-915.78</v>
      </c>
      <c r="L1747" s="13"/>
      <c r="M1747" s="13">
        <v>0.38</v>
      </c>
      <c r="N1747" s="17">
        <f t="shared" si="58"/>
        <v>0</v>
      </c>
      <c r="O1747" s="17">
        <f t="shared" si="58"/>
        <v>5525.2</v>
      </c>
      <c r="P1747" s="17">
        <f t="shared" si="59"/>
        <v>5525.2</v>
      </c>
      <c r="Q1747" t="str">
        <f>A1747&amp;"-"&amp;B1747&amp;"-"&amp;D1747</f>
        <v>MEI-CNJ2-L2</v>
      </c>
    </row>
    <row r="1748" spans="1:17" x14ac:dyDescent="0.25">
      <c r="A1748" t="s">
        <v>395</v>
      </c>
      <c r="B1748" s="13" t="s">
        <v>22</v>
      </c>
      <c r="C1748" s="13" t="s">
        <v>43</v>
      </c>
      <c r="D1748" s="14" t="s">
        <v>50</v>
      </c>
      <c r="E1748" s="13" t="s">
        <v>555</v>
      </c>
      <c r="F1748" s="13" t="s">
        <v>720</v>
      </c>
      <c r="G1748" s="13">
        <v>0.23</v>
      </c>
      <c r="H1748" s="15">
        <v>805</v>
      </c>
      <c r="I1748" s="16">
        <v>185.14999999999998</v>
      </c>
      <c r="J1748" s="16">
        <v>264.38095238095241</v>
      </c>
      <c r="K1748" s="16">
        <v>-79.230952380952374</v>
      </c>
      <c r="L1748" s="13"/>
      <c r="M1748" s="13">
        <v>0.24</v>
      </c>
      <c r="N1748" s="17">
        <f t="shared" si="58"/>
        <v>0</v>
      </c>
      <c r="O1748" s="17">
        <f t="shared" si="58"/>
        <v>193.2</v>
      </c>
      <c r="P1748" s="17">
        <f t="shared" si="59"/>
        <v>193.2</v>
      </c>
      <c r="Q1748" t="str">
        <f>A1748&amp;"-"&amp;B1748&amp;"-"&amp;D1748</f>
        <v>MEI-CNJ2-L2</v>
      </c>
    </row>
    <row r="1749" spans="1:17" x14ac:dyDescent="0.25">
      <c r="A1749" t="s">
        <v>395</v>
      </c>
      <c r="B1749" s="13" t="s">
        <v>22</v>
      </c>
      <c r="C1749" s="13" t="s">
        <v>43</v>
      </c>
      <c r="D1749" s="14" t="s">
        <v>50</v>
      </c>
      <c r="E1749" s="13" t="s">
        <v>177</v>
      </c>
      <c r="F1749" s="13" t="s">
        <v>849</v>
      </c>
      <c r="G1749" s="13">
        <v>0.24</v>
      </c>
      <c r="H1749" s="15">
        <v>4941</v>
      </c>
      <c r="I1749" s="16">
        <v>1185.8399999999999</v>
      </c>
      <c r="J1749" s="16">
        <v>1711.6877619047618</v>
      </c>
      <c r="K1749" s="16">
        <v>-525.84776190476191</v>
      </c>
      <c r="L1749" s="13"/>
      <c r="M1749" s="13">
        <v>0.25</v>
      </c>
      <c r="N1749" s="17">
        <f t="shared" si="58"/>
        <v>0</v>
      </c>
      <c r="O1749" s="17">
        <f t="shared" si="58"/>
        <v>1235.25</v>
      </c>
      <c r="P1749" s="17">
        <f t="shared" si="59"/>
        <v>1235.25</v>
      </c>
      <c r="Q1749" t="str">
        <f>A1749&amp;"-"&amp;B1749&amp;"-"&amp;D1749</f>
        <v>MEI-CNJ2-L2</v>
      </c>
    </row>
    <row r="1750" spans="1:17" x14ac:dyDescent="0.25">
      <c r="A1750" t="s">
        <v>395</v>
      </c>
      <c r="B1750" s="13" t="s">
        <v>22</v>
      </c>
      <c r="C1750" s="13" t="s">
        <v>43</v>
      </c>
      <c r="D1750" s="14" t="s">
        <v>50</v>
      </c>
      <c r="E1750" s="13" t="s">
        <v>177</v>
      </c>
      <c r="F1750" s="13" t="s">
        <v>558</v>
      </c>
      <c r="G1750" s="13">
        <v>0.24</v>
      </c>
      <c r="H1750" s="15">
        <v>1116</v>
      </c>
      <c r="I1750" s="16">
        <v>267.84000000000003</v>
      </c>
      <c r="J1750" s="16">
        <v>353.79128571428572</v>
      </c>
      <c r="K1750" s="16">
        <v>-85.951285714285717</v>
      </c>
      <c r="L1750" s="13"/>
      <c r="M1750" s="13">
        <v>0.25</v>
      </c>
      <c r="N1750" s="17">
        <f t="shared" si="58"/>
        <v>0</v>
      </c>
      <c r="O1750" s="17">
        <f t="shared" si="58"/>
        <v>279</v>
      </c>
      <c r="P1750" s="17">
        <f t="shared" si="59"/>
        <v>279</v>
      </c>
      <c r="Q1750" t="str">
        <f>A1750&amp;"-"&amp;B1750&amp;"-"&amp;D1750</f>
        <v>MEI-CNJ2-L2</v>
      </c>
    </row>
    <row r="1751" spans="1:17" x14ac:dyDescent="0.25">
      <c r="A1751" t="s">
        <v>395</v>
      </c>
      <c r="B1751" s="13" t="s">
        <v>22</v>
      </c>
      <c r="C1751" s="13" t="s">
        <v>43</v>
      </c>
      <c r="D1751" s="14" t="s">
        <v>56</v>
      </c>
      <c r="E1751" s="13" t="s">
        <v>165</v>
      </c>
      <c r="F1751" s="13" t="s">
        <v>850</v>
      </c>
      <c r="G1751" s="13">
        <v>1.8599999999999997</v>
      </c>
      <c r="H1751" s="15">
        <v>4112</v>
      </c>
      <c r="I1751" s="16">
        <v>7648.3199999999988</v>
      </c>
      <c r="J1751" s="16">
        <v>8269.5225641025645</v>
      </c>
      <c r="K1751" s="16">
        <v>-621.202564102564</v>
      </c>
      <c r="L1751" s="13"/>
      <c r="M1751" s="13">
        <v>1.95</v>
      </c>
      <c r="N1751" s="17">
        <f t="shared" si="58"/>
        <v>0</v>
      </c>
      <c r="O1751" s="17">
        <f t="shared" si="58"/>
        <v>8018.4</v>
      </c>
      <c r="P1751" s="17">
        <f t="shared" si="59"/>
        <v>8018.4</v>
      </c>
      <c r="Q1751" t="str">
        <f>A1751&amp;"-"&amp;B1751&amp;"-"&amp;D1751</f>
        <v>MEI-CNJ2-L3</v>
      </c>
    </row>
    <row r="1752" spans="1:17" x14ac:dyDescent="0.25">
      <c r="A1752" t="s">
        <v>395</v>
      </c>
      <c r="B1752" s="13" t="s">
        <v>22</v>
      </c>
      <c r="C1752" s="13" t="s">
        <v>43</v>
      </c>
      <c r="D1752" s="14" t="s">
        <v>56</v>
      </c>
      <c r="E1752" s="13" t="s">
        <v>165</v>
      </c>
      <c r="F1752" s="13" t="s">
        <v>561</v>
      </c>
      <c r="G1752" s="13">
        <v>1.86</v>
      </c>
      <c r="H1752" s="15">
        <v>280</v>
      </c>
      <c r="I1752" s="16">
        <v>520.79999999999995</v>
      </c>
      <c r="J1752" s="16">
        <v>694</v>
      </c>
      <c r="K1752" s="16">
        <v>-173.20000000000005</v>
      </c>
      <c r="L1752" s="13"/>
      <c r="M1752" s="13">
        <v>1.95</v>
      </c>
      <c r="N1752" s="17">
        <f t="shared" si="58"/>
        <v>0</v>
      </c>
      <c r="O1752" s="17">
        <f t="shared" si="58"/>
        <v>546</v>
      </c>
      <c r="P1752" s="17">
        <f t="shared" si="59"/>
        <v>546</v>
      </c>
      <c r="Q1752" t="str">
        <f>A1752&amp;"-"&amp;B1752&amp;"-"&amp;D1752</f>
        <v>MEI-CNJ2-L3</v>
      </c>
    </row>
    <row r="1753" spans="1:17" x14ac:dyDescent="0.25">
      <c r="A1753" t="s">
        <v>395</v>
      </c>
      <c r="B1753" s="13" t="s">
        <v>22</v>
      </c>
      <c r="C1753" s="13" t="s">
        <v>43</v>
      </c>
      <c r="D1753" s="14" t="s">
        <v>56</v>
      </c>
      <c r="E1753" s="13" t="s">
        <v>179</v>
      </c>
      <c r="F1753" s="13" t="s">
        <v>851</v>
      </c>
      <c r="G1753" s="13">
        <v>2.8500000000000005</v>
      </c>
      <c r="H1753" s="15">
        <v>1550</v>
      </c>
      <c r="I1753" s="16">
        <v>4417.5</v>
      </c>
      <c r="J1753" s="16">
        <v>6205.3174358974356</v>
      </c>
      <c r="K1753" s="16">
        <v>-1787.8174358974359</v>
      </c>
      <c r="L1753" s="13"/>
      <c r="M1753" s="13">
        <v>3</v>
      </c>
      <c r="N1753" s="17">
        <f t="shared" si="58"/>
        <v>0</v>
      </c>
      <c r="O1753" s="17">
        <f t="shared" si="58"/>
        <v>4650</v>
      </c>
      <c r="P1753" s="17">
        <f t="shared" si="59"/>
        <v>4650</v>
      </c>
      <c r="Q1753" t="str">
        <f>A1753&amp;"-"&amp;B1753&amp;"-"&amp;D1753</f>
        <v>MEI-CNJ2-L3</v>
      </c>
    </row>
    <row r="1754" spans="1:17" x14ac:dyDescent="0.25">
      <c r="A1754" t="s">
        <v>395</v>
      </c>
      <c r="B1754" s="13" t="s">
        <v>22</v>
      </c>
      <c r="C1754" s="13" t="s">
        <v>43</v>
      </c>
      <c r="D1754" s="14" t="s">
        <v>158</v>
      </c>
      <c r="E1754" s="13" t="s">
        <v>179</v>
      </c>
      <c r="F1754" s="13" t="s">
        <v>852</v>
      </c>
      <c r="G1754" s="13">
        <v>1.54</v>
      </c>
      <c r="H1754" s="15">
        <v>0</v>
      </c>
      <c r="I1754" s="16">
        <v>0</v>
      </c>
      <c r="J1754" s="16">
        <v>694</v>
      </c>
      <c r="K1754" s="16">
        <v>-694</v>
      </c>
      <c r="L1754" s="13"/>
      <c r="M1754" s="13">
        <v>1.65</v>
      </c>
      <c r="N1754" s="17">
        <f t="shared" si="58"/>
        <v>0</v>
      </c>
      <c r="O1754" s="17">
        <f t="shared" si="58"/>
        <v>0</v>
      </c>
      <c r="P1754" s="17">
        <f t="shared" si="59"/>
        <v>0</v>
      </c>
      <c r="Q1754" t="str">
        <f>A1754&amp;"-"&amp;B1754&amp;"-"&amp;D1754</f>
        <v>MEI-CNJ2-L4</v>
      </c>
    </row>
    <row r="1755" spans="1:17" x14ac:dyDescent="0.25">
      <c r="A1755" t="s">
        <v>395</v>
      </c>
      <c r="B1755" s="13" t="s">
        <v>22</v>
      </c>
      <c r="C1755" s="13" t="s">
        <v>43</v>
      </c>
      <c r="D1755" s="14" t="s">
        <v>160</v>
      </c>
      <c r="E1755" s="13" t="s">
        <v>179</v>
      </c>
      <c r="F1755" s="13" t="s">
        <v>853</v>
      </c>
      <c r="G1755" s="13">
        <v>1.54</v>
      </c>
      <c r="H1755" s="15">
        <v>120</v>
      </c>
      <c r="I1755" s="16">
        <v>184.8</v>
      </c>
      <c r="J1755" s="16">
        <v>832.8</v>
      </c>
      <c r="K1755" s="16">
        <v>-648</v>
      </c>
      <c r="L1755" s="13"/>
      <c r="M1755" s="13">
        <v>1.65</v>
      </c>
      <c r="N1755" s="17">
        <f t="shared" si="58"/>
        <v>0</v>
      </c>
      <c r="O1755" s="17">
        <f t="shared" si="58"/>
        <v>198</v>
      </c>
      <c r="P1755" s="17">
        <f t="shared" si="59"/>
        <v>198</v>
      </c>
      <c r="Q1755" t="str">
        <f>A1755&amp;"-"&amp;B1755&amp;"-"&amp;D1755</f>
        <v>MEI-CNJ2-L5</v>
      </c>
    </row>
    <row r="1756" spans="1:17" x14ac:dyDescent="0.25">
      <c r="A1756" t="s">
        <v>395</v>
      </c>
      <c r="B1756" s="13" t="s">
        <v>22</v>
      </c>
      <c r="C1756" s="13" t="s">
        <v>43</v>
      </c>
      <c r="D1756" s="14" t="s">
        <v>163</v>
      </c>
      <c r="E1756" s="13" t="s">
        <v>179</v>
      </c>
      <c r="F1756" s="13" t="s">
        <v>854</v>
      </c>
      <c r="G1756" s="13">
        <v>1.49</v>
      </c>
      <c r="H1756" s="15">
        <v>360</v>
      </c>
      <c r="I1756" s="16">
        <v>536.4</v>
      </c>
      <c r="J1756" s="16">
        <v>1388</v>
      </c>
      <c r="K1756" s="16">
        <v>-851.6</v>
      </c>
      <c r="L1756" s="13"/>
      <c r="M1756" s="13">
        <v>1.6</v>
      </c>
      <c r="N1756" s="17">
        <f t="shared" si="58"/>
        <v>0</v>
      </c>
      <c r="O1756" s="17">
        <f t="shared" si="58"/>
        <v>576</v>
      </c>
      <c r="P1756" s="17">
        <f t="shared" si="59"/>
        <v>576</v>
      </c>
      <c r="Q1756" t="str">
        <f>A1756&amp;"-"&amp;B1756&amp;"-"&amp;D1756</f>
        <v>MEI-CNJ2-L6</v>
      </c>
    </row>
    <row r="1757" spans="1:17" x14ac:dyDescent="0.25">
      <c r="A1757" t="s">
        <v>395</v>
      </c>
      <c r="B1757" s="13" t="s">
        <v>22</v>
      </c>
      <c r="C1757" s="13" t="s">
        <v>43</v>
      </c>
      <c r="D1757" s="14" t="s">
        <v>164</v>
      </c>
      <c r="E1757" s="13" t="s">
        <v>358</v>
      </c>
      <c r="F1757" s="13" t="s">
        <v>855</v>
      </c>
      <c r="G1757" s="13">
        <v>1.49</v>
      </c>
      <c r="H1757" s="15">
        <v>0</v>
      </c>
      <c r="I1757" s="16">
        <v>0</v>
      </c>
      <c r="J1757" s="16">
        <v>1388</v>
      </c>
      <c r="K1757" s="16">
        <v>-1388</v>
      </c>
      <c r="L1757" s="13"/>
      <c r="M1757" s="13">
        <v>1.6</v>
      </c>
      <c r="N1757" s="17">
        <f t="shared" si="58"/>
        <v>0</v>
      </c>
      <c r="O1757" s="17">
        <f t="shared" si="58"/>
        <v>0</v>
      </c>
      <c r="P1757" s="17">
        <f t="shared" si="59"/>
        <v>0</v>
      </c>
      <c r="Q1757" t="str">
        <f>A1757&amp;"-"&amp;B1757&amp;"-"&amp;D1757</f>
        <v>MEI-CNJ2-L7</v>
      </c>
    </row>
    <row r="1758" spans="1:17" x14ac:dyDescent="0.25">
      <c r="A1758" t="s">
        <v>395</v>
      </c>
      <c r="B1758" s="13" t="s">
        <v>23</v>
      </c>
      <c r="C1758" s="13" t="s">
        <v>201</v>
      </c>
      <c r="D1758" s="14" t="s">
        <v>44</v>
      </c>
      <c r="E1758" s="13" t="s">
        <v>191</v>
      </c>
      <c r="F1758" s="13" t="s">
        <v>439</v>
      </c>
      <c r="G1758" s="13">
        <v>0.45</v>
      </c>
      <c r="H1758" s="15">
        <v>9006</v>
      </c>
      <c r="I1758" s="16">
        <v>4052.7</v>
      </c>
      <c r="J1758" s="16">
        <v>3137.14</v>
      </c>
      <c r="K1758" s="16">
        <v>915.56000000000006</v>
      </c>
      <c r="L1758" s="13">
        <v>1.1399999999999999</v>
      </c>
      <c r="M1758" s="13"/>
      <c r="N1758" s="17">
        <f t="shared" ref="N1758:O1817" si="60">$H1758*L1758</f>
        <v>10266.839999999998</v>
      </c>
      <c r="O1758" s="17">
        <f t="shared" si="60"/>
        <v>0</v>
      </c>
      <c r="P1758" s="17">
        <f t="shared" si="59"/>
        <v>10266.839999999998</v>
      </c>
      <c r="Q1758" t="str">
        <f>A1758&amp;"-"&amp;B1758&amp;"-"&amp;D1758</f>
        <v>MEI-CVA-L1</v>
      </c>
    </row>
    <row r="1759" spans="1:17" x14ac:dyDescent="0.25">
      <c r="A1759" t="s">
        <v>395</v>
      </c>
      <c r="B1759" s="13" t="s">
        <v>23</v>
      </c>
      <c r="C1759" s="13" t="s">
        <v>201</v>
      </c>
      <c r="D1759" s="14" t="s">
        <v>44</v>
      </c>
      <c r="E1759" s="13" t="s">
        <v>191</v>
      </c>
      <c r="F1759" s="13" t="s">
        <v>729</v>
      </c>
      <c r="G1759" s="13">
        <v>0.43</v>
      </c>
      <c r="H1759" s="15">
        <v>4222</v>
      </c>
      <c r="I1759" s="16">
        <v>1815.46</v>
      </c>
      <c r="J1759" s="16">
        <v>2131.9335727109515</v>
      </c>
      <c r="K1759" s="16">
        <v>-316.47357271095149</v>
      </c>
      <c r="L1759" s="13">
        <v>1.1499999999999999</v>
      </c>
      <c r="M1759" s="13"/>
      <c r="N1759" s="17">
        <f t="shared" si="60"/>
        <v>4855.2999999999993</v>
      </c>
      <c r="O1759" s="17">
        <f t="shared" si="60"/>
        <v>0</v>
      </c>
      <c r="P1759" s="17">
        <f t="shared" si="59"/>
        <v>4855.2999999999993</v>
      </c>
      <c r="Q1759" t="str">
        <f>A1759&amp;"-"&amp;B1759&amp;"-"&amp;D1759</f>
        <v>MEI-CVA-L1</v>
      </c>
    </row>
    <row r="1760" spans="1:17" x14ac:dyDescent="0.25">
      <c r="A1760" t="s">
        <v>395</v>
      </c>
      <c r="B1760" s="13" t="s">
        <v>23</v>
      </c>
      <c r="C1760" s="13" t="s">
        <v>201</v>
      </c>
      <c r="D1760" s="14" t="s">
        <v>44</v>
      </c>
      <c r="E1760" s="13" t="s">
        <v>191</v>
      </c>
      <c r="F1760" s="13" t="s">
        <v>725</v>
      </c>
      <c r="G1760" s="13">
        <v>0.59</v>
      </c>
      <c r="H1760" s="15">
        <v>2120</v>
      </c>
      <c r="I1760" s="16">
        <v>1250.8000000000002</v>
      </c>
      <c r="J1760" s="16">
        <v>1098</v>
      </c>
      <c r="K1760" s="16">
        <v>152.80000000000007</v>
      </c>
      <c r="L1760" s="13">
        <v>2</v>
      </c>
      <c r="M1760" s="13"/>
      <c r="N1760" s="17">
        <f t="shared" si="60"/>
        <v>4240</v>
      </c>
      <c r="O1760" s="17">
        <f t="shared" si="60"/>
        <v>0</v>
      </c>
      <c r="P1760" s="17">
        <f t="shared" si="59"/>
        <v>4240</v>
      </c>
      <c r="Q1760" t="str">
        <f>A1760&amp;"-"&amp;B1760&amp;"-"&amp;D1760</f>
        <v>MEI-CVA-L1</v>
      </c>
    </row>
    <row r="1761" spans="1:17" x14ac:dyDescent="0.25">
      <c r="A1761" t="s">
        <v>395</v>
      </c>
      <c r="B1761" s="13" t="s">
        <v>23</v>
      </c>
      <c r="C1761" s="13" t="s">
        <v>201</v>
      </c>
      <c r="D1761" s="14" t="s">
        <v>44</v>
      </c>
      <c r="E1761" s="13" t="s">
        <v>191</v>
      </c>
      <c r="F1761" s="13" t="s">
        <v>856</v>
      </c>
      <c r="G1761" s="13">
        <v>0.39</v>
      </c>
      <c r="H1761" s="15">
        <v>1115</v>
      </c>
      <c r="I1761" s="16">
        <v>434.85</v>
      </c>
      <c r="J1761" s="16">
        <v>613.06642728904853</v>
      </c>
      <c r="K1761" s="16">
        <v>-178.21642728904848</v>
      </c>
      <c r="L1761" s="13">
        <v>1.48</v>
      </c>
      <c r="M1761" s="13"/>
      <c r="N1761" s="17">
        <f t="shared" si="60"/>
        <v>1650.2</v>
      </c>
      <c r="O1761" s="17">
        <f t="shared" si="60"/>
        <v>0</v>
      </c>
      <c r="P1761" s="17">
        <f t="shared" si="59"/>
        <v>1650.2</v>
      </c>
      <c r="Q1761" t="str">
        <f>A1761&amp;"-"&amp;B1761&amp;"-"&amp;D1761</f>
        <v>MEI-CVA-L1</v>
      </c>
    </row>
    <row r="1762" spans="1:17" x14ac:dyDescent="0.25">
      <c r="A1762" t="s">
        <v>395</v>
      </c>
      <c r="B1762" s="13" t="s">
        <v>23</v>
      </c>
      <c r="C1762" s="13" t="s">
        <v>201</v>
      </c>
      <c r="D1762" s="14" t="s">
        <v>44</v>
      </c>
      <c r="E1762" s="13" t="s">
        <v>142</v>
      </c>
      <c r="F1762" s="13" t="s">
        <v>857</v>
      </c>
      <c r="G1762" s="13">
        <v>0.81000000000000039</v>
      </c>
      <c r="H1762" s="15">
        <v>5518</v>
      </c>
      <c r="I1762" s="16">
        <v>4469.58</v>
      </c>
      <c r="J1762" s="16">
        <v>6823.28</v>
      </c>
      <c r="K1762" s="16">
        <v>-2353.7000000000003</v>
      </c>
      <c r="L1762" s="13">
        <v>2.7</v>
      </c>
      <c r="M1762" s="13"/>
      <c r="N1762" s="17">
        <f t="shared" si="60"/>
        <v>14898.6</v>
      </c>
      <c r="O1762" s="17">
        <f t="shared" si="60"/>
        <v>0</v>
      </c>
      <c r="P1762" s="17">
        <f t="shared" si="59"/>
        <v>14898.6</v>
      </c>
      <c r="Q1762" t="str">
        <f>A1762&amp;"-"&amp;B1762&amp;"-"&amp;D1762</f>
        <v>MEI-CVA-L1</v>
      </c>
    </row>
    <row r="1763" spans="1:17" x14ac:dyDescent="0.25">
      <c r="A1763" t="s">
        <v>395</v>
      </c>
      <c r="B1763" s="13" t="s">
        <v>23</v>
      </c>
      <c r="C1763" s="13" t="s">
        <v>201</v>
      </c>
      <c r="D1763" s="14" t="s">
        <v>301</v>
      </c>
      <c r="E1763" s="13" t="s">
        <v>191</v>
      </c>
      <c r="F1763" s="13" t="s">
        <v>728</v>
      </c>
      <c r="G1763" s="13">
        <v>0.37999999999999995</v>
      </c>
      <c r="H1763" s="15">
        <v>15702</v>
      </c>
      <c r="I1763" s="16">
        <v>5966.76</v>
      </c>
      <c r="J1763" s="16">
        <v>7921.28</v>
      </c>
      <c r="K1763" s="16">
        <v>-1954.5199999999995</v>
      </c>
      <c r="L1763" s="13">
        <v>1.24</v>
      </c>
      <c r="M1763" s="13"/>
      <c r="N1763" s="17">
        <f t="shared" si="60"/>
        <v>19470.48</v>
      </c>
      <c r="O1763" s="17">
        <f t="shared" si="60"/>
        <v>0</v>
      </c>
      <c r="P1763" s="17">
        <f t="shared" si="59"/>
        <v>19470.48</v>
      </c>
      <c r="Q1763" t="str">
        <f>A1763&amp;"-"&amp;B1763&amp;"-"&amp;D1763</f>
        <v>MEI-CVA-L10</v>
      </c>
    </row>
    <row r="1764" spans="1:17" x14ac:dyDescent="0.25">
      <c r="A1764" t="s">
        <v>395</v>
      </c>
      <c r="B1764" s="13" t="s">
        <v>23</v>
      </c>
      <c r="C1764" s="13" t="s">
        <v>201</v>
      </c>
      <c r="D1764" s="14" t="s">
        <v>301</v>
      </c>
      <c r="E1764" s="13" t="s">
        <v>191</v>
      </c>
      <c r="F1764" s="13" t="s">
        <v>724</v>
      </c>
      <c r="G1764" s="13">
        <v>0.38000000000000006</v>
      </c>
      <c r="H1764" s="15">
        <v>3630</v>
      </c>
      <c r="I1764" s="16">
        <v>1379.4</v>
      </c>
      <c r="J1764" s="16">
        <v>1647</v>
      </c>
      <c r="K1764" s="16">
        <v>-267.60000000000002</v>
      </c>
      <c r="L1764" s="13">
        <v>1.24</v>
      </c>
      <c r="M1764" s="13"/>
      <c r="N1764" s="17">
        <f t="shared" si="60"/>
        <v>4501.2</v>
      </c>
      <c r="O1764" s="17">
        <f t="shared" si="60"/>
        <v>0</v>
      </c>
      <c r="P1764" s="17">
        <f t="shared" si="59"/>
        <v>4501.2</v>
      </c>
      <c r="Q1764" t="str">
        <f>A1764&amp;"-"&amp;B1764&amp;"-"&amp;D1764</f>
        <v>MEI-CVA-L10</v>
      </c>
    </row>
    <row r="1765" spans="1:17" x14ac:dyDescent="0.25">
      <c r="A1765" t="s">
        <v>395</v>
      </c>
      <c r="B1765" s="13" t="s">
        <v>23</v>
      </c>
      <c r="C1765" s="13" t="s">
        <v>201</v>
      </c>
      <c r="D1765" s="14" t="s">
        <v>301</v>
      </c>
      <c r="E1765" s="13" t="s">
        <v>191</v>
      </c>
      <c r="F1765" s="13" t="s">
        <v>443</v>
      </c>
      <c r="G1765" s="13">
        <v>0.38</v>
      </c>
      <c r="H1765" s="15">
        <v>1730</v>
      </c>
      <c r="I1765" s="16">
        <v>657.4</v>
      </c>
      <c r="J1765" s="16">
        <v>549</v>
      </c>
      <c r="K1765" s="16">
        <v>108.39999999999998</v>
      </c>
      <c r="L1765" s="13">
        <v>1.1499999999999999</v>
      </c>
      <c r="M1765" s="13"/>
      <c r="N1765" s="17">
        <f t="shared" si="60"/>
        <v>1989.4999999999998</v>
      </c>
      <c r="O1765" s="17">
        <f t="shared" si="60"/>
        <v>0</v>
      </c>
      <c r="P1765" s="17">
        <f t="shared" si="59"/>
        <v>1989.4999999999998</v>
      </c>
      <c r="Q1765" t="str">
        <f>A1765&amp;"-"&amp;B1765&amp;"-"&amp;D1765</f>
        <v>MEI-CVA-L10</v>
      </c>
    </row>
    <row r="1766" spans="1:17" x14ac:dyDescent="0.25">
      <c r="A1766" t="s">
        <v>395</v>
      </c>
      <c r="B1766" s="13" t="s">
        <v>23</v>
      </c>
      <c r="C1766" s="13" t="s">
        <v>201</v>
      </c>
      <c r="D1766" s="14" t="s">
        <v>301</v>
      </c>
      <c r="E1766" s="13" t="s">
        <v>191</v>
      </c>
      <c r="F1766" s="13" t="s">
        <v>568</v>
      </c>
      <c r="G1766" s="13">
        <v>0.38</v>
      </c>
      <c r="H1766" s="15">
        <v>6880</v>
      </c>
      <c r="I1766" s="16">
        <v>2614.3999999999996</v>
      </c>
      <c r="J1766" s="16">
        <v>2588.14</v>
      </c>
      <c r="K1766" s="16">
        <v>26.259999999999934</v>
      </c>
      <c r="L1766" s="13">
        <v>1.1499999999999999</v>
      </c>
      <c r="M1766" s="13"/>
      <c r="N1766" s="17">
        <f t="shared" si="60"/>
        <v>7911.9999999999991</v>
      </c>
      <c r="O1766" s="17">
        <f t="shared" si="60"/>
        <v>0</v>
      </c>
      <c r="P1766" s="17">
        <f t="shared" si="59"/>
        <v>7911.9999999999991</v>
      </c>
      <c r="Q1766" t="str">
        <f>A1766&amp;"-"&amp;B1766&amp;"-"&amp;D1766</f>
        <v>MEI-CVA-L10</v>
      </c>
    </row>
    <row r="1767" spans="1:17" x14ac:dyDescent="0.25">
      <c r="A1767" t="s">
        <v>395</v>
      </c>
      <c r="B1767" s="13" t="s">
        <v>23</v>
      </c>
      <c r="C1767" s="13" t="s">
        <v>201</v>
      </c>
      <c r="D1767" s="14" t="s">
        <v>301</v>
      </c>
      <c r="E1767" s="13" t="s">
        <v>191</v>
      </c>
      <c r="F1767" s="13" t="s">
        <v>725</v>
      </c>
      <c r="G1767" s="13">
        <v>0.59</v>
      </c>
      <c r="H1767" s="15">
        <v>660</v>
      </c>
      <c r="I1767" s="16">
        <v>389.4</v>
      </c>
      <c r="J1767" s="16">
        <v>941.14</v>
      </c>
      <c r="K1767" s="16">
        <v>-551.74</v>
      </c>
      <c r="L1767" s="13">
        <v>2</v>
      </c>
      <c r="M1767" s="13"/>
      <c r="N1767" s="17">
        <f t="shared" si="60"/>
        <v>1320</v>
      </c>
      <c r="O1767" s="17">
        <f t="shared" si="60"/>
        <v>0</v>
      </c>
      <c r="P1767" s="17">
        <f t="shared" si="59"/>
        <v>1320</v>
      </c>
      <c r="Q1767" t="str">
        <f>A1767&amp;"-"&amp;B1767&amp;"-"&amp;D1767</f>
        <v>MEI-CVA-L10</v>
      </c>
    </row>
    <row r="1768" spans="1:17" x14ac:dyDescent="0.25">
      <c r="A1768" t="s">
        <v>395</v>
      </c>
      <c r="B1768" s="13" t="s">
        <v>23</v>
      </c>
      <c r="C1768" s="13" t="s">
        <v>201</v>
      </c>
      <c r="D1768" s="14" t="s">
        <v>50</v>
      </c>
      <c r="E1768" s="13" t="s">
        <v>191</v>
      </c>
      <c r="F1768" s="13" t="s">
        <v>439</v>
      </c>
      <c r="G1768" s="13">
        <v>0.45000000000000007</v>
      </c>
      <c r="H1768" s="15">
        <v>10520</v>
      </c>
      <c r="I1768" s="16">
        <v>4734</v>
      </c>
      <c r="J1768" s="16">
        <v>3537.8699270072993</v>
      </c>
      <c r="K1768" s="16">
        <v>1196.1300729927007</v>
      </c>
      <c r="L1768" s="13">
        <v>1.1399999999999999</v>
      </c>
      <c r="M1768" s="13"/>
      <c r="N1768" s="17">
        <f t="shared" si="60"/>
        <v>11992.8</v>
      </c>
      <c r="O1768" s="17">
        <f t="shared" si="60"/>
        <v>0</v>
      </c>
      <c r="P1768" s="17">
        <f t="shared" si="59"/>
        <v>11992.8</v>
      </c>
      <c r="Q1768" t="str">
        <f>A1768&amp;"-"&amp;B1768&amp;"-"&amp;D1768</f>
        <v>MEI-CVA-L2</v>
      </c>
    </row>
    <row r="1769" spans="1:17" x14ac:dyDescent="0.25">
      <c r="A1769" t="s">
        <v>395</v>
      </c>
      <c r="B1769" s="13" t="s">
        <v>23</v>
      </c>
      <c r="C1769" s="13" t="s">
        <v>201</v>
      </c>
      <c r="D1769" s="14" t="s">
        <v>50</v>
      </c>
      <c r="E1769" s="13" t="s">
        <v>191</v>
      </c>
      <c r="F1769" s="13" t="s">
        <v>729</v>
      </c>
      <c r="G1769" s="13">
        <v>0.43</v>
      </c>
      <c r="H1769" s="15">
        <v>4490</v>
      </c>
      <c r="I1769" s="16">
        <v>1930.7</v>
      </c>
      <c r="J1769" s="16">
        <v>2039.1399999999999</v>
      </c>
      <c r="K1769" s="16">
        <v>-108.43999999999994</v>
      </c>
      <c r="L1769" s="13">
        <v>1.1499999999999999</v>
      </c>
      <c r="M1769" s="13"/>
      <c r="N1769" s="17">
        <f t="shared" si="60"/>
        <v>5163.5</v>
      </c>
      <c r="O1769" s="17">
        <f t="shared" si="60"/>
        <v>0</v>
      </c>
      <c r="P1769" s="17">
        <f t="shared" si="59"/>
        <v>5163.5</v>
      </c>
      <c r="Q1769" t="str">
        <f>A1769&amp;"-"&amp;B1769&amp;"-"&amp;D1769</f>
        <v>MEI-CVA-L2</v>
      </c>
    </row>
    <row r="1770" spans="1:17" x14ac:dyDescent="0.25">
      <c r="A1770" t="s">
        <v>395</v>
      </c>
      <c r="B1770" s="13" t="s">
        <v>23</v>
      </c>
      <c r="C1770" s="13" t="s">
        <v>201</v>
      </c>
      <c r="D1770" s="14" t="s">
        <v>50</v>
      </c>
      <c r="E1770" s="13" t="s">
        <v>191</v>
      </c>
      <c r="F1770" s="13" t="s">
        <v>725</v>
      </c>
      <c r="G1770" s="13">
        <v>0.59</v>
      </c>
      <c r="H1770" s="15">
        <v>1330</v>
      </c>
      <c r="I1770" s="16">
        <v>784.7</v>
      </c>
      <c r="J1770" s="16">
        <v>549</v>
      </c>
      <c r="K1770" s="16">
        <v>235.70000000000005</v>
      </c>
      <c r="L1770" s="13">
        <v>2</v>
      </c>
      <c r="M1770" s="13"/>
      <c r="N1770" s="17">
        <f t="shared" si="60"/>
        <v>2660</v>
      </c>
      <c r="O1770" s="17">
        <f t="shared" si="60"/>
        <v>0</v>
      </c>
      <c r="P1770" s="17">
        <f t="shared" si="59"/>
        <v>2660</v>
      </c>
      <c r="Q1770" t="str">
        <f>A1770&amp;"-"&amp;B1770&amp;"-"&amp;D1770</f>
        <v>MEI-CVA-L2</v>
      </c>
    </row>
    <row r="1771" spans="1:17" x14ac:dyDescent="0.25">
      <c r="A1771" t="s">
        <v>395</v>
      </c>
      <c r="B1771" s="13" t="s">
        <v>23</v>
      </c>
      <c r="C1771" s="13" t="s">
        <v>201</v>
      </c>
      <c r="D1771" s="14" t="s">
        <v>50</v>
      </c>
      <c r="E1771" s="13" t="s">
        <v>191</v>
      </c>
      <c r="F1771" s="13" t="s">
        <v>856</v>
      </c>
      <c r="G1771" s="13">
        <v>0.39</v>
      </c>
      <c r="H1771" s="15">
        <v>1725</v>
      </c>
      <c r="I1771" s="16">
        <v>672.75</v>
      </c>
      <c r="J1771" s="16">
        <v>1098</v>
      </c>
      <c r="K1771" s="16">
        <v>-425.25</v>
      </c>
      <c r="L1771" s="13">
        <v>1.48</v>
      </c>
      <c r="M1771" s="13"/>
      <c r="N1771" s="17">
        <f t="shared" si="60"/>
        <v>2553</v>
      </c>
      <c r="O1771" s="17">
        <f t="shared" si="60"/>
        <v>0</v>
      </c>
      <c r="P1771" s="17">
        <f t="shared" si="59"/>
        <v>2553</v>
      </c>
      <c r="Q1771" t="str">
        <f>A1771&amp;"-"&amp;B1771&amp;"-"&amp;D1771</f>
        <v>MEI-CVA-L2</v>
      </c>
    </row>
    <row r="1772" spans="1:17" x14ac:dyDescent="0.25">
      <c r="A1772" t="s">
        <v>395</v>
      </c>
      <c r="B1772" s="13" t="s">
        <v>23</v>
      </c>
      <c r="C1772" s="13" t="s">
        <v>201</v>
      </c>
      <c r="D1772" s="14" t="s">
        <v>50</v>
      </c>
      <c r="E1772" s="13" t="s">
        <v>142</v>
      </c>
      <c r="F1772" s="13" t="s">
        <v>857</v>
      </c>
      <c r="G1772" s="13">
        <v>0.81000000000000039</v>
      </c>
      <c r="H1772" s="15">
        <v>4602</v>
      </c>
      <c r="I1772" s="16">
        <v>3727.6200000000003</v>
      </c>
      <c r="J1772" s="16">
        <v>6422.5500729927007</v>
      </c>
      <c r="K1772" s="16">
        <v>-2694.9300729927008</v>
      </c>
      <c r="L1772" s="13">
        <v>2.7</v>
      </c>
      <c r="M1772" s="13"/>
      <c r="N1772" s="17">
        <f t="shared" si="60"/>
        <v>12425.400000000001</v>
      </c>
      <c r="O1772" s="17">
        <f t="shared" si="60"/>
        <v>0</v>
      </c>
      <c r="P1772" s="17">
        <f t="shared" si="59"/>
        <v>12425.400000000001</v>
      </c>
      <c r="Q1772" t="str">
        <f>A1772&amp;"-"&amp;B1772&amp;"-"&amp;D1772</f>
        <v>MEI-CVA-L2</v>
      </c>
    </row>
    <row r="1773" spans="1:17" x14ac:dyDescent="0.25">
      <c r="A1773" t="s">
        <v>395</v>
      </c>
      <c r="B1773" s="13" t="s">
        <v>23</v>
      </c>
      <c r="C1773" s="13" t="s">
        <v>201</v>
      </c>
      <c r="D1773" s="14" t="s">
        <v>56</v>
      </c>
      <c r="E1773" s="13" t="s">
        <v>191</v>
      </c>
      <c r="F1773" s="13" t="s">
        <v>727</v>
      </c>
      <c r="G1773" s="13">
        <v>0.7599999999999999</v>
      </c>
      <c r="H1773" s="15">
        <v>7489</v>
      </c>
      <c r="I1773" s="16">
        <v>5691.6399999999994</v>
      </c>
      <c r="J1773" s="16">
        <v>7896.5056317689532</v>
      </c>
      <c r="K1773" s="16">
        <v>-2204.8656317689529</v>
      </c>
      <c r="L1773" s="13">
        <v>1.95</v>
      </c>
      <c r="M1773" s="13"/>
      <c r="N1773" s="17">
        <f t="shared" si="60"/>
        <v>14603.55</v>
      </c>
      <c r="O1773" s="17">
        <f t="shared" si="60"/>
        <v>0</v>
      </c>
      <c r="P1773" s="17">
        <f t="shared" si="59"/>
        <v>14603.55</v>
      </c>
      <c r="Q1773" t="str">
        <f>A1773&amp;"-"&amp;B1773&amp;"-"&amp;D1773</f>
        <v>MEI-CVA-L3</v>
      </c>
    </row>
    <row r="1774" spans="1:17" x14ac:dyDescent="0.25">
      <c r="A1774" t="s">
        <v>395</v>
      </c>
      <c r="B1774" s="13" t="s">
        <v>23</v>
      </c>
      <c r="C1774" s="13" t="s">
        <v>201</v>
      </c>
      <c r="D1774" s="14" t="s">
        <v>56</v>
      </c>
      <c r="E1774" s="13" t="s">
        <v>191</v>
      </c>
      <c r="F1774" s="13" t="s">
        <v>858</v>
      </c>
      <c r="G1774" s="13">
        <v>0.7599999999999999</v>
      </c>
      <c r="H1774" s="15">
        <v>6000</v>
      </c>
      <c r="I1774" s="16">
        <v>4560</v>
      </c>
      <c r="J1774" s="16">
        <v>5906.9143682310469</v>
      </c>
      <c r="K1774" s="16">
        <v>-1346.9143682310466</v>
      </c>
      <c r="L1774" s="13">
        <v>2.25</v>
      </c>
      <c r="M1774" s="13"/>
      <c r="N1774" s="17">
        <f t="shared" si="60"/>
        <v>13500</v>
      </c>
      <c r="O1774" s="17">
        <f t="shared" si="60"/>
        <v>0</v>
      </c>
      <c r="P1774" s="17">
        <f t="shared" si="59"/>
        <v>13500</v>
      </c>
      <c r="Q1774" t="str">
        <f>A1774&amp;"-"&amp;B1774&amp;"-"&amp;D1774</f>
        <v>MEI-CVA-L3</v>
      </c>
    </row>
    <row r="1775" spans="1:17" x14ac:dyDescent="0.25">
      <c r="A1775" t="s">
        <v>395</v>
      </c>
      <c r="B1775" s="13" t="s">
        <v>23</v>
      </c>
      <c r="C1775" s="13" t="s">
        <v>201</v>
      </c>
      <c r="D1775" s="14" t="s">
        <v>158</v>
      </c>
      <c r="E1775" s="13" t="s">
        <v>191</v>
      </c>
      <c r="F1775" s="13" t="s">
        <v>727</v>
      </c>
      <c r="G1775" s="13">
        <v>0.7599999999999999</v>
      </c>
      <c r="H1775" s="15">
        <v>6033</v>
      </c>
      <c r="I1775" s="16">
        <v>4585.08</v>
      </c>
      <c r="J1775" s="16">
        <v>6823.28</v>
      </c>
      <c r="K1775" s="16">
        <v>-2238.2000000000003</v>
      </c>
      <c r="L1775" s="13">
        <v>1.95</v>
      </c>
      <c r="M1775" s="13"/>
      <c r="N1775" s="17">
        <f t="shared" si="60"/>
        <v>11764.35</v>
      </c>
      <c r="O1775" s="17">
        <f t="shared" si="60"/>
        <v>0</v>
      </c>
      <c r="P1775" s="17">
        <f t="shared" si="59"/>
        <v>11764.35</v>
      </c>
      <c r="Q1775" t="str">
        <f>A1775&amp;"-"&amp;B1775&amp;"-"&amp;D1775</f>
        <v>MEI-CVA-L4</v>
      </c>
    </row>
    <row r="1776" spans="1:17" x14ac:dyDescent="0.25">
      <c r="A1776" t="s">
        <v>395</v>
      </c>
      <c r="B1776" s="13" t="s">
        <v>23</v>
      </c>
      <c r="C1776" s="13" t="s">
        <v>201</v>
      </c>
      <c r="D1776" s="14" t="s">
        <v>158</v>
      </c>
      <c r="E1776" s="13" t="s">
        <v>191</v>
      </c>
      <c r="F1776" s="13" t="s">
        <v>858</v>
      </c>
      <c r="G1776" s="13">
        <v>0.7599999999999999</v>
      </c>
      <c r="H1776" s="15">
        <v>6308</v>
      </c>
      <c r="I1776" s="16">
        <v>4794.08</v>
      </c>
      <c r="J1776" s="16">
        <v>6823.28</v>
      </c>
      <c r="K1776" s="16">
        <v>-2029.1999999999998</v>
      </c>
      <c r="L1776" s="13">
        <v>2.25</v>
      </c>
      <c r="M1776" s="13"/>
      <c r="N1776" s="17">
        <f t="shared" si="60"/>
        <v>14193</v>
      </c>
      <c r="O1776" s="17">
        <f t="shared" si="60"/>
        <v>0</v>
      </c>
      <c r="P1776" s="17">
        <f t="shared" si="59"/>
        <v>14193</v>
      </c>
      <c r="Q1776" t="str">
        <f>A1776&amp;"-"&amp;B1776&amp;"-"&amp;D1776</f>
        <v>MEI-CVA-L4</v>
      </c>
    </row>
    <row r="1777" spans="1:17" x14ac:dyDescent="0.25">
      <c r="A1777" t="s">
        <v>395</v>
      </c>
      <c r="B1777" s="13" t="s">
        <v>23</v>
      </c>
      <c r="C1777" s="13" t="s">
        <v>201</v>
      </c>
      <c r="D1777" s="14" t="s">
        <v>160</v>
      </c>
      <c r="E1777" s="13" t="s">
        <v>191</v>
      </c>
      <c r="F1777" s="13" t="s">
        <v>439</v>
      </c>
      <c r="G1777" s="13">
        <v>0.45</v>
      </c>
      <c r="H1777" s="15">
        <v>4550</v>
      </c>
      <c r="I1777" s="16">
        <v>2047.5</v>
      </c>
      <c r="J1777" s="16">
        <v>1647</v>
      </c>
      <c r="K1777" s="16">
        <v>400.5</v>
      </c>
      <c r="L1777" s="13">
        <v>1.1399999999999999</v>
      </c>
      <c r="M1777" s="13"/>
      <c r="N1777" s="17">
        <f t="shared" si="60"/>
        <v>5187</v>
      </c>
      <c r="O1777" s="17">
        <f t="shared" si="60"/>
        <v>0</v>
      </c>
      <c r="P1777" s="17">
        <f t="shared" si="59"/>
        <v>5187</v>
      </c>
      <c r="Q1777" t="str">
        <f>A1777&amp;"-"&amp;B1777&amp;"-"&amp;D1777</f>
        <v>MEI-CVA-L5</v>
      </c>
    </row>
    <row r="1778" spans="1:17" x14ac:dyDescent="0.25">
      <c r="A1778" t="s">
        <v>395</v>
      </c>
      <c r="B1778" s="13" t="s">
        <v>23</v>
      </c>
      <c r="C1778" s="13" t="s">
        <v>201</v>
      </c>
      <c r="D1778" s="14" t="s">
        <v>160</v>
      </c>
      <c r="E1778" s="13" t="s">
        <v>191</v>
      </c>
      <c r="F1778" s="13" t="s">
        <v>728</v>
      </c>
      <c r="G1778" s="13">
        <v>0.38</v>
      </c>
      <c r="H1778" s="15">
        <v>3665</v>
      </c>
      <c r="I1778" s="16">
        <v>1392.6999999999998</v>
      </c>
      <c r="J1778" s="16">
        <v>1098</v>
      </c>
      <c r="K1778" s="16">
        <v>294.69999999999993</v>
      </c>
      <c r="L1778" s="13">
        <v>1.24</v>
      </c>
      <c r="M1778" s="13"/>
      <c r="N1778" s="17">
        <f t="shared" si="60"/>
        <v>4544.6000000000004</v>
      </c>
      <c r="O1778" s="17">
        <f t="shared" si="60"/>
        <v>0</v>
      </c>
      <c r="P1778" s="17">
        <f t="shared" si="59"/>
        <v>4544.6000000000004</v>
      </c>
      <c r="Q1778" t="str">
        <f>A1778&amp;"-"&amp;B1778&amp;"-"&amp;D1778</f>
        <v>MEI-CVA-L5</v>
      </c>
    </row>
    <row r="1779" spans="1:17" x14ac:dyDescent="0.25">
      <c r="A1779" t="s">
        <v>395</v>
      </c>
      <c r="B1779" s="13" t="s">
        <v>23</v>
      </c>
      <c r="C1779" s="13" t="s">
        <v>201</v>
      </c>
      <c r="D1779" s="14" t="s">
        <v>160</v>
      </c>
      <c r="E1779" s="13" t="s">
        <v>191</v>
      </c>
      <c r="F1779" s="13" t="s">
        <v>729</v>
      </c>
      <c r="G1779" s="13">
        <v>0.43</v>
      </c>
      <c r="H1779" s="15">
        <v>5040</v>
      </c>
      <c r="I1779" s="16">
        <v>2167.1999999999998</v>
      </c>
      <c r="J1779" s="16">
        <v>2039.1399999999999</v>
      </c>
      <c r="K1779" s="16">
        <v>128.06000000000006</v>
      </c>
      <c r="L1779" s="13">
        <v>1.1499999999999999</v>
      </c>
      <c r="M1779" s="13"/>
      <c r="N1779" s="17">
        <f t="shared" si="60"/>
        <v>5796</v>
      </c>
      <c r="O1779" s="17">
        <f t="shared" si="60"/>
        <v>0</v>
      </c>
      <c r="P1779" s="17">
        <f t="shared" si="59"/>
        <v>5796</v>
      </c>
      <c r="Q1779" t="str">
        <f>A1779&amp;"-"&amp;B1779&amp;"-"&amp;D1779</f>
        <v>MEI-CVA-L5</v>
      </c>
    </row>
    <row r="1780" spans="1:17" x14ac:dyDescent="0.25">
      <c r="A1780" t="s">
        <v>395</v>
      </c>
      <c r="B1780" s="13" t="s">
        <v>23</v>
      </c>
      <c r="C1780" s="13" t="s">
        <v>201</v>
      </c>
      <c r="D1780" s="14" t="s">
        <v>160</v>
      </c>
      <c r="E1780" s="13" t="s">
        <v>191</v>
      </c>
      <c r="F1780" s="13" t="s">
        <v>859</v>
      </c>
      <c r="G1780" s="13">
        <v>0.39</v>
      </c>
      <c r="H1780" s="15">
        <v>600</v>
      </c>
      <c r="I1780" s="16">
        <v>234</v>
      </c>
      <c r="J1780" s="16">
        <v>549</v>
      </c>
      <c r="K1780" s="16">
        <v>-315</v>
      </c>
      <c r="L1780" s="13">
        <v>1.48</v>
      </c>
      <c r="M1780" s="13"/>
      <c r="N1780" s="17">
        <f t="shared" si="60"/>
        <v>888</v>
      </c>
      <c r="O1780" s="17">
        <f t="shared" si="60"/>
        <v>0</v>
      </c>
      <c r="P1780" s="17">
        <f t="shared" si="59"/>
        <v>888</v>
      </c>
      <c r="Q1780" t="str">
        <f>A1780&amp;"-"&amp;B1780&amp;"-"&amp;D1780</f>
        <v>MEI-CVA-L5</v>
      </c>
    </row>
    <row r="1781" spans="1:17" x14ac:dyDescent="0.25">
      <c r="A1781" t="s">
        <v>395</v>
      </c>
      <c r="B1781" s="13" t="s">
        <v>23</v>
      </c>
      <c r="C1781" s="13" t="s">
        <v>201</v>
      </c>
      <c r="D1781" s="14" t="s">
        <v>160</v>
      </c>
      <c r="E1781" s="13" t="s">
        <v>142</v>
      </c>
      <c r="F1781" s="13" t="s">
        <v>860</v>
      </c>
      <c r="G1781" s="13">
        <v>0.81000000000000039</v>
      </c>
      <c r="H1781" s="15">
        <v>5997</v>
      </c>
      <c r="I1781" s="16">
        <v>4857.57</v>
      </c>
      <c r="J1781" s="16">
        <v>7764.42</v>
      </c>
      <c r="K1781" s="16">
        <v>-2906.8500000000004</v>
      </c>
      <c r="L1781" s="13">
        <v>2.35</v>
      </c>
      <c r="M1781" s="13"/>
      <c r="N1781" s="17">
        <f t="shared" si="60"/>
        <v>14092.95</v>
      </c>
      <c r="O1781" s="17">
        <f t="shared" si="60"/>
        <v>0</v>
      </c>
      <c r="P1781" s="17">
        <f t="shared" si="59"/>
        <v>14092.95</v>
      </c>
      <c r="Q1781" t="str">
        <f>A1781&amp;"-"&amp;B1781&amp;"-"&amp;D1781</f>
        <v>MEI-CVA-L5</v>
      </c>
    </row>
    <row r="1782" spans="1:17" x14ac:dyDescent="0.25">
      <c r="A1782" t="s">
        <v>395</v>
      </c>
      <c r="B1782" s="13" t="s">
        <v>23</v>
      </c>
      <c r="C1782" s="13" t="s">
        <v>201</v>
      </c>
      <c r="D1782" s="14" t="s">
        <v>163</v>
      </c>
      <c r="E1782" s="13" t="s">
        <v>191</v>
      </c>
      <c r="F1782" s="13" t="s">
        <v>439</v>
      </c>
      <c r="G1782" s="13">
        <v>0.45</v>
      </c>
      <c r="H1782" s="15">
        <v>3222</v>
      </c>
      <c r="I1782" s="16">
        <v>1449.9</v>
      </c>
      <c r="J1782" s="16">
        <v>1328.7391304347825</v>
      </c>
      <c r="K1782" s="16">
        <v>121.16086956521741</v>
      </c>
      <c r="L1782" s="13">
        <v>1.1399999999999999</v>
      </c>
      <c r="M1782" s="13"/>
      <c r="N1782" s="17">
        <f t="shared" si="60"/>
        <v>3673.0799999999995</v>
      </c>
      <c r="O1782" s="17">
        <f t="shared" si="60"/>
        <v>0</v>
      </c>
      <c r="P1782" s="17">
        <f t="shared" si="59"/>
        <v>3673.0799999999995</v>
      </c>
      <c r="Q1782" t="str">
        <f>A1782&amp;"-"&amp;B1782&amp;"-"&amp;D1782</f>
        <v>MEI-CVA-L6</v>
      </c>
    </row>
    <row r="1783" spans="1:17" x14ac:dyDescent="0.25">
      <c r="A1783" t="s">
        <v>395</v>
      </c>
      <c r="B1783" s="13" t="s">
        <v>23</v>
      </c>
      <c r="C1783" s="13" t="s">
        <v>201</v>
      </c>
      <c r="D1783" s="14" t="s">
        <v>163</v>
      </c>
      <c r="E1783" s="13" t="s">
        <v>191</v>
      </c>
      <c r="F1783" s="13" t="s">
        <v>728</v>
      </c>
      <c r="G1783" s="13">
        <v>0.38</v>
      </c>
      <c r="H1783" s="15">
        <v>3870</v>
      </c>
      <c r="I1783" s="16">
        <v>1470.6</v>
      </c>
      <c r="J1783" s="16">
        <v>1098</v>
      </c>
      <c r="K1783" s="16">
        <v>372.6</v>
      </c>
      <c r="L1783" s="13">
        <v>1.24</v>
      </c>
      <c r="M1783" s="13"/>
      <c r="N1783" s="17">
        <f t="shared" si="60"/>
        <v>4798.8</v>
      </c>
      <c r="O1783" s="17">
        <f t="shared" si="60"/>
        <v>0</v>
      </c>
      <c r="P1783" s="17">
        <f t="shared" si="59"/>
        <v>4798.8</v>
      </c>
      <c r="Q1783" t="str">
        <f>A1783&amp;"-"&amp;B1783&amp;"-"&amp;D1783</f>
        <v>MEI-CVA-L6</v>
      </c>
    </row>
    <row r="1784" spans="1:17" x14ac:dyDescent="0.25">
      <c r="A1784" t="s">
        <v>395</v>
      </c>
      <c r="B1784" s="13" t="s">
        <v>23</v>
      </c>
      <c r="C1784" s="13" t="s">
        <v>201</v>
      </c>
      <c r="D1784" s="14" t="s">
        <v>163</v>
      </c>
      <c r="E1784" s="13" t="s">
        <v>191</v>
      </c>
      <c r="F1784" s="13" t="s">
        <v>729</v>
      </c>
      <c r="G1784" s="13">
        <v>0.43</v>
      </c>
      <c r="H1784" s="15">
        <v>4564</v>
      </c>
      <c r="I1784" s="16">
        <v>1962.52</v>
      </c>
      <c r="J1784" s="16">
        <v>2140.5316770186337</v>
      </c>
      <c r="K1784" s="16">
        <v>-178.01167701863349</v>
      </c>
      <c r="L1784" s="13">
        <v>1.1499999999999999</v>
      </c>
      <c r="M1784" s="13"/>
      <c r="N1784" s="17">
        <f t="shared" si="60"/>
        <v>5248.5999999999995</v>
      </c>
      <c r="O1784" s="17">
        <f t="shared" si="60"/>
        <v>0</v>
      </c>
      <c r="P1784" s="17">
        <f t="shared" si="59"/>
        <v>5248.5999999999995</v>
      </c>
      <c r="Q1784" t="str">
        <f>A1784&amp;"-"&amp;B1784&amp;"-"&amp;D1784</f>
        <v>MEI-CVA-L6</v>
      </c>
    </row>
    <row r="1785" spans="1:17" x14ac:dyDescent="0.25">
      <c r="A1785" t="s">
        <v>395</v>
      </c>
      <c r="B1785" s="13" t="s">
        <v>23</v>
      </c>
      <c r="C1785" s="13" t="s">
        <v>201</v>
      </c>
      <c r="D1785" s="14" t="s">
        <v>163</v>
      </c>
      <c r="E1785" s="13" t="s">
        <v>191</v>
      </c>
      <c r="F1785" s="13" t="s">
        <v>859</v>
      </c>
      <c r="G1785" s="13">
        <v>0.39</v>
      </c>
      <c r="H1785" s="15">
        <v>120</v>
      </c>
      <c r="I1785" s="16">
        <v>46.8</v>
      </c>
      <c r="J1785" s="16">
        <v>288.9473684210526</v>
      </c>
      <c r="K1785" s="16">
        <v>-242.14736842105259</v>
      </c>
      <c r="L1785" s="13">
        <v>1.48</v>
      </c>
      <c r="M1785" s="13"/>
      <c r="N1785" s="17">
        <f t="shared" si="60"/>
        <v>177.6</v>
      </c>
      <c r="O1785" s="17">
        <f t="shared" si="60"/>
        <v>0</v>
      </c>
      <c r="P1785" s="17">
        <f t="shared" si="59"/>
        <v>177.6</v>
      </c>
      <c r="Q1785" t="str">
        <f>A1785&amp;"-"&amp;B1785&amp;"-"&amp;D1785</f>
        <v>MEI-CVA-L6</v>
      </c>
    </row>
    <row r="1786" spans="1:17" x14ac:dyDescent="0.25">
      <c r="A1786" t="s">
        <v>395</v>
      </c>
      <c r="B1786" s="13" t="s">
        <v>23</v>
      </c>
      <c r="C1786" s="13" t="s">
        <v>201</v>
      </c>
      <c r="D1786" s="14" t="s">
        <v>163</v>
      </c>
      <c r="E1786" s="13" t="s">
        <v>142</v>
      </c>
      <c r="F1786" s="13" t="s">
        <v>860</v>
      </c>
      <c r="G1786" s="13">
        <v>0.81000000000000039</v>
      </c>
      <c r="H1786" s="15">
        <v>4243</v>
      </c>
      <c r="I1786" s="16">
        <v>3436.83</v>
      </c>
      <c r="J1786" s="16">
        <v>7764.42</v>
      </c>
      <c r="K1786" s="16">
        <v>-4327.59</v>
      </c>
      <c r="L1786" s="13">
        <v>2.35</v>
      </c>
      <c r="M1786" s="13"/>
      <c r="N1786" s="17">
        <f t="shared" si="60"/>
        <v>9971.0500000000011</v>
      </c>
      <c r="O1786" s="17">
        <f t="shared" si="60"/>
        <v>0</v>
      </c>
      <c r="P1786" s="17">
        <f t="shared" si="59"/>
        <v>9971.0500000000011</v>
      </c>
      <c r="Q1786" t="str">
        <f>A1786&amp;"-"&amp;B1786&amp;"-"&amp;D1786</f>
        <v>MEI-CVA-L6</v>
      </c>
    </row>
    <row r="1787" spans="1:17" x14ac:dyDescent="0.25">
      <c r="A1787" t="s">
        <v>395</v>
      </c>
      <c r="B1787" s="13" t="s">
        <v>23</v>
      </c>
      <c r="C1787" s="13" t="s">
        <v>201</v>
      </c>
      <c r="D1787" s="14" t="s">
        <v>164</v>
      </c>
      <c r="E1787" s="13" t="s">
        <v>191</v>
      </c>
      <c r="F1787" s="13" t="s">
        <v>727</v>
      </c>
      <c r="G1787" s="13">
        <v>0.7599999999999999</v>
      </c>
      <c r="H1787" s="15">
        <v>5235</v>
      </c>
      <c r="I1787" s="16">
        <v>3978.6</v>
      </c>
      <c r="J1787" s="16">
        <v>8313.42</v>
      </c>
      <c r="K1787" s="16">
        <v>-4334.82</v>
      </c>
      <c r="L1787" s="13">
        <v>1.95</v>
      </c>
      <c r="M1787" s="13"/>
      <c r="N1787" s="17">
        <f t="shared" si="60"/>
        <v>10208.25</v>
      </c>
      <c r="O1787" s="17">
        <f t="shared" si="60"/>
        <v>0</v>
      </c>
      <c r="P1787" s="17">
        <f t="shared" si="59"/>
        <v>10208.25</v>
      </c>
      <c r="Q1787" t="str">
        <f>A1787&amp;"-"&amp;B1787&amp;"-"&amp;D1787</f>
        <v>MEI-CVA-L7</v>
      </c>
    </row>
    <row r="1788" spans="1:17" x14ac:dyDescent="0.25">
      <c r="A1788" t="s">
        <v>395</v>
      </c>
      <c r="B1788" s="13" t="s">
        <v>23</v>
      </c>
      <c r="C1788" s="13" t="s">
        <v>201</v>
      </c>
      <c r="D1788" s="14" t="s">
        <v>164</v>
      </c>
      <c r="E1788" s="13" t="s">
        <v>191</v>
      </c>
      <c r="F1788" s="13" t="s">
        <v>728</v>
      </c>
      <c r="G1788" s="13">
        <v>0.38000000000000006</v>
      </c>
      <c r="H1788" s="15">
        <v>4826</v>
      </c>
      <c r="I1788" s="16">
        <v>1833.8799999999999</v>
      </c>
      <c r="J1788" s="16">
        <v>1647</v>
      </c>
      <c r="K1788" s="16">
        <v>186.88</v>
      </c>
      <c r="L1788" s="13">
        <v>1.24</v>
      </c>
      <c r="M1788" s="13"/>
      <c r="N1788" s="17">
        <f t="shared" si="60"/>
        <v>5984.24</v>
      </c>
      <c r="O1788" s="17">
        <f t="shared" si="60"/>
        <v>0</v>
      </c>
      <c r="P1788" s="17">
        <f t="shared" si="59"/>
        <v>5984.24</v>
      </c>
      <c r="Q1788" t="str">
        <f>A1788&amp;"-"&amp;B1788&amp;"-"&amp;D1788</f>
        <v>MEI-CVA-L7</v>
      </c>
    </row>
    <row r="1789" spans="1:17" x14ac:dyDescent="0.25">
      <c r="A1789" t="s">
        <v>395</v>
      </c>
      <c r="B1789" s="13" t="s">
        <v>23</v>
      </c>
      <c r="C1789" s="13" t="s">
        <v>201</v>
      </c>
      <c r="D1789" s="14" t="s">
        <v>164</v>
      </c>
      <c r="E1789" s="13" t="s">
        <v>191</v>
      </c>
      <c r="F1789" s="13" t="s">
        <v>443</v>
      </c>
      <c r="G1789" s="13">
        <v>0.38</v>
      </c>
      <c r="H1789" s="15">
        <v>3676</v>
      </c>
      <c r="I1789" s="16">
        <v>1396.88</v>
      </c>
      <c r="J1789" s="16">
        <v>1092.6971590909091</v>
      </c>
      <c r="K1789" s="16">
        <v>304.18284090909094</v>
      </c>
      <c r="L1789" s="13">
        <v>1.1499999999999999</v>
      </c>
      <c r="M1789" s="13"/>
      <c r="N1789" s="17">
        <f t="shared" si="60"/>
        <v>4227.3999999999996</v>
      </c>
      <c r="O1789" s="17">
        <f t="shared" si="60"/>
        <v>0</v>
      </c>
      <c r="P1789" s="17">
        <f t="shared" si="59"/>
        <v>4227.3999999999996</v>
      </c>
      <c r="Q1789" t="str">
        <f>A1789&amp;"-"&amp;B1789&amp;"-"&amp;D1789</f>
        <v>MEI-CVA-L7</v>
      </c>
    </row>
    <row r="1790" spans="1:17" x14ac:dyDescent="0.25">
      <c r="A1790" t="s">
        <v>395</v>
      </c>
      <c r="B1790" s="13" t="s">
        <v>23</v>
      </c>
      <c r="C1790" s="13" t="s">
        <v>201</v>
      </c>
      <c r="D1790" s="14" t="s">
        <v>164</v>
      </c>
      <c r="E1790" s="13" t="s">
        <v>191</v>
      </c>
      <c r="F1790" s="13" t="s">
        <v>568</v>
      </c>
      <c r="G1790" s="13">
        <v>0.38</v>
      </c>
      <c r="H1790" s="15">
        <v>7520</v>
      </c>
      <c r="I1790" s="16">
        <v>2857.6000000000004</v>
      </c>
      <c r="J1790" s="16">
        <v>2201.3028409090907</v>
      </c>
      <c r="K1790" s="16">
        <v>656.29715909090908</v>
      </c>
      <c r="L1790" s="13">
        <v>1.1499999999999999</v>
      </c>
      <c r="M1790" s="13"/>
      <c r="N1790" s="17">
        <f t="shared" si="60"/>
        <v>8648</v>
      </c>
      <c r="O1790" s="17">
        <f t="shared" si="60"/>
        <v>0</v>
      </c>
      <c r="P1790" s="17">
        <f t="shared" si="59"/>
        <v>8648</v>
      </c>
      <c r="Q1790" t="str">
        <f>A1790&amp;"-"&amp;B1790&amp;"-"&amp;D1790</f>
        <v>MEI-CVA-L7</v>
      </c>
    </row>
    <row r="1791" spans="1:17" x14ac:dyDescent="0.25">
      <c r="A1791" t="s">
        <v>395</v>
      </c>
      <c r="B1791" s="13" t="s">
        <v>23</v>
      </c>
      <c r="C1791" s="13" t="s">
        <v>201</v>
      </c>
      <c r="D1791" s="14" t="s">
        <v>198</v>
      </c>
      <c r="E1791" s="13" t="s">
        <v>191</v>
      </c>
      <c r="F1791" s="13" t="s">
        <v>727</v>
      </c>
      <c r="G1791" s="13">
        <v>0.7599999999999999</v>
      </c>
      <c r="H1791" s="15">
        <v>4649</v>
      </c>
      <c r="I1791" s="16">
        <v>3533.24</v>
      </c>
      <c r="J1791" s="16">
        <v>8313.42</v>
      </c>
      <c r="K1791" s="16">
        <v>-4780.18</v>
      </c>
      <c r="L1791" s="13">
        <v>1.95</v>
      </c>
      <c r="M1791" s="13"/>
      <c r="N1791" s="17">
        <f t="shared" si="60"/>
        <v>9065.5499999999993</v>
      </c>
      <c r="O1791" s="17">
        <f t="shared" si="60"/>
        <v>0</v>
      </c>
      <c r="P1791" s="17">
        <f t="shared" si="59"/>
        <v>9065.5499999999993</v>
      </c>
      <c r="Q1791" t="str">
        <f>A1791&amp;"-"&amp;B1791&amp;"-"&amp;D1791</f>
        <v>MEI-CVA-L8</v>
      </c>
    </row>
    <row r="1792" spans="1:17" x14ac:dyDescent="0.25">
      <c r="A1792" t="s">
        <v>395</v>
      </c>
      <c r="B1792" s="13" t="s">
        <v>23</v>
      </c>
      <c r="C1792" s="13" t="s">
        <v>201</v>
      </c>
      <c r="D1792" s="14" t="s">
        <v>198</v>
      </c>
      <c r="E1792" s="13" t="s">
        <v>191</v>
      </c>
      <c r="F1792" s="13" t="s">
        <v>728</v>
      </c>
      <c r="G1792" s="13">
        <v>0.38</v>
      </c>
      <c r="H1792" s="15">
        <v>3580</v>
      </c>
      <c r="I1792" s="16">
        <v>1360.4</v>
      </c>
      <c r="J1792" s="16">
        <v>1098</v>
      </c>
      <c r="K1792" s="16">
        <v>262.39999999999998</v>
      </c>
      <c r="L1792" s="13">
        <v>1.24</v>
      </c>
      <c r="M1792" s="13"/>
      <c r="N1792" s="17">
        <f t="shared" si="60"/>
        <v>4439.2</v>
      </c>
      <c r="O1792" s="17">
        <f t="shared" si="60"/>
        <v>0</v>
      </c>
      <c r="P1792" s="17">
        <f t="shared" si="59"/>
        <v>4439.2</v>
      </c>
      <c r="Q1792" t="str">
        <f>A1792&amp;"-"&amp;B1792&amp;"-"&amp;D1792</f>
        <v>MEI-CVA-L8</v>
      </c>
    </row>
    <row r="1793" spans="1:17" x14ac:dyDescent="0.25">
      <c r="A1793" t="s">
        <v>395</v>
      </c>
      <c r="B1793" s="13" t="s">
        <v>23</v>
      </c>
      <c r="C1793" s="13" t="s">
        <v>201</v>
      </c>
      <c r="D1793" s="14" t="s">
        <v>198</v>
      </c>
      <c r="E1793" s="13" t="s">
        <v>191</v>
      </c>
      <c r="F1793" s="13" t="s">
        <v>443</v>
      </c>
      <c r="G1793" s="13">
        <v>0.38000000000000006</v>
      </c>
      <c r="H1793" s="15">
        <v>5507</v>
      </c>
      <c r="I1793" s="16">
        <v>2092.66</v>
      </c>
      <c r="J1793" s="16">
        <v>1546.5510989010988</v>
      </c>
      <c r="K1793" s="16">
        <v>546.10890109890101</v>
      </c>
      <c r="L1793" s="13">
        <v>1.1499999999999999</v>
      </c>
      <c r="M1793" s="13"/>
      <c r="N1793" s="17">
        <f t="shared" si="60"/>
        <v>6333.0499999999993</v>
      </c>
      <c r="O1793" s="17">
        <f t="shared" si="60"/>
        <v>0</v>
      </c>
      <c r="P1793" s="17">
        <f t="shared" si="59"/>
        <v>6333.0499999999993</v>
      </c>
      <c r="Q1793" t="str">
        <f>A1793&amp;"-"&amp;B1793&amp;"-"&amp;D1793</f>
        <v>MEI-CVA-L8</v>
      </c>
    </row>
    <row r="1794" spans="1:17" x14ac:dyDescent="0.25">
      <c r="A1794" t="s">
        <v>395</v>
      </c>
      <c r="B1794" s="13" t="s">
        <v>23</v>
      </c>
      <c r="C1794" s="13" t="s">
        <v>201</v>
      </c>
      <c r="D1794" s="14" t="s">
        <v>198</v>
      </c>
      <c r="E1794" s="13" t="s">
        <v>191</v>
      </c>
      <c r="F1794" s="13" t="s">
        <v>568</v>
      </c>
      <c r="G1794" s="13">
        <v>0.38</v>
      </c>
      <c r="H1794" s="15">
        <v>6245</v>
      </c>
      <c r="I1794" s="16">
        <v>2373.1</v>
      </c>
      <c r="J1794" s="16">
        <v>2139.5889010989008</v>
      </c>
      <c r="K1794" s="16">
        <v>233.51109890109882</v>
      </c>
      <c r="L1794" s="13">
        <v>1.1499999999999999</v>
      </c>
      <c r="M1794" s="13"/>
      <c r="N1794" s="17">
        <f t="shared" si="60"/>
        <v>7181.7499999999991</v>
      </c>
      <c r="O1794" s="17">
        <f t="shared" si="60"/>
        <v>0</v>
      </c>
      <c r="P1794" s="17">
        <f t="shared" ref="P1794:P1857" si="61">N1794+O1794</f>
        <v>7181.7499999999991</v>
      </c>
      <c r="Q1794" t="str">
        <f>A1794&amp;"-"&amp;B1794&amp;"-"&amp;D1794</f>
        <v>MEI-CVA-L8</v>
      </c>
    </row>
    <row r="1795" spans="1:17" x14ac:dyDescent="0.25">
      <c r="A1795" t="s">
        <v>395</v>
      </c>
      <c r="B1795" s="13" t="s">
        <v>23</v>
      </c>
      <c r="C1795" s="13" t="s">
        <v>201</v>
      </c>
      <c r="D1795" s="14" t="s">
        <v>199</v>
      </c>
      <c r="E1795" s="13" t="s">
        <v>191</v>
      </c>
      <c r="F1795" s="13" t="s">
        <v>728</v>
      </c>
      <c r="G1795" s="13">
        <v>0.37999999999999995</v>
      </c>
      <c r="H1795" s="15">
        <v>12642</v>
      </c>
      <c r="I1795" s="16">
        <v>4803.9599999999991</v>
      </c>
      <c r="J1795" s="16">
        <v>7535.7050527797328</v>
      </c>
      <c r="K1795" s="16">
        <v>-2731.7450527797328</v>
      </c>
      <c r="L1795" s="13">
        <v>1.24</v>
      </c>
      <c r="M1795" s="13"/>
      <c r="N1795" s="17">
        <f t="shared" si="60"/>
        <v>15676.08</v>
      </c>
      <c r="O1795" s="17">
        <f t="shared" si="60"/>
        <v>0</v>
      </c>
      <c r="P1795" s="17">
        <f t="shared" si="61"/>
        <v>15676.08</v>
      </c>
      <c r="Q1795" t="str">
        <f>A1795&amp;"-"&amp;B1795&amp;"-"&amp;D1795</f>
        <v>MEI-CVA-L9</v>
      </c>
    </row>
    <row r="1796" spans="1:17" x14ac:dyDescent="0.25">
      <c r="A1796" t="s">
        <v>395</v>
      </c>
      <c r="B1796" s="13" t="s">
        <v>23</v>
      </c>
      <c r="C1796" s="13" t="s">
        <v>201</v>
      </c>
      <c r="D1796" s="14" t="s">
        <v>199</v>
      </c>
      <c r="E1796" s="13" t="s">
        <v>191</v>
      </c>
      <c r="F1796" s="13" t="s">
        <v>724</v>
      </c>
      <c r="G1796" s="13">
        <v>0.38</v>
      </c>
      <c r="H1796" s="15">
        <v>4389</v>
      </c>
      <c r="I1796" s="16">
        <v>1667.82</v>
      </c>
      <c r="J1796" s="16">
        <v>2196</v>
      </c>
      <c r="K1796" s="16">
        <v>-528.18000000000006</v>
      </c>
      <c r="L1796" s="13">
        <v>1.24</v>
      </c>
      <c r="M1796" s="13"/>
      <c r="N1796" s="17">
        <f t="shared" si="60"/>
        <v>5442.36</v>
      </c>
      <c r="O1796" s="17">
        <f t="shared" si="60"/>
        <v>0</v>
      </c>
      <c r="P1796" s="17">
        <f t="shared" si="61"/>
        <v>5442.36</v>
      </c>
      <c r="Q1796" t="str">
        <f>A1796&amp;"-"&amp;B1796&amp;"-"&amp;D1796</f>
        <v>MEI-CVA-L9</v>
      </c>
    </row>
    <row r="1797" spans="1:17" x14ac:dyDescent="0.25">
      <c r="A1797" t="s">
        <v>395</v>
      </c>
      <c r="B1797" s="13" t="s">
        <v>23</v>
      </c>
      <c r="C1797" s="13" t="s">
        <v>201</v>
      </c>
      <c r="D1797" s="14" t="s">
        <v>199</v>
      </c>
      <c r="E1797" s="13" t="s">
        <v>191</v>
      </c>
      <c r="F1797" s="13" t="s">
        <v>443</v>
      </c>
      <c r="G1797" s="13">
        <v>0.38</v>
      </c>
      <c r="H1797" s="15">
        <v>1160</v>
      </c>
      <c r="I1797" s="16">
        <v>440.8</v>
      </c>
      <c r="J1797" s="16">
        <v>409.54340836012858</v>
      </c>
      <c r="K1797" s="16">
        <v>31.256591639871431</v>
      </c>
      <c r="L1797" s="13">
        <v>1.1499999999999999</v>
      </c>
      <c r="M1797" s="13"/>
      <c r="N1797" s="17">
        <f t="shared" si="60"/>
        <v>1334</v>
      </c>
      <c r="O1797" s="17">
        <f t="shared" si="60"/>
        <v>0</v>
      </c>
      <c r="P1797" s="17">
        <f t="shared" si="61"/>
        <v>1334</v>
      </c>
      <c r="Q1797" t="str">
        <f>A1797&amp;"-"&amp;B1797&amp;"-"&amp;D1797</f>
        <v>MEI-CVA-L9</v>
      </c>
    </row>
    <row r="1798" spans="1:17" x14ac:dyDescent="0.25">
      <c r="A1798" t="s">
        <v>395</v>
      </c>
      <c r="B1798" s="13" t="s">
        <v>23</v>
      </c>
      <c r="C1798" s="13" t="s">
        <v>201</v>
      </c>
      <c r="D1798" s="14" t="s">
        <v>199</v>
      </c>
      <c r="E1798" s="13" t="s">
        <v>191</v>
      </c>
      <c r="F1798" s="13" t="s">
        <v>568</v>
      </c>
      <c r="G1798" s="13">
        <v>0.37999999999999995</v>
      </c>
      <c r="H1798" s="15">
        <v>6863</v>
      </c>
      <c r="I1798" s="16">
        <v>2607.94</v>
      </c>
      <c r="J1798" s="16">
        <v>2721.0315388601389</v>
      </c>
      <c r="K1798" s="16">
        <v>-113.09153886013877</v>
      </c>
      <c r="L1798" s="13">
        <v>1.1499999999999999</v>
      </c>
      <c r="M1798" s="13"/>
      <c r="N1798" s="17">
        <f t="shared" si="60"/>
        <v>7892.45</v>
      </c>
      <c r="O1798" s="17">
        <f t="shared" si="60"/>
        <v>0</v>
      </c>
      <c r="P1798" s="17">
        <f t="shared" si="61"/>
        <v>7892.45</v>
      </c>
      <c r="Q1798" t="str">
        <f>A1798&amp;"-"&amp;B1798&amp;"-"&amp;D1798</f>
        <v>MEI-CVA-L9</v>
      </c>
    </row>
    <row r="1799" spans="1:17" x14ac:dyDescent="0.25">
      <c r="A1799" t="s">
        <v>395</v>
      </c>
      <c r="B1799" s="13" t="s">
        <v>23</v>
      </c>
      <c r="C1799" s="13" t="s">
        <v>201</v>
      </c>
      <c r="D1799" s="14" t="s">
        <v>199</v>
      </c>
      <c r="E1799" s="13" t="s">
        <v>191</v>
      </c>
      <c r="F1799" s="13" t="s">
        <v>725</v>
      </c>
      <c r="G1799" s="13">
        <v>0.59</v>
      </c>
      <c r="H1799" s="15">
        <v>938</v>
      </c>
      <c r="I1799" s="16">
        <v>553.41999999999996</v>
      </c>
      <c r="J1799" s="16">
        <v>941.14</v>
      </c>
      <c r="K1799" s="16">
        <v>-387.71999999999997</v>
      </c>
      <c r="L1799" s="13">
        <v>2</v>
      </c>
      <c r="M1799" s="13"/>
      <c r="N1799" s="17">
        <f t="shared" si="60"/>
        <v>1876</v>
      </c>
      <c r="O1799" s="17">
        <f t="shared" si="60"/>
        <v>0</v>
      </c>
      <c r="P1799" s="17">
        <f t="shared" si="61"/>
        <v>1876</v>
      </c>
      <c r="Q1799" t="str">
        <f>A1799&amp;"-"&amp;B1799&amp;"-"&amp;D1799</f>
        <v>MEI-CVA-L9</v>
      </c>
    </row>
    <row r="1800" spans="1:17" x14ac:dyDescent="0.25">
      <c r="A1800" t="s">
        <v>395</v>
      </c>
      <c r="B1800" s="13" t="s">
        <v>24</v>
      </c>
      <c r="C1800" s="13" t="s">
        <v>226</v>
      </c>
      <c r="D1800" s="14" t="s">
        <v>219</v>
      </c>
      <c r="E1800" s="13" t="s">
        <v>61</v>
      </c>
      <c r="F1800" s="13" t="s">
        <v>730</v>
      </c>
      <c r="G1800" s="13">
        <v>0.68</v>
      </c>
      <c r="H1800" s="15">
        <v>4454</v>
      </c>
      <c r="I1800" s="16">
        <v>3028.7200000000003</v>
      </c>
      <c r="J1800" s="16">
        <v>1923.5668072287851</v>
      </c>
      <c r="K1800" s="16">
        <v>1105.1531927712151</v>
      </c>
      <c r="L1800" s="13">
        <v>1.82</v>
      </c>
      <c r="M1800" s="13"/>
      <c r="N1800" s="17">
        <f t="shared" si="60"/>
        <v>8106.2800000000007</v>
      </c>
      <c r="O1800" s="17">
        <f t="shared" si="60"/>
        <v>0</v>
      </c>
      <c r="P1800" s="17">
        <f t="shared" si="61"/>
        <v>8106.2800000000007</v>
      </c>
      <c r="Q1800" t="str">
        <f>A1800&amp;"-"&amp;B1800&amp;"-"&amp;D1800</f>
        <v>MEI-KLB-L1A</v>
      </c>
    </row>
    <row r="1801" spans="1:17" x14ac:dyDescent="0.25">
      <c r="A1801" t="s">
        <v>395</v>
      </c>
      <c r="B1801" s="13" t="s">
        <v>24</v>
      </c>
      <c r="C1801" s="13" t="s">
        <v>226</v>
      </c>
      <c r="D1801" s="14" t="s">
        <v>219</v>
      </c>
      <c r="E1801" s="13" t="s">
        <v>61</v>
      </c>
      <c r="F1801" s="13" t="s">
        <v>861</v>
      </c>
      <c r="G1801" s="13">
        <v>0.66</v>
      </c>
      <c r="H1801" s="15">
        <v>296</v>
      </c>
      <c r="I1801" s="16">
        <v>195.36</v>
      </c>
      <c r="J1801" s="16">
        <v>121.13814484443029</v>
      </c>
      <c r="K1801" s="16">
        <v>74.221855155569713</v>
      </c>
      <c r="L1801" s="13">
        <v>1.97</v>
      </c>
      <c r="M1801" s="13"/>
      <c r="N1801" s="17">
        <f t="shared" si="60"/>
        <v>583.12</v>
      </c>
      <c r="O1801" s="17">
        <f t="shared" si="60"/>
        <v>0</v>
      </c>
      <c r="P1801" s="17">
        <f t="shared" si="61"/>
        <v>583.12</v>
      </c>
      <c r="Q1801" t="str">
        <f>A1801&amp;"-"&amp;B1801&amp;"-"&amp;D1801</f>
        <v>MEI-KLB-L1A</v>
      </c>
    </row>
    <row r="1802" spans="1:17" x14ac:dyDescent="0.25">
      <c r="A1802" t="s">
        <v>395</v>
      </c>
      <c r="B1802" s="13" t="s">
        <v>24</v>
      </c>
      <c r="C1802" s="13" t="s">
        <v>226</v>
      </c>
      <c r="D1802" s="14" t="s">
        <v>219</v>
      </c>
      <c r="E1802" s="13" t="s">
        <v>61</v>
      </c>
      <c r="F1802" s="13" t="s">
        <v>731</v>
      </c>
      <c r="G1802" s="13">
        <v>0.68</v>
      </c>
      <c r="H1802" s="15">
        <v>130</v>
      </c>
      <c r="I1802" s="16">
        <v>88.4</v>
      </c>
      <c r="J1802" s="16">
        <v>52.846511627906978</v>
      </c>
      <c r="K1802" s="16">
        <v>35.553488372093028</v>
      </c>
      <c r="L1802" s="13">
        <v>1.82</v>
      </c>
      <c r="M1802" s="13"/>
      <c r="N1802" s="17">
        <f t="shared" si="60"/>
        <v>236.6</v>
      </c>
      <c r="O1802" s="17">
        <f t="shared" si="60"/>
        <v>0</v>
      </c>
      <c r="P1802" s="17">
        <f t="shared" si="61"/>
        <v>236.6</v>
      </c>
      <c r="Q1802" t="str">
        <f>A1802&amp;"-"&amp;B1802&amp;"-"&amp;D1802</f>
        <v>MEI-KLB-L1A</v>
      </c>
    </row>
    <row r="1803" spans="1:17" x14ac:dyDescent="0.25">
      <c r="A1803" t="s">
        <v>395</v>
      </c>
      <c r="B1803" s="13" t="s">
        <v>24</v>
      </c>
      <c r="C1803" s="13" t="s">
        <v>226</v>
      </c>
      <c r="D1803" s="14" t="s">
        <v>219</v>
      </c>
      <c r="E1803" s="13" t="s">
        <v>61</v>
      </c>
      <c r="F1803" s="13" t="s">
        <v>862</v>
      </c>
      <c r="G1803" s="13">
        <v>0.68</v>
      </c>
      <c r="H1803" s="15">
        <v>2270</v>
      </c>
      <c r="I1803" s="16">
        <v>1543.6000000000001</v>
      </c>
      <c r="J1803" s="16">
        <v>840.56859125274934</v>
      </c>
      <c r="K1803" s="16">
        <v>703.03140874725057</v>
      </c>
      <c r="L1803" s="13">
        <v>1.82</v>
      </c>
      <c r="M1803" s="13"/>
      <c r="N1803" s="17">
        <f t="shared" si="60"/>
        <v>4131.4000000000005</v>
      </c>
      <c r="O1803" s="17">
        <f t="shared" si="60"/>
        <v>0</v>
      </c>
      <c r="P1803" s="17">
        <f t="shared" si="61"/>
        <v>4131.4000000000005</v>
      </c>
      <c r="Q1803" t="str">
        <f>A1803&amp;"-"&amp;B1803&amp;"-"&amp;D1803</f>
        <v>MEI-KLB-L1A</v>
      </c>
    </row>
    <row r="1804" spans="1:17" x14ac:dyDescent="0.25">
      <c r="A1804" t="s">
        <v>395</v>
      </c>
      <c r="B1804" s="13" t="s">
        <v>24</v>
      </c>
      <c r="C1804" s="13" t="s">
        <v>226</v>
      </c>
      <c r="D1804" s="14" t="s">
        <v>219</v>
      </c>
      <c r="E1804" s="13" t="s">
        <v>61</v>
      </c>
      <c r="F1804" s="13" t="s">
        <v>863</v>
      </c>
      <c r="G1804" s="13">
        <v>0.68</v>
      </c>
      <c r="H1804" s="15">
        <v>2585</v>
      </c>
      <c r="I1804" s="16">
        <v>1757.8000000000002</v>
      </c>
      <c r="J1804" s="16">
        <v>1093.7250670788342</v>
      </c>
      <c r="K1804" s="16">
        <v>664.0749329211659</v>
      </c>
      <c r="L1804" s="13">
        <v>1.82</v>
      </c>
      <c r="M1804" s="13"/>
      <c r="N1804" s="17">
        <f t="shared" si="60"/>
        <v>4704.7</v>
      </c>
      <c r="O1804" s="17">
        <f t="shared" si="60"/>
        <v>0</v>
      </c>
      <c r="P1804" s="17">
        <f t="shared" si="61"/>
        <v>4704.7</v>
      </c>
      <c r="Q1804" t="str">
        <f>A1804&amp;"-"&amp;B1804&amp;"-"&amp;D1804</f>
        <v>MEI-KLB-L1A</v>
      </c>
    </row>
    <row r="1805" spans="1:17" x14ac:dyDescent="0.25">
      <c r="A1805" t="s">
        <v>395</v>
      </c>
      <c r="B1805" s="13" t="s">
        <v>24</v>
      </c>
      <c r="C1805" s="13" t="s">
        <v>226</v>
      </c>
      <c r="D1805" s="14" t="s">
        <v>219</v>
      </c>
      <c r="E1805" s="13" t="s">
        <v>61</v>
      </c>
      <c r="F1805" s="13" t="s">
        <v>864</v>
      </c>
      <c r="G1805" s="13">
        <v>0.66</v>
      </c>
      <c r="H1805" s="15">
        <v>95</v>
      </c>
      <c r="I1805" s="16">
        <v>62.7</v>
      </c>
      <c r="J1805" s="16">
        <v>40.800982800982801</v>
      </c>
      <c r="K1805" s="16">
        <v>21.899017199017202</v>
      </c>
      <c r="L1805" s="13">
        <v>1.97</v>
      </c>
      <c r="M1805" s="13"/>
      <c r="N1805" s="17">
        <f t="shared" si="60"/>
        <v>187.15</v>
      </c>
      <c r="O1805" s="17">
        <f t="shared" si="60"/>
        <v>0</v>
      </c>
      <c r="P1805" s="17">
        <f t="shared" si="61"/>
        <v>187.15</v>
      </c>
      <c r="Q1805" t="str">
        <f>A1805&amp;"-"&amp;B1805&amp;"-"&amp;D1805</f>
        <v>MEI-KLB-L1A</v>
      </c>
    </row>
    <row r="1806" spans="1:17" x14ac:dyDescent="0.25">
      <c r="A1806" t="s">
        <v>395</v>
      </c>
      <c r="B1806" s="13" t="s">
        <v>24</v>
      </c>
      <c r="C1806" s="13" t="s">
        <v>226</v>
      </c>
      <c r="D1806" s="14" t="s">
        <v>219</v>
      </c>
      <c r="E1806" s="13" t="s">
        <v>61</v>
      </c>
      <c r="F1806" s="13" t="s">
        <v>865</v>
      </c>
      <c r="G1806" s="13">
        <v>0.79999999999999993</v>
      </c>
      <c r="H1806" s="15">
        <v>11770</v>
      </c>
      <c r="I1806" s="16">
        <v>9416</v>
      </c>
      <c r="J1806" s="16">
        <v>5111.9014357364886</v>
      </c>
      <c r="K1806" s="16">
        <v>4304.0985642635114</v>
      </c>
      <c r="L1806" s="13">
        <v>2.1</v>
      </c>
      <c r="M1806" s="13"/>
      <c r="N1806" s="17">
        <f t="shared" si="60"/>
        <v>24717</v>
      </c>
      <c r="O1806" s="17">
        <f t="shared" si="60"/>
        <v>0</v>
      </c>
      <c r="P1806" s="17">
        <f t="shared" si="61"/>
        <v>24717</v>
      </c>
      <c r="Q1806" t="str">
        <f>A1806&amp;"-"&amp;B1806&amp;"-"&amp;D1806</f>
        <v>MEI-KLB-L1A</v>
      </c>
    </row>
    <row r="1807" spans="1:17" x14ac:dyDescent="0.25">
      <c r="A1807" t="s">
        <v>395</v>
      </c>
      <c r="B1807" s="13" t="s">
        <v>24</v>
      </c>
      <c r="C1807" s="13" t="s">
        <v>226</v>
      </c>
      <c r="D1807" s="14" t="s">
        <v>219</v>
      </c>
      <c r="E1807" s="13" t="s">
        <v>61</v>
      </c>
      <c r="F1807" s="13" t="s">
        <v>733</v>
      </c>
      <c r="G1807" s="13">
        <v>0.68</v>
      </c>
      <c r="H1807" s="15">
        <v>158</v>
      </c>
      <c r="I1807" s="16">
        <v>107.44</v>
      </c>
      <c r="J1807" s="16">
        <v>64.080339810980135</v>
      </c>
      <c r="K1807" s="16">
        <v>43.359660189019863</v>
      </c>
      <c r="L1807" s="13">
        <v>1.82</v>
      </c>
      <c r="M1807" s="13"/>
      <c r="N1807" s="17">
        <f t="shared" si="60"/>
        <v>287.56</v>
      </c>
      <c r="O1807" s="17">
        <f t="shared" si="60"/>
        <v>0</v>
      </c>
      <c r="P1807" s="17">
        <f t="shared" si="61"/>
        <v>287.56</v>
      </c>
      <c r="Q1807" t="str">
        <f>A1807&amp;"-"&amp;B1807&amp;"-"&amp;D1807</f>
        <v>MEI-KLB-L1A</v>
      </c>
    </row>
    <row r="1808" spans="1:17" x14ac:dyDescent="0.25">
      <c r="A1808" t="s">
        <v>395</v>
      </c>
      <c r="B1808" s="13" t="s">
        <v>24</v>
      </c>
      <c r="C1808" s="13" t="s">
        <v>226</v>
      </c>
      <c r="D1808" s="14" t="s">
        <v>219</v>
      </c>
      <c r="E1808" s="13" t="s">
        <v>61</v>
      </c>
      <c r="F1808" s="13" t="s">
        <v>866</v>
      </c>
      <c r="G1808" s="13">
        <v>0.68</v>
      </c>
      <c r="H1808" s="15">
        <v>7650</v>
      </c>
      <c r="I1808" s="16">
        <v>5202</v>
      </c>
      <c r="J1808" s="16">
        <v>2988.7835534596002</v>
      </c>
      <c r="K1808" s="16">
        <v>2213.2164465403998</v>
      </c>
      <c r="L1808" s="13">
        <v>1.82</v>
      </c>
      <c r="M1808" s="13"/>
      <c r="N1808" s="17">
        <f t="shared" si="60"/>
        <v>13923</v>
      </c>
      <c r="O1808" s="17">
        <f t="shared" si="60"/>
        <v>0</v>
      </c>
      <c r="P1808" s="17">
        <f t="shared" si="61"/>
        <v>13923</v>
      </c>
      <c r="Q1808" t="str">
        <f>A1808&amp;"-"&amp;B1808&amp;"-"&amp;D1808</f>
        <v>MEI-KLB-L1A</v>
      </c>
    </row>
    <row r="1809" spans="1:17" x14ac:dyDescent="0.25">
      <c r="A1809" t="s">
        <v>395</v>
      </c>
      <c r="B1809" s="13" t="s">
        <v>24</v>
      </c>
      <c r="C1809" s="13" t="s">
        <v>226</v>
      </c>
      <c r="D1809" s="14" t="s">
        <v>219</v>
      </c>
      <c r="E1809" s="13" t="s">
        <v>61</v>
      </c>
      <c r="F1809" s="13" t="s">
        <v>867</v>
      </c>
      <c r="G1809" s="13">
        <v>0.66</v>
      </c>
      <c r="H1809" s="15">
        <v>397</v>
      </c>
      <c r="I1809" s="16">
        <v>262.02</v>
      </c>
      <c r="J1809" s="16">
        <v>157.97616761239632</v>
      </c>
      <c r="K1809" s="16">
        <v>104.04383238760367</v>
      </c>
      <c r="L1809" s="13">
        <v>1.97</v>
      </c>
      <c r="M1809" s="13"/>
      <c r="N1809" s="17">
        <f t="shared" si="60"/>
        <v>782.09</v>
      </c>
      <c r="O1809" s="17">
        <f t="shared" si="60"/>
        <v>0</v>
      </c>
      <c r="P1809" s="17">
        <f t="shared" si="61"/>
        <v>782.09</v>
      </c>
      <c r="Q1809" t="str">
        <f>A1809&amp;"-"&amp;B1809&amp;"-"&amp;D1809</f>
        <v>MEI-KLB-L1A</v>
      </c>
    </row>
    <row r="1810" spans="1:17" x14ac:dyDescent="0.25">
      <c r="A1810" t="s">
        <v>395</v>
      </c>
      <c r="B1810" s="13" t="s">
        <v>24</v>
      </c>
      <c r="C1810" s="13" t="s">
        <v>226</v>
      </c>
      <c r="D1810" s="14" t="s">
        <v>219</v>
      </c>
      <c r="E1810" s="13" t="s">
        <v>61</v>
      </c>
      <c r="F1810" s="13" t="s">
        <v>868</v>
      </c>
      <c r="G1810" s="13">
        <v>0.8</v>
      </c>
      <c r="H1810" s="15">
        <v>1655</v>
      </c>
      <c r="I1810" s="16">
        <v>1324</v>
      </c>
      <c r="J1810" s="16">
        <v>866.14970059880238</v>
      </c>
      <c r="K1810" s="16">
        <v>457.85029940119762</v>
      </c>
      <c r="L1810" s="13">
        <v>2.1</v>
      </c>
      <c r="M1810" s="13"/>
      <c r="N1810" s="17">
        <f t="shared" si="60"/>
        <v>3475.5</v>
      </c>
      <c r="O1810" s="17">
        <f t="shared" si="60"/>
        <v>0</v>
      </c>
      <c r="P1810" s="17">
        <f t="shared" si="61"/>
        <v>3475.5</v>
      </c>
      <c r="Q1810" t="str">
        <f>A1810&amp;"-"&amp;B1810&amp;"-"&amp;D1810</f>
        <v>MEI-KLB-L1A</v>
      </c>
    </row>
    <row r="1811" spans="1:17" x14ac:dyDescent="0.25">
      <c r="A1811" t="s">
        <v>395</v>
      </c>
      <c r="B1811" s="13" t="s">
        <v>24</v>
      </c>
      <c r="C1811" s="13" t="s">
        <v>226</v>
      </c>
      <c r="D1811" s="14" t="s">
        <v>219</v>
      </c>
      <c r="E1811" s="13" t="s">
        <v>61</v>
      </c>
      <c r="F1811" s="13" t="s">
        <v>869</v>
      </c>
      <c r="G1811" s="13">
        <v>0.68</v>
      </c>
      <c r="H1811" s="15">
        <v>40</v>
      </c>
      <c r="I1811" s="16">
        <v>27.2</v>
      </c>
      <c r="J1811" s="16">
        <v>19.156164383561645</v>
      </c>
      <c r="K1811" s="16">
        <v>8.0438356164383542</v>
      </c>
      <c r="L1811" s="13">
        <v>1.83</v>
      </c>
      <c r="M1811" s="13"/>
      <c r="N1811" s="17">
        <f t="shared" si="60"/>
        <v>73.2</v>
      </c>
      <c r="O1811" s="17">
        <f t="shared" si="60"/>
        <v>0</v>
      </c>
      <c r="P1811" s="17">
        <f t="shared" si="61"/>
        <v>73.2</v>
      </c>
      <c r="Q1811" t="str">
        <f>A1811&amp;"-"&amp;B1811&amp;"-"&amp;D1811</f>
        <v>MEI-KLB-L1A</v>
      </c>
    </row>
    <row r="1812" spans="1:17" x14ac:dyDescent="0.25">
      <c r="A1812" t="s">
        <v>395</v>
      </c>
      <c r="B1812" s="13" t="s">
        <v>24</v>
      </c>
      <c r="C1812" s="13" t="s">
        <v>226</v>
      </c>
      <c r="D1812" s="14" t="s">
        <v>219</v>
      </c>
      <c r="E1812" s="13" t="s">
        <v>61</v>
      </c>
      <c r="F1812" s="13" t="s">
        <v>870</v>
      </c>
      <c r="G1812" s="13">
        <v>0.68</v>
      </c>
      <c r="H1812" s="15">
        <v>1735</v>
      </c>
      <c r="I1812" s="16">
        <v>1179.8</v>
      </c>
      <c r="J1812" s="16">
        <v>701.05580743456028</v>
      </c>
      <c r="K1812" s="16">
        <v>478.74419256543968</v>
      </c>
      <c r="L1812" s="13">
        <v>1.83</v>
      </c>
      <c r="M1812" s="13"/>
      <c r="N1812" s="17">
        <f t="shared" si="60"/>
        <v>3175.05</v>
      </c>
      <c r="O1812" s="17">
        <f t="shared" si="60"/>
        <v>0</v>
      </c>
      <c r="P1812" s="17">
        <f t="shared" si="61"/>
        <v>3175.05</v>
      </c>
      <c r="Q1812" t="str">
        <f>A1812&amp;"-"&amp;B1812&amp;"-"&amp;D1812</f>
        <v>MEI-KLB-L1A</v>
      </c>
    </row>
    <row r="1813" spans="1:17" x14ac:dyDescent="0.25">
      <c r="A1813" t="s">
        <v>395</v>
      </c>
      <c r="B1813" s="13" t="s">
        <v>24</v>
      </c>
      <c r="C1813" s="13" t="s">
        <v>226</v>
      </c>
      <c r="D1813" s="14" t="s">
        <v>219</v>
      </c>
      <c r="E1813" s="13" t="s">
        <v>61</v>
      </c>
      <c r="F1813" s="13" t="s">
        <v>871</v>
      </c>
      <c r="G1813" s="13">
        <v>0.69</v>
      </c>
      <c r="H1813" s="15">
        <v>2185</v>
      </c>
      <c r="I1813" s="16">
        <v>1507.65</v>
      </c>
      <c r="J1813" s="16">
        <v>882.47679777087137</v>
      </c>
      <c r="K1813" s="16">
        <v>625.17320222912872</v>
      </c>
      <c r="L1813" s="13">
        <v>1.83</v>
      </c>
      <c r="M1813" s="13"/>
      <c r="N1813" s="17">
        <f t="shared" si="60"/>
        <v>3998.55</v>
      </c>
      <c r="O1813" s="17">
        <f t="shared" si="60"/>
        <v>0</v>
      </c>
      <c r="P1813" s="17">
        <f t="shared" si="61"/>
        <v>3998.55</v>
      </c>
      <c r="Q1813" t="str">
        <f>A1813&amp;"-"&amp;B1813&amp;"-"&amp;D1813</f>
        <v>MEI-KLB-L1A</v>
      </c>
    </row>
    <row r="1814" spans="1:17" x14ac:dyDescent="0.25">
      <c r="A1814" t="s">
        <v>395</v>
      </c>
      <c r="B1814" s="13" t="s">
        <v>24</v>
      </c>
      <c r="C1814" s="13" t="s">
        <v>226</v>
      </c>
      <c r="D1814" s="14" t="s">
        <v>219</v>
      </c>
      <c r="E1814" s="13" t="s">
        <v>61</v>
      </c>
      <c r="F1814" s="13" t="s">
        <v>872</v>
      </c>
      <c r="G1814" s="13">
        <v>0.66</v>
      </c>
      <c r="H1814" s="15">
        <v>365</v>
      </c>
      <c r="I1814" s="16">
        <v>240.9</v>
      </c>
      <c r="J1814" s="16">
        <v>147.34872979214782</v>
      </c>
      <c r="K1814" s="16">
        <v>93.551270207852184</v>
      </c>
      <c r="L1814" s="13">
        <v>1.98</v>
      </c>
      <c r="M1814" s="13"/>
      <c r="N1814" s="17">
        <f t="shared" si="60"/>
        <v>722.7</v>
      </c>
      <c r="O1814" s="17">
        <f t="shared" si="60"/>
        <v>0</v>
      </c>
      <c r="P1814" s="17">
        <f t="shared" si="61"/>
        <v>722.7</v>
      </c>
      <c r="Q1814" t="str">
        <f>A1814&amp;"-"&amp;B1814&amp;"-"&amp;D1814</f>
        <v>MEI-KLB-L1A</v>
      </c>
    </row>
    <row r="1815" spans="1:17" x14ac:dyDescent="0.25">
      <c r="A1815" t="s">
        <v>395</v>
      </c>
      <c r="B1815" s="13" t="s">
        <v>24</v>
      </c>
      <c r="C1815" s="13" t="s">
        <v>226</v>
      </c>
      <c r="D1815" s="14" t="s">
        <v>219</v>
      </c>
      <c r="E1815" s="13" t="s">
        <v>61</v>
      </c>
      <c r="F1815" s="13" t="s">
        <v>873</v>
      </c>
      <c r="G1815" s="13">
        <v>0.68</v>
      </c>
      <c r="H1815" s="15">
        <v>555</v>
      </c>
      <c r="I1815" s="16">
        <v>377.40000000000003</v>
      </c>
      <c r="J1815" s="16">
        <v>237.486638002907</v>
      </c>
      <c r="K1815" s="16">
        <v>139.91336199709303</v>
      </c>
      <c r="L1815" s="13">
        <v>1.83</v>
      </c>
      <c r="M1815" s="13"/>
      <c r="N1815" s="17">
        <f t="shared" si="60"/>
        <v>1015.6500000000001</v>
      </c>
      <c r="O1815" s="17">
        <f t="shared" si="60"/>
        <v>0</v>
      </c>
      <c r="P1815" s="17">
        <f t="shared" si="61"/>
        <v>1015.6500000000001</v>
      </c>
      <c r="Q1815" t="str">
        <f>A1815&amp;"-"&amp;B1815&amp;"-"&amp;D1815</f>
        <v>MEI-KLB-L1A</v>
      </c>
    </row>
    <row r="1816" spans="1:17" x14ac:dyDescent="0.25">
      <c r="A1816" t="s">
        <v>395</v>
      </c>
      <c r="B1816" s="13" t="s">
        <v>24</v>
      </c>
      <c r="C1816" s="13" t="s">
        <v>226</v>
      </c>
      <c r="D1816" s="14" t="s">
        <v>219</v>
      </c>
      <c r="E1816" s="13" t="s">
        <v>61</v>
      </c>
      <c r="F1816" s="13" t="s">
        <v>874</v>
      </c>
      <c r="G1816" s="13">
        <v>0.68</v>
      </c>
      <c r="H1816" s="15">
        <v>1370</v>
      </c>
      <c r="I1816" s="16">
        <v>931.59999999999991</v>
      </c>
      <c r="J1816" s="16">
        <v>589.59062373111124</v>
      </c>
      <c r="K1816" s="16">
        <v>342.0093762688889</v>
      </c>
      <c r="L1816" s="13">
        <v>1.83</v>
      </c>
      <c r="M1816" s="13"/>
      <c r="N1816" s="17">
        <f t="shared" si="60"/>
        <v>2507.1</v>
      </c>
      <c r="O1816" s="17">
        <f t="shared" si="60"/>
        <v>0</v>
      </c>
      <c r="P1816" s="17">
        <f t="shared" si="61"/>
        <v>2507.1</v>
      </c>
      <c r="Q1816" t="str">
        <f>A1816&amp;"-"&amp;B1816&amp;"-"&amp;D1816</f>
        <v>MEI-KLB-L1A</v>
      </c>
    </row>
    <row r="1817" spans="1:17" x14ac:dyDescent="0.25">
      <c r="A1817" t="s">
        <v>395</v>
      </c>
      <c r="B1817" s="13" t="s">
        <v>24</v>
      </c>
      <c r="C1817" s="13" t="s">
        <v>226</v>
      </c>
      <c r="D1817" s="14" t="s">
        <v>219</v>
      </c>
      <c r="E1817" s="13" t="s">
        <v>61</v>
      </c>
      <c r="F1817" s="13" t="s">
        <v>744</v>
      </c>
      <c r="G1817" s="13">
        <v>0.69</v>
      </c>
      <c r="H1817" s="15">
        <v>1215</v>
      </c>
      <c r="I1817" s="16">
        <v>838.34999999999991</v>
      </c>
      <c r="J1817" s="16">
        <v>614.97186046511627</v>
      </c>
      <c r="K1817" s="16">
        <v>223.37813953488367</v>
      </c>
      <c r="L1817" s="13">
        <v>1.83</v>
      </c>
      <c r="M1817" s="13"/>
      <c r="N1817" s="17">
        <f t="shared" si="60"/>
        <v>2223.4500000000003</v>
      </c>
      <c r="O1817" s="17">
        <f t="shared" si="60"/>
        <v>0</v>
      </c>
      <c r="P1817" s="17">
        <f t="shared" si="61"/>
        <v>2223.4500000000003</v>
      </c>
      <c r="Q1817" t="str">
        <f>A1817&amp;"-"&amp;B1817&amp;"-"&amp;D1817</f>
        <v>MEI-KLB-L1A</v>
      </c>
    </row>
    <row r="1818" spans="1:17" x14ac:dyDescent="0.25">
      <c r="A1818" t="s">
        <v>395</v>
      </c>
      <c r="B1818" s="13" t="s">
        <v>24</v>
      </c>
      <c r="C1818" s="13" t="s">
        <v>226</v>
      </c>
      <c r="D1818" s="14" t="s">
        <v>219</v>
      </c>
      <c r="E1818" s="13" t="s">
        <v>61</v>
      </c>
      <c r="F1818" s="13" t="s">
        <v>875</v>
      </c>
      <c r="G1818" s="13">
        <v>0.66</v>
      </c>
      <c r="H1818" s="15">
        <v>370</v>
      </c>
      <c r="I1818" s="16">
        <v>244.2</v>
      </c>
      <c r="J1818" s="16">
        <v>158.90909090909091</v>
      </c>
      <c r="K1818" s="16">
        <v>85.290909090909082</v>
      </c>
      <c r="L1818" s="13">
        <v>1.98</v>
      </c>
      <c r="M1818" s="13"/>
      <c r="N1818" s="17">
        <f t="shared" ref="N1818:O1881" si="62">$H1818*L1818</f>
        <v>732.6</v>
      </c>
      <c r="O1818" s="17">
        <f t="shared" si="62"/>
        <v>0</v>
      </c>
      <c r="P1818" s="17">
        <f t="shared" si="61"/>
        <v>732.6</v>
      </c>
      <c r="Q1818" t="str">
        <f>A1818&amp;"-"&amp;B1818&amp;"-"&amp;D1818</f>
        <v>MEI-KLB-L1A</v>
      </c>
    </row>
    <row r="1819" spans="1:17" x14ac:dyDescent="0.25">
      <c r="A1819" t="s">
        <v>395</v>
      </c>
      <c r="B1819" s="13" t="s">
        <v>24</v>
      </c>
      <c r="C1819" s="13" t="s">
        <v>226</v>
      </c>
      <c r="D1819" s="14" t="s">
        <v>219</v>
      </c>
      <c r="E1819" s="13" t="s">
        <v>61</v>
      </c>
      <c r="F1819" s="13" t="s">
        <v>745</v>
      </c>
      <c r="G1819" s="13">
        <v>0.66</v>
      </c>
      <c r="H1819" s="15">
        <v>5</v>
      </c>
      <c r="I1819" s="16">
        <v>3.3</v>
      </c>
      <c r="J1819" s="16">
        <v>1.8399999999999999</v>
      </c>
      <c r="K1819" s="16">
        <v>1.46</v>
      </c>
      <c r="L1819" s="13">
        <v>1.98</v>
      </c>
      <c r="M1819" s="13"/>
      <c r="N1819" s="17">
        <f t="shared" si="62"/>
        <v>9.9</v>
      </c>
      <c r="O1819" s="17">
        <f t="shared" si="62"/>
        <v>0</v>
      </c>
      <c r="P1819" s="17">
        <f t="shared" si="61"/>
        <v>9.9</v>
      </c>
      <c r="Q1819" t="str">
        <f>A1819&amp;"-"&amp;B1819&amp;"-"&amp;D1819</f>
        <v>MEI-KLB-L1A</v>
      </c>
    </row>
    <row r="1820" spans="1:17" x14ac:dyDescent="0.25">
      <c r="A1820" t="s">
        <v>395</v>
      </c>
      <c r="B1820" s="13" t="s">
        <v>24</v>
      </c>
      <c r="C1820" s="13" t="s">
        <v>226</v>
      </c>
      <c r="D1820" s="14" t="s">
        <v>219</v>
      </c>
      <c r="E1820" s="13" t="s">
        <v>61</v>
      </c>
      <c r="F1820" s="13" t="s">
        <v>876</v>
      </c>
      <c r="G1820" s="13">
        <v>0.65</v>
      </c>
      <c r="H1820" s="15">
        <v>1335</v>
      </c>
      <c r="I1820" s="16">
        <v>867.75</v>
      </c>
      <c r="J1820" s="16">
        <v>562.61336638776982</v>
      </c>
      <c r="K1820" s="16">
        <v>305.13663361223018</v>
      </c>
      <c r="L1820" s="13">
        <v>1.64</v>
      </c>
      <c r="M1820" s="13"/>
      <c r="N1820" s="17">
        <f t="shared" si="62"/>
        <v>2189.4</v>
      </c>
      <c r="O1820" s="17">
        <f t="shared" si="62"/>
        <v>0</v>
      </c>
      <c r="P1820" s="17">
        <f t="shared" si="61"/>
        <v>2189.4</v>
      </c>
      <c r="Q1820" t="str">
        <f>A1820&amp;"-"&amp;B1820&amp;"-"&amp;D1820</f>
        <v>MEI-KLB-L1A</v>
      </c>
    </row>
    <row r="1821" spans="1:17" x14ac:dyDescent="0.25">
      <c r="A1821" t="s">
        <v>395</v>
      </c>
      <c r="B1821" s="13" t="s">
        <v>24</v>
      </c>
      <c r="C1821" s="13" t="s">
        <v>226</v>
      </c>
      <c r="D1821" s="14" t="s">
        <v>219</v>
      </c>
      <c r="E1821" s="13" t="s">
        <v>61</v>
      </c>
      <c r="F1821" s="13" t="s">
        <v>877</v>
      </c>
      <c r="G1821" s="13">
        <v>0.65</v>
      </c>
      <c r="H1821" s="15">
        <v>2655</v>
      </c>
      <c r="I1821" s="16">
        <v>1725.75</v>
      </c>
      <c r="J1821" s="16">
        <v>1177.0136190709068</v>
      </c>
      <c r="K1821" s="16">
        <v>548.73638092909346</v>
      </c>
      <c r="L1821" s="13">
        <v>1.66</v>
      </c>
      <c r="M1821" s="13"/>
      <c r="N1821" s="17">
        <f t="shared" si="62"/>
        <v>4407.3</v>
      </c>
      <c r="O1821" s="17">
        <f t="shared" si="62"/>
        <v>0</v>
      </c>
      <c r="P1821" s="17">
        <f t="shared" si="61"/>
        <v>4407.3</v>
      </c>
      <c r="Q1821" t="str">
        <f>A1821&amp;"-"&amp;B1821&amp;"-"&amp;D1821</f>
        <v>MEI-KLB-L1A</v>
      </c>
    </row>
    <row r="1822" spans="1:17" x14ac:dyDescent="0.25">
      <c r="A1822" t="s">
        <v>395</v>
      </c>
      <c r="B1822" s="13" t="s">
        <v>24</v>
      </c>
      <c r="C1822" s="13" t="s">
        <v>226</v>
      </c>
      <c r="D1822" s="14" t="s">
        <v>221</v>
      </c>
      <c r="E1822" s="13" t="s">
        <v>61</v>
      </c>
      <c r="F1822" s="13" t="s">
        <v>730</v>
      </c>
      <c r="G1822" s="13">
        <v>0.68</v>
      </c>
      <c r="H1822" s="15">
        <v>5688</v>
      </c>
      <c r="I1822" s="16">
        <v>3867.84</v>
      </c>
      <c r="J1822" s="16">
        <v>2348.0319299740727</v>
      </c>
      <c r="K1822" s="16">
        <v>1519.808070025927</v>
      </c>
      <c r="L1822" s="13">
        <v>1.82</v>
      </c>
      <c r="M1822" s="13"/>
      <c r="N1822" s="17">
        <f t="shared" si="62"/>
        <v>10352.16</v>
      </c>
      <c r="O1822" s="17">
        <f t="shared" si="62"/>
        <v>0</v>
      </c>
      <c r="P1822" s="17">
        <f t="shared" si="61"/>
        <v>10352.16</v>
      </c>
      <c r="Q1822" t="str">
        <f>A1822&amp;"-"&amp;B1822&amp;"-"&amp;D1822</f>
        <v>MEI-KLB-L1B</v>
      </c>
    </row>
    <row r="1823" spans="1:17" x14ac:dyDescent="0.25">
      <c r="A1823" t="s">
        <v>395</v>
      </c>
      <c r="B1823" s="13" t="s">
        <v>24</v>
      </c>
      <c r="C1823" s="13" t="s">
        <v>226</v>
      </c>
      <c r="D1823" s="14" t="s">
        <v>221</v>
      </c>
      <c r="E1823" s="13" t="s">
        <v>61</v>
      </c>
      <c r="F1823" s="13" t="s">
        <v>861</v>
      </c>
      <c r="G1823" s="13">
        <v>0.66</v>
      </c>
      <c r="H1823" s="15">
        <v>442</v>
      </c>
      <c r="I1823" s="16">
        <v>291.71999999999997</v>
      </c>
      <c r="J1823" s="16">
        <v>159.53169587294906</v>
      </c>
      <c r="K1823" s="16">
        <v>132.18830412705097</v>
      </c>
      <c r="L1823" s="13">
        <v>1.97</v>
      </c>
      <c r="M1823" s="13"/>
      <c r="N1823" s="17">
        <f t="shared" si="62"/>
        <v>870.74</v>
      </c>
      <c r="O1823" s="17">
        <f t="shared" si="62"/>
        <v>0</v>
      </c>
      <c r="P1823" s="17">
        <f t="shared" si="61"/>
        <v>870.74</v>
      </c>
      <c r="Q1823" t="str">
        <f>A1823&amp;"-"&amp;B1823&amp;"-"&amp;D1823</f>
        <v>MEI-KLB-L1B</v>
      </c>
    </row>
    <row r="1824" spans="1:17" x14ac:dyDescent="0.25">
      <c r="A1824" t="s">
        <v>395</v>
      </c>
      <c r="B1824" s="13" t="s">
        <v>24</v>
      </c>
      <c r="C1824" s="13" t="s">
        <v>226</v>
      </c>
      <c r="D1824" s="14" t="s">
        <v>221</v>
      </c>
      <c r="E1824" s="13" t="s">
        <v>61</v>
      </c>
      <c r="F1824" s="13" t="s">
        <v>731</v>
      </c>
      <c r="G1824" s="13">
        <v>0.68</v>
      </c>
      <c r="H1824" s="15">
        <v>618</v>
      </c>
      <c r="I1824" s="16">
        <v>420.24</v>
      </c>
      <c r="J1824" s="16">
        <v>251.16843278729135</v>
      </c>
      <c r="K1824" s="16">
        <v>169.07156721270863</v>
      </c>
      <c r="L1824" s="13">
        <v>1.82</v>
      </c>
      <c r="M1824" s="13"/>
      <c r="N1824" s="17">
        <f t="shared" si="62"/>
        <v>1124.76</v>
      </c>
      <c r="O1824" s="17">
        <f t="shared" si="62"/>
        <v>0</v>
      </c>
      <c r="P1824" s="17">
        <f t="shared" si="61"/>
        <v>1124.76</v>
      </c>
      <c r="Q1824" t="str">
        <f>A1824&amp;"-"&amp;B1824&amp;"-"&amp;D1824</f>
        <v>MEI-KLB-L1B</v>
      </c>
    </row>
    <row r="1825" spans="1:17" x14ac:dyDescent="0.25">
      <c r="A1825" t="s">
        <v>395</v>
      </c>
      <c r="B1825" s="13" t="s">
        <v>24</v>
      </c>
      <c r="C1825" s="13" t="s">
        <v>226</v>
      </c>
      <c r="D1825" s="14" t="s">
        <v>221</v>
      </c>
      <c r="E1825" s="13" t="s">
        <v>61</v>
      </c>
      <c r="F1825" s="13" t="s">
        <v>862</v>
      </c>
      <c r="G1825" s="13">
        <v>0.68</v>
      </c>
      <c r="H1825" s="15">
        <v>1530</v>
      </c>
      <c r="I1825" s="16">
        <v>1040.4000000000001</v>
      </c>
      <c r="J1825" s="16">
        <v>597.09624356499364</v>
      </c>
      <c r="K1825" s="16">
        <v>443.30375643500639</v>
      </c>
      <c r="L1825" s="13">
        <v>1.82</v>
      </c>
      <c r="M1825" s="13"/>
      <c r="N1825" s="17">
        <f t="shared" si="62"/>
        <v>2784.6</v>
      </c>
      <c r="O1825" s="17">
        <f t="shared" si="62"/>
        <v>0</v>
      </c>
      <c r="P1825" s="17">
        <f t="shared" si="61"/>
        <v>2784.6</v>
      </c>
      <c r="Q1825" t="str">
        <f>A1825&amp;"-"&amp;B1825&amp;"-"&amp;D1825</f>
        <v>MEI-KLB-L1B</v>
      </c>
    </row>
    <row r="1826" spans="1:17" x14ac:dyDescent="0.25">
      <c r="A1826" t="s">
        <v>395</v>
      </c>
      <c r="B1826" s="13" t="s">
        <v>24</v>
      </c>
      <c r="C1826" s="13" t="s">
        <v>226</v>
      </c>
      <c r="D1826" s="14" t="s">
        <v>221</v>
      </c>
      <c r="E1826" s="13" t="s">
        <v>61</v>
      </c>
      <c r="F1826" s="13" t="s">
        <v>863</v>
      </c>
      <c r="G1826" s="13">
        <v>0.68</v>
      </c>
      <c r="H1826" s="15">
        <v>2323</v>
      </c>
      <c r="I1826" s="16">
        <v>1579.64</v>
      </c>
      <c r="J1826" s="16">
        <v>1005.1615364607867</v>
      </c>
      <c r="K1826" s="16">
        <v>574.47846353921329</v>
      </c>
      <c r="L1826" s="13">
        <v>1.82</v>
      </c>
      <c r="M1826" s="13"/>
      <c r="N1826" s="17">
        <f t="shared" si="62"/>
        <v>4227.8600000000006</v>
      </c>
      <c r="O1826" s="17">
        <f t="shared" si="62"/>
        <v>0</v>
      </c>
      <c r="P1826" s="17">
        <f t="shared" si="61"/>
        <v>4227.8600000000006</v>
      </c>
      <c r="Q1826" t="str">
        <f>A1826&amp;"-"&amp;B1826&amp;"-"&amp;D1826</f>
        <v>MEI-KLB-L1B</v>
      </c>
    </row>
    <row r="1827" spans="1:17" x14ac:dyDescent="0.25">
      <c r="A1827" t="s">
        <v>395</v>
      </c>
      <c r="B1827" s="13" t="s">
        <v>24</v>
      </c>
      <c r="C1827" s="13" t="s">
        <v>226</v>
      </c>
      <c r="D1827" s="14" t="s">
        <v>221</v>
      </c>
      <c r="E1827" s="13" t="s">
        <v>61</v>
      </c>
      <c r="F1827" s="13" t="s">
        <v>864</v>
      </c>
      <c r="G1827" s="13">
        <v>0.66</v>
      </c>
      <c r="H1827" s="15">
        <v>239</v>
      </c>
      <c r="I1827" s="16">
        <v>157.73999999999998</v>
      </c>
      <c r="J1827" s="16">
        <v>105.68582202424118</v>
      </c>
      <c r="K1827" s="16">
        <v>52.054177975758826</v>
      </c>
      <c r="L1827" s="13">
        <v>1.97</v>
      </c>
      <c r="M1827" s="13"/>
      <c r="N1827" s="17">
        <f t="shared" si="62"/>
        <v>470.83</v>
      </c>
      <c r="O1827" s="17">
        <f t="shared" si="62"/>
        <v>0</v>
      </c>
      <c r="P1827" s="17">
        <f t="shared" si="61"/>
        <v>470.83</v>
      </c>
      <c r="Q1827" t="str">
        <f>A1827&amp;"-"&amp;B1827&amp;"-"&amp;D1827</f>
        <v>MEI-KLB-L1B</v>
      </c>
    </row>
    <row r="1828" spans="1:17" x14ac:dyDescent="0.25">
      <c r="A1828" t="s">
        <v>395</v>
      </c>
      <c r="B1828" s="13" t="s">
        <v>24</v>
      </c>
      <c r="C1828" s="13" t="s">
        <v>226</v>
      </c>
      <c r="D1828" s="14" t="s">
        <v>221</v>
      </c>
      <c r="E1828" s="13" t="s">
        <v>61</v>
      </c>
      <c r="F1828" s="13" t="s">
        <v>865</v>
      </c>
      <c r="G1828" s="13">
        <v>0.8</v>
      </c>
      <c r="H1828" s="15">
        <v>9125</v>
      </c>
      <c r="I1828" s="16">
        <v>7300</v>
      </c>
      <c r="J1828" s="16">
        <v>3557.0856122513933</v>
      </c>
      <c r="K1828" s="16">
        <v>3742.9143877486067</v>
      </c>
      <c r="L1828" s="13">
        <v>2.1</v>
      </c>
      <c r="M1828" s="13"/>
      <c r="N1828" s="17">
        <f t="shared" si="62"/>
        <v>19162.5</v>
      </c>
      <c r="O1828" s="17">
        <f t="shared" si="62"/>
        <v>0</v>
      </c>
      <c r="P1828" s="17">
        <f t="shared" si="61"/>
        <v>19162.5</v>
      </c>
      <c r="Q1828" t="str">
        <f>A1828&amp;"-"&amp;B1828&amp;"-"&amp;D1828</f>
        <v>MEI-KLB-L1B</v>
      </c>
    </row>
    <row r="1829" spans="1:17" x14ac:dyDescent="0.25">
      <c r="A1829" t="s">
        <v>395</v>
      </c>
      <c r="B1829" s="13" t="s">
        <v>24</v>
      </c>
      <c r="C1829" s="13" t="s">
        <v>226</v>
      </c>
      <c r="D1829" s="14" t="s">
        <v>221</v>
      </c>
      <c r="E1829" s="13" t="s">
        <v>61</v>
      </c>
      <c r="F1829" s="13" t="s">
        <v>733</v>
      </c>
      <c r="G1829" s="13">
        <v>0.68</v>
      </c>
      <c r="H1829" s="15">
        <v>4</v>
      </c>
      <c r="I1829" s="16">
        <v>2.72</v>
      </c>
      <c r="J1829" s="16">
        <v>1.4357289527720738</v>
      </c>
      <c r="K1829" s="16">
        <v>1.2842710472279264</v>
      </c>
      <c r="L1829" s="13">
        <v>1.82</v>
      </c>
      <c r="M1829" s="13"/>
      <c r="N1829" s="17">
        <f t="shared" si="62"/>
        <v>7.28</v>
      </c>
      <c r="O1829" s="17">
        <f t="shared" si="62"/>
        <v>0</v>
      </c>
      <c r="P1829" s="17">
        <f t="shared" si="61"/>
        <v>7.28</v>
      </c>
      <c r="Q1829" t="str">
        <f>A1829&amp;"-"&amp;B1829&amp;"-"&amp;D1829</f>
        <v>MEI-KLB-L1B</v>
      </c>
    </row>
    <row r="1830" spans="1:17" x14ac:dyDescent="0.25">
      <c r="A1830" t="s">
        <v>395</v>
      </c>
      <c r="B1830" s="13" t="s">
        <v>24</v>
      </c>
      <c r="C1830" s="13" t="s">
        <v>226</v>
      </c>
      <c r="D1830" s="14" t="s">
        <v>221</v>
      </c>
      <c r="E1830" s="13" t="s">
        <v>61</v>
      </c>
      <c r="F1830" s="13" t="s">
        <v>866</v>
      </c>
      <c r="G1830" s="13">
        <v>0.68</v>
      </c>
      <c r="H1830" s="15">
        <v>6612</v>
      </c>
      <c r="I1830" s="16">
        <v>4496.16</v>
      </c>
      <c r="J1830" s="16">
        <v>2515.8655045285686</v>
      </c>
      <c r="K1830" s="16">
        <v>1980.2944954714317</v>
      </c>
      <c r="L1830" s="13">
        <v>1.82</v>
      </c>
      <c r="M1830" s="13"/>
      <c r="N1830" s="17">
        <f t="shared" si="62"/>
        <v>12033.84</v>
      </c>
      <c r="O1830" s="17">
        <f t="shared" si="62"/>
        <v>0</v>
      </c>
      <c r="P1830" s="17">
        <f t="shared" si="61"/>
        <v>12033.84</v>
      </c>
      <c r="Q1830" t="str">
        <f>A1830&amp;"-"&amp;B1830&amp;"-"&amp;D1830</f>
        <v>MEI-KLB-L1B</v>
      </c>
    </row>
    <row r="1831" spans="1:17" x14ac:dyDescent="0.25">
      <c r="A1831" t="s">
        <v>395</v>
      </c>
      <c r="B1831" s="13" t="s">
        <v>24</v>
      </c>
      <c r="C1831" s="13" t="s">
        <v>226</v>
      </c>
      <c r="D1831" s="14" t="s">
        <v>221</v>
      </c>
      <c r="E1831" s="13" t="s">
        <v>61</v>
      </c>
      <c r="F1831" s="13" t="s">
        <v>867</v>
      </c>
      <c r="G1831" s="13">
        <v>0.66</v>
      </c>
      <c r="H1831" s="15">
        <v>230</v>
      </c>
      <c r="I1831" s="16">
        <v>151.80000000000001</v>
      </c>
      <c r="J1831" s="16">
        <v>92.157314875491494</v>
      </c>
      <c r="K1831" s="16">
        <v>59.64268512450851</v>
      </c>
      <c r="L1831" s="13">
        <v>1.97</v>
      </c>
      <c r="M1831" s="13"/>
      <c r="N1831" s="17">
        <f t="shared" si="62"/>
        <v>453.09999999999997</v>
      </c>
      <c r="O1831" s="17">
        <f t="shared" si="62"/>
        <v>0</v>
      </c>
      <c r="P1831" s="17">
        <f t="shared" si="61"/>
        <v>453.09999999999997</v>
      </c>
      <c r="Q1831" t="str">
        <f>A1831&amp;"-"&amp;B1831&amp;"-"&amp;D1831</f>
        <v>MEI-KLB-L1B</v>
      </c>
    </row>
    <row r="1832" spans="1:17" x14ac:dyDescent="0.25">
      <c r="A1832" t="s">
        <v>395</v>
      </c>
      <c r="B1832" s="13" t="s">
        <v>24</v>
      </c>
      <c r="C1832" s="13" t="s">
        <v>226</v>
      </c>
      <c r="D1832" s="14" t="s">
        <v>221</v>
      </c>
      <c r="E1832" s="13" t="s">
        <v>61</v>
      </c>
      <c r="F1832" s="13" t="s">
        <v>868</v>
      </c>
      <c r="G1832" s="13">
        <v>0.8</v>
      </c>
      <c r="H1832" s="15">
        <v>2585</v>
      </c>
      <c r="I1832" s="16">
        <v>2068</v>
      </c>
      <c r="J1832" s="16">
        <v>1070.0467571644044</v>
      </c>
      <c r="K1832" s="16">
        <v>997.95324283559569</v>
      </c>
      <c r="L1832" s="13">
        <v>2.1</v>
      </c>
      <c r="M1832" s="13"/>
      <c r="N1832" s="17">
        <f t="shared" si="62"/>
        <v>5428.5</v>
      </c>
      <c r="O1832" s="17">
        <f t="shared" si="62"/>
        <v>0</v>
      </c>
      <c r="P1832" s="17">
        <f t="shared" si="61"/>
        <v>5428.5</v>
      </c>
      <c r="Q1832" t="str">
        <f>A1832&amp;"-"&amp;B1832&amp;"-"&amp;D1832</f>
        <v>MEI-KLB-L1B</v>
      </c>
    </row>
    <row r="1833" spans="1:17" x14ac:dyDescent="0.25">
      <c r="A1833" t="s">
        <v>395</v>
      </c>
      <c r="B1833" s="13" t="s">
        <v>24</v>
      </c>
      <c r="C1833" s="13" t="s">
        <v>226</v>
      </c>
      <c r="D1833" s="14" t="s">
        <v>221</v>
      </c>
      <c r="E1833" s="13" t="s">
        <v>61</v>
      </c>
      <c r="F1833" s="13" t="s">
        <v>878</v>
      </c>
      <c r="G1833" s="13">
        <v>0.8</v>
      </c>
      <c r="H1833" s="15">
        <v>1410</v>
      </c>
      <c r="I1833" s="16">
        <v>1128</v>
      </c>
      <c r="J1833" s="16">
        <v>557.61990950226243</v>
      </c>
      <c r="K1833" s="16">
        <v>570.38009049773757</v>
      </c>
      <c r="L1833" s="13">
        <v>2.1</v>
      </c>
      <c r="M1833" s="13"/>
      <c r="N1833" s="17">
        <f t="shared" si="62"/>
        <v>2961</v>
      </c>
      <c r="O1833" s="17">
        <f t="shared" si="62"/>
        <v>0</v>
      </c>
      <c r="P1833" s="17">
        <f t="shared" si="61"/>
        <v>2961</v>
      </c>
      <c r="Q1833" t="str">
        <f>A1833&amp;"-"&amp;B1833&amp;"-"&amp;D1833</f>
        <v>MEI-KLB-L1B</v>
      </c>
    </row>
    <row r="1834" spans="1:17" x14ac:dyDescent="0.25">
      <c r="A1834" t="s">
        <v>395</v>
      </c>
      <c r="B1834" s="13" t="s">
        <v>24</v>
      </c>
      <c r="C1834" s="13" t="s">
        <v>226</v>
      </c>
      <c r="D1834" s="14" t="s">
        <v>221</v>
      </c>
      <c r="E1834" s="13" t="s">
        <v>61</v>
      </c>
      <c r="F1834" s="13" t="s">
        <v>869</v>
      </c>
      <c r="G1834" s="13">
        <v>0.68</v>
      </c>
      <c r="H1834" s="15">
        <v>1780</v>
      </c>
      <c r="I1834" s="16">
        <v>1210.4000000000001</v>
      </c>
      <c r="J1834" s="16">
        <v>700.77477477477476</v>
      </c>
      <c r="K1834" s="16">
        <v>509.62522522522534</v>
      </c>
      <c r="L1834" s="13">
        <v>1.83</v>
      </c>
      <c r="M1834" s="13"/>
      <c r="N1834" s="17">
        <f t="shared" si="62"/>
        <v>3257.4</v>
      </c>
      <c r="O1834" s="17">
        <f t="shared" si="62"/>
        <v>0</v>
      </c>
      <c r="P1834" s="17">
        <f t="shared" si="61"/>
        <v>3257.4</v>
      </c>
      <c r="Q1834" t="str">
        <f>A1834&amp;"-"&amp;B1834&amp;"-"&amp;D1834</f>
        <v>MEI-KLB-L1B</v>
      </c>
    </row>
    <row r="1835" spans="1:17" x14ac:dyDescent="0.25">
      <c r="A1835" t="s">
        <v>395</v>
      </c>
      <c r="B1835" s="13" t="s">
        <v>24</v>
      </c>
      <c r="C1835" s="13" t="s">
        <v>226</v>
      </c>
      <c r="D1835" s="14" t="s">
        <v>221</v>
      </c>
      <c r="E1835" s="13" t="s">
        <v>61</v>
      </c>
      <c r="F1835" s="13" t="s">
        <v>870</v>
      </c>
      <c r="G1835" s="13">
        <v>0.68</v>
      </c>
      <c r="H1835" s="15">
        <v>795</v>
      </c>
      <c r="I1835" s="16">
        <v>540.6</v>
      </c>
      <c r="J1835" s="16">
        <v>310.45559845559848</v>
      </c>
      <c r="K1835" s="16">
        <v>230.14440154440155</v>
      </c>
      <c r="L1835" s="13">
        <v>1.83</v>
      </c>
      <c r="M1835" s="13"/>
      <c r="N1835" s="17">
        <f t="shared" si="62"/>
        <v>1454.8500000000001</v>
      </c>
      <c r="O1835" s="17">
        <f t="shared" si="62"/>
        <v>0</v>
      </c>
      <c r="P1835" s="17">
        <f t="shared" si="61"/>
        <v>1454.8500000000001</v>
      </c>
      <c r="Q1835" t="str">
        <f>A1835&amp;"-"&amp;B1835&amp;"-"&amp;D1835</f>
        <v>MEI-KLB-L1B</v>
      </c>
    </row>
    <row r="1836" spans="1:17" x14ac:dyDescent="0.25">
      <c r="A1836" t="s">
        <v>395</v>
      </c>
      <c r="B1836" s="13" t="s">
        <v>24</v>
      </c>
      <c r="C1836" s="13" t="s">
        <v>226</v>
      </c>
      <c r="D1836" s="14" t="s">
        <v>221</v>
      </c>
      <c r="E1836" s="13" t="s">
        <v>61</v>
      </c>
      <c r="F1836" s="13" t="s">
        <v>871</v>
      </c>
      <c r="G1836" s="13">
        <v>0.69</v>
      </c>
      <c r="H1836" s="15">
        <v>2264</v>
      </c>
      <c r="I1836" s="16">
        <v>1562.16</v>
      </c>
      <c r="J1836" s="16">
        <v>812.95518514897026</v>
      </c>
      <c r="K1836" s="16">
        <v>749.20481485102982</v>
      </c>
      <c r="L1836" s="13">
        <v>1.83</v>
      </c>
      <c r="M1836" s="13"/>
      <c r="N1836" s="17">
        <f t="shared" si="62"/>
        <v>4143.12</v>
      </c>
      <c r="O1836" s="17">
        <f t="shared" si="62"/>
        <v>0</v>
      </c>
      <c r="P1836" s="17">
        <f t="shared" si="61"/>
        <v>4143.12</v>
      </c>
      <c r="Q1836" t="str">
        <f>A1836&amp;"-"&amp;B1836&amp;"-"&amp;D1836</f>
        <v>MEI-KLB-L1B</v>
      </c>
    </row>
    <row r="1837" spans="1:17" x14ac:dyDescent="0.25">
      <c r="A1837" t="s">
        <v>395</v>
      </c>
      <c r="B1837" s="13" t="s">
        <v>24</v>
      </c>
      <c r="C1837" s="13" t="s">
        <v>226</v>
      </c>
      <c r="D1837" s="14" t="s">
        <v>221</v>
      </c>
      <c r="E1837" s="13" t="s">
        <v>61</v>
      </c>
      <c r="F1837" s="13" t="s">
        <v>738</v>
      </c>
      <c r="G1837" s="13">
        <v>0.69</v>
      </c>
      <c r="H1837" s="15">
        <v>2</v>
      </c>
      <c r="I1837" s="16">
        <v>1.38</v>
      </c>
      <c r="J1837" s="16">
        <v>0.77585441633377716</v>
      </c>
      <c r="K1837" s="16">
        <v>0.60414558366622273</v>
      </c>
      <c r="L1837" s="13">
        <v>1.83</v>
      </c>
      <c r="M1837" s="13"/>
      <c r="N1837" s="17">
        <f t="shared" si="62"/>
        <v>3.66</v>
      </c>
      <c r="O1837" s="17">
        <f t="shared" si="62"/>
        <v>0</v>
      </c>
      <c r="P1837" s="17">
        <f t="shared" si="61"/>
        <v>3.66</v>
      </c>
      <c r="Q1837" t="str">
        <f>A1837&amp;"-"&amp;B1837&amp;"-"&amp;D1837</f>
        <v>MEI-KLB-L1B</v>
      </c>
    </row>
    <row r="1838" spans="1:17" x14ac:dyDescent="0.25">
      <c r="A1838" t="s">
        <v>395</v>
      </c>
      <c r="B1838" s="13" t="s">
        <v>24</v>
      </c>
      <c r="C1838" s="13" t="s">
        <v>226</v>
      </c>
      <c r="D1838" s="14" t="s">
        <v>221</v>
      </c>
      <c r="E1838" s="13" t="s">
        <v>61</v>
      </c>
      <c r="F1838" s="13" t="s">
        <v>873</v>
      </c>
      <c r="G1838" s="13">
        <v>0.68</v>
      </c>
      <c r="H1838" s="15">
        <v>700</v>
      </c>
      <c r="I1838" s="16">
        <v>476</v>
      </c>
      <c r="J1838" s="16">
        <v>328.04289544235922</v>
      </c>
      <c r="K1838" s="16">
        <v>147.95710455764078</v>
      </c>
      <c r="L1838" s="13">
        <v>1.83</v>
      </c>
      <c r="M1838" s="13"/>
      <c r="N1838" s="17">
        <f t="shared" si="62"/>
        <v>1281</v>
      </c>
      <c r="O1838" s="17">
        <f t="shared" si="62"/>
        <v>0</v>
      </c>
      <c r="P1838" s="17">
        <f t="shared" si="61"/>
        <v>1281</v>
      </c>
      <c r="Q1838" t="str">
        <f>A1838&amp;"-"&amp;B1838&amp;"-"&amp;D1838</f>
        <v>MEI-KLB-L1B</v>
      </c>
    </row>
    <row r="1839" spans="1:17" x14ac:dyDescent="0.25">
      <c r="A1839" t="s">
        <v>395</v>
      </c>
      <c r="B1839" s="13" t="s">
        <v>24</v>
      </c>
      <c r="C1839" s="13" t="s">
        <v>226</v>
      </c>
      <c r="D1839" s="14" t="s">
        <v>221</v>
      </c>
      <c r="E1839" s="13" t="s">
        <v>61</v>
      </c>
      <c r="F1839" s="13" t="s">
        <v>874</v>
      </c>
      <c r="G1839" s="13">
        <v>0.68</v>
      </c>
      <c r="H1839" s="15">
        <v>410</v>
      </c>
      <c r="I1839" s="16">
        <v>278.8</v>
      </c>
      <c r="J1839" s="16">
        <v>162.93700362767635</v>
      </c>
      <c r="K1839" s="16">
        <v>115.86299637232369</v>
      </c>
      <c r="L1839" s="13">
        <v>1.83</v>
      </c>
      <c r="M1839" s="13"/>
      <c r="N1839" s="17">
        <f t="shared" si="62"/>
        <v>750.30000000000007</v>
      </c>
      <c r="O1839" s="17">
        <f t="shared" si="62"/>
        <v>0</v>
      </c>
      <c r="P1839" s="17">
        <f t="shared" si="61"/>
        <v>750.30000000000007</v>
      </c>
      <c r="Q1839" t="str">
        <f>A1839&amp;"-"&amp;B1839&amp;"-"&amp;D1839</f>
        <v>MEI-KLB-L1B</v>
      </c>
    </row>
    <row r="1840" spans="1:17" x14ac:dyDescent="0.25">
      <c r="A1840" t="s">
        <v>395</v>
      </c>
      <c r="B1840" s="13" t="s">
        <v>24</v>
      </c>
      <c r="C1840" s="13" t="s">
        <v>226</v>
      </c>
      <c r="D1840" s="14" t="s">
        <v>221</v>
      </c>
      <c r="E1840" s="13" t="s">
        <v>61</v>
      </c>
      <c r="F1840" s="13" t="s">
        <v>744</v>
      </c>
      <c r="G1840" s="13">
        <v>0.69</v>
      </c>
      <c r="H1840" s="15">
        <v>1065</v>
      </c>
      <c r="I1840" s="16">
        <v>734.85</v>
      </c>
      <c r="J1840" s="16">
        <v>432.43711438063599</v>
      </c>
      <c r="K1840" s="16">
        <v>302.41288561936409</v>
      </c>
      <c r="L1840" s="13">
        <v>1.83</v>
      </c>
      <c r="M1840" s="13"/>
      <c r="N1840" s="17">
        <f t="shared" si="62"/>
        <v>1948.95</v>
      </c>
      <c r="O1840" s="17">
        <f t="shared" si="62"/>
        <v>0</v>
      </c>
      <c r="P1840" s="17">
        <f t="shared" si="61"/>
        <v>1948.95</v>
      </c>
      <c r="Q1840" t="str">
        <f>A1840&amp;"-"&amp;B1840&amp;"-"&amp;D1840</f>
        <v>MEI-KLB-L1B</v>
      </c>
    </row>
    <row r="1841" spans="1:17" x14ac:dyDescent="0.25">
      <c r="A1841" t="s">
        <v>395</v>
      </c>
      <c r="B1841" s="13" t="s">
        <v>24</v>
      </c>
      <c r="C1841" s="13" t="s">
        <v>226</v>
      </c>
      <c r="D1841" s="14" t="s">
        <v>221</v>
      </c>
      <c r="E1841" s="13" t="s">
        <v>61</v>
      </c>
      <c r="F1841" s="13" t="s">
        <v>745</v>
      </c>
      <c r="G1841" s="13">
        <v>0.66</v>
      </c>
      <c r="H1841" s="15">
        <v>371</v>
      </c>
      <c r="I1841" s="16">
        <v>244.86</v>
      </c>
      <c r="J1841" s="16">
        <v>150.54834486360116</v>
      </c>
      <c r="K1841" s="16">
        <v>94.311655136398869</v>
      </c>
      <c r="L1841" s="13">
        <v>1.98</v>
      </c>
      <c r="M1841" s="13"/>
      <c r="N1841" s="17">
        <f t="shared" si="62"/>
        <v>734.58</v>
      </c>
      <c r="O1841" s="17">
        <f t="shared" si="62"/>
        <v>0</v>
      </c>
      <c r="P1841" s="17">
        <f t="shared" si="61"/>
        <v>734.58</v>
      </c>
      <c r="Q1841" t="str">
        <f>A1841&amp;"-"&amp;B1841&amp;"-"&amp;D1841</f>
        <v>MEI-KLB-L1B</v>
      </c>
    </row>
    <row r="1842" spans="1:17" x14ac:dyDescent="0.25">
      <c r="A1842" t="s">
        <v>395</v>
      </c>
      <c r="B1842" s="13" t="s">
        <v>24</v>
      </c>
      <c r="C1842" s="13" t="s">
        <v>226</v>
      </c>
      <c r="D1842" s="14" t="s">
        <v>221</v>
      </c>
      <c r="E1842" s="13" t="s">
        <v>61</v>
      </c>
      <c r="F1842" s="13" t="s">
        <v>876</v>
      </c>
      <c r="G1842" s="13">
        <v>0.65</v>
      </c>
      <c r="H1842" s="15">
        <v>1165</v>
      </c>
      <c r="I1842" s="16">
        <v>757.25</v>
      </c>
      <c r="J1842" s="16">
        <v>543.07338003845666</v>
      </c>
      <c r="K1842" s="16">
        <v>214.17661996154328</v>
      </c>
      <c r="L1842" s="13">
        <v>1.64</v>
      </c>
      <c r="M1842" s="13"/>
      <c r="N1842" s="17">
        <f t="shared" si="62"/>
        <v>1910.6</v>
      </c>
      <c r="O1842" s="17">
        <f t="shared" si="62"/>
        <v>0</v>
      </c>
      <c r="P1842" s="17">
        <f t="shared" si="61"/>
        <v>1910.6</v>
      </c>
      <c r="Q1842" t="str">
        <f>A1842&amp;"-"&amp;B1842&amp;"-"&amp;D1842</f>
        <v>MEI-KLB-L1B</v>
      </c>
    </row>
    <row r="1843" spans="1:17" x14ac:dyDescent="0.25">
      <c r="A1843" t="s">
        <v>395</v>
      </c>
      <c r="B1843" s="13" t="s">
        <v>24</v>
      </c>
      <c r="C1843" s="13" t="s">
        <v>226</v>
      </c>
      <c r="D1843" s="14" t="s">
        <v>221</v>
      </c>
      <c r="E1843" s="13" t="s">
        <v>61</v>
      </c>
      <c r="F1843" s="13" t="s">
        <v>877</v>
      </c>
      <c r="G1843" s="13">
        <v>0.65</v>
      </c>
      <c r="H1843" s="15">
        <v>6800</v>
      </c>
      <c r="I1843" s="16">
        <v>4420</v>
      </c>
      <c r="J1843" s="16">
        <v>2651.1133608923669</v>
      </c>
      <c r="K1843" s="16">
        <v>1768.8866391076335</v>
      </c>
      <c r="L1843" s="13">
        <v>1.66</v>
      </c>
      <c r="M1843" s="13"/>
      <c r="N1843" s="17">
        <f t="shared" si="62"/>
        <v>11288</v>
      </c>
      <c r="O1843" s="17">
        <f t="shared" si="62"/>
        <v>0</v>
      </c>
      <c r="P1843" s="17">
        <f t="shared" si="61"/>
        <v>11288</v>
      </c>
      <c r="Q1843" t="str">
        <f>A1843&amp;"-"&amp;B1843&amp;"-"&amp;D1843</f>
        <v>MEI-KLB-L1B</v>
      </c>
    </row>
    <row r="1844" spans="1:17" x14ac:dyDescent="0.25">
      <c r="A1844" t="s">
        <v>395</v>
      </c>
      <c r="B1844" s="13" t="s">
        <v>24</v>
      </c>
      <c r="C1844" s="13" t="s">
        <v>226</v>
      </c>
      <c r="D1844" s="14" t="s">
        <v>222</v>
      </c>
      <c r="E1844" s="13" t="s">
        <v>61</v>
      </c>
      <c r="F1844" s="13" t="s">
        <v>879</v>
      </c>
      <c r="G1844" s="13">
        <v>0.76</v>
      </c>
      <c r="H1844" s="15">
        <v>1410</v>
      </c>
      <c r="I1844" s="16">
        <v>1071.5999999999999</v>
      </c>
      <c r="J1844" s="16">
        <v>631.96923076923076</v>
      </c>
      <c r="K1844" s="16">
        <v>439.63076923076915</v>
      </c>
      <c r="L1844" s="13">
        <v>2</v>
      </c>
      <c r="M1844" s="13"/>
      <c r="N1844" s="17">
        <f t="shared" si="62"/>
        <v>2820</v>
      </c>
      <c r="O1844" s="17">
        <f t="shared" si="62"/>
        <v>0</v>
      </c>
      <c r="P1844" s="17">
        <f t="shared" si="61"/>
        <v>2820</v>
      </c>
      <c r="Q1844" t="str">
        <f>A1844&amp;"-"&amp;B1844&amp;"-"&amp;D1844</f>
        <v>MEI-KLB-L2A</v>
      </c>
    </row>
    <row r="1845" spans="1:17" x14ac:dyDescent="0.25">
      <c r="A1845" t="s">
        <v>395</v>
      </c>
      <c r="B1845" s="13" t="s">
        <v>24</v>
      </c>
      <c r="C1845" s="13" t="s">
        <v>226</v>
      </c>
      <c r="D1845" s="14" t="s">
        <v>222</v>
      </c>
      <c r="E1845" s="13" t="s">
        <v>61</v>
      </c>
      <c r="F1845" s="13" t="s">
        <v>880</v>
      </c>
      <c r="G1845" s="13">
        <v>0.76</v>
      </c>
      <c r="H1845" s="15">
        <v>7955</v>
      </c>
      <c r="I1845" s="16">
        <v>6045.8000000000011</v>
      </c>
      <c r="J1845" s="16">
        <v>3404.3609921399943</v>
      </c>
      <c r="K1845" s="16">
        <v>2641.4390078600054</v>
      </c>
      <c r="L1845" s="13">
        <v>2</v>
      </c>
      <c r="M1845" s="13"/>
      <c r="N1845" s="17">
        <f t="shared" si="62"/>
        <v>15910</v>
      </c>
      <c r="O1845" s="17">
        <f t="shared" si="62"/>
        <v>0</v>
      </c>
      <c r="P1845" s="17">
        <f t="shared" si="61"/>
        <v>15910</v>
      </c>
      <c r="Q1845" t="str">
        <f>A1845&amp;"-"&amp;B1845&amp;"-"&amp;D1845</f>
        <v>MEI-KLB-L2A</v>
      </c>
    </row>
    <row r="1846" spans="1:17" x14ac:dyDescent="0.25">
      <c r="A1846" t="s">
        <v>395</v>
      </c>
      <c r="B1846" s="13" t="s">
        <v>24</v>
      </c>
      <c r="C1846" s="13" t="s">
        <v>226</v>
      </c>
      <c r="D1846" s="14" t="s">
        <v>222</v>
      </c>
      <c r="E1846" s="13" t="s">
        <v>61</v>
      </c>
      <c r="F1846" s="13" t="s">
        <v>881</v>
      </c>
      <c r="G1846" s="13">
        <v>0.74</v>
      </c>
      <c r="H1846" s="15">
        <v>655</v>
      </c>
      <c r="I1846" s="16">
        <v>484.7</v>
      </c>
      <c r="J1846" s="16">
        <v>295.48531107135756</v>
      </c>
      <c r="K1846" s="16">
        <v>189.21468892864243</v>
      </c>
      <c r="L1846" s="13">
        <v>2.17</v>
      </c>
      <c r="M1846" s="13"/>
      <c r="N1846" s="17">
        <f t="shared" si="62"/>
        <v>1421.35</v>
      </c>
      <c r="O1846" s="17">
        <f t="shared" si="62"/>
        <v>0</v>
      </c>
      <c r="P1846" s="17">
        <f t="shared" si="61"/>
        <v>1421.35</v>
      </c>
      <c r="Q1846" t="str">
        <f>A1846&amp;"-"&amp;B1846&amp;"-"&amp;D1846</f>
        <v>MEI-KLB-L2A</v>
      </c>
    </row>
    <row r="1847" spans="1:17" x14ac:dyDescent="0.25">
      <c r="A1847" t="s">
        <v>395</v>
      </c>
      <c r="B1847" s="13" t="s">
        <v>24</v>
      </c>
      <c r="C1847" s="13" t="s">
        <v>226</v>
      </c>
      <c r="D1847" s="14" t="s">
        <v>222</v>
      </c>
      <c r="E1847" s="13" t="s">
        <v>61</v>
      </c>
      <c r="F1847" s="13" t="s">
        <v>730</v>
      </c>
      <c r="G1847" s="13">
        <v>0.68</v>
      </c>
      <c r="H1847" s="15">
        <v>1797</v>
      </c>
      <c r="I1847" s="16">
        <v>1221.96</v>
      </c>
      <c r="J1847" s="16">
        <v>667.18818290093736</v>
      </c>
      <c r="K1847" s="16">
        <v>554.77181709906256</v>
      </c>
      <c r="L1847" s="13">
        <v>1.82</v>
      </c>
      <c r="M1847" s="13"/>
      <c r="N1847" s="17">
        <f t="shared" si="62"/>
        <v>3270.54</v>
      </c>
      <c r="O1847" s="17">
        <f t="shared" si="62"/>
        <v>0</v>
      </c>
      <c r="P1847" s="17">
        <f t="shared" si="61"/>
        <v>3270.54</v>
      </c>
      <c r="Q1847" t="str">
        <f>A1847&amp;"-"&amp;B1847&amp;"-"&amp;D1847</f>
        <v>MEI-KLB-L2A</v>
      </c>
    </row>
    <row r="1848" spans="1:17" x14ac:dyDescent="0.25">
      <c r="A1848" t="s">
        <v>395</v>
      </c>
      <c r="B1848" s="13" t="s">
        <v>24</v>
      </c>
      <c r="C1848" s="13" t="s">
        <v>226</v>
      </c>
      <c r="D1848" s="14" t="s">
        <v>222</v>
      </c>
      <c r="E1848" s="13" t="s">
        <v>61</v>
      </c>
      <c r="F1848" s="13" t="s">
        <v>731</v>
      </c>
      <c r="G1848" s="13">
        <v>0.68</v>
      </c>
      <c r="H1848" s="15">
        <v>555</v>
      </c>
      <c r="I1848" s="16">
        <v>377.4</v>
      </c>
      <c r="J1848" s="16">
        <v>205.97452229299364</v>
      </c>
      <c r="K1848" s="16">
        <v>171.42547770700634</v>
      </c>
      <c r="L1848" s="13">
        <v>1.82</v>
      </c>
      <c r="M1848" s="13"/>
      <c r="N1848" s="17">
        <f t="shared" si="62"/>
        <v>1010.1</v>
      </c>
      <c r="O1848" s="17">
        <f t="shared" si="62"/>
        <v>0</v>
      </c>
      <c r="P1848" s="17">
        <f t="shared" si="61"/>
        <v>1010.1</v>
      </c>
      <c r="Q1848" t="str">
        <f>A1848&amp;"-"&amp;B1848&amp;"-"&amp;D1848</f>
        <v>MEI-KLB-L2A</v>
      </c>
    </row>
    <row r="1849" spans="1:17" x14ac:dyDescent="0.25">
      <c r="A1849" t="s">
        <v>395</v>
      </c>
      <c r="B1849" s="13" t="s">
        <v>24</v>
      </c>
      <c r="C1849" s="13" t="s">
        <v>226</v>
      </c>
      <c r="D1849" s="14" t="s">
        <v>222</v>
      </c>
      <c r="E1849" s="13" t="s">
        <v>61</v>
      </c>
      <c r="F1849" s="13" t="s">
        <v>862</v>
      </c>
      <c r="G1849" s="13">
        <v>0.68</v>
      </c>
      <c r="H1849" s="15">
        <v>3586</v>
      </c>
      <c r="I1849" s="16">
        <v>2438.4799999999996</v>
      </c>
      <c r="J1849" s="16">
        <v>1546.6575757179371</v>
      </c>
      <c r="K1849" s="16">
        <v>891.8224242820628</v>
      </c>
      <c r="L1849" s="13">
        <v>1.82</v>
      </c>
      <c r="M1849" s="13"/>
      <c r="N1849" s="17">
        <f t="shared" si="62"/>
        <v>6526.52</v>
      </c>
      <c r="O1849" s="17">
        <f t="shared" si="62"/>
        <v>0</v>
      </c>
      <c r="P1849" s="17">
        <f t="shared" si="61"/>
        <v>6526.52</v>
      </c>
      <c r="Q1849" t="str">
        <f>A1849&amp;"-"&amp;B1849&amp;"-"&amp;D1849</f>
        <v>MEI-KLB-L2A</v>
      </c>
    </row>
    <row r="1850" spans="1:17" x14ac:dyDescent="0.25">
      <c r="A1850" t="s">
        <v>395</v>
      </c>
      <c r="B1850" s="13" t="s">
        <v>24</v>
      </c>
      <c r="C1850" s="13" t="s">
        <v>226</v>
      </c>
      <c r="D1850" s="14" t="s">
        <v>222</v>
      </c>
      <c r="E1850" s="13" t="s">
        <v>61</v>
      </c>
      <c r="F1850" s="13" t="s">
        <v>863</v>
      </c>
      <c r="G1850" s="13">
        <v>0.68</v>
      </c>
      <c r="H1850" s="15">
        <v>3410</v>
      </c>
      <c r="I1850" s="16">
        <v>2318.8000000000002</v>
      </c>
      <c r="J1850" s="16">
        <v>1329.8548314606742</v>
      </c>
      <c r="K1850" s="16">
        <v>988.945168539326</v>
      </c>
      <c r="L1850" s="13">
        <v>1.82</v>
      </c>
      <c r="M1850" s="13"/>
      <c r="N1850" s="17">
        <f t="shared" si="62"/>
        <v>6206.2</v>
      </c>
      <c r="O1850" s="17">
        <f t="shared" si="62"/>
        <v>0</v>
      </c>
      <c r="P1850" s="17">
        <f t="shared" si="61"/>
        <v>6206.2</v>
      </c>
      <c r="Q1850" t="str">
        <f>A1850&amp;"-"&amp;B1850&amp;"-"&amp;D1850</f>
        <v>MEI-KLB-L2A</v>
      </c>
    </row>
    <row r="1851" spans="1:17" x14ac:dyDescent="0.25">
      <c r="A1851" t="s">
        <v>395</v>
      </c>
      <c r="B1851" s="13" t="s">
        <v>24</v>
      </c>
      <c r="C1851" s="13" t="s">
        <v>226</v>
      </c>
      <c r="D1851" s="14" t="s">
        <v>222</v>
      </c>
      <c r="E1851" s="13" t="s">
        <v>61</v>
      </c>
      <c r="F1851" s="13" t="s">
        <v>864</v>
      </c>
      <c r="G1851" s="13">
        <v>0.66</v>
      </c>
      <c r="H1851" s="15">
        <v>370</v>
      </c>
      <c r="I1851" s="16">
        <v>244.2</v>
      </c>
      <c r="J1851" s="16">
        <v>145.33932584269664</v>
      </c>
      <c r="K1851" s="16">
        <v>98.86067415730335</v>
      </c>
      <c r="L1851" s="13">
        <v>1.97</v>
      </c>
      <c r="M1851" s="13"/>
      <c r="N1851" s="17">
        <f t="shared" si="62"/>
        <v>728.9</v>
      </c>
      <c r="O1851" s="17">
        <f t="shared" si="62"/>
        <v>0</v>
      </c>
      <c r="P1851" s="17">
        <f t="shared" si="61"/>
        <v>728.9</v>
      </c>
      <c r="Q1851" t="str">
        <f>A1851&amp;"-"&amp;B1851&amp;"-"&amp;D1851</f>
        <v>MEI-KLB-L2A</v>
      </c>
    </row>
    <row r="1852" spans="1:17" x14ac:dyDescent="0.25">
      <c r="A1852" t="s">
        <v>395</v>
      </c>
      <c r="B1852" s="13" t="s">
        <v>24</v>
      </c>
      <c r="C1852" s="13" t="s">
        <v>226</v>
      </c>
      <c r="D1852" s="14" t="s">
        <v>222</v>
      </c>
      <c r="E1852" s="13" t="s">
        <v>61</v>
      </c>
      <c r="F1852" s="13" t="s">
        <v>733</v>
      </c>
      <c r="G1852" s="13">
        <v>0.68</v>
      </c>
      <c r="H1852" s="15">
        <v>4</v>
      </c>
      <c r="I1852" s="16">
        <v>2.72</v>
      </c>
      <c r="J1852" s="16">
        <v>1.4845010615711254</v>
      </c>
      <c r="K1852" s="16">
        <v>1.2354989384288748</v>
      </c>
      <c r="L1852" s="13">
        <v>1.82</v>
      </c>
      <c r="M1852" s="13"/>
      <c r="N1852" s="17">
        <f t="shared" si="62"/>
        <v>7.28</v>
      </c>
      <c r="O1852" s="17">
        <f t="shared" si="62"/>
        <v>0</v>
      </c>
      <c r="P1852" s="17">
        <f t="shared" si="61"/>
        <v>7.28</v>
      </c>
      <c r="Q1852" t="str">
        <f>A1852&amp;"-"&amp;B1852&amp;"-"&amp;D1852</f>
        <v>MEI-KLB-L2A</v>
      </c>
    </row>
    <row r="1853" spans="1:17" x14ac:dyDescent="0.25">
      <c r="A1853" t="s">
        <v>395</v>
      </c>
      <c r="B1853" s="13" t="s">
        <v>24</v>
      </c>
      <c r="C1853" s="13" t="s">
        <v>226</v>
      </c>
      <c r="D1853" s="14" t="s">
        <v>222</v>
      </c>
      <c r="E1853" s="13" t="s">
        <v>61</v>
      </c>
      <c r="F1853" s="13" t="s">
        <v>866</v>
      </c>
      <c r="G1853" s="13">
        <v>0.68</v>
      </c>
      <c r="H1853" s="15">
        <v>6301</v>
      </c>
      <c r="I1853" s="16">
        <v>4284.68</v>
      </c>
      <c r="J1853" s="16">
        <v>2667.7489403452973</v>
      </c>
      <c r="K1853" s="16">
        <v>1616.9310596547027</v>
      </c>
      <c r="L1853" s="13">
        <v>1.82</v>
      </c>
      <c r="M1853" s="13"/>
      <c r="N1853" s="17">
        <f t="shared" si="62"/>
        <v>11467.82</v>
      </c>
      <c r="O1853" s="17">
        <f t="shared" si="62"/>
        <v>0</v>
      </c>
      <c r="P1853" s="17">
        <f t="shared" si="61"/>
        <v>11467.82</v>
      </c>
      <c r="Q1853" t="str">
        <f>A1853&amp;"-"&amp;B1853&amp;"-"&amp;D1853</f>
        <v>MEI-KLB-L2A</v>
      </c>
    </row>
    <row r="1854" spans="1:17" x14ac:dyDescent="0.25">
      <c r="A1854" t="s">
        <v>395</v>
      </c>
      <c r="B1854" s="13" t="s">
        <v>24</v>
      </c>
      <c r="C1854" s="13" t="s">
        <v>226</v>
      </c>
      <c r="D1854" s="14" t="s">
        <v>222</v>
      </c>
      <c r="E1854" s="13" t="s">
        <v>61</v>
      </c>
      <c r="F1854" s="13" t="s">
        <v>867</v>
      </c>
      <c r="G1854" s="13">
        <v>0.66</v>
      </c>
      <c r="H1854" s="15">
        <v>130</v>
      </c>
      <c r="I1854" s="16">
        <v>85.8</v>
      </c>
      <c r="J1854" s="16">
        <v>54.47135455218357</v>
      </c>
      <c r="K1854" s="16">
        <v>31.328645447816434</v>
      </c>
      <c r="L1854" s="13">
        <v>1.97</v>
      </c>
      <c r="M1854" s="13"/>
      <c r="N1854" s="17">
        <f t="shared" si="62"/>
        <v>256.10000000000002</v>
      </c>
      <c r="O1854" s="17">
        <f t="shared" si="62"/>
        <v>0</v>
      </c>
      <c r="P1854" s="17">
        <f t="shared" si="61"/>
        <v>256.10000000000002</v>
      </c>
      <c r="Q1854" t="str">
        <f>A1854&amp;"-"&amp;B1854&amp;"-"&amp;D1854</f>
        <v>MEI-KLB-L2A</v>
      </c>
    </row>
    <row r="1855" spans="1:17" x14ac:dyDescent="0.25">
      <c r="A1855" t="s">
        <v>395</v>
      </c>
      <c r="B1855" s="13" t="s">
        <v>24</v>
      </c>
      <c r="C1855" s="13" t="s">
        <v>226</v>
      </c>
      <c r="D1855" s="14" t="s">
        <v>222</v>
      </c>
      <c r="E1855" s="13" t="s">
        <v>61</v>
      </c>
      <c r="F1855" s="13" t="s">
        <v>739</v>
      </c>
      <c r="G1855" s="13">
        <v>0.68</v>
      </c>
      <c r="H1855" s="15">
        <v>25</v>
      </c>
      <c r="I1855" s="16">
        <v>17</v>
      </c>
      <c r="J1855" s="16">
        <v>10.355450236966824</v>
      </c>
      <c r="K1855" s="16">
        <v>6.6445497630331758</v>
      </c>
      <c r="L1855" s="13">
        <v>1.82</v>
      </c>
      <c r="M1855" s="13"/>
      <c r="N1855" s="17">
        <f t="shared" si="62"/>
        <v>45.5</v>
      </c>
      <c r="O1855" s="17">
        <f t="shared" si="62"/>
        <v>0</v>
      </c>
      <c r="P1855" s="17">
        <f t="shared" si="61"/>
        <v>45.5</v>
      </c>
      <c r="Q1855" t="str">
        <f>A1855&amp;"-"&amp;B1855&amp;"-"&amp;D1855</f>
        <v>MEI-KLB-L2A</v>
      </c>
    </row>
    <row r="1856" spans="1:17" x14ac:dyDescent="0.25">
      <c r="A1856" t="s">
        <v>395</v>
      </c>
      <c r="B1856" s="13" t="s">
        <v>24</v>
      </c>
      <c r="C1856" s="13" t="s">
        <v>226</v>
      </c>
      <c r="D1856" s="14" t="s">
        <v>222</v>
      </c>
      <c r="E1856" s="13" t="s">
        <v>61</v>
      </c>
      <c r="F1856" s="13" t="s">
        <v>869</v>
      </c>
      <c r="G1856" s="13">
        <v>0.68</v>
      </c>
      <c r="H1856" s="15">
        <v>1225</v>
      </c>
      <c r="I1856" s="16">
        <v>833</v>
      </c>
      <c r="J1856" s="16">
        <v>551.88144329896909</v>
      </c>
      <c r="K1856" s="16">
        <v>281.11855670103091</v>
      </c>
      <c r="L1856" s="13">
        <v>1.83</v>
      </c>
      <c r="M1856" s="13"/>
      <c r="N1856" s="17">
        <f t="shared" si="62"/>
        <v>2241.75</v>
      </c>
      <c r="O1856" s="17">
        <f t="shared" si="62"/>
        <v>0</v>
      </c>
      <c r="P1856" s="17">
        <f t="shared" si="61"/>
        <v>2241.75</v>
      </c>
      <c r="Q1856" t="str">
        <f>A1856&amp;"-"&amp;B1856&amp;"-"&amp;D1856</f>
        <v>MEI-KLB-L2A</v>
      </c>
    </row>
    <row r="1857" spans="1:17" x14ac:dyDescent="0.25">
      <c r="A1857" t="s">
        <v>395</v>
      </c>
      <c r="B1857" s="13" t="s">
        <v>24</v>
      </c>
      <c r="C1857" s="13" t="s">
        <v>226</v>
      </c>
      <c r="D1857" s="14" t="s">
        <v>222</v>
      </c>
      <c r="E1857" s="13" t="s">
        <v>61</v>
      </c>
      <c r="F1857" s="13" t="s">
        <v>737</v>
      </c>
      <c r="G1857" s="13">
        <v>0.66</v>
      </c>
      <c r="H1857" s="15">
        <v>4</v>
      </c>
      <c r="I1857" s="16">
        <v>2.64</v>
      </c>
      <c r="J1857" s="16">
        <v>1.4845010615711254</v>
      </c>
      <c r="K1857" s="16">
        <v>1.1554989384288747</v>
      </c>
      <c r="L1857" s="13">
        <v>1.98</v>
      </c>
      <c r="M1857" s="13"/>
      <c r="N1857" s="17">
        <f t="shared" si="62"/>
        <v>7.92</v>
      </c>
      <c r="O1857" s="17">
        <f t="shared" si="62"/>
        <v>0</v>
      </c>
      <c r="P1857" s="17">
        <f t="shared" si="61"/>
        <v>7.92</v>
      </c>
      <c r="Q1857" t="str">
        <f>A1857&amp;"-"&amp;B1857&amp;"-"&amp;D1857</f>
        <v>MEI-KLB-L2A</v>
      </c>
    </row>
    <row r="1858" spans="1:17" x14ac:dyDescent="0.25">
      <c r="A1858" t="s">
        <v>395</v>
      </c>
      <c r="B1858" s="13" t="s">
        <v>24</v>
      </c>
      <c r="C1858" s="13" t="s">
        <v>226</v>
      </c>
      <c r="D1858" s="14" t="s">
        <v>222</v>
      </c>
      <c r="E1858" s="13" t="s">
        <v>61</v>
      </c>
      <c r="F1858" s="13" t="s">
        <v>870</v>
      </c>
      <c r="G1858" s="13">
        <v>0.68</v>
      </c>
      <c r="H1858" s="15">
        <v>1180</v>
      </c>
      <c r="I1858" s="16">
        <v>802.4</v>
      </c>
      <c r="J1858" s="16">
        <v>484.18779342723008</v>
      </c>
      <c r="K1858" s="16">
        <v>318.2122065727699</v>
      </c>
      <c r="L1858" s="13">
        <v>1.83</v>
      </c>
      <c r="M1858" s="13"/>
      <c r="N1858" s="17">
        <f t="shared" si="62"/>
        <v>2159.4</v>
      </c>
      <c r="O1858" s="17">
        <f t="shared" si="62"/>
        <v>0</v>
      </c>
      <c r="P1858" s="17">
        <f t="shared" ref="P1858:P1921" si="63">N1858+O1858</f>
        <v>2159.4</v>
      </c>
      <c r="Q1858" t="str">
        <f>A1858&amp;"-"&amp;B1858&amp;"-"&amp;D1858</f>
        <v>MEI-KLB-L2A</v>
      </c>
    </row>
    <row r="1859" spans="1:17" x14ac:dyDescent="0.25">
      <c r="A1859" t="s">
        <v>395</v>
      </c>
      <c r="B1859" s="13" t="s">
        <v>24</v>
      </c>
      <c r="C1859" s="13" t="s">
        <v>226</v>
      </c>
      <c r="D1859" s="14" t="s">
        <v>222</v>
      </c>
      <c r="E1859" s="13" t="s">
        <v>61</v>
      </c>
      <c r="F1859" s="13" t="s">
        <v>871</v>
      </c>
      <c r="G1859" s="13">
        <v>0.69</v>
      </c>
      <c r="H1859" s="15">
        <v>2130</v>
      </c>
      <c r="I1859" s="16">
        <v>1469.7</v>
      </c>
      <c r="J1859" s="16">
        <v>908.13190664988747</v>
      </c>
      <c r="K1859" s="16">
        <v>561.56809335011258</v>
      </c>
      <c r="L1859" s="13">
        <v>1.83</v>
      </c>
      <c r="M1859" s="13"/>
      <c r="N1859" s="17">
        <f t="shared" si="62"/>
        <v>3897.9</v>
      </c>
      <c r="O1859" s="17">
        <f t="shared" si="62"/>
        <v>0</v>
      </c>
      <c r="P1859" s="17">
        <f t="shared" si="63"/>
        <v>3897.9</v>
      </c>
      <c r="Q1859" t="str">
        <f>A1859&amp;"-"&amp;B1859&amp;"-"&amp;D1859</f>
        <v>MEI-KLB-L2A</v>
      </c>
    </row>
    <row r="1860" spans="1:17" x14ac:dyDescent="0.25">
      <c r="A1860" t="s">
        <v>395</v>
      </c>
      <c r="B1860" s="13" t="s">
        <v>24</v>
      </c>
      <c r="C1860" s="13" t="s">
        <v>226</v>
      </c>
      <c r="D1860" s="14" t="s">
        <v>222</v>
      </c>
      <c r="E1860" s="13" t="s">
        <v>61</v>
      </c>
      <c r="F1860" s="13" t="s">
        <v>872</v>
      </c>
      <c r="G1860" s="13">
        <v>0.66</v>
      </c>
      <c r="H1860" s="15">
        <v>320</v>
      </c>
      <c r="I1860" s="16">
        <v>211.2</v>
      </c>
      <c r="J1860" s="16">
        <v>131.30516431924883</v>
      </c>
      <c r="K1860" s="16">
        <v>79.894835680751157</v>
      </c>
      <c r="L1860" s="13">
        <v>1.98</v>
      </c>
      <c r="M1860" s="13"/>
      <c r="N1860" s="17">
        <f t="shared" si="62"/>
        <v>633.6</v>
      </c>
      <c r="O1860" s="17">
        <f t="shared" si="62"/>
        <v>0</v>
      </c>
      <c r="P1860" s="17">
        <f t="shared" si="63"/>
        <v>633.6</v>
      </c>
      <c r="Q1860" t="str">
        <f>A1860&amp;"-"&amp;B1860&amp;"-"&amp;D1860</f>
        <v>MEI-KLB-L2A</v>
      </c>
    </row>
    <row r="1861" spans="1:17" x14ac:dyDescent="0.25">
      <c r="A1861" t="s">
        <v>395</v>
      </c>
      <c r="B1861" s="13" t="s">
        <v>24</v>
      </c>
      <c r="C1861" s="13" t="s">
        <v>226</v>
      </c>
      <c r="D1861" s="14" t="s">
        <v>222</v>
      </c>
      <c r="E1861" s="13" t="s">
        <v>61</v>
      </c>
      <c r="F1861" s="13" t="s">
        <v>738</v>
      </c>
      <c r="G1861" s="13">
        <v>0.69</v>
      </c>
      <c r="H1861" s="15">
        <v>1069</v>
      </c>
      <c r="I1861" s="16">
        <v>737.61</v>
      </c>
      <c r="J1861" s="16">
        <v>527.39590121726496</v>
      </c>
      <c r="K1861" s="16">
        <v>210.21409878273496</v>
      </c>
      <c r="L1861" s="13">
        <v>1.83</v>
      </c>
      <c r="M1861" s="13"/>
      <c r="N1861" s="17">
        <f t="shared" si="62"/>
        <v>1956.27</v>
      </c>
      <c r="O1861" s="17">
        <f t="shared" si="62"/>
        <v>0</v>
      </c>
      <c r="P1861" s="17">
        <f t="shared" si="63"/>
        <v>1956.27</v>
      </c>
      <c r="Q1861" t="str">
        <f>A1861&amp;"-"&amp;B1861&amp;"-"&amp;D1861</f>
        <v>MEI-KLB-L2A</v>
      </c>
    </row>
    <row r="1862" spans="1:17" x14ac:dyDescent="0.25">
      <c r="A1862" t="s">
        <v>395</v>
      </c>
      <c r="B1862" s="13" t="s">
        <v>24</v>
      </c>
      <c r="C1862" s="13" t="s">
        <v>226</v>
      </c>
      <c r="D1862" s="14" t="s">
        <v>222</v>
      </c>
      <c r="E1862" s="13" t="s">
        <v>61</v>
      </c>
      <c r="F1862" s="13" t="s">
        <v>873</v>
      </c>
      <c r="G1862" s="13">
        <v>0.68</v>
      </c>
      <c r="H1862" s="15">
        <v>320</v>
      </c>
      <c r="I1862" s="16">
        <v>217.60000000000002</v>
      </c>
      <c r="J1862" s="16">
        <v>132.10432197020546</v>
      </c>
      <c r="K1862" s="16">
        <v>85.495678029794533</v>
      </c>
      <c r="L1862" s="13">
        <v>1.83</v>
      </c>
      <c r="M1862" s="13"/>
      <c r="N1862" s="17">
        <f t="shared" si="62"/>
        <v>585.6</v>
      </c>
      <c r="O1862" s="17">
        <f t="shared" si="62"/>
        <v>0</v>
      </c>
      <c r="P1862" s="17">
        <f t="shared" si="63"/>
        <v>585.6</v>
      </c>
      <c r="Q1862" t="str">
        <f>A1862&amp;"-"&amp;B1862&amp;"-"&amp;D1862</f>
        <v>MEI-KLB-L2A</v>
      </c>
    </row>
    <row r="1863" spans="1:17" x14ac:dyDescent="0.25">
      <c r="A1863" t="s">
        <v>395</v>
      </c>
      <c r="B1863" s="13" t="s">
        <v>24</v>
      </c>
      <c r="C1863" s="13" t="s">
        <v>226</v>
      </c>
      <c r="D1863" s="14" t="s">
        <v>222</v>
      </c>
      <c r="E1863" s="13" t="s">
        <v>61</v>
      </c>
      <c r="F1863" s="13" t="s">
        <v>882</v>
      </c>
      <c r="G1863" s="13">
        <v>0.66</v>
      </c>
      <c r="H1863" s="15">
        <v>696</v>
      </c>
      <c r="I1863" s="16">
        <v>459.36</v>
      </c>
      <c r="J1863" s="16">
        <v>343.15243970772019</v>
      </c>
      <c r="K1863" s="16">
        <v>116.20756029227978</v>
      </c>
      <c r="L1863" s="13">
        <v>1.98</v>
      </c>
      <c r="M1863" s="13"/>
      <c r="N1863" s="17">
        <f t="shared" si="62"/>
        <v>1378.08</v>
      </c>
      <c r="O1863" s="17">
        <f t="shared" si="62"/>
        <v>0</v>
      </c>
      <c r="P1863" s="17">
        <f t="shared" si="63"/>
        <v>1378.08</v>
      </c>
      <c r="Q1863" t="str">
        <f>A1863&amp;"-"&amp;B1863&amp;"-"&amp;D1863</f>
        <v>MEI-KLB-L2A</v>
      </c>
    </row>
    <row r="1864" spans="1:17" x14ac:dyDescent="0.25">
      <c r="A1864" t="s">
        <v>395</v>
      </c>
      <c r="B1864" s="13" t="s">
        <v>24</v>
      </c>
      <c r="C1864" s="13" t="s">
        <v>226</v>
      </c>
      <c r="D1864" s="14" t="s">
        <v>222</v>
      </c>
      <c r="E1864" s="13" t="s">
        <v>61</v>
      </c>
      <c r="F1864" s="13" t="s">
        <v>874</v>
      </c>
      <c r="G1864" s="13">
        <v>0.68</v>
      </c>
      <c r="H1864" s="15">
        <v>589</v>
      </c>
      <c r="I1864" s="16">
        <v>400.52000000000004</v>
      </c>
      <c r="J1864" s="16">
        <v>243.49197521901169</v>
      </c>
      <c r="K1864" s="16">
        <v>157.02802478098835</v>
      </c>
      <c r="L1864" s="13">
        <v>1.83</v>
      </c>
      <c r="M1864" s="13"/>
      <c r="N1864" s="17">
        <f t="shared" si="62"/>
        <v>1077.8700000000001</v>
      </c>
      <c r="O1864" s="17">
        <f t="shared" si="62"/>
        <v>0</v>
      </c>
      <c r="P1864" s="17">
        <f t="shared" si="63"/>
        <v>1077.8700000000001</v>
      </c>
      <c r="Q1864" t="str">
        <f>A1864&amp;"-"&amp;B1864&amp;"-"&amp;D1864</f>
        <v>MEI-KLB-L2A</v>
      </c>
    </row>
    <row r="1865" spans="1:17" x14ac:dyDescent="0.25">
      <c r="A1865" t="s">
        <v>395</v>
      </c>
      <c r="B1865" s="13" t="s">
        <v>24</v>
      </c>
      <c r="C1865" s="13" t="s">
        <v>226</v>
      </c>
      <c r="D1865" s="14" t="s">
        <v>222</v>
      </c>
      <c r="E1865" s="13" t="s">
        <v>61</v>
      </c>
      <c r="F1865" s="13" t="s">
        <v>744</v>
      </c>
      <c r="G1865" s="13">
        <v>0.69</v>
      </c>
      <c r="H1865" s="15">
        <v>551</v>
      </c>
      <c r="I1865" s="16">
        <v>380.19</v>
      </c>
      <c r="J1865" s="16">
        <v>219.7780922011658</v>
      </c>
      <c r="K1865" s="16">
        <v>160.41190779883419</v>
      </c>
      <c r="L1865" s="13">
        <v>1.83</v>
      </c>
      <c r="M1865" s="13"/>
      <c r="N1865" s="17">
        <f t="shared" si="62"/>
        <v>1008.33</v>
      </c>
      <c r="O1865" s="17">
        <f t="shared" si="62"/>
        <v>0</v>
      </c>
      <c r="P1865" s="17">
        <f t="shared" si="63"/>
        <v>1008.33</v>
      </c>
      <c r="Q1865" t="str">
        <f>A1865&amp;"-"&amp;B1865&amp;"-"&amp;D1865</f>
        <v>MEI-KLB-L2A</v>
      </c>
    </row>
    <row r="1866" spans="1:17" x14ac:dyDescent="0.25">
      <c r="A1866" t="s">
        <v>395</v>
      </c>
      <c r="B1866" s="13" t="s">
        <v>24</v>
      </c>
      <c r="C1866" s="13" t="s">
        <v>226</v>
      </c>
      <c r="D1866" s="14" t="s">
        <v>222</v>
      </c>
      <c r="E1866" s="13" t="s">
        <v>61</v>
      </c>
      <c r="F1866" s="13" t="s">
        <v>745</v>
      </c>
      <c r="G1866" s="13">
        <v>0.66</v>
      </c>
      <c r="H1866" s="15">
        <v>125</v>
      </c>
      <c r="I1866" s="16">
        <v>82.5</v>
      </c>
      <c r="J1866" s="16">
        <v>49.101123595505619</v>
      </c>
      <c r="K1866" s="16">
        <v>33.398876404494381</v>
      </c>
      <c r="L1866" s="13">
        <v>1.98</v>
      </c>
      <c r="M1866" s="13"/>
      <c r="N1866" s="17">
        <f t="shared" si="62"/>
        <v>247.5</v>
      </c>
      <c r="O1866" s="17">
        <f t="shared" si="62"/>
        <v>0</v>
      </c>
      <c r="P1866" s="17">
        <f t="shared" si="63"/>
        <v>247.5</v>
      </c>
      <c r="Q1866" t="str">
        <f>A1866&amp;"-"&amp;B1866&amp;"-"&amp;D1866</f>
        <v>MEI-KLB-L2A</v>
      </c>
    </row>
    <row r="1867" spans="1:17" x14ac:dyDescent="0.25">
      <c r="A1867" t="s">
        <v>395</v>
      </c>
      <c r="B1867" s="13" t="s">
        <v>24</v>
      </c>
      <c r="C1867" s="13" t="s">
        <v>226</v>
      </c>
      <c r="D1867" s="14" t="s">
        <v>222</v>
      </c>
      <c r="E1867" s="13" t="s">
        <v>61</v>
      </c>
      <c r="F1867" s="13" t="s">
        <v>876</v>
      </c>
      <c r="G1867" s="13">
        <v>0.65</v>
      </c>
      <c r="H1867" s="15">
        <v>1190</v>
      </c>
      <c r="I1867" s="16">
        <v>773.5</v>
      </c>
      <c r="J1867" s="16">
        <v>510.42681834581356</v>
      </c>
      <c r="K1867" s="16">
        <v>263.07318165418644</v>
      </c>
      <c r="L1867" s="13">
        <v>1.64</v>
      </c>
      <c r="M1867" s="13"/>
      <c r="N1867" s="17">
        <f t="shared" si="62"/>
        <v>1951.6</v>
      </c>
      <c r="O1867" s="17">
        <f t="shared" si="62"/>
        <v>0</v>
      </c>
      <c r="P1867" s="17">
        <f t="shared" si="63"/>
        <v>1951.6</v>
      </c>
      <c r="Q1867" t="str">
        <f>A1867&amp;"-"&amp;B1867&amp;"-"&amp;D1867</f>
        <v>MEI-KLB-L2A</v>
      </c>
    </row>
    <row r="1868" spans="1:17" x14ac:dyDescent="0.25">
      <c r="A1868" t="s">
        <v>395</v>
      </c>
      <c r="B1868" s="13" t="s">
        <v>24</v>
      </c>
      <c r="C1868" s="13" t="s">
        <v>226</v>
      </c>
      <c r="D1868" s="14" t="s">
        <v>222</v>
      </c>
      <c r="E1868" s="13" t="s">
        <v>61</v>
      </c>
      <c r="F1868" s="13" t="s">
        <v>877</v>
      </c>
      <c r="G1868" s="13">
        <v>0.65</v>
      </c>
      <c r="H1868" s="15">
        <v>8515</v>
      </c>
      <c r="I1868" s="16">
        <v>5534.75</v>
      </c>
      <c r="J1868" s="16">
        <v>3290.6683005945665</v>
      </c>
      <c r="K1868" s="16">
        <v>2244.0816994054335</v>
      </c>
      <c r="L1868" s="13">
        <v>1.66</v>
      </c>
      <c r="M1868" s="13"/>
      <c r="N1868" s="17">
        <f t="shared" si="62"/>
        <v>14134.9</v>
      </c>
      <c r="O1868" s="17">
        <f t="shared" si="62"/>
        <v>0</v>
      </c>
      <c r="P1868" s="17">
        <f t="shared" si="63"/>
        <v>14134.9</v>
      </c>
      <c r="Q1868" t="str">
        <f>A1868&amp;"-"&amp;B1868&amp;"-"&amp;D1868</f>
        <v>MEI-KLB-L2A</v>
      </c>
    </row>
    <row r="1869" spans="1:17" x14ac:dyDescent="0.25">
      <c r="A1869" t="s">
        <v>395</v>
      </c>
      <c r="B1869" s="13" t="s">
        <v>24</v>
      </c>
      <c r="C1869" s="13" t="s">
        <v>226</v>
      </c>
      <c r="D1869" s="14" t="s">
        <v>223</v>
      </c>
      <c r="E1869" s="13" t="s">
        <v>61</v>
      </c>
      <c r="F1869" s="13" t="s">
        <v>879</v>
      </c>
      <c r="G1869" s="13">
        <v>0.76</v>
      </c>
      <c r="H1869" s="15">
        <v>1530</v>
      </c>
      <c r="I1869" s="16">
        <v>1162.8</v>
      </c>
      <c r="J1869" s="16">
        <v>608.39480519480514</v>
      </c>
      <c r="K1869" s="16">
        <v>554.40519480519481</v>
      </c>
      <c r="L1869" s="13">
        <v>2</v>
      </c>
      <c r="M1869" s="13"/>
      <c r="N1869" s="17">
        <f t="shared" si="62"/>
        <v>3060</v>
      </c>
      <c r="O1869" s="17">
        <f t="shared" si="62"/>
        <v>0</v>
      </c>
      <c r="P1869" s="17">
        <f t="shared" si="63"/>
        <v>3060</v>
      </c>
      <c r="Q1869" t="str">
        <f>A1869&amp;"-"&amp;B1869&amp;"-"&amp;D1869</f>
        <v>MEI-KLB-L2B</v>
      </c>
    </row>
    <row r="1870" spans="1:17" x14ac:dyDescent="0.25">
      <c r="A1870" t="s">
        <v>395</v>
      </c>
      <c r="B1870" s="13" t="s">
        <v>24</v>
      </c>
      <c r="C1870" s="13" t="s">
        <v>226</v>
      </c>
      <c r="D1870" s="14" t="s">
        <v>223</v>
      </c>
      <c r="E1870" s="13" t="s">
        <v>61</v>
      </c>
      <c r="F1870" s="13" t="s">
        <v>880</v>
      </c>
      <c r="G1870" s="13">
        <v>0.76</v>
      </c>
      <c r="H1870" s="15">
        <v>7990</v>
      </c>
      <c r="I1870" s="16">
        <v>6072.4000000000005</v>
      </c>
      <c r="J1870" s="16">
        <v>3219.7249298740949</v>
      </c>
      <c r="K1870" s="16">
        <v>2852.6750701259057</v>
      </c>
      <c r="L1870" s="13">
        <v>2</v>
      </c>
      <c r="M1870" s="13"/>
      <c r="N1870" s="17">
        <f t="shared" si="62"/>
        <v>15980</v>
      </c>
      <c r="O1870" s="17">
        <f t="shared" si="62"/>
        <v>0</v>
      </c>
      <c r="P1870" s="17">
        <f t="shared" si="63"/>
        <v>15980</v>
      </c>
      <c r="Q1870" t="str">
        <f>A1870&amp;"-"&amp;B1870&amp;"-"&amp;D1870</f>
        <v>MEI-KLB-L2B</v>
      </c>
    </row>
    <row r="1871" spans="1:17" x14ac:dyDescent="0.25">
      <c r="A1871" t="s">
        <v>395</v>
      </c>
      <c r="B1871" s="13" t="s">
        <v>24</v>
      </c>
      <c r="C1871" s="13" t="s">
        <v>226</v>
      </c>
      <c r="D1871" s="14" t="s">
        <v>223</v>
      </c>
      <c r="E1871" s="13" t="s">
        <v>61</v>
      </c>
      <c r="F1871" s="13" t="s">
        <v>881</v>
      </c>
      <c r="G1871" s="13">
        <v>0.73999999999999988</v>
      </c>
      <c r="H1871" s="15">
        <v>165</v>
      </c>
      <c r="I1871" s="16">
        <v>122.10000000000001</v>
      </c>
      <c r="J1871" s="16">
        <v>66.426367878595045</v>
      </c>
      <c r="K1871" s="16">
        <v>55.673632121404957</v>
      </c>
      <c r="L1871" s="13">
        <v>2.17</v>
      </c>
      <c r="M1871" s="13"/>
      <c r="N1871" s="17">
        <f t="shared" si="62"/>
        <v>358.05</v>
      </c>
      <c r="O1871" s="17">
        <f t="shared" si="62"/>
        <v>0</v>
      </c>
      <c r="P1871" s="17">
        <f t="shared" si="63"/>
        <v>358.05</v>
      </c>
      <c r="Q1871" t="str">
        <f>A1871&amp;"-"&amp;B1871&amp;"-"&amp;D1871</f>
        <v>MEI-KLB-L2B</v>
      </c>
    </row>
    <row r="1872" spans="1:17" x14ac:dyDescent="0.25">
      <c r="A1872" t="s">
        <v>395</v>
      </c>
      <c r="B1872" s="13" t="s">
        <v>24</v>
      </c>
      <c r="C1872" s="13" t="s">
        <v>226</v>
      </c>
      <c r="D1872" s="14" t="s">
        <v>223</v>
      </c>
      <c r="E1872" s="13" t="s">
        <v>61</v>
      </c>
      <c r="F1872" s="13" t="s">
        <v>730</v>
      </c>
      <c r="G1872" s="13">
        <v>0.68</v>
      </c>
      <c r="H1872" s="15">
        <v>2234</v>
      </c>
      <c r="I1872" s="16">
        <v>1519.1200000000001</v>
      </c>
      <c r="J1872" s="16">
        <v>885.08174618357123</v>
      </c>
      <c r="K1872" s="16">
        <v>634.03825381642878</v>
      </c>
      <c r="L1872" s="13">
        <v>1.82</v>
      </c>
      <c r="M1872" s="13"/>
      <c r="N1872" s="17">
        <f t="shared" si="62"/>
        <v>4065.88</v>
      </c>
      <c r="O1872" s="17">
        <f t="shared" si="62"/>
        <v>0</v>
      </c>
      <c r="P1872" s="17">
        <f t="shared" si="63"/>
        <v>4065.88</v>
      </c>
      <c r="Q1872" t="str">
        <f>A1872&amp;"-"&amp;B1872&amp;"-"&amp;D1872</f>
        <v>MEI-KLB-L2B</v>
      </c>
    </row>
    <row r="1873" spans="1:17" x14ac:dyDescent="0.25">
      <c r="A1873" t="s">
        <v>395</v>
      </c>
      <c r="B1873" s="13" t="s">
        <v>24</v>
      </c>
      <c r="C1873" s="13" t="s">
        <v>226</v>
      </c>
      <c r="D1873" s="14" t="s">
        <v>223</v>
      </c>
      <c r="E1873" s="13" t="s">
        <v>61</v>
      </c>
      <c r="F1873" s="13" t="s">
        <v>731</v>
      </c>
      <c r="G1873" s="13">
        <v>0.68</v>
      </c>
      <c r="H1873" s="15">
        <v>737</v>
      </c>
      <c r="I1873" s="16">
        <v>501.16</v>
      </c>
      <c r="J1873" s="16">
        <v>310.96594906007016</v>
      </c>
      <c r="K1873" s="16">
        <v>190.19405093992987</v>
      </c>
      <c r="L1873" s="13">
        <v>1.82</v>
      </c>
      <c r="M1873" s="13"/>
      <c r="N1873" s="17">
        <f t="shared" si="62"/>
        <v>1341.3400000000001</v>
      </c>
      <c r="O1873" s="17">
        <f t="shared" si="62"/>
        <v>0</v>
      </c>
      <c r="P1873" s="17">
        <f t="shared" si="63"/>
        <v>1341.3400000000001</v>
      </c>
      <c r="Q1873" t="str">
        <f>A1873&amp;"-"&amp;B1873&amp;"-"&amp;D1873</f>
        <v>MEI-KLB-L2B</v>
      </c>
    </row>
    <row r="1874" spans="1:17" x14ac:dyDescent="0.25">
      <c r="A1874" t="s">
        <v>395</v>
      </c>
      <c r="B1874" s="13" t="s">
        <v>24</v>
      </c>
      <c r="C1874" s="13" t="s">
        <v>226</v>
      </c>
      <c r="D1874" s="14" t="s">
        <v>223</v>
      </c>
      <c r="E1874" s="13" t="s">
        <v>61</v>
      </c>
      <c r="F1874" s="13" t="s">
        <v>862</v>
      </c>
      <c r="G1874" s="13">
        <v>0.68</v>
      </c>
      <c r="H1874" s="15">
        <v>225</v>
      </c>
      <c r="I1874" s="16">
        <v>153</v>
      </c>
      <c r="J1874" s="16">
        <v>81.75462937624286</v>
      </c>
      <c r="K1874" s="16">
        <v>71.24537062375714</v>
      </c>
      <c r="L1874" s="13">
        <v>1.82</v>
      </c>
      <c r="M1874" s="13"/>
      <c r="N1874" s="17">
        <f t="shared" si="62"/>
        <v>409.5</v>
      </c>
      <c r="O1874" s="17">
        <f t="shared" si="62"/>
        <v>0</v>
      </c>
      <c r="P1874" s="17">
        <f t="shared" si="63"/>
        <v>409.5</v>
      </c>
      <c r="Q1874" t="str">
        <f>A1874&amp;"-"&amp;B1874&amp;"-"&amp;D1874</f>
        <v>MEI-KLB-L2B</v>
      </c>
    </row>
    <row r="1875" spans="1:17" x14ac:dyDescent="0.25">
      <c r="A1875" t="s">
        <v>395</v>
      </c>
      <c r="B1875" s="13" t="s">
        <v>24</v>
      </c>
      <c r="C1875" s="13" t="s">
        <v>226</v>
      </c>
      <c r="D1875" s="14" t="s">
        <v>223</v>
      </c>
      <c r="E1875" s="13" t="s">
        <v>61</v>
      </c>
      <c r="F1875" s="13" t="s">
        <v>863</v>
      </c>
      <c r="G1875" s="13">
        <v>0.68</v>
      </c>
      <c r="H1875" s="15">
        <v>2843</v>
      </c>
      <c r="I1875" s="16">
        <v>1933.24</v>
      </c>
      <c r="J1875" s="16">
        <v>1083.5248224285017</v>
      </c>
      <c r="K1875" s="16">
        <v>849.7151775714982</v>
      </c>
      <c r="L1875" s="13">
        <v>1.82</v>
      </c>
      <c r="M1875" s="13"/>
      <c r="N1875" s="17">
        <f t="shared" si="62"/>
        <v>5174.26</v>
      </c>
      <c r="O1875" s="17">
        <f t="shared" si="62"/>
        <v>0</v>
      </c>
      <c r="P1875" s="17">
        <f t="shared" si="63"/>
        <v>5174.26</v>
      </c>
      <c r="Q1875" t="str">
        <f>A1875&amp;"-"&amp;B1875&amp;"-"&amp;D1875</f>
        <v>MEI-KLB-L2B</v>
      </c>
    </row>
    <row r="1876" spans="1:17" x14ac:dyDescent="0.25">
      <c r="A1876" t="s">
        <v>395</v>
      </c>
      <c r="B1876" s="13" t="s">
        <v>24</v>
      </c>
      <c r="C1876" s="13" t="s">
        <v>226</v>
      </c>
      <c r="D1876" s="14" t="s">
        <v>223</v>
      </c>
      <c r="E1876" s="13" t="s">
        <v>61</v>
      </c>
      <c r="F1876" s="13" t="s">
        <v>866</v>
      </c>
      <c r="G1876" s="13">
        <v>0.68</v>
      </c>
      <c r="H1876" s="15">
        <v>7972</v>
      </c>
      <c r="I1876" s="16">
        <v>5420.96</v>
      </c>
      <c r="J1876" s="16">
        <v>3104.5230266422736</v>
      </c>
      <c r="K1876" s="16">
        <v>2316.4369733577264</v>
      </c>
      <c r="L1876" s="13">
        <v>1.82</v>
      </c>
      <c r="M1876" s="13"/>
      <c r="N1876" s="17">
        <f t="shared" si="62"/>
        <v>14509.04</v>
      </c>
      <c r="O1876" s="17">
        <f t="shared" si="62"/>
        <v>0</v>
      </c>
      <c r="P1876" s="17">
        <f t="shared" si="63"/>
        <v>14509.04</v>
      </c>
      <c r="Q1876" t="str">
        <f>A1876&amp;"-"&amp;B1876&amp;"-"&amp;D1876</f>
        <v>MEI-KLB-L2B</v>
      </c>
    </row>
    <row r="1877" spans="1:17" x14ac:dyDescent="0.25">
      <c r="A1877" t="s">
        <v>395</v>
      </c>
      <c r="B1877" s="13" t="s">
        <v>24</v>
      </c>
      <c r="C1877" s="13" t="s">
        <v>226</v>
      </c>
      <c r="D1877" s="14" t="s">
        <v>223</v>
      </c>
      <c r="E1877" s="13" t="s">
        <v>61</v>
      </c>
      <c r="F1877" s="13" t="s">
        <v>867</v>
      </c>
      <c r="G1877" s="13">
        <v>0.66</v>
      </c>
      <c r="H1877" s="15">
        <v>510</v>
      </c>
      <c r="I1877" s="16">
        <v>336.6</v>
      </c>
      <c r="J1877" s="16">
        <v>184.72069249148095</v>
      </c>
      <c r="K1877" s="16">
        <v>151.87930750851905</v>
      </c>
      <c r="L1877" s="13">
        <v>1.97</v>
      </c>
      <c r="M1877" s="13"/>
      <c r="N1877" s="17">
        <f t="shared" si="62"/>
        <v>1004.6999999999999</v>
      </c>
      <c r="O1877" s="17">
        <f t="shared" si="62"/>
        <v>0</v>
      </c>
      <c r="P1877" s="17">
        <f t="shared" si="63"/>
        <v>1004.6999999999999</v>
      </c>
      <c r="Q1877" t="str">
        <f>A1877&amp;"-"&amp;B1877&amp;"-"&amp;D1877</f>
        <v>MEI-KLB-L2B</v>
      </c>
    </row>
    <row r="1878" spans="1:17" x14ac:dyDescent="0.25">
      <c r="A1878" t="s">
        <v>395</v>
      </c>
      <c r="B1878" s="13" t="s">
        <v>24</v>
      </c>
      <c r="C1878" s="13" t="s">
        <v>226</v>
      </c>
      <c r="D1878" s="14" t="s">
        <v>223</v>
      </c>
      <c r="E1878" s="13" t="s">
        <v>61</v>
      </c>
      <c r="F1878" s="13" t="s">
        <v>739</v>
      </c>
      <c r="G1878" s="13">
        <v>0.68</v>
      </c>
      <c r="H1878" s="15">
        <v>168</v>
      </c>
      <c r="I1878" s="16">
        <v>114.24</v>
      </c>
      <c r="J1878" s="16">
        <v>75.414483821263488</v>
      </c>
      <c r="K1878" s="16">
        <v>38.825516178736507</v>
      </c>
      <c r="L1878" s="13">
        <v>1.82</v>
      </c>
      <c r="M1878" s="13"/>
      <c r="N1878" s="17">
        <f t="shared" si="62"/>
        <v>305.76</v>
      </c>
      <c r="O1878" s="17">
        <f t="shared" si="62"/>
        <v>0</v>
      </c>
      <c r="P1878" s="17">
        <f t="shared" si="63"/>
        <v>305.76</v>
      </c>
      <c r="Q1878" t="str">
        <f>A1878&amp;"-"&amp;B1878&amp;"-"&amp;D1878</f>
        <v>MEI-KLB-L2B</v>
      </c>
    </row>
    <row r="1879" spans="1:17" x14ac:dyDescent="0.25">
      <c r="A1879" t="s">
        <v>395</v>
      </c>
      <c r="B1879" s="13" t="s">
        <v>24</v>
      </c>
      <c r="C1879" s="13" t="s">
        <v>226</v>
      </c>
      <c r="D1879" s="14" t="s">
        <v>223</v>
      </c>
      <c r="E1879" s="13" t="s">
        <v>61</v>
      </c>
      <c r="F1879" s="13" t="s">
        <v>740</v>
      </c>
      <c r="G1879" s="13">
        <v>0.66</v>
      </c>
      <c r="H1879" s="15">
        <v>39</v>
      </c>
      <c r="I1879" s="16">
        <v>25.74</v>
      </c>
      <c r="J1879" s="16">
        <v>17.506933744221879</v>
      </c>
      <c r="K1879" s="16">
        <v>8.2330662557781196</v>
      </c>
      <c r="L1879" s="13">
        <v>1.97</v>
      </c>
      <c r="M1879" s="13"/>
      <c r="N1879" s="17">
        <f t="shared" si="62"/>
        <v>76.83</v>
      </c>
      <c r="O1879" s="17">
        <f t="shared" si="62"/>
        <v>0</v>
      </c>
      <c r="P1879" s="17">
        <f t="shared" si="63"/>
        <v>76.83</v>
      </c>
      <c r="Q1879" t="str">
        <f>A1879&amp;"-"&amp;B1879&amp;"-"&amp;D1879</f>
        <v>MEI-KLB-L2B</v>
      </c>
    </row>
    <row r="1880" spans="1:17" x14ac:dyDescent="0.25">
      <c r="A1880" t="s">
        <v>395</v>
      </c>
      <c r="B1880" s="13" t="s">
        <v>24</v>
      </c>
      <c r="C1880" s="13" t="s">
        <v>226</v>
      </c>
      <c r="D1880" s="14" t="s">
        <v>223</v>
      </c>
      <c r="E1880" s="13" t="s">
        <v>61</v>
      </c>
      <c r="F1880" s="13" t="s">
        <v>869</v>
      </c>
      <c r="G1880" s="13">
        <v>0.68</v>
      </c>
      <c r="H1880" s="15">
        <v>600</v>
      </c>
      <c r="I1880" s="16">
        <v>408</v>
      </c>
      <c r="J1880" s="16">
        <v>231.55346024015287</v>
      </c>
      <c r="K1880" s="16">
        <v>176.44653975984716</v>
      </c>
      <c r="L1880" s="13">
        <v>1.83</v>
      </c>
      <c r="M1880" s="13"/>
      <c r="N1880" s="17">
        <f t="shared" si="62"/>
        <v>1098</v>
      </c>
      <c r="O1880" s="17">
        <f t="shared" si="62"/>
        <v>0</v>
      </c>
      <c r="P1880" s="17">
        <f t="shared" si="63"/>
        <v>1098</v>
      </c>
      <c r="Q1880" t="str">
        <f>A1880&amp;"-"&amp;B1880&amp;"-"&amp;D1880</f>
        <v>MEI-KLB-L2B</v>
      </c>
    </row>
    <row r="1881" spans="1:17" x14ac:dyDescent="0.25">
      <c r="A1881" t="s">
        <v>395</v>
      </c>
      <c r="B1881" s="13" t="s">
        <v>24</v>
      </c>
      <c r="C1881" s="13" t="s">
        <v>226</v>
      </c>
      <c r="D1881" s="14" t="s">
        <v>223</v>
      </c>
      <c r="E1881" s="13" t="s">
        <v>61</v>
      </c>
      <c r="F1881" s="13" t="s">
        <v>736</v>
      </c>
      <c r="G1881" s="13">
        <v>0.69</v>
      </c>
      <c r="H1881" s="15">
        <v>2</v>
      </c>
      <c r="I1881" s="16">
        <v>1.38</v>
      </c>
      <c r="J1881" s="16">
        <v>0.78916478555304737</v>
      </c>
      <c r="K1881" s="16">
        <v>0.59083521444695253</v>
      </c>
      <c r="L1881" s="13">
        <v>1.83</v>
      </c>
      <c r="M1881" s="13"/>
      <c r="N1881" s="17">
        <f t="shared" si="62"/>
        <v>3.66</v>
      </c>
      <c r="O1881" s="17">
        <f t="shared" si="62"/>
        <v>0</v>
      </c>
      <c r="P1881" s="17">
        <f t="shared" si="63"/>
        <v>3.66</v>
      </c>
      <c r="Q1881" t="str">
        <f>A1881&amp;"-"&amp;B1881&amp;"-"&amp;D1881</f>
        <v>MEI-KLB-L2B</v>
      </c>
    </row>
    <row r="1882" spans="1:17" x14ac:dyDescent="0.25">
      <c r="A1882" t="s">
        <v>395</v>
      </c>
      <c r="B1882" s="13" t="s">
        <v>24</v>
      </c>
      <c r="C1882" s="13" t="s">
        <v>226</v>
      </c>
      <c r="D1882" s="14" t="s">
        <v>223</v>
      </c>
      <c r="E1882" s="13" t="s">
        <v>61</v>
      </c>
      <c r="F1882" s="13" t="s">
        <v>870</v>
      </c>
      <c r="G1882" s="13">
        <v>0.68</v>
      </c>
      <c r="H1882" s="15">
        <v>1380</v>
      </c>
      <c r="I1882" s="16">
        <v>938.40000000000009</v>
      </c>
      <c r="J1882" s="16">
        <v>539.44382713305777</v>
      </c>
      <c r="K1882" s="16">
        <v>398.95617286694232</v>
      </c>
      <c r="L1882" s="13">
        <v>1.83</v>
      </c>
      <c r="M1882" s="13"/>
      <c r="N1882" s="17">
        <f t="shared" ref="N1882:O1945" si="64">$H1882*L1882</f>
        <v>2525.4</v>
      </c>
      <c r="O1882" s="17">
        <f t="shared" si="64"/>
        <v>0</v>
      </c>
      <c r="P1882" s="17">
        <f t="shared" si="63"/>
        <v>2525.4</v>
      </c>
      <c r="Q1882" t="str">
        <f>A1882&amp;"-"&amp;B1882&amp;"-"&amp;D1882</f>
        <v>MEI-KLB-L2B</v>
      </c>
    </row>
    <row r="1883" spans="1:17" x14ac:dyDescent="0.25">
      <c r="A1883" t="s">
        <v>395</v>
      </c>
      <c r="B1883" s="13" t="s">
        <v>24</v>
      </c>
      <c r="C1883" s="13" t="s">
        <v>226</v>
      </c>
      <c r="D1883" s="14" t="s">
        <v>223</v>
      </c>
      <c r="E1883" s="13" t="s">
        <v>61</v>
      </c>
      <c r="F1883" s="13" t="s">
        <v>871</v>
      </c>
      <c r="G1883" s="13">
        <v>0.69</v>
      </c>
      <c r="H1883" s="15">
        <v>2229</v>
      </c>
      <c r="I1883" s="16">
        <v>1538.01</v>
      </c>
      <c r="J1883" s="16">
        <v>889.62121575491642</v>
      </c>
      <c r="K1883" s="16">
        <v>648.38878424508346</v>
      </c>
      <c r="L1883" s="13">
        <v>1.83</v>
      </c>
      <c r="M1883" s="13"/>
      <c r="N1883" s="17">
        <f t="shared" si="64"/>
        <v>4079.07</v>
      </c>
      <c r="O1883" s="17">
        <f t="shared" si="64"/>
        <v>0</v>
      </c>
      <c r="P1883" s="17">
        <f t="shared" si="63"/>
        <v>4079.07</v>
      </c>
      <c r="Q1883" t="str">
        <f>A1883&amp;"-"&amp;B1883&amp;"-"&amp;D1883</f>
        <v>MEI-KLB-L2B</v>
      </c>
    </row>
    <row r="1884" spans="1:17" x14ac:dyDescent="0.25">
      <c r="A1884" t="s">
        <v>395</v>
      </c>
      <c r="B1884" s="13" t="s">
        <v>24</v>
      </c>
      <c r="C1884" s="13" t="s">
        <v>226</v>
      </c>
      <c r="D1884" s="14" t="s">
        <v>223</v>
      </c>
      <c r="E1884" s="13" t="s">
        <v>61</v>
      </c>
      <c r="F1884" s="13" t="s">
        <v>872</v>
      </c>
      <c r="G1884" s="13">
        <v>0.66</v>
      </c>
      <c r="H1884" s="15">
        <v>50</v>
      </c>
      <c r="I1884" s="16">
        <v>33</v>
      </c>
      <c r="J1884" s="16">
        <v>19.293598233995585</v>
      </c>
      <c r="K1884" s="16">
        <v>13.706401766004415</v>
      </c>
      <c r="L1884" s="13">
        <v>1.98</v>
      </c>
      <c r="M1884" s="13"/>
      <c r="N1884" s="17">
        <f t="shared" si="64"/>
        <v>99</v>
      </c>
      <c r="O1884" s="17">
        <f t="shared" si="64"/>
        <v>0</v>
      </c>
      <c r="P1884" s="17">
        <f t="shared" si="63"/>
        <v>99</v>
      </c>
      <c r="Q1884" t="str">
        <f>A1884&amp;"-"&amp;B1884&amp;"-"&amp;D1884</f>
        <v>MEI-KLB-L2B</v>
      </c>
    </row>
    <row r="1885" spans="1:17" x14ac:dyDescent="0.25">
      <c r="A1885" t="s">
        <v>395</v>
      </c>
      <c r="B1885" s="13" t="s">
        <v>24</v>
      </c>
      <c r="C1885" s="13" t="s">
        <v>226</v>
      </c>
      <c r="D1885" s="14" t="s">
        <v>223</v>
      </c>
      <c r="E1885" s="13" t="s">
        <v>61</v>
      </c>
      <c r="F1885" s="13" t="s">
        <v>738</v>
      </c>
      <c r="G1885" s="13">
        <v>0.69</v>
      </c>
      <c r="H1885" s="15">
        <v>979</v>
      </c>
      <c r="I1885" s="16">
        <v>675.51</v>
      </c>
      <c r="J1885" s="16">
        <v>438.82666387422023</v>
      </c>
      <c r="K1885" s="16">
        <v>236.68333612577973</v>
      </c>
      <c r="L1885" s="13">
        <v>1.83</v>
      </c>
      <c r="M1885" s="13"/>
      <c r="N1885" s="17">
        <f t="shared" si="64"/>
        <v>1791.5700000000002</v>
      </c>
      <c r="O1885" s="17">
        <f t="shared" si="64"/>
        <v>0</v>
      </c>
      <c r="P1885" s="17">
        <f t="shared" si="63"/>
        <v>1791.5700000000002</v>
      </c>
      <c r="Q1885" t="str">
        <f>A1885&amp;"-"&amp;B1885&amp;"-"&amp;D1885</f>
        <v>MEI-KLB-L2B</v>
      </c>
    </row>
    <row r="1886" spans="1:17" x14ac:dyDescent="0.25">
      <c r="A1886" t="s">
        <v>395</v>
      </c>
      <c r="B1886" s="13" t="s">
        <v>24</v>
      </c>
      <c r="C1886" s="13" t="s">
        <v>226</v>
      </c>
      <c r="D1886" s="14" t="s">
        <v>223</v>
      </c>
      <c r="E1886" s="13" t="s">
        <v>61</v>
      </c>
      <c r="F1886" s="13" t="s">
        <v>873</v>
      </c>
      <c r="G1886" s="13">
        <v>0.68</v>
      </c>
      <c r="H1886" s="15">
        <v>895</v>
      </c>
      <c r="I1886" s="16">
        <v>608.6</v>
      </c>
      <c r="J1886" s="16">
        <v>349.9910514541387</v>
      </c>
      <c r="K1886" s="16">
        <v>258.60894854586132</v>
      </c>
      <c r="L1886" s="13">
        <v>1.83</v>
      </c>
      <c r="M1886" s="13"/>
      <c r="N1886" s="17">
        <f t="shared" si="64"/>
        <v>1637.8500000000001</v>
      </c>
      <c r="O1886" s="17">
        <f t="shared" si="64"/>
        <v>0</v>
      </c>
      <c r="P1886" s="17">
        <f t="shared" si="63"/>
        <v>1637.8500000000001</v>
      </c>
      <c r="Q1886" t="str">
        <f>A1886&amp;"-"&amp;B1886&amp;"-"&amp;D1886</f>
        <v>MEI-KLB-L2B</v>
      </c>
    </row>
    <row r="1887" spans="1:17" x14ac:dyDescent="0.25">
      <c r="A1887" t="s">
        <v>395</v>
      </c>
      <c r="B1887" s="13" t="s">
        <v>24</v>
      </c>
      <c r="C1887" s="13" t="s">
        <v>226</v>
      </c>
      <c r="D1887" s="14" t="s">
        <v>223</v>
      </c>
      <c r="E1887" s="13" t="s">
        <v>61</v>
      </c>
      <c r="F1887" s="13" t="s">
        <v>882</v>
      </c>
      <c r="G1887" s="13">
        <v>0.66</v>
      </c>
      <c r="H1887" s="15">
        <v>45</v>
      </c>
      <c r="I1887" s="16">
        <v>29.7</v>
      </c>
      <c r="J1887" s="16">
        <v>20.097087378640776</v>
      </c>
      <c r="K1887" s="16">
        <v>9.6029126213592235</v>
      </c>
      <c r="L1887" s="13">
        <v>1.98</v>
      </c>
      <c r="M1887" s="13"/>
      <c r="N1887" s="17">
        <f t="shared" si="64"/>
        <v>89.1</v>
      </c>
      <c r="O1887" s="17">
        <f t="shared" si="64"/>
        <v>0</v>
      </c>
      <c r="P1887" s="17">
        <f t="shared" si="63"/>
        <v>89.1</v>
      </c>
      <c r="Q1887" t="str">
        <f>A1887&amp;"-"&amp;B1887&amp;"-"&amp;D1887</f>
        <v>MEI-KLB-L2B</v>
      </c>
    </row>
    <row r="1888" spans="1:17" x14ac:dyDescent="0.25">
      <c r="A1888" t="s">
        <v>395</v>
      </c>
      <c r="B1888" s="13" t="s">
        <v>24</v>
      </c>
      <c r="C1888" s="13" t="s">
        <v>226</v>
      </c>
      <c r="D1888" s="14" t="s">
        <v>223</v>
      </c>
      <c r="E1888" s="13" t="s">
        <v>61</v>
      </c>
      <c r="F1888" s="13" t="s">
        <v>874</v>
      </c>
      <c r="G1888" s="13">
        <v>0.68</v>
      </c>
      <c r="H1888" s="15">
        <v>1190</v>
      </c>
      <c r="I1888" s="16">
        <v>809.2</v>
      </c>
      <c r="J1888" s="16">
        <v>459.18763796909496</v>
      </c>
      <c r="K1888" s="16">
        <v>350.01236203090508</v>
      </c>
      <c r="L1888" s="13">
        <v>1.83</v>
      </c>
      <c r="M1888" s="13"/>
      <c r="N1888" s="17">
        <f t="shared" si="64"/>
        <v>2177.7000000000003</v>
      </c>
      <c r="O1888" s="17">
        <f t="shared" si="64"/>
        <v>0</v>
      </c>
      <c r="P1888" s="17">
        <f t="shared" si="63"/>
        <v>2177.7000000000003</v>
      </c>
      <c r="Q1888" t="str">
        <f>A1888&amp;"-"&amp;B1888&amp;"-"&amp;D1888</f>
        <v>MEI-KLB-L2B</v>
      </c>
    </row>
    <row r="1889" spans="1:17" x14ac:dyDescent="0.25">
      <c r="A1889" t="s">
        <v>395</v>
      </c>
      <c r="B1889" s="13" t="s">
        <v>24</v>
      </c>
      <c r="C1889" s="13" t="s">
        <v>226</v>
      </c>
      <c r="D1889" s="14" t="s">
        <v>223</v>
      </c>
      <c r="E1889" s="13" t="s">
        <v>61</v>
      </c>
      <c r="F1889" s="13" t="s">
        <v>744</v>
      </c>
      <c r="G1889" s="13">
        <v>0.69</v>
      </c>
      <c r="H1889" s="15">
        <v>1836</v>
      </c>
      <c r="I1889" s="16">
        <v>1266.8400000000001</v>
      </c>
      <c r="J1889" s="16">
        <v>700.0709161544487</v>
      </c>
      <c r="K1889" s="16">
        <v>566.76908384555134</v>
      </c>
      <c r="L1889" s="13">
        <v>1.83</v>
      </c>
      <c r="M1889" s="13"/>
      <c r="N1889" s="17">
        <f t="shared" si="64"/>
        <v>3359.88</v>
      </c>
      <c r="O1889" s="17">
        <f t="shared" si="64"/>
        <v>0</v>
      </c>
      <c r="P1889" s="17">
        <f t="shared" si="63"/>
        <v>3359.88</v>
      </c>
      <c r="Q1889" t="str">
        <f>A1889&amp;"-"&amp;B1889&amp;"-"&amp;D1889</f>
        <v>MEI-KLB-L2B</v>
      </c>
    </row>
    <row r="1890" spans="1:17" x14ac:dyDescent="0.25">
      <c r="A1890" t="s">
        <v>395</v>
      </c>
      <c r="B1890" s="13" t="s">
        <v>24</v>
      </c>
      <c r="C1890" s="13" t="s">
        <v>226</v>
      </c>
      <c r="D1890" s="14" t="s">
        <v>223</v>
      </c>
      <c r="E1890" s="13" t="s">
        <v>61</v>
      </c>
      <c r="F1890" s="13" t="s">
        <v>875</v>
      </c>
      <c r="G1890" s="13">
        <v>0.66</v>
      </c>
      <c r="H1890" s="15">
        <v>370</v>
      </c>
      <c r="I1890" s="16">
        <v>244.2</v>
      </c>
      <c r="J1890" s="16">
        <v>142.77262693156732</v>
      </c>
      <c r="K1890" s="16">
        <v>101.42737306843267</v>
      </c>
      <c r="L1890" s="13">
        <v>1.98</v>
      </c>
      <c r="M1890" s="13"/>
      <c r="N1890" s="17">
        <f t="shared" si="64"/>
        <v>732.6</v>
      </c>
      <c r="O1890" s="17">
        <f t="shared" si="64"/>
        <v>0</v>
      </c>
      <c r="P1890" s="17">
        <f t="shared" si="63"/>
        <v>732.6</v>
      </c>
      <c r="Q1890" t="str">
        <f>A1890&amp;"-"&amp;B1890&amp;"-"&amp;D1890</f>
        <v>MEI-KLB-L2B</v>
      </c>
    </row>
    <row r="1891" spans="1:17" x14ac:dyDescent="0.25">
      <c r="A1891" t="s">
        <v>395</v>
      </c>
      <c r="B1891" s="13" t="s">
        <v>24</v>
      </c>
      <c r="C1891" s="13" t="s">
        <v>226</v>
      </c>
      <c r="D1891" s="14" t="s">
        <v>223</v>
      </c>
      <c r="E1891" s="13" t="s">
        <v>61</v>
      </c>
      <c r="F1891" s="13" t="s">
        <v>745</v>
      </c>
      <c r="G1891" s="13">
        <v>0.66</v>
      </c>
      <c r="H1891" s="15">
        <v>245</v>
      </c>
      <c r="I1891" s="16">
        <v>161.70000000000002</v>
      </c>
      <c r="J1891" s="16">
        <v>93.246647882553617</v>
      </c>
      <c r="K1891" s="16">
        <v>68.453352117446386</v>
      </c>
      <c r="L1891" s="13">
        <v>1.98</v>
      </c>
      <c r="M1891" s="13"/>
      <c r="N1891" s="17">
        <f t="shared" si="64"/>
        <v>485.1</v>
      </c>
      <c r="O1891" s="17">
        <f t="shared" si="64"/>
        <v>0</v>
      </c>
      <c r="P1891" s="17">
        <f t="shared" si="63"/>
        <v>485.1</v>
      </c>
      <c r="Q1891" t="str">
        <f>A1891&amp;"-"&amp;B1891&amp;"-"&amp;D1891</f>
        <v>MEI-KLB-L2B</v>
      </c>
    </row>
    <row r="1892" spans="1:17" x14ac:dyDescent="0.25">
      <c r="A1892" t="s">
        <v>395</v>
      </c>
      <c r="B1892" s="13" t="s">
        <v>24</v>
      </c>
      <c r="C1892" s="13" t="s">
        <v>226</v>
      </c>
      <c r="D1892" s="14" t="s">
        <v>223</v>
      </c>
      <c r="E1892" s="13" t="s">
        <v>61</v>
      </c>
      <c r="F1892" s="13" t="s">
        <v>876</v>
      </c>
      <c r="G1892" s="13">
        <v>0.65</v>
      </c>
      <c r="H1892" s="15">
        <v>1065</v>
      </c>
      <c r="I1892" s="16">
        <v>692.25</v>
      </c>
      <c r="J1892" s="16">
        <v>429.56903817102108</v>
      </c>
      <c r="K1892" s="16">
        <v>262.68096182897892</v>
      </c>
      <c r="L1892" s="13">
        <v>1.64</v>
      </c>
      <c r="M1892" s="13"/>
      <c r="N1892" s="17">
        <f t="shared" si="64"/>
        <v>1746.6</v>
      </c>
      <c r="O1892" s="17">
        <f t="shared" si="64"/>
        <v>0</v>
      </c>
      <c r="P1892" s="17">
        <f t="shared" si="63"/>
        <v>1746.6</v>
      </c>
      <c r="Q1892" t="str">
        <f>A1892&amp;"-"&amp;B1892&amp;"-"&amp;D1892</f>
        <v>MEI-KLB-L2B</v>
      </c>
    </row>
    <row r="1893" spans="1:17" x14ac:dyDescent="0.25">
      <c r="A1893" t="s">
        <v>395</v>
      </c>
      <c r="B1893" s="13" t="s">
        <v>24</v>
      </c>
      <c r="C1893" s="13" t="s">
        <v>226</v>
      </c>
      <c r="D1893" s="14" t="s">
        <v>223</v>
      </c>
      <c r="E1893" s="13" t="s">
        <v>61</v>
      </c>
      <c r="F1893" s="13" t="s">
        <v>877</v>
      </c>
      <c r="G1893" s="13">
        <v>0.65</v>
      </c>
      <c r="H1893" s="15">
        <v>11170</v>
      </c>
      <c r="I1893" s="16">
        <v>7260.5</v>
      </c>
      <c r="J1893" s="16">
        <v>4401.4986773415185</v>
      </c>
      <c r="K1893" s="16">
        <v>2859.0013226584815</v>
      </c>
      <c r="L1893" s="13">
        <v>1.66</v>
      </c>
      <c r="M1893" s="13"/>
      <c r="N1893" s="17">
        <f t="shared" si="64"/>
        <v>18542.2</v>
      </c>
      <c r="O1893" s="17">
        <f t="shared" si="64"/>
        <v>0</v>
      </c>
      <c r="P1893" s="17">
        <f t="shared" si="63"/>
        <v>18542.2</v>
      </c>
      <c r="Q1893" t="str">
        <f>A1893&amp;"-"&amp;B1893&amp;"-"&amp;D1893</f>
        <v>MEI-KLB-L2B</v>
      </c>
    </row>
    <row r="1894" spans="1:17" x14ac:dyDescent="0.25">
      <c r="A1894" t="s">
        <v>395</v>
      </c>
      <c r="B1894" s="13" t="s">
        <v>24</v>
      </c>
      <c r="C1894" s="13" t="s">
        <v>226</v>
      </c>
      <c r="D1894" s="14" t="s">
        <v>224</v>
      </c>
      <c r="E1894" s="13" t="s">
        <v>61</v>
      </c>
      <c r="F1894" s="13" t="s">
        <v>730</v>
      </c>
      <c r="G1894" s="13">
        <v>0.68</v>
      </c>
      <c r="H1894" s="15">
        <v>3651</v>
      </c>
      <c r="I1894" s="16">
        <v>2482.6799999999998</v>
      </c>
      <c r="J1894" s="16">
        <v>1315.7226666666666</v>
      </c>
      <c r="K1894" s="16">
        <v>1166.9573333333333</v>
      </c>
      <c r="L1894" s="13">
        <v>1.82</v>
      </c>
      <c r="M1894" s="13"/>
      <c r="N1894" s="17">
        <f t="shared" si="64"/>
        <v>6644.8200000000006</v>
      </c>
      <c r="O1894" s="17">
        <f t="shared" si="64"/>
        <v>0</v>
      </c>
      <c r="P1894" s="17">
        <f t="shared" si="63"/>
        <v>6644.8200000000006</v>
      </c>
      <c r="Q1894" t="str">
        <f>A1894&amp;"-"&amp;B1894&amp;"-"&amp;D1894</f>
        <v>MEI-KLB-L3A</v>
      </c>
    </row>
    <row r="1895" spans="1:17" x14ac:dyDescent="0.25">
      <c r="A1895" t="s">
        <v>395</v>
      </c>
      <c r="B1895" s="13" t="s">
        <v>24</v>
      </c>
      <c r="C1895" s="13" t="s">
        <v>226</v>
      </c>
      <c r="D1895" s="14" t="s">
        <v>224</v>
      </c>
      <c r="E1895" s="13" t="s">
        <v>61</v>
      </c>
      <c r="F1895" s="13" t="s">
        <v>861</v>
      </c>
      <c r="G1895" s="13">
        <v>0.66</v>
      </c>
      <c r="H1895" s="15">
        <v>340</v>
      </c>
      <c r="I1895" s="16">
        <v>224.4</v>
      </c>
      <c r="J1895" s="16">
        <v>130.33333333333331</v>
      </c>
      <c r="K1895" s="16">
        <v>94.066666666666691</v>
      </c>
      <c r="L1895" s="13">
        <v>1.97</v>
      </c>
      <c r="M1895" s="13"/>
      <c r="N1895" s="17">
        <f t="shared" si="64"/>
        <v>669.8</v>
      </c>
      <c r="O1895" s="17">
        <f t="shared" si="64"/>
        <v>0</v>
      </c>
      <c r="P1895" s="17">
        <f t="shared" si="63"/>
        <v>669.8</v>
      </c>
      <c r="Q1895" t="str">
        <f>A1895&amp;"-"&amp;B1895&amp;"-"&amp;D1895</f>
        <v>MEI-KLB-L3A</v>
      </c>
    </row>
    <row r="1896" spans="1:17" x14ac:dyDescent="0.25">
      <c r="A1896" t="s">
        <v>395</v>
      </c>
      <c r="B1896" s="13" t="s">
        <v>24</v>
      </c>
      <c r="C1896" s="13" t="s">
        <v>226</v>
      </c>
      <c r="D1896" s="14" t="s">
        <v>224</v>
      </c>
      <c r="E1896" s="13" t="s">
        <v>61</v>
      </c>
      <c r="F1896" s="13" t="s">
        <v>731</v>
      </c>
      <c r="G1896" s="13">
        <v>0.68</v>
      </c>
      <c r="H1896" s="15">
        <v>10</v>
      </c>
      <c r="I1896" s="16">
        <v>6.8</v>
      </c>
      <c r="J1896" s="16">
        <v>3.496</v>
      </c>
      <c r="K1896" s="16">
        <v>3.3039999999999998</v>
      </c>
      <c r="L1896" s="13">
        <v>1.82</v>
      </c>
      <c r="M1896" s="13"/>
      <c r="N1896" s="17">
        <f t="shared" si="64"/>
        <v>18.2</v>
      </c>
      <c r="O1896" s="17">
        <f t="shared" si="64"/>
        <v>0</v>
      </c>
      <c r="P1896" s="17">
        <f t="shared" si="63"/>
        <v>18.2</v>
      </c>
      <c r="Q1896" t="str">
        <f>A1896&amp;"-"&amp;B1896&amp;"-"&amp;D1896</f>
        <v>MEI-KLB-L3A</v>
      </c>
    </row>
    <row r="1897" spans="1:17" x14ac:dyDescent="0.25">
      <c r="A1897" t="s">
        <v>395</v>
      </c>
      <c r="B1897" s="13" t="s">
        <v>24</v>
      </c>
      <c r="C1897" s="13" t="s">
        <v>226</v>
      </c>
      <c r="D1897" s="14" t="s">
        <v>224</v>
      </c>
      <c r="E1897" s="13" t="s">
        <v>61</v>
      </c>
      <c r="F1897" s="13" t="s">
        <v>862</v>
      </c>
      <c r="G1897" s="13">
        <v>0.68</v>
      </c>
      <c r="H1897" s="15">
        <v>2192</v>
      </c>
      <c r="I1897" s="16">
        <v>1490.56</v>
      </c>
      <c r="J1897" s="16">
        <v>889.99477124183011</v>
      </c>
      <c r="K1897" s="16">
        <v>600.56522875816995</v>
      </c>
      <c r="L1897" s="13">
        <v>1.82</v>
      </c>
      <c r="M1897" s="13"/>
      <c r="N1897" s="17">
        <f t="shared" si="64"/>
        <v>3989.44</v>
      </c>
      <c r="O1897" s="17">
        <f t="shared" si="64"/>
        <v>0</v>
      </c>
      <c r="P1897" s="17">
        <f t="shared" si="63"/>
        <v>3989.44</v>
      </c>
      <c r="Q1897" t="str">
        <f>A1897&amp;"-"&amp;B1897&amp;"-"&amp;D1897</f>
        <v>MEI-KLB-L3A</v>
      </c>
    </row>
    <row r="1898" spans="1:17" x14ac:dyDescent="0.25">
      <c r="A1898" t="s">
        <v>395</v>
      </c>
      <c r="B1898" s="13" t="s">
        <v>24</v>
      </c>
      <c r="C1898" s="13" t="s">
        <v>226</v>
      </c>
      <c r="D1898" s="14" t="s">
        <v>224</v>
      </c>
      <c r="E1898" s="13" t="s">
        <v>61</v>
      </c>
      <c r="F1898" s="13" t="s">
        <v>863</v>
      </c>
      <c r="G1898" s="13">
        <v>0.68</v>
      </c>
      <c r="H1898" s="15">
        <v>4962</v>
      </c>
      <c r="I1898" s="16">
        <v>3374.1600000000003</v>
      </c>
      <c r="J1898" s="16">
        <v>1847.1188996102092</v>
      </c>
      <c r="K1898" s="16">
        <v>1527.0411003897907</v>
      </c>
      <c r="L1898" s="13">
        <v>1.82</v>
      </c>
      <c r="M1898" s="13"/>
      <c r="N1898" s="17">
        <f t="shared" si="64"/>
        <v>9030.84</v>
      </c>
      <c r="O1898" s="17">
        <f t="shared" si="64"/>
        <v>0</v>
      </c>
      <c r="P1898" s="17">
        <f t="shared" si="63"/>
        <v>9030.84</v>
      </c>
      <c r="Q1898" t="str">
        <f>A1898&amp;"-"&amp;B1898&amp;"-"&amp;D1898</f>
        <v>MEI-KLB-L3A</v>
      </c>
    </row>
    <row r="1899" spans="1:17" x14ac:dyDescent="0.25">
      <c r="A1899" t="s">
        <v>395</v>
      </c>
      <c r="B1899" s="13" t="s">
        <v>24</v>
      </c>
      <c r="C1899" s="13" t="s">
        <v>226</v>
      </c>
      <c r="D1899" s="14" t="s">
        <v>224</v>
      </c>
      <c r="E1899" s="13" t="s">
        <v>61</v>
      </c>
      <c r="F1899" s="13" t="s">
        <v>864</v>
      </c>
      <c r="G1899" s="13">
        <v>0.66</v>
      </c>
      <c r="H1899" s="15">
        <v>367</v>
      </c>
      <c r="I1899" s="16">
        <v>242.21999999999997</v>
      </c>
      <c r="J1899" s="16">
        <v>139.86495214190927</v>
      </c>
      <c r="K1899" s="16">
        <v>102.35504785809071</v>
      </c>
      <c r="L1899" s="13">
        <v>1.97</v>
      </c>
      <c r="M1899" s="13"/>
      <c r="N1899" s="17">
        <f t="shared" si="64"/>
        <v>722.99</v>
      </c>
      <c r="O1899" s="17">
        <f t="shared" si="64"/>
        <v>0</v>
      </c>
      <c r="P1899" s="17">
        <f t="shared" si="63"/>
        <v>722.99</v>
      </c>
      <c r="Q1899" t="str">
        <f>A1899&amp;"-"&amp;B1899&amp;"-"&amp;D1899</f>
        <v>MEI-KLB-L3A</v>
      </c>
    </row>
    <row r="1900" spans="1:17" x14ac:dyDescent="0.25">
      <c r="A1900" t="s">
        <v>395</v>
      </c>
      <c r="B1900" s="13" t="s">
        <v>24</v>
      </c>
      <c r="C1900" s="13" t="s">
        <v>226</v>
      </c>
      <c r="D1900" s="14" t="s">
        <v>224</v>
      </c>
      <c r="E1900" s="13" t="s">
        <v>61</v>
      </c>
      <c r="F1900" s="13" t="s">
        <v>733</v>
      </c>
      <c r="G1900" s="13">
        <v>0.68</v>
      </c>
      <c r="H1900" s="15">
        <v>5</v>
      </c>
      <c r="I1900" s="16">
        <v>3.4</v>
      </c>
      <c r="J1900" s="16">
        <v>1.8715203426124198</v>
      </c>
      <c r="K1900" s="16">
        <v>1.5284796573875801</v>
      </c>
      <c r="L1900" s="13">
        <v>1.82</v>
      </c>
      <c r="M1900" s="13"/>
      <c r="N1900" s="17">
        <f t="shared" si="64"/>
        <v>9.1</v>
      </c>
      <c r="O1900" s="17">
        <f t="shared" si="64"/>
        <v>0</v>
      </c>
      <c r="P1900" s="17">
        <f t="shared" si="63"/>
        <v>9.1</v>
      </c>
      <c r="Q1900" t="str">
        <f>A1900&amp;"-"&amp;B1900&amp;"-"&amp;D1900</f>
        <v>MEI-KLB-L3A</v>
      </c>
    </row>
    <row r="1901" spans="1:17" x14ac:dyDescent="0.25">
      <c r="A1901" t="s">
        <v>395</v>
      </c>
      <c r="B1901" s="13" t="s">
        <v>24</v>
      </c>
      <c r="C1901" s="13" t="s">
        <v>226</v>
      </c>
      <c r="D1901" s="14" t="s">
        <v>224</v>
      </c>
      <c r="E1901" s="13" t="s">
        <v>61</v>
      </c>
      <c r="F1901" s="13" t="s">
        <v>866</v>
      </c>
      <c r="G1901" s="13">
        <v>0.68</v>
      </c>
      <c r="H1901" s="15">
        <v>7678</v>
      </c>
      <c r="I1901" s="16">
        <v>5221.0399999999991</v>
      </c>
      <c r="J1901" s="16">
        <v>2774.5057771972006</v>
      </c>
      <c r="K1901" s="16">
        <v>2446.5342228027998</v>
      </c>
      <c r="L1901" s="13">
        <v>1.82</v>
      </c>
      <c r="M1901" s="13"/>
      <c r="N1901" s="17">
        <f t="shared" si="64"/>
        <v>13973.960000000001</v>
      </c>
      <c r="O1901" s="17">
        <f t="shared" si="64"/>
        <v>0</v>
      </c>
      <c r="P1901" s="17">
        <f t="shared" si="63"/>
        <v>13973.960000000001</v>
      </c>
      <c r="Q1901" t="str">
        <f>A1901&amp;"-"&amp;B1901&amp;"-"&amp;D1901</f>
        <v>MEI-KLB-L3A</v>
      </c>
    </row>
    <row r="1902" spans="1:17" x14ac:dyDescent="0.25">
      <c r="A1902" t="s">
        <v>395</v>
      </c>
      <c r="B1902" s="13" t="s">
        <v>24</v>
      </c>
      <c r="C1902" s="13" t="s">
        <v>226</v>
      </c>
      <c r="D1902" s="14" t="s">
        <v>224</v>
      </c>
      <c r="E1902" s="13" t="s">
        <v>61</v>
      </c>
      <c r="F1902" s="13" t="s">
        <v>739</v>
      </c>
      <c r="G1902" s="13">
        <v>0.68</v>
      </c>
      <c r="H1902" s="15">
        <v>5</v>
      </c>
      <c r="I1902" s="16">
        <v>3.4</v>
      </c>
      <c r="J1902" s="16">
        <v>1.748</v>
      </c>
      <c r="K1902" s="16">
        <v>1.6519999999999999</v>
      </c>
      <c r="L1902" s="13">
        <v>1.82</v>
      </c>
      <c r="M1902" s="13"/>
      <c r="N1902" s="17">
        <f t="shared" si="64"/>
        <v>9.1</v>
      </c>
      <c r="O1902" s="17">
        <f t="shared" si="64"/>
        <v>0</v>
      </c>
      <c r="P1902" s="17">
        <f t="shared" si="63"/>
        <v>9.1</v>
      </c>
      <c r="Q1902" t="str">
        <f>A1902&amp;"-"&amp;B1902&amp;"-"&amp;D1902</f>
        <v>MEI-KLB-L3A</v>
      </c>
    </row>
    <row r="1903" spans="1:17" x14ac:dyDescent="0.25">
      <c r="A1903" t="s">
        <v>395</v>
      </c>
      <c r="B1903" s="13" t="s">
        <v>24</v>
      </c>
      <c r="C1903" s="13" t="s">
        <v>226</v>
      </c>
      <c r="D1903" s="14" t="s">
        <v>224</v>
      </c>
      <c r="E1903" s="13" t="s">
        <v>61</v>
      </c>
      <c r="F1903" s="13" t="s">
        <v>883</v>
      </c>
      <c r="G1903" s="13">
        <v>0.78</v>
      </c>
      <c r="H1903" s="15">
        <v>3355</v>
      </c>
      <c r="I1903" s="16">
        <v>2616.9</v>
      </c>
      <c r="J1903" s="16">
        <v>1589.6833902333406</v>
      </c>
      <c r="K1903" s="16">
        <v>1027.2166097666598</v>
      </c>
      <c r="L1903" s="13">
        <v>2</v>
      </c>
      <c r="M1903" s="13"/>
      <c r="N1903" s="17">
        <f t="shared" si="64"/>
        <v>6710</v>
      </c>
      <c r="O1903" s="17">
        <f t="shared" si="64"/>
        <v>0</v>
      </c>
      <c r="P1903" s="17">
        <f t="shared" si="63"/>
        <v>6710</v>
      </c>
      <c r="Q1903" t="str">
        <f>A1903&amp;"-"&amp;B1903&amp;"-"&amp;D1903</f>
        <v>MEI-KLB-L3A</v>
      </c>
    </row>
    <row r="1904" spans="1:17" x14ac:dyDescent="0.25">
      <c r="A1904" t="s">
        <v>395</v>
      </c>
      <c r="B1904" s="13" t="s">
        <v>24</v>
      </c>
      <c r="C1904" s="13" t="s">
        <v>226</v>
      </c>
      <c r="D1904" s="14" t="s">
        <v>224</v>
      </c>
      <c r="E1904" s="13" t="s">
        <v>61</v>
      </c>
      <c r="F1904" s="13" t="s">
        <v>884</v>
      </c>
      <c r="G1904" s="13">
        <v>0.76000000000000012</v>
      </c>
      <c r="H1904" s="15">
        <v>630</v>
      </c>
      <c r="I1904" s="16">
        <v>478.8</v>
      </c>
      <c r="J1904" s="16">
        <v>309.23943220842523</v>
      </c>
      <c r="K1904" s="16">
        <v>169.56056779157478</v>
      </c>
      <c r="L1904" s="13">
        <v>2.15</v>
      </c>
      <c r="M1904" s="13"/>
      <c r="N1904" s="17">
        <f t="shared" si="64"/>
        <v>1354.5</v>
      </c>
      <c r="O1904" s="17">
        <f t="shared" si="64"/>
        <v>0</v>
      </c>
      <c r="P1904" s="17">
        <f t="shared" si="63"/>
        <v>1354.5</v>
      </c>
      <c r="Q1904" t="str">
        <f>A1904&amp;"-"&amp;B1904&amp;"-"&amp;D1904</f>
        <v>MEI-KLB-L3A</v>
      </c>
    </row>
    <row r="1905" spans="1:17" x14ac:dyDescent="0.25">
      <c r="A1905" t="s">
        <v>395</v>
      </c>
      <c r="B1905" s="13" t="s">
        <v>24</v>
      </c>
      <c r="C1905" s="13" t="s">
        <v>226</v>
      </c>
      <c r="D1905" s="14" t="s">
        <v>224</v>
      </c>
      <c r="E1905" s="13" t="s">
        <v>61</v>
      </c>
      <c r="F1905" s="13" t="s">
        <v>885</v>
      </c>
      <c r="G1905" s="13">
        <v>0.78</v>
      </c>
      <c r="H1905" s="15">
        <v>3400</v>
      </c>
      <c r="I1905" s="16">
        <v>2652</v>
      </c>
      <c r="J1905" s="16">
        <v>1588.220671319375</v>
      </c>
      <c r="K1905" s="16">
        <v>1063.779328680625</v>
      </c>
      <c r="L1905" s="13">
        <v>2</v>
      </c>
      <c r="M1905" s="13"/>
      <c r="N1905" s="17">
        <f t="shared" si="64"/>
        <v>6800</v>
      </c>
      <c r="O1905" s="17">
        <f t="shared" si="64"/>
        <v>0</v>
      </c>
      <c r="P1905" s="17">
        <f t="shared" si="63"/>
        <v>6800</v>
      </c>
      <c r="Q1905" t="str">
        <f>A1905&amp;"-"&amp;B1905&amp;"-"&amp;D1905</f>
        <v>MEI-KLB-L3A</v>
      </c>
    </row>
    <row r="1906" spans="1:17" x14ac:dyDescent="0.25">
      <c r="A1906" t="s">
        <v>395</v>
      </c>
      <c r="B1906" s="13" t="s">
        <v>24</v>
      </c>
      <c r="C1906" s="13" t="s">
        <v>226</v>
      </c>
      <c r="D1906" s="14" t="s">
        <v>224</v>
      </c>
      <c r="E1906" s="13" t="s">
        <v>61</v>
      </c>
      <c r="F1906" s="13" t="s">
        <v>869</v>
      </c>
      <c r="G1906" s="13">
        <v>0.68</v>
      </c>
      <c r="H1906" s="15">
        <v>330</v>
      </c>
      <c r="I1906" s="16">
        <v>224.4</v>
      </c>
      <c r="J1906" s="16">
        <v>138.03735563250126</v>
      </c>
      <c r="K1906" s="16">
        <v>86.362644367498731</v>
      </c>
      <c r="L1906" s="13">
        <v>1.83</v>
      </c>
      <c r="M1906" s="13"/>
      <c r="N1906" s="17">
        <f t="shared" si="64"/>
        <v>603.9</v>
      </c>
      <c r="O1906" s="17">
        <f t="shared" si="64"/>
        <v>0</v>
      </c>
      <c r="P1906" s="17">
        <f t="shared" si="63"/>
        <v>603.9</v>
      </c>
      <c r="Q1906" t="str">
        <f>A1906&amp;"-"&amp;B1906&amp;"-"&amp;D1906</f>
        <v>MEI-KLB-L3A</v>
      </c>
    </row>
    <row r="1907" spans="1:17" x14ac:dyDescent="0.25">
      <c r="A1907" t="s">
        <v>395</v>
      </c>
      <c r="B1907" s="13" t="s">
        <v>24</v>
      </c>
      <c r="C1907" s="13" t="s">
        <v>226</v>
      </c>
      <c r="D1907" s="14" t="s">
        <v>224</v>
      </c>
      <c r="E1907" s="13" t="s">
        <v>61</v>
      </c>
      <c r="F1907" s="13" t="s">
        <v>870</v>
      </c>
      <c r="G1907" s="13">
        <v>0.68</v>
      </c>
      <c r="H1907" s="15">
        <v>1495</v>
      </c>
      <c r="I1907" s="16">
        <v>1016.6</v>
      </c>
      <c r="J1907" s="16">
        <v>633.86609183696555</v>
      </c>
      <c r="K1907" s="16">
        <v>382.73390816303441</v>
      </c>
      <c r="L1907" s="13">
        <v>1.83</v>
      </c>
      <c r="M1907" s="13"/>
      <c r="N1907" s="17">
        <f t="shared" si="64"/>
        <v>2735.85</v>
      </c>
      <c r="O1907" s="17">
        <f t="shared" si="64"/>
        <v>0</v>
      </c>
      <c r="P1907" s="17">
        <f t="shared" si="63"/>
        <v>2735.85</v>
      </c>
      <c r="Q1907" t="str">
        <f>A1907&amp;"-"&amp;B1907&amp;"-"&amp;D1907</f>
        <v>MEI-KLB-L3A</v>
      </c>
    </row>
    <row r="1908" spans="1:17" x14ac:dyDescent="0.25">
      <c r="A1908" t="s">
        <v>395</v>
      </c>
      <c r="B1908" s="13" t="s">
        <v>24</v>
      </c>
      <c r="C1908" s="13" t="s">
        <v>226</v>
      </c>
      <c r="D1908" s="14" t="s">
        <v>224</v>
      </c>
      <c r="E1908" s="13" t="s">
        <v>61</v>
      </c>
      <c r="F1908" s="13" t="s">
        <v>871</v>
      </c>
      <c r="G1908" s="13">
        <v>0.69</v>
      </c>
      <c r="H1908" s="15">
        <v>2005</v>
      </c>
      <c r="I1908" s="16">
        <v>1383.4499999999998</v>
      </c>
      <c r="J1908" s="16">
        <v>780.59880469743439</v>
      </c>
      <c r="K1908" s="16">
        <v>602.85119530256554</v>
      </c>
      <c r="L1908" s="13">
        <v>1.83</v>
      </c>
      <c r="M1908" s="13"/>
      <c r="N1908" s="17">
        <f t="shared" si="64"/>
        <v>3669.15</v>
      </c>
      <c r="O1908" s="17">
        <f t="shared" si="64"/>
        <v>0</v>
      </c>
      <c r="P1908" s="17">
        <f t="shared" si="63"/>
        <v>3669.15</v>
      </c>
      <c r="Q1908" t="str">
        <f>A1908&amp;"-"&amp;B1908&amp;"-"&amp;D1908</f>
        <v>MEI-KLB-L3A</v>
      </c>
    </row>
    <row r="1909" spans="1:17" x14ac:dyDescent="0.25">
      <c r="A1909" t="s">
        <v>395</v>
      </c>
      <c r="B1909" s="13" t="s">
        <v>24</v>
      </c>
      <c r="C1909" s="13" t="s">
        <v>226</v>
      </c>
      <c r="D1909" s="14" t="s">
        <v>224</v>
      </c>
      <c r="E1909" s="13" t="s">
        <v>61</v>
      </c>
      <c r="F1909" s="13" t="s">
        <v>872</v>
      </c>
      <c r="G1909" s="13">
        <v>0.66</v>
      </c>
      <c r="H1909" s="15">
        <v>335</v>
      </c>
      <c r="I1909" s="16">
        <v>221.1</v>
      </c>
      <c r="J1909" s="16">
        <v>141.96294158915518</v>
      </c>
      <c r="K1909" s="16">
        <v>79.137058410844801</v>
      </c>
      <c r="L1909" s="13">
        <v>1.98</v>
      </c>
      <c r="M1909" s="13"/>
      <c r="N1909" s="17">
        <f t="shared" si="64"/>
        <v>663.3</v>
      </c>
      <c r="O1909" s="17">
        <f t="shared" si="64"/>
        <v>0</v>
      </c>
      <c r="P1909" s="17">
        <f t="shared" si="63"/>
        <v>663.3</v>
      </c>
      <c r="Q1909" t="str">
        <f>A1909&amp;"-"&amp;B1909&amp;"-"&amp;D1909</f>
        <v>MEI-KLB-L3A</v>
      </c>
    </row>
    <row r="1910" spans="1:17" x14ac:dyDescent="0.25">
      <c r="A1910" t="s">
        <v>395</v>
      </c>
      <c r="B1910" s="13" t="s">
        <v>24</v>
      </c>
      <c r="C1910" s="13" t="s">
        <v>226</v>
      </c>
      <c r="D1910" s="14" t="s">
        <v>224</v>
      </c>
      <c r="E1910" s="13" t="s">
        <v>61</v>
      </c>
      <c r="F1910" s="13" t="s">
        <v>886</v>
      </c>
      <c r="G1910" s="13">
        <v>0.79</v>
      </c>
      <c r="H1910" s="15">
        <v>80</v>
      </c>
      <c r="I1910" s="16">
        <v>63.2</v>
      </c>
      <c r="J1910" s="16">
        <v>41.109147858406018</v>
      </c>
      <c r="K1910" s="16">
        <v>22.090852141593981</v>
      </c>
      <c r="L1910" s="13">
        <v>2.08</v>
      </c>
      <c r="M1910" s="13"/>
      <c r="N1910" s="17">
        <f t="shared" si="64"/>
        <v>166.4</v>
      </c>
      <c r="O1910" s="17">
        <f t="shared" si="64"/>
        <v>0</v>
      </c>
      <c r="P1910" s="17">
        <f t="shared" si="63"/>
        <v>166.4</v>
      </c>
      <c r="Q1910" t="str">
        <f>A1910&amp;"-"&amp;B1910&amp;"-"&amp;D1910</f>
        <v>MEI-KLB-L3A</v>
      </c>
    </row>
    <row r="1911" spans="1:17" x14ac:dyDescent="0.25">
      <c r="A1911" t="s">
        <v>395</v>
      </c>
      <c r="B1911" s="13" t="s">
        <v>24</v>
      </c>
      <c r="C1911" s="13" t="s">
        <v>226</v>
      </c>
      <c r="D1911" s="14" t="s">
        <v>224</v>
      </c>
      <c r="E1911" s="13" t="s">
        <v>61</v>
      </c>
      <c r="F1911" s="13" t="s">
        <v>887</v>
      </c>
      <c r="G1911" s="13">
        <v>0.79</v>
      </c>
      <c r="H1911" s="15">
        <v>1715</v>
      </c>
      <c r="I1911" s="16">
        <v>1354.85</v>
      </c>
      <c r="J1911" s="16">
        <v>881.78041543026711</v>
      </c>
      <c r="K1911" s="16">
        <v>473.06958456973291</v>
      </c>
      <c r="L1911" s="13">
        <v>2.08</v>
      </c>
      <c r="M1911" s="13"/>
      <c r="N1911" s="17">
        <f t="shared" si="64"/>
        <v>3567.2000000000003</v>
      </c>
      <c r="O1911" s="17">
        <f t="shared" si="64"/>
        <v>0</v>
      </c>
      <c r="P1911" s="17">
        <f t="shared" si="63"/>
        <v>3567.2000000000003</v>
      </c>
      <c r="Q1911" t="str">
        <f>A1911&amp;"-"&amp;B1911&amp;"-"&amp;D1911</f>
        <v>MEI-KLB-L3A</v>
      </c>
    </row>
    <row r="1912" spans="1:17" x14ac:dyDescent="0.25">
      <c r="A1912" t="s">
        <v>395</v>
      </c>
      <c r="B1912" s="13" t="s">
        <v>24</v>
      </c>
      <c r="C1912" s="13" t="s">
        <v>226</v>
      </c>
      <c r="D1912" s="14" t="s">
        <v>224</v>
      </c>
      <c r="E1912" s="13" t="s">
        <v>61</v>
      </c>
      <c r="F1912" s="13" t="s">
        <v>873</v>
      </c>
      <c r="G1912" s="13">
        <v>0.68</v>
      </c>
      <c r="H1912" s="15">
        <v>1154</v>
      </c>
      <c r="I1912" s="16">
        <v>784.72</v>
      </c>
      <c r="J1912" s="16">
        <v>439.47538126361655</v>
      </c>
      <c r="K1912" s="16">
        <v>345.24461873638347</v>
      </c>
      <c r="L1912" s="13">
        <v>1.83</v>
      </c>
      <c r="M1912" s="13"/>
      <c r="N1912" s="17">
        <f t="shared" si="64"/>
        <v>2111.8200000000002</v>
      </c>
      <c r="O1912" s="17">
        <f t="shared" si="64"/>
        <v>0</v>
      </c>
      <c r="P1912" s="17">
        <f t="shared" si="63"/>
        <v>2111.8200000000002</v>
      </c>
      <c r="Q1912" t="str">
        <f>A1912&amp;"-"&amp;B1912&amp;"-"&amp;D1912</f>
        <v>MEI-KLB-L3A</v>
      </c>
    </row>
    <row r="1913" spans="1:17" x14ac:dyDescent="0.25">
      <c r="A1913" t="s">
        <v>395</v>
      </c>
      <c r="B1913" s="13" t="s">
        <v>24</v>
      </c>
      <c r="C1913" s="13" t="s">
        <v>226</v>
      </c>
      <c r="D1913" s="14" t="s">
        <v>224</v>
      </c>
      <c r="E1913" s="13" t="s">
        <v>61</v>
      </c>
      <c r="F1913" s="13" t="s">
        <v>874</v>
      </c>
      <c r="G1913" s="13">
        <v>0.68</v>
      </c>
      <c r="H1913" s="15">
        <v>1099</v>
      </c>
      <c r="I1913" s="16">
        <v>747.31999999999994</v>
      </c>
      <c r="J1913" s="16">
        <v>418.74706728430317</v>
      </c>
      <c r="K1913" s="16">
        <v>328.57293271569682</v>
      </c>
      <c r="L1913" s="13">
        <v>1.83</v>
      </c>
      <c r="M1913" s="13"/>
      <c r="N1913" s="17">
        <f t="shared" si="64"/>
        <v>2011.17</v>
      </c>
      <c r="O1913" s="17">
        <f t="shared" si="64"/>
        <v>0</v>
      </c>
      <c r="P1913" s="17">
        <f t="shared" si="63"/>
        <v>2011.17</v>
      </c>
      <c r="Q1913" t="str">
        <f>A1913&amp;"-"&amp;B1913&amp;"-"&amp;D1913</f>
        <v>MEI-KLB-L3A</v>
      </c>
    </row>
    <row r="1914" spans="1:17" x14ac:dyDescent="0.25">
      <c r="A1914" t="s">
        <v>395</v>
      </c>
      <c r="B1914" s="13" t="s">
        <v>24</v>
      </c>
      <c r="C1914" s="13" t="s">
        <v>226</v>
      </c>
      <c r="D1914" s="14" t="s">
        <v>224</v>
      </c>
      <c r="E1914" s="13" t="s">
        <v>61</v>
      </c>
      <c r="F1914" s="13" t="s">
        <v>744</v>
      </c>
      <c r="G1914" s="13">
        <v>0.69</v>
      </c>
      <c r="H1914" s="15">
        <v>2</v>
      </c>
      <c r="I1914" s="16">
        <v>1.38</v>
      </c>
      <c r="J1914" s="16">
        <v>0.68148148148148147</v>
      </c>
      <c r="K1914" s="16">
        <v>0.69851851851851843</v>
      </c>
      <c r="L1914" s="13">
        <v>1.83</v>
      </c>
      <c r="M1914" s="13"/>
      <c r="N1914" s="17">
        <f t="shared" si="64"/>
        <v>3.66</v>
      </c>
      <c r="O1914" s="17">
        <f t="shared" si="64"/>
        <v>0</v>
      </c>
      <c r="P1914" s="17">
        <f t="shared" si="63"/>
        <v>3.66</v>
      </c>
      <c r="Q1914" t="str">
        <f>A1914&amp;"-"&amp;B1914&amp;"-"&amp;D1914</f>
        <v>MEI-KLB-L3A</v>
      </c>
    </row>
    <row r="1915" spans="1:17" x14ac:dyDescent="0.25">
      <c r="A1915" t="s">
        <v>395</v>
      </c>
      <c r="B1915" s="13" t="s">
        <v>24</v>
      </c>
      <c r="C1915" s="13" t="s">
        <v>226</v>
      </c>
      <c r="D1915" s="14" t="s">
        <v>224</v>
      </c>
      <c r="E1915" s="13" t="s">
        <v>61</v>
      </c>
      <c r="F1915" s="13" t="s">
        <v>875</v>
      </c>
      <c r="G1915" s="13">
        <v>0.66</v>
      </c>
      <c r="H1915" s="15">
        <v>20</v>
      </c>
      <c r="I1915" s="16">
        <v>13.2</v>
      </c>
      <c r="J1915" s="16">
        <v>8.1297342355594786</v>
      </c>
      <c r="K1915" s="16">
        <v>5.0702657644405216</v>
      </c>
      <c r="L1915" s="13">
        <v>1.98</v>
      </c>
      <c r="M1915" s="13"/>
      <c r="N1915" s="17">
        <f t="shared" si="64"/>
        <v>39.6</v>
      </c>
      <c r="O1915" s="17">
        <f t="shared" si="64"/>
        <v>0</v>
      </c>
      <c r="P1915" s="17">
        <f t="shared" si="63"/>
        <v>39.6</v>
      </c>
      <c r="Q1915" t="str">
        <f>A1915&amp;"-"&amp;B1915&amp;"-"&amp;D1915</f>
        <v>MEI-KLB-L3A</v>
      </c>
    </row>
    <row r="1916" spans="1:17" x14ac:dyDescent="0.25">
      <c r="A1916" t="s">
        <v>395</v>
      </c>
      <c r="B1916" s="13" t="s">
        <v>24</v>
      </c>
      <c r="C1916" s="13" t="s">
        <v>226</v>
      </c>
      <c r="D1916" s="14" t="s">
        <v>224</v>
      </c>
      <c r="E1916" s="13" t="s">
        <v>61</v>
      </c>
      <c r="F1916" s="13" t="s">
        <v>888</v>
      </c>
      <c r="G1916" s="13">
        <v>0.79</v>
      </c>
      <c r="H1916" s="15">
        <v>1610</v>
      </c>
      <c r="I1916" s="16">
        <v>1271.9000000000001</v>
      </c>
      <c r="J1916" s="16">
        <v>833.96694295018619</v>
      </c>
      <c r="K1916" s="16">
        <v>437.93305704981378</v>
      </c>
      <c r="L1916" s="13">
        <v>2.08</v>
      </c>
      <c r="M1916" s="13"/>
      <c r="N1916" s="17">
        <f t="shared" si="64"/>
        <v>3348.8</v>
      </c>
      <c r="O1916" s="17">
        <f t="shared" si="64"/>
        <v>0</v>
      </c>
      <c r="P1916" s="17">
        <f t="shared" si="63"/>
        <v>3348.8</v>
      </c>
      <c r="Q1916" t="str">
        <f>A1916&amp;"-"&amp;B1916&amp;"-"&amp;D1916</f>
        <v>MEI-KLB-L3A</v>
      </c>
    </row>
    <row r="1917" spans="1:17" x14ac:dyDescent="0.25">
      <c r="A1917" t="s">
        <v>395</v>
      </c>
      <c r="B1917" s="13" t="s">
        <v>24</v>
      </c>
      <c r="C1917" s="13" t="s">
        <v>226</v>
      </c>
      <c r="D1917" s="14" t="s">
        <v>224</v>
      </c>
      <c r="E1917" s="13" t="s">
        <v>61</v>
      </c>
      <c r="F1917" s="13" t="s">
        <v>876</v>
      </c>
      <c r="G1917" s="13">
        <v>0.65</v>
      </c>
      <c r="H1917" s="15">
        <v>4125</v>
      </c>
      <c r="I1917" s="16">
        <v>2681.25</v>
      </c>
      <c r="J1917" s="16">
        <v>1583.2493959515473</v>
      </c>
      <c r="K1917" s="16">
        <v>1098.0006040484527</v>
      </c>
      <c r="L1917" s="13">
        <v>1.64</v>
      </c>
      <c r="M1917" s="13"/>
      <c r="N1917" s="17">
        <f t="shared" si="64"/>
        <v>6765</v>
      </c>
      <c r="O1917" s="17">
        <f t="shared" si="64"/>
        <v>0</v>
      </c>
      <c r="P1917" s="17">
        <f t="shared" si="63"/>
        <v>6765</v>
      </c>
      <c r="Q1917" t="str">
        <f>A1917&amp;"-"&amp;B1917&amp;"-"&amp;D1917</f>
        <v>MEI-KLB-L3A</v>
      </c>
    </row>
    <row r="1918" spans="1:17" x14ac:dyDescent="0.25">
      <c r="A1918" t="s">
        <v>395</v>
      </c>
      <c r="B1918" s="13" t="s">
        <v>24</v>
      </c>
      <c r="C1918" s="13" t="s">
        <v>226</v>
      </c>
      <c r="D1918" s="14" t="s">
        <v>224</v>
      </c>
      <c r="E1918" s="13" t="s">
        <v>61</v>
      </c>
      <c r="F1918" s="13" t="s">
        <v>877</v>
      </c>
      <c r="G1918" s="13">
        <v>0.65</v>
      </c>
      <c r="H1918" s="15">
        <v>5250</v>
      </c>
      <c r="I1918" s="16">
        <v>3412.5</v>
      </c>
      <c r="J1918" s="16">
        <v>1860.5958254936741</v>
      </c>
      <c r="K1918" s="16">
        <v>1551.9041745063259</v>
      </c>
      <c r="L1918" s="13">
        <v>1.66</v>
      </c>
      <c r="M1918" s="13"/>
      <c r="N1918" s="17">
        <f t="shared" si="64"/>
        <v>8715</v>
      </c>
      <c r="O1918" s="17">
        <f t="shared" si="64"/>
        <v>0</v>
      </c>
      <c r="P1918" s="17">
        <f t="shared" si="63"/>
        <v>8715</v>
      </c>
      <c r="Q1918" t="str">
        <f>A1918&amp;"-"&amp;B1918&amp;"-"&amp;D1918</f>
        <v>MEI-KLB-L3A</v>
      </c>
    </row>
    <row r="1919" spans="1:17" x14ac:dyDescent="0.25">
      <c r="A1919" t="s">
        <v>395</v>
      </c>
      <c r="B1919" s="13" t="s">
        <v>24</v>
      </c>
      <c r="C1919" s="13" t="s">
        <v>226</v>
      </c>
      <c r="D1919" s="14" t="s">
        <v>225</v>
      </c>
      <c r="E1919" s="13" t="s">
        <v>61</v>
      </c>
      <c r="F1919" s="13" t="s">
        <v>730</v>
      </c>
      <c r="G1919" s="13">
        <v>0.68</v>
      </c>
      <c r="H1919" s="15">
        <v>2325</v>
      </c>
      <c r="I1919" s="16">
        <v>1581</v>
      </c>
      <c r="J1919" s="16">
        <v>878.15201900237525</v>
      </c>
      <c r="K1919" s="16">
        <v>702.84798099762475</v>
      </c>
      <c r="L1919" s="13">
        <v>1.82</v>
      </c>
      <c r="M1919" s="13"/>
      <c r="N1919" s="17">
        <f t="shared" si="64"/>
        <v>4231.5</v>
      </c>
      <c r="O1919" s="17">
        <f t="shared" si="64"/>
        <v>0</v>
      </c>
      <c r="P1919" s="17">
        <f t="shared" si="63"/>
        <v>4231.5</v>
      </c>
      <c r="Q1919" t="str">
        <f>A1919&amp;"-"&amp;B1919&amp;"-"&amp;D1919</f>
        <v>MEI-KLB-L3B</v>
      </c>
    </row>
    <row r="1920" spans="1:17" x14ac:dyDescent="0.25">
      <c r="A1920" t="s">
        <v>395</v>
      </c>
      <c r="B1920" s="13" t="s">
        <v>24</v>
      </c>
      <c r="C1920" s="13" t="s">
        <v>226</v>
      </c>
      <c r="D1920" s="14" t="s">
        <v>225</v>
      </c>
      <c r="E1920" s="13" t="s">
        <v>61</v>
      </c>
      <c r="F1920" s="13" t="s">
        <v>861</v>
      </c>
      <c r="G1920" s="13">
        <v>0.66</v>
      </c>
      <c r="H1920" s="15">
        <v>30</v>
      </c>
      <c r="I1920" s="16">
        <v>19.8</v>
      </c>
      <c r="J1920" s="16">
        <v>12.45605700712589</v>
      </c>
      <c r="K1920" s="16">
        <v>7.3439429928741102</v>
      </c>
      <c r="L1920" s="13">
        <v>1.97</v>
      </c>
      <c r="M1920" s="13"/>
      <c r="N1920" s="17">
        <f t="shared" si="64"/>
        <v>59.1</v>
      </c>
      <c r="O1920" s="17">
        <f t="shared" si="64"/>
        <v>0</v>
      </c>
      <c r="P1920" s="17">
        <f t="shared" si="63"/>
        <v>59.1</v>
      </c>
      <c r="Q1920" t="str">
        <f>A1920&amp;"-"&amp;B1920&amp;"-"&amp;D1920</f>
        <v>MEI-KLB-L3B</v>
      </c>
    </row>
    <row r="1921" spans="1:17" x14ac:dyDescent="0.25">
      <c r="A1921" t="s">
        <v>395</v>
      </c>
      <c r="B1921" s="13" t="s">
        <v>24</v>
      </c>
      <c r="C1921" s="13" t="s">
        <v>226</v>
      </c>
      <c r="D1921" s="14" t="s">
        <v>225</v>
      </c>
      <c r="E1921" s="13" t="s">
        <v>61</v>
      </c>
      <c r="F1921" s="13" t="s">
        <v>731</v>
      </c>
      <c r="G1921" s="13">
        <v>0.68</v>
      </c>
      <c r="H1921" s="15">
        <v>765</v>
      </c>
      <c r="I1921" s="16">
        <v>520.19999999999993</v>
      </c>
      <c r="J1921" s="16">
        <v>352.93819444444438</v>
      </c>
      <c r="K1921" s="16">
        <v>167.26180555555558</v>
      </c>
      <c r="L1921" s="13">
        <v>1.82</v>
      </c>
      <c r="M1921" s="13"/>
      <c r="N1921" s="17">
        <f t="shared" si="64"/>
        <v>1392.3</v>
      </c>
      <c r="O1921" s="17">
        <f t="shared" si="64"/>
        <v>0</v>
      </c>
      <c r="P1921" s="17">
        <f t="shared" si="63"/>
        <v>1392.3</v>
      </c>
      <c r="Q1921" t="str">
        <f>A1921&amp;"-"&amp;B1921&amp;"-"&amp;D1921</f>
        <v>MEI-KLB-L3B</v>
      </c>
    </row>
    <row r="1922" spans="1:17" x14ac:dyDescent="0.25">
      <c r="A1922" t="s">
        <v>395</v>
      </c>
      <c r="B1922" s="13" t="s">
        <v>24</v>
      </c>
      <c r="C1922" s="13" t="s">
        <v>226</v>
      </c>
      <c r="D1922" s="14" t="s">
        <v>225</v>
      </c>
      <c r="E1922" s="13" t="s">
        <v>61</v>
      </c>
      <c r="F1922" s="13" t="s">
        <v>862</v>
      </c>
      <c r="G1922" s="13">
        <v>0.68</v>
      </c>
      <c r="H1922" s="15">
        <v>1621</v>
      </c>
      <c r="I1922" s="16">
        <v>1102.28</v>
      </c>
      <c r="J1922" s="16">
        <v>641.66249057315235</v>
      </c>
      <c r="K1922" s="16">
        <v>460.61750942684768</v>
      </c>
      <c r="L1922" s="13">
        <v>1.82</v>
      </c>
      <c r="M1922" s="13"/>
      <c r="N1922" s="17">
        <f t="shared" si="64"/>
        <v>2950.2200000000003</v>
      </c>
      <c r="O1922" s="17">
        <f t="shared" si="64"/>
        <v>0</v>
      </c>
      <c r="P1922" s="17">
        <f t="shared" ref="P1922:P1985" si="65">N1922+O1922</f>
        <v>2950.2200000000003</v>
      </c>
      <c r="Q1922" t="str">
        <f>A1922&amp;"-"&amp;B1922&amp;"-"&amp;D1922</f>
        <v>MEI-KLB-L3B</v>
      </c>
    </row>
    <row r="1923" spans="1:17" x14ac:dyDescent="0.25">
      <c r="A1923" t="s">
        <v>395</v>
      </c>
      <c r="B1923" s="13" t="s">
        <v>24</v>
      </c>
      <c r="C1923" s="13" t="s">
        <v>226</v>
      </c>
      <c r="D1923" s="14" t="s">
        <v>225</v>
      </c>
      <c r="E1923" s="13" t="s">
        <v>61</v>
      </c>
      <c r="F1923" s="13" t="s">
        <v>863</v>
      </c>
      <c r="G1923" s="13">
        <v>0.68</v>
      </c>
      <c r="H1923" s="15">
        <v>2515</v>
      </c>
      <c r="I1923" s="16">
        <v>1710.2</v>
      </c>
      <c r="J1923" s="16">
        <v>994.78338270142171</v>
      </c>
      <c r="K1923" s="16">
        <v>715.4166172985781</v>
      </c>
      <c r="L1923" s="13">
        <v>1.82</v>
      </c>
      <c r="M1923" s="13"/>
      <c r="N1923" s="17">
        <f t="shared" si="64"/>
        <v>4577.3</v>
      </c>
      <c r="O1923" s="17">
        <f t="shared" si="64"/>
        <v>0</v>
      </c>
      <c r="P1923" s="17">
        <f t="shared" si="65"/>
        <v>4577.3</v>
      </c>
      <c r="Q1923" t="str">
        <f>A1923&amp;"-"&amp;B1923&amp;"-"&amp;D1923</f>
        <v>MEI-KLB-L3B</v>
      </c>
    </row>
    <row r="1924" spans="1:17" x14ac:dyDescent="0.25">
      <c r="A1924" t="s">
        <v>395</v>
      </c>
      <c r="B1924" s="13" t="s">
        <v>24</v>
      </c>
      <c r="C1924" s="13" t="s">
        <v>226</v>
      </c>
      <c r="D1924" s="14" t="s">
        <v>225</v>
      </c>
      <c r="E1924" s="13" t="s">
        <v>61</v>
      </c>
      <c r="F1924" s="13" t="s">
        <v>864</v>
      </c>
      <c r="G1924" s="13">
        <v>0.66</v>
      </c>
      <c r="H1924" s="15">
        <v>40</v>
      </c>
      <c r="I1924" s="16">
        <v>26.4</v>
      </c>
      <c r="J1924" s="16">
        <v>15.607142857142856</v>
      </c>
      <c r="K1924" s="16">
        <v>10.792857142857143</v>
      </c>
      <c r="L1924" s="13">
        <v>1.97</v>
      </c>
      <c r="M1924" s="13"/>
      <c r="N1924" s="17">
        <f t="shared" si="64"/>
        <v>78.8</v>
      </c>
      <c r="O1924" s="17">
        <f t="shared" si="64"/>
        <v>0</v>
      </c>
      <c r="P1924" s="17">
        <f t="shared" si="65"/>
        <v>78.8</v>
      </c>
      <c r="Q1924" t="str">
        <f>A1924&amp;"-"&amp;B1924&amp;"-"&amp;D1924</f>
        <v>MEI-KLB-L3B</v>
      </c>
    </row>
    <row r="1925" spans="1:17" x14ac:dyDescent="0.25">
      <c r="A1925" t="s">
        <v>395</v>
      </c>
      <c r="B1925" s="13" t="s">
        <v>24</v>
      </c>
      <c r="C1925" s="13" t="s">
        <v>226</v>
      </c>
      <c r="D1925" s="14" t="s">
        <v>225</v>
      </c>
      <c r="E1925" s="13" t="s">
        <v>61</v>
      </c>
      <c r="F1925" s="13" t="s">
        <v>733</v>
      </c>
      <c r="G1925" s="13">
        <v>0.68</v>
      </c>
      <c r="H1925" s="15">
        <v>95</v>
      </c>
      <c r="I1925" s="16">
        <v>64.599999999999994</v>
      </c>
      <c r="J1925" s="16">
        <v>43.93121693121693</v>
      </c>
      <c r="K1925" s="16">
        <v>20.668783068783064</v>
      </c>
      <c r="L1925" s="13">
        <v>1.82</v>
      </c>
      <c r="M1925" s="13"/>
      <c r="N1925" s="17">
        <f t="shared" si="64"/>
        <v>172.9</v>
      </c>
      <c r="O1925" s="17">
        <f t="shared" si="64"/>
        <v>0</v>
      </c>
      <c r="P1925" s="17">
        <f t="shared" si="65"/>
        <v>172.9</v>
      </c>
      <c r="Q1925" t="str">
        <f>A1925&amp;"-"&amp;B1925&amp;"-"&amp;D1925</f>
        <v>MEI-KLB-L3B</v>
      </c>
    </row>
    <row r="1926" spans="1:17" x14ac:dyDescent="0.25">
      <c r="A1926" t="s">
        <v>395</v>
      </c>
      <c r="B1926" s="13" t="s">
        <v>24</v>
      </c>
      <c r="C1926" s="13" t="s">
        <v>226</v>
      </c>
      <c r="D1926" s="14" t="s">
        <v>225</v>
      </c>
      <c r="E1926" s="13" t="s">
        <v>61</v>
      </c>
      <c r="F1926" s="13" t="s">
        <v>866</v>
      </c>
      <c r="G1926" s="13">
        <v>0.68</v>
      </c>
      <c r="H1926" s="15">
        <v>6658</v>
      </c>
      <c r="I1926" s="16">
        <v>4527.4399999999996</v>
      </c>
      <c r="J1926" s="16">
        <v>2595.0572695425594</v>
      </c>
      <c r="K1926" s="16">
        <v>1932.3827304574399</v>
      </c>
      <c r="L1926" s="13">
        <v>1.82</v>
      </c>
      <c r="M1926" s="13"/>
      <c r="N1926" s="17">
        <f t="shared" si="64"/>
        <v>12117.560000000001</v>
      </c>
      <c r="O1926" s="17">
        <f t="shared" si="64"/>
        <v>0</v>
      </c>
      <c r="P1926" s="17">
        <f t="shared" si="65"/>
        <v>12117.560000000001</v>
      </c>
      <c r="Q1926" t="str">
        <f>A1926&amp;"-"&amp;B1926&amp;"-"&amp;D1926</f>
        <v>MEI-KLB-L3B</v>
      </c>
    </row>
    <row r="1927" spans="1:17" x14ac:dyDescent="0.25">
      <c r="A1927" t="s">
        <v>395</v>
      </c>
      <c r="B1927" s="13" t="s">
        <v>24</v>
      </c>
      <c r="C1927" s="13" t="s">
        <v>226</v>
      </c>
      <c r="D1927" s="14" t="s">
        <v>225</v>
      </c>
      <c r="E1927" s="13" t="s">
        <v>61</v>
      </c>
      <c r="F1927" s="13" t="s">
        <v>867</v>
      </c>
      <c r="G1927" s="13">
        <v>0.66</v>
      </c>
      <c r="H1927" s="15">
        <v>653</v>
      </c>
      <c r="I1927" s="16">
        <v>430.98</v>
      </c>
      <c r="J1927" s="16">
        <v>254.25994226524028</v>
      </c>
      <c r="K1927" s="16">
        <v>176.72005773475971</v>
      </c>
      <c r="L1927" s="13">
        <v>1.97</v>
      </c>
      <c r="M1927" s="13"/>
      <c r="N1927" s="17">
        <f t="shared" si="64"/>
        <v>1286.4100000000001</v>
      </c>
      <c r="O1927" s="17">
        <f t="shared" si="64"/>
        <v>0</v>
      </c>
      <c r="P1927" s="17">
        <f t="shared" si="65"/>
        <v>1286.4100000000001</v>
      </c>
      <c r="Q1927" t="str">
        <f>A1927&amp;"-"&amp;B1927&amp;"-"&amp;D1927</f>
        <v>MEI-KLB-L3B</v>
      </c>
    </row>
    <row r="1928" spans="1:17" x14ac:dyDescent="0.25">
      <c r="A1928" t="s">
        <v>395</v>
      </c>
      <c r="B1928" s="13" t="s">
        <v>24</v>
      </c>
      <c r="C1928" s="13" t="s">
        <v>226</v>
      </c>
      <c r="D1928" s="14" t="s">
        <v>225</v>
      </c>
      <c r="E1928" s="13" t="s">
        <v>61</v>
      </c>
      <c r="F1928" s="13" t="s">
        <v>739</v>
      </c>
      <c r="G1928" s="13">
        <v>0.68</v>
      </c>
      <c r="H1928" s="15">
        <v>118</v>
      </c>
      <c r="I1928" s="16">
        <v>80.239999999999995</v>
      </c>
      <c r="J1928" s="16">
        <v>48.877725118483411</v>
      </c>
      <c r="K1928" s="16">
        <v>31.362274881516583</v>
      </c>
      <c r="L1928" s="13">
        <v>1.82</v>
      </c>
      <c r="M1928" s="13"/>
      <c r="N1928" s="17">
        <f t="shared" si="64"/>
        <v>214.76000000000002</v>
      </c>
      <c r="O1928" s="17">
        <f t="shared" si="64"/>
        <v>0</v>
      </c>
      <c r="P1928" s="17">
        <f t="shared" si="65"/>
        <v>214.76000000000002</v>
      </c>
      <c r="Q1928" t="str">
        <f>A1928&amp;"-"&amp;B1928&amp;"-"&amp;D1928</f>
        <v>MEI-KLB-L3B</v>
      </c>
    </row>
    <row r="1929" spans="1:17" x14ac:dyDescent="0.25">
      <c r="A1929" t="s">
        <v>395</v>
      </c>
      <c r="B1929" s="13" t="s">
        <v>24</v>
      </c>
      <c r="C1929" s="13" t="s">
        <v>226</v>
      </c>
      <c r="D1929" s="14" t="s">
        <v>225</v>
      </c>
      <c r="E1929" s="13" t="s">
        <v>61</v>
      </c>
      <c r="F1929" s="13" t="s">
        <v>740</v>
      </c>
      <c r="G1929" s="13">
        <v>0.66</v>
      </c>
      <c r="H1929" s="15">
        <v>27</v>
      </c>
      <c r="I1929" s="16">
        <v>17.82</v>
      </c>
      <c r="J1929" s="16">
        <v>11.18388625592417</v>
      </c>
      <c r="K1929" s="16">
        <v>6.6361137440758302</v>
      </c>
      <c r="L1929" s="13">
        <v>1.97</v>
      </c>
      <c r="M1929" s="13"/>
      <c r="N1929" s="17">
        <f t="shared" si="64"/>
        <v>53.19</v>
      </c>
      <c r="O1929" s="17">
        <f t="shared" si="64"/>
        <v>0</v>
      </c>
      <c r="P1929" s="17">
        <f t="shared" si="65"/>
        <v>53.19</v>
      </c>
      <c r="Q1929" t="str">
        <f>A1929&amp;"-"&amp;B1929&amp;"-"&amp;D1929</f>
        <v>MEI-KLB-L3B</v>
      </c>
    </row>
    <row r="1930" spans="1:17" x14ac:dyDescent="0.25">
      <c r="A1930" t="s">
        <v>395</v>
      </c>
      <c r="B1930" s="13" t="s">
        <v>24</v>
      </c>
      <c r="C1930" s="13" t="s">
        <v>226</v>
      </c>
      <c r="D1930" s="14" t="s">
        <v>225</v>
      </c>
      <c r="E1930" s="13" t="s">
        <v>61</v>
      </c>
      <c r="F1930" s="13" t="s">
        <v>889</v>
      </c>
      <c r="G1930" s="13">
        <v>0.78</v>
      </c>
      <c r="H1930" s="15">
        <v>305</v>
      </c>
      <c r="I1930" s="16">
        <v>237.9</v>
      </c>
      <c r="J1930" s="16">
        <v>140.30000000000001</v>
      </c>
      <c r="K1930" s="16">
        <v>97.6</v>
      </c>
      <c r="L1930" s="13">
        <v>2</v>
      </c>
      <c r="M1930" s="13"/>
      <c r="N1930" s="17">
        <f t="shared" si="64"/>
        <v>610</v>
      </c>
      <c r="O1930" s="17">
        <f t="shared" si="64"/>
        <v>0</v>
      </c>
      <c r="P1930" s="17">
        <f t="shared" si="65"/>
        <v>610</v>
      </c>
      <c r="Q1930" t="str">
        <f>A1930&amp;"-"&amp;B1930&amp;"-"&amp;D1930</f>
        <v>MEI-KLB-L3B</v>
      </c>
    </row>
    <row r="1931" spans="1:17" x14ac:dyDescent="0.25">
      <c r="A1931" t="s">
        <v>395</v>
      </c>
      <c r="B1931" s="13" t="s">
        <v>24</v>
      </c>
      <c r="C1931" s="13" t="s">
        <v>226</v>
      </c>
      <c r="D1931" s="14" t="s">
        <v>225</v>
      </c>
      <c r="E1931" s="13" t="s">
        <v>61</v>
      </c>
      <c r="F1931" s="13" t="s">
        <v>883</v>
      </c>
      <c r="G1931" s="13">
        <v>0.78</v>
      </c>
      <c r="H1931" s="15">
        <v>1045</v>
      </c>
      <c r="I1931" s="16">
        <v>815.1</v>
      </c>
      <c r="J1931" s="16">
        <v>534.51857031857037</v>
      </c>
      <c r="K1931" s="16">
        <v>280.58142968142965</v>
      </c>
      <c r="L1931" s="13">
        <v>2</v>
      </c>
      <c r="M1931" s="13"/>
      <c r="N1931" s="17">
        <f t="shared" si="64"/>
        <v>2090</v>
      </c>
      <c r="O1931" s="17">
        <f t="shared" si="64"/>
        <v>0</v>
      </c>
      <c r="P1931" s="17">
        <f t="shared" si="65"/>
        <v>2090</v>
      </c>
      <c r="Q1931" t="str">
        <f>A1931&amp;"-"&amp;B1931&amp;"-"&amp;D1931</f>
        <v>MEI-KLB-L3B</v>
      </c>
    </row>
    <row r="1932" spans="1:17" x14ac:dyDescent="0.25">
      <c r="A1932" t="s">
        <v>395</v>
      </c>
      <c r="B1932" s="13" t="s">
        <v>24</v>
      </c>
      <c r="C1932" s="13" t="s">
        <v>226</v>
      </c>
      <c r="D1932" s="14" t="s">
        <v>225</v>
      </c>
      <c r="E1932" s="13" t="s">
        <v>61</v>
      </c>
      <c r="F1932" s="13" t="s">
        <v>884</v>
      </c>
      <c r="G1932" s="13">
        <v>0.76</v>
      </c>
      <c r="H1932" s="15">
        <v>100</v>
      </c>
      <c r="I1932" s="16">
        <v>76</v>
      </c>
      <c r="J1932" s="16">
        <v>49.800569800569804</v>
      </c>
      <c r="K1932" s="16">
        <v>26.199430199430196</v>
      </c>
      <c r="L1932" s="13">
        <v>2.15</v>
      </c>
      <c r="M1932" s="13"/>
      <c r="N1932" s="17">
        <f t="shared" si="64"/>
        <v>215</v>
      </c>
      <c r="O1932" s="17">
        <f t="shared" si="64"/>
        <v>0</v>
      </c>
      <c r="P1932" s="17">
        <f t="shared" si="65"/>
        <v>215</v>
      </c>
      <c r="Q1932" t="str">
        <f>A1932&amp;"-"&amp;B1932&amp;"-"&amp;D1932</f>
        <v>MEI-KLB-L3B</v>
      </c>
    </row>
    <row r="1933" spans="1:17" x14ac:dyDescent="0.25">
      <c r="A1933" t="s">
        <v>395</v>
      </c>
      <c r="B1933" s="13" t="s">
        <v>24</v>
      </c>
      <c r="C1933" s="13" t="s">
        <v>226</v>
      </c>
      <c r="D1933" s="14" t="s">
        <v>225</v>
      </c>
      <c r="E1933" s="13" t="s">
        <v>61</v>
      </c>
      <c r="F1933" s="13" t="s">
        <v>885</v>
      </c>
      <c r="G1933" s="13">
        <v>0.77999999999999992</v>
      </c>
      <c r="H1933" s="15">
        <v>4495</v>
      </c>
      <c r="I1933" s="16">
        <v>3506.1000000000004</v>
      </c>
      <c r="J1933" s="16">
        <v>2128.305982905983</v>
      </c>
      <c r="K1933" s="16">
        <v>1377.7940170940171</v>
      </c>
      <c r="L1933" s="13">
        <v>2</v>
      </c>
      <c r="M1933" s="13"/>
      <c r="N1933" s="17">
        <f t="shared" si="64"/>
        <v>8990</v>
      </c>
      <c r="O1933" s="17">
        <f t="shared" si="64"/>
        <v>0</v>
      </c>
      <c r="P1933" s="17">
        <f t="shared" si="65"/>
        <v>8990</v>
      </c>
      <c r="Q1933" t="str">
        <f>A1933&amp;"-"&amp;B1933&amp;"-"&amp;D1933</f>
        <v>MEI-KLB-L3B</v>
      </c>
    </row>
    <row r="1934" spans="1:17" x14ac:dyDescent="0.25">
      <c r="A1934" t="s">
        <v>395</v>
      </c>
      <c r="B1934" s="13" t="s">
        <v>24</v>
      </c>
      <c r="C1934" s="13" t="s">
        <v>226</v>
      </c>
      <c r="D1934" s="14" t="s">
        <v>225</v>
      </c>
      <c r="E1934" s="13" t="s">
        <v>61</v>
      </c>
      <c r="F1934" s="13" t="s">
        <v>869</v>
      </c>
      <c r="G1934" s="13">
        <v>0.68</v>
      </c>
      <c r="H1934" s="15">
        <v>1415</v>
      </c>
      <c r="I1934" s="16">
        <v>962.2</v>
      </c>
      <c r="J1934" s="16">
        <v>615.27860696517405</v>
      </c>
      <c r="K1934" s="16">
        <v>346.921393034826</v>
      </c>
      <c r="L1934" s="13">
        <v>1.83</v>
      </c>
      <c r="M1934" s="13"/>
      <c r="N1934" s="17">
        <f t="shared" si="64"/>
        <v>2589.4500000000003</v>
      </c>
      <c r="O1934" s="17">
        <f t="shared" si="64"/>
        <v>0</v>
      </c>
      <c r="P1934" s="17">
        <f t="shared" si="65"/>
        <v>2589.4500000000003</v>
      </c>
      <c r="Q1934" t="str">
        <f>A1934&amp;"-"&amp;B1934&amp;"-"&amp;D1934</f>
        <v>MEI-KLB-L3B</v>
      </c>
    </row>
    <row r="1935" spans="1:17" x14ac:dyDescent="0.25">
      <c r="A1935" t="s">
        <v>395</v>
      </c>
      <c r="B1935" s="13" t="s">
        <v>24</v>
      </c>
      <c r="C1935" s="13" t="s">
        <v>226</v>
      </c>
      <c r="D1935" s="14" t="s">
        <v>225</v>
      </c>
      <c r="E1935" s="13" t="s">
        <v>61</v>
      </c>
      <c r="F1935" s="13" t="s">
        <v>736</v>
      </c>
      <c r="G1935" s="13">
        <v>0.69</v>
      </c>
      <c r="H1935" s="15">
        <v>656</v>
      </c>
      <c r="I1935" s="16">
        <v>452.64</v>
      </c>
      <c r="J1935" s="16">
        <v>303.07323603901801</v>
      </c>
      <c r="K1935" s="16">
        <v>149.56676396098197</v>
      </c>
      <c r="L1935" s="13">
        <v>1.83</v>
      </c>
      <c r="M1935" s="13"/>
      <c r="N1935" s="17">
        <f t="shared" si="64"/>
        <v>1200.48</v>
      </c>
      <c r="O1935" s="17">
        <f t="shared" si="64"/>
        <v>0</v>
      </c>
      <c r="P1935" s="17">
        <f t="shared" si="65"/>
        <v>1200.48</v>
      </c>
      <c r="Q1935" t="str">
        <f>A1935&amp;"-"&amp;B1935&amp;"-"&amp;D1935</f>
        <v>MEI-KLB-L3B</v>
      </c>
    </row>
    <row r="1936" spans="1:17" x14ac:dyDescent="0.25">
      <c r="A1936" t="s">
        <v>395</v>
      </c>
      <c r="B1936" s="13" t="s">
        <v>24</v>
      </c>
      <c r="C1936" s="13" t="s">
        <v>226</v>
      </c>
      <c r="D1936" s="14" t="s">
        <v>225</v>
      </c>
      <c r="E1936" s="13" t="s">
        <v>61</v>
      </c>
      <c r="F1936" s="13" t="s">
        <v>870</v>
      </c>
      <c r="G1936" s="13">
        <v>0.68</v>
      </c>
      <c r="H1936" s="15">
        <v>1010</v>
      </c>
      <c r="I1936" s="16">
        <v>686.8</v>
      </c>
      <c r="J1936" s="16">
        <v>459.04703047263683</v>
      </c>
      <c r="K1936" s="16">
        <v>227.75296952736318</v>
      </c>
      <c r="L1936" s="13">
        <v>1.83</v>
      </c>
      <c r="M1936" s="13"/>
      <c r="N1936" s="17">
        <f t="shared" si="64"/>
        <v>1848.3000000000002</v>
      </c>
      <c r="O1936" s="17">
        <f t="shared" si="64"/>
        <v>0</v>
      </c>
      <c r="P1936" s="17">
        <f t="shared" si="65"/>
        <v>1848.3000000000002</v>
      </c>
      <c r="Q1936" t="str">
        <f>A1936&amp;"-"&amp;B1936&amp;"-"&amp;D1936</f>
        <v>MEI-KLB-L3B</v>
      </c>
    </row>
    <row r="1937" spans="1:17" x14ac:dyDescent="0.25">
      <c r="A1937" t="s">
        <v>395</v>
      </c>
      <c r="B1937" s="13" t="s">
        <v>24</v>
      </c>
      <c r="C1937" s="13" t="s">
        <v>226</v>
      </c>
      <c r="D1937" s="14" t="s">
        <v>225</v>
      </c>
      <c r="E1937" s="13" t="s">
        <v>61</v>
      </c>
      <c r="F1937" s="13" t="s">
        <v>871</v>
      </c>
      <c r="G1937" s="13">
        <v>0.69</v>
      </c>
      <c r="H1937" s="15">
        <v>2175</v>
      </c>
      <c r="I1937" s="16">
        <v>1500.75</v>
      </c>
      <c r="J1937" s="16">
        <v>901.52340108370583</v>
      </c>
      <c r="K1937" s="16">
        <v>599.22659891629405</v>
      </c>
      <c r="L1937" s="13">
        <v>1.83</v>
      </c>
      <c r="M1937" s="13"/>
      <c r="N1937" s="17">
        <f t="shared" si="64"/>
        <v>3980.25</v>
      </c>
      <c r="O1937" s="17">
        <f t="shared" si="64"/>
        <v>0</v>
      </c>
      <c r="P1937" s="17">
        <f t="shared" si="65"/>
        <v>3980.25</v>
      </c>
      <c r="Q1937" t="str">
        <f>A1937&amp;"-"&amp;B1937&amp;"-"&amp;D1937</f>
        <v>MEI-KLB-L3B</v>
      </c>
    </row>
    <row r="1938" spans="1:17" x14ac:dyDescent="0.25">
      <c r="A1938" t="s">
        <v>395</v>
      </c>
      <c r="B1938" s="13" t="s">
        <v>24</v>
      </c>
      <c r="C1938" s="13" t="s">
        <v>226</v>
      </c>
      <c r="D1938" s="14" t="s">
        <v>225</v>
      </c>
      <c r="E1938" s="13" t="s">
        <v>61</v>
      </c>
      <c r="F1938" s="13" t="s">
        <v>872</v>
      </c>
      <c r="G1938" s="13">
        <v>0.66</v>
      </c>
      <c r="H1938" s="15">
        <v>10</v>
      </c>
      <c r="I1938" s="16">
        <v>6.6</v>
      </c>
      <c r="J1938" s="16">
        <v>4.169563143188169</v>
      </c>
      <c r="K1938" s="16">
        <v>2.4304368568118311</v>
      </c>
      <c r="L1938" s="13">
        <v>1.98</v>
      </c>
      <c r="M1938" s="13"/>
      <c r="N1938" s="17">
        <f t="shared" si="64"/>
        <v>19.8</v>
      </c>
      <c r="O1938" s="17">
        <f t="shared" si="64"/>
        <v>0</v>
      </c>
      <c r="P1938" s="17">
        <f t="shared" si="65"/>
        <v>19.8</v>
      </c>
      <c r="Q1938" t="str">
        <f>A1938&amp;"-"&amp;B1938&amp;"-"&amp;D1938</f>
        <v>MEI-KLB-L3B</v>
      </c>
    </row>
    <row r="1939" spans="1:17" x14ac:dyDescent="0.25">
      <c r="A1939" t="s">
        <v>395</v>
      </c>
      <c r="B1939" s="13" t="s">
        <v>24</v>
      </c>
      <c r="C1939" s="13" t="s">
        <v>226</v>
      </c>
      <c r="D1939" s="14" t="s">
        <v>225</v>
      </c>
      <c r="E1939" s="13" t="s">
        <v>61</v>
      </c>
      <c r="F1939" s="13" t="s">
        <v>886</v>
      </c>
      <c r="G1939" s="13">
        <v>0.79</v>
      </c>
      <c r="H1939" s="15">
        <v>935</v>
      </c>
      <c r="I1939" s="16">
        <v>738.65</v>
      </c>
      <c r="J1939" s="16">
        <v>495.26666666666665</v>
      </c>
      <c r="K1939" s="16">
        <v>243.38333333333333</v>
      </c>
      <c r="L1939" s="13">
        <v>2.08</v>
      </c>
      <c r="M1939" s="13"/>
      <c r="N1939" s="17">
        <f t="shared" si="64"/>
        <v>1944.8</v>
      </c>
      <c r="O1939" s="17">
        <f t="shared" si="64"/>
        <v>0</v>
      </c>
      <c r="P1939" s="17">
        <f t="shared" si="65"/>
        <v>1944.8</v>
      </c>
      <c r="Q1939" t="str">
        <f>A1939&amp;"-"&amp;B1939&amp;"-"&amp;D1939</f>
        <v>MEI-KLB-L3B</v>
      </c>
    </row>
    <row r="1940" spans="1:17" x14ac:dyDescent="0.25">
      <c r="A1940" t="s">
        <v>395</v>
      </c>
      <c r="B1940" s="13" t="s">
        <v>24</v>
      </c>
      <c r="C1940" s="13" t="s">
        <v>226</v>
      </c>
      <c r="D1940" s="14" t="s">
        <v>225</v>
      </c>
      <c r="E1940" s="13" t="s">
        <v>61</v>
      </c>
      <c r="F1940" s="13" t="s">
        <v>887</v>
      </c>
      <c r="G1940" s="13">
        <v>0.79</v>
      </c>
      <c r="H1940" s="15">
        <v>2000</v>
      </c>
      <c r="I1940" s="16">
        <v>1580</v>
      </c>
      <c r="J1940" s="16">
        <v>1024.6097176864546</v>
      </c>
      <c r="K1940" s="16">
        <v>555.39028231354541</v>
      </c>
      <c r="L1940" s="13">
        <v>2.08</v>
      </c>
      <c r="M1940" s="13"/>
      <c r="N1940" s="17">
        <f t="shared" si="64"/>
        <v>4160</v>
      </c>
      <c r="O1940" s="17">
        <f t="shared" si="64"/>
        <v>0</v>
      </c>
      <c r="P1940" s="17">
        <f t="shared" si="65"/>
        <v>4160</v>
      </c>
      <c r="Q1940" t="str">
        <f>A1940&amp;"-"&amp;B1940&amp;"-"&amp;D1940</f>
        <v>MEI-KLB-L3B</v>
      </c>
    </row>
    <row r="1941" spans="1:17" x14ac:dyDescent="0.25">
      <c r="A1941" t="s">
        <v>395</v>
      </c>
      <c r="B1941" s="13" t="s">
        <v>24</v>
      </c>
      <c r="C1941" s="13" t="s">
        <v>226</v>
      </c>
      <c r="D1941" s="14" t="s">
        <v>225</v>
      </c>
      <c r="E1941" s="13" t="s">
        <v>61</v>
      </c>
      <c r="F1941" s="13" t="s">
        <v>738</v>
      </c>
      <c r="G1941" s="13">
        <v>0.69</v>
      </c>
      <c r="H1941" s="15">
        <v>1531</v>
      </c>
      <c r="I1941" s="16">
        <v>1056.3900000000001</v>
      </c>
      <c r="J1941" s="16">
        <v>648.87360766318113</v>
      </c>
      <c r="K1941" s="16">
        <v>407.51639233681897</v>
      </c>
      <c r="L1941" s="13">
        <v>1.83</v>
      </c>
      <c r="M1941" s="13"/>
      <c r="N1941" s="17">
        <f t="shared" si="64"/>
        <v>2801.73</v>
      </c>
      <c r="O1941" s="17">
        <f t="shared" si="64"/>
        <v>0</v>
      </c>
      <c r="P1941" s="17">
        <f t="shared" si="65"/>
        <v>2801.73</v>
      </c>
      <c r="Q1941" t="str">
        <f>A1941&amp;"-"&amp;B1941&amp;"-"&amp;D1941</f>
        <v>MEI-KLB-L3B</v>
      </c>
    </row>
    <row r="1942" spans="1:17" x14ac:dyDescent="0.25">
      <c r="A1942" t="s">
        <v>395</v>
      </c>
      <c r="B1942" s="13" t="s">
        <v>24</v>
      </c>
      <c r="C1942" s="13" t="s">
        <v>226</v>
      </c>
      <c r="D1942" s="14" t="s">
        <v>225</v>
      </c>
      <c r="E1942" s="13" t="s">
        <v>61</v>
      </c>
      <c r="F1942" s="13" t="s">
        <v>873</v>
      </c>
      <c r="G1942" s="13">
        <v>0.68</v>
      </c>
      <c r="H1942" s="15">
        <v>5</v>
      </c>
      <c r="I1942" s="16">
        <v>3.4</v>
      </c>
      <c r="J1942" s="16">
        <v>2.2760416666666665</v>
      </c>
      <c r="K1942" s="16">
        <v>1.1239583333333334</v>
      </c>
      <c r="L1942" s="13">
        <v>1.83</v>
      </c>
      <c r="M1942" s="13"/>
      <c r="N1942" s="17">
        <f t="shared" si="64"/>
        <v>9.15</v>
      </c>
      <c r="O1942" s="17">
        <f t="shared" si="64"/>
        <v>0</v>
      </c>
      <c r="P1942" s="17">
        <f t="shared" si="65"/>
        <v>9.15</v>
      </c>
      <c r="Q1942" t="str">
        <f>A1942&amp;"-"&amp;B1942&amp;"-"&amp;D1942</f>
        <v>MEI-KLB-L3B</v>
      </c>
    </row>
    <row r="1943" spans="1:17" x14ac:dyDescent="0.25">
      <c r="A1943" t="s">
        <v>395</v>
      </c>
      <c r="B1943" s="13" t="s">
        <v>24</v>
      </c>
      <c r="C1943" s="13" t="s">
        <v>226</v>
      </c>
      <c r="D1943" s="14" t="s">
        <v>225</v>
      </c>
      <c r="E1943" s="13" t="s">
        <v>61</v>
      </c>
      <c r="F1943" s="13" t="s">
        <v>882</v>
      </c>
      <c r="G1943" s="13">
        <v>0.66</v>
      </c>
      <c r="H1943" s="15">
        <v>358</v>
      </c>
      <c r="I1943" s="16">
        <v>236.28</v>
      </c>
      <c r="J1943" s="16">
        <v>149.68371840442339</v>
      </c>
      <c r="K1943" s="16">
        <v>86.596281595576613</v>
      </c>
      <c r="L1943" s="13">
        <v>1.98</v>
      </c>
      <c r="M1943" s="13"/>
      <c r="N1943" s="17">
        <f t="shared" si="64"/>
        <v>708.84</v>
      </c>
      <c r="O1943" s="17">
        <f t="shared" si="64"/>
        <v>0</v>
      </c>
      <c r="P1943" s="17">
        <f t="shared" si="65"/>
        <v>708.84</v>
      </c>
      <c r="Q1943" t="str">
        <f>A1943&amp;"-"&amp;B1943&amp;"-"&amp;D1943</f>
        <v>MEI-KLB-L3B</v>
      </c>
    </row>
    <row r="1944" spans="1:17" x14ac:dyDescent="0.25">
      <c r="A1944" t="s">
        <v>395</v>
      </c>
      <c r="B1944" s="13" t="s">
        <v>24</v>
      </c>
      <c r="C1944" s="13" t="s">
        <v>226</v>
      </c>
      <c r="D1944" s="14" t="s">
        <v>225</v>
      </c>
      <c r="E1944" s="13" t="s">
        <v>61</v>
      </c>
      <c r="F1944" s="13" t="s">
        <v>874</v>
      </c>
      <c r="G1944" s="13">
        <v>0.68</v>
      </c>
      <c r="H1944" s="15">
        <v>660</v>
      </c>
      <c r="I1944" s="16">
        <v>448.8</v>
      </c>
      <c r="J1944" s="16">
        <v>301.70722057368937</v>
      </c>
      <c r="K1944" s="16">
        <v>147.09277942631059</v>
      </c>
      <c r="L1944" s="13">
        <v>1.83</v>
      </c>
      <c r="M1944" s="13"/>
      <c r="N1944" s="17">
        <f t="shared" si="64"/>
        <v>1207.8</v>
      </c>
      <c r="O1944" s="17">
        <f t="shared" si="64"/>
        <v>0</v>
      </c>
      <c r="P1944" s="17">
        <f t="shared" si="65"/>
        <v>1207.8</v>
      </c>
      <c r="Q1944" t="str">
        <f>A1944&amp;"-"&amp;B1944&amp;"-"&amp;D1944</f>
        <v>MEI-KLB-L3B</v>
      </c>
    </row>
    <row r="1945" spans="1:17" x14ac:dyDescent="0.25">
      <c r="A1945" t="s">
        <v>395</v>
      </c>
      <c r="B1945" s="13" t="s">
        <v>24</v>
      </c>
      <c r="C1945" s="13" t="s">
        <v>226</v>
      </c>
      <c r="D1945" s="14" t="s">
        <v>225</v>
      </c>
      <c r="E1945" s="13" t="s">
        <v>61</v>
      </c>
      <c r="F1945" s="13" t="s">
        <v>744</v>
      </c>
      <c r="G1945" s="13">
        <v>0.69</v>
      </c>
      <c r="H1945" s="15">
        <v>62</v>
      </c>
      <c r="I1945" s="16">
        <v>42.78</v>
      </c>
      <c r="J1945" s="16">
        <v>25.681516587677727</v>
      </c>
      <c r="K1945" s="16">
        <v>17.098483412322274</v>
      </c>
      <c r="L1945" s="13">
        <v>1.83</v>
      </c>
      <c r="M1945" s="13"/>
      <c r="N1945" s="17">
        <f t="shared" si="64"/>
        <v>113.46000000000001</v>
      </c>
      <c r="O1945" s="17">
        <f t="shared" si="64"/>
        <v>0</v>
      </c>
      <c r="P1945" s="17">
        <f t="shared" si="65"/>
        <v>113.46000000000001</v>
      </c>
      <c r="Q1945" t="str">
        <f>A1945&amp;"-"&amp;B1945&amp;"-"&amp;D1945</f>
        <v>MEI-KLB-L3B</v>
      </c>
    </row>
    <row r="1946" spans="1:17" x14ac:dyDescent="0.25">
      <c r="A1946" t="s">
        <v>395</v>
      </c>
      <c r="B1946" s="13" t="s">
        <v>24</v>
      </c>
      <c r="C1946" s="13" t="s">
        <v>226</v>
      </c>
      <c r="D1946" s="14" t="s">
        <v>225</v>
      </c>
      <c r="E1946" s="13" t="s">
        <v>61</v>
      </c>
      <c r="F1946" s="13" t="s">
        <v>875</v>
      </c>
      <c r="G1946" s="13">
        <v>0.66</v>
      </c>
      <c r="H1946" s="15">
        <v>261</v>
      </c>
      <c r="I1946" s="16">
        <v>172.26000000000002</v>
      </c>
      <c r="J1946" s="16">
        <v>118.52876712328766</v>
      </c>
      <c r="K1946" s="16">
        <v>53.73123287671234</v>
      </c>
      <c r="L1946" s="13">
        <v>1.98</v>
      </c>
      <c r="M1946" s="13"/>
      <c r="N1946" s="17">
        <f t="shared" ref="N1946:O2007" si="66">$H1946*L1946</f>
        <v>516.78</v>
      </c>
      <c r="O1946" s="17">
        <f t="shared" si="66"/>
        <v>0</v>
      </c>
      <c r="P1946" s="17">
        <f t="shared" si="65"/>
        <v>516.78</v>
      </c>
      <c r="Q1946" t="str">
        <f>A1946&amp;"-"&amp;B1946&amp;"-"&amp;D1946</f>
        <v>MEI-KLB-L3B</v>
      </c>
    </row>
    <row r="1947" spans="1:17" x14ac:dyDescent="0.25">
      <c r="A1947" t="s">
        <v>395</v>
      </c>
      <c r="B1947" s="13" t="s">
        <v>24</v>
      </c>
      <c r="C1947" s="13" t="s">
        <v>226</v>
      </c>
      <c r="D1947" s="14" t="s">
        <v>225</v>
      </c>
      <c r="E1947" s="13" t="s">
        <v>61</v>
      </c>
      <c r="F1947" s="13" t="s">
        <v>745</v>
      </c>
      <c r="G1947" s="13">
        <v>0.66</v>
      </c>
      <c r="H1947" s="15">
        <v>20</v>
      </c>
      <c r="I1947" s="16">
        <v>13.2</v>
      </c>
      <c r="J1947" s="16">
        <v>8.2843601895734604</v>
      </c>
      <c r="K1947" s="16">
        <v>4.9156398104265389</v>
      </c>
      <c r="L1947" s="13">
        <v>1.98</v>
      </c>
      <c r="M1947" s="13"/>
      <c r="N1947" s="17">
        <f t="shared" si="66"/>
        <v>39.6</v>
      </c>
      <c r="O1947" s="17">
        <f t="shared" si="66"/>
        <v>0</v>
      </c>
      <c r="P1947" s="17">
        <f t="shared" si="65"/>
        <v>39.6</v>
      </c>
      <c r="Q1947" t="str">
        <f>A1947&amp;"-"&amp;B1947&amp;"-"&amp;D1947</f>
        <v>MEI-KLB-L3B</v>
      </c>
    </row>
    <row r="1948" spans="1:17" x14ac:dyDescent="0.25">
      <c r="A1948" t="s">
        <v>395</v>
      </c>
      <c r="B1948" s="13" t="s">
        <v>24</v>
      </c>
      <c r="C1948" s="13" t="s">
        <v>226</v>
      </c>
      <c r="D1948" s="14" t="s">
        <v>225</v>
      </c>
      <c r="E1948" s="13" t="s">
        <v>61</v>
      </c>
      <c r="F1948" s="13" t="s">
        <v>888</v>
      </c>
      <c r="G1948" s="13">
        <v>0.79</v>
      </c>
      <c r="H1948" s="15">
        <v>1650</v>
      </c>
      <c r="I1948" s="16">
        <v>1303.5</v>
      </c>
      <c r="J1948" s="16">
        <v>816.73558460988625</v>
      </c>
      <c r="K1948" s="16">
        <v>486.76441539011364</v>
      </c>
      <c r="L1948" s="13">
        <v>2.08</v>
      </c>
      <c r="M1948" s="13"/>
      <c r="N1948" s="17">
        <f t="shared" si="66"/>
        <v>3432</v>
      </c>
      <c r="O1948" s="17">
        <f t="shared" si="66"/>
        <v>0</v>
      </c>
      <c r="P1948" s="17">
        <f t="shared" si="65"/>
        <v>3432</v>
      </c>
      <c r="Q1948" t="str">
        <f>A1948&amp;"-"&amp;B1948&amp;"-"&amp;D1948</f>
        <v>MEI-KLB-L3B</v>
      </c>
    </row>
    <row r="1949" spans="1:17" x14ac:dyDescent="0.25">
      <c r="A1949" t="s">
        <v>395</v>
      </c>
      <c r="B1949" s="13" t="s">
        <v>24</v>
      </c>
      <c r="C1949" s="13" t="s">
        <v>226</v>
      </c>
      <c r="D1949" s="14" t="s">
        <v>225</v>
      </c>
      <c r="E1949" s="13" t="s">
        <v>61</v>
      </c>
      <c r="F1949" s="13" t="s">
        <v>876</v>
      </c>
      <c r="G1949" s="13">
        <v>0.65</v>
      </c>
      <c r="H1949" s="15">
        <v>870</v>
      </c>
      <c r="I1949" s="16">
        <v>565.5</v>
      </c>
      <c r="J1949" s="16">
        <v>366.50389972816669</v>
      </c>
      <c r="K1949" s="16">
        <v>198.99610027183326</v>
      </c>
      <c r="L1949" s="13">
        <v>1.64</v>
      </c>
      <c r="M1949" s="13"/>
      <c r="N1949" s="17">
        <f t="shared" si="66"/>
        <v>1426.8</v>
      </c>
      <c r="O1949" s="17">
        <f t="shared" si="66"/>
        <v>0</v>
      </c>
      <c r="P1949" s="17">
        <f t="shared" si="65"/>
        <v>1426.8</v>
      </c>
      <c r="Q1949" t="str">
        <f>A1949&amp;"-"&amp;B1949&amp;"-"&amp;D1949</f>
        <v>MEI-KLB-L3B</v>
      </c>
    </row>
    <row r="1950" spans="1:17" x14ac:dyDescent="0.25">
      <c r="A1950" t="s">
        <v>395</v>
      </c>
      <c r="B1950" s="13" t="s">
        <v>24</v>
      </c>
      <c r="C1950" s="13" t="s">
        <v>226</v>
      </c>
      <c r="D1950" s="14" t="s">
        <v>225</v>
      </c>
      <c r="E1950" s="13" t="s">
        <v>61</v>
      </c>
      <c r="F1950" s="13" t="s">
        <v>877</v>
      </c>
      <c r="G1950" s="13">
        <v>0.65</v>
      </c>
      <c r="H1950" s="15">
        <v>8755</v>
      </c>
      <c r="I1950" s="16">
        <v>5690.75</v>
      </c>
      <c r="J1950" s="16">
        <v>3410.9226116723935</v>
      </c>
      <c r="K1950" s="16">
        <v>2279.827388327607</v>
      </c>
      <c r="L1950" s="13">
        <v>1.66</v>
      </c>
      <c r="M1950" s="13"/>
      <c r="N1950" s="17">
        <f t="shared" si="66"/>
        <v>14533.3</v>
      </c>
      <c r="O1950" s="17">
        <f t="shared" si="66"/>
        <v>0</v>
      </c>
      <c r="P1950" s="17">
        <f t="shared" si="65"/>
        <v>14533.3</v>
      </c>
      <c r="Q1950" t="str">
        <f>A1950&amp;"-"&amp;B1950&amp;"-"&amp;D1950</f>
        <v>MEI-KLB-L3B</v>
      </c>
    </row>
    <row r="1951" spans="1:17" x14ac:dyDescent="0.25">
      <c r="A1951" t="s">
        <v>395</v>
      </c>
      <c r="B1951" s="13" t="s">
        <v>25</v>
      </c>
      <c r="C1951" s="13" t="s">
        <v>154</v>
      </c>
      <c r="D1951" s="14" t="s">
        <v>44</v>
      </c>
      <c r="E1951" s="13" t="s">
        <v>249</v>
      </c>
      <c r="F1951" s="13" t="s">
        <v>890</v>
      </c>
      <c r="G1951" s="13">
        <v>1.38</v>
      </c>
      <c r="H1951" s="15">
        <v>72</v>
      </c>
      <c r="I1951" s="16">
        <v>99</v>
      </c>
      <c r="J1951" s="16">
        <v>178.4</v>
      </c>
      <c r="K1951" s="16">
        <v>-79.400000000000006</v>
      </c>
      <c r="L1951" s="13">
        <v>3.63</v>
      </c>
      <c r="M1951" s="13"/>
      <c r="N1951" s="17">
        <f t="shared" si="66"/>
        <v>261.36</v>
      </c>
      <c r="O1951" s="17">
        <f t="shared" si="66"/>
        <v>0</v>
      </c>
      <c r="P1951" s="17">
        <f t="shared" si="65"/>
        <v>261.36</v>
      </c>
      <c r="Q1951" t="str">
        <f>A1951&amp;"-"&amp;B1951&amp;"-"&amp;D1951</f>
        <v>MEI-MJ1-L1</v>
      </c>
    </row>
    <row r="1952" spans="1:17" x14ac:dyDescent="0.25">
      <c r="A1952" t="s">
        <v>395</v>
      </c>
      <c r="B1952" s="13" t="s">
        <v>25</v>
      </c>
      <c r="C1952" s="13" t="s">
        <v>154</v>
      </c>
      <c r="D1952" s="14" t="s">
        <v>44</v>
      </c>
      <c r="E1952" s="13" t="s">
        <v>249</v>
      </c>
      <c r="F1952" s="13" t="s">
        <v>891</v>
      </c>
      <c r="G1952" s="13">
        <v>1.38</v>
      </c>
      <c r="H1952" s="15">
        <v>350</v>
      </c>
      <c r="I1952" s="16">
        <v>481.25</v>
      </c>
      <c r="J1952" s="16">
        <v>848.36956521739137</v>
      </c>
      <c r="K1952" s="16">
        <v>-367.11956521739137</v>
      </c>
      <c r="L1952" s="13">
        <v>3.63</v>
      </c>
      <c r="M1952" s="13"/>
      <c r="N1952" s="17">
        <f t="shared" si="66"/>
        <v>1270.5</v>
      </c>
      <c r="O1952" s="17">
        <f t="shared" si="66"/>
        <v>0</v>
      </c>
      <c r="P1952" s="17">
        <f t="shared" si="65"/>
        <v>1270.5</v>
      </c>
      <c r="Q1952" t="str">
        <f>A1952&amp;"-"&amp;B1952&amp;"-"&amp;D1952</f>
        <v>MEI-MJ1-L1</v>
      </c>
    </row>
    <row r="1953" spans="1:17" x14ac:dyDescent="0.25">
      <c r="A1953" t="s">
        <v>395</v>
      </c>
      <c r="B1953" s="13" t="s">
        <v>25</v>
      </c>
      <c r="C1953" s="13" t="s">
        <v>154</v>
      </c>
      <c r="D1953" s="14" t="s">
        <v>44</v>
      </c>
      <c r="E1953" s="13" t="s">
        <v>249</v>
      </c>
      <c r="F1953" s="13" t="s">
        <v>892</v>
      </c>
      <c r="G1953" s="13">
        <v>1.38</v>
      </c>
      <c r="H1953" s="15">
        <v>1422</v>
      </c>
      <c r="I1953" s="16">
        <v>1955.2600000000002</v>
      </c>
      <c r="J1953" s="16">
        <v>3189.5946546156047</v>
      </c>
      <c r="K1953" s="16">
        <v>-1234.3346546156049</v>
      </c>
      <c r="L1953" s="13">
        <v>3.63</v>
      </c>
      <c r="M1953" s="13"/>
      <c r="N1953" s="17">
        <f t="shared" si="66"/>
        <v>5161.8599999999997</v>
      </c>
      <c r="O1953" s="17">
        <f t="shared" si="66"/>
        <v>0</v>
      </c>
      <c r="P1953" s="17">
        <f t="shared" si="65"/>
        <v>5161.8599999999997</v>
      </c>
      <c r="Q1953" t="str">
        <f>A1953&amp;"-"&amp;B1953&amp;"-"&amp;D1953</f>
        <v>MEI-MJ1-L1</v>
      </c>
    </row>
    <row r="1954" spans="1:17" x14ac:dyDescent="0.25">
      <c r="A1954" t="s">
        <v>395</v>
      </c>
      <c r="B1954" s="13" t="s">
        <v>25</v>
      </c>
      <c r="C1954" s="13" t="s">
        <v>154</v>
      </c>
      <c r="D1954" s="14" t="s">
        <v>44</v>
      </c>
      <c r="E1954" s="13" t="s">
        <v>249</v>
      </c>
      <c r="F1954" s="13" t="s">
        <v>893</v>
      </c>
      <c r="G1954" s="13">
        <v>1.38</v>
      </c>
      <c r="H1954" s="15">
        <v>448</v>
      </c>
      <c r="I1954" s="16">
        <v>616</v>
      </c>
      <c r="J1954" s="16">
        <v>1118.619643097255</v>
      </c>
      <c r="K1954" s="16">
        <v>-502.61964309725511</v>
      </c>
      <c r="L1954" s="13">
        <v>3.63</v>
      </c>
      <c r="M1954" s="13"/>
      <c r="N1954" s="17">
        <f t="shared" si="66"/>
        <v>1626.24</v>
      </c>
      <c r="O1954" s="17">
        <f t="shared" si="66"/>
        <v>0</v>
      </c>
      <c r="P1954" s="17">
        <f t="shared" si="65"/>
        <v>1626.24</v>
      </c>
      <c r="Q1954" t="str">
        <f>A1954&amp;"-"&amp;B1954&amp;"-"&amp;D1954</f>
        <v>MEI-MJ1-L1</v>
      </c>
    </row>
    <row r="1955" spans="1:17" x14ac:dyDescent="0.25">
      <c r="A1955" t="s">
        <v>395</v>
      </c>
      <c r="B1955" s="13" t="s">
        <v>25</v>
      </c>
      <c r="C1955" s="13" t="s">
        <v>154</v>
      </c>
      <c r="D1955" s="14" t="s">
        <v>44</v>
      </c>
      <c r="E1955" s="13" t="s">
        <v>249</v>
      </c>
      <c r="F1955" s="13" t="s">
        <v>894</v>
      </c>
      <c r="G1955" s="13">
        <v>1.38</v>
      </c>
      <c r="H1955" s="15">
        <v>160</v>
      </c>
      <c r="I1955" s="16">
        <v>220</v>
      </c>
      <c r="J1955" s="16">
        <v>637.14285714285711</v>
      </c>
      <c r="K1955" s="16">
        <v>-417.14285714285711</v>
      </c>
      <c r="L1955" s="13">
        <v>3.63</v>
      </c>
      <c r="M1955" s="13"/>
      <c r="N1955" s="17">
        <f t="shared" si="66"/>
        <v>580.79999999999995</v>
      </c>
      <c r="O1955" s="17">
        <f t="shared" si="66"/>
        <v>0</v>
      </c>
      <c r="P1955" s="17">
        <f t="shared" si="65"/>
        <v>580.79999999999995</v>
      </c>
      <c r="Q1955" t="str">
        <f>A1955&amp;"-"&amp;B1955&amp;"-"&amp;D1955</f>
        <v>MEI-MJ1-L1</v>
      </c>
    </row>
    <row r="1956" spans="1:17" x14ac:dyDescent="0.25">
      <c r="A1956" t="s">
        <v>395</v>
      </c>
      <c r="B1956" s="13" t="s">
        <v>25</v>
      </c>
      <c r="C1956" s="13" t="s">
        <v>154</v>
      </c>
      <c r="D1956" s="14" t="s">
        <v>44</v>
      </c>
      <c r="E1956" s="13" t="s">
        <v>249</v>
      </c>
      <c r="F1956" s="13" t="s">
        <v>895</v>
      </c>
      <c r="G1956" s="13">
        <v>1.38</v>
      </c>
      <c r="H1956" s="15">
        <v>430</v>
      </c>
      <c r="I1956" s="16">
        <v>591.25</v>
      </c>
      <c r="J1956" s="16">
        <v>1182.1349550666253</v>
      </c>
      <c r="K1956" s="16">
        <v>-590.88495506662537</v>
      </c>
      <c r="L1956" s="13">
        <v>3.63</v>
      </c>
      <c r="M1956" s="13"/>
      <c r="N1956" s="17">
        <f t="shared" si="66"/>
        <v>1560.8999999999999</v>
      </c>
      <c r="O1956" s="17">
        <f t="shared" si="66"/>
        <v>0</v>
      </c>
      <c r="P1956" s="17">
        <f t="shared" si="65"/>
        <v>1560.8999999999999</v>
      </c>
      <c r="Q1956" t="str">
        <f>A1956&amp;"-"&amp;B1956&amp;"-"&amp;D1956</f>
        <v>MEI-MJ1-L1</v>
      </c>
    </row>
    <row r="1957" spans="1:17" x14ac:dyDescent="0.25">
      <c r="A1957" t="s">
        <v>395</v>
      </c>
      <c r="B1957" s="13" t="s">
        <v>25</v>
      </c>
      <c r="C1957" s="13" t="s">
        <v>154</v>
      </c>
      <c r="D1957" s="14" t="s">
        <v>44</v>
      </c>
      <c r="E1957" s="13" t="s">
        <v>249</v>
      </c>
      <c r="F1957" s="13" t="s">
        <v>896</v>
      </c>
      <c r="G1957" s="13">
        <v>1.38</v>
      </c>
      <c r="H1957" s="15">
        <v>924</v>
      </c>
      <c r="I1957" s="16">
        <v>1270.5</v>
      </c>
      <c r="J1957" s="16">
        <v>2793.5631336405531</v>
      </c>
      <c r="K1957" s="16">
        <v>-1523.0631336405531</v>
      </c>
      <c r="L1957" s="13">
        <v>3.63</v>
      </c>
      <c r="M1957" s="13"/>
      <c r="N1957" s="17">
        <f t="shared" si="66"/>
        <v>3354.12</v>
      </c>
      <c r="O1957" s="17">
        <f t="shared" si="66"/>
        <v>0</v>
      </c>
      <c r="P1957" s="17">
        <f t="shared" si="65"/>
        <v>3354.12</v>
      </c>
      <c r="Q1957" t="str">
        <f>A1957&amp;"-"&amp;B1957&amp;"-"&amp;D1957</f>
        <v>MEI-MJ1-L1</v>
      </c>
    </row>
    <row r="1958" spans="1:17" x14ac:dyDescent="0.25">
      <c r="A1958" t="s">
        <v>395</v>
      </c>
      <c r="B1958" s="13" t="s">
        <v>25</v>
      </c>
      <c r="C1958" s="13" t="s">
        <v>154</v>
      </c>
      <c r="D1958" s="14" t="s">
        <v>44</v>
      </c>
      <c r="E1958" s="13" t="s">
        <v>249</v>
      </c>
      <c r="F1958" s="13" t="s">
        <v>897</v>
      </c>
      <c r="G1958" s="13">
        <v>1.38</v>
      </c>
      <c r="H1958" s="15">
        <v>1022</v>
      </c>
      <c r="I1958" s="16">
        <v>1405.25</v>
      </c>
      <c r="J1958" s="16">
        <v>2714.2742154969733</v>
      </c>
      <c r="K1958" s="16">
        <v>-1309.0242154969735</v>
      </c>
      <c r="L1958" s="13">
        <v>3.63</v>
      </c>
      <c r="M1958" s="13"/>
      <c r="N1958" s="17">
        <f t="shared" si="66"/>
        <v>3709.8599999999997</v>
      </c>
      <c r="O1958" s="17">
        <f t="shared" si="66"/>
        <v>0</v>
      </c>
      <c r="P1958" s="17">
        <f t="shared" si="65"/>
        <v>3709.8599999999997</v>
      </c>
      <c r="Q1958" t="str">
        <f>A1958&amp;"-"&amp;B1958&amp;"-"&amp;D1958</f>
        <v>MEI-MJ1-L1</v>
      </c>
    </row>
    <row r="1959" spans="1:17" x14ac:dyDescent="0.25">
      <c r="A1959" t="s">
        <v>395</v>
      </c>
      <c r="B1959" s="13" t="s">
        <v>25</v>
      </c>
      <c r="C1959" s="13" t="s">
        <v>154</v>
      </c>
      <c r="D1959" s="14" t="s">
        <v>44</v>
      </c>
      <c r="E1959" s="13" t="s">
        <v>249</v>
      </c>
      <c r="F1959" s="13" t="s">
        <v>898</v>
      </c>
      <c r="G1959" s="13">
        <v>1.38</v>
      </c>
      <c r="H1959" s="15">
        <v>156</v>
      </c>
      <c r="I1959" s="16">
        <v>214.5</v>
      </c>
      <c r="J1959" s="16">
        <v>383.49735884953276</v>
      </c>
      <c r="K1959" s="16">
        <v>-168.99735884953276</v>
      </c>
      <c r="L1959" s="13">
        <v>3.63</v>
      </c>
      <c r="M1959" s="13"/>
      <c r="N1959" s="17">
        <f t="shared" si="66"/>
        <v>566.28</v>
      </c>
      <c r="O1959" s="17">
        <f t="shared" si="66"/>
        <v>0</v>
      </c>
      <c r="P1959" s="17">
        <f t="shared" si="65"/>
        <v>566.28</v>
      </c>
      <c r="Q1959" t="str">
        <f>A1959&amp;"-"&amp;B1959&amp;"-"&amp;D1959</f>
        <v>MEI-MJ1-L1</v>
      </c>
    </row>
    <row r="1960" spans="1:17" x14ac:dyDescent="0.25">
      <c r="A1960" t="s">
        <v>395</v>
      </c>
      <c r="B1960" s="13" t="s">
        <v>25</v>
      </c>
      <c r="C1960" s="13" t="s">
        <v>154</v>
      </c>
      <c r="D1960" s="14" t="s">
        <v>44</v>
      </c>
      <c r="E1960" s="13" t="s">
        <v>249</v>
      </c>
      <c r="F1960" s="13" t="s">
        <v>899</v>
      </c>
      <c r="G1960" s="13">
        <v>1.38</v>
      </c>
      <c r="H1960" s="15">
        <v>108</v>
      </c>
      <c r="I1960" s="16">
        <v>148.5</v>
      </c>
      <c r="J1960" s="16">
        <v>430.07142857142861</v>
      </c>
      <c r="K1960" s="16">
        <v>-281.57142857142861</v>
      </c>
      <c r="L1960" s="13">
        <v>3.63</v>
      </c>
      <c r="M1960" s="13"/>
      <c r="N1960" s="17">
        <f t="shared" si="66"/>
        <v>392.03999999999996</v>
      </c>
      <c r="O1960" s="17">
        <f t="shared" si="66"/>
        <v>0</v>
      </c>
      <c r="P1960" s="17">
        <f t="shared" si="65"/>
        <v>392.03999999999996</v>
      </c>
      <c r="Q1960" t="str">
        <f>A1960&amp;"-"&amp;B1960&amp;"-"&amp;D1960</f>
        <v>MEI-MJ1-L1</v>
      </c>
    </row>
    <row r="1961" spans="1:17" x14ac:dyDescent="0.25">
      <c r="A1961" t="s">
        <v>395</v>
      </c>
      <c r="B1961" s="13" t="s">
        <v>25</v>
      </c>
      <c r="C1961" s="13" t="s">
        <v>154</v>
      </c>
      <c r="D1961" s="14" t="s">
        <v>44</v>
      </c>
      <c r="E1961" s="13" t="s">
        <v>249</v>
      </c>
      <c r="F1961" s="13" t="s">
        <v>900</v>
      </c>
      <c r="G1961" s="13">
        <v>1.38</v>
      </c>
      <c r="H1961" s="15">
        <v>1518</v>
      </c>
      <c r="I1961" s="16">
        <v>2087.2600000000002</v>
      </c>
      <c r="J1961" s="16">
        <v>4785.2214757190004</v>
      </c>
      <c r="K1961" s="16">
        <v>-2697.9614757190006</v>
      </c>
      <c r="L1961" s="13">
        <v>3.63</v>
      </c>
      <c r="M1961" s="13"/>
      <c r="N1961" s="17">
        <f t="shared" si="66"/>
        <v>5510.34</v>
      </c>
      <c r="O1961" s="17">
        <f t="shared" si="66"/>
        <v>0</v>
      </c>
      <c r="P1961" s="17">
        <f t="shared" si="65"/>
        <v>5510.34</v>
      </c>
      <c r="Q1961" t="str">
        <f>A1961&amp;"-"&amp;B1961&amp;"-"&amp;D1961</f>
        <v>MEI-MJ1-L1</v>
      </c>
    </row>
    <row r="1962" spans="1:17" x14ac:dyDescent="0.25">
      <c r="A1962" t="s">
        <v>395</v>
      </c>
      <c r="B1962" s="13" t="s">
        <v>25</v>
      </c>
      <c r="C1962" s="13" t="s">
        <v>154</v>
      </c>
      <c r="D1962" s="14" t="s">
        <v>44</v>
      </c>
      <c r="E1962" s="13" t="s">
        <v>249</v>
      </c>
      <c r="F1962" s="13" t="s">
        <v>901</v>
      </c>
      <c r="G1962" s="13">
        <v>1.38</v>
      </c>
      <c r="H1962" s="15">
        <v>558</v>
      </c>
      <c r="I1962" s="16">
        <v>767.25</v>
      </c>
      <c r="J1962" s="16">
        <v>1766.353290529695</v>
      </c>
      <c r="K1962" s="16">
        <v>-999.10329052969496</v>
      </c>
      <c r="L1962" s="13">
        <v>3.63</v>
      </c>
      <c r="M1962" s="13"/>
      <c r="N1962" s="17">
        <f t="shared" si="66"/>
        <v>2025.54</v>
      </c>
      <c r="O1962" s="17">
        <f t="shared" si="66"/>
        <v>0</v>
      </c>
      <c r="P1962" s="17">
        <f t="shared" si="65"/>
        <v>2025.54</v>
      </c>
      <c r="Q1962" t="str">
        <f>A1962&amp;"-"&amp;B1962&amp;"-"&amp;D1962</f>
        <v>MEI-MJ1-L1</v>
      </c>
    </row>
    <row r="1963" spans="1:17" x14ac:dyDescent="0.25">
      <c r="A1963" t="s">
        <v>395</v>
      </c>
      <c r="B1963" s="13" t="s">
        <v>25</v>
      </c>
      <c r="C1963" s="13" t="s">
        <v>154</v>
      </c>
      <c r="D1963" s="14" t="s">
        <v>287</v>
      </c>
      <c r="E1963" s="13" t="s">
        <v>249</v>
      </c>
      <c r="F1963" s="13" t="s">
        <v>902</v>
      </c>
      <c r="G1963" s="13">
        <v>1.38</v>
      </c>
      <c r="H1963" s="15">
        <v>100</v>
      </c>
      <c r="I1963" s="16">
        <v>137.5</v>
      </c>
      <c r="J1963" s="16">
        <v>278.75</v>
      </c>
      <c r="K1963" s="16">
        <v>-141.25</v>
      </c>
      <c r="L1963" s="13">
        <v>3.61</v>
      </c>
      <c r="M1963" s="13"/>
      <c r="N1963" s="17">
        <f t="shared" si="66"/>
        <v>361</v>
      </c>
      <c r="O1963" s="17">
        <f t="shared" si="66"/>
        <v>0</v>
      </c>
      <c r="P1963" s="17">
        <f t="shared" si="65"/>
        <v>361</v>
      </c>
      <c r="Q1963" t="str">
        <f>A1963&amp;"-"&amp;B1963&amp;"-"&amp;D1963</f>
        <v>MEI-MJ1-L11</v>
      </c>
    </row>
    <row r="1964" spans="1:17" x14ac:dyDescent="0.25">
      <c r="A1964" t="s">
        <v>395</v>
      </c>
      <c r="B1964" s="13" t="s">
        <v>25</v>
      </c>
      <c r="C1964" s="13" t="s">
        <v>154</v>
      </c>
      <c r="D1964" s="14" t="s">
        <v>287</v>
      </c>
      <c r="E1964" s="13" t="s">
        <v>249</v>
      </c>
      <c r="F1964" s="13" t="s">
        <v>903</v>
      </c>
      <c r="G1964" s="13">
        <v>1.38</v>
      </c>
      <c r="H1964" s="15">
        <v>428</v>
      </c>
      <c r="I1964" s="16">
        <v>588.5</v>
      </c>
      <c r="J1964" s="16">
        <v>1895.5</v>
      </c>
      <c r="K1964" s="16">
        <v>-1307</v>
      </c>
      <c r="L1964" s="13">
        <v>3.61</v>
      </c>
      <c r="M1964" s="13"/>
      <c r="N1964" s="17">
        <f t="shared" si="66"/>
        <v>1545.08</v>
      </c>
      <c r="O1964" s="17">
        <f t="shared" si="66"/>
        <v>0</v>
      </c>
      <c r="P1964" s="17">
        <f t="shared" si="65"/>
        <v>1545.08</v>
      </c>
      <c r="Q1964" t="str">
        <f>A1964&amp;"-"&amp;B1964&amp;"-"&amp;D1964</f>
        <v>MEI-MJ1-L11</v>
      </c>
    </row>
    <row r="1965" spans="1:17" x14ac:dyDescent="0.25">
      <c r="A1965" t="s">
        <v>395</v>
      </c>
      <c r="B1965" s="13" t="s">
        <v>25</v>
      </c>
      <c r="C1965" s="13" t="s">
        <v>154</v>
      </c>
      <c r="D1965" s="14" t="s">
        <v>287</v>
      </c>
      <c r="E1965" s="13" t="s">
        <v>249</v>
      </c>
      <c r="F1965" s="13" t="s">
        <v>904</v>
      </c>
      <c r="G1965" s="13">
        <v>1.38</v>
      </c>
      <c r="H1965" s="15">
        <v>162</v>
      </c>
      <c r="I1965" s="16">
        <v>222.75</v>
      </c>
      <c r="J1965" s="16">
        <v>821.0454545454545</v>
      </c>
      <c r="K1965" s="16">
        <v>-598.2954545454545</v>
      </c>
      <c r="L1965" s="13">
        <v>3.61</v>
      </c>
      <c r="M1965" s="13"/>
      <c r="N1965" s="17">
        <f t="shared" si="66"/>
        <v>584.81999999999994</v>
      </c>
      <c r="O1965" s="17">
        <f t="shared" si="66"/>
        <v>0</v>
      </c>
      <c r="P1965" s="17">
        <f t="shared" si="65"/>
        <v>584.81999999999994</v>
      </c>
      <c r="Q1965" t="str">
        <f>A1965&amp;"-"&amp;B1965&amp;"-"&amp;D1965</f>
        <v>MEI-MJ1-L11</v>
      </c>
    </row>
    <row r="1966" spans="1:17" x14ac:dyDescent="0.25">
      <c r="A1966" t="s">
        <v>395</v>
      </c>
      <c r="B1966" s="13" t="s">
        <v>25</v>
      </c>
      <c r="C1966" s="13" t="s">
        <v>154</v>
      </c>
      <c r="D1966" s="14" t="s">
        <v>287</v>
      </c>
      <c r="E1966" s="13" t="s">
        <v>249</v>
      </c>
      <c r="F1966" s="13" t="s">
        <v>905</v>
      </c>
      <c r="G1966" s="13">
        <v>1.38</v>
      </c>
      <c r="H1966" s="15">
        <v>20</v>
      </c>
      <c r="I1966" s="16">
        <v>27.5</v>
      </c>
      <c r="J1966" s="16">
        <v>55.75</v>
      </c>
      <c r="K1966" s="16">
        <v>-28.25</v>
      </c>
      <c r="L1966" s="13">
        <v>3.61</v>
      </c>
      <c r="M1966" s="13"/>
      <c r="N1966" s="17">
        <f t="shared" si="66"/>
        <v>72.2</v>
      </c>
      <c r="O1966" s="17">
        <f t="shared" si="66"/>
        <v>0</v>
      </c>
      <c r="P1966" s="17">
        <f t="shared" si="65"/>
        <v>72.2</v>
      </c>
      <c r="Q1966" t="str">
        <f>A1966&amp;"-"&amp;B1966&amp;"-"&amp;D1966</f>
        <v>MEI-MJ1-L11</v>
      </c>
    </row>
    <row r="1967" spans="1:17" x14ac:dyDescent="0.25">
      <c r="A1967" t="s">
        <v>395</v>
      </c>
      <c r="B1967" s="13" t="s">
        <v>25</v>
      </c>
      <c r="C1967" s="13" t="s">
        <v>154</v>
      </c>
      <c r="D1967" s="14" t="s">
        <v>287</v>
      </c>
      <c r="E1967" s="13" t="s">
        <v>249</v>
      </c>
      <c r="F1967" s="13" t="s">
        <v>906</v>
      </c>
      <c r="G1967" s="13">
        <v>1.38</v>
      </c>
      <c r="H1967" s="15">
        <v>248</v>
      </c>
      <c r="I1967" s="16">
        <v>341</v>
      </c>
      <c r="J1967" s="16">
        <v>991.11111111111109</v>
      </c>
      <c r="K1967" s="16">
        <v>-650.11111111111109</v>
      </c>
      <c r="L1967" s="13">
        <v>3.63</v>
      </c>
      <c r="M1967" s="13"/>
      <c r="N1967" s="17">
        <f t="shared" si="66"/>
        <v>900.24</v>
      </c>
      <c r="O1967" s="17">
        <f t="shared" si="66"/>
        <v>0</v>
      </c>
      <c r="P1967" s="17">
        <f t="shared" si="65"/>
        <v>900.24</v>
      </c>
      <c r="Q1967" t="str">
        <f>A1967&amp;"-"&amp;B1967&amp;"-"&amp;D1967</f>
        <v>MEI-MJ1-L11</v>
      </c>
    </row>
    <row r="1968" spans="1:17" x14ac:dyDescent="0.25">
      <c r="A1968" t="s">
        <v>395</v>
      </c>
      <c r="B1968" s="13" t="s">
        <v>25</v>
      </c>
      <c r="C1968" s="13" t="s">
        <v>154</v>
      </c>
      <c r="D1968" s="14" t="s">
        <v>287</v>
      </c>
      <c r="E1968" s="13" t="s">
        <v>249</v>
      </c>
      <c r="F1968" s="13" t="s">
        <v>890</v>
      </c>
      <c r="G1968" s="13">
        <v>1.38</v>
      </c>
      <c r="H1968" s="15">
        <v>218</v>
      </c>
      <c r="I1968" s="16">
        <v>299.75</v>
      </c>
      <c r="J1968" s="16">
        <v>607.67500000000007</v>
      </c>
      <c r="K1968" s="16">
        <v>-307.92500000000007</v>
      </c>
      <c r="L1968" s="13">
        <v>3.63</v>
      </c>
      <c r="M1968" s="13"/>
      <c r="N1968" s="17">
        <f t="shared" si="66"/>
        <v>791.34</v>
      </c>
      <c r="O1968" s="17">
        <f t="shared" si="66"/>
        <v>0</v>
      </c>
      <c r="P1968" s="17">
        <f t="shared" si="65"/>
        <v>791.34</v>
      </c>
      <c r="Q1968" t="str">
        <f>A1968&amp;"-"&amp;B1968&amp;"-"&amp;D1968</f>
        <v>MEI-MJ1-L11</v>
      </c>
    </row>
    <row r="1969" spans="1:17" x14ac:dyDescent="0.25">
      <c r="A1969" t="s">
        <v>395</v>
      </c>
      <c r="B1969" s="13" t="s">
        <v>25</v>
      </c>
      <c r="C1969" s="13" t="s">
        <v>154</v>
      </c>
      <c r="D1969" s="14" t="s">
        <v>287</v>
      </c>
      <c r="E1969" s="13" t="s">
        <v>249</v>
      </c>
      <c r="F1969" s="13" t="s">
        <v>891</v>
      </c>
      <c r="G1969" s="13">
        <v>1.38</v>
      </c>
      <c r="H1969" s="15">
        <v>350</v>
      </c>
      <c r="I1969" s="16">
        <v>481.25</v>
      </c>
      <c r="J1969" s="16">
        <v>762.20703125</v>
      </c>
      <c r="K1969" s="16">
        <v>-280.95703125</v>
      </c>
      <c r="L1969" s="13">
        <v>3.63</v>
      </c>
      <c r="M1969" s="13"/>
      <c r="N1969" s="17">
        <f t="shared" si="66"/>
        <v>1270.5</v>
      </c>
      <c r="O1969" s="17">
        <f t="shared" si="66"/>
        <v>0</v>
      </c>
      <c r="P1969" s="17">
        <f t="shared" si="65"/>
        <v>1270.5</v>
      </c>
      <c r="Q1969" t="str">
        <f>A1969&amp;"-"&amp;B1969&amp;"-"&amp;D1969</f>
        <v>MEI-MJ1-L11</v>
      </c>
    </row>
    <row r="1970" spans="1:17" x14ac:dyDescent="0.25">
      <c r="A1970" t="s">
        <v>395</v>
      </c>
      <c r="B1970" s="13" t="s">
        <v>25</v>
      </c>
      <c r="C1970" s="13" t="s">
        <v>154</v>
      </c>
      <c r="D1970" s="14" t="s">
        <v>287</v>
      </c>
      <c r="E1970" s="13" t="s">
        <v>249</v>
      </c>
      <c r="F1970" s="13" t="s">
        <v>907</v>
      </c>
      <c r="G1970" s="13">
        <v>1.38</v>
      </c>
      <c r="H1970" s="15">
        <v>63</v>
      </c>
      <c r="I1970" s="16">
        <v>86.63</v>
      </c>
      <c r="J1970" s="16">
        <v>193.57638888888889</v>
      </c>
      <c r="K1970" s="16">
        <v>-106.94638888888889</v>
      </c>
      <c r="L1970" s="13">
        <v>3.63</v>
      </c>
      <c r="M1970" s="13"/>
      <c r="N1970" s="17">
        <f t="shared" si="66"/>
        <v>228.69</v>
      </c>
      <c r="O1970" s="17">
        <f t="shared" si="66"/>
        <v>0</v>
      </c>
      <c r="P1970" s="17">
        <f t="shared" si="65"/>
        <v>228.69</v>
      </c>
      <c r="Q1970" t="str">
        <f>A1970&amp;"-"&amp;B1970&amp;"-"&amp;D1970</f>
        <v>MEI-MJ1-L11</v>
      </c>
    </row>
    <row r="1971" spans="1:17" x14ac:dyDescent="0.25">
      <c r="A1971" t="s">
        <v>395</v>
      </c>
      <c r="B1971" s="13" t="s">
        <v>25</v>
      </c>
      <c r="C1971" s="13" t="s">
        <v>154</v>
      </c>
      <c r="D1971" s="14" t="s">
        <v>287</v>
      </c>
      <c r="E1971" s="13" t="s">
        <v>249</v>
      </c>
      <c r="F1971" s="13" t="s">
        <v>892</v>
      </c>
      <c r="G1971" s="13">
        <v>1.38</v>
      </c>
      <c r="H1971" s="15">
        <v>1422</v>
      </c>
      <c r="I1971" s="16">
        <v>1955.25</v>
      </c>
      <c r="J1971" s="16">
        <v>2695.1142857142859</v>
      </c>
      <c r="K1971" s="16">
        <v>-739.86428571428564</v>
      </c>
      <c r="L1971" s="13">
        <v>3.63</v>
      </c>
      <c r="M1971" s="13"/>
      <c r="N1971" s="17">
        <f t="shared" si="66"/>
        <v>5161.8599999999997</v>
      </c>
      <c r="O1971" s="17">
        <f t="shared" si="66"/>
        <v>0</v>
      </c>
      <c r="P1971" s="17">
        <f t="shared" si="65"/>
        <v>5161.8599999999997</v>
      </c>
      <c r="Q1971" t="str">
        <f>A1971&amp;"-"&amp;B1971&amp;"-"&amp;D1971</f>
        <v>MEI-MJ1-L11</v>
      </c>
    </row>
    <row r="1972" spans="1:17" x14ac:dyDescent="0.25">
      <c r="A1972" t="s">
        <v>395</v>
      </c>
      <c r="B1972" s="13" t="s">
        <v>25</v>
      </c>
      <c r="C1972" s="13" t="s">
        <v>154</v>
      </c>
      <c r="D1972" s="14" t="s">
        <v>287</v>
      </c>
      <c r="E1972" s="13" t="s">
        <v>249</v>
      </c>
      <c r="F1972" s="13" t="s">
        <v>908</v>
      </c>
      <c r="G1972" s="13">
        <v>1.38</v>
      </c>
      <c r="H1972" s="15">
        <v>52</v>
      </c>
      <c r="I1972" s="16">
        <v>71.5</v>
      </c>
      <c r="J1972" s="16">
        <v>113.2421875</v>
      </c>
      <c r="K1972" s="16">
        <v>-41.7421875</v>
      </c>
      <c r="L1972" s="13">
        <v>3.63</v>
      </c>
      <c r="M1972" s="13"/>
      <c r="N1972" s="17">
        <f t="shared" si="66"/>
        <v>188.76</v>
      </c>
      <c r="O1972" s="17">
        <f t="shared" si="66"/>
        <v>0</v>
      </c>
      <c r="P1972" s="17">
        <f t="shared" si="65"/>
        <v>188.76</v>
      </c>
      <c r="Q1972" t="str">
        <f>A1972&amp;"-"&amp;B1972&amp;"-"&amp;D1972</f>
        <v>MEI-MJ1-L11</v>
      </c>
    </row>
    <row r="1973" spans="1:17" x14ac:dyDescent="0.25">
      <c r="A1973" t="s">
        <v>395</v>
      </c>
      <c r="B1973" s="13" t="s">
        <v>25</v>
      </c>
      <c r="C1973" s="13" t="s">
        <v>154</v>
      </c>
      <c r="D1973" s="14" t="s">
        <v>287</v>
      </c>
      <c r="E1973" s="13" t="s">
        <v>249</v>
      </c>
      <c r="F1973" s="13" t="s">
        <v>895</v>
      </c>
      <c r="G1973" s="13">
        <v>1.38</v>
      </c>
      <c r="H1973" s="15">
        <v>456</v>
      </c>
      <c r="I1973" s="16">
        <v>627</v>
      </c>
      <c r="J1973" s="16">
        <v>1149.3076923076924</v>
      </c>
      <c r="K1973" s="16">
        <v>-522.30769230769226</v>
      </c>
      <c r="L1973" s="13">
        <v>3.63</v>
      </c>
      <c r="M1973" s="13"/>
      <c r="N1973" s="17">
        <f t="shared" si="66"/>
        <v>1655.28</v>
      </c>
      <c r="O1973" s="17">
        <f t="shared" si="66"/>
        <v>0</v>
      </c>
      <c r="P1973" s="17">
        <f t="shared" si="65"/>
        <v>1655.28</v>
      </c>
      <c r="Q1973" t="str">
        <f>A1973&amp;"-"&amp;B1973&amp;"-"&amp;D1973</f>
        <v>MEI-MJ1-L11</v>
      </c>
    </row>
    <row r="1974" spans="1:17" x14ac:dyDescent="0.25">
      <c r="A1974" t="s">
        <v>395</v>
      </c>
      <c r="B1974" s="13" t="s">
        <v>25</v>
      </c>
      <c r="C1974" s="13" t="s">
        <v>154</v>
      </c>
      <c r="D1974" s="14" t="s">
        <v>287</v>
      </c>
      <c r="E1974" s="13" t="s">
        <v>249</v>
      </c>
      <c r="F1974" s="13" t="s">
        <v>896</v>
      </c>
      <c r="G1974" s="13">
        <v>1.38</v>
      </c>
      <c r="H1974" s="15">
        <v>462</v>
      </c>
      <c r="I1974" s="16">
        <v>635.25</v>
      </c>
      <c r="J1974" s="16">
        <v>1176.325</v>
      </c>
      <c r="K1974" s="16">
        <v>-541.07500000000005</v>
      </c>
      <c r="L1974" s="13">
        <v>3.63</v>
      </c>
      <c r="M1974" s="13"/>
      <c r="N1974" s="17">
        <f t="shared" si="66"/>
        <v>1677.06</v>
      </c>
      <c r="O1974" s="17">
        <f t="shared" si="66"/>
        <v>0</v>
      </c>
      <c r="P1974" s="17">
        <f t="shared" si="65"/>
        <v>1677.06</v>
      </c>
      <c r="Q1974" t="str">
        <f>A1974&amp;"-"&amp;B1974&amp;"-"&amp;D1974</f>
        <v>MEI-MJ1-L11</v>
      </c>
    </row>
    <row r="1975" spans="1:17" x14ac:dyDescent="0.25">
      <c r="A1975" t="s">
        <v>395</v>
      </c>
      <c r="B1975" s="13" t="s">
        <v>25</v>
      </c>
      <c r="C1975" s="13" t="s">
        <v>154</v>
      </c>
      <c r="D1975" s="14" t="s">
        <v>287</v>
      </c>
      <c r="E1975" s="13" t="s">
        <v>249</v>
      </c>
      <c r="F1975" s="13" t="s">
        <v>897</v>
      </c>
      <c r="G1975" s="13">
        <v>1.38</v>
      </c>
      <c r="H1975" s="15">
        <v>2466</v>
      </c>
      <c r="I1975" s="16">
        <v>3390.75</v>
      </c>
      <c r="J1975" s="16">
        <v>6743.4520305198148</v>
      </c>
      <c r="K1975" s="16">
        <v>-3352.7020305198157</v>
      </c>
      <c r="L1975" s="13">
        <v>3.63</v>
      </c>
      <c r="M1975" s="13"/>
      <c r="N1975" s="17">
        <f t="shared" si="66"/>
        <v>8951.58</v>
      </c>
      <c r="O1975" s="17">
        <f t="shared" si="66"/>
        <v>0</v>
      </c>
      <c r="P1975" s="17">
        <f t="shared" si="65"/>
        <v>8951.58</v>
      </c>
      <c r="Q1975" t="str">
        <f>A1975&amp;"-"&amp;B1975&amp;"-"&amp;D1975</f>
        <v>MEI-MJ1-L11</v>
      </c>
    </row>
    <row r="1976" spans="1:17" x14ac:dyDescent="0.25">
      <c r="A1976" t="s">
        <v>395</v>
      </c>
      <c r="B1976" s="13" t="s">
        <v>25</v>
      </c>
      <c r="C1976" s="13" t="s">
        <v>154</v>
      </c>
      <c r="D1976" s="14" t="s">
        <v>287</v>
      </c>
      <c r="E1976" s="13" t="s">
        <v>249</v>
      </c>
      <c r="F1976" s="13" t="s">
        <v>900</v>
      </c>
      <c r="G1976" s="13">
        <v>1.38</v>
      </c>
      <c r="H1976" s="15">
        <v>2</v>
      </c>
      <c r="I1976" s="16">
        <v>2.75</v>
      </c>
      <c r="J1976" s="16">
        <v>7.4832214765100673</v>
      </c>
      <c r="K1976" s="16">
        <v>-4.7332214765100673</v>
      </c>
      <c r="L1976" s="13">
        <v>3.63</v>
      </c>
      <c r="M1976" s="13"/>
      <c r="N1976" s="17">
        <f t="shared" si="66"/>
        <v>7.26</v>
      </c>
      <c r="O1976" s="17">
        <f t="shared" si="66"/>
        <v>0</v>
      </c>
      <c r="P1976" s="17">
        <f t="shared" si="65"/>
        <v>7.26</v>
      </c>
      <c r="Q1976" t="str">
        <f>A1976&amp;"-"&amp;B1976&amp;"-"&amp;D1976</f>
        <v>MEI-MJ1-L11</v>
      </c>
    </row>
    <row r="1977" spans="1:17" x14ac:dyDescent="0.25">
      <c r="A1977" t="s">
        <v>395</v>
      </c>
      <c r="B1977" s="13" t="s">
        <v>25</v>
      </c>
      <c r="C1977" s="13" t="s">
        <v>154</v>
      </c>
      <c r="D1977" s="14" t="s">
        <v>287</v>
      </c>
      <c r="E1977" s="13" t="s">
        <v>249</v>
      </c>
      <c r="F1977" s="13" t="s">
        <v>901</v>
      </c>
      <c r="G1977" s="13">
        <v>1.38</v>
      </c>
      <c r="H1977" s="15">
        <v>558</v>
      </c>
      <c r="I1977" s="16">
        <v>767.25</v>
      </c>
      <c r="J1977" s="16">
        <v>2399.86328125</v>
      </c>
      <c r="K1977" s="16">
        <v>-1632.61328125</v>
      </c>
      <c r="L1977" s="13">
        <v>3.63</v>
      </c>
      <c r="M1977" s="13"/>
      <c r="N1977" s="17">
        <f t="shared" si="66"/>
        <v>2025.54</v>
      </c>
      <c r="O1977" s="17">
        <f t="shared" si="66"/>
        <v>0</v>
      </c>
      <c r="P1977" s="17">
        <f t="shared" si="65"/>
        <v>2025.54</v>
      </c>
      <c r="Q1977" t="str">
        <f>A1977&amp;"-"&amp;B1977&amp;"-"&amp;D1977</f>
        <v>MEI-MJ1-L11</v>
      </c>
    </row>
    <row r="1978" spans="1:17" x14ac:dyDescent="0.25">
      <c r="A1978" t="s">
        <v>395</v>
      </c>
      <c r="B1978" s="13" t="s">
        <v>25</v>
      </c>
      <c r="C1978" s="13" t="s">
        <v>154</v>
      </c>
      <c r="D1978" s="14" t="s">
        <v>50</v>
      </c>
      <c r="E1978" s="13" t="s">
        <v>155</v>
      </c>
      <c r="F1978" s="13" t="s">
        <v>759</v>
      </c>
      <c r="G1978" s="13">
        <v>0.51</v>
      </c>
      <c r="H1978" s="15">
        <v>570</v>
      </c>
      <c r="I1978" s="16">
        <v>290.7</v>
      </c>
      <c r="J1978" s="16">
        <v>285</v>
      </c>
      <c r="K1978" s="16">
        <v>5.6999999999999886</v>
      </c>
      <c r="L1978" s="13">
        <v>7.36</v>
      </c>
      <c r="M1978" s="13"/>
      <c r="N1978" s="17">
        <f t="shared" si="66"/>
        <v>4195.2</v>
      </c>
      <c r="O1978" s="17">
        <f t="shared" si="66"/>
        <v>0</v>
      </c>
      <c r="P1978" s="17">
        <f t="shared" si="65"/>
        <v>4195.2</v>
      </c>
      <c r="Q1978" t="str">
        <f>A1978&amp;"-"&amp;B1978&amp;"-"&amp;D1978</f>
        <v>MEI-MJ1-L2</v>
      </c>
    </row>
    <row r="1979" spans="1:17" x14ac:dyDescent="0.25">
      <c r="A1979" t="s">
        <v>395</v>
      </c>
      <c r="B1979" s="13" t="s">
        <v>25</v>
      </c>
      <c r="C1979" s="13" t="s">
        <v>154</v>
      </c>
      <c r="D1979" s="14" t="s">
        <v>50</v>
      </c>
      <c r="E1979" s="13" t="s">
        <v>155</v>
      </c>
      <c r="F1979" s="13" t="s">
        <v>761</v>
      </c>
      <c r="G1979" s="13">
        <v>0.51</v>
      </c>
      <c r="H1979" s="15">
        <v>97</v>
      </c>
      <c r="I1979" s="16">
        <v>49.47</v>
      </c>
      <c r="J1979" s="16">
        <v>54.901015228426395</v>
      </c>
      <c r="K1979" s="16">
        <v>-5.4310152284263964</v>
      </c>
      <c r="L1979" s="13">
        <v>7.36</v>
      </c>
      <c r="M1979" s="13"/>
      <c r="N1979" s="17">
        <f t="shared" si="66"/>
        <v>713.92000000000007</v>
      </c>
      <c r="O1979" s="17">
        <f t="shared" si="66"/>
        <v>0</v>
      </c>
      <c r="P1979" s="17">
        <f t="shared" si="65"/>
        <v>713.92000000000007</v>
      </c>
      <c r="Q1979" t="str">
        <f>A1979&amp;"-"&amp;B1979&amp;"-"&amp;D1979</f>
        <v>MEI-MJ1-L2</v>
      </c>
    </row>
    <row r="1980" spans="1:17" x14ac:dyDescent="0.25">
      <c r="A1980" t="s">
        <v>395</v>
      </c>
      <c r="B1980" s="13" t="s">
        <v>25</v>
      </c>
      <c r="C1980" s="13" t="s">
        <v>154</v>
      </c>
      <c r="D1980" s="14" t="s">
        <v>50</v>
      </c>
      <c r="E1980" s="13" t="s">
        <v>155</v>
      </c>
      <c r="F1980" s="13" t="s">
        <v>753</v>
      </c>
      <c r="G1980" s="13">
        <v>0.51</v>
      </c>
      <c r="H1980" s="15">
        <v>509</v>
      </c>
      <c r="I1980" s="16">
        <v>259.58999999999997</v>
      </c>
      <c r="J1980" s="16">
        <v>254.5</v>
      </c>
      <c r="K1980" s="16">
        <v>5.089999999999975</v>
      </c>
      <c r="L1980" s="13">
        <v>7.36</v>
      </c>
      <c r="M1980" s="13"/>
      <c r="N1980" s="17">
        <f t="shared" si="66"/>
        <v>3746.2400000000002</v>
      </c>
      <c r="O1980" s="17">
        <f t="shared" si="66"/>
        <v>0</v>
      </c>
      <c r="P1980" s="17">
        <f t="shared" si="65"/>
        <v>3746.2400000000002</v>
      </c>
      <c r="Q1980" t="str">
        <f>A1980&amp;"-"&amp;B1980&amp;"-"&amp;D1980</f>
        <v>MEI-MJ1-L2</v>
      </c>
    </row>
    <row r="1981" spans="1:17" x14ac:dyDescent="0.25">
      <c r="A1981" t="s">
        <v>395</v>
      </c>
      <c r="B1981" s="13" t="s">
        <v>25</v>
      </c>
      <c r="C1981" s="13" t="s">
        <v>154</v>
      </c>
      <c r="D1981" s="14" t="s">
        <v>50</v>
      </c>
      <c r="E1981" s="13" t="s">
        <v>155</v>
      </c>
      <c r="F1981" s="13" t="s">
        <v>762</v>
      </c>
      <c r="G1981" s="13">
        <v>0.51</v>
      </c>
      <c r="H1981" s="15">
        <v>904</v>
      </c>
      <c r="I1981" s="16">
        <v>461.03999999999996</v>
      </c>
      <c r="J1981" s="16">
        <v>349.17079722692034</v>
      </c>
      <c r="K1981" s="16">
        <v>111.86920277307965</v>
      </c>
      <c r="L1981" s="13">
        <v>7.36</v>
      </c>
      <c r="M1981" s="13"/>
      <c r="N1981" s="17">
        <f t="shared" si="66"/>
        <v>6653.4400000000005</v>
      </c>
      <c r="O1981" s="17">
        <f t="shared" si="66"/>
        <v>0</v>
      </c>
      <c r="P1981" s="17">
        <f t="shared" si="65"/>
        <v>6653.4400000000005</v>
      </c>
      <c r="Q1981" t="str">
        <f>A1981&amp;"-"&amp;B1981&amp;"-"&amp;D1981</f>
        <v>MEI-MJ1-L2</v>
      </c>
    </row>
    <row r="1982" spans="1:17" x14ac:dyDescent="0.25">
      <c r="A1982" t="s">
        <v>395</v>
      </c>
      <c r="B1982" s="13" t="s">
        <v>25</v>
      </c>
      <c r="C1982" s="13" t="s">
        <v>154</v>
      </c>
      <c r="D1982" s="14" t="s">
        <v>50</v>
      </c>
      <c r="E1982" s="13" t="s">
        <v>155</v>
      </c>
      <c r="F1982" s="13" t="s">
        <v>764</v>
      </c>
      <c r="G1982" s="13">
        <v>0.51</v>
      </c>
      <c r="H1982" s="15">
        <v>521</v>
      </c>
      <c r="I1982" s="16">
        <v>265.70999999999998</v>
      </c>
      <c r="J1982" s="16">
        <v>233.29919678714862</v>
      </c>
      <c r="K1982" s="16">
        <v>32.410803212851363</v>
      </c>
      <c r="L1982" s="13">
        <v>1.47</v>
      </c>
      <c r="M1982" s="13"/>
      <c r="N1982" s="17">
        <f t="shared" si="66"/>
        <v>765.87</v>
      </c>
      <c r="O1982" s="17">
        <f t="shared" si="66"/>
        <v>0</v>
      </c>
      <c r="P1982" s="17">
        <f t="shared" si="65"/>
        <v>765.87</v>
      </c>
      <c r="Q1982" t="str">
        <f>A1982&amp;"-"&amp;B1982&amp;"-"&amp;D1982</f>
        <v>MEI-MJ1-L2</v>
      </c>
    </row>
    <row r="1983" spans="1:17" x14ac:dyDescent="0.25">
      <c r="A1983" t="s">
        <v>395</v>
      </c>
      <c r="B1983" s="13" t="s">
        <v>25</v>
      </c>
      <c r="C1983" s="13" t="s">
        <v>154</v>
      </c>
      <c r="D1983" s="14" t="s">
        <v>50</v>
      </c>
      <c r="E1983" s="13" t="s">
        <v>155</v>
      </c>
      <c r="F1983" s="13" t="s">
        <v>909</v>
      </c>
      <c r="G1983" s="13">
        <v>0.51</v>
      </c>
      <c r="H1983" s="15">
        <v>260</v>
      </c>
      <c r="I1983" s="16">
        <v>132.6</v>
      </c>
      <c r="J1983" s="16">
        <v>116.42570281124497</v>
      </c>
      <c r="K1983" s="16">
        <v>16.17429718875502</v>
      </c>
      <c r="L1983" s="13">
        <v>1.47</v>
      </c>
      <c r="M1983" s="13"/>
      <c r="N1983" s="17">
        <f t="shared" si="66"/>
        <v>382.2</v>
      </c>
      <c r="O1983" s="17">
        <f t="shared" si="66"/>
        <v>0</v>
      </c>
      <c r="P1983" s="17">
        <f t="shared" si="65"/>
        <v>382.2</v>
      </c>
      <c r="Q1983" t="str">
        <f>A1983&amp;"-"&amp;B1983&amp;"-"&amp;D1983</f>
        <v>MEI-MJ1-L2</v>
      </c>
    </row>
    <row r="1984" spans="1:17" x14ac:dyDescent="0.25">
      <c r="A1984" t="s">
        <v>395</v>
      </c>
      <c r="B1984" s="13" t="s">
        <v>25</v>
      </c>
      <c r="C1984" s="13" t="s">
        <v>154</v>
      </c>
      <c r="D1984" s="14" t="s">
        <v>50</v>
      </c>
      <c r="E1984" s="13" t="s">
        <v>155</v>
      </c>
      <c r="F1984" s="13" t="s">
        <v>910</v>
      </c>
      <c r="G1984" s="13">
        <v>0.48</v>
      </c>
      <c r="H1984" s="15">
        <v>345</v>
      </c>
      <c r="I1984" s="16">
        <v>165.6</v>
      </c>
      <c r="J1984" s="16">
        <v>338.92070484581495</v>
      </c>
      <c r="K1984" s="16">
        <v>-173.32070484581496</v>
      </c>
      <c r="L1984" s="13">
        <v>1.82</v>
      </c>
      <c r="M1984" s="13"/>
      <c r="N1984" s="17">
        <f t="shared" si="66"/>
        <v>627.9</v>
      </c>
      <c r="O1984" s="17">
        <f t="shared" si="66"/>
        <v>0</v>
      </c>
      <c r="P1984" s="17">
        <f t="shared" si="65"/>
        <v>627.9</v>
      </c>
      <c r="Q1984" t="str">
        <f>A1984&amp;"-"&amp;B1984&amp;"-"&amp;D1984</f>
        <v>MEI-MJ1-L2</v>
      </c>
    </row>
    <row r="1985" spans="1:17" x14ac:dyDescent="0.25">
      <c r="A1985" t="s">
        <v>395</v>
      </c>
      <c r="B1985" s="13" t="s">
        <v>25</v>
      </c>
      <c r="C1985" s="13" t="s">
        <v>154</v>
      </c>
      <c r="D1985" s="14" t="s">
        <v>50</v>
      </c>
      <c r="E1985" s="13" t="s">
        <v>155</v>
      </c>
      <c r="F1985" s="13" t="s">
        <v>911</v>
      </c>
      <c r="G1985" s="13">
        <v>0.48000000000000015</v>
      </c>
      <c r="H1985" s="15">
        <v>21171</v>
      </c>
      <c r="I1985" s="16">
        <v>10162.08</v>
      </c>
      <c r="J1985" s="16">
        <v>8590.0878555406689</v>
      </c>
      <c r="K1985" s="16">
        <v>1571.9921444593306</v>
      </c>
      <c r="L1985" s="13">
        <v>1.82</v>
      </c>
      <c r="M1985" s="13"/>
      <c r="N1985" s="17">
        <f t="shared" si="66"/>
        <v>38531.22</v>
      </c>
      <c r="O1985" s="17">
        <f t="shared" si="66"/>
        <v>0</v>
      </c>
      <c r="P1985" s="17">
        <f t="shared" si="65"/>
        <v>38531.22</v>
      </c>
      <c r="Q1985" t="str">
        <f>A1985&amp;"-"&amp;B1985&amp;"-"&amp;D1985</f>
        <v>MEI-MJ1-L2</v>
      </c>
    </row>
    <row r="1986" spans="1:17" x14ac:dyDescent="0.25">
      <c r="A1986" t="s">
        <v>395</v>
      </c>
      <c r="B1986" s="13" t="s">
        <v>25</v>
      </c>
      <c r="C1986" s="13" t="s">
        <v>154</v>
      </c>
      <c r="D1986" s="14" t="s">
        <v>50</v>
      </c>
      <c r="E1986" s="13" t="s">
        <v>155</v>
      </c>
      <c r="F1986" s="13" t="s">
        <v>912</v>
      </c>
      <c r="G1986" s="13">
        <v>0.48</v>
      </c>
      <c r="H1986" s="15">
        <v>165</v>
      </c>
      <c r="I1986" s="16">
        <v>79.2</v>
      </c>
      <c r="J1986" s="16">
        <v>162.09251101321584</v>
      </c>
      <c r="K1986" s="16">
        <v>-82.892511013215838</v>
      </c>
      <c r="L1986" s="13">
        <v>1.82</v>
      </c>
      <c r="M1986" s="13"/>
      <c r="N1986" s="17">
        <f t="shared" si="66"/>
        <v>300.3</v>
      </c>
      <c r="O1986" s="17">
        <f t="shared" si="66"/>
        <v>0</v>
      </c>
      <c r="P1986" s="17">
        <f t="shared" ref="P1986:P2049" si="67">N1986+O1986</f>
        <v>300.3</v>
      </c>
      <c r="Q1986" t="str">
        <f>A1986&amp;"-"&amp;B1986&amp;"-"&amp;D1986</f>
        <v>MEI-MJ1-L2</v>
      </c>
    </row>
    <row r="1987" spans="1:17" x14ac:dyDescent="0.25">
      <c r="A1987" t="s">
        <v>395</v>
      </c>
      <c r="B1987" s="13" t="s">
        <v>25</v>
      </c>
      <c r="C1987" s="13" t="s">
        <v>154</v>
      </c>
      <c r="D1987" s="14" t="s">
        <v>50</v>
      </c>
      <c r="E1987" s="13" t="s">
        <v>155</v>
      </c>
      <c r="F1987" s="13" t="s">
        <v>913</v>
      </c>
      <c r="G1987" s="13">
        <v>0.48</v>
      </c>
      <c r="H1987" s="15">
        <v>2469</v>
      </c>
      <c r="I1987" s="16">
        <v>1185.1200000000001</v>
      </c>
      <c r="J1987" s="16">
        <v>2712.8419093851135</v>
      </c>
      <c r="K1987" s="16">
        <v>-1527.7219093851131</v>
      </c>
      <c r="L1987" s="13">
        <v>1.82</v>
      </c>
      <c r="M1987" s="13"/>
      <c r="N1987" s="17">
        <f t="shared" si="66"/>
        <v>4493.58</v>
      </c>
      <c r="O1987" s="17">
        <f t="shared" si="66"/>
        <v>0</v>
      </c>
      <c r="P1987" s="17">
        <f t="shared" si="67"/>
        <v>4493.58</v>
      </c>
      <c r="Q1987" t="str">
        <f>A1987&amp;"-"&amp;B1987&amp;"-"&amp;D1987</f>
        <v>MEI-MJ1-L2</v>
      </c>
    </row>
    <row r="1988" spans="1:17" x14ac:dyDescent="0.25">
      <c r="A1988" t="s">
        <v>395</v>
      </c>
      <c r="B1988" s="13" t="s">
        <v>25</v>
      </c>
      <c r="C1988" s="13" t="s">
        <v>154</v>
      </c>
      <c r="D1988" s="14" t="s">
        <v>50</v>
      </c>
      <c r="E1988" s="13" t="s">
        <v>155</v>
      </c>
      <c r="F1988" s="13" t="s">
        <v>914</v>
      </c>
      <c r="G1988" s="13">
        <v>0.48</v>
      </c>
      <c r="H1988" s="15">
        <v>2112</v>
      </c>
      <c r="I1988" s="16">
        <v>1013.7599999999999</v>
      </c>
      <c r="J1988" s="16">
        <v>712.91369696231857</v>
      </c>
      <c r="K1988" s="16">
        <v>300.84630303768142</v>
      </c>
      <c r="L1988" s="13">
        <v>1.82</v>
      </c>
      <c r="M1988" s="13"/>
      <c r="N1988" s="17">
        <f t="shared" si="66"/>
        <v>3843.84</v>
      </c>
      <c r="O1988" s="17">
        <f t="shared" si="66"/>
        <v>0</v>
      </c>
      <c r="P1988" s="17">
        <f t="shared" si="67"/>
        <v>3843.84</v>
      </c>
      <c r="Q1988" t="str">
        <f>A1988&amp;"-"&amp;B1988&amp;"-"&amp;D1988</f>
        <v>MEI-MJ1-L2</v>
      </c>
    </row>
    <row r="1989" spans="1:17" x14ac:dyDescent="0.25">
      <c r="A1989" t="s">
        <v>395</v>
      </c>
      <c r="B1989" s="13" t="s">
        <v>25</v>
      </c>
      <c r="C1989" s="13" t="s">
        <v>154</v>
      </c>
      <c r="D1989" s="14" t="s">
        <v>50</v>
      </c>
      <c r="E1989" s="13" t="s">
        <v>155</v>
      </c>
      <c r="F1989" s="13" t="s">
        <v>915</v>
      </c>
      <c r="G1989" s="13">
        <v>0.48</v>
      </c>
      <c r="H1989" s="15">
        <v>153</v>
      </c>
      <c r="I1989" s="16">
        <v>73.44</v>
      </c>
      <c r="J1989" s="16">
        <v>150.30396475770925</v>
      </c>
      <c r="K1989" s="16">
        <v>-76.863964757709255</v>
      </c>
      <c r="L1989" s="13">
        <v>1.82</v>
      </c>
      <c r="M1989" s="13"/>
      <c r="N1989" s="17">
        <f t="shared" si="66"/>
        <v>278.46000000000004</v>
      </c>
      <c r="O1989" s="17">
        <f t="shared" si="66"/>
        <v>0</v>
      </c>
      <c r="P1989" s="17">
        <f t="shared" si="67"/>
        <v>278.46000000000004</v>
      </c>
      <c r="Q1989" t="str">
        <f>A1989&amp;"-"&amp;B1989&amp;"-"&amp;D1989</f>
        <v>MEI-MJ1-L2</v>
      </c>
    </row>
    <row r="1990" spans="1:17" x14ac:dyDescent="0.25">
      <c r="A1990" t="s">
        <v>395</v>
      </c>
      <c r="B1990" s="13" t="s">
        <v>25</v>
      </c>
      <c r="C1990" s="13" t="s">
        <v>154</v>
      </c>
      <c r="D1990" s="14" t="s">
        <v>50</v>
      </c>
      <c r="E1990" s="13" t="s">
        <v>155</v>
      </c>
      <c r="F1990" s="13" t="s">
        <v>916</v>
      </c>
      <c r="G1990" s="13">
        <v>0.48</v>
      </c>
      <c r="H1990" s="15">
        <v>1365</v>
      </c>
      <c r="I1990" s="16">
        <v>655.20000000000005</v>
      </c>
      <c r="J1990" s="16">
        <v>484.24276169265033</v>
      </c>
      <c r="K1990" s="16">
        <v>170.95723830734971</v>
      </c>
      <c r="L1990" s="13">
        <v>1.82</v>
      </c>
      <c r="M1990" s="13"/>
      <c r="N1990" s="17">
        <f t="shared" si="66"/>
        <v>2484.3000000000002</v>
      </c>
      <c r="O1990" s="17">
        <f t="shared" si="66"/>
        <v>0</v>
      </c>
      <c r="P1990" s="17">
        <f t="shared" si="67"/>
        <v>2484.3000000000002</v>
      </c>
      <c r="Q1990" t="str">
        <f>A1990&amp;"-"&amp;B1990&amp;"-"&amp;D1990</f>
        <v>MEI-MJ1-L2</v>
      </c>
    </row>
    <row r="1991" spans="1:17" x14ac:dyDescent="0.25">
      <c r="A1991" t="s">
        <v>395</v>
      </c>
      <c r="B1991" s="13" t="s">
        <v>25</v>
      </c>
      <c r="C1991" s="13" t="s">
        <v>154</v>
      </c>
      <c r="D1991" s="14" t="s">
        <v>50</v>
      </c>
      <c r="E1991" s="13" t="s">
        <v>155</v>
      </c>
      <c r="F1991" s="13" t="s">
        <v>917</v>
      </c>
      <c r="G1991" s="13">
        <v>0.48</v>
      </c>
      <c r="H1991" s="15">
        <v>30</v>
      </c>
      <c r="I1991" s="16">
        <v>14.4</v>
      </c>
      <c r="J1991" s="16">
        <v>11.153717905968655</v>
      </c>
      <c r="K1991" s="16">
        <v>3.2462820940313453</v>
      </c>
      <c r="L1991" s="13">
        <v>1.82</v>
      </c>
      <c r="M1991" s="13"/>
      <c r="N1991" s="17">
        <f t="shared" si="66"/>
        <v>54.6</v>
      </c>
      <c r="O1991" s="17">
        <f t="shared" si="66"/>
        <v>0</v>
      </c>
      <c r="P1991" s="17">
        <f t="shared" si="67"/>
        <v>54.6</v>
      </c>
      <c r="Q1991" t="str">
        <f>A1991&amp;"-"&amp;B1991&amp;"-"&amp;D1991</f>
        <v>MEI-MJ1-L2</v>
      </c>
    </row>
    <row r="1992" spans="1:17" x14ac:dyDescent="0.25">
      <c r="A1992" t="s">
        <v>395</v>
      </c>
      <c r="B1992" s="13" t="s">
        <v>25</v>
      </c>
      <c r="C1992" s="13" t="s">
        <v>154</v>
      </c>
      <c r="D1992" s="14" t="s">
        <v>50</v>
      </c>
      <c r="E1992" s="13" t="s">
        <v>155</v>
      </c>
      <c r="F1992" s="13" t="s">
        <v>918</v>
      </c>
      <c r="G1992" s="13">
        <v>0.48</v>
      </c>
      <c r="H1992" s="15">
        <v>2324</v>
      </c>
      <c r="I1992" s="16">
        <v>1115.52</v>
      </c>
      <c r="J1992" s="16">
        <v>3462.7916118972198</v>
      </c>
      <c r="K1992" s="16">
        <v>-2347.2716118972198</v>
      </c>
      <c r="L1992" s="13">
        <v>1.82</v>
      </c>
      <c r="M1992" s="13"/>
      <c r="N1992" s="17">
        <f t="shared" si="66"/>
        <v>4229.68</v>
      </c>
      <c r="O1992" s="17">
        <f t="shared" si="66"/>
        <v>0</v>
      </c>
      <c r="P1992" s="17">
        <f t="shared" si="67"/>
        <v>4229.68</v>
      </c>
      <c r="Q1992" t="str">
        <f>A1992&amp;"-"&amp;B1992&amp;"-"&amp;D1992</f>
        <v>MEI-MJ1-L2</v>
      </c>
    </row>
    <row r="1993" spans="1:17" x14ac:dyDescent="0.25">
      <c r="A1993" t="s">
        <v>395</v>
      </c>
      <c r="B1993" s="13" t="s">
        <v>25</v>
      </c>
      <c r="C1993" s="13" t="s">
        <v>154</v>
      </c>
      <c r="D1993" s="14" t="s">
        <v>50</v>
      </c>
      <c r="E1993" s="13" t="s">
        <v>155</v>
      </c>
      <c r="F1993" s="13" t="s">
        <v>919</v>
      </c>
      <c r="G1993" s="13">
        <v>0.48</v>
      </c>
      <c r="H1993" s="15">
        <v>7491</v>
      </c>
      <c r="I1993" s="16">
        <v>3595.68</v>
      </c>
      <c r="J1993" s="16">
        <v>3413.7969606032339</v>
      </c>
      <c r="K1993" s="16">
        <v>181.88303939676626</v>
      </c>
      <c r="L1993" s="13">
        <v>1.82</v>
      </c>
      <c r="M1993" s="13"/>
      <c r="N1993" s="17">
        <f t="shared" si="66"/>
        <v>13633.62</v>
      </c>
      <c r="O1993" s="17">
        <f t="shared" si="66"/>
        <v>0</v>
      </c>
      <c r="P1993" s="17">
        <f t="shared" si="67"/>
        <v>13633.62</v>
      </c>
      <c r="Q1993" t="str">
        <f>A1993&amp;"-"&amp;B1993&amp;"-"&amp;D1993</f>
        <v>MEI-MJ1-L2</v>
      </c>
    </row>
    <row r="1994" spans="1:17" x14ac:dyDescent="0.25">
      <c r="A1994" t="s">
        <v>395</v>
      </c>
      <c r="B1994" s="13" t="s">
        <v>25</v>
      </c>
      <c r="C1994" s="13" t="s">
        <v>154</v>
      </c>
      <c r="D1994" s="14" t="s">
        <v>50</v>
      </c>
      <c r="E1994" s="13" t="s">
        <v>155</v>
      </c>
      <c r="F1994" s="13" t="s">
        <v>920</v>
      </c>
      <c r="G1994" s="13">
        <v>0.48</v>
      </c>
      <c r="H1994" s="15">
        <v>189</v>
      </c>
      <c r="I1994" s="16">
        <v>90.72</v>
      </c>
      <c r="J1994" s="16">
        <v>185.66960352422907</v>
      </c>
      <c r="K1994" s="16">
        <v>-94.949603524229076</v>
      </c>
      <c r="L1994" s="13">
        <v>1.82</v>
      </c>
      <c r="M1994" s="13"/>
      <c r="N1994" s="17">
        <f t="shared" si="66"/>
        <v>343.98</v>
      </c>
      <c r="O1994" s="17">
        <f t="shared" si="66"/>
        <v>0</v>
      </c>
      <c r="P1994" s="17">
        <f t="shared" si="67"/>
        <v>343.98</v>
      </c>
      <c r="Q1994" t="str">
        <f>A1994&amp;"-"&amp;B1994&amp;"-"&amp;D1994</f>
        <v>MEI-MJ1-L2</v>
      </c>
    </row>
    <row r="1995" spans="1:17" x14ac:dyDescent="0.25">
      <c r="A1995" t="s">
        <v>395</v>
      </c>
      <c r="B1995" s="13" t="s">
        <v>25</v>
      </c>
      <c r="C1995" s="13" t="s">
        <v>154</v>
      </c>
      <c r="D1995" s="14" t="s">
        <v>50</v>
      </c>
      <c r="E1995" s="13" t="s">
        <v>155</v>
      </c>
      <c r="F1995" s="13" t="s">
        <v>921</v>
      </c>
      <c r="G1995" s="13">
        <v>0.48</v>
      </c>
      <c r="H1995" s="15">
        <v>2236</v>
      </c>
      <c r="I1995" s="16">
        <v>1073.2799999999997</v>
      </c>
      <c r="J1995" s="16">
        <v>2675.1604046107523</v>
      </c>
      <c r="K1995" s="16">
        <v>-1601.8804046107525</v>
      </c>
      <c r="L1995" s="13">
        <v>1.82</v>
      </c>
      <c r="M1995" s="13"/>
      <c r="N1995" s="17">
        <f t="shared" si="66"/>
        <v>4069.52</v>
      </c>
      <c r="O1995" s="17">
        <f t="shared" si="66"/>
        <v>0</v>
      </c>
      <c r="P1995" s="17">
        <f t="shared" si="67"/>
        <v>4069.52</v>
      </c>
      <c r="Q1995" t="str">
        <f>A1995&amp;"-"&amp;B1995&amp;"-"&amp;D1995</f>
        <v>MEI-MJ1-L2</v>
      </c>
    </row>
    <row r="1996" spans="1:17" x14ac:dyDescent="0.25">
      <c r="A1996" t="s">
        <v>395</v>
      </c>
      <c r="B1996" s="13" t="s">
        <v>25</v>
      </c>
      <c r="C1996" s="13" t="s">
        <v>154</v>
      </c>
      <c r="D1996" s="14" t="s">
        <v>50</v>
      </c>
      <c r="E1996" s="13" t="s">
        <v>155</v>
      </c>
      <c r="F1996" s="13" t="s">
        <v>922</v>
      </c>
      <c r="G1996" s="13">
        <v>0.48</v>
      </c>
      <c r="H1996" s="15">
        <v>30</v>
      </c>
      <c r="I1996" s="16">
        <v>14.4</v>
      </c>
      <c r="J1996" s="16">
        <v>37.166666666666664</v>
      </c>
      <c r="K1996" s="16">
        <v>-22.766666666666666</v>
      </c>
      <c r="L1996" s="13">
        <v>1.82</v>
      </c>
      <c r="M1996" s="13"/>
      <c r="N1996" s="17">
        <f t="shared" si="66"/>
        <v>54.6</v>
      </c>
      <c r="O1996" s="17">
        <f t="shared" si="66"/>
        <v>0</v>
      </c>
      <c r="P1996" s="17">
        <f t="shared" si="67"/>
        <v>54.6</v>
      </c>
      <c r="Q1996" t="str">
        <f>A1996&amp;"-"&amp;B1996&amp;"-"&amp;D1996</f>
        <v>MEI-MJ1-L2</v>
      </c>
    </row>
    <row r="1997" spans="1:17" x14ac:dyDescent="0.25">
      <c r="A1997" t="s">
        <v>395</v>
      </c>
      <c r="B1997" s="13" t="s">
        <v>25</v>
      </c>
      <c r="C1997" s="13" t="s">
        <v>154</v>
      </c>
      <c r="D1997" s="14" t="s">
        <v>50</v>
      </c>
      <c r="E1997" s="13" t="s">
        <v>155</v>
      </c>
      <c r="F1997" s="13" t="s">
        <v>923</v>
      </c>
      <c r="G1997" s="13">
        <v>0.48</v>
      </c>
      <c r="H1997" s="15">
        <v>2301</v>
      </c>
      <c r="I1997" s="16">
        <v>1104.48</v>
      </c>
      <c r="J1997" s="16">
        <v>835.88681178150432</v>
      </c>
      <c r="K1997" s="16">
        <v>268.59318821849581</v>
      </c>
      <c r="L1997" s="13">
        <v>1.82</v>
      </c>
      <c r="M1997" s="13"/>
      <c r="N1997" s="17">
        <f t="shared" si="66"/>
        <v>4187.82</v>
      </c>
      <c r="O1997" s="17">
        <f t="shared" si="66"/>
        <v>0</v>
      </c>
      <c r="P1997" s="17">
        <f t="shared" si="67"/>
        <v>4187.82</v>
      </c>
      <c r="Q1997" t="str">
        <f>A1997&amp;"-"&amp;B1997&amp;"-"&amp;D1997</f>
        <v>MEI-MJ1-L2</v>
      </c>
    </row>
    <row r="1998" spans="1:17" x14ac:dyDescent="0.25">
      <c r="A1998" t="s">
        <v>395</v>
      </c>
      <c r="B1998" s="13" t="s">
        <v>25</v>
      </c>
      <c r="C1998" s="13" t="s">
        <v>154</v>
      </c>
      <c r="D1998" s="14" t="s">
        <v>50</v>
      </c>
      <c r="E1998" s="13" t="s">
        <v>155</v>
      </c>
      <c r="F1998" s="13" t="s">
        <v>924</v>
      </c>
      <c r="G1998" s="13">
        <v>0.48</v>
      </c>
      <c r="H1998" s="15">
        <v>713</v>
      </c>
      <c r="I1998" s="16">
        <v>342.24</v>
      </c>
      <c r="J1998" s="16">
        <v>370.41924842226047</v>
      </c>
      <c r="K1998" s="16">
        <v>-28.1792484222605</v>
      </c>
      <c r="L1998" s="13">
        <v>1.8</v>
      </c>
      <c r="M1998" s="13"/>
      <c r="N1998" s="17">
        <f t="shared" si="66"/>
        <v>1283.4000000000001</v>
      </c>
      <c r="O1998" s="17">
        <f t="shared" si="66"/>
        <v>0</v>
      </c>
      <c r="P1998" s="17">
        <f t="shared" si="67"/>
        <v>1283.4000000000001</v>
      </c>
      <c r="Q1998" t="str">
        <f>A1998&amp;"-"&amp;B1998&amp;"-"&amp;D1998</f>
        <v>MEI-MJ1-L2</v>
      </c>
    </row>
    <row r="1999" spans="1:17" x14ac:dyDescent="0.25">
      <c r="A1999" t="s">
        <v>395</v>
      </c>
      <c r="B1999" s="13" t="s">
        <v>25</v>
      </c>
      <c r="C1999" s="13" t="s">
        <v>154</v>
      </c>
      <c r="D1999" s="14" t="s">
        <v>50</v>
      </c>
      <c r="E1999" s="13" t="s">
        <v>155</v>
      </c>
      <c r="F1999" s="13" t="s">
        <v>925</v>
      </c>
      <c r="G1999" s="13">
        <v>0.48</v>
      </c>
      <c r="H1999" s="15">
        <v>96</v>
      </c>
      <c r="I1999" s="16">
        <v>46.08</v>
      </c>
      <c r="J1999" s="16">
        <v>94.308370044052865</v>
      </c>
      <c r="K1999" s="16">
        <v>-48.228370044052866</v>
      </c>
      <c r="L1999" s="13">
        <v>1.82</v>
      </c>
      <c r="M1999" s="13"/>
      <c r="N1999" s="17">
        <f t="shared" si="66"/>
        <v>174.72</v>
      </c>
      <c r="O1999" s="17">
        <f t="shared" si="66"/>
        <v>0</v>
      </c>
      <c r="P1999" s="17">
        <f t="shared" si="67"/>
        <v>174.72</v>
      </c>
      <c r="Q1999" t="str">
        <f>A1999&amp;"-"&amp;B1999&amp;"-"&amp;D1999</f>
        <v>MEI-MJ1-L2</v>
      </c>
    </row>
    <row r="2000" spans="1:17" x14ac:dyDescent="0.25">
      <c r="A2000" t="s">
        <v>395</v>
      </c>
      <c r="B2000" s="13" t="s">
        <v>25</v>
      </c>
      <c r="C2000" s="13" t="s">
        <v>154</v>
      </c>
      <c r="D2000" s="14" t="s">
        <v>164</v>
      </c>
      <c r="E2000" s="13" t="s">
        <v>155</v>
      </c>
      <c r="F2000" s="13" t="s">
        <v>764</v>
      </c>
      <c r="G2000" s="13">
        <v>0.51</v>
      </c>
      <c r="H2000" s="15">
        <v>840</v>
      </c>
      <c r="I2000" s="16">
        <v>428.4</v>
      </c>
      <c r="J2000" s="16">
        <v>542.01388888888891</v>
      </c>
      <c r="K2000" s="16">
        <v>-113.61388888888894</v>
      </c>
      <c r="L2000" s="13">
        <v>1.47</v>
      </c>
      <c r="M2000" s="13"/>
      <c r="N2000" s="17">
        <f t="shared" si="66"/>
        <v>1234.8</v>
      </c>
      <c r="O2000" s="17">
        <f t="shared" si="66"/>
        <v>0</v>
      </c>
      <c r="P2000" s="17">
        <f t="shared" si="67"/>
        <v>1234.8</v>
      </c>
      <c r="Q2000" t="str">
        <f>A2000&amp;"-"&amp;B2000&amp;"-"&amp;D2000</f>
        <v>MEI-MJ1-L7</v>
      </c>
    </row>
    <row r="2001" spans="1:17" x14ac:dyDescent="0.25">
      <c r="A2001" t="s">
        <v>395</v>
      </c>
      <c r="B2001" s="13" t="s">
        <v>25</v>
      </c>
      <c r="C2001" s="13" t="s">
        <v>154</v>
      </c>
      <c r="D2001" s="14" t="s">
        <v>164</v>
      </c>
      <c r="E2001" s="13" t="s">
        <v>155</v>
      </c>
      <c r="F2001" s="13" t="s">
        <v>911</v>
      </c>
      <c r="G2001" s="13">
        <v>0.48</v>
      </c>
      <c r="H2001" s="15">
        <v>2342</v>
      </c>
      <c r="I2001" s="16">
        <v>1124.1600000000001</v>
      </c>
      <c r="J2001" s="16">
        <v>1822.9861111111111</v>
      </c>
      <c r="K2001" s="16">
        <v>-698.82611111111112</v>
      </c>
      <c r="L2001" s="13">
        <v>1.82</v>
      </c>
      <c r="M2001" s="13"/>
      <c r="N2001" s="17">
        <f t="shared" si="66"/>
        <v>4262.4400000000005</v>
      </c>
      <c r="O2001" s="17">
        <f t="shared" si="66"/>
        <v>0</v>
      </c>
      <c r="P2001" s="17">
        <f t="shared" si="67"/>
        <v>4262.4400000000005</v>
      </c>
      <c r="Q2001" t="str">
        <f>A2001&amp;"-"&amp;B2001&amp;"-"&amp;D2001</f>
        <v>MEI-MJ1-L7</v>
      </c>
    </row>
    <row r="2002" spans="1:17" x14ac:dyDescent="0.25">
      <c r="A2002" t="s">
        <v>395</v>
      </c>
      <c r="B2002" s="13" t="s">
        <v>25</v>
      </c>
      <c r="C2002" s="13" t="s">
        <v>154</v>
      </c>
      <c r="D2002" s="14" t="s">
        <v>164</v>
      </c>
      <c r="E2002" s="13" t="s">
        <v>249</v>
      </c>
      <c r="F2002" s="13" t="s">
        <v>926</v>
      </c>
      <c r="G2002" s="13">
        <v>1.38</v>
      </c>
      <c r="H2002" s="15">
        <v>292</v>
      </c>
      <c r="I2002" s="16">
        <v>401.5</v>
      </c>
      <c r="J2002" s="16">
        <v>730</v>
      </c>
      <c r="K2002" s="16">
        <v>-328.5</v>
      </c>
      <c r="L2002" s="13">
        <v>3.61</v>
      </c>
      <c r="M2002" s="13"/>
      <c r="N2002" s="17">
        <f t="shared" si="66"/>
        <v>1054.1199999999999</v>
      </c>
      <c r="O2002" s="17">
        <f t="shared" si="66"/>
        <v>0</v>
      </c>
      <c r="P2002" s="17">
        <f t="shared" si="67"/>
        <v>1054.1199999999999</v>
      </c>
      <c r="Q2002" t="str">
        <f>A2002&amp;"-"&amp;B2002&amp;"-"&amp;D2002</f>
        <v>MEI-MJ1-L7</v>
      </c>
    </row>
    <row r="2003" spans="1:17" x14ac:dyDescent="0.25">
      <c r="A2003" t="s">
        <v>395</v>
      </c>
      <c r="B2003" s="13" t="s">
        <v>25</v>
      </c>
      <c r="C2003" s="13" t="s">
        <v>154</v>
      </c>
      <c r="D2003" s="14" t="s">
        <v>164</v>
      </c>
      <c r="E2003" s="13" t="s">
        <v>249</v>
      </c>
      <c r="F2003" s="13" t="s">
        <v>891</v>
      </c>
      <c r="G2003" s="13">
        <v>1.38</v>
      </c>
      <c r="H2003" s="15">
        <v>350</v>
      </c>
      <c r="I2003" s="16">
        <v>481.25</v>
      </c>
      <c r="J2003" s="16">
        <v>727.65017667844518</v>
      </c>
      <c r="K2003" s="16">
        <v>-246.40017667844518</v>
      </c>
      <c r="L2003" s="13">
        <v>3.63</v>
      </c>
      <c r="M2003" s="13"/>
      <c r="N2003" s="17">
        <f t="shared" si="66"/>
        <v>1270.5</v>
      </c>
      <c r="O2003" s="17">
        <f t="shared" si="66"/>
        <v>0</v>
      </c>
      <c r="P2003" s="17">
        <f t="shared" si="67"/>
        <v>1270.5</v>
      </c>
      <c r="Q2003" t="str">
        <f>A2003&amp;"-"&amp;B2003&amp;"-"&amp;D2003</f>
        <v>MEI-MJ1-L7</v>
      </c>
    </row>
    <row r="2004" spans="1:17" x14ac:dyDescent="0.25">
      <c r="A2004" t="s">
        <v>395</v>
      </c>
      <c r="B2004" s="13" t="s">
        <v>25</v>
      </c>
      <c r="C2004" s="13" t="s">
        <v>154</v>
      </c>
      <c r="D2004" s="14" t="s">
        <v>164</v>
      </c>
      <c r="E2004" s="13" t="s">
        <v>249</v>
      </c>
      <c r="F2004" s="13" t="s">
        <v>907</v>
      </c>
      <c r="G2004" s="13">
        <v>1.38</v>
      </c>
      <c r="H2004" s="15">
        <v>63</v>
      </c>
      <c r="I2004" s="16">
        <v>86.63</v>
      </c>
      <c r="J2004" s="16">
        <v>332.91469194312793</v>
      </c>
      <c r="K2004" s="16">
        <v>-246.28469194312794</v>
      </c>
      <c r="L2004" s="13">
        <v>3.63</v>
      </c>
      <c r="M2004" s="13"/>
      <c r="N2004" s="17">
        <f t="shared" si="66"/>
        <v>228.69</v>
      </c>
      <c r="O2004" s="17">
        <f t="shared" si="66"/>
        <v>0</v>
      </c>
      <c r="P2004" s="17">
        <f t="shared" si="67"/>
        <v>228.69</v>
      </c>
      <c r="Q2004" t="str">
        <f>A2004&amp;"-"&amp;B2004&amp;"-"&amp;D2004</f>
        <v>MEI-MJ1-L7</v>
      </c>
    </row>
    <row r="2005" spans="1:17" x14ac:dyDescent="0.25">
      <c r="A2005" t="s">
        <v>395</v>
      </c>
      <c r="B2005" s="13" t="s">
        <v>25</v>
      </c>
      <c r="C2005" s="13" t="s">
        <v>154</v>
      </c>
      <c r="D2005" s="14" t="s">
        <v>164</v>
      </c>
      <c r="E2005" s="13" t="s">
        <v>249</v>
      </c>
      <c r="F2005" s="13" t="s">
        <v>892</v>
      </c>
      <c r="G2005" s="13">
        <v>1.38</v>
      </c>
      <c r="H2005" s="15">
        <v>1158</v>
      </c>
      <c r="I2005" s="16">
        <v>1592.25</v>
      </c>
      <c r="J2005" s="16">
        <v>3571.9279842202541</v>
      </c>
      <c r="K2005" s="16">
        <v>-1979.6779842202543</v>
      </c>
      <c r="L2005" s="13">
        <v>3.63</v>
      </c>
      <c r="M2005" s="13"/>
      <c r="N2005" s="17">
        <f t="shared" si="66"/>
        <v>4203.54</v>
      </c>
      <c r="O2005" s="17">
        <f t="shared" si="66"/>
        <v>0</v>
      </c>
      <c r="P2005" s="17">
        <f t="shared" si="67"/>
        <v>4203.54</v>
      </c>
      <c r="Q2005" t="str">
        <f>A2005&amp;"-"&amp;B2005&amp;"-"&amp;D2005</f>
        <v>MEI-MJ1-L7</v>
      </c>
    </row>
    <row r="2006" spans="1:17" x14ac:dyDescent="0.25">
      <c r="A2006" t="s">
        <v>395</v>
      </c>
      <c r="B2006" s="13" t="s">
        <v>25</v>
      </c>
      <c r="C2006" s="13" t="s">
        <v>154</v>
      </c>
      <c r="D2006" s="14" t="s">
        <v>164</v>
      </c>
      <c r="E2006" s="13" t="s">
        <v>249</v>
      </c>
      <c r="F2006" s="13" t="s">
        <v>927</v>
      </c>
      <c r="G2006" s="13">
        <v>1.38</v>
      </c>
      <c r="H2006" s="15">
        <v>550</v>
      </c>
      <c r="I2006" s="16">
        <v>756.25</v>
      </c>
      <c r="J2006" s="16">
        <v>1091.1921708185052</v>
      </c>
      <c r="K2006" s="16">
        <v>-334.94217081850525</v>
      </c>
      <c r="L2006" s="13">
        <v>3.63</v>
      </c>
      <c r="M2006" s="13"/>
      <c r="N2006" s="17">
        <f t="shared" si="66"/>
        <v>1996.5</v>
      </c>
      <c r="O2006" s="17">
        <f t="shared" si="66"/>
        <v>0</v>
      </c>
      <c r="P2006" s="17">
        <f t="shared" si="67"/>
        <v>1996.5</v>
      </c>
      <c r="Q2006" t="str">
        <f>A2006&amp;"-"&amp;B2006&amp;"-"&amp;D2006</f>
        <v>MEI-MJ1-L7</v>
      </c>
    </row>
    <row r="2007" spans="1:17" x14ac:dyDescent="0.25">
      <c r="A2007" t="s">
        <v>395</v>
      </c>
      <c r="B2007" s="13" t="s">
        <v>25</v>
      </c>
      <c r="C2007" s="13" t="s">
        <v>154</v>
      </c>
      <c r="D2007" s="14" t="s">
        <v>164</v>
      </c>
      <c r="E2007" s="13" t="s">
        <v>249</v>
      </c>
      <c r="F2007" s="13" t="s">
        <v>908</v>
      </c>
      <c r="G2007" s="13">
        <v>1.38</v>
      </c>
      <c r="H2007" s="15">
        <v>28</v>
      </c>
      <c r="I2007" s="16">
        <v>38.5</v>
      </c>
      <c r="J2007" s="16">
        <v>70</v>
      </c>
      <c r="K2007" s="16">
        <v>-31.5</v>
      </c>
      <c r="L2007" s="13">
        <v>3.63</v>
      </c>
      <c r="M2007" s="13"/>
      <c r="N2007" s="17">
        <f t="shared" si="66"/>
        <v>101.64</v>
      </c>
      <c r="O2007" s="17">
        <f t="shared" si="66"/>
        <v>0</v>
      </c>
      <c r="P2007" s="17">
        <f t="shared" si="67"/>
        <v>101.64</v>
      </c>
      <c r="Q2007" t="str">
        <f>A2007&amp;"-"&amp;B2007&amp;"-"&amp;D2007</f>
        <v>MEI-MJ1-L7</v>
      </c>
    </row>
    <row r="2008" spans="1:17" x14ac:dyDescent="0.25">
      <c r="A2008" t="s">
        <v>395</v>
      </c>
      <c r="B2008" s="13" t="s">
        <v>25</v>
      </c>
      <c r="C2008" s="13" t="s">
        <v>154</v>
      </c>
      <c r="D2008" s="14" t="s">
        <v>164</v>
      </c>
      <c r="E2008" s="13" t="s">
        <v>249</v>
      </c>
      <c r="F2008" s="13" t="s">
        <v>895</v>
      </c>
      <c r="G2008" s="13">
        <v>1.38</v>
      </c>
      <c r="H2008" s="15">
        <v>422</v>
      </c>
      <c r="I2008" s="16">
        <v>580.25</v>
      </c>
      <c r="J2008" s="16">
        <v>911.87984496124034</v>
      </c>
      <c r="K2008" s="16">
        <v>-331.62984496124034</v>
      </c>
      <c r="L2008" s="13">
        <v>3.63</v>
      </c>
      <c r="M2008" s="13"/>
      <c r="N2008" s="17">
        <f t="shared" ref="N2008:O2069" si="68">$H2008*L2008</f>
        <v>1531.86</v>
      </c>
      <c r="O2008" s="17">
        <f t="shared" si="68"/>
        <v>0</v>
      </c>
      <c r="P2008" s="17">
        <f t="shared" si="67"/>
        <v>1531.86</v>
      </c>
      <c r="Q2008" t="str">
        <f>A2008&amp;"-"&amp;B2008&amp;"-"&amp;D2008</f>
        <v>MEI-MJ1-L7</v>
      </c>
    </row>
    <row r="2009" spans="1:17" x14ac:dyDescent="0.25">
      <c r="A2009" t="s">
        <v>395</v>
      </c>
      <c r="B2009" s="13" t="s">
        <v>25</v>
      </c>
      <c r="C2009" s="13" t="s">
        <v>154</v>
      </c>
      <c r="D2009" s="14" t="s">
        <v>164</v>
      </c>
      <c r="E2009" s="13" t="s">
        <v>249</v>
      </c>
      <c r="F2009" s="13" t="s">
        <v>901</v>
      </c>
      <c r="G2009" s="13">
        <v>1.38</v>
      </c>
      <c r="H2009" s="15">
        <v>764</v>
      </c>
      <c r="I2009" s="16">
        <v>1050.5</v>
      </c>
      <c r="J2009" s="16">
        <v>3579.4351313784268</v>
      </c>
      <c r="K2009" s="16">
        <v>-2528.9351313784268</v>
      </c>
      <c r="L2009" s="13">
        <v>3.63</v>
      </c>
      <c r="M2009" s="13"/>
      <c r="N2009" s="17">
        <f t="shared" si="68"/>
        <v>2773.3199999999997</v>
      </c>
      <c r="O2009" s="17">
        <f t="shared" si="68"/>
        <v>0</v>
      </c>
      <c r="P2009" s="17">
        <f t="shared" si="67"/>
        <v>2773.3199999999997</v>
      </c>
      <c r="Q2009" t="str">
        <f>A2009&amp;"-"&amp;B2009&amp;"-"&amp;D2009</f>
        <v>MEI-MJ1-L7</v>
      </c>
    </row>
    <row r="2010" spans="1:17" x14ac:dyDescent="0.25">
      <c r="A2010" t="s">
        <v>395</v>
      </c>
      <c r="B2010" s="13" t="s">
        <v>25</v>
      </c>
      <c r="C2010" s="13" t="s">
        <v>154</v>
      </c>
      <c r="D2010" s="14" t="s">
        <v>198</v>
      </c>
      <c r="E2010" s="13" t="s">
        <v>155</v>
      </c>
      <c r="F2010" s="13" t="s">
        <v>760</v>
      </c>
      <c r="G2010" s="13">
        <v>0.51</v>
      </c>
      <c r="H2010" s="15">
        <v>1508</v>
      </c>
      <c r="I2010" s="16">
        <v>769.08</v>
      </c>
      <c r="J2010" s="16">
        <v>895.80181140117202</v>
      </c>
      <c r="K2010" s="16">
        <v>-126.72181140117198</v>
      </c>
      <c r="L2010" s="13">
        <v>7.36</v>
      </c>
      <c r="M2010" s="13"/>
      <c r="N2010" s="17">
        <f t="shared" si="68"/>
        <v>11098.880000000001</v>
      </c>
      <c r="O2010" s="17">
        <f t="shared" si="68"/>
        <v>0</v>
      </c>
      <c r="P2010" s="17">
        <f t="shared" si="67"/>
        <v>11098.880000000001</v>
      </c>
      <c r="Q2010" t="str">
        <f>A2010&amp;"-"&amp;B2010&amp;"-"&amp;D2010</f>
        <v>MEI-MJ1-L8</v>
      </c>
    </row>
    <row r="2011" spans="1:17" x14ac:dyDescent="0.25">
      <c r="A2011" t="s">
        <v>395</v>
      </c>
      <c r="B2011" s="13" t="s">
        <v>25</v>
      </c>
      <c r="C2011" s="13" t="s">
        <v>154</v>
      </c>
      <c r="D2011" s="14" t="s">
        <v>198</v>
      </c>
      <c r="E2011" s="13" t="s">
        <v>155</v>
      </c>
      <c r="F2011" s="13" t="s">
        <v>761</v>
      </c>
      <c r="G2011" s="13">
        <v>0.51</v>
      </c>
      <c r="H2011" s="15">
        <v>296</v>
      </c>
      <c r="I2011" s="16">
        <v>150.96</v>
      </c>
      <c r="J2011" s="16">
        <v>196.45238095238096</v>
      </c>
      <c r="K2011" s="16">
        <v>-45.492380952380955</v>
      </c>
      <c r="L2011" s="13">
        <v>7.36</v>
      </c>
      <c r="M2011" s="13"/>
      <c r="N2011" s="17">
        <f t="shared" si="68"/>
        <v>2178.56</v>
      </c>
      <c r="O2011" s="17">
        <f t="shared" si="68"/>
        <v>0</v>
      </c>
      <c r="P2011" s="17">
        <f t="shared" si="67"/>
        <v>2178.56</v>
      </c>
      <c r="Q2011" t="str">
        <f>A2011&amp;"-"&amp;B2011&amp;"-"&amp;D2011</f>
        <v>MEI-MJ1-L8</v>
      </c>
    </row>
    <row r="2012" spans="1:17" x14ac:dyDescent="0.25">
      <c r="A2012" t="s">
        <v>395</v>
      </c>
      <c r="B2012" s="13" t="s">
        <v>25</v>
      </c>
      <c r="C2012" s="13" t="s">
        <v>154</v>
      </c>
      <c r="D2012" s="14" t="s">
        <v>198</v>
      </c>
      <c r="E2012" s="13" t="s">
        <v>155</v>
      </c>
      <c r="F2012" s="13" t="s">
        <v>753</v>
      </c>
      <c r="G2012" s="13">
        <v>0.51</v>
      </c>
      <c r="H2012" s="15">
        <v>327</v>
      </c>
      <c r="I2012" s="16">
        <v>166.77</v>
      </c>
      <c r="J2012" s="16">
        <v>194.24880127863611</v>
      </c>
      <c r="K2012" s="16">
        <v>-27.478801278636098</v>
      </c>
      <c r="L2012" s="13">
        <v>7.36</v>
      </c>
      <c r="M2012" s="13"/>
      <c r="N2012" s="17">
        <f t="shared" si="68"/>
        <v>2406.7200000000003</v>
      </c>
      <c r="O2012" s="17">
        <f t="shared" si="68"/>
        <v>0</v>
      </c>
      <c r="P2012" s="17">
        <f t="shared" si="67"/>
        <v>2406.7200000000003</v>
      </c>
      <c r="Q2012" t="str">
        <f>A2012&amp;"-"&amp;B2012&amp;"-"&amp;D2012</f>
        <v>MEI-MJ1-L8</v>
      </c>
    </row>
    <row r="2013" spans="1:17" x14ac:dyDescent="0.25">
      <c r="A2013" t="s">
        <v>395</v>
      </c>
      <c r="B2013" s="13" t="s">
        <v>25</v>
      </c>
      <c r="C2013" s="13" t="s">
        <v>154</v>
      </c>
      <c r="D2013" s="14" t="s">
        <v>198</v>
      </c>
      <c r="E2013" s="13" t="s">
        <v>155</v>
      </c>
      <c r="F2013" s="13" t="s">
        <v>762</v>
      </c>
      <c r="G2013" s="13">
        <v>0.51</v>
      </c>
      <c r="H2013" s="15">
        <v>556</v>
      </c>
      <c r="I2013" s="16">
        <v>283.56</v>
      </c>
      <c r="J2013" s="16">
        <v>1128.2738095238096</v>
      </c>
      <c r="K2013" s="16">
        <v>-844.71380952380946</v>
      </c>
      <c r="L2013" s="13">
        <v>7.36</v>
      </c>
      <c r="M2013" s="13"/>
      <c r="N2013" s="17">
        <f t="shared" si="68"/>
        <v>4092.1600000000003</v>
      </c>
      <c r="O2013" s="17">
        <f t="shared" si="68"/>
        <v>0</v>
      </c>
      <c r="P2013" s="17">
        <f t="shared" si="67"/>
        <v>4092.1600000000003</v>
      </c>
      <c r="Q2013" t="str">
        <f>A2013&amp;"-"&amp;B2013&amp;"-"&amp;D2013</f>
        <v>MEI-MJ1-L8</v>
      </c>
    </row>
    <row r="2014" spans="1:17" x14ac:dyDescent="0.25">
      <c r="A2014" t="s">
        <v>395</v>
      </c>
      <c r="B2014" s="13" t="s">
        <v>25</v>
      </c>
      <c r="C2014" s="13" t="s">
        <v>154</v>
      </c>
      <c r="D2014" s="14" t="s">
        <v>198</v>
      </c>
      <c r="E2014" s="13" t="s">
        <v>155</v>
      </c>
      <c r="F2014" s="13" t="s">
        <v>763</v>
      </c>
      <c r="G2014" s="13">
        <v>0.51</v>
      </c>
      <c r="H2014" s="15">
        <v>1364</v>
      </c>
      <c r="I2014" s="16">
        <v>695.64</v>
      </c>
      <c r="J2014" s="16">
        <v>905.27380952380952</v>
      </c>
      <c r="K2014" s="16">
        <v>-209.63380952380953</v>
      </c>
      <c r="L2014" s="13">
        <v>7.36</v>
      </c>
      <c r="M2014" s="13"/>
      <c r="N2014" s="17">
        <f t="shared" si="68"/>
        <v>10039.040000000001</v>
      </c>
      <c r="O2014" s="17">
        <f t="shared" si="68"/>
        <v>0</v>
      </c>
      <c r="P2014" s="17">
        <f t="shared" si="67"/>
        <v>10039.040000000001</v>
      </c>
      <c r="Q2014" t="str">
        <f>A2014&amp;"-"&amp;B2014&amp;"-"&amp;D2014</f>
        <v>MEI-MJ1-L8</v>
      </c>
    </row>
    <row r="2015" spans="1:17" x14ac:dyDescent="0.25">
      <c r="A2015" t="s">
        <v>395</v>
      </c>
      <c r="B2015" s="13" t="s">
        <v>25</v>
      </c>
      <c r="C2015" s="13" t="s">
        <v>154</v>
      </c>
      <c r="D2015" s="14" t="s">
        <v>198</v>
      </c>
      <c r="E2015" s="13" t="s">
        <v>155</v>
      </c>
      <c r="F2015" s="13" t="s">
        <v>911</v>
      </c>
      <c r="G2015" s="13">
        <v>0.48</v>
      </c>
      <c r="H2015" s="15">
        <v>55</v>
      </c>
      <c r="I2015" s="16">
        <v>26.4</v>
      </c>
      <c r="J2015" s="16">
        <v>120.95660749506904</v>
      </c>
      <c r="K2015" s="16">
        <v>-94.556607495069045</v>
      </c>
      <c r="L2015" s="13">
        <v>1.82</v>
      </c>
      <c r="M2015" s="13"/>
      <c r="N2015" s="17">
        <f t="shared" si="68"/>
        <v>100.10000000000001</v>
      </c>
      <c r="O2015" s="17">
        <f t="shared" si="68"/>
        <v>0</v>
      </c>
      <c r="P2015" s="17">
        <f t="shared" si="67"/>
        <v>100.10000000000001</v>
      </c>
      <c r="Q2015" t="str">
        <f>A2015&amp;"-"&amp;B2015&amp;"-"&amp;D2015</f>
        <v>MEI-MJ1-L8</v>
      </c>
    </row>
    <row r="2016" spans="1:17" x14ac:dyDescent="0.25">
      <c r="A2016" t="s">
        <v>395</v>
      </c>
      <c r="B2016" s="13" t="s">
        <v>25</v>
      </c>
      <c r="C2016" s="13" t="s">
        <v>154</v>
      </c>
      <c r="D2016" s="14" t="s">
        <v>198</v>
      </c>
      <c r="E2016" s="13" t="s">
        <v>249</v>
      </c>
      <c r="F2016" s="13" t="s">
        <v>928</v>
      </c>
      <c r="G2016" s="13">
        <v>1.38</v>
      </c>
      <c r="H2016" s="15">
        <v>318</v>
      </c>
      <c r="I2016" s="16">
        <v>437.25</v>
      </c>
      <c r="J2016" s="16">
        <v>699.3491124260355</v>
      </c>
      <c r="K2016" s="16">
        <v>-262.0991124260355</v>
      </c>
      <c r="L2016" s="13">
        <v>3.61</v>
      </c>
      <c r="M2016" s="13"/>
      <c r="N2016" s="17">
        <f t="shared" si="68"/>
        <v>1147.98</v>
      </c>
      <c r="O2016" s="17">
        <f t="shared" si="68"/>
        <v>0</v>
      </c>
      <c r="P2016" s="17">
        <f t="shared" si="67"/>
        <v>1147.98</v>
      </c>
      <c r="Q2016" t="str">
        <f>A2016&amp;"-"&amp;B2016&amp;"-"&amp;D2016</f>
        <v>MEI-MJ1-L8</v>
      </c>
    </row>
    <row r="2017" spans="1:17" x14ac:dyDescent="0.25">
      <c r="A2017" t="s">
        <v>395</v>
      </c>
      <c r="B2017" s="13" t="s">
        <v>25</v>
      </c>
      <c r="C2017" s="13" t="s">
        <v>154</v>
      </c>
      <c r="D2017" s="14" t="s">
        <v>198</v>
      </c>
      <c r="E2017" s="13" t="s">
        <v>249</v>
      </c>
      <c r="F2017" s="13" t="s">
        <v>929</v>
      </c>
      <c r="G2017" s="13">
        <v>1.38</v>
      </c>
      <c r="H2017" s="15">
        <v>60</v>
      </c>
      <c r="I2017" s="16">
        <v>82.5</v>
      </c>
      <c r="J2017" s="16">
        <v>152.04545454545453</v>
      </c>
      <c r="K2017" s="16">
        <v>-69.545454545454533</v>
      </c>
      <c r="L2017" s="13">
        <v>3.59</v>
      </c>
      <c r="M2017" s="13"/>
      <c r="N2017" s="17">
        <f t="shared" si="68"/>
        <v>215.39999999999998</v>
      </c>
      <c r="O2017" s="17">
        <f t="shared" si="68"/>
        <v>0</v>
      </c>
      <c r="P2017" s="17">
        <f t="shared" si="67"/>
        <v>215.39999999999998</v>
      </c>
      <c r="Q2017" t="str">
        <f>A2017&amp;"-"&amp;B2017&amp;"-"&amp;D2017</f>
        <v>MEI-MJ1-L8</v>
      </c>
    </row>
    <row r="2018" spans="1:17" x14ac:dyDescent="0.25">
      <c r="A2018" t="s">
        <v>395</v>
      </c>
      <c r="B2018" s="13" t="s">
        <v>25</v>
      </c>
      <c r="C2018" s="13" t="s">
        <v>154</v>
      </c>
      <c r="D2018" s="14" t="s">
        <v>198</v>
      </c>
      <c r="E2018" s="13" t="s">
        <v>249</v>
      </c>
      <c r="F2018" s="13" t="s">
        <v>930</v>
      </c>
      <c r="G2018" s="13">
        <v>1.38</v>
      </c>
      <c r="H2018" s="15">
        <v>334</v>
      </c>
      <c r="I2018" s="16">
        <v>459.25</v>
      </c>
      <c r="J2018" s="16">
        <v>846.38636363636363</v>
      </c>
      <c r="K2018" s="16">
        <v>-387.13636363636363</v>
      </c>
      <c r="L2018" s="13">
        <v>3.61</v>
      </c>
      <c r="M2018" s="13"/>
      <c r="N2018" s="17">
        <f t="shared" si="68"/>
        <v>1205.74</v>
      </c>
      <c r="O2018" s="17">
        <f t="shared" si="68"/>
        <v>0</v>
      </c>
      <c r="P2018" s="17">
        <f t="shared" si="67"/>
        <v>1205.74</v>
      </c>
      <c r="Q2018" t="str">
        <f>A2018&amp;"-"&amp;B2018&amp;"-"&amp;D2018</f>
        <v>MEI-MJ1-L8</v>
      </c>
    </row>
    <row r="2019" spans="1:17" x14ac:dyDescent="0.25">
      <c r="A2019" t="s">
        <v>395</v>
      </c>
      <c r="B2019" s="13" t="s">
        <v>25</v>
      </c>
      <c r="C2019" s="13" t="s">
        <v>154</v>
      </c>
      <c r="D2019" s="14" t="s">
        <v>198</v>
      </c>
      <c r="E2019" s="13" t="s">
        <v>249</v>
      </c>
      <c r="F2019" s="13" t="s">
        <v>931</v>
      </c>
      <c r="G2019" s="13">
        <v>1.38</v>
      </c>
      <c r="H2019" s="15">
        <v>544</v>
      </c>
      <c r="I2019" s="16">
        <v>748</v>
      </c>
      <c r="J2019" s="16">
        <v>1478.8386379236938</v>
      </c>
      <c r="K2019" s="16">
        <v>-730.8386379236938</v>
      </c>
      <c r="L2019" s="13">
        <v>7.22</v>
      </c>
      <c r="M2019" s="13"/>
      <c r="N2019" s="17">
        <f t="shared" si="68"/>
        <v>3927.68</v>
      </c>
      <c r="O2019" s="17">
        <f t="shared" si="68"/>
        <v>0</v>
      </c>
      <c r="P2019" s="17">
        <f t="shared" si="67"/>
        <v>3927.68</v>
      </c>
      <c r="Q2019" t="str">
        <f>A2019&amp;"-"&amp;B2019&amp;"-"&amp;D2019</f>
        <v>MEI-MJ1-L8</v>
      </c>
    </row>
    <row r="2020" spans="1:17" x14ac:dyDescent="0.25">
      <c r="A2020" t="s">
        <v>395</v>
      </c>
      <c r="B2020" s="13" t="s">
        <v>25</v>
      </c>
      <c r="C2020" s="13" t="s">
        <v>154</v>
      </c>
      <c r="D2020" s="14" t="s">
        <v>198</v>
      </c>
      <c r="E2020" s="13" t="s">
        <v>249</v>
      </c>
      <c r="F2020" s="13" t="s">
        <v>891</v>
      </c>
      <c r="G2020" s="13">
        <v>1.38</v>
      </c>
      <c r="H2020" s="15">
        <v>356</v>
      </c>
      <c r="I2020" s="16">
        <v>489.5</v>
      </c>
      <c r="J2020" s="16">
        <v>874.31718061674007</v>
      </c>
      <c r="K2020" s="16">
        <v>-384.81718061674007</v>
      </c>
      <c r="L2020" s="13">
        <v>3.63</v>
      </c>
      <c r="M2020" s="13"/>
      <c r="N2020" s="17">
        <f t="shared" si="68"/>
        <v>1292.28</v>
      </c>
      <c r="O2020" s="17">
        <f t="shared" si="68"/>
        <v>0</v>
      </c>
      <c r="P2020" s="17">
        <f t="shared" si="67"/>
        <v>1292.28</v>
      </c>
      <c r="Q2020" t="str">
        <f>A2020&amp;"-"&amp;B2020&amp;"-"&amp;D2020</f>
        <v>MEI-MJ1-L8</v>
      </c>
    </row>
    <row r="2021" spans="1:17" x14ac:dyDescent="0.25">
      <c r="A2021" t="s">
        <v>395</v>
      </c>
      <c r="B2021" s="13" t="s">
        <v>25</v>
      </c>
      <c r="C2021" s="13" t="s">
        <v>154</v>
      </c>
      <c r="D2021" s="14" t="s">
        <v>198</v>
      </c>
      <c r="E2021" s="13" t="s">
        <v>249</v>
      </c>
      <c r="F2021" s="13" t="s">
        <v>892</v>
      </c>
      <c r="G2021" s="13">
        <v>1.38</v>
      </c>
      <c r="H2021" s="15">
        <v>1686</v>
      </c>
      <c r="I2021" s="16">
        <v>2318.25</v>
      </c>
      <c r="J2021" s="16">
        <v>3635.2539682539682</v>
      </c>
      <c r="K2021" s="16">
        <v>-1317.0039682539684</v>
      </c>
      <c r="L2021" s="13">
        <v>3.63</v>
      </c>
      <c r="M2021" s="13"/>
      <c r="N2021" s="17">
        <f t="shared" si="68"/>
        <v>6120.1799999999994</v>
      </c>
      <c r="O2021" s="17">
        <f t="shared" si="68"/>
        <v>0</v>
      </c>
      <c r="P2021" s="17">
        <f t="shared" si="67"/>
        <v>6120.1799999999994</v>
      </c>
      <c r="Q2021" t="str">
        <f>A2021&amp;"-"&amp;B2021&amp;"-"&amp;D2021</f>
        <v>MEI-MJ1-L8</v>
      </c>
    </row>
    <row r="2022" spans="1:17" x14ac:dyDescent="0.25">
      <c r="A2022" t="s">
        <v>395</v>
      </c>
      <c r="B2022" s="13" t="s">
        <v>25</v>
      </c>
      <c r="C2022" s="13" t="s">
        <v>154</v>
      </c>
      <c r="D2022" s="14" t="s">
        <v>198</v>
      </c>
      <c r="E2022" s="13" t="s">
        <v>249</v>
      </c>
      <c r="F2022" s="13" t="s">
        <v>894</v>
      </c>
      <c r="G2022" s="13">
        <v>1.38</v>
      </c>
      <c r="H2022" s="15">
        <v>46</v>
      </c>
      <c r="I2022" s="16">
        <v>63.25</v>
      </c>
      <c r="J2022" s="16">
        <v>116.56818181818181</v>
      </c>
      <c r="K2022" s="16">
        <v>-53.318181818181813</v>
      </c>
      <c r="L2022" s="13">
        <v>3.63</v>
      </c>
      <c r="M2022" s="13"/>
      <c r="N2022" s="17">
        <f t="shared" si="68"/>
        <v>166.98</v>
      </c>
      <c r="O2022" s="17">
        <f t="shared" si="68"/>
        <v>0</v>
      </c>
      <c r="P2022" s="17">
        <f t="shared" si="67"/>
        <v>166.98</v>
      </c>
      <c r="Q2022" t="str">
        <f>A2022&amp;"-"&amp;B2022&amp;"-"&amp;D2022</f>
        <v>MEI-MJ1-L8</v>
      </c>
    </row>
    <row r="2023" spans="1:17" x14ac:dyDescent="0.25">
      <c r="A2023" t="s">
        <v>395</v>
      </c>
      <c r="B2023" s="13" t="s">
        <v>25</v>
      </c>
      <c r="C2023" s="13" t="s">
        <v>154</v>
      </c>
      <c r="D2023" s="14" t="s">
        <v>198</v>
      </c>
      <c r="E2023" s="13" t="s">
        <v>249</v>
      </c>
      <c r="F2023" s="13" t="s">
        <v>895</v>
      </c>
      <c r="G2023" s="13">
        <v>1.38</v>
      </c>
      <c r="H2023" s="15">
        <v>382</v>
      </c>
      <c r="I2023" s="16">
        <v>525.25</v>
      </c>
      <c r="J2023" s="16">
        <v>776.51476301476293</v>
      </c>
      <c r="K2023" s="16">
        <v>-251.26476301476293</v>
      </c>
      <c r="L2023" s="13">
        <v>3.63</v>
      </c>
      <c r="M2023" s="13"/>
      <c r="N2023" s="17">
        <f t="shared" si="68"/>
        <v>1386.6599999999999</v>
      </c>
      <c r="O2023" s="17">
        <f t="shared" si="68"/>
        <v>0</v>
      </c>
      <c r="P2023" s="17">
        <f t="shared" si="67"/>
        <v>1386.6599999999999</v>
      </c>
      <c r="Q2023" t="str">
        <f>A2023&amp;"-"&amp;B2023&amp;"-"&amp;D2023</f>
        <v>MEI-MJ1-L8</v>
      </c>
    </row>
    <row r="2024" spans="1:17" x14ac:dyDescent="0.25">
      <c r="A2024" t="s">
        <v>395</v>
      </c>
      <c r="B2024" s="13" t="s">
        <v>25</v>
      </c>
      <c r="C2024" s="13" t="s">
        <v>154</v>
      </c>
      <c r="D2024" s="14" t="s">
        <v>198</v>
      </c>
      <c r="E2024" s="13" t="s">
        <v>249</v>
      </c>
      <c r="F2024" s="13" t="s">
        <v>896</v>
      </c>
      <c r="G2024" s="13">
        <v>1.38</v>
      </c>
      <c r="H2024" s="15">
        <v>466</v>
      </c>
      <c r="I2024" s="16">
        <v>640.75</v>
      </c>
      <c r="J2024" s="16">
        <v>908.37412587412587</v>
      </c>
      <c r="K2024" s="16">
        <v>-267.62412587412587</v>
      </c>
      <c r="L2024" s="13">
        <v>3.63</v>
      </c>
      <c r="M2024" s="13"/>
      <c r="N2024" s="17">
        <f t="shared" si="68"/>
        <v>1691.58</v>
      </c>
      <c r="O2024" s="17">
        <f t="shared" si="68"/>
        <v>0</v>
      </c>
      <c r="P2024" s="17">
        <f t="shared" si="67"/>
        <v>1691.58</v>
      </c>
      <c r="Q2024" t="str">
        <f>A2024&amp;"-"&amp;B2024&amp;"-"&amp;D2024</f>
        <v>MEI-MJ1-L8</v>
      </c>
    </row>
    <row r="2025" spans="1:17" x14ac:dyDescent="0.25">
      <c r="A2025" t="s">
        <v>395</v>
      </c>
      <c r="B2025" s="13" t="s">
        <v>25</v>
      </c>
      <c r="C2025" s="13" t="s">
        <v>154</v>
      </c>
      <c r="D2025" s="14" t="s">
        <v>198</v>
      </c>
      <c r="E2025" s="13" t="s">
        <v>249</v>
      </c>
      <c r="F2025" s="13" t="s">
        <v>897</v>
      </c>
      <c r="G2025" s="13">
        <v>1.38</v>
      </c>
      <c r="H2025" s="15">
        <v>596</v>
      </c>
      <c r="I2025" s="16">
        <v>819.5</v>
      </c>
      <c r="J2025" s="16">
        <v>1369.8571428571429</v>
      </c>
      <c r="K2025" s="16">
        <v>-550.35714285714289</v>
      </c>
      <c r="L2025" s="13">
        <v>3.63</v>
      </c>
      <c r="M2025" s="13"/>
      <c r="N2025" s="17">
        <f t="shared" si="68"/>
        <v>2163.48</v>
      </c>
      <c r="O2025" s="17">
        <f t="shared" si="68"/>
        <v>0</v>
      </c>
      <c r="P2025" s="17">
        <f t="shared" si="67"/>
        <v>2163.48</v>
      </c>
      <c r="Q2025" t="str">
        <f>A2025&amp;"-"&amp;B2025&amp;"-"&amp;D2025</f>
        <v>MEI-MJ1-L8</v>
      </c>
    </row>
    <row r="2026" spans="1:17" x14ac:dyDescent="0.25">
      <c r="A2026" t="s">
        <v>395</v>
      </c>
      <c r="B2026" s="13" t="s">
        <v>25</v>
      </c>
      <c r="C2026" s="13" t="s">
        <v>154</v>
      </c>
      <c r="D2026" s="14" t="s">
        <v>198</v>
      </c>
      <c r="E2026" s="13" t="s">
        <v>249</v>
      </c>
      <c r="F2026" s="13" t="s">
        <v>898</v>
      </c>
      <c r="G2026" s="13">
        <v>1.38</v>
      </c>
      <c r="H2026" s="15">
        <v>56</v>
      </c>
      <c r="I2026" s="16">
        <v>77</v>
      </c>
      <c r="J2026" s="16">
        <v>123.15581854043391</v>
      </c>
      <c r="K2026" s="16">
        <v>-46.155818540433913</v>
      </c>
      <c r="L2026" s="13">
        <v>3.63</v>
      </c>
      <c r="M2026" s="13"/>
      <c r="N2026" s="17">
        <f t="shared" si="68"/>
        <v>203.28</v>
      </c>
      <c r="O2026" s="17">
        <f t="shared" si="68"/>
        <v>0</v>
      </c>
      <c r="P2026" s="17">
        <f t="shared" si="67"/>
        <v>203.28</v>
      </c>
      <c r="Q2026" t="str">
        <f>A2026&amp;"-"&amp;B2026&amp;"-"&amp;D2026</f>
        <v>MEI-MJ1-L8</v>
      </c>
    </row>
    <row r="2027" spans="1:17" x14ac:dyDescent="0.25">
      <c r="A2027" t="s">
        <v>395</v>
      </c>
      <c r="B2027" s="13" t="s">
        <v>25</v>
      </c>
      <c r="C2027" s="13" t="s">
        <v>154</v>
      </c>
      <c r="D2027" s="14" t="s">
        <v>198</v>
      </c>
      <c r="E2027" s="13" t="s">
        <v>249</v>
      </c>
      <c r="F2027" s="13" t="s">
        <v>901</v>
      </c>
      <c r="G2027" s="13">
        <v>1.38</v>
      </c>
      <c r="H2027" s="15">
        <v>352</v>
      </c>
      <c r="I2027" s="16">
        <v>484</v>
      </c>
      <c r="J2027" s="16">
        <v>1163.3826429980277</v>
      </c>
      <c r="K2027" s="16">
        <v>-679.38264299802756</v>
      </c>
      <c r="L2027" s="13">
        <v>3.63</v>
      </c>
      <c r="M2027" s="13"/>
      <c r="N2027" s="17">
        <f t="shared" si="68"/>
        <v>1277.76</v>
      </c>
      <c r="O2027" s="17">
        <f t="shared" si="68"/>
        <v>0</v>
      </c>
      <c r="P2027" s="17">
        <f t="shared" si="67"/>
        <v>1277.76</v>
      </c>
      <c r="Q2027" t="str">
        <f>A2027&amp;"-"&amp;B2027&amp;"-"&amp;D2027</f>
        <v>MEI-MJ1-L8</v>
      </c>
    </row>
    <row r="2028" spans="1:17" x14ac:dyDescent="0.25">
      <c r="A2028" t="s">
        <v>395</v>
      </c>
      <c r="B2028" s="13" t="s">
        <v>25</v>
      </c>
      <c r="C2028" s="13" t="s">
        <v>154</v>
      </c>
      <c r="D2028" s="14" t="s">
        <v>198</v>
      </c>
      <c r="E2028" s="13" t="s">
        <v>65</v>
      </c>
      <c r="F2028" s="13" t="s">
        <v>612</v>
      </c>
      <c r="G2028" s="13">
        <v>1.07</v>
      </c>
      <c r="H2028" s="15">
        <v>36</v>
      </c>
      <c r="I2028" s="16">
        <v>38.520000000000003</v>
      </c>
      <c r="J2028" s="16">
        <v>21.385189131592966</v>
      </c>
      <c r="K2028" s="16">
        <v>17.134810868407037</v>
      </c>
      <c r="L2028" s="13">
        <v>3.78</v>
      </c>
      <c r="M2028" s="13"/>
      <c r="N2028" s="17">
        <f t="shared" si="68"/>
        <v>136.07999999999998</v>
      </c>
      <c r="O2028" s="17">
        <f t="shared" si="68"/>
        <v>0</v>
      </c>
      <c r="P2028" s="17">
        <f t="shared" si="67"/>
        <v>136.07999999999998</v>
      </c>
      <c r="Q2028" t="str">
        <f>A2028&amp;"-"&amp;B2028&amp;"-"&amp;D2028</f>
        <v>MEI-MJ1-L8</v>
      </c>
    </row>
    <row r="2029" spans="1:17" x14ac:dyDescent="0.25">
      <c r="A2029" t="s">
        <v>395</v>
      </c>
      <c r="B2029" s="13" t="s">
        <v>25</v>
      </c>
      <c r="C2029" s="13" t="s">
        <v>154</v>
      </c>
      <c r="D2029" s="14" t="s">
        <v>198</v>
      </c>
      <c r="E2029" s="13" t="s">
        <v>65</v>
      </c>
      <c r="F2029" s="13" t="s">
        <v>613</v>
      </c>
      <c r="G2029" s="13">
        <v>1.07</v>
      </c>
      <c r="H2029" s="15">
        <v>6</v>
      </c>
      <c r="I2029" s="16">
        <v>6.42</v>
      </c>
      <c r="J2029" s="16">
        <v>3.5641981885988279</v>
      </c>
      <c r="K2029" s="16">
        <v>2.8558018114011721</v>
      </c>
      <c r="L2029" s="13">
        <v>3.78</v>
      </c>
      <c r="M2029" s="13"/>
      <c r="N2029" s="17">
        <f t="shared" si="68"/>
        <v>22.68</v>
      </c>
      <c r="O2029" s="17">
        <f t="shared" si="68"/>
        <v>0</v>
      </c>
      <c r="P2029" s="17">
        <f t="shared" si="67"/>
        <v>22.68</v>
      </c>
      <c r="Q2029" t="str">
        <f>A2029&amp;"-"&amp;B2029&amp;"-"&amp;D2029</f>
        <v>MEI-MJ1-L8</v>
      </c>
    </row>
    <row r="2030" spans="1:17" x14ac:dyDescent="0.25">
      <c r="A2030" t="s">
        <v>395</v>
      </c>
      <c r="B2030" s="13" t="s">
        <v>25</v>
      </c>
      <c r="C2030" s="13" t="s">
        <v>286</v>
      </c>
      <c r="D2030" s="14" t="s">
        <v>301</v>
      </c>
      <c r="E2030" s="13" t="s">
        <v>58</v>
      </c>
      <c r="F2030" s="13" t="s">
        <v>932</v>
      </c>
      <c r="G2030" s="13">
        <v>4.1500000000000004</v>
      </c>
      <c r="H2030" s="15">
        <v>71</v>
      </c>
      <c r="I2030" s="16">
        <v>294.64999999999998</v>
      </c>
      <c r="J2030" s="16">
        <v>504.23566878980893</v>
      </c>
      <c r="K2030" s="16">
        <v>-209.58566878980895</v>
      </c>
      <c r="L2030" s="13"/>
      <c r="M2030" s="13">
        <v>4.05</v>
      </c>
      <c r="N2030" s="17">
        <f t="shared" si="68"/>
        <v>0</v>
      </c>
      <c r="O2030" s="17">
        <f t="shared" si="68"/>
        <v>287.55</v>
      </c>
      <c r="P2030" s="17">
        <f t="shared" si="67"/>
        <v>287.55</v>
      </c>
      <c r="Q2030" t="str">
        <f>A2030&amp;"-"&amp;B2030&amp;"-"&amp;D2030</f>
        <v>MEI-MJ1-L10</v>
      </c>
    </row>
    <row r="2031" spans="1:17" x14ac:dyDescent="0.25">
      <c r="A2031" t="s">
        <v>395</v>
      </c>
      <c r="B2031" s="13" t="s">
        <v>25</v>
      </c>
      <c r="C2031" s="13" t="s">
        <v>286</v>
      </c>
      <c r="D2031" s="14" t="s">
        <v>301</v>
      </c>
      <c r="E2031" s="13" t="s">
        <v>58</v>
      </c>
      <c r="F2031" s="13"/>
      <c r="G2031" s="13">
        <v>4.1499999999999995</v>
      </c>
      <c r="H2031" s="15">
        <v>1430</v>
      </c>
      <c r="I2031" s="16">
        <v>5934.5</v>
      </c>
      <c r="J2031" s="16">
        <v>9186.473378691373</v>
      </c>
      <c r="K2031" s="16">
        <v>-3251.9733786913725</v>
      </c>
      <c r="L2031" s="13"/>
      <c r="M2031" s="13">
        <v>4.1500000000000004</v>
      </c>
      <c r="N2031" s="17">
        <f t="shared" si="68"/>
        <v>0</v>
      </c>
      <c r="O2031" s="17">
        <f t="shared" si="68"/>
        <v>5934.5000000000009</v>
      </c>
      <c r="P2031" s="17">
        <f t="shared" si="67"/>
        <v>5934.5000000000009</v>
      </c>
      <c r="Q2031" t="str">
        <f>A2031&amp;"-"&amp;B2031&amp;"-"&amp;D2031</f>
        <v>MEI-MJ1-L10</v>
      </c>
    </row>
    <row r="2032" spans="1:17" x14ac:dyDescent="0.25">
      <c r="A2032" t="s">
        <v>395</v>
      </c>
      <c r="B2032" s="13" t="s">
        <v>25</v>
      </c>
      <c r="C2032" s="13" t="s">
        <v>286</v>
      </c>
      <c r="D2032" s="14" t="s">
        <v>301</v>
      </c>
      <c r="E2032" s="13" t="s">
        <v>58</v>
      </c>
      <c r="F2032" s="13" t="s">
        <v>933</v>
      </c>
      <c r="G2032" s="13">
        <v>4.1499999999999995</v>
      </c>
      <c r="H2032" s="15">
        <v>1261</v>
      </c>
      <c r="I2032" s="16">
        <v>5233.1500000000005</v>
      </c>
      <c r="J2032" s="16">
        <v>11430.373755066588</v>
      </c>
      <c r="K2032" s="16">
        <v>-6197.2237550665886</v>
      </c>
      <c r="L2032" s="13"/>
      <c r="M2032" s="13">
        <v>4.1500000000000004</v>
      </c>
      <c r="N2032" s="17">
        <f t="shared" si="68"/>
        <v>0</v>
      </c>
      <c r="O2032" s="17">
        <f t="shared" si="68"/>
        <v>5233.1500000000005</v>
      </c>
      <c r="P2032" s="17">
        <f t="shared" si="67"/>
        <v>5233.1500000000005</v>
      </c>
      <c r="Q2032" t="str">
        <f>A2032&amp;"-"&amp;B2032&amp;"-"&amp;D2032</f>
        <v>MEI-MJ1-L10</v>
      </c>
    </row>
    <row r="2033" spans="1:17" x14ac:dyDescent="0.25">
      <c r="A2033" t="s">
        <v>395</v>
      </c>
      <c r="B2033" s="13" t="s">
        <v>25</v>
      </c>
      <c r="C2033" s="13" t="s">
        <v>286</v>
      </c>
      <c r="D2033" s="14" t="s">
        <v>301</v>
      </c>
      <c r="E2033" s="13" t="s">
        <v>58</v>
      </c>
      <c r="F2033" s="13" t="s">
        <v>766</v>
      </c>
      <c r="G2033" s="13">
        <v>3.85</v>
      </c>
      <c r="H2033" s="15">
        <v>869</v>
      </c>
      <c r="I2033" s="16">
        <v>3345.65</v>
      </c>
      <c r="J2033" s="16">
        <v>4523.9171974522296</v>
      </c>
      <c r="K2033" s="16">
        <v>-1178.2671974522293</v>
      </c>
      <c r="L2033" s="13"/>
      <c r="M2033" s="13">
        <v>3.85</v>
      </c>
      <c r="N2033" s="17">
        <f t="shared" si="68"/>
        <v>0</v>
      </c>
      <c r="O2033" s="17">
        <f t="shared" si="68"/>
        <v>3345.65</v>
      </c>
      <c r="P2033" s="17">
        <f t="shared" si="67"/>
        <v>3345.65</v>
      </c>
      <c r="Q2033" t="str">
        <f>A2033&amp;"-"&amp;B2033&amp;"-"&amp;D2033</f>
        <v>MEI-MJ1-L10</v>
      </c>
    </row>
    <row r="2034" spans="1:17" x14ac:dyDescent="0.25">
      <c r="A2034" t="s">
        <v>395</v>
      </c>
      <c r="B2034" s="13" t="s">
        <v>25</v>
      </c>
      <c r="C2034" s="13" t="s">
        <v>286</v>
      </c>
      <c r="D2034" s="14" t="s">
        <v>158</v>
      </c>
      <c r="E2034" s="13" t="s">
        <v>934</v>
      </c>
      <c r="F2034" s="13" t="s">
        <v>935</v>
      </c>
      <c r="G2034" s="13">
        <v>1.1999999999999997</v>
      </c>
      <c r="H2034" s="15">
        <v>1216</v>
      </c>
      <c r="I2034" s="16">
        <v>1459.2</v>
      </c>
      <c r="J2034" s="16">
        <v>6520.5002121598418</v>
      </c>
      <c r="K2034" s="16">
        <v>-5061.3002121598411</v>
      </c>
      <c r="L2034" s="13"/>
      <c r="M2034" s="13">
        <v>1.2</v>
      </c>
      <c r="N2034" s="17">
        <f t="shared" si="68"/>
        <v>0</v>
      </c>
      <c r="O2034" s="17">
        <f t="shared" si="68"/>
        <v>1459.2</v>
      </c>
      <c r="P2034" s="17">
        <f t="shared" si="67"/>
        <v>1459.2</v>
      </c>
      <c r="Q2034" t="str">
        <f>A2034&amp;"-"&amp;B2034&amp;"-"&amp;D2034</f>
        <v>MEI-MJ1-L4</v>
      </c>
    </row>
    <row r="2035" spans="1:17" x14ac:dyDescent="0.25">
      <c r="A2035" t="s">
        <v>395</v>
      </c>
      <c r="B2035" s="13" t="s">
        <v>25</v>
      </c>
      <c r="C2035" s="13" t="s">
        <v>286</v>
      </c>
      <c r="D2035" s="14" t="s">
        <v>158</v>
      </c>
      <c r="E2035" s="13" t="s">
        <v>936</v>
      </c>
      <c r="F2035" s="13" t="s">
        <v>937</v>
      </c>
      <c r="G2035" s="13">
        <v>1.25</v>
      </c>
      <c r="H2035" s="15">
        <v>1014</v>
      </c>
      <c r="I2035" s="16">
        <v>1267.5</v>
      </c>
      <c r="J2035" s="16">
        <v>2660.7269937067613</v>
      </c>
      <c r="K2035" s="16">
        <v>-1393.2269937067615</v>
      </c>
      <c r="L2035" s="13"/>
      <c r="M2035" s="13">
        <v>1.25</v>
      </c>
      <c r="N2035" s="17">
        <f t="shared" si="68"/>
        <v>0</v>
      </c>
      <c r="O2035" s="17">
        <f t="shared" si="68"/>
        <v>1267.5</v>
      </c>
      <c r="P2035" s="17">
        <f t="shared" si="67"/>
        <v>1267.5</v>
      </c>
      <c r="Q2035" t="str">
        <f>A2035&amp;"-"&amp;B2035&amp;"-"&amp;D2035</f>
        <v>MEI-MJ1-L4</v>
      </c>
    </row>
    <row r="2036" spans="1:17" x14ac:dyDescent="0.25">
      <c r="A2036" t="s">
        <v>395</v>
      </c>
      <c r="B2036" s="13" t="s">
        <v>25</v>
      </c>
      <c r="C2036" s="13" t="s">
        <v>286</v>
      </c>
      <c r="D2036" s="14" t="s">
        <v>158</v>
      </c>
      <c r="E2036" s="13" t="s">
        <v>938</v>
      </c>
      <c r="F2036" s="13" t="s">
        <v>939</v>
      </c>
      <c r="G2036" s="13">
        <v>1.3</v>
      </c>
      <c r="H2036" s="15">
        <v>1003</v>
      </c>
      <c r="I2036" s="16">
        <v>1303.8999999999996</v>
      </c>
      <c r="J2036" s="16">
        <v>4198.7727941333969</v>
      </c>
      <c r="K2036" s="16">
        <v>-2894.8727941333964</v>
      </c>
      <c r="L2036" s="13"/>
      <c r="M2036" s="13">
        <v>1.3</v>
      </c>
      <c r="N2036" s="17">
        <f t="shared" si="68"/>
        <v>0</v>
      </c>
      <c r="O2036" s="17">
        <f t="shared" si="68"/>
        <v>1303.9000000000001</v>
      </c>
      <c r="P2036" s="17">
        <f t="shared" si="67"/>
        <v>1303.9000000000001</v>
      </c>
      <c r="Q2036" t="str">
        <f>A2036&amp;"-"&amp;B2036&amp;"-"&amp;D2036</f>
        <v>MEI-MJ1-L4</v>
      </c>
    </row>
    <row r="2037" spans="1:17" x14ac:dyDescent="0.25">
      <c r="A2037" t="s">
        <v>395</v>
      </c>
      <c r="B2037" s="13" t="s">
        <v>25</v>
      </c>
      <c r="C2037" s="13" t="s">
        <v>286</v>
      </c>
      <c r="D2037" s="14" t="s">
        <v>158</v>
      </c>
      <c r="E2037" s="13" t="s">
        <v>58</v>
      </c>
      <c r="F2037" s="13" t="s">
        <v>940</v>
      </c>
      <c r="G2037" s="13">
        <v>3.05</v>
      </c>
      <c r="H2037" s="15">
        <v>130</v>
      </c>
      <c r="I2037" s="16">
        <v>396.5</v>
      </c>
      <c r="J2037" s="16">
        <v>1115</v>
      </c>
      <c r="K2037" s="16">
        <v>-718.5</v>
      </c>
      <c r="L2037" s="13"/>
      <c r="M2037" s="13">
        <v>3.05</v>
      </c>
      <c r="N2037" s="17">
        <f t="shared" si="68"/>
        <v>0</v>
      </c>
      <c r="O2037" s="17">
        <f t="shared" si="68"/>
        <v>396.5</v>
      </c>
      <c r="P2037" s="17">
        <f t="shared" si="67"/>
        <v>396.5</v>
      </c>
      <c r="Q2037" t="str">
        <f>A2037&amp;"-"&amp;B2037&amp;"-"&amp;D2037</f>
        <v>MEI-MJ1-L4</v>
      </c>
    </row>
    <row r="2038" spans="1:17" x14ac:dyDescent="0.25">
      <c r="A2038" t="s">
        <v>395</v>
      </c>
      <c r="B2038" s="13" t="s">
        <v>25</v>
      </c>
      <c r="C2038" s="13" t="s">
        <v>185</v>
      </c>
      <c r="D2038" s="14" t="s">
        <v>44</v>
      </c>
      <c r="E2038" s="13" t="s">
        <v>186</v>
      </c>
      <c r="F2038" s="13" t="s">
        <v>615</v>
      </c>
      <c r="G2038" s="13">
        <v>1.1399999999999999</v>
      </c>
      <c r="H2038" s="15">
        <v>695</v>
      </c>
      <c r="I2038" s="16">
        <v>792.3</v>
      </c>
      <c r="J2038" s="16">
        <v>3648.4182455256505</v>
      </c>
      <c r="K2038" s="16">
        <v>-2856.1182455256508</v>
      </c>
      <c r="L2038" s="13"/>
      <c r="M2038" s="13">
        <v>2.83</v>
      </c>
      <c r="N2038" s="17">
        <f t="shared" si="68"/>
        <v>0</v>
      </c>
      <c r="O2038" s="17">
        <f t="shared" si="68"/>
        <v>1966.8500000000001</v>
      </c>
      <c r="P2038" s="17">
        <f t="shared" si="67"/>
        <v>1966.8500000000001</v>
      </c>
      <c r="Q2038" t="str">
        <f>A2038&amp;"-"&amp;B2038&amp;"-"&amp;D2038</f>
        <v>MEI-MJ1-L1</v>
      </c>
    </row>
    <row r="2039" spans="1:17" x14ac:dyDescent="0.25">
      <c r="A2039" t="s">
        <v>395</v>
      </c>
      <c r="B2039" s="13" t="s">
        <v>25</v>
      </c>
      <c r="C2039" s="13" t="s">
        <v>185</v>
      </c>
      <c r="D2039" s="14" t="s">
        <v>44</v>
      </c>
      <c r="E2039" s="13" t="s">
        <v>186</v>
      </c>
      <c r="F2039" s="13" t="s">
        <v>616</v>
      </c>
      <c r="G2039" s="13">
        <v>1.18</v>
      </c>
      <c r="H2039" s="15">
        <v>18</v>
      </c>
      <c r="I2039" s="16">
        <v>21.24</v>
      </c>
      <c r="J2039" s="16">
        <v>56.376404494382022</v>
      </c>
      <c r="K2039" s="16">
        <v>-35.13640449438202</v>
      </c>
      <c r="L2039" s="13"/>
      <c r="M2039" s="13">
        <v>2.85</v>
      </c>
      <c r="N2039" s="17">
        <f t="shared" si="68"/>
        <v>0</v>
      </c>
      <c r="O2039" s="17">
        <f t="shared" si="68"/>
        <v>51.300000000000004</v>
      </c>
      <c r="P2039" s="17">
        <f t="shared" si="67"/>
        <v>51.300000000000004</v>
      </c>
      <c r="Q2039" t="str">
        <f>A2039&amp;"-"&amp;B2039&amp;"-"&amp;D2039</f>
        <v>MEI-MJ1-L1</v>
      </c>
    </row>
    <row r="2040" spans="1:17" x14ac:dyDescent="0.25">
      <c r="A2040" t="s">
        <v>395</v>
      </c>
      <c r="B2040" s="13" t="s">
        <v>25</v>
      </c>
      <c r="C2040" s="13" t="s">
        <v>185</v>
      </c>
      <c r="D2040" s="14" t="s">
        <v>44</v>
      </c>
      <c r="E2040" s="13" t="s">
        <v>186</v>
      </c>
      <c r="F2040" s="13" t="s">
        <v>767</v>
      </c>
      <c r="G2040" s="13">
        <v>1.0900000000000001</v>
      </c>
      <c r="H2040" s="15">
        <v>200</v>
      </c>
      <c r="I2040" s="16">
        <v>218</v>
      </c>
      <c r="J2040" s="16">
        <v>519.81351981351975</v>
      </c>
      <c r="K2040" s="16">
        <v>-301.81351981351975</v>
      </c>
      <c r="L2040" s="13"/>
      <c r="M2040" s="13">
        <v>3.15</v>
      </c>
      <c r="N2040" s="17">
        <f t="shared" si="68"/>
        <v>0</v>
      </c>
      <c r="O2040" s="17">
        <f t="shared" si="68"/>
        <v>630</v>
      </c>
      <c r="P2040" s="17">
        <f t="shared" si="67"/>
        <v>630</v>
      </c>
      <c r="Q2040" t="str">
        <f>A2040&amp;"-"&amp;B2040&amp;"-"&amp;D2040</f>
        <v>MEI-MJ1-L1</v>
      </c>
    </row>
    <row r="2041" spans="1:17" x14ac:dyDescent="0.25">
      <c r="A2041" t="s">
        <v>395</v>
      </c>
      <c r="B2041" s="13" t="s">
        <v>25</v>
      </c>
      <c r="C2041" s="13" t="s">
        <v>185</v>
      </c>
      <c r="D2041" s="14" t="s">
        <v>44</v>
      </c>
      <c r="E2041" s="13" t="s">
        <v>186</v>
      </c>
      <c r="F2041" s="13" t="s">
        <v>618</v>
      </c>
      <c r="G2041" s="13">
        <v>0.96</v>
      </c>
      <c r="H2041" s="15">
        <v>298</v>
      </c>
      <c r="I2041" s="16">
        <v>286.08</v>
      </c>
      <c r="J2041" s="16">
        <v>1036.6814830531139</v>
      </c>
      <c r="K2041" s="16">
        <v>-750.60148305311395</v>
      </c>
      <c r="L2041" s="13">
        <v>2.85</v>
      </c>
      <c r="M2041" s="13"/>
      <c r="N2041" s="17">
        <f t="shared" si="68"/>
        <v>849.30000000000007</v>
      </c>
      <c r="O2041" s="17">
        <f t="shared" si="68"/>
        <v>0</v>
      </c>
      <c r="P2041" s="17">
        <f t="shared" si="67"/>
        <v>849.30000000000007</v>
      </c>
      <c r="Q2041" t="str">
        <f>A2041&amp;"-"&amp;B2041&amp;"-"&amp;D2041</f>
        <v>MEI-MJ1-L1</v>
      </c>
    </row>
    <row r="2042" spans="1:17" x14ac:dyDescent="0.25">
      <c r="A2042" t="s">
        <v>395</v>
      </c>
      <c r="B2042" s="13" t="s">
        <v>25</v>
      </c>
      <c r="C2042" s="13" t="s">
        <v>185</v>
      </c>
      <c r="D2042" s="14" t="s">
        <v>44</v>
      </c>
      <c r="E2042" s="13" t="s">
        <v>186</v>
      </c>
      <c r="F2042" s="13" t="s">
        <v>768</v>
      </c>
      <c r="G2042" s="13">
        <v>1.1100000000000001</v>
      </c>
      <c r="H2042" s="15">
        <v>20</v>
      </c>
      <c r="I2042" s="16">
        <v>22.2</v>
      </c>
      <c r="J2042" s="16">
        <v>62.640449438202246</v>
      </c>
      <c r="K2042" s="16">
        <v>-40.440449438202251</v>
      </c>
      <c r="L2042" s="13">
        <v>2.98</v>
      </c>
      <c r="M2042" s="13"/>
      <c r="N2042" s="17">
        <f t="shared" si="68"/>
        <v>59.6</v>
      </c>
      <c r="O2042" s="17">
        <f t="shared" si="68"/>
        <v>0</v>
      </c>
      <c r="P2042" s="17">
        <f t="shared" si="67"/>
        <v>59.6</v>
      </c>
      <c r="Q2042" t="str">
        <f>A2042&amp;"-"&amp;B2042&amp;"-"&amp;D2042</f>
        <v>MEI-MJ1-L1</v>
      </c>
    </row>
    <row r="2043" spans="1:17" x14ac:dyDescent="0.25">
      <c r="A2043" t="s">
        <v>395</v>
      </c>
      <c r="B2043" s="13" t="s">
        <v>25</v>
      </c>
      <c r="C2043" s="13" t="s">
        <v>185</v>
      </c>
      <c r="D2043" s="14" t="s">
        <v>44</v>
      </c>
      <c r="E2043" s="13" t="s">
        <v>191</v>
      </c>
      <c r="F2043" s="13" t="s">
        <v>619</v>
      </c>
      <c r="G2043" s="13">
        <v>1.18</v>
      </c>
      <c r="H2043" s="15">
        <v>23</v>
      </c>
      <c r="I2043" s="16">
        <v>27.14</v>
      </c>
      <c r="J2043" s="16">
        <v>59.525235673654805</v>
      </c>
      <c r="K2043" s="16">
        <v>-32.385235673654805</v>
      </c>
      <c r="L2043" s="13"/>
      <c r="M2043" s="13">
        <v>2.75</v>
      </c>
      <c r="N2043" s="17">
        <f t="shared" si="68"/>
        <v>0</v>
      </c>
      <c r="O2043" s="17">
        <f t="shared" si="68"/>
        <v>63.25</v>
      </c>
      <c r="P2043" s="17">
        <f t="shared" si="67"/>
        <v>63.25</v>
      </c>
      <c r="Q2043" t="str">
        <f>A2043&amp;"-"&amp;B2043&amp;"-"&amp;D2043</f>
        <v>MEI-MJ1-L1</v>
      </c>
    </row>
    <row r="2044" spans="1:17" x14ac:dyDescent="0.25">
      <c r="A2044" t="s">
        <v>395</v>
      </c>
      <c r="B2044" s="13" t="s">
        <v>25</v>
      </c>
      <c r="C2044" s="13" t="s">
        <v>185</v>
      </c>
      <c r="D2044" s="14" t="s">
        <v>44</v>
      </c>
      <c r="E2044" s="13" t="s">
        <v>65</v>
      </c>
      <c r="F2044" s="13" t="s">
        <v>621</v>
      </c>
      <c r="G2044" s="13">
        <v>0.55000000000000004</v>
      </c>
      <c r="H2044" s="15">
        <v>22</v>
      </c>
      <c r="I2044" s="16">
        <v>12.1</v>
      </c>
      <c r="J2044" s="16">
        <v>80.957095709570964</v>
      </c>
      <c r="K2044" s="16">
        <v>-68.85709570957097</v>
      </c>
      <c r="L2044" s="13">
        <v>1.61</v>
      </c>
      <c r="M2044" s="13"/>
      <c r="N2044" s="17">
        <f t="shared" si="68"/>
        <v>35.42</v>
      </c>
      <c r="O2044" s="17">
        <f t="shared" si="68"/>
        <v>0</v>
      </c>
      <c r="P2044" s="17">
        <f t="shared" si="67"/>
        <v>35.42</v>
      </c>
      <c r="Q2044" t="str">
        <f>A2044&amp;"-"&amp;B2044&amp;"-"&amp;D2044</f>
        <v>MEI-MJ1-L1</v>
      </c>
    </row>
    <row r="2045" spans="1:17" x14ac:dyDescent="0.25">
      <c r="A2045" t="s">
        <v>395</v>
      </c>
      <c r="B2045" s="13" t="s">
        <v>25</v>
      </c>
      <c r="C2045" s="13" t="s">
        <v>185</v>
      </c>
      <c r="D2045" s="14" t="s">
        <v>44</v>
      </c>
      <c r="E2045" s="13" t="s">
        <v>65</v>
      </c>
      <c r="F2045" s="13" t="s">
        <v>770</v>
      </c>
      <c r="G2045" s="13">
        <v>0.55000000000000004</v>
      </c>
      <c r="H2045" s="15">
        <v>59</v>
      </c>
      <c r="I2045" s="16">
        <v>32.450000000000003</v>
      </c>
      <c r="J2045" s="16">
        <v>153.34498834498837</v>
      </c>
      <c r="K2045" s="16">
        <v>-120.89498834498836</v>
      </c>
      <c r="L2045" s="13">
        <v>1.61</v>
      </c>
      <c r="M2045" s="13"/>
      <c r="N2045" s="17">
        <f t="shared" si="68"/>
        <v>94.990000000000009</v>
      </c>
      <c r="O2045" s="17">
        <f t="shared" si="68"/>
        <v>0</v>
      </c>
      <c r="P2045" s="17">
        <f t="shared" si="67"/>
        <v>94.990000000000009</v>
      </c>
      <c r="Q2045" t="str">
        <f>A2045&amp;"-"&amp;B2045&amp;"-"&amp;D2045</f>
        <v>MEI-MJ1-L1</v>
      </c>
    </row>
    <row r="2046" spans="1:17" x14ac:dyDescent="0.25">
      <c r="A2046" t="s">
        <v>395</v>
      </c>
      <c r="B2046" s="13" t="s">
        <v>25</v>
      </c>
      <c r="C2046" s="13" t="s">
        <v>185</v>
      </c>
      <c r="D2046" s="14" t="s">
        <v>56</v>
      </c>
      <c r="E2046" s="13" t="s">
        <v>191</v>
      </c>
      <c r="F2046" s="13" t="s">
        <v>622</v>
      </c>
      <c r="G2046" s="13">
        <v>1.36</v>
      </c>
      <c r="H2046" s="15">
        <v>4</v>
      </c>
      <c r="I2046" s="16">
        <v>5.44</v>
      </c>
      <c r="J2046" s="16">
        <v>20.552995391705068</v>
      </c>
      <c r="K2046" s="16">
        <v>-15.112995391705066</v>
      </c>
      <c r="L2046" s="13"/>
      <c r="M2046" s="13">
        <v>2.48</v>
      </c>
      <c r="N2046" s="17">
        <f t="shared" si="68"/>
        <v>0</v>
      </c>
      <c r="O2046" s="17">
        <f t="shared" si="68"/>
        <v>9.92</v>
      </c>
      <c r="P2046" s="17">
        <f t="shared" si="67"/>
        <v>9.92</v>
      </c>
      <c r="Q2046" t="str">
        <f>A2046&amp;"-"&amp;B2046&amp;"-"&amp;D2046</f>
        <v>MEI-MJ1-L3</v>
      </c>
    </row>
    <row r="2047" spans="1:17" x14ac:dyDescent="0.25">
      <c r="A2047" t="s">
        <v>395</v>
      </c>
      <c r="B2047" s="13" t="s">
        <v>25</v>
      </c>
      <c r="C2047" s="13" t="s">
        <v>185</v>
      </c>
      <c r="D2047" s="14" t="s">
        <v>56</v>
      </c>
      <c r="E2047" s="13" t="s">
        <v>191</v>
      </c>
      <c r="F2047" s="13" t="s">
        <v>619</v>
      </c>
      <c r="G2047" s="13">
        <v>1.18</v>
      </c>
      <c r="H2047" s="15">
        <v>888</v>
      </c>
      <c r="I2047" s="16">
        <v>1047.8399999999999</v>
      </c>
      <c r="J2047" s="16">
        <v>2714.0996448874953</v>
      </c>
      <c r="K2047" s="16">
        <v>-1666.2596448874956</v>
      </c>
      <c r="L2047" s="13"/>
      <c r="M2047" s="13">
        <v>2.75</v>
      </c>
      <c r="N2047" s="17">
        <f t="shared" si="68"/>
        <v>0</v>
      </c>
      <c r="O2047" s="17">
        <f t="shared" si="68"/>
        <v>2442</v>
      </c>
      <c r="P2047" s="17">
        <f t="shared" si="67"/>
        <v>2442</v>
      </c>
      <c r="Q2047" t="str">
        <f>A2047&amp;"-"&amp;B2047&amp;"-"&amp;D2047</f>
        <v>MEI-MJ1-L3</v>
      </c>
    </row>
    <row r="2048" spans="1:17" x14ac:dyDescent="0.25">
      <c r="A2048" t="s">
        <v>395</v>
      </c>
      <c r="B2048" s="13" t="s">
        <v>25</v>
      </c>
      <c r="C2048" s="13" t="s">
        <v>185</v>
      </c>
      <c r="D2048" s="14" t="s">
        <v>56</v>
      </c>
      <c r="E2048" s="13" t="s">
        <v>941</v>
      </c>
      <c r="F2048" s="13" t="s">
        <v>942</v>
      </c>
      <c r="G2048" s="13">
        <v>1.46</v>
      </c>
      <c r="H2048" s="15">
        <v>520</v>
      </c>
      <c r="I2048" s="16">
        <v>759.19999999999993</v>
      </c>
      <c r="J2048" s="16">
        <v>3307.1281646317088</v>
      </c>
      <c r="K2048" s="16">
        <v>-2547.928164631709</v>
      </c>
      <c r="L2048" s="13"/>
      <c r="M2048" s="13">
        <v>3.48</v>
      </c>
      <c r="N2048" s="17">
        <f t="shared" si="68"/>
        <v>0</v>
      </c>
      <c r="O2048" s="17">
        <f t="shared" si="68"/>
        <v>1809.6</v>
      </c>
      <c r="P2048" s="17">
        <f t="shared" si="67"/>
        <v>1809.6</v>
      </c>
      <c r="Q2048" t="str">
        <f>A2048&amp;"-"&amp;B2048&amp;"-"&amp;D2048</f>
        <v>MEI-MJ1-L3</v>
      </c>
    </row>
    <row r="2049" spans="1:17" x14ac:dyDescent="0.25">
      <c r="A2049" t="s">
        <v>395</v>
      </c>
      <c r="B2049" s="13" t="s">
        <v>25</v>
      </c>
      <c r="C2049" s="13" t="s">
        <v>185</v>
      </c>
      <c r="D2049" s="14" t="s">
        <v>160</v>
      </c>
      <c r="E2049" s="13" t="s">
        <v>186</v>
      </c>
      <c r="F2049" s="13" t="s">
        <v>617</v>
      </c>
      <c r="G2049" s="13">
        <v>1.1599999999999999</v>
      </c>
      <c r="H2049" s="15">
        <v>974</v>
      </c>
      <c r="I2049" s="16">
        <v>1129.8400000000001</v>
      </c>
      <c r="J2049" s="16">
        <v>6241.2862103045418</v>
      </c>
      <c r="K2049" s="16">
        <v>-5111.4462103045407</v>
      </c>
      <c r="L2049" s="13"/>
      <c r="M2049" s="13">
        <v>3.07</v>
      </c>
      <c r="N2049" s="17">
        <f t="shared" si="68"/>
        <v>0</v>
      </c>
      <c r="O2049" s="17">
        <f t="shared" si="68"/>
        <v>2990.18</v>
      </c>
      <c r="P2049" s="17">
        <f t="shared" si="67"/>
        <v>2990.18</v>
      </c>
      <c r="Q2049" t="str">
        <f>A2049&amp;"-"&amp;B2049&amp;"-"&amp;D2049</f>
        <v>MEI-MJ1-L5</v>
      </c>
    </row>
    <row r="2050" spans="1:17" x14ac:dyDescent="0.25">
      <c r="A2050" t="s">
        <v>395</v>
      </c>
      <c r="B2050" s="13" t="s">
        <v>25</v>
      </c>
      <c r="C2050" s="13" t="s">
        <v>185</v>
      </c>
      <c r="D2050" s="14" t="s">
        <v>160</v>
      </c>
      <c r="E2050" s="13" t="s">
        <v>186</v>
      </c>
      <c r="F2050" s="13" t="s">
        <v>767</v>
      </c>
      <c r="G2050" s="13">
        <v>1.0900000000000001</v>
      </c>
      <c r="H2050" s="15">
        <v>702</v>
      </c>
      <c r="I2050" s="16">
        <v>765.18000000000006</v>
      </c>
      <c r="J2050" s="16">
        <v>2015.6506667120723</v>
      </c>
      <c r="K2050" s="16">
        <v>-1250.4706667120724</v>
      </c>
      <c r="L2050" s="13"/>
      <c r="M2050" s="13">
        <v>3.15</v>
      </c>
      <c r="N2050" s="17">
        <f t="shared" si="68"/>
        <v>0</v>
      </c>
      <c r="O2050" s="17">
        <f t="shared" si="68"/>
        <v>2211.2999999999997</v>
      </c>
      <c r="P2050" s="17">
        <f t="shared" ref="P2050:P2113" si="69">N2050+O2050</f>
        <v>2211.2999999999997</v>
      </c>
      <c r="Q2050" t="str">
        <f>A2050&amp;"-"&amp;B2050&amp;"-"&amp;D2050</f>
        <v>MEI-MJ1-L5</v>
      </c>
    </row>
    <row r="2051" spans="1:17" x14ac:dyDescent="0.25">
      <c r="A2051" t="s">
        <v>395</v>
      </c>
      <c r="B2051" s="13" t="s">
        <v>25</v>
      </c>
      <c r="C2051" s="13" t="s">
        <v>185</v>
      </c>
      <c r="D2051" s="14" t="s">
        <v>160</v>
      </c>
      <c r="E2051" s="13" t="s">
        <v>186</v>
      </c>
      <c r="F2051" s="13" t="s">
        <v>768</v>
      </c>
      <c r="G2051" s="13">
        <v>1.1100000000000001</v>
      </c>
      <c r="H2051" s="15">
        <v>911</v>
      </c>
      <c r="I2051" s="16">
        <v>1011.2099999999999</v>
      </c>
      <c r="J2051" s="16">
        <v>2544.7841779079577</v>
      </c>
      <c r="K2051" s="16">
        <v>-1533.5741779079576</v>
      </c>
      <c r="L2051" s="13">
        <v>2.98</v>
      </c>
      <c r="M2051" s="13"/>
      <c r="N2051" s="17">
        <f t="shared" si="68"/>
        <v>2714.78</v>
      </c>
      <c r="O2051" s="17">
        <f t="shared" si="68"/>
        <v>0</v>
      </c>
      <c r="P2051" s="17">
        <f t="shared" si="69"/>
        <v>2714.78</v>
      </c>
      <c r="Q2051" t="str">
        <f>A2051&amp;"-"&amp;B2051&amp;"-"&amp;D2051</f>
        <v>MEI-MJ1-L5</v>
      </c>
    </row>
    <row r="2052" spans="1:17" x14ac:dyDescent="0.25">
      <c r="A2052" t="s">
        <v>395</v>
      </c>
      <c r="B2052" s="13" t="s">
        <v>25</v>
      </c>
      <c r="C2052" s="13" t="s">
        <v>185</v>
      </c>
      <c r="D2052" s="14" t="s">
        <v>160</v>
      </c>
      <c r="E2052" s="13" t="s">
        <v>186</v>
      </c>
      <c r="F2052" s="13" t="s">
        <v>771</v>
      </c>
      <c r="G2052" s="13">
        <v>1.1599999999999999</v>
      </c>
      <c r="H2052" s="15">
        <v>695</v>
      </c>
      <c r="I2052" s="16">
        <v>806.2</v>
      </c>
      <c r="J2052" s="16">
        <v>2414.3648537774689</v>
      </c>
      <c r="K2052" s="16">
        <v>-1608.1648537774693</v>
      </c>
      <c r="L2052" s="13">
        <v>3.08</v>
      </c>
      <c r="M2052" s="13"/>
      <c r="N2052" s="17">
        <f t="shared" si="68"/>
        <v>2140.6</v>
      </c>
      <c r="O2052" s="17">
        <f t="shared" si="68"/>
        <v>0</v>
      </c>
      <c r="P2052" s="17">
        <f t="shared" si="69"/>
        <v>2140.6</v>
      </c>
      <c r="Q2052" t="str">
        <f>A2052&amp;"-"&amp;B2052&amp;"-"&amp;D2052</f>
        <v>MEI-MJ1-L5</v>
      </c>
    </row>
    <row r="2053" spans="1:17" x14ac:dyDescent="0.25">
      <c r="A2053" t="s">
        <v>395</v>
      </c>
      <c r="B2053" s="13" t="s">
        <v>25</v>
      </c>
      <c r="C2053" s="13" t="s">
        <v>185</v>
      </c>
      <c r="D2053" s="14" t="s">
        <v>160</v>
      </c>
      <c r="E2053" s="13" t="s">
        <v>191</v>
      </c>
      <c r="F2053" s="13" t="s">
        <v>622</v>
      </c>
      <c r="G2053" s="13">
        <v>1.36</v>
      </c>
      <c r="H2053" s="15">
        <v>831</v>
      </c>
      <c r="I2053" s="16">
        <v>1130.1600000000001</v>
      </c>
      <c r="J2053" s="16">
        <v>2530.3244521466904</v>
      </c>
      <c r="K2053" s="16">
        <v>-1400.1644521466906</v>
      </c>
      <c r="L2053" s="13"/>
      <c r="M2053" s="13">
        <v>2.48</v>
      </c>
      <c r="N2053" s="17">
        <f t="shared" si="68"/>
        <v>0</v>
      </c>
      <c r="O2053" s="17">
        <f t="shared" si="68"/>
        <v>2060.88</v>
      </c>
      <c r="P2053" s="17">
        <f t="shared" si="69"/>
        <v>2060.88</v>
      </c>
      <c r="Q2053" t="str">
        <f>A2053&amp;"-"&amp;B2053&amp;"-"&amp;D2053</f>
        <v>MEI-MJ1-L5</v>
      </c>
    </row>
    <row r="2054" spans="1:17" x14ac:dyDescent="0.25">
      <c r="A2054" t="s">
        <v>395</v>
      </c>
      <c r="B2054" s="13" t="s">
        <v>25</v>
      </c>
      <c r="C2054" s="13" t="s">
        <v>185</v>
      </c>
      <c r="D2054" s="14" t="s">
        <v>160</v>
      </c>
      <c r="E2054" s="13" t="s">
        <v>191</v>
      </c>
      <c r="F2054" s="13" t="s">
        <v>623</v>
      </c>
      <c r="G2054" s="13">
        <v>1.27</v>
      </c>
      <c r="H2054" s="15">
        <v>774</v>
      </c>
      <c r="I2054" s="16">
        <v>982.9799999999999</v>
      </c>
      <c r="J2054" s="16">
        <v>1772.9685731849763</v>
      </c>
      <c r="K2054" s="16">
        <v>-789.98857318497642</v>
      </c>
      <c r="L2054" s="13"/>
      <c r="M2054" s="13">
        <v>2.48</v>
      </c>
      <c r="N2054" s="17">
        <f t="shared" si="68"/>
        <v>0</v>
      </c>
      <c r="O2054" s="17">
        <f t="shared" si="68"/>
        <v>1919.52</v>
      </c>
      <c r="P2054" s="17">
        <f t="shared" si="69"/>
        <v>1919.52</v>
      </c>
      <c r="Q2054" t="str">
        <f>A2054&amp;"-"&amp;B2054&amp;"-"&amp;D2054</f>
        <v>MEI-MJ1-L5</v>
      </c>
    </row>
    <row r="2055" spans="1:17" x14ac:dyDescent="0.25">
      <c r="A2055" t="s">
        <v>395</v>
      </c>
      <c r="B2055" s="13" t="s">
        <v>25</v>
      </c>
      <c r="C2055" s="13" t="s">
        <v>185</v>
      </c>
      <c r="D2055" s="14" t="s">
        <v>160</v>
      </c>
      <c r="E2055" s="13" t="s">
        <v>191</v>
      </c>
      <c r="F2055" s="13" t="s">
        <v>624</v>
      </c>
      <c r="G2055" s="13">
        <v>1.27</v>
      </c>
      <c r="H2055" s="15">
        <v>41</v>
      </c>
      <c r="I2055" s="16">
        <v>52.07</v>
      </c>
      <c r="J2055" s="16">
        <v>104.19898283534647</v>
      </c>
      <c r="K2055" s="16">
        <v>-52.128982835346477</v>
      </c>
      <c r="L2055" s="13"/>
      <c r="M2055" s="13">
        <v>2.48</v>
      </c>
      <c r="N2055" s="17">
        <f t="shared" si="68"/>
        <v>0</v>
      </c>
      <c r="O2055" s="17">
        <f t="shared" si="68"/>
        <v>101.67999999999999</v>
      </c>
      <c r="P2055" s="17">
        <f t="shared" si="69"/>
        <v>101.67999999999999</v>
      </c>
      <c r="Q2055" t="str">
        <f>A2055&amp;"-"&amp;B2055&amp;"-"&amp;D2055</f>
        <v>MEI-MJ1-L5</v>
      </c>
    </row>
    <row r="2056" spans="1:17" x14ac:dyDescent="0.25">
      <c r="A2056" t="s">
        <v>395</v>
      </c>
      <c r="B2056" s="13" t="s">
        <v>25</v>
      </c>
      <c r="C2056" s="13" t="s">
        <v>185</v>
      </c>
      <c r="D2056" s="14" t="s">
        <v>160</v>
      </c>
      <c r="E2056" s="13" t="s">
        <v>191</v>
      </c>
      <c r="F2056" s="13" t="s">
        <v>626</v>
      </c>
      <c r="G2056" s="13">
        <v>0.55000000000000004</v>
      </c>
      <c r="H2056" s="15">
        <v>318</v>
      </c>
      <c r="I2056" s="16">
        <v>174.9</v>
      </c>
      <c r="J2056" s="16">
        <v>774.35320512820522</v>
      </c>
      <c r="K2056" s="16">
        <v>-599.45320512820524</v>
      </c>
      <c r="L2056" s="13"/>
      <c r="M2056" s="13">
        <v>1.61</v>
      </c>
      <c r="N2056" s="17">
        <f t="shared" si="68"/>
        <v>0</v>
      </c>
      <c r="O2056" s="17">
        <f t="shared" si="68"/>
        <v>511.98</v>
      </c>
      <c r="P2056" s="17">
        <f t="shared" si="69"/>
        <v>511.98</v>
      </c>
      <c r="Q2056" t="str">
        <f>A2056&amp;"-"&amp;B2056&amp;"-"&amp;D2056</f>
        <v>MEI-MJ1-L5</v>
      </c>
    </row>
    <row r="2057" spans="1:17" x14ac:dyDescent="0.25">
      <c r="A2057" t="s">
        <v>395</v>
      </c>
      <c r="B2057" s="13" t="s">
        <v>25</v>
      </c>
      <c r="C2057" s="13" t="s">
        <v>185</v>
      </c>
      <c r="D2057" s="14" t="s">
        <v>160</v>
      </c>
      <c r="E2057" s="13" t="s">
        <v>191</v>
      </c>
      <c r="F2057" s="13" t="s">
        <v>628</v>
      </c>
      <c r="G2057" s="13">
        <v>1.37</v>
      </c>
      <c r="H2057" s="15">
        <v>59</v>
      </c>
      <c r="I2057" s="16">
        <v>80.83</v>
      </c>
      <c r="J2057" s="16">
        <v>120.45346908983272</v>
      </c>
      <c r="K2057" s="16">
        <v>-39.623469089832717</v>
      </c>
      <c r="L2057" s="13"/>
      <c r="M2057" s="13">
        <v>2.62</v>
      </c>
      <c r="N2057" s="17">
        <f t="shared" si="68"/>
        <v>0</v>
      </c>
      <c r="O2057" s="17">
        <f t="shared" si="68"/>
        <v>154.58000000000001</v>
      </c>
      <c r="P2057" s="17">
        <f t="shared" si="69"/>
        <v>154.58000000000001</v>
      </c>
      <c r="Q2057" t="str">
        <f>A2057&amp;"-"&amp;B2057&amp;"-"&amp;D2057</f>
        <v>MEI-MJ1-L5</v>
      </c>
    </row>
    <row r="2058" spans="1:17" x14ac:dyDescent="0.25">
      <c r="A2058" t="s">
        <v>395</v>
      </c>
      <c r="B2058" s="13" t="s">
        <v>25</v>
      </c>
      <c r="C2058" s="13" t="s">
        <v>185</v>
      </c>
      <c r="D2058" s="14" t="s">
        <v>160</v>
      </c>
      <c r="E2058" s="13" t="s">
        <v>65</v>
      </c>
      <c r="F2058" s="13" t="s">
        <v>772</v>
      </c>
      <c r="G2058" s="13">
        <v>0.55000000000000004</v>
      </c>
      <c r="H2058" s="15">
        <v>18</v>
      </c>
      <c r="I2058" s="16">
        <v>9.9</v>
      </c>
      <c r="J2058" s="16">
        <v>54.700126520881241</v>
      </c>
      <c r="K2058" s="16">
        <v>-44.800126520881243</v>
      </c>
      <c r="L2058" s="13">
        <v>1.61</v>
      </c>
      <c r="M2058" s="13"/>
      <c r="N2058" s="17">
        <f t="shared" si="68"/>
        <v>28.98</v>
      </c>
      <c r="O2058" s="17">
        <f t="shared" si="68"/>
        <v>0</v>
      </c>
      <c r="P2058" s="17">
        <f t="shared" si="69"/>
        <v>28.98</v>
      </c>
      <c r="Q2058" t="str">
        <f>A2058&amp;"-"&amp;B2058&amp;"-"&amp;D2058</f>
        <v>MEI-MJ1-L5</v>
      </c>
    </row>
    <row r="2059" spans="1:17" x14ac:dyDescent="0.25">
      <c r="A2059" t="s">
        <v>395</v>
      </c>
      <c r="B2059" s="13" t="s">
        <v>25</v>
      </c>
      <c r="C2059" s="13" t="s">
        <v>185</v>
      </c>
      <c r="D2059" s="14" t="s">
        <v>160</v>
      </c>
      <c r="E2059" s="13" t="s">
        <v>941</v>
      </c>
      <c r="F2059" s="13" t="s">
        <v>942</v>
      </c>
      <c r="G2059" s="13">
        <v>1.46</v>
      </c>
      <c r="H2059" s="15">
        <v>756</v>
      </c>
      <c r="I2059" s="16">
        <v>1103.76</v>
      </c>
      <c r="J2059" s="16">
        <v>1496.9152823920265</v>
      </c>
      <c r="K2059" s="16">
        <v>-393.15528239202655</v>
      </c>
      <c r="L2059" s="13"/>
      <c r="M2059" s="13">
        <v>3.48</v>
      </c>
      <c r="N2059" s="17">
        <f t="shared" si="68"/>
        <v>0</v>
      </c>
      <c r="O2059" s="17">
        <f t="shared" si="68"/>
        <v>2630.88</v>
      </c>
      <c r="P2059" s="17">
        <f t="shared" si="69"/>
        <v>2630.88</v>
      </c>
      <c r="Q2059" t="str">
        <f>A2059&amp;"-"&amp;B2059&amp;"-"&amp;D2059</f>
        <v>MEI-MJ1-L5</v>
      </c>
    </row>
    <row r="2060" spans="1:17" x14ac:dyDescent="0.25">
      <c r="A2060" t="s">
        <v>395</v>
      </c>
      <c r="B2060" s="13" t="s">
        <v>25</v>
      </c>
      <c r="C2060" s="13" t="s">
        <v>43</v>
      </c>
      <c r="D2060" s="14" t="s">
        <v>287</v>
      </c>
      <c r="E2060" s="13" t="s">
        <v>179</v>
      </c>
      <c r="F2060" s="13" t="s">
        <v>773</v>
      </c>
      <c r="G2060" s="13">
        <v>3.6</v>
      </c>
      <c r="H2060" s="15">
        <v>396</v>
      </c>
      <c r="I2060" s="16">
        <v>1425.6</v>
      </c>
      <c r="J2060" s="16">
        <v>3333.85</v>
      </c>
      <c r="K2060" s="16">
        <v>-1908.25</v>
      </c>
      <c r="L2060" s="13"/>
      <c r="M2060" s="13">
        <v>3.75</v>
      </c>
      <c r="N2060" s="17">
        <f t="shared" si="68"/>
        <v>0</v>
      </c>
      <c r="O2060" s="17">
        <f t="shared" si="68"/>
        <v>1485</v>
      </c>
      <c r="P2060" s="17">
        <f t="shared" si="69"/>
        <v>1485</v>
      </c>
      <c r="Q2060" t="str">
        <f>A2060&amp;"-"&amp;B2060&amp;"-"&amp;D2060</f>
        <v>MEI-MJ1-L11</v>
      </c>
    </row>
    <row r="2061" spans="1:17" x14ac:dyDescent="0.25">
      <c r="A2061" t="s">
        <v>395</v>
      </c>
      <c r="B2061" s="13" t="s">
        <v>25</v>
      </c>
      <c r="C2061" s="13" t="s">
        <v>43</v>
      </c>
      <c r="D2061" s="14" t="s">
        <v>287</v>
      </c>
      <c r="E2061" s="13" t="s">
        <v>179</v>
      </c>
      <c r="F2061" s="13" t="s">
        <v>631</v>
      </c>
      <c r="G2061" s="13">
        <v>3.6</v>
      </c>
      <c r="H2061" s="15">
        <v>2</v>
      </c>
      <c r="I2061" s="16">
        <v>7.2</v>
      </c>
      <c r="J2061" s="16">
        <v>11.15</v>
      </c>
      <c r="K2061" s="16">
        <v>-3.95</v>
      </c>
      <c r="L2061" s="13"/>
      <c r="M2061" s="13">
        <v>3.75</v>
      </c>
      <c r="N2061" s="17">
        <f t="shared" si="68"/>
        <v>0</v>
      </c>
      <c r="O2061" s="17">
        <f t="shared" si="68"/>
        <v>7.5</v>
      </c>
      <c r="P2061" s="17">
        <f t="shared" si="69"/>
        <v>7.5</v>
      </c>
      <c r="Q2061" t="str">
        <f>A2061&amp;"-"&amp;B2061&amp;"-"&amp;D2061</f>
        <v>MEI-MJ1-L11</v>
      </c>
    </row>
    <row r="2062" spans="1:17" x14ac:dyDescent="0.25">
      <c r="A2062" t="s">
        <v>395</v>
      </c>
      <c r="B2062" s="13" t="s">
        <v>25</v>
      </c>
      <c r="C2062" s="13" t="s">
        <v>43</v>
      </c>
      <c r="D2062" s="14" t="s">
        <v>56</v>
      </c>
      <c r="E2062" s="13" t="s">
        <v>71</v>
      </c>
      <c r="F2062" s="13" t="s">
        <v>775</v>
      </c>
      <c r="G2062" s="13">
        <v>3.37</v>
      </c>
      <c r="H2062" s="15">
        <v>125</v>
      </c>
      <c r="I2062" s="16">
        <v>421.25</v>
      </c>
      <c r="J2062" s="16">
        <v>421.07250755287009</v>
      </c>
      <c r="K2062" s="16">
        <v>0.1774924471299073</v>
      </c>
      <c r="L2062" s="13"/>
      <c r="M2062" s="13">
        <v>4.07</v>
      </c>
      <c r="N2062" s="17">
        <f t="shared" si="68"/>
        <v>0</v>
      </c>
      <c r="O2062" s="17">
        <f t="shared" si="68"/>
        <v>508.75000000000006</v>
      </c>
      <c r="P2062" s="17">
        <f t="shared" si="69"/>
        <v>508.75000000000006</v>
      </c>
      <c r="Q2062" t="str">
        <f>A2062&amp;"-"&amp;B2062&amp;"-"&amp;D2062</f>
        <v>MEI-MJ1-L3</v>
      </c>
    </row>
    <row r="2063" spans="1:17" x14ac:dyDescent="0.25">
      <c r="A2063" t="s">
        <v>395</v>
      </c>
      <c r="B2063" s="13" t="s">
        <v>25</v>
      </c>
      <c r="C2063" s="13" t="s">
        <v>43</v>
      </c>
      <c r="D2063" s="14" t="s">
        <v>56</v>
      </c>
      <c r="E2063" s="13" t="s">
        <v>179</v>
      </c>
      <c r="F2063" s="13" t="s">
        <v>776</v>
      </c>
      <c r="G2063" s="13">
        <v>3.2</v>
      </c>
      <c r="H2063" s="15">
        <v>183</v>
      </c>
      <c r="I2063" s="16">
        <v>585.60000000000014</v>
      </c>
      <c r="J2063" s="16">
        <v>1458.4348159881056</v>
      </c>
      <c r="K2063" s="16">
        <v>-872.83481598810545</v>
      </c>
      <c r="L2063" s="13"/>
      <c r="M2063" s="13">
        <v>3.35</v>
      </c>
      <c r="N2063" s="17">
        <f t="shared" si="68"/>
        <v>0</v>
      </c>
      <c r="O2063" s="17">
        <f t="shared" si="68"/>
        <v>613.05000000000007</v>
      </c>
      <c r="P2063" s="17">
        <f t="shared" si="69"/>
        <v>613.05000000000007</v>
      </c>
      <c r="Q2063" t="str">
        <f>A2063&amp;"-"&amp;B2063&amp;"-"&amp;D2063</f>
        <v>MEI-MJ1-L3</v>
      </c>
    </row>
    <row r="2064" spans="1:17" x14ac:dyDescent="0.25">
      <c r="A2064" t="s">
        <v>395</v>
      </c>
      <c r="B2064" s="13" t="s">
        <v>25</v>
      </c>
      <c r="C2064" s="13" t="s">
        <v>43</v>
      </c>
      <c r="D2064" s="14" t="s">
        <v>56</v>
      </c>
      <c r="E2064" s="13" t="s">
        <v>179</v>
      </c>
      <c r="F2064" s="13" t="s">
        <v>943</v>
      </c>
      <c r="G2064" s="13">
        <v>3.6000000000000005</v>
      </c>
      <c r="H2064" s="15">
        <v>507</v>
      </c>
      <c r="I2064" s="16">
        <v>1825.2</v>
      </c>
      <c r="J2064" s="16">
        <v>4624.7012554606517</v>
      </c>
      <c r="K2064" s="16">
        <v>-2799.5012554606519</v>
      </c>
      <c r="L2064" s="13"/>
      <c r="M2064" s="13">
        <v>4.13</v>
      </c>
      <c r="N2064" s="17">
        <f t="shared" si="68"/>
        <v>0</v>
      </c>
      <c r="O2064" s="17">
        <f t="shared" si="68"/>
        <v>2093.91</v>
      </c>
      <c r="P2064" s="17">
        <f t="shared" si="69"/>
        <v>2093.91</v>
      </c>
      <c r="Q2064" t="str">
        <f>A2064&amp;"-"&amp;B2064&amp;"-"&amp;D2064</f>
        <v>MEI-MJ1-L3</v>
      </c>
    </row>
    <row r="2065" spans="1:17" x14ac:dyDescent="0.25">
      <c r="A2065" t="s">
        <v>395</v>
      </c>
      <c r="B2065" s="13" t="s">
        <v>25</v>
      </c>
      <c r="C2065" s="13" t="s">
        <v>43</v>
      </c>
      <c r="D2065" s="14" t="s">
        <v>56</v>
      </c>
      <c r="E2065" s="13" t="s">
        <v>179</v>
      </c>
      <c r="F2065" s="13" t="s">
        <v>774</v>
      </c>
      <c r="G2065" s="13">
        <v>3.6</v>
      </c>
      <c r="H2065" s="15">
        <v>46</v>
      </c>
      <c r="I2065" s="16">
        <v>165.6</v>
      </c>
      <c r="J2065" s="16">
        <v>142.53774787040919</v>
      </c>
      <c r="K2065" s="16">
        <v>23.062252129590817</v>
      </c>
      <c r="L2065" s="13"/>
      <c r="M2065" s="13">
        <v>3.75</v>
      </c>
      <c r="N2065" s="17">
        <f t="shared" si="68"/>
        <v>0</v>
      </c>
      <c r="O2065" s="17">
        <f t="shared" si="68"/>
        <v>172.5</v>
      </c>
      <c r="P2065" s="17">
        <f t="shared" si="69"/>
        <v>172.5</v>
      </c>
      <c r="Q2065" t="str">
        <f>A2065&amp;"-"&amp;B2065&amp;"-"&amp;D2065</f>
        <v>MEI-MJ1-L3</v>
      </c>
    </row>
    <row r="2066" spans="1:17" x14ac:dyDescent="0.25">
      <c r="A2066" t="s">
        <v>395</v>
      </c>
      <c r="B2066" s="13" t="s">
        <v>25</v>
      </c>
      <c r="C2066" s="13" t="s">
        <v>43</v>
      </c>
      <c r="D2066" s="14" t="s">
        <v>163</v>
      </c>
      <c r="E2066" s="13" t="s">
        <v>71</v>
      </c>
      <c r="F2066" s="13" t="s">
        <v>775</v>
      </c>
      <c r="G2066" s="13">
        <v>3.3700000000000006</v>
      </c>
      <c r="H2066" s="15">
        <v>428</v>
      </c>
      <c r="I2066" s="16">
        <v>1442.3599999999997</v>
      </c>
      <c r="J2066" s="16">
        <v>5314.3692141192141</v>
      </c>
      <c r="K2066" s="16">
        <v>-3872.0092141192144</v>
      </c>
      <c r="L2066" s="13"/>
      <c r="M2066" s="13">
        <v>4.07</v>
      </c>
      <c r="N2066" s="17">
        <f t="shared" si="68"/>
        <v>0</v>
      </c>
      <c r="O2066" s="17">
        <f t="shared" si="68"/>
        <v>1741.96</v>
      </c>
      <c r="P2066" s="17">
        <f t="shared" si="69"/>
        <v>1741.96</v>
      </c>
      <c r="Q2066" t="str">
        <f>A2066&amp;"-"&amp;B2066&amp;"-"&amp;D2066</f>
        <v>MEI-MJ1-L6</v>
      </c>
    </row>
    <row r="2067" spans="1:17" x14ac:dyDescent="0.25">
      <c r="A2067" t="s">
        <v>395</v>
      </c>
      <c r="B2067" s="13" t="s">
        <v>25</v>
      </c>
      <c r="C2067" s="13" t="s">
        <v>43</v>
      </c>
      <c r="D2067" s="14" t="s">
        <v>163</v>
      </c>
      <c r="E2067" s="13" t="s">
        <v>58</v>
      </c>
      <c r="F2067" s="13" t="s">
        <v>944</v>
      </c>
      <c r="G2067" s="13">
        <v>3.92</v>
      </c>
      <c r="H2067" s="15">
        <v>70</v>
      </c>
      <c r="I2067" s="16">
        <v>274.39999999999998</v>
      </c>
      <c r="J2067" s="16">
        <v>3345</v>
      </c>
      <c r="K2067" s="16">
        <v>-3070.6000000000004</v>
      </c>
      <c r="L2067" s="13"/>
      <c r="M2067" s="13">
        <v>4.05</v>
      </c>
      <c r="N2067" s="17">
        <f t="shared" si="68"/>
        <v>0</v>
      </c>
      <c r="O2067" s="17">
        <f t="shared" si="68"/>
        <v>283.5</v>
      </c>
      <c r="P2067" s="17">
        <f t="shared" si="69"/>
        <v>283.5</v>
      </c>
      <c r="Q2067" t="str">
        <f>A2067&amp;"-"&amp;B2067&amp;"-"&amp;D2067</f>
        <v>MEI-MJ1-L6</v>
      </c>
    </row>
    <row r="2068" spans="1:17" x14ac:dyDescent="0.25">
      <c r="A2068" t="s">
        <v>395</v>
      </c>
      <c r="B2068" s="13" t="s">
        <v>25</v>
      </c>
      <c r="C2068" s="13" t="s">
        <v>43</v>
      </c>
      <c r="D2068" s="14" t="s">
        <v>163</v>
      </c>
      <c r="E2068" s="13" t="s">
        <v>179</v>
      </c>
      <c r="F2068" s="13" t="s">
        <v>776</v>
      </c>
      <c r="G2068" s="13">
        <v>3.1999999999999997</v>
      </c>
      <c r="H2068" s="15">
        <v>1588</v>
      </c>
      <c r="I2068" s="16">
        <v>5081.6000000000004</v>
      </c>
      <c r="J2068" s="16">
        <v>8651.6311865218122</v>
      </c>
      <c r="K2068" s="16">
        <v>-3570.0311865218114</v>
      </c>
      <c r="L2068" s="13"/>
      <c r="M2068" s="13">
        <v>3.35</v>
      </c>
      <c r="N2068" s="17">
        <f t="shared" si="68"/>
        <v>0</v>
      </c>
      <c r="O2068" s="17">
        <f t="shared" si="68"/>
        <v>5319.8</v>
      </c>
      <c r="P2068" s="17">
        <f t="shared" si="69"/>
        <v>5319.8</v>
      </c>
      <c r="Q2068" t="str">
        <f>A2068&amp;"-"&amp;B2068&amp;"-"&amp;D2068</f>
        <v>MEI-MJ1-L6</v>
      </c>
    </row>
    <row r="2069" spans="1:17" x14ac:dyDescent="0.25">
      <c r="A2069" t="s">
        <v>395</v>
      </c>
      <c r="B2069" s="13" t="s">
        <v>25</v>
      </c>
      <c r="C2069" s="13" t="s">
        <v>43</v>
      </c>
      <c r="D2069" s="14" t="s">
        <v>163</v>
      </c>
      <c r="E2069" s="13" t="s">
        <v>179</v>
      </c>
      <c r="F2069" s="13" t="s">
        <v>630</v>
      </c>
      <c r="G2069" s="13">
        <v>3.6</v>
      </c>
      <c r="H2069" s="15">
        <v>42</v>
      </c>
      <c r="I2069" s="16">
        <v>151.19999999999999</v>
      </c>
      <c r="J2069" s="16">
        <v>243.90625</v>
      </c>
      <c r="K2069" s="16">
        <v>-92.706250000000011</v>
      </c>
      <c r="L2069" s="13"/>
      <c r="M2069" s="13">
        <v>3.75</v>
      </c>
      <c r="N2069" s="17">
        <f t="shared" si="68"/>
        <v>0</v>
      </c>
      <c r="O2069" s="17">
        <f t="shared" si="68"/>
        <v>157.5</v>
      </c>
      <c r="P2069" s="17">
        <f t="shared" si="69"/>
        <v>157.5</v>
      </c>
      <c r="Q2069" t="str">
        <f>A2069&amp;"-"&amp;B2069&amp;"-"&amp;D2069</f>
        <v>MEI-MJ1-L6</v>
      </c>
    </row>
    <row r="2070" spans="1:17" x14ac:dyDescent="0.25">
      <c r="A2070" t="s">
        <v>395</v>
      </c>
      <c r="B2070" s="13" t="s">
        <v>25</v>
      </c>
      <c r="C2070" s="13" t="s">
        <v>43</v>
      </c>
      <c r="D2070" s="14" t="s">
        <v>163</v>
      </c>
      <c r="E2070" s="13" t="s">
        <v>179</v>
      </c>
      <c r="F2070" s="13" t="s">
        <v>773</v>
      </c>
      <c r="G2070" s="13">
        <v>3.6</v>
      </c>
      <c r="H2070" s="15">
        <v>122</v>
      </c>
      <c r="I2070" s="16">
        <v>439.2</v>
      </c>
      <c r="J2070" s="16">
        <v>1657.4010416666665</v>
      </c>
      <c r="K2070" s="16">
        <v>-1218.2010416666667</v>
      </c>
      <c r="L2070" s="13"/>
      <c r="M2070" s="13">
        <v>3.75</v>
      </c>
      <c r="N2070" s="17">
        <f t="shared" ref="N2070:O2126" si="70">$H2070*L2070</f>
        <v>0</v>
      </c>
      <c r="O2070" s="17">
        <f t="shared" si="70"/>
        <v>457.5</v>
      </c>
      <c r="P2070" s="17">
        <f t="shared" si="69"/>
        <v>457.5</v>
      </c>
      <c r="Q2070" t="str">
        <f>A2070&amp;"-"&amp;B2070&amp;"-"&amp;D2070</f>
        <v>MEI-MJ1-L6</v>
      </c>
    </row>
    <row r="2071" spans="1:17" x14ac:dyDescent="0.25">
      <c r="A2071" t="s">
        <v>395</v>
      </c>
      <c r="B2071" s="13" t="s">
        <v>25</v>
      </c>
      <c r="C2071" s="13" t="s">
        <v>43</v>
      </c>
      <c r="D2071" s="14" t="s">
        <v>163</v>
      </c>
      <c r="E2071" s="13" t="s">
        <v>179</v>
      </c>
      <c r="F2071" s="13" t="s">
        <v>943</v>
      </c>
      <c r="G2071" s="13">
        <v>3.6</v>
      </c>
      <c r="H2071" s="15">
        <v>1076</v>
      </c>
      <c r="I2071" s="16">
        <v>3873.5999999999995</v>
      </c>
      <c r="J2071" s="16">
        <v>6432.6923076923076</v>
      </c>
      <c r="K2071" s="16">
        <v>-2559.0923076923077</v>
      </c>
      <c r="L2071" s="13"/>
      <c r="M2071" s="13">
        <v>4.13</v>
      </c>
      <c r="N2071" s="17">
        <f t="shared" si="70"/>
        <v>0</v>
      </c>
      <c r="O2071" s="17">
        <f t="shared" si="70"/>
        <v>4443.88</v>
      </c>
      <c r="P2071" s="17">
        <f t="shared" si="69"/>
        <v>4443.88</v>
      </c>
      <c r="Q2071" t="str">
        <f>A2071&amp;"-"&amp;B2071&amp;"-"&amp;D2071</f>
        <v>MEI-MJ1-L6</v>
      </c>
    </row>
    <row r="2072" spans="1:17" x14ac:dyDescent="0.25">
      <c r="A2072" t="s">
        <v>395</v>
      </c>
      <c r="B2072" s="13" t="s">
        <v>25</v>
      </c>
      <c r="C2072" s="13" t="s">
        <v>43</v>
      </c>
      <c r="D2072" s="14" t="s">
        <v>164</v>
      </c>
      <c r="E2072" s="13" t="s">
        <v>302</v>
      </c>
      <c r="F2072" s="13" t="s">
        <v>945</v>
      </c>
      <c r="G2072" s="13">
        <v>3.3799999999999994</v>
      </c>
      <c r="H2072" s="15">
        <v>1354</v>
      </c>
      <c r="I2072" s="16">
        <v>4576.5200000000013</v>
      </c>
      <c r="J2072" s="16">
        <v>4781.4672543251663</v>
      </c>
      <c r="K2072" s="16">
        <v>-204.94725432516634</v>
      </c>
      <c r="L2072" s="13"/>
      <c r="M2072" s="13">
        <v>3.5</v>
      </c>
      <c r="N2072" s="17">
        <f t="shared" si="70"/>
        <v>0</v>
      </c>
      <c r="O2072" s="17">
        <f t="shared" si="70"/>
        <v>4739</v>
      </c>
      <c r="P2072" s="17">
        <f t="shared" si="69"/>
        <v>4739</v>
      </c>
      <c r="Q2072" t="str">
        <f>A2072&amp;"-"&amp;B2072&amp;"-"&amp;D2072</f>
        <v>MEI-MJ1-L7</v>
      </c>
    </row>
    <row r="2073" spans="1:17" x14ac:dyDescent="0.25">
      <c r="A2073" t="s">
        <v>395</v>
      </c>
      <c r="B2073" s="13" t="s">
        <v>25</v>
      </c>
      <c r="C2073" s="13" t="s">
        <v>43</v>
      </c>
      <c r="D2073" s="14" t="s">
        <v>164</v>
      </c>
      <c r="E2073" s="13" t="s">
        <v>302</v>
      </c>
      <c r="F2073" s="13" t="s">
        <v>946</v>
      </c>
      <c r="G2073" s="13">
        <v>3.3799999999999994</v>
      </c>
      <c r="H2073" s="15">
        <v>2666</v>
      </c>
      <c r="I2073" s="16">
        <v>9011.08</v>
      </c>
      <c r="J2073" s="16">
        <v>7483.5327456748328</v>
      </c>
      <c r="K2073" s="16">
        <v>1527.5472543251667</v>
      </c>
      <c r="L2073" s="13"/>
      <c r="M2073" s="13">
        <v>3.5</v>
      </c>
      <c r="N2073" s="17">
        <f t="shared" si="70"/>
        <v>0</v>
      </c>
      <c r="O2073" s="17">
        <f t="shared" si="70"/>
        <v>9331</v>
      </c>
      <c r="P2073" s="17">
        <f t="shared" si="69"/>
        <v>9331</v>
      </c>
      <c r="Q2073" t="str">
        <f>A2073&amp;"-"&amp;B2073&amp;"-"&amp;D2073</f>
        <v>MEI-MJ1-L7</v>
      </c>
    </row>
    <row r="2074" spans="1:17" x14ac:dyDescent="0.25">
      <c r="A2074" t="s">
        <v>395</v>
      </c>
      <c r="B2074" s="13" t="s">
        <v>25</v>
      </c>
      <c r="C2074" s="13" t="s">
        <v>43</v>
      </c>
      <c r="D2074" s="14" t="s">
        <v>198</v>
      </c>
      <c r="E2074" s="13" t="s">
        <v>302</v>
      </c>
      <c r="F2074" s="13" t="s">
        <v>945</v>
      </c>
      <c r="G2074" s="13">
        <v>3.3800000000000003</v>
      </c>
      <c r="H2074" s="15">
        <v>675</v>
      </c>
      <c r="I2074" s="16">
        <v>2281.5</v>
      </c>
      <c r="J2074" s="16">
        <v>2823.4677419354839</v>
      </c>
      <c r="K2074" s="16">
        <v>-541.96774193548367</v>
      </c>
      <c r="L2074" s="13"/>
      <c r="M2074" s="13">
        <v>3.5</v>
      </c>
      <c r="N2074" s="17">
        <f t="shared" si="70"/>
        <v>0</v>
      </c>
      <c r="O2074" s="17">
        <f t="shared" si="70"/>
        <v>2362.5</v>
      </c>
      <c r="P2074" s="17">
        <f t="shared" si="69"/>
        <v>2362.5</v>
      </c>
      <c r="Q2074" t="str">
        <f>A2074&amp;"-"&amp;B2074&amp;"-"&amp;D2074</f>
        <v>MEI-MJ1-L8</v>
      </c>
    </row>
    <row r="2075" spans="1:17" x14ac:dyDescent="0.25">
      <c r="A2075" t="s">
        <v>395</v>
      </c>
      <c r="B2075" s="13" t="s">
        <v>25</v>
      </c>
      <c r="C2075" s="13" t="s">
        <v>43</v>
      </c>
      <c r="D2075" s="14" t="s">
        <v>198</v>
      </c>
      <c r="E2075" s="13" t="s">
        <v>302</v>
      </c>
      <c r="F2075" s="13" t="s">
        <v>946</v>
      </c>
      <c r="G2075" s="13">
        <v>3.3799999999999994</v>
      </c>
      <c r="H2075" s="15">
        <v>2459</v>
      </c>
      <c r="I2075" s="16">
        <v>8311.42</v>
      </c>
      <c r="J2075" s="16">
        <v>7211.5322580645161</v>
      </c>
      <c r="K2075" s="16">
        <v>1099.887741935484</v>
      </c>
      <c r="L2075" s="13"/>
      <c r="M2075" s="13">
        <v>3.5</v>
      </c>
      <c r="N2075" s="17">
        <f t="shared" si="70"/>
        <v>0</v>
      </c>
      <c r="O2075" s="17">
        <f t="shared" si="70"/>
        <v>8606.5</v>
      </c>
      <c r="P2075" s="17">
        <f t="shared" si="69"/>
        <v>8606.5</v>
      </c>
      <c r="Q2075" t="str">
        <f>A2075&amp;"-"&amp;B2075&amp;"-"&amp;D2075</f>
        <v>MEI-MJ1-L8</v>
      </c>
    </row>
    <row r="2076" spans="1:17" x14ac:dyDescent="0.25">
      <c r="A2076" t="s">
        <v>395</v>
      </c>
      <c r="B2076" s="13" t="s">
        <v>25</v>
      </c>
      <c r="C2076" s="13" t="s">
        <v>947</v>
      </c>
      <c r="D2076" s="14" t="s">
        <v>287</v>
      </c>
      <c r="E2076" s="13" t="s">
        <v>948</v>
      </c>
      <c r="F2076" s="13" t="s">
        <v>949</v>
      </c>
      <c r="G2076" s="13">
        <v>6.75</v>
      </c>
      <c r="H2076" s="15">
        <v>83</v>
      </c>
      <c r="I2076" s="16">
        <v>560.25</v>
      </c>
      <c r="J2076" s="16">
        <v>2094.848484848485</v>
      </c>
      <c r="K2076" s="16">
        <v>-1534.598484848485</v>
      </c>
      <c r="L2076" s="13"/>
      <c r="M2076" s="13">
        <v>6.75</v>
      </c>
      <c r="N2076" s="17">
        <f t="shared" si="70"/>
        <v>0</v>
      </c>
      <c r="O2076" s="17">
        <f t="shared" si="70"/>
        <v>560.25</v>
      </c>
      <c r="P2076" s="17">
        <f t="shared" si="69"/>
        <v>560.25</v>
      </c>
      <c r="Q2076" t="str">
        <f>A2076&amp;"-"&amp;B2076&amp;"-"&amp;D2076</f>
        <v>MEI-MJ1-L11</v>
      </c>
    </row>
    <row r="2077" spans="1:17" x14ac:dyDescent="0.25">
      <c r="A2077" t="s">
        <v>395</v>
      </c>
      <c r="B2077" s="13" t="s">
        <v>25</v>
      </c>
      <c r="C2077" s="13" t="s">
        <v>947</v>
      </c>
      <c r="D2077" s="14" t="s">
        <v>287</v>
      </c>
      <c r="E2077" s="13" t="s">
        <v>950</v>
      </c>
      <c r="F2077" s="13" t="s">
        <v>951</v>
      </c>
      <c r="G2077" s="13">
        <v>13.5</v>
      </c>
      <c r="H2077" s="15">
        <v>52</v>
      </c>
      <c r="I2077" s="16">
        <v>702</v>
      </c>
      <c r="J2077" s="16">
        <v>314.74883058775674</v>
      </c>
      <c r="K2077" s="16">
        <v>387.25116941224326</v>
      </c>
      <c r="L2077" s="13"/>
      <c r="M2077" s="13">
        <v>6.75</v>
      </c>
      <c r="N2077" s="17">
        <f t="shared" si="70"/>
        <v>0</v>
      </c>
      <c r="O2077" s="17">
        <f t="shared" si="70"/>
        <v>351</v>
      </c>
      <c r="P2077" s="17">
        <f t="shared" si="69"/>
        <v>351</v>
      </c>
      <c r="Q2077" t="str">
        <f>A2077&amp;"-"&amp;B2077&amp;"-"&amp;D2077</f>
        <v>MEI-MJ1-L11</v>
      </c>
    </row>
    <row r="2078" spans="1:17" x14ac:dyDescent="0.25">
      <c r="A2078" t="s">
        <v>395</v>
      </c>
      <c r="B2078" s="13" t="s">
        <v>25</v>
      </c>
      <c r="C2078" s="13" t="s">
        <v>947</v>
      </c>
      <c r="D2078" s="14" t="s">
        <v>160</v>
      </c>
      <c r="E2078" s="13" t="s">
        <v>948</v>
      </c>
      <c r="F2078" s="13" t="s">
        <v>949</v>
      </c>
      <c r="G2078" s="13">
        <v>6.75</v>
      </c>
      <c r="H2078" s="15">
        <v>179</v>
      </c>
      <c r="I2078" s="16">
        <v>1208.25</v>
      </c>
      <c r="J2078" s="16">
        <v>4141.4285714285716</v>
      </c>
      <c r="K2078" s="16">
        <v>-2933.1785714285716</v>
      </c>
      <c r="L2078" s="13"/>
      <c r="M2078" s="13">
        <v>6.75</v>
      </c>
      <c r="N2078" s="17">
        <f t="shared" si="70"/>
        <v>0</v>
      </c>
      <c r="O2078" s="17">
        <f t="shared" si="70"/>
        <v>1208.25</v>
      </c>
      <c r="P2078" s="17">
        <f t="shared" si="69"/>
        <v>1208.25</v>
      </c>
      <c r="Q2078" t="str">
        <f>A2078&amp;"-"&amp;B2078&amp;"-"&amp;D2078</f>
        <v>MEI-MJ1-L5</v>
      </c>
    </row>
    <row r="2079" spans="1:17" x14ac:dyDescent="0.25">
      <c r="A2079" t="s">
        <v>395</v>
      </c>
      <c r="B2079" s="13" t="s">
        <v>25</v>
      </c>
      <c r="C2079" s="13" t="s">
        <v>947</v>
      </c>
      <c r="D2079" s="14" t="s">
        <v>160</v>
      </c>
      <c r="E2079" s="13" t="s">
        <v>950</v>
      </c>
      <c r="F2079" s="13" t="s">
        <v>951</v>
      </c>
      <c r="G2079" s="13">
        <v>13.5</v>
      </c>
      <c r="H2079" s="15">
        <v>48</v>
      </c>
      <c r="I2079" s="16">
        <v>648</v>
      </c>
      <c r="J2079" s="16">
        <v>1433.5714285714284</v>
      </c>
      <c r="K2079" s="16">
        <v>-785.57142857142856</v>
      </c>
      <c r="L2079" s="13"/>
      <c r="M2079" s="13">
        <v>6.75</v>
      </c>
      <c r="N2079" s="17">
        <f t="shared" si="70"/>
        <v>0</v>
      </c>
      <c r="O2079" s="17">
        <f t="shared" si="70"/>
        <v>324</v>
      </c>
      <c r="P2079" s="17">
        <f t="shared" si="69"/>
        <v>324</v>
      </c>
      <c r="Q2079" t="str">
        <f>A2079&amp;"-"&amp;B2079&amp;"-"&amp;D2079</f>
        <v>MEI-MJ1-L5</v>
      </c>
    </row>
    <row r="2080" spans="1:17" x14ac:dyDescent="0.25">
      <c r="A2080" t="s">
        <v>395</v>
      </c>
      <c r="B2080" s="13" t="s">
        <v>25</v>
      </c>
      <c r="C2080" s="13" t="s">
        <v>952</v>
      </c>
      <c r="D2080" s="14" t="s">
        <v>160</v>
      </c>
      <c r="E2080" s="13" t="s">
        <v>953</v>
      </c>
      <c r="F2080" s="13" t="s">
        <v>954</v>
      </c>
      <c r="G2080" s="13">
        <v>12.47</v>
      </c>
      <c r="H2080" s="15">
        <v>0</v>
      </c>
      <c r="I2080" s="16">
        <v>0</v>
      </c>
      <c r="J2080" s="16">
        <v>0</v>
      </c>
      <c r="K2080" s="16">
        <v>0</v>
      </c>
      <c r="L2080" s="13"/>
      <c r="M2080" s="13">
        <v>20.239999999999998</v>
      </c>
      <c r="N2080" s="17">
        <f t="shared" si="70"/>
        <v>0</v>
      </c>
      <c r="O2080" s="17">
        <f t="shared" si="70"/>
        <v>0</v>
      </c>
      <c r="P2080" s="17">
        <f t="shared" si="69"/>
        <v>0</v>
      </c>
      <c r="Q2080" t="str">
        <f>A2080&amp;"-"&amp;B2080&amp;"-"&amp;D2080</f>
        <v>MEI-MJ1-L5</v>
      </c>
    </row>
    <row r="2081" spans="1:17" x14ac:dyDescent="0.25">
      <c r="A2081" t="s">
        <v>395</v>
      </c>
      <c r="B2081" s="13" t="s">
        <v>25</v>
      </c>
      <c r="C2081" s="13" t="s">
        <v>329</v>
      </c>
      <c r="D2081" s="14" t="s">
        <v>50</v>
      </c>
      <c r="E2081" s="13" t="s">
        <v>71</v>
      </c>
      <c r="F2081" s="13" t="s">
        <v>331</v>
      </c>
      <c r="G2081" s="13">
        <v>5</v>
      </c>
      <c r="H2081" s="15">
        <v>104</v>
      </c>
      <c r="I2081" s="16">
        <v>520</v>
      </c>
      <c r="J2081" s="16">
        <v>36.99652295977463</v>
      </c>
      <c r="K2081" s="16">
        <v>483.00347704022545</v>
      </c>
      <c r="L2081" s="13"/>
      <c r="M2081" s="13"/>
      <c r="N2081" s="17">
        <f t="shared" si="70"/>
        <v>0</v>
      </c>
      <c r="O2081" s="17">
        <f t="shared" si="70"/>
        <v>0</v>
      </c>
      <c r="P2081" s="17">
        <f t="shared" si="69"/>
        <v>0</v>
      </c>
      <c r="Q2081" t="str">
        <f>A2081&amp;"-"&amp;B2081&amp;"-"&amp;D2081</f>
        <v>MEI-MJ1-L2</v>
      </c>
    </row>
    <row r="2082" spans="1:17" x14ac:dyDescent="0.25">
      <c r="A2082" t="s">
        <v>395</v>
      </c>
      <c r="B2082" s="13" t="s">
        <v>25</v>
      </c>
      <c r="C2082" s="13" t="s">
        <v>329</v>
      </c>
      <c r="D2082" s="14" t="s">
        <v>50</v>
      </c>
      <c r="E2082" s="13" t="s">
        <v>71</v>
      </c>
      <c r="F2082" s="13" t="s">
        <v>332</v>
      </c>
      <c r="G2082" s="13">
        <v>5</v>
      </c>
      <c r="H2082" s="15">
        <v>194</v>
      </c>
      <c r="I2082" s="16">
        <v>970</v>
      </c>
      <c r="J2082" s="16">
        <v>76.949965333105382</v>
      </c>
      <c r="K2082" s="16">
        <v>893.05003466689459</v>
      </c>
      <c r="L2082" s="13"/>
      <c r="M2082" s="13">
        <v>6.15</v>
      </c>
      <c r="N2082" s="17">
        <f t="shared" si="70"/>
        <v>0</v>
      </c>
      <c r="O2082" s="17">
        <f t="shared" si="70"/>
        <v>1193.1000000000001</v>
      </c>
      <c r="P2082" s="17">
        <f t="shared" si="69"/>
        <v>1193.1000000000001</v>
      </c>
      <c r="Q2082" t="str">
        <f>A2082&amp;"-"&amp;B2082&amp;"-"&amp;D2082</f>
        <v>MEI-MJ1-L2</v>
      </c>
    </row>
    <row r="2083" spans="1:17" x14ac:dyDescent="0.25">
      <c r="A2083" t="s">
        <v>395</v>
      </c>
      <c r="B2083" s="13" t="s">
        <v>25</v>
      </c>
      <c r="C2083" s="13" t="s">
        <v>329</v>
      </c>
      <c r="D2083" s="14" t="s">
        <v>56</v>
      </c>
      <c r="E2083" s="13" t="s">
        <v>71</v>
      </c>
      <c r="F2083" s="13" t="s">
        <v>333</v>
      </c>
      <c r="G2083" s="13">
        <v>5</v>
      </c>
      <c r="H2083" s="15">
        <v>2011</v>
      </c>
      <c r="I2083" s="16">
        <v>10055</v>
      </c>
      <c r="J2083" s="16">
        <v>10726.472868217053</v>
      </c>
      <c r="K2083" s="16">
        <v>-671.47286821705427</v>
      </c>
      <c r="L2083" s="13"/>
      <c r="M2083" s="13">
        <v>6.95</v>
      </c>
      <c r="N2083" s="17">
        <f t="shared" si="70"/>
        <v>0</v>
      </c>
      <c r="O2083" s="17">
        <f t="shared" si="70"/>
        <v>13976.45</v>
      </c>
      <c r="P2083" s="17">
        <f t="shared" si="69"/>
        <v>13976.45</v>
      </c>
      <c r="Q2083" t="str">
        <f>A2083&amp;"-"&amp;B2083&amp;"-"&amp;D2083</f>
        <v>MEI-MJ1-L3</v>
      </c>
    </row>
    <row r="2084" spans="1:17" x14ac:dyDescent="0.25">
      <c r="A2084" t="s">
        <v>395</v>
      </c>
      <c r="B2084" s="13" t="s">
        <v>25</v>
      </c>
      <c r="C2084" s="13" t="s">
        <v>329</v>
      </c>
      <c r="D2084" s="14" t="s">
        <v>158</v>
      </c>
      <c r="E2084" s="13" t="s">
        <v>71</v>
      </c>
      <c r="F2084" s="13" t="s">
        <v>333</v>
      </c>
      <c r="G2084" s="13">
        <v>5</v>
      </c>
      <c r="H2084" s="15">
        <v>2438</v>
      </c>
      <c r="I2084" s="16">
        <v>12190</v>
      </c>
      <c r="J2084" s="16">
        <v>11150</v>
      </c>
      <c r="K2084" s="16">
        <v>1040</v>
      </c>
      <c r="L2084" s="13"/>
      <c r="M2084" s="13">
        <v>6.95</v>
      </c>
      <c r="N2084" s="17">
        <f t="shared" si="70"/>
        <v>0</v>
      </c>
      <c r="O2084" s="17">
        <f t="shared" si="70"/>
        <v>16944.100000000002</v>
      </c>
      <c r="P2084" s="17">
        <f t="shared" si="69"/>
        <v>16944.100000000002</v>
      </c>
      <c r="Q2084" t="str">
        <f>A2084&amp;"-"&amp;B2084&amp;"-"&amp;D2084</f>
        <v>MEI-MJ1-L4</v>
      </c>
    </row>
    <row r="2085" spans="1:17" x14ac:dyDescent="0.25">
      <c r="A2085" t="s">
        <v>395</v>
      </c>
      <c r="B2085" s="13" t="s">
        <v>25</v>
      </c>
      <c r="C2085" s="13" t="s">
        <v>955</v>
      </c>
      <c r="D2085" s="14" t="s">
        <v>50</v>
      </c>
      <c r="E2085" s="13" t="s">
        <v>956</v>
      </c>
      <c r="F2085" s="13" t="s">
        <v>957</v>
      </c>
      <c r="G2085" s="13">
        <v>4.9800000000000004</v>
      </c>
      <c r="H2085" s="15">
        <v>80</v>
      </c>
      <c r="I2085" s="16">
        <v>398.4</v>
      </c>
      <c r="J2085" s="16">
        <v>1115</v>
      </c>
      <c r="K2085" s="16">
        <v>-716.6</v>
      </c>
      <c r="L2085" s="13"/>
      <c r="M2085" s="13">
        <v>6.34</v>
      </c>
      <c r="N2085" s="17">
        <f t="shared" si="70"/>
        <v>0</v>
      </c>
      <c r="O2085" s="17">
        <f t="shared" si="70"/>
        <v>507.2</v>
      </c>
      <c r="P2085" s="17">
        <f t="shared" si="69"/>
        <v>507.2</v>
      </c>
      <c r="Q2085" t="str">
        <f>A2085&amp;"-"&amp;B2085&amp;"-"&amp;D2085</f>
        <v>MEI-MJ1-L2</v>
      </c>
    </row>
    <row r="2086" spans="1:17" x14ac:dyDescent="0.25">
      <c r="A2086" t="s">
        <v>395</v>
      </c>
      <c r="B2086" s="13" t="s">
        <v>26</v>
      </c>
      <c r="C2086" s="13" t="s">
        <v>226</v>
      </c>
      <c r="D2086" s="14" t="s">
        <v>44</v>
      </c>
      <c r="E2086" s="13" t="s">
        <v>61</v>
      </c>
      <c r="F2086" s="13" t="s">
        <v>958</v>
      </c>
      <c r="G2086" s="13">
        <v>0.65000000000000013</v>
      </c>
      <c r="H2086" s="15">
        <v>4460</v>
      </c>
      <c r="I2086" s="16">
        <v>2899</v>
      </c>
      <c r="J2086" s="16">
        <v>10922.097792582281</v>
      </c>
      <c r="K2086" s="16">
        <v>-8023.0977925822808</v>
      </c>
      <c r="L2086" s="13">
        <v>1.66</v>
      </c>
      <c r="M2086" s="13"/>
      <c r="N2086" s="17">
        <f t="shared" si="70"/>
        <v>7403.5999999999995</v>
      </c>
      <c r="O2086" s="17">
        <f t="shared" si="70"/>
        <v>0</v>
      </c>
      <c r="P2086" s="17">
        <f t="shared" si="69"/>
        <v>7403.5999999999995</v>
      </c>
      <c r="Q2086" t="str">
        <f>A2086&amp;"-"&amp;B2086&amp;"-"&amp;D2086</f>
        <v>MEI-MJ2-L1</v>
      </c>
    </row>
    <row r="2087" spans="1:17" x14ac:dyDescent="0.25">
      <c r="A2087" t="s">
        <v>395</v>
      </c>
      <c r="B2087" s="13" t="s">
        <v>26</v>
      </c>
      <c r="C2087" s="13" t="s">
        <v>226</v>
      </c>
      <c r="D2087" s="14" t="s">
        <v>44</v>
      </c>
      <c r="E2087" s="13" t="s">
        <v>61</v>
      </c>
      <c r="F2087" s="13" t="s">
        <v>959</v>
      </c>
      <c r="G2087" s="13">
        <v>0.65</v>
      </c>
      <c r="H2087" s="15">
        <v>465</v>
      </c>
      <c r="I2087" s="16">
        <v>302.25</v>
      </c>
      <c r="J2087" s="16">
        <v>504.18539325842704</v>
      </c>
      <c r="K2087" s="16">
        <v>-201.93539325842704</v>
      </c>
      <c r="L2087" s="13">
        <v>1.64</v>
      </c>
      <c r="M2087" s="13"/>
      <c r="N2087" s="17">
        <f t="shared" si="70"/>
        <v>762.59999999999991</v>
      </c>
      <c r="O2087" s="17">
        <f t="shared" si="70"/>
        <v>0</v>
      </c>
      <c r="P2087" s="17">
        <f t="shared" si="69"/>
        <v>762.59999999999991</v>
      </c>
      <c r="Q2087" t="str">
        <f>A2087&amp;"-"&amp;B2087&amp;"-"&amp;D2087</f>
        <v>MEI-MJ2-L1</v>
      </c>
    </row>
    <row r="2088" spans="1:17" x14ac:dyDescent="0.25">
      <c r="A2088" t="s">
        <v>395</v>
      </c>
      <c r="B2088" s="13" t="s">
        <v>26</v>
      </c>
      <c r="C2088" s="13" t="s">
        <v>226</v>
      </c>
      <c r="D2088" s="14" t="s">
        <v>301</v>
      </c>
      <c r="E2088" s="13" t="s">
        <v>61</v>
      </c>
      <c r="F2088" s="13" t="s">
        <v>960</v>
      </c>
      <c r="G2088" s="13">
        <v>0.68</v>
      </c>
      <c r="H2088" s="15">
        <v>1533</v>
      </c>
      <c r="I2088" s="16">
        <v>1042.44</v>
      </c>
      <c r="J2088" s="16">
        <v>1405.3721817671608</v>
      </c>
      <c r="K2088" s="16">
        <v>-362.93218176716067</v>
      </c>
      <c r="L2088" s="13">
        <v>1.82</v>
      </c>
      <c r="M2088" s="13"/>
      <c r="N2088" s="17">
        <f t="shared" si="70"/>
        <v>2790.06</v>
      </c>
      <c r="O2088" s="17">
        <f t="shared" si="70"/>
        <v>0</v>
      </c>
      <c r="P2088" s="17">
        <f t="shared" si="69"/>
        <v>2790.06</v>
      </c>
      <c r="Q2088" t="str">
        <f>A2088&amp;"-"&amp;B2088&amp;"-"&amp;D2088</f>
        <v>MEI-MJ2-L10</v>
      </c>
    </row>
    <row r="2089" spans="1:17" x14ac:dyDescent="0.25">
      <c r="A2089" t="s">
        <v>395</v>
      </c>
      <c r="B2089" s="13" t="s">
        <v>26</v>
      </c>
      <c r="C2089" s="13" t="s">
        <v>226</v>
      </c>
      <c r="D2089" s="14" t="s">
        <v>301</v>
      </c>
      <c r="E2089" s="13" t="s">
        <v>61</v>
      </c>
      <c r="F2089" s="13" t="s">
        <v>961</v>
      </c>
      <c r="G2089" s="13">
        <v>0.66</v>
      </c>
      <c r="H2089" s="15">
        <v>29</v>
      </c>
      <c r="I2089" s="16">
        <v>19.14</v>
      </c>
      <c r="J2089" s="16">
        <v>19.777385159010599</v>
      </c>
      <c r="K2089" s="16">
        <v>-0.63738515901059856</v>
      </c>
      <c r="L2089" s="13">
        <v>1.97</v>
      </c>
      <c r="M2089" s="13"/>
      <c r="N2089" s="17">
        <f t="shared" si="70"/>
        <v>57.13</v>
      </c>
      <c r="O2089" s="17">
        <f t="shared" si="70"/>
        <v>0</v>
      </c>
      <c r="P2089" s="17">
        <f t="shared" si="69"/>
        <v>57.13</v>
      </c>
      <c r="Q2089" t="str">
        <f>A2089&amp;"-"&amp;B2089&amp;"-"&amp;D2089</f>
        <v>MEI-MJ2-L10</v>
      </c>
    </row>
    <row r="2090" spans="1:17" x14ac:dyDescent="0.25">
      <c r="A2090" t="s">
        <v>395</v>
      </c>
      <c r="B2090" s="13" t="s">
        <v>26</v>
      </c>
      <c r="C2090" s="13" t="s">
        <v>226</v>
      </c>
      <c r="D2090" s="14" t="s">
        <v>301</v>
      </c>
      <c r="E2090" s="13" t="s">
        <v>61</v>
      </c>
      <c r="F2090" s="13" t="s">
        <v>962</v>
      </c>
      <c r="G2090" s="13">
        <v>0.68</v>
      </c>
      <c r="H2090" s="15">
        <v>3175</v>
      </c>
      <c r="I2090" s="16">
        <v>2159</v>
      </c>
      <c r="J2090" s="16">
        <v>2381.7773555274052</v>
      </c>
      <c r="K2090" s="16">
        <v>-222.77735552740546</v>
      </c>
      <c r="L2090" s="13">
        <v>1.82</v>
      </c>
      <c r="M2090" s="13"/>
      <c r="N2090" s="17">
        <f t="shared" si="70"/>
        <v>5778.5</v>
      </c>
      <c r="O2090" s="17">
        <f t="shared" si="70"/>
        <v>0</v>
      </c>
      <c r="P2090" s="17">
        <f t="shared" si="69"/>
        <v>5778.5</v>
      </c>
      <c r="Q2090" t="str">
        <f>A2090&amp;"-"&amp;B2090&amp;"-"&amp;D2090</f>
        <v>MEI-MJ2-L10</v>
      </c>
    </row>
    <row r="2091" spans="1:17" x14ac:dyDescent="0.25">
      <c r="A2091" t="s">
        <v>395</v>
      </c>
      <c r="B2091" s="13" t="s">
        <v>26</v>
      </c>
      <c r="C2091" s="13" t="s">
        <v>226</v>
      </c>
      <c r="D2091" s="14" t="s">
        <v>301</v>
      </c>
      <c r="E2091" s="13" t="s">
        <v>61</v>
      </c>
      <c r="F2091" s="13" t="s">
        <v>963</v>
      </c>
      <c r="G2091" s="13">
        <v>0.70000000000000007</v>
      </c>
      <c r="H2091" s="15">
        <v>8333</v>
      </c>
      <c r="I2091" s="16">
        <v>5833.1</v>
      </c>
      <c r="J2091" s="16">
        <v>4204.2605545932984</v>
      </c>
      <c r="K2091" s="16">
        <v>1628.8394454067015</v>
      </c>
      <c r="L2091" s="13">
        <v>1.3</v>
      </c>
      <c r="M2091" s="13"/>
      <c r="N2091" s="17">
        <f t="shared" si="70"/>
        <v>10832.9</v>
      </c>
      <c r="O2091" s="17">
        <f t="shared" si="70"/>
        <v>0</v>
      </c>
      <c r="P2091" s="17">
        <f t="shared" si="69"/>
        <v>10832.9</v>
      </c>
      <c r="Q2091" t="str">
        <f>A2091&amp;"-"&amp;B2091&amp;"-"&amp;D2091</f>
        <v>MEI-MJ2-L10</v>
      </c>
    </row>
    <row r="2092" spans="1:17" x14ac:dyDescent="0.25">
      <c r="A2092" t="s">
        <v>395</v>
      </c>
      <c r="B2092" s="13" t="s">
        <v>26</v>
      </c>
      <c r="C2092" s="13" t="s">
        <v>226</v>
      </c>
      <c r="D2092" s="14" t="s">
        <v>301</v>
      </c>
      <c r="E2092" s="13" t="s">
        <v>61</v>
      </c>
      <c r="F2092" s="13" t="s">
        <v>778</v>
      </c>
      <c r="G2092" s="13">
        <v>0.70000000000000007</v>
      </c>
      <c r="H2092" s="15">
        <v>5849</v>
      </c>
      <c r="I2092" s="16">
        <v>4094.3</v>
      </c>
      <c r="J2092" s="16">
        <v>3006.929602198823</v>
      </c>
      <c r="K2092" s="16">
        <v>1087.3703978011772</v>
      </c>
      <c r="L2092" s="13">
        <v>1.3</v>
      </c>
      <c r="M2092" s="13"/>
      <c r="N2092" s="17">
        <f t="shared" si="70"/>
        <v>7603.7</v>
      </c>
      <c r="O2092" s="17">
        <f t="shared" si="70"/>
        <v>0</v>
      </c>
      <c r="P2092" s="17">
        <f t="shared" si="69"/>
        <v>7603.7</v>
      </c>
      <c r="Q2092" t="str">
        <f>A2092&amp;"-"&amp;B2092&amp;"-"&amp;D2092</f>
        <v>MEI-MJ2-L10</v>
      </c>
    </row>
    <row r="2093" spans="1:17" x14ac:dyDescent="0.25">
      <c r="A2093" t="s">
        <v>395</v>
      </c>
      <c r="B2093" s="13" t="s">
        <v>26</v>
      </c>
      <c r="C2093" s="13" t="s">
        <v>226</v>
      </c>
      <c r="D2093" s="14" t="s">
        <v>301</v>
      </c>
      <c r="E2093" s="13" t="s">
        <v>61</v>
      </c>
      <c r="F2093" s="13" t="s">
        <v>964</v>
      </c>
      <c r="G2093" s="13">
        <v>0.69999999999999984</v>
      </c>
      <c r="H2093" s="15">
        <v>4293</v>
      </c>
      <c r="I2093" s="16">
        <v>3005.1000000000004</v>
      </c>
      <c r="J2093" s="16">
        <v>2418.5758374305824</v>
      </c>
      <c r="K2093" s="16">
        <v>586.52416256941751</v>
      </c>
      <c r="L2093" s="13">
        <v>1.3</v>
      </c>
      <c r="M2093" s="13"/>
      <c r="N2093" s="17">
        <f t="shared" si="70"/>
        <v>5580.9000000000005</v>
      </c>
      <c r="O2093" s="17">
        <f t="shared" si="70"/>
        <v>0</v>
      </c>
      <c r="P2093" s="17">
        <f t="shared" si="69"/>
        <v>5580.9000000000005</v>
      </c>
      <c r="Q2093" t="str">
        <f>A2093&amp;"-"&amp;B2093&amp;"-"&amp;D2093</f>
        <v>MEI-MJ2-L10</v>
      </c>
    </row>
    <row r="2094" spans="1:17" x14ac:dyDescent="0.25">
      <c r="A2094" t="s">
        <v>395</v>
      </c>
      <c r="B2094" s="13" t="s">
        <v>26</v>
      </c>
      <c r="C2094" s="13" t="s">
        <v>226</v>
      </c>
      <c r="D2094" s="14" t="s">
        <v>301</v>
      </c>
      <c r="E2094" s="13" t="s">
        <v>61</v>
      </c>
      <c r="F2094" s="13" t="s">
        <v>779</v>
      </c>
      <c r="G2094" s="13">
        <v>0.78000000000000014</v>
      </c>
      <c r="H2094" s="15">
        <v>442</v>
      </c>
      <c r="I2094" s="16">
        <v>344.76</v>
      </c>
      <c r="J2094" s="16">
        <v>316.25318023868346</v>
      </c>
      <c r="K2094" s="16">
        <v>28.506819761316535</v>
      </c>
      <c r="L2094" s="13">
        <v>2</v>
      </c>
      <c r="M2094" s="13"/>
      <c r="N2094" s="17">
        <f t="shared" si="70"/>
        <v>884</v>
      </c>
      <c r="O2094" s="17">
        <f t="shared" si="70"/>
        <v>0</v>
      </c>
      <c r="P2094" s="17">
        <f t="shared" si="69"/>
        <v>884</v>
      </c>
      <c r="Q2094" t="str">
        <f>A2094&amp;"-"&amp;B2094&amp;"-"&amp;D2094</f>
        <v>MEI-MJ2-L10</v>
      </c>
    </row>
    <row r="2095" spans="1:17" x14ac:dyDescent="0.25">
      <c r="A2095" t="s">
        <v>395</v>
      </c>
      <c r="B2095" s="13" t="s">
        <v>26</v>
      </c>
      <c r="C2095" s="13" t="s">
        <v>226</v>
      </c>
      <c r="D2095" s="14" t="s">
        <v>301</v>
      </c>
      <c r="E2095" s="13" t="s">
        <v>61</v>
      </c>
      <c r="F2095" s="13" t="s">
        <v>780</v>
      </c>
      <c r="G2095" s="13">
        <v>0.76</v>
      </c>
      <c r="H2095" s="15">
        <v>51</v>
      </c>
      <c r="I2095" s="16">
        <v>38.76</v>
      </c>
      <c r="J2095" s="16">
        <v>27.076093910370055</v>
      </c>
      <c r="K2095" s="16">
        <v>11.683906089629945</v>
      </c>
      <c r="L2095" s="13">
        <v>2.15</v>
      </c>
      <c r="M2095" s="13"/>
      <c r="N2095" s="17">
        <f t="shared" si="70"/>
        <v>109.64999999999999</v>
      </c>
      <c r="O2095" s="17">
        <f t="shared" si="70"/>
        <v>0</v>
      </c>
      <c r="P2095" s="17">
        <f t="shared" si="69"/>
        <v>109.64999999999999</v>
      </c>
      <c r="Q2095" t="str">
        <f>A2095&amp;"-"&amp;B2095&amp;"-"&amp;D2095</f>
        <v>MEI-MJ2-L10</v>
      </c>
    </row>
    <row r="2096" spans="1:17" x14ac:dyDescent="0.25">
      <c r="A2096" t="s">
        <v>395</v>
      </c>
      <c r="B2096" s="13" t="s">
        <v>26</v>
      </c>
      <c r="C2096" s="13" t="s">
        <v>226</v>
      </c>
      <c r="D2096" s="14" t="s">
        <v>301</v>
      </c>
      <c r="E2096" s="13" t="s">
        <v>61</v>
      </c>
      <c r="F2096" s="13" t="s">
        <v>781</v>
      </c>
      <c r="G2096" s="13">
        <v>0.77999999999999992</v>
      </c>
      <c r="H2096" s="15">
        <v>199</v>
      </c>
      <c r="I2096" s="16">
        <v>155.22</v>
      </c>
      <c r="J2096" s="16">
        <v>196.00360161709048</v>
      </c>
      <c r="K2096" s="16">
        <v>-40.783601617090483</v>
      </c>
      <c r="L2096" s="13">
        <v>2</v>
      </c>
      <c r="M2096" s="13"/>
      <c r="N2096" s="17">
        <f t="shared" si="70"/>
        <v>398</v>
      </c>
      <c r="O2096" s="17">
        <f t="shared" si="70"/>
        <v>0</v>
      </c>
      <c r="P2096" s="17">
        <f t="shared" si="69"/>
        <v>398</v>
      </c>
      <c r="Q2096" t="str">
        <f>A2096&amp;"-"&amp;B2096&amp;"-"&amp;D2096</f>
        <v>MEI-MJ2-L10</v>
      </c>
    </row>
    <row r="2097" spans="1:17" x14ac:dyDescent="0.25">
      <c r="A2097" t="s">
        <v>395</v>
      </c>
      <c r="B2097" s="13" t="s">
        <v>26</v>
      </c>
      <c r="C2097" s="13" t="s">
        <v>226</v>
      </c>
      <c r="D2097" s="14" t="s">
        <v>301</v>
      </c>
      <c r="E2097" s="13" t="s">
        <v>61</v>
      </c>
      <c r="F2097" s="13" t="s">
        <v>788</v>
      </c>
      <c r="G2097" s="13">
        <v>0.79</v>
      </c>
      <c r="H2097" s="15">
        <v>8</v>
      </c>
      <c r="I2097" s="16">
        <v>6.32</v>
      </c>
      <c r="J2097" s="16">
        <v>3.9905841338241013</v>
      </c>
      <c r="K2097" s="16">
        <v>2.329415866175899</v>
      </c>
      <c r="L2097" s="13">
        <v>2.42</v>
      </c>
      <c r="M2097" s="13"/>
      <c r="N2097" s="17">
        <f t="shared" si="70"/>
        <v>19.36</v>
      </c>
      <c r="O2097" s="17">
        <f t="shared" si="70"/>
        <v>0</v>
      </c>
      <c r="P2097" s="17">
        <f t="shared" si="69"/>
        <v>19.36</v>
      </c>
      <c r="Q2097" t="str">
        <f>A2097&amp;"-"&amp;B2097&amp;"-"&amp;D2097</f>
        <v>MEI-MJ2-L10</v>
      </c>
    </row>
    <row r="2098" spans="1:17" x14ac:dyDescent="0.25">
      <c r="A2098" t="s">
        <v>395</v>
      </c>
      <c r="B2098" s="13" t="s">
        <v>26</v>
      </c>
      <c r="C2098" s="13" t="s">
        <v>226</v>
      </c>
      <c r="D2098" s="14" t="s">
        <v>301</v>
      </c>
      <c r="E2098" s="13" t="s">
        <v>61</v>
      </c>
      <c r="F2098" s="13" t="s">
        <v>965</v>
      </c>
      <c r="G2098" s="13">
        <v>0.79</v>
      </c>
      <c r="H2098" s="15">
        <v>2</v>
      </c>
      <c r="I2098" s="16">
        <v>1.58</v>
      </c>
      <c r="J2098" s="16">
        <v>1.20625</v>
      </c>
      <c r="K2098" s="16">
        <v>0.37375000000000003</v>
      </c>
      <c r="L2098" s="13">
        <v>2.42</v>
      </c>
      <c r="M2098" s="13"/>
      <c r="N2098" s="17">
        <f t="shared" si="70"/>
        <v>4.84</v>
      </c>
      <c r="O2098" s="17">
        <f t="shared" si="70"/>
        <v>0</v>
      </c>
      <c r="P2098" s="17">
        <f t="shared" si="69"/>
        <v>4.84</v>
      </c>
      <c r="Q2098" t="str">
        <f>A2098&amp;"-"&amp;B2098&amp;"-"&amp;D2098</f>
        <v>MEI-MJ2-L10</v>
      </c>
    </row>
    <row r="2099" spans="1:17" x14ac:dyDescent="0.25">
      <c r="A2099" t="s">
        <v>395</v>
      </c>
      <c r="B2099" s="13" t="s">
        <v>26</v>
      </c>
      <c r="C2099" s="13" t="s">
        <v>226</v>
      </c>
      <c r="D2099" s="14" t="s">
        <v>301</v>
      </c>
      <c r="E2099" s="13" t="s">
        <v>61</v>
      </c>
      <c r="F2099" s="13" t="s">
        <v>966</v>
      </c>
      <c r="G2099" s="13">
        <v>0.79</v>
      </c>
      <c r="H2099" s="15">
        <v>290</v>
      </c>
      <c r="I2099" s="16">
        <v>229.1</v>
      </c>
      <c r="J2099" s="16">
        <v>160.00067812934509</v>
      </c>
      <c r="K2099" s="16">
        <v>69.09932187065489</v>
      </c>
      <c r="L2099" s="13">
        <v>2.42</v>
      </c>
      <c r="M2099" s="13"/>
      <c r="N2099" s="17">
        <f t="shared" si="70"/>
        <v>701.8</v>
      </c>
      <c r="O2099" s="17">
        <f t="shared" si="70"/>
        <v>0</v>
      </c>
      <c r="P2099" s="17">
        <f t="shared" si="69"/>
        <v>701.8</v>
      </c>
      <c r="Q2099" t="str">
        <f>A2099&amp;"-"&amp;B2099&amp;"-"&amp;D2099</f>
        <v>MEI-MJ2-L10</v>
      </c>
    </row>
    <row r="2100" spans="1:17" x14ac:dyDescent="0.25">
      <c r="A2100" t="s">
        <v>395</v>
      </c>
      <c r="B2100" s="13" t="s">
        <v>26</v>
      </c>
      <c r="C2100" s="13" t="s">
        <v>226</v>
      </c>
      <c r="D2100" s="14" t="s">
        <v>301</v>
      </c>
      <c r="E2100" s="13" t="s">
        <v>61</v>
      </c>
      <c r="F2100" s="13" t="s">
        <v>967</v>
      </c>
      <c r="G2100" s="13">
        <v>0.79</v>
      </c>
      <c r="H2100" s="15">
        <v>569</v>
      </c>
      <c r="I2100" s="16">
        <v>449.51</v>
      </c>
      <c r="J2100" s="16">
        <v>325.58532920651339</v>
      </c>
      <c r="K2100" s="16">
        <v>123.92467079348657</v>
      </c>
      <c r="L2100" s="13">
        <v>2.42</v>
      </c>
      <c r="M2100" s="13"/>
      <c r="N2100" s="17">
        <f t="shared" si="70"/>
        <v>1376.98</v>
      </c>
      <c r="O2100" s="17">
        <f t="shared" si="70"/>
        <v>0</v>
      </c>
      <c r="P2100" s="17">
        <f t="shared" si="69"/>
        <v>1376.98</v>
      </c>
      <c r="Q2100" t="str">
        <f>A2100&amp;"-"&amp;B2100&amp;"-"&amp;D2100</f>
        <v>MEI-MJ2-L10</v>
      </c>
    </row>
    <row r="2101" spans="1:17" x14ac:dyDescent="0.25">
      <c r="A2101" t="s">
        <v>395</v>
      </c>
      <c r="B2101" s="13" t="s">
        <v>26</v>
      </c>
      <c r="C2101" s="13" t="s">
        <v>226</v>
      </c>
      <c r="D2101" s="14" t="s">
        <v>301</v>
      </c>
      <c r="E2101" s="13" t="s">
        <v>61</v>
      </c>
      <c r="F2101" s="13" t="s">
        <v>968</v>
      </c>
      <c r="G2101" s="13">
        <v>0.79</v>
      </c>
      <c r="H2101" s="15">
        <v>502</v>
      </c>
      <c r="I2101" s="16">
        <v>396.58000000000004</v>
      </c>
      <c r="J2101" s="16">
        <v>360.38274629618957</v>
      </c>
      <c r="K2101" s="16">
        <v>36.197253703810475</v>
      </c>
      <c r="L2101" s="13">
        <v>2.42</v>
      </c>
      <c r="M2101" s="13"/>
      <c r="N2101" s="17">
        <f t="shared" si="70"/>
        <v>1214.8399999999999</v>
      </c>
      <c r="O2101" s="17">
        <f t="shared" si="70"/>
        <v>0</v>
      </c>
      <c r="P2101" s="17">
        <f t="shared" si="69"/>
        <v>1214.8399999999999</v>
      </c>
      <c r="Q2101" t="str">
        <f>A2101&amp;"-"&amp;B2101&amp;"-"&amp;D2101</f>
        <v>MEI-MJ2-L10</v>
      </c>
    </row>
    <row r="2102" spans="1:17" x14ac:dyDescent="0.25">
      <c r="A2102" t="s">
        <v>395</v>
      </c>
      <c r="B2102" s="13" t="s">
        <v>26</v>
      </c>
      <c r="C2102" s="13" t="s">
        <v>226</v>
      </c>
      <c r="D2102" s="14" t="s">
        <v>301</v>
      </c>
      <c r="E2102" s="13" t="s">
        <v>61</v>
      </c>
      <c r="F2102" s="13" t="s">
        <v>969</v>
      </c>
      <c r="G2102" s="13">
        <v>0.79</v>
      </c>
      <c r="H2102" s="15">
        <v>1088</v>
      </c>
      <c r="I2102" s="16">
        <v>859.52</v>
      </c>
      <c r="J2102" s="16">
        <v>626.58267261342235</v>
      </c>
      <c r="K2102" s="16">
        <v>232.93732738657775</v>
      </c>
      <c r="L2102" s="13">
        <v>2.42</v>
      </c>
      <c r="M2102" s="13"/>
      <c r="N2102" s="17">
        <f t="shared" si="70"/>
        <v>2632.96</v>
      </c>
      <c r="O2102" s="17">
        <f t="shared" si="70"/>
        <v>0</v>
      </c>
      <c r="P2102" s="17">
        <f t="shared" si="69"/>
        <v>2632.96</v>
      </c>
      <c r="Q2102" t="str">
        <f>A2102&amp;"-"&amp;B2102&amp;"-"&amp;D2102</f>
        <v>MEI-MJ2-L10</v>
      </c>
    </row>
    <row r="2103" spans="1:17" x14ac:dyDescent="0.25">
      <c r="A2103" t="s">
        <v>395</v>
      </c>
      <c r="B2103" s="13" t="s">
        <v>26</v>
      </c>
      <c r="C2103" s="13" t="s">
        <v>226</v>
      </c>
      <c r="D2103" s="14" t="s">
        <v>301</v>
      </c>
      <c r="E2103" s="13" t="s">
        <v>61</v>
      </c>
      <c r="F2103" s="13" t="s">
        <v>810</v>
      </c>
      <c r="G2103" s="13">
        <v>0.79</v>
      </c>
      <c r="H2103" s="15">
        <v>41</v>
      </c>
      <c r="I2103" s="16">
        <v>32.39</v>
      </c>
      <c r="J2103" s="16">
        <v>21.656800588417809</v>
      </c>
      <c r="K2103" s="16">
        <v>10.733199411582193</v>
      </c>
      <c r="L2103" s="13">
        <v>2.42</v>
      </c>
      <c r="M2103" s="13"/>
      <c r="N2103" s="17">
        <f t="shared" si="70"/>
        <v>99.22</v>
      </c>
      <c r="O2103" s="17">
        <f t="shared" si="70"/>
        <v>0</v>
      </c>
      <c r="P2103" s="17">
        <f t="shared" si="69"/>
        <v>99.22</v>
      </c>
      <c r="Q2103" t="str">
        <f>A2103&amp;"-"&amp;B2103&amp;"-"&amp;D2103</f>
        <v>MEI-MJ2-L10</v>
      </c>
    </row>
    <row r="2104" spans="1:17" x14ac:dyDescent="0.25">
      <c r="A2104" t="s">
        <v>395</v>
      </c>
      <c r="B2104" s="13" t="s">
        <v>26</v>
      </c>
      <c r="C2104" s="13" t="s">
        <v>226</v>
      </c>
      <c r="D2104" s="14" t="s">
        <v>301</v>
      </c>
      <c r="E2104" s="13" t="s">
        <v>61</v>
      </c>
      <c r="F2104" s="13" t="s">
        <v>970</v>
      </c>
      <c r="G2104" s="13">
        <v>0.79</v>
      </c>
      <c r="H2104" s="15">
        <v>160</v>
      </c>
      <c r="I2104" s="16">
        <v>126.4</v>
      </c>
      <c r="J2104" s="16">
        <v>116.10970111115304</v>
      </c>
      <c r="K2104" s="16">
        <v>10.290298888846973</v>
      </c>
      <c r="L2104" s="13">
        <v>2.42</v>
      </c>
      <c r="M2104" s="13"/>
      <c r="N2104" s="17">
        <f t="shared" si="70"/>
        <v>387.2</v>
      </c>
      <c r="O2104" s="17">
        <f t="shared" si="70"/>
        <v>0</v>
      </c>
      <c r="P2104" s="17">
        <f t="shared" si="69"/>
        <v>387.2</v>
      </c>
      <c r="Q2104" t="str">
        <f>A2104&amp;"-"&amp;B2104&amp;"-"&amp;D2104</f>
        <v>MEI-MJ2-L10</v>
      </c>
    </row>
    <row r="2105" spans="1:17" x14ac:dyDescent="0.25">
      <c r="A2105" t="s">
        <v>395</v>
      </c>
      <c r="B2105" s="13" t="s">
        <v>26</v>
      </c>
      <c r="C2105" s="13" t="s">
        <v>226</v>
      </c>
      <c r="D2105" s="14" t="s">
        <v>301</v>
      </c>
      <c r="E2105" s="13" t="s">
        <v>61</v>
      </c>
      <c r="F2105" s="13" t="s">
        <v>971</v>
      </c>
      <c r="G2105" s="13">
        <v>0.79</v>
      </c>
      <c r="H2105" s="15">
        <v>7</v>
      </c>
      <c r="I2105" s="16">
        <v>5.53</v>
      </c>
      <c r="J2105" s="16">
        <v>3.9923167848699763</v>
      </c>
      <c r="K2105" s="16">
        <v>1.5376832151300239</v>
      </c>
      <c r="L2105" s="13">
        <v>2.42</v>
      </c>
      <c r="M2105" s="13"/>
      <c r="N2105" s="17">
        <f t="shared" si="70"/>
        <v>16.939999999999998</v>
      </c>
      <c r="O2105" s="17">
        <f t="shared" si="70"/>
        <v>0</v>
      </c>
      <c r="P2105" s="17">
        <f t="shared" si="69"/>
        <v>16.939999999999998</v>
      </c>
      <c r="Q2105" t="str">
        <f>A2105&amp;"-"&amp;B2105&amp;"-"&amp;D2105</f>
        <v>MEI-MJ2-L10</v>
      </c>
    </row>
    <row r="2106" spans="1:17" x14ac:dyDescent="0.25">
      <c r="A2106" t="s">
        <v>395</v>
      </c>
      <c r="B2106" s="13" t="s">
        <v>26</v>
      </c>
      <c r="C2106" s="13" t="s">
        <v>226</v>
      </c>
      <c r="D2106" s="14" t="s">
        <v>301</v>
      </c>
      <c r="E2106" s="13" t="s">
        <v>61</v>
      </c>
      <c r="F2106" s="13" t="s">
        <v>789</v>
      </c>
      <c r="G2106" s="13">
        <v>0.79</v>
      </c>
      <c r="H2106" s="15">
        <v>241</v>
      </c>
      <c r="I2106" s="16">
        <v>190.39000000000001</v>
      </c>
      <c r="J2106" s="16">
        <v>192.27817533080918</v>
      </c>
      <c r="K2106" s="16">
        <v>-1.8881753308091704</v>
      </c>
      <c r="L2106" s="13"/>
      <c r="M2106" s="13"/>
      <c r="N2106" s="17">
        <f t="shared" si="70"/>
        <v>0</v>
      </c>
      <c r="O2106" s="17">
        <f t="shared" si="70"/>
        <v>0</v>
      </c>
      <c r="P2106" s="17">
        <f t="shared" si="69"/>
        <v>0</v>
      </c>
      <c r="Q2106" t="str">
        <f>A2106&amp;"-"&amp;B2106&amp;"-"&amp;D2106</f>
        <v>MEI-MJ2-L10</v>
      </c>
    </row>
    <row r="2107" spans="1:17" x14ac:dyDescent="0.25">
      <c r="A2107" t="s">
        <v>395</v>
      </c>
      <c r="B2107" s="13" t="s">
        <v>26</v>
      </c>
      <c r="C2107" s="13" t="s">
        <v>226</v>
      </c>
      <c r="D2107" s="14" t="s">
        <v>301</v>
      </c>
      <c r="E2107" s="13" t="s">
        <v>61</v>
      </c>
      <c r="F2107" s="13" t="s">
        <v>972</v>
      </c>
      <c r="G2107" s="13">
        <v>0.79</v>
      </c>
      <c r="H2107" s="15">
        <v>221</v>
      </c>
      <c r="I2107" s="16">
        <v>174.59</v>
      </c>
      <c r="J2107" s="16">
        <v>126.6388082638187</v>
      </c>
      <c r="K2107" s="16">
        <v>47.9511917361813</v>
      </c>
      <c r="L2107" s="13">
        <v>2.42</v>
      </c>
      <c r="M2107" s="13"/>
      <c r="N2107" s="17">
        <f t="shared" si="70"/>
        <v>534.81999999999994</v>
      </c>
      <c r="O2107" s="17">
        <f t="shared" si="70"/>
        <v>0</v>
      </c>
      <c r="P2107" s="17">
        <f t="shared" si="69"/>
        <v>534.81999999999994</v>
      </c>
      <c r="Q2107" t="str">
        <f>A2107&amp;"-"&amp;B2107&amp;"-"&amp;D2107</f>
        <v>MEI-MJ2-L10</v>
      </c>
    </row>
    <row r="2108" spans="1:17" x14ac:dyDescent="0.25">
      <c r="A2108" t="s">
        <v>395</v>
      </c>
      <c r="B2108" s="13" t="s">
        <v>26</v>
      </c>
      <c r="C2108" s="13" t="s">
        <v>226</v>
      </c>
      <c r="D2108" s="14" t="s">
        <v>301</v>
      </c>
      <c r="E2108" s="13" t="s">
        <v>61</v>
      </c>
      <c r="F2108" s="13" t="s">
        <v>958</v>
      </c>
      <c r="G2108" s="13">
        <v>0.65</v>
      </c>
      <c r="H2108" s="15">
        <v>7739</v>
      </c>
      <c r="I2108" s="16">
        <v>5030.3499999999995</v>
      </c>
      <c r="J2108" s="16">
        <v>4588.2806827186851</v>
      </c>
      <c r="K2108" s="16">
        <v>442.06931728131502</v>
      </c>
      <c r="L2108" s="13">
        <v>1.66</v>
      </c>
      <c r="M2108" s="13"/>
      <c r="N2108" s="17">
        <f t="shared" si="70"/>
        <v>12846.74</v>
      </c>
      <c r="O2108" s="17">
        <f t="shared" si="70"/>
        <v>0</v>
      </c>
      <c r="P2108" s="17">
        <f t="shared" si="69"/>
        <v>12846.74</v>
      </c>
      <c r="Q2108" t="str">
        <f>A2108&amp;"-"&amp;B2108&amp;"-"&amp;D2108</f>
        <v>MEI-MJ2-L10</v>
      </c>
    </row>
    <row r="2109" spans="1:17" x14ac:dyDescent="0.25">
      <c r="A2109" t="s">
        <v>395</v>
      </c>
      <c r="B2109" s="13" t="s">
        <v>26</v>
      </c>
      <c r="C2109" s="13" t="s">
        <v>226</v>
      </c>
      <c r="D2109" s="14" t="s">
        <v>301</v>
      </c>
      <c r="E2109" s="13" t="s">
        <v>61</v>
      </c>
      <c r="F2109" s="13" t="s">
        <v>973</v>
      </c>
      <c r="G2109" s="13">
        <v>0.83</v>
      </c>
      <c r="H2109" s="15">
        <v>477</v>
      </c>
      <c r="I2109" s="16">
        <v>395.90999999999997</v>
      </c>
      <c r="J2109" s="16">
        <v>276.04679468777573</v>
      </c>
      <c r="K2109" s="16">
        <v>119.86320531222427</v>
      </c>
      <c r="L2109" s="13">
        <v>5.18</v>
      </c>
      <c r="M2109" s="13"/>
      <c r="N2109" s="17">
        <f t="shared" si="70"/>
        <v>2470.8599999999997</v>
      </c>
      <c r="O2109" s="17">
        <f t="shared" si="70"/>
        <v>0</v>
      </c>
      <c r="P2109" s="17">
        <f t="shared" si="69"/>
        <v>2470.8599999999997</v>
      </c>
      <c r="Q2109" t="str">
        <f>A2109&amp;"-"&amp;B2109&amp;"-"&amp;D2109</f>
        <v>MEI-MJ2-L10</v>
      </c>
    </row>
    <row r="2110" spans="1:17" x14ac:dyDescent="0.25">
      <c r="A2110" t="s">
        <v>395</v>
      </c>
      <c r="B2110" s="13" t="s">
        <v>26</v>
      </c>
      <c r="C2110" s="13" t="s">
        <v>226</v>
      </c>
      <c r="D2110" s="14" t="s">
        <v>301</v>
      </c>
      <c r="E2110" s="13" t="s">
        <v>61</v>
      </c>
      <c r="F2110" s="13" t="s">
        <v>974</v>
      </c>
      <c r="G2110" s="13">
        <v>0.88</v>
      </c>
      <c r="H2110" s="15">
        <v>1225</v>
      </c>
      <c r="I2110" s="16">
        <v>1078.0000000000002</v>
      </c>
      <c r="J2110" s="16">
        <v>1217.190060148366</v>
      </c>
      <c r="K2110" s="16">
        <v>-139.19006014836586</v>
      </c>
      <c r="L2110" s="13">
        <v>2.65</v>
      </c>
      <c r="M2110" s="13"/>
      <c r="N2110" s="17">
        <f t="shared" si="70"/>
        <v>3246.25</v>
      </c>
      <c r="O2110" s="17">
        <f t="shared" si="70"/>
        <v>0</v>
      </c>
      <c r="P2110" s="17">
        <f t="shared" si="69"/>
        <v>3246.25</v>
      </c>
      <c r="Q2110" t="str">
        <f>A2110&amp;"-"&amp;B2110&amp;"-"&amp;D2110</f>
        <v>MEI-MJ2-L10</v>
      </c>
    </row>
    <row r="2111" spans="1:17" x14ac:dyDescent="0.25">
      <c r="A2111" t="s">
        <v>395</v>
      </c>
      <c r="B2111" s="13" t="s">
        <v>26</v>
      </c>
      <c r="C2111" s="13" t="s">
        <v>226</v>
      </c>
      <c r="D2111" s="14" t="s">
        <v>301</v>
      </c>
      <c r="E2111" s="13" t="s">
        <v>61</v>
      </c>
      <c r="F2111" s="13" t="s">
        <v>975</v>
      </c>
      <c r="G2111" s="13">
        <v>0.83</v>
      </c>
      <c r="H2111" s="15">
        <v>349</v>
      </c>
      <c r="I2111" s="16">
        <v>289.66999999999996</v>
      </c>
      <c r="J2111" s="16">
        <v>199.03260754438557</v>
      </c>
      <c r="K2111" s="16">
        <v>90.637392455614432</v>
      </c>
      <c r="L2111" s="13">
        <v>5.18</v>
      </c>
      <c r="M2111" s="13"/>
      <c r="N2111" s="17">
        <f t="shared" si="70"/>
        <v>1807.82</v>
      </c>
      <c r="O2111" s="17">
        <f t="shared" si="70"/>
        <v>0</v>
      </c>
      <c r="P2111" s="17">
        <f t="shared" si="69"/>
        <v>1807.82</v>
      </c>
      <c r="Q2111" t="str">
        <f>A2111&amp;"-"&amp;B2111&amp;"-"&amp;D2111</f>
        <v>MEI-MJ2-L10</v>
      </c>
    </row>
    <row r="2112" spans="1:17" x14ac:dyDescent="0.25">
      <c r="A2112" t="s">
        <v>395</v>
      </c>
      <c r="B2112" s="13" t="s">
        <v>26</v>
      </c>
      <c r="C2112" s="13" t="s">
        <v>226</v>
      </c>
      <c r="D2112" s="14" t="s">
        <v>287</v>
      </c>
      <c r="E2112" s="13" t="s">
        <v>61</v>
      </c>
      <c r="F2112" s="13" t="s">
        <v>960</v>
      </c>
      <c r="G2112" s="13">
        <v>0.68</v>
      </c>
      <c r="H2112" s="15">
        <v>1532</v>
      </c>
      <c r="I2112" s="16">
        <v>1041.76</v>
      </c>
      <c r="J2112" s="16">
        <v>1404.6902029685741</v>
      </c>
      <c r="K2112" s="16">
        <v>-362.93020296857412</v>
      </c>
      <c r="L2112" s="13">
        <v>1.82</v>
      </c>
      <c r="M2112" s="13"/>
      <c r="N2112" s="17">
        <f t="shared" si="70"/>
        <v>2788.2400000000002</v>
      </c>
      <c r="O2112" s="17">
        <f t="shared" si="70"/>
        <v>0</v>
      </c>
      <c r="P2112" s="17">
        <f t="shared" si="69"/>
        <v>2788.2400000000002</v>
      </c>
      <c r="Q2112" t="str">
        <f>A2112&amp;"-"&amp;B2112&amp;"-"&amp;D2112</f>
        <v>MEI-MJ2-L11</v>
      </c>
    </row>
    <row r="2113" spans="1:17" x14ac:dyDescent="0.25">
      <c r="A2113" t="s">
        <v>395</v>
      </c>
      <c r="B2113" s="13" t="s">
        <v>26</v>
      </c>
      <c r="C2113" s="13" t="s">
        <v>226</v>
      </c>
      <c r="D2113" s="14" t="s">
        <v>287</v>
      </c>
      <c r="E2113" s="13" t="s">
        <v>61</v>
      </c>
      <c r="F2113" s="13" t="s">
        <v>961</v>
      </c>
      <c r="G2113" s="13">
        <v>0.66</v>
      </c>
      <c r="H2113" s="15">
        <v>29</v>
      </c>
      <c r="I2113" s="16">
        <v>19.14</v>
      </c>
      <c r="J2113" s="16">
        <v>19.777385159010599</v>
      </c>
      <c r="K2113" s="16">
        <v>-0.63738515901059856</v>
      </c>
      <c r="L2113" s="13">
        <v>1.97</v>
      </c>
      <c r="M2113" s="13"/>
      <c r="N2113" s="17">
        <f t="shared" si="70"/>
        <v>57.13</v>
      </c>
      <c r="O2113" s="17">
        <f t="shared" si="70"/>
        <v>0</v>
      </c>
      <c r="P2113" s="17">
        <f t="shared" si="69"/>
        <v>57.13</v>
      </c>
      <c r="Q2113" t="str">
        <f>A2113&amp;"-"&amp;B2113&amp;"-"&amp;D2113</f>
        <v>MEI-MJ2-L11</v>
      </c>
    </row>
    <row r="2114" spans="1:17" x14ac:dyDescent="0.25">
      <c r="A2114" t="s">
        <v>395</v>
      </c>
      <c r="B2114" s="13" t="s">
        <v>26</v>
      </c>
      <c r="C2114" s="13" t="s">
        <v>226</v>
      </c>
      <c r="D2114" s="14" t="s">
        <v>287</v>
      </c>
      <c r="E2114" s="13" t="s">
        <v>61</v>
      </c>
      <c r="F2114" s="13" t="s">
        <v>962</v>
      </c>
      <c r="G2114" s="13">
        <v>0.68</v>
      </c>
      <c r="H2114" s="15">
        <v>3177</v>
      </c>
      <c r="I2114" s="16">
        <v>2160.3599999999997</v>
      </c>
      <c r="J2114" s="16">
        <v>2383.1876362127846</v>
      </c>
      <c r="K2114" s="16">
        <v>-222.82763621278457</v>
      </c>
      <c r="L2114" s="13">
        <v>1.82</v>
      </c>
      <c r="M2114" s="13"/>
      <c r="N2114" s="17">
        <f t="shared" si="70"/>
        <v>5782.14</v>
      </c>
      <c r="O2114" s="17">
        <f t="shared" si="70"/>
        <v>0</v>
      </c>
      <c r="P2114" s="17">
        <f t="shared" ref="P2114:P2177" si="71">N2114+O2114</f>
        <v>5782.14</v>
      </c>
      <c r="Q2114" t="str">
        <f>A2114&amp;"-"&amp;B2114&amp;"-"&amp;D2114</f>
        <v>MEI-MJ2-L11</v>
      </c>
    </row>
    <row r="2115" spans="1:17" x14ac:dyDescent="0.25">
      <c r="A2115" t="s">
        <v>395</v>
      </c>
      <c r="B2115" s="13" t="s">
        <v>26</v>
      </c>
      <c r="C2115" s="13" t="s">
        <v>226</v>
      </c>
      <c r="D2115" s="14" t="s">
        <v>287</v>
      </c>
      <c r="E2115" s="13" t="s">
        <v>61</v>
      </c>
      <c r="F2115" s="13" t="s">
        <v>963</v>
      </c>
      <c r="G2115" s="13">
        <v>0.70000000000000007</v>
      </c>
      <c r="H2115" s="15">
        <v>8335</v>
      </c>
      <c r="I2115" s="16">
        <v>5834.5</v>
      </c>
      <c r="J2115" s="16">
        <v>4205.2504608895342</v>
      </c>
      <c r="K2115" s="16">
        <v>1629.2495391104662</v>
      </c>
      <c r="L2115" s="13">
        <v>1.3</v>
      </c>
      <c r="M2115" s="13"/>
      <c r="N2115" s="17">
        <f t="shared" si="70"/>
        <v>10835.5</v>
      </c>
      <c r="O2115" s="17">
        <f t="shared" si="70"/>
        <v>0</v>
      </c>
      <c r="P2115" s="17">
        <f t="shared" si="71"/>
        <v>10835.5</v>
      </c>
      <c r="Q2115" t="str">
        <f>A2115&amp;"-"&amp;B2115&amp;"-"&amp;D2115</f>
        <v>MEI-MJ2-L11</v>
      </c>
    </row>
    <row r="2116" spans="1:17" x14ac:dyDescent="0.25">
      <c r="A2116" t="s">
        <v>395</v>
      </c>
      <c r="B2116" s="13" t="s">
        <v>26</v>
      </c>
      <c r="C2116" s="13" t="s">
        <v>226</v>
      </c>
      <c r="D2116" s="14" t="s">
        <v>287</v>
      </c>
      <c r="E2116" s="13" t="s">
        <v>61</v>
      </c>
      <c r="F2116" s="13" t="s">
        <v>778</v>
      </c>
      <c r="G2116" s="13">
        <v>0.70000000000000007</v>
      </c>
      <c r="H2116" s="15">
        <v>5851</v>
      </c>
      <c r="I2116" s="16">
        <v>4095.7</v>
      </c>
      <c r="J2116" s="16">
        <v>3007.9543209048702</v>
      </c>
      <c r="K2116" s="16">
        <v>1087.7456790951294</v>
      </c>
      <c r="L2116" s="13">
        <v>1.3</v>
      </c>
      <c r="M2116" s="13"/>
      <c r="N2116" s="17">
        <f t="shared" si="70"/>
        <v>7606.3</v>
      </c>
      <c r="O2116" s="17">
        <f t="shared" si="70"/>
        <v>0</v>
      </c>
      <c r="P2116" s="17">
        <f t="shared" si="71"/>
        <v>7606.3</v>
      </c>
      <c r="Q2116" t="str">
        <f>A2116&amp;"-"&amp;B2116&amp;"-"&amp;D2116</f>
        <v>MEI-MJ2-L11</v>
      </c>
    </row>
    <row r="2117" spans="1:17" x14ac:dyDescent="0.25">
      <c r="A2117" t="s">
        <v>395</v>
      </c>
      <c r="B2117" s="13" t="s">
        <v>26</v>
      </c>
      <c r="C2117" s="13" t="s">
        <v>226</v>
      </c>
      <c r="D2117" s="14" t="s">
        <v>287</v>
      </c>
      <c r="E2117" s="13" t="s">
        <v>61</v>
      </c>
      <c r="F2117" s="13" t="s">
        <v>964</v>
      </c>
      <c r="G2117" s="13">
        <v>0.69999999999999984</v>
      </c>
      <c r="H2117" s="15">
        <v>4294</v>
      </c>
      <c r="I2117" s="16">
        <v>3005.8</v>
      </c>
      <c r="J2117" s="16">
        <v>2419.1434844894061</v>
      </c>
      <c r="K2117" s="16">
        <v>586.65651551059398</v>
      </c>
      <c r="L2117" s="13">
        <v>1.3</v>
      </c>
      <c r="M2117" s="13"/>
      <c r="N2117" s="17">
        <f t="shared" si="70"/>
        <v>5582.2</v>
      </c>
      <c r="O2117" s="17">
        <f t="shared" si="70"/>
        <v>0</v>
      </c>
      <c r="P2117" s="17">
        <f t="shared" si="71"/>
        <v>5582.2</v>
      </c>
      <c r="Q2117" t="str">
        <f>A2117&amp;"-"&amp;B2117&amp;"-"&amp;D2117</f>
        <v>MEI-MJ2-L11</v>
      </c>
    </row>
    <row r="2118" spans="1:17" x14ac:dyDescent="0.25">
      <c r="A2118" t="s">
        <v>395</v>
      </c>
      <c r="B2118" s="13" t="s">
        <v>26</v>
      </c>
      <c r="C2118" s="13" t="s">
        <v>226</v>
      </c>
      <c r="D2118" s="14" t="s">
        <v>287</v>
      </c>
      <c r="E2118" s="13" t="s">
        <v>61</v>
      </c>
      <c r="F2118" s="13" t="s">
        <v>779</v>
      </c>
      <c r="G2118" s="13">
        <v>0.78000000000000014</v>
      </c>
      <c r="H2118" s="15">
        <v>440</v>
      </c>
      <c r="I2118" s="16">
        <v>343.2</v>
      </c>
      <c r="J2118" s="16">
        <v>314.99329746178415</v>
      </c>
      <c r="K2118" s="16">
        <v>28.206702538215872</v>
      </c>
      <c r="L2118" s="13">
        <v>2</v>
      </c>
      <c r="M2118" s="13"/>
      <c r="N2118" s="17">
        <f t="shared" si="70"/>
        <v>880</v>
      </c>
      <c r="O2118" s="17">
        <f t="shared" si="70"/>
        <v>0</v>
      </c>
      <c r="P2118" s="17">
        <f t="shared" si="71"/>
        <v>880</v>
      </c>
      <c r="Q2118" t="str">
        <f>A2118&amp;"-"&amp;B2118&amp;"-"&amp;D2118</f>
        <v>MEI-MJ2-L11</v>
      </c>
    </row>
    <row r="2119" spans="1:17" x14ac:dyDescent="0.25">
      <c r="A2119" t="s">
        <v>395</v>
      </c>
      <c r="B2119" s="13" t="s">
        <v>26</v>
      </c>
      <c r="C2119" s="13" t="s">
        <v>226</v>
      </c>
      <c r="D2119" s="14" t="s">
        <v>287</v>
      </c>
      <c r="E2119" s="13" t="s">
        <v>61</v>
      </c>
      <c r="F2119" s="13" t="s">
        <v>780</v>
      </c>
      <c r="G2119" s="13">
        <v>0.76</v>
      </c>
      <c r="H2119" s="15">
        <v>50</v>
      </c>
      <c r="I2119" s="16">
        <v>38</v>
      </c>
      <c r="J2119" s="16">
        <v>26.656518583401784</v>
      </c>
      <c r="K2119" s="16">
        <v>11.343481416598218</v>
      </c>
      <c r="L2119" s="13">
        <v>2.15</v>
      </c>
      <c r="M2119" s="13"/>
      <c r="N2119" s="17">
        <f t="shared" si="70"/>
        <v>107.5</v>
      </c>
      <c r="O2119" s="17">
        <f t="shared" si="70"/>
        <v>0</v>
      </c>
      <c r="P2119" s="17">
        <f t="shared" si="71"/>
        <v>107.5</v>
      </c>
      <c r="Q2119" t="str">
        <f>A2119&amp;"-"&amp;B2119&amp;"-"&amp;D2119</f>
        <v>MEI-MJ2-L11</v>
      </c>
    </row>
    <row r="2120" spans="1:17" x14ac:dyDescent="0.25">
      <c r="A2120" t="s">
        <v>395</v>
      </c>
      <c r="B2120" s="13" t="s">
        <v>26</v>
      </c>
      <c r="C2120" s="13" t="s">
        <v>226</v>
      </c>
      <c r="D2120" s="14" t="s">
        <v>287</v>
      </c>
      <c r="E2120" s="13" t="s">
        <v>61</v>
      </c>
      <c r="F2120" s="13" t="s">
        <v>781</v>
      </c>
      <c r="G2120" s="13">
        <v>0.77999999999999992</v>
      </c>
      <c r="H2120" s="15">
        <v>198</v>
      </c>
      <c r="I2120" s="16">
        <v>154.44</v>
      </c>
      <c r="J2120" s="16">
        <v>195.31966513751991</v>
      </c>
      <c r="K2120" s="16">
        <v>-40.879665137519908</v>
      </c>
      <c r="L2120" s="13">
        <v>2</v>
      </c>
      <c r="M2120" s="13"/>
      <c r="N2120" s="17">
        <f t="shared" si="70"/>
        <v>396</v>
      </c>
      <c r="O2120" s="17">
        <f t="shared" si="70"/>
        <v>0</v>
      </c>
      <c r="P2120" s="17">
        <f t="shared" si="71"/>
        <v>396</v>
      </c>
      <c r="Q2120" t="str">
        <f>A2120&amp;"-"&amp;B2120&amp;"-"&amp;D2120</f>
        <v>MEI-MJ2-L11</v>
      </c>
    </row>
    <row r="2121" spans="1:17" x14ac:dyDescent="0.25">
      <c r="A2121" t="s">
        <v>395</v>
      </c>
      <c r="B2121" s="13" t="s">
        <v>26</v>
      </c>
      <c r="C2121" s="13" t="s">
        <v>226</v>
      </c>
      <c r="D2121" s="14" t="s">
        <v>287</v>
      </c>
      <c r="E2121" s="13" t="s">
        <v>61</v>
      </c>
      <c r="F2121" s="13" t="s">
        <v>788</v>
      </c>
      <c r="G2121" s="13">
        <v>0.79</v>
      </c>
      <c r="H2121" s="15">
        <v>9</v>
      </c>
      <c r="I2121" s="16">
        <v>7.11</v>
      </c>
      <c r="J2121" s="16">
        <v>4.5609151030912409</v>
      </c>
      <c r="K2121" s="16">
        <v>2.5490848969087594</v>
      </c>
      <c r="L2121" s="13">
        <v>2.42</v>
      </c>
      <c r="M2121" s="13"/>
      <c r="N2121" s="17">
        <f t="shared" si="70"/>
        <v>21.78</v>
      </c>
      <c r="O2121" s="17">
        <f t="shared" si="70"/>
        <v>0</v>
      </c>
      <c r="P2121" s="17">
        <f t="shared" si="71"/>
        <v>21.78</v>
      </c>
      <c r="Q2121" t="str">
        <f>A2121&amp;"-"&amp;B2121&amp;"-"&amp;D2121</f>
        <v>MEI-MJ2-L11</v>
      </c>
    </row>
    <row r="2122" spans="1:17" x14ac:dyDescent="0.25">
      <c r="A2122" t="s">
        <v>395</v>
      </c>
      <c r="B2122" s="13" t="s">
        <v>26</v>
      </c>
      <c r="C2122" s="13" t="s">
        <v>226</v>
      </c>
      <c r="D2122" s="14" t="s">
        <v>287</v>
      </c>
      <c r="E2122" s="13" t="s">
        <v>61</v>
      </c>
      <c r="F2122" s="13" t="s">
        <v>965</v>
      </c>
      <c r="G2122" s="13">
        <v>0.79</v>
      </c>
      <c r="H2122" s="15">
        <v>3</v>
      </c>
      <c r="I2122" s="16">
        <v>2.37</v>
      </c>
      <c r="J2122" s="16">
        <v>1.809375</v>
      </c>
      <c r="K2122" s="16">
        <v>0.56062500000000015</v>
      </c>
      <c r="L2122" s="13">
        <v>2.42</v>
      </c>
      <c r="M2122" s="13"/>
      <c r="N2122" s="17">
        <f t="shared" si="70"/>
        <v>7.26</v>
      </c>
      <c r="O2122" s="17">
        <f t="shared" si="70"/>
        <v>0</v>
      </c>
      <c r="P2122" s="17">
        <f t="shared" si="71"/>
        <v>7.26</v>
      </c>
      <c r="Q2122" t="str">
        <f>A2122&amp;"-"&amp;B2122&amp;"-"&amp;D2122</f>
        <v>MEI-MJ2-L11</v>
      </c>
    </row>
    <row r="2123" spans="1:17" x14ac:dyDescent="0.25">
      <c r="A2123" t="s">
        <v>395</v>
      </c>
      <c r="B2123" s="13" t="s">
        <v>26</v>
      </c>
      <c r="C2123" s="13" t="s">
        <v>226</v>
      </c>
      <c r="D2123" s="14" t="s">
        <v>287</v>
      </c>
      <c r="E2123" s="13" t="s">
        <v>61</v>
      </c>
      <c r="F2123" s="13" t="s">
        <v>966</v>
      </c>
      <c r="G2123" s="13">
        <v>0.79</v>
      </c>
      <c r="H2123" s="15">
        <v>290</v>
      </c>
      <c r="I2123" s="16">
        <v>229.1</v>
      </c>
      <c r="J2123" s="16">
        <v>159.45973036700386</v>
      </c>
      <c r="K2123" s="16">
        <v>69.640269632996109</v>
      </c>
      <c r="L2123" s="13">
        <v>2.42</v>
      </c>
      <c r="M2123" s="13"/>
      <c r="N2123" s="17">
        <f t="shared" si="70"/>
        <v>701.8</v>
      </c>
      <c r="O2123" s="17">
        <f t="shared" si="70"/>
        <v>0</v>
      </c>
      <c r="P2123" s="17">
        <f t="shared" si="71"/>
        <v>701.8</v>
      </c>
      <c r="Q2123" t="str">
        <f>A2123&amp;"-"&amp;B2123&amp;"-"&amp;D2123</f>
        <v>MEI-MJ2-L11</v>
      </c>
    </row>
    <row r="2124" spans="1:17" x14ac:dyDescent="0.25">
      <c r="A2124" t="s">
        <v>395</v>
      </c>
      <c r="B2124" s="13" t="s">
        <v>26</v>
      </c>
      <c r="C2124" s="13" t="s">
        <v>226</v>
      </c>
      <c r="D2124" s="14" t="s">
        <v>287</v>
      </c>
      <c r="E2124" s="13" t="s">
        <v>61</v>
      </c>
      <c r="F2124" s="13" t="s">
        <v>967</v>
      </c>
      <c r="G2124" s="13">
        <v>0.79</v>
      </c>
      <c r="H2124" s="15">
        <v>566</v>
      </c>
      <c r="I2124" s="16">
        <v>447.14</v>
      </c>
      <c r="J2124" s="16">
        <v>323.81015062874911</v>
      </c>
      <c r="K2124" s="16">
        <v>123.32984937125092</v>
      </c>
      <c r="L2124" s="13">
        <v>2.42</v>
      </c>
      <c r="M2124" s="13"/>
      <c r="N2124" s="17">
        <f t="shared" si="70"/>
        <v>1369.72</v>
      </c>
      <c r="O2124" s="17">
        <f t="shared" si="70"/>
        <v>0</v>
      </c>
      <c r="P2124" s="17">
        <f t="shared" si="71"/>
        <v>1369.72</v>
      </c>
      <c r="Q2124" t="str">
        <f>A2124&amp;"-"&amp;B2124&amp;"-"&amp;D2124</f>
        <v>MEI-MJ2-L11</v>
      </c>
    </row>
    <row r="2125" spans="1:17" x14ac:dyDescent="0.25">
      <c r="A2125" t="s">
        <v>395</v>
      </c>
      <c r="B2125" s="13" t="s">
        <v>26</v>
      </c>
      <c r="C2125" s="13" t="s">
        <v>226</v>
      </c>
      <c r="D2125" s="14" t="s">
        <v>287</v>
      </c>
      <c r="E2125" s="13" t="s">
        <v>61</v>
      </c>
      <c r="F2125" s="13" t="s">
        <v>968</v>
      </c>
      <c r="G2125" s="13">
        <v>0.79</v>
      </c>
      <c r="H2125" s="15">
        <v>502</v>
      </c>
      <c r="I2125" s="16">
        <v>396.58000000000004</v>
      </c>
      <c r="J2125" s="16">
        <v>360.60526315789468</v>
      </c>
      <c r="K2125" s="16">
        <v>35.974736842105301</v>
      </c>
      <c r="L2125" s="13">
        <v>2.42</v>
      </c>
      <c r="M2125" s="13"/>
      <c r="N2125" s="17">
        <f t="shared" si="70"/>
        <v>1214.8399999999999</v>
      </c>
      <c r="O2125" s="17">
        <f t="shared" si="70"/>
        <v>0</v>
      </c>
      <c r="P2125" s="17">
        <f t="shared" si="71"/>
        <v>1214.8399999999999</v>
      </c>
      <c r="Q2125" t="str">
        <f>A2125&amp;"-"&amp;B2125&amp;"-"&amp;D2125</f>
        <v>MEI-MJ2-L11</v>
      </c>
    </row>
    <row r="2126" spans="1:17" x14ac:dyDescent="0.25">
      <c r="A2126" t="s">
        <v>395</v>
      </c>
      <c r="B2126" s="13" t="s">
        <v>26</v>
      </c>
      <c r="C2126" s="13" t="s">
        <v>226</v>
      </c>
      <c r="D2126" s="14" t="s">
        <v>287</v>
      </c>
      <c r="E2126" s="13" t="s">
        <v>61</v>
      </c>
      <c r="F2126" s="13" t="s">
        <v>969</v>
      </c>
      <c r="G2126" s="13">
        <v>0.79</v>
      </c>
      <c r="H2126" s="15">
        <v>1088</v>
      </c>
      <c r="I2126" s="16">
        <v>859.52</v>
      </c>
      <c r="J2126" s="16">
        <v>626.75391223057079</v>
      </c>
      <c r="K2126" s="16">
        <v>232.76608776942936</v>
      </c>
      <c r="L2126" s="13">
        <v>2.42</v>
      </c>
      <c r="M2126" s="13"/>
      <c r="N2126" s="17">
        <f t="shared" si="70"/>
        <v>2632.96</v>
      </c>
      <c r="O2126" s="17">
        <f t="shared" si="70"/>
        <v>0</v>
      </c>
      <c r="P2126" s="17">
        <f t="shared" si="71"/>
        <v>2632.96</v>
      </c>
      <c r="Q2126" t="str">
        <f>A2126&amp;"-"&amp;B2126&amp;"-"&amp;D2126</f>
        <v>MEI-MJ2-L11</v>
      </c>
    </row>
    <row r="2127" spans="1:17" x14ac:dyDescent="0.25">
      <c r="A2127" t="s">
        <v>395</v>
      </c>
      <c r="B2127" s="13" t="s">
        <v>26</v>
      </c>
      <c r="C2127" s="13" t="s">
        <v>226</v>
      </c>
      <c r="D2127" s="14" t="s">
        <v>287</v>
      </c>
      <c r="E2127" s="13" t="s">
        <v>61</v>
      </c>
      <c r="F2127" s="13" t="s">
        <v>810</v>
      </c>
      <c r="G2127" s="13">
        <v>0.79</v>
      </c>
      <c r="H2127" s="15">
        <v>39</v>
      </c>
      <c r="I2127" s="16">
        <v>30.810000000000002</v>
      </c>
      <c r="J2127" s="16">
        <v>20.626078398482967</v>
      </c>
      <c r="K2127" s="16">
        <v>10.183921601517032</v>
      </c>
      <c r="L2127" s="13">
        <v>2.42</v>
      </c>
      <c r="M2127" s="13"/>
      <c r="N2127" s="17">
        <f t="shared" ref="N2127:O2190" si="72">$H2127*L2127</f>
        <v>94.38</v>
      </c>
      <c r="O2127" s="17">
        <f t="shared" si="72"/>
        <v>0</v>
      </c>
      <c r="P2127" s="17">
        <f t="shared" si="71"/>
        <v>94.38</v>
      </c>
      <c r="Q2127" t="str">
        <f>A2127&amp;"-"&amp;B2127&amp;"-"&amp;D2127</f>
        <v>MEI-MJ2-L11</v>
      </c>
    </row>
    <row r="2128" spans="1:17" x14ac:dyDescent="0.25">
      <c r="A2128" t="s">
        <v>395</v>
      </c>
      <c r="B2128" s="13" t="s">
        <v>26</v>
      </c>
      <c r="C2128" s="13" t="s">
        <v>226</v>
      </c>
      <c r="D2128" s="14" t="s">
        <v>287</v>
      </c>
      <c r="E2128" s="13" t="s">
        <v>61</v>
      </c>
      <c r="F2128" s="13" t="s">
        <v>970</v>
      </c>
      <c r="G2128" s="13">
        <v>0.79</v>
      </c>
      <c r="H2128" s="15">
        <v>161</v>
      </c>
      <c r="I2128" s="16">
        <v>127.19000000000001</v>
      </c>
      <c r="J2128" s="16">
        <v>117.16820038889159</v>
      </c>
      <c r="K2128" s="16">
        <v>10.021799611108428</v>
      </c>
      <c r="L2128" s="13">
        <v>2.42</v>
      </c>
      <c r="M2128" s="13"/>
      <c r="N2128" s="17">
        <f t="shared" si="72"/>
        <v>389.62</v>
      </c>
      <c r="O2128" s="17">
        <f t="shared" si="72"/>
        <v>0</v>
      </c>
      <c r="P2128" s="17">
        <f t="shared" si="71"/>
        <v>389.62</v>
      </c>
      <c r="Q2128" t="str">
        <f>A2128&amp;"-"&amp;B2128&amp;"-"&amp;D2128</f>
        <v>MEI-MJ2-L11</v>
      </c>
    </row>
    <row r="2129" spans="1:17" x14ac:dyDescent="0.25">
      <c r="A2129" t="s">
        <v>395</v>
      </c>
      <c r="B2129" s="13" t="s">
        <v>26</v>
      </c>
      <c r="C2129" s="13" t="s">
        <v>226</v>
      </c>
      <c r="D2129" s="14" t="s">
        <v>287</v>
      </c>
      <c r="E2129" s="13" t="s">
        <v>61</v>
      </c>
      <c r="F2129" s="13" t="s">
        <v>971</v>
      </c>
      <c r="G2129" s="13">
        <v>0.79</v>
      </c>
      <c r="H2129" s="15">
        <v>8</v>
      </c>
      <c r="I2129" s="16">
        <v>6.32</v>
      </c>
      <c r="J2129" s="16">
        <v>4.5626477541371155</v>
      </c>
      <c r="K2129" s="16">
        <v>1.7573522458628847</v>
      </c>
      <c r="L2129" s="13">
        <v>2.42</v>
      </c>
      <c r="M2129" s="13"/>
      <c r="N2129" s="17">
        <f t="shared" si="72"/>
        <v>19.36</v>
      </c>
      <c r="O2129" s="17">
        <f t="shared" si="72"/>
        <v>0</v>
      </c>
      <c r="P2129" s="17">
        <f t="shared" si="71"/>
        <v>19.36</v>
      </c>
      <c r="Q2129" t="str">
        <f>A2129&amp;"-"&amp;B2129&amp;"-"&amp;D2129</f>
        <v>MEI-MJ2-L11</v>
      </c>
    </row>
    <row r="2130" spans="1:17" x14ac:dyDescent="0.25">
      <c r="A2130" t="s">
        <v>395</v>
      </c>
      <c r="B2130" s="13" t="s">
        <v>26</v>
      </c>
      <c r="C2130" s="13" t="s">
        <v>226</v>
      </c>
      <c r="D2130" s="14" t="s">
        <v>287</v>
      </c>
      <c r="E2130" s="13" t="s">
        <v>61</v>
      </c>
      <c r="F2130" s="13" t="s">
        <v>789</v>
      </c>
      <c r="G2130" s="13">
        <v>0.79</v>
      </c>
      <c r="H2130" s="15">
        <v>238</v>
      </c>
      <c r="I2130" s="16">
        <v>188.02</v>
      </c>
      <c r="J2130" s="16">
        <v>189.70812103067402</v>
      </c>
      <c r="K2130" s="16">
        <v>-1.6881210306740273</v>
      </c>
      <c r="L2130" s="13"/>
      <c r="M2130" s="13"/>
      <c r="N2130" s="17">
        <f t="shared" si="72"/>
        <v>0</v>
      </c>
      <c r="O2130" s="17">
        <f t="shared" si="72"/>
        <v>0</v>
      </c>
      <c r="P2130" s="17">
        <f t="shared" si="71"/>
        <v>0</v>
      </c>
      <c r="Q2130" t="str">
        <f>A2130&amp;"-"&amp;B2130&amp;"-"&amp;D2130</f>
        <v>MEI-MJ2-L11</v>
      </c>
    </row>
    <row r="2131" spans="1:17" x14ac:dyDescent="0.25">
      <c r="A2131" t="s">
        <v>395</v>
      </c>
      <c r="B2131" s="13" t="s">
        <v>26</v>
      </c>
      <c r="C2131" s="13" t="s">
        <v>226</v>
      </c>
      <c r="D2131" s="14" t="s">
        <v>287</v>
      </c>
      <c r="E2131" s="13" t="s">
        <v>61</v>
      </c>
      <c r="F2131" s="13" t="s">
        <v>972</v>
      </c>
      <c r="G2131" s="13">
        <v>0.79</v>
      </c>
      <c r="H2131" s="15">
        <v>220</v>
      </c>
      <c r="I2131" s="16">
        <v>173.8</v>
      </c>
      <c r="J2131" s="16">
        <v>126.0356832638187</v>
      </c>
      <c r="K2131" s="16">
        <v>47.7643167361813</v>
      </c>
      <c r="L2131" s="13">
        <v>2.42</v>
      </c>
      <c r="M2131" s="13"/>
      <c r="N2131" s="17">
        <f t="shared" si="72"/>
        <v>532.4</v>
      </c>
      <c r="O2131" s="17">
        <f t="shared" si="72"/>
        <v>0</v>
      </c>
      <c r="P2131" s="17">
        <f t="shared" si="71"/>
        <v>532.4</v>
      </c>
      <c r="Q2131" t="str">
        <f>A2131&amp;"-"&amp;B2131&amp;"-"&amp;D2131</f>
        <v>MEI-MJ2-L11</v>
      </c>
    </row>
    <row r="2132" spans="1:17" x14ac:dyDescent="0.25">
      <c r="A2132" t="s">
        <v>395</v>
      </c>
      <c r="B2132" s="13" t="s">
        <v>26</v>
      </c>
      <c r="C2132" s="13" t="s">
        <v>226</v>
      </c>
      <c r="D2132" s="14" t="s">
        <v>287</v>
      </c>
      <c r="E2132" s="13" t="s">
        <v>61</v>
      </c>
      <c r="F2132" s="13" t="s">
        <v>958</v>
      </c>
      <c r="G2132" s="13">
        <v>0.65</v>
      </c>
      <c r="H2132" s="15">
        <v>7741</v>
      </c>
      <c r="I2132" s="16">
        <v>5031.6499999999996</v>
      </c>
      <c r="J2132" s="16">
        <v>4588.8108064651342</v>
      </c>
      <c r="K2132" s="16">
        <v>442.83919353486618</v>
      </c>
      <c r="L2132" s="13">
        <v>1.66</v>
      </c>
      <c r="M2132" s="13"/>
      <c r="N2132" s="17">
        <f t="shared" si="72"/>
        <v>12850.06</v>
      </c>
      <c r="O2132" s="17">
        <f t="shared" si="72"/>
        <v>0</v>
      </c>
      <c r="P2132" s="17">
        <f t="shared" si="71"/>
        <v>12850.06</v>
      </c>
      <c r="Q2132" t="str">
        <f>A2132&amp;"-"&amp;B2132&amp;"-"&amp;D2132</f>
        <v>MEI-MJ2-L11</v>
      </c>
    </row>
    <row r="2133" spans="1:17" x14ac:dyDescent="0.25">
      <c r="A2133" t="s">
        <v>395</v>
      </c>
      <c r="B2133" s="13" t="s">
        <v>26</v>
      </c>
      <c r="C2133" s="13" t="s">
        <v>226</v>
      </c>
      <c r="D2133" s="14" t="s">
        <v>287</v>
      </c>
      <c r="E2133" s="13" t="s">
        <v>61</v>
      </c>
      <c r="F2133" s="13" t="s">
        <v>973</v>
      </c>
      <c r="G2133" s="13">
        <v>0.83</v>
      </c>
      <c r="H2133" s="15">
        <v>477</v>
      </c>
      <c r="I2133" s="16">
        <v>395.90999999999997</v>
      </c>
      <c r="J2133" s="16">
        <v>276.04679468777573</v>
      </c>
      <c r="K2133" s="16">
        <v>119.86320531222427</v>
      </c>
      <c r="L2133" s="13">
        <v>5.18</v>
      </c>
      <c r="M2133" s="13"/>
      <c r="N2133" s="17">
        <f t="shared" si="72"/>
        <v>2470.8599999999997</v>
      </c>
      <c r="O2133" s="17">
        <f t="shared" si="72"/>
        <v>0</v>
      </c>
      <c r="P2133" s="17">
        <f t="shared" si="71"/>
        <v>2470.8599999999997</v>
      </c>
      <c r="Q2133" t="str">
        <f>A2133&amp;"-"&amp;B2133&amp;"-"&amp;D2133</f>
        <v>MEI-MJ2-L11</v>
      </c>
    </row>
    <row r="2134" spans="1:17" x14ac:dyDescent="0.25">
      <c r="A2134" t="s">
        <v>395</v>
      </c>
      <c r="B2134" s="13" t="s">
        <v>26</v>
      </c>
      <c r="C2134" s="13" t="s">
        <v>226</v>
      </c>
      <c r="D2134" s="14" t="s">
        <v>287</v>
      </c>
      <c r="E2134" s="13" t="s">
        <v>61</v>
      </c>
      <c r="F2134" s="13" t="s">
        <v>974</v>
      </c>
      <c r="G2134" s="13">
        <v>0.88</v>
      </c>
      <c r="H2134" s="15">
        <v>1226</v>
      </c>
      <c r="I2134" s="16">
        <v>1078.8800000000001</v>
      </c>
      <c r="J2134" s="16">
        <v>1219.060727259498</v>
      </c>
      <c r="K2134" s="16">
        <v>-140.18072725949798</v>
      </c>
      <c r="L2134" s="13">
        <v>2.65</v>
      </c>
      <c r="M2134" s="13"/>
      <c r="N2134" s="17">
        <f t="shared" si="72"/>
        <v>3248.9</v>
      </c>
      <c r="O2134" s="17">
        <f t="shared" si="72"/>
        <v>0</v>
      </c>
      <c r="P2134" s="17">
        <f t="shared" si="71"/>
        <v>3248.9</v>
      </c>
      <c r="Q2134" t="str">
        <f>A2134&amp;"-"&amp;B2134&amp;"-"&amp;D2134</f>
        <v>MEI-MJ2-L11</v>
      </c>
    </row>
    <row r="2135" spans="1:17" x14ac:dyDescent="0.25">
      <c r="A2135" t="s">
        <v>395</v>
      </c>
      <c r="B2135" s="13" t="s">
        <v>26</v>
      </c>
      <c r="C2135" s="13" t="s">
        <v>226</v>
      </c>
      <c r="D2135" s="14" t="s">
        <v>287</v>
      </c>
      <c r="E2135" s="13" t="s">
        <v>61</v>
      </c>
      <c r="F2135" s="13" t="s">
        <v>975</v>
      </c>
      <c r="G2135" s="13">
        <v>0.83</v>
      </c>
      <c r="H2135" s="15">
        <v>349</v>
      </c>
      <c r="I2135" s="16">
        <v>289.66999999999996</v>
      </c>
      <c r="J2135" s="16">
        <v>199.00862245739302</v>
      </c>
      <c r="K2135" s="16">
        <v>90.661377542606971</v>
      </c>
      <c r="L2135" s="13">
        <v>5.18</v>
      </c>
      <c r="M2135" s="13"/>
      <c r="N2135" s="17">
        <f t="shared" si="72"/>
        <v>1807.82</v>
      </c>
      <c r="O2135" s="17">
        <f t="shared" si="72"/>
        <v>0</v>
      </c>
      <c r="P2135" s="17">
        <f t="shared" si="71"/>
        <v>1807.82</v>
      </c>
      <c r="Q2135" t="str">
        <f>A2135&amp;"-"&amp;B2135&amp;"-"&amp;D2135</f>
        <v>MEI-MJ2-L11</v>
      </c>
    </row>
    <row r="2136" spans="1:17" x14ac:dyDescent="0.25">
      <c r="A2136" t="s">
        <v>395</v>
      </c>
      <c r="B2136" s="13" t="s">
        <v>26</v>
      </c>
      <c r="C2136" s="13" t="s">
        <v>226</v>
      </c>
      <c r="D2136" s="14" t="s">
        <v>310</v>
      </c>
      <c r="E2136" s="13" t="s">
        <v>61</v>
      </c>
      <c r="F2136" s="13" t="s">
        <v>976</v>
      </c>
      <c r="G2136" s="13">
        <v>0.68</v>
      </c>
      <c r="H2136" s="15">
        <v>2650</v>
      </c>
      <c r="I2136" s="16">
        <v>1801.9999999999998</v>
      </c>
      <c r="J2136" s="16">
        <v>1938.5625948268889</v>
      </c>
      <c r="K2136" s="16">
        <v>-136.56259482688887</v>
      </c>
      <c r="L2136" s="13">
        <v>1.82</v>
      </c>
      <c r="M2136" s="13"/>
      <c r="N2136" s="17">
        <f t="shared" si="72"/>
        <v>4823</v>
      </c>
      <c r="O2136" s="17">
        <f t="shared" si="72"/>
        <v>0</v>
      </c>
      <c r="P2136" s="17">
        <f t="shared" si="71"/>
        <v>4823</v>
      </c>
      <c r="Q2136" t="str">
        <f>A2136&amp;"-"&amp;B2136&amp;"-"&amp;D2136</f>
        <v>MEI-MJ2-L12</v>
      </c>
    </row>
    <row r="2137" spans="1:17" x14ac:dyDescent="0.25">
      <c r="A2137" t="s">
        <v>395</v>
      </c>
      <c r="B2137" s="13" t="s">
        <v>26</v>
      </c>
      <c r="C2137" s="13" t="s">
        <v>226</v>
      </c>
      <c r="D2137" s="14" t="s">
        <v>310</v>
      </c>
      <c r="E2137" s="13" t="s">
        <v>61</v>
      </c>
      <c r="F2137" s="13" t="s">
        <v>977</v>
      </c>
      <c r="G2137" s="13">
        <v>0.66</v>
      </c>
      <c r="H2137" s="15">
        <v>184</v>
      </c>
      <c r="I2137" s="16">
        <v>121.44</v>
      </c>
      <c r="J2137" s="16">
        <v>132.63173491726226</v>
      </c>
      <c r="K2137" s="16">
        <v>-11.19173491726225</v>
      </c>
      <c r="L2137" s="13">
        <v>1.97</v>
      </c>
      <c r="M2137" s="13"/>
      <c r="N2137" s="17">
        <f t="shared" si="72"/>
        <v>362.48</v>
      </c>
      <c r="O2137" s="17">
        <f t="shared" si="72"/>
        <v>0</v>
      </c>
      <c r="P2137" s="17">
        <f t="shared" si="71"/>
        <v>362.48</v>
      </c>
      <c r="Q2137" t="str">
        <f>A2137&amp;"-"&amp;B2137&amp;"-"&amp;D2137</f>
        <v>MEI-MJ2-L12</v>
      </c>
    </row>
    <row r="2138" spans="1:17" x14ac:dyDescent="0.25">
      <c r="A2138" t="s">
        <v>395</v>
      </c>
      <c r="B2138" s="13" t="s">
        <v>26</v>
      </c>
      <c r="C2138" s="13" t="s">
        <v>226</v>
      </c>
      <c r="D2138" s="14" t="s">
        <v>310</v>
      </c>
      <c r="E2138" s="13" t="s">
        <v>61</v>
      </c>
      <c r="F2138" s="13" t="s">
        <v>978</v>
      </c>
      <c r="G2138" s="13">
        <v>0.78000000000000014</v>
      </c>
      <c r="H2138" s="15">
        <v>5365</v>
      </c>
      <c r="I2138" s="16">
        <v>4184.7</v>
      </c>
      <c r="J2138" s="16">
        <v>3380.6721886502041</v>
      </c>
      <c r="K2138" s="16">
        <v>804.0278113497958</v>
      </c>
      <c r="L2138" s="13">
        <v>2.14</v>
      </c>
      <c r="M2138" s="13"/>
      <c r="N2138" s="17">
        <f t="shared" si="72"/>
        <v>11481.1</v>
      </c>
      <c r="O2138" s="17">
        <f t="shared" si="72"/>
        <v>0</v>
      </c>
      <c r="P2138" s="17">
        <f t="shared" si="71"/>
        <v>11481.1</v>
      </c>
      <c r="Q2138" t="str">
        <f>A2138&amp;"-"&amp;B2138&amp;"-"&amp;D2138</f>
        <v>MEI-MJ2-L12</v>
      </c>
    </row>
    <row r="2139" spans="1:17" x14ac:dyDescent="0.25">
      <c r="A2139" t="s">
        <v>395</v>
      </c>
      <c r="B2139" s="13" t="s">
        <v>26</v>
      </c>
      <c r="C2139" s="13" t="s">
        <v>226</v>
      </c>
      <c r="D2139" s="14" t="s">
        <v>310</v>
      </c>
      <c r="E2139" s="13" t="s">
        <v>61</v>
      </c>
      <c r="F2139" s="13" t="s">
        <v>979</v>
      </c>
      <c r="G2139" s="13">
        <v>0.79</v>
      </c>
      <c r="H2139" s="15">
        <v>2837</v>
      </c>
      <c r="I2139" s="16">
        <v>2241.2299999999996</v>
      </c>
      <c r="J2139" s="16">
        <v>1834.3042733200705</v>
      </c>
      <c r="K2139" s="16">
        <v>406.92572667992943</v>
      </c>
      <c r="L2139" s="13">
        <v>2.14</v>
      </c>
      <c r="M2139" s="13"/>
      <c r="N2139" s="17">
        <f t="shared" si="72"/>
        <v>6071.18</v>
      </c>
      <c r="O2139" s="17">
        <f t="shared" si="72"/>
        <v>0</v>
      </c>
      <c r="P2139" s="17">
        <f t="shared" si="71"/>
        <v>6071.18</v>
      </c>
      <c r="Q2139" t="str">
        <f>A2139&amp;"-"&amp;B2139&amp;"-"&amp;D2139</f>
        <v>MEI-MJ2-L12</v>
      </c>
    </row>
    <row r="2140" spans="1:17" x14ac:dyDescent="0.25">
      <c r="A2140" t="s">
        <v>395</v>
      </c>
      <c r="B2140" s="13" t="s">
        <v>26</v>
      </c>
      <c r="C2140" s="13" t="s">
        <v>226</v>
      </c>
      <c r="D2140" s="14" t="s">
        <v>310</v>
      </c>
      <c r="E2140" s="13" t="s">
        <v>61</v>
      </c>
      <c r="F2140" s="13" t="s">
        <v>980</v>
      </c>
      <c r="G2140" s="13">
        <v>0.70000000000000007</v>
      </c>
      <c r="H2140" s="15">
        <v>799</v>
      </c>
      <c r="I2140" s="16">
        <v>559.29999999999995</v>
      </c>
      <c r="J2140" s="16">
        <v>501.56154563889146</v>
      </c>
      <c r="K2140" s="16">
        <v>57.738454361108552</v>
      </c>
      <c r="L2140" s="13">
        <v>2.29</v>
      </c>
      <c r="M2140" s="13"/>
      <c r="N2140" s="17">
        <f t="shared" si="72"/>
        <v>1829.71</v>
      </c>
      <c r="O2140" s="17">
        <f t="shared" si="72"/>
        <v>0</v>
      </c>
      <c r="P2140" s="17">
        <f t="shared" si="71"/>
        <v>1829.71</v>
      </c>
      <c r="Q2140" t="str">
        <f>A2140&amp;"-"&amp;B2140&amp;"-"&amp;D2140</f>
        <v>MEI-MJ2-L12</v>
      </c>
    </row>
    <row r="2141" spans="1:17" x14ac:dyDescent="0.25">
      <c r="A2141" t="s">
        <v>395</v>
      </c>
      <c r="B2141" s="13" t="s">
        <v>26</v>
      </c>
      <c r="C2141" s="13" t="s">
        <v>226</v>
      </c>
      <c r="D2141" s="14" t="s">
        <v>310</v>
      </c>
      <c r="E2141" s="13" t="s">
        <v>61</v>
      </c>
      <c r="F2141" s="13" t="s">
        <v>981</v>
      </c>
      <c r="G2141" s="13">
        <v>0.79</v>
      </c>
      <c r="H2141" s="15">
        <v>1548</v>
      </c>
      <c r="I2141" s="16">
        <v>1222.92</v>
      </c>
      <c r="J2141" s="16">
        <v>1001.7587356321839</v>
      </c>
      <c r="K2141" s="16">
        <v>221.16126436781616</v>
      </c>
      <c r="L2141" s="13">
        <v>2.13</v>
      </c>
      <c r="M2141" s="13"/>
      <c r="N2141" s="17">
        <f t="shared" si="72"/>
        <v>3297.24</v>
      </c>
      <c r="O2141" s="17">
        <f t="shared" si="72"/>
        <v>0</v>
      </c>
      <c r="P2141" s="17">
        <f t="shared" si="71"/>
        <v>3297.24</v>
      </c>
      <c r="Q2141" t="str">
        <f>A2141&amp;"-"&amp;B2141&amp;"-"&amp;D2141</f>
        <v>MEI-MJ2-L12</v>
      </c>
    </row>
    <row r="2142" spans="1:17" x14ac:dyDescent="0.25">
      <c r="A2142" t="s">
        <v>395</v>
      </c>
      <c r="B2142" s="13" t="s">
        <v>26</v>
      </c>
      <c r="C2142" s="13" t="s">
        <v>226</v>
      </c>
      <c r="D2142" s="14" t="s">
        <v>310</v>
      </c>
      <c r="E2142" s="13" t="s">
        <v>61</v>
      </c>
      <c r="F2142" s="13" t="s">
        <v>791</v>
      </c>
      <c r="G2142" s="13">
        <v>0.78000000000000014</v>
      </c>
      <c r="H2142" s="15">
        <v>339</v>
      </c>
      <c r="I2142" s="16">
        <v>264.42</v>
      </c>
      <c r="J2142" s="16">
        <v>207.27822809310084</v>
      </c>
      <c r="K2142" s="16">
        <v>57.141771906899145</v>
      </c>
      <c r="L2142" s="13">
        <v>2.14</v>
      </c>
      <c r="M2142" s="13"/>
      <c r="N2142" s="17">
        <f t="shared" si="72"/>
        <v>725.46</v>
      </c>
      <c r="O2142" s="17">
        <f t="shared" si="72"/>
        <v>0</v>
      </c>
      <c r="P2142" s="17">
        <f t="shared" si="71"/>
        <v>725.46</v>
      </c>
      <c r="Q2142" t="str">
        <f>A2142&amp;"-"&amp;B2142&amp;"-"&amp;D2142</f>
        <v>MEI-MJ2-L12</v>
      </c>
    </row>
    <row r="2143" spans="1:17" x14ac:dyDescent="0.25">
      <c r="A2143" t="s">
        <v>395</v>
      </c>
      <c r="B2143" s="13" t="s">
        <v>26</v>
      </c>
      <c r="C2143" s="13" t="s">
        <v>226</v>
      </c>
      <c r="D2143" s="14" t="s">
        <v>310</v>
      </c>
      <c r="E2143" s="13" t="s">
        <v>61</v>
      </c>
      <c r="F2143" s="13" t="s">
        <v>982</v>
      </c>
      <c r="G2143" s="13">
        <v>0.79</v>
      </c>
      <c r="H2143" s="15">
        <v>3848</v>
      </c>
      <c r="I2143" s="16">
        <v>3039.9199999999996</v>
      </c>
      <c r="J2143" s="16">
        <v>2340.6014482656929</v>
      </c>
      <c r="K2143" s="16">
        <v>699.31855173430677</v>
      </c>
      <c r="L2143" s="13">
        <v>2.14</v>
      </c>
      <c r="M2143" s="13"/>
      <c r="N2143" s="17">
        <f t="shared" si="72"/>
        <v>8234.7200000000012</v>
      </c>
      <c r="O2143" s="17">
        <f t="shared" si="72"/>
        <v>0</v>
      </c>
      <c r="P2143" s="17">
        <f t="shared" si="71"/>
        <v>8234.7200000000012</v>
      </c>
      <c r="Q2143" t="str">
        <f>A2143&amp;"-"&amp;B2143&amp;"-"&amp;D2143</f>
        <v>MEI-MJ2-L12</v>
      </c>
    </row>
    <row r="2144" spans="1:17" x14ac:dyDescent="0.25">
      <c r="A2144" t="s">
        <v>395</v>
      </c>
      <c r="B2144" s="13" t="s">
        <v>26</v>
      </c>
      <c r="C2144" s="13" t="s">
        <v>226</v>
      </c>
      <c r="D2144" s="14" t="s">
        <v>310</v>
      </c>
      <c r="E2144" s="13" t="s">
        <v>61</v>
      </c>
      <c r="F2144" s="13" t="s">
        <v>792</v>
      </c>
      <c r="G2144" s="13">
        <v>0.7</v>
      </c>
      <c r="H2144" s="15">
        <v>12</v>
      </c>
      <c r="I2144" s="16">
        <v>8.4</v>
      </c>
      <c r="J2144" s="16">
        <v>6.7679719462302748</v>
      </c>
      <c r="K2144" s="16">
        <v>1.6320280537697256</v>
      </c>
      <c r="L2144" s="13">
        <v>2.29</v>
      </c>
      <c r="M2144" s="13"/>
      <c r="N2144" s="17">
        <f t="shared" si="72"/>
        <v>27.48</v>
      </c>
      <c r="O2144" s="17">
        <f t="shared" si="72"/>
        <v>0</v>
      </c>
      <c r="P2144" s="17">
        <f t="shared" si="71"/>
        <v>27.48</v>
      </c>
      <c r="Q2144" t="str">
        <f>A2144&amp;"-"&amp;B2144&amp;"-"&amp;D2144</f>
        <v>MEI-MJ2-L12</v>
      </c>
    </row>
    <row r="2145" spans="1:17" x14ac:dyDescent="0.25">
      <c r="A2145" t="s">
        <v>395</v>
      </c>
      <c r="B2145" s="13" t="s">
        <v>26</v>
      </c>
      <c r="C2145" s="13" t="s">
        <v>226</v>
      </c>
      <c r="D2145" s="14" t="s">
        <v>310</v>
      </c>
      <c r="E2145" s="13" t="s">
        <v>61</v>
      </c>
      <c r="F2145" s="13" t="s">
        <v>983</v>
      </c>
      <c r="G2145" s="13">
        <v>0.71999999999999986</v>
      </c>
      <c r="H2145" s="15">
        <v>737</v>
      </c>
      <c r="I2145" s="16">
        <v>530.64</v>
      </c>
      <c r="J2145" s="16">
        <v>450.25256573236629</v>
      </c>
      <c r="K2145" s="16">
        <v>80.387434267633694</v>
      </c>
      <c r="L2145" s="13">
        <v>2.29</v>
      </c>
      <c r="M2145" s="13"/>
      <c r="N2145" s="17">
        <f t="shared" si="72"/>
        <v>1687.73</v>
      </c>
      <c r="O2145" s="17">
        <f t="shared" si="72"/>
        <v>0</v>
      </c>
      <c r="P2145" s="17">
        <f t="shared" si="71"/>
        <v>1687.73</v>
      </c>
      <c r="Q2145" t="str">
        <f>A2145&amp;"-"&amp;B2145&amp;"-"&amp;D2145</f>
        <v>MEI-MJ2-L12</v>
      </c>
    </row>
    <row r="2146" spans="1:17" x14ac:dyDescent="0.25">
      <c r="A2146" t="s">
        <v>395</v>
      </c>
      <c r="B2146" s="13" t="s">
        <v>26</v>
      </c>
      <c r="C2146" s="13" t="s">
        <v>226</v>
      </c>
      <c r="D2146" s="14" t="s">
        <v>310</v>
      </c>
      <c r="E2146" s="13" t="s">
        <v>61</v>
      </c>
      <c r="F2146" s="13" t="s">
        <v>793</v>
      </c>
      <c r="G2146" s="13">
        <v>0.78000000000000014</v>
      </c>
      <c r="H2146" s="15">
        <v>2750</v>
      </c>
      <c r="I2146" s="16">
        <v>2144.9999999999995</v>
      </c>
      <c r="J2146" s="16">
        <v>1765.2246884910107</v>
      </c>
      <c r="K2146" s="16">
        <v>379.77531150898949</v>
      </c>
      <c r="L2146" s="13">
        <v>2.14</v>
      </c>
      <c r="M2146" s="13"/>
      <c r="N2146" s="17">
        <f t="shared" si="72"/>
        <v>5885</v>
      </c>
      <c r="O2146" s="17">
        <f t="shared" si="72"/>
        <v>0</v>
      </c>
      <c r="P2146" s="17">
        <f t="shared" si="71"/>
        <v>5885</v>
      </c>
      <c r="Q2146" t="str">
        <f>A2146&amp;"-"&amp;B2146&amp;"-"&amp;D2146</f>
        <v>MEI-MJ2-L12</v>
      </c>
    </row>
    <row r="2147" spans="1:17" x14ac:dyDescent="0.25">
      <c r="A2147" t="s">
        <v>395</v>
      </c>
      <c r="B2147" s="13" t="s">
        <v>26</v>
      </c>
      <c r="C2147" s="13" t="s">
        <v>226</v>
      </c>
      <c r="D2147" s="14" t="s">
        <v>310</v>
      </c>
      <c r="E2147" s="13" t="s">
        <v>61</v>
      </c>
      <c r="F2147" s="13" t="s">
        <v>984</v>
      </c>
      <c r="G2147" s="13">
        <v>0.79</v>
      </c>
      <c r="H2147" s="15">
        <v>3781</v>
      </c>
      <c r="I2147" s="16">
        <v>2986.9900000000002</v>
      </c>
      <c r="J2147" s="16">
        <v>2266.9994022904598</v>
      </c>
      <c r="K2147" s="16">
        <v>719.99059770954034</v>
      </c>
      <c r="L2147" s="13">
        <v>2.14</v>
      </c>
      <c r="M2147" s="13"/>
      <c r="N2147" s="17">
        <f t="shared" si="72"/>
        <v>8091.34</v>
      </c>
      <c r="O2147" s="17">
        <f t="shared" si="72"/>
        <v>0</v>
      </c>
      <c r="P2147" s="17">
        <f t="shared" si="71"/>
        <v>8091.34</v>
      </c>
      <c r="Q2147" t="str">
        <f>A2147&amp;"-"&amp;B2147&amp;"-"&amp;D2147</f>
        <v>MEI-MJ2-L12</v>
      </c>
    </row>
    <row r="2148" spans="1:17" x14ac:dyDescent="0.25">
      <c r="A2148" t="s">
        <v>395</v>
      </c>
      <c r="B2148" s="13" t="s">
        <v>26</v>
      </c>
      <c r="C2148" s="13" t="s">
        <v>226</v>
      </c>
      <c r="D2148" s="14" t="s">
        <v>310</v>
      </c>
      <c r="E2148" s="13" t="s">
        <v>61</v>
      </c>
      <c r="F2148" s="13" t="s">
        <v>794</v>
      </c>
      <c r="G2148" s="13">
        <v>0.70000000000000007</v>
      </c>
      <c r="H2148" s="15">
        <v>568</v>
      </c>
      <c r="I2148" s="16">
        <v>397.60000000000008</v>
      </c>
      <c r="J2148" s="16">
        <v>362.3320073061426</v>
      </c>
      <c r="K2148" s="16">
        <v>35.26799269385738</v>
      </c>
      <c r="L2148" s="13">
        <v>2.29</v>
      </c>
      <c r="M2148" s="13"/>
      <c r="N2148" s="17">
        <f t="shared" si="72"/>
        <v>1300.72</v>
      </c>
      <c r="O2148" s="17">
        <f t="shared" si="72"/>
        <v>0</v>
      </c>
      <c r="P2148" s="17">
        <f t="shared" si="71"/>
        <v>1300.72</v>
      </c>
      <c r="Q2148" t="str">
        <f>A2148&amp;"-"&amp;B2148&amp;"-"&amp;D2148</f>
        <v>MEI-MJ2-L12</v>
      </c>
    </row>
    <row r="2149" spans="1:17" x14ac:dyDescent="0.25">
      <c r="A2149" t="s">
        <v>395</v>
      </c>
      <c r="B2149" s="13" t="s">
        <v>26</v>
      </c>
      <c r="C2149" s="13" t="s">
        <v>226</v>
      </c>
      <c r="D2149" s="14" t="s">
        <v>310</v>
      </c>
      <c r="E2149" s="13" t="s">
        <v>61</v>
      </c>
      <c r="F2149" s="13" t="s">
        <v>985</v>
      </c>
      <c r="G2149" s="13">
        <v>0.78000000000000014</v>
      </c>
      <c r="H2149" s="15">
        <v>6091</v>
      </c>
      <c r="I2149" s="16">
        <v>4750.9799999999996</v>
      </c>
      <c r="J2149" s="16">
        <v>3698.7358923744032</v>
      </c>
      <c r="K2149" s="16">
        <v>1052.2441076255964</v>
      </c>
      <c r="L2149" s="13">
        <v>2.14</v>
      </c>
      <c r="M2149" s="13"/>
      <c r="N2149" s="17">
        <f t="shared" si="72"/>
        <v>13034.740000000002</v>
      </c>
      <c r="O2149" s="17">
        <f t="shared" si="72"/>
        <v>0</v>
      </c>
      <c r="P2149" s="17">
        <f t="shared" si="71"/>
        <v>13034.740000000002</v>
      </c>
      <c r="Q2149" t="str">
        <f>A2149&amp;"-"&amp;B2149&amp;"-"&amp;D2149</f>
        <v>MEI-MJ2-L12</v>
      </c>
    </row>
    <row r="2150" spans="1:17" x14ac:dyDescent="0.25">
      <c r="A2150" t="s">
        <v>395</v>
      </c>
      <c r="B2150" s="13" t="s">
        <v>26</v>
      </c>
      <c r="C2150" s="13" t="s">
        <v>226</v>
      </c>
      <c r="D2150" s="14" t="s">
        <v>310</v>
      </c>
      <c r="E2150" s="13" t="s">
        <v>61</v>
      </c>
      <c r="F2150" s="13" t="s">
        <v>986</v>
      </c>
      <c r="G2150" s="13">
        <v>0.79</v>
      </c>
      <c r="H2150" s="15">
        <v>3067</v>
      </c>
      <c r="I2150" s="16">
        <v>2422.9299999999994</v>
      </c>
      <c r="J2150" s="16">
        <v>1860.4139865163575</v>
      </c>
      <c r="K2150" s="16">
        <v>562.51601348364272</v>
      </c>
      <c r="L2150" s="13">
        <v>2.14</v>
      </c>
      <c r="M2150" s="13"/>
      <c r="N2150" s="17">
        <f t="shared" si="72"/>
        <v>6563.38</v>
      </c>
      <c r="O2150" s="17">
        <f t="shared" si="72"/>
        <v>0</v>
      </c>
      <c r="P2150" s="17">
        <f t="shared" si="71"/>
        <v>6563.38</v>
      </c>
      <c r="Q2150" t="str">
        <f>A2150&amp;"-"&amp;B2150&amp;"-"&amp;D2150</f>
        <v>MEI-MJ2-L12</v>
      </c>
    </row>
    <row r="2151" spans="1:17" x14ac:dyDescent="0.25">
      <c r="A2151" t="s">
        <v>395</v>
      </c>
      <c r="B2151" s="13" t="s">
        <v>26</v>
      </c>
      <c r="C2151" s="13" t="s">
        <v>226</v>
      </c>
      <c r="D2151" s="14" t="s">
        <v>310</v>
      </c>
      <c r="E2151" s="13" t="s">
        <v>61</v>
      </c>
      <c r="F2151" s="13" t="s">
        <v>987</v>
      </c>
      <c r="G2151" s="13">
        <v>0.70000000000000007</v>
      </c>
      <c r="H2151" s="15">
        <v>745</v>
      </c>
      <c r="I2151" s="16">
        <v>521.5</v>
      </c>
      <c r="J2151" s="16">
        <v>446.9027359987349</v>
      </c>
      <c r="K2151" s="16">
        <v>74.597264001265103</v>
      </c>
      <c r="L2151" s="13">
        <v>2.29</v>
      </c>
      <c r="M2151" s="13"/>
      <c r="N2151" s="17">
        <f t="shared" si="72"/>
        <v>1706.05</v>
      </c>
      <c r="O2151" s="17">
        <f t="shared" si="72"/>
        <v>0</v>
      </c>
      <c r="P2151" s="17">
        <f t="shared" si="71"/>
        <v>1706.05</v>
      </c>
      <c r="Q2151" t="str">
        <f>A2151&amp;"-"&amp;B2151&amp;"-"&amp;D2151</f>
        <v>MEI-MJ2-L12</v>
      </c>
    </row>
    <row r="2152" spans="1:17" x14ac:dyDescent="0.25">
      <c r="A2152" t="s">
        <v>395</v>
      </c>
      <c r="B2152" s="13" t="s">
        <v>26</v>
      </c>
      <c r="C2152" s="13" t="s">
        <v>226</v>
      </c>
      <c r="D2152" s="14" t="s">
        <v>320</v>
      </c>
      <c r="E2152" s="13" t="s">
        <v>61</v>
      </c>
      <c r="F2152" s="13" t="s">
        <v>976</v>
      </c>
      <c r="G2152" s="13">
        <v>0.68</v>
      </c>
      <c r="H2152" s="15">
        <v>2650</v>
      </c>
      <c r="I2152" s="16">
        <v>1801.9999999999998</v>
      </c>
      <c r="J2152" s="16">
        <v>1938.5832689533802</v>
      </c>
      <c r="K2152" s="16">
        <v>-136.58326895338024</v>
      </c>
      <c r="L2152" s="13">
        <v>1.82</v>
      </c>
      <c r="M2152" s="13"/>
      <c r="N2152" s="17">
        <f t="shared" si="72"/>
        <v>4823</v>
      </c>
      <c r="O2152" s="17">
        <f t="shared" si="72"/>
        <v>0</v>
      </c>
      <c r="P2152" s="17">
        <f t="shared" si="71"/>
        <v>4823</v>
      </c>
      <c r="Q2152" t="str">
        <f>A2152&amp;"-"&amp;B2152&amp;"-"&amp;D2152</f>
        <v>MEI-MJ2-L13</v>
      </c>
    </row>
    <row r="2153" spans="1:17" x14ac:dyDescent="0.25">
      <c r="A2153" t="s">
        <v>395</v>
      </c>
      <c r="B2153" s="13" t="s">
        <v>26</v>
      </c>
      <c r="C2153" s="13" t="s">
        <v>226</v>
      </c>
      <c r="D2153" s="14" t="s">
        <v>320</v>
      </c>
      <c r="E2153" s="13" t="s">
        <v>61</v>
      </c>
      <c r="F2153" s="13" t="s">
        <v>977</v>
      </c>
      <c r="G2153" s="13">
        <v>0.66</v>
      </c>
      <c r="H2153" s="15">
        <v>184</v>
      </c>
      <c r="I2153" s="16">
        <v>121.44</v>
      </c>
      <c r="J2153" s="16">
        <v>132.65483833932211</v>
      </c>
      <c r="K2153" s="16">
        <v>-11.214838339322101</v>
      </c>
      <c r="L2153" s="13">
        <v>1.97</v>
      </c>
      <c r="M2153" s="13"/>
      <c r="N2153" s="17">
        <f t="shared" si="72"/>
        <v>362.48</v>
      </c>
      <c r="O2153" s="17">
        <f t="shared" si="72"/>
        <v>0</v>
      </c>
      <c r="P2153" s="17">
        <f t="shared" si="71"/>
        <v>362.48</v>
      </c>
      <c r="Q2153" t="str">
        <f>A2153&amp;"-"&amp;B2153&amp;"-"&amp;D2153</f>
        <v>MEI-MJ2-L13</v>
      </c>
    </row>
    <row r="2154" spans="1:17" x14ac:dyDescent="0.25">
      <c r="A2154" t="s">
        <v>395</v>
      </c>
      <c r="B2154" s="13" t="s">
        <v>26</v>
      </c>
      <c r="C2154" s="13" t="s">
        <v>226</v>
      </c>
      <c r="D2154" s="14" t="s">
        <v>320</v>
      </c>
      <c r="E2154" s="13" t="s">
        <v>61</v>
      </c>
      <c r="F2154" s="13" t="s">
        <v>978</v>
      </c>
      <c r="G2154" s="13">
        <v>0.78000000000000014</v>
      </c>
      <c r="H2154" s="15">
        <v>5366</v>
      </c>
      <c r="I2154" s="16">
        <v>4185.4800000000005</v>
      </c>
      <c r="J2154" s="16">
        <v>3381.3337841286052</v>
      </c>
      <c r="K2154" s="16">
        <v>804.14621587139538</v>
      </c>
      <c r="L2154" s="13">
        <v>2.14</v>
      </c>
      <c r="M2154" s="13"/>
      <c r="N2154" s="17">
        <f t="shared" si="72"/>
        <v>11483.24</v>
      </c>
      <c r="O2154" s="17">
        <f t="shared" si="72"/>
        <v>0</v>
      </c>
      <c r="P2154" s="17">
        <f t="shared" si="71"/>
        <v>11483.24</v>
      </c>
      <c r="Q2154" t="str">
        <f>A2154&amp;"-"&amp;B2154&amp;"-"&amp;D2154</f>
        <v>MEI-MJ2-L13</v>
      </c>
    </row>
    <row r="2155" spans="1:17" x14ac:dyDescent="0.25">
      <c r="A2155" t="s">
        <v>395</v>
      </c>
      <c r="B2155" s="13" t="s">
        <v>26</v>
      </c>
      <c r="C2155" s="13" t="s">
        <v>226</v>
      </c>
      <c r="D2155" s="14" t="s">
        <v>320</v>
      </c>
      <c r="E2155" s="13" t="s">
        <v>61</v>
      </c>
      <c r="F2155" s="13" t="s">
        <v>979</v>
      </c>
      <c r="G2155" s="13">
        <v>0.79</v>
      </c>
      <c r="H2155" s="15">
        <v>2838</v>
      </c>
      <c r="I2155" s="16">
        <v>2242.02</v>
      </c>
      <c r="J2155" s="16">
        <v>1834.9919744694962</v>
      </c>
      <c r="K2155" s="16">
        <v>407.02802553050407</v>
      </c>
      <c r="L2155" s="13">
        <v>2.14</v>
      </c>
      <c r="M2155" s="13"/>
      <c r="N2155" s="17">
        <f t="shared" si="72"/>
        <v>6073.3200000000006</v>
      </c>
      <c r="O2155" s="17">
        <f t="shared" si="72"/>
        <v>0</v>
      </c>
      <c r="P2155" s="17">
        <f t="shared" si="71"/>
        <v>6073.3200000000006</v>
      </c>
      <c r="Q2155" t="str">
        <f>A2155&amp;"-"&amp;B2155&amp;"-"&amp;D2155</f>
        <v>MEI-MJ2-L13</v>
      </c>
    </row>
    <row r="2156" spans="1:17" x14ac:dyDescent="0.25">
      <c r="A2156" t="s">
        <v>395</v>
      </c>
      <c r="B2156" s="13" t="s">
        <v>26</v>
      </c>
      <c r="C2156" s="13" t="s">
        <v>226</v>
      </c>
      <c r="D2156" s="14" t="s">
        <v>320</v>
      </c>
      <c r="E2156" s="13" t="s">
        <v>61</v>
      </c>
      <c r="F2156" s="13" t="s">
        <v>980</v>
      </c>
      <c r="G2156" s="13">
        <v>0.70000000000000007</v>
      </c>
      <c r="H2156" s="15">
        <v>802</v>
      </c>
      <c r="I2156" s="16">
        <v>561.40000000000009</v>
      </c>
      <c r="J2156" s="16">
        <v>503.44970005454456</v>
      </c>
      <c r="K2156" s="16">
        <v>57.950299945455427</v>
      </c>
      <c r="L2156" s="13">
        <v>2.29</v>
      </c>
      <c r="M2156" s="13"/>
      <c r="N2156" s="17">
        <f t="shared" si="72"/>
        <v>1836.58</v>
      </c>
      <c r="O2156" s="17">
        <f t="shared" si="72"/>
        <v>0</v>
      </c>
      <c r="P2156" s="17">
        <f t="shared" si="71"/>
        <v>1836.58</v>
      </c>
      <c r="Q2156" t="str">
        <f>A2156&amp;"-"&amp;B2156&amp;"-"&amp;D2156</f>
        <v>MEI-MJ2-L13</v>
      </c>
    </row>
    <row r="2157" spans="1:17" x14ac:dyDescent="0.25">
      <c r="A2157" t="s">
        <v>395</v>
      </c>
      <c r="B2157" s="13" t="s">
        <v>26</v>
      </c>
      <c r="C2157" s="13" t="s">
        <v>226</v>
      </c>
      <c r="D2157" s="14" t="s">
        <v>320</v>
      </c>
      <c r="E2157" s="13" t="s">
        <v>61</v>
      </c>
      <c r="F2157" s="13" t="s">
        <v>981</v>
      </c>
      <c r="G2157" s="13">
        <v>0.79</v>
      </c>
      <c r="H2157" s="15">
        <v>1547</v>
      </c>
      <c r="I2157" s="16">
        <v>1222.1299999999999</v>
      </c>
      <c r="J2157" s="16">
        <v>1001.1154022988505</v>
      </c>
      <c r="K2157" s="16">
        <v>221.0145977011494</v>
      </c>
      <c r="L2157" s="13">
        <v>2.13</v>
      </c>
      <c r="M2157" s="13"/>
      <c r="N2157" s="17">
        <f t="shared" si="72"/>
        <v>3295.1099999999997</v>
      </c>
      <c r="O2157" s="17">
        <f t="shared" si="72"/>
        <v>0</v>
      </c>
      <c r="P2157" s="17">
        <f t="shared" si="71"/>
        <v>3295.1099999999997</v>
      </c>
      <c r="Q2157" t="str">
        <f>A2157&amp;"-"&amp;B2157&amp;"-"&amp;D2157</f>
        <v>MEI-MJ2-L13</v>
      </c>
    </row>
    <row r="2158" spans="1:17" x14ac:dyDescent="0.25">
      <c r="A2158" t="s">
        <v>395</v>
      </c>
      <c r="B2158" s="13" t="s">
        <v>26</v>
      </c>
      <c r="C2158" s="13" t="s">
        <v>226</v>
      </c>
      <c r="D2158" s="14" t="s">
        <v>320</v>
      </c>
      <c r="E2158" s="13" t="s">
        <v>61</v>
      </c>
      <c r="F2158" s="13" t="s">
        <v>791</v>
      </c>
      <c r="G2158" s="13">
        <v>0.78000000000000014</v>
      </c>
      <c r="H2158" s="15">
        <v>340</v>
      </c>
      <c r="I2158" s="16">
        <v>265.2</v>
      </c>
      <c r="J2158" s="16">
        <v>207.84222575528671</v>
      </c>
      <c r="K2158" s="16">
        <v>57.357774244713291</v>
      </c>
      <c r="L2158" s="13">
        <v>2.14</v>
      </c>
      <c r="M2158" s="13"/>
      <c r="N2158" s="17">
        <f t="shared" si="72"/>
        <v>727.6</v>
      </c>
      <c r="O2158" s="17">
        <f t="shared" si="72"/>
        <v>0</v>
      </c>
      <c r="P2158" s="17">
        <f t="shared" si="71"/>
        <v>727.6</v>
      </c>
      <c r="Q2158" t="str">
        <f>A2158&amp;"-"&amp;B2158&amp;"-"&amp;D2158</f>
        <v>MEI-MJ2-L13</v>
      </c>
    </row>
    <row r="2159" spans="1:17" x14ac:dyDescent="0.25">
      <c r="A2159" t="s">
        <v>395</v>
      </c>
      <c r="B2159" s="13" t="s">
        <v>26</v>
      </c>
      <c r="C2159" s="13" t="s">
        <v>226</v>
      </c>
      <c r="D2159" s="14" t="s">
        <v>320</v>
      </c>
      <c r="E2159" s="13" t="s">
        <v>61</v>
      </c>
      <c r="F2159" s="13" t="s">
        <v>982</v>
      </c>
      <c r="G2159" s="13">
        <v>0.79</v>
      </c>
      <c r="H2159" s="15">
        <v>3847</v>
      </c>
      <c r="I2159" s="16">
        <v>3039.1299999999997</v>
      </c>
      <c r="J2159" s="16">
        <v>2340.495075085028</v>
      </c>
      <c r="K2159" s="16">
        <v>698.6349249149722</v>
      </c>
      <c r="L2159" s="13">
        <v>2.14</v>
      </c>
      <c r="M2159" s="13"/>
      <c r="N2159" s="17">
        <f t="shared" si="72"/>
        <v>8232.58</v>
      </c>
      <c r="O2159" s="17">
        <f t="shared" si="72"/>
        <v>0</v>
      </c>
      <c r="P2159" s="17">
        <f t="shared" si="71"/>
        <v>8232.58</v>
      </c>
      <c r="Q2159" t="str">
        <f>A2159&amp;"-"&amp;B2159&amp;"-"&amp;D2159</f>
        <v>MEI-MJ2-L13</v>
      </c>
    </row>
    <row r="2160" spans="1:17" x14ac:dyDescent="0.25">
      <c r="A2160" t="s">
        <v>395</v>
      </c>
      <c r="B2160" s="13" t="s">
        <v>26</v>
      </c>
      <c r="C2160" s="13" t="s">
        <v>226</v>
      </c>
      <c r="D2160" s="14" t="s">
        <v>320</v>
      </c>
      <c r="E2160" s="13" t="s">
        <v>61</v>
      </c>
      <c r="F2160" s="13" t="s">
        <v>792</v>
      </c>
      <c r="G2160" s="13">
        <v>0.7</v>
      </c>
      <c r="H2160" s="15">
        <v>11</v>
      </c>
      <c r="I2160" s="16">
        <v>7.7</v>
      </c>
      <c r="J2160" s="16">
        <v>6.2039742840444188</v>
      </c>
      <c r="K2160" s="16">
        <v>1.4960257159555814</v>
      </c>
      <c r="L2160" s="13">
        <v>2.29</v>
      </c>
      <c r="M2160" s="13"/>
      <c r="N2160" s="17">
        <f t="shared" si="72"/>
        <v>25.19</v>
      </c>
      <c r="O2160" s="17">
        <f t="shared" si="72"/>
        <v>0</v>
      </c>
      <c r="P2160" s="17">
        <f t="shared" si="71"/>
        <v>25.19</v>
      </c>
      <c r="Q2160" t="str">
        <f>A2160&amp;"-"&amp;B2160&amp;"-"&amp;D2160</f>
        <v>MEI-MJ2-L13</v>
      </c>
    </row>
    <row r="2161" spans="1:17" x14ac:dyDescent="0.25">
      <c r="A2161" t="s">
        <v>395</v>
      </c>
      <c r="B2161" s="13" t="s">
        <v>26</v>
      </c>
      <c r="C2161" s="13" t="s">
        <v>226</v>
      </c>
      <c r="D2161" s="14" t="s">
        <v>320</v>
      </c>
      <c r="E2161" s="13" t="s">
        <v>61</v>
      </c>
      <c r="F2161" s="13" t="s">
        <v>983</v>
      </c>
      <c r="G2161" s="13">
        <v>0.71999999999999986</v>
      </c>
      <c r="H2161" s="15">
        <v>738</v>
      </c>
      <c r="I2161" s="16">
        <v>531.36000000000013</v>
      </c>
      <c r="J2161" s="16">
        <v>451.01952597823805</v>
      </c>
      <c r="K2161" s="16">
        <v>80.340474021761963</v>
      </c>
      <c r="L2161" s="13">
        <v>2.29</v>
      </c>
      <c r="M2161" s="13"/>
      <c r="N2161" s="17">
        <f t="shared" si="72"/>
        <v>1690.02</v>
      </c>
      <c r="O2161" s="17">
        <f t="shared" si="72"/>
        <v>0</v>
      </c>
      <c r="P2161" s="17">
        <f t="shared" si="71"/>
        <v>1690.02</v>
      </c>
      <c r="Q2161" t="str">
        <f>A2161&amp;"-"&amp;B2161&amp;"-"&amp;D2161</f>
        <v>MEI-MJ2-L13</v>
      </c>
    </row>
    <row r="2162" spans="1:17" x14ac:dyDescent="0.25">
      <c r="A2162" t="s">
        <v>395</v>
      </c>
      <c r="B2162" s="13" t="s">
        <v>26</v>
      </c>
      <c r="C2162" s="13" t="s">
        <v>226</v>
      </c>
      <c r="D2162" s="14" t="s">
        <v>320</v>
      </c>
      <c r="E2162" s="13" t="s">
        <v>61</v>
      </c>
      <c r="F2162" s="13" t="s">
        <v>793</v>
      </c>
      <c r="G2162" s="13">
        <v>0.78000000000000014</v>
      </c>
      <c r="H2162" s="15">
        <v>2747</v>
      </c>
      <c r="I2162" s="16">
        <v>2142.66</v>
      </c>
      <c r="J2162" s="16">
        <v>1763.3346336460381</v>
      </c>
      <c r="K2162" s="16">
        <v>379.32536635396241</v>
      </c>
      <c r="L2162" s="13">
        <v>2.14</v>
      </c>
      <c r="M2162" s="13"/>
      <c r="N2162" s="17">
        <f t="shared" si="72"/>
        <v>5878.58</v>
      </c>
      <c r="O2162" s="17">
        <f t="shared" si="72"/>
        <v>0</v>
      </c>
      <c r="P2162" s="17">
        <f t="shared" si="71"/>
        <v>5878.58</v>
      </c>
      <c r="Q2162" t="str">
        <f>A2162&amp;"-"&amp;B2162&amp;"-"&amp;D2162</f>
        <v>MEI-MJ2-L13</v>
      </c>
    </row>
    <row r="2163" spans="1:17" x14ac:dyDescent="0.25">
      <c r="A2163" t="s">
        <v>395</v>
      </c>
      <c r="B2163" s="13" t="s">
        <v>26</v>
      </c>
      <c r="C2163" s="13" t="s">
        <v>226</v>
      </c>
      <c r="D2163" s="14" t="s">
        <v>320</v>
      </c>
      <c r="E2163" s="13" t="s">
        <v>61</v>
      </c>
      <c r="F2163" s="13" t="s">
        <v>984</v>
      </c>
      <c r="G2163" s="13">
        <v>0.79</v>
      </c>
      <c r="H2163" s="15">
        <v>3779</v>
      </c>
      <c r="I2163" s="16">
        <v>2985.4100000000003</v>
      </c>
      <c r="J2163" s="16">
        <v>2265.7417617391084</v>
      </c>
      <c r="K2163" s="16">
        <v>719.66823826089171</v>
      </c>
      <c r="L2163" s="13">
        <v>2.14</v>
      </c>
      <c r="M2163" s="13"/>
      <c r="N2163" s="17">
        <f t="shared" si="72"/>
        <v>8087.06</v>
      </c>
      <c r="O2163" s="17">
        <f t="shared" si="72"/>
        <v>0</v>
      </c>
      <c r="P2163" s="17">
        <f t="shared" si="71"/>
        <v>8087.06</v>
      </c>
      <c r="Q2163" t="str">
        <f>A2163&amp;"-"&amp;B2163&amp;"-"&amp;D2163</f>
        <v>MEI-MJ2-L13</v>
      </c>
    </row>
    <row r="2164" spans="1:17" x14ac:dyDescent="0.25">
      <c r="A2164" t="s">
        <v>395</v>
      </c>
      <c r="B2164" s="13" t="s">
        <v>26</v>
      </c>
      <c r="C2164" s="13" t="s">
        <v>226</v>
      </c>
      <c r="D2164" s="14" t="s">
        <v>320</v>
      </c>
      <c r="E2164" s="13" t="s">
        <v>61</v>
      </c>
      <c r="F2164" s="13" t="s">
        <v>794</v>
      </c>
      <c r="G2164" s="13">
        <v>0.70000000000000007</v>
      </c>
      <c r="H2164" s="15">
        <v>565</v>
      </c>
      <c r="I2164" s="16">
        <v>395.49999999999994</v>
      </c>
      <c r="J2164" s="16">
        <v>360.46394136303695</v>
      </c>
      <c r="K2164" s="16">
        <v>35.036058636962998</v>
      </c>
      <c r="L2164" s="13">
        <v>2.29</v>
      </c>
      <c r="M2164" s="13"/>
      <c r="N2164" s="17">
        <f t="shared" si="72"/>
        <v>1293.8499999999999</v>
      </c>
      <c r="O2164" s="17">
        <f t="shared" si="72"/>
        <v>0</v>
      </c>
      <c r="P2164" s="17">
        <f t="shared" si="71"/>
        <v>1293.8499999999999</v>
      </c>
      <c r="Q2164" t="str">
        <f>A2164&amp;"-"&amp;B2164&amp;"-"&amp;D2164</f>
        <v>MEI-MJ2-L13</v>
      </c>
    </row>
    <row r="2165" spans="1:17" x14ac:dyDescent="0.25">
      <c r="A2165" t="s">
        <v>395</v>
      </c>
      <c r="B2165" s="13" t="s">
        <v>26</v>
      </c>
      <c r="C2165" s="13" t="s">
        <v>226</v>
      </c>
      <c r="D2165" s="14" t="s">
        <v>320</v>
      </c>
      <c r="E2165" s="13" t="s">
        <v>61</v>
      </c>
      <c r="F2165" s="13" t="s">
        <v>985</v>
      </c>
      <c r="G2165" s="13">
        <v>0.78000000000000014</v>
      </c>
      <c r="H2165" s="15">
        <v>6095</v>
      </c>
      <c r="I2165" s="16">
        <v>4754.1000000000004</v>
      </c>
      <c r="J2165" s="16">
        <v>3701.2311017140414</v>
      </c>
      <c r="K2165" s="16">
        <v>1052.8688982859583</v>
      </c>
      <c r="L2165" s="13">
        <v>2.14</v>
      </c>
      <c r="M2165" s="13"/>
      <c r="N2165" s="17">
        <f t="shared" si="72"/>
        <v>13043.300000000001</v>
      </c>
      <c r="O2165" s="17">
        <f t="shared" si="72"/>
        <v>0</v>
      </c>
      <c r="P2165" s="17">
        <f t="shared" si="71"/>
        <v>13043.300000000001</v>
      </c>
      <c r="Q2165" t="str">
        <f>A2165&amp;"-"&amp;B2165&amp;"-"&amp;D2165</f>
        <v>MEI-MJ2-L13</v>
      </c>
    </row>
    <row r="2166" spans="1:17" x14ac:dyDescent="0.25">
      <c r="A2166" t="s">
        <v>395</v>
      </c>
      <c r="B2166" s="13" t="s">
        <v>26</v>
      </c>
      <c r="C2166" s="13" t="s">
        <v>226</v>
      </c>
      <c r="D2166" s="14" t="s">
        <v>320</v>
      </c>
      <c r="E2166" s="13" t="s">
        <v>61</v>
      </c>
      <c r="F2166" s="13" t="s">
        <v>986</v>
      </c>
      <c r="G2166" s="13">
        <v>0.79</v>
      </c>
      <c r="H2166" s="15">
        <v>3068</v>
      </c>
      <c r="I2166" s="16">
        <v>2423.7199999999998</v>
      </c>
      <c r="J2166" s="16">
        <v>1860.9232565207781</v>
      </c>
      <c r="K2166" s="16">
        <v>562.79674347922185</v>
      </c>
      <c r="L2166" s="13">
        <v>2.14</v>
      </c>
      <c r="M2166" s="13"/>
      <c r="N2166" s="17">
        <f t="shared" si="72"/>
        <v>6565.52</v>
      </c>
      <c r="O2166" s="17">
        <f t="shared" si="72"/>
        <v>0</v>
      </c>
      <c r="P2166" s="17">
        <f t="shared" si="71"/>
        <v>6565.52</v>
      </c>
      <c r="Q2166" t="str">
        <f>A2166&amp;"-"&amp;B2166&amp;"-"&amp;D2166</f>
        <v>MEI-MJ2-L13</v>
      </c>
    </row>
    <row r="2167" spans="1:17" x14ac:dyDescent="0.25">
      <c r="A2167" t="s">
        <v>395</v>
      </c>
      <c r="B2167" s="13" t="s">
        <v>26</v>
      </c>
      <c r="C2167" s="13" t="s">
        <v>226</v>
      </c>
      <c r="D2167" s="14" t="s">
        <v>320</v>
      </c>
      <c r="E2167" s="13" t="s">
        <v>61</v>
      </c>
      <c r="F2167" s="13" t="s">
        <v>987</v>
      </c>
      <c r="G2167" s="13">
        <v>0.70000000000000007</v>
      </c>
      <c r="H2167" s="15">
        <v>743</v>
      </c>
      <c r="I2167" s="16">
        <v>520.09999999999991</v>
      </c>
      <c r="J2167" s="16">
        <v>445.61553567020189</v>
      </c>
      <c r="K2167" s="16">
        <v>74.484464329798101</v>
      </c>
      <c r="L2167" s="13">
        <v>2.29</v>
      </c>
      <c r="M2167" s="13"/>
      <c r="N2167" s="17">
        <f t="shared" si="72"/>
        <v>1701.47</v>
      </c>
      <c r="O2167" s="17">
        <f t="shared" si="72"/>
        <v>0</v>
      </c>
      <c r="P2167" s="17">
        <f t="shared" si="71"/>
        <v>1701.47</v>
      </c>
      <c r="Q2167" t="str">
        <f>A2167&amp;"-"&amp;B2167&amp;"-"&amp;D2167</f>
        <v>MEI-MJ2-L13</v>
      </c>
    </row>
    <row r="2168" spans="1:17" x14ac:dyDescent="0.25">
      <c r="A2168" t="s">
        <v>395</v>
      </c>
      <c r="B2168" s="13" t="s">
        <v>26</v>
      </c>
      <c r="C2168" s="13" t="s">
        <v>226</v>
      </c>
      <c r="D2168" s="14" t="s">
        <v>50</v>
      </c>
      <c r="E2168" s="13" t="s">
        <v>61</v>
      </c>
      <c r="F2168" s="13" t="s">
        <v>988</v>
      </c>
      <c r="G2168" s="13">
        <v>0.65</v>
      </c>
      <c r="H2168" s="15">
        <v>5119</v>
      </c>
      <c r="I2168" s="16">
        <v>3327.35</v>
      </c>
      <c r="J2168" s="16">
        <v>3560.1988149662284</v>
      </c>
      <c r="K2168" s="16">
        <v>-232.84881496622805</v>
      </c>
      <c r="L2168" s="13">
        <v>1.72</v>
      </c>
      <c r="M2168" s="13"/>
      <c r="N2168" s="17">
        <f t="shared" si="72"/>
        <v>8804.68</v>
      </c>
      <c r="O2168" s="17">
        <f t="shared" si="72"/>
        <v>0</v>
      </c>
      <c r="P2168" s="17">
        <f t="shared" si="71"/>
        <v>8804.68</v>
      </c>
      <c r="Q2168" t="str">
        <f>A2168&amp;"-"&amp;B2168&amp;"-"&amp;D2168</f>
        <v>MEI-MJ2-L2</v>
      </c>
    </row>
    <row r="2169" spans="1:17" x14ac:dyDescent="0.25">
      <c r="A2169" t="s">
        <v>395</v>
      </c>
      <c r="B2169" s="13" t="s">
        <v>26</v>
      </c>
      <c r="C2169" s="13" t="s">
        <v>226</v>
      </c>
      <c r="D2169" s="14" t="s">
        <v>50</v>
      </c>
      <c r="E2169" s="13" t="s">
        <v>61</v>
      </c>
      <c r="F2169" s="13" t="s">
        <v>976</v>
      </c>
      <c r="G2169" s="13">
        <v>0.68</v>
      </c>
      <c r="H2169" s="15">
        <v>5300</v>
      </c>
      <c r="I2169" s="16">
        <v>3604</v>
      </c>
      <c r="J2169" s="16">
        <v>3219.1399371405505</v>
      </c>
      <c r="K2169" s="16">
        <v>384.86006285944944</v>
      </c>
      <c r="L2169" s="13">
        <v>1.82</v>
      </c>
      <c r="M2169" s="13"/>
      <c r="N2169" s="17">
        <f t="shared" si="72"/>
        <v>9646</v>
      </c>
      <c r="O2169" s="17">
        <f t="shared" si="72"/>
        <v>0</v>
      </c>
      <c r="P2169" s="17">
        <f t="shared" si="71"/>
        <v>9646</v>
      </c>
      <c r="Q2169" t="str">
        <f>A2169&amp;"-"&amp;B2169&amp;"-"&amp;D2169</f>
        <v>MEI-MJ2-L2</v>
      </c>
    </row>
    <row r="2170" spans="1:17" x14ac:dyDescent="0.25">
      <c r="A2170" t="s">
        <v>395</v>
      </c>
      <c r="B2170" s="13" t="s">
        <v>26</v>
      </c>
      <c r="C2170" s="13" t="s">
        <v>226</v>
      </c>
      <c r="D2170" s="14" t="s">
        <v>50</v>
      </c>
      <c r="E2170" s="13" t="s">
        <v>61</v>
      </c>
      <c r="F2170" s="13" t="s">
        <v>977</v>
      </c>
      <c r="G2170" s="13">
        <v>0.66</v>
      </c>
      <c r="H2170" s="15">
        <v>372</v>
      </c>
      <c r="I2170" s="16">
        <v>245.52</v>
      </c>
      <c r="J2170" s="16">
        <v>239.34899242050065</v>
      </c>
      <c r="K2170" s="16">
        <v>6.1710075794993529</v>
      </c>
      <c r="L2170" s="13">
        <v>1.97</v>
      </c>
      <c r="M2170" s="13"/>
      <c r="N2170" s="17">
        <f t="shared" si="72"/>
        <v>732.84</v>
      </c>
      <c r="O2170" s="17">
        <f t="shared" si="72"/>
        <v>0</v>
      </c>
      <c r="P2170" s="17">
        <f t="shared" si="71"/>
        <v>732.84</v>
      </c>
      <c r="Q2170" t="str">
        <f>A2170&amp;"-"&amp;B2170&amp;"-"&amp;D2170</f>
        <v>MEI-MJ2-L2</v>
      </c>
    </row>
    <row r="2171" spans="1:17" x14ac:dyDescent="0.25">
      <c r="A2171" t="s">
        <v>395</v>
      </c>
      <c r="B2171" s="13" t="s">
        <v>26</v>
      </c>
      <c r="C2171" s="13" t="s">
        <v>226</v>
      </c>
      <c r="D2171" s="14" t="s">
        <v>50</v>
      </c>
      <c r="E2171" s="13" t="s">
        <v>61</v>
      </c>
      <c r="F2171" s="13" t="s">
        <v>798</v>
      </c>
      <c r="G2171" s="13">
        <v>0.70000000000000007</v>
      </c>
      <c r="H2171" s="15">
        <v>11814</v>
      </c>
      <c r="I2171" s="16">
        <v>8269.7999999999993</v>
      </c>
      <c r="J2171" s="16">
        <v>6431.5827018870368</v>
      </c>
      <c r="K2171" s="16">
        <v>1838.217298112964</v>
      </c>
      <c r="L2171" s="13">
        <v>1.3</v>
      </c>
      <c r="M2171" s="13"/>
      <c r="N2171" s="17">
        <f t="shared" si="72"/>
        <v>15358.2</v>
      </c>
      <c r="O2171" s="17">
        <f t="shared" si="72"/>
        <v>0</v>
      </c>
      <c r="P2171" s="17">
        <f t="shared" si="71"/>
        <v>15358.2</v>
      </c>
      <c r="Q2171" t="str">
        <f>A2171&amp;"-"&amp;B2171&amp;"-"&amp;D2171</f>
        <v>MEI-MJ2-L2</v>
      </c>
    </row>
    <row r="2172" spans="1:17" x14ac:dyDescent="0.25">
      <c r="A2172" t="s">
        <v>395</v>
      </c>
      <c r="B2172" s="13" t="s">
        <v>26</v>
      </c>
      <c r="C2172" s="13" t="s">
        <v>226</v>
      </c>
      <c r="D2172" s="14" t="s">
        <v>50</v>
      </c>
      <c r="E2172" s="13" t="s">
        <v>61</v>
      </c>
      <c r="F2172" s="13" t="s">
        <v>989</v>
      </c>
      <c r="G2172" s="13">
        <v>0.7</v>
      </c>
      <c r="H2172" s="15">
        <v>6182</v>
      </c>
      <c r="I2172" s="16">
        <v>4327.3999999999996</v>
      </c>
      <c r="J2172" s="16">
        <v>2860.0671259548753</v>
      </c>
      <c r="K2172" s="16">
        <v>1467.3328740451248</v>
      </c>
      <c r="L2172" s="13">
        <v>1.3</v>
      </c>
      <c r="M2172" s="13"/>
      <c r="N2172" s="17">
        <f t="shared" si="72"/>
        <v>8036.6</v>
      </c>
      <c r="O2172" s="17">
        <f t="shared" si="72"/>
        <v>0</v>
      </c>
      <c r="P2172" s="17">
        <f t="shared" si="71"/>
        <v>8036.6</v>
      </c>
      <c r="Q2172" t="str">
        <f>A2172&amp;"-"&amp;B2172&amp;"-"&amp;D2172</f>
        <v>MEI-MJ2-L2</v>
      </c>
    </row>
    <row r="2173" spans="1:17" x14ac:dyDescent="0.25">
      <c r="A2173" t="s">
        <v>395</v>
      </c>
      <c r="B2173" s="13" t="s">
        <v>26</v>
      </c>
      <c r="C2173" s="13" t="s">
        <v>226</v>
      </c>
      <c r="D2173" s="14" t="s">
        <v>50</v>
      </c>
      <c r="E2173" s="13" t="s">
        <v>61</v>
      </c>
      <c r="F2173" s="13" t="s">
        <v>990</v>
      </c>
      <c r="G2173" s="13">
        <v>0.65</v>
      </c>
      <c r="H2173" s="15">
        <v>2232</v>
      </c>
      <c r="I2173" s="16">
        <v>1450.8</v>
      </c>
      <c r="J2173" s="16">
        <v>1476.2544103291584</v>
      </c>
      <c r="K2173" s="16">
        <v>-25.454410329158321</v>
      </c>
      <c r="L2173" s="13">
        <v>1.72</v>
      </c>
      <c r="M2173" s="13"/>
      <c r="N2173" s="17">
        <f t="shared" si="72"/>
        <v>3839.04</v>
      </c>
      <c r="O2173" s="17">
        <f t="shared" si="72"/>
        <v>0</v>
      </c>
      <c r="P2173" s="17">
        <f t="shared" si="71"/>
        <v>3839.04</v>
      </c>
      <c r="Q2173" t="str">
        <f>A2173&amp;"-"&amp;B2173&amp;"-"&amp;D2173</f>
        <v>MEI-MJ2-L2</v>
      </c>
    </row>
    <row r="2174" spans="1:17" x14ac:dyDescent="0.25">
      <c r="A2174" t="s">
        <v>395</v>
      </c>
      <c r="B2174" s="13" t="s">
        <v>26</v>
      </c>
      <c r="C2174" s="13" t="s">
        <v>226</v>
      </c>
      <c r="D2174" s="14" t="s">
        <v>50</v>
      </c>
      <c r="E2174" s="13" t="s">
        <v>61</v>
      </c>
      <c r="F2174" s="13" t="s">
        <v>991</v>
      </c>
      <c r="G2174" s="13">
        <v>0.64</v>
      </c>
      <c r="H2174" s="15">
        <v>557</v>
      </c>
      <c r="I2174" s="16">
        <v>356.48</v>
      </c>
      <c r="J2174" s="16">
        <v>390.17673738153803</v>
      </c>
      <c r="K2174" s="16">
        <v>-33.696737381538028</v>
      </c>
      <c r="L2174" s="13">
        <v>1.85</v>
      </c>
      <c r="M2174" s="13"/>
      <c r="N2174" s="17">
        <f t="shared" si="72"/>
        <v>1030.45</v>
      </c>
      <c r="O2174" s="17">
        <f t="shared" si="72"/>
        <v>0</v>
      </c>
      <c r="P2174" s="17">
        <f t="shared" si="71"/>
        <v>1030.45</v>
      </c>
      <c r="Q2174" t="str">
        <f>A2174&amp;"-"&amp;B2174&amp;"-"&amp;D2174</f>
        <v>MEI-MJ2-L2</v>
      </c>
    </row>
    <row r="2175" spans="1:17" x14ac:dyDescent="0.25">
      <c r="A2175" t="s">
        <v>395</v>
      </c>
      <c r="B2175" s="13" t="s">
        <v>26</v>
      </c>
      <c r="C2175" s="13" t="s">
        <v>226</v>
      </c>
      <c r="D2175" s="14" t="s">
        <v>50</v>
      </c>
      <c r="E2175" s="13" t="s">
        <v>61</v>
      </c>
      <c r="F2175" s="13" t="s">
        <v>799</v>
      </c>
      <c r="G2175" s="13">
        <v>0.78000000000000014</v>
      </c>
      <c r="H2175" s="15">
        <v>586</v>
      </c>
      <c r="I2175" s="16">
        <v>457.08</v>
      </c>
      <c r="J2175" s="16">
        <v>365.19000137521186</v>
      </c>
      <c r="K2175" s="16">
        <v>91.889998624788205</v>
      </c>
      <c r="L2175" s="13">
        <v>2.13</v>
      </c>
      <c r="M2175" s="13"/>
      <c r="N2175" s="17">
        <f t="shared" si="72"/>
        <v>1248.1799999999998</v>
      </c>
      <c r="O2175" s="17">
        <f t="shared" si="72"/>
        <v>0</v>
      </c>
      <c r="P2175" s="17">
        <f t="shared" si="71"/>
        <v>1248.1799999999998</v>
      </c>
      <c r="Q2175" t="str">
        <f>A2175&amp;"-"&amp;B2175&amp;"-"&amp;D2175</f>
        <v>MEI-MJ2-L2</v>
      </c>
    </row>
    <row r="2176" spans="1:17" x14ac:dyDescent="0.25">
      <c r="A2176" t="s">
        <v>395</v>
      </c>
      <c r="B2176" s="13" t="s">
        <v>26</v>
      </c>
      <c r="C2176" s="13" t="s">
        <v>226</v>
      </c>
      <c r="D2176" s="14" t="s">
        <v>50</v>
      </c>
      <c r="E2176" s="13" t="s">
        <v>61</v>
      </c>
      <c r="F2176" s="13" t="s">
        <v>800</v>
      </c>
      <c r="G2176" s="13">
        <v>0.78000000000000014</v>
      </c>
      <c r="H2176" s="15">
        <v>1348</v>
      </c>
      <c r="I2176" s="16">
        <v>1051.44</v>
      </c>
      <c r="J2176" s="16">
        <v>737.36301659194498</v>
      </c>
      <c r="K2176" s="16">
        <v>314.07698340805501</v>
      </c>
      <c r="L2176" s="13">
        <v>2.13</v>
      </c>
      <c r="M2176" s="13"/>
      <c r="N2176" s="17">
        <f t="shared" si="72"/>
        <v>2871.24</v>
      </c>
      <c r="O2176" s="17">
        <f t="shared" si="72"/>
        <v>0</v>
      </c>
      <c r="P2176" s="17">
        <f t="shared" si="71"/>
        <v>2871.24</v>
      </c>
      <c r="Q2176" t="str">
        <f>A2176&amp;"-"&amp;B2176&amp;"-"&amp;D2176</f>
        <v>MEI-MJ2-L2</v>
      </c>
    </row>
    <row r="2177" spans="1:17" x14ac:dyDescent="0.25">
      <c r="A2177" t="s">
        <v>395</v>
      </c>
      <c r="B2177" s="13" t="s">
        <v>26</v>
      </c>
      <c r="C2177" s="13" t="s">
        <v>226</v>
      </c>
      <c r="D2177" s="14" t="s">
        <v>50</v>
      </c>
      <c r="E2177" s="13" t="s">
        <v>61</v>
      </c>
      <c r="F2177" s="13" t="s">
        <v>992</v>
      </c>
      <c r="G2177" s="13">
        <v>0.70000000000000007</v>
      </c>
      <c r="H2177" s="15">
        <v>745</v>
      </c>
      <c r="I2177" s="16">
        <v>521.5</v>
      </c>
      <c r="J2177" s="16">
        <v>427.62045366948519</v>
      </c>
      <c r="K2177" s="16">
        <v>93.879546330514756</v>
      </c>
      <c r="L2177" s="13">
        <v>2.29</v>
      </c>
      <c r="M2177" s="13"/>
      <c r="N2177" s="17">
        <f t="shared" si="72"/>
        <v>1706.05</v>
      </c>
      <c r="O2177" s="17">
        <f t="shared" si="72"/>
        <v>0</v>
      </c>
      <c r="P2177" s="17">
        <f t="shared" si="71"/>
        <v>1706.05</v>
      </c>
      <c r="Q2177" t="str">
        <f>A2177&amp;"-"&amp;B2177&amp;"-"&amp;D2177</f>
        <v>MEI-MJ2-L2</v>
      </c>
    </row>
    <row r="2178" spans="1:17" x14ac:dyDescent="0.25">
      <c r="A2178" t="s">
        <v>395</v>
      </c>
      <c r="B2178" s="13" t="s">
        <v>26</v>
      </c>
      <c r="C2178" s="13" t="s">
        <v>226</v>
      </c>
      <c r="D2178" s="14" t="s">
        <v>50</v>
      </c>
      <c r="E2178" s="13" t="s">
        <v>61</v>
      </c>
      <c r="F2178" s="13" t="s">
        <v>958</v>
      </c>
      <c r="G2178" s="13">
        <v>0.65</v>
      </c>
      <c r="H2178" s="15">
        <v>4598</v>
      </c>
      <c r="I2178" s="16">
        <v>2988.7</v>
      </c>
      <c r="J2178" s="16">
        <v>2488.0578082834709</v>
      </c>
      <c r="K2178" s="16">
        <v>500.64219171652917</v>
      </c>
      <c r="L2178" s="13">
        <v>1.66</v>
      </c>
      <c r="M2178" s="13"/>
      <c r="N2178" s="17">
        <f t="shared" si="72"/>
        <v>7632.6799999999994</v>
      </c>
      <c r="O2178" s="17">
        <f t="shared" si="72"/>
        <v>0</v>
      </c>
      <c r="P2178" s="17">
        <f t="shared" ref="P2178:P2241" si="73">N2178+O2178</f>
        <v>7632.6799999999994</v>
      </c>
      <c r="Q2178" t="str">
        <f>A2178&amp;"-"&amp;B2178&amp;"-"&amp;D2178</f>
        <v>MEI-MJ2-L2</v>
      </c>
    </row>
    <row r="2179" spans="1:17" x14ac:dyDescent="0.25">
      <c r="A2179" t="s">
        <v>395</v>
      </c>
      <c r="B2179" s="13" t="s">
        <v>26</v>
      </c>
      <c r="C2179" s="13" t="s">
        <v>226</v>
      </c>
      <c r="D2179" s="14" t="s">
        <v>56</v>
      </c>
      <c r="E2179" s="13" t="s">
        <v>61</v>
      </c>
      <c r="F2179" s="13" t="s">
        <v>988</v>
      </c>
      <c r="G2179" s="13">
        <v>0.65</v>
      </c>
      <c r="H2179" s="15">
        <v>5117</v>
      </c>
      <c r="I2179" s="16">
        <v>3326.05</v>
      </c>
      <c r="J2179" s="16">
        <v>3559.5143118149058</v>
      </c>
      <c r="K2179" s="16">
        <v>-233.46431181490564</v>
      </c>
      <c r="L2179" s="13">
        <v>1.72</v>
      </c>
      <c r="M2179" s="13"/>
      <c r="N2179" s="17">
        <f t="shared" si="72"/>
        <v>8801.24</v>
      </c>
      <c r="O2179" s="17">
        <f t="shared" si="72"/>
        <v>0</v>
      </c>
      <c r="P2179" s="17">
        <f t="shared" si="73"/>
        <v>8801.24</v>
      </c>
      <c r="Q2179" t="str">
        <f>A2179&amp;"-"&amp;B2179&amp;"-"&amp;D2179</f>
        <v>MEI-MJ2-L3</v>
      </c>
    </row>
    <row r="2180" spans="1:17" x14ac:dyDescent="0.25">
      <c r="A2180" t="s">
        <v>395</v>
      </c>
      <c r="B2180" s="13" t="s">
        <v>26</v>
      </c>
      <c r="C2180" s="13" t="s">
        <v>226</v>
      </c>
      <c r="D2180" s="14" t="s">
        <v>56</v>
      </c>
      <c r="E2180" s="13" t="s">
        <v>61</v>
      </c>
      <c r="F2180" s="13" t="s">
        <v>976</v>
      </c>
      <c r="G2180" s="13">
        <v>0.68</v>
      </c>
      <c r="H2180" s="15">
        <v>5300</v>
      </c>
      <c r="I2180" s="16">
        <v>3604.0000000000005</v>
      </c>
      <c r="J2180" s="16">
        <v>3219.2411858396322</v>
      </c>
      <c r="K2180" s="16">
        <v>384.7588141603681</v>
      </c>
      <c r="L2180" s="13">
        <v>1.82</v>
      </c>
      <c r="M2180" s="13"/>
      <c r="N2180" s="17">
        <f t="shared" si="72"/>
        <v>9646</v>
      </c>
      <c r="O2180" s="17">
        <f t="shared" si="72"/>
        <v>0</v>
      </c>
      <c r="P2180" s="17">
        <f t="shared" si="73"/>
        <v>9646</v>
      </c>
      <c r="Q2180" t="str">
        <f>A2180&amp;"-"&amp;B2180&amp;"-"&amp;D2180</f>
        <v>MEI-MJ2-L3</v>
      </c>
    </row>
    <row r="2181" spans="1:17" x14ac:dyDescent="0.25">
      <c r="A2181" t="s">
        <v>395</v>
      </c>
      <c r="B2181" s="13" t="s">
        <v>26</v>
      </c>
      <c r="C2181" s="13" t="s">
        <v>226</v>
      </c>
      <c r="D2181" s="14" t="s">
        <v>56</v>
      </c>
      <c r="E2181" s="13" t="s">
        <v>61</v>
      </c>
      <c r="F2181" s="13" t="s">
        <v>977</v>
      </c>
      <c r="G2181" s="13">
        <v>0.66</v>
      </c>
      <c r="H2181" s="15">
        <v>372</v>
      </c>
      <c r="I2181" s="16">
        <v>245.51999999999998</v>
      </c>
      <c r="J2181" s="16">
        <v>239.24064490365245</v>
      </c>
      <c r="K2181" s="16">
        <v>6.2793550963475466</v>
      </c>
      <c r="L2181" s="13">
        <v>1.97</v>
      </c>
      <c r="M2181" s="13"/>
      <c r="N2181" s="17">
        <f t="shared" si="72"/>
        <v>732.84</v>
      </c>
      <c r="O2181" s="17">
        <f t="shared" si="72"/>
        <v>0</v>
      </c>
      <c r="P2181" s="17">
        <f t="shared" si="73"/>
        <v>732.84</v>
      </c>
      <c r="Q2181" t="str">
        <f>A2181&amp;"-"&amp;B2181&amp;"-"&amp;D2181</f>
        <v>MEI-MJ2-L3</v>
      </c>
    </row>
    <row r="2182" spans="1:17" x14ac:dyDescent="0.25">
      <c r="A2182" t="s">
        <v>395</v>
      </c>
      <c r="B2182" s="13" t="s">
        <v>26</v>
      </c>
      <c r="C2182" s="13" t="s">
        <v>226</v>
      </c>
      <c r="D2182" s="14" t="s">
        <v>56</v>
      </c>
      <c r="E2182" s="13" t="s">
        <v>61</v>
      </c>
      <c r="F2182" s="13" t="s">
        <v>798</v>
      </c>
      <c r="G2182" s="13">
        <v>0.70000000000000007</v>
      </c>
      <c r="H2182" s="15">
        <v>11819</v>
      </c>
      <c r="I2182" s="16">
        <v>8273.2999999999993</v>
      </c>
      <c r="J2182" s="16">
        <v>6434.3498653327442</v>
      </c>
      <c r="K2182" s="16">
        <v>1838.9501346672564</v>
      </c>
      <c r="L2182" s="13">
        <v>1.3</v>
      </c>
      <c r="M2182" s="13"/>
      <c r="N2182" s="17">
        <f t="shared" si="72"/>
        <v>15364.7</v>
      </c>
      <c r="O2182" s="17">
        <f t="shared" si="72"/>
        <v>0</v>
      </c>
      <c r="P2182" s="17">
        <f t="shared" si="73"/>
        <v>15364.7</v>
      </c>
      <c r="Q2182" t="str">
        <f>A2182&amp;"-"&amp;B2182&amp;"-"&amp;D2182</f>
        <v>MEI-MJ2-L3</v>
      </c>
    </row>
    <row r="2183" spans="1:17" x14ac:dyDescent="0.25">
      <c r="A2183" t="s">
        <v>395</v>
      </c>
      <c r="B2183" s="13" t="s">
        <v>26</v>
      </c>
      <c r="C2183" s="13" t="s">
        <v>226</v>
      </c>
      <c r="D2183" s="14" t="s">
        <v>56</v>
      </c>
      <c r="E2183" s="13" t="s">
        <v>61</v>
      </c>
      <c r="F2183" s="13" t="s">
        <v>989</v>
      </c>
      <c r="G2183" s="13">
        <v>0.7</v>
      </c>
      <c r="H2183" s="15">
        <v>6183</v>
      </c>
      <c r="I2183" s="16">
        <v>4328.1000000000004</v>
      </c>
      <c r="J2183" s="16">
        <v>2860.8739860959486</v>
      </c>
      <c r="K2183" s="16">
        <v>1467.2260139040518</v>
      </c>
      <c r="L2183" s="13">
        <v>1.3</v>
      </c>
      <c r="M2183" s="13"/>
      <c r="N2183" s="17">
        <f t="shared" si="72"/>
        <v>8037.9000000000005</v>
      </c>
      <c r="O2183" s="17">
        <f t="shared" si="72"/>
        <v>0</v>
      </c>
      <c r="P2183" s="17">
        <f t="shared" si="73"/>
        <v>8037.9000000000005</v>
      </c>
      <c r="Q2183" t="str">
        <f>A2183&amp;"-"&amp;B2183&amp;"-"&amp;D2183</f>
        <v>MEI-MJ2-L3</v>
      </c>
    </row>
    <row r="2184" spans="1:17" x14ac:dyDescent="0.25">
      <c r="A2184" t="s">
        <v>395</v>
      </c>
      <c r="B2184" s="13" t="s">
        <v>26</v>
      </c>
      <c r="C2184" s="13" t="s">
        <v>226</v>
      </c>
      <c r="D2184" s="14" t="s">
        <v>56</v>
      </c>
      <c r="E2184" s="13" t="s">
        <v>61</v>
      </c>
      <c r="F2184" s="13" t="s">
        <v>990</v>
      </c>
      <c r="G2184" s="13">
        <v>0.65</v>
      </c>
      <c r="H2184" s="15">
        <v>2232</v>
      </c>
      <c r="I2184" s="16">
        <v>1450.8000000000002</v>
      </c>
      <c r="J2184" s="16">
        <v>1476.2936988049198</v>
      </c>
      <c r="K2184" s="16">
        <v>-25.493698804919887</v>
      </c>
      <c r="L2184" s="13">
        <v>1.72</v>
      </c>
      <c r="M2184" s="13"/>
      <c r="N2184" s="17">
        <f t="shared" si="72"/>
        <v>3839.04</v>
      </c>
      <c r="O2184" s="17">
        <f t="shared" si="72"/>
        <v>0</v>
      </c>
      <c r="P2184" s="17">
        <f t="shared" si="73"/>
        <v>3839.04</v>
      </c>
      <c r="Q2184" t="str">
        <f>A2184&amp;"-"&amp;B2184&amp;"-"&amp;D2184</f>
        <v>MEI-MJ2-L3</v>
      </c>
    </row>
    <row r="2185" spans="1:17" x14ac:dyDescent="0.25">
      <c r="A2185" t="s">
        <v>395</v>
      </c>
      <c r="B2185" s="13" t="s">
        <v>26</v>
      </c>
      <c r="C2185" s="13" t="s">
        <v>226</v>
      </c>
      <c r="D2185" s="14" t="s">
        <v>56</v>
      </c>
      <c r="E2185" s="13" t="s">
        <v>61</v>
      </c>
      <c r="F2185" s="13" t="s">
        <v>991</v>
      </c>
      <c r="G2185" s="13">
        <v>0.64</v>
      </c>
      <c r="H2185" s="15">
        <v>559</v>
      </c>
      <c r="I2185" s="16">
        <v>357.76000000000005</v>
      </c>
      <c r="J2185" s="16">
        <v>391.08205653700435</v>
      </c>
      <c r="K2185" s="16">
        <v>-33.322056537004364</v>
      </c>
      <c r="L2185" s="13">
        <v>1.85</v>
      </c>
      <c r="M2185" s="13"/>
      <c r="N2185" s="17">
        <f t="shared" si="72"/>
        <v>1034.1500000000001</v>
      </c>
      <c r="O2185" s="17">
        <f t="shared" si="72"/>
        <v>0</v>
      </c>
      <c r="P2185" s="17">
        <f t="shared" si="73"/>
        <v>1034.1500000000001</v>
      </c>
      <c r="Q2185" t="str">
        <f>A2185&amp;"-"&amp;B2185&amp;"-"&amp;D2185</f>
        <v>MEI-MJ2-L3</v>
      </c>
    </row>
    <row r="2186" spans="1:17" x14ac:dyDescent="0.25">
      <c r="A2186" t="s">
        <v>395</v>
      </c>
      <c r="B2186" s="13" t="s">
        <v>26</v>
      </c>
      <c r="C2186" s="13" t="s">
        <v>226</v>
      </c>
      <c r="D2186" s="14" t="s">
        <v>56</v>
      </c>
      <c r="E2186" s="13" t="s">
        <v>61</v>
      </c>
      <c r="F2186" s="13" t="s">
        <v>799</v>
      </c>
      <c r="G2186" s="13">
        <v>0.78000000000000014</v>
      </c>
      <c r="H2186" s="15">
        <v>583</v>
      </c>
      <c r="I2186" s="16">
        <v>454.74</v>
      </c>
      <c r="J2186" s="16">
        <v>363.6802310105885</v>
      </c>
      <c r="K2186" s="16">
        <v>91.05976898941158</v>
      </c>
      <c r="L2186" s="13">
        <v>2.13</v>
      </c>
      <c r="M2186" s="13"/>
      <c r="N2186" s="17">
        <f t="shared" si="72"/>
        <v>1241.79</v>
      </c>
      <c r="O2186" s="17">
        <f t="shared" si="72"/>
        <v>0</v>
      </c>
      <c r="P2186" s="17">
        <f t="shared" si="73"/>
        <v>1241.79</v>
      </c>
      <c r="Q2186" t="str">
        <f>A2186&amp;"-"&amp;B2186&amp;"-"&amp;D2186</f>
        <v>MEI-MJ2-L3</v>
      </c>
    </row>
    <row r="2187" spans="1:17" x14ac:dyDescent="0.25">
      <c r="A2187" t="s">
        <v>395</v>
      </c>
      <c r="B2187" s="13" t="s">
        <v>26</v>
      </c>
      <c r="C2187" s="13" t="s">
        <v>226</v>
      </c>
      <c r="D2187" s="14" t="s">
        <v>56</v>
      </c>
      <c r="E2187" s="13" t="s">
        <v>61</v>
      </c>
      <c r="F2187" s="13" t="s">
        <v>800</v>
      </c>
      <c r="G2187" s="13">
        <v>0.78000000000000014</v>
      </c>
      <c r="H2187" s="15">
        <v>1348</v>
      </c>
      <c r="I2187" s="16">
        <v>1051.44</v>
      </c>
      <c r="J2187" s="16">
        <v>737.37202981003065</v>
      </c>
      <c r="K2187" s="16">
        <v>314.06797018996934</v>
      </c>
      <c r="L2187" s="13">
        <v>2.13</v>
      </c>
      <c r="M2187" s="13"/>
      <c r="N2187" s="17">
        <f t="shared" si="72"/>
        <v>2871.24</v>
      </c>
      <c r="O2187" s="17">
        <f t="shared" si="72"/>
        <v>0</v>
      </c>
      <c r="P2187" s="17">
        <f t="shared" si="73"/>
        <v>2871.24</v>
      </c>
      <c r="Q2187" t="str">
        <f>A2187&amp;"-"&amp;B2187&amp;"-"&amp;D2187</f>
        <v>MEI-MJ2-L3</v>
      </c>
    </row>
    <row r="2188" spans="1:17" x14ac:dyDescent="0.25">
      <c r="A2188" t="s">
        <v>395</v>
      </c>
      <c r="B2188" s="13" t="s">
        <v>26</v>
      </c>
      <c r="C2188" s="13" t="s">
        <v>226</v>
      </c>
      <c r="D2188" s="14" t="s">
        <v>56</v>
      </c>
      <c r="E2188" s="13" t="s">
        <v>61</v>
      </c>
      <c r="F2188" s="13" t="s">
        <v>992</v>
      </c>
      <c r="G2188" s="13">
        <v>0.70000000000000007</v>
      </c>
      <c r="H2188" s="15">
        <v>743</v>
      </c>
      <c r="I2188" s="16">
        <v>520.1</v>
      </c>
      <c r="J2188" s="16">
        <v>426.49090793356072</v>
      </c>
      <c r="K2188" s="16">
        <v>93.609092066439288</v>
      </c>
      <c r="L2188" s="13">
        <v>2.29</v>
      </c>
      <c r="M2188" s="13"/>
      <c r="N2188" s="17">
        <f t="shared" si="72"/>
        <v>1701.47</v>
      </c>
      <c r="O2188" s="17">
        <f t="shared" si="72"/>
        <v>0</v>
      </c>
      <c r="P2188" s="17">
        <f t="shared" si="73"/>
        <v>1701.47</v>
      </c>
      <c r="Q2188" t="str">
        <f>A2188&amp;"-"&amp;B2188&amp;"-"&amp;D2188</f>
        <v>MEI-MJ2-L3</v>
      </c>
    </row>
    <row r="2189" spans="1:17" x14ac:dyDescent="0.25">
      <c r="A2189" t="s">
        <v>395</v>
      </c>
      <c r="B2189" s="13" t="s">
        <v>26</v>
      </c>
      <c r="C2189" s="13" t="s">
        <v>226</v>
      </c>
      <c r="D2189" s="14" t="s">
        <v>56</v>
      </c>
      <c r="E2189" s="13" t="s">
        <v>61</v>
      </c>
      <c r="F2189" s="13" t="s">
        <v>958</v>
      </c>
      <c r="G2189" s="13">
        <v>0.65</v>
      </c>
      <c r="H2189" s="15">
        <v>4597</v>
      </c>
      <c r="I2189" s="16">
        <v>2988.05</v>
      </c>
      <c r="J2189" s="16">
        <v>2486.8610819170144</v>
      </c>
      <c r="K2189" s="16">
        <v>501.18891808298628</v>
      </c>
      <c r="L2189" s="13">
        <v>1.66</v>
      </c>
      <c r="M2189" s="13"/>
      <c r="N2189" s="17">
        <f t="shared" si="72"/>
        <v>7631.0199999999995</v>
      </c>
      <c r="O2189" s="17">
        <f t="shared" si="72"/>
        <v>0</v>
      </c>
      <c r="P2189" s="17">
        <f t="shared" si="73"/>
        <v>7631.0199999999995</v>
      </c>
      <c r="Q2189" t="str">
        <f>A2189&amp;"-"&amp;B2189&amp;"-"&amp;D2189</f>
        <v>MEI-MJ2-L3</v>
      </c>
    </row>
    <row r="2190" spans="1:17" x14ac:dyDescent="0.25">
      <c r="A2190" t="s">
        <v>395</v>
      </c>
      <c r="B2190" s="13" t="s">
        <v>26</v>
      </c>
      <c r="C2190" s="13" t="s">
        <v>226</v>
      </c>
      <c r="D2190" s="14" t="s">
        <v>158</v>
      </c>
      <c r="E2190" s="13" t="s">
        <v>61</v>
      </c>
      <c r="F2190" s="13" t="s">
        <v>993</v>
      </c>
      <c r="G2190" s="13">
        <v>0.67999999999999994</v>
      </c>
      <c r="H2190" s="15">
        <v>6489</v>
      </c>
      <c r="I2190" s="16">
        <v>4412.5200000000004</v>
      </c>
      <c r="J2190" s="16">
        <v>3453.3169340128929</v>
      </c>
      <c r="K2190" s="16">
        <v>959.20306598710681</v>
      </c>
      <c r="L2190" s="13">
        <v>1.82</v>
      </c>
      <c r="M2190" s="13"/>
      <c r="N2190" s="17">
        <f t="shared" si="72"/>
        <v>11809.98</v>
      </c>
      <c r="O2190" s="17">
        <f t="shared" si="72"/>
        <v>0</v>
      </c>
      <c r="P2190" s="17">
        <f t="shared" si="73"/>
        <v>11809.98</v>
      </c>
      <c r="Q2190" t="str">
        <f>A2190&amp;"-"&amp;B2190&amp;"-"&amp;D2190</f>
        <v>MEI-MJ2-L4</v>
      </c>
    </row>
    <row r="2191" spans="1:17" x14ac:dyDescent="0.25">
      <c r="A2191" t="s">
        <v>395</v>
      </c>
      <c r="B2191" s="13" t="s">
        <v>26</v>
      </c>
      <c r="C2191" s="13" t="s">
        <v>226</v>
      </c>
      <c r="D2191" s="14" t="s">
        <v>158</v>
      </c>
      <c r="E2191" s="13" t="s">
        <v>61</v>
      </c>
      <c r="F2191" s="13" t="s">
        <v>960</v>
      </c>
      <c r="G2191" s="13">
        <v>0.68</v>
      </c>
      <c r="H2191" s="15">
        <v>3147</v>
      </c>
      <c r="I2191" s="16">
        <v>2139.96</v>
      </c>
      <c r="J2191" s="16">
        <v>2767.8561366375634</v>
      </c>
      <c r="K2191" s="16">
        <v>-627.89613663756347</v>
      </c>
      <c r="L2191" s="13">
        <v>1.82</v>
      </c>
      <c r="M2191" s="13"/>
      <c r="N2191" s="17">
        <f t="shared" ref="N2191:O2254" si="74">$H2191*L2191</f>
        <v>5727.54</v>
      </c>
      <c r="O2191" s="17">
        <f t="shared" si="74"/>
        <v>0</v>
      </c>
      <c r="P2191" s="17">
        <f t="shared" si="73"/>
        <v>5727.54</v>
      </c>
      <c r="Q2191" t="str">
        <f>A2191&amp;"-"&amp;B2191&amp;"-"&amp;D2191</f>
        <v>MEI-MJ2-L4</v>
      </c>
    </row>
    <row r="2192" spans="1:17" x14ac:dyDescent="0.25">
      <c r="A2192" t="s">
        <v>395</v>
      </c>
      <c r="B2192" s="13" t="s">
        <v>26</v>
      </c>
      <c r="C2192" s="13" t="s">
        <v>226</v>
      </c>
      <c r="D2192" s="14" t="s">
        <v>158</v>
      </c>
      <c r="E2192" s="13" t="s">
        <v>61</v>
      </c>
      <c r="F2192" s="13" t="s">
        <v>962</v>
      </c>
      <c r="G2192" s="13">
        <v>0.68</v>
      </c>
      <c r="H2192" s="15">
        <v>567</v>
      </c>
      <c r="I2192" s="16">
        <v>385.56</v>
      </c>
      <c r="J2192" s="16">
        <v>248.81991814461117</v>
      </c>
      <c r="K2192" s="16">
        <v>136.74008185538884</v>
      </c>
      <c r="L2192" s="13">
        <v>1.82</v>
      </c>
      <c r="M2192" s="13"/>
      <c r="N2192" s="17">
        <f t="shared" si="74"/>
        <v>1031.94</v>
      </c>
      <c r="O2192" s="17">
        <f t="shared" si="74"/>
        <v>0</v>
      </c>
      <c r="P2192" s="17">
        <f t="shared" si="73"/>
        <v>1031.94</v>
      </c>
      <c r="Q2192" t="str">
        <f>A2192&amp;"-"&amp;B2192&amp;"-"&amp;D2192</f>
        <v>MEI-MJ2-L4</v>
      </c>
    </row>
    <row r="2193" spans="1:17" x14ac:dyDescent="0.25">
      <c r="A2193" t="s">
        <v>395</v>
      </c>
      <c r="B2193" s="13" t="s">
        <v>26</v>
      </c>
      <c r="C2193" s="13" t="s">
        <v>226</v>
      </c>
      <c r="D2193" s="14" t="s">
        <v>158</v>
      </c>
      <c r="E2193" s="13" t="s">
        <v>61</v>
      </c>
      <c r="F2193" s="13" t="s">
        <v>994</v>
      </c>
      <c r="G2193" s="13">
        <v>0.72000000000000008</v>
      </c>
      <c r="H2193" s="15">
        <v>2816</v>
      </c>
      <c r="I2193" s="16">
        <v>2027.5200000000002</v>
      </c>
      <c r="J2193" s="16">
        <v>1599.4233803278735</v>
      </c>
      <c r="K2193" s="16">
        <v>428.09661967212668</v>
      </c>
      <c r="L2193" s="13">
        <v>1.36</v>
      </c>
      <c r="M2193" s="13"/>
      <c r="N2193" s="17">
        <f t="shared" si="74"/>
        <v>3829.76</v>
      </c>
      <c r="O2193" s="17">
        <f t="shared" si="74"/>
        <v>0</v>
      </c>
      <c r="P2193" s="17">
        <f t="shared" si="73"/>
        <v>3829.76</v>
      </c>
      <c r="Q2193" t="str">
        <f>A2193&amp;"-"&amp;B2193&amp;"-"&amp;D2193</f>
        <v>MEI-MJ2-L4</v>
      </c>
    </row>
    <row r="2194" spans="1:17" x14ac:dyDescent="0.25">
      <c r="A2194" t="s">
        <v>395</v>
      </c>
      <c r="B2194" s="13" t="s">
        <v>26</v>
      </c>
      <c r="C2194" s="13" t="s">
        <v>226</v>
      </c>
      <c r="D2194" s="14" t="s">
        <v>158</v>
      </c>
      <c r="E2194" s="13" t="s">
        <v>61</v>
      </c>
      <c r="F2194" s="13" t="s">
        <v>778</v>
      </c>
      <c r="G2194" s="13">
        <v>0.70000000000000007</v>
      </c>
      <c r="H2194" s="15">
        <v>8516</v>
      </c>
      <c r="I2194" s="16">
        <v>5961.2000000000007</v>
      </c>
      <c r="J2194" s="16">
        <v>4144.4264795954159</v>
      </c>
      <c r="K2194" s="16">
        <v>1816.7735204045839</v>
      </c>
      <c r="L2194" s="13">
        <v>1.3</v>
      </c>
      <c r="M2194" s="13"/>
      <c r="N2194" s="17">
        <f t="shared" si="74"/>
        <v>11070.800000000001</v>
      </c>
      <c r="O2194" s="17">
        <f t="shared" si="74"/>
        <v>0</v>
      </c>
      <c r="P2194" s="17">
        <f t="shared" si="73"/>
        <v>11070.800000000001</v>
      </c>
      <c r="Q2194" t="str">
        <f>A2194&amp;"-"&amp;B2194&amp;"-"&amp;D2194</f>
        <v>MEI-MJ2-L4</v>
      </c>
    </row>
    <row r="2195" spans="1:17" x14ac:dyDescent="0.25">
      <c r="A2195" t="s">
        <v>395</v>
      </c>
      <c r="B2195" s="13" t="s">
        <v>26</v>
      </c>
      <c r="C2195" s="13" t="s">
        <v>226</v>
      </c>
      <c r="D2195" s="14" t="s">
        <v>158</v>
      </c>
      <c r="E2195" s="13" t="s">
        <v>61</v>
      </c>
      <c r="F2195" s="13" t="s">
        <v>806</v>
      </c>
      <c r="G2195" s="13">
        <v>0.7</v>
      </c>
      <c r="H2195" s="15">
        <v>43</v>
      </c>
      <c r="I2195" s="16">
        <v>30.1</v>
      </c>
      <c r="J2195" s="16">
        <v>20.241463414634147</v>
      </c>
      <c r="K2195" s="16">
        <v>9.8585365853658544</v>
      </c>
      <c r="L2195" s="13">
        <v>1.3</v>
      </c>
      <c r="M2195" s="13"/>
      <c r="N2195" s="17">
        <f t="shared" si="74"/>
        <v>55.9</v>
      </c>
      <c r="O2195" s="17">
        <f t="shared" si="74"/>
        <v>0</v>
      </c>
      <c r="P2195" s="17">
        <f t="shared" si="73"/>
        <v>55.9</v>
      </c>
      <c r="Q2195" t="str">
        <f>A2195&amp;"-"&amp;B2195&amp;"-"&amp;D2195</f>
        <v>MEI-MJ2-L4</v>
      </c>
    </row>
    <row r="2196" spans="1:17" x14ac:dyDescent="0.25">
      <c r="A2196" t="s">
        <v>395</v>
      </c>
      <c r="B2196" s="13" t="s">
        <v>26</v>
      </c>
      <c r="C2196" s="13" t="s">
        <v>226</v>
      </c>
      <c r="D2196" s="14" t="s">
        <v>158</v>
      </c>
      <c r="E2196" s="13" t="s">
        <v>61</v>
      </c>
      <c r="F2196" s="13" t="s">
        <v>995</v>
      </c>
      <c r="G2196" s="13">
        <v>0.72</v>
      </c>
      <c r="H2196" s="15">
        <v>2160</v>
      </c>
      <c r="I2196" s="16">
        <v>1555.2</v>
      </c>
      <c r="J2196" s="16">
        <v>1117.1488490609254</v>
      </c>
      <c r="K2196" s="16">
        <v>438.05115093907477</v>
      </c>
      <c r="L2196" s="13">
        <v>1.34</v>
      </c>
      <c r="M2196" s="13"/>
      <c r="N2196" s="17">
        <f t="shared" si="74"/>
        <v>2894.4</v>
      </c>
      <c r="O2196" s="17">
        <f t="shared" si="74"/>
        <v>0</v>
      </c>
      <c r="P2196" s="17">
        <f t="shared" si="73"/>
        <v>2894.4</v>
      </c>
      <c r="Q2196" t="str">
        <f>A2196&amp;"-"&amp;B2196&amp;"-"&amp;D2196</f>
        <v>MEI-MJ2-L4</v>
      </c>
    </row>
    <row r="2197" spans="1:17" x14ac:dyDescent="0.25">
      <c r="A2197" t="s">
        <v>395</v>
      </c>
      <c r="B2197" s="13" t="s">
        <v>26</v>
      </c>
      <c r="C2197" s="13" t="s">
        <v>226</v>
      </c>
      <c r="D2197" s="14" t="s">
        <v>158</v>
      </c>
      <c r="E2197" s="13" t="s">
        <v>61</v>
      </c>
      <c r="F2197" s="13" t="s">
        <v>809</v>
      </c>
      <c r="G2197" s="13">
        <v>0.72</v>
      </c>
      <c r="H2197" s="15">
        <v>708</v>
      </c>
      <c r="I2197" s="16">
        <v>509.76000000000005</v>
      </c>
      <c r="J2197" s="16">
        <v>368.41413317837737</v>
      </c>
      <c r="K2197" s="16">
        <v>141.34586682162256</v>
      </c>
      <c r="L2197" s="13">
        <v>1.34</v>
      </c>
      <c r="M2197" s="13"/>
      <c r="N2197" s="17">
        <f t="shared" si="74"/>
        <v>948.72</v>
      </c>
      <c r="O2197" s="17">
        <f t="shared" si="74"/>
        <v>0</v>
      </c>
      <c r="P2197" s="17">
        <f t="shared" si="73"/>
        <v>948.72</v>
      </c>
      <c r="Q2197" t="str">
        <f>A2197&amp;"-"&amp;B2197&amp;"-"&amp;D2197</f>
        <v>MEI-MJ2-L4</v>
      </c>
    </row>
    <row r="2198" spans="1:17" x14ac:dyDescent="0.25">
      <c r="A2198" t="s">
        <v>395</v>
      </c>
      <c r="B2198" s="13" t="s">
        <v>26</v>
      </c>
      <c r="C2198" s="13" t="s">
        <v>226</v>
      </c>
      <c r="D2198" s="14" t="s">
        <v>158</v>
      </c>
      <c r="E2198" s="13" t="s">
        <v>61</v>
      </c>
      <c r="F2198" s="13" t="s">
        <v>996</v>
      </c>
      <c r="G2198" s="13">
        <v>0.65</v>
      </c>
      <c r="H2198" s="15">
        <v>8034</v>
      </c>
      <c r="I2198" s="16">
        <v>5222.0999999999995</v>
      </c>
      <c r="J2198" s="16">
        <v>4494.8691010212551</v>
      </c>
      <c r="K2198" s="16">
        <v>727.23089897874536</v>
      </c>
      <c r="L2198" s="13">
        <v>1.66</v>
      </c>
      <c r="M2198" s="13"/>
      <c r="N2198" s="17">
        <f t="shared" si="74"/>
        <v>13336.439999999999</v>
      </c>
      <c r="O2198" s="17">
        <f t="shared" si="74"/>
        <v>0</v>
      </c>
      <c r="P2198" s="17">
        <f t="shared" si="73"/>
        <v>13336.439999999999</v>
      </c>
      <c r="Q2198" t="str">
        <f>A2198&amp;"-"&amp;B2198&amp;"-"&amp;D2198</f>
        <v>MEI-MJ2-L4</v>
      </c>
    </row>
    <row r="2199" spans="1:17" x14ac:dyDescent="0.25">
      <c r="A2199" t="s">
        <v>395</v>
      </c>
      <c r="B2199" s="13" t="s">
        <v>26</v>
      </c>
      <c r="C2199" s="13" t="s">
        <v>226</v>
      </c>
      <c r="D2199" s="14" t="s">
        <v>158</v>
      </c>
      <c r="E2199" s="13" t="s">
        <v>61</v>
      </c>
      <c r="F2199" s="13" t="s">
        <v>997</v>
      </c>
      <c r="G2199" s="13">
        <v>0.65</v>
      </c>
      <c r="H2199" s="15">
        <v>7791</v>
      </c>
      <c r="I2199" s="16">
        <v>5064.1499999999996</v>
      </c>
      <c r="J2199" s="16">
        <v>3754.0302712731173</v>
      </c>
      <c r="K2199" s="16">
        <v>1310.1197287268824</v>
      </c>
      <c r="L2199" s="13">
        <v>1.66</v>
      </c>
      <c r="M2199" s="13"/>
      <c r="N2199" s="17">
        <f t="shared" si="74"/>
        <v>12933.06</v>
      </c>
      <c r="O2199" s="17">
        <f t="shared" si="74"/>
        <v>0</v>
      </c>
      <c r="P2199" s="17">
        <f t="shared" si="73"/>
        <v>12933.06</v>
      </c>
      <c r="Q2199" t="str">
        <f>A2199&amp;"-"&amp;B2199&amp;"-"&amp;D2199</f>
        <v>MEI-MJ2-L4</v>
      </c>
    </row>
    <row r="2200" spans="1:17" x14ac:dyDescent="0.25">
      <c r="A2200" t="s">
        <v>395</v>
      </c>
      <c r="B2200" s="13" t="s">
        <v>26</v>
      </c>
      <c r="C2200" s="13" t="s">
        <v>226</v>
      </c>
      <c r="D2200" s="14" t="s">
        <v>158</v>
      </c>
      <c r="E2200" s="13" t="s">
        <v>61</v>
      </c>
      <c r="F2200" s="13" t="s">
        <v>998</v>
      </c>
      <c r="G2200" s="13">
        <v>0.88</v>
      </c>
      <c r="H2200" s="15">
        <v>352</v>
      </c>
      <c r="I2200" s="16">
        <v>309.76</v>
      </c>
      <c r="J2200" s="16">
        <v>226.45333333333332</v>
      </c>
      <c r="K2200" s="16">
        <v>83.306666666666672</v>
      </c>
      <c r="L2200" s="13">
        <v>5.29</v>
      </c>
      <c r="M2200" s="13"/>
      <c r="N2200" s="17">
        <f t="shared" si="74"/>
        <v>1862.08</v>
      </c>
      <c r="O2200" s="17">
        <f t="shared" si="74"/>
        <v>0</v>
      </c>
      <c r="P2200" s="17">
        <f t="shared" si="73"/>
        <v>1862.08</v>
      </c>
      <c r="Q2200" t="str">
        <f>A2200&amp;"-"&amp;B2200&amp;"-"&amp;D2200</f>
        <v>MEI-MJ2-L4</v>
      </c>
    </row>
    <row r="2201" spans="1:17" x14ac:dyDescent="0.25">
      <c r="A2201" t="s">
        <v>395</v>
      </c>
      <c r="B2201" s="13" t="s">
        <v>26</v>
      </c>
      <c r="C2201" s="13" t="s">
        <v>226</v>
      </c>
      <c r="D2201" s="14" t="s">
        <v>160</v>
      </c>
      <c r="E2201" s="13" t="s">
        <v>61</v>
      </c>
      <c r="F2201" s="13" t="s">
        <v>993</v>
      </c>
      <c r="G2201" s="13">
        <v>0.67999999999999994</v>
      </c>
      <c r="H2201" s="15">
        <v>6491</v>
      </c>
      <c r="I2201" s="16">
        <v>4413.88</v>
      </c>
      <c r="J2201" s="16">
        <v>3454.0818021120081</v>
      </c>
      <c r="K2201" s="16">
        <v>959.79819788799159</v>
      </c>
      <c r="L2201" s="13">
        <v>1.82</v>
      </c>
      <c r="M2201" s="13"/>
      <c r="N2201" s="17">
        <f t="shared" si="74"/>
        <v>11813.62</v>
      </c>
      <c r="O2201" s="17">
        <f t="shared" si="74"/>
        <v>0</v>
      </c>
      <c r="P2201" s="17">
        <f t="shared" si="73"/>
        <v>11813.62</v>
      </c>
      <c r="Q2201" t="str">
        <f>A2201&amp;"-"&amp;B2201&amp;"-"&amp;D2201</f>
        <v>MEI-MJ2-L5</v>
      </c>
    </row>
    <row r="2202" spans="1:17" x14ac:dyDescent="0.25">
      <c r="A2202" t="s">
        <v>395</v>
      </c>
      <c r="B2202" s="13" t="s">
        <v>26</v>
      </c>
      <c r="C2202" s="13" t="s">
        <v>226</v>
      </c>
      <c r="D2202" s="14" t="s">
        <v>160</v>
      </c>
      <c r="E2202" s="13" t="s">
        <v>61</v>
      </c>
      <c r="F2202" s="13" t="s">
        <v>960</v>
      </c>
      <c r="G2202" s="13">
        <v>0.68</v>
      </c>
      <c r="H2202" s="15">
        <v>3146</v>
      </c>
      <c r="I2202" s="16">
        <v>2139.2800000000002</v>
      </c>
      <c r="J2202" s="16">
        <v>2767.8561366375634</v>
      </c>
      <c r="K2202" s="16">
        <v>-628.57613663756354</v>
      </c>
      <c r="L2202" s="13">
        <v>1.82</v>
      </c>
      <c r="M2202" s="13"/>
      <c r="N2202" s="17">
        <f t="shared" si="74"/>
        <v>5725.72</v>
      </c>
      <c r="O2202" s="17">
        <f t="shared" si="74"/>
        <v>0</v>
      </c>
      <c r="P2202" s="17">
        <f t="shared" si="73"/>
        <v>5725.72</v>
      </c>
      <c r="Q2202" t="str">
        <f>A2202&amp;"-"&amp;B2202&amp;"-"&amp;D2202</f>
        <v>MEI-MJ2-L5</v>
      </c>
    </row>
    <row r="2203" spans="1:17" x14ac:dyDescent="0.25">
      <c r="A2203" t="s">
        <v>395</v>
      </c>
      <c r="B2203" s="13" t="s">
        <v>26</v>
      </c>
      <c r="C2203" s="13" t="s">
        <v>226</v>
      </c>
      <c r="D2203" s="14" t="s">
        <v>160</v>
      </c>
      <c r="E2203" s="13" t="s">
        <v>61</v>
      </c>
      <c r="F2203" s="13" t="s">
        <v>962</v>
      </c>
      <c r="G2203" s="13">
        <v>0.68</v>
      </c>
      <c r="H2203" s="15">
        <v>565</v>
      </c>
      <c r="I2203" s="16">
        <v>384.2</v>
      </c>
      <c r="J2203" s="16">
        <v>248.0550500454959</v>
      </c>
      <c r="K2203" s="16">
        <v>136.14494995450409</v>
      </c>
      <c r="L2203" s="13">
        <v>1.82</v>
      </c>
      <c r="M2203" s="13"/>
      <c r="N2203" s="17">
        <f t="shared" si="74"/>
        <v>1028.3</v>
      </c>
      <c r="O2203" s="17">
        <f t="shared" si="74"/>
        <v>0</v>
      </c>
      <c r="P2203" s="17">
        <f t="shared" si="73"/>
        <v>1028.3</v>
      </c>
      <c r="Q2203" t="str">
        <f>A2203&amp;"-"&amp;B2203&amp;"-"&amp;D2203</f>
        <v>MEI-MJ2-L5</v>
      </c>
    </row>
    <row r="2204" spans="1:17" x14ac:dyDescent="0.25">
      <c r="A2204" t="s">
        <v>395</v>
      </c>
      <c r="B2204" s="13" t="s">
        <v>26</v>
      </c>
      <c r="C2204" s="13" t="s">
        <v>226</v>
      </c>
      <c r="D2204" s="14" t="s">
        <v>160</v>
      </c>
      <c r="E2204" s="13" t="s">
        <v>61</v>
      </c>
      <c r="F2204" s="13" t="s">
        <v>994</v>
      </c>
      <c r="G2204" s="13">
        <v>0.72000000000000008</v>
      </c>
      <c r="H2204" s="15">
        <v>2816</v>
      </c>
      <c r="I2204" s="16">
        <v>2027.5200000000002</v>
      </c>
      <c r="J2204" s="16">
        <v>1598.8639611693009</v>
      </c>
      <c r="K2204" s="16">
        <v>428.65603883069929</v>
      </c>
      <c r="L2204" s="13">
        <v>1.36</v>
      </c>
      <c r="M2204" s="13"/>
      <c r="N2204" s="17">
        <f t="shared" si="74"/>
        <v>3829.76</v>
      </c>
      <c r="O2204" s="17">
        <f t="shared" si="74"/>
        <v>0</v>
      </c>
      <c r="P2204" s="17">
        <f t="shared" si="73"/>
        <v>3829.76</v>
      </c>
      <c r="Q2204" t="str">
        <f>A2204&amp;"-"&amp;B2204&amp;"-"&amp;D2204</f>
        <v>MEI-MJ2-L5</v>
      </c>
    </row>
    <row r="2205" spans="1:17" x14ac:dyDescent="0.25">
      <c r="A2205" t="s">
        <v>395</v>
      </c>
      <c r="B2205" s="13" t="s">
        <v>26</v>
      </c>
      <c r="C2205" s="13" t="s">
        <v>226</v>
      </c>
      <c r="D2205" s="14" t="s">
        <v>160</v>
      </c>
      <c r="E2205" s="13" t="s">
        <v>61</v>
      </c>
      <c r="F2205" s="13" t="s">
        <v>778</v>
      </c>
      <c r="G2205" s="13">
        <v>0.70000000000000007</v>
      </c>
      <c r="H2205" s="15">
        <v>8514</v>
      </c>
      <c r="I2205" s="16">
        <v>5959.8</v>
      </c>
      <c r="J2205" s="16">
        <v>4143.774011711711</v>
      </c>
      <c r="K2205" s="16">
        <v>1816.0259882882895</v>
      </c>
      <c r="L2205" s="13">
        <v>1.3</v>
      </c>
      <c r="M2205" s="13"/>
      <c r="N2205" s="17">
        <f t="shared" si="74"/>
        <v>11068.2</v>
      </c>
      <c r="O2205" s="17">
        <f t="shared" si="74"/>
        <v>0</v>
      </c>
      <c r="P2205" s="17">
        <f t="shared" si="73"/>
        <v>11068.2</v>
      </c>
      <c r="Q2205" t="str">
        <f>A2205&amp;"-"&amp;B2205&amp;"-"&amp;D2205</f>
        <v>MEI-MJ2-L5</v>
      </c>
    </row>
    <row r="2206" spans="1:17" x14ac:dyDescent="0.25">
      <c r="A2206" t="s">
        <v>395</v>
      </c>
      <c r="B2206" s="13" t="s">
        <v>26</v>
      </c>
      <c r="C2206" s="13" t="s">
        <v>226</v>
      </c>
      <c r="D2206" s="14" t="s">
        <v>160</v>
      </c>
      <c r="E2206" s="13" t="s">
        <v>61</v>
      </c>
      <c r="F2206" s="13" t="s">
        <v>806</v>
      </c>
      <c r="G2206" s="13">
        <v>0.7</v>
      </c>
      <c r="H2206" s="15">
        <v>43</v>
      </c>
      <c r="I2206" s="16">
        <v>30.1</v>
      </c>
      <c r="J2206" s="16">
        <v>20.241463414634147</v>
      </c>
      <c r="K2206" s="16">
        <v>9.8585365853658544</v>
      </c>
      <c r="L2206" s="13">
        <v>1.3</v>
      </c>
      <c r="M2206" s="13"/>
      <c r="N2206" s="17">
        <f t="shared" si="74"/>
        <v>55.9</v>
      </c>
      <c r="O2206" s="17">
        <f t="shared" si="74"/>
        <v>0</v>
      </c>
      <c r="P2206" s="17">
        <f t="shared" si="73"/>
        <v>55.9</v>
      </c>
      <c r="Q2206" t="str">
        <f>A2206&amp;"-"&amp;B2206&amp;"-"&amp;D2206</f>
        <v>MEI-MJ2-L5</v>
      </c>
    </row>
    <row r="2207" spans="1:17" x14ac:dyDescent="0.25">
      <c r="A2207" t="s">
        <v>395</v>
      </c>
      <c r="B2207" s="13" t="s">
        <v>26</v>
      </c>
      <c r="C2207" s="13" t="s">
        <v>226</v>
      </c>
      <c r="D2207" s="14" t="s">
        <v>160</v>
      </c>
      <c r="E2207" s="13" t="s">
        <v>61</v>
      </c>
      <c r="F2207" s="13" t="s">
        <v>995</v>
      </c>
      <c r="G2207" s="13">
        <v>0.72</v>
      </c>
      <c r="H2207" s="15">
        <v>2160</v>
      </c>
      <c r="I2207" s="16">
        <v>1555.2</v>
      </c>
      <c r="J2207" s="16">
        <v>1117.1488490609254</v>
      </c>
      <c r="K2207" s="16">
        <v>438.05115093907477</v>
      </c>
      <c r="L2207" s="13">
        <v>1.34</v>
      </c>
      <c r="M2207" s="13"/>
      <c r="N2207" s="17">
        <f t="shared" si="74"/>
        <v>2894.4</v>
      </c>
      <c r="O2207" s="17">
        <f t="shared" si="74"/>
        <v>0</v>
      </c>
      <c r="P2207" s="17">
        <f t="shared" si="73"/>
        <v>2894.4</v>
      </c>
      <c r="Q2207" t="str">
        <f>A2207&amp;"-"&amp;B2207&amp;"-"&amp;D2207</f>
        <v>MEI-MJ2-L5</v>
      </c>
    </row>
    <row r="2208" spans="1:17" x14ac:dyDescent="0.25">
      <c r="A2208" t="s">
        <v>395</v>
      </c>
      <c r="B2208" s="13" t="s">
        <v>26</v>
      </c>
      <c r="C2208" s="13" t="s">
        <v>226</v>
      </c>
      <c r="D2208" s="14" t="s">
        <v>160</v>
      </c>
      <c r="E2208" s="13" t="s">
        <v>61</v>
      </c>
      <c r="F2208" s="13" t="s">
        <v>809</v>
      </c>
      <c r="G2208" s="13">
        <v>0.72</v>
      </c>
      <c r="H2208" s="15">
        <v>710</v>
      </c>
      <c r="I2208" s="16">
        <v>511.20000000000005</v>
      </c>
      <c r="J2208" s="16">
        <v>369.62602022065528</v>
      </c>
      <c r="K2208" s="16">
        <v>141.57397977934474</v>
      </c>
      <c r="L2208" s="13">
        <v>1.34</v>
      </c>
      <c r="M2208" s="13"/>
      <c r="N2208" s="17">
        <f t="shared" si="74"/>
        <v>951.40000000000009</v>
      </c>
      <c r="O2208" s="17">
        <f t="shared" si="74"/>
        <v>0</v>
      </c>
      <c r="P2208" s="17">
        <f t="shared" si="73"/>
        <v>951.40000000000009</v>
      </c>
      <c r="Q2208" t="str">
        <f>A2208&amp;"-"&amp;B2208&amp;"-"&amp;D2208</f>
        <v>MEI-MJ2-L5</v>
      </c>
    </row>
    <row r="2209" spans="1:17" x14ac:dyDescent="0.25">
      <c r="A2209" t="s">
        <v>395</v>
      </c>
      <c r="B2209" s="13" t="s">
        <v>26</v>
      </c>
      <c r="C2209" s="13" t="s">
        <v>226</v>
      </c>
      <c r="D2209" s="14" t="s">
        <v>160</v>
      </c>
      <c r="E2209" s="13" t="s">
        <v>61</v>
      </c>
      <c r="F2209" s="13" t="s">
        <v>996</v>
      </c>
      <c r="G2209" s="13">
        <v>0.65</v>
      </c>
      <c r="H2209" s="15">
        <v>8031</v>
      </c>
      <c r="I2209" s="16">
        <v>5220.1500000000005</v>
      </c>
      <c r="J2209" s="16">
        <v>4493.6614677402995</v>
      </c>
      <c r="K2209" s="16">
        <v>726.48853225970038</v>
      </c>
      <c r="L2209" s="13">
        <v>1.66</v>
      </c>
      <c r="M2209" s="13"/>
      <c r="N2209" s="17">
        <f t="shared" si="74"/>
        <v>13331.46</v>
      </c>
      <c r="O2209" s="17">
        <f t="shared" si="74"/>
        <v>0</v>
      </c>
      <c r="P2209" s="17">
        <f t="shared" si="73"/>
        <v>13331.46</v>
      </c>
      <c r="Q2209" t="str">
        <f>A2209&amp;"-"&amp;B2209&amp;"-"&amp;D2209</f>
        <v>MEI-MJ2-L5</v>
      </c>
    </row>
    <row r="2210" spans="1:17" x14ac:dyDescent="0.25">
      <c r="A2210" t="s">
        <v>395</v>
      </c>
      <c r="B2210" s="13" t="s">
        <v>26</v>
      </c>
      <c r="C2210" s="13" t="s">
        <v>226</v>
      </c>
      <c r="D2210" s="14" t="s">
        <v>160</v>
      </c>
      <c r="E2210" s="13" t="s">
        <v>61</v>
      </c>
      <c r="F2210" s="13" t="s">
        <v>997</v>
      </c>
      <c r="G2210" s="13">
        <v>0.65</v>
      </c>
      <c r="H2210" s="15">
        <v>7793</v>
      </c>
      <c r="I2210" s="16">
        <v>5065.4499999999989</v>
      </c>
      <c r="J2210" s="16">
        <v>3754.5945712207399</v>
      </c>
      <c r="K2210" s="16">
        <v>1310.8554287792604</v>
      </c>
      <c r="L2210" s="13">
        <v>1.66</v>
      </c>
      <c r="M2210" s="13"/>
      <c r="N2210" s="17">
        <f t="shared" si="74"/>
        <v>12936.38</v>
      </c>
      <c r="O2210" s="17">
        <f t="shared" si="74"/>
        <v>0</v>
      </c>
      <c r="P2210" s="17">
        <f t="shared" si="73"/>
        <v>12936.38</v>
      </c>
      <c r="Q2210" t="str">
        <f>A2210&amp;"-"&amp;B2210&amp;"-"&amp;D2210</f>
        <v>MEI-MJ2-L5</v>
      </c>
    </row>
    <row r="2211" spans="1:17" x14ac:dyDescent="0.25">
      <c r="A2211" t="s">
        <v>395</v>
      </c>
      <c r="B2211" s="13" t="s">
        <v>26</v>
      </c>
      <c r="C2211" s="13" t="s">
        <v>226</v>
      </c>
      <c r="D2211" s="14" t="s">
        <v>160</v>
      </c>
      <c r="E2211" s="13" t="s">
        <v>61</v>
      </c>
      <c r="F2211" s="13" t="s">
        <v>998</v>
      </c>
      <c r="G2211" s="13">
        <v>0.88</v>
      </c>
      <c r="H2211" s="15">
        <v>353</v>
      </c>
      <c r="I2211" s="16">
        <v>310.64</v>
      </c>
      <c r="J2211" s="16">
        <v>227.09666666666666</v>
      </c>
      <c r="K2211" s="16">
        <v>83.543333333333322</v>
      </c>
      <c r="L2211" s="13">
        <v>5.29</v>
      </c>
      <c r="M2211" s="13"/>
      <c r="N2211" s="17">
        <f t="shared" si="74"/>
        <v>1867.3700000000001</v>
      </c>
      <c r="O2211" s="17">
        <f t="shared" si="74"/>
        <v>0</v>
      </c>
      <c r="P2211" s="17">
        <f t="shared" si="73"/>
        <v>1867.3700000000001</v>
      </c>
      <c r="Q2211" t="str">
        <f>A2211&amp;"-"&amp;B2211&amp;"-"&amp;D2211</f>
        <v>MEI-MJ2-L5</v>
      </c>
    </row>
    <row r="2212" spans="1:17" x14ac:dyDescent="0.25">
      <c r="A2212" t="s">
        <v>395</v>
      </c>
      <c r="B2212" s="13" t="s">
        <v>26</v>
      </c>
      <c r="C2212" s="13" t="s">
        <v>226</v>
      </c>
      <c r="D2212" s="14" t="s">
        <v>163</v>
      </c>
      <c r="E2212" s="13" t="s">
        <v>61</v>
      </c>
      <c r="F2212" s="13" t="s">
        <v>993</v>
      </c>
      <c r="G2212" s="13">
        <v>0.67999999999999994</v>
      </c>
      <c r="H2212" s="15">
        <v>3417</v>
      </c>
      <c r="I2212" s="16">
        <v>2323.56</v>
      </c>
      <c r="J2212" s="16">
        <v>2592.8371837564928</v>
      </c>
      <c r="K2212" s="16">
        <v>-269.27718375649255</v>
      </c>
      <c r="L2212" s="13">
        <v>1.82</v>
      </c>
      <c r="M2212" s="13"/>
      <c r="N2212" s="17">
        <f t="shared" si="74"/>
        <v>6218.9400000000005</v>
      </c>
      <c r="O2212" s="17">
        <f t="shared" si="74"/>
        <v>0</v>
      </c>
      <c r="P2212" s="17">
        <f t="shared" si="73"/>
        <v>6218.9400000000005</v>
      </c>
      <c r="Q2212" t="str">
        <f>A2212&amp;"-"&amp;B2212&amp;"-"&amp;D2212</f>
        <v>MEI-MJ2-L6</v>
      </c>
    </row>
    <row r="2213" spans="1:17" x14ac:dyDescent="0.25">
      <c r="A2213" t="s">
        <v>395</v>
      </c>
      <c r="B2213" s="13" t="s">
        <v>26</v>
      </c>
      <c r="C2213" s="13" t="s">
        <v>226</v>
      </c>
      <c r="D2213" s="14" t="s">
        <v>163</v>
      </c>
      <c r="E2213" s="13" t="s">
        <v>61</v>
      </c>
      <c r="F2213" s="13" t="s">
        <v>960</v>
      </c>
      <c r="G2213" s="13">
        <v>0.68</v>
      </c>
      <c r="H2213" s="15">
        <v>4640</v>
      </c>
      <c r="I2213" s="16">
        <v>3155.2</v>
      </c>
      <c r="J2213" s="16">
        <v>2582.3871078171269</v>
      </c>
      <c r="K2213" s="16">
        <v>572.81289218287316</v>
      </c>
      <c r="L2213" s="13">
        <v>1.82</v>
      </c>
      <c r="M2213" s="13"/>
      <c r="N2213" s="17">
        <f t="shared" si="74"/>
        <v>8444.8000000000011</v>
      </c>
      <c r="O2213" s="17">
        <f t="shared" si="74"/>
        <v>0</v>
      </c>
      <c r="P2213" s="17">
        <f t="shared" si="73"/>
        <v>8444.8000000000011</v>
      </c>
      <c r="Q2213" t="str">
        <f>A2213&amp;"-"&amp;B2213&amp;"-"&amp;D2213</f>
        <v>MEI-MJ2-L6</v>
      </c>
    </row>
    <row r="2214" spans="1:17" x14ac:dyDescent="0.25">
      <c r="A2214" t="s">
        <v>395</v>
      </c>
      <c r="B2214" s="13" t="s">
        <v>26</v>
      </c>
      <c r="C2214" s="13" t="s">
        <v>226</v>
      </c>
      <c r="D2214" s="14" t="s">
        <v>163</v>
      </c>
      <c r="E2214" s="13" t="s">
        <v>61</v>
      </c>
      <c r="F2214" s="13" t="s">
        <v>961</v>
      </c>
      <c r="G2214" s="13">
        <v>0.66</v>
      </c>
      <c r="H2214" s="15">
        <v>408</v>
      </c>
      <c r="I2214" s="16">
        <v>269.28000000000003</v>
      </c>
      <c r="J2214" s="16">
        <v>207.016279809221</v>
      </c>
      <c r="K2214" s="16">
        <v>62.263720190779011</v>
      </c>
      <c r="L2214" s="13">
        <v>1.97</v>
      </c>
      <c r="M2214" s="13"/>
      <c r="N2214" s="17">
        <f t="shared" si="74"/>
        <v>803.76</v>
      </c>
      <c r="O2214" s="17">
        <f t="shared" si="74"/>
        <v>0</v>
      </c>
      <c r="P2214" s="17">
        <f t="shared" si="73"/>
        <v>803.76</v>
      </c>
      <c r="Q2214" t="str">
        <f>A2214&amp;"-"&amp;B2214&amp;"-"&amp;D2214</f>
        <v>MEI-MJ2-L6</v>
      </c>
    </row>
    <row r="2215" spans="1:17" x14ac:dyDescent="0.25">
      <c r="A2215" t="s">
        <v>395</v>
      </c>
      <c r="B2215" s="13" t="s">
        <v>26</v>
      </c>
      <c r="C2215" s="13" t="s">
        <v>226</v>
      </c>
      <c r="D2215" s="14" t="s">
        <v>163</v>
      </c>
      <c r="E2215" s="13" t="s">
        <v>61</v>
      </c>
      <c r="F2215" s="13" t="s">
        <v>962</v>
      </c>
      <c r="G2215" s="13">
        <v>0.68</v>
      </c>
      <c r="H2215" s="15">
        <v>1585</v>
      </c>
      <c r="I2215" s="16">
        <v>1077.8</v>
      </c>
      <c r="J2215" s="16">
        <v>733.07475357710643</v>
      </c>
      <c r="K2215" s="16">
        <v>344.72524642289358</v>
      </c>
      <c r="L2215" s="13">
        <v>1.82</v>
      </c>
      <c r="M2215" s="13"/>
      <c r="N2215" s="17">
        <f t="shared" si="74"/>
        <v>2884.7000000000003</v>
      </c>
      <c r="O2215" s="17">
        <f t="shared" si="74"/>
        <v>0</v>
      </c>
      <c r="P2215" s="17">
        <f t="shared" si="73"/>
        <v>2884.7000000000003</v>
      </c>
      <c r="Q2215" t="str">
        <f>A2215&amp;"-"&amp;B2215&amp;"-"&amp;D2215</f>
        <v>MEI-MJ2-L6</v>
      </c>
    </row>
    <row r="2216" spans="1:17" x14ac:dyDescent="0.25">
      <c r="A2216" t="s">
        <v>395</v>
      </c>
      <c r="B2216" s="13" t="s">
        <v>26</v>
      </c>
      <c r="C2216" s="13" t="s">
        <v>226</v>
      </c>
      <c r="D2216" s="14" t="s">
        <v>163</v>
      </c>
      <c r="E2216" s="13" t="s">
        <v>61</v>
      </c>
      <c r="F2216" s="13" t="s">
        <v>999</v>
      </c>
      <c r="G2216" s="13">
        <v>0.66</v>
      </c>
      <c r="H2216" s="15">
        <v>186</v>
      </c>
      <c r="I2216" s="16">
        <v>122.76</v>
      </c>
      <c r="J2216" s="16">
        <v>84.465882352941179</v>
      </c>
      <c r="K2216" s="16">
        <v>38.294117647058826</v>
      </c>
      <c r="L2216" s="13">
        <v>1.97</v>
      </c>
      <c r="M2216" s="13"/>
      <c r="N2216" s="17">
        <f t="shared" si="74"/>
        <v>366.42</v>
      </c>
      <c r="O2216" s="17">
        <f t="shared" si="74"/>
        <v>0</v>
      </c>
      <c r="P2216" s="17">
        <f t="shared" si="73"/>
        <v>366.42</v>
      </c>
      <c r="Q2216" t="str">
        <f>A2216&amp;"-"&amp;B2216&amp;"-"&amp;D2216</f>
        <v>MEI-MJ2-L6</v>
      </c>
    </row>
    <row r="2217" spans="1:17" x14ac:dyDescent="0.25">
      <c r="A2217" t="s">
        <v>395</v>
      </c>
      <c r="B2217" s="13" t="s">
        <v>26</v>
      </c>
      <c r="C2217" s="13" t="s">
        <v>226</v>
      </c>
      <c r="D2217" s="14" t="s">
        <v>163</v>
      </c>
      <c r="E2217" s="13" t="s">
        <v>61</v>
      </c>
      <c r="F2217" s="13" t="s">
        <v>994</v>
      </c>
      <c r="G2217" s="13">
        <v>0.72000000000000008</v>
      </c>
      <c r="H2217" s="15">
        <v>2122</v>
      </c>
      <c r="I2217" s="16">
        <v>1527.8400000000001</v>
      </c>
      <c r="J2217" s="16">
        <v>994.09596638655455</v>
      </c>
      <c r="K2217" s="16">
        <v>533.74403361344548</v>
      </c>
      <c r="L2217" s="13">
        <v>1.36</v>
      </c>
      <c r="M2217" s="13"/>
      <c r="N2217" s="17">
        <f t="shared" si="74"/>
        <v>2885.92</v>
      </c>
      <c r="O2217" s="17">
        <f t="shared" si="74"/>
        <v>0</v>
      </c>
      <c r="P2217" s="17">
        <f t="shared" si="73"/>
        <v>2885.92</v>
      </c>
      <c r="Q2217" t="str">
        <f>A2217&amp;"-"&amp;B2217&amp;"-"&amp;D2217</f>
        <v>MEI-MJ2-L6</v>
      </c>
    </row>
    <row r="2218" spans="1:17" x14ac:dyDescent="0.25">
      <c r="A2218" t="s">
        <v>395</v>
      </c>
      <c r="B2218" s="13" t="s">
        <v>26</v>
      </c>
      <c r="C2218" s="13" t="s">
        <v>226</v>
      </c>
      <c r="D2218" s="14" t="s">
        <v>163</v>
      </c>
      <c r="E2218" s="13" t="s">
        <v>61</v>
      </c>
      <c r="F2218" s="13" t="s">
        <v>778</v>
      </c>
      <c r="G2218" s="13">
        <v>0.70000000000000007</v>
      </c>
      <c r="H2218" s="15">
        <v>8300</v>
      </c>
      <c r="I2218" s="16">
        <v>5810</v>
      </c>
      <c r="J2218" s="16">
        <v>3918.6348073339632</v>
      </c>
      <c r="K2218" s="16">
        <v>1891.3651926660373</v>
      </c>
      <c r="L2218" s="13">
        <v>1.3</v>
      </c>
      <c r="M2218" s="13"/>
      <c r="N2218" s="17">
        <f t="shared" si="74"/>
        <v>10790</v>
      </c>
      <c r="O2218" s="17">
        <f t="shared" si="74"/>
        <v>0</v>
      </c>
      <c r="P2218" s="17">
        <f t="shared" si="73"/>
        <v>10790</v>
      </c>
      <c r="Q2218" t="str">
        <f>A2218&amp;"-"&amp;B2218&amp;"-"&amp;D2218</f>
        <v>MEI-MJ2-L6</v>
      </c>
    </row>
    <row r="2219" spans="1:17" x14ac:dyDescent="0.25">
      <c r="A2219" t="s">
        <v>395</v>
      </c>
      <c r="B2219" s="13" t="s">
        <v>26</v>
      </c>
      <c r="C2219" s="13" t="s">
        <v>226</v>
      </c>
      <c r="D2219" s="14" t="s">
        <v>163</v>
      </c>
      <c r="E2219" s="13" t="s">
        <v>61</v>
      </c>
      <c r="F2219" s="13" t="s">
        <v>806</v>
      </c>
      <c r="G2219" s="13">
        <v>0.7</v>
      </c>
      <c r="H2219" s="15">
        <v>186</v>
      </c>
      <c r="I2219" s="16">
        <v>130.19999999999999</v>
      </c>
      <c r="J2219" s="16">
        <v>89.194117938553021</v>
      </c>
      <c r="K2219" s="16">
        <v>41.005882061446968</v>
      </c>
      <c r="L2219" s="13">
        <v>1.3</v>
      </c>
      <c r="M2219" s="13"/>
      <c r="N2219" s="17">
        <f t="shared" si="74"/>
        <v>241.8</v>
      </c>
      <c r="O2219" s="17">
        <f t="shared" si="74"/>
        <v>0</v>
      </c>
      <c r="P2219" s="17">
        <f t="shared" si="73"/>
        <v>241.8</v>
      </c>
      <c r="Q2219" t="str">
        <f>A2219&amp;"-"&amp;B2219&amp;"-"&amp;D2219</f>
        <v>MEI-MJ2-L6</v>
      </c>
    </row>
    <row r="2220" spans="1:17" x14ac:dyDescent="0.25">
      <c r="A2220" t="s">
        <v>395</v>
      </c>
      <c r="B2220" s="13" t="s">
        <v>26</v>
      </c>
      <c r="C2220" s="13" t="s">
        <v>226</v>
      </c>
      <c r="D2220" s="14" t="s">
        <v>163</v>
      </c>
      <c r="E2220" s="13" t="s">
        <v>61</v>
      </c>
      <c r="F2220" s="13" t="s">
        <v>995</v>
      </c>
      <c r="G2220" s="13">
        <v>0.72</v>
      </c>
      <c r="H2220" s="15">
        <v>2709</v>
      </c>
      <c r="I2220" s="16">
        <v>1950.48</v>
      </c>
      <c r="J2220" s="16">
        <v>1266.0944164332398</v>
      </c>
      <c r="K2220" s="16">
        <v>684.38558356676003</v>
      </c>
      <c r="L2220" s="13">
        <v>1.34</v>
      </c>
      <c r="M2220" s="13"/>
      <c r="N2220" s="17">
        <f t="shared" si="74"/>
        <v>3630.0600000000004</v>
      </c>
      <c r="O2220" s="17">
        <f t="shared" si="74"/>
        <v>0</v>
      </c>
      <c r="P2220" s="17">
        <f t="shared" si="73"/>
        <v>3630.0600000000004</v>
      </c>
      <c r="Q2220" t="str">
        <f>A2220&amp;"-"&amp;B2220&amp;"-"&amp;D2220</f>
        <v>MEI-MJ2-L6</v>
      </c>
    </row>
    <row r="2221" spans="1:17" x14ac:dyDescent="0.25">
      <c r="A2221" t="s">
        <v>395</v>
      </c>
      <c r="B2221" s="13" t="s">
        <v>26</v>
      </c>
      <c r="C2221" s="13" t="s">
        <v>226</v>
      </c>
      <c r="D2221" s="14" t="s">
        <v>163</v>
      </c>
      <c r="E2221" s="13" t="s">
        <v>61</v>
      </c>
      <c r="F2221" s="13" t="s">
        <v>809</v>
      </c>
      <c r="G2221" s="13">
        <v>0.72</v>
      </c>
      <c r="H2221" s="15">
        <v>3991</v>
      </c>
      <c r="I2221" s="16">
        <v>2873.5200000000004</v>
      </c>
      <c r="J2221" s="16">
        <v>1939.4435490505466</v>
      </c>
      <c r="K2221" s="16">
        <v>934.07645094945337</v>
      </c>
      <c r="L2221" s="13">
        <v>1.34</v>
      </c>
      <c r="M2221" s="13"/>
      <c r="N2221" s="17">
        <f t="shared" si="74"/>
        <v>5347.9400000000005</v>
      </c>
      <c r="O2221" s="17">
        <f t="shared" si="74"/>
        <v>0</v>
      </c>
      <c r="P2221" s="17">
        <f t="shared" si="73"/>
        <v>5347.9400000000005</v>
      </c>
      <c r="Q2221" t="str">
        <f>A2221&amp;"-"&amp;B2221&amp;"-"&amp;D2221</f>
        <v>MEI-MJ2-L6</v>
      </c>
    </row>
    <row r="2222" spans="1:17" x14ac:dyDescent="0.25">
      <c r="A2222" t="s">
        <v>395</v>
      </c>
      <c r="B2222" s="13" t="s">
        <v>26</v>
      </c>
      <c r="C2222" s="13" t="s">
        <v>226</v>
      </c>
      <c r="D2222" s="14" t="s">
        <v>163</v>
      </c>
      <c r="E2222" s="13" t="s">
        <v>61</v>
      </c>
      <c r="F2222" s="13" t="s">
        <v>996</v>
      </c>
      <c r="G2222" s="13">
        <v>0.65</v>
      </c>
      <c r="H2222" s="15">
        <v>7045</v>
      </c>
      <c r="I2222" s="16">
        <v>4579.25</v>
      </c>
      <c r="J2222" s="16">
        <v>3682.9708624708624</v>
      </c>
      <c r="K2222" s="16">
        <v>896.27913752913753</v>
      </c>
      <c r="L2222" s="13">
        <v>1.66</v>
      </c>
      <c r="M2222" s="13"/>
      <c r="N2222" s="17">
        <f t="shared" si="74"/>
        <v>11694.699999999999</v>
      </c>
      <c r="O2222" s="17">
        <f t="shared" si="74"/>
        <v>0</v>
      </c>
      <c r="P2222" s="17">
        <f t="shared" si="73"/>
        <v>11694.699999999999</v>
      </c>
      <c r="Q2222" t="str">
        <f>A2222&amp;"-"&amp;B2222&amp;"-"&amp;D2222</f>
        <v>MEI-MJ2-L6</v>
      </c>
    </row>
    <row r="2223" spans="1:17" x14ac:dyDescent="0.25">
      <c r="A2223" t="s">
        <v>395</v>
      </c>
      <c r="B2223" s="13" t="s">
        <v>26</v>
      </c>
      <c r="C2223" s="13" t="s">
        <v>226</v>
      </c>
      <c r="D2223" s="14" t="s">
        <v>163</v>
      </c>
      <c r="E2223" s="13" t="s">
        <v>61</v>
      </c>
      <c r="F2223" s="13" t="s">
        <v>997</v>
      </c>
      <c r="G2223" s="13">
        <v>0.65</v>
      </c>
      <c r="H2223" s="15">
        <v>8481</v>
      </c>
      <c r="I2223" s="16">
        <v>5512.65</v>
      </c>
      <c r="J2223" s="16">
        <v>4104.7850730733926</v>
      </c>
      <c r="K2223" s="16">
        <v>1407.8649269266075</v>
      </c>
      <c r="L2223" s="13">
        <v>1.66</v>
      </c>
      <c r="M2223" s="13"/>
      <c r="N2223" s="17">
        <f t="shared" si="74"/>
        <v>14078.46</v>
      </c>
      <c r="O2223" s="17">
        <f t="shared" si="74"/>
        <v>0</v>
      </c>
      <c r="P2223" s="17">
        <f t="shared" si="73"/>
        <v>14078.46</v>
      </c>
      <c r="Q2223" t="str">
        <f>A2223&amp;"-"&amp;B2223&amp;"-"&amp;D2223</f>
        <v>MEI-MJ2-L6</v>
      </c>
    </row>
    <row r="2224" spans="1:17" x14ac:dyDescent="0.25">
      <c r="A2224" t="s">
        <v>395</v>
      </c>
      <c r="B2224" s="13" t="s">
        <v>26</v>
      </c>
      <c r="C2224" s="13" t="s">
        <v>226</v>
      </c>
      <c r="D2224" s="14" t="s">
        <v>164</v>
      </c>
      <c r="E2224" s="13" t="s">
        <v>61</v>
      </c>
      <c r="F2224" s="13" t="s">
        <v>993</v>
      </c>
      <c r="G2224" s="13">
        <v>0.67999999999999994</v>
      </c>
      <c r="H2224" s="15">
        <v>3415</v>
      </c>
      <c r="I2224" s="16">
        <v>2322.2000000000003</v>
      </c>
      <c r="J2224" s="16">
        <v>2592.0753603106668</v>
      </c>
      <c r="K2224" s="16">
        <v>-269.87536031066622</v>
      </c>
      <c r="L2224" s="13">
        <v>1.82</v>
      </c>
      <c r="M2224" s="13"/>
      <c r="N2224" s="17">
        <f t="shared" si="74"/>
        <v>6215.3</v>
      </c>
      <c r="O2224" s="17">
        <f t="shared" si="74"/>
        <v>0</v>
      </c>
      <c r="P2224" s="17">
        <f t="shared" si="73"/>
        <v>6215.3</v>
      </c>
      <c r="Q2224" t="str">
        <f>A2224&amp;"-"&amp;B2224&amp;"-"&amp;D2224</f>
        <v>MEI-MJ2-L7</v>
      </c>
    </row>
    <row r="2225" spans="1:17" x14ac:dyDescent="0.25">
      <c r="A2225" t="s">
        <v>395</v>
      </c>
      <c r="B2225" s="13" t="s">
        <v>26</v>
      </c>
      <c r="C2225" s="13" t="s">
        <v>226</v>
      </c>
      <c r="D2225" s="14" t="s">
        <v>164</v>
      </c>
      <c r="E2225" s="13" t="s">
        <v>61</v>
      </c>
      <c r="F2225" s="13" t="s">
        <v>960</v>
      </c>
      <c r="G2225" s="13">
        <v>0.68</v>
      </c>
      <c r="H2225" s="15">
        <v>4640</v>
      </c>
      <c r="I2225" s="16">
        <v>3155.2000000000003</v>
      </c>
      <c r="J2225" s="16">
        <v>2582.4546117916898</v>
      </c>
      <c r="K2225" s="16">
        <v>572.74538820831049</v>
      </c>
      <c r="L2225" s="13">
        <v>1.82</v>
      </c>
      <c r="M2225" s="13"/>
      <c r="N2225" s="17">
        <f t="shared" si="74"/>
        <v>8444.8000000000011</v>
      </c>
      <c r="O2225" s="17">
        <f t="shared" si="74"/>
        <v>0</v>
      </c>
      <c r="P2225" s="17">
        <f t="shared" si="73"/>
        <v>8444.8000000000011</v>
      </c>
      <c r="Q2225" t="str">
        <f>A2225&amp;"-"&amp;B2225&amp;"-"&amp;D2225</f>
        <v>MEI-MJ2-L7</v>
      </c>
    </row>
    <row r="2226" spans="1:17" x14ac:dyDescent="0.25">
      <c r="A2226" t="s">
        <v>395</v>
      </c>
      <c r="B2226" s="13" t="s">
        <v>26</v>
      </c>
      <c r="C2226" s="13" t="s">
        <v>226</v>
      </c>
      <c r="D2226" s="14" t="s">
        <v>164</v>
      </c>
      <c r="E2226" s="13" t="s">
        <v>61</v>
      </c>
      <c r="F2226" s="13" t="s">
        <v>961</v>
      </c>
      <c r="G2226" s="13">
        <v>0.66</v>
      </c>
      <c r="H2226" s="15">
        <v>408</v>
      </c>
      <c r="I2226" s="16">
        <v>269.28000000000003</v>
      </c>
      <c r="J2226" s="16">
        <v>206.94877583465819</v>
      </c>
      <c r="K2226" s="16">
        <v>62.331224165341816</v>
      </c>
      <c r="L2226" s="13">
        <v>1.97</v>
      </c>
      <c r="M2226" s="13"/>
      <c r="N2226" s="17">
        <f t="shared" si="74"/>
        <v>803.76</v>
      </c>
      <c r="O2226" s="17">
        <f t="shared" si="74"/>
        <v>0</v>
      </c>
      <c r="P2226" s="17">
        <f t="shared" si="73"/>
        <v>803.76</v>
      </c>
      <c r="Q2226" t="str">
        <f>A2226&amp;"-"&amp;B2226&amp;"-"&amp;D2226</f>
        <v>MEI-MJ2-L7</v>
      </c>
    </row>
    <row r="2227" spans="1:17" x14ac:dyDescent="0.25">
      <c r="A2227" t="s">
        <v>395</v>
      </c>
      <c r="B2227" s="13" t="s">
        <v>26</v>
      </c>
      <c r="C2227" s="13" t="s">
        <v>226</v>
      </c>
      <c r="D2227" s="14" t="s">
        <v>164</v>
      </c>
      <c r="E2227" s="13" t="s">
        <v>61</v>
      </c>
      <c r="F2227" s="13" t="s">
        <v>962</v>
      </c>
      <c r="G2227" s="13">
        <v>0.68</v>
      </c>
      <c r="H2227" s="15">
        <v>1586</v>
      </c>
      <c r="I2227" s="16">
        <v>1078.48</v>
      </c>
      <c r="J2227" s="16">
        <v>733.59637519872808</v>
      </c>
      <c r="K2227" s="16">
        <v>344.88362480127194</v>
      </c>
      <c r="L2227" s="13">
        <v>1.82</v>
      </c>
      <c r="M2227" s="13"/>
      <c r="N2227" s="17">
        <f t="shared" si="74"/>
        <v>2886.52</v>
      </c>
      <c r="O2227" s="17">
        <f t="shared" si="74"/>
        <v>0</v>
      </c>
      <c r="P2227" s="17">
        <f t="shared" si="73"/>
        <v>2886.52</v>
      </c>
      <c r="Q2227" t="str">
        <f>A2227&amp;"-"&amp;B2227&amp;"-"&amp;D2227</f>
        <v>MEI-MJ2-L7</v>
      </c>
    </row>
    <row r="2228" spans="1:17" x14ac:dyDescent="0.25">
      <c r="A2228" t="s">
        <v>395</v>
      </c>
      <c r="B2228" s="13" t="s">
        <v>26</v>
      </c>
      <c r="C2228" s="13" t="s">
        <v>226</v>
      </c>
      <c r="D2228" s="14" t="s">
        <v>164</v>
      </c>
      <c r="E2228" s="13" t="s">
        <v>61</v>
      </c>
      <c r="F2228" s="13" t="s">
        <v>999</v>
      </c>
      <c r="G2228" s="13">
        <v>0.66</v>
      </c>
      <c r="H2228" s="15">
        <v>186</v>
      </c>
      <c r="I2228" s="16">
        <v>122.76</v>
      </c>
      <c r="J2228" s="16">
        <v>84.465882352941179</v>
      </c>
      <c r="K2228" s="16">
        <v>38.294117647058826</v>
      </c>
      <c r="L2228" s="13">
        <v>1.97</v>
      </c>
      <c r="M2228" s="13"/>
      <c r="N2228" s="17">
        <f t="shared" si="74"/>
        <v>366.42</v>
      </c>
      <c r="O2228" s="17">
        <f t="shared" si="74"/>
        <v>0</v>
      </c>
      <c r="P2228" s="17">
        <f t="shared" si="73"/>
        <v>366.42</v>
      </c>
      <c r="Q2228" t="str">
        <f>A2228&amp;"-"&amp;B2228&amp;"-"&amp;D2228</f>
        <v>MEI-MJ2-L7</v>
      </c>
    </row>
    <row r="2229" spans="1:17" x14ac:dyDescent="0.25">
      <c r="A2229" t="s">
        <v>395</v>
      </c>
      <c r="B2229" s="13" t="s">
        <v>26</v>
      </c>
      <c r="C2229" s="13" t="s">
        <v>226</v>
      </c>
      <c r="D2229" s="14" t="s">
        <v>164</v>
      </c>
      <c r="E2229" s="13" t="s">
        <v>61</v>
      </c>
      <c r="F2229" s="13" t="s">
        <v>994</v>
      </c>
      <c r="G2229" s="13">
        <v>0.72000000000000008</v>
      </c>
      <c r="H2229" s="15">
        <v>2122</v>
      </c>
      <c r="I2229" s="16">
        <v>1527.8400000000001</v>
      </c>
      <c r="J2229" s="16">
        <v>994.19327731092426</v>
      </c>
      <c r="K2229" s="16">
        <v>533.64672268907577</v>
      </c>
      <c r="L2229" s="13">
        <v>1.36</v>
      </c>
      <c r="M2229" s="13"/>
      <c r="N2229" s="17">
        <f t="shared" si="74"/>
        <v>2885.92</v>
      </c>
      <c r="O2229" s="17">
        <f t="shared" si="74"/>
        <v>0</v>
      </c>
      <c r="P2229" s="17">
        <f t="shared" si="73"/>
        <v>2885.92</v>
      </c>
      <c r="Q2229" t="str">
        <f>A2229&amp;"-"&amp;B2229&amp;"-"&amp;D2229</f>
        <v>MEI-MJ2-L7</v>
      </c>
    </row>
    <row r="2230" spans="1:17" x14ac:dyDescent="0.25">
      <c r="A2230" t="s">
        <v>395</v>
      </c>
      <c r="B2230" s="13" t="s">
        <v>26</v>
      </c>
      <c r="C2230" s="13" t="s">
        <v>226</v>
      </c>
      <c r="D2230" s="14" t="s">
        <v>164</v>
      </c>
      <c r="E2230" s="13" t="s">
        <v>61</v>
      </c>
      <c r="F2230" s="13" t="s">
        <v>778</v>
      </c>
      <c r="G2230" s="13">
        <v>0.70000000000000007</v>
      </c>
      <c r="H2230" s="15">
        <v>8305</v>
      </c>
      <c r="I2230" s="16">
        <v>5813.5</v>
      </c>
      <c r="J2230" s="16">
        <v>3921.1500722368237</v>
      </c>
      <c r="K2230" s="16">
        <v>1892.3499277631752</v>
      </c>
      <c r="L2230" s="13">
        <v>1.3</v>
      </c>
      <c r="M2230" s="13"/>
      <c r="N2230" s="17">
        <f t="shared" si="74"/>
        <v>10796.5</v>
      </c>
      <c r="O2230" s="17">
        <f t="shared" si="74"/>
        <v>0</v>
      </c>
      <c r="P2230" s="17">
        <f t="shared" si="73"/>
        <v>10796.5</v>
      </c>
      <c r="Q2230" t="str">
        <f>A2230&amp;"-"&amp;B2230&amp;"-"&amp;D2230</f>
        <v>MEI-MJ2-L7</v>
      </c>
    </row>
    <row r="2231" spans="1:17" x14ac:dyDescent="0.25">
      <c r="A2231" t="s">
        <v>395</v>
      </c>
      <c r="B2231" s="13" t="s">
        <v>26</v>
      </c>
      <c r="C2231" s="13" t="s">
        <v>226</v>
      </c>
      <c r="D2231" s="14" t="s">
        <v>164</v>
      </c>
      <c r="E2231" s="13" t="s">
        <v>61</v>
      </c>
      <c r="F2231" s="13" t="s">
        <v>806</v>
      </c>
      <c r="G2231" s="13">
        <v>0.7</v>
      </c>
      <c r="H2231" s="15">
        <v>184</v>
      </c>
      <c r="I2231" s="16">
        <v>128.80000000000001</v>
      </c>
      <c r="J2231" s="16">
        <v>88.263531234506686</v>
      </c>
      <c r="K2231" s="16">
        <v>40.536468765493311</v>
      </c>
      <c r="L2231" s="13">
        <v>1.3</v>
      </c>
      <c r="M2231" s="13"/>
      <c r="N2231" s="17">
        <f t="shared" si="74"/>
        <v>239.20000000000002</v>
      </c>
      <c r="O2231" s="17">
        <f t="shared" si="74"/>
        <v>0</v>
      </c>
      <c r="P2231" s="17">
        <f t="shared" si="73"/>
        <v>239.20000000000002</v>
      </c>
      <c r="Q2231" t="str">
        <f>A2231&amp;"-"&amp;B2231&amp;"-"&amp;D2231</f>
        <v>MEI-MJ2-L7</v>
      </c>
    </row>
    <row r="2232" spans="1:17" x14ac:dyDescent="0.25">
      <c r="A2232" t="s">
        <v>395</v>
      </c>
      <c r="B2232" s="13" t="s">
        <v>26</v>
      </c>
      <c r="C2232" s="13" t="s">
        <v>226</v>
      </c>
      <c r="D2232" s="14" t="s">
        <v>164</v>
      </c>
      <c r="E2232" s="13" t="s">
        <v>61</v>
      </c>
      <c r="F2232" s="13" t="s">
        <v>995</v>
      </c>
      <c r="G2232" s="13">
        <v>0.72</v>
      </c>
      <c r="H2232" s="15">
        <v>2707</v>
      </c>
      <c r="I2232" s="16">
        <v>1949.04</v>
      </c>
      <c r="J2232" s="16">
        <v>1264.9302894491129</v>
      </c>
      <c r="K2232" s="16">
        <v>684.10971055088692</v>
      </c>
      <c r="L2232" s="13">
        <v>1.34</v>
      </c>
      <c r="M2232" s="13"/>
      <c r="N2232" s="17">
        <f t="shared" si="74"/>
        <v>3627.38</v>
      </c>
      <c r="O2232" s="17">
        <f t="shared" si="74"/>
        <v>0</v>
      </c>
      <c r="P2232" s="17">
        <f t="shared" si="73"/>
        <v>3627.38</v>
      </c>
      <c r="Q2232" t="str">
        <f>A2232&amp;"-"&amp;B2232&amp;"-"&amp;D2232</f>
        <v>MEI-MJ2-L7</v>
      </c>
    </row>
    <row r="2233" spans="1:17" x14ac:dyDescent="0.25">
      <c r="A2233" t="s">
        <v>395</v>
      </c>
      <c r="B2233" s="13" t="s">
        <v>26</v>
      </c>
      <c r="C2233" s="13" t="s">
        <v>226</v>
      </c>
      <c r="D2233" s="14" t="s">
        <v>164</v>
      </c>
      <c r="E2233" s="13" t="s">
        <v>61</v>
      </c>
      <c r="F2233" s="13" t="s">
        <v>809</v>
      </c>
      <c r="G2233" s="13">
        <v>0.72</v>
      </c>
      <c r="H2233" s="15">
        <v>3991</v>
      </c>
      <c r="I2233" s="16">
        <v>2873.5200000000004</v>
      </c>
      <c r="J2233" s="16">
        <v>1939.4771154829173</v>
      </c>
      <c r="K2233" s="16">
        <v>934.04288451708271</v>
      </c>
      <c r="L2233" s="13">
        <v>1.34</v>
      </c>
      <c r="M2233" s="13"/>
      <c r="N2233" s="17">
        <f t="shared" si="74"/>
        <v>5347.9400000000005</v>
      </c>
      <c r="O2233" s="17">
        <f t="shared" si="74"/>
        <v>0</v>
      </c>
      <c r="P2233" s="17">
        <f t="shared" si="73"/>
        <v>5347.9400000000005</v>
      </c>
      <c r="Q2233" t="str">
        <f>A2233&amp;"-"&amp;B2233&amp;"-"&amp;D2233</f>
        <v>MEI-MJ2-L7</v>
      </c>
    </row>
    <row r="2234" spans="1:17" x14ac:dyDescent="0.25">
      <c r="A2234" t="s">
        <v>395</v>
      </c>
      <c r="B2234" s="13" t="s">
        <v>26</v>
      </c>
      <c r="C2234" s="13" t="s">
        <v>226</v>
      </c>
      <c r="D2234" s="14" t="s">
        <v>164</v>
      </c>
      <c r="E2234" s="13" t="s">
        <v>61</v>
      </c>
      <c r="F2234" s="13" t="s">
        <v>996</v>
      </c>
      <c r="G2234" s="13">
        <v>0.65</v>
      </c>
      <c r="H2234" s="15">
        <v>7045</v>
      </c>
      <c r="I2234" s="16">
        <v>4579.25</v>
      </c>
      <c r="J2234" s="16">
        <v>3682.9708624708624</v>
      </c>
      <c r="K2234" s="16">
        <v>896.27913752913753</v>
      </c>
      <c r="L2234" s="13">
        <v>1.66</v>
      </c>
      <c r="M2234" s="13"/>
      <c r="N2234" s="17">
        <f t="shared" si="74"/>
        <v>11694.699999999999</v>
      </c>
      <c r="O2234" s="17">
        <f t="shared" si="74"/>
        <v>0</v>
      </c>
      <c r="P2234" s="17">
        <f t="shared" si="73"/>
        <v>11694.699999999999</v>
      </c>
      <c r="Q2234" t="str">
        <f>A2234&amp;"-"&amp;B2234&amp;"-"&amp;D2234</f>
        <v>MEI-MJ2-L7</v>
      </c>
    </row>
    <row r="2235" spans="1:17" x14ac:dyDescent="0.25">
      <c r="A2235" t="s">
        <v>395</v>
      </c>
      <c r="B2235" s="13" t="s">
        <v>26</v>
      </c>
      <c r="C2235" s="13" t="s">
        <v>226</v>
      </c>
      <c r="D2235" s="14" t="s">
        <v>164</v>
      </c>
      <c r="E2235" s="13" t="s">
        <v>61</v>
      </c>
      <c r="F2235" s="13" t="s">
        <v>997</v>
      </c>
      <c r="G2235" s="13">
        <v>0.65</v>
      </c>
      <c r="H2235" s="15">
        <v>8480</v>
      </c>
      <c r="I2235" s="16">
        <v>5512</v>
      </c>
      <c r="J2235" s="16">
        <v>4104.4738463261683</v>
      </c>
      <c r="K2235" s="16">
        <v>1407.5261536738315</v>
      </c>
      <c r="L2235" s="13">
        <v>1.66</v>
      </c>
      <c r="M2235" s="13"/>
      <c r="N2235" s="17">
        <f t="shared" si="74"/>
        <v>14076.8</v>
      </c>
      <c r="O2235" s="17">
        <f t="shared" si="74"/>
        <v>0</v>
      </c>
      <c r="P2235" s="17">
        <f t="shared" si="73"/>
        <v>14076.8</v>
      </c>
      <c r="Q2235" t="str">
        <f>A2235&amp;"-"&amp;B2235&amp;"-"&amp;D2235</f>
        <v>MEI-MJ2-L7</v>
      </c>
    </row>
    <row r="2236" spans="1:17" x14ac:dyDescent="0.25">
      <c r="A2236" t="s">
        <v>395</v>
      </c>
      <c r="B2236" s="13" t="s">
        <v>26</v>
      </c>
      <c r="C2236" s="13" t="s">
        <v>226</v>
      </c>
      <c r="D2236" s="14" t="s">
        <v>198</v>
      </c>
      <c r="E2236" s="13" t="s">
        <v>61</v>
      </c>
      <c r="F2236" s="13" t="s">
        <v>960</v>
      </c>
      <c r="G2236" s="13">
        <v>0.68</v>
      </c>
      <c r="H2236" s="15">
        <v>2362</v>
      </c>
      <c r="I2236" s="16">
        <v>1606.16</v>
      </c>
      <c r="J2236" s="16">
        <v>1578.2975180819046</v>
      </c>
      <c r="K2236" s="16">
        <v>27.862481918095327</v>
      </c>
      <c r="L2236" s="13">
        <v>1.82</v>
      </c>
      <c r="M2236" s="13"/>
      <c r="N2236" s="17">
        <f t="shared" si="74"/>
        <v>4298.84</v>
      </c>
      <c r="O2236" s="17">
        <f t="shared" si="74"/>
        <v>0</v>
      </c>
      <c r="P2236" s="17">
        <f t="shared" si="73"/>
        <v>4298.84</v>
      </c>
      <c r="Q2236" t="str">
        <f>A2236&amp;"-"&amp;B2236&amp;"-"&amp;D2236</f>
        <v>MEI-MJ2-L8</v>
      </c>
    </row>
    <row r="2237" spans="1:17" x14ac:dyDescent="0.25">
      <c r="A2237" t="s">
        <v>395</v>
      </c>
      <c r="B2237" s="13" t="s">
        <v>26</v>
      </c>
      <c r="C2237" s="13" t="s">
        <v>226</v>
      </c>
      <c r="D2237" s="14" t="s">
        <v>198</v>
      </c>
      <c r="E2237" s="13" t="s">
        <v>61</v>
      </c>
      <c r="F2237" s="13" t="s">
        <v>961</v>
      </c>
      <c r="G2237" s="13">
        <v>0.66</v>
      </c>
      <c r="H2237" s="15">
        <v>175</v>
      </c>
      <c r="I2237" s="16">
        <v>115.5</v>
      </c>
      <c r="J2237" s="16">
        <v>108.95161290322581</v>
      </c>
      <c r="K2237" s="16">
        <v>6.5483870967741922</v>
      </c>
      <c r="L2237" s="13">
        <v>1.97</v>
      </c>
      <c r="M2237" s="13"/>
      <c r="N2237" s="17">
        <f t="shared" si="74"/>
        <v>344.75</v>
      </c>
      <c r="O2237" s="17">
        <f t="shared" si="74"/>
        <v>0</v>
      </c>
      <c r="P2237" s="17">
        <f t="shared" si="73"/>
        <v>344.75</v>
      </c>
      <c r="Q2237" t="str">
        <f>A2237&amp;"-"&amp;B2237&amp;"-"&amp;D2237</f>
        <v>MEI-MJ2-L8</v>
      </c>
    </row>
    <row r="2238" spans="1:17" x14ac:dyDescent="0.25">
      <c r="A2238" t="s">
        <v>395</v>
      </c>
      <c r="B2238" s="13" t="s">
        <v>26</v>
      </c>
      <c r="C2238" s="13" t="s">
        <v>226</v>
      </c>
      <c r="D2238" s="14" t="s">
        <v>198</v>
      </c>
      <c r="E2238" s="13" t="s">
        <v>61</v>
      </c>
      <c r="F2238" s="13" t="s">
        <v>962</v>
      </c>
      <c r="G2238" s="13">
        <v>0.68</v>
      </c>
      <c r="H2238" s="15">
        <v>1724</v>
      </c>
      <c r="I2238" s="16">
        <v>1172.32</v>
      </c>
      <c r="J2238" s="16">
        <v>1109.2896800513668</v>
      </c>
      <c r="K2238" s="16">
        <v>63.030319948633263</v>
      </c>
      <c r="L2238" s="13">
        <v>1.82</v>
      </c>
      <c r="M2238" s="13"/>
      <c r="N2238" s="17">
        <f t="shared" si="74"/>
        <v>3137.6800000000003</v>
      </c>
      <c r="O2238" s="17">
        <f t="shared" si="74"/>
        <v>0</v>
      </c>
      <c r="P2238" s="17">
        <f t="shared" si="73"/>
        <v>3137.6800000000003</v>
      </c>
      <c r="Q2238" t="str">
        <f>A2238&amp;"-"&amp;B2238&amp;"-"&amp;D2238</f>
        <v>MEI-MJ2-L8</v>
      </c>
    </row>
    <row r="2239" spans="1:17" x14ac:dyDescent="0.25">
      <c r="A2239" t="s">
        <v>395</v>
      </c>
      <c r="B2239" s="13" t="s">
        <v>26</v>
      </c>
      <c r="C2239" s="13" t="s">
        <v>226</v>
      </c>
      <c r="D2239" s="14" t="s">
        <v>198</v>
      </c>
      <c r="E2239" s="13" t="s">
        <v>61</v>
      </c>
      <c r="F2239" s="13" t="s">
        <v>999</v>
      </c>
      <c r="G2239" s="13">
        <v>0.66</v>
      </c>
      <c r="H2239" s="15">
        <v>370</v>
      </c>
      <c r="I2239" s="16">
        <v>244.2</v>
      </c>
      <c r="J2239" s="16">
        <v>217.68482340117342</v>
      </c>
      <c r="K2239" s="16">
        <v>26.515176598826585</v>
      </c>
      <c r="L2239" s="13">
        <v>1.97</v>
      </c>
      <c r="M2239" s="13"/>
      <c r="N2239" s="17">
        <f t="shared" si="74"/>
        <v>728.9</v>
      </c>
      <c r="O2239" s="17">
        <f t="shared" si="74"/>
        <v>0</v>
      </c>
      <c r="P2239" s="17">
        <f t="shared" si="73"/>
        <v>728.9</v>
      </c>
      <c r="Q2239" t="str">
        <f>A2239&amp;"-"&amp;B2239&amp;"-"&amp;D2239</f>
        <v>MEI-MJ2-L8</v>
      </c>
    </row>
    <row r="2240" spans="1:17" x14ac:dyDescent="0.25">
      <c r="A2240" t="s">
        <v>395</v>
      </c>
      <c r="B2240" s="13" t="s">
        <v>26</v>
      </c>
      <c r="C2240" s="13" t="s">
        <v>226</v>
      </c>
      <c r="D2240" s="14" t="s">
        <v>198</v>
      </c>
      <c r="E2240" s="13" t="s">
        <v>61</v>
      </c>
      <c r="F2240" s="13" t="s">
        <v>963</v>
      </c>
      <c r="G2240" s="13">
        <v>0.70000000000000007</v>
      </c>
      <c r="H2240" s="15">
        <v>9241</v>
      </c>
      <c r="I2240" s="16">
        <v>6468.7</v>
      </c>
      <c r="J2240" s="16">
        <v>4896.2548546186099</v>
      </c>
      <c r="K2240" s="16">
        <v>1572.4451453813901</v>
      </c>
      <c r="L2240" s="13">
        <v>1.3</v>
      </c>
      <c r="M2240" s="13"/>
      <c r="N2240" s="17">
        <f t="shared" si="74"/>
        <v>12013.300000000001</v>
      </c>
      <c r="O2240" s="17">
        <f t="shared" si="74"/>
        <v>0</v>
      </c>
      <c r="P2240" s="17">
        <f t="shared" si="73"/>
        <v>12013.300000000001</v>
      </c>
      <c r="Q2240" t="str">
        <f>A2240&amp;"-"&amp;B2240&amp;"-"&amp;D2240</f>
        <v>MEI-MJ2-L8</v>
      </c>
    </row>
    <row r="2241" spans="1:17" x14ac:dyDescent="0.25">
      <c r="A2241" t="s">
        <v>395</v>
      </c>
      <c r="B2241" s="13" t="s">
        <v>26</v>
      </c>
      <c r="C2241" s="13" t="s">
        <v>226</v>
      </c>
      <c r="D2241" s="14" t="s">
        <v>198</v>
      </c>
      <c r="E2241" s="13" t="s">
        <v>61</v>
      </c>
      <c r="F2241" s="13" t="s">
        <v>778</v>
      </c>
      <c r="G2241" s="13">
        <v>0.70000000000000007</v>
      </c>
      <c r="H2241" s="15">
        <v>4412</v>
      </c>
      <c r="I2241" s="16">
        <v>3088.4</v>
      </c>
      <c r="J2241" s="16">
        <v>2558.6669646091837</v>
      </c>
      <c r="K2241" s="16">
        <v>529.73303539081621</v>
      </c>
      <c r="L2241" s="13">
        <v>1.3</v>
      </c>
      <c r="M2241" s="13"/>
      <c r="N2241" s="17">
        <f t="shared" si="74"/>
        <v>5735.6</v>
      </c>
      <c r="O2241" s="17">
        <f t="shared" si="74"/>
        <v>0</v>
      </c>
      <c r="P2241" s="17">
        <f t="shared" si="73"/>
        <v>5735.6</v>
      </c>
      <c r="Q2241" t="str">
        <f>A2241&amp;"-"&amp;B2241&amp;"-"&amp;D2241</f>
        <v>MEI-MJ2-L8</v>
      </c>
    </row>
    <row r="2242" spans="1:17" x14ac:dyDescent="0.25">
      <c r="A2242" t="s">
        <v>395</v>
      </c>
      <c r="B2242" s="13" t="s">
        <v>26</v>
      </c>
      <c r="C2242" s="13" t="s">
        <v>226</v>
      </c>
      <c r="D2242" s="14" t="s">
        <v>198</v>
      </c>
      <c r="E2242" s="13" t="s">
        <v>61</v>
      </c>
      <c r="F2242" s="13" t="s">
        <v>964</v>
      </c>
      <c r="G2242" s="13">
        <v>0.7</v>
      </c>
      <c r="H2242" s="15">
        <v>4616</v>
      </c>
      <c r="I2242" s="16">
        <v>3231.2</v>
      </c>
      <c r="J2242" s="16">
        <v>2580.9436932186891</v>
      </c>
      <c r="K2242" s="16">
        <v>650.25630678131097</v>
      </c>
      <c r="L2242" s="13">
        <v>1.3</v>
      </c>
      <c r="M2242" s="13"/>
      <c r="N2242" s="17">
        <f t="shared" si="74"/>
        <v>6000.8</v>
      </c>
      <c r="O2242" s="17">
        <f t="shared" si="74"/>
        <v>0</v>
      </c>
      <c r="P2242" s="17">
        <f t="shared" ref="P2242:P2305" si="75">N2242+O2242</f>
        <v>6000.8</v>
      </c>
      <c r="Q2242" t="str">
        <f>A2242&amp;"-"&amp;B2242&amp;"-"&amp;D2242</f>
        <v>MEI-MJ2-L8</v>
      </c>
    </row>
    <row r="2243" spans="1:17" x14ac:dyDescent="0.25">
      <c r="A2243" t="s">
        <v>395</v>
      </c>
      <c r="B2243" s="13" t="s">
        <v>26</v>
      </c>
      <c r="C2243" s="13" t="s">
        <v>226</v>
      </c>
      <c r="D2243" s="14" t="s">
        <v>198</v>
      </c>
      <c r="E2243" s="13" t="s">
        <v>61</v>
      </c>
      <c r="F2243" s="13" t="s">
        <v>779</v>
      </c>
      <c r="G2243" s="13">
        <v>0.78</v>
      </c>
      <c r="H2243" s="15">
        <v>327</v>
      </c>
      <c r="I2243" s="16">
        <v>255.06</v>
      </c>
      <c r="J2243" s="16">
        <v>315.55500000000001</v>
      </c>
      <c r="K2243" s="16">
        <v>-60.495000000000005</v>
      </c>
      <c r="L2243" s="13">
        <v>2</v>
      </c>
      <c r="M2243" s="13"/>
      <c r="N2243" s="17">
        <f t="shared" si="74"/>
        <v>654</v>
      </c>
      <c r="O2243" s="17">
        <f t="shared" si="74"/>
        <v>0</v>
      </c>
      <c r="P2243" s="17">
        <f t="shared" si="75"/>
        <v>654</v>
      </c>
      <c r="Q2243" t="str">
        <f>A2243&amp;"-"&amp;B2243&amp;"-"&amp;D2243</f>
        <v>MEI-MJ2-L8</v>
      </c>
    </row>
    <row r="2244" spans="1:17" x14ac:dyDescent="0.25">
      <c r="A2244" t="s">
        <v>395</v>
      </c>
      <c r="B2244" s="13" t="s">
        <v>26</v>
      </c>
      <c r="C2244" s="13" t="s">
        <v>226</v>
      </c>
      <c r="D2244" s="14" t="s">
        <v>198</v>
      </c>
      <c r="E2244" s="13" t="s">
        <v>61</v>
      </c>
      <c r="F2244" s="13" t="s">
        <v>788</v>
      </c>
      <c r="G2244" s="13">
        <v>0.79</v>
      </c>
      <c r="H2244" s="15">
        <v>64</v>
      </c>
      <c r="I2244" s="16">
        <v>50.56</v>
      </c>
      <c r="J2244" s="16">
        <v>34.31111111111111</v>
      </c>
      <c r="K2244" s="16">
        <v>16.248888888888892</v>
      </c>
      <c r="L2244" s="13">
        <v>2.42</v>
      </c>
      <c r="M2244" s="13"/>
      <c r="N2244" s="17">
        <f t="shared" si="74"/>
        <v>154.88</v>
      </c>
      <c r="O2244" s="17">
        <f t="shared" si="74"/>
        <v>0</v>
      </c>
      <c r="P2244" s="17">
        <f t="shared" si="75"/>
        <v>154.88</v>
      </c>
      <c r="Q2244" t="str">
        <f>A2244&amp;"-"&amp;B2244&amp;"-"&amp;D2244</f>
        <v>MEI-MJ2-L8</v>
      </c>
    </row>
    <row r="2245" spans="1:17" x14ac:dyDescent="0.25">
      <c r="A2245" t="s">
        <v>395</v>
      </c>
      <c r="B2245" s="13" t="s">
        <v>26</v>
      </c>
      <c r="C2245" s="13" t="s">
        <v>226</v>
      </c>
      <c r="D2245" s="14" t="s">
        <v>198</v>
      </c>
      <c r="E2245" s="13" t="s">
        <v>61</v>
      </c>
      <c r="F2245" s="13" t="s">
        <v>965</v>
      </c>
      <c r="G2245" s="13">
        <v>0.79</v>
      </c>
      <c r="H2245" s="15">
        <v>997</v>
      </c>
      <c r="I2245" s="16">
        <v>787.63</v>
      </c>
      <c r="J2245" s="16">
        <v>576.58571226931087</v>
      </c>
      <c r="K2245" s="16">
        <v>211.04428773068912</v>
      </c>
      <c r="L2245" s="13">
        <v>2.42</v>
      </c>
      <c r="M2245" s="13"/>
      <c r="N2245" s="17">
        <f t="shared" si="74"/>
        <v>2412.7399999999998</v>
      </c>
      <c r="O2245" s="17">
        <f t="shared" si="74"/>
        <v>0</v>
      </c>
      <c r="P2245" s="17">
        <f t="shared" si="75"/>
        <v>2412.7399999999998</v>
      </c>
      <c r="Q2245" t="str">
        <f>A2245&amp;"-"&amp;B2245&amp;"-"&amp;D2245</f>
        <v>MEI-MJ2-L8</v>
      </c>
    </row>
    <row r="2246" spans="1:17" x14ac:dyDescent="0.25">
      <c r="A2246" t="s">
        <v>395</v>
      </c>
      <c r="B2246" s="13" t="s">
        <v>26</v>
      </c>
      <c r="C2246" s="13" t="s">
        <v>226</v>
      </c>
      <c r="D2246" s="14" t="s">
        <v>198</v>
      </c>
      <c r="E2246" s="13" t="s">
        <v>61</v>
      </c>
      <c r="F2246" s="13" t="s">
        <v>966</v>
      </c>
      <c r="G2246" s="13">
        <v>0.79</v>
      </c>
      <c r="H2246" s="15">
        <v>405</v>
      </c>
      <c r="I2246" s="16">
        <v>319.95</v>
      </c>
      <c r="J2246" s="16">
        <v>226.8790781934614</v>
      </c>
      <c r="K2246" s="16">
        <v>93.070921806538593</v>
      </c>
      <c r="L2246" s="13">
        <v>2.42</v>
      </c>
      <c r="M2246" s="13"/>
      <c r="N2246" s="17">
        <f t="shared" si="74"/>
        <v>980.1</v>
      </c>
      <c r="O2246" s="17">
        <f t="shared" si="74"/>
        <v>0</v>
      </c>
      <c r="P2246" s="17">
        <f t="shared" si="75"/>
        <v>980.1</v>
      </c>
      <c r="Q2246" t="str">
        <f>A2246&amp;"-"&amp;B2246&amp;"-"&amp;D2246</f>
        <v>MEI-MJ2-L8</v>
      </c>
    </row>
    <row r="2247" spans="1:17" x14ac:dyDescent="0.25">
      <c r="A2247" t="s">
        <v>395</v>
      </c>
      <c r="B2247" s="13" t="s">
        <v>26</v>
      </c>
      <c r="C2247" s="13" t="s">
        <v>226</v>
      </c>
      <c r="D2247" s="14" t="s">
        <v>198</v>
      </c>
      <c r="E2247" s="13" t="s">
        <v>61</v>
      </c>
      <c r="F2247" s="13" t="s">
        <v>967</v>
      </c>
      <c r="G2247" s="13">
        <v>0.79</v>
      </c>
      <c r="H2247" s="15">
        <v>43</v>
      </c>
      <c r="I2247" s="16">
        <v>33.97</v>
      </c>
      <c r="J2247" s="16">
        <v>25.934374999999999</v>
      </c>
      <c r="K2247" s="16">
        <v>8.0356249999999996</v>
      </c>
      <c r="L2247" s="13">
        <v>2.42</v>
      </c>
      <c r="M2247" s="13"/>
      <c r="N2247" s="17">
        <f t="shared" si="74"/>
        <v>104.06</v>
      </c>
      <c r="O2247" s="17">
        <f t="shared" si="74"/>
        <v>0</v>
      </c>
      <c r="P2247" s="17">
        <f t="shared" si="75"/>
        <v>104.06</v>
      </c>
      <c r="Q2247" t="str">
        <f>A2247&amp;"-"&amp;B2247&amp;"-"&amp;D2247</f>
        <v>MEI-MJ2-L8</v>
      </c>
    </row>
    <row r="2248" spans="1:17" x14ac:dyDescent="0.25">
      <c r="A2248" t="s">
        <v>395</v>
      </c>
      <c r="B2248" s="13" t="s">
        <v>26</v>
      </c>
      <c r="C2248" s="13" t="s">
        <v>226</v>
      </c>
      <c r="D2248" s="14" t="s">
        <v>198</v>
      </c>
      <c r="E2248" s="13" t="s">
        <v>61</v>
      </c>
      <c r="F2248" s="13" t="s">
        <v>968</v>
      </c>
      <c r="G2248" s="13">
        <v>0.79</v>
      </c>
      <c r="H2248" s="15">
        <v>126</v>
      </c>
      <c r="I2248" s="16">
        <v>99.54</v>
      </c>
      <c r="J2248" s="16">
        <v>60.921973684210528</v>
      </c>
      <c r="K2248" s="16">
        <v>38.618026315789479</v>
      </c>
      <c r="L2248" s="13">
        <v>2.42</v>
      </c>
      <c r="M2248" s="13"/>
      <c r="N2248" s="17">
        <f t="shared" si="74"/>
        <v>304.92</v>
      </c>
      <c r="O2248" s="17">
        <f t="shared" si="74"/>
        <v>0</v>
      </c>
      <c r="P2248" s="17">
        <f t="shared" si="75"/>
        <v>304.92</v>
      </c>
      <c r="Q2248" t="str">
        <f>A2248&amp;"-"&amp;B2248&amp;"-"&amp;D2248</f>
        <v>MEI-MJ2-L8</v>
      </c>
    </row>
    <row r="2249" spans="1:17" x14ac:dyDescent="0.25">
      <c r="A2249" t="s">
        <v>395</v>
      </c>
      <c r="B2249" s="13" t="s">
        <v>26</v>
      </c>
      <c r="C2249" s="13" t="s">
        <v>226</v>
      </c>
      <c r="D2249" s="14" t="s">
        <v>198</v>
      </c>
      <c r="E2249" s="13" t="s">
        <v>61</v>
      </c>
      <c r="F2249" s="13" t="s">
        <v>969</v>
      </c>
      <c r="G2249" s="13">
        <v>0.79</v>
      </c>
      <c r="H2249" s="15">
        <v>370</v>
      </c>
      <c r="I2249" s="16">
        <v>292.3</v>
      </c>
      <c r="J2249" s="16">
        <v>217.71341463414635</v>
      </c>
      <c r="K2249" s="16">
        <v>74.586585365853665</v>
      </c>
      <c r="L2249" s="13">
        <v>2.42</v>
      </c>
      <c r="M2249" s="13"/>
      <c r="N2249" s="17">
        <f t="shared" si="74"/>
        <v>895.4</v>
      </c>
      <c r="O2249" s="17">
        <f t="shared" si="74"/>
        <v>0</v>
      </c>
      <c r="P2249" s="17">
        <f t="shared" si="75"/>
        <v>895.4</v>
      </c>
      <c r="Q2249" t="str">
        <f>A2249&amp;"-"&amp;B2249&amp;"-"&amp;D2249</f>
        <v>MEI-MJ2-L8</v>
      </c>
    </row>
    <row r="2250" spans="1:17" x14ac:dyDescent="0.25">
      <c r="A2250" t="s">
        <v>395</v>
      </c>
      <c r="B2250" s="13" t="s">
        <v>26</v>
      </c>
      <c r="C2250" s="13" t="s">
        <v>226</v>
      </c>
      <c r="D2250" s="14" t="s">
        <v>198</v>
      </c>
      <c r="E2250" s="13" t="s">
        <v>61</v>
      </c>
      <c r="F2250" s="13" t="s">
        <v>1000</v>
      </c>
      <c r="G2250" s="13">
        <v>0.79</v>
      </c>
      <c r="H2250" s="15">
        <v>672</v>
      </c>
      <c r="I2250" s="16">
        <v>530.88</v>
      </c>
      <c r="J2250" s="16">
        <v>387.66194551371058</v>
      </c>
      <c r="K2250" s="16">
        <v>143.21805448628939</v>
      </c>
      <c r="L2250" s="13">
        <v>2.42</v>
      </c>
      <c r="M2250" s="13"/>
      <c r="N2250" s="17">
        <f t="shared" si="74"/>
        <v>1626.24</v>
      </c>
      <c r="O2250" s="17">
        <f t="shared" si="74"/>
        <v>0</v>
      </c>
      <c r="P2250" s="17">
        <f t="shared" si="75"/>
        <v>1626.24</v>
      </c>
      <c r="Q2250" t="str">
        <f>A2250&amp;"-"&amp;B2250&amp;"-"&amp;D2250</f>
        <v>MEI-MJ2-L8</v>
      </c>
    </row>
    <row r="2251" spans="1:17" x14ac:dyDescent="0.25">
      <c r="A2251" t="s">
        <v>395</v>
      </c>
      <c r="B2251" s="13" t="s">
        <v>26</v>
      </c>
      <c r="C2251" s="13" t="s">
        <v>226</v>
      </c>
      <c r="D2251" s="14" t="s">
        <v>198</v>
      </c>
      <c r="E2251" s="13" t="s">
        <v>61</v>
      </c>
      <c r="F2251" s="13" t="s">
        <v>970</v>
      </c>
      <c r="G2251" s="13">
        <v>0.79</v>
      </c>
      <c r="H2251" s="15">
        <v>1126</v>
      </c>
      <c r="I2251" s="16">
        <v>889.54</v>
      </c>
      <c r="J2251" s="16">
        <v>625.03155383400826</v>
      </c>
      <c r="K2251" s="16">
        <v>264.50844616599176</v>
      </c>
      <c r="L2251" s="13">
        <v>2.42</v>
      </c>
      <c r="M2251" s="13"/>
      <c r="N2251" s="17">
        <f t="shared" si="74"/>
        <v>2724.92</v>
      </c>
      <c r="O2251" s="17">
        <f t="shared" si="74"/>
        <v>0</v>
      </c>
      <c r="P2251" s="17">
        <f t="shared" si="75"/>
        <v>2724.92</v>
      </c>
      <c r="Q2251" t="str">
        <f>A2251&amp;"-"&amp;B2251&amp;"-"&amp;D2251</f>
        <v>MEI-MJ2-L8</v>
      </c>
    </row>
    <row r="2252" spans="1:17" x14ac:dyDescent="0.25">
      <c r="A2252" t="s">
        <v>395</v>
      </c>
      <c r="B2252" s="13" t="s">
        <v>26</v>
      </c>
      <c r="C2252" s="13" t="s">
        <v>226</v>
      </c>
      <c r="D2252" s="14" t="s">
        <v>198</v>
      </c>
      <c r="E2252" s="13" t="s">
        <v>61</v>
      </c>
      <c r="F2252" s="13" t="s">
        <v>971</v>
      </c>
      <c r="G2252" s="13">
        <v>0.79</v>
      </c>
      <c r="H2252" s="15">
        <v>685</v>
      </c>
      <c r="I2252" s="16">
        <v>541.15</v>
      </c>
      <c r="J2252" s="16">
        <v>399.44062901155331</v>
      </c>
      <c r="K2252" s="16">
        <v>141.70937098844672</v>
      </c>
      <c r="L2252" s="13">
        <v>2.42</v>
      </c>
      <c r="M2252" s="13"/>
      <c r="N2252" s="17">
        <f t="shared" si="74"/>
        <v>1657.7</v>
      </c>
      <c r="O2252" s="17">
        <f t="shared" si="74"/>
        <v>0</v>
      </c>
      <c r="P2252" s="17">
        <f t="shared" si="75"/>
        <v>1657.7</v>
      </c>
      <c r="Q2252" t="str">
        <f>A2252&amp;"-"&amp;B2252&amp;"-"&amp;D2252</f>
        <v>MEI-MJ2-L8</v>
      </c>
    </row>
    <row r="2253" spans="1:17" x14ac:dyDescent="0.25">
      <c r="A2253" t="s">
        <v>395</v>
      </c>
      <c r="B2253" s="13" t="s">
        <v>26</v>
      </c>
      <c r="C2253" s="13" t="s">
        <v>226</v>
      </c>
      <c r="D2253" s="14" t="s">
        <v>198</v>
      </c>
      <c r="E2253" s="13" t="s">
        <v>61</v>
      </c>
      <c r="F2253" s="13" t="s">
        <v>972</v>
      </c>
      <c r="G2253" s="13">
        <v>0.79</v>
      </c>
      <c r="H2253" s="15">
        <v>803</v>
      </c>
      <c r="I2253" s="16">
        <v>634.37</v>
      </c>
      <c r="J2253" s="16">
        <v>457.22523377677408</v>
      </c>
      <c r="K2253" s="16">
        <v>177.14476622322593</v>
      </c>
      <c r="L2253" s="13">
        <v>2.42</v>
      </c>
      <c r="M2253" s="13"/>
      <c r="N2253" s="17">
        <f t="shared" si="74"/>
        <v>1943.26</v>
      </c>
      <c r="O2253" s="17">
        <f t="shared" si="74"/>
        <v>0</v>
      </c>
      <c r="P2253" s="17">
        <f t="shared" si="75"/>
        <v>1943.26</v>
      </c>
      <c r="Q2253" t="str">
        <f>A2253&amp;"-"&amp;B2253&amp;"-"&amp;D2253</f>
        <v>MEI-MJ2-L8</v>
      </c>
    </row>
    <row r="2254" spans="1:17" x14ac:dyDescent="0.25">
      <c r="A2254" t="s">
        <v>395</v>
      </c>
      <c r="B2254" s="13" t="s">
        <v>26</v>
      </c>
      <c r="C2254" s="13" t="s">
        <v>226</v>
      </c>
      <c r="D2254" s="14" t="s">
        <v>198</v>
      </c>
      <c r="E2254" s="13" t="s">
        <v>61</v>
      </c>
      <c r="F2254" s="13" t="s">
        <v>958</v>
      </c>
      <c r="G2254" s="13">
        <v>0.65</v>
      </c>
      <c r="H2254" s="15">
        <v>6764</v>
      </c>
      <c r="I2254" s="16">
        <v>4396.6000000000004</v>
      </c>
      <c r="J2254" s="16">
        <v>3934.4254590213286</v>
      </c>
      <c r="K2254" s="16">
        <v>462.17454097867233</v>
      </c>
      <c r="L2254" s="13">
        <v>1.66</v>
      </c>
      <c r="M2254" s="13"/>
      <c r="N2254" s="17">
        <f t="shared" si="74"/>
        <v>11228.24</v>
      </c>
      <c r="O2254" s="17">
        <f t="shared" si="74"/>
        <v>0</v>
      </c>
      <c r="P2254" s="17">
        <f t="shared" si="75"/>
        <v>11228.24</v>
      </c>
      <c r="Q2254" t="str">
        <f>A2254&amp;"-"&amp;B2254&amp;"-"&amp;D2254</f>
        <v>MEI-MJ2-L8</v>
      </c>
    </row>
    <row r="2255" spans="1:17" x14ac:dyDescent="0.25">
      <c r="A2255" t="s">
        <v>395</v>
      </c>
      <c r="B2255" s="13" t="s">
        <v>26</v>
      </c>
      <c r="C2255" s="13" t="s">
        <v>226</v>
      </c>
      <c r="D2255" s="14" t="s">
        <v>198</v>
      </c>
      <c r="E2255" s="13" t="s">
        <v>61</v>
      </c>
      <c r="F2255" s="13" t="s">
        <v>973</v>
      </c>
      <c r="G2255" s="13">
        <v>0.83</v>
      </c>
      <c r="H2255" s="15">
        <v>288</v>
      </c>
      <c r="I2255" s="16">
        <v>239.04</v>
      </c>
      <c r="J2255" s="16">
        <v>161.60575657894736</v>
      </c>
      <c r="K2255" s="16">
        <v>77.434243421052614</v>
      </c>
      <c r="L2255" s="13">
        <v>5.18</v>
      </c>
      <c r="M2255" s="13"/>
      <c r="N2255" s="17">
        <f t="shared" ref="N2255:O2283" si="76">$H2255*L2255</f>
        <v>1491.84</v>
      </c>
      <c r="O2255" s="17">
        <f t="shared" si="76"/>
        <v>0</v>
      </c>
      <c r="P2255" s="17">
        <f t="shared" si="75"/>
        <v>1491.84</v>
      </c>
      <c r="Q2255" t="str">
        <f>A2255&amp;"-"&amp;B2255&amp;"-"&amp;D2255</f>
        <v>MEI-MJ2-L8</v>
      </c>
    </row>
    <row r="2256" spans="1:17" x14ac:dyDescent="0.25">
      <c r="A2256" t="s">
        <v>395</v>
      </c>
      <c r="B2256" s="13" t="s">
        <v>26</v>
      </c>
      <c r="C2256" s="13" t="s">
        <v>226</v>
      </c>
      <c r="D2256" s="14" t="s">
        <v>198</v>
      </c>
      <c r="E2256" s="13" t="s">
        <v>61</v>
      </c>
      <c r="F2256" s="13" t="s">
        <v>974</v>
      </c>
      <c r="G2256" s="13">
        <v>0.88</v>
      </c>
      <c r="H2256" s="15">
        <v>1493</v>
      </c>
      <c r="I2256" s="16">
        <v>1313.8400000000001</v>
      </c>
      <c r="J2256" s="16">
        <v>1202.3813441649115</v>
      </c>
      <c r="K2256" s="16">
        <v>111.45865583508861</v>
      </c>
      <c r="L2256" s="13">
        <v>2.65</v>
      </c>
      <c r="M2256" s="13"/>
      <c r="N2256" s="17">
        <f t="shared" si="76"/>
        <v>3956.45</v>
      </c>
      <c r="O2256" s="17">
        <f t="shared" si="76"/>
        <v>0</v>
      </c>
      <c r="P2256" s="17">
        <f t="shared" si="75"/>
        <v>3956.45</v>
      </c>
      <c r="Q2256" t="str">
        <f>A2256&amp;"-"&amp;B2256&amp;"-"&amp;D2256</f>
        <v>MEI-MJ2-L8</v>
      </c>
    </row>
    <row r="2257" spans="1:17" x14ac:dyDescent="0.25">
      <c r="A2257" t="s">
        <v>395</v>
      </c>
      <c r="B2257" s="13" t="s">
        <v>26</v>
      </c>
      <c r="C2257" s="13" t="s">
        <v>226</v>
      </c>
      <c r="D2257" s="14" t="s">
        <v>198</v>
      </c>
      <c r="E2257" s="13" t="s">
        <v>61</v>
      </c>
      <c r="F2257" s="13" t="s">
        <v>975</v>
      </c>
      <c r="G2257" s="13">
        <v>0.83</v>
      </c>
      <c r="H2257" s="15">
        <v>907</v>
      </c>
      <c r="I2257" s="16">
        <v>752.81</v>
      </c>
      <c r="J2257" s="16">
        <v>519.23826632237365</v>
      </c>
      <c r="K2257" s="16">
        <v>233.57173367762638</v>
      </c>
      <c r="L2257" s="13">
        <v>5.18</v>
      </c>
      <c r="M2257" s="13"/>
      <c r="N2257" s="17">
        <f t="shared" si="76"/>
        <v>4698.2599999999993</v>
      </c>
      <c r="O2257" s="17">
        <f t="shared" si="76"/>
        <v>0</v>
      </c>
      <c r="P2257" s="17">
        <f t="shared" si="75"/>
        <v>4698.2599999999993</v>
      </c>
      <c r="Q2257" t="str">
        <f>A2257&amp;"-"&amp;B2257&amp;"-"&amp;D2257</f>
        <v>MEI-MJ2-L8</v>
      </c>
    </row>
    <row r="2258" spans="1:17" x14ac:dyDescent="0.25">
      <c r="A2258" t="s">
        <v>395</v>
      </c>
      <c r="B2258" s="13" t="s">
        <v>26</v>
      </c>
      <c r="C2258" s="13" t="s">
        <v>226</v>
      </c>
      <c r="D2258" s="14" t="s">
        <v>199</v>
      </c>
      <c r="E2258" s="13" t="s">
        <v>61</v>
      </c>
      <c r="F2258" s="13" t="s">
        <v>960</v>
      </c>
      <c r="G2258" s="13">
        <v>0.68</v>
      </c>
      <c r="H2258" s="15">
        <v>2362</v>
      </c>
      <c r="I2258" s="16">
        <v>1606.16</v>
      </c>
      <c r="J2258" s="16">
        <v>1578.6820736594639</v>
      </c>
      <c r="K2258" s="16">
        <v>27.47792634053603</v>
      </c>
      <c r="L2258" s="13">
        <v>1.82</v>
      </c>
      <c r="M2258" s="13"/>
      <c r="N2258" s="17">
        <f t="shared" si="76"/>
        <v>4298.84</v>
      </c>
      <c r="O2258" s="17">
        <f t="shared" si="76"/>
        <v>0</v>
      </c>
      <c r="P2258" s="17">
        <f t="shared" si="75"/>
        <v>4298.84</v>
      </c>
      <c r="Q2258" t="str">
        <f>A2258&amp;"-"&amp;B2258&amp;"-"&amp;D2258</f>
        <v>MEI-MJ2-L9</v>
      </c>
    </row>
    <row r="2259" spans="1:17" x14ac:dyDescent="0.25">
      <c r="A2259" t="s">
        <v>395</v>
      </c>
      <c r="B2259" s="13" t="s">
        <v>26</v>
      </c>
      <c r="C2259" s="13" t="s">
        <v>226</v>
      </c>
      <c r="D2259" s="14" t="s">
        <v>199</v>
      </c>
      <c r="E2259" s="13" t="s">
        <v>61</v>
      </c>
      <c r="F2259" s="13" t="s">
        <v>961</v>
      </c>
      <c r="G2259" s="13">
        <v>0.66</v>
      </c>
      <c r="H2259" s="15">
        <v>175</v>
      </c>
      <c r="I2259" s="16">
        <v>115.5</v>
      </c>
      <c r="J2259" s="16">
        <v>108.95161290322581</v>
      </c>
      <c r="K2259" s="16">
        <v>6.5483870967741922</v>
      </c>
      <c r="L2259" s="13">
        <v>1.97</v>
      </c>
      <c r="M2259" s="13"/>
      <c r="N2259" s="17">
        <f t="shared" si="76"/>
        <v>344.75</v>
      </c>
      <c r="O2259" s="17">
        <f t="shared" si="76"/>
        <v>0</v>
      </c>
      <c r="P2259" s="17">
        <f t="shared" si="75"/>
        <v>344.75</v>
      </c>
      <c r="Q2259" t="str">
        <f>A2259&amp;"-"&amp;B2259&amp;"-"&amp;D2259</f>
        <v>MEI-MJ2-L9</v>
      </c>
    </row>
    <row r="2260" spans="1:17" x14ac:dyDescent="0.25">
      <c r="A2260" t="s">
        <v>395</v>
      </c>
      <c r="B2260" s="13" t="s">
        <v>26</v>
      </c>
      <c r="C2260" s="13" t="s">
        <v>226</v>
      </c>
      <c r="D2260" s="14" t="s">
        <v>199</v>
      </c>
      <c r="E2260" s="13" t="s">
        <v>61</v>
      </c>
      <c r="F2260" s="13" t="s">
        <v>962</v>
      </c>
      <c r="G2260" s="13">
        <v>0.68</v>
      </c>
      <c r="H2260" s="15">
        <v>1722</v>
      </c>
      <c r="I2260" s="16">
        <v>1170.96</v>
      </c>
      <c r="J2260" s="16">
        <v>1108.2892970113214</v>
      </c>
      <c r="K2260" s="16">
        <v>62.670702988678691</v>
      </c>
      <c r="L2260" s="13">
        <v>1.82</v>
      </c>
      <c r="M2260" s="13"/>
      <c r="N2260" s="17">
        <f t="shared" si="76"/>
        <v>3134.04</v>
      </c>
      <c r="O2260" s="17">
        <f t="shared" si="76"/>
        <v>0</v>
      </c>
      <c r="P2260" s="17">
        <f t="shared" si="75"/>
        <v>3134.04</v>
      </c>
      <c r="Q2260" t="str">
        <f>A2260&amp;"-"&amp;B2260&amp;"-"&amp;D2260</f>
        <v>MEI-MJ2-L9</v>
      </c>
    </row>
    <row r="2261" spans="1:17" x14ac:dyDescent="0.25">
      <c r="A2261" t="s">
        <v>395</v>
      </c>
      <c r="B2261" s="13" t="s">
        <v>26</v>
      </c>
      <c r="C2261" s="13" t="s">
        <v>226</v>
      </c>
      <c r="D2261" s="14" t="s">
        <v>199</v>
      </c>
      <c r="E2261" s="13" t="s">
        <v>61</v>
      </c>
      <c r="F2261" s="13" t="s">
        <v>999</v>
      </c>
      <c r="G2261" s="13">
        <v>0.66</v>
      </c>
      <c r="H2261" s="15">
        <v>370</v>
      </c>
      <c r="I2261" s="16">
        <v>244.2</v>
      </c>
      <c r="J2261" s="16">
        <v>217.69435381216439</v>
      </c>
      <c r="K2261" s="16">
        <v>26.505646187835605</v>
      </c>
      <c r="L2261" s="13">
        <v>1.97</v>
      </c>
      <c r="M2261" s="13"/>
      <c r="N2261" s="17">
        <f t="shared" si="76"/>
        <v>728.9</v>
      </c>
      <c r="O2261" s="17">
        <f t="shared" si="76"/>
        <v>0</v>
      </c>
      <c r="P2261" s="17">
        <f t="shared" si="75"/>
        <v>728.9</v>
      </c>
      <c r="Q2261" t="str">
        <f>A2261&amp;"-"&amp;B2261&amp;"-"&amp;D2261</f>
        <v>MEI-MJ2-L9</v>
      </c>
    </row>
    <row r="2262" spans="1:17" x14ac:dyDescent="0.25">
      <c r="A2262" t="s">
        <v>395</v>
      </c>
      <c r="B2262" s="13" t="s">
        <v>26</v>
      </c>
      <c r="C2262" s="13" t="s">
        <v>226</v>
      </c>
      <c r="D2262" s="14" t="s">
        <v>199</v>
      </c>
      <c r="E2262" s="13" t="s">
        <v>61</v>
      </c>
      <c r="F2262" s="13" t="s">
        <v>963</v>
      </c>
      <c r="G2262" s="13">
        <v>0.70000000000000007</v>
      </c>
      <c r="H2262" s="15">
        <v>9242</v>
      </c>
      <c r="I2262" s="16">
        <v>6469.4000000000005</v>
      </c>
      <c r="J2262" s="16">
        <v>4897.21985461861</v>
      </c>
      <c r="K2262" s="16">
        <v>1572.1801453813903</v>
      </c>
      <c r="L2262" s="13">
        <v>1.3</v>
      </c>
      <c r="M2262" s="13"/>
      <c r="N2262" s="17">
        <f t="shared" si="76"/>
        <v>12014.6</v>
      </c>
      <c r="O2262" s="17">
        <f t="shared" si="76"/>
        <v>0</v>
      </c>
      <c r="P2262" s="17">
        <f t="shared" si="75"/>
        <v>12014.6</v>
      </c>
      <c r="Q2262" t="str">
        <f>A2262&amp;"-"&amp;B2262&amp;"-"&amp;D2262</f>
        <v>MEI-MJ2-L9</v>
      </c>
    </row>
    <row r="2263" spans="1:17" x14ac:dyDescent="0.25">
      <c r="A2263" t="s">
        <v>395</v>
      </c>
      <c r="B2263" s="13" t="s">
        <v>26</v>
      </c>
      <c r="C2263" s="13" t="s">
        <v>226</v>
      </c>
      <c r="D2263" s="14" t="s">
        <v>199</v>
      </c>
      <c r="E2263" s="13" t="s">
        <v>61</v>
      </c>
      <c r="F2263" s="13" t="s">
        <v>778</v>
      </c>
      <c r="G2263" s="13">
        <v>0.70000000000000007</v>
      </c>
      <c r="H2263" s="15">
        <v>4410</v>
      </c>
      <c r="I2263" s="16">
        <v>3087</v>
      </c>
      <c r="J2263" s="16">
        <v>2556.8823142352121</v>
      </c>
      <c r="K2263" s="16">
        <v>530.11768576478812</v>
      </c>
      <c r="L2263" s="13">
        <v>1.3</v>
      </c>
      <c r="M2263" s="13"/>
      <c r="N2263" s="17">
        <f t="shared" si="76"/>
        <v>5733</v>
      </c>
      <c r="O2263" s="17">
        <f t="shared" si="76"/>
        <v>0</v>
      </c>
      <c r="P2263" s="17">
        <f t="shared" si="75"/>
        <v>5733</v>
      </c>
      <c r="Q2263" t="str">
        <f>A2263&amp;"-"&amp;B2263&amp;"-"&amp;D2263</f>
        <v>MEI-MJ2-L9</v>
      </c>
    </row>
    <row r="2264" spans="1:17" x14ac:dyDescent="0.25">
      <c r="A2264" t="s">
        <v>395</v>
      </c>
      <c r="B2264" s="13" t="s">
        <v>26</v>
      </c>
      <c r="C2264" s="13" t="s">
        <v>226</v>
      </c>
      <c r="D2264" s="14" t="s">
        <v>199</v>
      </c>
      <c r="E2264" s="13" t="s">
        <v>61</v>
      </c>
      <c r="F2264" s="13" t="s">
        <v>964</v>
      </c>
      <c r="G2264" s="13">
        <v>0.7</v>
      </c>
      <c r="H2264" s="15">
        <v>4617</v>
      </c>
      <c r="I2264" s="16">
        <v>3231.9</v>
      </c>
      <c r="J2264" s="16">
        <v>2581.4761079115292</v>
      </c>
      <c r="K2264" s="16">
        <v>650.42389208847078</v>
      </c>
      <c r="L2264" s="13">
        <v>1.3</v>
      </c>
      <c r="M2264" s="13"/>
      <c r="N2264" s="17">
        <f t="shared" si="76"/>
        <v>6002.1</v>
      </c>
      <c r="O2264" s="17">
        <f t="shared" si="76"/>
        <v>0</v>
      </c>
      <c r="P2264" s="17">
        <f t="shared" si="75"/>
        <v>6002.1</v>
      </c>
      <c r="Q2264" t="str">
        <f>A2264&amp;"-"&amp;B2264&amp;"-"&amp;D2264</f>
        <v>MEI-MJ2-L9</v>
      </c>
    </row>
    <row r="2265" spans="1:17" x14ac:dyDescent="0.25">
      <c r="A2265" t="s">
        <v>395</v>
      </c>
      <c r="B2265" s="13" t="s">
        <v>26</v>
      </c>
      <c r="C2265" s="13" t="s">
        <v>226</v>
      </c>
      <c r="D2265" s="14" t="s">
        <v>199</v>
      </c>
      <c r="E2265" s="13" t="s">
        <v>61</v>
      </c>
      <c r="F2265" s="13" t="s">
        <v>779</v>
      </c>
      <c r="G2265" s="13">
        <v>0.78</v>
      </c>
      <c r="H2265" s="15">
        <v>326</v>
      </c>
      <c r="I2265" s="16">
        <v>254.28</v>
      </c>
      <c r="J2265" s="16">
        <v>314.59000000000003</v>
      </c>
      <c r="K2265" s="16">
        <v>-60.310000000000031</v>
      </c>
      <c r="L2265" s="13">
        <v>2</v>
      </c>
      <c r="M2265" s="13"/>
      <c r="N2265" s="17">
        <f t="shared" si="76"/>
        <v>652</v>
      </c>
      <c r="O2265" s="17">
        <f t="shared" si="76"/>
        <v>0</v>
      </c>
      <c r="P2265" s="17">
        <f t="shared" si="75"/>
        <v>652</v>
      </c>
      <c r="Q2265" t="str">
        <f>A2265&amp;"-"&amp;B2265&amp;"-"&amp;D2265</f>
        <v>MEI-MJ2-L9</v>
      </c>
    </row>
    <row r="2266" spans="1:17" x14ac:dyDescent="0.25">
      <c r="A2266" t="s">
        <v>395</v>
      </c>
      <c r="B2266" s="13" t="s">
        <v>26</v>
      </c>
      <c r="C2266" s="13" t="s">
        <v>226</v>
      </c>
      <c r="D2266" s="14" t="s">
        <v>199</v>
      </c>
      <c r="E2266" s="13" t="s">
        <v>61</v>
      </c>
      <c r="F2266" s="13" t="s">
        <v>788</v>
      </c>
      <c r="G2266" s="13">
        <v>0.79</v>
      </c>
      <c r="H2266" s="15">
        <v>65</v>
      </c>
      <c r="I2266" s="16">
        <v>51.35</v>
      </c>
      <c r="J2266" s="16">
        <v>34.847222222222221</v>
      </c>
      <c r="K2266" s="16">
        <v>16.50277777777778</v>
      </c>
      <c r="L2266" s="13">
        <v>2.42</v>
      </c>
      <c r="M2266" s="13"/>
      <c r="N2266" s="17">
        <f t="shared" si="76"/>
        <v>157.29999999999998</v>
      </c>
      <c r="O2266" s="17">
        <f t="shared" si="76"/>
        <v>0</v>
      </c>
      <c r="P2266" s="17">
        <f t="shared" si="75"/>
        <v>157.29999999999998</v>
      </c>
      <c r="Q2266" t="str">
        <f>A2266&amp;"-"&amp;B2266&amp;"-"&amp;D2266</f>
        <v>MEI-MJ2-L9</v>
      </c>
    </row>
    <row r="2267" spans="1:17" x14ac:dyDescent="0.25">
      <c r="A2267" t="s">
        <v>395</v>
      </c>
      <c r="B2267" s="13" t="s">
        <v>26</v>
      </c>
      <c r="C2267" s="13" t="s">
        <v>226</v>
      </c>
      <c r="D2267" s="14" t="s">
        <v>199</v>
      </c>
      <c r="E2267" s="13" t="s">
        <v>61</v>
      </c>
      <c r="F2267" s="13" t="s">
        <v>965</v>
      </c>
      <c r="G2267" s="13">
        <v>0.79</v>
      </c>
      <c r="H2267" s="15">
        <v>998</v>
      </c>
      <c r="I2267" s="16">
        <v>788.42</v>
      </c>
      <c r="J2267" s="16">
        <v>577.16459649246622</v>
      </c>
      <c r="K2267" s="16">
        <v>211.25540350753374</v>
      </c>
      <c r="L2267" s="13">
        <v>2.42</v>
      </c>
      <c r="M2267" s="13"/>
      <c r="N2267" s="17">
        <f t="shared" si="76"/>
        <v>2415.16</v>
      </c>
      <c r="O2267" s="17">
        <f t="shared" si="76"/>
        <v>0</v>
      </c>
      <c r="P2267" s="17">
        <f t="shared" si="75"/>
        <v>2415.16</v>
      </c>
      <c r="Q2267" t="str">
        <f>A2267&amp;"-"&amp;B2267&amp;"-"&amp;D2267</f>
        <v>MEI-MJ2-L9</v>
      </c>
    </row>
    <row r="2268" spans="1:17" x14ac:dyDescent="0.25">
      <c r="A2268" t="s">
        <v>395</v>
      </c>
      <c r="B2268" s="13" t="s">
        <v>26</v>
      </c>
      <c r="C2268" s="13" t="s">
        <v>226</v>
      </c>
      <c r="D2268" s="14" t="s">
        <v>199</v>
      </c>
      <c r="E2268" s="13" t="s">
        <v>61</v>
      </c>
      <c r="F2268" s="13" t="s">
        <v>966</v>
      </c>
      <c r="G2268" s="13">
        <v>0.79</v>
      </c>
      <c r="H2268" s="15">
        <v>405</v>
      </c>
      <c r="I2268" s="16">
        <v>319.95000000000005</v>
      </c>
      <c r="J2268" s="16">
        <v>226.87745197168857</v>
      </c>
      <c r="K2268" s="16">
        <v>93.072548028311445</v>
      </c>
      <c r="L2268" s="13">
        <v>2.42</v>
      </c>
      <c r="M2268" s="13"/>
      <c r="N2268" s="17">
        <f t="shared" si="76"/>
        <v>980.1</v>
      </c>
      <c r="O2268" s="17">
        <f t="shared" si="76"/>
        <v>0</v>
      </c>
      <c r="P2268" s="17">
        <f t="shared" si="75"/>
        <v>980.1</v>
      </c>
      <c r="Q2268" t="str">
        <f>A2268&amp;"-"&amp;B2268&amp;"-"&amp;D2268</f>
        <v>MEI-MJ2-L9</v>
      </c>
    </row>
    <row r="2269" spans="1:17" x14ac:dyDescent="0.25">
      <c r="A2269" t="s">
        <v>395</v>
      </c>
      <c r="B2269" s="13" t="s">
        <v>26</v>
      </c>
      <c r="C2269" s="13" t="s">
        <v>226</v>
      </c>
      <c r="D2269" s="14" t="s">
        <v>199</v>
      </c>
      <c r="E2269" s="13" t="s">
        <v>61</v>
      </c>
      <c r="F2269" s="13" t="s">
        <v>967</v>
      </c>
      <c r="G2269" s="13">
        <v>0.79</v>
      </c>
      <c r="H2269" s="15">
        <v>42</v>
      </c>
      <c r="I2269" s="16">
        <v>33.18</v>
      </c>
      <c r="J2269" s="16">
        <v>25.331250000000001</v>
      </c>
      <c r="K2269" s="16">
        <v>7.8487499999999999</v>
      </c>
      <c r="L2269" s="13">
        <v>2.42</v>
      </c>
      <c r="M2269" s="13"/>
      <c r="N2269" s="17">
        <f t="shared" si="76"/>
        <v>101.64</v>
      </c>
      <c r="O2269" s="17">
        <f t="shared" si="76"/>
        <v>0</v>
      </c>
      <c r="P2269" s="17">
        <f t="shared" si="75"/>
        <v>101.64</v>
      </c>
      <c r="Q2269" t="str">
        <f>A2269&amp;"-"&amp;B2269&amp;"-"&amp;D2269</f>
        <v>MEI-MJ2-L9</v>
      </c>
    </row>
    <row r="2270" spans="1:17" x14ac:dyDescent="0.25">
      <c r="A2270" t="s">
        <v>395</v>
      </c>
      <c r="B2270" s="13" t="s">
        <v>26</v>
      </c>
      <c r="C2270" s="13" t="s">
        <v>226</v>
      </c>
      <c r="D2270" s="14" t="s">
        <v>199</v>
      </c>
      <c r="E2270" s="13" t="s">
        <v>61</v>
      </c>
      <c r="F2270" s="13" t="s">
        <v>968</v>
      </c>
      <c r="G2270" s="13">
        <v>0.79</v>
      </c>
      <c r="H2270" s="15">
        <v>125</v>
      </c>
      <c r="I2270" s="16">
        <v>98.75</v>
      </c>
      <c r="J2270" s="16">
        <v>60.439473684210526</v>
      </c>
      <c r="K2270" s="16">
        <v>38.310526315789474</v>
      </c>
      <c r="L2270" s="13">
        <v>2.42</v>
      </c>
      <c r="M2270" s="13"/>
      <c r="N2270" s="17">
        <f t="shared" si="76"/>
        <v>302.5</v>
      </c>
      <c r="O2270" s="17">
        <f t="shared" si="76"/>
        <v>0</v>
      </c>
      <c r="P2270" s="17">
        <f t="shared" si="75"/>
        <v>302.5</v>
      </c>
      <c r="Q2270" t="str">
        <f>A2270&amp;"-"&amp;B2270&amp;"-"&amp;D2270</f>
        <v>MEI-MJ2-L9</v>
      </c>
    </row>
    <row r="2271" spans="1:17" x14ac:dyDescent="0.25">
      <c r="A2271" t="s">
        <v>395</v>
      </c>
      <c r="B2271" s="13" t="s">
        <v>26</v>
      </c>
      <c r="C2271" s="13" t="s">
        <v>226</v>
      </c>
      <c r="D2271" s="14" t="s">
        <v>199</v>
      </c>
      <c r="E2271" s="13" t="s">
        <v>61</v>
      </c>
      <c r="F2271" s="13" t="s">
        <v>969</v>
      </c>
      <c r="G2271" s="13">
        <v>0.79</v>
      </c>
      <c r="H2271" s="15">
        <v>370</v>
      </c>
      <c r="I2271" s="16">
        <v>292.3</v>
      </c>
      <c r="J2271" s="16">
        <v>217.71341463414635</v>
      </c>
      <c r="K2271" s="16">
        <v>74.586585365853665</v>
      </c>
      <c r="L2271" s="13">
        <v>2.42</v>
      </c>
      <c r="M2271" s="13"/>
      <c r="N2271" s="17">
        <f t="shared" si="76"/>
        <v>895.4</v>
      </c>
      <c r="O2271" s="17">
        <f t="shared" si="76"/>
        <v>0</v>
      </c>
      <c r="P2271" s="17">
        <f t="shared" si="75"/>
        <v>895.4</v>
      </c>
      <c r="Q2271" t="str">
        <f>A2271&amp;"-"&amp;B2271&amp;"-"&amp;D2271</f>
        <v>MEI-MJ2-L9</v>
      </c>
    </row>
    <row r="2272" spans="1:17" x14ac:dyDescent="0.25">
      <c r="A2272" t="s">
        <v>395</v>
      </c>
      <c r="B2272" s="13" t="s">
        <v>26</v>
      </c>
      <c r="C2272" s="13" t="s">
        <v>226</v>
      </c>
      <c r="D2272" s="14" t="s">
        <v>199</v>
      </c>
      <c r="E2272" s="13" t="s">
        <v>61</v>
      </c>
      <c r="F2272" s="13" t="s">
        <v>1000</v>
      </c>
      <c r="G2272" s="13">
        <v>0.79</v>
      </c>
      <c r="H2272" s="15">
        <v>672</v>
      </c>
      <c r="I2272" s="16">
        <v>530.88</v>
      </c>
      <c r="J2272" s="16">
        <v>387.6507083493787</v>
      </c>
      <c r="K2272" s="16">
        <v>143.22929165062129</v>
      </c>
      <c r="L2272" s="13">
        <v>2.42</v>
      </c>
      <c r="M2272" s="13"/>
      <c r="N2272" s="17">
        <f t="shared" si="76"/>
        <v>1626.24</v>
      </c>
      <c r="O2272" s="17">
        <f t="shared" si="76"/>
        <v>0</v>
      </c>
      <c r="P2272" s="17">
        <f t="shared" si="75"/>
        <v>1626.24</v>
      </c>
      <c r="Q2272" t="str">
        <f>A2272&amp;"-"&amp;B2272&amp;"-"&amp;D2272</f>
        <v>MEI-MJ2-L9</v>
      </c>
    </row>
    <row r="2273" spans="1:17" x14ac:dyDescent="0.25">
      <c r="A2273" t="s">
        <v>395</v>
      </c>
      <c r="B2273" s="13" t="s">
        <v>26</v>
      </c>
      <c r="C2273" s="13" t="s">
        <v>226</v>
      </c>
      <c r="D2273" s="14" t="s">
        <v>199</v>
      </c>
      <c r="E2273" s="13" t="s">
        <v>61</v>
      </c>
      <c r="F2273" s="13" t="s">
        <v>970</v>
      </c>
      <c r="G2273" s="13">
        <v>0.79</v>
      </c>
      <c r="H2273" s="15">
        <v>1126</v>
      </c>
      <c r="I2273" s="16">
        <v>889.54</v>
      </c>
      <c r="J2273" s="16">
        <v>624.87502611100706</v>
      </c>
      <c r="K2273" s="16">
        <v>264.66497388899302</v>
      </c>
      <c r="L2273" s="13">
        <v>2.42</v>
      </c>
      <c r="M2273" s="13"/>
      <c r="N2273" s="17">
        <f t="shared" si="76"/>
        <v>2724.92</v>
      </c>
      <c r="O2273" s="17">
        <f t="shared" si="76"/>
        <v>0</v>
      </c>
      <c r="P2273" s="17">
        <f t="shared" si="75"/>
        <v>2724.92</v>
      </c>
      <c r="Q2273" t="str">
        <f>A2273&amp;"-"&amp;B2273&amp;"-"&amp;D2273</f>
        <v>MEI-MJ2-L9</v>
      </c>
    </row>
    <row r="2274" spans="1:17" x14ac:dyDescent="0.25">
      <c r="A2274" t="s">
        <v>395</v>
      </c>
      <c r="B2274" s="13" t="s">
        <v>26</v>
      </c>
      <c r="C2274" s="13" t="s">
        <v>226</v>
      </c>
      <c r="D2274" s="14" t="s">
        <v>199</v>
      </c>
      <c r="E2274" s="13" t="s">
        <v>61</v>
      </c>
      <c r="F2274" s="13" t="s">
        <v>971</v>
      </c>
      <c r="G2274" s="13">
        <v>0.79</v>
      </c>
      <c r="H2274" s="15">
        <v>685</v>
      </c>
      <c r="I2274" s="16">
        <v>541.15</v>
      </c>
      <c r="J2274" s="16">
        <v>399.44062901155331</v>
      </c>
      <c r="K2274" s="16">
        <v>141.70937098844672</v>
      </c>
      <c r="L2274" s="13">
        <v>2.42</v>
      </c>
      <c r="M2274" s="13"/>
      <c r="N2274" s="17">
        <f t="shared" si="76"/>
        <v>1657.7</v>
      </c>
      <c r="O2274" s="17">
        <f t="shared" si="76"/>
        <v>0</v>
      </c>
      <c r="P2274" s="17">
        <f t="shared" si="75"/>
        <v>1657.7</v>
      </c>
      <c r="Q2274" t="str">
        <f>A2274&amp;"-"&amp;B2274&amp;"-"&amp;D2274</f>
        <v>MEI-MJ2-L9</v>
      </c>
    </row>
    <row r="2275" spans="1:17" x14ac:dyDescent="0.25">
      <c r="A2275" t="s">
        <v>395</v>
      </c>
      <c r="B2275" s="13" t="s">
        <v>26</v>
      </c>
      <c r="C2275" s="13" t="s">
        <v>226</v>
      </c>
      <c r="D2275" s="14" t="s">
        <v>199</v>
      </c>
      <c r="E2275" s="13" t="s">
        <v>61</v>
      </c>
      <c r="F2275" s="13" t="s">
        <v>972</v>
      </c>
      <c r="G2275" s="13">
        <v>0.79</v>
      </c>
      <c r="H2275" s="15">
        <v>801</v>
      </c>
      <c r="I2275" s="16">
        <v>632.79000000000008</v>
      </c>
      <c r="J2275" s="16">
        <v>456.07870249479515</v>
      </c>
      <c r="K2275" s="16">
        <v>176.71129750520487</v>
      </c>
      <c r="L2275" s="13">
        <v>2.42</v>
      </c>
      <c r="M2275" s="13"/>
      <c r="N2275" s="17">
        <f t="shared" si="76"/>
        <v>1938.4199999999998</v>
      </c>
      <c r="O2275" s="17">
        <f t="shared" si="76"/>
        <v>0</v>
      </c>
      <c r="P2275" s="17">
        <f t="shared" si="75"/>
        <v>1938.4199999999998</v>
      </c>
      <c r="Q2275" t="str">
        <f>A2275&amp;"-"&amp;B2275&amp;"-"&amp;D2275</f>
        <v>MEI-MJ2-L9</v>
      </c>
    </row>
    <row r="2276" spans="1:17" x14ac:dyDescent="0.25">
      <c r="A2276" t="s">
        <v>395</v>
      </c>
      <c r="B2276" s="13" t="s">
        <v>26</v>
      </c>
      <c r="C2276" s="13" t="s">
        <v>226</v>
      </c>
      <c r="D2276" s="14" t="s">
        <v>199</v>
      </c>
      <c r="E2276" s="13" t="s">
        <v>61</v>
      </c>
      <c r="F2276" s="13" t="s">
        <v>958</v>
      </c>
      <c r="G2276" s="13">
        <v>0.65</v>
      </c>
      <c r="H2276" s="15">
        <v>6766</v>
      </c>
      <c r="I2276" s="16">
        <v>4397.8999999999996</v>
      </c>
      <c r="J2276" s="16">
        <v>3935.5364787581702</v>
      </c>
      <c r="K2276" s="16">
        <v>462.36352124183009</v>
      </c>
      <c r="L2276" s="13">
        <v>1.66</v>
      </c>
      <c r="M2276" s="13"/>
      <c r="N2276" s="17">
        <f t="shared" si="76"/>
        <v>11231.56</v>
      </c>
      <c r="O2276" s="17">
        <f t="shared" si="76"/>
        <v>0</v>
      </c>
      <c r="P2276" s="17">
        <f t="shared" si="75"/>
        <v>11231.56</v>
      </c>
      <c r="Q2276" t="str">
        <f>A2276&amp;"-"&amp;B2276&amp;"-"&amp;D2276</f>
        <v>MEI-MJ2-L9</v>
      </c>
    </row>
    <row r="2277" spans="1:17" x14ac:dyDescent="0.25">
      <c r="A2277" t="s">
        <v>395</v>
      </c>
      <c r="B2277" s="13" t="s">
        <v>26</v>
      </c>
      <c r="C2277" s="13" t="s">
        <v>226</v>
      </c>
      <c r="D2277" s="14" t="s">
        <v>199</v>
      </c>
      <c r="E2277" s="13" t="s">
        <v>61</v>
      </c>
      <c r="F2277" s="13" t="s">
        <v>973</v>
      </c>
      <c r="G2277" s="13">
        <v>0.83</v>
      </c>
      <c r="H2277" s="15">
        <v>288</v>
      </c>
      <c r="I2277" s="16">
        <v>239.04000000000002</v>
      </c>
      <c r="J2277" s="16">
        <v>161.70098684210529</v>
      </c>
      <c r="K2277" s="16">
        <v>77.339013157894726</v>
      </c>
      <c r="L2277" s="13">
        <v>5.18</v>
      </c>
      <c r="M2277" s="13"/>
      <c r="N2277" s="17">
        <f t="shared" si="76"/>
        <v>1491.84</v>
      </c>
      <c r="O2277" s="17">
        <f t="shared" si="76"/>
        <v>0</v>
      </c>
      <c r="P2277" s="17">
        <f t="shared" si="75"/>
        <v>1491.84</v>
      </c>
      <c r="Q2277" t="str">
        <f>A2277&amp;"-"&amp;B2277&amp;"-"&amp;D2277</f>
        <v>MEI-MJ2-L9</v>
      </c>
    </row>
    <row r="2278" spans="1:17" x14ac:dyDescent="0.25">
      <c r="A2278" t="s">
        <v>395</v>
      </c>
      <c r="B2278" s="13" t="s">
        <v>26</v>
      </c>
      <c r="C2278" s="13" t="s">
        <v>226</v>
      </c>
      <c r="D2278" s="14" t="s">
        <v>199</v>
      </c>
      <c r="E2278" s="13" t="s">
        <v>61</v>
      </c>
      <c r="F2278" s="13" t="s">
        <v>974</v>
      </c>
      <c r="G2278" s="13">
        <v>0.88</v>
      </c>
      <c r="H2278" s="15">
        <v>1497</v>
      </c>
      <c r="I2278" s="16">
        <v>1317.3600000000001</v>
      </c>
      <c r="J2278" s="16">
        <v>1205.4557186471966</v>
      </c>
      <c r="K2278" s="16">
        <v>111.90428135280347</v>
      </c>
      <c r="L2278" s="13">
        <v>2.65</v>
      </c>
      <c r="M2278" s="13"/>
      <c r="N2278" s="17">
        <f t="shared" si="76"/>
        <v>3967.0499999999997</v>
      </c>
      <c r="O2278" s="17">
        <f t="shared" si="76"/>
        <v>0</v>
      </c>
      <c r="P2278" s="17">
        <f t="shared" si="75"/>
        <v>3967.0499999999997</v>
      </c>
      <c r="Q2278" t="str">
        <f>A2278&amp;"-"&amp;B2278&amp;"-"&amp;D2278</f>
        <v>MEI-MJ2-L9</v>
      </c>
    </row>
    <row r="2279" spans="1:17" x14ac:dyDescent="0.25">
      <c r="A2279" t="s">
        <v>395</v>
      </c>
      <c r="B2279" s="13" t="s">
        <v>26</v>
      </c>
      <c r="C2279" s="13" t="s">
        <v>226</v>
      </c>
      <c r="D2279" s="14" t="s">
        <v>199</v>
      </c>
      <c r="E2279" s="13" t="s">
        <v>61</v>
      </c>
      <c r="F2279" s="13" t="s">
        <v>975</v>
      </c>
      <c r="G2279" s="13">
        <v>0.83</v>
      </c>
      <c r="H2279" s="15">
        <v>905</v>
      </c>
      <c r="I2279" s="16">
        <v>751.15000000000009</v>
      </c>
      <c r="J2279" s="16">
        <v>518.10272662953355</v>
      </c>
      <c r="K2279" s="16">
        <v>233.04727337046648</v>
      </c>
      <c r="L2279" s="13">
        <v>5.18</v>
      </c>
      <c r="M2279" s="13"/>
      <c r="N2279" s="17">
        <f t="shared" si="76"/>
        <v>4687.8999999999996</v>
      </c>
      <c r="O2279" s="17">
        <f t="shared" si="76"/>
        <v>0</v>
      </c>
      <c r="P2279" s="17">
        <f t="shared" si="75"/>
        <v>4687.8999999999996</v>
      </c>
      <c r="Q2279" t="str">
        <f>A2279&amp;"-"&amp;B2279&amp;"-"&amp;D2279</f>
        <v>MEI-MJ2-L9</v>
      </c>
    </row>
    <row r="2280" spans="1:17" x14ac:dyDescent="0.25">
      <c r="A2280" t="s">
        <v>395</v>
      </c>
      <c r="B2280" s="13" t="s">
        <v>26</v>
      </c>
      <c r="C2280" s="13" t="s">
        <v>43</v>
      </c>
      <c r="D2280" s="14" t="s">
        <v>44</v>
      </c>
      <c r="E2280" s="13" t="s">
        <v>179</v>
      </c>
      <c r="F2280" s="13" t="s">
        <v>1001</v>
      </c>
      <c r="G2280" s="13">
        <v>1.5399999999999998</v>
      </c>
      <c r="H2280" s="15">
        <v>2280</v>
      </c>
      <c r="I2280" s="16">
        <v>3511.2000000000003</v>
      </c>
      <c r="J2280" s="16">
        <v>6764.9443841610728</v>
      </c>
      <c r="K2280" s="16">
        <v>-3253.7443841610734</v>
      </c>
      <c r="L2280" s="13"/>
      <c r="M2280" s="13">
        <v>1.65</v>
      </c>
      <c r="N2280" s="17">
        <f t="shared" si="76"/>
        <v>0</v>
      </c>
      <c r="O2280" s="17">
        <f t="shared" si="76"/>
        <v>3762</v>
      </c>
      <c r="P2280" s="17">
        <f t="shared" si="75"/>
        <v>3762</v>
      </c>
      <c r="Q2280" t="str">
        <f>A2280&amp;"-"&amp;B2280&amp;"-"&amp;D2280</f>
        <v>MEI-MJ2-L1</v>
      </c>
    </row>
    <row r="2281" spans="1:17" x14ac:dyDescent="0.25">
      <c r="A2281" t="s">
        <v>395</v>
      </c>
      <c r="B2281" s="13" t="s">
        <v>26</v>
      </c>
      <c r="C2281" s="13" t="s">
        <v>43</v>
      </c>
      <c r="D2281" s="14" t="s">
        <v>44</v>
      </c>
      <c r="E2281" s="13" t="s">
        <v>179</v>
      </c>
      <c r="F2281" s="13" t="s">
        <v>811</v>
      </c>
      <c r="G2281" s="13">
        <v>1.54</v>
      </c>
      <c r="H2281" s="15">
        <v>28</v>
      </c>
      <c r="I2281" s="16">
        <v>43.12</v>
      </c>
      <c r="J2281" s="16">
        <v>90.066666666666677</v>
      </c>
      <c r="K2281" s="16">
        <v>-46.94666666666668</v>
      </c>
      <c r="L2281" s="13"/>
      <c r="M2281" s="13">
        <v>1.65</v>
      </c>
      <c r="N2281" s="17">
        <f t="shared" si="76"/>
        <v>0</v>
      </c>
      <c r="O2281" s="17">
        <f t="shared" si="76"/>
        <v>46.199999999999996</v>
      </c>
      <c r="P2281" s="17">
        <f t="shared" si="75"/>
        <v>46.199999999999996</v>
      </c>
      <c r="Q2281" t="str">
        <f>A2281&amp;"-"&amp;B2281&amp;"-"&amp;D2281</f>
        <v>MEI-MJ2-L1</v>
      </c>
    </row>
    <row r="2282" spans="1:17" x14ac:dyDescent="0.25">
      <c r="A2282" t="s">
        <v>395</v>
      </c>
      <c r="B2282" s="13" t="s">
        <v>26</v>
      </c>
      <c r="C2282" s="13" t="s">
        <v>43</v>
      </c>
      <c r="D2282" s="14" t="s">
        <v>44</v>
      </c>
      <c r="E2282" s="13" t="s">
        <v>179</v>
      </c>
      <c r="F2282" s="13" t="s">
        <v>813</v>
      </c>
      <c r="G2282" s="13">
        <v>1.54</v>
      </c>
      <c r="H2282" s="15">
        <v>1077</v>
      </c>
      <c r="I2282" s="16">
        <v>1658.5800000000002</v>
      </c>
      <c r="J2282" s="16">
        <v>2948.7057633315517</v>
      </c>
      <c r="K2282" s="16">
        <v>-1290.125763331552</v>
      </c>
      <c r="L2282" s="13"/>
      <c r="M2282" s="13">
        <v>1.65</v>
      </c>
      <c r="N2282" s="17">
        <f t="shared" si="76"/>
        <v>0</v>
      </c>
      <c r="O2282" s="17">
        <f t="shared" si="76"/>
        <v>1777.05</v>
      </c>
      <c r="P2282" s="17">
        <f t="shared" si="75"/>
        <v>1777.05</v>
      </c>
      <c r="Q2282" t="str">
        <f>A2282&amp;"-"&amp;B2282&amp;"-"&amp;D2282</f>
        <v>MEI-MJ2-L1</v>
      </c>
    </row>
    <row r="2283" spans="1:17" x14ac:dyDescent="0.25">
      <c r="A2283" t="s">
        <v>396</v>
      </c>
      <c r="B2283" s="13" t="s">
        <v>18</v>
      </c>
      <c r="C2283" s="13" t="s">
        <v>43</v>
      </c>
      <c r="D2283" s="14" t="s">
        <v>44</v>
      </c>
      <c r="E2283" s="13" t="s">
        <v>71</v>
      </c>
      <c r="F2283" s="13" t="s">
        <v>815</v>
      </c>
      <c r="G2283" s="13">
        <v>4.0600000000000014</v>
      </c>
      <c r="H2283" s="15">
        <v>3841</v>
      </c>
      <c r="I2283" s="16">
        <v>15594.459999999997</v>
      </c>
      <c r="J2283" s="16">
        <v>15954.279999999999</v>
      </c>
      <c r="K2283" s="16">
        <v>-359.81999999999965</v>
      </c>
      <c r="L2283" s="13"/>
      <c r="M2283" s="13">
        <v>4.33</v>
      </c>
      <c r="N2283" s="17">
        <f t="shared" si="76"/>
        <v>0</v>
      </c>
      <c r="O2283" s="17">
        <f t="shared" si="76"/>
        <v>16631.53</v>
      </c>
      <c r="P2283" s="17">
        <f t="shared" si="75"/>
        <v>16631.53</v>
      </c>
      <c r="Q2283" t="str">
        <f>A2283&amp;"-"&amp;B2283&amp;"-"&amp;D2283</f>
        <v>JUNI-CBA-L1</v>
      </c>
    </row>
    <row r="2284" spans="1:17" x14ac:dyDescent="0.25">
      <c r="A2284" t="s">
        <v>396</v>
      </c>
      <c r="B2284" s="13" t="s">
        <v>18</v>
      </c>
      <c r="C2284" s="13" t="s">
        <v>43</v>
      </c>
      <c r="D2284" s="14" t="s">
        <v>50</v>
      </c>
      <c r="E2284" s="13" t="s">
        <v>45</v>
      </c>
      <c r="F2284" s="13" t="s">
        <v>814</v>
      </c>
      <c r="G2284" s="13">
        <v>3.0900000000000007</v>
      </c>
      <c r="H2284" s="15">
        <v>3715</v>
      </c>
      <c r="I2284" s="16">
        <v>11479.35</v>
      </c>
      <c r="J2284" s="16">
        <v>10614.874705882352</v>
      </c>
      <c r="K2284" s="16">
        <v>864.47529411764697</v>
      </c>
      <c r="L2284" s="13"/>
      <c r="M2284" s="13">
        <v>3.33</v>
      </c>
      <c r="N2284" s="17">
        <f t="shared" ref="N2284:O2341" si="77">$H2284*L2284</f>
        <v>0</v>
      </c>
      <c r="O2284" s="17">
        <f t="shared" si="77"/>
        <v>12370.95</v>
      </c>
      <c r="P2284" s="17">
        <f t="shared" si="75"/>
        <v>12370.95</v>
      </c>
      <c r="Q2284" t="str">
        <f>A2284&amp;"-"&amp;B2284&amp;"-"&amp;D2284</f>
        <v>JUNI-CBA-L2</v>
      </c>
    </row>
    <row r="2285" spans="1:17" x14ac:dyDescent="0.25">
      <c r="A2285" t="s">
        <v>396</v>
      </c>
      <c r="B2285" s="13" t="s">
        <v>18</v>
      </c>
      <c r="C2285" s="13" t="s">
        <v>43</v>
      </c>
      <c r="D2285" s="14" t="s">
        <v>50</v>
      </c>
      <c r="E2285" s="13" t="s">
        <v>71</v>
      </c>
      <c r="F2285" s="13" t="s">
        <v>815</v>
      </c>
      <c r="G2285" s="13">
        <v>4.0599999999999996</v>
      </c>
      <c r="H2285" s="15">
        <v>1272</v>
      </c>
      <c r="I2285" s="16">
        <v>5164.32</v>
      </c>
      <c r="J2285" s="16">
        <v>5339.4052941176469</v>
      </c>
      <c r="K2285" s="16">
        <v>-175.08529411764698</v>
      </c>
      <c r="L2285" s="13"/>
      <c r="M2285" s="13">
        <v>4.33</v>
      </c>
      <c r="N2285" s="17">
        <f t="shared" si="77"/>
        <v>0</v>
      </c>
      <c r="O2285" s="17">
        <f t="shared" si="77"/>
        <v>5507.76</v>
      </c>
      <c r="P2285" s="17">
        <f t="shared" si="75"/>
        <v>5507.76</v>
      </c>
      <c r="Q2285" t="str">
        <f>A2285&amp;"-"&amp;B2285&amp;"-"&amp;D2285</f>
        <v>JUNI-CBA-L2</v>
      </c>
    </row>
    <row r="2286" spans="1:17" x14ac:dyDescent="0.25">
      <c r="A2286" t="s">
        <v>396</v>
      </c>
      <c r="B2286" s="13" t="s">
        <v>18</v>
      </c>
      <c r="C2286" s="13" t="s">
        <v>43</v>
      </c>
      <c r="D2286" s="14" t="s">
        <v>56</v>
      </c>
      <c r="E2286" s="13" t="s">
        <v>179</v>
      </c>
      <c r="F2286" s="13" t="s">
        <v>701</v>
      </c>
      <c r="G2286" s="13">
        <v>1.54</v>
      </c>
      <c r="H2286" s="15">
        <v>252</v>
      </c>
      <c r="I2286" s="16">
        <v>388.08000000000004</v>
      </c>
      <c r="J2286" s="16">
        <v>378.25784912959381</v>
      </c>
      <c r="K2286" s="16">
        <v>9.8221508704062046</v>
      </c>
      <c r="L2286" s="13"/>
      <c r="M2286" s="13">
        <v>1.65</v>
      </c>
      <c r="N2286" s="17">
        <f t="shared" si="77"/>
        <v>0</v>
      </c>
      <c r="O2286" s="17">
        <f t="shared" si="77"/>
        <v>415.79999999999995</v>
      </c>
      <c r="P2286" s="17">
        <f t="shared" si="75"/>
        <v>415.79999999999995</v>
      </c>
      <c r="Q2286" t="str">
        <f>A2286&amp;"-"&amp;B2286&amp;"-"&amp;D2286</f>
        <v>JUNI-CBA-L3</v>
      </c>
    </row>
    <row r="2287" spans="1:17" x14ac:dyDescent="0.25">
      <c r="A2287" t="s">
        <v>396</v>
      </c>
      <c r="B2287" s="13" t="s">
        <v>18</v>
      </c>
      <c r="C2287" s="13" t="s">
        <v>43</v>
      </c>
      <c r="D2287" s="14" t="s">
        <v>56</v>
      </c>
      <c r="E2287" s="13" t="s">
        <v>179</v>
      </c>
      <c r="F2287" s="13" t="s">
        <v>1002</v>
      </c>
      <c r="G2287" s="13">
        <v>1.54</v>
      </c>
      <c r="H2287" s="15">
        <v>1515</v>
      </c>
      <c r="I2287" s="16">
        <v>2333.1</v>
      </c>
      <c r="J2287" s="16">
        <v>2254.4100232108317</v>
      </c>
      <c r="K2287" s="16">
        <v>78.689976789168355</v>
      </c>
      <c r="L2287" s="13"/>
      <c r="M2287" s="13">
        <v>1.65</v>
      </c>
      <c r="N2287" s="17">
        <f t="shared" si="77"/>
        <v>0</v>
      </c>
      <c r="O2287" s="17">
        <f t="shared" si="77"/>
        <v>2499.75</v>
      </c>
      <c r="P2287" s="17">
        <f t="shared" si="75"/>
        <v>2499.75</v>
      </c>
      <c r="Q2287" t="str">
        <f>A2287&amp;"-"&amp;B2287&amp;"-"&amp;D2287</f>
        <v>JUNI-CBA-L3</v>
      </c>
    </row>
    <row r="2288" spans="1:17" x14ac:dyDescent="0.25">
      <c r="A2288" t="s">
        <v>396</v>
      </c>
      <c r="B2288" s="13" t="s">
        <v>18</v>
      </c>
      <c r="C2288" s="13" t="s">
        <v>43</v>
      </c>
      <c r="D2288" s="14" t="s">
        <v>56</v>
      </c>
      <c r="E2288" s="13" t="s">
        <v>179</v>
      </c>
      <c r="F2288" s="13" t="s">
        <v>1003</v>
      </c>
      <c r="G2288" s="13">
        <v>1.54</v>
      </c>
      <c r="H2288" s="15">
        <v>537</v>
      </c>
      <c r="I2288" s="16">
        <v>826.98</v>
      </c>
      <c r="J2288" s="16">
        <v>797.50212765957451</v>
      </c>
      <c r="K2288" s="16">
        <v>29.477872340425492</v>
      </c>
      <c r="L2288" s="13"/>
      <c r="M2288" s="13">
        <v>1.65</v>
      </c>
      <c r="N2288" s="17">
        <f t="shared" si="77"/>
        <v>0</v>
      </c>
      <c r="O2288" s="17">
        <f t="shared" si="77"/>
        <v>886.05</v>
      </c>
      <c r="P2288" s="17">
        <f t="shared" si="75"/>
        <v>886.05</v>
      </c>
      <c r="Q2288" t="str">
        <f>A2288&amp;"-"&amp;B2288&amp;"-"&amp;D2288</f>
        <v>JUNI-CBA-L3</v>
      </c>
    </row>
    <row r="2289" spans="1:17" x14ac:dyDescent="0.25">
      <c r="A2289" t="s">
        <v>396</v>
      </c>
      <c r="B2289" s="13" t="s">
        <v>18</v>
      </c>
      <c r="C2289" s="13" t="s">
        <v>43</v>
      </c>
      <c r="D2289" s="14" t="s">
        <v>56</v>
      </c>
      <c r="E2289" s="13" t="s">
        <v>179</v>
      </c>
      <c r="F2289" s="13" t="s">
        <v>1004</v>
      </c>
      <c r="G2289" s="13">
        <v>1.5399999999999998</v>
      </c>
      <c r="H2289" s="15">
        <v>3563</v>
      </c>
      <c r="I2289" s="16">
        <v>5487.02</v>
      </c>
      <c r="J2289" s="16">
        <v>5319.3558779518353</v>
      </c>
      <c r="K2289" s="16">
        <v>167.6641220481643</v>
      </c>
      <c r="L2289" s="13"/>
      <c r="M2289" s="13">
        <v>1.65</v>
      </c>
      <c r="N2289" s="17">
        <f t="shared" si="77"/>
        <v>0</v>
      </c>
      <c r="O2289" s="17">
        <f t="shared" si="77"/>
        <v>5878.95</v>
      </c>
      <c r="P2289" s="17">
        <f t="shared" si="75"/>
        <v>5878.95</v>
      </c>
      <c r="Q2289" t="str">
        <f>A2289&amp;"-"&amp;B2289&amp;"-"&amp;D2289</f>
        <v>JUNI-CBA-L3</v>
      </c>
    </row>
    <row r="2290" spans="1:17" x14ac:dyDescent="0.25">
      <c r="A2290" t="s">
        <v>396</v>
      </c>
      <c r="B2290" s="13" t="s">
        <v>18</v>
      </c>
      <c r="C2290" s="13" t="s">
        <v>43</v>
      </c>
      <c r="D2290" s="14" t="s">
        <v>56</v>
      </c>
      <c r="E2290" s="13" t="s">
        <v>179</v>
      </c>
      <c r="F2290" s="13" t="s">
        <v>820</v>
      </c>
      <c r="G2290" s="13">
        <v>1.5399999999999998</v>
      </c>
      <c r="H2290" s="15">
        <v>4773</v>
      </c>
      <c r="I2290" s="16">
        <v>7350.42</v>
      </c>
      <c r="J2290" s="16">
        <v>7204.7541220481644</v>
      </c>
      <c r="K2290" s="16">
        <v>145.66587795183523</v>
      </c>
      <c r="L2290" s="13"/>
      <c r="M2290" s="13">
        <v>1.65</v>
      </c>
      <c r="N2290" s="17">
        <f t="shared" si="77"/>
        <v>0</v>
      </c>
      <c r="O2290" s="17">
        <f t="shared" si="77"/>
        <v>7875.45</v>
      </c>
      <c r="P2290" s="17">
        <f t="shared" si="75"/>
        <v>7875.45</v>
      </c>
      <c r="Q2290" t="str">
        <f>A2290&amp;"-"&amp;B2290&amp;"-"&amp;D2290</f>
        <v>JUNI-CBA-L3</v>
      </c>
    </row>
    <row r="2291" spans="1:17" x14ac:dyDescent="0.25">
      <c r="A2291" t="s">
        <v>396</v>
      </c>
      <c r="B2291" s="13" t="s">
        <v>19</v>
      </c>
      <c r="C2291" s="13" t="s">
        <v>70</v>
      </c>
      <c r="D2291" s="14" t="s">
        <v>44</v>
      </c>
      <c r="E2291" s="13" t="s">
        <v>77</v>
      </c>
      <c r="F2291" s="13" t="s">
        <v>1005</v>
      </c>
      <c r="G2291" s="13">
        <v>3.7</v>
      </c>
      <c r="H2291" s="15">
        <v>121</v>
      </c>
      <c r="I2291" s="16">
        <v>447.7</v>
      </c>
      <c r="J2291" s="16">
        <v>301.64393939393943</v>
      </c>
      <c r="K2291" s="16">
        <v>146.05606060606058</v>
      </c>
      <c r="L2291" s="13">
        <v>8.86</v>
      </c>
      <c r="M2291" s="13"/>
      <c r="N2291" s="17">
        <f t="shared" si="77"/>
        <v>1072.06</v>
      </c>
      <c r="O2291" s="17">
        <f t="shared" si="77"/>
        <v>0</v>
      </c>
      <c r="P2291" s="17">
        <f t="shared" si="75"/>
        <v>1072.06</v>
      </c>
      <c r="Q2291" t="str">
        <f>A2291&amp;"-"&amp;B2291&amp;"-"&amp;D2291</f>
        <v>JUNI-CHW-L1</v>
      </c>
    </row>
    <row r="2292" spans="1:17" x14ac:dyDescent="0.25">
      <c r="A2292" t="s">
        <v>396</v>
      </c>
      <c r="B2292" s="13" t="s">
        <v>19</v>
      </c>
      <c r="C2292" s="13" t="s">
        <v>70</v>
      </c>
      <c r="D2292" s="14" t="s">
        <v>44</v>
      </c>
      <c r="E2292" s="13" t="s">
        <v>77</v>
      </c>
      <c r="F2292" s="13" t="s">
        <v>821</v>
      </c>
      <c r="G2292" s="13">
        <v>3.7</v>
      </c>
      <c r="H2292" s="15">
        <v>59</v>
      </c>
      <c r="I2292" s="16">
        <v>218.3</v>
      </c>
      <c r="J2292" s="16">
        <v>97.771428571428572</v>
      </c>
      <c r="K2292" s="16">
        <v>120.52857142857144</v>
      </c>
      <c r="L2292" s="13">
        <v>8.25</v>
      </c>
      <c r="M2292" s="13"/>
      <c r="N2292" s="17">
        <f t="shared" si="77"/>
        <v>486.75</v>
      </c>
      <c r="O2292" s="17">
        <f t="shared" si="77"/>
        <v>0</v>
      </c>
      <c r="P2292" s="17">
        <f t="shared" si="75"/>
        <v>486.75</v>
      </c>
      <c r="Q2292" t="str">
        <f>A2292&amp;"-"&amp;B2292&amp;"-"&amp;D2292</f>
        <v>JUNI-CHW-L1</v>
      </c>
    </row>
    <row r="2293" spans="1:17" x14ac:dyDescent="0.25">
      <c r="A2293" t="s">
        <v>396</v>
      </c>
      <c r="B2293" s="13" t="s">
        <v>19</v>
      </c>
      <c r="C2293" s="13" t="s">
        <v>70</v>
      </c>
      <c r="D2293" s="14" t="s">
        <v>44</v>
      </c>
      <c r="E2293" s="13" t="s">
        <v>77</v>
      </c>
      <c r="F2293" s="13" t="s">
        <v>822</v>
      </c>
      <c r="G2293" s="13">
        <v>3.7000000000000006</v>
      </c>
      <c r="H2293" s="15">
        <v>75</v>
      </c>
      <c r="I2293" s="16">
        <v>277.5</v>
      </c>
      <c r="J2293" s="16">
        <v>191.6134199134199</v>
      </c>
      <c r="K2293" s="16">
        <v>85.886580086580111</v>
      </c>
      <c r="L2293" s="13">
        <v>8.64</v>
      </c>
      <c r="M2293" s="13"/>
      <c r="N2293" s="17">
        <f t="shared" si="77"/>
        <v>648</v>
      </c>
      <c r="O2293" s="17">
        <f t="shared" si="77"/>
        <v>0</v>
      </c>
      <c r="P2293" s="17">
        <f t="shared" si="75"/>
        <v>648</v>
      </c>
      <c r="Q2293" t="str">
        <f>A2293&amp;"-"&amp;B2293&amp;"-"&amp;D2293</f>
        <v>JUNI-CHW-L1</v>
      </c>
    </row>
    <row r="2294" spans="1:17" x14ac:dyDescent="0.25">
      <c r="A2294" t="s">
        <v>396</v>
      </c>
      <c r="B2294" s="13" t="s">
        <v>19</v>
      </c>
      <c r="C2294" s="13" t="s">
        <v>70</v>
      </c>
      <c r="D2294" s="14" t="s">
        <v>44</v>
      </c>
      <c r="E2294" s="13" t="s">
        <v>77</v>
      </c>
      <c r="F2294" s="13" t="s">
        <v>1006</v>
      </c>
      <c r="G2294" s="13">
        <v>3.7</v>
      </c>
      <c r="H2294" s="15">
        <v>1629</v>
      </c>
      <c r="I2294" s="16">
        <v>6027.3</v>
      </c>
      <c r="J2294" s="16">
        <v>3606.0844047619053</v>
      </c>
      <c r="K2294" s="16">
        <v>2421.2155952380954</v>
      </c>
      <c r="L2294" s="13">
        <v>7.63</v>
      </c>
      <c r="M2294" s="13"/>
      <c r="N2294" s="17">
        <f t="shared" si="77"/>
        <v>12429.27</v>
      </c>
      <c r="O2294" s="17">
        <f t="shared" si="77"/>
        <v>0</v>
      </c>
      <c r="P2294" s="17">
        <f t="shared" si="75"/>
        <v>12429.27</v>
      </c>
      <c r="Q2294" t="str">
        <f>A2294&amp;"-"&amp;B2294&amp;"-"&amp;D2294</f>
        <v>JUNI-CHW-L1</v>
      </c>
    </row>
    <row r="2295" spans="1:17" x14ac:dyDescent="0.25">
      <c r="A2295" t="s">
        <v>396</v>
      </c>
      <c r="B2295" s="13" t="s">
        <v>19</v>
      </c>
      <c r="C2295" s="13" t="s">
        <v>70</v>
      </c>
      <c r="D2295" s="14" t="s">
        <v>44</v>
      </c>
      <c r="E2295" s="13" t="s">
        <v>77</v>
      </c>
      <c r="F2295" s="13" t="s">
        <v>1007</v>
      </c>
      <c r="G2295" s="13">
        <v>3.7</v>
      </c>
      <c r="H2295" s="15">
        <v>681</v>
      </c>
      <c r="I2295" s="16">
        <v>2519.6999999999998</v>
      </c>
      <c r="J2295" s="16">
        <v>1961.4545454545455</v>
      </c>
      <c r="K2295" s="16">
        <v>558.24545454545455</v>
      </c>
      <c r="L2295" s="13">
        <v>7.33</v>
      </c>
      <c r="M2295" s="13"/>
      <c r="N2295" s="17">
        <f t="shared" si="77"/>
        <v>4991.7300000000005</v>
      </c>
      <c r="O2295" s="17">
        <f t="shared" si="77"/>
        <v>0</v>
      </c>
      <c r="P2295" s="17">
        <f t="shared" si="75"/>
        <v>4991.7300000000005</v>
      </c>
      <c r="Q2295" t="str">
        <f>A2295&amp;"-"&amp;B2295&amp;"-"&amp;D2295</f>
        <v>JUNI-CHW-L1</v>
      </c>
    </row>
    <row r="2296" spans="1:17" x14ac:dyDescent="0.25">
      <c r="A2296" t="s">
        <v>396</v>
      </c>
      <c r="B2296" s="13" t="s">
        <v>19</v>
      </c>
      <c r="C2296" s="13" t="s">
        <v>70</v>
      </c>
      <c r="D2296" s="14" t="s">
        <v>44</v>
      </c>
      <c r="E2296" s="13" t="s">
        <v>77</v>
      </c>
      <c r="F2296" s="13" t="s">
        <v>824</v>
      </c>
      <c r="G2296" s="13">
        <v>3.7</v>
      </c>
      <c r="H2296" s="15">
        <v>195</v>
      </c>
      <c r="I2296" s="16">
        <v>721.5</v>
      </c>
      <c r="J2296" s="16">
        <v>402.93690476190477</v>
      </c>
      <c r="K2296" s="16">
        <v>318.56309523809523</v>
      </c>
      <c r="L2296" s="13">
        <v>7.16</v>
      </c>
      <c r="M2296" s="13"/>
      <c r="N2296" s="17">
        <f t="shared" si="77"/>
        <v>1396.2</v>
      </c>
      <c r="O2296" s="17">
        <f t="shared" si="77"/>
        <v>0</v>
      </c>
      <c r="P2296" s="17">
        <f t="shared" si="75"/>
        <v>1396.2</v>
      </c>
      <c r="Q2296" t="str">
        <f>A2296&amp;"-"&amp;B2296&amp;"-"&amp;D2296</f>
        <v>JUNI-CHW-L1</v>
      </c>
    </row>
    <row r="2297" spans="1:17" x14ac:dyDescent="0.25">
      <c r="A2297" t="s">
        <v>396</v>
      </c>
      <c r="B2297" s="13" t="s">
        <v>19</v>
      </c>
      <c r="C2297" s="13" t="s">
        <v>70</v>
      </c>
      <c r="D2297" s="14" t="s">
        <v>44</v>
      </c>
      <c r="E2297" s="13" t="s">
        <v>77</v>
      </c>
      <c r="F2297" s="13" t="s">
        <v>825</v>
      </c>
      <c r="G2297" s="13">
        <v>3.7</v>
      </c>
      <c r="H2297" s="15">
        <v>565</v>
      </c>
      <c r="I2297" s="16">
        <v>2090.5</v>
      </c>
      <c r="J2297" s="16">
        <v>1209.2</v>
      </c>
      <c r="K2297" s="16">
        <v>881.3</v>
      </c>
      <c r="L2297" s="13">
        <v>8.16</v>
      </c>
      <c r="M2297" s="13"/>
      <c r="N2297" s="17">
        <f t="shared" si="77"/>
        <v>4610.3999999999996</v>
      </c>
      <c r="O2297" s="17">
        <f t="shared" si="77"/>
        <v>0</v>
      </c>
      <c r="P2297" s="17">
        <f t="shared" si="75"/>
        <v>4610.3999999999996</v>
      </c>
      <c r="Q2297" t="str">
        <f>A2297&amp;"-"&amp;B2297&amp;"-"&amp;D2297</f>
        <v>JUNI-CHW-L1</v>
      </c>
    </row>
    <row r="2298" spans="1:17" x14ac:dyDescent="0.25">
      <c r="A2298" t="s">
        <v>396</v>
      </c>
      <c r="B2298" s="13" t="s">
        <v>19</v>
      </c>
      <c r="C2298" s="13" t="s">
        <v>70</v>
      </c>
      <c r="D2298" s="14" t="s">
        <v>44</v>
      </c>
      <c r="E2298" s="13" t="s">
        <v>77</v>
      </c>
      <c r="F2298" s="13" t="s">
        <v>709</v>
      </c>
      <c r="G2298" s="13">
        <v>3.7000000000000006</v>
      </c>
      <c r="H2298" s="15">
        <v>127</v>
      </c>
      <c r="I2298" s="16">
        <v>469.9</v>
      </c>
      <c r="J2298" s="16">
        <v>282.45462962962961</v>
      </c>
      <c r="K2298" s="16">
        <v>187.44537037037037</v>
      </c>
      <c r="L2298" s="13">
        <v>8.2100000000000009</v>
      </c>
      <c r="M2298" s="13"/>
      <c r="N2298" s="17">
        <f t="shared" si="77"/>
        <v>1042.67</v>
      </c>
      <c r="O2298" s="17">
        <f t="shared" si="77"/>
        <v>0</v>
      </c>
      <c r="P2298" s="17">
        <f t="shared" si="75"/>
        <v>1042.67</v>
      </c>
      <c r="Q2298" t="str">
        <f>A2298&amp;"-"&amp;B2298&amp;"-"&amp;D2298</f>
        <v>JUNI-CHW-L1</v>
      </c>
    </row>
    <row r="2299" spans="1:17" x14ac:dyDescent="0.25">
      <c r="A2299" t="s">
        <v>396</v>
      </c>
      <c r="B2299" s="13" t="s">
        <v>19</v>
      </c>
      <c r="C2299" s="13" t="s">
        <v>70</v>
      </c>
      <c r="D2299" s="14" t="s">
        <v>44</v>
      </c>
      <c r="E2299" s="13" t="s">
        <v>77</v>
      </c>
      <c r="F2299" s="13" t="s">
        <v>1008</v>
      </c>
      <c r="G2299" s="13">
        <v>3.7</v>
      </c>
      <c r="H2299" s="15">
        <v>742</v>
      </c>
      <c r="I2299" s="16">
        <v>2745.4</v>
      </c>
      <c r="J2299" s="16">
        <v>1655.729298941799</v>
      </c>
      <c r="K2299" s="16">
        <v>1089.6707010582008</v>
      </c>
      <c r="L2299" s="13">
        <v>8.1300000000000008</v>
      </c>
      <c r="M2299" s="13"/>
      <c r="N2299" s="17">
        <f t="shared" si="77"/>
        <v>6032.4600000000009</v>
      </c>
      <c r="O2299" s="17">
        <f t="shared" si="77"/>
        <v>0</v>
      </c>
      <c r="P2299" s="17">
        <f t="shared" si="75"/>
        <v>6032.4600000000009</v>
      </c>
      <c r="Q2299" t="str">
        <f>A2299&amp;"-"&amp;B2299&amp;"-"&amp;D2299</f>
        <v>JUNI-CHW-L1</v>
      </c>
    </row>
    <row r="2300" spans="1:17" x14ac:dyDescent="0.25">
      <c r="A2300" t="s">
        <v>396</v>
      </c>
      <c r="B2300" s="13" t="s">
        <v>19</v>
      </c>
      <c r="C2300" s="13" t="s">
        <v>70</v>
      </c>
      <c r="D2300" s="14" t="s">
        <v>44</v>
      </c>
      <c r="E2300" s="13" t="s">
        <v>77</v>
      </c>
      <c r="F2300" s="13" t="s">
        <v>1009</v>
      </c>
      <c r="G2300" s="13">
        <v>3.7</v>
      </c>
      <c r="H2300" s="15">
        <v>187</v>
      </c>
      <c r="I2300" s="16">
        <v>691.90000000000009</v>
      </c>
      <c r="J2300" s="16">
        <v>449.19</v>
      </c>
      <c r="K2300" s="16">
        <v>242.71000000000004</v>
      </c>
      <c r="L2300" s="13">
        <v>8.2200000000000006</v>
      </c>
      <c r="M2300" s="13"/>
      <c r="N2300" s="17">
        <f t="shared" si="77"/>
        <v>1537.14</v>
      </c>
      <c r="O2300" s="17">
        <f t="shared" si="77"/>
        <v>0</v>
      </c>
      <c r="P2300" s="17">
        <f t="shared" si="75"/>
        <v>1537.14</v>
      </c>
      <c r="Q2300" t="str">
        <f>A2300&amp;"-"&amp;B2300&amp;"-"&amp;D2300</f>
        <v>JUNI-CHW-L1</v>
      </c>
    </row>
    <row r="2301" spans="1:17" x14ac:dyDescent="0.25">
      <c r="A2301" t="s">
        <v>396</v>
      </c>
      <c r="B2301" s="13" t="s">
        <v>19</v>
      </c>
      <c r="C2301" s="13" t="s">
        <v>70</v>
      </c>
      <c r="D2301" s="14" t="s">
        <v>44</v>
      </c>
      <c r="E2301" s="13" t="s">
        <v>77</v>
      </c>
      <c r="F2301" s="13" t="s">
        <v>710</v>
      </c>
      <c r="G2301" s="13">
        <v>3.7000000000000006</v>
      </c>
      <c r="H2301" s="15">
        <v>149</v>
      </c>
      <c r="I2301" s="16">
        <v>551.30000000000007</v>
      </c>
      <c r="J2301" s="16">
        <v>271.18068783068787</v>
      </c>
      <c r="K2301" s="16">
        <v>280.11931216931214</v>
      </c>
      <c r="L2301" s="13">
        <v>7.6</v>
      </c>
      <c r="M2301" s="13"/>
      <c r="N2301" s="17">
        <f t="shared" si="77"/>
        <v>1132.3999999999999</v>
      </c>
      <c r="O2301" s="17">
        <f t="shared" si="77"/>
        <v>0</v>
      </c>
      <c r="P2301" s="17">
        <f t="shared" si="75"/>
        <v>1132.3999999999999</v>
      </c>
      <c r="Q2301" t="str">
        <f>A2301&amp;"-"&amp;B2301&amp;"-"&amp;D2301</f>
        <v>JUNI-CHW-L1</v>
      </c>
    </row>
    <row r="2302" spans="1:17" x14ac:dyDescent="0.25">
      <c r="A2302" t="s">
        <v>396</v>
      </c>
      <c r="B2302" s="13" t="s">
        <v>19</v>
      </c>
      <c r="C2302" s="13" t="s">
        <v>70</v>
      </c>
      <c r="D2302" s="14" t="s">
        <v>44</v>
      </c>
      <c r="E2302" s="13" t="s">
        <v>77</v>
      </c>
      <c r="F2302" s="13" t="s">
        <v>826</v>
      </c>
      <c r="G2302" s="13">
        <v>3.7</v>
      </c>
      <c r="H2302" s="15">
        <v>5</v>
      </c>
      <c r="I2302" s="16">
        <v>18.5</v>
      </c>
      <c r="J2302" s="16">
        <v>10.74074074074074</v>
      </c>
      <c r="K2302" s="16">
        <v>7.7592592592592595</v>
      </c>
      <c r="L2302" s="13">
        <v>9.69</v>
      </c>
      <c r="M2302" s="13"/>
      <c r="N2302" s="17">
        <f t="shared" si="77"/>
        <v>48.449999999999996</v>
      </c>
      <c r="O2302" s="17">
        <f t="shared" si="77"/>
        <v>0</v>
      </c>
      <c r="P2302" s="17">
        <f t="shared" si="75"/>
        <v>48.449999999999996</v>
      </c>
      <c r="Q2302" t="str">
        <f>A2302&amp;"-"&amp;B2302&amp;"-"&amp;D2302</f>
        <v>JUNI-CHW-L1</v>
      </c>
    </row>
    <row r="2303" spans="1:17" x14ac:dyDescent="0.25">
      <c r="A2303" t="s">
        <v>396</v>
      </c>
      <c r="B2303" s="13" t="s">
        <v>19</v>
      </c>
      <c r="C2303" s="13" t="s">
        <v>70</v>
      </c>
      <c r="D2303" s="14" t="s">
        <v>50</v>
      </c>
      <c r="E2303" s="13" t="s">
        <v>73</v>
      </c>
      <c r="F2303" s="13" t="s">
        <v>1010</v>
      </c>
      <c r="G2303" s="13">
        <v>4.5</v>
      </c>
      <c r="H2303" s="15">
        <v>1302</v>
      </c>
      <c r="I2303" s="16">
        <v>5859</v>
      </c>
      <c r="J2303" s="16">
        <v>3122.8202822169328</v>
      </c>
      <c r="K2303" s="16">
        <v>2736.1797177830672</v>
      </c>
      <c r="L2303" s="13">
        <v>11.08</v>
      </c>
      <c r="M2303" s="13"/>
      <c r="N2303" s="17">
        <f t="shared" si="77"/>
        <v>14426.16</v>
      </c>
      <c r="O2303" s="17">
        <f t="shared" si="77"/>
        <v>0</v>
      </c>
      <c r="P2303" s="17">
        <f t="shared" si="75"/>
        <v>14426.16</v>
      </c>
      <c r="Q2303" t="str">
        <f>A2303&amp;"-"&amp;B2303&amp;"-"&amp;D2303</f>
        <v>JUNI-CHW-L2</v>
      </c>
    </row>
    <row r="2304" spans="1:17" x14ac:dyDescent="0.25">
      <c r="A2304" t="s">
        <v>396</v>
      </c>
      <c r="B2304" s="13" t="s">
        <v>19</v>
      </c>
      <c r="C2304" s="13" t="s">
        <v>70</v>
      </c>
      <c r="D2304" s="14" t="s">
        <v>50</v>
      </c>
      <c r="E2304" s="13" t="s">
        <v>73</v>
      </c>
      <c r="F2304" s="13" t="s">
        <v>827</v>
      </c>
      <c r="G2304" s="13">
        <v>4.7</v>
      </c>
      <c r="H2304" s="15">
        <v>1</v>
      </c>
      <c r="I2304" s="16">
        <v>4.7</v>
      </c>
      <c r="J2304" s="16">
        <v>3.0173410404624277</v>
      </c>
      <c r="K2304" s="16">
        <v>1.6826589595375725</v>
      </c>
      <c r="L2304" s="13">
        <v>11.39</v>
      </c>
      <c r="M2304" s="13"/>
      <c r="N2304" s="17">
        <f t="shared" si="77"/>
        <v>11.39</v>
      </c>
      <c r="O2304" s="17">
        <f t="shared" si="77"/>
        <v>0</v>
      </c>
      <c r="P2304" s="17">
        <f t="shared" si="75"/>
        <v>11.39</v>
      </c>
      <c r="Q2304" t="str">
        <f>A2304&amp;"-"&amp;B2304&amp;"-"&amp;D2304</f>
        <v>JUNI-CHW-L2</v>
      </c>
    </row>
    <row r="2305" spans="1:17" x14ac:dyDescent="0.25">
      <c r="A2305" t="s">
        <v>396</v>
      </c>
      <c r="B2305" s="13" t="s">
        <v>19</v>
      </c>
      <c r="C2305" s="13" t="s">
        <v>70</v>
      </c>
      <c r="D2305" s="14" t="s">
        <v>50</v>
      </c>
      <c r="E2305" s="13" t="s">
        <v>73</v>
      </c>
      <c r="F2305" s="13" t="s">
        <v>1011</v>
      </c>
      <c r="G2305" s="13">
        <v>4.5</v>
      </c>
      <c r="H2305" s="15">
        <v>601</v>
      </c>
      <c r="I2305" s="16">
        <v>2704.5</v>
      </c>
      <c r="J2305" s="16">
        <v>1597.8245664739886</v>
      </c>
      <c r="K2305" s="16">
        <v>1106.6754335260116</v>
      </c>
      <c r="L2305" s="13">
        <v>11.62</v>
      </c>
      <c r="M2305" s="13"/>
      <c r="N2305" s="17">
        <f t="shared" si="77"/>
        <v>6983.62</v>
      </c>
      <c r="O2305" s="17">
        <f t="shared" si="77"/>
        <v>0</v>
      </c>
      <c r="P2305" s="17">
        <f t="shared" si="75"/>
        <v>6983.62</v>
      </c>
      <c r="Q2305" t="str">
        <f>A2305&amp;"-"&amp;B2305&amp;"-"&amp;D2305</f>
        <v>JUNI-CHW-L2</v>
      </c>
    </row>
    <row r="2306" spans="1:17" x14ac:dyDescent="0.25">
      <c r="A2306" t="s">
        <v>396</v>
      </c>
      <c r="B2306" s="13" t="s">
        <v>19</v>
      </c>
      <c r="C2306" s="13" t="s">
        <v>70</v>
      </c>
      <c r="D2306" s="14" t="s">
        <v>50</v>
      </c>
      <c r="E2306" s="13" t="s">
        <v>73</v>
      </c>
      <c r="F2306" s="13" t="s">
        <v>829</v>
      </c>
      <c r="G2306" s="13">
        <v>4.5</v>
      </c>
      <c r="H2306" s="15">
        <v>47</v>
      </c>
      <c r="I2306" s="16">
        <v>211.5</v>
      </c>
      <c r="J2306" s="16">
        <v>217.935</v>
      </c>
      <c r="K2306" s="16">
        <v>-6.4350000000000129</v>
      </c>
      <c r="L2306" s="13">
        <v>10.94</v>
      </c>
      <c r="M2306" s="13"/>
      <c r="N2306" s="17">
        <f t="shared" si="77"/>
        <v>514.17999999999995</v>
      </c>
      <c r="O2306" s="17">
        <f t="shared" si="77"/>
        <v>0</v>
      </c>
      <c r="P2306" s="17">
        <f t="shared" ref="P2306:P2369" si="78">N2306+O2306</f>
        <v>514.17999999999995</v>
      </c>
      <c r="Q2306" t="str">
        <f>A2306&amp;"-"&amp;B2306&amp;"-"&amp;D2306</f>
        <v>JUNI-CHW-L2</v>
      </c>
    </row>
    <row r="2307" spans="1:17" x14ac:dyDescent="0.25">
      <c r="A2307" t="s">
        <v>396</v>
      </c>
      <c r="B2307" s="13" t="s">
        <v>19</v>
      </c>
      <c r="C2307" s="13" t="s">
        <v>70</v>
      </c>
      <c r="D2307" s="14" t="s">
        <v>50</v>
      </c>
      <c r="E2307" s="13" t="s">
        <v>73</v>
      </c>
      <c r="F2307" s="13" t="s">
        <v>1012</v>
      </c>
      <c r="G2307" s="13">
        <v>4.5</v>
      </c>
      <c r="H2307" s="15">
        <v>86</v>
      </c>
      <c r="I2307" s="16">
        <v>387</v>
      </c>
      <c r="J2307" s="16">
        <v>635.61829787234046</v>
      </c>
      <c r="K2307" s="16">
        <v>-248.61829787234041</v>
      </c>
      <c r="L2307" s="13">
        <v>13.31</v>
      </c>
      <c r="M2307" s="13"/>
      <c r="N2307" s="17">
        <f t="shared" si="77"/>
        <v>1144.6600000000001</v>
      </c>
      <c r="O2307" s="17">
        <f t="shared" si="77"/>
        <v>0</v>
      </c>
      <c r="P2307" s="17">
        <f t="shared" si="78"/>
        <v>1144.6600000000001</v>
      </c>
      <c r="Q2307" t="str">
        <f>A2307&amp;"-"&amp;B2307&amp;"-"&amp;D2307</f>
        <v>JUNI-CHW-L2</v>
      </c>
    </row>
    <row r="2308" spans="1:17" x14ac:dyDescent="0.25">
      <c r="A2308" t="s">
        <v>396</v>
      </c>
      <c r="B2308" s="13" t="s">
        <v>19</v>
      </c>
      <c r="C2308" s="13" t="s">
        <v>70</v>
      </c>
      <c r="D2308" s="14" t="s">
        <v>50</v>
      </c>
      <c r="E2308" s="13" t="s">
        <v>73</v>
      </c>
      <c r="F2308" s="13" t="s">
        <v>1013</v>
      </c>
      <c r="G2308" s="13">
        <v>4.5</v>
      </c>
      <c r="H2308" s="15">
        <v>112</v>
      </c>
      <c r="I2308" s="16">
        <v>504</v>
      </c>
      <c r="J2308" s="16">
        <v>272.31</v>
      </c>
      <c r="K2308" s="16">
        <v>231.69</v>
      </c>
      <c r="L2308" s="13">
        <v>10</v>
      </c>
      <c r="M2308" s="13"/>
      <c r="N2308" s="17">
        <f t="shared" si="77"/>
        <v>1120</v>
      </c>
      <c r="O2308" s="17">
        <f t="shared" si="77"/>
        <v>0</v>
      </c>
      <c r="P2308" s="17">
        <f t="shared" si="78"/>
        <v>1120</v>
      </c>
      <c r="Q2308" t="str">
        <f>A2308&amp;"-"&amp;B2308&amp;"-"&amp;D2308</f>
        <v>JUNI-CHW-L2</v>
      </c>
    </row>
    <row r="2309" spans="1:17" x14ac:dyDescent="0.25">
      <c r="A2309" t="s">
        <v>396</v>
      </c>
      <c r="B2309" s="13" t="s">
        <v>19</v>
      </c>
      <c r="C2309" s="13" t="s">
        <v>70</v>
      </c>
      <c r="D2309" s="14" t="s">
        <v>50</v>
      </c>
      <c r="E2309" s="13" t="s">
        <v>73</v>
      </c>
      <c r="F2309" s="13" t="s">
        <v>1014</v>
      </c>
      <c r="G2309" s="13">
        <v>4.5</v>
      </c>
      <c r="H2309" s="15">
        <v>786</v>
      </c>
      <c r="I2309" s="16">
        <v>3537</v>
      </c>
      <c r="J2309" s="16">
        <v>2936.5635245543303</v>
      </c>
      <c r="K2309" s="16">
        <v>600.43647544566966</v>
      </c>
      <c r="L2309" s="13">
        <v>11.05</v>
      </c>
      <c r="M2309" s="13"/>
      <c r="N2309" s="17">
        <f t="shared" si="77"/>
        <v>8685.3000000000011</v>
      </c>
      <c r="O2309" s="17">
        <f t="shared" si="77"/>
        <v>0</v>
      </c>
      <c r="P2309" s="17">
        <f t="shared" si="78"/>
        <v>8685.3000000000011</v>
      </c>
      <c r="Q2309" t="str">
        <f>A2309&amp;"-"&amp;B2309&amp;"-"&amp;D2309</f>
        <v>JUNI-CHW-L2</v>
      </c>
    </row>
    <row r="2310" spans="1:17" x14ac:dyDescent="0.25">
      <c r="A2310" t="s">
        <v>396</v>
      </c>
      <c r="B2310" s="13" t="s">
        <v>19</v>
      </c>
      <c r="C2310" s="13" t="s">
        <v>70</v>
      </c>
      <c r="D2310" s="14" t="s">
        <v>50</v>
      </c>
      <c r="E2310" s="13" t="s">
        <v>73</v>
      </c>
      <c r="F2310" s="13" t="s">
        <v>711</v>
      </c>
      <c r="G2310" s="13">
        <v>4.5</v>
      </c>
      <c r="H2310" s="15">
        <v>54</v>
      </c>
      <c r="I2310" s="16">
        <v>243</v>
      </c>
      <c r="J2310" s="16">
        <v>161.07428571428571</v>
      </c>
      <c r="K2310" s="16">
        <v>81.925714285714292</v>
      </c>
      <c r="L2310" s="13">
        <v>10.82</v>
      </c>
      <c r="M2310" s="13"/>
      <c r="N2310" s="17">
        <f t="shared" si="77"/>
        <v>584.28</v>
      </c>
      <c r="O2310" s="17">
        <f t="shared" si="77"/>
        <v>0</v>
      </c>
      <c r="P2310" s="17">
        <f t="shared" si="78"/>
        <v>584.28</v>
      </c>
      <c r="Q2310" t="str">
        <f>A2310&amp;"-"&amp;B2310&amp;"-"&amp;D2310</f>
        <v>JUNI-CHW-L2</v>
      </c>
    </row>
    <row r="2311" spans="1:17" x14ac:dyDescent="0.25">
      <c r="A2311" t="s">
        <v>396</v>
      </c>
      <c r="B2311" s="13" t="s">
        <v>19</v>
      </c>
      <c r="C2311" s="13" t="s">
        <v>70</v>
      </c>
      <c r="D2311" s="14" t="s">
        <v>50</v>
      </c>
      <c r="E2311" s="13" t="s">
        <v>73</v>
      </c>
      <c r="F2311" s="13" t="s">
        <v>830</v>
      </c>
      <c r="G2311" s="13">
        <v>4.5</v>
      </c>
      <c r="H2311" s="15">
        <v>529</v>
      </c>
      <c r="I2311" s="16">
        <v>2380.5</v>
      </c>
      <c r="J2311" s="16">
        <v>1492.8367021276595</v>
      </c>
      <c r="K2311" s="16">
        <v>887.66329787234054</v>
      </c>
      <c r="L2311" s="13">
        <v>11.12</v>
      </c>
      <c r="M2311" s="13"/>
      <c r="N2311" s="17">
        <f t="shared" si="77"/>
        <v>5882.48</v>
      </c>
      <c r="O2311" s="17">
        <f t="shared" si="77"/>
        <v>0</v>
      </c>
      <c r="P2311" s="17">
        <f t="shared" si="78"/>
        <v>5882.48</v>
      </c>
      <c r="Q2311" t="str">
        <f>A2311&amp;"-"&amp;B2311&amp;"-"&amp;D2311</f>
        <v>JUNI-CHW-L2</v>
      </c>
    </row>
    <row r="2312" spans="1:17" x14ac:dyDescent="0.25">
      <c r="A2312" t="s">
        <v>396</v>
      </c>
      <c r="B2312" s="13" t="s">
        <v>19</v>
      </c>
      <c r="C2312" s="13" t="s">
        <v>70</v>
      </c>
      <c r="D2312" s="14" t="s">
        <v>56</v>
      </c>
      <c r="E2312" s="13" t="s">
        <v>71</v>
      </c>
      <c r="F2312" s="13" t="s">
        <v>1015</v>
      </c>
      <c r="G2312" s="13">
        <v>5</v>
      </c>
      <c r="H2312" s="15">
        <v>712</v>
      </c>
      <c r="I2312" s="16">
        <v>3560</v>
      </c>
      <c r="J2312" s="16">
        <v>2482.1182186234819</v>
      </c>
      <c r="K2312" s="16">
        <v>1077.8817813765181</v>
      </c>
      <c r="L2312" s="13">
        <v>12.74</v>
      </c>
      <c r="M2312" s="13"/>
      <c r="N2312" s="17">
        <f t="shared" si="77"/>
        <v>9070.880000000001</v>
      </c>
      <c r="O2312" s="17">
        <f t="shared" si="77"/>
        <v>0</v>
      </c>
      <c r="P2312" s="17">
        <f t="shared" si="78"/>
        <v>9070.880000000001</v>
      </c>
      <c r="Q2312" t="str">
        <f>A2312&amp;"-"&amp;B2312&amp;"-"&amp;D2312</f>
        <v>JUNI-CHW-L3</v>
      </c>
    </row>
    <row r="2313" spans="1:17" x14ac:dyDescent="0.25">
      <c r="A2313" t="s">
        <v>396</v>
      </c>
      <c r="B2313" s="13" t="s">
        <v>19</v>
      </c>
      <c r="C2313" s="13" t="s">
        <v>70</v>
      </c>
      <c r="D2313" s="14" t="s">
        <v>56</v>
      </c>
      <c r="E2313" s="13" t="s">
        <v>71</v>
      </c>
      <c r="F2313" s="13" t="s">
        <v>831</v>
      </c>
      <c r="G2313" s="13">
        <v>5</v>
      </c>
      <c r="H2313" s="15">
        <v>493</v>
      </c>
      <c r="I2313" s="16">
        <v>2465</v>
      </c>
      <c r="J2313" s="16">
        <v>2123.9562500581101</v>
      </c>
      <c r="K2313" s="16">
        <v>341.04374994188998</v>
      </c>
      <c r="L2313" s="13">
        <v>12.82</v>
      </c>
      <c r="M2313" s="13"/>
      <c r="N2313" s="17">
        <f t="shared" si="77"/>
        <v>6320.26</v>
      </c>
      <c r="O2313" s="17">
        <f t="shared" si="77"/>
        <v>0</v>
      </c>
      <c r="P2313" s="17">
        <f t="shared" si="78"/>
        <v>6320.26</v>
      </c>
      <c r="Q2313" t="str">
        <f>A2313&amp;"-"&amp;B2313&amp;"-"&amp;D2313</f>
        <v>JUNI-CHW-L3</v>
      </c>
    </row>
    <row r="2314" spans="1:17" x14ac:dyDescent="0.25">
      <c r="A2314" t="s">
        <v>396</v>
      </c>
      <c r="B2314" s="13" t="s">
        <v>19</v>
      </c>
      <c r="C2314" s="13" t="s">
        <v>70</v>
      </c>
      <c r="D2314" s="14" t="s">
        <v>56</v>
      </c>
      <c r="E2314" s="13" t="s">
        <v>71</v>
      </c>
      <c r="F2314" s="13" t="s">
        <v>832</v>
      </c>
      <c r="G2314" s="13">
        <v>4.8</v>
      </c>
      <c r="H2314" s="15">
        <v>4</v>
      </c>
      <c r="I2314" s="16">
        <v>19.2</v>
      </c>
      <c r="J2314" s="16">
        <v>21.112093210124549</v>
      </c>
      <c r="K2314" s="16">
        <v>-1.9120932101245467</v>
      </c>
      <c r="L2314" s="13">
        <v>10.81</v>
      </c>
      <c r="M2314" s="13"/>
      <c r="N2314" s="17">
        <f t="shared" si="77"/>
        <v>43.24</v>
      </c>
      <c r="O2314" s="17">
        <f t="shared" si="77"/>
        <v>0</v>
      </c>
      <c r="P2314" s="17">
        <f t="shared" si="78"/>
        <v>43.24</v>
      </c>
      <c r="Q2314" t="str">
        <f>A2314&amp;"-"&amp;B2314&amp;"-"&amp;D2314</f>
        <v>JUNI-CHW-L3</v>
      </c>
    </row>
    <row r="2315" spans="1:17" x14ac:dyDescent="0.25">
      <c r="A2315" t="s">
        <v>396</v>
      </c>
      <c r="B2315" s="13" t="s">
        <v>19</v>
      </c>
      <c r="C2315" s="13" t="s">
        <v>70</v>
      </c>
      <c r="D2315" s="14" t="s">
        <v>56</v>
      </c>
      <c r="E2315" s="13" t="s">
        <v>71</v>
      </c>
      <c r="F2315" s="13" t="s">
        <v>1016</v>
      </c>
      <c r="G2315" s="13">
        <v>5</v>
      </c>
      <c r="H2315" s="15">
        <v>102</v>
      </c>
      <c r="I2315" s="16">
        <v>510</v>
      </c>
      <c r="J2315" s="16">
        <v>635.323076923077</v>
      </c>
      <c r="K2315" s="16">
        <v>-125.32307692307691</v>
      </c>
      <c r="L2315" s="13">
        <v>11.13</v>
      </c>
      <c r="M2315" s="13"/>
      <c r="N2315" s="17">
        <f t="shared" si="77"/>
        <v>1135.26</v>
      </c>
      <c r="O2315" s="17">
        <f t="shared" si="77"/>
        <v>0</v>
      </c>
      <c r="P2315" s="17">
        <f t="shared" si="78"/>
        <v>1135.26</v>
      </c>
      <c r="Q2315" t="str">
        <f>A2315&amp;"-"&amp;B2315&amp;"-"&amp;D2315</f>
        <v>JUNI-CHW-L3</v>
      </c>
    </row>
    <row r="2316" spans="1:17" x14ac:dyDescent="0.25">
      <c r="A2316" t="s">
        <v>396</v>
      </c>
      <c r="B2316" s="13" t="s">
        <v>19</v>
      </c>
      <c r="C2316" s="13" t="s">
        <v>70</v>
      </c>
      <c r="D2316" s="14" t="s">
        <v>56</v>
      </c>
      <c r="E2316" s="13" t="s">
        <v>71</v>
      </c>
      <c r="F2316" s="13" t="s">
        <v>833</v>
      </c>
      <c r="G2316" s="13">
        <v>5</v>
      </c>
      <c r="H2316" s="15">
        <v>4</v>
      </c>
      <c r="I2316" s="16">
        <v>20</v>
      </c>
      <c r="J2316" s="16">
        <v>26.76923076923077</v>
      </c>
      <c r="K2316" s="16">
        <v>-6.7692307692307701</v>
      </c>
      <c r="L2316" s="13">
        <v>10.72</v>
      </c>
      <c r="M2316" s="13"/>
      <c r="N2316" s="17">
        <f t="shared" si="77"/>
        <v>42.88</v>
      </c>
      <c r="O2316" s="17">
        <f t="shared" si="77"/>
        <v>0</v>
      </c>
      <c r="P2316" s="17">
        <f t="shared" si="78"/>
        <v>42.88</v>
      </c>
      <c r="Q2316" t="str">
        <f>A2316&amp;"-"&amp;B2316&amp;"-"&amp;D2316</f>
        <v>JUNI-CHW-L3</v>
      </c>
    </row>
    <row r="2317" spans="1:17" x14ac:dyDescent="0.25">
      <c r="A2317" t="s">
        <v>396</v>
      </c>
      <c r="B2317" s="13" t="s">
        <v>19</v>
      </c>
      <c r="C2317" s="13" t="s">
        <v>70</v>
      </c>
      <c r="D2317" s="14" t="s">
        <v>56</v>
      </c>
      <c r="E2317" s="13" t="s">
        <v>71</v>
      </c>
      <c r="F2317" s="13" t="s">
        <v>1017</v>
      </c>
      <c r="G2317" s="13">
        <v>5</v>
      </c>
      <c r="H2317" s="15">
        <v>219</v>
      </c>
      <c r="I2317" s="16">
        <v>1095</v>
      </c>
      <c r="J2317" s="16">
        <v>1007.0097902097901</v>
      </c>
      <c r="K2317" s="16">
        <v>87.990209790209803</v>
      </c>
      <c r="L2317" s="13">
        <v>10.78</v>
      </c>
      <c r="M2317" s="13"/>
      <c r="N2317" s="17">
        <f t="shared" si="77"/>
        <v>2360.8199999999997</v>
      </c>
      <c r="O2317" s="17">
        <f t="shared" si="77"/>
        <v>0</v>
      </c>
      <c r="P2317" s="17">
        <f t="shared" si="78"/>
        <v>2360.8199999999997</v>
      </c>
      <c r="Q2317" t="str">
        <f>A2317&amp;"-"&amp;B2317&amp;"-"&amp;D2317</f>
        <v>JUNI-CHW-L3</v>
      </c>
    </row>
    <row r="2318" spans="1:17" x14ac:dyDescent="0.25">
      <c r="A2318" t="s">
        <v>396</v>
      </c>
      <c r="B2318" s="13" t="s">
        <v>19</v>
      </c>
      <c r="C2318" s="13" t="s">
        <v>70</v>
      </c>
      <c r="D2318" s="14" t="s">
        <v>56</v>
      </c>
      <c r="E2318" s="13" t="s">
        <v>71</v>
      </c>
      <c r="F2318" s="13" t="s">
        <v>1018</v>
      </c>
      <c r="G2318" s="13">
        <v>5</v>
      </c>
      <c r="H2318" s="15">
        <v>82</v>
      </c>
      <c r="I2318" s="16">
        <v>410</v>
      </c>
      <c r="J2318" s="16">
        <v>570.9375</v>
      </c>
      <c r="K2318" s="16">
        <v>-160.9375</v>
      </c>
      <c r="L2318" s="13">
        <v>11.62</v>
      </c>
      <c r="M2318" s="13"/>
      <c r="N2318" s="17">
        <f t="shared" si="77"/>
        <v>952.83999999999992</v>
      </c>
      <c r="O2318" s="17">
        <f t="shared" si="77"/>
        <v>0</v>
      </c>
      <c r="P2318" s="17">
        <f t="shared" si="78"/>
        <v>952.83999999999992</v>
      </c>
      <c r="Q2318" t="str">
        <f>A2318&amp;"-"&amp;B2318&amp;"-"&amp;D2318</f>
        <v>JUNI-CHW-L3</v>
      </c>
    </row>
    <row r="2319" spans="1:17" x14ac:dyDescent="0.25">
      <c r="A2319" t="s">
        <v>396</v>
      </c>
      <c r="B2319" s="13" t="s">
        <v>19</v>
      </c>
      <c r="C2319" s="13" t="s">
        <v>70</v>
      </c>
      <c r="D2319" s="14" t="s">
        <v>56</v>
      </c>
      <c r="E2319" s="13" t="s">
        <v>71</v>
      </c>
      <c r="F2319" s="13" t="s">
        <v>1019</v>
      </c>
      <c r="G2319" s="13">
        <v>5</v>
      </c>
      <c r="H2319" s="15">
        <v>202</v>
      </c>
      <c r="I2319" s="16">
        <v>1010</v>
      </c>
      <c r="J2319" s="16">
        <v>1533.7113402061855</v>
      </c>
      <c r="K2319" s="16">
        <v>-523.71134020618558</v>
      </c>
      <c r="L2319" s="13">
        <v>11.18</v>
      </c>
      <c r="M2319" s="13"/>
      <c r="N2319" s="17">
        <f t="shared" si="77"/>
        <v>2258.36</v>
      </c>
      <c r="O2319" s="17">
        <f t="shared" si="77"/>
        <v>0</v>
      </c>
      <c r="P2319" s="17">
        <f t="shared" si="78"/>
        <v>2258.36</v>
      </c>
      <c r="Q2319" t="str">
        <f>A2319&amp;"-"&amp;B2319&amp;"-"&amp;D2319</f>
        <v>JUNI-CHW-L3</v>
      </c>
    </row>
    <row r="2320" spans="1:17" x14ac:dyDescent="0.25">
      <c r="A2320" t="s">
        <v>396</v>
      </c>
      <c r="B2320" s="13" t="s">
        <v>19</v>
      </c>
      <c r="C2320" s="13" t="s">
        <v>70</v>
      </c>
      <c r="D2320" s="14" t="s">
        <v>56</v>
      </c>
      <c r="E2320" s="13" t="s">
        <v>71</v>
      </c>
      <c r="F2320" s="13" t="s">
        <v>1020</v>
      </c>
      <c r="G2320" s="13">
        <v>5</v>
      </c>
      <c r="H2320" s="15">
        <v>360</v>
      </c>
      <c r="I2320" s="16">
        <v>1800</v>
      </c>
      <c r="J2320" s="16">
        <v>2039.0625</v>
      </c>
      <c r="K2320" s="16">
        <v>-239.0625</v>
      </c>
      <c r="L2320" s="13">
        <v>11.98</v>
      </c>
      <c r="M2320" s="13"/>
      <c r="N2320" s="17">
        <f t="shared" si="77"/>
        <v>4312.8</v>
      </c>
      <c r="O2320" s="17">
        <f t="shared" si="77"/>
        <v>0</v>
      </c>
      <c r="P2320" s="17">
        <f t="shared" si="78"/>
        <v>4312.8</v>
      </c>
      <c r="Q2320" t="str">
        <f>A2320&amp;"-"&amp;B2320&amp;"-"&amp;D2320</f>
        <v>JUNI-CHW-L3</v>
      </c>
    </row>
    <row r="2321" spans="1:17" x14ac:dyDescent="0.25">
      <c r="A2321" t="s">
        <v>396</v>
      </c>
      <c r="B2321" s="13" t="s">
        <v>19</v>
      </c>
      <c r="C2321" s="13" t="s">
        <v>70</v>
      </c>
      <c r="D2321" s="14" t="s">
        <v>158</v>
      </c>
      <c r="E2321" s="13" t="s">
        <v>142</v>
      </c>
      <c r="F2321" s="13" t="s">
        <v>834</v>
      </c>
      <c r="G2321" s="13">
        <v>1.5</v>
      </c>
      <c r="H2321" s="15">
        <v>716</v>
      </c>
      <c r="I2321" s="16">
        <v>1074</v>
      </c>
      <c r="J2321" s="16">
        <v>1025.2465542308812</v>
      </c>
      <c r="K2321" s="16">
        <v>48.753445769118876</v>
      </c>
      <c r="L2321" s="13">
        <v>4.42</v>
      </c>
      <c r="M2321" s="13"/>
      <c r="N2321" s="17">
        <f t="shared" si="77"/>
        <v>3164.72</v>
      </c>
      <c r="O2321" s="17">
        <f t="shared" si="77"/>
        <v>0</v>
      </c>
      <c r="P2321" s="17">
        <f t="shared" si="78"/>
        <v>3164.72</v>
      </c>
      <c r="Q2321" t="str">
        <f>A2321&amp;"-"&amp;B2321&amp;"-"&amp;D2321</f>
        <v>JUNI-CHW-L4</v>
      </c>
    </row>
    <row r="2322" spans="1:17" x14ac:dyDescent="0.25">
      <c r="A2322" t="s">
        <v>396</v>
      </c>
      <c r="B2322" s="13" t="s">
        <v>19</v>
      </c>
      <c r="C2322" s="13" t="s">
        <v>70</v>
      </c>
      <c r="D2322" s="14" t="s">
        <v>158</v>
      </c>
      <c r="E2322" s="13" t="s">
        <v>142</v>
      </c>
      <c r="F2322" s="13" t="s">
        <v>1021</v>
      </c>
      <c r="G2322" s="13">
        <v>1.6499999999999997</v>
      </c>
      <c r="H2322" s="15">
        <v>4131</v>
      </c>
      <c r="I2322" s="16">
        <v>6816.15</v>
      </c>
      <c r="J2322" s="16">
        <v>7018.3264163311178</v>
      </c>
      <c r="K2322" s="16">
        <v>-202.17641633111714</v>
      </c>
      <c r="L2322" s="13">
        <v>5.88</v>
      </c>
      <c r="M2322" s="13"/>
      <c r="N2322" s="17">
        <f t="shared" si="77"/>
        <v>24290.28</v>
      </c>
      <c r="O2322" s="17">
        <f t="shared" si="77"/>
        <v>0</v>
      </c>
      <c r="P2322" s="17">
        <f t="shared" si="78"/>
        <v>24290.28</v>
      </c>
      <c r="Q2322" t="str">
        <f>A2322&amp;"-"&amp;B2322&amp;"-"&amp;D2322</f>
        <v>JUNI-CHW-L4</v>
      </c>
    </row>
    <row r="2323" spans="1:17" x14ac:dyDescent="0.25">
      <c r="A2323" t="s">
        <v>396</v>
      </c>
      <c r="B2323" s="13" t="s">
        <v>19</v>
      </c>
      <c r="C2323" s="13" t="s">
        <v>70</v>
      </c>
      <c r="D2323" s="14" t="s">
        <v>158</v>
      </c>
      <c r="E2323" s="13" t="s">
        <v>142</v>
      </c>
      <c r="F2323" s="13" t="s">
        <v>1022</v>
      </c>
      <c r="G2323" s="13">
        <v>1.5</v>
      </c>
      <c r="H2323" s="15">
        <v>1779</v>
      </c>
      <c r="I2323" s="16">
        <v>2668.5</v>
      </c>
      <c r="J2323" s="16">
        <v>2396.4270294380017</v>
      </c>
      <c r="K2323" s="16">
        <v>272.0729705619982</v>
      </c>
      <c r="L2323" s="13">
        <v>5.42</v>
      </c>
      <c r="M2323" s="13"/>
      <c r="N2323" s="17">
        <f t="shared" si="77"/>
        <v>9642.18</v>
      </c>
      <c r="O2323" s="17">
        <f t="shared" si="77"/>
        <v>0</v>
      </c>
      <c r="P2323" s="17">
        <f t="shared" si="78"/>
        <v>9642.18</v>
      </c>
      <c r="Q2323" t="str">
        <f>A2323&amp;"-"&amp;B2323&amp;"-"&amp;D2323</f>
        <v>JUNI-CHW-L4</v>
      </c>
    </row>
    <row r="2324" spans="1:17" x14ac:dyDescent="0.25">
      <c r="A2324" t="s">
        <v>396</v>
      </c>
      <c r="B2324" s="13" t="s">
        <v>20</v>
      </c>
      <c r="C2324" s="13" t="s">
        <v>286</v>
      </c>
      <c r="D2324" s="14" t="s">
        <v>56</v>
      </c>
      <c r="E2324" s="13" t="s">
        <v>71</v>
      </c>
      <c r="F2324" s="13" t="s">
        <v>1023</v>
      </c>
      <c r="G2324" s="13">
        <v>7.25</v>
      </c>
      <c r="H2324" s="15">
        <v>1274</v>
      </c>
      <c r="I2324" s="16">
        <v>9236.5</v>
      </c>
      <c r="J2324" s="16">
        <v>9042.9309090909101</v>
      </c>
      <c r="K2324" s="16">
        <v>193.56909090909087</v>
      </c>
      <c r="L2324" s="13"/>
      <c r="M2324" s="13">
        <v>7.25</v>
      </c>
      <c r="N2324" s="17">
        <f t="shared" si="77"/>
        <v>0</v>
      </c>
      <c r="O2324" s="17">
        <f t="shared" si="77"/>
        <v>9236.5</v>
      </c>
      <c r="P2324" s="17">
        <f t="shared" si="78"/>
        <v>9236.5</v>
      </c>
      <c r="Q2324" t="str">
        <f>A2324&amp;"-"&amp;B2324&amp;"-"&amp;D2324</f>
        <v>JUNI-CJL-L3</v>
      </c>
    </row>
    <row r="2325" spans="1:17" x14ac:dyDescent="0.25">
      <c r="A2325" t="s">
        <v>396</v>
      </c>
      <c r="B2325" s="13" t="s">
        <v>20</v>
      </c>
      <c r="C2325" s="13" t="s">
        <v>286</v>
      </c>
      <c r="D2325" s="14" t="s">
        <v>56</v>
      </c>
      <c r="E2325" s="13" t="s">
        <v>58</v>
      </c>
      <c r="F2325" s="13" t="s">
        <v>1024</v>
      </c>
      <c r="G2325" s="13">
        <v>8.65</v>
      </c>
      <c r="H2325" s="15">
        <v>1114</v>
      </c>
      <c r="I2325" s="16">
        <v>9636.1</v>
      </c>
      <c r="J2325" s="16">
        <v>5399.7155555555564</v>
      </c>
      <c r="K2325" s="16">
        <v>4236.3844444444439</v>
      </c>
      <c r="L2325" s="13"/>
      <c r="M2325" s="13">
        <v>8.65</v>
      </c>
      <c r="N2325" s="17">
        <f t="shared" si="77"/>
        <v>0</v>
      </c>
      <c r="O2325" s="17">
        <f t="shared" si="77"/>
        <v>9636.1</v>
      </c>
      <c r="P2325" s="17">
        <f t="shared" si="78"/>
        <v>9636.1</v>
      </c>
      <c r="Q2325" t="str">
        <f>A2325&amp;"-"&amp;B2325&amp;"-"&amp;D2325</f>
        <v>JUNI-CJL-L3</v>
      </c>
    </row>
    <row r="2326" spans="1:17" x14ac:dyDescent="0.25">
      <c r="A2326" t="s">
        <v>396</v>
      </c>
      <c r="B2326" s="13" t="s">
        <v>20</v>
      </c>
      <c r="C2326" s="13" t="s">
        <v>286</v>
      </c>
      <c r="D2326" s="14" t="s">
        <v>56</v>
      </c>
      <c r="E2326" s="13" t="s">
        <v>837</v>
      </c>
      <c r="F2326" s="13" t="s">
        <v>838</v>
      </c>
      <c r="G2326" s="13">
        <v>5.25</v>
      </c>
      <c r="H2326" s="15">
        <v>137</v>
      </c>
      <c r="I2326" s="16">
        <v>719.25</v>
      </c>
      <c r="J2326" s="16">
        <v>578.44444444444446</v>
      </c>
      <c r="K2326" s="16">
        <v>140.80555555555554</v>
      </c>
      <c r="L2326" s="13"/>
      <c r="M2326" s="13">
        <v>5.25</v>
      </c>
      <c r="N2326" s="17">
        <f t="shared" si="77"/>
        <v>0</v>
      </c>
      <c r="O2326" s="17">
        <f t="shared" si="77"/>
        <v>719.25</v>
      </c>
      <c r="P2326" s="17">
        <f t="shared" si="78"/>
        <v>719.25</v>
      </c>
      <c r="Q2326" t="str">
        <f>A2326&amp;"-"&amp;B2326&amp;"-"&amp;D2326</f>
        <v>JUNI-CJL-L3</v>
      </c>
    </row>
    <row r="2327" spans="1:17" x14ac:dyDescent="0.25">
      <c r="A2327" t="s">
        <v>396</v>
      </c>
      <c r="B2327" s="13" t="s">
        <v>20</v>
      </c>
      <c r="C2327" s="13" t="s">
        <v>286</v>
      </c>
      <c r="D2327" s="14" t="s">
        <v>56</v>
      </c>
      <c r="E2327" s="13" t="s">
        <v>837</v>
      </c>
      <c r="F2327" s="13" t="s">
        <v>1025</v>
      </c>
      <c r="G2327" s="13">
        <v>5.25</v>
      </c>
      <c r="H2327" s="15">
        <v>510</v>
      </c>
      <c r="I2327" s="16">
        <v>2677.5</v>
      </c>
      <c r="J2327" s="16">
        <v>2458.909090909091</v>
      </c>
      <c r="K2327" s="16">
        <v>218.59090909090912</v>
      </c>
      <c r="L2327" s="13"/>
      <c r="M2327" s="13">
        <v>5.25</v>
      </c>
      <c r="N2327" s="17">
        <f t="shared" si="77"/>
        <v>0</v>
      </c>
      <c r="O2327" s="17">
        <f t="shared" si="77"/>
        <v>2677.5</v>
      </c>
      <c r="P2327" s="17">
        <f t="shared" si="78"/>
        <v>2677.5</v>
      </c>
      <c r="Q2327" t="str">
        <f>A2327&amp;"-"&amp;B2327&amp;"-"&amp;D2327</f>
        <v>JUNI-CJL-L3</v>
      </c>
    </row>
    <row r="2328" spans="1:17" x14ac:dyDescent="0.25">
      <c r="A2328" t="s">
        <v>396</v>
      </c>
      <c r="B2328" s="13" t="s">
        <v>22</v>
      </c>
      <c r="C2328" s="13" t="s">
        <v>43</v>
      </c>
      <c r="D2328" s="14" t="s">
        <v>44</v>
      </c>
      <c r="E2328" s="13" t="s">
        <v>165</v>
      </c>
      <c r="F2328" s="13" t="s">
        <v>846</v>
      </c>
      <c r="G2328" s="13">
        <v>1.41</v>
      </c>
      <c r="H2328" s="15">
        <v>4221</v>
      </c>
      <c r="I2328" s="16">
        <v>5951.61</v>
      </c>
      <c r="J2328" s="16">
        <v>6166.6506888361037</v>
      </c>
      <c r="K2328" s="16">
        <v>-215.04068883610449</v>
      </c>
      <c r="L2328" s="13"/>
      <c r="M2328" s="13">
        <v>1.5</v>
      </c>
      <c r="N2328" s="17">
        <f t="shared" si="77"/>
        <v>0</v>
      </c>
      <c r="O2328" s="17">
        <f t="shared" si="77"/>
        <v>6331.5</v>
      </c>
      <c r="P2328" s="17">
        <f t="shared" si="78"/>
        <v>6331.5</v>
      </c>
      <c r="Q2328" t="str">
        <f>A2328&amp;"-"&amp;B2328&amp;"-"&amp;D2328</f>
        <v>JUNI-CNJ2-L1</v>
      </c>
    </row>
    <row r="2329" spans="1:17" x14ac:dyDescent="0.25">
      <c r="A2329" t="s">
        <v>396</v>
      </c>
      <c r="B2329" s="13" t="s">
        <v>22</v>
      </c>
      <c r="C2329" s="13" t="s">
        <v>43</v>
      </c>
      <c r="D2329" s="14" t="s">
        <v>44</v>
      </c>
      <c r="E2329" s="13" t="s">
        <v>165</v>
      </c>
      <c r="F2329" s="13" t="s">
        <v>1026</v>
      </c>
      <c r="G2329" s="13">
        <v>1.86</v>
      </c>
      <c r="H2329" s="15">
        <v>1984</v>
      </c>
      <c r="I2329" s="16">
        <v>3690.24</v>
      </c>
      <c r="J2329" s="16">
        <v>3432.4030611638959</v>
      </c>
      <c r="K2329" s="16">
        <v>257.83693883610454</v>
      </c>
      <c r="L2329" s="13"/>
      <c r="M2329" s="13">
        <v>1.95</v>
      </c>
      <c r="N2329" s="17">
        <f t="shared" si="77"/>
        <v>0</v>
      </c>
      <c r="O2329" s="17">
        <f t="shared" si="77"/>
        <v>3868.7999999999997</v>
      </c>
      <c r="P2329" s="17">
        <f t="shared" si="78"/>
        <v>3868.7999999999997</v>
      </c>
      <c r="Q2329" t="str">
        <f>A2329&amp;"-"&amp;B2329&amp;"-"&amp;D2329</f>
        <v>JUNI-CNJ2-L1</v>
      </c>
    </row>
    <row r="2330" spans="1:17" x14ac:dyDescent="0.25">
      <c r="A2330" t="s">
        <v>396</v>
      </c>
      <c r="B2330" s="13" t="s">
        <v>22</v>
      </c>
      <c r="C2330" s="13" t="s">
        <v>43</v>
      </c>
      <c r="D2330" s="14" t="s">
        <v>44</v>
      </c>
      <c r="E2330" s="13" t="s">
        <v>165</v>
      </c>
      <c r="F2330" s="13" t="s">
        <v>1027</v>
      </c>
      <c r="G2330" s="13">
        <v>1.86</v>
      </c>
      <c r="H2330" s="15">
        <v>570</v>
      </c>
      <c r="I2330" s="16">
        <v>1060.2</v>
      </c>
      <c r="J2330" s="16">
        <v>1008.2222222222222</v>
      </c>
      <c r="K2330" s="16">
        <v>51.977777777777817</v>
      </c>
      <c r="L2330" s="13"/>
      <c r="M2330" s="13">
        <v>1.95</v>
      </c>
      <c r="N2330" s="17">
        <f t="shared" si="77"/>
        <v>0</v>
      </c>
      <c r="O2330" s="17">
        <f t="shared" si="77"/>
        <v>1111.5</v>
      </c>
      <c r="P2330" s="17">
        <f t="shared" si="78"/>
        <v>1111.5</v>
      </c>
      <c r="Q2330" t="str">
        <f>A2330&amp;"-"&amp;B2330&amp;"-"&amp;D2330</f>
        <v>JUNI-CNJ2-L1</v>
      </c>
    </row>
    <row r="2331" spans="1:17" x14ac:dyDescent="0.25">
      <c r="A2331" t="s">
        <v>396</v>
      </c>
      <c r="B2331" s="13" t="s">
        <v>22</v>
      </c>
      <c r="C2331" s="13" t="s">
        <v>43</v>
      </c>
      <c r="D2331" s="14" t="s">
        <v>44</v>
      </c>
      <c r="E2331" s="13" t="s">
        <v>167</v>
      </c>
      <c r="F2331" s="13" t="s">
        <v>1028</v>
      </c>
      <c r="G2331" s="13">
        <v>1.9099999999999997</v>
      </c>
      <c r="H2331" s="15">
        <v>3200</v>
      </c>
      <c r="I2331" s="16">
        <v>6112.0000000000009</v>
      </c>
      <c r="J2331" s="16">
        <v>5347.0040277777771</v>
      </c>
      <c r="K2331" s="16">
        <v>764.99597222222224</v>
      </c>
      <c r="L2331" s="13"/>
      <c r="M2331" s="13">
        <v>2</v>
      </c>
      <c r="N2331" s="17">
        <f t="shared" si="77"/>
        <v>0</v>
      </c>
      <c r="O2331" s="17">
        <f t="shared" si="77"/>
        <v>6400</v>
      </c>
      <c r="P2331" s="17">
        <f t="shared" si="78"/>
        <v>6400</v>
      </c>
      <c r="Q2331" t="str">
        <f>A2331&amp;"-"&amp;B2331&amp;"-"&amp;D2331</f>
        <v>JUNI-CNJ2-L1</v>
      </c>
    </row>
    <row r="2332" spans="1:17" x14ac:dyDescent="0.25">
      <c r="A2332" t="s">
        <v>396</v>
      </c>
      <c r="B2332" s="13" t="s">
        <v>22</v>
      </c>
      <c r="C2332" s="13" t="s">
        <v>43</v>
      </c>
      <c r="D2332" s="14" t="s">
        <v>50</v>
      </c>
      <c r="E2332" s="13" t="s">
        <v>174</v>
      </c>
      <c r="F2332" s="13" t="s">
        <v>1029</v>
      </c>
      <c r="G2332" s="13">
        <v>0.28999999999999998</v>
      </c>
      <c r="H2332" s="15">
        <v>14648</v>
      </c>
      <c r="I2332" s="16">
        <v>4247.92</v>
      </c>
      <c r="J2332" s="16">
        <v>4579.5533333333333</v>
      </c>
      <c r="K2332" s="16">
        <v>-331.63333333333327</v>
      </c>
      <c r="L2332" s="13"/>
      <c r="M2332" s="13">
        <v>0.3</v>
      </c>
      <c r="N2332" s="17">
        <f t="shared" si="77"/>
        <v>0</v>
      </c>
      <c r="O2332" s="17">
        <f t="shared" si="77"/>
        <v>4394.3999999999996</v>
      </c>
      <c r="P2332" s="17">
        <f t="shared" si="78"/>
        <v>4394.3999999999996</v>
      </c>
      <c r="Q2332" t="str">
        <f>A2332&amp;"-"&amp;B2332&amp;"-"&amp;D2332</f>
        <v>JUNI-CNJ2-L2</v>
      </c>
    </row>
    <row r="2333" spans="1:17" x14ac:dyDescent="0.25">
      <c r="A2333" t="s">
        <v>396</v>
      </c>
      <c r="B2333" s="13" t="s">
        <v>22</v>
      </c>
      <c r="C2333" s="13" t="s">
        <v>43</v>
      </c>
      <c r="D2333" s="14" t="s">
        <v>50</v>
      </c>
      <c r="E2333" s="13" t="s">
        <v>550</v>
      </c>
      <c r="F2333" s="13" t="s">
        <v>848</v>
      </c>
      <c r="G2333" s="13">
        <v>0.37000000000000005</v>
      </c>
      <c r="H2333" s="15">
        <v>6824</v>
      </c>
      <c r="I2333" s="16">
        <v>2524.88</v>
      </c>
      <c r="J2333" s="16">
        <v>2619.6509888459886</v>
      </c>
      <c r="K2333" s="16">
        <v>-94.770988845988839</v>
      </c>
      <c r="L2333" s="13"/>
      <c r="M2333" s="13">
        <v>0.38</v>
      </c>
      <c r="N2333" s="17">
        <f t="shared" si="77"/>
        <v>0</v>
      </c>
      <c r="O2333" s="17">
        <f t="shared" si="77"/>
        <v>2593.12</v>
      </c>
      <c r="P2333" s="17">
        <f t="shared" si="78"/>
        <v>2593.12</v>
      </c>
      <c r="Q2333" t="str">
        <f>A2333&amp;"-"&amp;B2333&amp;"-"&amp;D2333</f>
        <v>JUNI-CNJ2-L2</v>
      </c>
    </row>
    <row r="2334" spans="1:17" x14ac:dyDescent="0.25">
      <c r="A2334" t="s">
        <v>396</v>
      </c>
      <c r="B2334" s="13" t="s">
        <v>22</v>
      </c>
      <c r="C2334" s="13" t="s">
        <v>43</v>
      </c>
      <c r="D2334" s="14" t="s">
        <v>50</v>
      </c>
      <c r="E2334" s="13" t="s">
        <v>550</v>
      </c>
      <c r="F2334" s="13" t="s">
        <v>1030</v>
      </c>
      <c r="G2334" s="13">
        <v>0.36999999999999994</v>
      </c>
      <c r="H2334" s="15">
        <v>1500</v>
      </c>
      <c r="I2334" s="16">
        <v>555</v>
      </c>
      <c r="J2334" s="16">
        <v>592.91222222222223</v>
      </c>
      <c r="K2334" s="16">
        <v>-37.912222222222198</v>
      </c>
      <c r="L2334" s="13"/>
      <c r="M2334" s="13">
        <v>0.38</v>
      </c>
      <c r="N2334" s="17">
        <f t="shared" si="77"/>
        <v>0</v>
      </c>
      <c r="O2334" s="17">
        <f t="shared" si="77"/>
        <v>570</v>
      </c>
      <c r="P2334" s="17">
        <f t="shared" si="78"/>
        <v>570</v>
      </c>
      <c r="Q2334" t="str">
        <f>A2334&amp;"-"&amp;B2334&amp;"-"&amp;D2334</f>
        <v>JUNI-CNJ2-L2</v>
      </c>
    </row>
    <row r="2335" spans="1:17" x14ac:dyDescent="0.25">
      <c r="A2335" t="s">
        <v>396</v>
      </c>
      <c r="B2335" s="13" t="s">
        <v>22</v>
      </c>
      <c r="C2335" s="13" t="s">
        <v>43</v>
      </c>
      <c r="D2335" s="14" t="s">
        <v>50</v>
      </c>
      <c r="E2335" s="13" t="s">
        <v>555</v>
      </c>
      <c r="F2335" s="13" t="s">
        <v>721</v>
      </c>
      <c r="G2335" s="13">
        <v>0.23</v>
      </c>
      <c r="H2335" s="15">
        <v>64</v>
      </c>
      <c r="I2335" s="16">
        <v>14.72</v>
      </c>
      <c r="J2335" s="16">
        <v>24.147027027027029</v>
      </c>
      <c r="K2335" s="16">
        <v>-9.4270270270270284</v>
      </c>
      <c r="L2335" s="13"/>
      <c r="M2335" s="13">
        <v>0.24</v>
      </c>
      <c r="N2335" s="17">
        <f t="shared" si="77"/>
        <v>0</v>
      </c>
      <c r="O2335" s="17">
        <f t="shared" si="77"/>
        <v>15.36</v>
      </c>
      <c r="P2335" s="17">
        <f t="shared" si="78"/>
        <v>15.36</v>
      </c>
      <c r="Q2335" t="str">
        <f>A2335&amp;"-"&amp;B2335&amp;"-"&amp;D2335</f>
        <v>JUNI-CNJ2-L2</v>
      </c>
    </row>
    <row r="2336" spans="1:17" x14ac:dyDescent="0.25">
      <c r="A2336" t="s">
        <v>396</v>
      </c>
      <c r="B2336" s="13" t="s">
        <v>22</v>
      </c>
      <c r="C2336" s="13" t="s">
        <v>43</v>
      </c>
      <c r="D2336" s="14" t="s">
        <v>50</v>
      </c>
      <c r="E2336" s="13" t="s">
        <v>177</v>
      </c>
      <c r="F2336" s="13" t="s">
        <v>849</v>
      </c>
      <c r="G2336" s="13">
        <v>0.24</v>
      </c>
      <c r="H2336" s="15">
        <v>419</v>
      </c>
      <c r="I2336" s="16">
        <v>100.56</v>
      </c>
      <c r="J2336" s="16">
        <v>160.89642857142857</v>
      </c>
      <c r="K2336" s="16">
        <v>-60.33642857142857</v>
      </c>
      <c r="L2336" s="13"/>
      <c r="M2336" s="13">
        <v>0.25</v>
      </c>
      <c r="N2336" s="17">
        <f t="shared" si="77"/>
        <v>0</v>
      </c>
      <c r="O2336" s="17">
        <f t="shared" si="77"/>
        <v>104.75</v>
      </c>
      <c r="P2336" s="17">
        <f t="shared" si="78"/>
        <v>104.75</v>
      </c>
      <c r="Q2336" t="str">
        <f>A2336&amp;"-"&amp;B2336&amp;"-"&amp;D2336</f>
        <v>JUNI-CNJ2-L2</v>
      </c>
    </row>
    <row r="2337" spans="1:17" x14ac:dyDescent="0.25">
      <c r="A2337" t="s">
        <v>396</v>
      </c>
      <c r="B2337" s="13" t="s">
        <v>22</v>
      </c>
      <c r="C2337" s="13" t="s">
        <v>43</v>
      </c>
      <c r="D2337" s="14" t="s">
        <v>56</v>
      </c>
      <c r="E2337" s="13" t="s">
        <v>165</v>
      </c>
      <c r="F2337" s="13" t="s">
        <v>850</v>
      </c>
      <c r="G2337" s="13">
        <v>1.8599999999999997</v>
      </c>
      <c r="H2337" s="15">
        <v>8875</v>
      </c>
      <c r="I2337" s="16">
        <v>16507.499999999996</v>
      </c>
      <c r="J2337" s="16">
        <v>15954.279999999999</v>
      </c>
      <c r="K2337" s="16">
        <v>553.21999999999957</v>
      </c>
      <c r="L2337" s="13"/>
      <c r="M2337" s="13">
        <v>1.95</v>
      </c>
      <c r="N2337" s="17">
        <f t="shared" si="77"/>
        <v>0</v>
      </c>
      <c r="O2337" s="17">
        <f t="shared" si="77"/>
        <v>17306.25</v>
      </c>
      <c r="P2337" s="17">
        <f t="shared" si="78"/>
        <v>17306.25</v>
      </c>
      <c r="Q2337" t="str">
        <f>A2337&amp;"-"&amp;B2337&amp;"-"&amp;D2337</f>
        <v>JUNI-CNJ2-L3</v>
      </c>
    </row>
    <row r="2338" spans="1:17" x14ac:dyDescent="0.25">
      <c r="A2338" t="s">
        <v>396</v>
      </c>
      <c r="B2338" s="13" t="s">
        <v>22</v>
      </c>
      <c r="C2338" s="13" t="s">
        <v>43</v>
      </c>
      <c r="D2338" s="14" t="s">
        <v>158</v>
      </c>
      <c r="E2338" s="13" t="s">
        <v>179</v>
      </c>
      <c r="F2338" s="13" t="s">
        <v>1031</v>
      </c>
      <c r="G2338" s="13">
        <v>1.54</v>
      </c>
      <c r="H2338" s="15">
        <v>1040</v>
      </c>
      <c r="I2338" s="16">
        <v>1601.6</v>
      </c>
      <c r="J2338" s="16">
        <v>1996.0659714990409</v>
      </c>
      <c r="K2338" s="16">
        <v>-394.4659714990409</v>
      </c>
      <c r="L2338" s="13"/>
      <c r="M2338" s="13">
        <v>1.65</v>
      </c>
      <c r="N2338" s="17">
        <f t="shared" si="77"/>
        <v>0</v>
      </c>
      <c r="O2338" s="17">
        <f t="shared" si="77"/>
        <v>1716</v>
      </c>
      <c r="P2338" s="17">
        <f t="shared" si="78"/>
        <v>1716</v>
      </c>
      <c r="Q2338" t="str">
        <f>A2338&amp;"-"&amp;B2338&amp;"-"&amp;D2338</f>
        <v>JUNI-CNJ2-L4</v>
      </c>
    </row>
    <row r="2339" spans="1:17" x14ac:dyDescent="0.25">
      <c r="A2339" t="s">
        <v>396</v>
      </c>
      <c r="B2339" s="13" t="s">
        <v>22</v>
      </c>
      <c r="C2339" s="13" t="s">
        <v>43</v>
      </c>
      <c r="D2339" s="14" t="s">
        <v>158</v>
      </c>
      <c r="E2339" s="13" t="s">
        <v>179</v>
      </c>
      <c r="F2339" s="13" t="s">
        <v>1032</v>
      </c>
      <c r="G2339" s="13">
        <v>1.54</v>
      </c>
      <c r="H2339" s="15">
        <v>1251</v>
      </c>
      <c r="I2339" s="16">
        <v>1926.54</v>
      </c>
      <c r="J2339" s="16">
        <v>2129.7512195121953</v>
      </c>
      <c r="K2339" s="16">
        <v>-203.21121951219519</v>
      </c>
      <c r="L2339" s="13"/>
      <c r="M2339" s="13">
        <v>1.65</v>
      </c>
      <c r="N2339" s="17">
        <f t="shared" si="77"/>
        <v>0</v>
      </c>
      <c r="O2339" s="17">
        <f t="shared" si="77"/>
        <v>2064.15</v>
      </c>
      <c r="P2339" s="17">
        <f t="shared" si="78"/>
        <v>2064.15</v>
      </c>
      <c r="Q2339" t="str">
        <f>A2339&amp;"-"&amp;B2339&amp;"-"&amp;D2339</f>
        <v>JUNI-CNJ2-L4</v>
      </c>
    </row>
    <row r="2340" spans="1:17" x14ac:dyDescent="0.25">
      <c r="A2340" t="s">
        <v>396</v>
      </c>
      <c r="B2340" s="13" t="s">
        <v>22</v>
      </c>
      <c r="C2340" s="13" t="s">
        <v>43</v>
      </c>
      <c r="D2340" s="14" t="s">
        <v>158</v>
      </c>
      <c r="E2340" s="13" t="s">
        <v>179</v>
      </c>
      <c r="F2340" s="13" t="s">
        <v>852</v>
      </c>
      <c r="G2340" s="13">
        <v>1.5400000000000003</v>
      </c>
      <c r="H2340" s="15">
        <v>1867</v>
      </c>
      <c r="I2340" s="16">
        <v>2875.18</v>
      </c>
      <c r="J2340" s="16">
        <v>4331.5871428571427</v>
      </c>
      <c r="K2340" s="16">
        <v>-1456.4071428571428</v>
      </c>
      <c r="L2340" s="13"/>
      <c r="M2340" s="13">
        <v>1.65</v>
      </c>
      <c r="N2340" s="17">
        <f t="shared" si="77"/>
        <v>0</v>
      </c>
      <c r="O2340" s="17">
        <f t="shared" si="77"/>
        <v>3080.5499999999997</v>
      </c>
      <c r="P2340" s="17">
        <f t="shared" si="78"/>
        <v>3080.5499999999997</v>
      </c>
      <c r="Q2340" t="str">
        <f>A2340&amp;"-"&amp;B2340&amp;"-"&amp;D2340</f>
        <v>JUNI-CNJ2-L4</v>
      </c>
    </row>
    <row r="2341" spans="1:17" x14ac:dyDescent="0.25">
      <c r="A2341" t="s">
        <v>396</v>
      </c>
      <c r="B2341" s="13" t="s">
        <v>22</v>
      </c>
      <c r="C2341" s="13" t="s">
        <v>43</v>
      </c>
      <c r="D2341" s="14" t="s">
        <v>158</v>
      </c>
      <c r="E2341" s="13" t="s">
        <v>179</v>
      </c>
      <c r="F2341" s="13" t="s">
        <v>1033</v>
      </c>
      <c r="G2341" s="13">
        <v>1.5399999999999998</v>
      </c>
      <c r="H2341" s="15">
        <v>3584</v>
      </c>
      <c r="I2341" s="16">
        <v>5519.36</v>
      </c>
      <c r="J2341" s="16">
        <v>7496.8756661316202</v>
      </c>
      <c r="K2341" s="16">
        <v>-1977.5156661316209</v>
      </c>
      <c r="L2341" s="13"/>
      <c r="M2341" s="13">
        <v>1.65</v>
      </c>
      <c r="N2341" s="17">
        <f t="shared" si="77"/>
        <v>0</v>
      </c>
      <c r="O2341" s="17">
        <f t="shared" si="77"/>
        <v>5913.5999999999995</v>
      </c>
      <c r="P2341" s="17">
        <f t="shared" si="78"/>
        <v>5913.5999999999995</v>
      </c>
      <c r="Q2341" t="str">
        <f>A2341&amp;"-"&amp;B2341&amp;"-"&amp;D2341</f>
        <v>JUNI-CNJ2-L4</v>
      </c>
    </row>
    <row r="2342" spans="1:17" x14ac:dyDescent="0.25">
      <c r="A2342" t="s">
        <v>396</v>
      </c>
      <c r="B2342" s="13" t="s">
        <v>22</v>
      </c>
      <c r="C2342" s="13" t="s">
        <v>43</v>
      </c>
      <c r="D2342" s="14" t="s">
        <v>160</v>
      </c>
      <c r="E2342" s="13" t="s">
        <v>179</v>
      </c>
      <c r="F2342" s="13" t="s">
        <v>854</v>
      </c>
      <c r="G2342" s="13">
        <v>1.54</v>
      </c>
      <c r="H2342" s="15">
        <v>1060</v>
      </c>
      <c r="I2342" s="16">
        <v>1632.3999999999999</v>
      </c>
      <c r="J2342" s="16">
        <v>2712.6703174603172</v>
      </c>
      <c r="K2342" s="16">
        <v>-1080.2703174603175</v>
      </c>
      <c r="L2342" s="13"/>
      <c r="M2342" s="13">
        <v>1.65</v>
      </c>
      <c r="N2342" s="17">
        <f t="shared" ref="N2342:O2402" si="79">$H2342*L2342</f>
        <v>0</v>
      </c>
      <c r="O2342" s="17">
        <f t="shared" si="79"/>
        <v>1749</v>
      </c>
      <c r="P2342" s="17">
        <f t="shared" si="78"/>
        <v>1749</v>
      </c>
      <c r="Q2342" t="str">
        <f>A2342&amp;"-"&amp;B2342&amp;"-"&amp;D2342</f>
        <v>JUNI-CNJ2-L5</v>
      </c>
    </row>
    <row r="2343" spans="1:17" x14ac:dyDescent="0.25">
      <c r="A2343" t="s">
        <v>396</v>
      </c>
      <c r="B2343" s="13" t="s">
        <v>22</v>
      </c>
      <c r="C2343" s="13" t="s">
        <v>43</v>
      </c>
      <c r="D2343" s="14" t="s">
        <v>160</v>
      </c>
      <c r="E2343" s="13" t="s">
        <v>179</v>
      </c>
      <c r="F2343" s="13" t="s">
        <v>1034</v>
      </c>
      <c r="G2343" s="13">
        <v>1.54</v>
      </c>
      <c r="H2343" s="15">
        <v>1396</v>
      </c>
      <c r="I2343" s="16">
        <v>2149.84</v>
      </c>
      <c r="J2343" s="16">
        <v>3568.9944444444445</v>
      </c>
      <c r="K2343" s="16">
        <v>-1419.1544444444446</v>
      </c>
      <c r="L2343" s="13"/>
      <c r="M2343" s="13">
        <v>1.65</v>
      </c>
      <c r="N2343" s="17">
        <f t="shared" si="79"/>
        <v>0</v>
      </c>
      <c r="O2343" s="17">
        <f t="shared" si="79"/>
        <v>2303.4</v>
      </c>
      <c r="P2343" s="17">
        <f t="shared" si="78"/>
        <v>2303.4</v>
      </c>
      <c r="Q2343" t="str">
        <f>A2343&amp;"-"&amp;B2343&amp;"-"&amp;D2343</f>
        <v>JUNI-CNJ2-L5</v>
      </c>
    </row>
    <row r="2344" spans="1:17" x14ac:dyDescent="0.25">
      <c r="A2344" t="s">
        <v>396</v>
      </c>
      <c r="B2344" s="13" t="s">
        <v>22</v>
      </c>
      <c r="C2344" s="13" t="s">
        <v>43</v>
      </c>
      <c r="D2344" s="14" t="s">
        <v>160</v>
      </c>
      <c r="E2344" s="13" t="s">
        <v>179</v>
      </c>
      <c r="F2344" s="13" t="s">
        <v>853</v>
      </c>
      <c r="G2344" s="13">
        <v>1.54</v>
      </c>
      <c r="H2344" s="15">
        <v>1317</v>
      </c>
      <c r="I2344" s="16">
        <v>2028.1799999999998</v>
      </c>
      <c r="J2344" s="16">
        <v>3434.1585714285711</v>
      </c>
      <c r="K2344" s="16">
        <v>-1405.9785714285713</v>
      </c>
      <c r="L2344" s="13"/>
      <c r="M2344" s="13">
        <v>1.65</v>
      </c>
      <c r="N2344" s="17">
        <f t="shared" si="79"/>
        <v>0</v>
      </c>
      <c r="O2344" s="17">
        <f t="shared" si="79"/>
        <v>2173.0499999999997</v>
      </c>
      <c r="P2344" s="17">
        <f t="shared" si="78"/>
        <v>2173.0499999999997</v>
      </c>
      <c r="Q2344" t="str">
        <f>A2344&amp;"-"&amp;B2344&amp;"-"&amp;D2344</f>
        <v>JUNI-CNJ2-L5</v>
      </c>
    </row>
    <row r="2345" spans="1:17" x14ac:dyDescent="0.25">
      <c r="A2345" t="s">
        <v>396</v>
      </c>
      <c r="B2345" s="13" t="s">
        <v>22</v>
      </c>
      <c r="C2345" s="13" t="s">
        <v>43</v>
      </c>
      <c r="D2345" s="14" t="s">
        <v>160</v>
      </c>
      <c r="E2345" s="13" t="s">
        <v>179</v>
      </c>
      <c r="F2345" s="13" t="s">
        <v>1035</v>
      </c>
      <c r="G2345" s="13">
        <v>1.5399999999999998</v>
      </c>
      <c r="H2345" s="15">
        <v>2987</v>
      </c>
      <c r="I2345" s="16">
        <v>4599.9800000000005</v>
      </c>
      <c r="J2345" s="16">
        <v>6238.4566666666669</v>
      </c>
      <c r="K2345" s="16">
        <v>-1638.4766666666665</v>
      </c>
      <c r="L2345" s="13"/>
      <c r="M2345" s="13">
        <v>1.65</v>
      </c>
      <c r="N2345" s="17">
        <f t="shared" si="79"/>
        <v>0</v>
      </c>
      <c r="O2345" s="17">
        <f t="shared" si="79"/>
        <v>4928.55</v>
      </c>
      <c r="P2345" s="17">
        <f t="shared" si="78"/>
        <v>4928.55</v>
      </c>
      <c r="Q2345" t="str">
        <f>A2345&amp;"-"&amp;B2345&amp;"-"&amp;D2345</f>
        <v>JUNI-CNJ2-L5</v>
      </c>
    </row>
    <row r="2346" spans="1:17" x14ac:dyDescent="0.25">
      <c r="A2346" t="s">
        <v>396</v>
      </c>
      <c r="B2346" s="13" t="s">
        <v>22</v>
      </c>
      <c r="C2346" s="13" t="s">
        <v>43</v>
      </c>
      <c r="D2346" s="14" t="s">
        <v>163</v>
      </c>
      <c r="E2346" s="13" t="s">
        <v>358</v>
      </c>
      <c r="F2346" s="13" t="s">
        <v>1036</v>
      </c>
      <c r="G2346" s="13">
        <v>1.49</v>
      </c>
      <c r="H2346" s="15">
        <v>2292</v>
      </c>
      <c r="I2346" s="16">
        <v>3415.08</v>
      </c>
      <c r="J2346" s="16">
        <v>3665.9388888888893</v>
      </c>
      <c r="K2346" s="16">
        <v>-250.85888888888891</v>
      </c>
      <c r="L2346" s="13"/>
      <c r="M2346" s="13">
        <v>1.6</v>
      </c>
      <c r="N2346" s="17">
        <f t="shared" si="79"/>
        <v>0</v>
      </c>
      <c r="O2346" s="17">
        <f t="shared" si="79"/>
        <v>3667.2000000000003</v>
      </c>
      <c r="P2346" s="17">
        <f t="shared" si="78"/>
        <v>3667.2000000000003</v>
      </c>
      <c r="Q2346" t="str">
        <f>A2346&amp;"-"&amp;B2346&amp;"-"&amp;D2346</f>
        <v>JUNI-CNJ2-L6</v>
      </c>
    </row>
    <row r="2347" spans="1:17" x14ac:dyDescent="0.25">
      <c r="A2347" t="s">
        <v>396</v>
      </c>
      <c r="B2347" s="13" t="s">
        <v>22</v>
      </c>
      <c r="C2347" s="13" t="s">
        <v>43</v>
      </c>
      <c r="D2347" s="14" t="s">
        <v>163</v>
      </c>
      <c r="E2347" s="13" t="s">
        <v>358</v>
      </c>
      <c r="F2347" s="13" t="s">
        <v>1037</v>
      </c>
      <c r="G2347" s="13">
        <v>1.49</v>
      </c>
      <c r="H2347" s="15">
        <v>1093</v>
      </c>
      <c r="I2347" s="16">
        <v>1628.57</v>
      </c>
      <c r="J2347" s="16">
        <v>1703.1905050505052</v>
      </c>
      <c r="K2347" s="16">
        <v>-74.62050505050513</v>
      </c>
      <c r="L2347" s="13"/>
      <c r="M2347" s="13">
        <v>1.6</v>
      </c>
      <c r="N2347" s="17">
        <f t="shared" si="79"/>
        <v>0</v>
      </c>
      <c r="O2347" s="17">
        <f t="shared" si="79"/>
        <v>1748.8000000000002</v>
      </c>
      <c r="P2347" s="17">
        <f t="shared" si="78"/>
        <v>1748.8000000000002</v>
      </c>
      <c r="Q2347" t="str">
        <f>A2347&amp;"-"&amp;B2347&amp;"-"&amp;D2347</f>
        <v>JUNI-CNJ2-L6</v>
      </c>
    </row>
    <row r="2348" spans="1:17" x14ac:dyDescent="0.25">
      <c r="A2348" t="s">
        <v>396</v>
      </c>
      <c r="B2348" s="13" t="s">
        <v>22</v>
      </c>
      <c r="C2348" s="13" t="s">
        <v>43</v>
      </c>
      <c r="D2348" s="14" t="s">
        <v>163</v>
      </c>
      <c r="E2348" s="13" t="s">
        <v>358</v>
      </c>
      <c r="F2348" s="13" t="s">
        <v>1038</v>
      </c>
      <c r="G2348" s="13">
        <v>1.49</v>
      </c>
      <c r="H2348" s="15">
        <v>2985</v>
      </c>
      <c r="I2348" s="16">
        <v>4447.6499999999996</v>
      </c>
      <c r="J2348" s="16">
        <v>4966.4333333333334</v>
      </c>
      <c r="K2348" s="16">
        <v>-518.7833333333333</v>
      </c>
      <c r="L2348" s="13"/>
      <c r="M2348" s="13">
        <v>1.6</v>
      </c>
      <c r="N2348" s="17">
        <f t="shared" si="79"/>
        <v>0</v>
      </c>
      <c r="O2348" s="17">
        <f t="shared" si="79"/>
        <v>4776</v>
      </c>
      <c r="P2348" s="17">
        <f t="shared" si="78"/>
        <v>4776</v>
      </c>
      <c r="Q2348" t="str">
        <f>A2348&amp;"-"&amp;B2348&amp;"-"&amp;D2348</f>
        <v>JUNI-CNJ2-L6</v>
      </c>
    </row>
    <row r="2349" spans="1:17" x14ac:dyDescent="0.25">
      <c r="A2349" t="s">
        <v>396</v>
      </c>
      <c r="B2349" s="13" t="s">
        <v>22</v>
      </c>
      <c r="C2349" s="13" t="s">
        <v>43</v>
      </c>
      <c r="D2349" s="14" t="s">
        <v>163</v>
      </c>
      <c r="E2349" s="13" t="s">
        <v>358</v>
      </c>
      <c r="F2349" s="13" t="s">
        <v>1039</v>
      </c>
      <c r="G2349" s="13">
        <v>1.49</v>
      </c>
      <c r="H2349" s="15">
        <v>925</v>
      </c>
      <c r="I2349" s="16">
        <v>1378.25</v>
      </c>
      <c r="J2349" s="16">
        <v>1054.5869565217392</v>
      </c>
      <c r="K2349" s="16">
        <v>323.66304347826082</v>
      </c>
      <c r="L2349" s="13"/>
      <c r="M2349" s="13">
        <v>1.6</v>
      </c>
      <c r="N2349" s="17">
        <f t="shared" si="79"/>
        <v>0</v>
      </c>
      <c r="O2349" s="17">
        <f t="shared" si="79"/>
        <v>1480</v>
      </c>
      <c r="P2349" s="17">
        <f t="shared" si="78"/>
        <v>1480</v>
      </c>
      <c r="Q2349" t="str">
        <f>A2349&amp;"-"&amp;B2349&amp;"-"&amp;D2349</f>
        <v>JUNI-CNJ2-L6</v>
      </c>
    </row>
    <row r="2350" spans="1:17" x14ac:dyDescent="0.25">
      <c r="A2350" t="s">
        <v>396</v>
      </c>
      <c r="B2350" s="13" t="s">
        <v>22</v>
      </c>
      <c r="C2350" s="13" t="s">
        <v>43</v>
      </c>
      <c r="D2350" s="14" t="s">
        <v>163</v>
      </c>
      <c r="E2350" s="13" t="s">
        <v>358</v>
      </c>
      <c r="F2350" s="13" t="s">
        <v>1040</v>
      </c>
      <c r="G2350" s="13">
        <v>1.49</v>
      </c>
      <c r="H2350" s="15">
        <v>2308</v>
      </c>
      <c r="I2350" s="16">
        <v>3438.9200000000005</v>
      </c>
      <c r="J2350" s="16">
        <v>3287.397272727273</v>
      </c>
      <c r="K2350" s="16">
        <v>151.5227272727272</v>
      </c>
      <c r="L2350" s="13"/>
      <c r="M2350" s="13">
        <v>1.6</v>
      </c>
      <c r="N2350" s="17">
        <f t="shared" si="79"/>
        <v>0</v>
      </c>
      <c r="O2350" s="17">
        <f t="shared" si="79"/>
        <v>3692.8</v>
      </c>
      <c r="P2350" s="17">
        <f t="shared" si="78"/>
        <v>3692.8</v>
      </c>
      <c r="Q2350" t="str">
        <f>A2350&amp;"-"&amp;B2350&amp;"-"&amp;D2350</f>
        <v>JUNI-CNJ2-L6</v>
      </c>
    </row>
    <row r="2351" spans="1:17" x14ac:dyDescent="0.25">
      <c r="A2351" t="s">
        <v>396</v>
      </c>
      <c r="B2351" s="13" t="s">
        <v>22</v>
      </c>
      <c r="C2351" s="13" t="s">
        <v>43</v>
      </c>
      <c r="D2351" s="14" t="s">
        <v>163</v>
      </c>
      <c r="E2351" s="13" t="s">
        <v>58</v>
      </c>
      <c r="F2351" s="13" t="s">
        <v>1041</v>
      </c>
      <c r="G2351" s="13">
        <v>1.49</v>
      </c>
      <c r="H2351" s="15">
        <v>455</v>
      </c>
      <c r="I2351" s="16">
        <v>677.95</v>
      </c>
      <c r="J2351" s="16">
        <v>690.41304347826087</v>
      </c>
      <c r="K2351" s="16">
        <v>-12.463043478260829</v>
      </c>
      <c r="L2351" s="13"/>
      <c r="M2351" s="13">
        <v>1.6</v>
      </c>
      <c r="N2351" s="17">
        <f t="shared" si="79"/>
        <v>0</v>
      </c>
      <c r="O2351" s="17">
        <f t="shared" si="79"/>
        <v>728</v>
      </c>
      <c r="P2351" s="17">
        <f t="shared" si="78"/>
        <v>728</v>
      </c>
      <c r="Q2351" t="str">
        <f>A2351&amp;"-"&amp;B2351&amp;"-"&amp;D2351</f>
        <v>JUNI-CNJ2-L6</v>
      </c>
    </row>
    <row r="2352" spans="1:17" x14ac:dyDescent="0.25">
      <c r="A2352" t="s">
        <v>396</v>
      </c>
      <c r="B2352" s="13" t="s">
        <v>22</v>
      </c>
      <c r="C2352" s="13" t="s">
        <v>43</v>
      </c>
      <c r="D2352" s="14" t="s">
        <v>163</v>
      </c>
      <c r="E2352" s="13" t="s">
        <v>179</v>
      </c>
      <c r="F2352" s="13" t="s">
        <v>854</v>
      </c>
      <c r="G2352" s="13">
        <v>1.49</v>
      </c>
      <c r="H2352" s="15">
        <v>252</v>
      </c>
      <c r="I2352" s="16">
        <v>375.48</v>
      </c>
      <c r="J2352" s="16">
        <v>586.31999999999994</v>
      </c>
      <c r="K2352" s="16">
        <v>-210.83999999999992</v>
      </c>
      <c r="L2352" s="13"/>
      <c r="M2352" s="13">
        <v>1.6</v>
      </c>
      <c r="N2352" s="17">
        <f t="shared" si="79"/>
        <v>0</v>
      </c>
      <c r="O2352" s="17">
        <f t="shared" si="79"/>
        <v>403.20000000000005</v>
      </c>
      <c r="P2352" s="17">
        <f t="shared" si="78"/>
        <v>403.20000000000005</v>
      </c>
      <c r="Q2352" t="str">
        <f>A2352&amp;"-"&amp;B2352&amp;"-"&amp;D2352</f>
        <v>JUNI-CNJ2-L6</v>
      </c>
    </row>
    <row r="2353" spans="1:17" x14ac:dyDescent="0.25">
      <c r="A2353" t="s">
        <v>396</v>
      </c>
      <c r="B2353" s="13" t="s">
        <v>22</v>
      </c>
      <c r="C2353" s="13" t="s">
        <v>43</v>
      </c>
      <c r="D2353" s="14" t="s">
        <v>164</v>
      </c>
      <c r="E2353" s="13" t="s">
        <v>358</v>
      </c>
      <c r="F2353" s="13" t="s">
        <v>855</v>
      </c>
      <c r="G2353" s="13">
        <v>1.4899999999999993</v>
      </c>
      <c r="H2353" s="15">
        <v>5345</v>
      </c>
      <c r="I2353" s="16">
        <v>7964.0499999999993</v>
      </c>
      <c r="J2353" s="16">
        <v>14209.279999999999</v>
      </c>
      <c r="K2353" s="16">
        <v>-6245.2300000000014</v>
      </c>
      <c r="L2353" s="13"/>
      <c r="M2353" s="13">
        <v>1.6</v>
      </c>
      <c r="N2353" s="17">
        <f t="shared" si="79"/>
        <v>0</v>
      </c>
      <c r="O2353" s="17">
        <f t="shared" si="79"/>
        <v>8552</v>
      </c>
      <c r="P2353" s="17">
        <f t="shared" si="78"/>
        <v>8552</v>
      </c>
      <c r="Q2353" t="str">
        <f>A2353&amp;"-"&amp;B2353&amp;"-"&amp;D2353</f>
        <v>JUNI-CNJ2-L7</v>
      </c>
    </row>
    <row r="2354" spans="1:17" x14ac:dyDescent="0.25">
      <c r="A2354" t="s">
        <v>396</v>
      </c>
      <c r="B2354" s="13" t="s">
        <v>22</v>
      </c>
      <c r="C2354" s="13" t="s">
        <v>43</v>
      </c>
      <c r="D2354" s="14" t="s">
        <v>164</v>
      </c>
      <c r="E2354" s="13" t="s">
        <v>58</v>
      </c>
      <c r="F2354" s="13" t="s">
        <v>1042</v>
      </c>
      <c r="G2354" s="13">
        <v>1.49</v>
      </c>
      <c r="H2354" s="15">
        <v>960</v>
      </c>
      <c r="I2354" s="16">
        <v>1430.4</v>
      </c>
      <c r="J2354" s="16">
        <v>1745</v>
      </c>
      <c r="K2354" s="16">
        <v>-314.59999999999997</v>
      </c>
      <c r="L2354" s="13"/>
      <c r="M2354" s="13">
        <v>1.6</v>
      </c>
      <c r="N2354" s="17">
        <f t="shared" si="79"/>
        <v>0</v>
      </c>
      <c r="O2354" s="17">
        <f t="shared" si="79"/>
        <v>1536</v>
      </c>
      <c r="P2354" s="17">
        <f t="shared" si="78"/>
        <v>1536</v>
      </c>
      <c r="Q2354" t="str">
        <f>A2354&amp;"-"&amp;B2354&amp;"-"&amp;D2354</f>
        <v>JUNI-CNJ2-L7</v>
      </c>
    </row>
    <row r="2355" spans="1:17" x14ac:dyDescent="0.25">
      <c r="A2355" t="s">
        <v>396</v>
      </c>
      <c r="B2355" s="13" t="s">
        <v>23</v>
      </c>
      <c r="C2355" s="13" t="s">
        <v>1043</v>
      </c>
      <c r="D2355" s="14" t="s">
        <v>56</v>
      </c>
      <c r="E2355" s="13" t="s">
        <v>534</v>
      </c>
      <c r="F2355" s="13" t="s">
        <v>1044</v>
      </c>
      <c r="G2355" s="13">
        <v>0.8</v>
      </c>
      <c r="H2355" s="15">
        <v>314</v>
      </c>
      <c r="I2355" s="16">
        <v>251.2</v>
      </c>
      <c r="J2355" s="16">
        <v>1006.4459524574365</v>
      </c>
      <c r="K2355" s="16">
        <v>-755.2459524574366</v>
      </c>
      <c r="L2355" s="13"/>
      <c r="M2355" s="13">
        <v>0.8</v>
      </c>
      <c r="N2355" s="17">
        <f t="shared" si="79"/>
        <v>0</v>
      </c>
      <c r="O2355" s="17">
        <f t="shared" si="79"/>
        <v>251.20000000000002</v>
      </c>
      <c r="P2355" s="17">
        <f t="shared" si="78"/>
        <v>251.20000000000002</v>
      </c>
      <c r="Q2355" t="str">
        <f>A2355&amp;"-"&amp;B2355&amp;"-"&amp;D2355</f>
        <v>JUNI-CVA-L3</v>
      </c>
    </row>
    <row r="2356" spans="1:17" x14ac:dyDescent="0.25">
      <c r="A2356" t="s">
        <v>396</v>
      </c>
      <c r="B2356" s="13" t="s">
        <v>23</v>
      </c>
      <c r="C2356" s="13" t="s">
        <v>1043</v>
      </c>
      <c r="D2356" s="14" t="s">
        <v>56</v>
      </c>
      <c r="E2356" s="13" t="s">
        <v>534</v>
      </c>
      <c r="F2356" s="13" t="s">
        <v>1045</v>
      </c>
      <c r="G2356" s="13">
        <v>0.8</v>
      </c>
      <c r="H2356" s="15">
        <v>11</v>
      </c>
      <c r="I2356" s="16">
        <v>8.8000000000000007</v>
      </c>
      <c r="J2356" s="16">
        <v>97.872229360745266</v>
      </c>
      <c r="K2356" s="16">
        <v>-89.072229360745268</v>
      </c>
      <c r="L2356" s="13"/>
      <c r="M2356" s="13">
        <v>0.8</v>
      </c>
      <c r="N2356" s="17">
        <f t="shared" si="79"/>
        <v>0</v>
      </c>
      <c r="O2356" s="17">
        <f t="shared" si="79"/>
        <v>8.8000000000000007</v>
      </c>
      <c r="P2356" s="17">
        <f t="shared" si="78"/>
        <v>8.8000000000000007</v>
      </c>
      <c r="Q2356" t="str">
        <f>A2356&amp;"-"&amp;B2356&amp;"-"&amp;D2356</f>
        <v>JUNI-CVA-L3</v>
      </c>
    </row>
    <row r="2357" spans="1:17" x14ac:dyDescent="0.25">
      <c r="A2357" t="s">
        <v>396</v>
      </c>
      <c r="B2357" s="13" t="s">
        <v>23</v>
      </c>
      <c r="C2357" s="13" t="s">
        <v>1043</v>
      </c>
      <c r="D2357" s="14" t="s">
        <v>56</v>
      </c>
      <c r="E2357" s="13" t="s">
        <v>534</v>
      </c>
      <c r="F2357" s="13" t="s">
        <v>1046</v>
      </c>
      <c r="G2357" s="13">
        <v>0.8</v>
      </c>
      <c r="H2357" s="15">
        <v>2</v>
      </c>
      <c r="I2357" s="16">
        <v>1.6</v>
      </c>
      <c r="J2357" s="16">
        <v>25.681818181818183</v>
      </c>
      <c r="K2357" s="16">
        <v>-24.081818181818182</v>
      </c>
      <c r="L2357" s="13"/>
      <c r="M2357" s="13">
        <v>0.9</v>
      </c>
      <c r="N2357" s="17">
        <f t="shared" si="79"/>
        <v>0</v>
      </c>
      <c r="O2357" s="17">
        <f t="shared" si="79"/>
        <v>1.8</v>
      </c>
      <c r="P2357" s="17">
        <f t="shared" si="78"/>
        <v>1.8</v>
      </c>
      <c r="Q2357" t="str">
        <f>A2357&amp;"-"&amp;B2357&amp;"-"&amp;D2357</f>
        <v>JUNI-CVA-L3</v>
      </c>
    </row>
    <row r="2358" spans="1:17" x14ac:dyDescent="0.25">
      <c r="A2358" t="s">
        <v>396</v>
      </c>
      <c r="B2358" s="13" t="s">
        <v>23</v>
      </c>
      <c r="C2358" s="13" t="s">
        <v>1043</v>
      </c>
      <c r="D2358" s="14" t="s">
        <v>158</v>
      </c>
      <c r="E2358" s="13" t="s">
        <v>534</v>
      </c>
      <c r="F2358" s="13" t="s">
        <v>1044</v>
      </c>
      <c r="G2358" s="13">
        <v>0.8</v>
      </c>
      <c r="H2358" s="15">
        <v>341</v>
      </c>
      <c r="I2358" s="16">
        <v>272.8</v>
      </c>
      <c r="J2358" s="16">
        <v>1041.5197262479871</v>
      </c>
      <c r="K2358" s="16">
        <v>-768.71972624798707</v>
      </c>
      <c r="L2358" s="13"/>
      <c r="M2358" s="13">
        <v>0.8</v>
      </c>
      <c r="N2358" s="17">
        <f t="shared" si="79"/>
        <v>0</v>
      </c>
      <c r="O2358" s="17">
        <f t="shared" si="79"/>
        <v>272.8</v>
      </c>
      <c r="P2358" s="17">
        <f t="shared" si="78"/>
        <v>272.8</v>
      </c>
      <c r="Q2358" t="str">
        <f>A2358&amp;"-"&amp;B2358&amp;"-"&amp;D2358</f>
        <v>JUNI-CVA-L4</v>
      </c>
    </row>
    <row r="2359" spans="1:17" x14ac:dyDescent="0.25">
      <c r="A2359" t="s">
        <v>396</v>
      </c>
      <c r="B2359" s="13" t="s">
        <v>23</v>
      </c>
      <c r="C2359" s="13" t="s">
        <v>1043</v>
      </c>
      <c r="D2359" s="14" t="s">
        <v>158</v>
      </c>
      <c r="E2359" s="13" t="s">
        <v>534</v>
      </c>
      <c r="F2359" s="13" t="s">
        <v>1045</v>
      </c>
      <c r="G2359" s="13">
        <v>0.8</v>
      </c>
      <c r="H2359" s="15">
        <v>21</v>
      </c>
      <c r="I2359" s="16">
        <v>16.8</v>
      </c>
      <c r="J2359" s="16">
        <v>88.480273752012877</v>
      </c>
      <c r="K2359" s="16">
        <v>-71.68027375201288</v>
      </c>
      <c r="L2359" s="13"/>
      <c r="M2359" s="13">
        <v>0.8</v>
      </c>
      <c r="N2359" s="17">
        <f t="shared" si="79"/>
        <v>0</v>
      </c>
      <c r="O2359" s="17">
        <f t="shared" si="79"/>
        <v>16.8</v>
      </c>
      <c r="P2359" s="17">
        <f t="shared" si="78"/>
        <v>16.8</v>
      </c>
      <c r="Q2359" t="str">
        <f>A2359&amp;"-"&amp;B2359&amp;"-"&amp;D2359</f>
        <v>JUNI-CVA-L4</v>
      </c>
    </row>
    <row r="2360" spans="1:17" x14ac:dyDescent="0.25">
      <c r="A2360" t="s">
        <v>396</v>
      </c>
      <c r="B2360" s="13" t="s">
        <v>23</v>
      </c>
      <c r="C2360" s="13" t="s">
        <v>201</v>
      </c>
      <c r="D2360" s="14" t="s">
        <v>44</v>
      </c>
      <c r="E2360" s="13" t="s">
        <v>191</v>
      </c>
      <c r="F2360" s="13" t="s">
        <v>439</v>
      </c>
      <c r="G2360" s="13">
        <v>0.45</v>
      </c>
      <c r="H2360" s="15">
        <v>9140</v>
      </c>
      <c r="I2360" s="16">
        <v>4113</v>
      </c>
      <c r="J2360" s="16">
        <v>3228.57</v>
      </c>
      <c r="K2360" s="16">
        <v>884.43000000000006</v>
      </c>
      <c r="L2360" s="13">
        <v>1.1399999999999999</v>
      </c>
      <c r="M2360" s="13"/>
      <c r="N2360" s="17">
        <f t="shared" si="79"/>
        <v>10419.599999999999</v>
      </c>
      <c r="O2360" s="17">
        <f t="shared" si="79"/>
        <v>0</v>
      </c>
      <c r="P2360" s="17">
        <f t="shared" si="78"/>
        <v>10419.599999999999</v>
      </c>
      <c r="Q2360" t="str">
        <f>A2360&amp;"-"&amp;B2360&amp;"-"&amp;D2360</f>
        <v>JUNI-CVA-L1</v>
      </c>
    </row>
    <row r="2361" spans="1:17" x14ac:dyDescent="0.25">
      <c r="A2361" t="s">
        <v>396</v>
      </c>
      <c r="B2361" s="13" t="s">
        <v>23</v>
      </c>
      <c r="C2361" s="13" t="s">
        <v>201</v>
      </c>
      <c r="D2361" s="14" t="s">
        <v>44</v>
      </c>
      <c r="E2361" s="13" t="s">
        <v>191</v>
      </c>
      <c r="F2361" s="13" t="s">
        <v>1047</v>
      </c>
      <c r="G2361" s="13">
        <v>0.48</v>
      </c>
      <c r="H2361" s="15">
        <v>4435</v>
      </c>
      <c r="I2361" s="16">
        <v>2128.8000000000002</v>
      </c>
      <c r="J2361" s="16">
        <v>1695</v>
      </c>
      <c r="K2361" s="16">
        <v>433.80000000000007</v>
      </c>
      <c r="L2361" s="13">
        <v>1.08</v>
      </c>
      <c r="M2361" s="13"/>
      <c r="N2361" s="17">
        <f t="shared" si="79"/>
        <v>4789.8</v>
      </c>
      <c r="O2361" s="17">
        <f t="shared" si="79"/>
        <v>0</v>
      </c>
      <c r="P2361" s="17">
        <f t="shared" si="78"/>
        <v>4789.8</v>
      </c>
      <c r="Q2361" t="str">
        <f>A2361&amp;"-"&amp;B2361&amp;"-"&amp;D2361</f>
        <v>JUNI-CVA-L1</v>
      </c>
    </row>
    <row r="2362" spans="1:17" x14ac:dyDescent="0.25">
      <c r="A2362" t="s">
        <v>396</v>
      </c>
      <c r="B2362" s="13" t="s">
        <v>23</v>
      </c>
      <c r="C2362" s="13" t="s">
        <v>201</v>
      </c>
      <c r="D2362" s="14" t="s">
        <v>44</v>
      </c>
      <c r="E2362" s="13" t="s">
        <v>191</v>
      </c>
      <c r="F2362" s="13" t="s">
        <v>856</v>
      </c>
      <c r="G2362" s="13">
        <v>0.39</v>
      </c>
      <c r="H2362" s="15">
        <v>3752</v>
      </c>
      <c r="I2362" s="16">
        <v>1463.2800000000002</v>
      </c>
      <c r="J2362" s="16">
        <v>2073.6801321585904</v>
      </c>
      <c r="K2362" s="16">
        <v>-610.4001321585904</v>
      </c>
      <c r="L2362" s="13">
        <v>1.48</v>
      </c>
      <c r="M2362" s="13"/>
      <c r="N2362" s="17">
        <f t="shared" si="79"/>
        <v>5552.96</v>
      </c>
      <c r="O2362" s="17">
        <f t="shared" si="79"/>
        <v>0</v>
      </c>
      <c r="P2362" s="17">
        <f t="shared" si="78"/>
        <v>5552.96</v>
      </c>
      <c r="Q2362" t="str">
        <f>A2362&amp;"-"&amp;B2362&amp;"-"&amp;D2362</f>
        <v>JUNI-CVA-L1</v>
      </c>
    </row>
    <row r="2363" spans="1:17" x14ac:dyDescent="0.25">
      <c r="A2363" t="s">
        <v>396</v>
      </c>
      <c r="B2363" s="13" t="s">
        <v>23</v>
      </c>
      <c r="C2363" s="13" t="s">
        <v>201</v>
      </c>
      <c r="D2363" s="14" t="s">
        <v>44</v>
      </c>
      <c r="E2363" s="13" t="s">
        <v>191</v>
      </c>
      <c r="F2363" s="13" t="s">
        <v>859</v>
      </c>
      <c r="G2363" s="13">
        <v>0.39000000000000007</v>
      </c>
      <c r="H2363" s="15">
        <v>5271</v>
      </c>
      <c r="I2363" s="16">
        <v>2055.69</v>
      </c>
      <c r="J2363" s="16">
        <v>3431.5839762579576</v>
      </c>
      <c r="K2363" s="16">
        <v>-1375.8939762579573</v>
      </c>
      <c r="L2363" s="13">
        <v>1.48</v>
      </c>
      <c r="M2363" s="13"/>
      <c r="N2363" s="17">
        <f t="shared" si="79"/>
        <v>7801.08</v>
      </c>
      <c r="O2363" s="17">
        <f t="shared" si="79"/>
        <v>0</v>
      </c>
      <c r="P2363" s="17">
        <f t="shared" si="78"/>
        <v>7801.08</v>
      </c>
      <c r="Q2363" t="str">
        <f>A2363&amp;"-"&amp;B2363&amp;"-"&amp;D2363</f>
        <v>JUNI-CVA-L1</v>
      </c>
    </row>
    <row r="2364" spans="1:17" x14ac:dyDescent="0.25">
      <c r="A2364" t="s">
        <v>396</v>
      </c>
      <c r="B2364" s="13" t="s">
        <v>23</v>
      </c>
      <c r="C2364" s="13" t="s">
        <v>201</v>
      </c>
      <c r="D2364" s="14" t="s">
        <v>44</v>
      </c>
      <c r="E2364" s="13" t="s">
        <v>191</v>
      </c>
      <c r="F2364" s="13" t="s">
        <v>1048</v>
      </c>
      <c r="G2364" s="13">
        <v>0.39</v>
      </c>
      <c r="H2364" s="15">
        <v>3318</v>
      </c>
      <c r="I2364" s="16">
        <v>1294.02</v>
      </c>
      <c r="J2364" s="16">
        <v>2485.4458915834521</v>
      </c>
      <c r="K2364" s="16">
        <v>-1191.4258915834521</v>
      </c>
      <c r="L2364" s="13">
        <v>1.73</v>
      </c>
      <c r="M2364" s="13"/>
      <c r="N2364" s="17">
        <f t="shared" si="79"/>
        <v>5740.14</v>
      </c>
      <c r="O2364" s="17">
        <f t="shared" si="79"/>
        <v>0</v>
      </c>
      <c r="P2364" s="17">
        <f t="shared" si="78"/>
        <v>5740.14</v>
      </c>
      <c r="Q2364" t="str">
        <f>A2364&amp;"-"&amp;B2364&amp;"-"&amp;D2364</f>
        <v>JUNI-CVA-L1</v>
      </c>
    </row>
    <row r="2365" spans="1:17" x14ac:dyDescent="0.25">
      <c r="A2365" t="s">
        <v>396</v>
      </c>
      <c r="B2365" s="13" t="s">
        <v>23</v>
      </c>
      <c r="C2365" s="13" t="s">
        <v>201</v>
      </c>
      <c r="D2365" s="14" t="s">
        <v>301</v>
      </c>
      <c r="E2365" s="13" t="s">
        <v>191</v>
      </c>
      <c r="F2365" s="13" t="s">
        <v>445</v>
      </c>
      <c r="G2365" s="13">
        <v>0.45</v>
      </c>
      <c r="H2365" s="15">
        <v>3012</v>
      </c>
      <c r="I2365" s="16">
        <v>1355.4</v>
      </c>
      <c r="J2365" s="16">
        <v>2098.5699999999997</v>
      </c>
      <c r="K2365" s="16">
        <v>-743.17</v>
      </c>
      <c r="L2365" s="13">
        <v>1.1000000000000001</v>
      </c>
      <c r="M2365" s="13"/>
      <c r="N2365" s="17">
        <f t="shared" si="79"/>
        <v>3313.2000000000003</v>
      </c>
      <c r="O2365" s="17">
        <f t="shared" si="79"/>
        <v>0</v>
      </c>
      <c r="P2365" s="17">
        <f t="shared" si="78"/>
        <v>3313.2000000000003</v>
      </c>
      <c r="Q2365" t="str">
        <f>A2365&amp;"-"&amp;B2365&amp;"-"&amp;D2365</f>
        <v>JUNI-CVA-L10</v>
      </c>
    </row>
    <row r="2366" spans="1:17" x14ac:dyDescent="0.25">
      <c r="A2366" t="s">
        <v>396</v>
      </c>
      <c r="B2366" s="13" t="s">
        <v>23</v>
      </c>
      <c r="C2366" s="13" t="s">
        <v>201</v>
      </c>
      <c r="D2366" s="14" t="s">
        <v>301</v>
      </c>
      <c r="E2366" s="13" t="s">
        <v>191</v>
      </c>
      <c r="F2366" s="13" t="s">
        <v>1047</v>
      </c>
      <c r="G2366" s="13">
        <v>0.48</v>
      </c>
      <c r="H2366" s="15">
        <v>4500</v>
      </c>
      <c r="I2366" s="16">
        <v>2160</v>
      </c>
      <c r="J2366" s="16">
        <v>3793.5699999999997</v>
      </c>
      <c r="K2366" s="16">
        <v>-1633.5700000000002</v>
      </c>
      <c r="L2366" s="13">
        <v>1.08</v>
      </c>
      <c r="M2366" s="13"/>
      <c r="N2366" s="17">
        <f t="shared" si="79"/>
        <v>4860</v>
      </c>
      <c r="O2366" s="17">
        <f t="shared" si="79"/>
        <v>0</v>
      </c>
      <c r="P2366" s="17">
        <f t="shared" si="78"/>
        <v>4860</v>
      </c>
      <c r="Q2366" t="str">
        <f>A2366&amp;"-"&amp;B2366&amp;"-"&amp;D2366</f>
        <v>JUNI-CVA-L10</v>
      </c>
    </row>
    <row r="2367" spans="1:17" x14ac:dyDescent="0.25">
      <c r="A2367" t="s">
        <v>396</v>
      </c>
      <c r="B2367" s="13" t="s">
        <v>23</v>
      </c>
      <c r="C2367" s="13" t="s">
        <v>201</v>
      </c>
      <c r="D2367" s="14" t="s">
        <v>301</v>
      </c>
      <c r="E2367" s="13" t="s">
        <v>191</v>
      </c>
      <c r="F2367" s="13" t="s">
        <v>728</v>
      </c>
      <c r="G2367" s="13">
        <v>0.38</v>
      </c>
      <c r="H2367" s="15">
        <v>50</v>
      </c>
      <c r="I2367" s="16">
        <v>19</v>
      </c>
      <c r="J2367" s="16">
        <v>17.121212121212121</v>
      </c>
      <c r="K2367" s="16">
        <v>1.8787878787878789</v>
      </c>
      <c r="L2367" s="13">
        <v>1.24</v>
      </c>
      <c r="M2367" s="13"/>
      <c r="N2367" s="17">
        <f t="shared" si="79"/>
        <v>62</v>
      </c>
      <c r="O2367" s="17">
        <f t="shared" si="79"/>
        <v>0</v>
      </c>
      <c r="P2367" s="17">
        <f t="shared" si="78"/>
        <v>62</v>
      </c>
      <c r="Q2367" t="str">
        <f>A2367&amp;"-"&amp;B2367&amp;"-"&amp;D2367</f>
        <v>JUNI-CVA-L10</v>
      </c>
    </row>
    <row r="2368" spans="1:17" x14ac:dyDescent="0.25">
      <c r="A2368" t="s">
        <v>396</v>
      </c>
      <c r="B2368" s="13" t="s">
        <v>23</v>
      </c>
      <c r="C2368" s="13" t="s">
        <v>201</v>
      </c>
      <c r="D2368" s="14" t="s">
        <v>301</v>
      </c>
      <c r="E2368" s="13" t="s">
        <v>191</v>
      </c>
      <c r="F2368" s="13" t="s">
        <v>443</v>
      </c>
      <c r="G2368" s="13">
        <v>0.37999999999999995</v>
      </c>
      <c r="H2368" s="15">
        <v>7125</v>
      </c>
      <c r="I2368" s="16">
        <v>2707.5</v>
      </c>
      <c r="J2368" s="16">
        <v>2497.3607275910367</v>
      </c>
      <c r="K2368" s="16">
        <v>210.13927240896362</v>
      </c>
      <c r="L2368" s="13">
        <v>1.1499999999999999</v>
      </c>
      <c r="M2368" s="13"/>
      <c r="N2368" s="17">
        <f t="shared" si="79"/>
        <v>8193.75</v>
      </c>
      <c r="O2368" s="17">
        <f t="shared" si="79"/>
        <v>0</v>
      </c>
      <c r="P2368" s="17">
        <f t="shared" si="78"/>
        <v>8193.75</v>
      </c>
      <c r="Q2368" t="str">
        <f>A2368&amp;"-"&amp;B2368&amp;"-"&amp;D2368</f>
        <v>JUNI-CVA-L10</v>
      </c>
    </row>
    <row r="2369" spans="1:17" x14ac:dyDescent="0.25">
      <c r="A2369" t="s">
        <v>396</v>
      </c>
      <c r="B2369" s="13" t="s">
        <v>23</v>
      </c>
      <c r="C2369" s="13" t="s">
        <v>201</v>
      </c>
      <c r="D2369" s="14" t="s">
        <v>301</v>
      </c>
      <c r="E2369" s="13" t="s">
        <v>191</v>
      </c>
      <c r="F2369" s="13" t="s">
        <v>569</v>
      </c>
      <c r="G2369" s="13">
        <v>0.38</v>
      </c>
      <c r="H2369" s="15">
        <v>6868</v>
      </c>
      <c r="I2369" s="16">
        <v>2609.84</v>
      </c>
      <c r="J2369" s="16">
        <v>2093.2851547619048</v>
      </c>
      <c r="K2369" s="16">
        <v>516.55484523809525</v>
      </c>
      <c r="L2369" s="13">
        <v>1.1000000000000001</v>
      </c>
      <c r="M2369" s="13"/>
      <c r="N2369" s="17">
        <f t="shared" si="79"/>
        <v>7554.8</v>
      </c>
      <c r="O2369" s="17">
        <f t="shared" si="79"/>
        <v>0</v>
      </c>
      <c r="P2369" s="17">
        <f t="shared" si="78"/>
        <v>7554.8</v>
      </c>
      <c r="Q2369" t="str">
        <f>A2369&amp;"-"&amp;B2369&amp;"-"&amp;D2369</f>
        <v>JUNI-CVA-L10</v>
      </c>
    </row>
    <row r="2370" spans="1:17" x14ac:dyDescent="0.25">
      <c r="A2370" t="s">
        <v>396</v>
      </c>
      <c r="B2370" s="13" t="s">
        <v>23</v>
      </c>
      <c r="C2370" s="13" t="s">
        <v>201</v>
      </c>
      <c r="D2370" s="14" t="s">
        <v>301</v>
      </c>
      <c r="E2370" s="13" t="s">
        <v>191</v>
      </c>
      <c r="F2370" s="13" t="s">
        <v>568</v>
      </c>
      <c r="G2370" s="13">
        <v>0.38</v>
      </c>
      <c r="H2370" s="15">
        <v>6871</v>
      </c>
      <c r="I2370" s="16">
        <v>2610.9800000000005</v>
      </c>
      <c r="J2370" s="16">
        <v>2414.3729055258468</v>
      </c>
      <c r="K2370" s="16">
        <v>196.60709447415343</v>
      </c>
      <c r="L2370" s="13">
        <v>1.1499999999999999</v>
      </c>
      <c r="M2370" s="13"/>
      <c r="N2370" s="17">
        <f t="shared" si="79"/>
        <v>7901.65</v>
      </c>
      <c r="O2370" s="17">
        <f t="shared" si="79"/>
        <v>0</v>
      </c>
      <c r="P2370" s="17">
        <f t="shared" ref="P2370:P2433" si="80">N2370+O2370</f>
        <v>7901.65</v>
      </c>
      <c r="Q2370" t="str">
        <f>A2370&amp;"-"&amp;B2370&amp;"-"&amp;D2370</f>
        <v>JUNI-CVA-L10</v>
      </c>
    </row>
    <row r="2371" spans="1:17" x14ac:dyDescent="0.25">
      <c r="A2371" t="s">
        <v>396</v>
      </c>
      <c r="B2371" s="13" t="s">
        <v>23</v>
      </c>
      <c r="C2371" s="13" t="s">
        <v>201</v>
      </c>
      <c r="D2371" s="14" t="s">
        <v>50</v>
      </c>
      <c r="E2371" s="13" t="s">
        <v>191</v>
      </c>
      <c r="F2371" s="13" t="s">
        <v>439</v>
      </c>
      <c r="G2371" s="13">
        <v>0.45</v>
      </c>
      <c r="H2371" s="15">
        <v>7400</v>
      </c>
      <c r="I2371" s="16">
        <v>3330</v>
      </c>
      <c r="J2371" s="16">
        <v>2764.9802564102565</v>
      </c>
      <c r="K2371" s="16">
        <v>565.01974358974371</v>
      </c>
      <c r="L2371" s="13">
        <v>1.1399999999999999</v>
      </c>
      <c r="M2371" s="13"/>
      <c r="N2371" s="17">
        <f t="shared" si="79"/>
        <v>8436</v>
      </c>
      <c r="O2371" s="17">
        <f t="shared" si="79"/>
        <v>0</v>
      </c>
      <c r="P2371" s="17">
        <f t="shared" si="80"/>
        <v>8436</v>
      </c>
      <c r="Q2371" t="str">
        <f>A2371&amp;"-"&amp;B2371&amp;"-"&amp;D2371</f>
        <v>JUNI-CVA-L2</v>
      </c>
    </row>
    <row r="2372" spans="1:17" x14ac:dyDescent="0.25">
      <c r="A2372" t="s">
        <v>396</v>
      </c>
      <c r="B2372" s="13" t="s">
        <v>23</v>
      </c>
      <c r="C2372" s="13" t="s">
        <v>201</v>
      </c>
      <c r="D2372" s="14" t="s">
        <v>50</v>
      </c>
      <c r="E2372" s="13" t="s">
        <v>191</v>
      </c>
      <c r="F2372" s="13" t="s">
        <v>1047</v>
      </c>
      <c r="G2372" s="13">
        <v>0.48</v>
      </c>
      <c r="H2372" s="15">
        <v>5350</v>
      </c>
      <c r="I2372" s="16">
        <v>2568</v>
      </c>
      <c r="J2372" s="16">
        <v>2158.5897435897436</v>
      </c>
      <c r="K2372" s="16">
        <v>409.4102564102563</v>
      </c>
      <c r="L2372" s="13">
        <v>1.08</v>
      </c>
      <c r="M2372" s="13"/>
      <c r="N2372" s="17">
        <f t="shared" si="79"/>
        <v>5778</v>
      </c>
      <c r="O2372" s="17">
        <f t="shared" si="79"/>
        <v>0</v>
      </c>
      <c r="P2372" s="17">
        <f t="shared" si="80"/>
        <v>5778</v>
      </c>
      <c r="Q2372" t="str">
        <f>A2372&amp;"-"&amp;B2372&amp;"-"&amp;D2372</f>
        <v>JUNI-CVA-L2</v>
      </c>
    </row>
    <row r="2373" spans="1:17" x14ac:dyDescent="0.25">
      <c r="A2373" t="s">
        <v>396</v>
      </c>
      <c r="B2373" s="13" t="s">
        <v>23</v>
      </c>
      <c r="C2373" s="13" t="s">
        <v>201</v>
      </c>
      <c r="D2373" s="14" t="s">
        <v>50</v>
      </c>
      <c r="E2373" s="13" t="s">
        <v>191</v>
      </c>
      <c r="F2373" s="13" t="s">
        <v>856</v>
      </c>
      <c r="G2373" s="13">
        <v>0.39000000000000007</v>
      </c>
      <c r="H2373" s="15">
        <v>5208</v>
      </c>
      <c r="I2373" s="16">
        <v>2031.12</v>
      </c>
      <c r="J2373" s="16">
        <v>2247.457630542845</v>
      </c>
      <c r="K2373" s="16">
        <v>-216.3376305428454</v>
      </c>
      <c r="L2373" s="13">
        <v>1.48</v>
      </c>
      <c r="M2373" s="13"/>
      <c r="N2373" s="17">
        <f t="shared" si="79"/>
        <v>7707.84</v>
      </c>
      <c r="O2373" s="17">
        <f t="shared" si="79"/>
        <v>0</v>
      </c>
      <c r="P2373" s="17">
        <f t="shared" si="80"/>
        <v>7707.84</v>
      </c>
      <c r="Q2373" t="str">
        <f>A2373&amp;"-"&amp;B2373&amp;"-"&amp;D2373</f>
        <v>JUNI-CVA-L2</v>
      </c>
    </row>
    <row r="2374" spans="1:17" x14ac:dyDescent="0.25">
      <c r="A2374" t="s">
        <v>396</v>
      </c>
      <c r="B2374" s="13" t="s">
        <v>23</v>
      </c>
      <c r="C2374" s="13" t="s">
        <v>201</v>
      </c>
      <c r="D2374" s="14" t="s">
        <v>50</v>
      </c>
      <c r="E2374" s="13" t="s">
        <v>191</v>
      </c>
      <c r="F2374" s="13" t="s">
        <v>859</v>
      </c>
      <c r="G2374" s="13">
        <v>0.39000000000000007</v>
      </c>
      <c r="H2374" s="15">
        <v>5135</v>
      </c>
      <c r="I2374" s="16">
        <v>2002.65</v>
      </c>
      <c r="J2374" s="16">
        <v>3228.57</v>
      </c>
      <c r="K2374" s="16">
        <v>-1225.9199999999998</v>
      </c>
      <c r="L2374" s="13">
        <v>1.48</v>
      </c>
      <c r="M2374" s="13"/>
      <c r="N2374" s="17">
        <f t="shared" si="79"/>
        <v>7599.8</v>
      </c>
      <c r="O2374" s="17">
        <f t="shared" si="79"/>
        <v>0</v>
      </c>
      <c r="P2374" s="17">
        <f t="shared" si="80"/>
        <v>7599.8</v>
      </c>
      <c r="Q2374" t="str">
        <f>A2374&amp;"-"&amp;B2374&amp;"-"&amp;D2374</f>
        <v>JUNI-CVA-L2</v>
      </c>
    </row>
    <row r="2375" spans="1:17" x14ac:dyDescent="0.25">
      <c r="A2375" t="s">
        <v>396</v>
      </c>
      <c r="B2375" s="13" t="s">
        <v>23</v>
      </c>
      <c r="C2375" s="13" t="s">
        <v>201</v>
      </c>
      <c r="D2375" s="14" t="s">
        <v>50</v>
      </c>
      <c r="E2375" s="13" t="s">
        <v>191</v>
      </c>
      <c r="F2375" s="13" t="s">
        <v>1048</v>
      </c>
      <c r="G2375" s="13">
        <v>0.39</v>
      </c>
      <c r="H2375" s="15">
        <v>3535</v>
      </c>
      <c r="I2375" s="16">
        <v>1378.65</v>
      </c>
      <c r="J2375" s="16">
        <v>2514.6823694571544</v>
      </c>
      <c r="K2375" s="16">
        <v>-1136.0323694571546</v>
      </c>
      <c r="L2375" s="13">
        <v>1.73</v>
      </c>
      <c r="M2375" s="13"/>
      <c r="N2375" s="17">
        <f t="shared" si="79"/>
        <v>6115.55</v>
      </c>
      <c r="O2375" s="17">
        <f t="shared" si="79"/>
        <v>0</v>
      </c>
      <c r="P2375" s="17">
        <f t="shared" si="80"/>
        <v>6115.55</v>
      </c>
      <c r="Q2375" t="str">
        <f>A2375&amp;"-"&amp;B2375&amp;"-"&amp;D2375</f>
        <v>JUNI-CVA-L2</v>
      </c>
    </row>
    <row r="2376" spans="1:17" x14ac:dyDescent="0.25">
      <c r="A2376" t="s">
        <v>396</v>
      </c>
      <c r="B2376" s="13" t="s">
        <v>23</v>
      </c>
      <c r="C2376" s="13" t="s">
        <v>201</v>
      </c>
      <c r="D2376" s="14" t="s">
        <v>56</v>
      </c>
      <c r="E2376" s="13" t="s">
        <v>191</v>
      </c>
      <c r="F2376" s="13" t="s">
        <v>439</v>
      </c>
      <c r="G2376" s="13">
        <v>0.45000000000000007</v>
      </c>
      <c r="H2376" s="15">
        <v>12220</v>
      </c>
      <c r="I2376" s="16">
        <v>5499</v>
      </c>
      <c r="J2376" s="16">
        <v>3793.57</v>
      </c>
      <c r="K2376" s="16">
        <v>1705.43</v>
      </c>
      <c r="L2376" s="13">
        <v>1.1399999999999999</v>
      </c>
      <c r="M2376" s="13"/>
      <c r="N2376" s="17">
        <f t="shared" si="79"/>
        <v>13930.8</v>
      </c>
      <c r="O2376" s="17">
        <f t="shared" si="79"/>
        <v>0</v>
      </c>
      <c r="P2376" s="17">
        <f t="shared" si="80"/>
        <v>13930.8</v>
      </c>
      <c r="Q2376" t="str">
        <f>A2376&amp;"-"&amp;B2376&amp;"-"&amp;D2376</f>
        <v>JUNI-CVA-L3</v>
      </c>
    </row>
    <row r="2377" spans="1:17" x14ac:dyDescent="0.25">
      <c r="A2377" t="s">
        <v>396</v>
      </c>
      <c r="B2377" s="13" t="s">
        <v>23</v>
      </c>
      <c r="C2377" s="13" t="s">
        <v>201</v>
      </c>
      <c r="D2377" s="14" t="s">
        <v>56</v>
      </c>
      <c r="E2377" s="13" t="s">
        <v>191</v>
      </c>
      <c r="F2377" s="13" t="s">
        <v>727</v>
      </c>
      <c r="G2377" s="13">
        <v>0.7599999999999999</v>
      </c>
      <c r="H2377" s="15">
        <v>8177</v>
      </c>
      <c r="I2377" s="16">
        <v>6214.52</v>
      </c>
      <c r="J2377" s="16">
        <v>6466.8257142857146</v>
      </c>
      <c r="K2377" s="16">
        <v>-252.30571428571403</v>
      </c>
      <c r="L2377" s="13">
        <v>1.95</v>
      </c>
      <c r="M2377" s="13"/>
      <c r="N2377" s="17">
        <f t="shared" si="79"/>
        <v>15945.15</v>
      </c>
      <c r="O2377" s="17">
        <f t="shared" si="79"/>
        <v>0</v>
      </c>
      <c r="P2377" s="17">
        <f t="shared" si="80"/>
        <v>15945.15</v>
      </c>
      <c r="Q2377" t="str">
        <f>A2377&amp;"-"&amp;B2377&amp;"-"&amp;D2377</f>
        <v>JUNI-CVA-L3</v>
      </c>
    </row>
    <row r="2378" spans="1:17" x14ac:dyDescent="0.25">
      <c r="A2378" t="s">
        <v>396</v>
      </c>
      <c r="B2378" s="13" t="s">
        <v>23</v>
      </c>
      <c r="C2378" s="13" t="s">
        <v>201</v>
      </c>
      <c r="D2378" s="14" t="s">
        <v>56</v>
      </c>
      <c r="E2378" s="13" t="s">
        <v>191</v>
      </c>
      <c r="F2378" s="13" t="s">
        <v>858</v>
      </c>
      <c r="G2378" s="13">
        <v>0.76000000000000012</v>
      </c>
      <c r="H2378" s="15">
        <v>1917</v>
      </c>
      <c r="I2378" s="16">
        <v>1456.92</v>
      </c>
      <c r="J2378" s="16">
        <v>1523.8842857142856</v>
      </c>
      <c r="K2378" s="16">
        <v>-66.964285714285722</v>
      </c>
      <c r="L2378" s="13">
        <v>2.25</v>
      </c>
      <c r="M2378" s="13"/>
      <c r="N2378" s="17">
        <f t="shared" si="79"/>
        <v>4313.25</v>
      </c>
      <c r="O2378" s="17">
        <f t="shared" si="79"/>
        <v>0</v>
      </c>
      <c r="P2378" s="17">
        <f t="shared" si="80"/>
        <v>4313.25</v>
      </c>
      <c r="Q2378" t="str">
        <f>A2378&amp;"-"&amp;B2378&amp;"-"&amp;D2378</f>
        <v>JUNI-CVA-L3</v>
      </c>
    </row>
    <row r="2379" spans="1:17" x14ac:dyDescent="0.25">
      <c r="A2379" t="s">
        <v>396</v>
      </c>
      <c r="B2379" s="13" t="s">
        <v>23</v>
      </c>
      <c r="C2379" s="13" t="s">
        <v>201</v>
      </c>
      <c r="D2379" s="14" t="s">
        <v>158</v>
      </c>
      <c r="E2379" s="13" t="s">
        <v>191</v>
      </c>
      <c r="F2379" s="13" t="s">
        <v>439</v>
      </c>
      <c r="G2379" s="13">
        <v>0.45000000000000007</v>
      </c>
      <c r="H2379" s="15">
        <v>9942</v>
      </c>
      <c r="I2379" s="16">
        <v>4473.8999999999996</v>
      </c>
      <c r="J2379" s="16">
        <v>3793.57</v>
      </c>
      <c r="K2379" s="16">
        <v>680.33</v>
      </c>
      <c r="L2379" s="13">
        <v>1.1399999999999999</v>
      </c>
      <c r="M2379" s="13"/>
      <c r="N2379" s="17">
        <f t="shared" si="79"/>
        <v>11333.88</v>
      </c>
      <c r="O2379" s="17">
        <f t="shared" si="79"/>
        <v>0</v>
      </c>
      <c r="P2379" s="17">
        <f t="shared" si="80"/>
        <v>11333.88</v>
      </c>
      <c r="Q2379" t="str">
        <f>A2379&amp;"-"&amp;B2379&amp;"-"&amp;D2379</f>
        <v>JUNI-CVA-L4</v>
      </c>
    </row>
    <row r="2380" spans="1:17" x14ac:dyDescent="0.25">
      <c r="A2380" t="s">
        <v>396</v>
      </c>
      <c r="B2380" s="13" t="s">
        <v>23</v>
      </c>
      <c r="C2380" s="13" t="s">
        <v>201</v>
      </c>
      <c r="D2380" s="14" t="s">
        <v>158</v>
      </c>
      <c r="E2380" s="13" t="s">
        <v>191</v>
      </c>
      <c r="F2380" s="13" t="s">
        <v>727</v>
      </c>
      <c r="G2380" s="13">
        <v>0.7599999999999999</v>
      </c>
      <c r="H2380" s="15">
        <v>8533</v>
      </c>
      <c r="I2380" s="16">
        <v>6485.0800000000008</v>
      </c>
      <c r="J2380" s="16">
        <v>6457.1399999999994</v>
      </c>
      <c r="K2380" s="16">
        <v>27.940000000000168</v>
      </c>
      <c r="L2380" s="13">
        <v>1.95</v>
      </c>
      <c r="M2380" s="13"/>
      <c r="N2380" s="17">
        <f t="shared" si="79"/>
        <v>16639.349999999999</v>
      </c>
      <c r="O2380" s="17">
        <f t="shared" si="79"/>
        <v>0</v>
      </c>
      <c r="P2380" s="17">
        <f t="shared" si="80"/>
        <v>16639.349999999999</v>
      </c>
      <c r="Q2380" t="str">
        <f>A2380&amp;"-"&amp;B2380&amp;"-"&amp;D2380</f>
        <v>JUNI-CVA-L4</v>
      </c>
    </row>
    <row r="2381" spans="1:17" x14ac:dyDescent="0.25">
      <c r="A2381" t="s">
        <v>396</v>
      </c>
      <c r="B2381" s="13" t="s">
        <v>23</v>
      </c>
      <c r="C2381" s="13" t="s">
        <v>201</v>
      </c>
      <c r="D2381" s="14" t="s">
        <v>158</v>
      </c>
      <c r="E2381" s="13" t="s">
        <v>191</v>
      </c>
      <c r="F2381" s="13" t="s">
        <v>858</v>
      </c>
      <c r="G2381" s="13">
        <v>0.76000000000000012</v>
      </c>
      <c r="H2381" s="15">
        <v>1955</v>
      </c>
      <c r="I2381" s="16">
        <v>1485.8</v>
      </c>
      <c r="J2381" s="16">
        <v>1533.57</v>
      </c>
      <c r="K2381" s="16">
        <v>-47.770000000000039</v>
      </c>
      <c r="L2381" s="13">
        <v>2.25</v>
      </c>
      <c r="M2381" s="13"/>
      <c r="N2381" s="17">
        <f t="shared" si="79"/>
        <v>4398.75</v>
      </c>
      <c r="O2381" s="17">
        <f t="shared" si="79"/>
        <v>0</v>
      </c>
      <c r="P2381" s="17">
        <f t="shared" si="80"/>
        <v>4398.75</v>
      </c>
      <c r="Q2381" t="str">
        <f>A2381&amp;"-"&amp;B2381&amp;"-"&amp;D2381</f>
        <v>JUNI-CVA-L4</v>
      </c>
    </row>
    <row r="2382" spans="1:17" x14ac:dyDescent="0.25">
      <c r="A2382" t="s">
        <v>396</v>
      </c>
      <c r="B2382" s="13" t="s">
        <v>23</v>
      </c>
      <c r="C2382" s="13" t="s">
        <v>201</v>
      </c>
      <c r="D2382" s="14" t="s">
        <v>160</v>
      </c>
      <c r="E2382" s="13" t="s">
        <v>191</v>
      </c>
      <c r="F2382" s="13" t="s">
        <v>439</v>
      </c>
      <c r="G2382" s="13">
        <v>0.45000000000000007</v>
      </c>
      <c r="H2382" s="15">
        <v>15189</v>
      </c>
      <c r="I2382" s="16">
        <v>6835.05</v>
      </c>
      <c r="J2382" s="16">
        <v>4949.2434475783475</v>
      </c>
      <c r="K2382" s="16">
        <v>1885.8065524216524</v>
      </c>
      <c r="L2382" s="13">
        <v>1.1399999999999999</v>
      </c>
      <c r="M2382" s="13"/>
      <c r="N2382" s="17">
        <f t="shared" si="79"/>
        <v>17315.46</v>
      </c>
      <c r="O2382" s="17">
        <f t="shared" si="79"/>
        <v>0</v>
      </c>
      <c r="P2382" s="17">
        <f t="shared" si="80"/>
        <v>17315.46</v>
      </c>
      <c r="Q2382" t="str">
        <f>A2382&amp;"-"&amp;B2382&amp;"-"&amp;D2382</f>
        <v>JUNI-CVA-L5</v>
      </c>
    </row>
    <row r="2383" spans="1:17" x14ac:dyDescent="0.25">
      <c r="A2383" t="s">
        <v>396</v>
      </c>
      <c r="B2383" s="13" t="s">
        <v>23</v>
      </c>
      <c r="C2383" s="13" t="s">
        <v>201</v>
      </c>
      <c r="D2383" s="14" t="s">
        <v>160</v>
      </c>
      <c r="E2383" s="13" t="s">
        <v>191</v>
      </c>
      <c r="F2383" s="13" t="s">
        <v>1047</v>
      </c>
      <c r="G2383" s="13">
        <v>0.48</v>
      </c>
      <c r="H2383" s="15">
        <v>6061</v>
      </c>
      <c r="I2383" s="16">
        <v>2909.2799999999997</v>
      </c>
      <c r="J2383" s="16">
        <v>2365.8595153846154</v>
      </c>
      <c r="K2383" s="16">
        <v>543.42048461538457</v>
      </c>
      <c r="L2383" s="13">
        <v>1.08</v>
      </c>
      <c r="M2383" s="13"/>
      <c r="N2383" s="17">
        <f t="shared" si="79"/>
        <v>6545.88</v>
      </c>
      <c r="O2383" s="17">
        <f t="shared" si="79"/>
        <v>0</v>
      </c>
      <c r="P2383" s="17">
        <f t="shared" si="80"/>
        <v>6545.88</v>
      </c>
      <c r="Q2383" t="str">
        <f>A2383&amp;"-"&amp;B2383&amp;"-"&amp;D2383</f>
        <v>JUNI-CVA-L5</v>
      </c>
    </row>
    <row r="2384" spans="1:17" x14ac:dyDescent="0.25">
      <c r="A2384" t="s">
        <v>396</v>
      </c>
      <c r="B2384" s="13" t="s">
        <v>23</v>
      </c>
      <c r="C2384" s="13" t="s">
        <v>201</v>
      </c>
      <c r="D2384" s="14" t="s">
        <v>160</v>
      </c>
      <c r="E2384" s="13" t="s">
        <v>191</v>
      </c>
      <c r="F2384" s="13" t="s">
        <v>859</v>
      </c>
      <c r="G2384" s="13">
        <v>0.39000000000000007</v>
      </c>
      <c r="H2384" s="15">
        <v>5026</v>
      </c>
      <c r="I2384" s="16">
        <v>1960.1400000000003</v>
      </c>
      <c r="J2384" s="16">
        <v>2225.2502351072044</v>
      </c>
      <c r="K2384" s="16">
        <v>-265.11023510720486</v>
      </c>
      <c r="L2384" s="13">
        <v>1.48</v>
      </c>
      <c r="M2384" s="13"/>
      <c r="N2384" s="17">
        <f t="shared" si="79"/>
        <v>7438.48</v>
      </c>
      <c r="O2384" s="17">
        <f t="shared" si="79"/>
        <v>0</v>
      </c>
      <c r="P2384" s="17">
        <f t="shared" si="80"/>
        <v>7438.48</v>
      </c>
      <c r="Q2384" t="str">
        <f>A2384&amp;"-"&amp;B2384&amp;"-"&amp;D2384</f>
        <v>JUNI-CVA-L5</v>
      </c>
    </row>
    <row r="2385" spans="1:17" x14ac:dyDescent="0.25">
      <c r="A2385" t="s">
        <v>396</v>
      </c>
      <c r="B2385" s="13" t="s">
        <v>23</v>
      </c>
      <c r="C2385" s="13" t="s">
        <v>201</v>
      </c>
      <c r="D2385" s="14" t="s">
        <v>160</v>
      </c>
      <c r="E2385" s="13" t="s">
        <v>191</v>
      </c>
      <c r="F2385" s="13" t="s">
        <v>1049</v>
      </c>
      <c r="G2385" s="13">
        <v>0.39</v>
      </c>
      <c r="H2385" s="15">
        <v>3282</v>
      </c>
      <c r="I2385" s="16">
        <v>1279.98</v>
      </c>
      <c r="J2385" s="16">
        <v>1536.4944020502778</v>
      </c>
      <c r="K2385" s="16">
        <v>-256.51440205027791</v>
      </c>
      <c r="L2385" s="13">
        <v>1.73</v>
      </c>
      <c r="M2385" s="13"/>
      <c r="N2385" s="17">
        <f t="shared" si="79"/>
        <v>5677.86</v>
      </c>
      <c r="O2385" s="17">
        <f t="shared" si="79"/>
        <v>0</v>
      </c>
      <c r="P2385" s="17">
        <f t="shared" si="80"/>
        <v>5677.86</v>
      </c>
      <c r="Q2385" t="str">
        <f>A2385&amp;"-"&amp;B2385&amp;"-"&amp;D2385</f>
        <v>JUNI-CVA-L5</v>
      </c>
    </row>
    <row r="2386" spans="1:17" x14ac:dyDescent="0.25">
      <c r="A2386" t="s">
        <v>396</v>
      </c>
      <c r="B2386" s="13" t="s">
        <v>23</v>
      </c>
      <c r="C2386" s="13" t="s">
        <v>201</v>
      </c>
      <c r="D2386" s="14" t="s">
        <v>160</v>
      </c>
      <c r="E2386" s="13" t="s">
        <v>191</v>
      </c>
      <c r="F2386" s="13" t="s">
        <v>1048</v>
      </c>
      <c r="G2386" s="13">
        <v>0.39</v>
      </c>
      <c r="H2386" s="15">
        <v>3325</v>
      </c>
      <c r="I2386" s="16">
        <v>1296.7500000000002</v>
      </c>
      <c r="J2386" s="16">
        <v>1837.4323998795544</v>
      </c>
      <c r="K2386" s="16">
        <v>-540.6823998795544</v>
      </c>
      <c r="L2386" s="13">
        <v>1.73</v>
      </c>
      <c r="M2386" s="13"/>
      <c r="N2386" s="17">
        <f t="shared" si="79"/>
        <v>5752.25</v>
      </c>
      <c r="O2386" s="17">
        <f t="shared" si="79"/>
        <v>0</v>
      </c>
      <c r="P2386" s="17">
        <f t="shared" si="80"/>
        <v>5752.25</v>
      </c>
      <c r="Q2386" t="str">
        <f>A2386&amp;"-"&amp;B2386&amp;"-"&amp;D2386</f>
        <v>JUNI-CVA-L5</v>
      </c>
    </row>
    <row r="2387" spans="1:17" x14ac:dyDescent="0.25">
      <c r="A2387" t="s">
        <v>396</v>
      </c>
      <c r="B2387" s="13" t="s">
        <v>23</v>
      </c>
      <c r="C2387" s="13" t="s">
        <v>201</v>
      </c>
      <c r="D2387" s="14" t="s">
        <v>163</v>
      </c>
      <c r="E2387" s="13" t="s">
        <v>191</v>
      </c>
      <c r="F2387" s="13" t="s">
        <v>439</v>
      </c>
      <c r="G2387" s="13">
        <v>0.45000000000000007</v>
      </c>
      <c r="H2387" s="15">
        <v>14855</v>
      </c>
      <c r="I2387" s="16">
        <v>6684.75</v>
      </c>
      <c r="J2387" s="16">
        <v>4689.1873318681319</v>
      </c>
      <c r="K2387" s="16">
        <v>1995.5626681318681</v>
      </c>
      <c r="L2387" s="13">
        <v>1.1399999999999999</v>
      </c>
      <c r="M2387" s="13"/>
      <c r="N2387" s="17">
        <f t="shared" si="79"/>
        <v>16934.699999999997</v>
      </c>
      <c r="O2387" s="17">
        <f t="shared" si="79"/>
        <v>0</v>
      </c>
      <c r="P2387" s="17">
        <f t="shared" si="80"/>
        <v>16934.699999999997</v>
      </c>
      <c r="Q2387" t="str">
        <f>A2387&amp;"-"&amp;B2387&amp;"-"&amp;D2387</f>
        <v>JUNI-CVA-L6</v>
      </c>
    </row>
    <row r="2388" spans="1:17" x14ac:dyDescent="0.25">
      <c r="A2388" t="s">
        <v>396</v>
      </c>
      <c r="B2388" s="13" t="s">
        <v>23</v>
      </c>
      <c r="C2388" s="13" t="s">
        <v>201</v>
      </c>
      <c r="D2388" s="14" t="s">
        <v>163</v>
      </c>
      <c r="E2388" s="13" t="s">
        <v>191</v>
      </c>
      <c r="F2388" s="13" t="s">
        <v>1047</v>
      </c>
      <c r="G2388" s="13">
        <v>0.48</v>
      </c>
      <c r="H2388" s="15">
        <v>6925</v>
      </c>
      <c r="I2388" s="16">
        <v>3324</v>
      </c>
      <c r="J2388" s="16">
        <v>2332.952668131868</v>
      </c>
      <c r="K2388" s="16">
        <v>991.04733186813189</v>
      </c>
      <c r="L2388" s="13">
        <v>1.08</v>
      </c>
      <c r="M2388" s="13"/>
      <c r="N2388" s="17">
        <f t="shared" si="79"/>
        <v>7479.0000000000009</v>
      </c>
      <c r="O2388" s="17">
        <f t="shared" si="79"/>
        <v>0</v>
      </c>
      <c r="P2388" s="17">
        <f t="shared" si="80"/>
        <v>7479.0000000000009</v>
      </c>
      <c r="Q2388" t="str">
        <f>A2388&amp;"-"&amp;B2388&amp;"-"&amp;D2388</f>
        <v>JUNI-CVA-L6</v>
      </c>
    </row>
    <row r="2389" spans="1:17" x14ac:dyDescent="0.25">
      <c r="A2389" t="s">
        <v>396</v>
      </c>
      <c r="B2389" s="13" t="s">
        <v>23</v>
      </c>
      <c r="C2389" s="13" t="s">
        <v>201</v>
      </c>
      <c r="D2389" s="14" t="s">
        <v>163</v>
      </c>
      <c r="E2389" s="13" t="s">
        <v>191</v>
      </c>
      <c r="F2389" s="13" t="s">
        <v>859</v>
      </c>
      <c r="G2389" s="13">
        <v>0.38999999999999996</v>
      </c>
      <c r="H2389" s="15">
        <v>2910</v>
      </c>
      <c r="I2389" s="16">
        <v>1134.9000000000001</v>
      </c>
      <c r="J2389" s="16">
        <v>1533.57</v>
      </c>
      <c r="K2389" s="16">
        <v>-398.67</v>
      </c>
      <c r="L2389" s="13">
        <v>1.48</v>
      </c>
      <c r="M2389" s="13"/>
      <c r="N2389" s="17">
        <f t="shared" si="79"/>
        <v>4306.8</v>
      </c>
      <c r="O2389" s="17">
        <f t="shared" si="79"/>
        <v>0</v>
      </c>
      <c r="P2389" s="17">
        <f t="shared" si="80"/>
        <v>4306.8</v>
      </c>
      <c r="Q2389" t="str">
        <f>A2389&amp;"-"&amp;B2389&amp;"-"&amp;D2389</f>
        <v>JUNI-CVA-L6</v>
      </c>
    </row>
    <row r="2390" spans="1:17" x14ac:dyDescent="0.25">
      <c r="A2390" t="s">
        <v>396</v>
      </c>
      <c r="B2390" s="13" t="s">
        <v>23</v>
      </c>
      <c r="C2390" s="13" t="s">
        <v>201</v>
      </c>
      <c r="D2390" s="14" t="s">
        <v>163</v>
      </c>
      <c r="E2390" s="13" t="s">
        <v>191</v>
      </c>
      <c r="F2390" s="13" t="s">
        <v>1049</v>
      </c>
      <c r="G2390" s="13">
        <v>0.39</v>
      </c>
      <c r="H2390" s="15">
        <v>4534</v>
      </c>
      <c r="I2390" s="16">
        <v>1768.2600000000002</v>
      </c>
      <c r="J2390" s="16">
        <v>2663.5699999999997</v>
      </c>
      <c r="K2390" s="16">
        <v>-895.31</v>
      </c>
      <c r="L2390" s="13">
        <v>1.73</v>
      </c>
      <c r="M2390" s="13"/>
      <c r="N2390" s="17">
        <f t="shared" si="79"/>
        <v>7843.82</v>
      </c>
      <c r="O2390" s="17">
        <f t="shared" si="79"/>
        <v>0</v>
      </c>
      <c r="P2390" s="17">
        <f t="shared" si="80"/>
        <v>7843.82</v>
      </c>
      <c r="Q2390" t="str">
        <f>A2390&amp;"-"&amp;B2390&amp;"-"&amp;D2390</f>
        <v>JUNI-CVA-L6</v>
      </c>
    </row>
    <row r="2391" spans="1:17" x14ac:dyDescent="0.25">
      <c r="A2391" t="s">
        <v>396</v>
      </c>
      <c r="B2391" s="13" t="s">
        <v>23</v>
      </c>
      <c r="C2391" s="13" t="s">
        <v>201</v>
      </c>
      <c r="D2391" s="14" t="s">
        <v>163</v>
      </c>
      <c r="E2391" s="13" t="s">
        <v>191</v>
      </c>
      <c r="F2391" s="13" t="s">
        <v>1048</v>
      </c>
      <c r="G2391" s="13">
        <v>0.38999999999999996</v>
      </c>
      <c r="H2391" s="15">
        <v>2695</v>
      </c>
      <c r="I2391" s="16">
        <v>1051.05</v>
      </c>
      <c r="J2391" s="16">
        <v>1695</v>
      </c>
      <c r="K2391" s="16">
        <v>-643.95000000000005</v>
      </c>
      <c r="L2391" s="13">
        <v>1.73</v>
      </c>
      <c r="M2391" s="13"/>
      <c r="N2391" s="17">
        <f t="shared" si="79"/>
        <v>4662.3500000000004</v>
      </c>
      <c r="O2391" s="17">
        <f t="shared" si="79"/>
        <v>0</v>
      </c>
      <c r="P2391" s="17">
        <f t="shared" si="80"/>
        <v>4662.3500000000004</v>
      </c>
      <c r="Q2391" t="str">
        <f>A2391&amp;"-"&amp;B2391&amp;"-"&amp;D2391</f>
        <v>JUNI-CVA-L6</v>
      </c>
    </row>
    <row r="2392" spans="1:17" x14ac:dyDescent="0.25">
      <c r="A2392" t="s">
        <v>396</v>
      </c>
      <c r="B2392" s="13" t="s">
        <v>23</v>
      </c>
      <c r="C2392" s="13" t="s">
        <v>201</v>
      </c>
      <c r="D2392" s="14" t="s">
        <v>164</v>
      </c>
      <c r="E2392" s="13" t="s">
        <v>191</v>
      </c>
      <c r="F2392" s="13" t="s">
        <v>445</v>
      </c>
      <c r="G2392" s="13">
        <v>0.45</v>
      </c>
      <c r="H2392" s="15">
        <v>4678</v>
      </c>
      <c r="I2392" s="16">
        <v>2105.1</v>
      </c>
      <c r="J2392" s="16">
        <v>2537.2659761549921</v>
      </c>
      <c r="K2392" s="16">
        <v>-432.16597615499256</v>
      </c>
      <c r="L2392" s="13">
        <v>1.1000000000000001</v>
      </c>
      <c r="M2392" s="13"/>
      <c r="N2392" s="17">
        <f t="shared" si="79"/>
        <v>5145.8</v>
      </c>
      <c r="O2392" s="17">
        <f t="shared" si="79"/>
        <v>0</v>
      </c>
      <c r="P2392" s="17">
        <f t="shared" si="80"/>
        <v>5145.8</v>
      </c>
      <c r="Q2392" t="str">
        <f>A2392&amp;"-"&amp;B2392&amp;"-"&amp;D2392</f>
        <v>JUNI-CVA-L7</v>
      </c>
    </row>
    <row r="2393" spans="1:17" x14ac:dyDescent="0.25">
      <c r="A2393" t="s">
        <v>396</v>
      </c>
      <c r="B2393" s="13" t="s">
        <v>23</v>
      </c>
      <c r="C2393" s="13" t="s">
        <v>201</v>
      </c>
      <c r="D2393" s="14" t="s">
        <v>164</v>
      </c>
      <c r="E2393" s="13" t="s">
        <v>191</v>
      </c>
      <c r="F2393" s="13" t="s">
        <v>1047</v>
      </c>
      <c r="G2393" s="13">
        <v>0.48</v>
      </c>
      <c r="H2393" s="15">
        <v>9047</v>
      </c>
      <c r="I2393" s="16">
        <v>4342.5600000000004</v>
      </c>
      <c r="J2393" s="16">
        <v>3919.8740238450073</v>
      </c>
      <c r="K2393" s="16">
        <v>422.68597615499249</v>
      </c>
      <c r="L2393" s="13">
        <v>1.08</v>
      </c>
      <c r="M2393" s="13"/>
      <c r="N2393" s="17">
        <f t="shared" si="79"/>
        <v>9770.76</v>
      </c>
      <c r="O2393" s="17">
        <f t="shared" si="79"/>
        <v>0</v>
      </c>
      <c r="P2393" s="17">
        <f t="shared" si="80"/>
        <v>9770.76</v>
      </c>
      <c r="Q2393" t="str">
        <f>A2393&amp;"-"&amp;B2393&amp;"-"&amp;D2393</f>
        <v>JUNI-CVA-L7</v>
      </c>
    </row>
    <row r="2394" spans="1:17" x14ac:dyDescent="0.25">
      <c r="A2394" t="s">
        <v>396</v>
      </c>
      <c r="B2394" s="13" t="s">
        <v>23</v>
      </c>
      <c r="C2394" s="13" t="s">
        <v>201</v>
      </c>
      <c r="D2394" s="14" t="s">
        <v>164</v>
      </c>
      <c r="E2394" s="13" t="s">
        <v>191</v>
      </c>
      <c r="F2394" s="13" t="s">
        <v>443</v>
      </c>
      <c r="G2394" s="13">
        <v>0.37999999999999995</v>
      </c>
      <c r="H2394" s="15">
        <v>12809</v>
      </c>
      <c r="I2394" s="16">
        <v>4867.42</v>
      </c>
      <c r="J2394" s="16">
        <v>3618.7961059907834</v>
      </c>
      <c r="K2394" s="16">
        <v>1248.6238940092167</v>
      </c>
      <c r="L2394" s="13">
        <v>1.1499999999999999</v>
      </c>
      <c r="M2394" s="13"/>
      <c r="N2394" s="17">
        <f t="shared" si="79"/>
        <v>14730.349999999999</v>
      </c>
      <c r="O2394" s="17">
        <f t="shared" si="79"/>
        <v>0</v>
      </c>
      <c r="P2394" s="17">
        <f t="shared" si="80"/>
        <v>14730.349999999999</v>
      </c>
      <c r="Q2394" t="str">
        <f>A2394&amp;"-"&amp;B2394&amp;"-"&amp;D2394</f>
        <v>JUNI-CVA-L7</v>
      </c>
    </row>
    <row r="2395" spans="1:17" x14ac:dyDescent="0.25">
      <c r="A2395" t="s">
        <v>396</v>
      </c>
      <c r="B2395" s="13" t="s">
        <v>23</v>
      </c>
      <c r="C2395" s="13" t="s">
        <v>201</v>
      </c>
      <c r="D2395" s="14" t="s">
        <v>164</v>
      </c>
      <c r="E2395" s="13" t="s">
        <v>191</v>
      </c>
      <c r="F2395" s="13" t="s">
        <v>569</v>
      </c>
      <c r="G2395" s="13">
        <v>0.38000000000000006</v>
      </c>
      <c r="H2395" s="15">
        <v>4131</v>
      </c>
      <c r="I2395" s="16">
        <v>1569.78</v>
      </c>
      <c r="J2395" s="16">
        <v>1143.3438940092167</v>
      </c>
      <c r="K2395" s="16">
        <v>426.43610599078346</v>
      </c>
      <c r="L2395" s="13">
        <v>1.1000000000000001</v>
      </c>
      <c r="M2395" s="13"/>
      <c r="N2395" s="17">
        <f t="shared" si="79"/>
        <v>4544.1000000000004</v>
      </c>
      <c r="O2395" s="17">
        <f t="shared" si="79"/>
        <v>0</v>
      </c>
      <c r="P2395" s="17">
        <f t="shared" si="80"/>
        <v>4544.1000000000004</v>
      </c>
      <c r="Q2395" t="str">
        <f>A2395&amp;"-"&amp;B2395&amp;"-"&amp;D2395</f>
        <v>JUNI-CVA-L7</v>
      </c>
    </row>
    <row r="2396" spans="1:17" x14ac:dyDescent="0.25">
      <c r="A2396" t="s">
        <v>396</v>
      </c>
      <c r="B2396" s="13" t="s">
        <v>23</v>
      </c>
      <c r="C2396" s="13" t="s">
        <v>201</v>
      </c>
      <c r="D2396" s="14" t="s">
        <v>164</v>
      </c>
      <c r="E2396" s="13" t="s">
        <v>191</v>
      </c>
      <c r="F2396" s="13" t="s">
        <v>568</v>
      </c>
      <c r="G2396" s="13">
        <v>0.38000000000000006</v>
      </c>
      <c r="H2396" s="15">
        <v>6156</v>
      </c>
      <c r="I2396" s="16">
        <v>2339.2799999999997</v>
      </c>
      <c r="J2396" s="16">
        <v>1695</v>
      </c>
      <c r="K2396" s="16">
        <v>644.28</v>
      </c>
      <c r="L2396" s="13">
        <v>1.1499999999999999</v>
      </c>
      <c r="M2396" s="13"/>
      <c r="N2396" s="17">
        <f t="shared" si="79"/>
        <v>7079.4</v>
      </c>
      <c r="O2396" s="17">
        <f t="shared" si="79"/>
        <v>0</v>
      </c>
      <c r="P2396" s="17">
        <f t="shared" si="80"/>
        <v>7079.4</v>
      </c>
      <c r="Q2396" t="str">
        <f>A2396&amp;"-"&amp;B2396&amp;"-"&amp;D2396</f>
        <v>JUNI-CVA-L7</v>
      </c>
    </row>
    <row r="2397" spans="1:17" x14ac:dyDescent="0.25">
      <c r="A2397" t="s">
        <v>396</v>
      </c>
      <c r="B2397" s="13" t="s">
        <v>23</v>
      </c>
      <c r="C2397" s="13" t="s">
        <v>201</v>
      </c>
      <c r="D2397" s="14" t="s">
        <v>198</v>
      </c>
      <c r="E2397" s="13" t="s">
        <v>191</v>
      </c>
      <c r="F2397" s="13" t="s">
        <v>445</v>
      </c>
      <c r="G2397" s="13">
        <v>0.45</v>
      </c>
      <c r="H2397" s="15">
        <v>5770</v>
      </c>
      <c r="I2397" s="16">
        <v>2596.5</v>
      </c>
      <c r="J2397" s="16">
        <v>2663.5699999999997</v>
      </c>
      <c r="K2397" s="16">
        <v>-67.069999999999993</v>
      </c>
      <c r="L2397" s="13">
        <v>1.1000000000000001</v>
      </c>
      <c r="M2397" s="13"/>
      <c r="N2397" s="17">
        <f t="shared" si="79"/>
        <v>6347.0000000000009</v>
      </c>
      <c r="O2397" s="17">
        <f t="shared" si="79"/>
        <v>0</v>
      </c>
      <c r="P2397" s="17">
        <f t="shared" si="80"/>
        <v>6347.0000000000009</v>
      </c>
      <c r="Q2397" t="str">
        <f>A2397&amp;"-"&amp;B2397&amp;"-"&amp;D2397</f>
        <v>JUNI-CVA-L8</v>
      </c>
    </row>
    <row r="2398" spans="1:17" x14ac:dyDescent="0.25">
      <c r="A2398" t="s">
        <v>396</v>
      </c>
      <c r="B2398" s="13" t="s">
        <v>23</v>
      </c>
      <c r="C2398" s="13" t="s">
        <v>201</v>
      </c>
      <c r="D2398" s="14" t="s">
        <v>198</v>
      </c>
      <c r="E2398" s="13" t="s">
        <v>191</v>
      </c>
      <c r="F2398" s="13" t="s">
        <v>1047</v>
      </c>
      <c r="G2398" s="13">
        <v>0.48</v>
      </c>
      <c r="H2398" s="15">
        <v>6790</v>
      </c>
      <c r="I2398" s="16">
        <v>3259.2000000000003</v>
      </c>
      <c r="J2398" s="16">
        <v>3793.5699999999997</v>
      </c>
      <c r="K2398" s="16">
        <v>-534.37</v>
      </c>
      <c r="L2398" s="13">
        <v>1.08</v>
      </c>
      <c r="M2398" s="13"/>
      <c r="N2398" s="17">
        <f t="shared" si="79"/>
        <v>7333.2000000000007</v>
      </c>
      <c r="O2398" s="17">
        <f t="shared" si="79"/>
        <v>0</v>
      </c>
      <c r="P2398" s="17">
        <f t="shared" si="80"/>
        <v>7333.2000000000007</v>
      </c>
      <c r="Q2398" t="str">
        <f>A2398&amp;"-"&amp;B2398&amp;"-"&amp;D2398</f>
        <v>JUNI-CVA-L8</v>
      </c>
    </row>
    <row r="2399" spans="1:17" x14ac:dyDescent="0.25">
      <c r="A2399" t="s">
        <v>396</v>
      </c>
      <c r="B2399" s="13" t="s">
        <v>23</v>
      </c>
      <c r="C2399" s="13" t="s">
        <v>201</v>
      </c>
      <c r="D2399" s="14" t="s">
        <v>198</v>
      </c>
      <c r="E2399" s="13" t="s">
        <v>191</v>
      </c>
      <c r="F2399" s="13" t="s">
        <v>443</v>
      </c>
      <c r="G2399" s="13">
        <v>0.37999999999999995</v>
      </c>
      <c r="H2399" s="15">
        <v>10324</v>
      </c>
      <c r="I2399" s="16">
        <v>3923.12</v>
      </c>
      <c r="J2399" s="16">
        <v>2771.5429599560298</v>
      </c>
      <c r="K2399" s="16">
        <v>1151.5770400439706</v>
      </c>
      <c r="L2399" s="13">
        <v>1.1499999999999999</v>
      </c>
      <c r="M2399" s="13"/>
      <c r="N2399" s="17">
        <f t="shared" si="79"/>
        <v>11872.599999999999</v>
      </c>
      <c r="O2399" s="17">
        <f t="shared" si="79"/>
        <v>0</v>
      </c>
      <c r="P2399" s="17">
        <f t="shared" si="80"/>
        <v>11872.599999999999</v>
      </c>
      <c r="Q2399" t="str">
        <f>A2399&amp;"-"&amp;B2399&amp;"-"&amp;D2399</f>
        <v>JUNI-CVA-L8</v>
      </c>
    </row>
    <row r="2400" spans="1:17" x14ac:dyDescent="0.25">
      <c r="A2400" t="s">
        <v>396</v>
      </c>
      <c r="B2400" s="13" t="s">
        <v>23</v>
      </c>
      <c r="C2400" s="13" t="s">
        <v>201</v>
      </c>
      <c r="D2400" s="14" t="s">
        <v>198</v>
      </c>
      <c r="E2400" s="13" t="s">
        <v>191</v>
      </c>
      <c r="F2400" s="13" t="s">
        <v>569</v>
      </c>
      <c r="G2400" s="13">
        <v>0.38000000000000006</v>
      </c>
      <c r="H2400" s="15">
        <v>5041</v>
      </c>
      <c r="I2400" s="16">
        <v>1915.58</v>
      </c>
      <c r="J2400" s="16">
        <v>1416.2939049586776</v>
      </c>
      <c r="K2400" s="16">
        <v>499.28609504132226</v>
      </c>
      <c r="L2400" s="13">
        <v>1.1000000000000001</v>
      </c>
      <c r="M2400" s="13"/>
      <c r="N2400" s="17">
        <f t="shared" si="79"/>
        <v>5545.1</v>
      </c>
      <c r="O2400" s="17">
        <f t="shared" si="79"/>
        <v>0</v>
      </c>
      <c r="P2400" s="17">
        <f t="shared" si="80"/>
        <v>5545.1</v>
      </c>
      <c r="Q2400" t="str">
        <f>A2400&amp;"-"&amp;B2400&amp;"-"&amp;D2400</f>
        <v>JUNI-CVA-L8</v>
      </c>
    </row>
    <row r="2401" spans="1:17" x14ac:dyDescent="0.25">
      <c r="A2401" t="s">
        <v>396</v>
      </c>
      <c r="B2401" s="13" t="s">
        <v>23</v>
      </c>
      <c r="C2401" s="13" t="s">
        <v>201</v>
      </c>
      <c r="D2401" s="14" t="s">
        <v>198</v>
      </c>
      <c r="E2401" s="13" t="s">
        <v>191</v>
      </c>
      <c r="F2401" s="13" t="s">
        <v>568</v>
      </c>
      <c r="G2401" s="13">
        <v>0.38</v>
      </c>
      <c r="H2401" s="15">
        <v>7634</v>
      </c>
      <c r="I2401" s="16">
        <v>2900.92</v>
      </c>
      <c r="J2401" s="16">
        <v>2269.3031350852925</v>
      </c>
      <c r="K2401" s="16">
        <v>631.61686491470721</v>
      </c>
      <c r="L2401" s="13">
        <v>1.1499999999999999</v>
      </c>
      <c r="M2401" s="13"/>
      <c r="N2401" s="17">
        <f t="shared" si="79"/>
        <v>8779.0999999999985</v>
      </c>
      <c r="O2401" s="17">
        <f t="shared" si="79"/>
        <v>0</v>
      </c>
      <c r="P2401" s="17">
        <f t="shared" si="80"/>
        <v>8779.0999999999985</v>
      </c>
      <c r="Q2401" t="str">
        <f>A2401&amp;"-"&amp;B2401&amp;"-"&amp;D2401</f>
        <v>JUNI-CVA-L8</v>
      </c>
    </row>
    <row r="2402" spans="1:17" x14ac:dyDescent="0.25">
      <c r="A2402" t="s">
        <v>396</v>
      </c>
      <c r="B2402" s="13" t="s">
        <v>23</v>
      </c>
      <c r="C2402" s="13" t="s">
        <v>201</v>
      </c>
      <c r="D2402" s="14" t="s">
        <v>199</v>
      </c>
      <c r="E2402" s="13" t="s">
        <v>191</v>
      </c>
      <c r="F2402" s="13" t="s">
        <v>445</v>
      </c>
      <c r="G2402" s="13">
        <v>0.45</v>
      </c>
      <c r="H2402" s="15">
        <v>1860</v>
      </c>
      <c r="I2402" s="16">
        <v>837</v>
      </c>
      <c r="J2402" s="16">
        <v>1533.57</v>
      </c>
      <c r="K2402" s="16">
        <v>-696.56999999999994</v>
      </c>
      <c r="L2402" s="13">
        <v>1.1000000000000001</v>
      </c>
      <c r="M2402" s="13"/>
      <c r="N2402" s="17">
        <f t="shared" si="79"/>
        <v>2046.0000000000002</v>
      </c>
      <c r="O2402" s="17">
        <f t="shared" si="79"/>
        <v>0</v>
      </c>
      <c r="P2402" s="17">
        <f t="shared" si="80"/>
        <v>2046.0000000000002</v>
      </c>
      <c r="Q2402" t="str">
        <f>A2402&amp;"-"&amp;B2402&amp;"-"&amp;D2402</f>
        <v>JUNI-CVA-L9</v>
      </c>
    </row>
    <row r="2403" spans="1:17" x14ac:dyDescent="0.25">
      <c r="A2403" t="s">
        <v>396</v>
      </c>
      <c r="B2403" s="13" t="s">
        <v>23</v>
      </c>
      <c r="C2403" s="13" t="s">
        <v>201</v>
      </c>
      <c r="D2403" s="14" t="s">
        <v>199</v>
      </c>
      <c r="E2403" s="13" t="s">
        <v>191</v>
      </c>
      <c r="F2403" s="13" t="s">
        <v>1047</v>
      </c>
      <c r="G2403" s="13">
        <v>0.48</v>
      </c>
      <c r="H2403" s="15">
        <v>6351</v>
      </c>
      <c r="I2403" s="16">
        <v>3048.48</v>
      </c>
      <c r="J2403" s="16">
        <v>4358.57</v>
      </c>
      <c r="K2403" s="16">
        <v>-1310.0900000000001</v>
      </c>
      <c r="L2403" s="13">
        <v>1.08</v>
      </c>
      <c r="M2403" s="13"/>
      <c r="N2403" s="17">
        <f t="shared" ref="N2403:O2464" si="81">$H2403*L2403</f>
        <v>6859.0800000000008</v>
      </c>
      <c r="O2403" s="17">
        <f t="shared" si="81"/>
        <v>0</v>
      </c>
      <c r="P2403" s="17">
        <f t="shared" si="80"/>
        <v>6859.0800000000008</v>
      </c>
      <c r="Q2403" t="str">
        <f>A2403&amp;"-"&amp;B2403&amp;"-"&amp;D2403</f>
        <v>JUNI-CVA-L9</v>
      </c>
    </row>
    <row r="2404" spans="1:17" x14ac:dyDescent="0.25">
      <c r="A2404" t="s">
        <v>396</v>
      </c>
      <c r="B2404" s="13" t="s">
        <v>23</v>
      </c>
      <c r="C2404" s="13" t="s">
        <v>201</v>
      </c>
      <c r="D2404" s="14" t="s">
        <v>199</v>
      </c>
      <c r="E2404" s="13" t="s">
        <v>191</v>
      </c>
      <c r="F2404" s="13" t="s">
        <v>443</v>
      </c>
      <c r="G2404" s="13">
        <v>0.37999999999999995</v>
      </c>
      <c r="H2404" s="15">
        <v>10013</v>
      </c>
      <c r="I2404" s="16">
        <v>3804.94</v>
      </c>
      <c r="J2404" s="16">
        <v>3499.1705862361937</v>
      </c>
      <c r="K2404" s="16">
        <v>305.76941376380626</v>
      </c>
      <c r="L2404" s="13">
        <v>1.1499999999999999</v>
      </c>
      <c r="M2404" s="13"/>
      <c r="N2404" s="17">
        <f t="shared" si="81"/>
        <v>11514.949999999999</v>
      </c>
      <c r="O2404" s="17">
        <f t="shared" si="81"/>
        <v>0</v>
      </c>
      <c r="P2404" s="17">
        <f t="shared" si="80"/>
        <v>11514.949999999999</v>
      </c>
      <c r="Q2404" t="str">
        <f>A2404&amp;"-"&amp;B2404&amp;"-"&amp;D2404</f>
        <v>JUNI-CVA-L9</v>
      </c>
    </row>
    <row r="2405" spans="1:17" x14ac:dyDescent="0.25">
      <c r="A2405" t="s">
        <v>396</v>
      </c>
      <c r="B2405" s="13" t="s">
        <v>23</v>
      </c>
      <c r="C2405" s="13" t="s">
        <v>201</v>
      </c>
      <c r="D2405" s="14" t="s">
        <v>199</v>
      </c>
      <c r="E2405" s="13" t="s">
        <v>191</v>
      </c>
      <c r="F2405" s="13" t="s">
        <v>569</v>
      </c>
      <c r="G2405" s="13">
        <v>0.38000000000000006</v>
      </c>
      <c r="H2405" s="15">
        <v>3572</v>
      </c>
      <c r="I2405" s="16">
        <v>1357.36</v>
      </c>
      <c r="J2405" s="16">
        <v>1262.9694137638062</v>
      </c>
      <c r="K2405" s="16">
        <v>94.390586236193613</v>
      </c>
      <c r="L2405" s="13">
        <v>1.1000000000000001</v>
      </c>
      <c r="M2405" s="13"/>
      <c r="N2405" s="17">
        <f t="shared" si="81"/>
        <v>3929.2000000000003</v>
      </c>
      <c r="O2405" s="17">
        <f t="shared" si="81"/>
        <v>0</v>
      </c>
      <c r="P2405" s="17">
        <f t="shared" si="80"/>
        <v>3929.2000000000003</v>
      </c>
      <c r="Q2405" t="str">
        <f>A2405&amp;"-"&amp;B2405&amp;"-"&amp;D2405</f>
        <v>JUNI-CVA-L9</v>
      </c>
    </row>
    <row r="2406" spans="1:17" x14ac:dyDescent="0.25">
      <c r="A2406" t="s">
        <v>396</v>
      </c>
      <c r="B2406" s="13" t="s">
        <v>23</v>
      </c>
      <c r="C2406" s="13" t="s">
        <v>201</v>
      </c>
      <c r="D2406" s="14" t="s">
        <v>199</v>
      </c>
      <c r="E2406" s="13" t="s">
        <v>191</v>
      </c>
      <c r="F2406" s="13" t="s">
        <v>568</v>
      </c>
      <c r="G2406" s="13">
        <v>0.38</v>
      </c>
      <c r="H2406" s="15">
        <v>6899</v>
      </c>
      <c r="I2406" s="16">
        <v>2621.62</v>
      </c>
      <c r="J2406" s="16">
        <v>2260</v>
      </c>
      <c r="K2406" s="16">
        <v>361.62</v>
      </c>
      <c r="L2406" s="13">
        <v>1.1499999999999999</v>
      </c>
      <c r="M2406" s="13"/>
      <c r="N2406" s="17">
        <f t="shared" si="81"/>
        <v>7933.8499999999995</v>
      </c>
      <c r="O2406" s="17">
        <f t="shared" si="81"/>
        <v>0</v>
      </c>
      <c r="P2406" s="17">
        <f t="shared" si="80"/>
        <v>7933.8499999999995</v>
      </c>
      <c r="Q2406" t="str">
        <f>A2406&amp;"-"&amp;B2406&amp;"-"&amp;D2406</f>
        <v>JUNI-CVA-L9</v>
      </c>
    </row>
    <row r="2407" spans="1:17" x14ac:dyDescent="0.25">
      <c r="A2407" t="s">
        <v>396</v>
      </c>
      <c r="B2407" s="13" t="s">
        <v>24</v>
      </c>
      <c r="C2407" s="13" t="s">
        <v>226</v>
      </c>
      <c r="D2407" s="14" t="s">
        <v>219</v>
      </c>
      <c r="E2407" s="13" t="s">
        <v>61</v>
      </c>
      <c r="F2407" s="13" t="s">
        <v>1050</v>
      </c>
      <c r="G2407" s="13">
        <v>0.68</v>
      </c>
      <c r="H2407" s="15">
        <v>2120</v>
      </c>
      <c r="I2407" s="16">
        <v>1441.6</v>
      </c>
      <c r="J2407" s="16">
        <v>899.23840455712161</v>
      </c>
      <c r="K2407" s="16">
        <v>542.3615954428783</v>
      </c>
      <c r="L2407" s="13">
        <v>1.82</v>
      </c>
      <c r="M2407" s="13"/>
      <c r="N2407" s="17">
        <f t="shared" si="81"/>
        <v>3858.4</v>
      </c>
      <c r="O2407" s="17">
        <f t="shared" si="81"/>
        <v>0</v>
      </c>
      <c r="P2407" s="17">
        <f t="shared" si="80"/>
        <v>3858.4</v>
      </c>
      <c r="Q2407" t="str">
        <f>A2407&amp;"-"&amp;B2407&amp;"-"&amp;D2407</f>
        <v>JUNI-KLB-L1A</v>
      </c>
    </row>
    <row r="2408" spans="1:17" x14ac:dyDescent="0.25">
      <c r="A2408" t="s">
        <v>396</v>
      </c>
      <c r="B2408" s="13" t="s">
        <v>24</v>
      </c>
      <c r="C2408" s="13" t="s">
        <v>226</v>
      </c>
      <c r="D2408" s="14" t="s">
        <v>219</v>
      </c>
      <c r="E2408" s="13" t="s">
        <v>61</v>
      </c>
      <c r="F2408" s="13" t="s">
        <v>1051</v>
      </c>
      <c r="G2408" s="13">
        <v>0.8</v>
      </c>
      <c r="H2408" s="15">
        <v>1438</v>
      </c>
      <c r="I2408" s="16">
        <v>1150.3999999999999</v>
      </c>
      <c r="J2408" s="16">
        <v>771.46432785177285</v>
      </c>
      <c r="K2408" s="16">
        <v>378.93567214822713</v>
      </c>
      <c r="L2408" s="13">
        <v>2.1</v>
      </c>
      <c r="M2408" s="13"/>
      <c r="N2408" s="17">
        <f t="shared" si="81"/>
        <v>3019.8</v>
      </c>
      <c r="O2408" s="17">
        <f t="shared" si="81"/>
        <v>0</v>
      </c>
      <c r="P2408" s="17">
        <f t="shared" si="80"/>
        <v>3019.8</v>
      </c>
      <c r="Q2408" t="str">
        <f>A2408&amp;"-"&amp;B2408&amp;"-"&amp;D2408</f>
        <v>JUNI-KLB-L1A</v>
      </c>
    </row>
    <row r="2409" spans="1:17" x14ac:dyDescent="0.25">
      <c r="A2409" t="s">
        <v>396</v>
      </c>
      <c r="B2409" s="13" t="s">
        <v>24</v>
      </c>
      <c r="C2409" s="13" t="s">
        <v>226</v>
      </c>
      <c r="D2409" s="14" t="s">
        <v>219</v>
      </c>
      <c r="E2409" s="13" t="s">
        <v>61</v>
      </c>
      <c r="F2409" s="13" t="s">
        <v>1052</v>
      </c>
      <c r="G2409" s="13">
        <v>0.73999999999999988</v>
      </c>
      <c r="H2409" s="15">
        <v>443</v>
      </c>
      <c r="I2409" s="16">
        <v>327.82</v>
      </c>
      <c r="J2409" s="16">
        <v>235.98224282085502</v>
      </c>
      <c r="K2409" s="16">
        <v>91.837757179144958</v>
      </c>
      <c r="L2409" s="13">
        <v>2.2599999999999998</v>
      </c>
      <c r="M2409" s="13"/>
      <c r="N2409" s="17">
        <f t="shared" si="81"/>
        <v>1001.18</v>
      </c>
      <c r="O2409" s="17">
        <f t="shared" si="81"/>
        <v>0</v>
      </c>
      <c r="P2409" s="17">
        <f t="shared" si="80"/>
        <v>1001.18</v>
      </c>
      <c r="Q2409" t="str">
        <f>A2409&amp;"-"&amp;B2409&amp;"-"&amp;D2409</f>
        <v>JUNI-KLB-L1A</v>
      </c>
    </row>
    <row r="2410" spans="1:17" x14ac:dyDescent="0.25">
      <c r="A2410" t="s">
        <v>396</v>
      </c>
      <c r="B2410" s="13" t="s">
        <v>24</v>
      </c>
      <c r="C2410" s="13" t="s">
        <v>226</v>
      </c>
      <c r="D2410" s="14" t="s">
        <v>219</v>
      </c>
      <c r="E2410" s="13" t="s">
        <v>61</v>
      </c>
      <c r="F2410" s="13" t="s">
        <v>1053</v>
      </c>
      <c r="G2410" s="13">
        <v>0.68</v>
      </c>
      <c r="H2410" s="15">
        <v>2835</v>
      </c>
      <c r="I2410" s="16">
        <v>1927.8</v>
      </c>
      <c r="J2410" s="16">
        <v>1234.1389556434765</v>
      </c>
      <c r="K2410" s="16">
        <v>693.66104435652346</v>
      </c>
      <c r="L2410" s="13">
        <v>1.82</v>
      </c>
      <c r="M2410" s="13"/>
      <c r="N2410" s="17">
        <f t="shared" si="81"/>
        <v>5159.7</v>
      </c>
      <c r="O2410" s="17">
        <f t="shared" si="81"/>
        <v>0</v>
      </c>
      <c r="P2410" s="17">
        <f t="shared" si="80"/>
        <v>5159.7</v>
      </c>
      <c r="Q2410" t="str">
        <f>A2410&amp;"-"&amp;B2410&amp;"-"&amp;D2410</f>
        <v>JUNI-KLB-L1A</v>
      </c>
    </row>
    <row r="2411" spans="1:17" x14ac:dyDescent="0.25">
      <c r="A2411" t="s">
        <v>396</v>
      </c>
      <c r="B2411" s="13" t="s">
        <v>24</v>
      </c>
      <c r="C2411" s="13" t="s">
        <v>226</v>
      </c>
      <c r="D2411" s="14" t="s">
        <v>219</v>
      </c>
      <c r="E2411" s="13" t="s">
        <v>61</v>
      </c>
      <c r="F2411" s="13" t="s">
        <v>1054</v>
      </c>
      <c r="G2411" s="13">
        <v>0.65</v>
      </c>
      <c r="H2411" s="15">
        <v>3022</v>
      </c>
      <c r="I2411" s="16">
        <v>1964.3</v>
      </c>
      <c r="J2411" s="16">
        <v>1299.762224934612</v>
      </c>
      <c r="K2411" s="16">
        <v>664.5377750653879</v>
      </c>
      <c r="L2411" s="13">
        <v>1.91</v>
      </c>
      <c r="M2411" s="13"/>
      <c r="N2411" s="17">
        <f t="shared" si="81"/>
        <v>5772.0199999999995</v>
      </c>
      <c r="O2411" s="17">
        <f t="shared" si="81"/>
        <v>0</v>
      </c>
      <c r="P2411" s="17">
        <f t="shared" si="80"/>
        <v>5772.0199999999995</v>
      </c>
      <c r="Q2411" t="str">
        <f>A2411&amp;"-"&amp;B2411&amp;"-"&amp;D2411</f>
        <v>JUNI-KLB-L1A</v>
      </c>
    </row>
    <row r="2412" spans="1:17" x14ac:dyDescent="0.25">
      <c r="A2412" t="s">
        <v>396</v>
      </c>
      <c r="B2412" s="13" t="s">
        <v>24</v>
      </c>
      <c r="C2412" s="13" t="s">
        <v>226</v>
      </c>
      <c r="D2412" s="14" t="s">
        <v>219</v>
      </c>
      <c r="E2412" s="13" t="s">
        <v>61</v>
      </c>
      <c r="F2412" s="13" t="s">
        <v>1055</v>
      </c>
      <c r="G2412" s="13">
        <v>0.68</v>
      </c>
      <c r="H2412" s="15">
        <v>5115</v>
      </c>
      <c r="I2412" s="16">
        <v>3478.2</v>
      </c>
      <c r="J2412" s="16">
        <v>2235.6467671808505</v>
      </c>
      <c r="K2412" s="16">
        <v>1242.5532328191489</v>
      </c>
      <c r="L2412" s="13">
        <v>1.82</v>
      </c>
      <c r="M2412" s="13"/>
      <c r="N2412" s="17">
        <f t="shared" si="81"/>
        <v>9309.3000000000011</v>
      </c>
      <c r="O2412" s="17">
        <f t="shared" si="81"/>
        <v>0</v>
      </c>
      <c r="P2412" s="17">
        <f t="shared" si="80"/>
        <v>9309.3000000000011</v>
      </c>
      <c r="Q2412" t="str">
        <f>A2412&amp;"-"&amp;B2412&amp;"-"&amp;D2412</f>
        <v>JUNI-KLB-L1A</v>
      </c>
    </row>
    <row r="2413" spans="1:17" x14ac:dyDescent="0.25">
      <c r="A2413" t="s">
        <v>396</v>
      </c>
      <c r="B2413" s="13" t="s">
        <v>24</v>
      </c>
      <c r="C2413" s="13" t="s">
        <v>226</v>
      </c>
      <c r="D2413" s="14" t="s">
        <v>219</v>
      </c>
      <c r="E2413" s="13" t="s">
        <v>61</v>
      </c>
      <c r="F2413" s="13" t="s">
        <v>1056</v>
      </c>
      <c r="G2413" s="13">
        <v>0.66</v>
      </c>
      <c r="H2413" s="15">
        <v>2830</v>
      </c>
      <c r="I2413" s="16">
        <v>1867.8</v>
      </c>
      <c r="J2413" s="16">
        <v>1251.8928681000514</v>
      </c>
      <c r="K2413" s="16">
        <v>615.90713189994858</v>
      </c>
      <c r="L2413" s="13">
        <v>1.71</v>
      </c>
      <c r="M2413" s="13"/>
      <c r="N2413" s="17">
        <f t="shared" si="81"/>
        <v>4839.3</v>
      </c>
      <c r="O2413" s="17">
        <f t="shared" si="81"/>
        <v>0</v>
      </c>
      <c r="P2413" s="17">
        <f t="shared" si="80"/>
        <v>4839.3</v>
      </c>
      <c r="Q2413" t="str">
        <f>A2413&amp;"-"&amp;B2413&amp;"-"&amp;D2413</f>
        <v>JUNI-KLB-L1A</v>
      </c>
    </row>
    <row r="2414" spans="1:17" x14ac:dyDescent="0.25">
      <c r="A2414" t="s">
        <v>396</v>
      </c>
      <c r="B2414" s="13" t="s">
        <v>24</v>
      </c>
      <c r="C2414" s="13" t="s">
        <v>226</v>
      </c>
      <c r="D2414" s="14" t="s">
        <v>219</v>
      </c>
      <c r="E2414" s="13" t="s">
        <v>61</v>
      </c>
      <c r="F2414" s="13" t="s">
        <v>868</v>
      </c>
      <c r="G2414" s="13">
        <v>0.8</v>
      </c>
      <c r="H2414" s="15">
        <v>35</v>
      </c>
      <c r="I2414" s="16">
        <v>28</v>
      </c>
      <c r="J2414" s="16">
        <v>17.49587434623006</v>
      </c>
      <c r="K2414" s="16">
        <v>10.504125653769938</v>
      </c>
      <c r="L2414" s="13">
        <v>2.1</v>
      </c>
      <c r="M2414" s="13"/>
      <c r="N2414" s="17">
        <f t="shared" si="81"/>
        <v>73.5</v>
      </c>
      <c r="O2414" s="17">
        <f t="shared" si="81"/>
        <v>0</v>
      </c>
      <c r="P2414" s="17">
        <f t="shared" si="80"/>
        <v>73.5</v>
      </c>
      <c r="Q2414" t="str">
        <f>A2414&amp;"-"&amp;B2414&amp;"-"&amp;D2414</f>
        <v>JUNI-KLB-L1A</v>
      </c>
    </row>
    <row r="2415" spans="1:17" x14ac:dyDescent="0.25">
      <c r="A2415" t="s">
        <v>396</v>
      </c>
      <c r="B2415" s="13" t="s">
        <v>24</v>
      </c>
      <c r="C2415" s="13" t="s">
        <v>226</v>
      </c>
      <c r="D2415" s="14" t="s">
        <v>219</v>
      </c>
      <c r="E2415" s="13" t="s">
        <v>61</v>
      </c>
      <c r="F2415" s="13" t="s">
        <v>1057</v>
      </c>
      <c r="G2415" s="13">
        <v>0.65</v>
      </c>
      <c r="H2415" s="15">
        <v>2128</v>
      </c>
      <c r="I2415" s="16">
        <v>1383.2</v>
      </c>
      <c r="J2415" s="16">
        <v>1041.8899626443883</v>
      </c>
      <c r="K2415" s="16">
        <v>341.31003735561154</v>
      </c>
      <c r="L2415" s="13">
        <v>1.91</v>
      </c>
      <c r="M2415" s="13"/>
      <c r="N2415" s="17">
        <f t="shared" si="81"/>
        <v>4064.48</v>
      </c>
      <c r="O2415" s="17">
        <f t="shared" si="81"/>
        <v>0</v>
      </c>
      <c r="P2415" s="17">
        <f t="shared" si="80"/>
        <v>4064.48</v>
      </c>
      <c r="Q2415" t="str">
        <f>A2415&amp;"-"&amp;B2415&amp;"-"&amp;D2415</f>
        <v>JUNI-KLB-L1A</v>
      </c>
    </row>
    <row r="2416" spans="1:17" x14ac:dyDescent="0.25">
      <c r="A2416" t="s">
        <v>396</v>
      </c>
      <c r="B2416" s="13" t="s">
        <v>24</v>
      </c>
      <c r="C2416" s="13" t="s">
        <v>226</v>
      </c>
      <c r="D2416" s="14" t="s">
        <v>219</v>
      </c>
      <c r="E2416" s="13" t="s">
        <v>61</v>
      </c>
      <c r="F2416" s="13" t="s">
        <v>1058</v>
      </c>
      <c r="G2416" s="13">
        <v>0.65</v>
      </c>
      <c r="H2416" s="15">
        <v>1940</v>
      </c>
      <c r="I2416" s="16">
        <v>1261</v>
      </c>
      <c r="J2416" s="16">
        <v>898.96759548751731</v>
      </c>
      <c r="K2416" s="16">
        <v>362.03240451248269</v>
      </c>
      <c r="L2416" s="13">
        <v>1.91</v>
      </c>
      <c r="M2416" s="13"/>
      <c r="N2416" s="17">
        <f t="shared" si="81"/>
        <v>3705.3999999999996</v>
      </c>
      <c r="O2416" s="17">
        <f t="shared" si="81"/>
        <v>0</v>
      </c>
      <c r="P2416" s="17">
        <f t="shared" si="80"/>
        <v>3705.3999999999996</v>
      </c>
      <c r="Q2416" t="str">
        <f>A2416&amp;"-"&amp;B2416&amp;"-"&amp;D2416</f>
        <v>JUNI-KLB-L1A</v>
      </c>
    </row>
    <row r="2417" spans="1:17" x14ac:dyDescent="0.25">
      <c r="A2417" t="s">
        <v>396</v>
      </c>
      <c r="B2417" s="13" t="s">
        <v>24</v>
      </c>
      <c r="C2417" s="13" t="s">
        <v>226</v>
      </c>
      <c r="D2417" s="14" t="s">
        <v>219</v>
      </c>
      <c r="E2417" s="13" t="s">
        <v>61</v>
      </c>
      <c r="F2417" s="13" t="s">
        <v>878</v>
      </c>
      <c r="G2417" s="13">
        <v>0.80000000000000016</v>
      </c>
      <c r="H2417" s="15">
        <v>1844</v>
      </c>
      <c r="I2417" s="16">
        <v>1475.2</v>
      </c>
      <c r="J2417" s="16">
        <v>889.96712270583237</v>
      </c>
      <c r="K2417" s="16">
        <v>585.23287729416757</v>
      </c>
      <c r="L2417" s="13">
        <v>2.1</v>
      </c>
      <c r="M2417" s="13"/>
      <c r="N2417" s="17">
        <f t="shared" si="81"/>
        <v>3872.4</v>
      </c>
      <c r="O2417" s="17">
        <f t="shared" si="81"/>
        <v>0</v>
      </c>
      <c r="P2417" s="17">
        <f t="shared" si="80"/>
        <v>3872.4</v>
      </c>
      <c r="Q2417" t="str">
        <f>A2417&amp;"-"&amp;B2417&amp;"-"&amp;D2417</f>
        <v>JUNI-KLB-L1A</v>
      </c>
    </row>
    <row r="2418" spans="1:17" x14ac:dyDescent="0.25">
      <c r="A2418" t="s">
        <v>396</v>
      </c>
      <c r="B2418" s="13" t="s">
        <v>24</v>
      </c>
      <c r="C2418" s="13" t="s">
        <v>226</v>
      </c>
      <c r="D2418" s="14" t="s">
        <v>219</v>
      </c>
      <c r="E2418" s="13" t="s">
        <v>61</v>
      </c>
      <c r="F2418" s="13" t="s">
        <v>869</v>
      </c>
      <c r="G2418" s="13">
        <v>0.68</v>
      </c>
      <c r="H2418" s="15">
        <v>16</v>
      </c>
      <c r="I2418" s="16">
        <v>10.88</v>
      </c>
      <c r="J2418" s="16">
        <v>6.2632955536181347</v>
      </c>
      <c r="K2418" s="16">
        <v>4.6167044463818661</v>
      </c>
      <c r="L2418" s="13">
        <v>1.83</v>
      </c>
      <c r="M2418" s="13"/>
      <c r="N2418" s="17">
        <f t="shared" si="81"/>
        <v>29.28</v>
      </c>
      <c r="O2418" s="17">
        <f t="shared" si="81"/>
        <v>0</v>
      </c>
      <c r="P2418" s="17">
        <f t="shared" si="80"/>
        <v>29.28</v>
      </c>
      <c r="Q2418" t="str">
        <f>A2418&amp;"-"&amp;B2418&amp;"-"&amp;D2418</f>
        <v>JUNI-KLB-L1A</v>
      </c>
    </row>
    <row r="2419" spans="1:17" x14ac:dyDescent="0.25">
      <c r="A2419" t="s">
        <v>396</v>
      </c>
      <c r="B2419" s="13" t="s">
        <v>24</v>
      </c>
      <c r="C2419" s="13" t="s">
        <v>226</v>
      </c>
      <c r="D2419" s="14" t="s">
        <v>219</v>
      </c>
      <c r="E2419" s="13" t="s">
        <v>61</v>
      </c>
      <c r="F2419" s="13" t="s">
        <v>870</v>
      </c>
      <c r="G2419" s="13">
        <v>0.68</v>
      </c>
      <c r="H2419" s="15">
        <v>4</v>
      </c>
      <c r="I2419" s="16">
        <v>2.72</v>
      </c>
      <c r="J2419" s="16">
        <v>1.5658238884045337</v>
      </c>
      <c r="K2419" s="16">
        <v>1.1541761115954665</v>
      </c>
      <c r="L2419" s="13">
        <v>1.83</v>
      </c>
      <c r="M2419" s="13"/>
      <c r="N2419" s="17">
        <f t="shared" si="81"/>
        <v>7.32</v>
      </c>
      <c r="O2419" s="17">
        <f t="shared" si="81"/>
        <v>0</v>
      </c>
      <c r="P2419" s="17">
        <f t="shared" si="80"/>
        <v>7.32</v>
      </c>
      <c r="Q2419" t="str">
        <f>A2419&amp;"-"&amp;B2419&amp;"-"&amp;D2419</f>
        <v>JUNI-KLB-L1A</v>
      </c>
    </row>
    <row r="2420" spans="1:17" x14ac:dyDescent="0.25">
      <c r="A2420" t="s">
        <v>396</v>
      </c>
      <c r="B2420" s="13" t="s">
        <v>24</v>
      </c>
      <c r="C2420" s="13" t="s">
        <v>226</v>
      </c>
      <c r="D2420" s="14" t="s">
        <v>219</v>
      </c>
      <c r="E2420" s="13" t="s">
        <v>61</v>
      </c>
      <c r="F2420" s="13" t="s">
        <v>1059</v>
      </c>
      <c r="G2420" s="13">
        <v>0.66</v>
      </c>
      <c r="H2420" s="15">
        <v>2055</v>
      </c>
      <c r="I2420" s="16">
        <v>1356.3</v>
      </c>
      <c r="J2420" s="16">
        <v>870.46698113207549</v>
      </c>
      <c r="K2420" s="16">
        <v>485.83301886792447</v>
      </c>
      <c r="L2420" s="13">
        <v>1.73</v>
      </c>
      <c r="M2420" s="13"/>
      <c r="N2420" s="17">
        <f t="shared" si="81"/>
        <v>3555.15</v>
      </c>
      <c r="O2420" s="17">
        <f t="shared" si="81"/>
        <v>0</v>
      </c>
      <c r="P2420" s="17">
        <f t="shared" si="80"/>
        <v>3555.15</v>
      </c>
      <c r="Q2420" t="str">
        <f>A2420&amp;"-"&amp;B2420&amp;"-"&amp;D2420</f>
        <v>JUNI-KLB-L1A</v>
      </c>
    </row>
    <row r="2421" spans="1:17" x14ac:dyDescent="0.25">
      <c r="A2421" t="s">
        <v>396</v>
      </c>
      <c r="B2421" s="13" t="s">
        <v>24</v>
      </c>
      <c r="C2421" s="13" t="s">
        <v>226</v>
      </c>
      <c r="D2421" s="14" t="s">
        <v>219</v>
      </c>
      <c r="E2421" s="13" t="s">
        <v>61</v>
      </c>
      <c r="F2421" s="13" t="s">
        <v>874</v>
      </c>
      <c r="G2421" s="13">
        <v>0.68</v>
      </c>
      <c r="H2421" s="15">
        <v>9</v>
      </c>
      <c r="I2421" s="16">
        <v>6.12</v>
      </c>
      <c r="J2421" s="16">
        <v>3.5231037489102004</v>
      </c>
      <c r="K2421" s="16">
        <v>2.5968962510897997</v>
      </c>
      <c r="L2421" s="13">
        <v>1.83</v>
      </c>
      <c r="M2421" s="13"/>
      <c r="N2421" s="17">
        <f t="shared" si="81"/>
        <v>16.47</v>
      </c>
      <c r="O2421" s="17">
        <f t="shared" si="81"/>
        <v>0</v>
      </c>
      <c r="P2421" s="17">
        <f t="shared" si="80"/>
        <v>16.47</v>
      </c>
      <c r="Q2421" t="str">
        <f>A2421&amp;"-"&amp;B2421&amp;"-"&amp;D2421</f>
        <v>JUNI-KLB-L1A</v>
      </c>
    </row>
    <row r="2422" spans="1:17" x14ac:dyDescent="0.25">
      <c r="A2422" t="s">
        <v>396</v>
      </c>
      <c r="B2422" s="13" t="s">
        <v>24</v>
      </c>
      <c r="C2422" s="13" t="s">
        <v>226</v>
      </c>
      <c r="D2422" s="14" t="s">
        <v>219</v>
      </c>
      <c r="E2422" s="13" t="s">
        <v>61</v>
      </c>
      <c r="F2422" s="13" t="s">
        <v>876</v>
      </c>
      <c r="G2422" s="13">
        <v>0.65</v>
      </c>
      <c r="H2422" s="15">
        <v>6820</v>
      </c>
      <c r="I2422" s="16">
        <v>4433</v>
      </c>
      <c r="J2422" s="16">
        <v>3184.438729761408</v>
      </c>
      <c r="K2422" s="16">
        <v>1248.561270238592</v>
      </c>
      <c r="L2422" s="13">
        <v>1.64</v>
      </c>
      <c r="M2422" s="13"/>
      <c r="N2422" s="17">
        <f t="shared" si="81"/>
        <v>11184.8</v>
      </c>
      <c r="O2422" s="17">
        <f t="shared" si="81"/>
        <v>0</v>
      </c>
      <c r="P2422" s="17">
        <f t="shared" si="80"/>
        <v>11184.8</v>
      </c>
      <c r="Q2422" t="str">
        <f>A2422&amp;"-"&amp;B2422&amp;"-"&amp;D2422</f>
        <v>JUNI-KLB-L1A</v>
      </c>
    </row>
    <row r="2423" spans="1:17" x14ac:dyDescent="0.25">
      <c r="A2423" t="s">
        <v>396</v>
      </c>
      <c r="B2423" s="13" t="s">
        <v>24</v>
      </c>
      <c r="C2423" s="13" t="s">
        <v>226</v>
      </c>
      <c r="D2423" s="14" t="s">
        <v>219</v>
      </c>
      <c r="E2423" s="13" t="s">
        <v>61</v>
      </c>
      <c r="F2423" s="13" t="s">
        <v>1060</v>
      </c>
      <c r="G2423" s="13">
        <v>0.65</v>
      </c>
      <c r="H2423" s="15">
        <v>6900</v>
      </c>
      <c r="I2423" s="16">
        <v>4485</v>
      </c>
      <c r="J2423" s="16">
        <v>3112.4677626536277</v>
      </c>
      <c r="K2423" s="16">
        <v>1372.5322373463723</v>
      </c>
      <c r="L2423" s="13">
        <v>1.64</v>
      </c>
      <c r="M2423" s="13"/>
      <c r="N2423" s="17">
        <f t="shared" si="81"/>
        <v>11316</v>
      </c>
      <c r="O2423" s="17">
        <f t="shared" si="81"/>
        <v>0</v>
      </c>
      <c r="P2423" s="17">
        <f t="shared" si="80"/>
        <v>11316</v>
      </c>
      <c r="Q2423" t="str">
        <f>A2423&amp;"-"&amp;B2423&amp;"-"&amp;D2423</f>
        <v>JUNI-KLB-L1A</v>
      </c>
    </row>
    <row r="2424" spans="1:17" x14ac:dyDescent="0.25">
      <c r="A2424" t="s">
        <v>396</v>
      </c>
      <c r="B2424" s="13" t="s">
        <v>24</v>
      </c>
      <c r="C2424" s="13" t="s">
        <v>226</v>
      </c>
      <c r="D2424" s="14" t="s">
        <v>219</v>
      </c>
      <c r="E2424" s="13" t="s">
        <v>61</v>
      </c>
      <c r="F2424" s="13" t="s">
        <v>877</v>
      </c>
      <c r="G2424" s="13">
        <v>0.65</v>
      </c>
      <c r="H2424" s="15">
        <v>10</v>
      </c>
      <c r="I2424" s="16">
        <v>6.5</v>
      </c>
      <c r="J2424" s="16">
        <v>4.827956989247312</v>
      </c>
      <c r="K2424" s="16">
        <v>1.672043010752688</v>
      </c>
      <c r="L2424" s="13">
        <v>1.66</v>
      </c>
      <c r="M2424" s="13"/>
      <c r="N2424" s="17">
        <f t="shared" si="81"/>
        <v>16.599999999999998</v>
      </c>
      <c r="O2424" s="17">
        <f t="shared" si="81"/>
        <v>0</v>
      </c>
      <c r="P2424" s="17">
        <f t="shared" si="80"/>
        <v>16.599999999999998</v>
      </c>
      <c r="Q2424" t="str">
        <f>A2424&amp;"-"&amp;B2424&amp;"-"&amp;D2424</f>
        <v>JUNI-KLB-L1A</v>
      </c>
    </row>
    <row r="2425" spans="1:17" x14ac:dyDescent="0.25">
      <c r="A2425" t="s">
        <v>396</v>
      </c>
      <c r="B2425" s="13" t="s">
        <v>24</v>
      </c>
      <c r="C2425" s="13" t="s">
        <v>226</v>
      </c>
      <c r="D2425" s="14" t="s">
        <v>221</v>
      </c>
      <c r="E2425" s="13" t="s">
        <v>61</v>
      </c>
      <c r="F2425" s="13" t="s">
        <v>1050</v>
      </c>
      <c r="G2425" s="13">
        <v>0.68</v>
      </c>
      <c r="H2425" s="15">
        <v>4480</v>
      </c>
      <c r="I2425" s="16">
        <v>3046.4</v>
      </c>
      <c r="J2425" s="16">
        <v>1748.9521640091116</v>
      </c>
      <c r="K2425" s="16">
        <v>1297.4478359908885</v>
      </c>
      <c r="L2425" s="13">
        <v>1.82</v>
      </c>
      <c r="M2425" s="13"/>
      <c r="N2425" s="17">
        <f t="shared" si="81"/>
        <v>8153.6</v>
      </c>
      <c r="O2425" s="17">
        <f t="shared" si="81"/>
        <v>0</v>
      </c>
      <c r="P2425" s="17">
        <f t="shared" si="80"/>
        <v>8153.6</v>
      </c>
      <c r="Q2425" t="str">
        <f>A2425&amp;"-"&amp;B2425&amp;"-"&amp;D2425</f>
        <v>JUNI-KLB-L1B</v>
      </c>
    </row>
    <row r="2426" spans="1:17" x14ac:dyDescent="0.25">
      <c r="A2426" t="s">
        <v>396</v>
      </c>
      <c r="B2426" s="13" t="s">
        <v>24</v>
      </c>
      <c r="C2426" s="13" t="s">
        <v>226</v>
      </c>
      <c r="D2426" s="14" t="s">
        <v>221</v>
      </c>
      <c r="E2426" s="13" t="s">
        <v>61</v>
      </c>
      <c r="F2426" s="13" t="s">
        <v>1051</v>
      </c>
      <c r="G2426" s="13">
        <v>0.8</v>
      </c>
      <c r="H2426" s="15">
        <v>1776</v>
      </c>
      <c r="I2426" s="16">
        <v>1420.8</v>
      </c>
      <c r="J2426" s="16">
        <v>881.70944352832362</v>
      </c>
      <c r="K2426" s="16">
        <v>539.09055647167645</v>
      </c>
      <c r="L2426" s="13">
        <v>2.1</v>
      </c>
      <c r="M2426" s="13"/>
      <c r="N2426" s="17">
        <f t="shared" si="81"/>
        <v>3729.6000000000004</v>
      </c>
      <c r="O2426" s="17">
        <f t="shared" si="81"/>
        <v>0</v>
      </c>
      <c r="P2426" s="17">
        <f t="shared" si="80"/>
        <v>3729.6000000000004</v>
      </c>
      <c r="Q2426" t="str">
        <f>A2426&amp;"-"&amp;B2426&amp;"-"&amp;D2426</f>
        <v>JUNI-KLB-L1B</v>
      </c>
    </row>
    <row r="2427" spans="1:17" x14ac:dyDescent="0.25">
      <c r="A2427" t="s">
        <v>396</v>
      </c>
      <c r="B2427" s="13" t="s">
        <v>24</v>
      </c>
      <c r="C2427" s="13" t="s">
        <v>226</v>
      </c>
      <c r="D2427" s="14" t="s">
        <v>221</v>
      </c>
      <c r="E2427" s="13" t="s">
        <v>61</v>
      </c>
      <c r="F2427" s="13" t="s">
        <v>1052</v>
      </c>
      <c r="G2427" s="13">
        <v>0.73999999999999988</v>
      </c>
      <c r="H2427" s="15">
        <v>653</v>
      </c>
      <c r="I2427" s="16">
        <v>483.22</v>
      </c>
      <c r="J2427" s="16">
        <v>333.22820156963593</v>
      </c>
      <c r="K2427" s="16">
        <v>149.99179843036413</v>
      </c>
      <c r="L2427" s="13">
        <v>2.2599999999999998</v>
      </c>
      <c r="M2427" s="13"/>
      <c r="N2427" s="17">
        <f t="shared" si="81"/>
        <v>1475.78</v>
      </c>
      <c r="O2427" s="17">
        <f t="shared" si="81"/>
        <v>0</v>
      </c>
      <c r="P2427" s="17">
        <f t="shared" si="80"/>
        <v>1475.78</v>
      </c>
      <c r="Q2427" t="str">
        <f>A2427&amp;"-"&amp;B2427&amp;"-"&amp;D2427</f>
        <v>JUNI-KLB-L1B</v>
      </c>
    </row>
    <row r="2428" spans="1:17" x14ac:dyDescent="0.25">
      <c r="A2428" t="s">
        <v>396</v>
      </c>
      <c r="B2428" s="13" t="s">
        <v>24</v>
      </c>
      <c r="C2428" s="13" t="s">
        <v>226</v>
      </c>
      <c r="D2428" s="14" t="s">
        <v>221</v>
      </c>
      <c r="E2428" s="13" t="s">
        <v>61</v>
      </c>
      <c r="F2428" s="13" t="s">
        <v>1053</v>
      </c>
      <c r="G2428" s="13">
        <v>0.68</v>
      </c>
      <c r="H2428" s="15">
        <v>1970</v>
      </c>
      <c r="I2428" s="16">
        <v>1339.6</v>
      </c>
      <c r="J2428" s="16">
        <v>787.09893191597064</v>
      </c>
      <c r="K2428" s="16">
        <v>552.50106808402927</v>
      </c>
      <c r="L2428" s="13">
        <v>1.82</v>
      </c>
      <c r="M2428" s="13"/>
      <c r="N2428" s="17">
        <f t="shared" si="81"/>
        <v>3585.4</v>
      </c>
      <c r="O2428" s="17">
        <f t="shared" si="81"/>
        <v>0</v>
      </c>
      <c r="P2428" s="17">
        <f t="shared" si="80"/>
        <v>3585.4</v>
      </c>
      <c r="Q2428" t="str">
        <f>A2428&amp;"-"&amp;B2428&amp;"-"&amp;D2428</f>
        <v>JUNI-KLB-L1B</v>
      </c>
    </row>
    <row r="2429" spans="1:17" x14ac:dyDescent="0.25">
      <c r="A2429" t="s">
        <v>396</v>
      </c>
      <c r="B2429" s="13" t="s">
        <v>24</v>
      </c>
      <c r="C2429" s="13" t="s">
        <v>226</v>
      </c>
      <c r="D2429" s="14" t="s">
        <v>221</v>
      </c>
      <c r="E2429" s="13" t="s">
        <v>61</v>
      </c>
      <c r="F2429" s="13" t="s">
        <v>865</v>
      </c>
      <c r="G2429" s="13">
        <v>0.8</v>
      </c>
      <c r="H2429" s="15">
        <v>5</v>
      </c>
      <c r="I2429" s="16">
        <v>4</v>
      </c>
      <c r="J2429" s="16">
        <v>2.0089485458612977</v>
      </c>
      <c r="K2429" s="16">
        <v>1.9910514541387023</v>
      </c>
      <c r="L2429" s="13">
        <v>2.1</v>
      </c>
      <c r="M2429" s="13"/>
      <c r="N2429" s="17">
        <f t="shared" si="81"/>
        <v>10.5</v>
      </c>
      <c r="O2429" s="17">
        <f t="shared" si="81"/>
        <v>0</v>
      </c>
      <c r="P2429" s="17">
        <f t="shared" si="80"/>
        <v>10.5</v>
      </c>
      <c r="Q2429" t="str">
        <f>A2429&amp;"-"&amp;B2429&amp;"-"&amp;D2429</f>
        <v>JUNI-KLB-L1B</v>
      </c>
    </row>
    <row r="2430" spans="1:17" x14ac:dyDescent="0.25">
      <c r="A2430" t="s">
        <v>396</v>
      </c>
      <c r="B2430" s="13" t="s">
        <v>24</v>
      </c>
      <c r="C2430" s="13" t="s">
        <v>226</v>
      </c>
      <c r="D2430" s="14" t="s">
        <v>221</v>
      </c>
      <c r="E2430" s="13" t="s">
        <v>61</v>
      </c>
      <c r="F2430" s="13" t="s">
        <v>1054</v>
      </c>
      <c r="G2430" s="13">
        <v>0.65</v>
      </c>
      <c r="H2430" s="15">
        <v>2090</v>
      </c>
      <c r="I2430" s="16">
        <v>1358.5</v>
      </c>
      <c r="J2430" s="16">
        <v>935.22376872530572</v>
      </c>
      <c r="K2430" s="16">
        <v>423.27623127469423</v>
      </c>
      <c r="L2430" s="13">
        <v>1.91</v>
      </c>
      <c r="M2430" s="13"/>
      <c r="N2430" s="17">
        <f t="shared" si="81"/>
        <v>3991.8999999999996</v>
      </c>
      <c r="O2430" s="17">
        <f t="shared" si="81"/>
        <v>0</v>
      </c>
      <c r="P2430" s="17">
        <f t="shared" si="80"/>
        <v>3991.8999999999996</v>
      </c>
      <c r="Q2430" t="str">
        <f>A2430&amp;"-"&amp;B2430&amp;"-"&amp;D2430</f>
        <v>JUNI-KLB-L1B</v>
      </c>
    </row>
    <row r="2431" spans="1:17" x14ac:dyDescent="0.25">
      <c r="A2431" t="s">
        <v>396</v>
      </c>
      <c r="B2431" s="13" t="s">
        <v>24</v>
      </c>
      <c r="C2431" s="13" t="s">
        <v>226</v>
      </c>
      <c r="D2431" s="14" t="s">
        <v>221</v>
      </c>
      <c r="E2431" s="13" t="s">
        <v>61</v>
      </c>
      <c r="F2431" s="13" t="s">
        <v>1055</v>
      </c>
      <c r="G2431" s="13">
        <v>0.68</v>
      </c>
      <c r="H2431" s="15">
        <v>4020</v>
      </c>
      <c r="I2431" s="16">
        <v>2733.6</v>
      </c>
      <c r="J2431" s="16">
        <v>1563.4117284680881</v>
      </c>
      <c r="K2431" s="16">
        <v>1170.1882715319121</v>
      </c>
      <c r="L2431" s="13">
        <v>1.82</v>
      </c>
      <c r="M2431" s="13"/>
      <c r="N2431" s="17">
        <f t="shared" si="81"/>
        <v>7316.4000000000005</v>
      </c>
      <c r="O2431" s="17">
        <f t="shared" si="81"/>
        <v>0</v>
      </c>
      <c r="P2431" s="17">
        <f t="shared" si="80"/>
        <v>7316.4000000000005</v>
      </c>
      <c r="Q2431" t="str">
        <f>A2431&amp;"-"&amp;B2431&amp;"-"&amp;D2431</f>
        <v>JUNI-KLB-L1B</v>
      </c>
    </row>
    <row r="2432" spans="1:17" x14ac:dyDescent="0.25">
      <c r="A2432" t="s">
        <v>396</v>
      </c>
      <c r="B2432" s="13" t="s">
        <v>24</v>
      </c>
      <c r="C2432" s="13" t="s">
        <v>226</v>
      </c>
      <c r="D2432" s="14" t="s">
        <v>221</v>
      </c>
      <c r="E2432" s="13" t="s">
        <v>61</v>
      </c>
      <c r="F2432" s="13" t="s">
        <v>1056</v>
      </c>
      <c r="G2432" s="13">
        <v>0.66</v>
      </c>
      <c r="H2432" s="15">
        <v>2176</v>
      </c>
      <c r="I2432" s="16">
        <v>1436.1599999999999</v>
      </c>
      <c r="J2432" s="16">
        <v>897.44775964813687</v>
      </c>
      <c r="K2432" s="16">
        <v>538.7122403518631</v>
      </c>
      <c r="L2432" s="13">
        <v>1.71</v>
      </c>
      <c r="M2432" s="13"/>
      <c r="N2432" s="17">
        <f t="shared" si="81"/>
        <v>3720.96</v>
      </c>
      <c r="O2432" s="17">
        <f t="shared" si="81"/>
        <v>0</v>
      </c>
      <c r="P2432" s="17">
        <f t="shared" si="80"/>
        <v>3720.96</v>
      </c>
      <c r="Q2432" t="str">
        <f>A2432&amp;"-"&amp;B2432&amp;"-"&amp;D2432</f>
        <v>JUNI-KLB-L1B</v>
      </c>
    </row>
    <row r="2433" spans="1:17" x14ac:dyDescent="0.25">
      <c r="A2433" t="s">
        <v>396</v>
      </c>
      <c r="B2433" s="13" t="s">
        <v>24</v>
      </c>
      <c r="C2433" s="13" t="s">
        <v>226</v>
      </c>
      <c r="D2433" s="14" t="s">
        <v>221</v>
      </c>
      <c r="E2433" s="13" t="s">
        <v>61</v>
      </c>
      <c r="F2433" s="13" t="s">
        <v>868</v>
      </c>
      <c r="G2433" s="13">
        <v>0.80000000000000016</v>
      </c>
      <c r="H2433" s="15">
        <v>160</v>
      </c>
      <c r="I2433" s="16">
        <v>128</v>
      </c>
      <c r="J2433" s="16">
        <v>75.035462577465552</v>
      </c>
      <c r="K2433" s="16">
        <v>52.964537422534441</v>
      </c>
      <c r="L2433" s="13">
        <v>2.1</v>
      </c>
      <c r="M2433" s="13"/>
      <c r="N2433" s="17">
        <f t="shared" si="81"/>
        <v>336</v>
      </c>
      <c r="O2433" s="17">
        <f t="shared" si="81"/>
        <v>0</v>
      </c>
      <c r="P2433" s="17">
        <f t="shared" si="80"/>
        <v>336</v>
      </c>
      <c r="Q2433" t="str">
        <f>A2433&amp;"-"&amp;B2433&amp;"-"&amp;D2433</f>
        <v>JUNI-KLB-L1B</v>
      </c>
    </row>
    <row r="2434" spans="1:17" x14ac:dyDescent="0.25">
      <c r="A2434" t="s">
        <v>396</v>
      </c>
      <c r="B2434" s="13" t="s">
        <v>24</v>
      </c>
      <c r="C2434" s="13" t="s">
        <v>226</v>
      </c>
      <c r="D2434" s="14" t="s">
        <v>221</v>
      </c>
      <c r="E2434" s="13" t="s">
        <v>61</v>
      </c>
      <c r="F2434" s="13" t="s">
        <v>1057</v>
      </c>
      <c r="G2434" s="13">
        <v>0.65</v>
      </c>
      <c r="H2434" s="15">
        <v>1970</v>
      </c>
      <c r="I2434" s="16">
        <v>1280.5</v>
      </c>
      <c r="J2434" s="16">
        <v>880.12935323383078</v>
      </c>
      <c r="K2434" s="16">
        <v>400.37064676616922</v>
      </c>
      <c r="L2434" s="13">
        <v>1.91</v>
      </c>
      <c r="M2434" s="13"/>
      <c r="N2434" s="17">
        <f t="shared" si="81"/>
        <v>3762.7</v>
      </c>
      <c r="O2434" s="17">
        <f t="shared" si="81"/>
        <v>0</v>
      </c>
      <c r="P2434" s="17">
        <f t="shared" ref="P2434:P2497" si="82">N2434+O2434</f>
        <v>3762.7</v>
      </c>
      <c r="Q2434" t="str">
        <f>A2434&amp;"-"&amp;B2434&amp;"-"&amp;D2434</f>
        <v>JUNI-KLB-L1B</v>
      </c>
    </row>
    <row r="2435" spans="1:17" x14ac:dyDescent="0.25">
      <c r="A2435" t="s">
        <v>396</v>
      </c>
      <c r="B2435" s="13" t="s">
        <v>24</v>
      </c>
      <c r="C2435" s="13" t="s">
        <v>226</v>
      </c>
      <c r="D2435" s="14" t="s">
        <v>221</v>
      </c>
      <c r="E2435" s="13" t="s">
        <v>61</v>
      </c>
      <c r="F2435" s="13" t="s">
        <v>1058</v>
      </c>
      <c r="G2435" s="13">
        <v>0.65</v>
      </c>
      <c r="H2435" s="15">
        <v>1815</v>
      </c>
      <c r="I2435" s="16">
        <v>1179.75</v>
      </c>
      <c r="J2435" s="16">
        <v>864.87317593434341</v>
      </c>
      <c r="K2435" s="16">
        <v>314.87682406565642</v>
      </c>
      <c r="L2435" s="13">
        <v>1.91</v>
      </c>
      <c r="M2435" s="13"/>
      <c r="N2435" s="17">
        <f t="shared" si="81"/>
        <v>3466.6499999999996</v>
      </c>
      <c r="O2435" s="17">
        <f t="shared" si="81"/>
        <v>0</v>
      </c>
      <c r="P2435" s="17">
        <f t="shared" si="82"/>
        <v>3466.6499999999996</v>
      </c>
      <c r="Q2435" t="str">
        <f>A2435&amp;"-"&amp;B2435&amp;"-"&amp;D2435</f>
        <v>JUNI-KLB-L1B</v>
      </c>
    </row>
    <row r="2436" spans="1:17" x14ac:dyDescent="0.25">
      <c r="A2436" t="s">
        <v>396</v>
      </c>
      <c r="B2436" s="13" t="s">
        <v>24</v>
      </c>
      <c r="C2436" s="13" t="s">
        <v>226</v>
      </c>
      <c r="D2436" s="14" t="s">
        <v>221</v>
      </c>
      <c r="E2436" s="13" t="s">
        <v>61</v>
      </c>
      <c r="F2436" s="13" t="s">
        <v>878</v>
      </c>
      <c r="G2436" s="13">
        <v>0.80000000000000016</v>
      </c>
      <c r="H2436" s="15">
        <v>3204</v>
      </c>
      <c r="I2436" s="16">
        <v>2563.1999999999998</v>
      </c>
      <c r="J2436" s="16">
        <v>1361.7339573495917</v>
      </c>
      <c r="K2436" s="16">
        <v>1201.4660426504081</v>
      </c>
      <c r="L2436" s="13">
        <v>2.1</v>
      </c>
      <c r="M2436" s="13"/>
      <c r="N2436" s="17">
        <f t="shared" si="81"/>
        <v>6728.4000000000005</v>
      </c>
      <c r="O2436" s="17">
        <f t="shared" si="81"/>
        <v>0</v>
      </c>
      <c r="P2436" s="17">
        <f t="shared" si="82"/>
        <v>6728.4000000000005</v>
      </c>
      <c r="Q2436" t="str">
        <f>A2436&amp;"-"&amp;B2436&amp;"-"&amp;D2436</f>
        <v>JUNI-KLB-L1B</v>
      </c>
    </row>
    <row r="2437" spans="1:17" x14ac:dyDescent="0.25">
      <c r="A2437" t="s">
        <v>396</v>
      </c>
      <c r="B2437" s="13" t="s">
        <v>24</v>
      </c>
      <c r="C2437" s="13" t="s">
        <v>226</v>
      </c>
      <c r="D2437" s="14" t="s">
        <v>221</v>
      </c>
      <c r="E2437" s="13" t="s">
        <v>61</v>
      </c>
      <c r="F2437" s="13" t="s">
        <v>1059</v>
      </c>
      <c r="G2437" s="13">
        <v>0.66</v>
      </c>
      <c r="H2437" s="15">
        <v>2225</v>
      </c>
      <c r="I2437" s="16">
        <v>1468.5</v>
      </c>
      <c r="J2437" s="16">
        <v>925.96257894668486</v>
      </c>
      <c r="K2437" s="16">
        <v>542.53742105331514</v>
      </c>
      <c r="L2437" s="13">
        <v>1.73</v>
      </c>
      <c r="M2437" s="13"/>
      <c r="N2437" s="17">
        <f t="shared" si="81"/>
        <v>3849.25</v>
      </c>
      <c r="O2437" s="17">
        <f t="shared" si="81"/>
        <v>0</v>
      </c>
      <c r="P2437" s="17">
        <f t="shared" si="82"/>
        <v>3849.25</v>
      </c>
      <c r="Q2437" t="str">
        <f>A2437&amp;"-"&amp;B2437&amp;"-"&amp;D2437</f>
        <v>JUNI-KLB-L1B</v>
      </c>
    </row>
    <row r="2438" spans="1:17" x14ac:dyDescent="0.25">
      <c r="A2438" t="s">
        <v>396</v>
      </c>
      <c r="B2438" s="13" t="s">
        <v>24</v>
      </c>
      <c r="C2438" s="13" t="s">
        <v>226</v>
      </c>
      <c r="D2438" s="14" t="s">
        <v>221</v>
      </c>
      <c r="E2438" s="13" t="s">
        <v>61</v>
      </c>
      <c r="F2438" s="13" t="s">
        <v>876</v>
      </c>
      <c r="G2438" s="13">
        <v>0.65</v>
      </c>
      <c r="H2438" s="15">
        <v>7487</v>
      </c>
      <c r="I2438" s="16">
        <v>4866.5499999999993</v>
      </c>
      <c r="J2438" s="16">
        <v>3081.8223830033185</v>
      </c>
      <c r="K2438" s="16">
        <v>1784.7276169966808</v>
      </c>
      <c r="L2438" s="13">
        <v>1.64</v>
      </c>
      <c r="M2438" s="13"/>
      <c r="N2438" s="17">
        <f t="shared" si="81"/>
        <v>12278.679999999998</v>
      </c>
      <c r="O2438" s="17">
        <f t="shared" si="81"/>
        <v>0</v>
      </c>
      <c r="P2438" s="17">
        <f t="shared" si="82"/>
        <v>12278.679999999998</v>
      </c>
      <c r="Q2438" t="str">
        <f>A2438&amp;"-"&amp;B2438&amp;"-"&amp;D2438</f>
        <v>JUNI-KLB-L1B</v>
      </c>
    </row>
    <row r="2439" spans="1:17" x14ac:dyDescent="0.25">
      <c r="A2439" t="s">
        <v>396</v>
      </c>
      <c r="B2439" s="13" t="s">
        <v>24</v>
      </c>
      <c r="C2439" s="13" t="s">
        <v>226</v>
      </c>
      <c r="D2439" s="14" t="s">
        <v>221</v>
      </c>
      <c r="E2439" s="13" t="s">
        <v>61</v>
      </c>
      <c r="F2439" s="13" t="s">
        <v>1060</v>
      </c>
      <c r="G2439" s="13">
        <v>0.65</v>
      </c>
      <c r="H2439" s="15">
        <v>8680</v>
      </c>
      <c r="I2439" s="16">
        <v>5642</v>
      </c>
      <c r="J2439" s="16">
        <v>3560.7244050925838</v>
      </c>
      <c r="K2439" s="16">
        <v>2081.2755949074162</v>
      </c>
      <c r="L2439" s="13">
        <v>1.64</v>
      </c>
      <c r="M2439" s="13"/>
      <c r="N2439" s="17">
        <f t="shared" si="81"/>
        <v>14235.199999999999</v>
      </c>
      <c r="O2439" s="17">
        <f t="shared" si="81"/>
        <v>0</v>
      </c>
      <c r="P2439" s="17">
        <f t="shared" si="82"/>
        <v>14235.199999999999</v>
      </c>
      <c r="Q2439" t="str">
        <f>A2439&amp;"-"&amp;B2439&amp;"-"&amp;D2439</f>
        <v>JUNI-KLB-L1B</v>
      </c>
    </row>
    <row r="2440" spans="1:17" x14ac:dyDescent="0.25">
      <c r="A2440" t="s">
        <v>396</v>
      </c>
      <c r="B2440" s="13" t="s">
        <v>24</v>
      </c>
      <c r="C2440" s="13" t="s">
        <v>226</v>
      </c>
      <c r="D2440" s="14" t="s">
        <v>221</v>
      </c>
      <c r="E2440" s="13" t="s">
        <v>61</v>
      </c>
      <c r="F2440" s="13" t="s">
        <v>877</v>
      </c>
      <c r="G2440" s="13">
        <v>0.65</v>
      </c>
      <c r="H2440" s="15">
        <v>132</v>
      </c>
      <c r="I2440" s="16">
        <v>85.8</v>
      </c>
      <c r="J2440" s="16">
        <v>60.637737451746588</v>
      </c>
      <c r="K2440" s="16">
        <v>25.162262548253405</v>
      </c>
      <c r="L2440" s="13">
        <v>1.66</v>
      </c>
      <c r="M2440" s="13"/>
      <c r="N2440" s="17">
        <f t="shared" si="81"/>
        <v>219.11999999999998</v>
      </c>
      <c r="O2440" s="17">
        <f t="shared" si="81"/>
        <v>0</v>
      </c>
      <c r="P2440" s="17">
        <f t="shared" si="82"/>
        <v>219.11999999999998</v>
      </c>
      <c r="Q2440" t="str">
        <f>A2440&amp;"-"&amp;B2440&amp;"-"&amp;D2440</f>
        <v>JUNI-KLB-L1B</v>
      </c>
    </row>
    <row r="2441" spans="1:17" x14ac:dyDescent="0.25">
      <c r="A2441" t="s">
        <v>396</v>
      </c>
      <c r="B2441" s="13" t="s">
        <v>24</v>
      </c>
      <c r="C2441" s="13" t="s">
        <v>226</v>
      </c>
      <c r="D2441" s="14" t="s">
        <v>222</v>
      </c>
      <c r="E2441" s="13" t="s">
        <v>61</v>
      </c>
      <c r="F2441" s="13" t="s">
        <v>879</v>
      </c>
      <c r="G2441" s="13">
        <v>0.76000000000000012</v>
      </c>
      <c r="H2441" s="15">
        <v>1840</v>
      </c>
      <c r="I2441" s="16">
        <v>1398.4</v>
      </c>
      <c r="J2441" s="16">
        <v>881.38762782456479</v>
      </c>
      <c r="K2441" s="16">
        <v>517.01237217543542</v>
      </c>
      <c r="L2441" s="13">
        <v>2</v>
      </c>
      <c r="M2441" s="13"/>
      <c r="N2441" s="17">
        <f t="shared" si="81"/>
        <v>3680</v>
      </c>
      <c r="O2441" s="17">
        <f t="shared" si="81"/>
        <v>0</v>
      </c>
      <c r="P2441" s="17">
        <f t="shared" si="82"/>
        <v>3680</v>
      </c>
      <c r="Q2441" t="str">
        <f>A2441&amp;"-"&amp;B2441&amp;"-"&amp;D2441</f>
        <v>JUNI-KLB-L2A</v>
      </c>
    </row>
    <row r="2442" spans="1:17" x14ac:dyDescent="0.25">
      <c r="A2442" t="s">
        <v>396</v>
      </c>
      <c r="B2442" s="13" t="s">
        <v>24</v>
      </c>
      <c r="C2442" s="13" t="s">
        <v>226</v>
      </c>
      <c r="D2442" s="14" t="s">
        <v>222</v>
      </c>
      <c r="E2442" s="13" t="s">
        <v>61</v>
      </c>
      <c r="F2442" s="13" t="s">
        <v>880</v>
      </c>
      <c r="G2442" s="13">
        <v>0.76</v>
      </c>
      <c r="H2442" s="15">
        <v>15</v>
      </c>
      <c r="I2442" s="16">
        <v>11.4</v>
      </c>
      <c r="J2442" s="16">
        <v>7.1840000000000002</v>
      </c>
      <c r="K2442" s="16">
        <v>4.2160000000000002</v>
      </c>
      <c r="L2442" s="13">
        <v>2</v>
      </c>
      <c r="M2442" s="13"/>
      <c r="N2442" s="17">
        <f t="shared" si="81"/>
        <v>30</v>
      </c>
      <c r="O2442" s="17">
        <f t="shared" si="81"/>
        <v>0</v>
      </c>
      <c r="P2442" s="17">
        <f t="shared" si="82"/>
        <v>30</v>
      </c>
      <c r="Q2442" t="str">
        <f>A2442&amp;"-"&amp;B2442&amp;"-"&amp;D2442</f>
        <v>JUNI-KLB-L2A</v>
      </c>
    </row>
    <row r="2443" spans="1:17" x14ac:dyDescent="0.25">
      <c r="A2443" t="s">
        <v>396</v>
      </c>
      <c r="B2443" s="13" t="s">
        <v>24</v>
      </c>
      <c r="C2443" s="13" t="s">
        <v>226</v>
      </c>
      <c r="D2443" s="14" t="s">
        <v>222</v>
      </c>
      <c r="E2443" s="13" t="s">
        <v>61</v>
      </c>
      <c r="F2443" s="13" t="s">
        <v>1061</v>
      </c>
      <c r="G2443" s="13">
        <v>0.7599999999999999</v>
      </c>
      <c r="H2443" s="15">
        <v>2984</v>
      </c>
      <c r="I2443" s="16">
        <v>2267.84</v>
      </c>
      <c r="J2443" s="16">
        <v>1506.8331091870755</v>
      </c>
      <c r="K2443" s="16">
        <v>761.00689081292444</v>
      </c>
      <c r="L2443" s="13">
        <v>2</v>
      </c>
      <c r="M2443" s="13"/>
      <c r="N2443" s="17">
        <f t="shared" si="81"/>
        <v>5968</v>
      </c>
      <c r="O2443" s="17">
        <f t="shared" si="81"/>
        <v>0</v>
      </c>
      <c r="P2443" s="17">
        <f t="shared" si="82"/>
        <v>5968</v>
      </c>
      <c r="Q2443" t="str">
        <f>A2443&amp;"-"&amp;B2443&amp;"-"&amp;D2443</f>
        <v>JUNI-KLB-L2A</v>
      </c>
    </row>
    <row r="2444" spans="1:17" x14ac:dyDescent="0.25">
      <c r="A2444" t="s">
        <v>396</v>
      </c>
      <c r="B2444" s="13" t="s">
        <v>24</v>
      </c>
      <c r="C2444" s="13" t="s">
        <v>226</v>
      </c>
      <c r="D2444" s="14" t="s">
        <v>222</v>
      </c>
      <c r="E2444" s="13" t="s">
        <v>61</v>
      </c>
      <c r="F2444" s="13" t="s">
        <v>1062</v>
      </c>
      <c r="G2444" s="13">
        <v>0.7400000000000001</v>
      </c>
      <c r="H2444" s="15">
        <v>701</v>
      </c>
      <c r="I2444" s="16">
        <v>518.74</v>
      </c>
      <c r="J2444" s="16">
        <v>356.34480240344362</v>
      </c>
      <c r="K2444" s="16">
        <v>162.39519759655636</v>
      </c>
      <c r="L2444" s="13">
        <v>2.17</v>
      </c>
      <c r="M2444" s="13"/>
      <c r="N2444" s="17">
        <f t="shared" si="81"/>
        <v>1521.1699999999998</v>
      </c>
      <c r="O2444" s="17">
        <f t="shared" si="81"/>
        <v>0</v>
      </c>
      <c r="P2444" s="17">
        <f t="shared" si="82"/>
        <v>1521.1699999999998</v>
      </c>
      <c r="Q2444" t="str">
        <f>A2444&amp;"-"&amp;B2444&amp;"-"&amp;D2444</f>
        <v>JUNI-KLB-L2A</v>
      </c>
    </row>
    <row r="2445" spans="1:17" x14ac:dyDescent="0.25">
      <c r="A2445" t="s">
        <v>396</v>
      </c>
      <c r="B2445" s="13" t="s">
        <v>24</v>
      </c>
      <c r="C2445" s="13" t="s">
        <v>226</v>
      </c>
      <c r="D2445" s="14" t="s">
        <v>222</v>
      </c>
      <c r="E2445" s="13" t="s">
        <v>61</v>
      </c>
      <c r="F2445" s="13" t="s">
        <v>1063</v>
      </c>
      <c r="G2445" s="13">
        <v>0.76</v>
      </c>
      <c r="H2445" s="15">
        <v>1387</v>
      </c>
      <c r="I2445" s="16">
        <v>1054.1199999999999</v>
      </c>
      <c r="J2445" s="16">
        <v>666.76406545198381</v>
      </c>
      <c r="K2445" s="16">
        <v>387.35593454801614</v>
      </c>
      <c r="L2445" s="13">
        <v>2</v>
      </c>
      <c r="M2445" s="13"/>
      <c r="N2445" s="17">
        <f t="shared" si="81"/>
        <v>2774</v>
      </c>
      <c r="O2445" s="17">
        <f t="shared" si="81"/>
        <v>0</v>
      </c>
      <c r="P2445" s="17">
        <f t="shared" si="82"/>
        <v>2774</v>
      </c>
      <c r="Q2445" t="str">
        <f>A2445&amp;"-"&amp;B2445&amp;"-"&amp;D2445</f>
        <v>JUNI-KLB-L2A</v>
      </c>
    </row>
    <row r="2446" spans="1:17" x14ac:dyDescent="0.25">
      <c r="A2446" t="s">
        <v>396</v>
      </c>
      <c r="B2446" s="13" t="s">
        <v>24</v>
      </c>
      <c r="C2446" s="13" t="s">
        <v>226</v>
      </c>
      <c r="D2446" s="14" t="s">
        <v>222</v>
      </c>
      <c r="E2446" s="13" t="s">
        <v>61</v>
      </c>
      <c r="F2446" s="13" t="s">
        <v>1064</v>
      </c>
      <c r="G2446" s="13">
        <v>0.74</v>
      </c>
      <c r="H2446" s="15">
        <v>373</v>
      </c>
      <c r="I2446" s="16">
        <v>276.02000000000004</v>
      </c>
      <c r="J2446" s="16">
        <v>178.95275517321554</v>
      </c>
      <c r="K2446" s="16">
        <v>97.067244826784489</v>
      </c>
      <c r="L2446" s="13">
        <v>2.17</v>
      </c>
      <c r="M2446" s="13"/>
      <c r="N2446" s="17">
        <f t="shared" si="81"/>
        <v>809.41</v>
      </c>
      <c r="O2446" s="17">
        <f t="shared" si="81"/>
        <v>0</v>
      </c>
      <c r="P2446" s="17">
        <f t="shared" si="82"/>
        <v>809.41</v>
      </c>
      <c r="Q2446" t="str">
        <f>A2446&amp;"-"&amp;B2446&amp;"-"&amp;D2446</f>
        <v>JUNI-KLB-L2A</v>
      </c>
    </row>
    <row r="2447" spans="1:17" x14ac:dyDescent="0.25">
      <c r="A2447" t="s">
        <v>396</v>
      </c>
      <c r="B2447" s="13" t="s">
        <v>24</v>
      </c>
      <c r="C2447" s="13" t="s">
        <v>226</v>
      </c>
      <c r="D2447" s="14" t="s">
        <v>222</v>
      </c>
      <c r="E2447" s="13" t="s">
        <v>61</v>
      </c>
      <c r="F2447" s="13" t="s">
        <v>1050</v>
      </c>
      <c r="G2447" s="13">
        <v>0.68</v>
      </c>
      <c r="H2447" s="15">
        <v>1742</v>
      </c>
      <c r="I2447" s="16">
        <v>1184.56</v>
      </c>
      <c r="J2447" s="16">
        <v>782.94094094094089</v>
      </c>
      <c r="K2447" s="16">
        <v>401.61905905905905</v>
      </c>
      <c r="L2447" s="13">
        <v>1.82</v>
      </c>
      <c r="M2447" s="13"/>
      <c r="N2447" s="17">
        <f t="shared" si="81"/>
        <v>3170.44</v>
      </c>
      <c r="O2447" s="17">
        <f t="shared" si="81"/>
        <v>0</v>
      </c>
      <c r="P2447" s="17">
        <f t="shared" si="82"/>
        <v>3170.44</v>
      </c>
      <c r="Q2447" t="str">
        <f>A2447&amp;"-"&amp;B2447&amp;"-"&amp;D2447</f>
        <v>JUNI-KLB-L2A</v>
      </c>
    </row>
    <row r="2448" spans="1:17" x14ac:dyDescent="0.25">
      <c r="A2448" t="s">
        <v>396</v>
      </c>
      <c r="B2448" s="13" t="s">
        <v>24</v>
      </c>
      <c r="C2448" s="13" t="s">
        <v>226</v>
      </c>
      <c r="D2448" s="14" t="s">
        <v>222</v>
      </c>
      <c r="E2448" s="13" t="s">
        <v>61</v>
      </c>
      <c r="F2448" s="13" t="s">
        <v>1053</v>
      </c>
      <c r="G2448" s="13">
        <v>0.68</v>
      </c>
      <c r="H2448" s="15">
        <v>1605</v>
      </c>
      <c r="I2448" s="16">
        <v>1091.4000000000001</v>
      </c>
      <c r="J2448" s="16">
        <v>873.06520631060505</v>
      </c>
      <c r="K2448" s="16">
        <v>218.33479368939493</v>
      </c>
      <c r="L2448" s="13">
        <v>1.82</v>
      </c>
      <c r="M2448" s="13"/>
      <c r="N2448" s="17">
        <f t="shared" si="81"/>
        <v>2921.1</v>
      </c>
      <c r="O2448" s="17">
        <f t="shared" si="81"/>
        <v>0</v>
      </c>
      <c r="P2448" s="17">
        <f t="shared" si="82"/>
        <v>2921.1</v>
      </c>
      <c r="Q2448" t="str">
        <f>A2448&amp;"-"&amp;B2448&amp;"-"&amp;D2448</f>
        <v>JUNI-KLB-L2A</v>
      </c>
    </row>
    <row r="2449" spans="1:17" x14ac:dyDescent="0.25">
      <c r="A2449" t="s">
        <v>396</v>
      </c>
      <c r="B2449" s="13" t="s">
        <v>24</v>
      </c>
      <c r="C2449" s="13" t="s">
        <v>226</v>
      </c>
      <c r="D2449" s="14" t="s">
        <v>222</v>
      </c>
      <c r="E2449" s="13" t="s">
        <v>61</v>
      </c>
      <c r="F2449" s="13" t="s">
        <v>1055</v>
      </c>
      <c r="G2449" s="13">
        <v>0.68</v>
      </c>
      <c r="H2449" s="15">
        <v>4775</v>
      </c>
      <c r="I2449" s="16">
        <v>3247</v>
      </c>
      <c r="J2449" s="16">
        <v>2015.5219773071724</v>
      </c>
      <c r="K2449" s="16">
        <v>1231.4780226928274</v>
      </c>
      <c r="L2449" s="13">
        <v>1.82</v>
      </c>
      <c r="M2449" s="13"/>
      <c r="N2449" s="17">
        <f t="shared" si="81"/>
        <v>8690.5</v>
      </c>
      <c r="O2449" s="17">
        <f t="shared" si="81"/>
        <v>0</v>
      </c>
      <c r="P2449" s="17">
        <f t="shared" si="82"/>
        <v>8690.5</v>
      </c>
      <c r="Q2449" t="str">
        <f>A2449&amp;"-"&amp;B2449&amp;"-"&amp;D2449</f>
        <v>JUNI-KLB-L2A</v>
      </c>
    </row>
    <row r="2450" spans="1:17" x14ac:dyDescent="0.25">
      <c r="A2450" t="s">
        <v>396</v>
      </c>
      <c r="B2450" s="13" t="s">
        <v>24</v>
      </c>
      <c r="C2450" s="13" t="s">
        <v>226</v>
      </c>
      <c r="D2450" s="14" t="s">
        <v>222</v>
      </c>
      <c r="E2450" s="13" t="s">
        <v>61</v>
      </c>
      <c r="F2450" s="13" t="s">
        <v>1056</v>
      </c>
      <c r="G2450" s="13">
        <v>0.66</v>
      </c>
      <c r="H2450" s="15">
        <v>770</v>
      </c>
      <c r="I2450" s="16">
        <v>508.2</v>
      </c>
      <c r="J2450" s="16">
        <v>318.0544753297732</v>
      </c>
      <c r="K2450" s="16">
        <v>190.14552467022682</v>
      </c>
      <c r="L2450" s="13">
        <v>1.71</v>
      </c>
      <c r="M2450" s="13"/>
      <c r="N2450" s="17">
        <f t="shared" si="81"/>
        <v>1316.7</v>
      </c>
      <c r="O2450" s="17">
        <f t="shared" si="81"/>
        <v>0</v>
      </c>
      <c r="P2450" s="17">
        <f t="shared" si="82"/>
        <v>1316.7</v>
      </c>
      <c r="Q2450" t="str">
        <f>A2450&amp;"-"&amp;B2450&amp;"-"&amp;D2450</f>
        <v>JUNI-KLB-L2A</v>
      </c>
    </row>
    <row r="2451" spans="1:17" x14ac:dyDescent="0.25">
      <c r="A2451" t="s">
        <v>396</v>
      </c>
      <c r="B2451" s="13" t="s">
        <v>24</v>
      </c>
      <c r="C2451" s="13" t="s">
        <v>226</v>
      </c>
      <c r="D2451" s="14" t="s">
        <v>222</v>
      </c>
      <c r="E2451" s="13" t="s">
        <v>61</v>
      </c>
      <c r="F2451" s="13" t="s">
        <v>1065</v>
      </c>
      <c r="G2451" s="13">
        <v>0.66</v>
      </c>
      <c r="H2451" s="15">
        <v>9380</v>
      </c>
      <c r="I2451" s="16">
        <v>6190.7999999999993</v>
      </c>
      <c r="J2451" s="16">
        <v>4158.9514093513526</v>
      </c>
      <c r="K2451" s="16">
        <v>2031.8485906486476</v>
      </c>
      <c r="L2451" s="13">
        <v>1.71</v>
      </c>
      <c r="M2451" s="13"/>
      <c r="N2451" s="17">
        <f t="shared" si="81"/>
        <v>16039.8</v>
      </c>
      <c r="O2451" s="17">
        <f t="shared" si="81"/>
        <v>0</v>
      </c>
      <c r="P2451" s="17">
        <f t="shared" si="82"/>
        <v>16039.8</v>
      </c>
      <c r="Q2451" t="str">
        <f>A2451&amp;"-"&amp;B2451&amp;"-"&amp;D2451</f>
        <v>JUNI-KLB-L2A</v>
      </c>
    </row>
    <row r="2452" spans="1:17" x14ac:dyDescent="0.25">
      <c r="A2452" t="s">
        <v>396</v>
      </c>
      <c r="B2452" s="13" t="s">
        <v>24</v>
      </c>
      <c r="C2452" s="13" t="s">
        <v>226</v>
      </c>
      <c r="D2452" s="14" t="s">
        <v>222</v>
      </c>
      <c r="E2452" s="13" t="s">
        <v>61</v>
      </c>
      <c r="F2452" s="13" t="s">
        <v>1066</v>
      </c>
      <c r="G2452" s="13">
        <v>0.63</v>
      </c>
      <c r="H2452" s="15">
        <v>802</v>
      </c>
      <c r="I2452" s="16">
        <v>505.26</v>
      </c>
      <c r="J2452" s="16">
        <v>349.72662204567303</v>
      </c>
      <c r="K2452" s="16">
        <v>155.53337795432697</v>
      </c>
      <c r="L2452" s="13">
        <v>1.85</v>
      </c>
      <c r="M2452" s="13"/>
      <c r="N2452" s="17">
        <f t="shared" si="81"/>
        <v>1483.7</v>
      </c>
      <c r="O2452" s="17">
        <f t="shared" si="81"/>
        <v>0</v>
      </c>
      <c r="P2452" s="17">
        <f t="shared" si="82"/>
        <v>1483.7</v>
      </c>
      <c r="Q2452" t="str">
        <f>A2452&amp;"-"&amp;B2452&amp;"-"&amp;D2452</f>
        <v>JUNI-KLB-L2A</v>
      </c>
    </row>
    <row r="2453" spans="1:17" x14ac:dyDescent="0.25">
      <c r="A2453" t="s">
        <v>396</v>
      </c>
      <c r="B2453" s="13" t="s">
        <v>24</v>
      </c>
      <c r="C2453" s="13" t="s">
        <v>226</v>
      </c>
      <c r="D2453" s="14" t="s">
        <v>222</v>
      </c>
      <c r="E2453" s="13" t="s">
        <v>61</v>
      </c>
      <c r="F2453" s="13" t="s">
        <v>876</v>
      </c>
      <c r="G2453" s="13">
        <v>0.65</v>
      </c>
      <c r="H2453" s="15">
        <v>7976</v>
      </c>
      <c r="I2453" s="16">
        <v>5184.3999999999996</v>
      </c>
      <c r="J2453" s="16">
        <v>3396.3305421079485</v>
      </c>
      <c r="K2453" s="16">
        <v>1788.0694578920518</v>
      </c>
      <c r="L2453" s="13">
        <v>1.64</v>
      </c>
      <c r="M2453" s="13"/>
      <c r="N2453" s="17">
        <f t="shared" si="81"/>
        <v>13080.64</v>
      </c>
      <c r="O2453" s="17">
        <f t="shared" si="81"/>
        <v>0</v>
      </c>
      <c r="P2453" s="17">
        <f t="shared" si="82"/>
        <v>13080.64</v>
      </c>
      <c r="Q2453" t="str">
        <f>A2453&amp;"-"&amp;B2453&amp;"-"&amp;D2453</f>
        <v>JUNI-KLB-L2A</v>
      </c>
    </row>
    <row r="2454" spans="1:17" x14ac:dyDescent="0.25">
      <c r="A2454" t="s">
        <v>396</v>
      </c>
      <c r="B2454" s="13" t="s">
        <v>24</v>
      </c>
      <c r="C2454" s="13" t="s">
        <v>226</v>
      </c>
      <c r="D2454" s="14" t="s">
        <v>222</v>
      </c>
      <c r="E2454" s="13" t="s">
        <v>61</v>
      </c>
      <c r="F2454" s="13" t="s">
        <v>1060</v>
      </c>
      <c r="G2454" s="13">
        <v>0.65</v>
      </c>
      <c r="H2454" s="15">
        <v>5715</v>
      </c>
      <c r="I2454" s="16">
        <v>3714.75</v>
      </c>
      <c r="J2454" s="16">
        <v>2467.9424665662514</v>
      </c>
      <c r="K2454" s="16">
        <v>1246.8075334337486</v>
      </c>
      <c r="L2454" s="13">
        <v>1.64</v>
      </c>
      <c r="M2454" s="13"/>
      <c r="N2454" s="17">
        <f t="shared" si="81"/>
        <v>9372.5999999999985</v>
      </c>
      <c r="O2454" s="17">
        <f t="shared" si="81"/>
        <v>0</v>
      </c>
      <c r="P2454" s="17">
        <f t="shared" si="82"/>
        <v>9372.5999999999985</v>
      </c>
      <c r="Q2454" t="str">
        <f>A2454&amp;"-"&amp;B2454&amp;"-"&amp;D2454</f>
        <v>JUNI-KLB-L2A</v>
      </c>
    </row>
    <row r="2455" spans="1:17" x14ac:dyDescent="0.25">
      <c r="A2455" t="s">
        <v>396</v>
      </c>
      <c r="B2455" s="13" t="s">
        <v>24</v>
      </c>
      <c r="C2455" s="13" t="s">
        <v>226</v>
      </c>
      <c r="D2455" s="14" t="s">
        <v>223</v>
      </c>
      <c r="E2455" s="13" t="s">
        <v>61</v>
      </c>
      <c r="F2455" s="13" t="s">
        <v>879</v>
      </c>
      <c r="G2455" s="13">
        <v>0.76000000000000012</v>
      </c>
      <c r="H2455" s="15">
        <v>110</v>
      </c>
      <c r="I2455" s="16">
        <v>83.600000000000009</v>
      </c>
      <c r="J2455" s="16">
        <v>47.344931395421597</v>
      </c>
      <c r="K2455" s="16">
        <v>36.255068604578405</v>
      </c>
      <c r="L2455" s="13">
        <v>2</v>
      </c>
      <c r="M2455" s="13"/>
      <c r="N2455" s="17">
        <f t="shared" si="81"/>
        <v>220</v>
      </c>
      <c r="O2455" s="17">
        <f t="shared" si="81"/>
        <v>0</v>
      </c>
      <c r="P2455" s="17">
        <f t="shared" si="82"/>
        <v>220</v>
      </c>
      <c r="Q2455" t="str">
        <f>A2455&amp;"-"&amp;B2455&amp;"-"&amp;D2455</f>
        <v>JUNI-KLB-L2B</v>
      </c>
    </row>
    <row r="2456" spans="1:17" x14ac:dyDescent="0.25">
      <c r="A2456" t="s">
        <v>396</v>
      </c>
      <c r="B2456" s="13" t="s">
        <v>24</v>
      </c>
      <c r="C2456" s="13" t="s">
        <v>226</v>
      </c>
      <c r="D2456" s="14" t="s">
        <v>223</v>
      </c>
      <c r="E2456" s="13" t="s">
        <v>61</v>
      </c>
      <c r="F2456" s="13" t="s">
        <v>880</v>
      </c>
      <c r="G2456" s="13">
        <v>0.76</v>
      </c>
      <c r="H2456" s="15">
        <v>5</v>
      </c>
      <c r="I2456" s="16">
        <v>3.8</v>
      </c>
      <c r="J2456" s="16">
        <v>2.3180175529168818</v>
      </c>
      <c r="K2456" s="16">
        <v>1.481982447083118</v>
      </c>
      <c r="L2456" s="13">
        <v>2</v>
      </c>
      <c r="M2456" s="13"/>
      <c r="N2456" s="17">
        <f t="shared" si="81"/>
        <v>10</v>
      </c>
      <c r="O2456" s="17">
        <f t="shared" si="81"/>
        <v>0</v>
      </c>
      <c r="P2456" s="17">
        <f t="shared" si="82"/>
        <v>10</v>
      </c>
      <c r="Q2456" t="str">
        <f>A2456&amp;"-"&amp;B2456&amp;"-"&amp;D2456</f>
        <v>JUNI-KLB-L2B</v>
      </c>
    </row>
    <row r="2457" spans="1:17" x14ac:dyDescent="0.25">
      <c r="A2457" t="s">
        <v>396</v>
      </c>
      <c r="B2457" s="13" t="s">
        <v>24</v>
      </c>
      <c r="C2457" s="13" t="s">
        <v>226</v>
      </c>
      <c r="D2457" s="14" t="s">
        <v>223</v>
      </c>
      <c r="E2457" s="13" t="s">
        <v>61</v>
      </c>
      <c r="F2457" s="13" t="s">
        <v>1061</v>
      </c>
      <c r="G2457" s="13">
        <v>0.76</v>
      </c>
      <c r="H2457" s="15">
        <v>3162</v>
      </c>
      <c r="I2457" s="16">
        <v>2403.12</v>
      </c>
      <c r="J2457" s="16">
        <v>1406.6921114173215</v>
      </c>
      <c r="K2457" s="16">
        <v>996.42788858267829</v>
      </c>
      <c r="L2457" s="13">
        <v>2</v>
      </c>
      <c r="M2457" s="13"/>
      <c r="N2457" s="17">
        <f t="shared" si="81"/>
        <v>6324</v>
      </c>
      <c r="O2457" s="17">
        <f t="shared" si="81"/>
        <v>0</v>
      </c>
      <c r="P2457" s="17">
        <f t="shared" si="82"/>
        <v>6324</v>
      </c>
      <c r="Q2457" t="str">
        <f>A2457&amp;"-"&amp;B2457&amp;"-"&amp;D2457</f>
        <v>JUNI-KLB-L2B</v>
      </c>
    </row>
    <row r="2458" spans="1:17" x14ac:dyDescent="0.25">
      <c r="A2458" t="s">
        <v>396</v>
      </c>
      <c r="B2458" s="13" t="s">
        <v>24</v>
      </c>
      <c r="C2458" s="13" t="s">
        <v>226</v>
      </c>
      <c r="D2458" s="14" t="s">
        <v>223</v>
      </c>
      <c r="E2458" s="13" t="s">
        <v>61</v>
      </c>
      <c r="F2458" s="13" t="s">
        <v>1062</v>
      </c>
      <c r="G2458" s="13">
        <v>0.73999999999999988</v>
      </c>
      <c r="H2458" s="15">
        <v>405</v>
      </c>
      <c r="I2458" s="16">
        <v>299.70000000000005</v>
      </c>
      <c r="J2458" s="16">
        <v>177.81804869856549</v>
      </c>
      <c r="K2458" s="16">
        <v>121.8819513014345</v>
      </c>
      <c r="L2458" s="13">
        <v>2.17</v>
      </c>
      <c r="M2458" s="13"/>
      <c r="N2458" s="17">
        <f t="shared" si="81"/>
        <v>878.85</v>
      </c>
      <c r="O2458" s="17">
        <f t="shared" si="81"/>
        <v>0</v>
      </c>
      <c r="P2458" s="17">
        <f t="shared" si="82"/>
        <v>878.85</v>
      </c>
      <c r="Q2458" t="str">
        <f>A2458&amp;"-"&amp;B2458&amp;"-"&amp;D2458</f>
        <v>JUNI-KLB-L2B</v>
      </c>
    </row>
    <row r="2459" spans="1:17" x14ac:dyDescent="0.25">
      <c r="A2459" t="s">
        <v>396</v>
      </c>
      <c r="B2459" s="13" t="s">
        <v>24</v>
      </c>
      <c r="C2459" s="13" t="s">
        <v>226</v>
      </c>
      <c r="D2459" s="14" t="s">
        <v>223</v>
      </c>
      <c r="E2459" s="13" t="s">
        <v>61</v>
      </c>
      <c r="F2459" s="13" t="s">
        <v>1063</v>
      </c>
      <c r="G2459" s="13">
        <v>0.76</v>
      </c>
      <c r="H2459" s="15">
        <v>3619</v>
      </c>
      <c r="I2459" s="16">
        <v>2750.44</v>
      </c>
      <c r="J2459" s="16">
        <v>1501.3247351150842</v>
      </c>
      <c r="K2459" s="16">
        <v>1249.1152648849159</v>
      </c>
      <c r="L2459" s="13">
        <v>2</v>
      </c>
      <c r="M2459" s="13"/>
      <c r="N2459" s="17">
        <f t="shared" si="81"/>
        <v>7238</v>
      </c>
      <c r="O2459" s="17">
        <f t="shared" si="81"/>
        <v>0</v>
      </c>
      <c r="P2459" s="17">
        <f t="shared" si="82"/>
        <v>7238</v>
      </c>
      <c r="Q2459" t="str">
        <f>A2459&amp;"-"&amp;B2459&amp;"-"&amp;D2459</f>
        <v>JUNI-KLB-L2B</v>
      </c>
    </row>
    <row r="2460" spans="1:17" x14ac:dyDescent="0.25">
      <c r="A2460" t="s">
        <v>396</v>
      </c>
      <c r="B2460" s="13" t="s">
        <v>24</v>
      </c>
      <c r="C2460" s="13" t="s">
        <v>226</v>
      </c>
      <c r="D2460" s="14" t="s">
        <v>223</v>
      </c>
      <c r="E2460" s="13" t="s">
        <v>61</v>
      </c>
      <c r="F2460" s="13" t="s">
        <v>1064</v>
      </c>
      <c r="G2460" s="13">
        <v>0.74</v>
      </c>
      <c r="H2460" s="15">
        <v>714</v>
      </c>
      <c r="I2460" s="16">
        <v>528.36</v>
      </c>
      <c r="J2460" s="16">
        <v>296.99869109130071</v>
      </c>
      <c r="K2460" s="16">
        <v>231.36130890869927</v>
      </c>
      <c r="L2460" s="13">
        <v>2.17</v>
      </c>
      <c r="M2460" s="13"/>
      <c r="N2460" s="17">
        <f t="shared" si="81"/>
        <v>1549.3799999999999</v>
      </c>
      <c r="O2460" s="17">
        <f t="shared" si="81"/>
        <v>0</v>
      </c>
      <c r="P2460" s="17">
        <f t="shared" si="82"/>
        <v>1549.3799999999999</v>
      </c>
      <c r="Q2460" t="str">
        <f>A2460&amp;"-"&amp;B2460&amp;"-"&amp;D2460</f>
        <v>JUNI-KLB-L2B</v>
      </c>
    </row>
    <row r="2461" spans="1:17" x14ac:dyDescent="0.25">
      <c r="A2461" t="s">
        <v>396</v>
      </c>
      <c r="B2461" s="13" t="s">
        <v>24</v>
      </c>
      <c r="C2461" s="13" t="s">
        <v>226</v>
      </c>
      <c r="D2461" s="14" t="s">
        <v>223</v>
      </c>
      <c r="E2461" s="13" t="s">
        <v>61</v>
      </c>
      <c r="F2461" s="13" t="s">
        <v>1050</v>
      </c>
      <c r="G2461" s="13">
        <v>0.68</v>
      </c>
      <c r="H2461" s="15">
        <v>3248</v>
      </c>
      <c r="I2461" s="16">
        <v>2208.64</v>
      </c>
      <c r="J2461" s="16">
        <v>1418.5597865943091</v>
      </c>
      <c r="K2461" s="16">
        <v>790.08021340569076</v>
      </c>
      <c r="L2461" s="13">
        <v>1.82</v>
      </c>
      <c r="M2461" s="13"/>
      <c r="N2461" s="17">
        <f t="shared" si="81"/>
        <v>5911.3600000000006</v>
      </c>
      <c r="O2461" s="17">
        <f t="shared" si="81"/>
        <v>0</v>
      </c>
      <c r="P2461" s="17">
        <f t="shared" si="82"/>
        <v>5911.3600000000006</v>
      </c>
      <c r="Q2461" t="str">
        <f>A2461&amp;"-"&amp;B2461&amp;"-"&amp;D2461</f>
        <v>JUNI-KLB-L2B</v>
      </c>
    </row>
    <row r="2462" spans="1:17" x14ac:dyDescent="0.25">
      <c r="A2462" t="s">
        <v>396</v>
      </c>
      <c r="B2462" s="13" t="s">
        <v>24</v>
      </c>
      <c r="C2462" s="13" t="s">
        <v>226</v>
      </c>
      <c r="D2462" s="14" t="s">
        <v>223</v>
      </c>
      <c r="E2462" s="13" t="s">
        <v>61</v>
      </c>
      <c r="F2462" s="13" t="s">
        <v>1053</v>
      </c>
      <c r="G2462" s="13">
        <v>0.68</v>
      </c>
      <c r="H2462" s="15">
        <v>970</v>
      </c>
      <c r="I2462" s="16">
        <v>659.59999999999991</v>
      </c>
      <c r="J2462" s="16">
        <v>389.57534854082598</v>
      </c>
      <c r="K2462" s="16">
        <v>270.02465145917404</v>
      </c>
      <c r="L2462" s="13">
        <v>1.82</v>
      </c>
      <c r="M2462" s="13"/>
      <c r="N2462" s="17">
        <f t="shared" si="81"/>
        <v>1765.4</v>
      </c>
      <c r="O2462" s="17">
        <f t="shared" si="81"/>
        <v>0</v>
      </c>
      <c r="P2462" s="17">
        <f t="shared" si="82"/>
        <v>1765.4</v>
      </c>
      <c r="Q2462" t="str">
        <f>A2462&amp;"-"&amp;B2462&amp;"-"&amp;D2462</f>
        <v>JUNI-KLB-L2B</v>
      </c>
    </row>
    <row r="2463" spans="1:17" x14ac:dyDescent="0.25">
      <c r="A2463" t="s">
        <v>396</v>
      </c>
      <c r="B2463" s="13" t="s">
        <v>24</v>
      </c>
      <c r="C2463" s="13" t="s">
        <v>226</v>
      </c>
      <c r="D2463" s="14" t="s">
        <v>223</v>
      </c>
      <c r="E2463" s="13" t="s">
        <v>61</v>
      </c>
      <c r="F2463" s="13" t="s">
        <v>1055</v>
      </c>
      <c r="G2463" s="13">
        <v>0.68</v>
      </c>
      <c r="H2463" s="15">
        <v>4385</v>
      </c>
      <c r="I2463" s="16">
        <v>2981.8</v>
      </c>
      <c r="J2463" s="16">
        <v>1777.7698422404305</v>
      </c>
      <c r="K2463" s="16">
        <v>1204.0301577595694</v>
      </c>
      <c r="L2463" s="13">
        <v>1.82</v>
      </c>
      <c r="M2463" s="13"/>
      <c r="N2463" s="17">
        <f t="shared" si="81"/>
        <v>7980.7000000000007</v>
      </c>
      <c r="O2463" s="17">
        <f t="shared" si="81"/>
        <v>0</v>
      </c>
      <c r="P2463" s="17">
        <f t="shared" si="82"/>
        <v>7980.7000000000007</v>
      </c>
      <c r="Q2463" t="str">
        <f>A2463&amp;"-"&amp;B2463&amp;"-"&amp;D2463</f>
        <v>JUNI-KLB-L2B</v>
      </c>
    </row>
    <row r="2464" spans="1:17" x14ac:dyDescent="0.25">
      <c r="A2464" t="s">
        <v>396</v>
      </c>
      <c r="B2464" s="13" t="s">
        <v>24</v>
      </c>
      <c r="C2464" s="13" t="s">
        <v>226</v>
      </c>
      <c r="D2464" s="14" t="s">
        <v>223</v>
      </c>
      <c r="E2464" s="13" t="s">
        <v>61</v>
      </c>
      <c r="F2464" s="13" t="s">
        <v>1056</v>
      </c>
      <c r="G2464" s="13">
        <v>0.66</v>
      </c>
      <c r="H2464" s="15">
        <v>1690</v>
      </c>
      <c r="I2464" s="16">
        <v>1115.4000000000001</v>
      </c>
      <c r="J2464" s="16">
        <v>645.79574468085104</v>
      </c>
      <c r="K2464" s="16">
        <v>469.60425531914905</v>
      </c>
      <c r="L2464" s="13">
        <v>1.71</v>
      </c>
      <c r="M2464" s="13"/>
      <c r="N2464" s="17">
        <f t="shared" si="81"/>
        <v>2889.9</v>
      </c>
      <c r="O2464" s="17">
        <f t="shared" si="81"/>
        <v>0</v>
      </c>
      <c r="P2464" s="17">
        <f t="shared" si="82"/>
        <v>2889.9</v>
      </c>
      <c r="Q2464" t="str">
        <f>A2464&amp;"-"&amp;B2464&amp;"-"&amp;D2464</f>
        <v>JUNI-KLB-L2B</v>
      </c>
    </row>
    <row r="2465" spans="1:17" x14ac:dyDescent="0.25">
      <c r="A2465" t="s">
        <v>396</v>
      </c>
      <c r="B2465" s="13" t="s">
        <v>24</v>
      </c>
      <c r="C2465" s="13" t="s">
        <v>226</v>
      </c>
      <c r="D2465" s="14" t="s">
        <v>223</v>
      </c>
      <c r="E2465" s="13" t="s">
        <v>61</v>
      </c>
      <c r="F2465" s="13" t="s">
        <v>1065</v>
      </c>
      <c r="G2465" s="13">
        <v>0.66</v>
      </c>
      <c r="H2465" s="15">
        <v>9078</v>
      </c>
      <c r="I2465" s="16">
        <v>5991.4800000000005</v>
      </c>
      <c r="J2465" s="16">
        <v>3674.051617820463</v>
      </c>
      <c r="K2465" s="16">
        <v>2317.4283821795366</v>
      </c>
      <c r="L2465" s="13">
        <v>1.71</v>
      </c>
      <c r="M2465" s="13"/>
      <c r="N2465" s="17">
        <f t="shared" ref="N2465:O2525" si="83">$H2465*L2465</f>
        <v>15523.38</v>
      </c>
      <c r="O2465" s="17">
        <f t="shared" si="83"/>
        <v>0</v>
      </c>
      <c r="P2465" s="17">
        <f t="shared" si="82"/>
        <v>15523.38</v>
      </c>
      <c r="Q2465" t="str">
        <f>A2465&amp;"-"&amp;B2465&amp;"-"&amp;D2465</f>
        <v>JUNI-KLB-L2B</v>
      </c>
    </row>
    <row r="2466" spans="1:17" x14ac:dyDescent="0.25">
      <c r="A2466" t="s">
        <v>396</v>
      </c>
      <c r="B2466" s="13" t="s">
        <v>24</v>
      </c>
      <c r="C2466" s="13" t="s">
        <v>226</v>
      </c>
      <c r="D2466" s="14" t="s">
        <v>223</v>
      </c>
      <c r="E2466" s="13" t="s">
        <v>61</v>
      </c>
      <c r="F2466" s="13" t="s">
        <v>1066</v>
      </c>
      <c r="G2466" s="13">
        <v>0.63</v>
      </c>
      <c r="H2466" s="15">
        <v>295</v>
      </c>
      <c r="I2466" s="16">
        <v>185.85</v>
      </c>
      <c r="J2466" s="16">
        <v>114.34433484344132</v>
      </c>
      <c r="K2466" s="16">
        <v>71.505665156558692</v>
      </c>
      <c r="L2466" s="13">
        <v>1.85</v>
      </c>
      <c r="M2466" s="13"/>
      <c r="N2466" s="17">
        <f t="shared" si="83"/>
        <v>545.75</v>
      </c>
      <c r="O2466" s="17">
        <f t="shared" si="83"/>
        <v>0</v>
      </c>
      <c r="P2466" s="17">
        <f t="shared" si="82"/>
        <v>545.75</v>
      </c>
      <c r="Q2466" t="str">
        <f>A2466&amp;"-"&amp;B2466&amp;"-"&amp;D2466</f>
        <v>JUNI-KLB-L2B</v>
      </c>
    </row>
    <row r="2467" spans="1:17" x14ac:dyDescent="0.25">
      <c r="A2467" t="s">
        <v>396</v>
      </c>
      <c r="B2467" s="13" t="s">
        <v>24</v>
      </c>
      <c r="C2467" s="13" t="s">
        <v>226</v>
      </c>
      <c r="D2467" s="14" t="s">
        <v>223</v>
      </c>
      <c r="E2467" s="13" t="s">
        <v>61</v>
      </c>
      <c r="F2467" s="13" t="s">
        <v>873</v>
      </c>
      <c r="G2467" s="13">
        <v>0.68</v>
      </c>
      <c r="H2467" s="15">
        <v>37</v>
      </c>
      <c r="I2467" s="16">
        <v>25.16</v>
      </c>
      <c r="J2467" s="16">
        <v>17.153329891584924</v>
      </c>
      <c r="K2467" s="16">
        <v>8.0066701084150758</v>
      </c>
      <c r="L2467" s="13">
        <v>1.83</v>
      </c>
      <c r="M2467" s="13"/>
      <c r="N2467" s="17">
        <f t="shared" si="83"/>
        <v>67.710000000000008</v>
      </c>
      <c r="O2467" s="17">
        <f t="shared" si="83"/>
        <v>0</v>
      </c>
      <c r="P2467" s="17">
        <f t="shared" si="82"/>
        <v>67.710000000000008</v>
      </c>
      <c r="Q2467" t="str">
        <f>A2467&amp;"-"&amp;B2467&amp;"-"&amp;D2467</f>
        <v>JUNI-KLB-L2B</v>
      </c>
    </row>
    <row r="2468" spans="1:17" x14ac:dyDescent="0.25">
      <c r="A2468" t="s">
        <v>396</v>
      </c>
      <c r="B2468" s="13" t="s">
        <v>24</v>
      </c>
      <c r="C2468" s="13" t="s">
        <v>226</v>
      </c>
      <c r="D2468" s="14" t="s">
        <v>223</v>
      </c>
      <c r="E2468" s="13" t="s">
        <v>61</v>
      </c>
      <c r="F2468" s="13" t="s">
        <v>876</v>
      </c>
      <c r="G2468" s="13">
        <v>0.65</v>
      </c>
      <c r="H2468" s="15">
        <v>7053</v>
      </c>
      <c r="I2468" s="16">
        <v>4584.45</v>
      </c>
      <c r="J2468" s="16">
        <v>2792.0382355636207</v>
      </c>
      <c r="K2468" s="16">
        <v>1792.4117644363796</v>
      </c>
      <c r="L2468" s="13">
        <v>1.64</v>
      </c>
      <c r="M2468" s="13"/>
      <c r="N2468" s="17">
        <f t="shared" si="83"/>
        <v>11566.92</v>
      </c>
      <c r="O2468" s="17">
        <f t="shared" si="83"/>
        <v>0</v>
      </c>
      <c r="P2468" s="17">
        <f t="shared" si="82"/>
        <v>11566.92</v>
      </c>
      <c r="Q2468" t="str">
        <f>A2468&amp;"-"&amp;B2468&amp;"-"&amp;D2468</f>
        <v>JUNI-KLB-L2B</v>
      </c>
    </row>
    <row r="2469" spans="1:17" x14ac:dyDescent="0.25">
      <c r="A2469" t="s">
        <v>396</v>
      </c>
      <c r="B2469" s="13" t="s">
        <v>24</v>
      </c>
      <c r="C2469" s="13" t="s">
        <v>226</v>
      </c>
      <c r="D2469" s="14" t="s">
        <v>223</v>
      </c>
      <c r="E2469" s="13" t="s">
        <v>61</v>
      </c>
      <c r="F2469" s="13" t="s">
        <v>1060</v>
      </c>
      <c r="G2469" s="13">
        <v>0.65</v>
      </c>
      <c r="H2469" s="15">
        <v>8737</v>
      </c>
      <c r="I2469" s="16">
        <v>5679.05</v>
      </c>
      <c r="J2469" s="16">
        <v>3584.6323644609361</v>
      </c>
      <c r="K2469" s="16">
        <v>2094.4176355390641</v>
      </c>
      <c r="L2469" s="13">
        <v>1.64</v>
      </c>
      <c r="M2469" s="13"/>
      <c r="N2469" s="17">
        <f t="shared" si="83"/>
        <v>14328.679999999998</v>
      </c>
      <c r="O2469" s="17">
        <f t="shared" si="83"/>
        <v>0</v>
      </c>
      <c r="P2469" s="17">
        <f t="shared" si="82"/>
        <v>14328.679999999998</v>
      </c>
      <c r="Q2469" t="str">
        <f>A2469&amp;"-"&amp;B2469&amp;"-"&amp;D2469</f>
        <v>JUNI-KLB-L2B</v>
      </c>
    </row>
    <row r="2470" spans="1:17" x14ac:dyDescent="0.25">
      <c r="A2470" t="s">
        <v>396</v>
      </c>
      <c r="B2470" s="13" t="s">
        <v>24</v>
      </c>
      <c r="C2470" s="13" t="s">
        <v>226</v>
      </c>
      <c r="D2470" s="14" t="s">
        <v>223</v>
      </c>
      <c r="E2470" s="13" t="s">
        <v>61</v>
      </c>
      <c r="F2470" s="13" t="s">
        <v>877</v>
      </c>
      <c r="G2470" s="13">
        <v>0.65</v>
      </c>
      <c r="H2470" s="15">
        <v>245</v>
      </c>
      <c r="I2470" s="16">
        <v>159.25</v>
      </c>
      <c r="J2470" s="16">
        <v>113.58286009292721</v>
      </c>
      <c r="K2470" s="16">
        <v>45.667139907072794</v>
      </c>
      <c r="L2470" s="13">
        <v>1.66</v>
      </c>
      <c r="M2470" s="13"/>
      <c r="N2470" s="17">
        <f t="shared" si="83"/>
        <v>406.7</v>
      </c>
      <c r="O2470" s="17">
        <f t="shared" si="83"/>
        <v>0</v>
      </c>
      <c r="P2470" s="17">
        <f t="shared" si="82"/>
        <v>406.7</v>
      </c>
      <c r="Q2470" t="str">
        <f>A2470&amp;"-"&amp;B2470&amp;"-"&amp;D2470</f>
        <v>JUNI-KLB-L2B</v>
      </c>
    </row>
    <row r="2471" spans="1:17" x14ac:dyDescent="0.25">
      <c r="A2471" t="s">
        <v>396</v>
      </c>
      <c r="B2471" s="13" t="s">
        <v>24</v>
      </c>
      <c r="C2471" s="13" t="s">
        <v>226</v>
      </c>
      <c r="D2471" s="14" t="s">
        <v>224</v>
      </c>
      <c r="E2471" s="13" t="s">
        <v>61</v>
      </c>
      <c r="F2471" s="13" t="s">
        <v>1055</v>
      </c>
      <c r="G2471" s="13">
        <v>0.68</v>
      </c>
      <c r="H2471" s="15">
        <v>4380</v>
      </c>
      <c r="I2471" s="16">
        <v>2978.4</v>
      </c>
      <c r="J2471" s="16">
        <v>1613.0945633759434</v>
      </c>
      <c r="K2471" s="16">
        <v>1365.3054366240567</v>
      </c>
      <c r="L2471" s="13">
        <v>1.82</v>
      </c>
      <c r="M2471" s="13"/>
      <c r="N2471" s="17">
        <f t="shared" si="83"/>
        <v>7971.6</v>
      </c>
      <c r="O2471" s="17">
        <f t="shared" si="83"/>
        <v>0</v>
      </c>
      <c r="P2471" s="17">
        <f t="shared" si="82"/>
        <v>7971.6</v>
      </c>
      <c r="Q2471" t="str">
        <f>A2471&amp;"-"&amp;B2471&amp;"-"&amp;D2471</f>
        <v>JUNI-KLB-L3A</v>
      </c>
    </row>
    <row r="2472" spans="1:17" x14ac:dyDescent="0.25">
      <c r="A2472" t="s">
        <v>396</v>
      </c>
      <c r="B2472" s="13" t="s">
        <v>24</v>
      </c>
      <c r="C2472" s="13" t="s">
        <v>226</v>
      </c>
      <c r="D2472" s="14" t="s">
        <v>224</v>
      </c>
      <c r="E2472" s="13" t="s">
        <v>61</v>
      </c>
      <c r="F2472" s="13" t="s">
        <v>1067</v>
      </c>
      <c r="G2472" s="13">
        <v>0.68</v>
      </c>
      <c r="H2472" s="15">
        <v>6660</v>
      </c>
      <c r="I2472" s="16">
        <v>4528.7999999999993</v>
      </c>
      <c r="J2472" s="16">
        <v>2717.0903452407842</v>
      </c>
      <c r="K2472" s="16">
        <v>1811.7096547592155</v>
      </c>
      <c r="L2472" s="13">
        <v>1.82</v>
      </c>
      <c r="M2472" s="13"/>
      <c r="N2472" s="17">
        <f t="shared" si="83"/>
        <v>12121.2</v>
      </c>
      <c r="O2472" s="17">
        <f t="shared" si="83"/>
        <v>0</v>
      </c>
      <c r="P2472" s="17">
        <f t="shared" si="82"/>
        <v>12121.2</v>
      </c>
      <c r="Q2472" t="str">
        <f>A2472&amp;"-"&amp;B2472&amp;"-"&amp;D2472</f>
        <v>JUNI-KLB-L3A</v>
      </c>
    </row>
    <row r="2473" spans="1:17" x14ac:dyDescent="0.25">
      <c r="A2473" t="s">
        <v>396</v>
      </c>
      <c r="B2473" s="13" t="s">
        <v>24</v>
      </c>
      <c r="C2473" s="13" t="s">
        <v>226</v>
      </c>
      <c r="D2473" s="14" t="s">
        <v>224</v>
      </c>
      <c r="E2473" s="13" t="s">
        <v>61</v>
      </c>
      <c r="F2473" s="13" t="s">
        <v>1068</v>
      </c>
      <c r="G2473" s="13">
        <v>0.66</v>
      </c>
      <c r="H2473" s="15">
        <v>335</v>
      </c>
      <c r="I2473" s="16">
        <v>221.1</v>
      </c>
      <c r="J2473" s="16">
        <v>135.69065295815815</v>
      </c>
      <c r="K2473" s="16">
        <v>85.409347041841855</v>
      </c>
      <c r="L2473" s="13">
        <v>1.97</v>
      </c>
      <c r="M2473" s="13"/>
      <c r="N2473" s="17">
        <f t="shared" si="83"/>
        <v>659.95</v>
      </c>
      <c r="O2473" s="17">
        <f t="shared" si="83"/>
        <v>0</v>
      </c>
      <c r="P2473" s="17">
        <f t="shared" si="82"/>
        <v>659.95</v>
      </c>
      <c r="Q2473" t="str">
        <f>A2473&amp;"-"&amp;B2473&amp;"-"&amp;D2473</f>
        <v>JUNI-KLB-L3A</v>
      </c>
    </row>
    <row r="2474" spans="1:17" x14ac:dyDescent="0.25">
      <c r="A2474" t="s">
        <v>396</v>
      </c>
      <c r="B2474" s="13" t="s">
        <v>24</v>
      </c>
      <c r="C2474" s="13" t="s">
        <v>226</v>
      </c>
      <c r="D2474" s="14" t="s">
        <v>224</v>
      </c>
      <c r="E2474" s="13" t="s">
        <v>61</v>
      </c>
      <c r="F2474" s="13" t="s">
        <v>889</v>
      </c>
      <c r="G2474" s="13">
        <v>0.77999999999999992</v>
      </c>
      <c r="H2474" s="15">
        <v>2096</v>
      </c>
      <c r="I2474" s="16">
        <v>1634.88</v>
      </c>
      <c r="J2474" s="16">
        <v>951.4094924484848</v>
      </c>
      <c r="K2474" s="16">
        <v>683.4705075515152</v>
      </c>
      <c r="L2474" s="13">
        <v>2</v>
      </c>
      <c r="M2474" s="13"/>
      <c r="N2474" s="17">
        <f t="shared" si="83"/>
        <v>4192</v>
      </c>
      <c r="O2474" s="17">
        <f t="shared" si="83"/>
        <v>0</v>
      </c>
      <c r="P2474" s="17">
        <f t="shared" si="82"/>
        <v>4192</v>
      </c>
      <c r="Q2474" t="str">
        <f>A2474&amp;"-"&amp;B2474&amp;"-"&amp;D2474</f>
        <v>JUNI-KLB-L3A</v>
      </c>
    </row>
    <row r="2475" spans="1:17" x14ac:dyDescent="0.25">
      <c r="A2475" t="s">
        <v>396</v>
      </c>
      <c r="B2475" s="13" t="s">
        <v>24</v>
      </c>
      <c r="C2475" s="13" t="s">
        <v>226</v>
      </c>
      <c r="D2475" s="14" t="s">
        <v>224</v>
      </c>
      <c r="E2475" s="13" t="s">
        <v>61</v>
      </c>
      <c r="F2475" s="13" t="s">
        <v>883</v>
      </c>
      <c r="G2475" s="13">
        <v>0.77999999999999992</v>
      </c>
      <c r="H2475" s="15">
        <v>376</v>
      </c>
      <c r="I2475" s="16">
        <v>293.28000000000003</v>
      </c>
      <c r="J2475" s="16">
        <v>186.68512700407501</v>
      </c>
      <c r="K2475" s="16">
        <v>106.59487299592497</v>
      </c>
      <c r="L2475" s="13">
        <v>2</v>
      </c>
      <c r="M2475" s="13"/>
      <c r="N2475" s="17">
        <f t="shared" si="83"/>
        <v>752</v>
      </c>
      <c r="O2475" s="17">
        <f t="shared" si="83"/>
        <v>0</v>
      </c>
      <c r="P2475" s="17">
        <f t="shared" si="82"/>
        <v>752</v>
      </c>
      <c r="Q2475" t="str">
        <f>A2475&amp;"-"&amp;B2475&amp;"-"&amp;D2475</f>
        <v>JUNI-KLB-L3A</v>
      </c>
    </row>
    <row r="2476" spans="1:17" x14ac:dyDescent="0.25">
      <c r="A2476" t="s">
        <v>396</v>
      </c>
      <c r="B2476" s="13" t="s">
        <v>24</v>
      </c>
      <c r="C2476" s="13" t="s">
        <v>226</v>
      </c>
      <c r="D2476" s="14" t="s">
        <v>224</v>
      </c>
      <c r="E2476" s="13" t="s">
        <v>61</v>
      </c>
      <c r="F2476" s="13" t="s">
        <v>884</v>
      </c>
      <c r="G2476" s="13">
        <v>0.76</v>
      </c>
      <c r="H2476" s="15">
        <v>171</v>
      </c>
      <c r="I2476" s="16">
        <v>129.95999999999998</v>
      </c>
      <c r="J2476" s="16">
        <v>86.526515473350543</v>
      </c>
      <c r="K2476" s="16">
        <v>43.433484526649444</v>
      </c>
      <c r="L2476" s="13">
        <v>2.15</v>
      </c>
      <c r="M2476" s="13"/>
      <c r="N2476" s="17">
        <f t="shared" si="83"/>
        <v>367.65</v>
      </c>
      <c r="O2476" s="17">
        <f t="shared" si="83"/>
        <v>0</v>
      </c>
      <c r="P2476" s="17">
        <f t="shared" si="82"/>
        <v>367.65</v>
      </c>
      <c r="Q2476" t="str">
        <f>A2476&amp;"-"&amp;B2476&amp;"-"&amp;D2476</f>
        <v>JUNI-KLB-L3A</v>
      </c>
    </row>
    <row r="2477" spans="1:17" x14ac:dyDescent="0.25">
      <c r="A2477" t="s">
        <v>396</v>
      </c>
      <c r="B2477" s="13" t="s">
        <v>24</v>
      </c>
      <c r="C2477" s="13" t="s">
        <v>226</v>
      </c>
      <c r="D2477" s="14" t="s">
        <v>224</v>
      </c>
      <c r="E2477" s="13" t="s">
        <v>61</v>
      </c>
      <c r="F2477" s="13" t="s">
        <v>885</v>
      </c>
      <c r="G2477" s="13">
        <v>0.78</v>
      </c>
      <c r="H2477" s="15">
        <v>419</v>
      </c>
      <c r="I2477" s="16">
        <v>326.82</v>
      </c>
      <c r="J2477" s="16">
        <v>208.98801926652641</v>
      </c>
      <c r="K2477" s="16">
        <v>117.83198073347359</v>
      </c>
      <c r="L2477" s="13">
        <v>2</v>
      </c>
      <c r="M2477" s="13"/>
      <c r="N2477" s="17">
        <f t="shared" si="83"/>
        <v>838</v>
      </c>
      <c r="O2477" s="17">
        <f t="shared" si="83"/>
        <v>0</v>
      </c>
      <c r="P2477" s="17">
        <f t="shared" si="82"/>
        <v>838</v>
      </c>
      <c r="Q2477" t="str">
        <f>A2477&amp;"-"&amp;B2477&amp;"-"&amp;D2477</f>
        <v>JUNI-KLB-L3A</v>
      </c>
    </row>
    <row r="2478" spans="1:17" x14ac:dyDescent="0.25">
      <c r="A2478" t="s">
        <v>396</v>
      </c>
      <c r="B2478" s="13" t="s">
        <v>24</v>
      </c>
      <c r="C2478" s="13" t="s">
        <v>226</v>
      </c>
      <c r="D2478" s="14" t="s">
        <v>224</v>
      </c>
      <c r="E2478" s="13" t="s">
        <v>61</v>
      </c>
      <c r="F2478" s="13" t="s">
        <v>1069</v>
      </c>
      <c r="G2478" s="13">
        <v>0.93</v>
      </c>
      <c r="H2478" s="15">
        <v>4186</v>
      </c>
      <c r="I2478" s="16">
        <v>3892.98</v>
      </c>
      <c r="J2478" s="16">
        <v>1778.4282425692049</v>
      </c>
      <c r="K2478" s="16">
        <v>2114.5517574307951</v>
      </c>
      <c r="L2478" s="13">
        <v>2.2400000000000002</v>
      </c>
      <c r="M2478" s="13"/>
      <c r="N2478" s="17">
        <f t="shared" si="83"/>
        <v>9376.6400000000012</v>
      </c>
      <c r="O2478" s="17">
        <f t="shared" si="83"/>
        <v>0</v>
      </c>
      <c r="P2478" s="17">
        <f t="shared" si="82"/>
        <v>9376.6400000000012</v>
      </c>
      <c r="Q2478" t="str">
        <f>A2478&amp;"-"&amp;B2478&amp;"-"&amp;D2478</f>
        <v>JUNI-KLB-L3A</v>
      </c>
    </row>
    <row r="2479" spans="1:17" x14ac:dyDescent="0.25">
      <c r="A2479" t="s">
        <v>396</v>
      </c>
      <c r="B2479" s="13" t="s">
        <v>24</v>
      </c>
      <c r="C2479" s="13" t="s">
        <v>226</v>
      </c>
      <c r="D2479" s="14" t="s">
        <v>224</v>
      </c>
      <c r="E2479" s="13" t="s">
        <v>61</v>
      </c>
      <c r="F2479" s="13" t="s">
        <v>1070</v>
      </c>
      <c r="G2479" s="13">
        <v>0.93</v>
      </c>
      <c r="H2479" s="15">
        <v>2886</v>
      </c>
      <c r="I2479" s="16">
        <v>2683.98</v>
      </c>
      <c r="J2479" s="16">
        <v>1514.6525859346104</v>
      </c>
      <c r="K2479" s="16">
        <v>1169.3274140653893</v>
      </c>
      <c r="L2479" s="13">
        <v>2.2400000000000002</v>
      </c>
      <c r="M2479" s="13"/>
      <c r="N2479" s="17">
        <f t="shared" si="83"/>
        <v>6464.64</v>
      </c>
      <c r="O2479" s="17">
        <f t="shared" si="83"/>
        <v>0</v>
      </c>
      <c r="P2479" s="17">
        <f t="shared" si="82"/>
        <v>6464.64</v>
      </c>
      <c r="Q2479" t="str">
        <f>A2479&amp;"-"&amp;B2479&amp;"-"&amp;D2479</f>
        <v>JUNI-KLB-L3A</v>
      </c>
    </row>
    <row r="2480" spans="1:17" x14ac:dyDescent="0.25">
      <c r="A2480" t="s">
        <v>396</v>
      </c>
      <c r="B2480" s="13" t="s">
        <v>24</v>
      </c>
      <c r="C2480" s="13" t="s">
        <v>226</v>
      </c>
      <c r="D2480" s="14" t="s">
        <v>224</v>
      </c>
      <c r="E2480" s="13" t="s">
        <v>61</v>
      </c>
      <c r="F2480" s="13" t="s">
        <v>1071</v>
      </c>
      <c r="G2480" s="13">
        <v>0.93</v>
      </c>
      <c r="H2480" s="15">
        <v>682</v>
      </c>
      <c r="I2480" s="16">
        <v>634.26</v>
      </c>
      <c r="J2480" s="16">
        <v>357.95046769396572</v>
      </c>
      <c r="K2480" s="16">
        <v>276.30953230603421</v>
      </c>
      <c r="L2480" s="13">
        <v>2.4300000000000002</v>
      </c>
      <c r="M2480" s="13"/>
      <c r="N2480" s="17">
        <f t="shared" si="83"/>
        <v>1657.2600000000002</v>
      </c>
      <c r="O2480" s="17">
        <f t="shared" si="83"/>
        <v>0</v>
      </c>
      <c r="P2480" s="17">
        <f t="shared" si="82"/>
        <v>1657.2600000000002</v>
      </c>
      <c r="Q2480" t="str">
        <f>A2480&amp;"-"&amp;B2480&amp;"-"&amp;D2480</f>
        <v>JUNI-KLB-L3A</v>
      </c>
    </row>
    <row r="2481" spans="1:17" x14ac:dyDescent="0.25">
      <c r="A2481" t="s">
        <v>396</v>
      </c>
      <c r="B2481" s="13" t="s">
        <v>24</v>
      </c>
      <c r="C2481" s="13" t="s">
        <v>226</v>
      </c>
      <c r="D2481" s="14" t="s">
        <v>224</v>
      </c>
      <c r="E2481" s="13" t="s">
        <v>61</v>
      </c>
      <c r="F2481" s="13" t="s">
        <v>1072</v>
      </c>
      <c r="G2481" s="13">
        <v>0.93</v>
      </c>
      <c r="H2481" s="15">
        <v>3001</v>
      </c>
      <c r="I2481" s="16">
        <v>2790.93</v>
      </c>
      <c r="J2481" s="16">
        <v>1591.2365938842781</v>
      </c>
      <c r="K2481" s="16">
        <v>1199.6934061157217</v>
      </c>
      <c r="L2481" s="13">
        <v>2.2400000000000002</v>
      </c>
      <c r="M2481" s="13"/>
      <c r="N2481" s="17">
        <f t="shared" si="83"/>
        <v>6722.2400000000007</v>
      </c>
      <c r="O2481" s="17">
        <f t="shared" si="83"/>
        <v>0</v>
      </c>
      <c r="P2481" s="17">
        <f t="shared" si="82"/>
        <v>6722.2400000000007</v>
      </c>
      <c r="Q2481" t="str">
        <f>A2481&amp;"-"&amp;B2481&amp;"-"&amp;D2481</f>
        <v>JUNI-KLB-L3A</v>
      </c>
    </row>
    <row r="2482" spans="1:17" x14ac:dyDescent="0.25">
      <c r="A2482" t="s">
        <v>396</v>
      </c>
      <c r="B2482" s="13" t="s">
        <v>24</v>
      </c>
      <c r="C2482" s="13" t="s">
        <v>226</v>
      </c>
      <c r="D2482" s="14" t="s">
        <v>224</v>
      </c>
      <c r="E2482" s="13" t="s">
        <v>61</v>
      </c>
      <c r="F2482" s="13" t="s">
        <v>869</v>
      </c>
      <c r="G2482" s="13">
        <v>0.68</v>
      </c>
      <c r="H2482" s="15">
        <v>88</v>
      </c>
      <c r="I2482" s="16">
        <v>59.839999999999996</v>
      </c>
      <c r="J2482" s="16">
        <v>44.565461913009379</v>
      </c>
      <c r="K2482" s="16">
        <v>15.274538086990617</v>
      </c>
      <c r="L2482" s="13">
        <v>1.83</v>
      </c>
      <c r="M2482" s="13"/>
      <c r="N2482" s="17">
        <f t="shared" si="83"/>
        <v>161.04000000000002</v>
      </c>
      <c r="O2482" s="17">
        <f t="shared" si="83"/>
        <v>0</v>
      </c>
      <c r="P2482" s="17">
        <f t="shared" si="82"/>
        <v>161.04000000000002</v>
      </c>
      <c r="Q2482" t="str">
        <f>A2482&amp;"-"&amp;B2482&amp;"-"&amp;D2482</f>
        <v>JUNI-KLB-L3A</v>
      </c>
    </row>
    <row r="2483" spans="1:17" x14ac:dyDescent="0.25">
      <c r="A2483" t="s">
        <v>396</v>
      </c>
      <c r="B2483" s="13" t="s">
        <v>24</v>
      </c>
      <c r="C2483" s="13" t="s">
        <v>226</v>
      </c>
      <c r="D2483" s="14" t="s">
        <v>224</v>
      </c>
      <c r="E2483" s="13" t="s">
        <v>61</v>
      </c>
      <c r="F2483" s="13" t="s">
        <v>870</v>
      </c>
      <c r="G2483" s="13">
        <v>0.68</v>
      </c>
      <c r="H2483" s="15">
        <v>4</v>
      </c>
      <c r="I2483" s="16">
        <v>2.72</v>
      </c>
      <c r="J2483" s="16">
        <v>2.0835266821345706</v>
      </c>
      <c r="K2483" s="16">
        <v>0.6364733178654296</v>
      </c>
      <c r="L2483" s="13">
        <v>1.83</v>
      </c>
      <c r="M2483" s="13"/>
      <c r="N2483" s="17">
        <f t="shared" si="83"/>
        <v>7.32</v>
      </c>
      <c r="O2483" s="17">
        <f t="shared" si="83"/>
        <v>0</v>
      </c>
      <c r="P2483" s="17">
        <f t="shared" si="82"/>
        <v>7.32</v>
      </c>
      <c r="Q2483" t="str">
        <f>A2483&amp;"-"&amp;B2483&amp;"-"&amp;D2483</f>
        <v>JUNI-KLB-L3A</v>
      </c>
    </row>
    <row r="2484" spans="1:17" x14ac:dyDescent="0.25">
      <c r="A2484" t="s">
        <v>396</v>
      </c>
      <c r="B2484" s="13" t="s">
        <v>24</v>
      </c>
      <c r="C2484" s="13" t="s">
        <v>226</v>
      </c>
      <c r="D2484" s="14" t="s">
        <v>224</v>
      </c>
      <c r="E2484" s="13" t="s">
        <v>61</v>
      </c>
      <c r="F2484" s="13" t="s">
        <v>872</v>
      </c>
      <c r="G2484" s="13">
        <v>0.66</v>
      </c>
      <c r="H2484" s="15">
        <v>2</v>
      </c>
      <c r="I2484" s="16">
        <v>1.32</v>
      </c>
      <c r="J2484" s="16">
        <v>1.0417633410672853</v>
      </c>
      <c r="K2484" s="16">
        <v>0.27823665893271476</v>
      </c>
      <c r="L2484" s="13">
        <v>1.98</v>
      </c>
      <c r="M2484" s="13"/>
      <c r="N2484" s="17">
        <f t="shared" si="83"/>
        <v>3.96</v>
      </c>
      <c r="O2484" s="17">
        <f t="shared" si="83"/>
        <v>0</v>
      </c>
      <c r="P2484" s="17">
        <f t="shared" si="82"/>
        <v>3.96</v>
      </c>
      <c r="Q2484" t="str">
        <f>A2484&amp;"-"&amp;B2484&amp;"-"&amp;D2484</f>
        <v>JUNI-KLB-L3A</v>
      </c>
    </row>
    <row r="2485" spans="1:17" x14ac:dyDescent="0.25">
      <c r="A2485" t="s">
        <v>396</v>
      </c>
      <c r="B2485" s="13" t="s">
        <v>24</v>
      </c>
      <c r="C2485" s="13" t="s">
        <v>226</v>
      </c>
      <c r="D2485" s="14" t="s">
        <v>224</v>
      </c>
      <c r="E2485" s="13" t="s">
        <v>61</v>
      </c>
      <c r="F2485" s="13" t="s">
        <v>886</v>
      </c>
      <c r="G2485" s="13">
        <v>0.79</v>
      </c>
      <c r="H2485" s="15">
        <v>1604</v>
      </c>
      <c r="I2485" s="16">
        <v>1267.1599999999999</v>
      </c>
      <c r="J2485" s="16">
        <v>794.55540187845088</v>
      </c>
      <c r="K2485" s="16">
        <v>472.60459812154915</v>
      </c>
      <c r="L2485" s="13">
        <v>2.08</v>
      </c>
      <c r="M2485" s="13"/>
      <c r="N2485" s="17">
        <f t="shared" si="83"/>
        <v>3336.32</v>
      </c>
      <c r="O2485" s="17">
        <f t="shared" si="83"/>
        <v>0</v>
      </c>
      <c r="P2485" s="17">
        <f t="shared" si="82"/>
        <v>3336.32</v>
      </c>
      <c r="Q2485" t="str">
        <f>A2485&amp;"-"&amp;B2485&amp;"-"&amp;D2485</f>
        <v>JUNI-KLB-L3A</v>
      </c>
    </row>
    <row r="2486" spans="1:17" x14ac:dyDescent="0.25">
      <c r="A2486" t="s">
        <v>396</v>
      </c>
      <c r="B2486" s="13" t="s">
        <v>24</v>
      </c>
      <c r="C2486" s="13" t="s">
        <v>226</v>
      </c>
      <c r="D2486" s="14" t="s">
        <v>224</v>
      </c>
      <c r="E2486" s="13" t="s">
        <v>61</v>
      </c>
      <c r="F2486" s="13" t="s">
        <v>887</v>
      </c>
      <c r="G2486" s="13">
        <v>0.79</v>
      </c>
      <c r="H2486" s="15">
        <v>80</v>
      </c>
      <c r="I2486" s="16">
        <v>63.2</v>
      </c>
      <c r="J2486" s="16">
        <v>39.857426910396761</v>
      </c>
      <c r="K2486" s="16">
        <v>23.342573089603238</v>
      </c>
      <c r="L2486" s="13">
        <v>2.08</v>
      </c>
      <c r="M2486" s="13"/>
      <c r="N2486" s="17">
        <f t="shared" si="83"/>
        <v>166.4</v>
      </c>
      <c r="O2486" s="17">
        <f t="shared" si="83"/>
        <v>0</v>
      </c>
      <c r="P2486" s="17">
        <f t="shared" si="82"/>
        <v>166.4</v>
      </c>
      <c r="Q2486" t="str">
        <f>A2486&amp;"-"&amp;B2486&amp;"-"&amp;D2486</f>
        <v>JUNI-KLB-L3A</v>
      </c>
    </row>
    <row r="2487" spans="1:17" x14ac:dyDescent="0.25">
      <c r="A2487" t="s">
        <v>396</v>
      </c>
      <c r="B2487" s="13" t="s">
        <v>24</v>
      </c>
      <c r="C2487" s="13" t="s">
        <v>226</v>
      </c>
      <c r="D2487" s="14" t="s">
        <v>224</v>
      </c>
      <c r="E2487" s="13" t="s">
        <v>61</v>
      </c>
      <c r="F2487" s="13" t="s">
        <v>873</v>
      </c>
      <c r="G2487" s="13">
        <v>0.68</v>
      </c>
      <c r="H2487" s="15">
        <v>49</v>
      </c>
      <c r="I2487" s="16">
        <v>33.32</v>
      </c>
      <c r="J2487" s="16">
        <v>24.789859154929577</v>
      </c>
      <c r="K2487" s="16">
        <v>8.5301408450704237</v>
      </c>
      <c r="L2487" s="13">
        <v>1.83</v>
      </c>
      <c r="M2487" s="13"/>
      <c r="N2487" s="17">
        <f t="shared" si="83"/>
        <v>89.67</v>
      </c>
      <c r="O2487" s="17">
        <f t="shared" si="83"/>
        <v>0</v>
      </c>
      <c r="P2487" s="17">
        <f t="shared" si="82"/>
        <v>89.67</v>
      </c>
      <c r="Q2487" t="str">
        <f>A2487&amp;"-"&amp;B2487&amp;"-"&amp;D2487</f>
        <v>JUNI-KLB-L3A</v>
      </c>
    </row>
    <row r="2488" spans="1:17" x14ac:dyDescent="0.25">
      <c r="A2488" t="s">
        <v>396</v>
      </c>
      <c r="B2488" s="13" t="s">
        <v>24</v>
      </c>
      <c r="C2488" s="13" t="s">
        <v>226</v>
      </c>
      <c r="D2488" s="14" t="s">
        <v>224</v>
      </c>
      <c r="E2488" s="13" t="s">
        <v>61</v>
      </c>
      <c r="F2488" s="13" t="s">
        <v>874</v>
      </c>
      <c r="G2488" s="13">
        <v>0.68</v>
      </c>
      <c r="H2488" s="15">
        <v>39</v>
      </c>
      <c r="I2488" s="16">
        <v>26.52</v>
      </c>
      <c r="J2488" s="16">
        <v>19.299045380727058</v>
      </c>
      <c r="K2488" s="16">
        <v>7.2209546192729421</v>
      </c>
      <c r="L2488" s="13">
        <v>1.83</v>
      </c>
      <c r="M2488" s="13"/>
      <c r="N2488" s="17">
        <f t="shared" si="83"/>
        <v>71.37</v>
      </c>
      <c r="O2488" s="17">
        <f t="shared" si="83"/>
        <v>0</v>
      </c>
      <c r="P2488" s="17">
        <f t="shared" si="82"/>
        <v>71.37</v>
      </c>
      <c r="Q2488" t="str">
        <f>A2488&amp;"-"&amp;B2488&amp;"-"&amp;D2488</f>
        <v>JUNI-KLB-L3A</v>
      </c>
    </row>
    <row r="2489" spans="1:17" x14ac:dyDescent="0.25">
      <c r="A2489" t="s">
        <v>396</v>
      </c>
      <c r="B2489" s="13" t="s">
        <v>24</v>
      </c>
      <c r="C2489" s="13" t="s">
        <v>226</v>
      </c>
      <c r="D2489" s="14" t="s">
        <v>224</v>
      </c>
      <c r="E2489" s="13" t="s">
        <v>61</v>
      </c>
      <c r="F2489" s="13" t="s">
        <v>875</v>
      </c>
      <c r="G2489" s="13">
        <v>0.66</v>
      </c>
      <c r="H2489" s="15">
        <v>88</v>
      </c>
      <c r="I2489" s="16">
        <v>58.08</v>
      </c>
      <c r="J2489" s="16">
        <v>39.727645011600934</v>
      </c>
      <c r="K2489" s="16">
        <v>18.352354988399068</v>
      </c>
      <c r="L2489" s="13">
        <v>1.98</v>
      </c>
      <c r="M2489" s="13"/>
      <c r="N2489" s="17">
        <f t="shared" si="83"/>
        <v>174.24</v>
      </c>
      <c r="O2489" s="17">
        <f t="shared" si="83"/>
        <v>0</v>
      </c>
      <c r="P2489" s="17">
        <f t="shared" si="82"/>
        <v>174.24</v>
      </c>
      <c r="Q2489" t="str">
        <f>A2489&amp;"-"&amp;B2489&amp;"-"&amp;D2489</f>
        <v>JUNI-KLB-L3A</v>
      </c>
    </row>
    <row r="2490" spans="1:17" x14ac:dyDescent="0.25">
      <c r="A2490" t="s">
        <v>396</v>
      </c>
      <c r="B2490" s="13" t="s">
        <v>24</v>
      </c>
      <c r="C2490" s="13" t="s">
        <v>226</v>
      </c>
      <c r="D2490" s="14" t="s">
        <v>224</v>
      </c>
      <c r="E2490" s="13" t="s">
        <v>61</v>
      </c>
      <c r="F2490" s="13" t="s">
        <v>888</v>
      </c>
      <c r="G2490" s="13">
        <v>0.79</v>
      </c>
      <c r="H2490" s="15">
        <v>556</v>
      </c>
      <c r="I2490" s="16">
        <v>439.24</v>
      </c>
      <c r="J2490" s="16">
        <v>280.30540841586475</v>
      </c>
      <c r="K2490" s="16">
        <v>158.93459158413521</v>
      </c>
      <c r="L2490" s="13">
        <v>2.08</v>
      </c>
      <c r="M2490" s="13"/>
      <c r="N2490" s="17">
        <f t="shared" si="83"/>
        <v>1156.48</v>
      </c>
      <c r="O2490" s="17">
        <f t="shared" si="83"/>
        <v>0</v>
      </c>
      <c r="P2490" s="17">
        <f t="shared" si="82"/>
        <v>1156.48</v>
      </c>
      <c r="Q2490" t="str">
        <f>A2490&amp;"-"&amp;B2490&amp;"-"&amp;D2490</f>
        <v>JUNI-KLB-L3A</v>
      </c>
    </row>
    <row r="2491" spans="1:17" x14ac:dyDescent="0.25">
      <c r="A2491" t="s">
        <v>396</v>
      </c>
      <c r="B2491" s="13" t="s">
        <v>24</v>
      </c>
      <c r="C2491" s="13" t="s">
        <v>226</v>
      </c>
      <c r="D2491" s="14" t="s">
        <v>224</v>
      </c>
      <c r="E2491" s="13" t="s">
        <v>61</v>
      </c>
      <c r="F2491" s="13" t="s">
        <v>876</v>
      </c>
      <c r="G2491" s="13">
        <v>0.65</v>
      </c>
      <c r="H2491" s="15">
        <v>25</v>
      </c>
      <c r="I2491" s="16">
        <v>16.25</v>
      </c>
      <c r="J2491" s="16">
        <v>12.11548839719374</v>
      </c>
      <c r="K2491" s="16">
        <v>4.1345116028062598</v>
      </c>
      <c r="L2491" s="13">
        <v>1.64</v>
      </c>
      <c r="M2491" s="13"/>
      <c r="N2491" s="17">
        <f t="shared" si="83"/>
        <v>41</v>
      </c>
      <c r="O2491" s="17">
        <f t="shared" si="83"/>
        <v>0</v>
      </c>
      <c r="P2491" s="17">
        <f t="shared" si="82"/>
        <v>41</v>
      </c>
      <c r="Q2491" t="str">
        <f>A2491&amp;"-"&amp;B2491&amp;"-"&amp;D2491</f>
        <v>JUNI-KLB-L3A</v>
      </c>
    </row>
    <row r="2492" spans="1:17" x14ac:dyDescent="0.25">
      <c r="A2492" t="s">
        <v>396</v>
      </c>
      <c r="B2492" s="13" t="s">
        <v>24</v>
      </c>
      <c r="C2492" s="13" t="s">
        <v>226</v>
      </c>
      <c r="D2492" s="14" t="s">
        <v>224</v>
      </c>
      <c r="E2492" s="13" t="s">
        <v>61</v>
      </c>
      <c r="F2492" s="13" t="s">
        <v>1060</v>
      </c>
      <c r="G2492" s="13">
        <v>0.65</v>
      </c>
      <c r="H2492" s="15">
        <v>14375</v>
      </c>
      <c r="I2492" s="16">
        <v>9343.75</v>
      </c>
      <c r="J2492" s="16">
        <v>5404.6254822664496</v>
      </c>
      <c r="K2492" s="16">
        <v>3939.12451773355</v>
      </c>
      <c r="L2492" s="13">
        <v>1.64</v>
      </c>
      <c r="M2492" s="13"/>
      <c r="N2492" s="17">
        <f t="shared" si="83"/>
        <v>23575</v>
      </c>
      <c r="O2492" s="17">
        <f t="shared" si="83"/>
        <v>0</v>
      </c>
      <c r="P2492" s="17">
        <f t="shared" si="82"/>
        <v>23575</v>
      </c>
      <c r="Q2492" t="str">
        <f>A2492&amp;"-"&amp;B2492&amp;"-"&amp;D2492</f>
        <v>JUNI-KLB-L3A</v>
      </c>
    </row>
    <row r="2493" spans="1:17" x14ac:dyDescent="0.25">
      <c r="A2493" t="s">
        <v>396</v>
      </c>
      <c r="B2493" s="13" t="s">
        <v>24</v>
      </c>
      <c r="C2493" s="13" t="s">
        <v>226</v>
      </c>
      <c r="D2493" s="14" t="s">
        <v>224</v>
      </c>
      <c r="E2493" s="13" t="s">
        <v>61</v>
      </c>
      <c r="F2493" s="13" t="s">
        <v>877</v>
      </c>
      <c r="G2493" s="13">
        <v>0.65</v>
      </c>
      <c r="H2493" s="15">
        <v>320</v>
      </c>
      <c r="I2493" s="16">
        <v>208</v>
      </c>
      <c r="J2493" s="16">
        <v>155.28088479879315</v>
      </c>
      <c r="K2493" s="16">
        <v>52.719115201206833</v>
      </c>
      <c r="L2493" s="13">
        <v>1.66</v>
      </c>
      <c r="M2493" s="13"/>
      <c r="N2493" s="17">
        <f t="shared" si="83"/>
        <v>531.19999999999993</v>
      </c>
      <c r="O2493" s="17">
        <f t="shared" si="83"/>
        <v>0</v>
      </c>
      <c r="P2493" s="17">
        <f t="shared" si="82"/>
        <v>531.19999999999993</v>
      </c>
      <c r="Q2493" t="str">
        <f>A2493&amp;"-"&amp;B2493&amp;"-"&amp;D2493</f>
        <v>JUNI-KLB-L3A</v>
      </c>
    </row>
    <row r="2494" spans="1:17" x14ac:dyDescent="0.25">
      <c r="A2494" t="s">
        <v>396</v>
      </c>
      <c r="B2494" s="13" t="s">
        <v>24</v>
      </c>
      <c r="C2494" s="13" t="s">
        <v>226</v>
      </c>
      <c r="D2494" s="14" t="s">
        <v>225</v>
      </c>
      <c r="E2494" s="13" t="s">
        <v>61</v>
      </c>
      <c r="F2494" s="13" t="s">
        <v>1055</v>
      </c>
      <c r="G2494" s="13">
        <v>0.68</v>
      </c>
      <c r="H2494" s="15">
        <v>4535</v>
      </c>
      <c r="I2494" s="16">
        <v>3083.8</v>
      </c>
      <c r="J2494" s="16">
        <v>1770.7316017316016</v>
      </c>
      <c r="K2494" s="16">
        <v>1313.0683982683981</v>
      </c>
      <c r="L2494" s="13">
        <v>1.82</v>
      </c>
      <c r="M2494" s="13"/>
      <c r="N2494" s="17">
        <f t="shared" si="83"/>
        <v>8253.7000000000007</v>
      </c>
      <c r="O2494" s="17">
        <f t="shared" si="83"/>
        <v>0</v>
      </c>
      <c r="P2494" s="17">
        <f t="shared" si="82"/>
        <v>8253.7000000000007</v>
      </c>
      <c r="Q2494" t="str">
        <f>A2494&amp;"-"&amp;B2494&amp;"-"&amp;D2494</f>
        <v>JUNI-KLB-L3B</v>
      </c>
    </row>
    <row r="2495" spans="1:17" x14ac:dyDescent="0.25">
      <c r="A2495" t="s">
        <v>396</v>
      </c>
      <c r="B2495" s="13" t="s">
        <v>24</v>
      </c>
      <c r="C2495" s="13" t="s">
        <v>226</v>
      </c>
      <c r="D2495" s="14" t="s">
        <v>225</v>
      </c>
      <c r="E2495" s="13" t="s">
        <v>61</v>
      </c>
      <c r="F2495" s="13" t="s">
        <v>1067</v>
      </c>
      <c r="G2495" s="13">
        <v>0.68</v>
      </c>
      <c r="H2495" s="15">
        <v>4460</v>
      </c>
      <c r="I2495" s="16">
        <v>3032.8</v>
      </c>
      <c r="J2495" s="16">
        <v>1821.3359357733623</v>
      </c>
      <c r="K2495" s="16">
        <v>1211.4640642266377</v>
      </c>
      <c r="L2495" s="13">
        <v>1.82</v>
      </c>
      <c r="M2495" s="13"/>
      <c r="N2495" s="17">
        <f t="shared" si="83"/>
        <v>8117.2000000000007</v>
      </c>
      <c r="O2495" s="17">
        <f t="shared" si="83"/>
        <v>0</v>
      </c>
      <c r="P2495" s="17">
        <f t="shared" si="82"/>
        <v>8117.2000000000007</v>
      </c>
      <c r="Q2495" t="str">
        <f>A2495&amp;"-"&amp;B2495&amp;"-"&amp;D2495</f>
        <v>JUNI-KLB-L3B</v>
      </c>
    </row>
    <row r="2496" spans="1:17" x14ac:dyDescent="0.25">
      <c r="A2496" t="s">
        <v>396</v>
      </c>
      <c r="B2496" s="13" t="s">
        <v>24</v>
      </c>
      <c r="C2496" s="13" t="s">
        <v>226</v>
      </c>
      <c r="D2496" s="14" t="s">
        <v>225</v>
      </c>
      <c r="E2496" s="13" t="s">
        <v>61</v>
      </c>
      <c r="F2496" s="13" t="s">
        <v>1068</v>
      </c>
      <c r="G2496" s="13">
        <v>0.66</v>
      </c>
      <c r="H2496" s="15">
        <v>1110</v>
      </c>
      <c r="I2496" s="16">
        <v>732.6</v>
      </c>
      <c r="J2496" s="16">
        <v>442.42191294747465</v>
      </c>
      <c r="K2496" s="16">
        <v>290.17808705252526</v>
      </c>
      <c r="L2496" s="13">
        <v>1.97</v>
      </c>
      <c r="M2496" s="13"/>
      <c r="N2496" s="17">
        <f t="shared" si="83"/>
        <v>2186.6999999999998</v>
      </c>
      <c r="O2496" s="17">
        <f t="shared" si="83"/>
        <v>0</v>
      </c>
      <c r="P2496" s="17">
        <f t="shared" si="82"/>
        <v>2186.6999999999998</v>
      </c>
      <c r="Q2496" t="str">
        <f>A2496&amp;"-"&amp;B2496&amp;"-"&amp;D2496</f>
        <v>JUNI-KLB-L3B</v>
      </c>
    </row>
    <row r="2497" spans="1:17" x14ac:dyDescent="0.25">
      <c r="A2497" t="s">
        <v>396</v>
      </c>
      <c r="B2497" s="13" t="s">
        <v>24</v>
      </c>
      <c r="C2497" s="13" t="s">
        <v>226</v>
      </c>
      <c r="D2497" s="14" t="s">
        <v>225</v>
      </c>
      <c r="E2497" s="13" t="s">
        <v>61</v>
      </c>
      <c r="F2497" s="13" t="s">
        <v>889</v>
      </c>
      <c r="G2497" s="13">
        <v>0.78</v>
      </c>
      <c r="H2497" s="15">
        <v>1627</v>
      </c>
      <c r="I2497" s="16">
        <v>1269.06</v>
      </c>
      <c r="J2497" s="16">
        <v>806.46896380954684</v>
      </c>
      <c r="K2497" s="16">
        <v>462.59103619045317</v>
      </c>
      <c r="L2497" s="13">
        <v>2</v>
      </c>
      <c r="M2497" s="13"/>
      <c r="N2497" s="17">
        <f t="shared" si="83"/>
        <v>3254</v>
      </c>
      <c r="O2497" s="17">
        <f t="shared" si="83"/>
        <v>0</v>
      </c>
      <c r="P2497" s="17">
        <f t="shared" si="82"/>
        <v>3254</v>
      </c>
      <c r="Q2497" t="str">
        <f>A2497&amp;"-"&amp;B2497&amp;"-"&amp;D2497</f>
        <v>JUNI-KLB-L3B</v>
      </c>
    </row>
    <row r="2498" spans="1:17" x14ac:dyDescent="0.25">
      <c r="A2498" t="s">
        <v>396</v>
      </c>
      <c r="B2498" s="13" t="s">
        <v>24</v>
      </c>
      <c r="C2498" s="13" t="s">
        <v>226</v>
      </c>
      <c r="D2498" s="14" t="s">
        <v>225</v>
      </c>
      <c r="E2498" s="13" t="s">
        <v>61</v>
      </c>
      <c r="F2498" s="13" t="s">
        <v>883</v>
      </c>
      <c r="G2498" s="13">
        <v>0.78</v>
      </c>
      <c r="H2498" s="15">
        <v>880</v>
      </c>
      <c r="I2498" s="16">
        <v>686.40000000000009</v>
      </c>
      <c r="J2498" s="16">
        <v>395.64492556025942</v>
      </c>
      <c r="K2498" s="16">
        <v>290.75507443974067</v>
      </c>
      <c r="L2498" s="13">
        <v>2</v>
      </c>
      <c r="M2498" s="13"/>
      <c r="N2498" s="17">
        <f t="shared" si="83"/>
        <v>1760</v>
      </c>
      <c r="O2498" s="17">
        <f t="shared" si="83"/>
        <v>0</v>
      </c>
      <c r="P2498" s="17">
        <f t="shared" ref="P2498:P2561" si="84">N2498+O2498</f>
        <v>1760</v>
      </c>
      <c r="Q2498" t="str">
        <f>A2498&amp;"-"&amp;B2498&amp;"-"&amp;D2498</f>
        <v>JUNI-KLB-L3B</v>
      </c>
    </row>
    <row r="2499" spans="1:17" x14ac:dyDescent="0.25">
      <c r="A2499" t="s">
        <v>396</v>
      </c>
      <c r="B2499" s="13" t="s">
        <v>24</v>
      </c>
      <c r="C2499" s="13" t="s">
        <v>226</v>
      </c>
      <c r="D2499" s="14" t="s">
        <v>225</v>
      </c>
      <c r="E2499" s="13" t="s">
        <v>61</v>
      </c>
      <c r="F2499" s="13" t="s">
        <v>884</v>
      </c>
      <c r="G2499" s="13">
        <v>0.76</v>
      </c>
      <c r="H2499" s="15">
        <v>210</v>
      </c>
      <c r="I2499" s="16">
        <v>159.6</v>
      </c>
      <c r="J2499" s="16">
        <v>94.054862842892774</v>
      </c>
      <c r="K2499" s="16">
        <v>65.54513715710722</v>
      </c>
      <c r="L2499" s="13">
        <v>2.15</v>
      </c>
      <c r="M2499" s="13"/>
      <c r="N2499" s="17">
        <f t="shared" si="83"/>
        <v>451.5</v>
      </c>
      <c r="O2499" s="17">
        <f t="shared" si="83"/>
        <v>0</v>
      </c>
      <c r="P2499" s="17">
        <f t="shared" si="84"/>
        <v>451.5</v>
      </c>
      <c r="Q2499" t="str">
        <f>A2499&amp;"-"&amp;B2499&amp;"-"&amp;D2499</f>
        <v>JUNI-KLB-L3B</v>
      </c>
    </row>
    <row r="2500" spans="1:17" x14ac:dyDescent="0.25">
      <c r="A2500" t="s">
        <v>396</v>
      </c>
      <c r="B2500" s="13" t="s">
        <v>24</v>
      </c>
      <c r="C2500" s="13" t="s">
        <v>226</v>
      </c>
      <c r="D2500" s="14" t="s">
        <v>225</v>
      </c>
      <c r="E2500" s="13" t="s">
        <v>61</v>
      </c>
      <c r="F2500" s="13" t="s">
        <v>885</v>
      </c>
      <c r="G2500" s="13">
        <v>0.78</v>
      </c>
      <c r="H2500" s="15">
        <v>1902</v>
      </c>
      <c r="I2500" s="16">
        <v>1483.5599999999997</v>
      </c>
      <c r="J2500" s="16">
        <v>956.9877188051629</v>
      </c>
      <c r="K2500" s="16">
        <v>526.57228119483716</v>
      </c>
      <c r="L2500" s="13">
        <v>2</v>
      </c>
      <c r="M2500" s="13"/>
      <c r="N2500" s="17">
        <f t="shared" si="83"/>
        <v>3804</v>
      </c>
      <c r="O2500" s="17">
        <f t="shared" si="83"/>
        <v>0</v>
      </c>
      <c r="P2500" s="17">
        <f t="shared" si="84"/>
        <v>3804</v>
      </c>
      <c r="Q2500" t="str">
        <f>A2500&amp;"-"&amp;B2500&amp;"-"&amp;D2500</f>
        <v>JUNI-KLB-L3B</v>
      </c>
    </row>
    <row r="2501" spans="1:17" x14ac:dyDescent="0.25">
      <c r="A2501" t="s">
        <v>396</v>
      </c>
      <c r="B2501" s="13" t="s">
        <v>24</v>
      </c>
      <c r="C2501" s="13" t="s">
        <v>226</v>
      </c>
      <c r="D2501" s="14" t="s">
        <v>225</v>
      </c>
      <c r="E2501" s="13" t="s">
        <v>61</v>
      </c>
      <c r="F2501" s="13" t="s">
        <v>1069</v>
      </c>
      <c r="G2501" s="13">
        <v>0.93</v>
      </c>
      <c r="H2501" s="15">
        <v>3380</v>
      </c>
      <c r="I2501" s="16">
        <v>3143.4</v>
      </c>
      <c r="J2501" s="16">
        <v>1539.6669033772139</v>
      </c>
      <c r="K2501" s="16">
        <v>1603.733096622786</v>
      </c>
      <c r="L2501" s="13">
        <v>2.2400000000000002</v>
      </c>
      <c r="M2501" s="13"/>
      <c r="N2501" s="17">
        <f t="shared" si="83"/>
        <v>7571.2000000000007</v>
      </c>
      <c r="O2501" s="17">
        <f t="shared" si="83"/>
        <v>0</v>
      </c>
      <c r="P2501" s="17">
        <f t="shared" si="84"/>
        <v>7571.2000000000007</v>
      </c>
      <c r="Q2501" t="str">
        <f>A2501&amp;"-"&amp;B2501&amp;"-"&amp;D2501</f>
        <v>JUNI-KLB-L3B</v>
      </c>
    </row>
    <row r="2502" spans="1:17" x14ac:dyDescent="0.25">
      <c r="A2502" t="s">
        <v>396</v>
      </c>
      <c r="B2502" s="13" t="s">
        <v>24</v>
      </c>
      <c r="C2502" s="13" t="s">
        <v>226</v>
      </c>
      <c r="D2502" s="14" t="s">
        <v>225</v>
      </c>
      <c r="E2502" s="13" t="s">
        <v>61</v>
      </c>
      <c r="F2502" s="13" t="s">
        <v>1070</v>
      </c>
      <c r="G2502" s="13">
        <v>0.93</v>
      </c>
      <c r="H2502" s="15">
        <v>2320</v>
      </c>
      <c r="I2502" s="16">
        <v>2157.6000000000004</v>
      </c>
      <c r="J2502" s="16">
        <v>1347.0333997226689</v>
      </c>
      <c r="K2502" s="16">
        <v>810.56660027733119</v>
      </c>
      <c r="L2502" s="13">
        <v>2.2400000000000002</v>
      </c>
      <c r="M2502" s="13"/>
      <c r="N2502" s="17">
        <f t="shared" si="83"/>
        <v>5196.8</v>
      </c>
      <c r="O2502" s="17">
        <f t="shared" si="83"/>
        <v>0</v>
      </c>
      <c r="P2502" s="17">
        <f t="shared" si="84"/>
        <v>5196.8</v>
      </c>
      <c r="Q2502" t="str">
        <f>A2502&amp;"-"&amp;B2502&amp;"-"&amp;D2502</f>
        <v>JUNI-KLB-L3B</v>
      </c>
    </row>
    <row r="2503" spans="1:17" x14ac:dyDescent="0.25">
      <c r="A2503" t="s">
        <v>396</v>
      </c>
      <c r="B2503" s="13" t="s">
        <v>24</v>
      </c>
      <c r="C2503" s="13" t="s">
        <v>226</v>
      </c>
      <c r="D2503" s="14" t="s">
        <v>225</v>
      </c>
      <c r="E2503" s="13" t="s">
        <v>61</v>
      </c>
      <c r="F2503" s="13" t="s">
        <v>1071</v>
      </c>
      <c r="G2503" s="13">
        <v>0.93</v>
      </c>
      <c r="H2503" s="15">
        <v>419</v>
      </c>
      <c r="I2503" s="16">
        <v>389.67</v>
      </c>
      <c r="J2503" s="16">
        <v>243.10466479128837</v>
      </c>
      <c r="K2503" s="16">
        <v>146.56533520871162</v>
      </c>
      <c r="L2503" s="13">
        <v>2.4300000000000002</v>
      </c>
      <c r="M2503" s="13"/>
      <c r="N2503" s="17">
        <f t="shared" si="83"/>
        <v>1018.1700000000001</v>
      </c>
      <c r="O2503" s="17">
        <f t="shared" si="83"/>
        <v>0</v>
      </c>
      <c r="P2503" s="17">
        <f t="shared" si="84"/>
        <v>1018.1700000000001</v>
      </c>
      <c r="Q2503" t="str">
        <f>A2503&amp;"-"&amp;B2503&amp;"-"&amp;D2503</f>
        <v>JUNI-KLB-L3B</v>
      </c>
    </row>
    <row r="2504" spans="1:17" x14ac:dyDescent="0.25">
      <c r="A2504" t="s">
        <v>396</v>
      </c>
      <c r="B2504" s="13" t="s">
        <v>24</v>
      </c>
      <c r="C2504" s="13" t="s">
        <v>226</v>
      </c>
      <c r="D2504" s="14" t="s">
        <v>225</v>
      </c>
      <c r="E2504" s="13" t="s">
        <v>61</v>
      </c>
      <c r="F2504" s="13" t="s">
        <v>1072</v>
      </c>
      <c r="G2504" s="13">
        <v>0.92999999999999994</v>
      </c>
      <c r="H2504" s="15">
        <v>2091</v>
      </c>
      <c r="I2504" s="16">
        <v>1944.63</v>
      </c>
      <c r="J2504" s="16">
        <v>1029.0269822925868</v>
      </c>
      <c r="K2504" s="16">
        <v>915.60301770741319</v>
      </c>
      <c r="L2504" s="13">
        <v>2.2400000000000002</v>
      </c>
      <c r="M2504" s="13"/>
      <c r="N2504" s="17">
        <f t="shared" si="83"/>
        <v>4683.84</v>
      </c>
      <c r="O2504" s="17">
        <f t="shared" si="83"/>
        <v>0</v>
      </c>
      <c r="P2504" s="17">
        <f t="shared" si="84"/>
        <v>4683.84</v>
      </c>
      <c r="Q2504" t="str">
        <f>A2504&amp;"-"&amp;B2504&amp;"-"&amp;D2504</f>
        <v>JUNI-KLB-L3B</v>
      </c>
    </row>
    <row r="2505" spans="1:17" x14ac:dyDescent="0.25">
      <c r="A2505" t="s">
        <v>396</v>
      </c>
      <c r="B2505" s="13" t="s">
        <v>24</v>
      </c>
      <c r="C2505" s="13" t="s">
        <v>226</v>
      </c>
      <c r="D2505" s="14" t="s">
        <v>225</v>
      </c>
      <c r="E2505" s="13" t="s">
        <v>61</v>
      </c>
      <c r="F2505" s="13" t="s">
        <v>886</v>
      </c>
      <c r="G2505" s="13">
        <v>0.79</v>
      </c>
      <c r="H2505" s="15">
        <v>2076</v>
      </c>
      <c r="I2505" s="16">
        <v>1640.04</v>
      </c>
      <c r="J2505" s="16">
        <v>1029.4924434150935</v>
      </c>
      <c r="K2505" s="16">
        <v>610.54755658490649</v>
      </c>
      <c r="L2505" s="13">
        <v>2.08</v>
      </c>
      <c r="M2505" s="13"/>
      <c r="N2505" s="17">
        <f t="shared" si="83"/>
        <v>4318.08</v>
      </c>
      <c r="O2505" s="17">
        <f t="shared" si="83"/>
        <v>0</v>
      </c>
      <c r="P2505" s="17">
        <f t="shared" si="84"/>
        <v>4318.08</v>
      </c>
      <c r="Q2505" t="str">
        <f>A2505&amp;"-"&amp;B2505&amp;"-"&amp;D2505</f>
        <v>JUNI-KLB-L3B</v>
      </c>
    </row>
    <row r="2506" spans="1:17" x14ac:dyDescent="0.25">
      <c r="A2506" t="s">
        <v>396</v>
      </c>
      <c r="B2506" s="13" t="s">
        <v>24</v>
      </c>
      <c r="C2506" s="13" t="s">
        <v>226</v>
      </c>
      <c r="D2506" s="14" t="s">
        <v>225</v>
      </c>
      <c r="E2506" s="13" t="s">
        <v>61</v>
      </c>
      <c r="F2506" s="13" t="s">
        <v>887</v>
      </c>
      <c r="G2506" s="13">
        <v>0.79</v>
      </c>
      <c r="H2506" s="15">
        <v>444</v>
      </c>
      <c r="I2506" s="16">
        <v>350.76</v>
      </c>
      <c r="J2506" s="16">
        <v>216.45123539073836</v>
      </c>
      <c r="K2506" s="16">
        <v>134.3087646092616</v>
      </c>
      <c r="L2506" s="13">
        <v>2.08</v>
      </c>
      <c r="M2506" s="13"/>
      <c r="N2506" s="17">
        <f t="shared" si="83"/>
        <v>923.52</v>
      </c>
      <c r="O2506" s="17">
        <f t="shared" si="83"/>
        <v>0</v>
      </c>
      <c r="P2506" s="17">
        <f t="shared" si="84"/>
        <v>923.52</v>
      </c>
      <c r="Q2506" t="str">
        <f>A2506&amp;"-"&amp;B2506&amp;"-"&amp;D2506</f>
        <v>JUNI-KLB-L3B</v>
      </c>
    </row>
    <row r="2507" spans="1:17" x14ac:dyDescent="0.25">
      <c r="A2507" t="s">
        <v>396</v>
      </c>
      <c r="B2507" s="13" t="s">
        <v>24</v>
      </c>
      <c r="C2507" s="13" t="s">
        <v>226</v>
      </c>
      <c r="D2507" s="14" t="s">
        <v>225</v>
      </c>
      <c r="E2507" s="13" t="s">
        <v>61</v>
      </c>
      <c r="F2507" s="13" t="s">
        <v>873</v>
      </c>
      <c r="G2507" s="13">
        <v>0.68</v>
      </c>
      <c r="H2507" s="15">
        <v>40</v>
      </c>
      <c r="I2507" s="16">
        <v>27.2</v>
      </c>
      <c r="J2507" s="16">
        <v>19.363881401617252</v>
      </c>
      <c r="K2507" s="16">
        <v>7.8361185983827468</v>
      </c>
      <c r="L2507" s="13">
        <v>1.83</v>
      </c>
      <c r="M2507" s="13"/>
      <c r="N2507" s="17">
        <f t="shared" si="83"/>
        <v>73.2</v>
      </c>
      <c r="O2507" s="17">
        <f t="shared" si="83"/>
        <v>0</v>
      </c>
      <c r="P2507" s="17">
        <f t="shared" si="84"/>
        <v>73.2</v>
      </c>
      <c r="Q2507" t="str">
        <f>A2507&amp;"-"&amp;B2507&amp;"-"&amp;D2507</f>
        <v>JUNI-KLB-L3B</v>
      </c>
    </row>
    <row r="2508" spans="1:17" x14ac:dyDescent="0.25">
      <c r="A2508" t="s">
        <v>396</v>
      </c>
      <c r="B2508" s="13" t="s">
        <v>24</v>
      </c>
      <c r="C2508" s="13" t="s">
        <v>226</v>
      </c>
      <c r="D2508" s="14" t="s">
        <v>225</v>
      </c>
      <c r="E2508" s="13" t="s">
        <v>61</v>
      </c>
      <c r="F2508" s="13" t="s">
        <v>888</v>
      </c>
      <c r="G2508" s="13">
        <v>0.79</v>
      </c>
      <c r="H2508" s="15">
        <v>95</v>
      </c>
      <c r="I2508" s="16">
        <v>75.05</v>
      </c>
      <c r="J2508" s="16">
        <v>51.035405665937901</v>
      </c>
      <c r="K2508" s="16">
        <v>24.014594334062103</v>
      </c>
      <c r="L2508" s="13">
        <v>2.08</v>
      </c>
      <c r="M2508" s="13"/>
      <c r="N2508" s="17">
        <f t="shared" si="83"/>
        <v>197.6</v>
      </c>
      <c r="O2508" s="17">
        <f t="shared" si="83"/>
        <v>0</v>
      </c>
      <c r="P2508" s="17">
        <f t="shared" si="84"/>
        <v>197.6</v>
      </c>
      <c r="Q2508" t="str">
        <f>A2508&amp;"-"&amp;B2508&amp;"-"&amp;D2508</f>
        <v>JUNI-KLB-L3B</v>
      </c>
    </row>
    <row r="2509" spans="1:17" x14ac:dyDescent="0.25">
      <c r="A2509" t="s">
        <v>396</v>
      </c>
      <c r="B2509" s="13" t="s">
        <v>24</v>
      </c>
      <c r="C2509" s="13" t="s">
        <v>226</v>
      </c>
      <c r="D2509" s="14" t="s">
        <v>225</v>
      </c>
      <c r="E2509" s="13" t="s">
        <v>61</v>
      </c>
      <c r="F2509" s="13" t="s">
        <v>1060</v>
      </c>
      <c r="G2509" s="13">
        <v>0.65</v>
      </c>
      <c r="H2509" s="15">
        <v>14255</v>
      </c>
      <c r="I2509" s="16">
        <v>9265.75</v>
      </c>
      <c r="J2509" s="16">
        <v>5946.4852101206907</v>
      </c>
      <c r="K2509" s="16">
        <v>3319.2647898793089</v>
      </c>
      <c r="L2509" s="13">
        <v>1.64</v>
      </c>
      <c r="M2509" s="13"/>
      <c r="N2509" s="17">
        <f t="shared" si="83"/>
        <v>23378.199999999997</v>
      </c>
      <c r="O2509" s="17">
        <f t="shared" si="83"/>
        <v>0</v>
      </c>
      <c r="P2509" s="17">
        <f t="shared" si="84"/>
        <v>23378.199999999997</v>
      </c>
      <c r="Q2509" t="str">
        <f>A2509&amp;"-"&amp;B2509&amp;"-"&amp;D2509</f>
        <v>JUNI-KLB-L3B</v>
      </c>
    </row>
    <row r="2510" spans="1:17" x14ac:dyDescent="0.25">
      <c r="A2510" t="s">
        <v>396</v>
      </c>
      <c r="B2510" s="13" t="s">
        <v>24</v>
      </c>
      <c r="C2510" s="13" t="s">
        <v>226</v>
      </c>
      <c r="D2510" s="14" t="s">
        <v>225</v>
      </c>
      <c r="E2510" s="13" t="s">
        <v>61</v>
      </c>
      <c r="F2510" s="13" t="s">
        <v>877</v>
      </c>
      <c r="G2510" s="13">
        <v>0.65</v>
      </c>
      <c r="H2510" s="15">
        <v>457</v>
      </c>
      <c r="I2510" s="16">
        <v>297.05</v>
      </c>
      <c r="J2510" s="16">
        <v>250.69395235186315</v>
      </c>
      <c r="K2510" s="16">
        <v>46.356047648136865</v>
      </c>
      <c r="L2510" s="13">
        <v>1.66</v>
      </c>
      <c r="M2510" s="13"/>
      <c r="N2510" s="17">
        <f t="shared" si="83"/>
        <v>758.62</v>
      </c>
      <c r="O2510" s="17">
        <f t="shared" si="83"/>
        <v>0</v>
      </c>
      <c r="P2510" s="17">
        <f t="shared" si="84"/>
        <v>758.62</v>
      </c>
      <c r="Q2510" t="str">
        <f>A2510&amp;"-"&amp;B2510&amp;"-"&amp;D2510</f>
        <v>JUNI-KLB-L3B</v>
      </c>
    </row>
    <row r="2511" spans="1:17" x14ac:dyDescent="0.25">
      <c r="A2511" t="s">
        <v>396</v>
      </c>
      <c r="B2511" s="13" t="s">
        <v>25</v>
      </c>
      <c r="C2511" s="13" t="s">
        <v>154</v>
      </c>
      <c r="D2511" s="14" t="s">
        <v>44</v>
      </c>
      <c r="E2511" s="13" t="s">
        <v>155</v>
      </c>
      <c r="F2511" s="13" t="s">
        <v>921</v>
      </c>
      <c r="G2511" s="13">
        <v>0.48</v>
      </c>
      <c r="H2511" s="15">
        <v>447</v>
      </c>
      <c r="I2511" s="16">
        <v>214.56</v>
      </c>
      <c r="J2511" s="16">
        <v>697.22282608695662</v>
      </c>
      <c r="K2511" s="16">
        <v>-482.66282608695661</v>
      </c>
      <c r="L2511" s="13">
        <v>1.82</v>
      </c>
      <c r="M2511" s="13"/>
      <c r="N2511" s="17">
        <f t="shared" si="83"/>
        <v>813.54000000000008</v>
      </c>
      <c r="O2511" s="17">
        <f t="shared" si="83"/>
        <v>0</v>
      </c>
      <c r="P2511" s="17">
        <f t="shared" si="84"/>
        <v>813.54000000000008</v>
      </c>
      <c r="Q2511" t="str">
        <f>A2511&amp;"-"&amp;B2511&amp;"-"&amp;D2511</f>
        <v>JUNI-MJ1-L1</v>
      </c>
    </row>
    <row r="2512" spans="1:17" x14ac:dyDescent="0.25">
      <c r="A2512" t="s">
        <v>396</v>
      </c>
      <c r="B2512" s="13" t="s">
        <v>25</v>
      </c>
      <c r="C2512" s="13" t="s">
        <v>154</v>
      </c>
      <c r="D2512" s="14" t="s">
        <v>44</v>
      </c>
      <c r="E2512" s="13" t="s">
        <v>155</v>
      </c>
      <c r="F2512" s="13" t="s">
        <v>924</v>
      </c>
      <c r="G2512" s="13">
        <v>0.48</v>
      </c>
      <c r="H2512" s="15">
        <v>229</v>
      </c>
      <c r="I2512" s="16">
        <v>109.92</v>
      </c>
      <c r="J2512" s="16">
        <v>857.30843064487931</v>
      </c>
      <c r="K2512" s="16">
        <v>-747.38843064487924</v>
      </c>
      <c r="L2512" s="13">
        <v>1.8</v>
      </c>
      <c r="M2512" s="13"/>
      <c r="N2512" s="17">
        <f t="shared" si="83"/>
        <v>412.2</v>
      </c>
      <c r="O2512" s="17">
        <f t="shared" si="83"/>
        <v>0</v>
      </c>
      <c r="P2512" s="17">
        <f t="shared" si="84"/>
        <v>412.2</v>
      </c>
      <c r="Q2512" t="str">
        <f>A2512&amp;"-"&amp;B2512&amp;"-"&amp;D2512</f>
        <v>JUNI-MJ1-L1</v>
      </c>
    </row>
    <row r="2513" spans="1:17" x14ac:dyDescent="0.25">
      <c r="A2513" t="s">
        <v>396</v>
      </c>
      <c r="B2513" s="13" t="s">
        <v>25</v>
      </c>
      <c r="C2513" s="13" t="s">
        <v>154</v>
      </c>
      <c r="D2513" s="14" t="s">
        <v>44</v>
      </c>
      <c r="E2513" s="13" t="s">
        <v>249</v>
      </c>
      <c r="F2513" s="13" t="s">
        <v>1073</v>
      </c>
      <c r="G2513" s="13">
        <v>1.38</v>
      </c>
      <c r="H2513" s="15">
        <v>128</v>
      </c>
      <c r="I2513" s="16">
        <v>176</v>
      </c>
      <c r="J2513" s="16">
        <v>303.60330578512395</v>
      </c>
      <c r="K2513" s="16">
        <v>-127.60330578512395</v>
      </c>
      <c r="L2513" s="13">
        <v>3.61</v>
      </c>
      <c r="M2513" s="13"/>
      <c r="N2513" s="17">
        <f t="shared" si="83"/>
        <v>462.08</v>
      </c>
      <c r="O2513" s="17">
        <f t="shared" si="83"/>
        <v>0</v>
      </c>
      <c r="P2513" s="17">
        <f t="shared" si="84"/>
        <v>462.08</v>
      </c>
      <c r="Q2513" t="str">
        <f>A2513&amp;"-"&amp;B2513&amp;"-"&amp;D2513</f>
        <v>JUNI-MJ1-L1</v>
      </c>
    </row>
    <row r="2514" spans="1:17" x14ac:dyDescent="0.25">
      <c r="A2514" t="s">
        <v>396</v>
      </c>
      <c r="B2514" s="13" t="s">
        <v>25</v>
      </c>
      <c r="C2514" s="13" t="s">
        <v>154</v>
      </c>
      <c r="D2514" s="14" t="s">
        <v>44</v>
      </c>
      <c r="E2514" s="13" t="s">
        <v>249</v>
      </c>
      <c r="F2514" s="13" t="s">
        <v>900</v>
      </c>
      <c r="G2514" s="13">
        <v>1.38</v>
      </c>
      <c r="H2514" s="15">
        <v>237</v>
      </c>
      <c r="I2514" s="16">
        <v>325.88</v>
      </c>
      <c r="J2514" s="16">
        <v>591.31265930331347</v>
      </c>
      <c r="K2514" s="16">
        <v>-265.43265930331347</v>
      </c>
      <c r="L2514" s="13">
        <v>3.63</v>
      </c>
      <c r="M2514" s="13"/>
      <c r="N2514" s="17">
        <f t="shared" si="83"/>
        <v>860.31</v>
      </c>
      <c r="O2514" s="17">
        <f t="shared" si="83"/>
        <v>0</v>
      </c>
      <c r="P2514" s="17">
        <f t="shared" si="84"/>
        <v>860.31</v>
      </c>
      <c r="Q2514" t="str">
        <f>A2514&amp;"-"&amp;B2514&amp;"-"&amp;D2514</f>
        <v>JUNI-MJ1-L1</v>
      </c>
    </row>
    <row r="2515" spans="1:17" x14ac:dyDescent="0.25">
      <c r="A2515" t="s">
        <v>396</v>
      </c>
      <c r="B2515" s="13" t="s">
        <v>25</v>
      </c>
      <c r="C2515" s="13" t="s">
        <v>154</v>
      </c>
      <c r="D2515" s="14" t="s">
        <v>287</v>
      </c>
      <c r="E2515" s="13" t="s">
        <v>249</v>
      </c>
      <c r="F2515" s="13" t="s">
        <v>903</v>
      </c>
      <c r="G2515" s="13">
        <v>1.38</v>
      </c>
      <c r="H2515" s="15">
        <v>10</v>
      </c>
      <c r="I2515" s="16">
        <v>13.75</v>
      </c>
      <c r="J2515" s="16">
        <v>38.609865470852014</v>
      </c>
      <c r="K2515" s="16">
        <v>-24.859865470852014</v>
      </c>
      <c r="L2515" s="13">
        <v>3.61</v>
      </c>
      <c r="M2515" s="13"/>
      <c r="N2515" s="17">
        <f t="shared" si="83"/>
        <v>36.1</v>
      </c>
      <c r="O2515" s="17">
        <f t="shared" si="83"/>
        <v>0</v>
      </c>
      <c r="P2515" s="17">
        <f t="shared" si="84"/>
        <v>36.1</v>
      </c>
      <c r="Q2515" t="str">
        <f>A2515&amp;"-"&amp;B2515&amp;"-"&amp;D2515</f>
        <v>JUNI-MJ1-L11</v>
      </c>
    </row>
    <row r="2516" spans="1:17" x14ac:dyDescent="0.25">
      <c r="A2516" t="s">
        <v>396</v>
      </c>
      <c r="B2516" s="13" t="s">
        <v>25</v>
      </c>
      <c r="C2516" s="13" t="s">
        <v>154</v>
      </c>
      <c r="D2516" s="14" t="s">
        <v>320</v>
      </c>
      <c r="E2516" s="13" t="s">
        <v>65</v>
      </c>
      <c r="F2516" s="13" t="s">
        <v>608</v>
      </c>
      <c r="G2516" s="13">
        <v>1.03</v>
      </c>
      <c r="H2516" s="15">
        <v>126</v>
      </c>
      <c r="I2516" s="16">
        <v>129.78</v>
      </c>
      <c r="J2516" s="16">
        <v>861</v>
      </c>
      <c r="K2516" s="16">
        <v>-731.22</v>
      </c>
      <c r="L2516" s="13">
        <v>3.78</v>
      </c>
      <c r="M2516" s="13"/>
      <c r="N2516" s="17">
        <f t="shared" si="83"/>
        <v>476.28</v>
      </c>
      <c r="O2516" s="17">
        <f t="shared" si="83"/>
        <v>0</v>
      </c>
      <c r="P2516" s="17">
        <f t="shared" si="84"/>
        <v>476.28</v>
      </c>
      <c r="Q2516" t="str">
        <f>A2516&amp;"-"&amp;B2516&amp;"-"&amp;D2516</f>
        <v>JUNI-MJ1-L13</v>
      </c>
    </row>
    <row r="2517" spans="1:17" x14ac:dyDescent="0.25">
      <c r="A2517" t="s">
        <v>396</v>
      </c>
      <c r="B2517" s="13" t="s">
        <v>25</v>
      </c>
      <c r="C2517" s="13" t="s">
        <v>154</v>
      </c>
      <c r="D2517" s="14" t="s">
        <v>50</v>
      </c>
      <c r="E2517" s="13" t="s">
        <v>155</v>
      </c>
      <c r="F2517" s="13" t="s">
        <v>924</v>
      </c>
      <c r="G2517" s="13">
        <v>0.48</v>
      </c>
      <c r="H2517" s="15">
        <v>432</v>
      </c>
      <c r="I2517" s="16">
        <v>207.36</v>
      </c>
      <c r="J2517" s="16">
        <v>1123.4279454722493</v>
      </c>
      <c r="K2517" s="16">
        <v>-916.06794547224933</v>
      </c>
      <c r="L2517" s="13">
        <v>1.8</v>
      </c>
      <c r="M2517" s="13"/>
      <c r="N2517" s="17">
        <f t="shared" si="83"/>
        <v>777.6</v>
      </c>
      <c r="O2517" s="17">
        <f t="shared" si="83"/>
        <v>0</v>
      </c>
      <c r="P2517" s="17">
        <f t="shared" si="84"/>
        <v>777.6</v>
      </c>
      <c r="Q2517" t="str">
        <f>A2517&amp;"-"&amp;B2517&amp;"-"&amp;D2517</f>
        <v>JUNI-MJ1-L2</v>
      </c>
    </row>
    <row r="2518" spans="1:17" x14ac:dyDescent="0.25">
      <c r="A2518" t="s">
        <v>396</v>
      </c>
      <c r="B2518" s="13" t="s">
        <v>25</v>
      </c>
      <c r="C2518" s="13" t="s">
        <v>286</v>
      </c>
      <c r="D2518" s="14" t="s">
        <v>301</v>
      </c>
      <c r="E2518" s="13" t="s">
        <v>934</v>
      </c>
      <c r="F2518" s="13" t="s">
        <v>935</v>
      </c>
      <c r="G2518" s="13">
        <v>1.2</v>
      </c>
      <c r="H2518" s="15">
        <v>13</v>
      </c>
      <c r="I2518" s="16">
        <v>15.6</v>
      </c>
      <c r="J2518" s="16">
        <v>75.628378378378386</v>
      </c>
      <c r="K2518" s="16">
        <v>-60.028378378378385</v>
      </c>
      <c r="L2518" s="13"/>
      <c r="M2518" s="13">
        <v>1.2</v>
      </c>
      <c r="N2518" s="17">
        <f t="shared" si="83"/>
        <v>0</v>
      </c>
      <c r="O2518" s="17">
        <f t="shared" si="83"/>
        <v>15.6</v>
      </c>
      <c r="P2518" s="17">
        <f t="shared" si="84"/>
        <v>15.6</v>
      </c>
      <c r="Q2518" t="str">
        <f>A2518&amp;"-"&amp;B2518&amp;"-"&amp;D2518</f>
        <v>JUNI-MJ1-L10</v>
      </c>
    </row>
    <row r="2519" spans="1:17" x14ac:dyDescent="0.25">
      <c r="A2519" t="s">
        <v>396</v>
      </c>
      <c r="B2519" s="13" t="s">
        <v>25</v>
      </c>
      <c r="C2519" s="13" t="s">
        <v>286</v>
      </c>
      <c r="D2519" s="14" t="s">
        <v>301</v>
      </c>
      <c r="E2519" s="13" t="s">
        <v>938</v>
      </c>
      <c r="F2519" s="13" t="s">
        <v>939</v>
      </c>
      <c r="G2519" s="13">
        <v>1.3</v>
      </c>
      <c r="H2519" s="15">
        <v>28</v>
      </c>
      <c r="I2519" s="16">
        <v>36.4</v>
      </c>
      <c r="J2519" s="16">
        <v>162.8918918918919</v>
      </c>
      <c r="K2519" s="16">
        <v>-126.4918918918919</v>
      </c>
      <c r="L2519" s="13"/>
      <c r="M2519" s="13">
        <v>1.3</v>
      </c>
      <c r="N2519" s="17">
        <f t="shared" si="83"/>
        <v>0</v>
      </c>
      <c r="O2519" s="17">
        <f t="shared" si="83"/>
        <v>36.4</v>
      </c>
      <c r="P2519" s="17">
        <f t="shared" si="84"/>
        <v>36.4</v>
      </c>
      <c r="Q2519" t="str">
        <f>A2519&amp;"-"&amp;B2519&amp;"-"&amp;D2519</f>
        <v>JUNI-MJ1-L10</v>
      </c>
    </row>
    <row r="2520" spans="1:17" x14ac:dyDescent="0.25">
      <c r="A2520" t="s">
        <v>396</v>
      </c>
      <c r="B2520" s="13" t="s">
        <v>25</v>
      </c>
      <c r="C2520" s="13" t="s">
        <v>286</v>
      </c>
      <c r="D2520" s="14" t="s">
        <v>301</v>
      </c>
      <c r="E2520" s="13" t="s">
        <v>1074</v>
      </c>
      <c r="F2520" s="13" t="s">
        <v>1075</v>
      </c>
      <c r="G2520" s="13">
        <v>2.5</v>
      </c>
      <c r="H2520" s="15">
        <v>332</v>
      </c>
      <c r="I2520" s="16">
        <v>830</v>
      </c>
      <c r="J2520" s="16">
        <v>3886.8755528255529</v>
      </c>
      <c r="K2520" s="16">
        <v>-3056.8755528255529</v>
      </c>
      <c r="L2520" s="13"/>
      <c r="M2520" s="13">
        <v>2.5</v>
      </c>
      <c r="N2520" s="17">
        <f t="shared" si="83"/>
        <v>0</v>
      </c>
      <c r="O2520" s="17">
        <f t="shared" si="83"/>
        <v>830</v>
      </c>
      <c r="P2520" s="17">
        <f t="shared" si="84"/>
        <v>830</v>
      </c>
      <c r="Q2520" t="str">
        <f>A2520&amp;"-"&amp;B2520&amp;"-"&amp;D2520</f>
        <v>JUNI-MJ1-L10</v>
      </c>
    </row>
    <row r="2521" spans="1:17" x14ac:dyDescent="0.25">
      <c r="A2521" t="s">
        <v>396</v>
      </c>
      <c r="B2521" s="13" t="s">
        <v>25</v>
      </c>
      <c r="C2521" s="13" t="s">
        <v>286</v>
      </c>
      <c r="D2521" s="14" t="s">
        <v>301</v>
      </c>
      <c r="E2521" s="13" t="s">
        <v>58</v>
      </c>
      <c r="F2521" s="13" t="s">
        <v>940</v>
      </c>
      <c r="G2521" s="13">
        <v>3.05</v>
      </c>
      <c r="H2521" s="15">
        <v>300</v>
      </c>
      <c r="I2521" s="16">
        <v>915</v>
      </c>
      <c r="J2521" s="16">
        <v>2147.6041769041767</v>
      </c>
      <c r="K2521" s="16">
        <v>-1232.6041769041769</v>
      </c>
      <c r="L2521" s="13"/>
      <c r="M2521" s="13">
        <v>3.05</v>
      </c>
      <c r="N2521" s="17">
        <f t="shared" si="83"/>
        <v>0</v>
      </c>
      <c r="O2521" s="17">
        <f t="shared" si="83"/>
        <v>915</v>
      </c>
      <c r="P2521" s="17">
        <f t="shared" si="84"/>
        <v>915</v>
      </c>
      <c r="Q2521" t="str">
        <f>A2521&amp;"-"&amp;B2521&amp;"-"&amp;D2521</f>
        <v>JUNI-MJ1-L10</v>
      </c>
    </row>
    <row r="2522" spans="1:17" x14ac:dyDescent="0.25">
      <c r="A2522" t="s">
        <v>396</v>
      </c>
      <c r="B2522" s="13" t="s">
        <v>25</v>
      </c>
      <c r="C2522" s="13" t="s">
        <v>286</v>
      </c>
      <c r="D2522" s="14" t="s">
        <v>301</v>
      </c>
      <c r="E2522" s="13" t="s">
        <v>58</v>
      </c>
      <c r="F2522" s="13" t="s">
        <v>932</v>
      </c>
      <c r="G2522" s="13">
        <v>4.1499999999999995</v>
      </c>
      <c r="H2522" s="15">
        <v>927</v>
      </c>
      <c r="I2522" s="16">
        <v>3847.0499999999997</v>
      </c>
      <c r="J2522" s="16">
        <v>4170.0039655172413</v>
      </c>
      <c r="K2522" s="16">
        <v>-322.9539655172415</v>
      </c>
      <c r="L2522" s="13"/>
      <c r="M2522" s="13">
        <v>4.05</v>
      </c>
      <c r="N2522" s="17">
        <f t="shared" si="83"/>
        <v>0</v>
      </c>
      <c r="O2522" s="17">
        <f t="shared" si="83"/>
        <v>3754.35</v>
      </c>
      <c r="P2522" s="17">
        <f t="shared" si="84"/>
        <v>3754.35</v>
      </c>
      <c r="Q2522" t="str">
        <f>A2522&amp;"-"&amp;B2522&amp;"-"&amp;D2522</f>
        <v>JUNI-MJ1-L10</v>
      </c>
    </row>
    <row r="2523" spans="1:17" x14ac:dyDescent="0.25">
      <c r="A2523" t="s">
        <v>396</v>
      </c>
      <c r="B2523" s="13" t="s">
        <v>25</v>
      </c>
      <c r="C2523" s="13" t="s">
        <v>286</v>
      </c>
      <c r="D2523" s="14" t="s">
        <v>301</v>
      </c>
      <c r="E2523" s="13" t="s">
        <v>58</v>
      </c>
      <c r="F2523" s="13"/>
      <c r="G2523" s="13">
        <v>4.1500000000000004</v>
      </c>
      <c r="H2523" s="15">
        <v>135</v>
      </c>
      <c r="I2523" s="16">
        <v>560.25</v>
      </c>
      <c r="J2523" s="16">
        <v>749.99603448275855</v>
      </c>
      <c r="K2523" s="16">
        <v>-189.7460344827586</v>
      </c>
      <c r="L2523" s="13"/>
      <c r="M2523" s="13">
        <v>4.1500000000000004</v>
      </c>
      <c r="N2523" s="17">
        <f t="shared" si="83"/>
        <v>0</v>
      </c>
      <c r="O2523" s="17">
        <f t="shared" si="83"/>
        <v>560.25</v>
      </c>
      <c r="P2523" s="17">
        <f t="shared" si="84"/>
        <v>560.25</v>
      </c>
      <c r="Q2523" t="str">
        <f>A2523&amp;"-"&amp;B2523&amp;"-"&amp;D2523</f>
        <v>JUNI-MJ1-L10</v>
      </c>
    </row>
    <row r="2524" spans="1:17" x14ac:dyDescent="0.25">
      <c r="A2524" t="s">
        <v>396</v>
      </c>
      <c r="B2524" s="13" t="s">
        <v>25</v>
      </c>
      <c r="C2524" s="13" t="s">
        <v>286</v>
      </c>
      <c r="D2524" s="14" t="s">
        <v>198</v>
      </c>
      <c r="E2524" s="13" t="s">
        <v>58</v>
      </c>
      <c r="F2524" s="13" t="s">
        <v>940</v>
      </c>
      <c r="G2524" s="13">
        <v>3.0499999999999994</v>
      </c>
      <c r="H2524" s="15">
        <v>305</v>
      </c>
      <c r="I2524" s="16">
        <v>930.25</v>
      </c>
      <c r="J2524" s="16">
        <v>2583</v>
      </c>
      <c r="K2524" s="16">
        <v>-1652.75</v>
      </c>
      <c r="L2524" s="13"/>
      <c r="M2524" s="13">
        <v>3.05</v>
      </c>
      <c r="N2524" s="17">
        <f t="shared" si="83"/>
        <v>0</v>
      </c>
      <c r="O2524" s="17">
        <f t="shared" si="83"/>
        <v>930.25</v>
      </c>
      <c r="P2524" s="17">
        <f t="shared" si="84"/>
        <v>930.25</v>
      </c>
      <c r="Q2524" t="str">
        <f>A2524&amp;"-"&amp;B2524&amp;"-"&amp;D2524</f>
        <v>JUNI-MJ1-L8</v>
      </c>
    </row>
    <row r="2525" spans="1:17" x14ac:dyDescent="0.25">
      <c r="A2525" t="s">
        <v>396</v>
      </c>
      <c r="B2525" s="13" t="s">
        <v>25</v>
      </c>
      <c r="C2525" s="13" t="s">
        <v>286</v>
      </c>
      <c r="D2525" s="14" t="s">
        <v>199</v>
      </c>
      <c r="E2525" s="13" t="s">
        <v>58</v>
      </c>
      <c r="F2525" s="13" t="s">
        <v>940</v>
      </c>
      <c r="G2525" s="13">
        <v>3.0499999999999994</v>
      </c>
      <c r="H2525" s="15">
        <v>305</v>
      </c>
      <c r="I2525" s="16">
        <v>930.25</v>
      </c>
      <c r="J2525" s="16">
        <v>2583</v>
      </c>
      <c r="K2525" s="16">
        <v>-1652.75</v>
      </c>
      <c r="L2525" s="13"/>
      <c r="M2525" s="13">
        <v>3.05</v>
      </c>
      <c r="N2525" s="17">
        <f t="shared" si="83"/>
        <v>0</v>
      </c>
      <c r="O2525" s="17">
        <f t="shared" si="83"/>
        <v>930.25</v>
      </c>
      <c r="P2525" s="17">
        <f t="shared" si="84"/>
        <v>930.25</v>
      </c>
      <c r="Q2525" t="str">
        <f>A2525&amp;"-"&amp;B2525&amp;"-"&amp;D2525</f>
        <v>JUNI-MJ1-L9</v>
      </c>
    </row>
    <row r="2526" spans="1:17" x14ac:dyDescent="0.25">
      <c r="A2526" t="s">
        <v>396</v>
      </c>
      <c r="B2526" s="13" t="s">
        <v>25</v>
      </c>
      <c r="C2526" s="13" t="s">
        <v>185</v>
      </c>
      <c r="D2526" s="14" t="s">
        <v>56</v>
      </c>
      <c r="E2526" s="13" t="s">
        <v>65</v>
      </c>
      <c r="F2526" s="13" t="s">
        <v>1076</v>
      </c>
      <c r="G2526" s="13">
        <v>1.63</v>
      </c>
      <c r="H2526" s="15">
        <v>330</v>
      </c>
      <c r="I2526" s="16">
        <v>537.9</v>
      </c>
      <c r="J2526" s="16">
        <v>861</v>
      </c>
      <c r="K2526" s="16">
        <v>-323.10000000000002</v>
      </c>
      <c r="L2526" s="13">
        <v>0.99</v>
      </c>
      <c r="M2526" s="13"/>
      <c r="N2526" s="17">
        <f t="shared" ref="N2526:O2581" si="85">$H2526*L2526</f>
        <v>326.7</v>
      </c>
      <c r="O2526" s="17">
        <f t="shared" si="85"/>
        <v>0</v>
      </c>
      <c r="P2526" s="17">
        <f t="shared" si="84"/>
        <v>326.7</v>
      </c>
      <c r="Q2526" t="str">
        <f>A2526&amp;"-"&amp;B2526&amp;"-"&amp;D2526</f>
        <v>JUNI-MJ1-L3</v>
      </c>
    </row>
    <row r="2527" spans="1:17" x14ac:dyDescent="0.25">
      <c r="A2527" t="s">
        <v>396</v>
      </c>
      <c r="B2527" s="13" t="s">
        <v>25</v>
      </c>
      <c r="C2527" s="13" t="s">
        <v>185</v>
      </c>
      <c r="D2527" s="14" t="s">
        <v>158</v>
      </c>
      <c r="E2527" s="13" t="s">
        <v>65</v>
      </c>
      <c r="F2527" s="13" t="s">
        <v>1076</v>
      </c>
      <c r="G2527" s="13">
        <v>1.63</v>
      </c>
      <c r="H2527" s="15">
        <v>418</v>
      </c>
      <c r="I2527" s="16">
        <v>681.33999999999992</v>
      </c>
      <c r="J2527" s="16">
        <v>2511.25</v>
      </c>
      <c r="K2527" s="16">
        <v>-1829.9099999999999</v>
      </c>
      <c r="L2527" s="13">
        <v>0.99</v>
      </c>
      <c r="M2527" s="13"/>
      <c r="N2527" s="17">
        <f t="shared" si="85"/>
        <v>413.82</v>
      </c>
      <c r="O2527" s="17">
        <f t="shared" si="85"/>
        <v>0</v>
      </c>
      <c r="P2527" s="17">
        <f t="shared" si="84"/>
        <v>413.82</v>
      </c>
      <c r="Q2527" t="str">
        <f>A2527&amp;"-"&amp;B2527&amp;"-"&amp;D2527</f>
        <v>JUNI-MJ1-L4</v>
      </c>
    </row>
    <row r="2528" spans="1:17" x14ac:dyDescent="0.25">
      <c r="A2528" t="s">
        <v>396</v>
      </c>
      <c r="B2528" s="13" t="s">
        <v>25</v>
      </c>
      <c r="C2528" s="13" t="s">
        <v>43</v>
      </c>
      <c r="D2528" s="14" t="s">
        <v>301</v>
      </c>
      <c r="E2528" s="13" t="s">
        <v>1077</v>
      </c>
      <c r="F2528" s="13" t="s">
        <v>1078</v>
      </c>
      <c r="G2528" s="13">
        <v>3.9400000000000004</v>
      </c>
      <c r="H2528" s="15">
        <v>428</v>
      </c>
      <c r="I2528" s="16">
        <v>1686.32</v>
      </c>
      <c r="J2528" s="16">
        <v>6027</v>
      </c>
      <c r="K2528" s="16">
        <v>-4340.68</v>
      </c>
      <c r="L2528" s="13"/>
      <c r="M2528" s="13">
        <v>4.07</v>
      </c>
      <c r="N2528" s="17">
        <f t="shared" si="85"/>
        <v>0</v>
      </c>
      <c r="O2528" s="17">
        <f t="shared" si="85"/>
        <v>1741.96</v>
      </c>
      <c r="P2528" s="17">
        <f t="shared" si="84"/>
        <v>1741.96</v>
      </c>
      <c r="Q2528" t="str">
        <f>A2528&amp;"-"&amp;B2528&amp;"-"&amp;D2528</f>
        <v>JUNI-MJ1-L10</v>
      </c>
    </row>
    <row r="2529" spans="1:17" x14ac:dyDescent="0.25">
      <c r="A2529" t="s">
        <v>396</v>
      </c>
      <c r="B2529" s="13" t="s">
        <v>25</v>
      </c>
      <c r="C2529" s="13" t="s">
        <v>43</v>
      </c>
      <c r="D2529" s="14" t="s">
        <v>287</v>
      </c>
      <c r="E2529" s="13" t="s">
        <v>302</v>
      </c>
      <c r="F2529" s="13" t="s">
        <v>945</v>
      </c>
      <c r="G2529" s="13">
        <v>3.38</v>
      </c>
      <c r="H2529" s="15">
        <v>26</v>
      </c>
      <c r="I2529" s="16">
        <v>87.88</v>
      </c>
      <c r="J2529" s="16">
        <v>104.96315789473684</v>
      </c>
      <c r="K2529" s="16">
        <v>-17.08315789473685</v>
      </c>
      <c r="L2529" s="13"/>
      <c r="M2529" s="13">
        <v>3.5</v>
      </c>
      <c r="N2529" s="17">
        <f t="shared" si="85"/>
        <v>0</v>
      </c>
      <c r="O2529" s="17">
        <f t="shared" si="85"/>
        <v>91</v>
      </c>
      <c r="P2529" s="17">
        <f t="shared" si="84"/>
        <v>91</v>
      </c>
      <c r="Q2529" t="str">
        <f>A2529&amp;"-"&amp;B2529&amp;"-"&amp;D2529</f>
        <v>JUNI-MJ1-L11</v>
      </c>
    </row>
    <row r="2530" spans="1:17" x14ac:dyDescent="0.25">
      <c r="A2530" t="s">
        <v>396</v>
      </c>
      <c r="B2530" s="13" t="s">
        <v>25</v>
      </c>
      <c r="C2530" s="13" t="s">
        <v>43</v>
      </c>
      <c r="D2530" s="14" t="s">
        <v>287</v>
      </c>
      <c r="E2530" s="13" t="s">
        <v>302</v>
      </c>
      <c r="F2530" s="13" t="s">
        <v>946</v>
      </c>
      <c r="G2530" s="13">
        <v>3.3799999999999994</v>
      </c>
      <c r="H2530" s="15">
        <v>4800</v>
      </c>
      <c r="I2530" s="16">
        <v>16224</v>
      </c>
      <c r="J2530" s="16">
        <v>17076.426976634411</v>
      </c>
      <c r="K2530" s="16">
        <v>-852.42697663441118</v>
      </c>
      <c r="L2530" s="13"/>
      <c r="M2530" s="13">
        <v>3.5</v>
      </c>
      <c r="N2530" s="17">
        <f t="shared" si="85"/>
        <v>0</v>
      </c>
      <c r="O2530" s="17">
        <f t="shared" si="85"/>
        <v>16800</v>
      </c>
      <c r="P2530" s="17">
        <f t="shared" si="84"/>
        <v>16800</v>
      </c>
      <c r="Q2530" t="str">
        <f>A2530&amp;"-"&amp;B2530&amp;"-"&amp;D2530</f>
        <v>JUNI-MJ1-L11</v>
      </c>
    </row>
    <row r="2531" spans="1:17" x14ac:dyDescent="0.25">
      <c r="A2531" t="s">
        <v>396</v>
      </c>
      <c r="B2531" s="13" t="s">
        <v>25</v>
      </c>
      <c r="C2531" s="13" t="s">
        <v>43</v>
      </c>
      <c r="D2531" s="14" t="s">
        <v>310</v>
      </c>
      <c r="E2531" s="13" t="s">
        <v>302</v>
      </c>
      <c r="F2531" s="13" t="s">
        <v>946</v>
      </c>
      <c r="G2531" s="13">
        <v>3.379999999999999</v>
      </c>
      <c r="H2531" s="15">
        <v>4817</v>
      </c>
      <c r="I2531" s="16">
        <v>16281.460000000003</v>
      </c>
      <c r="J2531" s="16">
        <v>17220</v>
      </c>
      <c r="K2531" s="16">
        <v>-938.53999999999985</v>
      </c>
      <c r="L2531" s="13"/>
      <c r="M2531" s="13">
        <v>3.5</v>
      </c>
      <c r="N2531" s="17">
        <f t="shared" si="85"/>
        <v>0</v>
      </c>
      <c r="O2531" s="17">
        <f t="shared" si="85"/>
        <v>16859.5</v>
      </c>
      <c r="P2531" s="17">
        <f t="shared" si="84"/>
        <v>16859.5</v>
      </c>
      <c r="Q2531" t="str">
        <f>A2531&amp;"-"&amp;B2531&amp;"-"&amp;D2531</f>
        <v>JUNI-MJ1-L12</v>
      </c>
    </row>
    <row r="2532" spans="1:17" x14ac:dyDescent="0.25">
      <c r="A2532" t="s">
        <v>396</v>
      </c>
      <c r="B2532" s="13" t="s">
        <v>25</v>
      </c>
      <c r="C2532" s="13" t="s">
        <v>43</v>
      </c>
      <c r="D2532" s="14" t="s">
        <v>320</v>
      </c>
      <c r="E2532" s="13" t="s">
        <v>302</v>
      </c>
      <c r="F2532" s="13" t="s">
        <v>946</v>
      </c>
      <c r="G2532" s="13">
        <v>3.3799999999999994</v>
      </c>
      <c r="H2532" s="15">
        <v>4532</v>
      </c>
      <c r="I2532" s="16">
        <v>15318.160000000002</v>
      </c>
      <c r="J2532" s="16">
        <v>16359</v>
      </c>
      <c r="K2532" s="16">
        <v>-1040.8400000000001</v>
      </c>
      <c r="L2532" s="13"/>
      <c r="M2532" s="13">
        <v>3.5</v>
      </c>
      <c r="N2532" s="17">
        <f t="shared" si="85"/>
        <v>0</v>
      </c>
      <c r="O2532" s="17">
        <f t="shared" si="85"/>
        <v>15862</v>
      </c>
      <c r="P2532" s="17">
        <f t="shared" si="84"/>
        <v>15862</v>
      </c>
      <c r="Q2532" t="str">
        <f>A2532&amp;"-"&amp;B2532&amp;"-"&amp;D2532</f>
        <v>JUNI-MJ1-L13</v>
      </c>
    </row>
    <row r="2533" spans="1:17" x14ac:dyDescent="0.25">
      <c r="A2533" t="s">
        <v>396</v>
      </c>
      <c r="B2533" s="13" t="s">
        <v>25</v>
      </c>
      <c r="C2533" s="13" t="s">
        <v>43</v>
      </c>
      <c r="D2533" s="14" t="s">
        <v>1079</v>
      </c>
      <c r="E2533" s="13" t="s">
        <v>302</v>
      </c>
      <c r="F2533" s="13" t="s">
        <v>946</v>
      </c>
      <c r="G2533" s="13">
        <v>3.3799999999999994</v>
      </c>
      <c r="H2533" s="15">
        <v>4903</v>
      </c>
      <c r="I2533" s="16">
        <v>16572.140000000003</v>
      </c>
      <c r="J2533" s="16">
        <v>17220.000000000004</v>
      </c>
      <c r="K2533" s="16">
        <v>-647.85999999999979</v>
      </c>
      <c r="L2533" s="13"/>
      <c r="M2533" s="13">
        <v>3.5</v>
      </c>
      <c r="N2533" s="17">
        <f t="shared" si="85"/>
        <v>0</v>
      </c>
      <c r="O2533" s="17">
        <f t="shared" si="85"/>
        <v>17160.5</v>
      </c>
      <c r="P2533" s="17">
        <f t="shared" si="84"/>
        <v>17160.5</v>
      </c>
      <c r="Q2533" t="str">
        <f>A2533&amp;"-"&amp;B2533&amp;"-"&amp;D2533</f>
        <v>JUNI-MJ1-L14</v>
      </c>
    </row>
    <row r="2534" spans="1:17" x14ac:dyDescent="0.25">
      <c r="A2534" t="s">
        <v>396</v>
      </c>
      <c r="B2534" s="13" t="s">
        <v>25</v>
      </c>
      <c r="C2534" s="13" t="s">
        <v>43</v>
      </c>
      <c r="D2534" s="14" t="s">
        <v>164</v>
      </c>
      <c r="E2534" s="13" t="s">
        <v>58</v>
      </c>
      <c r="F2534" s="13" t="s">
        <v>944</v>
      </c>
      <c r="G2534" s="13">
        <v>3.9200000000000008</v>
      </c>
      <c r="H2534" s="15">
        <v>2863</v>
      </c>
      <c r="I2534" s="16">
        <v>11222.96</v>
      </c>
      <c r="J2534" s="16">
        <v>17220</v>
      </c>
      <c r="K2534" s="16">
        <v>-5997.04</v>
      </c>
      <c r="L2534" s="13"/>
      <c r="M2534" s="13">
        <v>4.05</v>
      </c>
      <c r="N2534" s="17">
        <f t="shared" si="85"/>
        <v>0</v>
      </c>
      <c r="O2534" s="17">
        <f t="shared" si="85"/>
        <v>11595.15</v>
      </c>
      <c r="P2534" s="17">
        <f t="shared" si="84"/>
        <v>11595.15</v>
      </c>
      <c r="Q2534" t="str">
        <f>A2534&amp;"-"&amp;B2534&amp;"-"&amp;D2534</f>
        <v>JUNI-MJ1-L7</v>
      </c>
    </row>
    <row r="2535" spans="1:17" x14ac:dyDescent="0.25">
      <c r="A2535" t="s">
        <v>396</v>
      </c>
      <c r="B2535" s="13" t="s">
        <v>25</v>
      </c>
      <c r="C2535" s="13" t="s">
        <v>947</v>
      </c>
      <c r="D2535" s="14" t="s">
        <v>56</v>
      </c>
      <c r="E2535" s="13" t="s">
        <v>948</v>
      </c>
      <c r="F2535" s="13" t="s">
        <v>949</v>
      </c>
      <c r="G2535" s="13">
        <v>6.75</v>
      </c>
      <c r="H2535" s="15">
        <v>1761</v>
      </c>
      <c r="I2535" s="16">
        <v>11886.75</v>
      </c>
      <c r="J2535" s="16">
        <v>16359</v>
      </c>
      <c r="K2535" s="16">
        <v>-4472.25</v>
      </c>
      <c r="L2535" s="13"/>
      <c r="M2535" s="13">
        <v>6.75</v>
      </c>
      <c r="N2535" s="17">
        <f t="shared" si="85"/>
        <v>0</v>
      </c>
      <c r="O2535" s="17">
        <f t="shared" si="85"/>
        <v>11886.75</v>
      </c>
      <c r="P2535" s="17">
        <f t="shared" si="84"/>
        <v>11886.75</v>
      </c>
      <c r="Q2535" t="str">
        <f>A2535&amp;"-"&amp;B2535&amp;"-"&amp;D2535</f>
        <v>JUNI-MJ1-L3</v>
      </c>
    </row>
    <row r="2536" spans="1:17" x14ac:dyDescent="0.25">
      <c r="A2536" t="s">
        <v>396</v>
      </c>
      <c r="B2536" s="13" t="s">
        <v>25</v>
      </c>
      <c r="C2536" s="13" t="s">
        <v>947</v>
      </c>
      <c r="D2536" s="14" t="s">
        <v>158</v>
      </c>
      <c r="E2536" s="13" t="s">
        <v>948</v>
      </c>
      <c r="F2536" s="13" t="s">
        <v>949</v>
      </c>
      <c r="G2536" s="13">
        <v>6.75</v>
      </c>
      <c r="H2536" s="15">
        <v>1906</v>
      </c>
      <c r="I2536" s="16">
        <v>12865.5</v>
      </c>
      <c r="J2536" s="16">
        <v>14708.75</v>
      </c>
      <c r="K2536" s="16">
        <v>-1843.25</v>
      </c>
      <c r="L2536" s="13"/>
      <c r="M2536" s="13">
        <v>6.75</v>
      </c>
      <c r="N2536" s="17">
        <f t="shared" si="85"/>
        <v>0</v>
      </c>
      <c r="O2536" s="17">
        <f t="shared" si="85"/>
        <v>12865.5</v>
      </c>
      <c r="P2536" s="17">
        <f t="shared" si="84"/>
        <v>12865.5</v>
      </c>
      <c r="Q2536" t="str">
        <f>A2536&amp;"-"&amp;B2536&amp;"-"&amp;D2536</f>
        <v>JUNI-MJ1-L4</v>
      </c>
    </row>
    <row r="2537" spans="1:17" x14ac:dyDescent="0.25">
      <c r="A2537" t="s">
        <v>396</v>
      </c>
      <c r="B2537" s="13" t="s">
        <v>25</v>
      </c>
      <c r="C2537" s="13" t="s">
        <v>952</v>
      </c>
      <c r="D2537" s="14" t="s">
        <v>160</v>
      </c>
      <c r="E2537" s="13" t="s">
        <v>953</v>
      </c>
      <c r="F2537" s="13" t="s">
        <v>1080</v>
      </c>
      <c r="G2537" s="13">
        <v>12.47</v>
      </c>
      <c r="H2537" s="15">
        <v>428</v>
      </c>
      <c r="I2537" s="16">
        <v>5337.1600000000008</v>
      </c>
      <c r="J2537" s="16">
        <v>4894.2590497737556</v>
      </c>
      <c r="K2537" s="16">
        <v>442.90095022624439</v>
      </c>
      <c r="L2537" s="13"/>
      <c r="M2537" s="13">
        <v>20.239999999999998</v>
      </c>
      <c r="N2537" s="17">
        <f t="shared" si="85"/>
        <v>0</v>
      </c>
      <c r="O2537" s="17">
        <f t="shared" si="85"/>
        <v>8662.7199999999993</v>
      </c>
      <c r="P2537" s="17">
        <f t="shared" si="84"/>
        <v>8662.7199999999993</v>
      </c>
      <c r="Q2537" t="str">
        <f>A2537&amp;"-"&amp;B2537&amp;"-"&amp;D2537</f>
        <v>JUNI-MJ1-L5</v>
      </c>
    </row>
    <row r="2538" spans="1:17" x14ac:dyDescent="0.25">
      <c r="A2538" t="s">
        <v>396</v>
      </c>
      <c r="B2538" s="13" t="s">
        <v>25</v>
      </c>
      <c r="C2538" s="13" t="s">
        <v>952</v>
      </c>
      <c r="D2538" s="14" t="s">
        <v>160</v>
      </c>
      <c r="E2538" s="13" t="s">
        <v>953</v>
      </c>
      <c r="F2538" s="13" t="s">
        <v>954</v>
      </c>
      <c r="G2538" s="13">
        <v>12.47</v>
      </c>
      <c r="H2538" s="15">
        <v>514</v>
      </c>
      <c r="I2538" s="16">
        <v>6409.579999999999</v>
      </c>
      <c r="J2538" s="16">
        <v>10603.740950226245</v>
      </c>
      <c r="K2538" s="16">
        <v>-4194.1609502262445</v>
      </c>
      <c r="L2538" s="13"/>
      <c r="M2538" s="13">
        <v>20.239999999999998</v>
      </c>
      <c r="N2538" s="17">
        <f t="shared" si="85"/>
        <v>0</v>
      </c>
      <c r="O2538" s="17">
        <f t="shared" si="85"/>
        <v>10403.359999999999</v>
      </c>
      <c r="P2538" s="17">
        <f t="shared" si="84"/>
        <v>10403.359999999999</v>
      </c>
      <c r="Q2538" t="str">
        <f>A2538&amp;"-"&amp;B2538&amp;"-"&amp;D2538</f>
        <v>JUNI-MJ1-L5</v>
      </c>
    </row>
    <row r="2539" spans="1:17" x14ac:dyDescent="0.25">
      <c r="A2539" t="s">
        <v>396</v>
      </c>
      <c r="B2539" s="13" t="s">
        <v>25</v>
      </c>
      <c r="C2539" s="13" t="s">
        <v>952</v>
      </c>
      <c r="D2539" s="14" t="s">
        <v>163</v>
      </c>
      <c r="E2539" s="13" t="s">
        <v>953</v>
      </c>
      <c r="F2539" s="13" t="s">
        <v>1080</v>
      </c>
      <c r="G2539" s="13">
        <v>12.47</v>
      </c>
      <c r="H2539" s="15">
        <v>457</v>
      </c>
      <c r="I2539" s="16">
        <v>5698.7900000000009</v>
      </c>
      <c r="J2539" s="16">
        <v>5334.0742021427359</v>
      </c>
      <c r="K2539" s="16">
        <v>364.71579785726442</v>
      </c>
      <c r="L2539" s="13"/>
      <c r="M2539" s="13">
        <v>20.239999999999998</v>
      </c>
      <c r="N2539" s="17">
        <f t="shared" si="85"/>
        <v>0</v>
      </c>
      <c r="O2539" s="17">
        <f t="shared" si="85"/>
        <v>9249.6799999999985</v>
      </c>
      <c r="P2539" s="17">
        <f t="shared" si="84"/>
        <v>9249.6799999999985</v>
      </c>
      <c r="Q2539" t="str">
        <f>A2539&amp;"-"&amp;B2539&amp;"-"&amp;D2539</f>
        <v>JUNI-MJ1-L6</v>
      </c>
    </row>
    <row r="2540" spans="1:17" x14ac:dyDescent="0.25">
      <c r="A2540" t="s">
        <v>396</v>
      </c>
      <c r="B2540" s="13" t="s">
        <v>25</v>
      </c>
      <c r="C2540" s="13" t="s">
        <v>952</v>
      </c>
      <c r="D2540" s="14" t="s">
        <v>163</v>
      </c>
      <c r="E2540" s="13" t="s">
        <v>953</v>
      </c>
      <c r="F2540" s="13" t="s">
        <v>954</v>
      </c>
      <c r="G2540" s="13">
        <v>12.47</v>
      </c>
      <c r="H2540" s="15">
        <v>486</v>
      </c>
      <c r="I2540" s="16">
        <v>6060.42</v>
      </c>
      <c r="J2540" s="16">
        <v>10163.925797857266</v>
      </c>
      <c r="K2540" s="16">
        <v>-4103.5057978572631</v>
      </c>
      <c r="L2540" s="13"/>
      <c r="M2540" s="13">
        <v>20.239999999999998</v>
      </c>
      <c r="N2540" s="17">
        <f t="shared" si="85"/>
        <v>0</v>
      </c>
      <c r="O2540" s="17">
        <f t="shared" si="85"/>
        <v>9836.64</v>
      </c>
      <c r="P2540" s="17">
        <f t="shared" si="84"/>
        <v>9836.64</v>
      </c>
      <c r="Q2540" t="str">
        <f>A2540&amp;"-"&amp;B2540&amp;"-"&amp;D2540</f>
        <v>JUNI-MJ1-L6</v>
      </c>
    </row>
    <row r="2541" spans="1:17" x14ac:dyDescent="0.25">
      <c r="A2541" t="s">
        <v>396</v>
      </c>
      <c r="B2541" s="13" t="s">
        <v>25</v>
      </c>
      <c r="C2541" s="13" t="s">
        <v>329</v>
      </c>
      <c r="D2541" s="14" t="s">
        <v>160</v>
      </c>
      <c r="E2541" s="13" t="s">
        <v>71</v>
      </c>
      <c r="F2541" s="13" t="s">
        <v>333</v>
      </c>
      <c r="G2541" s="13">
        <v>5</v>
      </c>
      <c r="H2541" s="15">
        <v>47</v>
      </c>
      <c r="I2541" s="16">
        <v>235</v>
      </c>
      <c r="J2541" s="16">
        <v>1722</v>
      </c>
      <c r="K2541" s="16">
        <v>-1487</v>
      </c>
      <c r="L2541" s="13"/>
      <c r="M2541" s="13">
        <v>6.95</v>
      </c>
      <c r="N2541" s="17">
        <f t="shared" si="85"/>
        <v>0</v>
      </c>
      <c r="O2541" s="17">
        <f t="shared" si="85"/>
        <v>326.65000000000003</v>
      </c>
      <c r="P2541" s="17">
        <f t="shared" si="84"/>
        <v>326.65000000000003</v>
      </c>
      <c r="Q2541" t="str">
        <f>A2541&amp;"-"&amp;B2541&amp;"-"&amp;D2541</f>
        <v>JUNI-MJ1-L5</v>
      </c>
    </row>
    <row r="2542" spans="1:17" x14ac:dyDescent="0.25">
      <c r="A2542" t="s">
        <v>396</v>
      </c>
      <c r="B2542" s="13" t="s">
        <v>25</v>
      </c>
      <c r="C2542" s="13" t="s">
        <v>329</v>
      </c>
      <c r="D2542" s="14" t="s">
        <v>163</v>
      </c>
      <c r="E2542" s="13" t="s">
        <v>71</v>
      </c>
      <c r="F2542" s="13" t="s">
        <v>333</v>
      </c>
      <c r="G2542" s="13">
        <v>5</v>
      </c>
      <c r="H2542" s="15">
        <v>46</v>
      </c>
      <c r="I2542" s="16">
        <v>230</v>
      </c>
      <c r="J2542" s="16">
        <v>1722</v>
      </c>
      <c r="K2542" s="16">
        <v>-1492</v>
      </c>
      <c r="L2542" s="13"/>
      <c r="M2542" s="13">
        <v>6.95</v>
      </c>
      <c r="N2542" s="17">
        <f t="shared" si="85"/>
        <v>0</v>
      </c>
      <c r="O2542" s="17">
        <f t="shared" si="85"/>
        <v>319.7</v>
      </c>
      <c r="P2542" s="17">
        <f t="shared" si="84"/>
        <v>319.7</v>
      </c>
      <c r="Q2542" t="str">
        <f>A2542&amp;"-"&amp;B2542&amp;"-"&amp;D2542</f>
        <v>JUNI-MJ1-L6</v>
      </c>
    </row>
    <row r="2543" spans="1:17" x14ac:dyDescent="0.25">
      <c r="A2543" t="s">
        <v>396</v>
      </c>
      <c r="B2543" s="13" t="s">
        <v>25</v>
      </c>
      <c r="C2543" s="13" t="s">
        <v>329</v>
      </c>
      <c r="D2543" s="14" t="s">
        <v>198</v>
      </c>
      <c r="E2543" s="13" t="s">
        <v>71</v>
      </c>
      <c r="F2543" s="13" t="s">
        <v>333</v>
      </c>
      <c r="G2543" s="13">
        <v>5</v>
      </c>
      <c r="H2543" s="15">
        <v>495</v>
      </c>
      <c r="I2543" s="16">
        <v>2475</v>
      </c>
      <c r="J2543" s="16">
        <v>9177.8675213675215</v>
      </c>
      <c r="K2543" s="16">
        <v>-6702.8675213675215</v>
      </c>
      <c r="L2543" s="13"/>
      <c r="M2543" s="13">
        <v>6.95</v>
      </c>
      <c r="N2543" s="17">
        <f t="shared" si="85"/>
        <v>0</v>
      </c>
      <c r="O2543" s="17">
        <f t="shared" si="85"/>
        <v>3440.25</v>
      </c>
      <c r="P2543" s="17">
        <f t="shared" si="84"/>
        <v>3440.25</v>
      </c>
      <c r="Q2543" t="str">
        <f>A2543&amp;"-"&amp;B2543&amp;"-"&amp;D2543</f>
        <v>JUNI-MJ1-L8</v>
      </c>
    </row>
    <row r="2544" spans="1:17" x14ac:dyDescent="0.25">
      <c r="A2544" t="s">
        <v>396</v>
      </c>
      <c r="B2544" s="13" t="s">
        <v>25</v>
      </c>
      <c r="C2544" s="13" t="s">
        <v>329</v>
      </c>
      <c r="D2544" s="14" t="s">
        <v>199</v>
      </c>
      <c r="E2544" s="13" t="s">
        <v>71</v>
      </c>
      <c r="F2544" s="13" t="s">
        <v>333</v>
      </c>
      <c r="G2544" s="13">
        <v>5</v>
      </c>
      <c r="H2544" s="15">
        <v>495</v>
      </c>
      <c r="I2544" s="16">
        <v>2475</v>
      </c>
      <c r="J2544" s="16">
        <v>8321.8594405594395</v>
      </c>
      <c r="K2544" s="16">
        <v>-5846.8594405594404</v>
      </c>
      <c r="L2544" s="13"/>
      <c r="M2544" s="13">
        <v>6.95</v>
      </c>
      <c r="N2544" s="17">
        <f t="shared" si="85"/>
        <v>0</v>
      </c>
      <c r="O2544" s="17">
        <f t="shared" si="85"/>
        <v>3440.25</v>
      </c>
      <c r="P2544" s="17">
        <f t="shared" si="84"/>
        <v>3440.25</v>
      </c>
      <c r="Q2544" t="str">
        <f>A2544&amp;"-"&amp;B2544&amp;"-"&amp;D2544</f>
        <v>JUNI-MJ1-L9</v>
      </c>
    </row>
    <row r="2545" spans="1:17" x14ac:dyDescent="0.25">
      <c r="A2545" t="s">
        <v>396</v>
      </c>
      <c r="B2545" s="13" t="s">
        <v>25</v>
      </c>
      <c r="C2545" s="13" t="s">
        <v>955</v>
      </c>
      <c r="D2545" s="14" t="s">
        <v>44</v>
      </c>
      <c r="E2545" s="13" t="s">
        <v>71</v>
      </c>
      <c r="F2545" s="13" t="s">
        <v>1081</v>
      </c>
      <c r="G2545" s="13">
        <v>4.9800000000000004</v>
      </c>
      <c r="H2545" s="15">
        <v>536</v>
      </c>
      <c r="I2545" s="16">
        <v>2669.28</v>
      </c>
      <c r="J2545" s="16">
        <v>4482.8466348519487</v>
      </c>
      <c r="K2545" s="16">
        <v>-1813.5666348519489</v>
      </c>
      <c r="L2545" s="13"/>
      <c r="M2545" s="13">
        <v>6.34</v>
      </c>
      <c r="N2545" s="17">
        <f t="shared" si="85"/>
        <v>0</v>
      </c>
      <c r="O2545" s="17">
        <f t="shared" si="85"/>
        <v>3398.24</v>
      </c>
      <c r="P2545" s="17">
        <f t="shared" si="84"/>
        <v>3398.24</v>
      </c>
      <c r="Q2545" t="str">
        <f>A2545&amp;"-"&amp;B2545&amp;"-"&amp;D2545</f>
        <v>JUNI-MJ1-L1</v>
      </c>
    </row>
    <row r="2546" spans="1:17" x14ac:dyDescent="0.25">
      <c r="A2546" t="s">
        <v>396</v>
      </c>
      <c r="B2546" s="13" t="s">
        <v>25</v>
      </c>
      <c r="C2546" s="13" t="s">
        <v>955</v>
      </c>
      <c r="D2546" s="14" t="s">
        <v>44</v>
      </c>
      <c r="E2546" s="13" t="s">
        <v>956</v>
      </c>
      <c r="F2546" s="13" t="s">
        <v>957</v>
      </c>
      <c r="G2546" s="13">
        <v>4.9800000000000022</v>
      </c>
      <c r="H2546" s="15">
        <v>1465</v>
      </c>
      <c r="I2546" s="16">
        <v>7295.7000000000007</v>
      </c>
      <c r="J2546" s="16">
        <v>10287.706143327778</v>
      </c>
      <c r="K2546" s="16">
        <v>-2992.006143327777</v>
      </c>
      <c r="L2546" s="13"/>
      <c r="M2546" s="13">
        <v>6.34</v>
      </c>
      <c r="N2546" s="17">
        <f t="shared" si="85"/>
        <v>0</v>
      </c>
      <c r="O2546" s="17">
        <f t="shared" si="85"/>
        <v>9288.1</v>
      </c>
      <c r="P2546" s="17">
        <f t="shared" si="84"/>
        <v>9288.1</v>
      </c>
      <c r="Q2546" t="str">
        <f>A2546&amp;"-"&amp;B2546&amp;"-"&amp;D2546</f>
        <v>JUNI-MJ1-L1</v>
      </c>
    </row>
    <row r="2547" spans="1:17" x14ac:dyDescent="0.25">
      <c r="A2547" t="s">
        <v>396</v>
      </c>
      <c r="B2547" s="13" t="s">
        <v>25</v>
      </c>
      <c r="C2547" s="13" t="s">
        <v>955</v>
      </c>
      <c r="D2547" s="14" t="s">
        <v>50</v>
      </c>
      <c r="E2547" s="13" t="s">
        <v>71</v>
      </c>
      <c r="F2547" s="13" t="s">
        <v>1081</v>
      </c>
      <c r="G2547" s="13">
        <v>4.9799999999999995</v>
      </c>
      <c r="H2547" s="15">
        <v>540</v>
      </c>
      <c r="I2547" s="16">
        <v>2689.2</v>
      </c>
      <c r="J2547" s="16">
        <v>4440.504044289044</v>
      </c>
      <c r="K2547" s="16">
        <v>-1751.3040442890442</v>
      </c>
      <c r="L2547" s="13"/>
      <c r="M2547" s="13">
        <v>6.34</v>
      </c>
      <c r="N2547" s="17">
        <f t="shared" si="85"/>
        <v>0</v>
      </c>
      <c r="O2547" s="17">
        <f t="shared" si="85"/>
        <v>3423.6</v>
      </c>
      <c r="P2547" s="17">
        <f t="shared" si="84"/>
        <v>3423.6</v>
      </c>
      <c r="Q2547" t="str">
        <f>A2547&amp;"-"&amp;B2547&amp;"-"&amp;D2547</f>
        <v>JUNI-MJ1-L2</v>
      </c>
    </row>
    <row r="2548" spans="1:17" x14ac:dyDescent="0.25">
      <c r="A2548" t="s">
        <v>396</v>
      </c>
      <c r="B2548" s="13" t="s">
        <v>25</v>
      </c>
      <c r="C2548" s="13" t="s">
        <v>955</v>
      </c>
      <c r="D2548" s="14" t="s">
        <v>50</v>
      </c>
      <c r="E2548" s="13" t="s">
        <v>956</v>
      </c>
      <c r="F2548" s="13" t="s">
        <v>957</v>
      </c>
      <c r="G2548" s="13">
        <v>4.9800000000000022</v>
      </c>
      <c r="H2548" s="15">
        <v>1481</v>
      </c>
      <c r="I2548" s="16">
        <v>7375.38</v>
      </c>
      <c r="J2548" s="16">
        <v>11656.068010238707</v>
      </c>
      <c r="K2548" s="16">
        <v>-4280.6880102387058</v>
      </c>
      <c r="L2548" s="13"/>
      <c r="M2548" s="13">
        <v>6.34</v>
      </c>
      <c r="N2548" s="17">
        <f t="shared" si="85"/>
        <v>0</v>
      </c>
      <c r="O2548" s="17">
        <f t="shared" si="85"/>
        <v>9389.5399999999991</v>
      </c>
      <c r="P2548" s="17">
        <f t="shared" si="84"/>
        <v>9389.5399999999991</v>
      </c>
      <c r="Q2548" t="str">
        <f>A2548&amp;"-"&amp;B2548&amp;"-"&amp;D2548</f>
        <v>JUNI-MJ1-L2</v>
      </c>
    </row>
    <row r="2549" spans="1:17" x14ac:dyDescent="0.25">
      <c r="A2549" t="s">
        <v>396</v>
      </c>
      <c r="B2549" s="13" t="s">
        <v>25</v>
      </c>
      <c r="C2549" s="13" t="s">
        <v>955</v>
      </c>
      <c r="D2549" s="14" t="s">
        <v>198</v>
      </c>
      <c r="E2549" s="13" t="s">
        <v>71</v>
      </c>
      <c r="F2549" s="13" t="s">
        <v>1082</v>
      </c>
      <c r="G2549" s="13">
        <v>5</v>
      </c>
      <c r="H2549" s="15">
        <v>380</v>
      </c>
      <c r="I2549" s="16">
        <v>1900</v>
      </c>
      <c r="J2549" s="16">
        <v>5459.1324786324785</v>
      </c>
      <c r="K2549" s="16">
        <v>-3559.1324786324785</v>
      </c>
      <c r="L2549" s="13"/>
      <c r="M2549" s="13">
        <v>6.8</v>
      </c>
      <c r="N2549" s="17">
        <f t="shared" si="85"/>
        <v>0</v>
      </c>
      <c r="O2549" s="17">
        <f t="shared" si="85"/>
        <v>2584</v>
      </c>
      <c r="P2549" s="17">
        <f t="shared" si="84"/>
        <v>2584</v>
      </c>
      <c r="Q2549" t="str">
        <f>A2549&amp;"-"&amp;B2549&amp;"-"&amp;D2549</f>
        <v>JUNI-MJ1-L8</v>
      </c>
    </row>
    <row r="2550" spans="1:17" x14ac:dyDescent="0.25">
      <c r="A2550" t="s">
        <v>396</v>
      </c>
      <c r="B2550" s="13" t="s">
        <v>25</v>
      </c>
      <c r="C2550" s="13" t="s">
        <v>955</v>
      </c>
      <c r="D2550" s="14" t="s">
        <v>199</v>
      </c>
      <c r="E2550" s="13" t="s">
        <v>71</v>
      </c>
      <c r="F2550" s="13" t="s">
        <v>1082</v>
      </c>
      <c r="G2550" s="13">
        <v>5</v>
      </c>
      <c r="H2550" s="15">
        <v>406</v>
      </c>
      <c r="I2550" s="16">
        <v>2030</v>
      </c>
      <c r="J2550" s="16">
        <v>6315.1405594405596</v>
      </c>
      <c r="K2550" s="16">
        <v>-4285.1405594405596</v>
      </c>
      <c r="L2550" s="13"/>
      <c r="M2550" s="13">
        <v>6.8</v>
      </c>
      <c r="N2550" s="17">
        <f t="shared" si="85"/>
        <v>0</v>
      </c>
      <c r="O2550" s="17">
        <f t="shared" si="85"/>
        <v>2760.7999999999997</v>
      </c>
      <c r="P2550" s="17">
        <f t="shared" si="84"/>
        <v>2760.7999999999997</v>
      </c>
      <c r="Q2550" t="str">
        <f>A2550&amp;"-"&amp;B2550&amp;"-"&amp;D2550</f>
        <v>JUNI-MJ1-L9</v>
      </c>
    </row>
    <row r="2551" spans="1:17" x14ac:dyDescent="0.25">
      <c r="A2551" t="s">
        <v>396</v>
      </c>
      <c r="B2551" s="13" t="s">
        <v>26</v>
      </c>
      <c r="C2551" s="13" t="s">
        <v>226</v>
      </c>
      <c r="D2551" s="14" t="s">
        <v>44</v>
      </c>
      <c r="E2551" s="13" t="s">
        <v>61</v>
      </c>
      <c r="F2551" s="13" t="s">
        <v>958</v>
      </c>
      <c r="G2551" s="13">
        <v>0.65</v>
      </c>
      <c r="H2551" s="15">
        <v>90</v>
      </c>
      <c r="I2551" s="16">
        <v>58.5</v>
      </c>
      <c r="J2551" s="16">
        <v>104.82352941176471</v>
      </c>
      <c r="K2551" s="16">
        <v>-46.32352941176471</v>
      </c>
      <c r="L2551" s="13">
        <v>1.66</v>
      </c>
      <c r="M2551" s="13"/>
      <c r="N2551" s="17">
        <f t="shared" si="85"/>
        <v>149.4</v>
      </c>
      <c r="O2551" s="17">
        <f t="shared" si="85"/>
        <v>0</v>
      </c>
      <c r="P2551" s="17">
        <f t="shared" si="84"/>
        <v>149.4</v>
      </c>
      <c r="Q2551" t="str">
        <f>A2551&amp;"-"&amp;B2551&amp;"-"&amp;D2551</f>
        <v>JUNI-MJ2-L1</v>
      </c>
    </row>
    <row r="2552" spans="1:17" x14ac:dyDescent="0.25">
      <c r="A2552" t="s">
        <v>396</v>
      </c>
      <c r="B2552" s="13" t="s">
        <v>26</v>
      </c>
      <c r="C2552" s="13" t="s">
        <v>226</v>
      </c>
      <c r="D2552" s="14" t="s">
        <v>44</v>
      </c>
      <c r="E2552" s="13" t="s">
        <v>61</v>
      </c>
      <c r="F2552" s="13" t="s">
        <v>959</v>
      </c>
      <c r="G2552" s="13">
        <v>0.65000000000000013</v>
      </c>
      <c r="H2552" s="15">
        <v>19750</v>
      </c>
      <c r="I2552" s="16">
        <v>12837.5</v>
      </c>
      <c r="J2552" s="16">
        <v>19695.176470588234</v>
      </c>
      <c r="K2552" s="16">
        <v>-6857.6764705882351</v>
      </c>
      <c r="L2552" s="13">
        <v>1.64</v>
      </c>
      <c r="M2552" s="13"/>
      <c r="N2552" s="17">
        <f t="shared" si="85"/>
        <v>32389.999999999996</v>
      </c>
      <c r="O2552" s="17">
        <f t="shared" si="85"/>
        <v>0</v>
      </c>
      <c r="P2552" s="17">
        <f t="shared" si="84"/>
        <v>32389.999999999996</v>
      </c>
      <c r="Q2552" t="str">
        <f>A2552&amp;"-"&amp;B2552&amp;"-"&amp;D2552</f>
        <v>JUNI-MJ2-L1</v>
      </c>
    </row>
    <row r="2553" spans="1:17" x14ac:dyDescent="0.25">
      <c r="A2553" t="s">
        <v>396</v>
      </c>
      <c r="B2553" s="13" t="s">
        <v>26</v>
      </c>
      <c r="C2553" s="13" t="s">
        <v>226</v>
      </c>
      <c r="D2553" s="14" t="s">
        <v>301</v>
      </c>
      <c r="E2553" s="13" t="s">
        <v>61</v>
      </c>
      <c r="F2553" s="13" t="s">
        <v>964</v>
      </c>
      <c r="G2553" s="13">
        <v>0.70000000000000007</v>
      </c>
      <c r="H2553" s="15">
        <v>3124</v>
      </c>
      <c r="I2553" s="16">
        <v>2186.8000000000002</v>
      </c>
      <c r="J2553" s="16">
        <v>1504.3338156625161</v>
      </c>
      <c r="K2553" s="16">
        <v>682.46618433748381</v>
      </c>
      <c r="L2553" s="13">
        <v>1.3</v>
      </c>
      <c r="M2553" s="13"/>
      <c r="N2553" s="17">
        <f t="shared" si="85"/>
        <v>4061.2000000000003</v>
      </c>
      <c r="O2553" s="17">
        <f t="shared" si="85"/>
        <v>0</v>
      </c>
      <c r="P2553" s="17">
        <f t="shared" si="84"/>
        <v>4061.2000000000003</v>
      </c>
      <c r="Q2553" t="str">
        <f>A2553&amp;"-"&amp;B2553&amp;"-"&amp;D2553</f>
        <v>JUNI-MJ2-L10</v>
      </c>
    </row>
    <row r="2554" spans="1:17" x14ac:dyDescent="0.25">
      <c r="A2554" t="s">
        <v>396</v>
      </c>
      <c r="B2554" s="13" t="s">
        <v>26</v>
      </c>
      <c r="C2554" s="13" t="s">
        <v>226</v>
      </c>
      <c r="D2554" s="14" t="s">
        <v>301</v>
      </c>
      <c r="E2554" s="13" t="s">
        <v>61</v>
      </c>
      <c r="F2554" s="13" t="s">
        <v>1083</v>
      </c>
      <c r="G2554" s="13">
        <v>0.70000000000000007</v>
      </c>
      <c r="H2554" s="15">
        <v>7758</v>
      </c>
      <c r="I2554" s="16">
        <v>5430.6000000000013</v>
      </c>
      <c r="J2554" s="16">
        <v>3484.9605540878915</v>
      </c>
      <c r="K2554" s="16">
        <v>1945.6394459121086</v>
      </c>
      <c r="L2554" s="13">
        <v>1.3</v>
      </c>
      <c r="M2554" s="13"/>
      <c r="N2554" s="17">
        <f t="shared" si="85"/>
        <v>10085.4</v>
      </c>
      <c r="O2554" s="17">
        <f t="shared" si="85"/>
        <v>0</v>
      </c>
      <c r="P2554" s="17">
        <f t="shared" si="84"/>
        <v>10085.4</v>
      </c>
      <c r="Q2554" t="str">
        <f>A2554&amp;"-"&amp;B2554&amp;"-"&amp;D2554</f>
        <v>JUNI-MJ2-L10</v>
      </c>
    </row>
    <row r="2555" spans="1:17" x14ac:dyDescent="0.25">
      <c r="A2555" t="s">
        <v>396</v>
      </c>
      <c r="B2555" s="13" t="s">
        <v>26</v>
      </c>
      <c r="C2555" s="13" t="s">
        <v>226</v>
      </c>
      <c r="D2555" s="14" t="s">
        <v>301</v>
      </c>
      <c r="E2555" s="13" t="s">
        <v>61</v>
      </c>
      <c r="F2555" s="13" t="s">
        <v>1084</v>
      </c>
      <c r="G2555" s="13">
        <v>0.70000000000000007</v>
      </c>
      <c r="H2555" s="15">
        <v>15803</v>
      </c>
      <c r="I2555" s="16">
        <v>11062.099999999999</v>
      </c>
      <c r="J2555" s="16">
        <v>7318.3339766737918</v>
      </c>
      <c r="K2555" s="16">
        <v>3743.7660233262086</v>
      </c>
      <c r="L2555" s="13">
        <v>1.3</v>
      </c>
      <c r="M2555" s="13"/>
      <c r="N2555" s="17">
        <f t="shared" si="85"/>
        <v>20543.900000000001</v>
      </c>
      <c r="O2555" s="17">
        <f t="shared" si="85"/>
        <v>0</v>
      </c>
      <c r="P2555" s="17">
        <f t="shared" si="84"/>
        <v>20543.900000000001</v>
      </c>
      <c r="Q2555" t="str">
        <f>A2555&amp;"-"&amp;B2555&amp;"-"&amp;D2555</f>
        <v>JUNI-MJ2-L10</v>
      </c>
    </row>
    <row r="2556" spans="1:17" x14ac:dyDescent="0.25">
      <c r="A2556" t="s">
        <v>396</v>
      </c>
      <c r="B2556" s="13" t="s">
        <v>26</v>
      </c>
      <c r="C2556" s="13" t="s">
        <v>226</v>
      </c>
      <c r="D2556" s="14" t="s">
        <v>301</v>
      </c>
      <c r="E2556" s="13" t="s">
        <v>61</v>
      </c>
      <c r="F2556" s="13" t="s">
        <v>1085</v>
      </c>
      <c r="G2556" s="13">
        <v>0.79</v>
      </c>
      <c r="H2556" s="15">
        <v>487</v>
      </c>
      <c r="I2556" s="16">
        <v>384.73</v>
      </c>
      <c r="J2556" s="16">
        <v>278.7268656716418</v>
      </c>
      <c r="K2556" s="16">
        <v>106.0031343283582</v>
      </c>
      <c r="L2556" s="13">
        <v>2.42</v>
      </c>
      <c r="M2556" s="13"/>
      <c r="N2556" s="17">
        <f t="shared" si="85"/>
        <v>1178.54</v>
      </c>
      <c r="O2556" s="17">
        <f t="shared" si="85"/>
        <v>0</v>
      </c>
      <c r="P2556" s="17">
        <f t="shared" si="84"/>
        <v>1178.54</v>
      </c>
      <c r="Q2556" t="str">
        <f>A2556&amp;"-"&amp;B2556&amp;"-"&amp;D2556</f>
        <v>JUNI-MJ2-L10</v>
      </c>
    </row>
    <row r="2557" spans="1:17" x14ac:dyDescent="0.25">
      <c r="A2557" t="s">
        <v>396</v>
      </c>
      <c r="B2557" s="13" t="s">
        <v>26</v>
      </c>
      <c r="C2557" s="13" t="s">
        <v>226</v>
      </c>
      <c r="D2557" s="14" t="s">
        <v>301</v>
      </c>
      <c r="E2557" s="13" t="s">
        <v>61</v>
      </c>
      <c r="F2557" s="13" t="s">
        <v>967</v>
      </c>
      <c r="G2557" s="13">
        <v>0.79</v>
      </c>
      <c r="H2557" s="15">
        <v>15</v>
      </c>
      <c r="I2557" s="16">
        <v>11.85</v>
      </c>
      <c r="J2557" s="16">
        <v>7.4249999999999998</v>
      </c>
      <c r="K2557" s="16">
        <v>4.4249999999999998</v>
      </c>
      <c r="L2557" s="13">
        <v>2.42</v>
      </c>
      <c r="M2557" s="13"/>
      <c r="N2557" s="17">
        <f t="shared" si="85"/>
        <v>36.299999999999997</v>
      </c>
      <c r="O2557" s="17">
        <f t="shared" si="85"/>
        <v>0</v>
      </c>
      <c r="P2557" s="17">
        <f t="shared" si="84"/>
        <v>36.299999999999997</v>
      </c>
      <c r="Q2557" t="str">
        <f>A2557&amp;"-"&amp;B2557&amp;"-"&amp;D2557</f>
        <v>JUNI-MJ2-L10</v>
      </c>
    </row>
    <row r="2558" spans="1:17" x14ac:dyDescent="0.25">
      <c r="A2558" t="s">
        <v>396</v>
      </c>
      <c r="B2558" s="13" t="s">
        <v>26</v>
      </c>
      <c r="C2558" s="13" t="s">
        <v>226</v>
      </c>
      <c r="D2558" s="14" t="s">
        <v>301</v>
      </c>
      <c r="E2558" s="13" t="s">
        <v>61</v>
      </c>
      <c r="F2558" s="13" t="s">
        <v>969</v>
      </c>
      <c r="G2558" s="13">
        <v>0.79</v>
      </c>
      <c r="H2558" s="15">
        <v>12</v>
      </c>
      <c r="I2558" s="16">
        <v>9.48</v>
      </c>
      <c r="J2558" s="16">
        <v>5.3417266187050361</v>
      </c>
      <c r="K2558" s="16">
        <v>4.1382733812949644</v>
      </c>
      <c r="L2558" s="13">
        <v>2.42</v>
      </c>
      <c r="M2558" s="13"/>
      <c r="N2558" s="17">
        <f t="shared" si="85"/>
        <v>29.04</v>
      </c>
      <c r="O2558" s="17">
        <f t="shared" si="85"/>
        <v>0</v>
      </c>
      <c r="P2558" s="17">
        <f t="shared" si="84"/>
        <v>29.04</v>
      </c>
      <c r="Q2558" t="str">
        <f>A2558&amp;"-"&amp;B2558&amp;"-"&amp;D2558</f>
        <v>JUNI-MJ2-L10</v>
      </c>
    </row>
    <row r="2559" spans="1:17" x14ac:dyDescent="0.25">
      <c r="A2559" t="s">
        <v>396</v>
      </c>
      <c r="B2559" s="13" t="s">
        <v>26</v>
      </c>
      <c r="C2559" s="13" t="s">
        <v>226</v>
      </c>
      <c r="D2559" s="14" t="s">
        <v>301</v>
      </c>
      <c r="E2559" s="13" t="s">
        <v>61</v>
      </c>
      <c r="F2559" s="13" t="s">
        <v>1000</v>
      </c>
      <c r="G2559" s="13">
        <v>0.79</v>
      </c>
      <c r="H2559" s="15">
        <v>8</v>
      </c>
      <c r="I2559" s="16">
        <v>6.32</v>
      </c>
      <c r="J2559" s="16">
        <v>3.96</v>
      </c>
      <c r="K2559" s="16">
        <v>2.3600000000000003</v>
      </c>
      <c r="L2559" s="13">
        <v>2.42</v>
      </c>
      <c r="M2559" s="13"/>
      <c r="N2559" s="17">
        <f t="shared" si="85"/>
        <v>19.36</v>
      </c>
      <c r="O2559" s="17">
        <f t="shared" si="85"/>
        <v>0</v>
      </c>
      <c r="P2559" s="17">
        <f t="shared" si="84"/>
        <v>19.36</v>
      </c>
      <c r="Q2559" t="str">
        <f>A2559&amp;"-"&amp;B2559&amp;"-"&amp;D2559</f>
        <v>JUNI-MJ2-L10</v>
      </c>
    </row>
    <row r="2560" spans="1:17" x14ac:dyDescent="0.25">
      <c r="A2560" t="s">
        <v>396</v>
      </c>
      <c r="B2560" s="13" t="s">
        <v>26</v>
      </c>
      <c r="C2560" s="13" t="s">
        <v>226</v>
      </c>
      <c r="D2560" s="14" t="s">
        <v>301</v>
      </c>
      <c r="E2560" s="13" t="s">
        <v>61</v>
      </c>
      <c r="F2560" s="13" t="s">
        <v>1086</v>
      </c>
      <c r="G2560" s="13">
        <v>0.79</v>
      </c>
      <c r="H2560" s="15">
        <v>1078</v>
      </c>
      <c r="I2560" s="16">
        <v>851.62</v>
      </c>
      <c r="J2560" s="16">
        <v>637.14626865671642</v>
      </c>
      <c r="K2560" s="16">
        <v>214.47373134328359</v>
      </c>
      <c r="L2560" s="13">
        <v>2.42</v>
      </c>
      <c r="M2560" s="13"/>
      <c r="N2560" s="17">
        <f t="shared" si="85"/>
        <v>2608.7599999999998</v>
      </c>
      <c r="O2560" s="17">
        <f t="shared" si="85"/>
        <v>0</v>
      </c>
      <c r="P2560" s="17">
        <f t="shared" si="84"/>
        <v>2608.7599999999998</v>
      </c>
      <c r="Q2560" t="str">
        <f>A2560&amp;"-"&amp;B2560&amp;"-"&amp;D2560</f>
        <v>JUNI-MJ2-L10</v>
      </c>
    </row>
    <row r="2561" spans="1:17" x14ac:dyDescent="0.25">
      <c r="A2561" t="s">
        <v>396</v>
      </c>
      <c r="B2561" s="13" t="s">
        <v>26</v>
      </c>
      <c r="C2561" s="13" t="s">
        <v>226</v>
      </c>
      <c r="D2561" s="14" t="s">
        <v>301</v>
      </c>
      <c r="E2561" s="13" t="s">
        <v>61</v>
      </c>
      <c r="F2561" s="13" t="s">
        <v>971</v>
      </c>
      <c r="G2561" s="13">
        <v>0.79</v>
      </c>
      <c r="H2561" s="15">
        <v>9</v>
      </c>
      <c r="I2561" s="16">
        <v>7.11</v>
      </c>
      <c r="J2561" s="16">
        <v>4.0062949640287773</v>
      </c>
      <c r="K2561" s="16">
        <v>3.103705035971223</v>
      </c>
      <c r="L2561" s="13">
        <v>2.42</v>
      </c>
      <c r="M2561" s="13"/>
      <c r="N2561" s="17">
        <f t="shared" si="85"/>
        <v>21.78</v>
      </c>
      <c r="O2561" s="17">
        <f t="shared" si="85"/>
        <v>0</v>
      </c>
      <c r="P2561" s="17">
        <f t="shared" si="84"/>
        <v>21.78</v>
      </c>
      <c r="Q2561" t="str">
        <f>A2561&amp;"-"&amp;B2561&amp;"-"&amp;D2561</f>
        <v>JUNI-MJ2-L10</v>
      </c>
    </row>
    <row r="2562" spans="1:17" x14ac:dyDescent="0.25">
      <c r="A2562" t="s">
        <v>396</v>
      </c>
      <c r="B2562" s="13" t="s">
        <v>26</v>
      </c>
      <c r="C2562" s="13" t="s">
        <v>226</v>
      </c>
      <c r="D2562" s="14" t="s">
        <v>301</v>
      </c>
      <c r="E2562" s="13" t="s">
        <v>61</v>
      </c>
      <c r="F2562" s="13" t="s">
        <v>958</v>
      </c>
      <c r="G2562" s="13">
        <v>0.65</v>
      </c>
      <c r="H2562" s="15">
        <v>5</v>
      </c>
      <c r="I2562" s="16">
        <v>3.25</v>
      </c>
      <c r="J2562" s="16">
        <v>2.225319295125697</v>
      </c>
      <c r="K2562" s="16">
        <v>1.0246807048743027</v>
      </c>
      <c r="L2562" s="13">
        <v>1.66</v>
      </c>
      <c r="M2562" s="13"/>
      <c r="N2562" s="17">
        <f t="shared" si="85"/>
        <v>8.2999999999999989</v>
      </c>
      <c r="O2562" s="17">
        <f t="shared" si="85"/>
        <v>0</v>
      </c>
      <c r="P2562" s="17">
        <f t="shared" ref="P2562:P2625" si="86">N2562+O2562</f>
        <v>8.2999999999999989</v>
      </c>
      <c r="Q2562" t="str">
        <f>A2562&amp;"-"&amp;B2562&amp;"-"&amp;D2562</f>
        <v>JUNI-MJ2-L10</v>
      </c>
    </row>
    <row r="2563" spans="1:17" x14ac:dyDescent="0.25">
      <c r="A2563" t="s">
        <v>396</v>
      </c>
      <c r="B2563" s="13" t="s">
        <v>26</v>
      </c>
      <c r="C2563" s="13" t="s">
        <v>226</v>
      </c>
      <c r="D2563" s="14" t="s">
        <v>301</v>
      </c>
      <c r="E2563" s="13" t="s">
        <v>61</v>
      </c>
      <c r="F2563" s="13" t="s">
        <v>959</v>
      </c>
      <c r="G2563" s="13">
        <v>0.65</v>
      </c>
      <c r="H2563" s="15">
        <v>7784</v>
      </c>
      <c r="I2563" s="16">
        <v>5059.6000000000004</v>
      </c>
      <c r="J2563" s="16">
        <v>4140.2925848763743</v>
      </c>
      <c r="K2563" s="16">
        <v>919.30741512362545</v>
      </c>
      <c r="L2563" s="13">
        <v>1.64</v>
      </c>
      <c r="M2563" s="13"/>
      <c r="N2563" s="17">
        <f t="shared" si="85"/>
        <v>12765.759999999998</v>
      </c>
      <c r="O2563" s="17">
        <f t="shared" si="85"/>
        <v>0</v>
      </c>
      <c r="P2563" s="17">
        <f t="shared" si="86"/>
        <v>12765.759999999998</v>
      </c>
      <c r="Q2563" t="str">
        <f>A2563&amp;"-"&amp;B2563&amp;"-"&amp;D2563</f>
        <v>JUNI-MJ2-L10</v>
      </c>
    </row>
    <row r="2564" spans="1:17" x14ac:dyDescent="0.25">
      <c r="A2564" t="s">
        <v>396</v>
      </c>
      <c r="B2564" s="13" t="s">
        <v>26</v>
      </c>
      <c r="C2564" s="13" t="s">
        <v>226</v>
      </c>
      <c r="D2564" s="14" t="s">
        <v>301</v>
      </c>
      <c r="E2564" s="13" t="s">
        <v>61</v>
      </c>
      <c r="F2564" s="13" t="s">
        <v>1087</v>
      </c>
      <c r="G2564" s="13">
        <v>0.65</v>
      </c>
      <c r="H2564" s="15">
        <v>4093</v>
      </c>
      <c r="I2564" s="16">
        <v>2660.45</v>
      </c>
      <c r="J2564" s="16">
        <v>2180.142537313433</v>
      </c>
      <c r="K2564" s="16">
        <v>480.30746268656719</v>
      </c>
      <c r="L2564" s="13">
        <v>1.64</v>
      </c>
      <c r="M2564" s="13"/>
      <c r="N2564" s="17">
        <f t="shared" si="85"/>
        <v>6712.5199999999995</v>
      </c>
      <c r="O2564" s="17">
        <f t="shared" si="85"/>
        <v>0</v>
      </c>
      <c r="P2564" s="17">
        <f t="shared" si="86"/>
        <v>6712.5199999999995</v>
      </c>
      <c r="Q2564" t="str">
        <f>A2564&amp;"-"&amp;B2564&amp;"-"&amp;D2564</f>
        <v>JUNI-MJ2-L10</v>
      </c>
    </row>
    <row r="2565" spans="1:17" x14ac:dyDescent="0.25">
      <c r="A2565" t="s">
        <v>396</v>
      </c>
      <c r="B2565" s="13" t="s">
        <v>26</v>
      </c>
      <c r="C2565" s="13" t="s">
        <v>226</v>
      </c>
      <c r="D2565" s="14" t="s">
        <v>301</v>
      </c>
      <c r="E2565" s="13" t="s">
        <v>61</v>
      </c>
      <c r="F2565" s="13" t="s">
        <v>973</v>
      </c>
      <c r="G2565" s="13">
        <v>0.83</v>
      </c>
      <c r="H2565" s="15">
        <v>473</v>
      </c>
      <c r="I2565" s="16">
        <v>392.59000000000003</v>
      </c>
      <c r="J2565" s="16">
        <v>229.99044943820226</v>
      </c>
      <c r="K2565" s="16">
        <v>162.59955056179774</v>
      </c>
      <c r="L2565" s="13">
        <v>5.18</v>
      </c>
      <c r="M2565" s="13"/>
      <c r="N2565" s="17">
        <f t="shared" si="85"/>
        <v>2450.14</v>
      </c>
      <c r="O2565" s="17">
        <f t="shared" si="85"/>
        <v>0</v>
      </c>
      <c r="P2565" s="17">
        <f t="shared" si="86"/>
        <v>2450.14</v>
      </c>
      <c r="Q2565" t="str">
        <f>A2565&amp;"-"&amp;B2565&amp;"-"&amp;D2565</f>
        <v>JUNI-MJ2-L10</v>
      </c>
    </row>
    <row r="2566" spans="1:17" x14ac:dyDescent="0.25">
      <c r="A2566" t="s">
        <v>396</v>
      </c>
      <c r="B2566" s="13" t="s">
        <v>26</v>
      </c>
      <c r="C2566" s="13" t="s">
        <v>226</v>
      </c>
      <c r="D2566" s="14" t="s">
        <v>301</v>
      </c>
      <c r="E2566" s="13" t="s">
        <v>61</v>
      </c>
      <c r="F2566" s="13" t="s">
        <v>975</v>
      </c>
      <c r="G2566" s="13">
        <v>0.83</v>
      </c>
      <c r="H2566" s="15">
        <v>7</v>
      </c>
      <c r="I2566" s="16">
        <v>5.81</v>
      </c>
      <c r="J2566" s="16">
        <v>3.1146067415730339</v>
      </c>
      <c r="K2566" s="16">
        <v>2.6953932584269658</v>
      </c>
      <c r="L2566" s="13">
        <v>5.18</v>
      </c>
      <c r="M2566" s="13"/>
      <c r="N2566" s="17">
        <f t="shared" si="85"/>
        <v>36.26</v>
      </c>
      <c r="O2566" s="17">
        <f t="shared" si="85"/>
        <v>0</v>
      </c>
      <c r="P2566" s="17">
        <f t="shared" si="86"/>
        <v>36.26</v>
      </c>
      <c r="Q2566" t="str">
        <f>A2566&amp;"-"&amp;B2566&amp;"-"&amp;D2566</f>
        <v>JUNI-MJ2-L10</v>
      </c>
    </row>
    <row r="2567" spans="1:17" x14ac:dyDescent="0.25">
      <c r="A2567" t="s">
        <v>396</v>
      </c>
      <c r="B2567" s="13" t="s">
        <v>26</v>
      </c>
      <c r="C2567" s="13" t="s">
        <v>226</v>
      </c>
      <c r="D2567" s="14" t="s">
        <v>287</v>
      </c>
      <c r="E2567" s="13" t="s">
        <v>61</v>
      </c>
      <c r="F2567" s="13" t="s">
        <v>964</v>
      </c>
      <c r="G2567" s="13">
        <v>0.70000000000000007</v>
      </c>
      <c r="H2567" s="15">
        <v>3122</v>
      </c>
      <c r="I2567" s="16">
        <v>2185.4</v>
      </c>
      <c r="J2567" s="16">
        <v>1503.346130778034</v>
      </c>
      <c r="K2567" s="16">
        <v>682.05386922196647</v>
      </c>
      <c r="L2567" s="13">
        <v>1.3</v>
      </c>
      <c r="M2567" s="13"/>
      <c r="N2567" s="17">
        <f t="shared" si="85"/>
        <v>4058.6000000000004</v>
      </c>
      <c r="O2567" s="17">
        <f t="shared" si="85"/>
        <v>0</v>
      </c>
      <c r="P2567" s="17">
        <f t="shared" si="86"/>
        <v>4058.6000000000004</v>
      </c>
      <c r="Q2567" t="str">
        <f>A2567&amp;"-"&amp;B2567&amp;"-"&amp;D2567</f>
        <v>JUNI-MJ2-L11</v>
      </c>
    </row>
    <row r="2568" spans="1:17" x14ac:dyDescent="0.25">
      <c r="A2568" t="s">
        <v>396</v>
      </c>
      <c r="B2568" s="13" t="s">
        <v>26</v>
      </c>
      <c r="C2568" s="13" t="s">
        <v>226</v>
      </c>
      <c r="D2568" s="14" t="s">
        <v>287</v>
      </c>
      <c r="E2568" s="13" t="s">
        <v>61</v>
      </c>
      <c r="F2568" s="13" t="s">
        <v>1083</v>
      </c>
      <c r="G2568" s="13">
        <v>0.70000000000000007</v>
      </c>
      <c r="H2568" s="15">
        <v>7756</v>
      </c>
      <c r="I2568" s="16">
        <v>5429.1999999999989</v>
      </c>
      <c r="J2568" s="16">
        <v>3484.4961053392108</v>
      </c>
      <c r="K2568" s="16">
        <v>1944.7038946607895</v>
      </c>
      <c r="L2568" s="13">
        <v>1.3</v>
      </c>
      <c r="M2568" s="13"/>
      <c r="N2568" s="17">
        <f t="shared" si="85"/>
        <v>10082.800000000001</v>
      </c>
      <c r="O2568" s="17">
        <f t="shared" si="85"/>
        <v>0</v>
      </c>
      <c r="P2568" s="17">
        <f t="shared" si="86"/>
        <v>10082.800000000001</v>
      </c>
      <c r="Q2568" t="str">
        <f>A2568&amp;"-"&amp;B2568&amp;"-"&amp;D2568</f>
        <v>JUNI-MJ2-L11</v>
      </c>
    </row>
    <row r="2569" spans="1:17" x14ac:dyDescent="0.25">
      <c r="A2569" t="s">
        <v>396</v>
      </c>
      <c r="B2569" s="13" t="s">
        <v>26</v>
      </c>
      <c r="C2569" s="13" t="s">
        <v>226</v>
      </c>
      <c r="D2569" s="14" t="s">
        <v>287</v>
      </c>
      <c r="E2569" s="13" t="s">
        <v>61</v>
      </c>
      <c r="F2569" s="13" t="s">
        <v>1084</v>
      </c>
      <c r="G2569" s="13">
        <v>0.70000000000000007</v>
      </c>
      <c r="H2569" s="15">
        <v>15806</v>
      </c>
      <c r="I2569" s="16">
        <v>11064.2</v>
      </c>
      <c r="J2569" s="16">
        <v>7319.5822768240914</v>
      </c>
      <c r="K2569" s="16">
        <v>3744.6177231759088</v>
      </c>
      <c r="L2569" s="13">
        <v>1.3</v>
      </c>
      <c r="M2569" s="13"/>
      <c r="N2569" s="17">
        <f t="shared" si="85"/>
        <v>20547.8</v>
      </c>
      <c r="O2569" s="17">
        <f t="shared" si="85"/>
        <v>0</v>
      </c>
      <c r="P2569" s="17">
        <f t="shared" si="86"/>
        <v>20547.8</v>
      </c>
      <c r="Q2569" t="str">
        <f>A2569&amp;"-"&amp;B2569&amp;"-"&amp;D2569</f>
        <v>JUNI-MJ2-L11</v>
      </c>
    </row>
    <row r="2570" spans="1:17" x14ac:dyDescent="0.25">
      <c r="A2570" t="s">
        <v>396</v>
      </c>
      <c r="B2570" s="13" t="s">
        <v>26</v>
      </c>
      <c r="C2570" s="13" t="s">
        <v>226</v>
      </c>
      <c r="D2570" s="14" t="s">
        <v>287</v>
      </c>
      <c r="E2570" s="13" t="s">
        <v>61</v>
      </c>
      <c r="F2570" s="13" t="s">
        <v>1085</v>
      </c>
      <c r="G2570" s="13">
        <v>0.79</v>
      </c>
      <c r="H2570" s="15">
        <v>488</v>
      </c>
      <c r="I2570" s="16">
        <v>385.52</v>
      </c>
      <c r="J2570" s="16">
        <v>279.27686567164176</v>
      </c>
      <c r="K2570" s="16">
        <v>106.2431343283582</v>
      </c>
      <c r="L2570" s="13">
        <v>2.42</v>
      </c>
      <c r="M2570" s="13"/>
      <c r="N2570" s="17">
        <f t="shared" si="85"/>
        <v>1180.96</v>
      </c>
      <c r="O2570" s="17">
        <f t="shared" si="85"/>
        <v>0</v>
      </c>
      <c r="P2570" s="17">
        <f t="shared" si="86"/>
        <v>1180.96</v>
      </c>
      <c r="Q2570" t="str">
        <f>A2570&amp;"-"&amp;B2570&amp;"-"&amp;D2570</f>
        <v>JUNI-MJ2-L11</v>
      </c>
    </row>
    <row r="2571" spans="1:17" x14ac:dyDescent="0.25">
      <c r="A2571" t="s">
        <v>396</v>
      </c>
      <c r="B2571" s="13" t="s">
        <v>26</v>
      </c>
      <c r="C2571" s="13" t="s">
        <v>226</v>
      </c>
      <c r="D2571" s="14" t="s">
        <v>287</v>
      </c>
      <c r="E2571" s="13" t="s">
        <v>61</v>
      </c>
      <c r="F2571" s="13" t="s">
        <v>967</v>
      </c>
      <c r="G2571" s="13">
        <v>0.79</v>
      </c>
      <c r="H2571" s="15">
        <v>15</v>
      </c>
      <c r="I2571" s="16">
        <v>11.85</v>
      </c>
      <c r="J2571" s="16">
        <v>7.4249999999999998</v>
      </c>
      <c r="K2571" s="16">
        <v>4.4249999999999998</v>
      </c>
      <c r="L2571" s="13">
        <v>2.42</v>
      </c>
      <c r="M2571" s="13"/>
      <c r="N2571" s="17">
        <f t="shared" si="85"/>
        <v>36.299999999999997</v>
      </c>
      <c r="O2571" s="17">
        <f t="shared" si="85"/>
        <v>0</v>
      </c>
      <c r="P2571" s="17">
        <f t="shared" si="86"/>
        <v>36.299999999999997</v>
      </c>
      <c r="Q2571" t="str">
        <f>A2571&amp;"-"&amp;B2571&amp;"-"&amp;D2571</f>
        <v>JUNI-MJ2-L11</v>
      </c>
    </row>
    <row r="2572" spans="1:17" x14ac:dyDescent="0.25">
      <c r="A2572" t="s">
        <v>396</v>
      </c>
      <c r="B2572" s="13" t="s">
        <v>26</v>
      </c>
      <c r="C2572" s="13" t="s">
        <v>226</v>
      </c>
      <c r="D2572" s="14" t="s">
        <v>287</v>
      </c>
      <c r="E2572" s="13" t="s">
        <v>61</v>
      </c>
      <c r="F2572" s="13" t="s">
        <v>969</v>
      </c>
      <c r="G2572" s="13">
        <v>0.79</v>
      </c>
      <c r="H2572" s="15">
        <v>11</v>
      </c>
      <c r="I2572" s="16">
        <v>8.69</v>
      </c>
      <c r="J2572" s="16">
        <v>4.8987854251012148</v>
      </c>
      <c r="K2572" s="16">
        <v>3.7912145748987847</v>
      </c>
      <c r="L2572" s="13">
        <v>2.42</v>
      </c>
      <c r="M2572" s="13"/>
      <c r="N2572" s="17">
        <f t="shared" si="85"/>
        <v>26.619999999999997</v>
      </c>
      <c r="O2572" s="17">
        <f t="shared" si="85"/>
        <v>0</v>
      </c>
      <c r="P2572" s="17">
        <f t="shared" si="86"/>
        <v>26.619999999999997</v>
      </c>
      <c r="Q2572" t="str">
        <f>A2572&amp;"-"&amp;B2572&amp;"-"&amp;D2572</f>
        <v>JUNI-MJ2-L11</v>
      </c>
    </row>
    <row r="2573" spans="1:17" x14ac:dyDescent="0.25">
      <c r="A2573" t="s">
        <v>396</v>
      </c>
      <c r="B2573" s="13" t="s">
        <v>26</v>
      </c>
      <c r="C2573" s="13" t="s">
        <v>226</v>
      </c>
      <c r="D2573" s="14" t="s">
        <v>287</v>
      </c>
      <c r="E2573" s="13" t="s">
        <v>61</v>
      </c>
      <c r="F2573" s="13" t="s">
        <v>1000</v>
      </c>
      <c r="G2573" s="13">
        <v>0.79</v>
      </c>
      <c r="H2573" s="15">
        <v>8</v>
      </c>
      <c r="I2573" s="16">
        <v>6.32</v>
      </c>
      <c r="J2573" s="16">
        <v>3.96</v>
      </c>
      <c r="K2573" s="16">
        <v>2.3600000000000003</v>
      </c>
      <c r="L2573" s="13">
        <v>2.42</v>
      </c>
      <c r="M2573" s="13"/>
      <c r="N2573" s="17">
        <f t="shared" si="85"/>
        <v>19.36</v>
      </c>
      <c r="O2573" s="17">
        <f t="shared" si="85"/>
        <v>0</v>
      </c>
      <c r="P2573" s="17">
        <f t="shared" si="86"/>
        <v>19.36</v>
      </c>
      <c r="Q2573" t="str">
        <f>A2573&amp;"-"&amp;B2573&amp;"-"&amp;D2573</f>
        <v>JUNI-MJ2-L11</v>
      </c>
    </row>
    <row r="2574" spans="1:17" x14ac:dyDescent="0.25">
      <c r="A2574" t="s">
        <v>396</v>
      </c>
      <c r="B2574" s="13" t="s">
        <v>26</v>
      </c>
      <c r="C2574" s="13" t="s">
        <v>226</v>
      </c>
      <c r="D2574" s="14" t="s">
        <v>287</v>
      </c>
      <c r="E2574" s="13" t="s">
        <v>61</v>
      </c>
      <c r="F2574" s="13" t="s">
        <v>1086</v>
      </c>
      <c r="G2574" s="13">
        <v>0.79</v>
      </c>
      <c r="H2574" s="15">
        <v>1077</v>
      </c>
      <c r="I2574" s="16">
        <v>850.83</v>
      </c>
      <c r="J2574" s="16">
        <v>636.55522388059705</v>
      </c>
      <c r="K2574" s="16">
        <v>214.27477611940299</v>
      </c>
      <c r="L2574" s="13">
        <v>2.42</v>
      </c>
      <c r="M2574" s="13"/>
      <c r="N2574" s="17">
        <f t="shared" si="85"/>
        <v>2606.34</v>
      </c>
      <c r="O2574" s="17">
        <f t="shared" si="85"/>
        <v>0</v>
      </c>
      <c r="P2574" s="17">
        <f t="shared" si="86"/>
        <v>2606.34</v>
      </c>
      <c r="Q2574" t="str">
        <f>A2574&amp;"-"&amp;B2574&amp;"-"&amp;D2574</f>
        <v>JUNI-MJ2-L11</v>
      </c>
    </row>
    <row r="2575" spans="1:17" x14ac:dyDescent="0.25">
      <c r="A2575" t="s">
        <v>396</v>
      </c>
      <c r="B2575" s="13" t="s">
        <v>26</v>
      </c>
      <c r="C2575" s="13" t="s">
        <v>226</v>
      </c>
      <c r="D2575" s="14" t="s">
        <v>287</v>
      </c>
      <c r="E2575" s="13" t="s">
        <v>61</v>
      </c>
      <c r="F2575" s="13" t="s">
        <v>971</v>
      </c>
      <c r="G2575" s="13">
        <v>0.79</v>
      </c>
      <c r="H2575" s="15">
        <v>8</v>
      </c>
      <c r="I2575" s="16">
        <v>6.32</v>
      </c>
      <c r="J2575" s="16">
        <v>3.5627530364372473</v>
      </c>
      <c r="K2575" s="16">
        <v>2.757246963562753</v>
      </c>
      <c r="L2575" s="13">
        <v>2.42</v>
      </c>
      <c r="M2575" s="13"/>
      <c r="N2575" s="17">
        <f t="shared" si="85"/>
        <v>19.36</v>
      </c>
      <c r="O2575" s="17">
        <f t="shared" si="85"/>
        <v>0</v>
      </c>
      <c r="P2575" s="17">
        <f t="shared" si="86"/>
        <v>19.36</v>
      </c>
      <c r="Q2575" t="str">
        <f>A2575&amp;"-"&amp;B2575&amp;"-"&amp;D2575</f>
        <v>JUNI-MJ2-L11</v>
      </c>
    </row>
    <row r="2576" spans="1:17" x14ac:dyDescent="0.25">
      <c r="A2576" t="s">
        <v>396</v>
      </c>
      <c r="B2576" s="13" t="s">
        <v>26</v>
      </c>
      <c r="C2576" s="13" t="s">
        <v>226</v>
      </c>
      <c r="D2576" s="14" t="s">
        <v>287</v>
      </c>
      <c r="E2576" s="13" t="s">
        <v>61</v>
      </c>
      <c r="F2576" s="13" t="s">
        <v>958</v>
      </c>
      <c r="G2576" s="13">
        <v>0.65</v>
      </c>
      <c r="H2576" s="15">
        <v>6</v>
      </c>
      <c r="I2576" s="16">
        <v>3.9000000000000004</v>
      </c>
      <c r="J2576" s="16">
        <v>2.6712641586680617</v>
      </c>
      <c r="K2576" s="16">
        <v>1.2287358413319382</v>
      </c>
      <c r="L2576" s="13">
        <v>1.66</v>
      </c>
      <c r="M2576" s="13"/>
      <c r="N2576" s="17">
        <f t="shared" si="85"/>
        <v>9.9599999999999991</v>
      </c>
      <c r="O2576" s="17">
        <f t="shared" si="85"/>
        <v>0</v>
      </c>
      <c r="P2576" s="17">
        <f t="shared" si="86"/>
        <v>9.9599999999999991</v>
      </c>
      <c r="Q2576" t="str">
        <f>A2576&amp;"-"&amp;B2576&amp;"-"&amp;D2576</f>
        <v>JUNI-MJ2-L11</v>
      </c>
    </row>
    <row r="2577" spans="1:17" x14ac:dyDescent="0.25">
      <c r="A2577" t="s">
        <v>396</v>
      </c>
      <c r="B2577" s="13" t="s">
        <v>26</v>
      </c>
      <c r="C2577" s="13" t="s">
        <v>226</v>
      </c>
      <c r="D2577" s="14" t="s">
        <v>287</v>
      </c>
      <c r="E2577" s="13" t="s">
        <v>61</v>
      </c>
      <c r="F2577" s="13" t="s">
        <v>959</v>
      </c>
      <c r="G2577" s="13">
        <v>0.65</v>
      </c>
      <c r="H2577" s="15">
        <v>7786</v>
      </c>
      <c r="I2577" s="16">
        <v>5060.8999999999996</v>
      </c>
      <c r="J2577" s="16">
        <v>4141.5229452132353</v>
      </c>
      <c r="K2577" s="16">
        <v>919.37705478676435</v>
      </c>
      <c r="L2577" s="13">
        <v>1.64</v>
      </c>
      <c r="M2577" s="13"/>
      <c r="N2577" s="17">
        <f t="shared" si="85"/>
        <v>12769.039999999999</v>
      </c>
      <c r="O2577" s="17">
        <f t="shared" si="85"/>
        <v>0</v>
      </c>
      <c r="P2577" s="17">
        <f t="shared" si="86"/>
        <v>12769.039999999999</v>
      </c>
      <c r="Q2577" t="str">
        <f>A2577&amp;"-"&amp;B2577&amp;"-"&amp;D2577</f>
        <v>JUNI-MJ2-L11</v>
      </c>
    </row>
    <row r="2578" spans="1:17" x14ac:dyDescent="0.25">
      <c r="A2578" t="s">
        <v>396</v>
      </c>
      <c r="B2578" s="13" t="s">
        <v>26</v>
      </c>
      <c r="C2578" s="13" t="s">
        <v>226</v>
      </c>
      <c r="D2578" s="14" t="s">
        <v>287</v>
      </c>
      <c r="E2578" s="13" t="s">
        <v>61</v>
      </c>
      <c r="F2578" s="13" t="s">
        <v>1087</v>
      </c>
      <c r="G2578" s="13">
        <v>0.65</v>
      </c>
      <c r="H2578" s="15">
        <v>4092</v>
      </c>
      <c r="I2578" s="16">
        <v>2659.8</v>
      </c>
      <c r="J2578" s="16">
        <v>2179.5925373134328</v>
      </c>
      <c r="K2578" s="16">
        <v>480.20746268656717</v>
      </c>
      <c r="L2578" s="13">
        <v>1.64</v>
      </c>
      <c r="M2578" s="13"/>
      <c r="N2578" s="17">
        <f t="shared" si="85"/>
        <v>6710.8799999999992</v>
      </c>
      <c r="O2578" s="17">
        <f t="shared" si="85"/>
        <v>0</v>
      </c>
      <c r="P2578" s="17">
        <f t="shared" si="86"/>
        <v>6710.8799999999992</v>
      </c>
      <c r="Q2578" t="str">
        <f>A2578&amp;"-"&amp;B2578&amp;"-"&amp;D2578</f>
        <v>JUNI-MJ2-L11</v>
      </c>
    </row>
    <row r="2579" spans="1:17" x14ac:dyDescent="0.25">
      <c r="A2579" t="s">
        <v>396</v>
      </c>
      <c r="B2579" s="13" t="s">
        <v>26</v>
      </c>
      <c r="C2579" s="13" t="s">
        <v>226</v>
      </c>
      <c r="D2579" s="14" t="s">
        <v>287</v>
      </c>
      <c r="E2579" s="13" t="s">
        <v>61</v>
      </c>
      <c r="F2579" s="13" t="s">
        <v>973</v>
      </c>
      <c r="G2579" s="13">
        <v>0.83</v>
      </c>
      <c r="H2579" s="15">
        <v>473</v>
      </c>
      <c r="I2579" s="16">
        <v>392.59000000000003</v>
      </c>
      <c r="J2579" s="16">
        <v>229.99550561797753</v>
      </c>
      <c r="K2579" s="16">
        <v>162.59449438202245</v>
      </c>
      <c r="L2579" s="13">
        <v>5.18</v>
      </c>
      <c r="M2579" s="13"/>
      <c r="N2579" s="17">
        <f t="shared" si="85"/>
        <v>2450.14</v>
      </c>
      <c r="O2579" s="17">
        <f t="shared" si="85"/>
        <v>0</v>
      </c>
      <c r="P2579" s="17">
        <f t="shared" si="86"/>
        <v>2450.14</v>
      </c>
      <c r="Q2579" t="str">
        <f>A2579&amp;"-"&amp;B2579&amp;"-"&amp;D2579</f>
        <v>JUNI-MJ2-L11</v>
      </c>
    </row>
    <row r="2580" spans="1:17" x14ac:dyDescent="0.25">
      <c r="A2580" t="s">
        <v>396</v>
      </c>
      <c r="B2580" s="13" t="s">
        <v>26</v>
      </c>
      <c r="C2580" s="13" t="s">
        <v>226</v>
      </c>
      <c r="D2580" s="14" t="s">
        <v>287</v>
      </c>
      <c r="E2580" s="13" t="s">
        <v>61</v>
      </c>
      <c r="F2580" s="13" t="s">
        <v>975</v>
      </c>
      <c r="G2580" s="13">
        <v>0.83</v>
      </c>
      <c r="H2580" s="15">
        <v>7</v>
      </c>
      <c r="I2580" s="16">
        <v>5.81</v>
      </c>
      <c r="J2580" s="16">
        <v>3.1146067415730339</v>
      </c>
      <c r="K2580" s="16">
        <v>2.6953932584269658</v>
      </c>
      <c r="L2580" s="13">
        <v>5.18</v>
      </c>
      <c r="M2580" s="13"/>
      <c r="N2580" s="17">
        <f t="shared" si="85"/>
        <v>36.26</v>
      </c>
      <c r="O2580" s="17">
        <f t="shared" si="85"/>
        <v>0</v>
      </c>
      <c r="P2580" s="17">
        <f t="shared" si="86"/>
        <v>36.26</v>
      </c>
      <c r="Q2580" t="str">
        <f>A2580&amp;"-"&amp;B2580&amp;"-"&amp;D2580</f>
        <v>JUNI-MJ2-L11</v>
      </c>
    </row>
    <row r="2581" spans="1:17" x14ac:dyDescent="0.25">
      <c r="A2581" t="s">
        <v>396</v>
      </c>
      <c r="B2581" s="13" t="s">
        <v>26</v>
      </c>
      <c r="C2581" s="13" t="s">
        <v>226</v>
      </c>
      <c r="D2581" s="14" t="s">
        <v>310</v>
      </c>
      <c r="E2581" s="13" t="s">
        <v>61</v>
      </c>
      <c r="F2581" s="13" t="s">
        <v>1088</v>
      </c>
      <c r="G2581" s="13">
        <v>0.78</v>
      </c>
      <c r="H2581" s="15">
        <v>1432</v>
      </c>
      <c r="I2581" s="16">
        <v>1116.96</v>
      </c>
      <c r="J2581" s="16">
        <v>980.51453201970435</v>
      </c>
      <c r="K2581" s="16">
        <v>136.44546798029563</v>
      </c>
      <c r="L2581" s="13">
        <v>2</v>
      </c>
      <c r="M2581" s="13"/>
      <c r="N2581" s="17">
        <f t="shared" si="85"/>
        <v>2864</v>
      </c>
      <c r="O2581" s="17">
        <f t="shared" si="85"/>
        <v>0</v>
      </c>
      <c r="P2581" s="17">
        <f t="shared" si="86"/>
        <v>2864</v>
      </c>
      <c r="Q2581" t="str">
        <f>A2581&amp;"-"&amp;B2581&amp;"-"&amp;D2581</f>
        <v>JUNI-MJ2-L12</v>
      </c>
    </row>
    <row r="2582" spans="1:17" x14ac:dyDescent="0.25">
      <c r="A2582" t="s">
        <v>396</v>
      </c>
      <c r="B2582" s="13" t="s">
        <v>26</v>
      </c>
      <c r="C2582" s="13" t="s">
        <v>226</v>
      </c>
      <c r="D2582" s="14" t="s">
        <v>310</v>
      </c>
      <c r="E2582" s="13" t="s">
        <v>61</v>
      </c>
      <c r="F2582" s="13" t="s">
        <v>1089</v>
      </c>
      <c r="G2582" s="13">
        <v>0.78000000000000014</v>
      </c>
      <c r="H2582" s="15">
        <v>4198</v>
      </c>
      <c r="I2582" s="16">
        <v>3274.4399999999996</v>
      </c>
      <c r="J2582" s="16">
        <v>2962.0751788515449</v>
      </c>
      <c r="K2582" s="16">
        <v>312.36482114845501</v>
      </c>
      <c r="L2582" s="13">
        <v>2</v>
      </c>
      <c r="M2582" s="13"/>
      <c r="N2582" s="17">
        <f t="shared" ref="N2582:O2645" si="87">$H2582*L2582</f>
        <v>8396</v>
      </c>
      <c r="O2582" s="17">
        <f t="shared" si="87"/>
        <v>0</v>
      </c>
      <c r="P2582" s="17">
        <f t="shared" si="86"/>
        <v>8396</v>
      </c>
      <c r="Q2582" t="str">
        <f>A2582&amp;"-"&amp;B2582&amp;"-"&amp;D2582</f>
        <v>JUNI-MJ2-L12</v>
      </c>
    </row>
    <row r="2583" spans="1:17" x14ac:dyDescent="0.25">
      <c r="A2583" t="s">
        <v>396</v>
      </c>
      <c r="B2583" s="13" t="s">
        <v>26</v>
      </c>
      <c r="C2583" s="13" t="s">
        <v>226</v>
      </c>
      <c r="D2583" s="14" t="s">
        <v>310</v>
      </c>
      <c r="E2583" s="13" t="s">
        <v>61</v>
      </c>
      <c r="F2583" s="13" t="s">
        <v>1090</v>
      </c>
      <c r="G2583" s="13">
        <v>0.79</v>
      </c>
      <c r="H2583" s="15">
        <v>2580</v>
      </c>
      <c r="I2583" s="16">
        <v>2038.2</v>
      </c>
      <c r="J2583" s="16">
        <v>1821.2586206896551</v>
      </c>
      <c r="K2583" s="16">
        <v>216.94137931034481</v>
      </c>
      <c r="L2583" s="13">
        <v>2.08</v>
      </c>
      <c r="M2583" s="13"/>
      <c r="N2583" s="17">
        <f t="shared" si="87"/>
        <v>5366.4000000000005</v>
      </c>
      <c r="O2583" s="17">
        <f t="shared" si="87"/>
        <v>0</v>
      </c>
      <c r="P2583" s="17">
        <f t="shared" si="86"/>
        <v>5366.4000000000005</v>
      </c>
      <c r="Q2583" t="str">
        <f>A2583&amp;"-"&amp;B2583&amp;"-"&amp;D2583</f>
        <v>JUNI-MJ2-L12</v>
      </c>
    </row>
    <row r="2584" spans="1:17" x14ac:dyDescent="0.25">
      <c r="A2584" t="s">
        <v>396</v>
      </c>
      <c r="B2584" s="13" t="s">
        <v>26</v>
      </c>
      <c r="C2584" s="13" t="s">
        <v>226</v>
      </c>
      <c r="D2584" s="14" t="s">
        <v>310</v>
      </c>
      <c r="E2584" s="13" t="s">
        <v>61</v>
      </c>
      <c r="F2584" s="13" t="s">
        <v>1091</v>
      </c>
      <c r="G2584" s="13">
        <v>0.79</v>
      </c>
      <c r="H2584" s="15">
        <v>3175</v>
      </c>
      <c r="I2584" s="16">
        <v>2508.25</v>
      </c>
      <c r="J2584" s="16">
        <v>2170.1428657741121</v>
      </c>
      <c r="K2584" s="16">
        <v>338.10713422588759</v>
      </c>
      <c r="L2584" s="13">
        <v>2.08</v>
      </c>
      <c r="M2584" s="13"/>
      <c r="N2584" s="17">
        <f t="shared" si="87"/>
        <v>6604</v>
      </c>
      <c r="O2584" s="17">
        <f t="shared" si="87"/>
        <v>0</v>
      </c>
      <c r="P2584" s="17">
        <f t="shared" si="86"/>
        <v>6604</v>
      </c>
      <c r="Q2584" t="str">
        <f>A2584&amp;"-"&amp;B2584&amp;"-"&amp;D2584</f>
        <v>JUNI-MJ2-L12</v>
      </c>
    </row>
    <row r="2585" spans="1:17" x14ac:dyDescent="0.25">
      <c r="A2585" t="s">
        <v>396</v>
      </c>
      <c r="B2585" s="13" t="s">
        <v>26</v>
      </c>
      <c r="C2585" s="13" t="s">
        <v>226</v>
      </c>
      <c r="D2585" s="14" t="s">
        <v>310</v>
      </c>
      <c r="E2585" s="13" t="s">
        <v>61</v>
      </c>
      <c r="F2585" s="13" t="s">
        <v>979</v>
      </c>
      <c r="G2585" s="13">
        <v>0.79</v>
      </c>
      <c r="H2585" s="15">
        <v>426</v>
      </c>
      <c r="I2585" s="16">
        <v>336.54</v>
      </c>
      <c r="J2585" s="16">
        <v>252.76760497400537</v>
      </c>
      <c r="K2585" s="16">
        <v>83.772395025994683</v>
      </c>
      <c r="L2585" s="13">
        <v>2.14</v>
      </c>
      <c r="M2585" s="13"/>
      <c r="N2585" s="17">
        <f t="shared" si="87"/>
        <v>911.6400000000001</v>
      </c>
      <c r="O2585" s="17">
        <f t="shared" si="87"/>
        <v>0</v>
      </c>
      <c r="P2585" s="17">
        <f t="shared" si="86"/>
        <v>911.6400000000001</v>
      </c>
      <c r="Q2585" t="str">
        <f>A2585&amp;"-"&amp;B2585&amp;"-"&amp;D2585</f>
        <v>JUNI-MJ2-L12</v>
      </c>
    </row>
    <row r="2586" spans="1:17" x14ac:dyDescent="0.25">
      <c r="A2586" t="s">
        <v>396</v>
      </c>
      <c r="B2586" s="13" t="s">
        <v>26</v>
      </c>
      <c r="C2586" s="13" t="s">
        <v>226</v>
      </c>
      <c r="D2586" s="14" t="s">
        <v>310</v>
      </c>
      <c r="E2586" s="13" t="s">
        <v>61</v>
      </c>
      <c r="F2586" s="13" t="s">
        <v>981</v>
      </c>
      <c r="G2586" s="13">
        <v>0.79</v>
      </c>
      <c r="H2586" s="15">
        <v>1743</v>
      </c>
      <c r="I2586" s="16">
        <v>1376.9699999999998</v>
      </c>
      <c r="J2586" s="16">
        <v>1090.9350444784436</v>
      </c>
      <c r="K2586" s="16">
        <v>286.0349555215563</v>
      </c>
      <c r="L2586" s="13">
        <v>2.13</v>
      </c>
      <c r="M2586" s="13"/>
      <c r="N2586" s="17">
        <f t="shared" si="87"/>
        <v>3712.5899999999997</v>
      </c>
      <c r="O2586" s="17">
        <f t="shared" si="87"/>
        <v>0</v>
      </c>
      <c r="P2586" s="17">
        <f t="shared" si="86"/>
        <v>3712.5899999999997</v>
      </c>
      <c r="Q2586" t="str">
        <f>A2586&amp;"-"&amp;B2586&amp;"-"&amp;D2586</f>
        <v>JUNI-MJ2-L12</v>
      </c>
    </row>
    <row r="2587" spans="1:17" x14ac:dyDescent="0.25">
      <c r="A2587" t="s">
        <v>396</v>
      </c>
      <c r="B2587" s="13" t="s">
        <v>26</v>
      </c>
      <c r="C2587" s="13" t="s">
        <v>226</v>
      </c>
      <c r="D2587" s="14" t="s">
        <v>310</v>
      </c>
      <c r="E2587" s="13" t="s">
        <v>61</v>
      </c>
      <c r="F2587" s="13" t="s">
        <v>1092</v>
      </c>
      <c r="G2587" s="13">
        <v>0.79</v>
      </c>
      <c r="H2587" s="15">
        <v>2998</v>
      </c>
      <c r="I2587" s="16">
        <v>2368.4199999999996</v>
      </c>
      <c r="J2587" s="16">
        <v>1892.1391728880742</v>
      </c>
      <c r="K2587" s="16">
        <v>476.28082711192576</v>
      </c>
      <c r="L2587" s="13">
        <v>2.13</v>
      </c>
      <c r="M2587" s="13"/>
      <c r="N2587" s="17">
        <f t="shared" si="87"/>
        <v>6385.74</v>
      </c>
      <c r="O2587" s="17">
        <f t="shared" si="87"/>
        <v>0</v>
      </c>
      <c r="P2587" s="17">
        <f t="shared" si="86"/>
        <v>6385.74</v>
      </c>
      <c r="Q2587" t="str">
        <f>A2587&amp;"-"&amp;B2587&amp;"-"&amp;D2587</f>
        <v>JUNI-MJ2-L12</v>
      </c>
    </row>
    <row r="2588" spans="1:17" x14ac:dyDescent="0.25">
      <c r="A2588" t="s">
        <v>396</v>
      </c>
      <c r="B2588" s="13" t="s">
        <v>26</v>
      </c>
      <c r="C2588" s="13" t="s">
        <v>226</v>
      </c>
      <c r="D2588" s="14" t="s">
        <v>310</v>
      </c>
      <c r="E2588" s="13" t="s">
        <v>61</v>
      </c>
      <c r="F2588" s="13" t="s">
        <v>1093</v>
      </c>
      <c r="G2588" s="13">
        <v>0.71999999999999986</v>
      </c>
      <c r="H2588" s="15">
        <v>744</v>
      </c>
      <c r="I2588" s="16">
        <v>535.68000000000006</v>
      </c>
      <c r="J2588" s="16">
        <v>478.96464109039795</v>
      </c>
      <c r="K2588" s="16">
        <v>56.71535890960201</v>
      </c>
      <c r="L2588" s="13">
        <v>2.29</v>
      </c>
      <c r="M2588" s="13"/>
      <c r="N2588" s="17">
        <f t="shared" si="87"/>
        <v>1703.76</v>
      </c>
      <c r="O2588" s="17">
        <f t="shared" si="87"/>
        <v>0</v>
      </c>
      <c r="P2588" s="17">
        <f t="shared" si="86"/>
        <v>1703.76</v>
      </c>
      <c r="Q2588" t="str">
        <f>A2588&amp;"-"&amp;B2588&amp;"-"&amp;D2588</f>
        <v>JUNI-MJ2-L12</v>
      </c>
    </row>
    <row r="2589" spans="1:17" x14ac:dyDescent="0.25">
      <c r="A2589" t="s">
        <v>396</v>
      </c>
      <c r="B2589" s="13" t="s">
        <v>26</v>
      </c>
      <c r="C2589" s="13" t="s">
        <v>226</v>
      </c>
      <c r="D2589" s="14" t="s">
        <v>310</v>
      </c>
      <c r="E2589" s="13" t="s">
        <v>61</v>
      </c>
      <c r="F2589" s="13" t="s">
        <v>982</v>
      </c>
      <c r="G2589" s="13">
        <v>0.79</v>
      </c>
      <c r="H2589" s="15">
        <v>166</v>
      </c>
      <c r="I2589" s="16">
        <v>131.13999999999999</v>
      </c>
      <c r="J2589" s="16">
        <v>100.37388878437966</v>
      </c>
      <c r="K2589" s="16">
        <v>30.766111215620327</v>
      </c>
      <c r="L2589" s="13">
        <v>2.14</v>
      </c>
      <c r="M2589" s="13"/>
      <c r="N2589" s="17">
        <f t="shared" si="87"/>
        <v>355.24</v>
      </c>
      <c r="O2589" s="17">
        <f t="shared" si="87"/>
        <v>0</v>
      </c>
      <c r="P2589" s="17">
        <f t="shared" si="86"/>
        <v>355.24</v>
      </c>
      <c r="Q2589" t="str">
        <f>A2589&amp;"-"&amp;B2589&amp;"-"&amp;D2589</f>
        <v>JUNI-MJ2-L12</v>
      </c>
    </row>
    <row r="2590" spans="1:17" x14ac:dyDescent="0.25">
      <c r="A2590" t="s">
        <v>396</v>
      </c>
      <c r="B2590" s="13" t="s">
        <v>26</v>
      </c>
      <c r="C2590" s="13" t="s">
        <v>226</v>
      </c>
      <c r="D2590" s="14" t="s">
        <v>310</v>
      </c>
      <c r="E2590" s="13" t="s">
        <v>61</v>
      </c>
      <c r="F2590" s="13" t="s">
        <v>983</v>
      </c>
      <c r="G2590" s="13">
        <v>0.72</v>
      </c>
      <c r="H2590" s="15">
        <v>9</v>
      </c>
      <c r="I2590" s="16">
        <v>6.48</v>
      </c>
      <c r="J2590" s="16">
        <v>6.2047353760445683</v>
      </c>
      <c r="K2590" s="16">
        <v>0.27526462395543216</v>
      </c>
      <c r="L2590" s="13">
        <v>2.29</v>
      </c>
      <c r="M2590" s="13"/>
      <c r="N2590" s="17">
        <f t="shared" si="87"/>
        <v>20.61</v>
      </c>
      <c r="O2590" s="17">
        <f t="shared" si="87"/>
        <v>0</v>
      </c>
      <c r="P2590" s="17">
        <f t="shared" si="86"/>
        <v>20.61</v>
      </c>
      <c r="Q2590" t="str">
        <f>A2590&amp;"-"&amp;B2590&amp;"-"&amp;D2590</f>
        <v>JUNI-MJ2-L12</v>
      </c>
    </row>
    <row r="2591" spans="1:17" x14ac:dyDescent="0.25">
      <c r="A2591" t="s">
        <v>396</v>
      </c>
      <c r="B2591" s="13" t="s">
        <v>26</v>
      </c>
      <c r="C2591" s="13" t="s">
        <v>226</v>
      </c>
      <c r="D2591" s="14" t="s">
        <v>310</v>
      </c>
      <c r="E2591" s="13" t="s">
        <v>61</v>
      </c>
      <c r="F2591" s="13" t="s">
        <v>1094</v>
      </c>
      <c r="G2591" s="13">
        <v>0.79</v>
      </c>
      <c r="H2591" s="15">
        <v>2701</v>
      </c>
      <c r="I2591" s="16">
        <v>2133.79</v>
      </c>
      <c r="J2591" s="16">
        <v>1587.2332745395361</v>
      </c>
      <c r="K2591" s="16">
        <v>546.55672546046401</v>
      </c>
      <c r="L2591" s="13">
        <v>2.13</v>
      </c>
      <c r="M2591" s="13"/>
      <c r="N2591" s="17">
        <f t="shared" si="87"/>
        <v>5753.13</v>
      </c>
      <c r="O2591" s="17">
        <f t="shared" si="87"/>
        <v>0</v>
      </c>
      <c r="P2591" s="17">
        <f t="shared" si="86"/>
        <v>5753.13</v>
      </c>
      <c r="Q2591" t="str">
        <f>A2591&amp;"-"&amp;B2591&amp;"-"&amp;D2591</f>
        <v>JUNI-MJ2-L12</v>
      </c>
    </row>
    <row r="2592" spans="1:17" x14ac:dyDescent="0.25">
      <c r="A2592" t="s">
        <v>396</v>
      </c>
      <c r="B2592" s="13" t="s">
        <v>26</v>
      </c>
      <c r="C2592" s="13" t="s">
        <v>226</v>
      </c>
      <c r="D2592" s="14" t="s">
        <v>310</v>
      </c>
      <c r="E2592" s="13" t="s">
        <v>61</v>
      </c>
      <c r="F2592" s="13" t="s">
        <v>984</v>
      </c>
      <c r="G2592" s="13">
        <v>0.79</v>
      </c>
      <c r="H2592" s="15">
        <v>83</v>
      </c>
      <c r="I2592" s="16">
        <v>65.570000000000007</v>
      </c>
      <c r="J2592" s="16">
        <v>50.638085256880629</v>
      </c>
      <c r="K2592" s="16">
        <v>14.931914743119371</v>
      </c>
      <c r="L2592" s="13">
        <v>2.14</v>
      </c>
      <c r="M2592" s="13"/>
      <c r="N2592" s="17">
        <f t="shared" si="87"/>
        <v>177.62</v>
      </c>
      <c r="O2592" s="17">
        <f t="shared" si="87"/>
        <v>0</v>
      </c>
      <c r="P2592" s="17">
        <f t="shared" si="86"/>
        <v>177.62</v>
      </c>
      <c r="Q2592" t="str">
        <f>A2592&amp;"-"&amp;B2592&amp;"-"&amp;D2592</f>
        <v>JUNI-MJ2-L12</v>
      </c>
    </row>
    <row r="2593" spans="1:17" x14ac:dyDescent="0.25">
      <c r="A2593" t="s">
        <v>396</v>
      </c>
      <c r="B2593" s="13" t="s">
        <v>26</v>
      </c>
      <c r="C2593" s="13" t="s">
        <v>226</v>
      </c>
      <c r="D2593" s="14" t="s">
        <v>310</v>
      </c>
      <c r="E2593" s="13" t="s">
        <v>61</v>
      </c>
      <c r="F2593" s="13" t="s">
        <v>1095</v>
      </c>
      <c r="G2593" s="13">
        <v>0.7599999999999999</v>
      </c>
      <c r="H2593" s="15">
        <v>2611</v>
      </c>
      <c r="I2593" s="16">
        <v>1984.36</v>
      </c>
      <c r="J2593" s="16">
        <v>1794.3401921730049</v>
      </c>
      <c r="K2593" s="16">
        <v>190.01980782699508</v>
      </c>
      <c r="L2593" s="13">
        <v>2</v>
      </c>
      <c r="M2593" s="13"/>
      <c r="N2593" s="17">
        <f t="shared" si="87"/>
        <v>5222</v>
      </c>
      <c r="O2593" s="17">
        <f t="shared" si="87"/>
        <v>0</v>
      </c>
      <c r="P2593" s="17">
        <f t="shared" si="86"/>
        <v>5222</v>
      </c>
      <c r="Q2593" t="str">
        <f>A2593&amp;"-"&amp;B2593&amp;"-"&amp;D2593</f>
        <v>JUNI-MJ2-L12</v>
      </c>
    </row>
    <row r="2594" spans="1:17" x14ac:dyDescent="0.25">
      <c r="A2594" t="s">
        <v>396</v>
      </c>
      <c r="B2594" s="13" t="s">
        <v>26</v>
      </c>
      <c r="C2594" s="13" t="s">
        <v>226</v>
      </c>
      <c r="D2594" s="14" t="s">
        <v>310</v>
      </c>
      <c r="E2594" s="13" t="s">
        <v>61</v>
      </c>
      <c r="F2594" s="13" t="s">
        <v>986</v>
      </c>
      <c r="G2594" s="13">
        <v>0.79</v>
      </c>
      <c r="H2594" s="15">
        <v>1022</v>
      </c>
      <c r="I2594" s="16">
        <v>807.38</v>
      </c>
      <c r="J2594" s="16">
        <v>617.63311688916622</v>
      </c>
      <c r="K2594" s="16">
        <v>189.74688311083375</v>
      </c>
      <c r="L2594" s="13">
        <v>2.14</v>
      </c>
      <c r="M2594" s="13"/>
      <c r="N2594" s="17">
        <f t="shared" si="87"/>
        <v>2187.08</v>
      </c>
      <c r="O2594" s="17">
        <f t="shared" si="87"/>
        <v>0</v>
      </c>
      <c r="P2594" s="17">
        <f t="shared" si="86"/>
        <v>2187.08</v>
      </c>
      <c r="Q2594" t="str">
        <f>A2594&amp;"-"&amp;B2594&amp;"-"&amp;D2594</f>
        <v>JUNI-MJ2-L12</v>
      </c>
    </row>
    <row r="2595" spans="1:17" x14ac:dyDescent="0.25">
      <c r="A2595" t="s">
        <v>396</v>
      </c>
      <c r="B2595" s="13" t="s">
        <v>26</v>
      </c>
      <c r="C2595" s="13" t="s">
        <v>226</v>
      </c>
      <c r="D2595" s="14" t="s">
        <v>310</v>
      </c>
      <c r="E2595" s="13" t="s">
        <v>61</v>
      </c>
      <c r="F2595" s="13" t="s">
        <v>1096</v>
      </c>
      <c r="G2595" s="13">
        <v>0.7599999999999999</v>
      </c>
      <c r="H2595" s="15">
        <v>3001</v>
      </c>
      <c r="I2595" s="16">
        <v>2280.7600000000002</v>
      </c>
      <c r="J2595" s="16">
        <v>1941.1482131272915</v>
      </c>
      <c r="K2595" s="16">
        <v>339.61178687270854</v>
      </c>
      <c r="L2595" s="13">
        <v>2</v>
      </c>
      <c r="M2595" s="13"/>
      <c r="N2595" s="17">
        <f t="shared" si="87"/>
        <v>6002</v>
      </c>
      <c r="O2595" s="17">
        <f t="shared" si="87"/>
        <v>0</v>
      </c>
      <c r="P2595" s="17">
        <f t="shared" si="86"/>
        <v>6002</v>
      </c>
      <c r="Q2595" t="str">
        <f>A2595&amp;"-"&amp;B2595&amp;"-"&amp;D2595</f>
        <v>JUNI-MJ2-L12</v>
      </c>
    </row>
    <row r="2596" spans="1:17" x14ac:dyDescent="0.25">
      <c r="A2596" t="s">
        <v>396</v>
      </c>
      <c r="B2596" s="13" t="s">
        <v>26</v>
      </c>
      <c r="C2596" s="13" t="s">
        <v>226</v>
      </c>
      <c r="D2596" s="14" t="s">
        <v>310</v>
      </c>
      <c r="E2596" s="13" t="s">
        <v>61</v>
      </c>
      <c r="F2596" s="13" t="s">
        <v>1097</v>
      </c>
      <c r="G2596" s="13">
        <v>0.72999999999999987</v>
      </c>
      <c r="H2596" s="15">
        <v>745</v>
      </c>
      <c r="I2596" s="16">
        <v>543.85</v>
      </c>
      <c r="J2596" s="16">
        <v>488.15171620575489</v>
      </c>
      <c r="K2596" s="16">
        <v>55.698283794245043</v>
      </c>
      <c r="L2596" s="13">
        <v>2.14</v>
      </c>
      <c r="M2596" s="13"/>
      <c r="N2596" s="17">
        <f t="shared" si="87"/>
        <v>1594.3000000000002</v>
      </c>
      <c r="O2596" s="17">
        <f t="shared" si="87"/>
        <v>0</v>
      </c>
      <c r="P2596" s="17">
        <f t="shared" si="86"/>
        <v>1594.3000000000002</v>
      </c>
      <c r="Q2596" t="str">
        <f>A2596&amp;"-"&amp;B2596&amp;"-"&amp;D2596</f>
        <v>JUNI-MJ2-L12</v>
      </c>
    </row>
    <row r="2597" spans="1:17" x14ac:dyDescent="0.25">
      <c r="A2597" t="s">
        <v>396</v>
      </c>
      <c r="B2597" s="13" t="s">
        <v>26</v>
      </c>
      <c r="C2597" s="13" t="s">
        <v>226</v>
      </c>
      <c r="D2597" s="14" t="s">
        <v>310</v>
      </c>
      <c r="E2597" s="13" t="s">
        <v>61</v>
      </c>
      <c r="F2597" s="13" t="s">
        <v>1098</v>
      </c>
      <c r="G2597" s="13">
        <v>0.7599999999999999</v>
      </c>
      <c r="H2597" s="15">
        <v>2528</v>
      </c>
      <c r="I2597" s="16">
        <v>1921.28</v>
      </c>
      <c r="J2597" s="16">
        <v>1565.4791168820034</v>
      </c>
      <c r="K2597" s="16">
        <v>355.8008831179967</v>
      </c>
      <c r="L2597" s="13">
        <v>2</v>
      </c>
      <c r="M2597" s="13"/>
      <c r="N2597" s="17">
        <f t="shared" si="87"/>
        <v>5056</v>
      </c>
      <c r="O2597" s="17">
        <f t="shared" si="87"/>
        <v>0</v>
      </c>
      <c r="P2597" s="17">
        <f t="shared" si="86"/>
        <v>5056</v>
      </c>
      <c r="Q2597" t="str">
        <f>A2597&amp;"-"&amp;B2597&amp;"-"&amp;D2597</f>
        <v>JUNI-MJ2-L12</v>
      </c>
    </row>
    <row r="2598" spans="1:17" x14ac:dyDescent="0.25">
      <c r="A2598" t="s">
        <v>396</v>
      </c>
      <c r="B2598" s="13" t="s">
        <v>26</v>
      </c>
      <c r="C2598" s="13" t="s">
        <v>226</v>
      </c>
      <c r="D2598" s="14" t="s">
        <v>320</v>
      </c>
      <c r="E2598" s="13" t="s">
        <v>61</v>
      </c>
      <c r="F2598" s="13" t="s">
        <v>1088</v>
      </c>
      <c r="G2598" s="13">
        <v>0.78</v>
      </c>
      <c r="H2598" s="15">
        <v>1433</v>
      </c>
      <c r="I2598" s="16">
        <v>1117.74</v>
      </c>
      <c r="J2598" s="16">
        <v>981.19729064039404</v>
      </c>
      <c r="K2598" s="16">
        <v>136.54270935960591</v>
      </c>
      <c r="L2598" s="13">
        <v>2</v>
      </c>
      <c r="M2598" s="13"/>
      <c r="N2598" s="17">
        <f t="shared" si="87"/>
        <v>2866</v>
      </c>
      <c r="O2598" s="17">
        <f t="shared" si="87"/>
        <v>0</v>
      </c>
      <c r="P2598" s="17">
        <f t="shared" si="86"/>
        <v>2866</v>
      </c>
      <c r="Q2598" t="str">
        <f>A2598&amp;"-"&amp;B2598&amp;"-"&amp;D2598</f>
        <v>JUNI-MJ2-L13</v>
      </c>
    </row>
    <row r="2599" spans="1:17" x14ac:dyDescent="0.25">
      <c r="A2599" t="s">
        <v>396</v>
      </c>
      <c r="B2599" s="13" t="s">
        <v>26</v>
      </c>
      <c r="C2599" s="13" t="s">
        <v>226</v>
      </c>
      <c r="D2599" s="14" t="s">
        <v>320</v>
      </c>
      <c r="E2599" s="13" t="s">
        <v>61</v>
      </c>
      <c r="F2599" s="13" t="s">
        <v>1089</v>
      </c>
      <c r="G2599" s="13">
        <v>0.78000000000000014</v>
      </c>
      <c r="H2599" s="15">
        <v>4197</v>
      </c>
      <c r="I2599" s="16">
        <v>3273.66</v>
      </c>
      <c r="J2599" s="16">
        <v>2961.7837696271667</v>
      </c>
      <c r="K2599" s="16">
        <v>311.87623037283328</v>
      </c>
      <c r="L2599" s="13">
        <v>2</v>
      </c>
      <c r="M2599" s="13"/>
      <c r="N2599" s="17">
        <f t="shared" si="87"/>
        <v>8394</v>
      </c>
      <c r="O2599" s="17">
        <f t="shared" si="87"/>
        <v>0</v>
      </c>
      <c r="P2599" s="17">
        <f t="shared" si="86"/>
        <v>8394</v>
      </c>
      <c r="Q2599" t="str">
        <f>A2599&amp;"-"&amp;B2599&amp;"-"&amp;D2599</f>
        <v>JUNI-MJ2-L13</v>
      </c>
    </row>
    <row r="2600" spans="1:17" x14ac:dyDescent="0.25">
      <c r="A2600" t="s">
        <v>396</v>
      </c>
      <c r="B2600" s="13" t="s">
        <v>26</v>
      </c>
      <c r="C2600" s="13" t="s">
        <v>226</v>
      </c>
      <c r="D2600" s="14" t="s">
        <v>320</v>
      </c>
      <c r="E2600" s="13" t="s">
        <v>61</v>
      </c>
      <c r="F2600" s="13" t="s">
        <v>1090</v>
      </c>
      <c r="G2600" s="13">
        <v>0.79</v>
      </c>
      <c r="H2600" s="15">
        <v>2580</v>
      </c>
      <c r="I2600" s="16">
        <v>2038.2</v>
      </c>
      <c r="J2600" s="16">
        <v>1821.2586206896551</v>
      </c>
      <c r="K2600" s="16">
        <v>216.94137931034481</v>
      </c>
      <c r="L2600" s="13">
        <v>2.08</v>
      </c>
      <c r="M2600" s="13"/>
      <c r="N2600" s="17">
        <f t="shared" si="87"/>
        <v>5366.4000000000005</v>
      </c>
      <c r="O2600" s="17">
        <f t="shared" si="87"/>
        <v>0</v>
      </c>
      <c r="P2600" s="17">
        <f t="shared" si="86"/>
        <v>5366.4000000000005</v>
      </c>
      <c r="Q2600" t="str">
        <f>A2600&amp;"-"&amp;B2600&amp;"-"&amp;D2600</f>
        <v>JUNI-MJ2-L13</v>
      </c>
    </row>
    <row r="2601" spans="1:17" x14ac:dyDescent="0.25">
      <c r="A2601" t="s">
        <v>396</v>
      </c>
      <c r="B2601" s="13" t="s">
        <v>26</v>
      </c>
      <c r="C2601" s="13" t="s">
        <v>226</v>
      </c>
      <c r="D2601" s="14" t="s">
        <v>320</v>
      </c>
      <c r="E2601" s="13" t="s">
        <v>61</v>
      </c>
      <c r="F2601" s="13" t="s">
        <v>1091</v>
      </c>
      <c r="G2601" s="13">
        <v>0.79</v>
      </c>
      <c r="H2601" s="15">
        <v>3175</v>
      </c>
      <c r="I2601" s="16">
        <v>2508.25</v>
      </c>
      <c r="J2601" s="16">
        <v>2169.5500171873487</v>
      </c>
      <c r="K2601" s="16">
        <v>338.69998281265146</v>
      </c>
      <c r="L2601" s="13">
        <v>2.08</v>
      </c>
      <c r="M2601" s="13"/>
      <c r="N2601" s="17">
        <f t="shared" si="87"/>
        <v>6604</v>
      </c>
      <c r="O2601" s="17">
        <f t="shared" si="87"/>
        <v>0</v>
      </c>
      <c r="P2601" s="17">
        <f t="shared" si="86"/>
        <v>6604</v>
      </c>
      <c r="Q2601" t="str">
        <f>A2601&amp;"-"&amp;B2601&amp;"-"&amp;D2601</f>
        <v>JUNI-MJ2-L13</v>
      </c>
    </row>
    <row r="2602" spans="1:17" x14ac:dyDescent="0.25">
      <c r="A2602" t="s">
        <v>396</v>
      </c>
      <c r="B2602" s="13" t="s">
        <v>26</v>
      </c>
      <c r="C2602" s="13" t="s">
        <v>226</v>
      </c>
      <c r="D2602" s="14" t="s">
        <v>320</v>
      </c>
      <c r="E2602" s="13" t="s">
        <v>61</v>
      </c>
      <c r="F2602" s="13" t="s">
        <v>979</v>
      </c>
      <c r="G2602" s="13">
        <v>0.79</v>
      </c>
      <c r="H2602" s="15">
        <v>427</v>
      </c>
      <c r="I2602" s="16">
        <v>337.33000000000004</v>
      </c>
      <c r="J2602" s="16">
        <v>253.38527564093431</v>
      </c>
      <c r="K2602" s="16">
        <v>83.944724359065702</v>
      </c>
      <c r="L2602" s="13">
        <v>2.14</v>
      </c>
      <c r="M2602" s="13"/>
      <c r="N2602" s="17">
        <f t="shared" si="87"/>
        <v>913.78000000000009</v>
      </c>
      <c r="O2602" s="17">
        <f t="shared" si="87"/>
        <v>0</v>
      </c>
      <c r="P2602" s="17">
        <f t="shared" si="86"/>
        <v>913.78000000000009</v>
      </c>
      <c r="Q2602" t="str">
        <f>A2602&amp;"-"&amp;B2602&amp;"-"&amp;D2602</f>
        <v>JUNI-MJ2-L13</v>
      </c>
    </row>
    <row r="2603" spans="1:17" x14ac:dyDescent="0.25">
      <c r="A2603" t="s">
        <v>396</v>
      </c>
      <c r="B2603" s="13" t="s">
        <v>26</v>
      </c>
      <c r="C2603" s="13" t="s">
        <v>226</v>
      </c>
      <c r="D2603" s="14" t="s">
        <v>320</v>
      </c>
      <c r="E2603" s="13" t="s">
        <v>61</v>
      </c>
      <c r="F2603" s="13" t="s">
        <v>981</v>
      </c>
      <c r="G2603" s="13">
        <v>0.79</v>
      </c>
      <c r="H2603" s="15">
        <v>1743</v>
      </c>
      <c r="I2603" s="16">
        <v>1376.9699999999998</v>
      </c>
      <c r="J2603" s="16">
        <v>1091.0600657075174</v>
      </c>
      <c r="K2603" s="16">
        <v>285.9099342924826</v>
      </c>
      <c r="L2603" s="13">
        <v>2.13</v>
      </c>
      <c r="M2603" s="13"/>
      <c r="N2603" s="17">
        <f t="shared" si="87"/>
        <v>3712.5899999999997</v>
      </c>
      <c r="O2603" s="17">
        <f t="shared" si="87"/>
        <v>0</v>
      </c>
      <c r="P2603" s="17">
        <f t="shared" si="86"/>
        <v>3712.5899999999997</v>
      </c>
      <c r="Q2603" t="str">
        <f>A2603&amp;"-"&amp;B2603&amp;"-"&amp;D2603</f>
        <v>JUNI-MJ2-L13</v>
      </c>
    </row>
    <row r="2604" spans="1:17" x14ac:dyDescent="0.25">
      <c r="A2604" t="s">
        <v>396</v>
      </c>
      <c r="B2604" s="13" t="s">
        <v>26</v>
      </c>
      <c r="C2604" s="13" t="s">
        <v>226</v>
      </c>
      <c r="D2604" s="14" t="s">
        <v>320</v>
      </c>
      <c r="E2604" s="13" t="s">
        <v>61</v>
      </c>
      <c r="F2604" s="13" t="s">
        <v>1092</v>
      </c>
      <c r="G2604" s="13">
        <v>0.79</v>
      </c>
      <c r="H2604" s="15">
        <v>3002</v>
      </c>
      <c r="I2604" s="16">
        <v>2371.579999999999</v>
      </c>
      <c r="J2604" s="16">
        <v>1894.8058099885664</v>
      </c>
      <c r="K2604" s="16">
        <v>476.77419001143375</v>
      </c>
      <c r="L2604" s="13">
        <v>2.13</v>
      </c>
      <c r="M2604" s="13"/>
      <c r="N2604" s="17">
        <f t="shared" si="87"/>
        <v>6394.2599999999993</v>
      </c>
      <c r="O2604" s="17">
        <f t="shared" si="87"/>
        <v>0</v>
      </c>
      <c r="P2604" s="17">
        <f t="shared" si="86"/>
        <v>6394.2599999999993</v>
      </c>
      <c r="Q2604" t="str">
        <f>A2604&amp;"-"&amp;B2604&amp;"-"&amp;D2604</f>
        <v>JUNI-MJ2-L13</v>
      </c>
    </row>
    <row r="2605" spans="1:17" x14ac:dyDescent="0.25">
      <c r="A2605" t="s">
        <v>396</v>
      </c>
      <c r="B2605" s="13" t="s">
        <v>26</v>
      </c>
      <c r="C2605" s="13" t="s">
        <v>226</v>
      </c>
      <c r="D2605" s="14" t="s">
        <v>320</v>
      </c>
      <c r="E2605" s="13" t="s">
        <v>61</v>
      </c>
      <c r="F2605" s="13" t="s">
        <v>1093</v>
      </c>
      <c r="G2605" s="13">
        <v>0.71999999999999986</v>
      </c>
      <c r="H2605" s="15">
        <v>744</v>
      </c>
      <c r="I2605" s="16">
        <v>535.67999999999995</v>
      </c>
      <c r="J2605" s="16">
        <v>478.86345438015178</v>
      </c>
      <c r="K2605" s="16">
        <v>56.816545619848235</v>
      </c>
      <c r="L2605" s="13">
        <v>2.29</v>
      </c>
      <c r="M2605" s="13"/>
      <c r="N2605" s="17">
        <f t="shared" si="87"/>
        <v>1703.76</v>
      </c>
      <c r="O2605" s="17">
        <f t="shared" si="87"/>
        <v>0</v>
      </c>
      <c r="P2605" s="17">
        <f t="shared" si="86"/>
        <v>1703.76</v>
      </c>
      <c r="Q2605" t="str">
        <f>A2605&amp;"-"&amp;B2605&amp;"-"&amp;D2605</f>
        <v>JUNI-MJ2-L13</v>
      </c>
    </row>
    <row r="2606" spans="1:17" x14ac:dyDescent="0.25">
      <c r="A2606" t="s">
        <v>396</v>
      </c>
      <c r="B2606" s="13" t="s">
        <v>26</v>
      </c>
      <c r="C2606" s="13" t="s">
        <v>226</v>
      </c>
      <c r="D2606" s="14" t="s">
        <v>320</v>
      </c>
      <c r="E2606" s="13" t="s">
        <v>61</v>
      </c>
      <c r="F2606" s="13" t="s">
        <v>982</v>
      </c>
      <c r="G2606" s="13">
        <v>0.79</v>
      </c>
      <c r="H2606" s="15">
        <v>166</v>
      </c>
      <c r="I2606" s="16">
        <v>131.14000000000001</v>
      </c>
      <c r="J2606" s="16">
        <v>100.33365407046578</v>
      </c>
      <c r="K2606" s="16">
        <v>30.806345929534206</v>
      </c>
      <c r="L2606" s="13">
        <v>2.14</v>
      </c>
      <c r="M2606" s="13"/>
      <c r="N2606" s="17">
        <f t="shared" si="87"/>
        <v>355.24</v>
      </c>
      <c r="O2606" s="17">
        <f t="shared" si="87"/>
        <v>0</v>
      </c>
      <c r="P2606" s="17">
        <f t="shared" si="86"/>
        <v>355.24</v>
      </c>
      <c r="Q2606" t="str">
        <f>A2606&amp;"-"&amp;B2606&amp;"-"&amp;D2606</f>
        <v>JUNI-MJ2-L13</v>
      </c>
    </row>
    <row r="2607" spans="1:17" x14ac:dyDescent="0.25">
      <c r="A2607" t="s">
        <v>396</v>
      </c>
      <c r="B2607" s="13" t="s">
        <v>26</v>
      </c>
      <c r="C2607" s="13" t="s">
        <v>226</v>
      </c>
      <c r="D2607" s="14" t="s">
        <v>320</v>
      </c>
      <c r="E2607" s="13" t="s">
        <v>61</v>
      </c>
      <c r="F2607" s="13" t="s">
        <v>983</v>
      </c>
      <c r="G2607" s="13">
        <v>0.72</v>
      </c>
      <c r="H2607" s="15">
        <v>9</v>
      </c>
      <c r="I2607" s="16">
        <v>6.48</v>
      </c>
      <c r="J2607" s="16">
        <v>6.2047353760445683</v>
      </c>
      <c r="K2607" s="16">
        <v>0.27526462395543216</v>
      </c>
      <c r="L2607" s="13">
        <v>2.29</v>
      </c>
      <c r="M2607" s="13"/>
      <c r="N2607" s="17">
        <f t="shared" si="87"/>
        <v>20.61</v>
      </c>
      <c r="O2607" s="17">
        <f t="shared" si="87"/>
        <v>0</v>
      </c>
      <c r="P2607" s="17">
        <f t="shared" si="86"/>
        <v>20.61</v>
      </c>
      <c r="Q2607" t="str">
        <f>A2607&amp;"-"&amp;B2607&amp;"-"&amp;D2607</f>
        <v>JUNI-MJ2-L13</v>
      </c>
    </row>
    <row r="2608" spans="1:17" x14ac:dyDescent="0.25">
      <c r="A2608" t="s">
        <v>396</v>
      </c>
      <c r="B2608" s="13" t="s">
        <v>26</v>
      </c>
      <c r="C2608" s="13" t="s">
        <v>226</v>
      </c>
      <c r="D2608" s="14" t="s">
        <v>320</v>
      </c>
      <c r="E2608" s="13" t="s">
        <v>61</v>
      </c>
      <c r="F2608" s="13" t="s">
        <v>1094</v>
      </c>
      <c r="G2608" s="13">
        <v>0.79</v>
      </c>
      <c r="H2608" s="15">
        <v>2699</v>
      </c>
      <c r="I2608" s="16">
        <v>2132.21</v>
      </c>
      <c r="J2608" s="16">
        <v>1585.9792312557045</v>
      </c>
      <c r="K2608" s="16">
        <v>546.2307687442958</v>
      </c>
      <c r="L2608" s="13">
        <v>2.13</v>
      </c>
      <c r="M2608" s="13"/>
      <c r="N2608" s="17">
        <f t="shared" si="87"/>
        <v>5748.87</v>
      </c>
      <c r="O2608" s="17">
        <f t="shared" si="87"/>
        <v>0</v>
      </c>
      <c r="P2608" s="17">
        <f t="shared" si="86"/>
        <v>5748.87</v>
      </c>
      <c r="Q2608" t="str">
        <f>A2608&amp;"-"&amp;B2608&amp;"-"&amp;D2608</f>
        <v>JUNI-MJ2-L13</v>
      </c>
    </row>
    <row r="2609" spans="1:17" x14ac:dyDescent="0.25">
      <c r="A2609" t="s">
        <v>396</v>
      </c>
      <c r="B2609" s="13" t="s">
        <v>26</v>
      </c>
      <c r="C2609" s="13" t="s">
        <v>226</v>
      </c>
      <c r="D2609" s="14" t="s">
        <v>320</v>
      </c>
      <c r="E2609" s="13" t="s">
        <v>61</v>
      </c>
      <c r="F2609" s="13" t="s">
        <v>984</v>
      </c>
      <c r="G2609" s="13">
        <v>0.79</v>
      </c>
      <c r="H2609" s="15">
        <v>85</v>
      </c>
      <c r="I2609" s="16">
        <v>67.150000000000006</v>
      </c>
      <c r="J2609" s="16">
        <v>51.830748300358891</v>
      </c>
      <c r="K2609" s="16">
        <v>15.319251699641109</v>
      </c>
      <c r="L2609" s="13">
        <v>2.14</v>
      </c>
      <c r="M2609" s="13"/>
      <c r="N2609" s="17">
        <f t="shared" si="87"/>
        <v>181.9</v>
      </c>
      <c r="O2609" s="17">
        <f t="shared" si="87"/>
        <v>0</v>
      </c>
      <c r="P2609" s="17">
        <f t="shared" si="86"/>
        <v>181.9</v>
      </c>
      <c r="Q2609" t="str">
        <f>A2609&amp;"-"&amp;B2609&amp;"-"&amp;D2609</f>
        <v>JUNI-MJ2-L13</v>
      </c>
    </row>
    <row r="2610" spans="1:17" x14ac:dyDescent="0.25">
      <c r="A2610" t="s">
        <v>396</v>
      </c>
      <c r="B2610" s="13" t="s">
        <v>26</v>
      </c>
      <c r="C2610" s="13" t="s">
        <v>226</v>
      </c>
      <c r="D2610" s="14" t="s">
        <v>320</v>
      </c>
      <c r="E2610" s="13" t="s">
        <v>61</v>
      </c>
      <c r="F2610" s="13" t="s">
        <v>1095</v>
      </c>
      <c r="G2610" s="13">
        <v>0.7599999999999999</v>
      </c>
      <c r="H2610" s="15">
        <v>2609</v>
      </c>
      <c r="I2610" s="16">
        <v>1982.84</v>
      </c>
      <c r="J2610" s="16">
        <v>1793.3809854597089</v>
      </c>
      <c r="K2610" s="16">
        <v>189.45901454029135</v>
      </c>
      <c r="L2610" s="13">
        <v>2</v>
      </c>
      <c r="M2610" s="13"/>
      <c r="N2610" s="17">
        <f t="shared" si="87"/>
        <v>5218</v>
      </c>
      <c r="O2610" s="17">
        <f t="shared" si="87"/>
        <v>0</v>
      </c>
      <c r="P2610" s="17">
        <f t="shared" si="86"/>
        <v>5218</v>
      </c>
      <c r="Q2610" t="str">
        <f>A2610&amp;"-"&amp;B2610&amp;"-"&amp;D2610</f>
        <v>JUNI-MJ2-L13</v>
      </c>
    </row>
    <row r="2611" spans="1:17" x14ac:dyDescent="0.25">
      <c r="A2611" t="s">
        <v>396</v>
      </c>
      <c r="B2611" s="13" t="s">
        <v>26</v>
      </c>
      <c r="C2611" s="13" t="s">
        <v>226</v>
      </c>
      <c r="D2611" s="14" t="s">
        <v>320</v>
      </c>
      <c r="E2611" s="13" t="s">
        <v>61</v>
      </c>
      <c r="F2611" s="13" t="s">
        <v>986</v>
      </c>
      <c r="G2611" s="13">
        <v>0.79</v>
      </c>
      <c r="H2611" s="15">
        <v>1023</v>
      </c>
      <c r="I2611" s="16">
        <v>808.17</v>
      </c>
      <c r="J2611" s="16">
        <v>618.20702993264445</v>
      </c>
      <c r="K2611" s="16">
        <v>189.96297006735551</v>
      </c>
      <c r="L2611" s="13">
        <v>2.14</v>
      </c>
      <c r="M2611" s="13"/>
      <c r="N2611" s="17">
        <f t="shared" si="87"/>
        <v>2189.2200000000003</v>
      </c>
      <c r="O2611" s="17">
        <f t="shared" si="87"/>
        <v>0</v>
      </c>
      <c r="P2611" s="17">
        <f t="shared" si="86"/>
        <v>2189.2200000000003</v>
      </c>
      <c r="Q2611" t="str">
        <f>A2611&amp;"-"&amp;B2611&amp;"-"&amp;D2611</f>
        <v>JUNI-MJ2-L13</v>
      </c>
    </row>
    <row r="2612" spans="1:17" x14ac:dyDescent="0.25">
      <c r="A2612" t="s">
        <v>396</v>
      </c>
      <c r="B2612" s="13" t="s">
        <v>26</v>
      </c>
      <c r="C2612" s="13" t="s">
        <v>226</v>
      </c>
      <c r="D2612" s="14" t="s">
        <v>320</v>
      </c>
      <c r="E2612" s="13" t="s">
        <v>61</v>
      </c>
      <c r="F2612" s="13" t="s">
        <v>1096</v>
      </c>
      <c r="G2612" s="13">
        <v>0.7599999999999999</v>
      </c>
      <c r="H2612" s="15">
        <v>2999</v>
      </c>
      <c r="I2612" s="16">
        <v>2279.2400000000002</v>
      </c>
      <c r="J2612" s="16">
        <v>1939.8244162884221</v>
      </c>
      <c r="K2612" s="16">
        <v>339.41558371157777</v>
      </c>
      <c r="L2612" s="13">
        <v>2</v>
      </c>
      <c r="M2612" s="13"/>
      <c r="N2612" s="17">
        <f t="shared" si="87"/>
        <v>5998</v>
      </c>
      <c r="O2612" s="17">
        <f t="shared" si="87"/>
        <v>0</v>
      </c>
      <c r="P2612" s="17">
        <f t="shared" si="86"/>
        <v>5998</v>
      </c>
      <c r="Q2612" t="str">
        <f>A2612&amp;"-"&amp;B2612&amp;"-"&amp;D2612</f>
        <v>JUNI-MJ2-L13</v>
      </c>
    </row>
    <row r="2613" spans="1:17" x14ac:dyDescent="0.25">
      <c r="A2613" t="s">
        <v>396</v>
      </c>
      <c r="B2613" s="13" t="s">
        <v>26</v>
      </c>
      <c r="C2613" s="13" t="s">
        <v>226</v>
      </c>
      <c r="D2613" s="14" t="s">
        <v>320</v>
      </c>
      <c r="E2613" s="13" t="s">
        <v>61</v>
      </c>
      <c r="F2613" s="13" t="s">
        <v>1097</v>
      </c>
      <c r="G2613" s="13">
        <v>0.72999999999999987</v>
      </c>
      <c r="H2613" s="15">
        <v>743</v>
      </c>
      <c r="I2613" s="16">
        <v>542.39</v>
      </c>
      <c r="J2613" s="16">
        <v>486.88785637840687</v>
      </c>
      <c r="K2613" s="16">
        <v>55.502143621593078</v>
      </c>
      <c r="L2613" s="13">
        <v>2.14</v>
      </c>
      <c r="M2613" s="13"/>
      <c r="N2613" s="17">
        <f t="shared" si="87"/>
        <v>1590.02</v>
      </c>
      <c r="O2613" s="17">
        <f t="shared" si="87"/>
        <v>0</v>
      </c>
      <c r="P2613" s="17">
        <f t="shared" si="86"/>
        <v>1590.02</v>
      </c>
      <c r="Q2613" t="str">
        <f>A2613&amp;"-"&amp;B2613&amp;"-"&amp;D2613</f>
        <v>JUNI-MJ2-L13</v>
      </c>
    </row>
    <row r="2614" spans="1:17" x14ac:dyDescent="0.25">
      <c r="A2614" t="s">
        <v>396</v>
      </c>
      <c r="B2614" s="13" t="s">
        <v>26</v>
      </c>
      <c r="C2614" s="13" t="s">
        <v>226</v>
      </c>
      <c r="D2614" s="14" t="s">
        <v>320</v>
      </c>
      <c r="E2614" s="13" t="s">
        <v>61</v>
      </c>
      <c r="F2614" s="13" t="s">
        <v>1098</v>
      </c>
      <c r="G2614" s="13">
        <v>0.7599999999999999</v>
      </c>
      <c r="H2614" s="15">
        <v>2528</v>
      </c>
      <c r="I2614" s="16">
        <v>1921.2799999999997</v>
      </c>
      <c r="J2614" s="16">
        <v>1565.4470390765105</v>
      </c>
      <c r="K2614" s="16">
        <v>355.83296092348979</v>
      </c>
      <c r="L2614" s="13">
        <v>2</v>
      </c>
      <c r="M2614" s="13"/>
      <c r="N2614" s="17">
        <f t="shared" si="87"/>
        <v>5056</v>
      </c>
      <c r="O2614" s="17">
        <f t="shared" si="87"/>
        <v>0</v>
      </c>
      <c r="P2614" s="17">
        <f t="shared" si="86"/>
        <v>5056</v>
      </c>
      <c r="Q2614" t="str">
        <f>A2614&amp;"-"&amp;B2614&amp;"-"&amp;D2614</f>
        <v>JUNI-MJ2-L13</v>
      </c>
    </row>
    <row r="2615" spans="1:17" x14ac:dyDescent="0.25">
      <c r="A2615" t="s">
        <v>396</v>
      </c>
      <c r="B2615" s="13" t="s">
        <v>26</v>
      </c>
      <c r="C2615" s="13" t="s">
        <v>226</v>
      </c>
      <c r="D2615" s="14" t="s">
        <v>50</v>
      </c>
      <c r="E2615" s="13" t="s">
        <v>61</v>
      </c>
      <c r="F2615" s="13" t="s">
        <v>1099</v>
      </c>
      <c r="G2615" s="13">
        <v>0.65</v>
      </c>
      <c r="H2615" s="15">
        <v>1875</v>
      </c>
      <c r="I2615" s="16">
        <v>1218.75</v>
      </c>
      <c r="J2615" s="16">
        <v>1336.2962962962963</v>
      </c>
      <c r="K2615" s="16">
        <v>-117.5462962962963</v>
      </c>
      <c r="L2615" s="13">
        <v>1.72</v>
      </c>
      <c r="M2615" s="13"/>
      <c r="N2615" s="17">
        <f t="shared" si="87"/>
        <v>3225</v>
      </c>
      <c r="O2615" s="17">
        <f t="shared" si="87"/>
        <v>0</v>
      </c>
      <c r="P2615" s="17">
        <f t="shared" si="86"/>
        <v>3225</v>
      </c>
      <c r="Q2615" t="str">
        <f>A2615&amp;"-"&amp;B2615&amp;"-"&amp;D2615</f>
        <v>JUNI-MJ2-L2</v>
      </c>
    </row>
    <row r="2616" spans="1:17" x14ac:dyDescent="0.25">
      <c r="A2616" t="s">
        <v>396</v>
      </c>
      <c r="B2616" s="13" t="s">
        <v>26</v>
      </c>
      <c r="C2616" s="13" t="s">
        <v>226</v>
      </c>
      <c r="D2616" s="14" t="s">
        <v>50</v>
      </c>
      <c r="E2616" s="13" t="s">
        <v>61</v>
      </c>
      <c r="F2616" s="13" t="s">
        <v>1100</v>
      </c>
      <c r="G2616" s="13">
        <v>0.65</v>
      </c>
      <c r="H2616" s="15">
        <v>1847</v>
      </c>
      <c r="I2616" s="16">
        <v>1200.55</v>
      </c>
      <c r="J2616" s="16">
        <v>1254.6015250544663</v>
      </c>
      <c r="K2616" s="16">
        <v>-54.05152505446631</v>
      </c>
      <c r="L2616" s="13">
        <v>1.91</v>
      </c>
      <c r="M2616" s="13"/>
      <c r="N2616" s="17">
        <f t="shared" si="87"/>
        <v>3527.77</v>
      </c>
      <c r="O2616" s="17">
        <f t="shared" si="87"/>
        <v>0</v>
      </c>
      <c r="P2616" s="17">
        <f t="shared" si="86"/>
        <v>3527.77</v>
      </c>
      <c r="Q2616" t="str">
        <f>A2616&amp;"-"&amp;B2616&amp;"-"&amp;D2616</f>
        <v>JUNI-MJ2-L2</v>
      </c>
    </row>
    <row r="2617" spans="1:17" x14ac:dyDescent="0.25">
      <c r="A2617" t="s">
        <v>396</v>
      </c>
      <c r="B2617" s="13" t="s">
        <v>26</v>
      </c>
      <c r="C2617" s="13" t="s">
        <v>226</v>
      </c>
      <c r="D2617" s="14" t="s">
        <v>50</v>
      </c>
      <c r="E2617" s="13" t="s">
        <v>61</v>
      </c>
      <c r="F2617" s="13" t="s">
        <v>1101</v>
      </c>
      <c r="G2617" s="13">
        <v>0.65</v>
      </c>
      <c r="H2617" s="15">
        <v>2738</v>
      </c>
      <c r="I2617" s="16">
        <v>1779.7</v>
      </c>
      <c r="J2617" s="16">
        <v>1655.0021901311725</v>
      </c>
      <c r="K2617" s="16">
        <v>124.69780986882745</v>
      </c>
      <c r="L2617" s="13">
        <v>1.91</v>
      </c>
      <c r="M2617" s="13"/>
      <c r="N2617" s="17">
        <f t="shared" si="87"/>
        <v>5229.58</v>
      </c>
      <c r="O2617" s="17">
        <f t="shared" si="87"/>
        <v>0</v>
      </c>
      <c r="P2617" s="17">
        <f t="shared" si="86"/>
        <v>5229.58</v>
      </c>
      <c r="Q2617" t="str">
        <f>A2617&amp;"-"&amp;B2617&amp;"-"&amp;D2617</f>
        <v>JUNI-MJ2-L2</v>
      </c>
    </row>
    <row r="2618" spans="1:17" x14ac:dyDescent="0.25">
      <c r="A2618" t="s">
        <v>396</v>
      </c>
      <c r="B2618" s="13" t="s">
        <v>26</v>
      </c>
      <c r="C2618" s="13" t="s">
        <v>226</v>
      </c>
      <c r="D2618" s="14" t="s">
        <v>50</v>
      </c>
      <c r="E2618" s="13" t="s">
        <v>61</v>
      </c>
      <c r="F2618" s="13" t="s">
        <v>1102</v>
      </c>
      <c r="G2618" s="13">
        <v>0.66</v>
      </c>
      <c r="H2618" s="15">
        <v>11582</v>
      </c>
      <c r="I2618" s="16">
        <v>7644.12</v>
      </c>
      <c r="J2618" s="16">
        <v>6420.0243370128801</v>
      </c>
      <c r="K2618" s="16">
        <v>1224.0956629871198</v>
      </c>
      <c r="L2618" s="13">
        <v>1.71</v>
      </c>
      <c r="M2618" s="13"/>
      <c r="N2618" s="17">
        <f t="shared" si="87"/>
        <v>19805.22</v>
      </c>
      <c r="O2618" s="17">
        <f t="shared" si="87"/>
        <v>0</v>
      </c>
      <c r="P2618" s="17">
        <f t="shared" si="86"/>
        <v>19805.22</v>
      </c>
      <c r="Q2618" t="str">
        <f>A2618&amp;"-"&amp;B2618&amp;"-"&amp;D2618</f>
        <v>JUNI-MJ2-L2</v>
      </c>
    </row>
    <row r="2619" spans="1:17" x14ac:dyDescent="0.25">
      <c r="A2619" t="s">
        <v>396</v>
      </c>
      <c r="B2619" s="13" t="s">
        <v>26</v>
      </c>
      <c r="C2619" s="13" t="s">
        <v>226</v>
      </c>
      <c r="D2619" s="14" t="s">
        <v>50</v>
      </c>
      <c r="E2619" s="13" t="s">
        <v>61</v>
      </c>
      <c r="F2619" s="13" t="s">
        <v>1103</v>
      </c>
      <c r="G2619" s="13">
        <v>0.63</v>
      </c>
      <c r="H2619" s="15">
        <v>553</v>
      </c>
      <c r="I2619" s="16">
        <v>348.39</v>
      </c>
      <c r="J2619" s="16">
        <v>334.21700488645683</v>
      </c>
      <c r="K2619" s="16">
        <v>14.172995113543152</v>
      </c>
      <c r="L2619" s="13">
        <v>1.85</v>
      </c>
      <c r="M2619" s="13"/>
      <c r="N2619" s="17">
        <f t="shared" si="87"/>
        <v>1023.0500000000001</v>
      </c>
      <c r="O2619" s="17">
        <f t="shared" si="87"/>
        <v>0</v>
      </c>
      <c r="P2619" s="17">
        <f t="shared" si="86"/>
        <v>1023.0500000000001</v>
      </c>
      <c r="Q2619" t="str">
        <f>A2619&amp;"-"&amp;B2619&amp;"-"&amp;D2619</f>
        <v>JUNI-MJ2-L2</v>
      </c>
    </row>
    <row r="2620" spans="1:17" x14ac:dyDescent="0.25">
      <c r="A2620" t="s">
        <v>396</v>
      </c>
      <c r="B2620" s="13" t="s">
        <v>26</v>
      </c>
      <c r="C2620" s="13" t="s">
        <v>226</v>
      </c>
      <c r="D2620" s="14" t="s">
        <v>50</v>
      </c>
      <c r="E2620" s="13" t="s">
        <v>61</v>
      </c>
      <c r="F2620" s="13" t="s">
        <v>989</v>
      </c>
      <c r="G2620" s="13">
        <v>0.70000000000000007</v>
      </c>
      <c r="H2620" s="15">
        <v>5065</v>
      </c>
      <c r="I2620" s="16">
        <v>3545.5</v>
      </c>
      <c r="J2620" s="16">
        <v>2199.8096209912828</v>
      </c>
      <c r="K2620" s="16">
        <v>1345.6903790087174</v>
      </c>
      <c r="L2620" s="13">
        <v>1.3</v>
      </c>
      <c r="M2620" s="13"/>
      <c r="N2620" s="17">
        <f t="shared" si="87"/>
        <v>6584.5</v>
      </c>
      <c r="O2620" s="17">
        <f t="shared" si="87"/>
        <v>0</v>
      </c>
      <c r="P2620" s="17">
        <f t="shared" si="86"/>
        <v>6584.5</v>
      </c>
      <c r="Q2620" t="str">
        <f>A2620&amp;"-"&amp;B2620&amp;"-"&amp;D2620</f>
        <v>JUNI-MJ2-L2</v>
      </c>
    </row>
    <row r="2621" spans="1:17" x14ac:dyDescent="0.25">
      <c r="A2621" t="s">
        <v>396</v>
      </c>
      <c r="B2621" s="13" t="s">
        <v>26</v>
      </c>
      <c r="C2621" s="13" t="s">
        <v>226</v>
      </c>
      <c r="D2621" s="14" t="s">
        <v>50</v>
      </c>
      <c r="E2621" s="13" t="s">
        <v>61</v>
      </c>
      <c r="F2621" s="13" t="s">
        <v>1104</v>
      </c>
      <c r="G2621" s="13">
        <v>0.70000000000000007</v>
      </c>
      <c r="H2621" s="15">
        <v>8480</v>
      </c>
      <c r="I2621" s="16">
        <v>5936</v>
      </c>
      <c r="J2621" s="16">
        <v>3816.0238530549268</v>
      </c>
      <c r="K2621" s="16">
        <v>2119.9761469450723</v>
      </c>
      <c r="L2621" s="13">
        <v>1.3</v>
      </c>
      <c r="M2621" s="13"/>
      <c r="N2621" s="17">
        <f t="shared" si="87"/>
        <v>11024</v>
      </c>
      <c r="O2621" s="17">
        <f t="shared" si="87"/>
        <v>0</v>
      </c>
      <c r="P2621" s="17">
        <f t="shared" si="86"/>
        <v>11024</v>
      </c>
      <c r="Q2621" t="str">
        <f>A2621&amp;"-"&amp;B2621&amp;"-"&amp;D2621</f>
        <v>JUNI-MJ2-L2</v>
      </c>
    </row>
    <row r="2622" spans="1:17" x14ac:dyDescent="0.25">
      <c r="A2622" t="s">
        <v>396</v>
      </c>
      <c r="B2622" s="13" t="s">
        <v>26</v>
      </c>
      <c r="C2622" s="13" t="s">
        <v>226</v>
      </c>
      <c r="D2622" s="14" t="s">
        <v>50</v>
      </c>
      <c r="E2622" s="13" t="s">
        <v>61</v>
      </c>
      <c r="F2622" s="13" t="s">
        <v>1105</v>
      </c>
      <c r="G2622" s="13">
        <v>0.66</v>
      </c>
      <c r="H2622" s="15">
        <v>1915</v>
      </c>
      <c r="I2622" s="16">
        <v>1263.9000000000001</v>
      </c>
      <c r="J2622" s="16">
        <v>1150.8299543979354</v>
      </c>
      <c r="K2622" s="16">
        <v>113.07004560206465</v>
      </c>
      <c r="L2622" s="13">
        <v>1.73</v>
      </c>
      <c r="M2622" s="13"/>
      <c r="N2622" s="17">
        <f t="shared" si="87"/>
        <v>3312.95</v>
      </c>
      <c r="O2622" s="17">
        <f t="shared" si="87"/>
        <v>0</v>
      </c>
      <c r="P2622" s="17">
        <f t="shared" si="86"/>
        <v>3312.95</v>
      </c>
      <c r="Q2622" t="str">
        <f>A2622&amp;"-"&amp;B2622&amp;"-"&amp;D2622</f>
        <v>JUNI-MJ2-L2</v>
      </c>
    </row>
    <row r="2623" spans="1:17" x14ac:dyDescent="0.25">
      <c r="A2623" t="s">
        <v>396</v>
      </c>
      <c r="B2623" s="13" t="s">
        <v>26</v>
      </c>
      <c r="C2623" s="13" t="s">
        <v>226</v>
      </c>
      <c r="D2623" s="14" t="s">
        <v>50</v>
      </c>
      <c r="E2623" s="13" t="s">
        <v>61</v>
      </c>
      <c r="F2623" s="13" t="s">
        <v>1106</v>
      </c>
      <c r="G2623" s="13">
        <v>0.71999999999999986</v>
      </c>
      <c r="H2623" s="15">
        <v>3368</v>
      </c>
      <c r="I2623" s="16">
        <v>2424.9600000000005</v>
      </c>
      <c r="J2623" s="16">
        <v>1589.0896283015165</v>
      </c>
      <c r="K2623" s="16">
        <v>835.87037169848361</v>
      </c>
      <c r="L2623" s="13">
        <v>1.34</v>
      </c>
      <c r="M2623" s="13"/>
      <c r="N2623" s="17">
        <f t="shared" si="87"/>
        <v>4513.12</v>
      </c>
      <c r="O2623" s="17">
        <f t="shared" si="87"/>
        <v>0</v>
      </c>
      <c r="P2623" s="17">
        <f t="shared" si="86"/>
        <v>4513.12</v>
      </c>
      <c r="Q2623" t="str">
        <f>A2623&amp;"-"&amp;B2623&amp;"-"&amp;D2623</f>
        <v>JUNI-MJ2-L2</v>
      </c>
    </row>
    <row r="2624" spans="1:17" x14ac:dyDescent="0.25">
      <c r="A2624" t="s">
        <v>396</v>
      </c>
      <c r="B2624" s="13" t="s">
        <v>26</v>
      </c>
      <c r="C2624" s="13" t="s">
        <v>226</v>
      </c>
      <c r="D2624" s="14" t="s">
        <v>50</v>
      </c>
      <c r="E2624" s="13" t="s">
        <v>61</v>
      </c>
      <c r="F2624" s="13" t="s">
        <v>958</v>
      </c>
      <c r="G2624" s="13">
        <v>0.65</v>
      </c>
      <c r="H2624" s="15">
        <v>100</v>
      </c>
      <c r="I2624" s="16">
        <v>65</v>
      </c>
      <c r="J2624" s="16">
        <v>44.105589873065469</v>
      </c>
      <c r="K2624" s="16">
        <v>20.894410126934531</v>
      </c>
      <c r="L2624" s="13">
        <v>1.66</v>
      </c>
      <c r="M2624" s="13"/>
      <c r="N2624" s="17">
        <f t="shared" si="87"/>
        <v>166</v>
      </c>
      <c r="O2624" s="17">
        <f t="shared" si="87"/>
        <v>0</v>
      </c>
      <c r="P2624" s="17">
        <f t="shared" si="86"/>
        <v>166</v>
      </c>
      <c r="Q2624" t="str">
        <f>A2624&amp;"-"&amp;B2624&amp;"-"&amp;D2624</f>
        <v>JUNI-MJ2-L2</v>
      </c>
    </row>
    <row r="2625" spans="1:17" x14ac:dyDescent="0.25">
      <c r="A2625" t="s">
        <v>396</v>
      </c>
      <c r="B2625" s="13" t="s">
        <v>26</v>
      </c>
      <c r="C2625" s="13" t="s">
        <v>226</v>
      </c>
      <c r="D2625" s="14" t="s">
        <v>56</v>
      </c>
      <c r="E2625" s="13" t="s">
        <v>61</v>
      </c>
      <c r="F2625" s="13" t="s">
        <v>1099</v>
      </c>
      <c r="G2625" s="13">
        <v>0.65</v>
      </c>
      <c r="H2625" s="15">
        <v>1875</v>
      </c>
      <c r="I2625" s="16">
        <v>1218.75</v>
      </c>
      <c r="J2625" s="16">
        <v>1336.2962962962963</v>
      </c>
      <c r="K2625" s="16">
        <v>-117.5462962962963</v>
      </c>
      <c r="L2625" s="13">
        <v>1.72</v>
      </c>
      <c r="M2625" s="13"/>
      <c r="N2625" s="17">
        <f t="shared" si="87"/>
        <v>3225</v>
      </c>
      <c r="O2625" s="17">
        <f t="shared" si="87"/>
        <v>0</v>
      </c>
      <c r="P2625" s="17">
        <f t="shared" si="86"/>
        <v>3225</v>
      </c>
      <c r="Q2625" t="str">
        <f>A2625&amp;"-"&amp;B2625&amp;"-"&amp;D2625</f>
        <v>JUNI-MJ2-L3</v>
      </c>
    </row>
    <row r="2626" spans="1:17" x14ac:dyDescent="0.25">
      <c r="A2626" t="s">
        <v>396</v>
      </c>
      <c r="B2626" s="13" t="s">
        <v>26</v>
      </c>
      <c r="C2626" s="13" t="s">
        <v>226</v>
      </c>
      <c r="D2626" s="14" t="s">
        <v>56</v>
      </c>
      <c r="E2626" s="13" t="s">
        <v>61</v>
      </c>
      <c r="F2626" s="13" t="s">
        <v>1100</v>
      </c>
      <c r="G2626" s="13">
        <v>0.65</v>
      </c>
      <c r="H2626" s="15">
        <v>1848</v>
      </c>
      <c r="I2626" s="16">
        <v>1201.2</v>
      </c>
      <c r="J2626" s="16">
        <v>1255.1838779956429</v>
      </c>
      <c r="K2626" s="16">
        <v>-53.983877995642729</v>
      </c>
      <c r="L2626" s="13">
        <v>1.91</v>
      </c>
      <c r="M2626" s="13"/>
      <c r="N2626" s="17">
        <f t="shared" si="87"/>
        <v>3529.68</v>
      </c>
      <c r="O2626" s="17">
        <f t="shared" si="87"/>
        <v>0</v>
      </c>
      <c r="P2626" s="17">
        <f t="shared" ref="P2626:P2689" si="88">N2626+O2626</f>
        <v>3529.68</v>
      </c>
      <c r="Q2626" t="str">
        <f>A2626&amp;"-"&amp;B2626&amp;"-"&amp;D2626</f>
        <v>JUNI-MJ2-L3</v>
      </c>
    </row>
    <row r="2627" spans="1:17" x14ac:dyDescent="0.25">
      <c r="A2627" t="s">
        <v>396</v>
      </c>
      <c r="B2627" s="13" t="s">
        <v>26</v>
      </c>
      <c r="C2627" s="13" t="s">
        <v>226</v>
      </c>
      <c r="D2627" s="14" t="s">
        <v>56</v>
      </c>
      <c r="E2627" s="13" t="s">
        <v>61</v>
      </c>
      <c r="F2627" s="13" t="s">
        <v>1101</v>
      </c>
      <c r="G2627" s="13">
        <v>0.65</v>
      </c>
      <c r="H2627" s="15">
        <v>2737</v>
      </c>
      <c r="I2627" s="16">
        <v>1779.05</v>
      </c>
      <c r="J2627" s="16">
        <v>1655.0253404139435</v>
      </c>
      <c r="K2627" s="16">
        <v>124.02465958605666</v>
      </c>
      <c r="L2627" s="13">
        <v>1.91</v>
      </c>
      <c r="M2627" s="13"/>
      <c r="N2627" s="17">
        <f t="shared" si="87"/>
        <v>5227.67</v>
      </c>
      <c r="O2627" s="17">
        <f t="shared" si="87"/>
        <v>0</v>
      </c>
      <c r="P2627" s="17">
        <f t="shared" si="88"/>
        <v>5227.67</v>
      </c>
      <c r="Q2627" t="str">
        <f>A2627&amp;"-"&amp;B2627&amp;"-"&amp;D2627</f>
        <v>JUNI-MJ2-L3</v>
      </c>
    </row>
    <row r="2628" spans="1:17" x14ac:dyDescent="0.25">
      <c r="A2628" t="s">
        <v>396</v>
      </c>
      <c r="B2628" s="13" t="s">
        <v>26</v>
      </c>
      <c r="C2628" s="13" t="s">
        <v>226</v>
      </c>
      <c r="D2628" s="14" t="s">
        <v>56</v>
      </c>
      <c r="E2628" s="13" t="s">
        <v>61</v>
      </c>
      <c r="F2628" s="13" t="s">
        <v>1102</v>
      </c>
      <c r="G2628" s="13">
        <v>0.66</v>
      </c>
      <c r="H2628" s="15">
        <v>11583</v>
      </c>
      <c r="I2628" s="16">
        <v>7644.7799999999988</v>
      </c>
      <c r="J2628" s="16">
        <v>6420.6383617068605</v>
      </c>
      <c r="K2628" s="16">
        <v>1224.14163829314</v>
      </c>
      <c r="L2628" s="13">
        <v>1.71</v>
      </c>
      <c r="M2628" s="13"/>
      <c r="N2628" s="17">
        <f t="shared" si="87"/>
        <v>19806.93</v>
      </c>
      <c r="O2628" s="17">
        <f t="shared" si="87"/>
        <v>0</v>
      </c>
      <c r="P2628" s="17">
        <f t="shared" si="88"/>
        <v>19806.93</v>
      </c>
      <c r="Q2628" t="str">
        <f>A2628&amp;"-"&amp;B2628&amp;"-"&amp;D2628</f>
        <v>JUNI-MJ2-L3</v>
      </c>
    </row>
    <row r="2629" spans="1:17" x14ac:dyDescent="0.25">
      <c r="A2629" t="s">
        <v>396</v>
      </c>
      <c r="B2629" s="13" t="s">
        <v>26</v>
      </c>
      <c r="C2629" s="13" t="s">
        <v>226</v>
      </c>
      <c r="D2629" s="14" t="s">
        <v>56</v>
      </c>
      <c r="E2629" s="13" t="s">
        <v>61</v>
      </c>
      <c r="F2629" s="13" t="s">
        <v>1103</v>
      </c>
      <c r="G2629" s="13">
        <v>0.63</v>
      </c>
      <c r="H2629" s="15">
        <v>552</v>
      </c>
      <c r="I2629" s="16">
        <v>347.76</v>
      </c>
      <c r="J2629" s="16">
        <v>333.70353890391323</v>
      </c>
      <c r="K2629" s="16">
        <v>14.056461096086791</v>
      </c>
      <c r="L2629" s="13">
        <v>1.85</v>
      </c>
      <c r="M2629" s="13"/>
      <c r="N2629" s="17">
        <f t="shared" si="87"/>
        <v>1021.2</v>
      </c>
      <c r="O2629" s="17">
        <f t="shared" si="87"/>
        <v>0</v>
      </c>
      <c r="P2629" s="17">
        <f t="shared" si="88"/>
        <v>1021.2</v>
      </c>
      <c r="Q2629" t="str">
        <f>A2629&amp;"-"&amp;B2629&amp;"-"&amp;D2629</f>
        <v>JUNI-MJ2-L3</v>
      </c>
    </row>
    <row r="2630" spans="1:17" x14ac:dyDescent="0.25">
      <c r="A2630" t="s">
        <v>396</v>
      </c>
      <c r="B2630" s="13" t="s">
        <v>26</v>
      </c>
      <c r="C2630" s="13" t="s">
        <v>226</v>
      </c>
      <c r="D2630" s="14" t="s">
        <v>56</v>
      </c>
      <c r="E2630" s="13" t="s">
        <v>61</v>
      </c>
      <c r="F2630" s="13" t="s">
        <v>989</v>
      </c>
      <c r="G2630" s="13">
        <v>0.70000000000000007</v>
      </c>
      <c r="H2630" s="15">
        <v>5066</v>
      </c>
      <c r="I2630" s="16">
        <v>3546.2</v>
      </c>
      <c r="J2630" s="16">
        <v>2200.2506009467393</v>
      </c>
      <c r="K2630" s="16">
        <v>1345.949399053261</v>
      </c>
      <c r="L2630" s="13">
        <v>1.3</v>
      </c>
      <c r="M2630" s="13"/>
      <c r="N2630" s="17">
        <f t="shared" si="87"/>
        <v>6585.8</v>
      </c>
      <c r="O2630" s="17">
        <f t="shared" si="87"/>
        <v>0</v>
      </c>
      <c r="P2630" s="17">
        <f t="shared" si="88"/>
        <v>6585.8</v>
      </c>
      <c r="Q2630" t="str">
        <f>A2630&amp;"-"&amp;B2630&amp;"-"&amp;D2630</f>
        <v>JUNI-MJ2-L3</v>
      </c>
    </row>
    <row r="2631" spans="1:17" x14ac:dyDescent="0.25">
      <c r="A2631" t="s">
        <v>396</v>
      </c>
      <c r="B2631" s="13" t="s">
        <v>26</v>
      </c>
      <c r="C2631" s="13" t="s">
        <v>226</v>
      </c>
      <c r="D2631" s="14" t="s">
        <v>56</v>
      </c>
      <c r="E2631" s="13" t="s">
        <v>61</v>
      </c>
      <c r="F2631" s="13" t="s">
        <v>1104</v>
      </c>
      <c r="G2631" s="13">
        <v>0.70000000000000007</v>
      </c>
      <c r="H2631" s="15">
        <v>8481</v>
      </c>
      <c r="I2631" s="16">
        <v>5936.7000000000007</v>
      </c>
      <c r="J2631" s="16">
        <v>3816.6601675807378</v>
      </c>
      <c r="K2631" s="16">
        <v>2120.0398324192624</v>
      </c>
      <c r="L2631" s="13">
        <v>1.3</v>
      </c>
      <c r="M2631" s="13"/>
      <c r="N2631" s="17">
        <f t="shared" si="87"/>
        <v>11025.300000000001</v>
      </c>
      <c r="O2631" s="17">
        <f t="shared" si="87"/>
        <v>0</v>
      </c>
      <c r="P2631" s="17">
        <f t="shared" si="88"/>
        <v>11025.300000000001</v>
      </c>
      <c r="Q2631" t="str">
        <f>A2631&amp;"-"&amp;B2631&amp;"-"&amp;D2631</f>
        <v>JUNI-MJ2-L3</v>
      </c>
    </row>
    <row r="2632" spans="1:17" x14ac:dyDescent="0.25">
      <c r="A2632" t="s">
        <v>396</v>
      </c>
      <c r="B2632" s="13" t="s">
        <v>26</v>
      </c>
      <c r="C2632" s="13" t="s">
        <v>226</v>
      </c>
      <c r="D2632" s="14" t="s">
        <v>56</v>
      </c>
      <c r="E2632" s="13" t="s">
        <v>61</v>
      </c>
      <c r="F2632" s="13" t="s">
        <v>1105</v>
      </c>
      <c r="G2632" s="13">
        <v>0.66</v>
      </c>
      <c r="H2632" s="15">
        <v>1913</v>
      </c>
      <c r="I2632" s="16">
        <v>1262.58</v>
      </c>
      <c r="J2632" s="16">
        <v>1149.7955802734846</v>
      </c>
      <c r="K2632" s="16">
        <v>112.78441972651555</v>
      </c>
      <c r="L2632" s="13">
        <v>1.73</v>
      </c>
      <c r="M2632" s="13"/>
      <c r="N2632" s="17">
        <f t="shared" si="87"/>
        <v>3309.49</v>
      </c>
      <c r="O2632" s="17">
        <f t="shared" si="87"/>
        <v>0</v>
      </c>
      <c r="P2632" s="17">
        <f t="shared" si="88"/>
        <v>3309.49</v>
      </c>
      <c r="Q2632" t="str">
        <f>A2632&amp;"-"&amp;B2632&amp;"-"&amp;D2632</f>
        <v>JUNI-MJ2-L3</v>
      </c>
    </row>
    <row r="2633" spans="1:17" x14ac:dyDescent="0.25">
      <c r="A2633" t="s">
        <v>396</v>
      </c>
      <c r="B2633" s="13" t="s">
        <v>26</v>
      </c>
      <c r="C2633" s="13" t="s">
        <v>226</v>
      </c>
      <c r="D2633" s="14" t="s">
        <v>56</v>
      </c>
      <c r="E2633" s="13" t="s">
        <v>61</v>
      </c>
      <c r="F2633" s="13" t="s">
        <v>1106</v>
      </c>
      <c r="G2633" s="13">
        <v>0.71999999999999986</v>
      </c>
      <c r="H2633" s="15">
        <v>3368</v>
      </c>
      <c r="I2633" s="16">
        <v>2424.96</v>
      </c>
      <c r="J2633" s="16">
        <v>1588.825940126965</v>
      </c>
      <c r="K2633" s="16">
        <v>836.13405987303531</v>
      </c>
      <c r="L2633" s="13">
        <v>1.34</v>
      </c>
      <c r="M2633" s="13"/>
      <c r="N2633" s="17">
        <f t="shared" si="87"/>
        <v>4513.12</v>
      </c>
      <c r="O2633" s="17">
        <f t="shared" si="87"/>
        <v>0</v>
      </c>
      <c r="P2633" s="17">
        <f t="shared" si="88"/>
        <v>4513.12</v>
      </c>
      <c r="Q2633" t="str">
        <f>A2633&amp;"-"&amp;B2633&amp;"-"&amp;D2633</f>
        <v>JUNI-MJ2-L3</v>
      </c>
    </row>
    <row r="2634" spans="1:17" x14ac:dyDescent="0.25">
      <c r="A2634" t="s">
        <v>396</v>
      </c>
      <c r="B2634" s="13" t="s">
        <v>26</v>
      </c>
      <c r="C2634" s="13" t="s">
        <v>226</v>
      </c>
      <c r="D2634" s="14" t="s">
        <v>56</v>
      </c>
      <c r="E2634" s="13" t="s">
        <v>61</v>
      </c>
      <c r="F2634" s="13" t="s">
        <v>958</v>
      </c>
      <c r="G2634" s="13">
        <v>0.65</v>
      </c>
      <c r="H2634" s="15">
        <v>99</v>
      </c>
      <c r="I2634" s="16">
        <v>64.349999999999994</v>
      </c>
      <c r="J2634" s="16">
        <v>43.620295755418411</v>
      </c>
      <c r="K2634" s="16">
        <v>20.72970424458159</v>
      </c>
      <c r="L2634" s="13">
        <v>1.66</v>
      </c>
      <c r="M2634" s="13"/>
      <c r="N2634" s="17">
        <f t="shared" si="87"/>
        <v>164.34</v>
      </c>
      <c r="O2634" s="17">
        <f t="shared" si="87"/>
        <v>0</v>
      </c>
      <c r="P2634" s="17">
        <f t="shared" si="88"/>
        <v>164.34</v>
      </c>
      <c r="Q2634" t="str">
        <f>A2634&amp;"-"&amp;B2634&amp;"-"&amp;D2634</f>
        <v>JUNI-MJ2-L3</v>
      </c>
    </row>
    <row r="2635" spans="1:17" x14ac:dyDescent="0.25">
      <c r="A2635" t="s">
        <v>396</v>
      </c>
      <c r="B2635" s="13" t="s">
        <v>26</v>
      </c>
      <c r="C2635" s="13" t="s">
        <v>226</v>
      </c>
      <c r="D2635" s="14" t="s">
        <v>158</v>
      </c>
      <c r="E2635" s="13" t="s">
        <v>61</v>
      </c>
      <c r="F2635" s="13" t="s">
        <v>1107</v>
      </c>
      <c r="G2635" s="13">
        <v>0.76</v>
      </c>
      <c r="H2635" s="15">
        <v>719</v>
      </c>
      <c r="I2635" s="16">
        <v>546.43999999999994</v>
      </c>
      <c r="J2635" s="16">
        <v>465.6922641509434</v>
      </c>
      <c r="K2635" s="16">
        <v>80.747735849056554</v>
      </c>
      <c r="L2635" s="13">
        <v>2</v>
      </c>
      <c r="M2635" s="13"/>
      <c r="N2635" s="17">
        <f t="shared" si="87"/>
        <v>1438</v>
      </c>
      <c r="O2635" s="17">
        <f t="shared" si="87"/>
        <v>0</v>
      </c>
      <c r="P2635" s="17">
        <f t="shared" si="88"/>
        <v>1438</v>
      </c>
      <c r="Q2635" t="str">
        <f>A2635&amp;"-"&amp;B2635&amp;"-"&amp;D2635</f>
        <v>JUNI-MJ2-L4</v>
      </c>
    </row>
    <row r="2636" spans="1:17" x14ac:dyDescent="0.25">
      <c r="A2636" t="s">
        <v>396</v>
      </c>
      <c r="B2636" s="13" t="s">
        <v>26</v>
      </c>
      <c r="C2636" s="13" t="s">
        <v>226</v>
      </c>
      <c r="D2636" s="14" t="s">
        <v>158</v>
      </c>
      <c r="E2636" s="13" t="s">
        <v>61</v>
      </c>
      <c r="F2636" s="13" t="s">
        <v>1108</v>
      </c>
      <c r="G2636" s="13">
        <v>0.74</v>
      </c>
      <c r="H2636" s="15">
        <v>1042</v>
      </c>
      <c r="I2636" s="16">
        <v>771.07999999999993</v>
      </c>
      <c r="J2636" s="16">
        <v>676.66033018867927</v>
      </c>
      <c r="K2636" s="16">
        <v>94.419669811320745</v>
      </c>
      <c r="L2636" s="13">
        <v>2.17</v>
      </c>
      <c r="M2636" s="13"/>
      <c r="N2636" s="17">
        <f t="shared" si="87"/>
        <v>2261.14</v>
      </c>
      <c r="O2636" s="17">
        <f t="shared" si="87"/>
        <v>0</v>
      </c>
      <c r="P2636" s="17">
        <f t="shared" si="88"/>
        <v>2261.14</v>
      </c>
      <c r="Q2636" t="str">
        <f>A2636&amp;"-"&amp;B2636&amp;"-"&amp;D2636</f>
        <v>JUNI-MJ2-L4</v>
      </c>
    </row>
    <row r="2637" spans="1:17" x14ac:dyDescent="0.25">
      <c r="A2637" t="s">
        <v>396</v>
      </c>
      <c r="B2637" s="13" t="s">
        <v>26</v>
      </c>
      <c r="C2637" s="13" t="s">
        <v>226</v>
      </c>
      <c r="D2637" s="14" t="s">
        <v>158</v>
      </c>
      <c r="E2637" s="13" t="s">
        <v>61</v>
      </c>
      <c r="F2637" s="13" t="s">
        <v>1109</v>
      </c>
      <c r="G2637" s="13">
        <v>0.76</v>
      </c>
      <c r="H2637" s="15">
        <v>1402</v>
      </c>
      <c r="I2637" s="16">
        <v>1065.52</v>
      </c>
      <c r="J2637" s="16">
        <v>818.38443396226421</v>
      </c>
      <c r="K2637" s="16">
        <v>247.13556603773577</v>
      </c>
      <c r="L2637" s="13">
        <v>2</v>
      </c>
      <c r="M2637" s="13"/>
      <c r="N2637" s="17">
        <f t="shared" si="87"/>
        <v>2804</v>
      </c>
      <c r="O2637" s="17">
        <f t="shared" si="87"/>
        <v>0</v>
      </c>
      <c r="P2637" s="17">
        <f t="shared" si="88"/>
        <v>2804</v>
      </c>
      <c r="Q2637" t="str">
        <f>A2637&amp;"-"&amp;B2637&amp;"-"&amp;D2637</f>
        <v>JUNI-MJ2-L4</v>
      </c>
    </row>
    <row r="2638" spans="1:17" x14ac:dyDescent="0.25">
      <c r="A2638" t="s">
        <v>396</v>
      </c>
      <c r="B2638" s="13" t="s">
        <v>26</v>
      </c>
      <c r="C2638" s="13" t="s">
        <v>226</v>
      </c>
      <c r="D2638" s="14" t="s">
        <v>158</v>
      </c>
      <c r="E2638" s="13" t="s">
        <v>61</v>
      </c>
      <c r="F2638" s="13" t="s">
        <v>993</v>
      </c>
      <c r="G2638" s="13">
        <v>0.68</v>
      </c>
      <c r="H2638" s="15">
        <v>342</v>
      </c>
      <c r="I2638" s="16">
        <v>232.56</v>
      </c>
      <c r="J2638" s="16">
        <v>170.82744702320889</v>
      </c>
      <c r="K2638" s="16">
        <v>61.732552976791112</v>
      </c>
      <c r="L2638" s="13">
        <v>1.82</v>
      </c>
      <c r="M2638" s="13"/>
      <c r="N2638" s="17">
        <f t="shared" si="87"/>
        <v>622.44000000000005</v>
      </c>
      <c r="O2638" s="17">
        <f t="shared" si="87"/>
        <v>0</v>
      </c>
      <c r="P2638" s="17">
        <f t="shared" si="88"/>
        <v>622.44000000000005</v>
      </c>
      <c r="Q2638" t="str">
        <f>A2638&amp;"-"&amp;B2638&amp;"-"&amp;D2638</f>
        <v>JUNI-MJ2-L4</v>
      </c>
    </row>
    <row r="2639" spans="1:17" x14ac:dyDescent="0.25">
      <c r="A2639" t="s">
        <v>396</v>
      </c>
      <c r="B2639" s="13" t="s">
        <v>26</v>
      </c>
      <c r="C2639" s="13" t="s">
        <v>226</v>
      </c>
      <c r="D2639" s="14" t="s">
        <v>158</v>
      </c>
      <c r="E2639" s="13" t="s">
        <v>61</v>
      </c>
      <c r="F2639" s="13" t="s">
        <v>1110</v>
      </c>
      <c r="G2639" s="13">
        <v>0.72</v>
      </c>
      <c r="H2639" s="15">
        <v>1947</v>
      </c>
      <c r="I2639" s="16">
        <v>1401.84</v>
      </c>
      <c r="J2639" s="16">
        <v>1060.619098458855</v>
      </c>
      <c r="K2639" s="16">
        <v>341.22090154114494</v>
      </c>
      <c r="L2639" s="13">
        <v>1.36</v>
      </c>
      <c r="M2639" s="13"/>
      <c r="N2639" s="17">
        <f t="shared" si="87"/>
        <v>2647.92</v>
      </c>
      <c r="O2639" s="17">
        <f t="shared" si="87"/>
        <v>0</v>
      </c>
      <c r="P2639" s="17">
        <f t="shared" si="88"/>
        <v>2647.92</v>
      </c>
      <c r="Q2639" t="str">
        <f>A2639&amp;"-"&amp;B2639&amp;"-"&amp;D2639</f>
        <v>JUNI-MJ2-L4</v>
      </c>
    </row>
    <row r="2640" spans="1:17" x14ac:dyDescent="0.25">
      <c r="A2640" t="s">
        <v>396</v>
      </c>
      <c r="B2640" s="13" t="s">
        <v>26</v>
      </c>
      <c r="C2640" s="13" t="s">
        <v>226</v>
      </c>
      <c r="D2640" s="14" t="s">
        <v>158</v>
      </c>
      <c r="E2640" s="13" t="s">
        <v>61</v>
      </c>
      <c r="F2640" s="13" t="s">
        <v>1111</v>
      </c>
      <c r="G2640" s="13">
        <v>0.72</v>
      </c>
      <c r="H2640" s="15">
        <v>1995</v>
      </c>
      <c r="I2640" s="16">
        <v>1436.3999999999999</v>
      </c>
      <c r="J2640" s="16">
        <v>1070.2170097546104</v>
      </c>
      <c r="K2640" s="16">
        <v>366.18299024538942</v>
      </c>
      <c r="L2640" s="13">
        <v>1.36</v>
      </c>
      <c r="M2640" s="13"/>
      <c r="N2640" s="17">
        <f t="shared" si="87"/>
        <v>2713.2000000000003</v>
      </c>
      <c r="O2640" s="17">
        <f t="shared" si="87"/>
        <v>0</v>
      </c>
      <c r="P2640" s="17">
        <f t="shared" si="88"/>
        <v>2713.2000000000003</v>
      </c>
      <c r="Q2640" t="str">
        <f>A2640&amp;"-"&amp;B2640&amp;"-"&amp;D2640</f>
        <v>JUNI-MJ2-L4</v>
      </c>
    </row>
    <row r="2641" spans="1:17" x14ac:dyDescent="0.25">
      <c r="A2641" t="s">
        <v>396</v>
      </c>
      <c r="B2641" s="13" t="s">
        <v>26</v>
      </c>
      <c r="C2641" s="13" t="s">
        <v>226</v>
      </c>
      <c r="D2641" s="14" t="s">
        <v>158</v>
      </c>
      <c r="E2641" s="13" t="s">
        <v>61</v>
      </c>
      <c r="F2641" s="13" t="s">
        <v>1104</v>
      </c>
      <c r="G2641" s="13">
        <v>0.70000000000000007</v>
      </c>
      <c r="H2641" s="15">
        <v>11143</v>
      </c>
      <c r="I2641" s="16">
        <v>7800.1</v>
      </c>
      <c r="J2641" s="16">
        <v>6220.398494491581</v>
      </c>
      <c r="K2641" s="16">
        <v>1579.7015055084182</v>
      </c>
      <c r="L2641" s="13">
        <v>1.3</v>
      </c>
      <c r="M2641" s="13"/>
      <c r="N2641" s="17">
        <f t="shared" si="87"/>
        <v>14485.9</v>
      </c>
      <c r="O2641" s="17">
        <f t="shared" si="87"/>
        <v>0</v>
      </c>
      <c r="P2641" s="17">
        <f t="shared" si="88"/>
        <v>14485.9</v>
      </c>
      <c r="Q2641" t="str">
        <f>A2641&amp;"-"&amp;B2641&amp;"-"&amp;D2641</f>
        <v>JUNI-MJ2-L4</v>
      </c>
    </row>
    <row r="2642" spans="1:17" x14ac:dyDescent="0.25">
      <c r="A2642" t="s">
        <v>396</v>
      </c>
      <c r="B2642" s="13" t="s">
        <v>26</v>
      </c>
      <c r="C2642" s="13" t="s">
        <v>226</v>
      </c>
      <c r="D2642" s="14" t="s">
        <v>158</v>
      </c>
      <c r="E2642" s="13" t="s">
        <v>61</v>
      </c>
      <c r="F2642" s="13" t="s">
        <v>1112</v>
      </c>
      <c r="G2642" s="13">
        <v>0.7</v>
      </c>
      <c r="H2642" s="15">
        <v>214</v>
      </c>
      <c r="I2642" s="16">
        <v>149.80000000000001</v>
      </c>
      <c r="J2642" s="16">
        <v>124.48424313562344</v>
      </c>
      <c r="K2642" s="16">
        <v>25.315756864376567</v>
      </c>
      <c r="L2642" s="13">
        <v>1.3</v>
      </c>
      <c r="M2642" s="13"/>
      <c r="N2642" s="17">
        <f t="shared" si="87"/>
        <v>278.2</v>
      </c>
      <c r="O2642" s="17">
        <f t="shared" si="87"/>
        <v>0</v>
      </c>
      <c r="P2642" s="17">
        <f t="shared" si="88"/>
        <v>278.2</v>
      </c>
      <c r="Q2642" t="str">
        <f>A2642&amp;"-"&amp;B2642&amp;"-"&amp;D2642</f>
        <v>JUNI-MJ2-L4</v>
      </c>
    </row>
    <row r="2643" spans="1:17" x14ac:dyDescent="0.25">
      <c r="A2643" t="s">
        <v>396</v>
      </c>
      <c r="B2643" s="13" t="s">
        <v>26</v>
      </c>
      <c r="C2643" s="13" t="s">
        <v>226</v>
      </c>
      <c r="D2643" s="14" t="s">
        <v>158</v>
      </c>
      <c r="E2643" s="13" t="s">
        <v>61</v>
      </c>
      <c r="F2643" s="13" t="s">
        <v>1113</v>
      </c>
      <c r="G2643" s="13">
        <v>0.71999999999999986</v>
      </c>
      <c r="H2643" s="15">
        <v>4627</v>
      </c>
      <c r="I2643" s="16">
        <v>3331.44</v>
      </c>
      <c r="J2643" s="16">
        <v>2321.0610978744367</v>
      </c>
      <c r="K2643" s="16">
        <v>1010.3789021255635</v>
      </c>
      <c r="L2643" s="13">
        <v>1.34</v>
      </c>
      <c r="M2643" s="13"/>
      <c r="N2643" s="17">
        <f t="shared" si="87"/>
        <v>6200.18</v>
      </c>
      <c r="O2643" s="17">
        <f t="shared" si="87"/>
        <v>0</v>
      </c>
      <c r="P2643" s="17">
        <f t="shared" si="88"/>
        <v>6200.18</v>
      </c>
      <c r="Q2643" t="str">
        <f>A2643&amp;"-"&amp;B2643&amp;"-"&amp;D2643</f>
        <v>JUNI-MJ2-L4</v>
      </c>
    </row>
    <row r="2644" spans="1:17" x14ac:dyDescent="0.25">
      <c r="A2644" t="s">
        <v>396</v>
      </c>
      <c r="B2644" s="13" t="s">
        <v>26</v>
      </c>
      <c r="C2644" s="13" t="s">
        <v>226</v>
      </c>
      <c r="D2644" s="14" t="s">
        <v>158</v>
      </c>
      <c r="E2644" s="13" t="s">
        <v>61</v>
      </c>
      <c r="F2644" s="13" t="s">
        <v>1106</v>
      </c>
      <c r="G2644" s="13">
        <v>0.72</v>
      </c>
      <c r="H2644" s="15">
        <v>661</v>
      </c>
      <c r="I2644" s="16">
        <v>475.91999999999996</v>
      </c>
      <c r="J2644" s="16">
        <v>390.97484266524043</v>
      </c>
      <c r="K2644" s="16">
        <v>84.945157334759529</v>
      </c>
      <c r="L2644" s="13">
        <v>1.34</v>
      </c>
      <c r="M2644" s="13"/>
      <c r="N2644" s="17">
        <f t="shared" si="87"/>
        <v>885.74</v>
      </c>
      <c r="O2644" s="17">
        <f t="shared" si="87"/>
        <v>0</v>
      </c>
      <c r="P2644" s="17">
        <f t="shared" si="88"/>
        <v>885.74</v>
      </c>
      <c r="Q2644" t="str">
        <f>A2644&amp;"-"&amp;B2644&amp;"-"&amp;D2644</f>
        <v>JUNI-MJ2-L4</v>
      </c>
    </row>
    <row r="2645" spans="1:17" x14ac:dyDescent="0.25">
      <c r="A2645" t="s">
        <v>396</v>
      </c>
      <c r="B2645" s="13" t="s">
        <v>26</v>
      </c>
      <c r="C2645" s="13" t="s">
        <v>226</v>
      </c>
      <c r="D2645" s="14" t="s">
        <v>158</v>
      </c>
      <c r="E2645" s="13" t="s">
        <v>61</v>
      </c>
      <c r="F2645" s="13" t="s">
        <v>996</v>
      </c>
      <c r="G2645" s="13">
        <v>0.65</v>
      </c>
      <c r="H2645" s="15">
        <v>1240</v>
      </c>
      <c r="I2645" s="16">
        <v>806</v>
      </c>
      <c r="J2645" s="16">
        <v>697.07648839555998</v>
      </c>
      <c r="K2645" s="16">
        <v>108.92351160443999</v>
      </c>
      <c r="L2645" s="13">
        <v>1.66</v>
      </c>
      <c r="M2645" s="13"/>
      <c r="N2645" s="17">
        <f t="shared" si="87"/>
        <v>2058.4</v>
      </c>
      <c r="O2645" s="17">
        <f t="shared" si="87"/>
        <v>0</v>
      </c>
      <c r="P2645" s="17">
        <f t="shared" si="88"/>
        <v>2058.4</v>
      </c>
      <c r="Q2645" t="str">
        <f>A2645&amp;"-"&amp;B2645&amp;"-"&amp;D2645</f>
        <v>JUNI-MJ2-L4</v>
      </c>
    </row>
    <row r="2646" spans="1:17" x14ac:dyDescent="0.25">
      <c r="A2646" t="s">
        <v>396</v>
      </c>
      <c r="B2646" s="13" t="s">
        <v>26</v>
      </c>
      <c r="C2646" s="13" t="s">
        <v>226</v>
      </c>
      <c r="D2646" s="14" t="s">
        <v>158</v>
      </c>
      <c r="E2646" s="13" t="s">
        <v>61</v>
      </c>
      <c r="F2646" s="13" t="s">
        <v>997</v>
      </c>
      <c r="G2646" s="13">
        <v>0.65</v>
      </c>
      <c r="H2646" s="15">
        <v>140</v>
      </c>
      <c r="I2646" s="16">
        <v>91</v>
      </c>
      <c r="J2646" s="16">
        <v>78.803344385180907</v>
      </c>
      <c r="K2646" s="16">
        <v>12.196655614819086</v>
      </c>
      <c r="L2646" s="13">
        <v>1.66</v>
      </c>
      <c r="M2646" s="13"/>
      <c r="N2646" s="17">
        <f t="shared" ref="N2646:O2709" si="89">$H2646*L2646</f>
        <v>232.39999999999998</v>
      </c>
      <c r="O2646" s="17">
        <f t="shared" si="89"/>
        <v>0</v>
      </c>
      <c r="P2646" s="17">
        <f t="shared" si="88"/>
        <v>232.39999999999998</v>
      </c>
      <c r="Q2646" t="str">
        <f>A2646&amp;"-"&amp;B2646&amp;"-"&amp;D2646</f>
        <v>JUNI-MJ2-L4</v>
      </c>
    </row>
    <row r="2647" spans="1:17" x14ac:dyDescent="0.25">
      <c r="A2647" t="s">
        <v>396</v>
      </c>
      <c r="B2647" s="13" t="s">
        <v>26</v>
      </c>
      <c r="C2647" s="13" t="s">
        <v>226</v>
      </c>
      <c r="D2647" s="14" t="s">
        <v>158</v>
      </c>
      <c r="E2647" s="13" t="s">
        <v>61</v>
      </c>
      <c r="F2647" s="13" t="s">
        <v>1087</v>
      </c>
      <c r="G2647" s="13">
        <v>0.65</v>
      </c>
      <c r="H2647" s="15">
        <v>10482</v>
      </c>
      <c r="I2647" s="16">
        <v>6813.3</v>
      </c>
      <c r="J2647" s="16">
        <v>5424.5768324675319</v>
      </c>
      <c r="K2647" s="16">
        <v>1388.7231675324676</v>
      </c>
      <c r="L2647" s="13">
        <v>1.64</v>
      </c>
      <c r="M2647" s="13"/>
      <c r="N2647" s="17">
        <f t="shared" si="89"/>
        <v>17190.48</v>
      </c>
      <c r="O2647" s="17">
        <f t="shared" si="89"/>
        <v>0</v>
      </c>
      <c r="P2647" s="17">
        <f t="shared" si="88"/>
        <v>17190.48</v>
      </c>
      <c r="Q2647" t="str">
        <f>A2647&amp;"-"&amp;B2647&amp;"-"&amp;D2647</f>
        <v>JUNI-MJ2-L4</v>
      </c>
    </row>
    <row r="2648" spans="1:17" x14ac:dyDescent="0.25">
      <c r="A2648" t="s">
        <v>396</v>
      </c>
      <c r="B2648" s="13" t="s">
        <v>26</v>
      </c>
      <c r="C2648" s="13" t="s">
        <v>226</v>
      </c>
      <c r="D2648" s="14" t="s">
        <v>158</v>
      </c>
      <c r="E2648" s="13" t="s">
        <v>61</v>
      </c>
      <c r="F2648" s="13" t="s">
        <v>998</v>
      </c>
      <c r="G2648" s="13">
        <v>0.88</v>
      </c>
      <c r="H2648" s="15">
        <v>428</v>
      </c>
      <c r="I2648" s="16">
        <v>376.64</v>
      </c>
      <c r="J2648" s="16">
        <v>248.53962610636174</v>
      </c>
      <c r="K2648" s="16">
        <v>128.10037389363822</v>
      </c>
      <c r="L2648" s="13">
        <v>5.29</v>
      </c>
      <c r="M2648" s="13"/>
      <c r="N2648" s="17">
        <f t="shared" si="89"/>
        <v>2264.12</v>
      </c>
      <c r="O2648" s="17">
        <f t="shared" si="89"/>
        <v>0</v>
      </c>
      <c r="P2648" s="17">
        <f t="shared" si="88"/>
        <v>2264.12</v>
      </c>
      <c r="Q2648" t="str">
        <f>A2648&amp;"-"&amp;B2648&amp;"-"&amp;D2648</f>
        <v>JUNI-MJ2-L4</v>
      </c>
    </row>
    <row r="2649" spans="1:17" x14ac:dyDescent="0.25">
      <c r="A2649" t="s">
        <v>396</v>
      </c>
      <c r="B2649" s="13" t="s">
        <v>26</v>
      </c>
      <c r="C2649" s="13" t="s">
        <v>226</v>
      </c>
      <c r="D2649" s="14" t="s">
        <v>158</v>
      </c>
      <c r="E2649" s="13" t="s">
        <v>61</v>
      </c>
      <c r="F2649" s="13" t="s">
        <v>1114</v>
      </c>
      <c r="G2649" s="13">
        <v>0.87</v>
      </c>
      <c r="H2649" s="15">
        <v>57</v>
      </c>
      <c r="I2649" s="16">
        <v>49.59</v>
      </c>
      <c r="J2649" s="16">
        <v>31.684446939921393</v>
      </c>
      <c r="K2649" s="16">
        <v>17.90555306007861</v>
      </c>
      <c r="L2649" s="13">
        <v>5.22</v>
      </c>
      <c r="M2649" s="13"/>
      <c r="N2649" s="17">
        <f t="shared" si="89"/>
        <v>297.53999999999996</v>
      </c>
      <c r="O2649" s="17">
        <f t="shared" si="89"/>
        <v>0</v>
      </c>
      <c r="P2649" s="17">
        <f t="shared" si="88"/>
        <v>297.53999999999996</v>
      </c>
      <c r="Q2649" t="str">
        <f>A2649&amp;"-"&amp;B2649&amp;"-"&amp;D2649</f>
        <v>JUNI-MJ2-L4</v>
      </c>
    </row>
    <row r="2650" spans="1:17" x14ac:dyDescent="0.25">
      <c r="A2650" t="s">
        <v>396</v>
      </c>
      <c r="B2650" s="13" t="s">
        <v>26</v>
      </c>
      <c r="C2650" s="13" t="s">
        <v>226</v>
      </c>
      <c r="D2650" s="14" t="s">
        <v>160</v>
      </c>
      <c r="E2650" s="13" t="s">
        <v>61</v>
      </c>
      <c r="F2650" s="13" t="s">
        <v>1107</v>
      </c>
      <c r="G2650" s="13">
        <v>0.76</v>
      </c>
      <c r="H2650" s="15">
        <v>718</v>
      </c>
      <c r="I2650" s="16">
        <v>545.67999999999995</v>
      </c>
      <c r="J2650" s="16">
        <v>465.07221238938052</v>
      </c>
      <c r="K2650" s="16">
        <v>80.607787610619454</v>
      </c>
      <c r="L2650" s="13">
        <v>2</v>
      </c>
      <c r="M2650" s="13"/>
      <c r="N2650" s="17">
        <f t="shared" si="89"/>
        <v>1436</v>
      </c>
      <c r="O2650" s="17">
        <f t="shared" si="89"/>
        <v>0</v>
      </c>
      <c r="P2650" s="17">
        <f t="shared" si="88"/>
        <v>1436</v>
      </c>
      <c r="Q2650" t="str">
        <f>A2650&amp;"-"&amp;B2650&amp;"-"&amp;D2650</f>
        <v>JUNI-MJ2-L5</v>
      </c>
    </row>
    <row r="2651" spans="1:17" x14ac:dyDescent="0.25">
      <c r="A2651" t="s">
        <v>396</v>
      </c>
      <c r="B2651" s="13" t="s">
        <v>26</v>
      </c>
      <c r="C2651" s="13" t="s">
        <v>226</v>
      </c>
      <c r="D2651" s="14" t="s">
        <v>160</v>
      </c>
      <c r="E2651" s="13" t="s">
        <v>61</v>
      </c>
      <c r="F2651" s="13" t="s">
        <v>1108</v>
      </c>
      <c r="G2651" s="13">
        <v>0.74</v>
      </c>
      <c r="H2651" s="15">
        <v>1043</v>
      </c>
      <c r="I2651" s="16">
        <v>771.81999999999994</v>
      </c>
      <c r="J2651" s="16">
        <v>677.37026548672577</v>
      </c>
      <c r="K2651" s="16">
        <v>94.449734513274251</v>
      </c>
      <c r="L2651" s="13">
        <v>2.17</v>
      </c>
      <c r="M2651" s="13"/>
      <c r="N2651" s="17">
        <f t="shared" si="89"/>
        <v>2263.31</v>
      </c>
      <c r="O2651" s="17">
        <f t="shared" si="89"/>
        <v>0</v>
      </c>
      <c r="P2651" s="17">
        <f t="shared" si="88"/>
        <v>2263.31</v>
      </c>
      <c r="Q2651" t="str">
        <f>A2651&amp;"-"&amp;B2651&amp;"-"&amp;D2651</f>
        <v>JUNI-MJ2-L5</v>
      </c>
    </row>
    <row r="2652" spans="1:17" x14ac:dyDescent="0.25">
      <c r="A2652" t="s">
        <v>396</v>
      </c>
      <c r="B2652" s="13" t="s">
        <v>26</v>
      </c>
      <c r="C2652" s="13" t="s">
        <v>226</v>
      </c>
      <c r="D2652" s="14" t="s">
        <v>160</v>
      </c>
      <c r="E2652" s="13" t="s">
        <v>61</v>
      </c>
      <c r="F2652" s="13" t="s">
        <v>1109</v>
      </c>
      <c r="G2652" s="13">
        <v>0.76</v>
      </c>
      <c r="H2652" s="15">
        <v>1402</v>
      </c>
      <c r="I2652" s="16">
        <v>1065.52</v>
      </c>
      <c r="J2652" s="16">
        <v>818.86725663716811</v>
      </c>
      <c r="K2652" s="16">
        <v>246.65274336283187</v>
      </c>
      <c r="L2652" s="13">
        <v>2</v>
      </c>
      <c r="M2652" s="13"/>
      <c r="N2652" s="17">
        <f t="shared" si="89"/>
        <v>2804</v>
      </c>
      <c r="O2652" s="17">
        <f t="shared" si="89"/>
        <v>0</v>
      </c>
      <c r="P2652" s="17">
        <f t="shared" si="88"/>
        <v>2804</v>
      </c>
      <c r="Q2652" t="str">
        <f>A2652&amp;"-"&amp;B2652&amp;"-"&amp;D2652</f>
        <v>JUNI-MJ2-L5</v>
      </c>
    </row>
    <row r="2653" spans="1:17" x14ac:dyDescent="0.25">
      <c r="A2653" t="s">
        <v>396</v>
      </c>
      <c r="B2653" s="13" t="s">
        <v>26</v>
      </c>
      <c r="C2653" s="13" t="s">
        <v>226</v>
      </c>
      <c r="D2653" s="14" t="s">
        <v>160</v>
      </c>
      <c r="E2653" s="13" t="s">
        <v>61</v>
      </c>
      <c r="F2653" s="13" t="s">
        <v>993</v>
      </c>
      <c r="G2653" s="13">
        <v>0.68</v>
      </c>
      <c r="H2653" s="15">
        <v>341</v>
      </c>
      <c r="I2653" s="16">
        <v>231.88</v>
      </c>
      <c r="J2653" s="16">
        <v>170.41393235739525</v>
      </c>
      <c r="K2653" s="16">
        <v>61.466067642604742</v>
      </c>
      <c r="L2653" s="13">
        <v>1.82</v>
      </c>
      <c r="M2653" s="13"/>
      <c r="N2653" s="17">
        <f t="shared" si="89"/>
        <v>620.62</v>
      </c>
      <c r="O2653" s="17">
        <f t="shared" si="89"/>
        <v>0</v>
      </c>
      <c r="P2653" s="17">
        <f t="shared" si="88"/>
        <v>620.62</v>
      </c>
      <c r="Q2653" t="str">
        <f>A2653&amp;"-"&amp;B2653&amp;"-"&amp;D2653</f>
        <v>JUNI-MJ2-L5</v>
      </c>
    </row>
    <row r="2654" spans="1:17" x14ac:dyDescent="0.25">
      <c r="A2654" t="s">
        <v>396</v>
      </c>
      <c r="B2654" s="13" t="s">
        <v>26</v>
      </c>
      <c r="C2654" s="13" t="s">
        <v>226</v>
      </c>
      <c r="D2654" s="14" t="s">
        <v>160</v>
      </c>
      <c r="E2654" s="13" t="s">
        <v>61</v>
      </c>
      <c r="F2654" s="13" t="s">
        <v>1110</v>
      </c>
      <c r="G2654" s="13">
        <v>0.72</v>
      </c>
      <c r="H2654" s="15">
        <v>1948</v>
      </c>
      <c r="I2654" s="16">
        <v>1402.56</v>
      </c>
      <c r="J2654" s="16">
        <v>1061.1732711701475</v>
      </c>
      <c r="K2654" s="16">
        <v>341.38672882985253</v>
      </c>
      <c r="L2654" s="13">
        <v>1.36</v>
      </c>
      <c r="M2654" s="13"/>
      <c r="N2654" s="17">
        <f t="shared" si="89"/>
        <v>2649.28</v>
      </c>
      <c r="O2654" s="17">
        <f t="shared" si="89"/>
        <v>0</v>
      </c>
      <c r="P2654" s="17">
        <f t="shared" si="88"/>
        <v>2649.28</v>
      </c>
      <c r="Q2654" t="str">
        <f>A2654&amp;"-"&amp;B2654&amp;"-"&amp;D2654</f>
        <v>JUNI-MJ2-L5</v>
      </c>
    </row>
    <row r="2655" spans="1:17" x14ac:dyDescent="0.25">
      <c r="A2655" t="s">
        <v>396</v>
      </c>
      <c r="B2655" s="13" t="s">
        <v>26</v>
      </c>
      <c r="C2655" s="13" t="s">
        <v>226</v>
      </c>
      <c r="D2655" s="14" t="s">
        <v>160</v>
      </c>
      <c r="E2655" s="13" t="s">
        <v>61</v>
      </c>
      <c r="F2655" s="13" t="s">
        <v>1111</v>
      </c>
      <c r="G2655" s="13">
        <v>0.72</v>
      </c>
      <c r="H2655" s="15">
        <v>1994</v>
      </c>
      <c r="I2655" s="16">
        <v>1435.68</v>
      </c>
      <c r="J2655" s="16">
        <v>1069.7747920830773</v>
      </c>
      <c r="K2655" s="16">
        <v>365.90520791692279</v>
      </c>
      <c r="L2655" s="13">
        <v>1.36</v>
      </c>
      <c r="M2655" s="13"/>
      <c r="N2655" s="17">
        <f t="shared" si="89"/>
        <v>2711.84</v>
      </c>
      <c r="O2655" s="17">
        <f t="shared" si="89"/>
        <v>0</v>
      </c>
      <c r="P2655" s="17">
        <f t="shared" si="88"/>
        <v>2711.84</v>
      </c>
      <c r="Q2655" t="str">
        <f>A2655&amp;"-"&amp;B2655&amp;"-"&amp;D2655</f>
        <v>JUNI-MJ2-L5</v>
      </c>
    </row>
    <row r="2656" spans="1:17" x14ac:dyDescent="0.25">
      <c r="A2656" t="s">
        <v>396</v>
      </c>
      <c r="B2656" s="13" t="s">
        <v>26</v>
      </c>
      <c r="C2656" s="13" t="s">
        <v>226</v>
      </c>
      <c r="D2656" s="14" t="s">
        <v>160</v>
      </c>
      <c r="E2656" s="13" t="s">
        <v>61</v>
      </c>
      <c r="F2656" s="13" t="s">
        <v>1104</v>
      </c>
      <c r="G2656" s="13">
        <v>0.70000000000000007</v>
      </c>
      <c r="H2656" s="15">
        <v>11143</v>
      </c>
      <c r="I2656" s="16">
        <v>7800.1</v>
      </c>
      <c r="J2656" s="16">
        <v>6220.6257628111689</v>
      </c>
      <c r="K2656" s="16">
        <v>1579.4742371888315</v>
      </c>
      <c r="L2656" s="13">
        <v>1.3</v>
      </c>
      <c r="M2656" s="13"/>
      <c r="N2656" s="17">
        <f t="shared" si="89"/>
        <v>14485.9</v>
      </c>
      <c r="O2656" s="17">
        <f t="shared" si="89"/>
        <v>0</v>
      </c>
      <c r="P2656" s="17">
        <f t="shared" si="88"/>
        <v>14485.9</v>
      </c>
      <c r="Q2656" t="str">
        <f>A2656&amp;"-"&amp;B2656&amp;"-"&amp;D2656</f>
        <v>JUNI-MJ2-L5</v>
      </c>
    </row>
    <row r="2657" spans="1:17" x14ac:dyDescent="0.25">
      <c r="A2657" t="s">
        <v>396</v>
      </c>
      <c r="B2657" s="13" t="s">
        <v>26</v>
      </c>
      <c r="C2657" s="13" t="s">
        <v>226</v>
      </c>
      <c r="D2657" s="14" t="s">
        <v>160</v>
      </c>
      <c r="E2657" s="13" t="s">
        <v>61</v>
      </c>
      <c r="F2657" s="13" t="s">
        <v>1112</v>
      </c>
      <c r="G2657" s="13">
        <v>0.7</v>
      </c>
      <c r="H2657" s="15">
        <v>214</v>
      </c>
      <c r="I2657" s="16">
        <v>149.80000000000001</v>
      </c>
      <c r="J2657" s="16">
        <v>124.50206064374834</v>
      </c>
      <c r="K2657" s="16">
        <v>25.297939356251675</v>
      </c>
      <c r="L2657" s="13">
        <v>1.3</v>
      </c>
      <c r="M2657" s="13"/>
      <c r="N2657" s="17">
        <f t="shared" si="89"/>
        <v>278.2</v>
      </c>
      <c r="O2657" s="17">
        <f t="shared" si="89"/>
        <v>0</v>
      </c>
      <c r="P2657" s="17">
        <f t="shared" si="88"/>
        <v>278.2</v>
      </c>
      <c r="Q2657" t="str">
        <f>A2657&amp;"-"&amp;B2657&amp;"-"&amp;D2657</f>
        <v>JUNI-MJ2-L5</v>
      </c>
    </row>
    <row r="2658" spans="1:17" x14ac:dyDescent="0.25">
      <c r="A2658" t="s">
        <v>396</v>
      </c>
      <c r="B2658" s="13" t="s">
        <v>26</v>
      </c>
      <c r="C2658" s="13" t="s">
        <v>226</v>
      </c>
      <c r="D2658" s="14" t="s">
        <v>160</v>
      </c>
      <c r="E2658" s="13" t="s">
        <v>61</v>
      </c>
      <c r="F2658" s="13" t="s">
        <v>1113</v>
      </c>
      <c r="G2658" s="13">
        <v>0.71999999999999986</v>
      </c>
      <c r="H2658" s="15">
        <v>4626</v>
      </c>
      <c r="I2658" s="16">
        <v>3330.72</v>
      </c>
      <c r="J2658" s="16">
        <v>2319.8641366339193</v>
      </c>
      <c r="K2658" s="16">
        <v>1010.8558633660806</v>
      </c>
      <c r="L2658" s="13">
        <v>1.34</v>
      </c>
      <c r="M2658" s="13"/>
      <c r="N2658" s="17">
        <f t="shared" si="89"/>
        <v>6198.84</v>
      </c>
      <c r="O2658" s="17">
        <f t="shared" si="89"/>
        <v>0</v>
      </c>
      <c r="P2658" s="17">
        <f t="shared" si="88"/>
        <v>6198.84</v>
      </c>
      <c r="Q2658" t="str">
        <f>A2658&amp;"-"&amp;B2658&amp;"-"&amp;D2658</f>
        <v>JUNI-MJ2-L5</v>
      </c>
    </row>
    <row r="2659" spans="1:17" x14ac:dyDescent="0.25">
      <c r="A2659" t="s">
        <v>396</v>
      </c>
      <c r="B2659" s="13" t="s">
        <v>26</v>
      </c>
      <c r="C2659" s="13" t="s">
        <v>226</v>
      </c>
      <c r="D2659" s="14" t="s">
        <v>160</v>
      </c>
      <c r="E2659" s="13" t="s">
        <v>61</v>
      </c>
      <c r="F2659" s="13" t="s">
        <v>1106</v>
      </c>
      <c r="G2659" s="13">
        <v>0.72</v>
      </c>
      <c r="H2659" s="15">
        <v>661</v>
      </c>
      <c r="I2659" s="16">
        <v>475.92</v>
      </c>
      <c r="J2659" s="16">
        <v>391.02110375706758</v>
      </c>
      <c r="K2659" s="16">
        <v>84.898896242932423</v>
      </c>
      <c r="L2659" s="13">
        <v>1.34</v>
      </c>
      <c r="M2659" s="13"/>
      <c r="N2659" s="17">
        <f t="shared" si="89"/>
        <v>885.74</v>
      </c>
      <c r="O2659" s="17">
        <f t="shared" si="89"/>
        <v>0</v>
      </c>
      <c r="P2659" s="17">
        <f t="shared" si="88"/>
        <v>885.74</v>
      </c>
      <c r="Q2659" t="str">
        <f>A2659&amp;"-"&amp;B2659&amp;"-"&amp;D2659</f>
        <v>JUNI-MJ2-L5</v>
      </c>
    </row>
    <row r="2660" spans="1:17" x14ac:dyDescent="0.25">
      <c r="A2660" t="s">
        <v>396</v>
      </c>
      <c r="B2660" s="13" t="s">
        <v>26</v>
      </c>
      <c r="C2660" s="13" t="s">
        <v>226</v>
      </c>
      <c r="D2660" s="14" t="s">
        <v>160</v>
      </c>
      <c r="E2660" s="13" t="s">
        <v>61</v>
      </c>
      <c r="F2660" s="13" t="s">
        <v>996</v>
      </c>
      <c r="G2660" s="13">
        <v>0.65</v>
      </c>
      <c r="H2660" s="15">
        <v>1239</v>
      </c>
      <c r="I2660" s="16">
        <v>805.35</v>
      </c>
      <c r="J2660" s="16">
        <v>696.68844018172638</v>
      </c>
      <c r="K2660" s="16">
        <v>108.66155981827364</v>
      </c>
      <c r="L2660" s="13">
        <v>1.66</v>
      </c>
      <c r="M2660" s="13"/>
      <c r="N2660" s="17">
        <f t="shared" si="89"/>
        <v>2056.7399999999998</v>
      </c>
      <c r="O2660" s="17">
        <f t="shared" si="89"/>
        <v>0</v>
      </c>
      <c r="P2660" s="17">
        <f t="shared" si="88"/>
        <v>2056.7399999999998</v>
      </c>
      <c r="Q2660" t="str">
        <f>A2660&amp;"-"&amp;B2660&amp;"-"&amp;D2660</f>
        <v>JUNI-MJ2-L5</v>
      </c>
    </row>
    <row r="2661" spans="1:17" x14ac:dyDescent="0.25">
      <c r="A2661" t="s">
        <v>396</v>
      </c>
      <c r="B2661" s="13" t="s">
        <v>26</v>
      </c>
      <c r="C2661" s="13" t="s">
        <v>226</v>
      </c>
      <c r="D2661" s="14" t="s">
        <v>160</v>
      </c>
      <c r="E2661" s="13" t="s">
        <v>61</v>
      </c>
      <c r="F2661" s="13" t="s">
        <v>997</v>
      </c>
      <c r="G2661" s="13">
        <v>0.65</v>
      </c>
      <c r="H2661" s="15">
        <v>140</v>
      </c>
      <c r="I2661" s="16">
        <v>91</v>
      </c>
      <c r="J2661" s="16">
        <v>78.81595153962644</v>
      </c>
      <c r="K2661" s="16">
        <v>12.184048460373546</v>
      </c>
      <c r="L2661" s="13">
        <v>1.66</v>
      </c>
      <c r="M2661" s="13"/>
      <c r="N2661" s="17">
        <f t="shared" si="89"/>
        <v>232.39999999999998</v>
      </c>
      <c r="O2661" s="17">
        <f t="shared" si="89"/>
        <v>0</v>
      </c>
      <c r="P2661" s="17">
        <f t="shared" si="88"/>
        <v>232.39999999999998</v>
      </c>
      <c r="Q2661" t="str">
        <f>A2661&amp;"-"&amp;B2661&amp;"-"&amp;D2661</f>
        <v>JUNI-MJ2-L5</v>
      </c>
    </row>
    <row r="2662" spans="1:17" x14ac:dyDescent="0.25">
      <c r="A2662" t="s">
        <v>396</v>
      </c>
      <c r="B2662" s="13" t="s">
        <v>26</v>
      </c>
      <c r="C2662" s="13" t="s">
        <v>226</v>
      </c>
      <c r="D2662" s="14" t="s">
        <v>160</v>
      </c>
      <c r="E2662" s="13" t="s">
        <v>61</v>
      </c>
      <c r="F2662" s="13" t="s">
        <v>1087</v>
      </c>
      <c r="G2662" s="13">
        <v>0.65</v>
      </c>
      <c r="H2662" s="15">
        <v>10483</v>
      </c>
      <c r="I2662" s="16">
        <v>6813.95</v>
      </c>
      <c r="J2662" s="16">
        <v>5425.02838119426</v>
      </c>
      <c r="K2662" s="16">
        <v>1388.9216188057399</v>
      </c>
      <c r="L2662" s="13">
        <v>1.64</v>
      </c>
      <c r="M2662" s="13"/>
      <c r="N2662" s="17">
        <f t="shared" si="89"/>
        <v>17192.12</v>
      </c>
      <c r="O2662" s="17">
        <f t="shared" si="89"/>
        <v>0</v>
      </c>
      <c r="P2662" s="17">
        <f t="shared" si="88"/>
        <v>17192.12</v>
      </c>
      <c r="Q2662" t="str">
        <f>A2662&amp;"-"&amp;B2662&amp;"-"&amp;D2662</f>
        <v>JUNI-MJ2-L5</v>
      </c>
    </row>
    <row r="2663" spans="1:17" x14ac:dyDescent="0.25">
      <c r="A2663" t="s">
        <v>396</v>
      </c>
      <c r="B2663" s="13" t="s">
        <v>26</v>
      </c>
      <c r="C2663" s="13" t="s">
        <v>226</v>
      </c>
      <c r="D2663" s="14" t="s">
        <v>160</v>
      </c>
      <c r="E2663" s="13" t="s">
        <v>61</v>
      </c>
      <c r="F2663" s="13" t="s">
        <v>998</v>
      </c>
      <c r="G2663" s="13">
        <v>0.88</v>
      </c>
      <c r="H2663" s="15">
        <v>429</v>
      </c>
      <c r="I2663" s="16">
        <v>377.52</v>
      </c>
      <c r="J2663" s="16">
        <v>249.08018592357735</v>
      </c>
      <c r="K2663" s="16">
        <v>128.43981407642264</v>
      </c>
      <c r="L2663" s="13">
        <v>5.29</v>
      </c>
      <c r="M2663" s="13"/>
      <c r="N2663" s="17">
        <f t="shared" si="89"/>
        <v>2269.41</v>
      </c>
      <c r="O2663" s="17">
        <f t="shared" si="89"/>
        <v>0</v>
      </c>
      <c r="P2663" s="17">
        <f t="shared" si="88"/>
        <v>2269.41</v>
      </c>
      <c r="Q2663" t="str">
        <f>A2663&amp;"-"&amp;B2663&amp;"-"&amp;D2663</f>
        <v>JUNI-MJ2-L5</v>
      </c>
    </row>
    <row r="2664" spans="1:17" x14ac:dyDescent="0.25">
      <c r="A2664" t="s">
        <v>396</v>
      </c>
      <c r="B2664" s="13" t="s">
        <v>26</v>
      </c>
      <c r="C2664" s="13" t="s">
        <v>226</v>
      </c>
      <c r="D2664" s="14" t="s">
        <v>160</v>
      </c>
      <c r="E2664" s="13" t="s">
        <v>61</v>
      </c>
      <c r="F2664" s="13" t="s">
        <v>1114</v>
      </c>
      <c r="G2664" s="13">
        <v>0.87</v>
      </c>
      <c r="H2664" s="15">
        <v>57</v>
      </c>
      <c r="I2664" s="16">
        <v>49.59</v>
      </c>
      <c r="J2664" s="16">
        <v>31.702247191011235</v>
      </c>
      <c r="K2664" s="16">
        <v>17.887752808988768</v>
      </c>
      <c r="L2664" s="13">
        <v>5.22</v>
      </c>
      <c r="M2664" s="13"/>
      <c r="N2664" s="17">
        <f t="shared" si="89"/>
        <v>297.53999999999996</v>
      </c>
      <c r="O2664" s="17">
        <f t="shared" si="89"/>
        <v>0</v>
      </c>
      <c r="P2664" s="17">
        <f t="shared" si="88"/>
        <v>297.53999999999996</v>
      </c>
      <c r="Q2664" t="str">
        <f>A2664&amp;"-"&amp;B2664&amp;"-"&amp;D2664</f>
        <v>JUNI-MJ2-L5</v>
      </c>
    </row>
    <row r="2665" spans="1:17" x14ac:dyDescent="0.25">
      <c r="A2665" t="s">
        <v>396</v>
      </c>
      <c r="B2665" s="13" t="s">
        <v>26</v>
      </c>
      <c r="C2665" s="13" t="s">
        <v>226</v>
      </c>
      <c r="D2665" s="14" t="s">
        <v>163</v>
      </c>
      <c r="E2665" s="13" t="s">
        <v>61</v>
      </c>
      <c r="F2665" s="13" t="s">
        <v>1107</v>
      </c>
      <c r="G2665" s="13">
        <v>0.76</v>
      </c>
      <c r="H2665" s="15">
        <v>1435</v>
      </c>
      <c r="I2665" s="16">
        <v>1090.5999999999999</v>
      </c>
      <c r="J2665" s="16">
        <v>885.22029308538072</v>
      </c>
      <c r="K2665" s="16">
        <v>205.37970691461931</v>
      </c>
      <c r="L2665" s="13">
        <v>2</v>
      </c>
      <c r="M2665" s="13"/>
      <c r="N2665" s="17">
        <f t="shared" si="89"/>
        <v>2870</v>
      </c>
      <c r="O2665" s="17">
        <f t="shared" si="89"/>
        <v>0</v>
      </c>
      <c r="P2665" s="17">
        <f t="shared" si="88"/>
        <v>2870</v>
      </c>
      <c r="Q2665" t="str">
        <f>A2665&amp;"-"&amp;B2665&amp;"-"&amp;D2665</f>
        <v>JUNI-MJ2-L6</v>
      </c>
    </row>
    <row r="2666" spans="1:17" x14ac:dyDescent="0.25">
      <c r="A2666" t="s">
        <v>396</v>
      </c>
      <c r="B2666" s="13" t="s">
        <v>26</v>
      </c>
      <c r="C2666" s="13" t="s">
        <v>226</v>
      </c>
      <c r="D2666" s="14" t="s">
        <v>163</v>
      </c>
      <c r="E2666" s="13" t="s">
        <v>61</v>
      </c>
      <c r="F2666" s="13" t="s">
        <v>1109</v>
      </c>
      <c r="G2666" s="13">
        <v>0.76</v>
      </c>
      <c r="H2666" s="15">
        <v>1923</v>
      </c>
      <c r="I2666" s="16">
        <v>1461.48</v>
      </c>
      <c r="J2666" s="16">
        <v>1037.4835742444152</v>
      </c>
      <c r="K2666" s="16">
        <v>423.99642575558477</v>
      </c>
      <c r="L2666" s="13">
        <v>2</v>
      </c>
      <c r="M2666" s="13"/>
      <c r="N2666" s="17">
        <f t="shared" si="89"/>
        <v>3846</v>
      </c>
      <c r="O2666" s="17">
        <f t="shared" si="89"/>
        <v>0</v>
      </c>
      <c r="P2666" s="17">
        <f t="shared" si="88"/>
        <v>3846</v>
      </c>
      <c r="Q2666" t="str">
        <f>A2666&amp;"-"&amp;B2666&amp;"-"&amp;D2666</f>
        <v>JUNI-MJ2-L6</v>
      </c>
    </row>
    <row r="2667" spans="1:17" x14ac:dyDescent="0.25">
      <c r="A2667" t="s">
        <v>396</v>
      </c>
      <c r="B2667" s="13" t="s">
        <v>26</v>
      </c>
      <c r="C2667" s="13" t="s">
        <v>226</v>
      </c>
      <c r="D2667" s="14" t="s">
        <v>163</v>
      </c>
      <c r="E2667" s="13" t="s">
        <v>61</v>
      </c>
      <c r="F2667" s="13" t="s">
        <v>1110</v>
      </c>
      <c r="G2667" s="13">
        <v>0.72</v>
      </c>
      <c r="H2667" s="15">
        <v>996</v>
      </c>
      <c r="I2667" s="16">
        <v>717.12</v>
      </c>
      <c r="J2667" s="16">
        <v>496.24559637644694</v>
      </c>
      <c r="K2667" s="16">
        <v>220.87440362355306</v>
      </c>
      <c r="L2667" s="13">
        <v>1.36</v>
      </c>
      <c r="M2667" s="13"/>
      <c r="N2667" s="17">
        <f t="shared" si="89"/>
        <v>1354.5600000000002</v>
      </c>
      <c r="O2667" s="17">
        <f t="shared" si="89"/>
        <v>0</v>
      </c>
      <c r="P2667" s="17">
        <f t="shared" si="88"/>
        <v>1354.5600000000002</v>
      </c>
      <c r="Q2667" t="str">
        <f>A2667&amp;"-"&amp;B2667&amp;"-"&amp;D2667</f>
        <v>JUNI-MJ2-L6</v>
      </c>
    </row>
    <row r="2668" spans="1:17" x14ac:dyDescent="0.25">
      <c r="A2668" t="s">
        <v>396</v>
      </c>
      <c r="B2668" s="13" t="s">
        <v>26</v>
      </c>
      <c r="C2668" s="13" t="s">
        <v>226</v>
      </c>
      <c r="D2668" s="14" t="s">
        <v>163</v>
      </c>
      <c r="E2668" s="13" t="s">
        <v>61</v>
      </c>
      <c r="F2668" s="13" t="s">
        <v>1111</v>
      </c>
      <c r="G2668" s="13">
        <v>0.72</v>
      </c>
      <c r="H2668" s="15">
        <v>1169</v>
      </c>
      <c r="I2668" s="16">
        <v>841.68</v>
      </c>
      <c r="J2668" s="16">
        <v>592.15071189036348</v>
      </c>
      <c r="K2668" s="16">
        <v>249.52928810963644</v>
      </c>
      <c r="L2668" s="13">
        <v>1.36</v>
      </c>
      <c r="M2668" s="13"/>
      <c r="N2668" s="17">
        <f t="shared" si="89"/>
        <v>1589.8400000000001</v>
      </c>
      <c r="O2668" s="17">
        <f t="shared" si="89"/>
        <v>0</v>
      </c>
      <c r="P2668" s="17">
        <f t="shared" si="88"/>
        <v>1589.8400000000001</v>
      </c>
      <c r="Q2668" t="str">
        <f>A2668&amp;"-"&amp;B2668&amp;"-"&amp;D2668</f>
        <v>JUNI-MJ2-L6</v>
      </c>
    </row>
    <row r="2669" spans="1:17" x14ac:dyDescent="0.25">
      <c r="A2669" t="s">
        <v>396</v>
      </c>
      <c r="B2669" s="13" t="s">
        <v>26</v>
      </c>
      <c r="C2669" s="13" t="s">
        <v>226</v>
      </c>
      <c r="D2669" s="14" t="s">
        <v>163</v>
      </c>
      <c r="E2669" s="13" t="s">
        <v>61</v>
      </c>
      <c r="F2669" s="13" t="s">
        <v>1104</v>
      </c>
      <c r="G2669" s="13">
        <v>0.70000000000000007</v>
      </c>
      <c r="H2669" s="15">
        <v>14290</v>
      </c>
      <c r="I2669" s="16">
        <v>10003</v>
      </c>
      <c r="J2669" s="16">
        <v>6932.7663604902773</v>
      </c>
      <c r="K2669" s="16">
        <v>3070.2336395097227</v>
      </c>
      <c r="L2669" s="13">
        <v>1.3</v>
      </c>
      <c r="M2669" s="13"/>
      <c r="N2669" s="17">
        <f t="shared" si="89"/>
        <v>18577</v>
      </c>
      <c r="O2669" s="17">
        <f t="shared" si="89"/>
        <v>0</v>
      </c>
      <c r="P2669" s="17">
        <f t="shared" si="88"/>
        <v>18577</v>
      </c>
      <c r="Q2669" t="str">
        <f>A2669&amp;"-"&amp;B2669&amp;"-"&amp;D2669</f>
        <v>JUNI-MJ2-L6</v>
      </c>
    </row>
    <row r="2670" spans="1:17" x14ac:dyDescent="0.25">
      <c r="A2670" t="s">
        <v>396</v>
      </c>
      <c r="B2670" s="13" t="s">
        <v>26</v>
      </c>
      <c r="C2670" s="13" t="s">
        <v>226</v>
      </c>
      <c r="D2670" s="14" t="s">
        <v>163</v>
      </c>
      <c r="E2670" s="13" t="s">
        <v>61</v>
      </c>
      <c r="F2670" s="13" t="s">
        <v>1112</v>
      </c>
      <c r="G2670" s="13">
        <v>0.69999999999999984</v>
      </c>
      <c r="H2670" s="15">
        <v>2664</v>
      </c>
      <c r="I2670" s="16">
        <v>1864.8</v>
      </c>
      <c r="J2670" s="16">
        <v>1335.6858739510078</v>
      </c>
      <c r="K2670" s="16">
        <v>529.11412604899226</v>
      </c>
      <c r="L2670" s="13">
        <v>1.3</v>
      </c>
      <c r="M2670" s="13"/>
      <c r="N2670" s="17">
        <f t="shared" si="89"/>
        <v>3463.2000000000003</v>
      </c>
      <c r="O2670" s="17">
        <f t="shared" si="89"/>
        <v>0</v>
      </c>
      <c r="P2670" s="17">
        <f t="shared" si="88"/>
        <v>3463.2000000000003</v>
      </c>
      <c r="Q2670" t="str">
        <f>A2670&amp;"-"&amp;B2670&amp;"-"&amp;D2670</f>
        <v>JUNI-MJ2-L6</v>
      </c>
    </row>
    <row r="2671" spans="1:17" x14ac:dyDescent="0.25">
      <c r="A2671" t="s">
        <v>396</v>
      </c>
      <c r="B2671" s="13" t="s">
        <v>26</v>
      </c>
      <c r="C2671" s="13" t="s">
        <v>226</v>
      </c>
      <c r="D2671" s="14" t="s">
        <v>163</v>
      </c>
      <c r="E2671" s="13" t="s">
        <v>61</v>
      </c>
      <c r="F2671" s="13" t="s">
        <v>1113</v>
      </c>
      <c r="G2671" s="13">
        <v>0.72</v>
      </c>
      <c r="H2671" s="15">
        <v>1104</v>
      </c>
      <c r="I2671" s="16">
        <v>794.88</v>
      </c>
      <c r="J2671" s="16">
        <v>546.25595844347367</v>
      </c>
      <c r="K2671" s="16">
        <v>248.62404155652629</v>
      </c>
      <c r="L2671" s="13">
        <v>1.34</v>
      </c>
      <c r="M2671" s="13"/>
      <c r="N2671" s="17">
        <f t="shared" si="89"/>
        <v>1479.3600000000001</v>
      </c>
      <c r="O2671" s="17">
        <f t="shared" si="89"/>
        <v>0</v>
      </c>
      <c r="P2671" s="17">
        <f t="shared" si="88"/>
        <v>1479.3600000000001</v>
      </c>
      <c r="Q2671" t="str">
        <f>A2671&amp;"-"&amp;B2671&amp;"-"&amp;D2671</f>
        <v>JUNI-MJ2-L6</v>
      </c>
    </row>
    <row r="2672" spans="1:17" x14ac:dyDescent="0.25">
      <c r="A2672" t="s">
        <v>396</v>
      </c>
      <c r="B2672" s="13" t="s">
        <v>26</v>
      </c>
      <c r="C2672" s="13" t="s">
        <v>226</v>
      </c>
      <c r="D2672" s="14" t="s">
        <v>163</v>
      </c>
      <c r="E2672" s="13" t="s">
        <v>61</v>
      </c>
      <c r="F2672" s="13" t="s">
        <v>1106</v>
      </c>
      <c r="G2672" s="13">
        <v>0.72</v>
      </c>
      <c r="H2672" s="15">
        <v>463</v>
      </c>
      <c r="I2672" s="16">
        <v>333.36</v>
      </c>
      <c r="J2672" s="16">
        <v>237.66444107404612</v>
      </c>
      <c r="K2672" s="16">
        <v>95.695558925953875</v>
      </c>
      <c r="L2672" s="13">
        <v>1.34</v>
      </c>
      <c r="M2672" s="13"/>
      <c r="N2672" s="17">
        <f t="shared" si="89"/>
        <v>620.42000000000007</v>
      </c>
      <c r="O2672" s="17">
        <f t="shared" si="89"/>
        <v>0</v>
      </c>
      <c r="P2672" s="17">
        <f t="shared" si="88"/>
        <v>620.42000000000007</v>
      </c>
      <c r="Q2672" t="str">
        <f>A2672&amp;"-"&amp;B2672&amp;"-"&amp;D2672</f>
        <v>JUNI-MJ2-L6</v>
      </c>
    </row>
    <row r="2673" spans="1:17" x14ac:dyDescent="0.25">
      <c r="A2673" t="s">
        <v>396</v>
      </c>
      <c r="B2673" s="13" t="s">
        <v>26</v>
      </c>
      <c r="C2673" s="13" t="s">
        <v>226</v>
      </c>
      <c r="D2673" s="14" t="s">
        <v>163</v>
      </c>
      <c r="E2673" s="13" t="s">
        <v>61</v>
      </c>
      <c r="F2673" s="13" t="s">
        <v>996</v>
      </c>
      <c r="G2673" s="13">
        <v>0.65</v>
      </c>
      <c r="H2673" s="15">
        <v>234</v>
      </c>
      <c r="I2673" s="16">
        <v>152.10000000000002</v>
      </c>
      <c r="J2673" s="16">
        <v>145.29026618979364</v>
      </c>
      <c r="K2673" s="16">
        <v>6.8097338102063745</v>
      </c>
      <c r="L2673" s="13">
        <v>1.66</v>
      </c>
      <c r="M2673" s="13"/>
      <c r="N2673" s="17">
        <f t="shared" si="89"/>
        <v>388.44</v>
      </c>
      <c r="O2673" s="17">
        <f t="shared" si="89"/>
        <v>0</v>
      </c>
      <c r="P2673" s="17">
        <f t="shared" si="88"/>
        <v>388.44</v>
      </c>
      <c r="Q2673" t="str">
        <f>A2673&amp;"-"&amp;B2673&amp;"-"&amp;D2673</f>
        <v>JUNI-MJ2-L6</v>
      </c>
    </row>
    <row r="2674" spans="1:17" x14ac:dyDescent="0.25">
      <c r="A2674" t="s">
        <v>396</v>
      </c>
      <c r="B2674" s="13" t="s">
        <v>26</v>
      </c>
      <c r="C2674" s="13" t="s">
        <v>226</v>
      </c>
      <c r="D2674" s="14" t="s">
        <v>163</v>
      </c>
      <c r="E2674" s="13" t="s">
        <v>61</v>
      </c>
      <c r="F2674" s="13" t="s">
        <v>997</v>
      </c>
      <c r="G2674" s="13">
        <v>0.65</v>
      </c>
      <c r="H2674" s="15">
        <v>113</v>
      </c>
      <c r="I2674" s="16">
        <v>73.45</v>
      </c>
      <c r="J2674" s="16">
        <v>81.431187091144437</v>
      </c>
      <c r="K2674" s="16">
        <v>-7.9811870911444451</v>
      </c>
      <c r="L2674" s="13">
        <v>1.66</v>
      </c>
      <c r="M2674" s="13"/>
      <c r="N2674" s="17">
        <f t="shared" si="89"/>
        <v>187.57999999999998</v>
      </c>
      <c r="O2674" s="17">
        <f t="shared" si="89"/>
        <v>0</v>
      </c>
      <c r="P2674" s="17">
        <f t="shared" si="88"/>
        <v>187.57999999999998</v>
      </c>
      <c r="Q2674" t="str">
        <f>A2674&amp;"-"&amp;B2674&amp;"-"&amp;D2674</f>
        <v>JUNI-MJ2-L6</v>
      </c>
    </row>
    <row r="2675" spans="1:17" x14ac:dyDescent="0.25">
      <c r="A2675" t="s">
        <v>396</v>
      </c>
      <c r="B2675" s="13" t="s">
        <v>26</v>
      </c>
      <c r="C2675" s="13" t="s">
        <v>226</v>
      </c>
      <c r="D2675" s="14" t="s">
        <v>163</v>
      </c>
      <c r="E2675" s="13" t="s">
        <v>61</v>
      </c>
      <c r="F2675" s="13" t="s">
        <v>1087</v>
      </c>
      <c r="G2675" s="13">
        <v>0.65</v>
      </c>
      <c r="H2675" s="15">
        <v>11872</v>
      </c>
      <c r="I2675" s="16">
        <v>7716.8</v>
      </c>
      <c r="J2675" s="16">
        <v>5997.2961326702034</v>
      </c>
      <c r="K2675" s="16">
        <v>1719.5038673297959</v>
      </c>
      <c r="L2675" s="13">
        <v>1.64</v>
      </c>
      <c r="M2675" s="13"/>
      <c r="N2675" s="17">
        <f t="shared" si="89"/>
        <v>19470.079999999998</v>
      </c>
      <c r="O2675" s="17">
        <f t="shared" si="89"/>
        <v>0</v>
      </c>
      <c r="P2675" s="17">
        <f t="shared" si="88"/>
        <v>19470.079999999998</v>
      </c>
      <c r="Q2675" t="str">
        <f>A2675&amp;"-"&amp;B2675&amp;"-"&amp;D2675</f>
        <v>JUNI-MJ2-L6</v>
      </c>
    </row>
    <row r="2676" spans="1:17" x14ac:dyDescent="0.25">
      <c r="A2676" t="s">
        <v>396</v>
      </c>
      <c r="B2676" s="13" t="s">
        <v>26</v>
      </c>
      <c r="C2676" s="13" t="s">
        <v>226</v>
      </c>
      <c r="D2676" s="14" t="s">
        <v>163</v>
      </c>
      <c r="E2676" s="13" t="s">
        <v>61</v>
      </c>
      <c r="F2676" s="13" t="s">
        <v>998</v>
      </c>
      <c r="G2676" s="13">
        <v>0.88</v>
      </c>
      <c r="H2676" s="15">
        <v>692</v>
      </c>
      <c r="I2676" s="16">
        <v>608.96</v>
      </c>
      <c r="J2676" s="16">
        <v>403.73549537320764</v>
      </c>
      <c r="K2676" s="16">
        <v>205.2245046267924</v>
      </c>
      <c r="L2676" s="13">
        <v>5.29</v>
      </c>
      <c r="M2676" s="13"/>
      <c r="N2676" s="17">
        <f t="shared" si="89"/>
        <v>3660.68</v>
      </c>
      <c r="O2676" s="17">
        <f t="shared" si="89"/>
        <v>0</v>
      </c>
      <c r="P2676" s="17">
        <f t="shared" si="88"/>
        <v>3660.68</v>
      </c>
      <c r="Q2676" t="str">
        <f>A2676&amp;"-"&amp;B2676&amp;"-"&amp;D2676</f>
        <v>JUNI-MJ2-L6</v>
      </c>
    </row>
    <row r="2677" spans="1:17" x14ac:dyDescent="0.25">
      <c r="A2677" t="s">
        <v>396</v>
      </c>
      <c r="B2677" s="13" t="s">
        <v>26</v>
      </c>
      <c r="C2677" s="13" t="s">
        <v>226</v>
      </c>
      <c r="D2677" s="14" t="s">
        <v>163</v>
      </c>
      <c r="E2677" s="13" t="s">
        <v>61</v>
      </c>
      <c r="F2677" s="13" t="s">
        <v>1114</v>
      </c>
      <c r="G2677" s="13">
        <v>0.87</v>
      </c>
      <c r="H2677" s="15">
        <v>1778</v>
      </c>
      <c r="I2677" s="16">
        <v>1546.8600000000001</v>
      </c>
      <c r="J2677" s="16">
        <v>1108.774109120239</v>
      </c>
      <c r="K2677" s="16">
        <v>438.08589087976105</v>
      </c>
      <c r="L2677" s="13">
        <v>5.22</v>
      </c>
      <c r="M2677" s="13"/>
      <c r="N2677" s="17">
        <f t="shared" si="89"/>
        <v>9281.16</v>
      </c>
      <c r="O2677" s="17">
        <f t="shared" si="89"/>
        <v>0</v>
      </c>
      <c r="P2677" s="17">
        <f t="shared" si="88"/>
        <v>9281.16</v>
      </c>
      <c r="Q2677" t="str">
        <f>A2677&amp;"-"&amp;B2677&amp;"-"&amp;D2677</f>
        <v>JUNI-MJ2-L6</v>
      </c>
    </row>
    <row r="2678" spans="1:17" x14ac:dyDescent="0.25">
      <c r="A2678" t="s">
        <v>396</v>
      </c>
      <c r="B2678" s="13" t="s">
        <v>26</v>
      </c>
      <c r="C2678" s="13" t="s">
        <v>226</v>
      </c>
      <c r="D2678" s="14" t="s">
        <v>164</v>
      </c>
      <c r="E2678" s="13" t="s">
        <v>61</v>
      </c>
      <c r="F2678" s="13" t="s">
        <v>1107</v>
      </c>
      <c r="G2678" s="13">
        <v>0.76</v>
      </c>
      <c r="H2678" s="15">
        <v>1435</v>
      </c>
      <c r="I2678" s="16">
        <v>1090.5999999999999</v>
      </c>
      <c r="J2678" s="16">
        <v>884.89413466093731</v>
      </c>
      <c r="K2678" s="16">
        <v>205.70586533906265</v>
      </c>
      <c r="L2678" s="13">
        <v>2</v>
      </c>
      <c r="M2678" s="13"/>
      <c r="N2678" s="17">
        <f t="shared" si="89"/>
        <v>2870</v>
      </c>
      <c r="O2678" s="17">
        <f t="shared" si="89"/>
        <v>0</v>
      </c>
      <c r="P2678" s="17">
        <f t="shared" si="88"/>
        <v>2870</v>
      </c>
      <c r="Q2678" t="str">
        <f>A2678&amp;"-"&amp;B2678&amp;"-"&amp;D2678</f>
        <v>JUNI-MJ2-L7</v>
      </c>
    </row>
    <row r="2679" spans="1:17" x14ac:dyDescent="0.25">
      <c r="A2679" t="s">
        <v>396</v>
      </c>
      <c r="B2679" s="13" t="s">
        <v>26</v>
      </c>
      <c r="C2679" s="13" t="s">
        <v>226</v>
      </c>
      <c r="D2679" s="14" t="s">
        <v>164</v>
      </c>
      <c r="E2679" s="13" t="s">
        <v>61</v>
      </c>
      <c r="F2679" s="13" t="s">
        <v>1109</v>
      </c>
      <c r="G2679" s="13">
        <v>0.76</v>
      </c>
      <c r="H2679" s="15">
        <v>1922</v>
      </c>
      <c r="I2679" s="16">
        <v>1460.72</v>
      </c>
      <c r="J2679" s="16">
        <v>1036.8023637557453</v>
      </c>
      <c r="K2679" s="16">
        <v>423.91763624425477</v>
      </c>
      <c r="L2679" s="13">
        <v>2</v>
      </c>
      <c r="M2679" s="13"/>
      <c r="N2679" s="17">
        <f t="shared" si="89"/>
        <v>3844</v>
      </c>
      <c r="O2679" s="17">
        <f t="shared" si="89"/>
        <v>0</v>
      </c>
      <c r="P2679" s="17">
        <f t="shared" si="88"/>
        <v>3844</v>
      </c>
      <c r="Q2679" t="str">
        <f>A2679&amp;"-"&amp;B2679&amp;"-"&amp;D2679</f>
        <v>JUNI-MJ2-L7</v>
      </c>
    </row>
    <row r="2680" spans="1:17" x14ac:dyDescent="0.25">
      <c r="A2680" t="s">
        <v>396</v>
      </c>
      <c r="B2680" s="13" t="s">
        <v>26</v>
      </c>
      <c r="C2680" s="13" t="s">
        <v>226</v>
      </c>
      <c r="D2680" s="14" t="s">
        <v>164</v>
      </c>
      <c r="E2680" s="13" t="s">
        <v>61</v>
      </c>
      <c r="F2680" s="13" t="s">
        <v>1110</v>
      </c>
      <c r="G2680" s="13">
        <v>0.72</v>
      </c>
      <c r="H2680" s="15">
        <v>996</v>
      </c>
      <c r="I2680" s="16">
        <v>717.12</v>
      </c>
      <c r="J2680" s="16">
        <v>496.24559637644694</v>
      </c>
      <c r="K2680" s="16">
        <v>220.87440362355306</v>
      </c>
      <c r="L2680" s="13">
        <v>1.36</v>
      </c>
      <c r="M2680" s="13"/>
      <c r="N2680" s="17">
        <f t="shared" si="89"/>
        <v>1354.5600000000002</v>
      </c>
      <c r="O2680" s="17">
        <f t="shared" si="89"/>
        <v>0</v>
      </c>
      <c r="P2680" s="17">
        <f t="shared" si="88"/>
        <v>1354.5600000000002</v>
      </c>
      <c r="Q2680" t="str">
        <f>A2680&amp;"-"&amp;B2680&amp;"-"&amp;D2680</f>
        <v>JUNI-MJ2-L7</v>
      </c>
    </row>
    <row r="2681" spans="1:17" x14ac:dyDescent="0.25">
      <c r="A2681" t="s">
        <v>396</v>
      </c>
      <c r="B2681" s="13" t="s">
        <v>26</v>
      </c>
      <c r="C2681" s="13" t="s">
        <v>226</v>
      </c>
      <c r="D2681" s="14" t="s">
        <v>164</v>
      </c>
      <c r="E2681" s="13" t="s">
        <v>61</v>
      </c>
      <c r="F2681" s="13" t="s">
        <v>1111</v>
      </c>
      <c r="G2681" s="13">
        <v>0.72</v>
      </c>
      <c r="H2681" s="15">
        <v>1171</v>
      </c>
      <c r="I2681" s="16">
        <v>843.12</v>
      </c>
      <c r="J2681" s="16">
        <v>592.98304663542842</v>
      </c>
      <c r="K2681" s="16">
        <v>250.13695336457155</v>
      </c>
      <c r="L2681" s="13">
        <v>1.36</v>
      </c>
      <c r="M2681" s="13"/>
      <c r="N2681" s="17">
        <f t="shared" si="89"/>
        <v>1592.5600000000002</v>
      </c>
      <c r="O2681" s="17">
        <f t="shared" si="89"/>
        <v>0</v>
      </c>
      <c r="P2681" s="17">
        <f t="shared" si="88"/>
        <v>1592.5600000000002</v>
      </c>
      <c r="Q2681" t="str">
        <f>A2681&amp;"-"&amp;B2681&amp;"-"&amp;D2681</f>
        <v>JUNI-MJ2-L7</v>
      </c>
    </row>
    <row r="2682" spans="1:17" x14ac:dyDescent="0.25">
      <c r="A2682" t="s">
        <v>396</v>
      </c>
      <c r="B2682" s="13" t="s">
        <v>26</v>
      </c>
      <c r="C2682" s="13" t="s">
        <v>226</v>
      </c>
      <c r="D2682" s="14" t="s">
        <v>164</v>
      </c>
      <c r="E2682" s="13" t="s">
        <v>61</v>
      </c>
      <c r="F2682" s="13" t="s">
        <v>1104</v>
      </c>
      <c r="G2682" s="13">
        <v>0.70000000000000007</v>
      </c>
      <c r="H2682" s="15">
        <v>14290</v>
      </c>
      <c r="I2682" s="16">
        <v>10003</v>
      </c>
      <c r="J2682" s="16">
        <v>6933.3668562609801</v>
      </c>
      <c r="K2682" s="16">
        <v>3069.6331437390199</v>
      </c>
      <c r="L2682" s="13">
        <v>1.3</v>
      </c>
      <c r="M2682" s="13"/>
      <c r="N2682" s="17">
        <f t="shared" si="89"/>
        <v>18577</v>
      </c>
      <c r="O2682" s="17">
        <f t="shared" si="89"/>
        <v>0</v>
      </c>
      <c r="P2682" s="17">
        <f t="shared" si="88"/>
        <v>18577</v>
      </c>
      <c r="Q2682" t="str">
        <f>A2682&amp;"-"&amp;B2682&amp;"-"&amp;D2682</f>
        <v>JUNI-MJ2-L7</v>
      </c>
    </row>
    <row r="2683" spans="1:17" x14ac:dyDescent="0.25">
      <c r="A2683" t="s">
        <v>396</v>
      </c>
      <c r="B2683" s="13" t="s">
        <v>26</v>
      </c>
      <c r="C2683" s="13" t="s">
        <v>226</v>
      </c>
      <c r="D2683" s="14" t="s">
        <v>164</v>
      </c>
      <c r="E2683" s="13" t="s">
        <v>61</v>
      </c>
      <c r="F2683" s="13" t="s">
        <v>1112</v>
      </c>
      <c r="G2683" s="13">
        <v>0.69999999999999984</v>
      </c>
      <c r="H2683" s="15">
        <v>2664</v>
      </c>
      <c r="I2683" s="16">
        <v>1864.8</v>
      </c>
      <c r="J2683" s="16">
        <v>1335.4308027645534</v>
      </c>
      <c r="K2683" s="16">
        <v>529.36919723544634</v>
      </c>
      <c r="L2683" s="13">
        <v>1.3</v>
      </c>
      <c r="M2683" s="13"/>
      <c r="N2683" s="17">
        <f t="shared" si="89"/>
        <v>3463.2000000000003</v>
      </c>
      <c r="O2683" s="17">
        <f t="shared" si="89"/>
        <v>0</v>
      </c>
      <c r="P2683" s="17">
        <f t="shared" si="88"/>
        <v>3463.2000000000003</v>
      </c>
      <c r="Q2683" t="str">
        <f>A2683&amp;"-"&amp;B2683&amp;"-"&amp;D2683</f>
        <v>JUNI-MJ2-L7</v>
      </c>
    </row>
    <row r="2684" spans="1:17" x14ac:dyDescent="0.25">
      <c r="A2684" t="s">
        <v>396</v>
      </c>
      <c r="B2684" s="13" t="s">
        <v>26</v>
      </c>
      <c r="C2684" s="13" t="s">
        <v>226</v>
      </c>
      <c r="D2684" s="14" t="s">
        <v>164</v>
      </c>
      <c r="E2684" s="13" t="s">
        <v>61</v>
      </c>
      <c r="F2684" s="13" t="s">
        <v>1113</v>
      </c>
      <c r="G2684" s="13">
        <v>0.72</v>
      </c>
      <c r="H2684" s="15">
        <v>1103</v>
      </c>
      <c r="I2684" s="16">
        <v>794.16</v>
      </c>
      <c r="J2684" s="16">
        <v>545.72646082212088</v>
      </c>
      <c r="K2684" s="16">
        <v>248.43353917787911</v>
      </c>
      <c r="L2684" s="13">
        <v>1.34</v>
      </c>
      <c r="M2684" s="13"/>
      <c r="N2684" s="17">
        <f t="shared" si="89"/>
        <v>1478.02</v>
      </c>
      <c r="O2684" s="17">
        <f t="shared" si="89"/>
        <v>0</v>
      </c>
      <c r="P2684" s="17">
        <f t="shared" si="88"/>
        <v>1478.02</v>
      </c>
      <c r="Q2684" t="str">
        <f>A2684&amp;"-"&amp;B2684&amp;"-"&amp;D2684</f>
        <v>JUNI-MJ2-L7</v>
      </c>
    </row>
    <row r="2685" spans="1:17" x14ac:dyDescent="0.25">
      <c r="A2685" t="s">
        <v>396</v>
      </c>
      <c r="B2685" s="13" t="s">
        <v>26</v>
      </c>
      <c r="C2685" s="13" t="s">
        <v>226</v>
      </c>
      <c r="D2685" s="14" t="s">
        <v>164</v>
      </c>
      <c r="E2685" s="13" t="s">
        <v>61</v>
      </c>
      <c r="F2685" s="13" t="s">
        <v>1106</v>
      </c>
      <c r="G2685" s="13">
        <v>0.72</v>
      </c>
      <c r="H2685" s="15">
        <v>463</v>
      </c>
      <c r="I2685" s="16">
        <v>333.36</v>
      </c>
      <c r="J2685" s="16">
        <v>237.78775510204082</v>
      </c>
      <c r="K2685" s="16">
        <v>95.572244897959166</v>
      </c>
      <c r="L2685" s="13">
        <v>1.34</v>
      </c>
      <c r="M2685" s="13"/>
      <c r="N2685" s="17">
        <f t="shared" si="89"/>
        <v>620.42000000000007</v>
      </c>
      <c r="O2685" s="17">
        <f t="shared" si="89"/>
        <v>0</v>
      </c>
      <c r="P2685" s="17">
        <f t="shared" si="88"/>
        <v>620.42000000000007</v>
      </c>
      <c r="Q2685" t="str">
        <f>A2685&amp;"-"&amp;B2685&amp;"-"&amp;D2685</f>
        <v>JUNI-MJ2-L7</v>
      </c>
    </row>
    <row r="2686" spans="1:17" x14ac:dyDescent="0.25">
      <c r="A2686" t="s">
        <v>396</v>
      </c>
      <c r="B2686" s="13" t="s">
        <v>26</v>
      </c>
      <c r="C2686" s="13" t="s">
        <v>226</v>
      </c>
      <c r="D2686" s="14" t="s">
        <v>164</v>
      </c>
      <c r="E2686" s="13" t="s">
        <v>61</v>
      </c>
      <c r="F2686" s="13" t="s">
        <v>996</v>
      </c>
      <c r="G2686" s="13">
        <v>0.65</v>
      </c>
      <c r="H2686" s="15">
        <v>234</v>
      </c>
      <c r="I2686" s="16">
        <v>152.10000000000002</v>
      </c>
      <c r="J2686" s="16">
        <v>145.23952738990332</v>
      </c>
      <c r="K2686" s="16">
        <v>6.8604726100966857</v>
      </c>
      <c r="L2686" s="13">
        <v>1.66</v>
      </c>
      <c r="M2686" s="13"/>
      <c r="N2686" s="17">
        <f t="shared" si="89"/>
        <v>388.44</v>
      </c>
      <c r="O2686" s="17">
        <f t="shared" si="89"/>
        <v>0</v>
      </c>
      <c r="P2686" s="17">
        <f t="shared" si="88"/>
        <v>388.44</v>
      </c>
      <c r="Q2686" t="str">
        <f>A2686&amp;"-"&amp;B2686&amp;"-"&amp;D2686</f>
        <v>JUNI-MJ2-L7</v>
      </c>
    </row>
    <row r="2687" spans="1:17" x14ac:dyDescent="0.25">
      <c r="A2687" t="s">
        <v>396</v>
      </c>
      <c r="B2687" s="13" t="s">
        <v>26</v>
      </c>
      <c r="C2687" s="13" t="s">
        <v>226</v>
      </c>
      <c r="D2687" s="14" t="s">
        <v>164</v>
      </c>
      <c r="E2687" s="13" t="s">
        <v>61</v>
      </c>
      <c r="F2687" s="13" t="s">
        <v>997</v>
      </c>
      <c r="G2687" s="13">
        <v>0.65</v>
      </c>
      <c r="H2687" s="15">
        <v>114</v>
      </c>
      <c r="I2687" s="16">
        <v>74.099999999999994</v>
      </c>
      <c r="J2687" s="16">
        <v>82.168635875402785</v>
      </c>
      <c r="K2687" s="16">
        <v>-8.0686358754027907</v>
      </c>
      <c r="L2687" s="13">
        <v>1.66</v>
      </c>
      <c r="M2687" s="13"/>
      <c r="N2687" s="17">
        <f t="shared" si="89"/>
        <v>189.23999999999998</v>
      </c>
      <c r="O2687" s="17">
        <f t="shared" si="89"/>
        <v>0</v>
      </c>
      <c r="P2687" s="17">
        <f t="shared" si="88"/>
        <v>189.23999999999998</v>
      </c>
      <c r="Q2687" t="str">
        <f>A2687&amp;"-"&amp;B2687&amp;"-"&amp;D2687</f>
        <v>JUNI-MJ2-L7</v>
      </c>
    </row>
    <row r="2688" spans="1:17" x14ac:dyDescent="0.25">
      <c r="A2688" t="s">
        <v>396</v>
      </c>
      <c r="B2688" s="13" t="s">
        <v>26</v>
      </c>
      <c r="C2688" s="13" t="s">
        <v>226</v>
      </c>
      <c r="D2688" s="14" t="s">
        <v>164</v>
      </c>
      <c r="E2688" s="13" t="s">
        <v>61</v>
      </c>
      <c r="F2688" s="13" t="s">
        <v>1087</v>
      </c>
      <c r="G2688" s="13">
        <v>0.65</v>
      </c>
      <c r="H2688" s="15">
        <v>11873</v>
      </c>
      <c r="I2688" s="16">
        <v>7717.45</v>
      </c>
      <c r="J2688" s="16">
        <v>5998.3035015833175</v>
      </c>
      <c r="K2688" s="16">
        <v>1719.1464984166826</v>
      </c>
      <c r="L2688" s="13">
        <v>1.64</v>
      </c>
      <c r="M2688" s="13"/>
      <c r="N2688" s="17">
        <f t="shared" si="89"/>
        <v>19471.719999999998</v>
      </c>
      <c r="O2688" s="17">
        <f t="shared" si="89"/>
        <v>0</v>
      </c>
      <c r="P2688" s="17">
        <f t="shared" si="88"/>
        <v>19471.719999999998</v>
      </c>
      <c r="Q2688" t="str">
        <f>A2688&amp;"-"&amp;B2688&amp;"-"&amp;D2688</f>
        <v>JUNI-MJ2-L7</v>
      </c>
    </row>
    <row r="2689" spans="1:17" x14ac:dyDescent="0.25">
      <c r="A2689" t="s">
        <v>396</v>
      </c>
      <c r="B2689" s="13" t="s">
        <v>26</v>
      </c>
      <c r="C2689" s="13" t="s">
        <v>226</v>
      </c>
      <c r="D2689" s="14" t="s">
        <v>164</v>
      </c>
      <c r="E2689" s="13" t="s">
        <v>61</v>
      </c>
      <c r="F2689" s="13" t="s">
        <v>998</v>
      </c>
      <c r="G2689" s="13">
        <v>0.88</v>
      </c>
      <c r="H2689" s="15">
        <v>690</v>
      </c>
      <c r="I2689" s="16">
        <v>607.20000000000005</v>
      </c>
      <c r="J2689" s="16">
        <v>402.4103114930183</v>
      </c>
      <c r="K2689" s="16">
        <v>204.78968850698172</v>
      </c>
      <c r="L2689" s="13">
        <v>5.29</v>
      </c>
      <c r="M2689" s="13"/>
      <c r="N2689" s="17">
        <f t="shared" si="89"/>
        <v>3650.1</v>
      </c>
      <c r="O2689" s="17">
        <f t="shared" si="89"/>
        <v>0</v>
      </c>
      <c r="P2689" s="17">
        <f t="shared" si="88"/>
        <v>3650.1</v>
      </c>
      <c r="Q2689" t="str">
        <f>A2689&amp;"-"&amp;B2689&amp;"-"&amp;D2689</f>
        <v>JUNI-MJ2-L7</v>
      </c>
    </row>
    <row r="2690" spans="1:17" x14ac:dyDescent="0.25">
      <c r="A2690" t="s">
        <v>396</v>
      </c>
      <c r="B2690" s="13" t="s">
        <v>26</v>
      </c>
      <c r="C2690" s="13" t="s">
        <v>226</v>
      </c>
      <c r="D2690" s="14" t="s">
        <v>164</v>
      </c>
      <c r="E2690" s="13" t="s">
        <v>61</v>
      </c>
      <c r="F2690" s="13" t="s">
        <v>1114</v>
      </c>
      <c r="G2690" s="13">
        <v>0.87</v>
      </c>
      <c r="H2690" s="15">
        <v>1778</v>
      </c>
      <c r="I2690" s="16">
        <v>1546.8600000000001</v>
      </c>
      <c r="J2690" s="16">
        <v>1108.641007280105</v>
      </c>
      <c r="K2690" s="16">
        <v>438.21899271989503</v>
      </c>
      <c r="L2690" s="13">
        <v>5.22</v>
      </c>
      <c r="M2690" s="13"/>
      <c r="N2690" s="17">
        <f t="shared" si="89"/>
        <v>9281.16</v>
      </c>
      <c r="O2690" s="17">
        <f t="shared" si="89"/>
        <v>0</v>
      </c>
      <c r="P2690" s="17">
        <f t="shared" ref="P2690:P2753" si="90">N2690+O2690</f>
        <v>9281.16</v>
      </c>
      <c r="Q2690" t="str">
        <f>A2690&amp;"-"&amp;B2690&amp;"-"&amp;D2690</f>
        <v>JUNI-MJ2-L7</v>
      </c>
    </row>
    <row r="2691" spans="1:17" x14ac:dyDescent="0.25">
      <c r="A2691" t="s">
        <v>396</v>
      </c>
      <c r="B2691" s="13" t="s">
        <v>26</v>
      </c>
      <c r="C2691" s="13" t="s">
        <v>226</v>
      </c>
      <c r="D2691" s="14" t="s">
        <v>198</v>
      </c>
      <c r="E2691" s="13" t="s">
        <v>61</v>
      </c>
      <c r="F2691" s="13" t="s">
        <v>964</v>
      </c>
      <c r="G2691" s="13">
        <v>0.70000000000000007</v>
      </c>
      <c r="H2691" s="15">
        <v>4579</v>
      </c>
      <c r="I2691" s="16">
        <v>3205.2999999999997</v>
      </c>
      <c r="J2691" s="16">
        <v>2259.4379943983477</v>
      </c>
      <c r="K2691" s="16">
        <v>945.86200560165241</v>
      </c>
      <c r="L2691" s="13">
        <v>1.3</v>
      </c>
      <c r="M2691" s="13"/>
      <c r="N2691" s="17">
        <f t="shared" si="89"/>
        <v>5952.7</v>
      </c>
      <c r="O2691" s="17">
        <f t="shared" si="89"/>
        <v>0</v>
      </c>
      <c r="P2691" s="17">
        <f t="shared" si="90"/>
        <v>5952.7</v>
      </c>
      <c r="Q2691" t="str">
        <f>A2691&amp;"-"&amp;B2691&amp;"-"&amp;D2691</f>
        <v>JUNI-MJ2-L8</v>
      </c>
    </row>
    <row r="2692" spans="1:17" x14ac:dyDescent="0.25">
      <c r="A2692" t="s">
        <v>396</v>
      </c>
      <c r="B2692" s="13" t="s">
        <v>26</v>
      </c>
      <c r="C2692" s="13" t="s">
        <v>226</v>
      </c>
      <c r="D2692" s="14" t="s">
        <v>198</v>
      </c>
      <c r="E2692" s="13" t="s">
        <v>61</v>
      </c>
      <c r="F2692" s="13" t="s">
        <v>1083</v>
      </c>
      <c r="G2692" s="13">
        <v>0.70000000000000007</v>
      </c>
      <c r="H2692" s="15">
        <v>5463</v>
      </c>
      <c r="I2692" s="16">
        <v>3824.1000000000004</v>
      </c>
      <c r="J2692" s="16">
        <v>2531.492737734387</v>
      </c>
      <c r="K2692" s="16">
        <v>1292.6072622656136</v>
      </c>
      <c r="L2692" s="13">
        <v>1.3</v>
      </c>
      <c r="M2692" s="13"/>
      <c r="N2692" s="17">
        <f t="shared" si="89"/>
        <v>7101.9000000000005</v>
      </c>
      <c r="O2692" s="17">
        <f t="shared" si="89"/>
        <v>0</v>
      </c>
      <c r="P2692" s="17">
        <f t="shared" si="90"/>
        <v>7101.9000000000005</v>
      </c>
      <c r="Q2692" t="str">
        <f>A2692&amp;"-"&amp;B2692&amp;"-"&amp;D2692</f>
        <v>JUNI-MJ2-L8</v>
      </c>
    </row>
    <row r="2693" spans="1:17" x14ac:dyDescent="0.25">
      <c r="A2693" t="s">
        <v>396</v>
      </c>
      <c r="B2693" s="13" t="s">
        <v>26</v>
      </c>
      <c r="C2693" s="13" t="s">
        <v>226</v>
      </c>
      <c r="D2693" s="14" t="s">
        <v>198</v>
      </c>
      <c r="E2693" s="13" t="s">
        <v>61</v>
      </c>
      <c r="F2693" s="13" t="s">
        <v>1084</v>
      </c>
      <c r="G2693" s="13">
        <v>0.70000000000000007</v>
      </c>
      <c r="H2693" s="15">
        <v>14235</v>
      </c>
      <c r="I2693" s="16">
        <v>9964.5</v>
      </c>
      <c r="J2693" s="16">
        <v>6659.650133860865</v>
      </c>
      <c r="K2693" s="16">
        <v>3304.8498661391359</v>
      </c>
      <c r="L2693" s="13">
        <v>1.3</v>
      </c>
      <c r="M2693" s="13"/>
      <c r="N2693" s="17">
        <f t="shared" si="89"/>
        <v>18505.5</v>
      </c>
      <c r="O2693" s="17">
        <f t="shared" si="89"/>
        <v>0</v>
      </c>
      <c r="P2693" s="17">
        <f t="shared" si="90"/>
        <v>18505.5</v>
      </c>
      <c r="Q2693" t="str">
        <f>A2693&amp;"-"&amp;B2693&amp;"-"&amp;D2693</f>
        <v>JUNI-MJ2-L8</v>
      </c>
    </row>
    <row r="2694" spans="1:17" x14ac:dyDescent="0.25">
      <c r="A2694" t="s">
        <v>396</v>
      </c>
      <c r="B2694" s="13" t="s">
        <v>26</v>
      </c>
      <c r="C2694" s="13" t="s">
        <v>226</v>
      </c>
      <c r="D2694" s="14" t="s">
        <v>198</v>
      </c>
      <c r="E2694" s="13" t="s">
        <v>61</v>
      </c>
      <c r="F2694" s="13" t="s">
        <v>965</v>
      </c>
      <c r="G2694" s="13">
        <v>0.79</v>
      </c>
      <c r="H2694" s="15">
        <v>13</v>
      </c>
      <c r="I2694" s="16">
        <v>10.27</v>
      </c>
      <c r="J2694" s="16">
        <v>6.7653150508071205</v>
      </c>
      <c r="K2694" s="16">
        <v>3.5046849491928791</v>
      </c>
      <c r="L2694" s="13">
        <v>2.42</v>
      </c>
      <c r="M2694" s="13"/>
      <c r="N2694" s="17">
        <f t="shared" si="89"/>
        <v>31.46</v>
      </c>
      <c r="O2694" s="17">
        <f t="shared" si="89"/>
        <v>0</v>
      </c>
      <c r="P2694" s="17">
        <f t="shared" si="90"/>
        <v>31.46</v>
      </c>
      <c r="Q2694" t="str">
        <f>A2694&amp;"-"&amp;B2694&amp;"-"&amp;D2694</f>
        <v>JUNI-MJ2-L8</v>
      </c>
    </row>
    <row r="2695" spans="1:17" x14ac:dyDescent="0.25">
      <c r="A2695" t="s">
        <v>396</v>
      </c>
      <c r="B2695" s="13" t="s">
        <v>26</v>
      </c>
      <c r="C2695" s="13" t="s">
        <v>226</v>
      </c>
      <c r="D2695" s="14" t="s">
        <v>198</v>
      </c>
      <c r="E2695" s="13" t="s">
        <v>61</v>
      </c>
      <c r="F2695" s="13" t="s">
        <v>1085</v>
      </c>
      <c r="G2695" s="13">
        <v>0.79</v>
      </c>
      <c r="H2695" s="15">
        <v>2685</v>
      </c>
      <c r="I2695" s="16">
        <v>2121.1499999999996</v>
      </c>
      <c r="J2695" s="16">
        <v>1575.75</v>
      </c>
      <c r="K2695" s="16">
        <v>545.39999999999986</v>
      </c>
      <c r="L2695" s="13">
        <v>2.42</v>
      </c>
      <c r="M2695" s="13"/>
      <c r="N2695" s="17">
        <f t="shared" si="89"/>
        <v>6497.7</v>
      </c>
      <c r="O2695" s="17">
        <f t="shared" si="89"/>
        <v>0</v>
      </c>
      <c r="P2695" s="17">
        <f t="shared" si="90"/>
        <v>6497.7</v>
      </c>
      <c r="Q2695" t="str">
        <f>A2695&amp;"-"&amp;B2695&amp;"-"&amp;D2695</f>
        <v>JUNI-MJ2-L8</v>
      </c>
    </row>
    <row r="2696" spans="1:17" x14ac:dyDescent="0.25">
      <c r="A2696" t="s">
        <v>396</v>
      </c>
      <c r="B2696" s="13" t="s">
        <v>26</v>
      </c>
      <c r="C2696" s="13" t="s">
        <v>226</v>
      </c>
      <c r="D2696" s="14" t="s">
        <v>198</v>
      </c>
      <c r="E2696" s="13" t="s">
        <v>61</v>
      </c>
      <c r="F2696" s="13" t="s">
        <v>972</v>
      </c>
      <c r="G2696" s="13">
        <v>0.79</v>
      </c>
      <c r="H2696" s="15">
        <v>46</v>
      </c>
      <c r="I2696" s="16">
        <v>36.339999999999996</v>
      </c>
      <c r="J2696" s="16">
        <v>24.125063679034334</v>
      </c>
      <c r="K2696" s="16">
        <v>12.214936320965666</v>
      </c>
      <c r="L2696" s="13">
        <v>2.42</v>
      </c>
      <c r="M2696" s="13"/>
      <c r="N2696" s="17">
        <f t="shared" si="89"/>
        <v>111.32</v>
      </c>
      <c r="O2696" s="17">
        <f t="shared" si="89"/>
        <v>0</v>
      </c>
      <c r="P2696" s="17">
        <f t="shared" si="90"/>
        <v>111.32</v>
      </c>
      <c r="Q2696" t="str">
        <f>A2696&amp;"-"&amp;B2696&amp;"-"&amp;D2696</f>
        <v>JUNI-MJ2-L8</v>
      </c>
    </row>
    <row r="2697" spans="1:17" x14ac:dyDescent="0.25">
      <c r="A2697" t="s">
        <v>396</v>
      </c>
      <c r="B2697" s="13" t="s">
        <v>26</v>
      </c>
      <c r="C2697" s="13" t="s">
        <v>226</v>
      </c>
      <c r="D2697" s="14" t="s">
        <v>198</v>
      </c>
      <c r="E2697" s="13" t="s">
        <v>61</v>
      </c>
      <c r="F2697" s="13" t="s">
        <v>958</v>
      </c>
      <c r="G2697" s="13">
        <v>0.65</v>
      </c>
      <c r="H2697" s="15">
        <v>181</v>
      </c>
      <c r="I2697" s="16">
        <v>117.65</v>
      </c>
      <c r="J2697" s="16">
        <v>85.962522313928616</v>
      </c>
      <c r="K2697" s="16">
        <v>31.687477686071393</v>
      </c>
      <c r="L2697" s="13">
        <v>1.66</v>
      </c>
      <c r="M2697" s="13"/>
      <c r="N2697" s="17">
        <f t="shared" si="89"/>
        <v>300.45999999999998</v>
      </c>
      <c r="O2697" s="17">
        <f t="shared" si="89"/>
        <v>0</v>
      </c>
      <c r="P2697" s="17">
        <f t="shared" si="90"/>
        <v>300.45999999999998</v>
      </c>
      <c r="Q2697" t="str">
        <f>A2697&amp;"-"&amp;B2697&amp;"-"&amp;D2697</f>
        <v>JUNI-MJ2-L8</v>
      </c>
    </row>
    <row r="2698" spans="1:17" x14ac:dyDescent="0.25">
      <c r="A2698" t="s">
        <v>396</v>
      </c>
      <c r="B2698" s="13" t="s">
        <v>26</v>
      </c>
      <c r="C2698" s="13" t="s">
        <v>226</v>
      </c>
      <c r="D2698" s="14" t="s">
        <v>198</v>
      </c>
      <c r="E2698" s="13" t="s">
        <v>61</v>
      </c>
      <c r="F2698" s="13" t="s">
        <v>959</v>
      </c>
      <c r="G2698" s="13">
        <v>0.65</v>
      </c>
      <c r="H2698" s="15">
        <v>9290</v>
      </c>
      <c r="I2698" s="16">
        <v>6038.5</v>
      </c>
      <c r="J2698" s="16">
        <v>4828.0602818927327</v>
      </c>
      <c r="K2698" s="16">
        <v>1210.4397181072666</v>
      </c>
      <c r="L2698" s="13">
        <v>1.64</v>
      </c>
      <c r="M2698" s="13"/>
      <c r="N2698" s="17">
        <f t="shared" si="89"/>
        <v>15235.599999999999</v>
      </c>
      <c r="O2698" s="17">
        <f t="shared" si="89"/>
        <v>0</v>
      </c>
      <c r="P2698" s="17">
        <f t="shared" si="90"/>
        <v>15235.599999999999</v>
      </c>
      <c r="Q2698" t="str">
        <f>A2698&amp;"-"&amp;B2698&amp;"-"&amp;D2698</f>
        <v>JUNI-MJ2-L8</v>
      </c>
    </row>
    <row r="2699" spans="1:17" x14ac:dyDescent="0.25">
      <c r="A2699" t="s">
        <v>396</v>
      </c>
      <c r="B2699" s="13" t="s">
        <v>26</v>
      </c>
      <c r="C2699" s="13" t="s">
        <v>226</v>
      </c>
      <c r="D2699" s="14" t="s">
        <v>198</v>
      </c>
      <c r="E2699" s="13" t="s">
        <v>61</v>
      </c>
      <c r="F2699" s="13" t="s">
        <v>1087</v>
      </c>
      <c r="G2699" s="13">
        <v>0.65</v>
      </c>
      <c r="H2699" s="15">
        <v>3410</v>
      </c>
      <c r="I2699" s="16">
        <v>2216.5</v>
      </c>
      <c r="J2699" s="16">
        <v>1716.1371518987341</v>
      </c>
      <c r="K2699" s="16">
        <v>500.36284810126563</v>
      </c>
      <c r="L2699" s="13">
        <v>1.64</v>
      </c>
      <c r="M2699" s="13"/>
      <c r="N2699" s="17">
        <f t="shared" si="89"/>
        <v>5592.4</v>
      </c>
      <c r="O2699" s="17">
        <f t="shared" si="89"/>
        <v>0</v>
      </c>
      <c r="P2699" s="17">
        <f t="shared" si="90"/>
        <v>5592.4</v>
      </c>
      <c r="Q2699" t="str">
        <f>A2699&amp;"-"&amp;B2699&amp;"-"&amp;D2699</f>
        <v>JUNI-MJ2-L8</v>
      </c>
    </row>
    <row r="2700" spans="1:17" x14ac:dyDescent="0.25">
      <c r="A2700" t="s">
        <v>396</v>
      </c>
      <c r="B2700" s="13" t="s">
        <v>26</v>
      </c>
      <c r="C2700" s="13" t="s">
        <v>226</v>
      </c>
      <c r="D2700" s="14" t="s">
        <v>198</v>
      </c>
      <c r="E2700" s="13" t="s">
        <v>61</v>
      </c>
      <c r="F2700" s="13" t="s">
        <v>973</v>
      </c>
      <c r="G2700" s="13">
        <v>0.83</v>
      </c>
      <c r="H2700" s="15">
        <v>13</v>
      </c>
      <c r="I2700" s="16">
        <v>10.79</v>
      </c>
      <c r="J2700" s="16">
        <v>6.1934552454282965</v>
      </c>
      <c r="K2700" s="16">
        <v>4.5965447545717026</v>
      </c>
      <c r="L2700" s="13">
        <v>5.18</v>
      </c>
      <c r="M2700" s="13"/>
      <c r="N2700" s="17">
        <f t="shared" si="89"/>
        <v>67.34</v>
      </c>
      <c r="O2700" s="17">
        <f t="shared" si="89"/>
        <v>0</v>
      </c>
      <c r="P2700" s="17">
        <f t="shared" si="90"/>
        <v>67.34</v>
      </c>
      <c r="Q2700" t="str">
        <f>A2700&amp;"-"&amp;B2700&amp;"-"&amp;D2700</f>
        <v>JUNI-MJ2-L8</v>
      </c>
    </row>
    <row r="2701" spans="1:17" x14ac:dyDescent="0.25">
      <c r="A2701" t="s">
        <v>396</v>
      </c>
      <c r="B2701" s="13" t="s">
        <v>26</v>
      </c>
      <c r="C2701" s="13" t="s">
        <v>226</v>
      </c>
      <c r="D2701" s="14" t="s">
        <v>198</v>
      </c>
      <c r="E2701" s="13" t="s">
        <v>61</v>
      </c>
      <c r="F2701" s="13" t="s">
        <v>975</v>
      </c>
      <c r="G2701" s="13">
        <v>0.83</v>
      </c>
      <c r="H2701" s="15">
        <v>210</v>
      </c>
      <c r="I2701" s="16">
        <v>174.3</v>
      </c>
      <c r="J2701" s="16">
        <v>106.42534392573492</v>
      </c>
      <c r="K2701" s="16">
        <v>67.87465607426509</v>
      </c>
      <c r="L2701" s="13">
        <v>5.18</v>
      </c>
      <c r="M2701" s="13"/>
      <c r="N2701" s="17">
        <f t="shared" si="89"/>
        <v>1087.8</v>
      </c>
      <c r="O2701" s="17">
        <f t="shared" si="89"/>
        <v>0</v>
      </c>
      <c r="P2701" s="17">
        <f t="shared" si="90"/>
        <v>1087.8</v>
      </c>
      <c r="Q2701" t="str">
        <f>A2701&amp;"-"&amp;B2701&amp;"-"&amp;D2701</f>
        <v>JUNI-MJ2-L8</v>
      </c>
    </row>
    <row r="2702" spans="1:17" x14ac:dyDescent="0.25">
      <c r="A2702" t="s">
        <v>396</v>
      </c>
      <c r="B2702" s="13" t="s">
        <v>26</v>
      </c>
      <c r="C2702" s="13" t="s">
        <v>226</v>
      </c>
      <c r="D2702" s="14" t="s">
        <v>199</v>
      </c>
      <c r="E2702" s="13" t="s">
        <v>61</v>
      </c>
      <c r="F2702" s="13" t="s">
        <v>964</v>
      </c>
      <c r="G2702" s="13">
        <v>0.70000000000000007</v>
      </c>
      <c r="H2702" s="15">
        <v>4577</v>
      </c>
      <c r="I2702" s="16">
        <v>3203.9</v>
      </c>
      <c r="J2702" s="16">
        <v>2258.8183609445805</v>
      </c>
      <c r="K2702" s="16">
        <v>945.0816390554196</v>
      </c>
      <c r="L2702" s="13">
        <v>1.3</v>
      </c>
      <c r="M2702" s="13"/>
      <c r="N2702" s="17">
        <f t="shared" si="89"/>
        <v>5950.1</v>
      </c>
      <c r="O2702" s="17">
        <f t="shared" si="89"/>
        <v>0</v>
      </c>
      <c r="P2702" s="17">
        <f t="shared" si="90"/>
        <v>5950.1</v>
      </c>
      <c r="Q2702" t="str">
        <f>A2702&amp;"-"&amp;B2702&amp;"-"&amp;D2702</f>
        <v>JUNI-MJ2-L9</v>
      </c>
    </row>
    <row r="2703" spans="1:17" x14ac:dyDescent="0.25">
      <c r="A2703" t="s">
        <v>396</v>
      </c>
      <c r="B2703" s="13" t="s">
        <v>26</v>
      </c>
      <c r="C2703" s="13" t="s">
        <v>226</v>
      </c>
      <c r="D2703" s="14" t="s">
        <v>199</v>
      </c>
      <c r="E2703" s="13" t="s">
        <v>61</v>
      </c>
      <c r="F2703" s="13" t="s">
        <v>1083</v>
      </c>
      <c r="G2703" s="13">
        <v>0.70000000000000007</v>
      </c>
      <c r="H2703" s="15">
        <v>5464</v>
      </c>
      <c r="I2703" s="16">
        <v>3824.7999999999997</v>
      </c>
      <c r="J2703" s="16">
        <v>2531.9862212532112</v>
      </c>
      <c r="K2703" s="16">
        <v>1292.8137787467892</v>
      </c>
      <c r="L2703" s="13">
        <v>1.3</v>
      </c>
      <c r="M2703" s="13"/>
      <c r="N2703" s="17">
        <f t="shared" si="89"/>
        <v>7103.2</v>
      </c>
      <c r="O2703" s="17">
        <f t="shared" si="89"/>
        <v>0</v>
      </c>
      <c r="P2703" s="17">
        <f t="shared" si="90"/>
        <v>7103.2</v>
      </c>
      <c r="Q2703" t="str">
        <f>A2703&amp;"-"&amp;B2703&amp;"-"&amp;D2703</f>
        <v>JUNI-MJ2-L9</v>
      </c>
    </row>
    <row r="2704" spans="1:17" x14ac:dyDescent="0.25">
      <c r="A2704" t="s">
        <v>396</v>
      </c>
      <c r="B2704" s="13" t="s">
        <v>26</v>
      </c>
      <c r="C2704" s="13" t="s">
        <v>226</v>
      </c>
      <c r="D2704" s="14" t="s">
        <v>199</v>
      </c>
      <c r="E2704" s="13" t="s">
        <v>61</v>
      </c>
      <c r="F2704" s="13" t="s">
        <v>1084</v>
      </c>
      <c r="G2704" s="13">
        <v>0.70000000000000007</v>
      </c>
      <c r="H2704" s="15">
        <v>14235</v>
      </c>
      <c r="I2704" s="16">
        <v>9964.5</v>
      </c>
      <c r="J2704" s="16">
        <v>6659.3143438577754</v>
      </c>
      <c r="K2704" s="16">
        <v>3305.1856561422251</v>
      </c>
      <c r="L2704" s="13">
        <v>1.3</v>
      </c>
      <c r="M2704" s="13"/>
      <c r="N2704" s="17">
        <f t="shared" si="89"/>
        <v>18505.5</v>
      </c>
      <c r="O2704" s="17">
        <f t="shared" si="89"/>
        <v>0</v>
      </c>
      <c r="P2704" s="17">
        <f t="shared" si="90"/>
        <v>18505.5</v>
      </c>
      <c r="Q2704" t="str">
        <f>A2704&amp;"-"&amp;B2704&amp;"-"&amp;D2704</f>
        <v>JUNI-MJ2-L9</v>
      </c>
    </row>
    <row r="2705" spans="1:17" x14ac:dyDescent="0.25">
      <c r="A2705" t="s">
        <v>396</v>
      </c>
      <c r="B2705" s="13" t="s">
        <v>26</v>
      </c>
      <c r="C2705" s="13" t="s">
        <v>226</v>
      </c>
      <c r="D2705" s="14" t="s">
        <v>199</v>
      </c>
      <c r="E2705" s="13" t="s">
        <v>61</v>
      </c>
      <c r="F2705" s="13" t="s">
        <v>965</v>
      </c>
      <c r="G2705" s="13">
        <v>0.79</v>
      </c>
      <c r="H2705" s="15">
        <v>15</v>
      </c>
      <c r="I2705" s="16">
        <v>11.850000000000001</v>
      </c>
      <c r="J2705" s="16">
        <v>7.7738013304615157</v>
      </c>
      <c r="K2705" s="16">
        <v>4.0761986695384849</v>
      </c>
      <c r="L2705" s="13">
        <v>2.42</v>
      </c>
      <c r="M2705" s="13"/>
      <c r="N2705" s="17">
        <f t="shared" si="89"/>
        <v>36.299999999999997</v>
      </c>
      <c r="O2705" s="17">
        <f t="shared" si="89"/>
        <v>0</v>
      </c>
      <c r="P2705" s="17">
        <f t="shared" si="90"/>
        <v>36.299999999999997</v>
      </c>
      <c r="Q2705" t="str">
        <f>A2705&amp;"-"&amp;B2705&amp;"-"&amp;D2705</f>
        <v>JUNI-MJ2-L9</v>
      </c>
    </row>
    <row r="2706" spans="1:17" x14ac:dyDescent="0.25">
      <c r="A2706" t="s">
        <v>396</v>
      </c>
      <c r="B2706" s="13" t="s">
        <v>26</v>
      </c>
      <c r="C2706" s="13" t="s">
        <v>226</v>
      </c>
      <c r="D2706" s="14" t="s">
        <v>199</v>
      </c>
      <c r="E2706" s="13" t="s">
        <v>61</v>
      </c>
      <c r="F2706" s="13" t="s">
        <v>1085</v>
      </c>
      <c r="G2706" s="13">
        <v>0.79</v>
      </c>
      <c r="H2706" s="15">
        <v>2685</v>
      </c>
      <c r="I2706" s="16">
        <v>2121.1499999999996</v>
      </c>
      <c r="J2706" s="16">
        <v>1575.75</v>
      </c>
      <c r="K2706" s="16">
        <v>545.39999999999986</v>
      </c>
      <c r="L2706" s="13">
        <v>2.42</v>
      </c>
      <c r="M2706" s="13"/>
      <c r="N2706" s="17">
        <f t="shared" si="89"/>
        <v>6497.7</v>
      </c>
      <c r="O2706" s="17">
        <f t="shared" si="89"/>
        <v>0</v>
      </c>
      <c r="P2706" s="17">
        <f t="shared" si="90"/>
        <v>6497.7</v>
      </c>
      <c r="Q2706" t="str">
        <f>A2706&amp;"-"&amp;B2706&amp;"-"&amp;D2706</f>
        <v>JUNI-MJ2-L9</v>
      </c>
    </row>
    <row r="2707" spans="1:17" x14ac:dyDescent="0.25">
      <c r="A2707" t="s">
        <v>396</v>
      </c>
      <c r="B2707" s="13" t="s">
        <v>26</v>
      </c>
      <c r="C2707" s="13" t="s">
        <v>226</v>
      </c>
      <c r="D2707" s="14" t="s">
        <v>199</v>
      </c>
      <c r="E2707" s="13" t="s">
        <v>61</v>
      </c>
      <c r="F2707" s="13" t="s">
        <v>967</v>
      </c>
      <c r="G2707" s="13">
        <v>0.79</v>
      </c>
      <c r="H2707" s="15">
        <v>1</v>
      </c>
      <c r="I2707" s="16">
        <v>0.79</v>
      </c>
      <c r="J2707" s="16">
        <v>0.48151750972762647</v>
      </c>
      <c r="K2707" s="16">
        <v>0.30848249027237357</v>
      </c>
      <c r="L2707" s="13">
        <v>2.42</v>
      </c>
      <c r="M2707" s="13"/>
      <c r="N2707" s="17">
        <f t="shared" si="89"/>
        <v>2.42</v>
      </c>
      <c r="O2707" s="17">
        <f t="shared" si="89"/>
        <v>0</v>
      </c>
      <c r="P2707" s="17">
        <f t="shared" si="90"/>
        <v>2.42</v>
      </c>
      <c r="Q2707" t="str">
        <f>A2707&amp;"-"&amp;B2707&amp;"-"&amp;D2707</f>
        <v>JUNI-MJ2-L9</v>
      </c>
    </row>
    <row r="2708" spans="1:17" x14ac:dyDescent="0.25">
      <c r="A2708" t="s">
        <v>396</v>
      </c>
      <c r="B2708" s="13" t="s">
        <v>26</v>
      </c>
      <c r="C2708" s="13" t="s">
        <v>226</v>
      </c>
      <c r="D2708" s="14" t="s">
        <v>199</v>
      </c>
      <c r="E2708" s="13" t="s">
        <v>61</v>
      </c>
      <c r="F2708" s="13" t="s">
        <v>972</v>
      </c>
      <c r="G2708" s="13">
        <v>0.79</v>
      </c>
      <c r="H2708" s="15">
        <v>44</v>
      </c>
      <c r="I2708" s="16">
        <v>34.76</v>
      </c>
      <c r="J2708" s="16">
        <v>23.11540582393048</v>
      </c>
      <c r="K2708" s="16">
        <v>11.644594176069518</v>
      </c>
      <c r="L2708" s="13">
        <v>2.42</v>
      </c>
      <c r="M2708" s="13"/>
      <c r="N2708" s="17">
        <f t="shared" si="89"/>
        <v>106.47999999999999</v>
      </c>
      <c r="O2708" s="17">
        <f t="shared" si="89"/>
        <v>0</v>
      </c>
      <c r="P2708" s="17">
        <f t="shared" si="90"/>
        <v>106.47999999999999</v>
      </c>
      <c r="Q2708" t="str">
        <f>A2708&amp;"-"&amp;B2708&amp;"-"&amp;D2708</f>
        <v>JUNI-MJ2-L9</v>
      </c>
    </row>
    <row r="2709" spans="1:17" x14ac:dyDescent="0.25">
      <c r="A2709" t="s">
        <v>396</v>
      </c>
      <c r="B2709" s="13" t="s">
        <v>26</v>
      </c>
      <c r="C2709" s="13" t="s">
        <v>226</v>
      </c>
      <c r="D2709" s="14" t="s">
        <v>199</v>
      </c>
      <c r="E2709" s="13" t="s">
        <v>61</v>
      </c>
      <c r="F2709" s="13" t="s">
        <v>958</v>
      </c>
      <c r="G2709" s="13">
        <v>0.65</v>
      </c>
      <c r="H2709" s="15">
        <v>181</v>
      </c>
      <c r="I2709" s="16">
        <v>117.65</v>
      </c>
      <c r="J2709" s="16">
        <v>85.881028729115073</v>
      </c>
      <c r="K2709" s="16">
        <v>31.768971270884926</v>
      </c>
      <c r="L2709" s="13">
        <v>1.66</v>
      </c>
      <c r="M2709" s="13"/>
      <c r="N2709" s="17">
        <f t="shared" si="89"/>
        <v>300.45999999999998</v>
      </c>
      <c r="O2709" s="17">
        <f t="shared" si="89"/>
        <v>0</v>
      </c>
      <c r="P2709" s="17">
        <f t="shared" si="90"/>
        <v>300.45999999999998</v>
      </c>
      <c r="Q2709" t="str">
        <f>A2709&amp;"-"&amp;B2709&amp;"-"&amp;D2709</f>
        <v>JUNI-MJ2-L9</v>
      </c>
    </row>
    <row r="2710" spans="1:17" x14ac:dyDescent="0.25">
      <c r="A2710" t="s">
        <v>396</v>
      </c>
      <c r="B2710" s="13" t="s">
        <v>26</v>
      </c>
      <c r="C2710" s="13" t="s">
        <v>226</v>
      </c>
      <c r="D2710" s="14" t="s">
        <v>199</v>
      </c>
      <c r="E2710" s="13" t="s">
        <v>61</v>
      </c>
      <c r="F2710" s="13" t="s">
        <v>959</v>
      </c>
      <c r="G2710" s="13">
        <v>0.65</v>
      </c>
      <c r="H2710" s="15">
        <v>9288</v>
      </c>
      <c r="I2710" s="16">
        <v>6037.2000000000007</v>
      </c>
      <c r="J2710" s="16">
        <v>4827.5812735554064</v>
      </c>
      <c r="K2710" s="16">
        <v>1209.6187264445925</v>
      </c>
      <c r="L2710" s="13">
        <v>1.64</v>
      </c>
      <c r="M2710" s="13"/>
      <c r="N2710" s="17">
        <f t="shared" ref="N2710:O2725" si="91">$H2710*L2710</f>
        <v>15232.32</v>
      </c>
      <c r="O2710" s="17">
        <f t="shared" si="91"/>
        <v>0</v>
      </c>
      <c r="P2710" s="17">
        <f t="shared" si="90"/>
        <v>15232.32</v>
      </c>
      <c r="Q2710" t="str">
        <f>A2710&amp;"-"&amp;B2710&amp;"-"&amp;D2710</f>
        <v>JUNI-MJ2-L9</v>
      </c>
    </row>
    <row r="2711" spans="1:17" x14ac:dyDescent="0.25">
      <c r="A2711" t="s">
        <v>396</v>
      </c>
      <c r="B2711" s="13" t="s">
        <v>26</v>
      </c>
      <c r="C2711" s="13" t="s">
        <v>226</v>
      </c>
      <c r="D2711" s="14" t="s">
        <v>199</v>
      </c>
      <c r="E2711" s="13" t="s">
        <v>61</v>
      </c>
      <c r="F2711" s="13" t="s">
        <v>1087</v>
      </c>
      <c r="G2711" s="13">
        <v>0.65</v>
      </c>
      <c r="H2711" s="15">
        <v>3412</v>
      </c>
      <c r="I2711" s="16">
        <v>2217.8000000000002</v>
      </c>
      <c r="J2711" s="16">
        <v>1717.133417721519</v>
      </c>
      <c r="K2711" s="16">
        <v>500.66658227848109</v>
      </c>
      <c r="L2711" s="13">
        <v>1.64</v>
      </c>
      <c r="M2711" s="13"/>
      <c r="N2711" s="17">
        <f t="shared" si="91"/>
        <v>5595.6799999999994</v>
      </c>
      <c r="O2711" s="17">
        <f t="shared" si="91"/>
        <v>0</v>
      </c>
      <c r="P2711" s="17">
        <f t="shared" si="90"/>
        <v>5595.6799999999994</v>
      </c>
      <c r="Q2711" t="str">
        <f>A2711&amp;"-"&amp;B2711&amp;"-"&amp;D2711</f>
        <v>JUNI-MJ2-L9</v>
      </c>
    </row>
    <row r="2712" spans="1:17" x14ac:dyDescent="0.25">
      <c r="A2712" t="s">
        <v>396</v>
      </c>
      <c r="B2712" s="13" t="s">
        <v>26</v>
      </c>
      <c r="C2712" s="13" t="s">
        <v>226</v>
      </c>
      <c r="D2712" s="14" t="s">
        <v>199</v>
      </c>
      <c r="E2712" s="13" t="s">
        <v>61</v>
      </c>
      <c r="F2712" s="13" t="s">
        <v>973</v>
      </c>
      <c r="G2712" s="13">
        <v>0.83</v>
      </c>
      <c r="H2712" s="15">
        <v>12</v>
      </c>
      <c r="I2712" s="16">
        <v>9.9600000000000009</v>
      </c>
      <c r="J2712" s="16">
        <v>5.7197881559942223</v>
      </c>
      <c r="K2712" s="16">
        <v>4.2402118440057786</v>
      </c>
      <c r="L2712" s="13">
        <v>5.18</v>
      </c>
      <c r="M2712" s="13"/>
      <c r="N2712" s="17">
        <f t="shared" si="91"/>
        <v>62.16</v>
      </c>
      <c r="O2712" s="17">
        <f t="shared" si="91"/>
        <v>0</v>
      </c>
      <c r="P2712" s="17">
        <f t="shared" si="90"/>
        <v>62.16</v>
      </c>
      <c r="Q2712" t="str">
        <f>A2712&amp;"-"&amp;B2712&amp;"-"&amp;D2712</f>
        <v>JUNI-MJ2-L9</v>
      </c>
    </row>
    <row r="2713" spans="1:17" x14ac:dyDescent="0.25">
      <c r="A2713" t="s">
        <v>396</v>
      </c>
      <c r="B2713" s="13" t="s">
        <v>26</v>
      </c>
      <c r="C2713" s="13" t="s">
        <v>226</v>
      </c>
      <c r="D2713" s="14" t="s">
        <v>199</v>
      </c>
      <c r="E2713" s="13" t="s">
        <v>61</v>
      </c>
      <c r="F2713" s="13" t="s">
        <v>975</v>
      </c>
      <c r="G2713" s="13">
        <v>0.83</v>
      </c>
      <c r="H2713" s="15">
        <v>210</v>
      </c>
      <c r="I2713" s="16">
        <v>174.3</v>
      </c>
      <c r="J2713" s="16">
        <v>106.44484111827819</v>
      </c>
      <c r="K2713" s="16">
        <v>67.855158881721792</v>
      </c>
      <c r="L2713" s="13">
        <v>5.18</v>
      </c>
      <c r="M2713" s="13"/>
      <c r="N2713" s="17">
        <f t="shared" si="91"/>
        <v>1087.8</v>
      </c>
      <c r="O2713" s="17">
        <f t="shared" si="91"/>
        <v>0</v>
      </c>
      <c r="P2713" s="17">
        <f t="shared" si="90"/>
        <v>1087.8</v>
      </c>
      <c r="Q2713" t="str">
        <f>A2713&amp;"-"&amp;B2713&amp;"-"&amp;D2713</f>
        <v>JUNI-MJ2-L9</v>
      </c>
    </row>
    <row r="2714" spans="1:17" x14ac:dyDescent="0.25">
      <c r="A2714" t="s">
        <v>397</v>
      </c>
      <c r="B2714" s="13" t="s">
        <v>18</v>
      </c>
      <c r="C2714" s="13" t="s">
        <v>43</v>
      </c>
      <c r="D2714" s="14" t="s">
        <v>44</v>
      </c>
      <c r="E2714" s="13" t="s">
        <v>45</v>
      </c>
      <c r="F2714" s="13" t="s">
        <v>814</v>
      </c>
      <c r="G2714" s="13">
        <v>3.09</v>
      </c>
      <c r="H2714" s="15">
        <v>27</v>
      </c>
      <c r="I2714" s="16">
        <v>83.43</v>
      </c>
      <c r="J2714" s="16">
        <v>96.304812834224592</v>
      </c>
      <c r="K2714" s="16">
        <v>-12.874812834224585</v>
      </c>
      <c r="L2714" s="13"/>
      <c r="M2714" s="13">
        <v>3.33</v>
      </c>
      <c r="N2714" s="17">
        <f t="shared" si="91"/>
        <v>0</v>
      </c>
      <c r="O2714" s="17">
        <f t="shared" si="91"/>
        <v>89.91</v>
      </c>
      <c r="P2714" s="17">
        <f t="shared" si="90"/>
        <v>89.91</v>
      </c>
      <c r="Q2714" t="str">
        <f>A2714&amp;"-"&amp;B2714&amp;"-"&amp;D2714</f>
        <v>JULI-CBA-L1</v>
      </c>
    </row>
    <row r="2715" spans="1:17" x14ac:dyDescent="0.25">
      <c r="A2715" t="s">
        <v>397</v>
      </c>
      <c r="B2715" s="13" t="s">
        <v>18</v>
      </c>
      <c r="C2715" s="13" t="s">
        <v>43</v>
      </c>
      <c r="D2715" s="14" t="s">
        <v>44</v>
      </c>
      <c r="E2715" s="13" t="s">
        <v>71</v>
      </c>
      <c r="F2715" s="13" t="s">
        <v>815</v>
      </c>
      <c r="G2715" s="13">
        <v>4.0600000000000005</v>
      </c>
      <c r="H2715" s="15">
        <v>2249</v>
      </c>
      <c r="I2715" s="16">
        <v>9130.9400000000023</v>
      </c>
      <c r="J2715" s="16">
        <v>8669.9851871657756</v>
      </c>
      <c r="K2715" s="16">
        <v>460.95481283422521</v>
      </c>
      <c r="L2715" s="13"/>
      <c r="M2715" s="13">
        <v>4.33</v>
      </c>
      <c r="N2715" s="17">
        <f t="shared" si="91"/>
        <v>0</v>
      </c>
      <c r="O2715" s="17">
        <f t="shared" si="91"/>
        <v>9738.17</v>
      </c>
      <c r="P2715" s="17">
        <f t="shared" si="90"/>
        <v>9738.17</v>
      </c>
      <c r="Q2715" t="str">
        <f>A2715&amp;"-"&amp;B2715&amp;"-"&amp;D2715</f>
        <v>JULI-CBA-L1</v>
      </c>
    </row>
    <row r="2716" spans="1:17" x14ac:dyDescent="0.25">
      <c r="A2716" t="s">
        <v>397</v>
      </c>
      <c r="B2716" s="13" t="s">
        <v>18</v>
      </c>
      <c r="C2716" s="13" t="s">
        <v>43</v>
      </c>
      <c r="D2716" s="14" t="s">
        <v>50</v>
      </c>
      <c r="E2716" s="13" t="s">
        <v>45</v>
      </c>
      <c r="F2716" s="13" t="s">
        <v>814</v>
      </c>
      <c r="G2716" s="13">
        <v>3.09</v>
      </c>
      <c r="H2716" s="15">
        <v>31</v>
      </c>
      <c r="I2716" s="16">
        <v>95.789999999999992</v>
      </c>
      <c r="J2716" s="16">
        <v>104.0081081081081</v>
      </c>
      <c r="K2716" s="16">
        <v>-8.2181081081081189</v>
      </c>
      <c r="L2716" s="13"/>
      <c r="M2716" s="13">
        <v>3.33</v>
      </c>
      <c r="N2716" s="17">
        <f t="shared" si="91"/>
        <v>0</v>
      </c>
      <c r="O2716" s="17">
        <f t="shared" si="91"/>
        <v>103.23</v>
      </c>
      <c r="P2716" s="17">
        <f t="shared" si="90"/>
        <v>103.23</v>
      </c>
      <c r="Q2716" t="str">
        <f>A2716&amp;"-"&amp;B2716&amp;"-"&amp;D2716</f>
        <v>JULI-CBA-L2</v>
      </c>
    </row>
    <row r="2717" spans="1:17" x14ac:dyDescent="0.25">
      <c r="A2717" t="s">
        <v>397</v>
      </c>
      <c r="B2717" s="13" t="s">
        <v>18</v>
      </c>
      <c r="C2717" s="13" t="s">
        <v>43</v>
      </c>
      <c r="D2717" s="14" t="s">
        <v>50</v>
      </c>
      <c r="E2717" s="13" t="s">
        <v>71</v>
      </c>
      <c r="F2717" s="13" t="s">
        <v>815</v>
      </c>
      <c r="G2717" s="13">
        <v>4.0600000000000005</v>
      </c>
      <c r="H2717" s="15">
        <v>1835</v>
      </c>
      <c r="I2717" s="16">
        <v>7450.0999999999995</v>
      </c>
      <c r="J2717" s="16">
        <v>7550.7518918918922</v>
      </c>
      <c r="K2717" s="16">
        <v>-100.65189189189152</v>
      </c>
      <c r="L2717" s="13"/>
      <c r="M2717" s="13">
        <v>4.33</v>
      </c>
      <c r="N2717" s="17">
        <f t="shared" si="91"/>
        <v>0</v>
      </c>
      <c r="O2717" s="17">
        <f t="shared" si="91"/>
        <v>7945.55</v>
      </c>
      <c r="P2717" s="17">
        <f t="shared" si="90"/>
        <v>7945.55</v>
      </c>
      <c r="Q2717" t="str">
        <f>A2717&amp;"-"&amp;B2717&amp;"-"&amp;D2717</f>
        <v>JULI-CBA-L2</v>
      </c>
    </row>
    <row r="2718" spans="1:17" x14ac:dyDescent="0.25">
      <c r="A2718" t="s">
        <v>397</v>
      </c>
      <c r="B2718" s="13" t="s">
        <v>18</v>
      </c>
      <c r="C2718" s="13" t="s">
        <v>43</v>
      </c>
      <c r="D2718" s="14" t="s">
        <v>56</v>
      </c>
      <c r="E2718" s="13" t="s">
        <v>179</v>
      </c>
      <c r="F2718" s="13" t="s">
        <v>1115</v>
      </c>
      <c r="G2718" s="13">
        <v>1.54</v>
      </c>
      <c r="H2718" s="15">
        <v>2758</v>
      </c>
      <c r="I2718" s="16">
        <v>4247.32</v>
      </c>
      <c r="J2718" s="16">
        <v>3935.0005263157896</v>
      </c>
      <c r="K2718" s="16">
        <v>312.31947368421049</v>
      </c>
      <c r="L2718" s="13"/>
      <c r="M2718" s="13">
        <v>1.65</v>
      </c>
      <c r="N2718" s="17">
        <f t="shared" si="91"/>
        <v>0</v>
      </c>
      <c r="O2718" s="17">
        <f t="shared" si="91"/>
        <v>4550.7</v>
      </c>
      <c r="P2718" s="17">
        <f t="shared" si="90"/>
        <v>4550.7</v>
      </c>
      <c r="Q2718" t="str">
        <f>A2718&amp;"-"&amp;B2718&amp;"-"&amp;D2718</f>
        <v>JULI-CBA-L3</v>
      </c>
    </row>
    <row r="2719" spans="1:17" x14ac:dyDescent="0.25">
      <c r="A2719" t="s">
        <v>397</v>
      </c>
      <c r="B2719" s="13" t="s">
        <v>18</v>
      </c>
      <c r="C2719" s="13" t="s">
        <v>43</v>
      </c>
      <c r="D2719" s="14" t="s">
        <v>56</v>
      </c>
      <c r="E2719" s="13" t="s">
        <v>179</v>
      </c>
      <c r="F2719" s="13" t="s">
        <v>1116</v>
      </c>
      <c r="G2719" s="13">
        <v>1.54</v>
      </c>
      <c r="H2719" s="15">
        <v>1484</v>
      </c>
      <c r="I2719" s="16">
        <v>2285.36</v>
      </c>
      <c r="J2719" s="16">
        <v>2075.8257894736844</v>
      </c>
      <c r="K2719" s="16">
        <v>209.53421052631583</v>
      </c>
      <c r="L2719" s="13"/>
      <c r="M2719" s="13">
        <v>1.65</v>
      </c>
      <c r="N2719" s="17">
        <f t="shared" si="91"/>
        <v>0</v>
      </c>
      <c r="O2719" s="17">
        <f t="shared" si="91"/>
        <v>2448.6</v>
      </c>
      <c r="P2719" s="17">
        <f t="shared" si="90"/>
        <v>2448.6</v>
      </c>
      <c r="Q2719" t="str">
        <f>A2719&amp;"-"&amp;B2719&amp;"-"&amp;D2719</f>
        <v>JULI-CBA-L3</v>
      </c>
    </row>
    <row r="2720" spans="1:17" x14ac:dyDescent="0.25">
      <c r="A2720" t="s">
        <v>397</v>
      </c>
      <c r="B2720" s="13" t="s">
        <v>18</v>
      </c>
      <c r="C2720" s="13" t="s">
        <v>43</v>
      </c>
      <c r="D2720" s="14" t="s">
        <v>56</v>
      </c>
      <c r="E2720" s="13" t="s">
        <v>179</v>
      </c>
      <c r="F2720" s="13" t="s">
        <v>1117</v>
      </c>
      <c r="G2720" s="13">
        <v>1.54</v>
      </c>
      <c r="H2720" s="15">
        <v>2098</v>
      </c>
      <c r="I2720" s="16">
        <v>3230.92</v>
      </c>
      <c r="J2720" s="16">
        <v>2959.0742105263157</v>
      </c>
      <c r="K2720" s="16">
        <v>271.84578947368414</v>
      </c>
      <c r="L2720" s="13"/>
      <c r="M2720" s="13">
        <v>1.65</v>
      </c>
      <c r="N2720" s="17">
        <f t="shared" si="91"/>
        <v>0</v>
      </c>
      <c r="O2720" s="17">
        <f t="shared" si="91"/>
        <v>3461.7</v>
      </c>
      <c r="P2720" s="17">
        <f t="shared" si="90"/>
        <v>3461.7</v>
      </c>
      <c r="Q2720" t="str">
        <f>A2720&amp;"-"&amp;B2720&amp;"-"&amp;D2720</f>
        <v>JULI-CBA-L3</v>
      </c>
    </row>
    <row r="2721" spans="1:17" x14ac:dyDescent="0.25">
      <c r="A2721" t="s">
        <v>397</v>
      </c>
      <c r="B2721" s="13" t="s">
        <v>18</v>
      </c>
      <c r="C2721" s="13" t="s">
        <v>43</v>
      </c>
      <c r="D2721" s="14" t="s">
        <v>56</v>
      </c>
      <c r="E2721" s="13" t="s">
        <v>179</v>
      </c>
      <c r="F2721" s="13" t="s">
        <v>1118</v>
      </c>
      <c r="G2721" s="13">
        <v>1.54</v>
      </c>
      <c r="H2721" s="15">
        <v>286</v>
      </c>
      <c r="I2721" s="16">
        <v>440.44</v>
      </c>
      <c r="J2721" s="16">
        <v>401.60421052631574</v>
      </c>
      <c r="K2721" s="16">
        <v>38.835789473684258</v>
      </c>
      <c r="L2721" s="13"/>
      <c r="M2721" s="13">
        <v>1.65</v>
      </c>
      <c r="N2721" s="17">
        <f t="shared" si="91"/>
        <v>0</v>
      </c>
      <c r="O2721" s="17">
        <f t="shared" si="91"/>
        <v>471.9</v>
      </c>
      <c r="P2721" s="17">
        <f t="shared" si="90"/>
        <v>471.9</v>
      </c>
      <c r="Q2721" t="str">
        <f>A2721&amp;"-"&amp;B2721&amp;"-"&amp;D2721</f>
        <v>JULI-CBA-L3</v>
      </c>
    </row>
    <row r="2722" spans="1:17" x14ac:dyDescent="0.25">
      <c r="A2722" t="s">
        <v>397</v>
      </c>
      <c r="B2722" s="13" t="s">
        <v>18</v>
      </c>
      <c r="C2722" s="13" t="s">
        <v>43</v>
      </c>
      <c r="D2722" s="14" t="s">
        <v>56</v>
      </c>
      <c r="E2722" s="13" t="s">
        <v>179</v>
      </c>
      <c r="F2722" s="13" t="s">
        <v>1002</v>
      </c>
      <c r="G2722" s="13">
        <v>1.54</v>
      </c>
      <c r="H2722" s="15">
        <v>3</v>
      </c>
      <c r="I2722" s="16">
        <v>4.62</v>
      </c>
      <c r="J2722" s="16">
        <v>4.2126315789473683</v>
      </c>
      <c r="K2722" s="16">
        <v>0.40736842105263182</v>
      </c>
      <c r="L2722" s="13"/>
      <c r="M2722" s="13">
        <v>1.65</v>
      </c>
      <c r="N2722" s="17">
        <f t="shared" si="91"/>
        <v>0</v>
      </c>
      <c r="O2722" s="17">
        <f t="shared" si="91"/>
        <v>4.9499999999999993</v>
      </c>
      <c r="P2722" s="17">
        <f t="shared" si="90"/>
        <v>4.9499999999999993</v>
      </c>
      <c r="Q2722" t="str">
        <f>A2722&amp;"-"&amp;B2722&amp;"-"&amp;D2722</f>
        <v>JULI-CBA-L3</v>
      </c>
    </row>
    <row r="2723" spans="1:17" x14ac:dyDescent="0.25">
      <c r="A2723" t="s">
        <v>397</v>
      </c>
      <c r="B2723" s="13" t="s">
        <v>18</v>
      </c>
      <c r="C2723" s="13" t="s">
        <v>43</v>
      </c>
      <c r="D2723" s="14" t="s">
        <v>56</v>
      </c>
      <c r="E2723" s="13" t="s">
        <v>179</v>
      </c>
      <c r="F2723" s="13" t="s">
        <v>1003</v>
      </c>
      <c r="G2723" s="13">
        <v>1.54</v>
      </c>
      <c r="H2723" s="15">
        <v>1367</v>
      </c>
      <c r="I2723" s="16">
        <v>2105.1799999999998</v>
      </c>
      <c r="J2723" s="16">
        <v>1932.5963157894739</v>
      </c>
      <c r="K2723" s="16">
        <v>172.58368421052629</v>
      </c>
      <c r="L2723" s="13"/>
      <c r="M2723" s="13">
        <v>1.65</v>
      </c>
      <c r="N2723" s="17">
        <f t="shared" si="91"/>
        <v>0</v>
      </c>
      <c r="O2723" s="17">
        <f t="shared" si="91"/>
        <v>2255.5499999999997</v>
      </c>
      <c r="P2723" s="17">
        <f t="shared" si="90"/>
        <v>2255.5499999999997</v>
      </c>
      <c r="Q2723" t="str">
        <f>A2723&amp;"-"&amp;B2723&amp;"-"&amp;D2723</f>
        <v>JULI-CBA-L3</v>
      </c>
    </row>
    <row r="2724" spans="1:17" x14ac:dyDescent="0.25">
      <c r="A2724" t="s">
        <v>397</v>
      </c>
      <c r="B2724" s="13" t="s">
        <v>18</v>
      </c>
      <c r="C2724" s="13" t="s">
        <v>43</v>
      </c>
      <c r="D2724" s="14" t="s">
        <v>56</v>
      </c>
      <c r="E2724" s="13" t="s">
        <v>179</v>
      </c>
      <c r="F2724" s="13" t="s">
        <v>1035</v>
      </c>
      <c r="G2724" s="13">
        <v>1.54</v>
      </c>
      <c r="H2724" s="15">
        <v>3134</v>
      </c>
      <c r="I2724" s="16">
        <v>4826.3600000000006</v>
      </c>
      <c r="J2724" s="16">
        <v>4413.8363157894728</v>
      </c>
      <c r="K2724" s="16">
        <v>412.52368421052631</v>
      </c>
      <c r="L2724" s="13"/>
      <c r="M2724" s="13">
        <v>1.65</v>
      </c>
      <c r="N2724" s="17">
        <f t="shared" si="91"/>
        <v>0</v>
      </c>
      <c r="O2724" s="17">
        <f t="shared" si="91"/>
        <v>5171.0999999999995</v>
      </c>
      <c r="P2724" s="17">
        <f t="shared" si="90"/>
        <v>5171.0999999999995</v>
      </c>
      <c r="Q2724" t="str">
        <f>A2724&amp;"-"&amp;B2724&amp;"-"&amp;D2724</f>
        <v>JULI-CBA-L3</v>
      </c>
    </row>
    <row r="2725" spans="1:17" x14ac:dyDescent="0.25">
      <c r="A2725" t="s">
        <v>397</v>
      </c>
      <c r="B2725" s="13" t="s">
        <v>18</v>
      </c>
      <c r="C2725" s="13" t="s">
        <v>955</v>
      </c>
      <c r="D2725" s="14" t="s">
        <v>44</v>
      </c>
      <c r="E2725" s="13" t="s">
        <v>71</v>
      </c>
      <c r="F2725" s="13" t="s">
        <v>1119</v>
      </c>
      <c r="G2725" s="13">
        <v>5</v>
      </c>
      <c r="H2725" s="15">
        <v>930</v>
      </c>
      <c r="I2725" s="16">
        <v>4650</v>
      </c>
      <c r="J2725" s="16">
        <v>6955.8600000000006</v>
      </c>
      <c r="K2725" s="16">
        <v>-2305.8599999999997</v>
      </c>
      <c r="L2725" s="13"/>
      <c r="M2725" s="13">
        <v>6.95</v>
      </c>
      <c r="N2725" s="17">
        <f t="shared" si="91"/>
        <v>0</v>
      </c>
      <c r="O2725" s="17">
        <f t="shared" si="91"/>
        <v>6463.5</v>
      </c>
      <c r="P2725" s="17">
        <f t="shared" si="90"/>
        <v>6463.5</v>
      </c>
      <c r="Q2725" t="str">
        <f>A2725&amp;"-"&amp;B2725&amp;"-"&amp;D2725</f>
        <v>JULI-CBA-L1</v>
      </c>
    </row>
    <row r="2726" spans="1:17" x14ac:dyDescent="0.25">
      <c r="A2726" t="s">
        <v>397</v>
      </c>
      <c r="B2726" s="13" t="s">
        <v>18</v>
      </c>
      <c r="C2726" s="13" t="s">
        <v>955</v>
      </c>
      <c r="D2726" s="14" t="s">
        <v>50</v>
      </c>
      <c r="E2726" s="13" t="s">
        <v>58</v>
      </c>
      <c r="F2726" s="13" t="s">
        <v>1120</v>
      </c>
      <c r="G2726" s="13">
        <v>3.4600000000000004</v>
      </c>
      <c r="H2726" s="15">
        <v>2554</v>
      </c>
      <c r="I2726" s="16">
        <v>8836.84</v>
      </c>
      <c r="J2726" s="16">
        <v>8067.3900000000012</v>
      </c>
      <c r="K2726" s="16">
        <v>769.45</v>
      </c>
      <c r="L2726" s="13"/>
      <c r="M2726" s="13">
        <v>4.46</v>
      </c>
      <c r="N2726" s="17">
        <f t="shared" ref="N2726:O2783" si="92">$H2726*L2726</f>
        <v>0</v>
      </c>
      <c r="O2726" s="17">
        <f t="shared" si="92"/>
        <v>11390.84</v>
      </c>
      <c r="P2726" s="17">
        <f t="shared" si="90"/>
        <v>11390.84</v>
      </c>
      <c r="Q2726" t="str">
        <f>A2726&amp;"-"&amp;B2726&amp;"-"&amp;D2726</f>
        <v>JULI-CBA-L2</v>
      </c>
    </row>
    <row r="2727" spans="1:17" x14ac:dyDescent="0.25">
      <c r="A2727" t="s">
        <v>397</v>
      </c>
      <c r="B2727" s="13" t="s">
        <v>19</v>
      </c>
      <c r="C2727" s="13" t="s">
        <v>70</v>
      </c>
      <c r="D2727" s="14" t="s">
        <v>44</v>
      </c>
      <c r="E2727" s="13" t="s">
        <v>77</v>
      </c>
      <c r="F2727" s="13" t="s">
        <v>1121</v>
      </c>
      <c r="G2727" s="13">
        <v>2.75</v>
      </c>
      <c r="H2727" s="15">
        <v>736</v>
      </c>
      <c r="I2727" s="16">
        <v>2024</v>
      </c>
      <c r="J2727" s="16">
        <v>1630.0202257451783</v>
      </c>
      <c r="K2727" s="16">
        <v>393.97977425482168</v>
      </c>
      <c r="L2727" s="13">
        <v>5.29</v>
      </c>
      <c r="M2727" s="13"/>
      <c r="N2727" s="17">
        <f t="shared" si="92"/>
        <v>3893.44</v>
      </c>
      <c r="O2727" s="17">
        <f t="shared" si="92"/>
        <v>0</v>
      </c>
      <c r="P2727" s="17">
        <f t="shared" si="90"/>
        <v>3893.44</v>
      </c>
      <c r="Q2727" t="str">
        <f>A2727&amp;"-"&amp;B2727&amp;"-"&amp;D2727</f>
        <v>JULI-CHW-L1</v>
      </c>
    </row>
    <row r="2728" spans="1:17" x14ac:dyDescent="0.25">
      <c r="A2728" t="s">
        <v>397</v>
      </c>
      <c r="B2728" s="13" t="s">
        <v>19</v>
      </c>
      <c r="C2728" s="13" t="s">
        <v>70</v>
      </c>
      <c r="D2728" s="14" t="s">
        <v>44</v>
      </c>
      <c r="E2728" s="13" t="s">
        <v>77</v>
      </c>
      <c r="F2728" s="13" t="s">
        <v>821</v>
      </c>
      <c r="G2728" s="13">
        <v>3.7000000000000006</v>
      </c>
      <c r="H2728" s="15">
        <v>11</v>
      </c>
      <c r="I2728" s="16">
        <v>40.699999999999996</v>
      </c>
      <c r="J2728" s="16">
        <v>18.98414242155345</v>
      </c>
      <c r="K2728" s="16">
        <v>21.715857578446549</v>
      </c>
      <c r="L2728" s="13">
        <v>8.25</v>
      </c>
      <c r="M2728" s="13"/>
      <c r="N2728" s="17">
        <f t="shared" si="92"/>
        <v>90.75</v>
      </c>
      <c r="O2728" s="17">
        <f t="shared" si="92"/>
        <v>0</v>
      </c>
      <c r="P2728" s="17">
        <f t="shared" si="90"/>
        <v>90.75</v>
      </c>
      <c r="Q2728" t="str">
        <f>A2728&amp;"-"&amp;B2728&amp;"-"&amp;D2728</f>
        <v>JULI-CHW-L1</v>
      </c>
    </row>
    <row r="2729" spans="1:17" x14ac:dyDescent="0.25">
      <c r="A2729" t="s">
        <v>397</v>
      </c>
      <c r="B2729" s="13" t="s">
        <v>19</v>
      </c>
      <c r="C2729" s="13" t="s">
        <v>70</v>
      </c>
      <c r="D2729" s="14" t="s">
        <v>44</v>
      </c>
      <c r="E2729" s="13" t="s">
        <v>77</v>
      </c>
      <c r="F2729" s="13" t="s">
        <v>1006</v>
      </c>
      <c r="G2729" s="13">
        <v>3.7</v>
      </c>
      <c r="H2729" s="15">
        <v>204</v>
      </c>
      <c r="I2729" s="16">
        <v>754.8</v>
      </c>
      <c r="J2729" s="16">
        <v>408.58544600938967</v>
      </c>
      <c r="K2729" s="16">
        <v>346.21455399061028</v>
      </c>
      <c r="L2729" s="13">
        <v>7.63</v>
      </c>
      <c r="M2729" s="13"/>
      <c r="N2729" s="17">
        <f t="shared" si="92"/>
        <v>1556.52</v>
      </c>
      <c r="O2729" s="17">
        <f t="shared" si="92"/>
        <v>0</v>
      </c>
      <c r="P2729" s="17">
        <f t="shared" si="90"/>
        <v>1556.52</v>
      </c>
      <c r="Q2729" t="str">
        <f>A2729&amp;"-"&amp;B2729&amp;"-"&amp;D2729</f>
        <v>JULI-CHW-L1</v>
      </c>
    </row>
    <row r="2730" spans="1:17" x14ac:dyDescent="0.25">
      <c r="A2730" t="s">
        <v>397</v>
      </c>
      <c r="B2730" s="13" t="s">
        <v>19</v>
      </c>
      <c r="C2730" s="13" t="s">
        <v>70</v>
      </c>
      <c r="D2730" s="14" t="s">
        <v>44</v>
      </c>
      <c r="E2730" s="13" t="s">
        <v>77</v>
      </c>
      <c r="F2730" s="13" t="s">
        <v>1007</v>
      </c>
      <c r="G2730" s="13">
        <v>3.7</v>
      </c>
      <c r="H2730" s="15">
        <v>8</v>
      </c>
      <c r="I2730" s="16">
        <v>29.6</v>
      </c>
      <c r="J2730" s="16">
        <v>13.725000000000001</v>
      </c>
      <c r="K2730" s="16">
        <v>15.875</v>
      </c>
      <c r="L2730" s="13">
        <v>7.33</v>
      </c>
      <c r="M2730" s="13"/>
      <c r="N2730" s="17">
        <f t="shared" si="92"/>
        <v>58.64</v>
      </c>
      <c r="O2730" s="17">
        <f t="shared" si="92"/>
        <v>0</v>
      </c>
      <c r="P2730" s="17">
        <f t="shared" si="90"/>
        <v>58.64</v>
      </c>
      <c r="Q2730" t="str">
        <f>A2730&amp;"-"&amp;B2730&amp;"-"&amp;D2730</f>
        <v>JULI-CHW-L1</v>
      </c>
    </row>
    <row r="2731" spans="1:17" x14ac:dyDescent="0.25">
      <c r="A2731" t="s">
        <v>397</v>
      </c>
      <c r="B2731" s="13" t="s">
        <v>19</v>
      </c>
      <c r="C2731" s="13" t="s">
        <v>70</v>
      </c>
      <c r="D2731" s="14" t="s">
        <v>44</v>
      </c>
      <c r="E2731" s="13" t="s">
        <v>77</v>
      </c>
      <c r="F2731" s="13" t="s">
        <v>824</v>
      </c>
      <c r="G2731" s="13">
        <v>3.7</v>
      </c>
      <c r="H2731" s="15">
        <v>82</v>
      </c>
      <c r="I2731" s="16">
        <v>303.39999999999998</v>
      </c>
      <c r="J2731" s="16">
        <v>187.57500000000002</v>
      </c>
      <c r="K2731" s="16">
        <v>115.82499999999996</v>
      </c>
      <c r="L2731" s="13">
        <v>7.16</v>
      </c>
      <c r="M2731" s="13"/>
      <c r="N2731" s="17">
        <f t="shared" si="92"/>
        <v>587.12</v>
      </c>
      <c r="O2731" s="17">
        <f t="shared" si="92"/>
        <v>0</v>
      </c>
      <c r="P2731" s="17">
        <f t="shared" si="90"/>
        <v>587.12</v>
      </c>
      <c r="Q2731" t="str">
        <f>A2731&amp;"-"&amp;B2731&amp;"-"&amp;D2731</f>
        <v>JULI-CHW-L1</v>
      </c>
    </row>
    <row r="2732" spans="1:17" x14ac:dyDescent="0.25">
      <c r="A2732" t="s">
        <v>397</v>
      </c>
      <c r="B2732" s="13" t="s">
        <v>19</v>
      </c>
      <c r="C2732" s="13" t="s">
        <v>70</v>
      </c>
      <c r="D2732" s="14" t="s">
        <v>44</v>
      </c>
      <c r="E2732" s="13" t="s">
        <v>77</v>
      </c>
      <c r="F2732" s="13" t="s">
        <v>825</v>
      </c>
      <c r="G2732" s="13">
        <v>3.7</v>
      </c>
      <c r="H2732" s="15">
        <v>12</v>
      </c>
      <c r="I2732" s="16">
        <v>44.4</v>
      </c>
      <c r="J2732" s="16">
        <v>24.400000000000002</v>
      </c>
      <c r="K2732" s="16">
        <v>19.999999999999996</v>
      </c>
      <c r="L2732" s="13">
        <v>8.16</v>
      </c>
      <c r="M2732" s="13"/>
      <c r="N2732" s="17">
        <f t="shared" si="92"/>
        <v>97.92</v>
      </c>
      <c r="O2732" s="17">
        <f t="shared" si="92"/>
        <v>0</v>
      </c>
      <c r="P2732" s="17">
        <f t="shared" si="90"/>
        <v>97.92</v>
      </c>
      <c r="Q2732" t="str">
        <f>A2732&amp;"-"&amp;B2732&amp;"-"&amp;D2732</f>
        <v>JULI-CHW-L1</v>
      </c>
    </row>
    <row r="2733" spans="1:17" x14ac:dyDescent="0.25">
      <c r="A2733" t="s">
        <v>397</v>
      </c>
      <c r="B2733" s="13" t="s">
        <v>19</v>
      </c>
      <c r="C2733" s="13" t="s">
        <v>70</v>
      </c>
      <c r="D2733" s="14" t="s">
        <v>44</v>
      </c>
      <c r="E2733" s="13" t="s">
        <v>77</v>
      </c>
      <c r="F2733" s="13" t="s">
        <v>537</v>
      </c>
      <c r="G2733" s="13">
        <v>3.7000000000000006</v>
      </c>
      <c r="H2733" s="15">
        <v>45</v>
      </c>
      <c r="I2733" s="16">
        <v>166.5</v>
      </c>
      <c r="J2733" s="16">
        <v>76.928893629875773</v>
      </c>
      <c r="K2733" s="16">
        <v>89.571106370124227</v>
      </c>
      <c r="L2733" s="13">
        <v>8.31</v>
      </c>
      <c r="M2733" s="13"/>
      <c r="N2733" s="17">
        <f t="shared" si="92"/>
        <v>373.95000000000005</v>
      </c>
      <c r="O2733" s="17">
        <f t="shared" si="92"/>
        <v>0</v>
      </c>
      <c r="P2733" s="17">
        <f t="shared" si="90"/>
        <v>373.95000000000005</v>
      </c>
      <c r="Q2733" t="str">
        <f>A2733&amp;"-"&amp;B2733&amp;"-"&amp;D2733</f>
        <v>JULI-CHW-L1</v>
      </c>
    </row>
    <row r="2734" spans="1:17" x14ac:dyDescent="0.25">
      <c r="A2734" t="s">
        <v>397</v>
      </c>
      <c r="B2734" s="13" t="s">
        <v>19</v>
      </c>
      <c r="C2734" s="13" t="s">
        <v>70</v>
      </c>
      <c r="D2734" s="14" t="s">
        <v>44</v>
      </c>
      <c r="E2734" s="13" t="s">
        <v>77</v>
      </c>
      <c r="F2734" s="13" t="s">
        <v>709</v>
      </c>
      <c r="G2734" s="13">
        <v>3.7</v>
      </c>
      <c r="H2734" s="15">
        <v>16</v>
      </c>
      <c r="I2734" s="16">
        <v>59.2</v>
      </c>
      <c r="J2734" s="16">
        <v>23.549597855227884</v>
      </c>
      <c r="K2734" s="16">
        <v>35.650402144772116</v>
      </c>
      <c r="L2734" s="13">
        <v>8.2100000000000009</v>
      </c>
      <c r="M2734" s="13"/>
      <c r="N2734" s="17">
        <f t="shared" si="92"/>
        <v>131.36000000000001</v>
      </c>
      <c r="O2734" s="17">
        <f t="shared" si="92"/>
        <v>0</v>
      </c>
      <c r="P2734" s="17">
        <f t="shared" si="90"/>
        <v>131.36000000000001</v>
      </c>
      <c r="Q2734" t="str">
        <f>A2734&amp;"-"&amp;B2734&amp;"-"&amp;D2734</f>
        <v>JULI-CHW-L1</v>
      </c>
    </row>
    <row r="2735" spans="1:17" x14ac:dyDescent="0.25">
      <c r="A2735" t="s">
        <v>397</v>
      </c>
      <c r="B2735" s="13" t="s">
        <v>19</v>
      </c>
      <c r="C2735" s="13" t="s">
        <v>70</v>
      </c>
      <c r="D2735" s="14" t="s">
        <v>44</v>
      </c>
      <c r="E2735" s="13" t="s">
        <v>77</v>
      </c>
      <c r="F2735" s="13" t="s">
        <v>1008</v>
      </c>
      <c r="G2735" s="13">
        <v>3.7</v>
      </c>
      <c r="H2735" s="15">
        <v>5</v>
      </c>
      <c r="I2735" s="16">
        <v>18.5</v>
      </c>
      <c r="J2735" s="16">
        <v>10.166666666666666</v>
      </c>
      <c r="K2735" s="16">
        <v>8.3333333333333339</v>
      </c>
      <c r="L2735" s="13">
        <v>8.1300000000000008</v>
      </c>
      <c r="M2735" s="13"/>
      <c r="N2735" s="17">
        <f t="shared" si="92"/>
        <v>40.650000000000006</v>
      </c>
      <c r="O2735" s="17">
        <f t="shared" si="92"/>
        <v>0</v>
      </c>
      <c r="P2735" s="17">
        <f t="shared" si="90"/>
        <v>40.650000000000006</v>
      </c>
      <c r="Q2735" t="str">
        <f>A2735&amp;"-"&amp;B2735&amp;"-"&amp;D2735</f>
        <v>JULI-CHW-L1</v>
      </c>
    </row>
    <row r="2736" spans="1:17" x14ac:dyDescent="0.25">
      <c r="A2736" t="s">
        <v>397</v>
      </c>
      <c r="B2736" s="13" t="s">
        <v>19</v>
      </c>
      <c r="C2736" s="13" t="s">
        <v>70</v>
      </c>
      <c r="D2736" s="14" t="s">
        <v>44</v>
      </c>
      <c r="E2736" s="13" t="s">
        <v>77</v>
      </c>
      <c r="F2736" s="13" t="s">
        <v>1009</v>
      </c>
      <c r="G2736" s="13">
        <v>3.7</v>
      </c>
      <c r="H2736" s="15">
        <v>5</v>
      </c>
      <c r="I2736" s="16">
        <v>18.5</v>
      </c>
      <c r="J2736" s="16">
        <v>10.166666666666666</v>
      </c>
      <c r="K2736" s="16">
        <v>8.3333333333333339</v>
      </c>
      <c r="L2736" s="13">
        <v>8.2200000000000006</v>
      </c>
      <c r="M2736" s="13"/>
      <c r="N2736" s="17">
        <f t="shared" si="92"/>
        <v>41.1</v>
      </c>
      <c r="O2736" s="17">
        <f t="shared" si="92"/>
        <v>0</v>
      </c>
      <c r="P2736" s="17">
        <f t="shared" si="90"/>
        <v>41.1</v>
      </c>
      <c r="Q2736" t="str">
        <f>A2736&amp;"-"&amp;B2736&amp;"-"&amp;D2736</f>
        <v>JULI-CHW-L1</v>
      </c>
    </row>
    <row r="2737" spans="1:17" x14ac:dyDescent="0.25">
      <c r="A2737" t="s">
        <v>397</v>
      </c>
      <c r="B2737" s="13" t="s">
        <v>19</v>
      </c>
      <c r="C2737" s="13" t="s">
        <v>70</v>
      </c>
      <c r="D2737" s="14" t="s">
        <v>44</v>
      </c>
      <c r="E2737" s="13" t="s">
        <v>77</v>
      </c>
      <c r="F2737" s="13" t="s">
        <v>710</v>
      </c>
      <c r="G2737" s="13">
        <v>3.7</v>
      </c>
      <c r="H2737" s="15">
        <v>57</v>
      </c>
      <c r="I2737" s="16">
        <v>210.89999999999998</v>
      </c>
      <c r="J2737" s="16">
        <v>105.35012451383906</v>
      </c>
      <c r="K2737" s="16">
        <v>105.54987548616094</v>
      </c>
      <c r="L2737" s="13">
        <v>7.6</v>
      </c>
      <c r="M2737" s="13"/>
      <c r="N2737" s="17">
        <f t="shared" si="92"/>
        <v>433.2</v>
      </c>
      <c r="O2737" s="17">
        <f t="shared" si="92"/>
        <v>0</v>
      </c>
      <c r="P2737" s="17">
        <f t="shared" si="90"/>
        <v>433.2</v>
      </c>
      <c r="Q2737" t="str">
        <f>A2737&amp;"-"&amp;B2737&amp;"-"&amp;D2737</f>
        <v>JULI-CHW-L1</v>
      </c>
    </row>
    <row r="2738" spans="1:17" x14ac:dyDescent="0.25">
      <c r="A2738" t="s">
        <v>397</v>
      </c>
      <c r="B2738" s="13" t="s">
        <v>19</v>
      </c>
      <c r="C2738" s="13" t="s">
        <v>70</v>
      </c>
      <c r="D2738" s="14" t="s">
        <v>44</v>
      </c>
      <c r="E2738" s="13" t="s">
        <v>77</v>
      </c>
      <c r="F2738" s="13" t="s">
        <v>1122</v>
      </c>
      <c r="G2738" s="13">
        <v>2.75</v>
      </c>
      <c r="H2738" s="15">
        <v>3070</v>
      </c>
      <c r="I2738" s="16">
        <v>8442.5</v>
      </c>
      <c r="J2738" s="16">
        <v>5123.9454292882128</v>
      </c>
      <c r="K2738" s="16">
        <v>3318.5545707117872</v>
      </c>
      <c r="L2738" s="13">
        <v>6.9</v>
      </c>
      <c r="M2738" s="13"/>
      <c r="N2738" s="17">
        <f t="shared" si="92"/>
        <v>21183</v>
      </c>
      <c r="O2738" s="17">
        <f t="shared" si="92"/>
        <v>0</v>
      </c>
      <c r="P2738" s="17">
        <f t="shared" si="90"/>
        <v>21183</v>
      </c>
      <c r="Q2738" t="str">
        <f>A2738&amp;"-"&amp;B2738&amp;"-"&amp;D2738</f>
        <v>JULI-CHW-L1</v>
      </c>
    </row>
    <row r="2739" spans="1:17" x14ac:dyDescent="0.25">
      <c r="A2739" t="s">
        <v>397</v>
      </c>
      <c r="B2739" s="13" t="s">
        <v>19</v>
      </c>
      <c r="C2739" s="13" t="s">
        <v>70</v>
      </c>
      <c r="D2739" s="14" t="s">
        <v>44</v>
      </c>
      <c r="E2739" s="13" t="s">
        <v>77</v>
      </c>
      <c r="F2739" s="13" t="s">
        <v>1123</v>
      </c>
      <c r="G2739" s="13">
        <v>2.75</v>
      </c>
      <c r="H2739" s="15">
        <v>1867</v>
      </c>
      <c r="I2739" s="16">
        <v>5134.25</v>
      </c>
      <c r="J2739" s="16">
        <v>3346.6028072033896</v>
      </c>
      <c r="K2739" s="16">
        <v>1787.6471927966102</v>
      </c>
      <c r="L2739" s="13">
        <v>7.3</v>
      </c>
      <c r="M2739" s="13"/>
      <c r="N2739" s="17">
        <f t="shared" si="92"/>
        <v>13629.1</v>
      </c>
      <c r="O2739" s="17">
        <f t="shared" si="92"/>
        <v>0</v>
      </c>
      <c r="P2739" s="17">
        <f t="shared" si="90"/>
        <v>13629.1</v>
      </c>
      <c r="Q2739" t="str">
        <f>A2739&amp;"-"&amp;B2739&amp;"-"&amp;D2739</f>
        <v>JULI-CHW-L1</v>
      </c>
    </row>
    <row r="2740" spans="1:17" x14ac:dyDescent="0.25">
      <c r="A2740" t="s">
        <v>397</v>
      </c>
      <c r="B2740" s="13" t="s">
        <v>19</v>
      </c>
      <c r="C2740" s="13" t="s">
        <v>70</v>
      </c>
      <c r="D2740" s="14" t="s">
        <v>50</v>
      </c>
      <c r="E2740" s="13" t="s">
        <v>73</v>
      </c>
      <c r="F2740" s="13" t="s">
        <v>1010</v>
      </c>
      <c r="G2740" s="13">
        <v>4.5</v>
      </c>
      <c r="H2740" s="15">
        <v>1</v>
      </c>
      <c r="I2740" s="16">
        <v>4.5</v>
      </c>
      <c r="J2740" s="16">
        <v>2.8894736842105262</v>
      </c>
      <c r="K2740" s="16">
        <v>1.6105263157894738</v>
      </c>
      <c r="L2740" s="13">
        <v>11.08</v>
      </c>
      <c r="M2740" s="13"/>
      <c r="N2740" s="17">
        <f t="shared" si="92"/>
        <v>11.08</v>
      </c>
      <c r="O2740" s="17">
        <f t="shared" si="92"/>
        <v>0</v>
      </c>
      <c r="P2740" s="17">
        <f t="shared" si="90"/>
        <v>11.08</v>
      </c>
      <c r="Q2740" t="str">
        <f>A2740&amp;"-"&amp;B2740&amp;"-"&amp;D2740</f>
        <v>JULI-CHW-L2</v>
      </c>
    </row>
    <row r="2741" spans="1:17" x14ac:dyDescent="0.25">
      <c r="A2741" t="s">
        <v>397</v>
      </c>
      <c r="B2741" s="13" t="s">
        <v>19</v>
      </c>
      <c r="C2741" s="13" t="s">
        <v>70</v>
      </c>
      <c r="D2741" s="14" t="s">
        <v>50</v>
      </c>
      <c r="E2741" s="13" t="s">
        <v>73</v>
      </c>
      <c r="F2741" s="13" t="s">
        <v>1124</v>
      </c>
      <c r="G2741" s="13">
        <v>4.5</v>
      </c>
      <c r="H2741" s="15">
        <v>246</v>
      </c>
      <c r="I2741" s="16">
        <v>1107</v>
      </c>
      <c r="J2741" s="16">
        <v>849.71929824561403</v>
      </c>
      <c r="K2741" s="16">
        <v>257.28070175438597</v>
      </c>
      <c r="L2741" s="13">
        <v>13.06</v>
      </c>
      <c r="M2741" s="13"/>
      <c r="N2741" s="17">
        <f t="shared" si="92"/>
        <v>3212.76</v>
      </c>
      <c r="O2741" s="17">
        <f t="shared" si="92"/>
        <v>0</v>
      </c>
      <c r="P2741" s="17">
        <f t="shared" si="90"/>
        <v>3212.76</v>
      </c>
      <c r="Q2741" t="str">
        <f>A2741&amp;"-"&amp;B2741&amp;"-"&amp;D2741</f>
        <v>JULI-CHW-L2</v>
      </c>
    </row>
    <row r="2742" spans="1:17" x14ac:dyDescent="0.25">
      <c r="A2742" t="s">
        <v>397</v>
      </c>
      <c r="B2742" s="13" t="s">
        <v>19</v>
      </c>
      <c r="C2742" s="13" t="s">
        <v>70</v>
      </c>
      <c r="D2742" s="14" t="s">
        <v>50</v>
      </c>
      <c r="E2742" s="13" t="s">
        <v>73</v>
      </c>
      <c r="F2742" s="13" t="s">
        <v>827</v>
      </c>
      <c r="G2742" s="13">
        <v>4.7</v>
      </c>
      <c r="H2742" s="15">
        <v>65</v>
      </c>
      <c r="I2742" s="16">
        <v>305.5</v>
      </c>
      <c r="J2742" s="16">
        <v>199.93723404255317</v>
      </c>
      <c r="K2742" s="16">
        <v>105.56276595744686</v>
      </c>
      <c r="L2742" s="13">
        <v>11.39</v>
      </c>
      <c r="M2742" s="13"/>
      <c r="N2742" s="17">
        <f t="shared" si="92"/>
        <v>740.35</v>
      </c>
      <c r="O2742" s="17">
        <f t="shared" si="92"/>
        <v>0</v>
      </c>
      <c r="P2742" s="17">
        <f t="shared" si="90"/>
        <v>740.35</v>
      </c>
      <c r="Q2742" t="str">
        <f>A2742&amp;"-"&amp;B2742&amp;"-"&amp;D2742</f>
        <v>JULI-CHW-L2</v>
      </c>
    </row>
    <row r="2743" spans="1:17" x14ac:dyDescent="0.25">
      <c r="A2743" t="s">
        <v>397</v>
      </c>
      <c r="B2743" s="13" t="s">
        <v>19</v>
      </c>
      <c r="C2743" s="13" t="s">
        <v>70</v>
      </c>
      <c r="D2743" s="14" t="s">
        <v>50</v>
      </c>
      <c r="E2743" s="13" t="s">
        <v>73</v>
      </c>
      <c r="F2743" s="13" t="s">
        <v>828</v>
      </c>
      <c r="G2743" s="13">
        <v>4.5</v>
      </c>
      <c r="H2743" s="15">
        <v>6</v>
      </c>
      <c r="I2743" s="16">
        <v>27</v>
      </c>
      <c r="J2743" s="16">
        <v>16.47</v>
      </c>
      <c r="K2743" s="16">
        <v>10.530000000000001</v>
      </c>
      <c r="L2743" s="13">
        <v>9.3699999999999992</v>
      </c>
      <c r="M2743" s="13"/>
      <c r="N2743" s="17">
        <f t="shared" si="92"/>
        <v>56.22</v>
      </c>
      <c r="O2743" s="17">
        <f t="shared" si="92"/>
        <v>0</v>
      </c>
      <c r="P2743" s="17">
        <f t="shared" si="90"/>
        <v>56.22</v>
      </c>
      <c r="Q2743" t="str">
        <f>A2743&amp;"-"&amp;B2743&amp;"-"&amp;D2743</f>
        <v>JULI-CHW-L2</v>
      </c>
    </row>
    <row r="2744" spans="1:17" x14ac:dyDescent="0.25">
      <c r="A2744" t="s">
        <v>397</v>
      </c>
      <c r="B2744" s="13" t="s">
        <v>19</v>
      </c>
      <c r="C2744" s="13" t="s">
        <v>70</v>
      </c>
      <c r="D2744" s="14" t="s">
        <v>50</v>
      </c>
      <c r="E2744" s="13" t="s">
        <v>73</v>
      </c>
      <c r="F2744" s="13" t="s">
        <v>1011</v>
      </c>
      <c r="G2744" s="13">
        <v>4.5</v>
      </c>
      <c r="H2744" s="15">
        <v>48</v>
      </c>
      <c r="I2744" s="16">
        <v>216</v>
      </c>
      <c r="J2744" s="16">
        <v>129.625</v>
      </c>
      <c r="K2744" s="16">
        <v>86.375</v>
      </c>
      <c r="L2744" s="13">
        <v>11.62</v>
      </c>
      <c r="M2744" s="13"/>
      <c r="N2744" s="17">
        <f t="shared" si="92"/>
        <v>557.76</v>
      </c>
      <c r="O2744" s="17">
        <f t="shared" si="92"/>
        <v>0</v>
      </c>
      <c r="P2744" s="17">
        <f t="shared" si="90"/>
        <v>557.76</v>
      </c>
      <c r="Q2744" t="str">
        <f>A2744&amp;"-"&amp;B2744&amp;"-"&amp;D2744</f>
        <v>JULI-CHW-L2</v>
      </c>
    </row>
    <row r="2745" spans="1:17" x14ac:dyDescent="0.25">
      <c r="A2745" t="s">
        <v>397</v>
      </c>
      <c r="B2745" s="13" t="s">
        <v>19</v>
      </c>
      <c r="C2745" s="13" t="s">
        <v>70</v>
      </c>
      <c r="D2745" s="14" t="s">
        <v>50</v>
      </c>
      <c r="E2745" s="13" t="s">
        <v>73</v>
      </c>
      <c r="F2745" s="13" t="s">
        <v>1012</v>
      </c>
      <c r="G2745" s="13">
        <v>4.5</v>
      </c>
      <c r="H2745" s="15">
        <v>94</v>
      </c>
      <c r="I2745" s="16">
        <v>423</v>
      </c>
      <c r="J2745" s="16">
        <v>328.08442396313364</v>
      </c>
      <c r="K2745" s="16">
        <v>94.915576036866355</v>
      </c>
      <c r="L2745" s="13">
        <v>13.31</v>
      </c>
      <c r="M2745" s="13"/>
      <c r="N2745" s="17">
        <f t="shared" si="92"/>
        <v>1251.1400000000001</v>
      </c>
      <c r="O2745" s="17">
        <f t="shared" si="92"/>
        <v>0</v>
      </c>
      <c r="P2745" s="17">
        <f t="shared" si="90"/>
        <v>1251.1400000000001</v>
      </c>
      <c r="Q2745" t="str">
        <f>A2745&amp;"-"&amp;B2745&amp;"-"&amp;D2745</f>
        <v>JULI-CHW-L2</v>
      </c>
    </row>
    <row r="2746" spans="1:17" x14ac:dyDescent="0.25">
      <c r="A2746" t="s">
        <v>397</v>
      </c>
      <c r="B2746" s="13" t="s">
        <v>19</v>
      </c>
      <c r="C2746" s="13" t="s">
        <v>70</v>
      </c>
      <c r="D2746" s="14" t="s">
        <v>50</v>
      </c>
      <c r="E2746" s="13" t="s">
        <v>73</v>
      </c>
      <c r="F2746" s="13" t="s">
        <v>1125</v>
      </c>
      <c r="G2746" s="13">
        <v>4.5</v>
      </c>
      <c r="H2746" s="15">
        <v>1335</v>
      </c>
      <c r="I2746" s="16">
        <v>6007.5</v>
      </c>
      <c r="J2746" s="16">
        <v>3766.5380229419702</v>
      </c>
      <c r="K2746" s="16">
        <v>2240.9619770580298</v>
      </c>
      <c r="L2746" s="13">
        <v>10.220000000000001</v>
      </c>
      <c r="M2746" s="13"/>
      <c r="N2746" s="17">
        <f t="shared" si="92"/>
        <v>13643.7</v>
      </c>
      <c r="O2746" s="17">
        <f t="shared" si="92"/>
        <v>0</v>
      </c>
      <c r="P2746" s="17">
        <f t="shared" si="90"/>
        <v>13643.7</v>
      </c>
      <c r="Q2746" t="str">
        <f>A2746&amp;"-"&amp;B2746&amp;"-"&amp;D2746</f>
        <v>JULI-CHW-L2</v>
      </c>
    </row>
    <row r="2747" spans="1:17" x14ac:dyDescent="0.25">
      <c r="A2747" t="s">
        <v>397</v>
      </c>
      <c r="B2747" s="13" t="s">
        <v>19</v>
      </c>
      <c r="C2747" s="13" t="s">
        <v>70</v>
      </c>
      <c r="D2747" s="14" t="s">
        <v>50</v>
      </c>
      <c r="E2747" s="13" t="s">
        <v>73</v>
      </c>
      <c r="F2747" s="13" t="s">
        <v>1126</v>
      </c>
      <c r="G2747" s="13">
        <v>4.5</v>
      </c>
      <c r="H2747" s="15">
        <v>561</v>
      </c>
      <c r="I2747" s="16">
        <v>2524.5</v>
      </c>
      <c r="J2747" s="16">
        <v>2245.4575280898875</v>
      </c>
      <c r="K2747" s="16">
        <v>279.04247191011234</v>
      </c>
      <c r="L2747" s="13">
        <v>9.48</v>
      </c>
      <c r="M2747" s="13"/>
      <c r="N2747" s="17">
        <f t="shared" si="92"/>
        <v>5318.2800000000007</v>
      </c>
      <c r="O2747" s="17">
        <f t="shared" si="92"/>
        <v>0</v>
      </c>
      <c r="P2747" s="17">
        <f t="shared" si="90"/>
        <v>5318.2800000000007</v>
      </c>
      <c r="Q2747" t="str">
        <f>A2747&amp;"-"&amp;B2747&amp;"-"&amp;D2747</f>
        <v>JULI-CHW-L2</v>
      </c>
    </row>
    <row r="2748" spans="1:17" x14ac:dyDescent="0.25">
      <c r="A2748" t="s">
        <v>397</v>
      </c>
      <c r="B2748" s="13" t="s">
        <v>19</v>
      </c>
      <c r="C2748" s="13" t="s">
        <v>70</v>
      </c>
      <c r="D2748" s="14" t="s">
        <v>50</v>
      </c>
      <c r="E2748" s="13" t="s">
        <v>73</v>
      </c>
      <c r="F2748" s="13" t="s">
        <v>1013</v>
      </c>
      <c r="G2748" s="13">
        <v>4.5</v>
      </c>
      <c r="H2748" s="15">
        <v>40</v>
      </c>
      <c r="I2748" s="16">
        <v>180</v>
      </c>
      <c r="J2748" s="16">
        <v>147.45893258426963</v>
      </c>
      <c r="K2748" s="16">
        <v>32.541067415730353</v>
      </c>
      <c r="L2748" s="13">
        <v>10</v>
      </c>
      <c r="M2748" s="13"/>
      <c r="N2748" s="17">
        <f t="shared" si="92"/>
        <v>400</v>
      </c>
      <c r="O2748" s="17">
        <f t="shared" si="92"/>
        <v>0</v>
      </c>
      <c r="P2748" s="17">
        <f t="shared" si="90"/>
        <v>400</v>
      </c>
      <c r="Q2748" t="str">
        <f>A2748&amp;"-"&amp;B2748&amp;"-"&amp;D2748</f>
        <v>JULI-CHW-L2</v>
      </c>
    </row>
    <row r="2749" spans="1:17" x14ac:dyDescent="0.25">
      <c r="A2749" t="s">
        <v>397</v>
      </c>
      <c r="B2749" s="13" t="s">
        <v>19</v>
      </c>
      <c r="C2749" s="13" t="s">
        <v>70</v>
      </c>
      <c r="D2749" s="14" t="s">
        <v>50</v>
      </c>
      <c r="E2749" s="13" t="s">
        <v>73</v>
      </c>
      <c r="F2749" s="13" t="s">
        <v>1014</v>
      </c>
      <c r="G2749" s="13">
        <v>4.5</v>
      </c>
      <c r="H2749" s="15">
        <v>301</v>
      </c>
      <c r="I2749" s="16">
        <v>1354.5</v>
      </c>
      <c r="J2749" s="16">
        <v>951.53970904836456</v>
      </c>
      <c r="K2749" s="16">
        <v>402.9602909516355</v>
      </c>
      <c r="L2749" s="13">
        <v>11.05</v>
      </c>
      <c r="M2749" s="13"/>
      <c r="N2749" s="17">
        <f t="shared" si="92"/>
        <v>3326.05</v>
      </c>
      <c r="O2749" s="17">
        <f t="shared" si="92"/>
        <v>0</v>
      </c>
      <c r="P2749" s="17">
        <f t="shared" si="90"/>
        <v>3326.05</v>
      </c>
      <c r="Q2749" t="str">
        <f>A2749&amp;"-"&amp;B2749&amp;"-"&amp;D2749</f>
        <v>JULI-CHW-L2</v>
      </c>
    </row>
    <row r="2750" spans="1:17" x14ac:dyDescent="0.25">
      <c r="A2750" t="s">
        <v>397</v>
      </c>
      <c r="B2750" s="13" t="s">
        <v>19</v>
      </c>
      <c r="C2750" s="13" t="s">
        <v>70</v>
      </c>
      <c r="D2750" s="14" t="s">
        <v>50</v>
      </c>
      <c r="E2750" s="13" t="s">
        <v>73</v>
      </c>
      <c r="F2750" s="13" t="s">
        <v>711</v>
      </c>
      <c r="G2750" s="13">
        <v>4.5</v>
      </c>
      <c r="H2750" s="15">
        <v>80</v>
      </c>
      <c r="I2750" s="16">
        <v>360</v>
      </c>
      <c r="J2750" s="16">
        <v>219.99214285714285</v>
      </c>
      <c r="K2750" s="16">
        <v>140.00785714285715</v>
      </c>
      <c r="L2750" s="13">
        <v>10.82</v>
      </c>
      <c r="M2750" s="13"/>
      <c r="N2750" s="17">
        <f t="shared" si="92"/>
        <v>865.6</v>
      </c>
      <c r="O2750" s="17">
        <f t="shared" si="92"/>
        <v>0</v>
      </c>
      <c r="P2750" s="17">
        <f t="shared" si="90"/>
        <v>865.6</v>
      </c>
      <c r="Q2750" t="str">
        <f>A2750&amp;"-"&amp;B2750&amp;"-"&amp;D2750</f>
        <v>JULI-CHW-L2</v>
      </c>
    </row>
    <row r="2751" spans="1:17" x14ac:dyDescent="0.25">
      <c r="A2751" t="s">
        <v>397</v>
      </c>
      <c r="B2751" s="13" t="s">
        <v>19</v>
      </c>
      <c r="C2751" s="13" t="s">
        <v>70</v>
      </c>
      <c r="D2751" s="14" t="s">
        <v>50</v>
      </c>
      <c r="E2751" s="13" t="s">
        <v>73</v>
      </c>
      <c r="F2751" s="13" t="s">
        <v>830</v>
      </c>
      <c r="G2751" s="13">
        <v>4.5</v>
      </c>
      <c r="H2751" s="15">
        <v>88</v>
      </c>
      <c r="I2751" s="16">
        <v>396</v>
      </c>
      <c r="J2751" s="16">
        <v>402.58666666666664</v>
      </c>
      <c r="K2751" s="16">
        <v>-6.5866666666666482</v>
      </c>
      <c r="L2751" s="13">
        <v>11.12</v>
      </c>
      <c r="M2751" s="13"/>
      <c r="N2751" s="17">
        <f t="shared" si="92"/>
        <v>978.56</v>
      </c>
      <c r="O2751" s="17">
        <f t="shared" si="92"/>
        <v>0</v>
      </c>
      <c r="P2751" s="17">
        <f t="shared" si="90"/>
        <v>978.56</v>
      </c>
      <c r="Q2751" t="str">
        <f>A2751&amp;"-"&amp;B2751&amp;"-"&amp;D2751</f>
        <v>JULI-CHW-L2</v>
      </c>
    </row>
    <row r="2752" spans="1:17" x14ac:dyDescent="0.25">
      <c r="A2752" t="s">
        <v>397</v>
      </c>
      <c r="B2752" s="13" t="s">
        <v>19</v>
      </c>
      <c r="C2752" s="13" t="s">
        <v>70</v>
      </c>
      <c r="D2752" s="14" t="s">
        <v>50</v>
      </c>
      <c r="E2752" s="13" t="s">
        <v>73</v>
      </c>
      <c r="F2752" s="13" t="s">
        <v>1127</v>
      </c>
      <c r="G2752" s="13">
        <v>4.5</v>
      </c>
      <c r="H2752" s="15">
        <v>534</v>
      </c>
      <c r="I2752" s="16">
        <v>2403</v>
      </c>
      <c r="J2752" s="16">
        <v>1719.7015678761868</v>
      </c>
      <c r="K2752" s="16">
        <v>683.2984321238132</v>
      </c>
      <c r="L2752" s="13">
        <v>11.17</v>
      </c>
      <c r="M2752" s="13"/>
      <c r="N2752" s="17">
        <f t="shared" si="92"/>
        <v>5964.78</v>
      </c>
      <c r="O2752" s="17">
        <f t="shared" si="92"/>
        <v>0</v>
      </c>
      <c r="P2752" s="17">
        <f t="shared" si="90"/>
        <v>5964.78</v>
      </c>
      <c r="Q2752" t="str">
        <f>A2752&amp;"-"&amp;B2752&amp;"-"&amp;D2752</f>
        <v>JULI-CHW-L2</v>
      </c>
    </row>
    <row r="2753" spans="1:17" x14ac:dyDescent="0.25">
      <c r="A2753" t="s">
        <v>397</v>
      </c>
      <c r="B2753" s="13" t="s">
        <v>19</v>
      </c>
      <c r="C2753" s="13" t="s">
        <v>70</v>
      </c>
      <c r="D2753" s="14" t="s">
        <v>56</v>
      </c>
      <c r="E2753" s="13" t="s">
        <v>71</v>
      </c>
      <c r="F2753" s="13" t="s">
        <v>1128</v>
      </c>
      <c r="G2753" s="13">
        <v>5</v>
      </c>
      <c r="H2753" s="15">
        <v>472</v>
      </c>
      <c r="I2753" s="16">
        <v>2360</v>
      </c>
      <c r="J2753" s="16">
        <v>1735.5626003210273</v>
      </c>
      <c r="K2753" s="16">
        <v>624.43739967897272</v>
      </c>
      <c r="L2753" s="13">
        <v>11.96</v>
      </c>
      <c r="M2753" s="13"/>
      <c r="N2753" s="17">
        <f t="shared" si="92"/>
        <v>5645.1200000000008</v>
      </c>
      <c r="O2753" s="17">
        <f t="shared" si="92"/>
        <v>0</v>
      </c>
      <c r="P2753" s="17">
        <f t="shared" si="90"/>
        <v>5645.1200000000008</v>
      </c>
      <c r="Q2753" t="str">
        <f>A2753&amp;"-"&amp;B2753&amp;"-"&amp;D2753</f>
        <v>JULI-CHW-L3</v>
      </c>
    </row>
    <row r="2754" spans="1:17" x14ac:dyDescent="0.25">
      <c r="A2754" t="s">
        <v>397</v>
      </c>
      <c r="B2754" s="13" t="s">
        <v>19</v>
      </c>
      <c r="C2754" s="13" t="s">
        <v>70</v>
      </c>
      <c r="D2754" s="14" t="s">
        <v>56</v>
      </c>
      <c r="E2754" s="13" t="s">
        <v>71</v>
      </c>
      <c r="F2754" s="13" t="s">
        <v>1015</v>
      </c>
      <c r="G2754" s="13">
        <v>5</v>
      </c>
      <c r="H2754" s="15">
        <v>70</v>
      </c>
      <c r="I2754" s="16">
        <v>350</v>
      </c>
      <c r="J2754" s="16">
        <v>441.98833218943037</v>
      </c>
      <c r="K2754" s="16">
        <v>-91.988332189430338</v>
      </c>
      <c r="L2754" s="13">
        <v>12.74</v>
      </c>
      <c r="M2754" s="13"/>
      <c r="N2754" s="17">
        <f t="shared" si="92"/>
        <v>891.80000000000007</v>
      </c>
      <c r="O2754" s="17">
        <f t="shared" si="92"/>
        <v>0</v>
      </c>
      <c r="P2754" s="17">
        <f t="shared" ref="P2754:P2817" si="93">N2754+O2754</f>
        <v>891.80000000000007</v>
      </c>
      <c r="Q2754" t="str">
        <f>A2754&amp;"-"&amp;B2754&amp;"-"&amp;D2754</f>
        <v>JULI-CHW-L3</v>
      </c>
    </row>
    <row r="2755" spans="1:17" x14ac:dyDescent="0.25">
      <c r="A2755" t="s">
        <v>397</v>
      </c>
      <c r="B2755" s="13" t="s">
        <v>19</v>
      </c>
      <c r="C2755" s="13" t="s">
        <v>70</v>
      </c>
      <c r="D2755" s="14" t="s">
        <v>56</v>
      </c>
      <c r="E2755" s="13" t="s">
        <v>71</v>
      </c>
      <c r="F2755" s="13" t="s">
        <v>831</v>
      </c>
      <c r="G2755" s="13">
        <v>5</v>
      </c>
      <c r="H2755" s="15">
        <v>13</v>
      </c>
      <c r="I2755" s="16">
        <v>65</v>
      </c>
      <c r="J2755" s="16">
        <v>115.11290322580646</v>
      </c>
      <c r="K2755" s="16">
        <v>-50.112903225806463</v>
      </c>
      <c r="L2755" s="13">
        <v>12.82</v>
      </c>
      <c r="M2755" s="13"/>
      <c r="N2755" s="17">
        <f t="shared" si="92"/>
        <v>166.66</v>
      </c>
      <c r="O2755" s="17">
        <f t="shared" si="92"/>
        <v>0</v>
      </c>
      <c r="P2755" s="17">
        <f t="shared" si="93"/>
        <v>166.66</v>
      </c>
      <c r="Q2755" t="str">
        <f>A2755&amp;"-"&amp;B2755&amp;"-"&amp;D2755</f>
        <v>JULI-CHW-L3</v>
      </c>
    </row>
    <row r="2756" spans="1:17" x14ac:dyDescent="0.25">
      <c r="A2756" t="s">
        <v>397</v>
      </c>
      <c r="B2756" s="13" t="s">
        <v>19</v>
      </c>
      <c r="C2756" s="13" t="s">
        <v>70</v>
      </c>
      <c r="D2756" s="14" t="s">
        <v>56</v>
      </c>
      <c r="E2756" s="13" t="s">
        <v>71</v>
      </c>
      <c r="F2756" s="13" t="s">
        <v>1129</v>
      </c>
      <c r="G2756" s="13">
        <v>5</v>
      </c>
      <c r="H2756" s="15">
        <v>198</v>
      </c>
      <c r="I2756" s="16">
        <v>990</v>
      </c>
      <c r="J2756" s="16">
        <v>1756.2683780355201</v>
      </c>
      <c r="K2756" s="16">
        <v>-766.26837803552007</v>
      </c>
      <c r="L2756" s="13">
        <v>14.26</v>
      </c>
      <c r="M2756" s="13"/>
      <c r="N2756" s="17">
        <f t="shared" si="92"/>
        <v>2823.48</v>
      </c>
      <c r="O2756" s="17">
        <f t="shared" si="92"/>
        <v>0</v>
      </c>
      <c r="P2756" s="17">
        <f t="shared" si="93"/>
        <v>2823.48</v>
      </c>
      <c r="Q2756" t="str">
        <f>A2756&amp;"-"&amp;B2756&amp;"-"&amp;D2756</f>
        <v>JULI-CHW-L3</v>
      </c>
    </row>
    <row r="2757" spans="1:17" x14ac:dyDescent="0.25">
      <c r="A2757" t="s">
        <v>397</v>
      </c>
      <c r="B2757" s="13" t="s">
        <v>19</v>
      </c>
      <c r="C2757" s="13" t="s">
        <v>70</v>
      </c>
      <c r="D2757" s="14" t="s">
        <v>56</v>
      </c>
      <c r="E2757" s="13" t="s">
        <v>71</v>
      </c>
      <c r="F2757" s="13" t="s">
        <v>832</v>
      </c>
      <c r="G2757" s="13">
        <v>4.8</v>
      </c>
      <c r="H2757" s="15">
        <v>18</v>
      </c>
      <c r="I2757" s="16">
        <v>86.4</v>
      </c>
      <c r="J2757" s="16">
        <v>164.7</v>
      </c>
      <c r="K2757" s="16">
        <v>-78.299999999999983</v>
      </c>
      <c r="L2757" s="13">
        <v>10.81</v>
      </c>
      <c r="M2757" s="13"/>
      <c r="N2757" s="17">
        <f t="shared" si="92"/>
        <v>194.58</v>
      </c>
      <c r="O2757" s="17">
        <f t="shared" si="92"/>
        <v>0</v>
      </c>
      <c r="P2757" s="17">
        <f t="shared" si="93"/>
        <v>194.58</v>
      </c>
      <c r="Q2757" t="str">
        <f>A2757&amp;"-"&amp;B2757&amp;"-"&amp;D2757</f>
        <v>JULI-CHW-L3</v>
      </c>
    </row>
    <row r="2758" spans="1:17" x14ac:dyDescent="0.25">
      <c r="A2758" t="s">
        <v>397</v>
      </c>
      <c r="B2758" s="13" t="s">
        <v>19</v>
      </c>
      <c r="C2758" s="13" t="s">
        <v>70</v>
      </c>
      <c r="D2758" s="14" t="s">
        <v>56</v>
      </c>
      <c r="E2758" s="13" t="s">
        <v>71</v>
      </c>
      <c r="F2758" s="13" t="s">
        <v>1016</v>
      </c>
      <c r="G2758" s="13">
        <v>5</v>
      </c>
      <c r="H2758" s="15">
        <v>91</v>
      </c>
      <c r="I2758" s="16">
        <v>455</v>
      </c>
      <c r="J2758" s="16">
        <v>567.96468789275241</v>
      </c>
      <c r="K2758" s="16">
        <v>-112.96468789275242</v>
      </c>
      <c r="L2758" s="13">
        <v>11.13</v>
      </c>
      <c r="M2758" s="13"/>
      <c r="N2758" s="17">
        <f t="shared" si="92"/>
        <v>1012.83</v>
      </c>
      <c r="O2758" s="17">
        <f t="shared" si="92"/>
        <v>0</v>
      </c>
      <c r="P2758" s="17">
        <f t="shared" si="93"/>
        <v>1012.83</v>
      </c>
      <c r="Q2758" t="str">
        <f>A2758&amp;"-"&amp;B2758&amp;"-"&amp;D2758</f>
        <v>JULI-CHW-L3</v>
      </c>
    </row>
    <row r="2759" spans="1:17" x14ac:dyDescent="0.25">
      <c r="A2759" t="s">
        <v>397</v>
      </c>
      <c r="B2759" s="13" t="s">
        <v>19</v>
      </c>
      <c r="C2759" s="13" t="s">
        <v>70</v>
      </c>
      <c r="D2759" s="14" t="s">
        <v>56</v>
      </c>
      <c r="E2759" s="13" t="s">
        <v>71</v>
      </c>
      <c r="F2759" s="13" t="s">
        <v>833</v>
      </c>
      <c r="G2759" s="13">
        <v>5</v>
      </c>
      <c r="H2759" s="15">
        <v>104</v>
      </c>
      <c r="I2759" s="16">
        <v>520</v>
      </c>
      <c r="J2759" s="16">
        <v>677.41086135895671</v>
      </c>
      <c r="K2759" s="16">
        <v>-157.41086135895674</v>
      </c>
      <c r="L2759" s="13">
        <v>10.72</v>
      </c>
      <c r="M2759" s="13"/>
      <c r="N2759" s="17">
        <f t="shared" si="92"/>
        <v>1114.8800000000001</v>
      </c>
      <c r="O2759" s="17">
        <f t="shared" si="92"/>
        <v>0</v>
      </c>
      <c r="P2759" s="17">
        <f t="shared" si="93"/>
        <v>1114.8800000000001</v>
      </c>
      <c r="Q2759" t="str">
        <f>A2759&amp;"-"&amp;B2759&amp;"-"&amp;D2759</f>
        <v>JULI-CHW-L3</v>
      </c>
    </row>
    <row r="2760" spans="1:17" x14ac:dyDescent="0.25">
      <c r="A2760" t="s">
        <v>397</v>
      </c>
      <c r="B2760" s="13" t="s">
        <v>19</v>
      </c>
      <c r="C2760" s="13" t="s">
        <v>70</v>
      </c>
      <c r="D2760" s="14" t="s">
        <v>56</v>
      </c>
      <c r="E2760" s="13" t="s">
        <v>71</v>
      </c>
      <c r="F2760" s="13" t="s">
        <v>1017</v>
      </c>
      <c r="G2760" s="13">
        <v>5</v>
      </c>
      <c r="H2760" s="15">
        <v>11</v>
      </c>
      <c r="I2760" s="16">
        <v>55</v>
      </c>
      <c r="J2760" s="16">
        <v>67.853932584269657</v>
      </c>
      <c r="K2760" s="16">
        <v>-12.853932584269657</v>
      </c>
      <c r="L2760" s="13">
        <v>10.78</v>
      </c>
      <c r="M2760" s="13"/>
      <c r="N2760" s="17">
        <f t="shared" si="92"/>
        <v>118.58</v>
      </c>
      <c r="O2760" s="17">
        <f t="shared" si="92"/>
        <v>0</v>
      </c>
      <c r="P2760" s="17">
        <f t="shared" si="93"/>
        <v>118.58</v>
      </c>
      <c r="Q2760" t="str">
        <f>A2760&amp;"-"&amp;B2760&amp;"-"&amp;D2760</f>
        <v>JULI-CHW-L3</v>
      </c>
    </row>
    <row r="2761" spans="1:17" x14ac:dyDescent="0.25">
      <c r="A2761" t="s">
        <v>397</v>
      </c>
      <c r="B2761" s="13" t="s">
        <v>19</v>
      </c>
      <c r="C2761" s="13" t="s">
        <v>70</v>
      </c>
      <c r="D2761" s="14" t="s">
        <v>56</v>
      </c>
      <c r="E2761" s="13" t="s">
        <v>71</v>
      </c>
      <c r="F2761" s="13" t="s">
        <v>1018</v>
      </c>
      <c r="G2761" s="13">
        <v>5</v>
      </c>
      <c r="H2761" s="15">
        <v>4</v>
      </c>
      <c r="I2761" s="16">
        <v>20</v>
      </c>
      <c r="J2761" s="16">
        <v>30.637078651685393</v>
      </c>
      <c r="K2761" s="16">
        <v>-10.637078651685394</v>
      </c>
      <c r="L2761" s="13">
        <v>11.62</v>
      </c>
      <c r="M2761" s="13"/>
      <c r="N2761" s="17">
        <f t="shared" si="92"/>
        <v>46.48</v>
      </c>
      <c r="O2761" s="17">
        <f t="shared" si="92"/>
        <v>0</v>
      </c>
      <c r="P2761" s="17">
        <f t="shared" si="93"/>
        <v>46.48</v>
      </c>
      <c r="Q2761" t="str">
        <f>A2761&amp;"-"&amp;B2761&amp;"-"&amp;D2761</f>
        <v>JULI-CHW-L3</v>
      </c>
    </row>
    <row r="2762" spans="1:17" x14ac:dyDescent="0.25">
      <c r="A2762" t="s">
        <v>397</v>
      </c>
      <c r="B2762" s="13" t="s">
        <v>19</v>
      </c>
      <c r="C2762" s="13" t="s">
        <v>70</v>
      </c>
      <c r="D2762" s="14" t="s">
        <v>56</v>
      </c>
      <c r="E2762" s="13" t="s">
        <v>71</v>
      </c>
      <c r="F2762" s="13" t="s">
        <v>1130</v>
      </c>
      <c r="G2762" s="13">
        <v>5</v>
      </c>
      <c r="H2762" s="15">
        <v>210</v>
      </c>
      <c r="I2762" s="16">
        <v>1050</v>
      </c>
      <c r="J2762" s="16">
        <v>964.90909090909088</v>
      </c>
      <c r="K2762" s="16">
        <v>85.090909090909122</v>
      </c>
      <c r="L2762" s="13">
        <v>13.11</v>
      </c>
      <c r="M2762" s="13"/>
      <c r="N2762" s="17">
        <f t="shared" si="92"/>
        <v>2753.1</v>
      </c>
      <c r="O2762" s="17">
        <f t="shared" si="92"/>
        <v>0</v>
      </c>
      <c r="P2762" s="17">
        <f t="shared" si="93"/>
        <v>2753.1</v>
      </c>
      <c r="Q2762" t="str">
        <f>A2762&amp;"-"&amp;B2762&amp;"-"&amp;D2762</f>
        <v>JULI-CHW-L3</v>
      </c>
    </row>
    <row r="2763" spans="1:17" x14ac:dyDescent="0.25">
      <c r="A2763" t="s">
        <v>397</v>
      </c>
      <c r="B2763" s="13" t="s">
        <v>19</v>
      </c>
      <c r="C2763" s="13" t="s">
        <v>70</v>
      </c>
      <c r="D2763" s="14" t="s">
        <v>56</v>
      </c>
      <c r="E2763" s="13" t="s">
        <v>71</v>
      </c>
      <c r="F2763" s="13" t="s">
        <v>1131</v>
      </c>
      <c r="G2763" s="13">
        <v>4.8</v>
      </c>
      <c r="H2763" s="15">
        <v>480</v>
      </c>
      <c r="I2763" s="16">
        <v>2304</v>
      </c>
      <c r="J2763" s="16">
        <v>3031.3125429947263</v>
      </c>
      <c r="K2763" s="16">
        <v>-727.31254299472596</v>
      </c>
      <c r="L2763" s="13">
        <v>13.1</v>
      </c>
      <c r="M2763" s="13"/>
      <c r="N2763" s="17">
        <f t="shared" si="92"/>
        <v>6288</v>
      </c>
      <c r="O2763" s="17">
        <f t="shared" si="92"/>
        <v>0</v>
      </c>
      <c r="P2763" s="17">
        <f t="shared" si="93"/>
        <v>6288</v>
      </c>
      <c r="Q2763" t="str">
        <f>A2763&amp;"-"&amp;B2763&amp;"-"&amp;D2763</f>
        <v>JULI-CHW-L3</v>
      </c>
    </row>
    <row r="2764" spans="1:17" x14ac:dyDescent="0.25">
      <c r="A2764" t="s">
        <v>397</v>
      </c>
      <c r="B2764" s="13" t="s">
        <v>19</v>
      </c>
      <c r="C2764" s="13" t="s">
        <v>70</v>
      </c>
      <c r="D2764" s="14" t="s">
        <v>56</v>
      </c>
      <c r="E2764" s="13" t="s">
        <v>71</v>
      </c>
      <c r="F2764" s="13" t="s">
        <v>1132</v>
      </c>
      <c r="G2764" s="13">
        <v>4.8</v>
      </c>
      <c r="H2764" s="15">
        <v>182</v>
      </c>
      <c r="I2764" s="16">
        <v>873.59999999999991</v>
      </c>
      <c r="J2764" s="16">
        <v>1426.2795918367347</v>
      </c>
      <c r="K2764" s="16">
        <v>-552.67959183673474</v>
      </c>
      <c r="L2764" s="13">
        <v>12.56</v>
      </c>
      <c r="M2764" s="13"/>
      <c r="N2764" s="17">
        <f t="shared" si="92"/>
        <v>2285.92</v>
      </c>
      <c r="O2764" s="17">
        <f t="shared" si="92"/>
        <v>0</v>
      </c>
      <c r="P2764" s="17">
        <f t="shared" si="93"/>
        <v>2285.92</v>
      </c>
      <c r="Q2764" t="str">
        <f>A2764&amp;"-"&amp;B2764&amp;"-"&amp;D2764</f>
        <v>JULI-CHW-L3</v>
      </c>
    </row>
    <row r="2765" spans="1:17" x14ac:dyDescent="0.25">
      <c r="A2765" t="s">
        <v>397</v>
      </c>
      <c r="B2765" s="13" t="s">
        <v>19</v>
      </c>
      <c r="C2765" s="13" t="s">
        <v>70</v>
      </c>
      <c r="D2765" s="14" t="s">
        <v>158</v>
      </c>
      <c r="E2765" s="13" t="s">
        <v>142</v>
      </c>
      <c r="F2765" s="13" t="s">
        <v>1133</v>
      </c>
      <c r="G2765" s="13">
        <v>1.5</v>
      </c>
      <c r="H2765" s="15">
        <v>403</v>
      </c>
      <c r="I2765" s="16">
        <v>604.5</v>
      </c>
      <c r="J2765" s="16">
        <v>616.38191825171998</v>
      </c>
      <c r="K2765" s="16">
        <v>-11.88191825171995</v>
      </c>
      <c r="L2765" s="13">
        <v>4.42</v>
      </c>
      <c r="M2765" s="13"/>
      <c r="N2765" s="17">
        <f t="shared" si="92"/>
        <v>1781.26</v>
      </c>
      <c r="O2765" s="17">
        <f t="shared" si="92"/>
        <v>0</v>
      </c>
      <c r="P2765" s="17">
        <f t="shared" si="93"/>
        <v>1781.26</v>
      </c>
      <c r="Q2765" t="str">
        <f>A2765&amp;"-"&amp;B2765&amp;"-"&amp;D2765</f>
        <v>JULI-CHW-L4</v>
      </c>
    </row>
    <row r="2766" spans="1:17" x14ac:dyDescent="0.25">
      <c r="A2766" t="s">
        <v>397</v>
      </c>
      <c r="B2766" s="13" t="s">
        <v>19</v>
      </c>
      <c r="C2766" s="13" t="s">
        <v>70</v>
      </c>
      <c r="D2766" s="14" t="s">
        <v>158</v>
      </c>
      <c r="E2766" s="13" t="s">
        <v>142</v>
      </c>
      <c r="F2766" s="13" t="s">
        <v>1134</v>
      </c>
      <c r="G2766" s="13">
        <v>1.8</v>
      </c>
      <c r="H2766" s="15">
        <v>385</v>
      </c>
      <c r="I2766" s="16">
        <v>693</v>
      </c>
      <c r="J2766" s="16">
        <v>574.8814285714285</v>
      </c>
      <c r="K2766" s="16">
        <v>118.11857142857147</v>
      </c>
      <c r="L2766" s="13">
        <v>4.72</v>
      </c>
      <c r="M2766" s="13"/>
      <c r="N2766" s="17">
        <f t="shared" si="92"/>
        <v>1817.1999999999998</v>
      </c>
      <c r="O2766" s="17">
        <f t="shared" si="92"/>
        <v>0</v>
      </c>
      <c r="P2766" s="17">
        <f t="shared" si="93"/>
        <v>1817.1999999999998</v>
      </c>
      <c r="Q2766" t="str">
        <f>A2766&amp;"-"&amp;B2766&amp;"-"&amp;D2766</f>
        <v>JULI-CHW-L4</v>
      </c>
    </row>
    <row r="2767" spans="1:17" x14ac:dyDescent="0.25">
      <c r="A2767" t="s">
        <v>397</v>
      </c>
      <c r="B2767" s="13" t="s">
        <v>19</v>
      </c>
      <c r="C2767" s="13" t="s">
        <v>70</v>
      </c>
      <c r="D2767" s="14" t="s">
        <v>158</v>
      </c>
      <c r="E2767" s="13" t="s">
        <v>142</v>
      </c>
      <c r="F2767" s="13" t="s">
        <v>1021</v>
      </c>
      <c r="G2767" s="13">
        <v>1.6499999999999995</v>
      </c>
      <c r="H2767" s="15">
        <v>6272</v>
      </c>
      <c r="I2767" s="16">
        <v>10348.799999999999</v>
      </c>
      <c r="J2767" s="16">
        <v>8863.2128571428584</v>
      </c>
      <c r="K2767" s="16">
        <v>1485.5871428571427</v>
      </c>
      <c r="L2767" s="13">
        <v>5.88</v>
      </c>
      <c r="M2767" s="13"/>
      <c r="N2767" s="17">
        <f t="shared" si="92"/>
        <v>36879.360000000001</v>
      </c>
      <c r="O2767" s="17">
        <f t="shared" si="92"/>
        <v>0</v>
      </c>
      <c r="P2767" s="17">
        <f t="shared" si="93"/>
        <v>36879.360000000001</v>
      </c>
      <c r="Q2767" t="str">
        <f>A2767&amp;"-"&amp;B2767&amp;"-"&amp;D2767</f>
        <v>JULI-CHW-L4</v>
      </c>
    </row>
    <row r="2768" spans="1:17" x14ac:dyDescent="0.25">
      <c r="A2768" t="s">
        <v>397</v>
      </c>
      <c r="B2768" s="13" t="s">
        <v>19</v>
      </c>
      <c r="C2768" s="13" t="s">
        <v>70</v>
      </c>
      <c r="D2768" s="14" t="s">
        <v>158</v>
      </c>
      <c r="E2768" s="13" t="s">
        <v>142</v>
      </c>
      <c r="F2768" s="13" t="s">
        <v>1022</v>
      </c>
      <c r="G2768" s="13">
        <v>1.5</v>
      </c>
      <c r="H2768" s="15">
        <v>593</v>
      </c>
      <c r="I2768" s="16">
        <v>889.5</v>
      </c>
      <c r="J2768" s="16">
        <v>925.52379603399424</v>
      </c>
      <c r="K2768" s="16">
        <v>-36.023796033994245</v>
      </c>
      <c r="L2768" s="13">
        <v>5.42</v>
      </c>
      <c r="M2768" s="13"/>
      <c r="N2768" s="17">
        <f t="shared" si="92"/>
        <v>3214.06</v>
      </c>
      <c r="O2768" s="17">
        <f t="shared" si="92"/>
        <v>0</v>
      </c>
      <c r="P2768" s="17">
        <f t="shared" si="93"/>
        <v>3214.06</v>
      </c>
      <c r="Q2768" t="str">
        <f>A2768&amp;"-"&amp;B2768&amp;"-"&amp;D2768</f>
        <v>JULI-CHW-L4</v>
      </c>
    </row>
    <row r="2769" spans="1:17" x14ac:dyDescent="0.25">
      <c r="A2769" t="s">
        <v>397</v>
      </c>
      <c r="B2769" s="13" t="s">
        <v>20</v>
      </c>
      <c r="C2769" s="13" t="s">
        <v>286</v>
      </c>
      <c r="D2769" s="14" t="s">
        <v>56</v>
      </c>
      <c r="E2769" s="13" t="s">
        <v>58</v>
      </c>
      <c r="F2769" s="13" t="s">
        <v>715</v>
      </c>
      <c r="G2769" s="13">
        <v>8.65</v>
      </c>
      <c r="H2769" s="15">
        <v>45</v>
      </c>
      <c r="I2769" s="16">
        <v>389.25</v>
      </c>
      <c r="J2769" s="16">
        <v>138</v>
      </c>
      <c r="K2769" s="16">
        <v>251.25</v>
      </c>
      <c r="L2769" s="13"/>
      <c r="M2769" s="13">
        <v>8.65</v>
      </c>
      <c r="N2769" s="17">
        <f t="shared" si="92"/>
        <v>0</v>
      </c>
      <c r="O2769" s="17">
        <f t="shared" si="92"/>
        <v>389.25</v>
      </c>
      <c r="P2769" s="17">
        <f t="shared" si="93"/>
        <v>389.25</v>
      </c>
      <c r="Q2769" t="str">
        <f>A2769&amp;"-"&amp;B2769&amp;"-"&amp;D2769</f>
        <v>JULI-CJL-L3</v>
      </c>
    </row>
    <row r="2770" spans="1:17" x14ac:dyDescent="0.25">
      <c r="A2770" t="s">
        <v>397</v>
      </c>
      <c r="B2770" s="13" t="s">
        <v>20</v>
      </c>
      <c r="C2770" s="13" t="s">
        <v>286</v>
      </c>
      <c r="D2770" s="14" t="s">
        <v>56</v>
      </c>
      <c r="E2770" s="13" t="s">
        <v>58</v>
      </c>
      <c r="F2770" s="13" t="s">
        <v>1024</v>
      </c>
      <c r="G2770" s="13">
        <v>8.65</v>
      </c>
      <c r="H2770" s="15">
        <v>440</v>
      </c>
      <c r="I2770" s="16">
        <v>3806</v>
      </c>
      <c r="J2770" s="16">
        <v>2879.0588235294117</v>
      </c>
      <c r="K2770" s="16">
        <v>926.94117647058829</v>
      </c>
      <c r="L2770" s="13"/>
      <c r="M2770" s="13">
        <v>8.65</v>
      </c>
      <c r="N2770" s="17">
        <f t="shared" si="92"/>
        <v>0</v>
      </c>
      <c r="O2770" s="17">
        <f t="shared" si="92"/>
        <v>3806</v>
      </c>
      <c r="P2770" s="17">
        <f t="shared" si="93"/>
        <v>3806</v>
      </c>
      <c r="Q2770" t="str">
        <f>A2770&amp;"-"&amp;B2770&amp;"-"&amp;D2770</f>
        <v>JULI-CJL-L3</v>
      </c>
    </row>
    <row r="2771" spans="1:17" x14ac:dyDescent="0.25">
      <c r="A2771" t="s">
        <v>397</v>
      </c>
      <c r="B2771" s="13" t="s">
        <v>20</v>
      </c>
      <c r="C2771" s="13" t="s">
        <v>286</v>
      </c>
      <c r="D2771" s="14" t="s">
        <v>56</v>
      </c>
      <c r="E2771" s="13" t="s">
        <v>837</v>
      </c>
      <c r="F2771" s="13" t="s">
        <v>1025</v>
      </c>
      <c r="G2771" s="13">
        <v>5.25</v>
      </c>
      <c r="H2771" s="15">
        <v>1512</v>
      </c>
      <c r="I2771" s="16">
        <v>7938</v>
      </c>
      <c r="J2771" s="16">
        <v>6153.1509433962265</v>
      </c>
      <c r="K2771" s="16">
        <v>1784.8490566037735</v>
      </c>
      <c r="L2771" s="13"/>
      <c r="M2771" s="13">
        <v>5.25</v>
      </c>
      <c r="N2771" s="17">
        <f t="shared" si="92"/>
        <v>0</v>
      </c>
      <c r="O2771" s="17">
        <f t="shared" si="92"/>
        <v>7938</v>
      </c>
      <c r="P2771" s="17">
        <f t="shared" si="93"/>
        <v>7938</v>
      </c>
      <c r="Q2771" t="str">
        <f>A2771&amp;"-"&amp;B2771&amp;"-"&amp;D2771</f>
        <v>JULI-CJL-L3</v>
      </c>
    </row>
    <row r="2772" spans="1:17" x14ac:dyDescent="0.25">
      <c r="A2772" t="s">
        <v>397</v>
      </c>
      <c r="B2772" s="13" t="s">
        <v>20</v>
      </c>
      <c r="C2772" s="13" t="s">
        <v>43</v>
      </c>
      <c r="D2772" s="14" t="s">
        <v>56</v>
      </c>
      <c r="E2772" s="13" t="s">
        <v>1135</v>
      </c>
      <c r="F2772" s="13" t="s">
        <v>1136</v>
      </c>
      <c r="G2772" s="13">
        <v>7.63</v>
      </c>
      <c r="H2772" s="15">
        <v>1062</v>
      </c>
      <c r="I2772" s="16">
        <v>8103.0599999999995</v>
      </c>
      <c r="J2772" s="16">
        <v>8309.7902330743618</v>
      </c>
      <c r="K2772" s="16">
        <v>-206.73023307436188</v>
      </c>
      <c r="L2772" s="13"/>
      <c r="M2772" s="13">
        <v>7.8</v>
      </c>
      <c r="N2772" s="17">
        <f t="shared" si="92"/>
        <v>0</v>
      </c>
      <c r="O2772" s="17">
        <f t="shared" si="92"/>
        <v>8283.6</v>
      </c>
      <c r="P2772" s="17">
        <f t="shared" si="93"/>
        <v>8283.6</v>
      </c>
      <c r="Q2772" t="str">
        <f>A2772&amp;"-"&amp;B2772&amp;"-"&amp;D2772</f>
        <v>JULI-CJL-L3</v>
      </c>
    </row>
    <row r="2773" spans="1:17" x14ac:dyDescent="0.25">
      <c r="A2773" t="s">
        <v>397</v>
      </c>
      <c r="B2773" s="13" t="s">
        <v>22</v>
      </c>
      <c r="C2773" s="13" t="s">
        <v>43</v>
      </c>
      <c r="D2773" s="14" t="s">
        <v>44</v>
      </c>
      <c r="E2773" s="13" t="s">
        <v>165</v>
      </c>
      <c r="F2773" s="13" t="s">
        <v>850</v>
      </c>
      <c r="G2773" s="13">
        <v>1.8599999999999997</v>
      </c>
      <c r="H2773" s="15">
        <v>5250</v>
      </c>
      <c r="I2773" s="16">
        <v>9765.0000000000018</v>
      </c>
      <c r="J2773" s="16">
        <v>8571.0704878048782</v>
      </c>
      <c r="K2773" s="16">
        <v>1193.9295121951222</v>
      </c>
      <c r="L2773" s="13"/>
      <c r="M2773" s="13">
        <v>1.95</v>
      </c>
      <c r="N2773" s="17">
        <f t="shared" si="92"/>
        <v>0</v>
      </c>
      <c r="O2773" s="17">
        <f t="shared" si="92"/>
        <v>10237.5</v>
      </c>
      <c r="P2773" s="17">
        <f t="shared" si="93"/>
        <v>10237.5</v>
      </c>
      <c r="Q2773" t="str">
        <f>A2773&amp;"-"&amp;B2773&amp;"-"&amp;D2773</f>
        <v>JULI-CNJ2-L1</v>
      </c>
    </row>
    <row r="2774" spans="1:17" x14ac:dyDescent="0.25">
      <c r="A2774" t="s">
        <v>397</v>
      </c>
      <c r="B2774" s="13" t="s">
        <v>22</v>
      </c>
      <c r="C2774" s="13" t="s">
        <v>43</v>
      </c>
      <c r="D2774" s="14" t="s">
        <v>44</v>
      </c>
      <c r="E2774" s="13" t="s">
        <v>165</v>
      </c>
      <c r="F2774" s="13" t="s">
        <v>1027</v>
      </c>
      <c r="G2774" s="13">
        <v>1.8599999999999999</v>
      </c>
      <c r="H2774" s="15">
        <v>2630</v>
      </c>
      <c r="I2774" s="16">
        <v>4891.7999999999993</v>
      </c>
      <c r="J2774" s="16">
        <v>4180.2790322580649</v>
      </c>
      <c r="K2774" s="16">
        <v>711.52096774193569</v>
      </c>
      <c r="L2774" s="13"/>
      <c r="M2774" s="13">
        <v>1.95</v>
      </c>
      <c r="N2774" s="17">
        <f t="shared" si="92"/>
        <v>0</v>
      </c>
      <c r="O2774" s="17">
        <f t="shared" si="92"/>
        <v>5128.5</v>
      </c>
      <c r="P2774" s="17">
        <f t="shared" si="93"/>
        <v>5128.5</v>
      </c>
      <c r="Q2774" t="str">
        <f>A2774&amp;"-"&amp;B2774&amp;"-"&amp;D2774</f>
        <v>JULI-CNJ2-L1</v>
      </c>
    </row>
    <row r="2775" spans="1:17" x14ac:dyDescent="0.25">
      <c r="A2775" t="s">
        <v>397</v>
      </c>
      <c r="B2775" s="13" t="s">
        <v>22</v>
      </c>
      <c r="C2775" s="13" t="s">
        <v>43</v>
      </c>
      <c r="D2775" s="14" t="s">
        <v>44</v>
      </c>
      <c r="E2775" s="13" t="s">
        <v>165</v>
      </c>
      <c r="F2775" s="13" t="s">
        <v>1137</v>
      </c>
      <c r="G2775" s="13">
        <v>1.86</v>
      </c>
      <c r="H2775" s="15">
        <v>600</v>
      </c>
      <c r="I2775" s="16">
        <v>1116</v>
      </c>
      <c r="J2775" s="16">
        <v>969.8004799370575</v>
      </c>
      <c r="K2775" s="16">
        <v>146.19952006294255</v>
      </c>
      <c r="L2775" s="13"/>
      <c r="M2775" s="13">
        <v>1.95</v>
      </c>
      <c r="N2775" s="17">
        <f t="shared" si="92"/>
        <v>0</v>
      </c>
      <c r="O2775" s="17">
        <f t="shared" si="92"/>
        <v>1170</v>
      </c>
      <c r="P2775" s="17">
        <f t="shared" si="93"/>
        <v>1170</v>
      </c>
      <c r="Q2775" t="str">
        <f>A2775&amp;"-"&amp;B2775&amp;"-"&amp;D2775</f>
        <v>JULI-CNJ2-L1</v>
      </c>
    </row>
    <row r="2776" spans="1:17" x14ac:dyDescent="0.25">
      <c r="A2776" t="s">
        <v>397</v>
      </c>
      <c r="B2776" s="13" t="s">
        <v>22</v>
      </c>
      <c r="C2776" s="13" t="s">
        <v>43</v>
      </c>
      <c r="D2776" s="14" t="s">
        <v>44</v>
      </c>
      <c r="E2776" s="13" t="s">
        <v>165</v>
      </c>
      <c r="F2776" s="13" t="s">
        <v>1138</v>
      </c>
      <c r="G2776" s="13">
        <v>1.86</v>
      </c>
      <c r="H2776" s="15">
        <v>1230</v>
      </c>
      <c r="I2776" s="16">
        <v>2287.7999999999997</v>
      </c>
      <c r="J2776" s="16">
        <v>2001</v>
      </c>
      <c r="K2776" s="16">
        <v>286.80000000000007</v>
      </c>
      <c r="L2776" s="13"/>
      <c r="M2776" s="13">
        <v>1.95</v>
      </c>
      <c r="N2776" s="17">
        <f t="shared" si="92"/>
        <v>0</v>
      </c>
      <c r="O2776" s="17">
        <f t="shared" si="92"/>
        <v>2398.5</v>
      </c>
      <c r="P2776" s="17">
        <f t="shared" si="93"/>
        <v>2398.5</v>
      </c>
      <c r="Q2776" t="str">
        <f>A2776&amp;"-"&amp;B2776&amp;"-"&amp;D2776</f>
        <v>JULI-CNJ2-L1</v>
      </c>
    </row>
    <row r="2777" spans="1:17" x14ac:dyDescent="0.25">
      <c r="A2777" t="s">
        <v>397</v>
      </c>
      <c r="B2777" s="13" t="s">
        <v>22</v>
      </c>
      <c r="C2777" s="13" t="s">
        <v>43</v>
      </c>
      <c r="D2777" s="14" t="s">
        <v>50</v>
      </c>
      <c r="E2777" s="13" t="s">
        <v>174</v>
      </c>
      <c r="F2777" s="13" t="s">
        <v>1029</v>
      </c>
      <c r="G2777" s="13">
        <v>0.28999999999999998</v>
      </c>
      <c r="H2777" s="15">
        <v>6592</v>
      </c>
      <c r="I2777" s="16">
        <v>1911.6799999999998</v>
      </c>
      <c r="J2777" s="16">
        <v>1856.2408333333333</v>
      </c>
      <c r="K2777" s="16">
        <v>55.439166666666637</v>
      </c>
      <c r="L2777" s="13"/>
      <c r="M2777" s="13">
        <v>0.3</v>
      </c>
      <c r="N2777" s="17">
        <f t="shared" si="92"/>
        <v>0</v>
      </c>
      <c r="O2777" s="17">
        <f t="shared" si="92"/>
        <v>1977.6</v>
      </c>
      <c r="P2777" s="17">
        <f t="shared" si="93"/>
        <v>1977.6</v>
      </c>
      <c r="Q2777" t="str">
        <f>A2777&amp;"-"&amp;B2777&amp;"-"&amp;D2777</f>
        <v>JULI-CNJ2-L2</v>
      </c>
    </row>
    <row r="2778" spans="1:17" x14ac:dyDescent="0.25">
      <c r="A2778" t="s">
        <v>397</v>
      </c>
      <c r="B2778" s="13" t="s">
        <v>22</v>
      </c>
      <c r="C2778" s="13" t="s">
        <v>43</v>
      </c>
      <c r="D2778" s="14" t="s">
        <v>50</v>
      </c>
      <c r="E2778" s="13" t="s">
        <v>550</v>
      </c>
      <c r="F2778" s="13" t="s">
        <v>1139</v>
      </c>
      <c r="G2778" s="13">
        <v>0.28999999999999998</v>
      </c>
      <c r="H2778" s="15">
        <v>2162</v>
      </c>
      <c r="I2778" s="16">
        <v>626.98</v>
      </c>
      <c r="J2778" s="16">
        <v>616.73250000000007</v>
      </c>
      <c r="K2778" s="16">
        <v>10.247499999999988</v>
      </c>
      <c r="L2778" s="13"/>
      <c r="M2778" s="13">
        <v>0.3</v>
      </c>
      <c r="N2778" s="17">
        <f t="shared" si="92"/>
        <v>0</v>
      </c>
      <c r="O2778" s="17">
        <f t="shared" si="92"/>
        <v>648.6</v>
      </c>
      <c r="P2778" s="17">
        <f t="shared" si="93"/>
        <v>648.6</v>
      </c>
      <c r="Q2778" t="str">
        <f>A2778&amp;"-"&amp;B2778&amp;"-"&amp;D2778</f>
        <v>JULI-CNJ2-L2</v>
      </c>
    </row>
    <row r="2779" spans="1:17" x14ac:dyDescent="0.25">
      <c r="A2779" t="s">
        <v>397</v>
      </c>
      <c r="B2779" s="13" t="s">
        <v>22</v>
      </c>
      <c r="C2779" s="13" t="s">
        <v>43</v>
      </c>
      <c r="D2779" s="14" t="s">
        <v>50</v>
      </c>
      <c r="E2779" s="13" t="s">
        <v>550</v>
      </c>
      <c r="F2779" s="13" t="s">
        <v>1140</v>
      </c>
      <c r="G2779" s="13">
        <v>0.28999999999999998</v>
      </c>
      <c r="H2779" s="15">
        <v>600</v>
      </c>
      <c r="I2779" s="16">
        <v>174</v>
      </c>
      <c r="J2779" s="16">
        <v>166.75</v>
      </c>
      <c r="K2779" s="16">
        <v>7.2500000000000044</v>
      </c>
      <c r="L2779" s="13"/>
      <c r="M2779" s="13">
        <v>0.3</v>
      </c>
      <c r="N2779" s="17">
        <f t="shared" si="92"/>
        <v>0</v>
      </c>
      <c r="O2779" s="17">
        <f t="shared" si="92"/>
        <v>180</v>
      </c>
      <c r="P2779" s="17">
        <f t="shared" si="93"/>
        <v>180</v>
      </c>
      <c r="Q2779" t="str">
        <f>A2779&amp;"-"&amp;B2779&amp;"-"&amp;D2779</f>
        <v>JULI-CNJ2-L2</v>
      </c>
    </row>
    <row r="2780" spans="1:17" x14ac:dyDescent="0.25">
      <c r="A2780" t="s">
        <v>397</v>
      </c>
      <c r="B2780" s="13" t="s">
        <v>22</v>
      </c>
      <c r="C2780" s="13" t="s">
        <v>43</v>
      </c>
      <c r="D2780" s="14" t="s">
        <v>50</v>
      </c>
      <c r="E2780" s="13" t="s">
        <v>550</v>
      </c>
      <c r="F2780" s="13" t="s">
        <v>1141</v>
      </c>
      <c r="G2780" s="13">
        <v>0.28999999999999998</v>
      </c>
      <c r="H2780" s="15">
        <v>1230</v>
      </c>
      <c r="I2780" s="16">
        <v>356.7</v>
      </c>
      <c r="J2780" s="16">
        <v>341.83749999999998</v>
      </c>
      <c r="K2780" s="16">
        <v>14.862499999999983</v>
      </c>
      <c r="L2780" s="13"/>
      <c r="M2780" s="13">
        <v>0.3</v>
      </c>
      <c r="N2780" s="17">
        <f t="shared" si="92"/>
        <v>0</v>
      </c>
      <c r="O2780" s="17">
        <f t="shared" si="92"/>
        <v>369</v>
      </c>
      <c r="P2780" s="17">
        <f t="shared" si="93"/>
        <v>369</v>
      </c>
      <c r="Q2780" t="str">
        <f>A2780&amp;"-"&amp;B2780&amp;"-"&amp;D2780</f>
        <v>JULI-CNJ2-L2</v>
      </c>
    </row>
    <row r="2781" spans="1:17" x14ac:dyDescent="0.25">
      <c r="A2781" t="s">
        <v>397</v>
      </c>
      <c r="B2781" s="13" t="s">
        <v>22</v>
      </c>
      <c r="C2781" s="13" t="s">
        <v>43</v>
      </c>
      <c r="D2781" s="14" t="s">
        <v>50</v>
      </c>
      <c r="E2781" s="13" t="s">
        <v>555</v>
      </c>
      <c r="F2781" s="13" t="s">
        <v>1142</v>
      </c>
      <c r="G2781" s="13">
        <v>0.23</v>
      </c>
      <c r="H2781" s="15">
        <v>1150</v>
      </c>
      <c r="I2781" s="16">
        <v>264.5</v>
      </c>
      <c r="J2781" s="16">
        <v>321.58874999999995</v>
      </c>
      <c r="K2781" s="16">
        <v>-57.088749999999976</v>
      </c>
      <c r="L2781" s="13"/>
      <c r="M2781" s="13">
        <v>0.24</v>
      </c>
      <c r="N2781" s="17">
        <f t="shared" si="92"/>
        <v>0</v>
      </c>
      <c r="O2781" s="17">
        <f t="shared" si="92"/>
        <v>276</v>
      </c>
      <c r="P2781" s="17">
        <f t="shared" si="93"/>
        <v>276</v>
      </c>
      <c r="Q2781" t="str">
        <f>A2781&amp;"-"&amp;B2781&amp;"-"&amp;D2781</f>
        <v>JULI-CNJ2-L2</v>
      </c>
    </row>
    <row r="2782" spans="1:17" x14ac:dyDescent="0.25">
      <c r="A2782" t="s">
        <v>397</v>
      </c>
      <c r="B2782" s="13" t="s">
        <v>22</v>
      </c>
      <c r="C2782" s="13" t="s">
        <v>43</v>
      </c>
      <c r="D2782" s="14" t="s">
        <v>50</v>
      </c>
      <c r="E2782" s="13" t="s">
        <v>177</v>
      </c>
      <c r="F2782" s="13" t="s">
        <v>849</v>
      </c>
      <c r="G2782" s="13">
        <v>0.2400000000000001</v>
      </c>
      <c r="H2782" s="15">
        <v>16086</v>
      </c>
      <c r="I2782" s="16">
        <v>3860.64</v>
      </c>
      <c r="J2782" s="16">
        <v>4557.9004166666664</v>
      </c>
      <c r="K2782" s="16">
        <v>-697.26041666666674</v>
      </c>
      <c r="L2782" s="13"/>
      <c r="M2782" s="13">
        <v>0.25</v>
      </c>
      <c r="N2782" s="17">
        <f t="shared" si="92"/>
        <v>0</v>
      </c>
      <c r="O2782" s="17">
        <f t="shared" si="92"/>
        <v>4021.5</v>
      </c>
      <c r="P2782" s="17">
        <f t="shared" si="93"/>
        <v>4021.5</v>
      </c>
      <c r="Q2782" t="str">
        <f>A2782&amp;"-"&amp;B2782&amp;"-"&amp;D2782</f>
        <v>JULI-CNJ2-L2</v>
      </c>
    </row>
    <row r="2783" spans="1:17" x14ac:dyDescent="0.25">
      <c r="A2783" t="s">
        <v>397</v>
      </c>
      <c r="B2783" s="13" t="s">
        <v>22</v>
      </c>
      <c r="C2783" s="13" t="s">
        <v>43</v>
      </c>
      <c r="D2783" s="14" t="s">
        <v>56</v>
      </c>
      <c r="E2783" s="13" t="s">
        <v>165</v>
      </c>
      <c r="F2783" s="13" t="s">
        <v>850</v>
      </c>
      <c r="G2783" s="13">
        <v>1.8599999999999997</v>
      </c>
      <c r="H2783" s="15">
        <v>9502</v>
      </c>
      <c r="I2783" s="16">
        <v>17673.719999999998</v>
      </c>
      <c r="J2783" s="16">
        <v>15722.150000000001</v>
      </c>
      <c r="K2783" s="16">
        <v>1951.5699999999995</v>
      </c>
      <c r="L2783" s="13"/>
      <c r="M2783" s="13">
        <v>1.95</v>
      </c>
      <c r="N2783" s="17">
        <f t="shared" si="92"/>
        <v>0</v>
      </c>
      <c r="O2783" s="17">
        <f t="shared" si="92"/>
        <v>18528.899999999998</v>
      </c>
      <c r="P2783" s="17">
        <f t="shared" si="93"/>
        <v>18528.899999999998</v>
      </c>
      <c r="Q2783" t="str">
        <f>A2783&amp;"-"&amp;B2783&amp;"-"&amp;D2783</f>
        <v>JULI-CNJ2-L3</v>
      </c>
    </row>
    <row r="2784" spans="1:17" x14ac:dyDescent="0.25">
      <c r="A2784" t="s">
        <v>397</v>
      </c>
      <c r="B2784" s="13" t="s">
        <v>22</v>
      </c>
      <c r="C2784" s="13" t="s">
        <v>43</v>
      </c>
      <c r="D2784" s="14" t="s">
        <v>158</v>
      </c>
      <c r="E2784" s="13" t="s">
        <v>179</v>
      </c>
      <c r="F2784" s="13" t="s">
        <v>1032</v>
      </c>
      <c r="G2784" s="13">
        <v>1.54</v>
      </c>
      <c r="H2784" s="15">
        <v>1345</v>
      </c>
      <c r="I2784" s="16">
        <v>2071.3000000000002</v>
      </c>
      <c r="J2784" s="16">
        <v>2857.1069230769235</v>
      </c>
      <c r="K2784" s="16">
        <v>-785.80692307692311</v>
      </c>
      <c r="L2784" s="13"/>
      <c r="M2784" s="13">
        <v>1.65</v>
      </c>
      <c r="N2784" s="17">
        <f t="shared" ref="N2784:O2840" si="94">$H2784*L2784</f>
        <v>0</v>
      </c>
      <c r="O2784" s="17">
        <f t="shared" si="94"/>
        <v>2219.25</v>
      </c>
      <c r="P2784" s="17">
        <f t="shared" si="93"/>
        <v>2219.25</v>
      </c>
      <c r="Q2784" t="str">
        <f>A2784&amp;"-"&amp;B2784&amp;"-"&amp;D2784</f>
        <v>JULI-CNJ2-L4</v>
      </c>
    </row>
    <row r="2785" spans="1:17" x14ac:dyDescent="0.25">
      <c r="A2785" t="s">
        <v>397</v>
      </c>
      <c r="B2785" s="13" t="s">
        <v>22</v>
      </c>
      <c r="C2785" s="13" t="s">
        <v>43</v>
      </c>
      <c r="D2785" s="14" t="s">
        <v>158</v>
      </c>
      <c r="E2785" s="13" t="s">
        <v>179</v>
      </c>
      <c r="F2785" s="13" t="s">
        <v>1143</v>
      </c>
      <c r="G2785" s="13">
        <v>1.54</v>
      </c>
      <c r="H2785" s="15">
        <v>1445</v>
      </c>
      <c r="I2785" s="16">
        <v>2225.3000000000002</v>
      </c>
      <c r="J2785" s="16">
        <v>4765.7530769230771</v>
      </c>
      <c r="K2785" s="16">
        <v>-2540.4530769230769</v>
      </c>
      <c r="L2785" s="13"/>
      <c r="M2785" s="13">
        <v>1.65</v>
      </c>
      <c r="N2785" s="17">
        <f t="shared" si="94"/>
        <v>0</v>
      </c>
      <c r="O2785" s="17">
        <f t="shared" si="94"/>
        <v>2384.25</v>
      </c>
      <c r="P2785" s="17">
        <f t="shared" si="93"/>
        <v>2384.25</v>
      </c>
      <c r="Q2785" t="str">
        <f>A2785&amp;"-"&amp;B2785&amp;"-"&amp;D2785</f>
        <v>JULI-CNJ2-L4</v>
      </c>
    </row>
    <row r="2786" spans="1:17" x14ac:dyDescent="0.25">
      <c r="A2786" t="s">
        <v>397</v>
      </c>
      <c r="B2786" s="13" t="s">
        <v>22</v>
      </c>
      <c r="C2786" s="13" t="s">
        <v>43</v>
      </c>
      <c r="D2786" s="14" t="s">
        <v>160</v>
      </c>
      <c r="E2786" s="13" t="s">
        <v>179</v>
      </c>
      <c r="F2786" s="13" t="s">
        <v>1035</v>
      </c>
      <c r="G2786" s="13">
        <v>1.54</v>
      </c>
      <c r="H2786" s="15">
        <v>77</v>
      </c>
      <c r="I2786" s="16">
        <v>118.58</v>
      </c>
      <c r="J2786" s="16">
        <v>163.04493333333332</v>
      </c>
      <c r="K2786" s="16">
        <v>-44.46493333333332</v>
      </c>
      <c r="L2786" s="13"/>
      <c r="M2786" s="13">
        <v>1.65</v>
      </c>
      <c r="N2786" s="17">
        <f t="shared" si="94"/>
        <v>0</v>
      </c>
      <c r="O2786" s="17">
        <f t="shared" si="94"/>
        <v>127.05</v>
      </c>
      <c r="P2786" s="17">
        <f t="shared" si="93"/>
        <v>127.05</v>
      </c>
      <c r="Q2786" t="str">
        <f>A2786&amp;"-"&amp;B2786&amp;"-"&amp;D2786</f>
        <v>JULI-CNJ2-L5</v>
      </c>
    </row>
    <row r="2787" spans="1:17" x14ac:dyDescent="0.25">
      <c r="A2787" t="s">
        <v>397</v>
      </c>
      <c r="B2787" s="13" t="s">
        <v>22</v>
      </c>
      <c r="C2787" s="13" t="s">
        <v>43</v>
      </c>
      <c r="D2787" s="14" t="s">
        <v>160</v>
      </c>
      <c r="E2787" s="13" t="s">
        <v>179</v>
      </c>
      <c r="F2787" s="13" t="s">
        <v>1143</v>
      </c>
      <c r="G2787" s="13">
        <v>1.54</v>
      </c>
      <c r="H2787" s="15">
        <v>2149</v>
      </c>
      <c r="I2787" s="16">
        <v>3309.46</v>
      </c>
      <c r="J2787" s="16">
        <v>5458.815066666667</v>
      </c>
      <c r="K2787" s="16">
        <v>-2149.3550666666665</v>
      </c>
      <c r="L2787" s="13"/>
      <c r="M2787" s="13">
        <v>1.65</v>
      </c>
      <c r="N2787" s="17">
        <f t="shared" si="94"/>
        <v>0</v>
      </c>
      <c r="O2787" s="17">
        <f t="shared" si="94"/>
        <v>3545.85</v>
      </c>
      <c r="P2787" s="17">
        <f t="shared" si="93"/>
        <v>3545.85</v>
      </c>
      <c r="Q2787" t="str">
        <f>A2787&amp;"-"&amp;B2787&amp;"-"&amp;D2787</f>
        <v>JULI-CNJ2-L5</v>
      </c>
    </row>
    <row r="2788" spans="1:17" x14ac:dyDescent="0.25">
      <c r="A2788" t="s">
        <v>397</v>
      </c>
      <c r="B2788" s="13" t="s">
        <v>22</v>
      </c>
      <c r="C2788" s="13" t="s">
        <v>43</v>
      </c>
      <c r="D2788" s="14" t="s">
        <v>163</v>
      </c>
      <c r="E2788" s="13" t="s">
        <v>58</v>
      </c>
      <c r="F2788" s="13" t="s">
        <v>1144</v>
      </c>
      <c r="G2788" s="13">
        <v>1.49</v>
      </c>
      <c r="H2788" s="15">
        <v>826</v>
      </c>
      <c r="I2788" s="16">
        <v>1230.74</v>
      </c>
      <c r="J2788" s="16">
        <v>1288.3871428571429</v>
      </c>
      <c r="K2788" s="16">
        <v>-57.64714285714291</v>
      </c>
      <c r="L2788" s="13"/>
      <c r="M2788" s="13">
        <v>1.6</v>
      </c>
      <c r="N2788" s="17">
        <f t="shared" si="94"/>
        <v>0</v>
      </c>
      <c r="O2788" s="17">
        <f t="shared" si="94"/>
        <v>1321.6000000000001</v>
      </c>
      <c r="P2788" s="17">
        <f t="shared" si="93"/>
        <v>1321.6000000000001</v>
      </c>
      <c r="Q2788" t="str">
        <f>A2788&amp;"-"&amp;B2788&amp;"-"&amp;D2788</f>
        <v>JULI-CNJ2-L6</v>
      </c>
    </row>
    <row r="2789" spans="1:17" x14ac:dyDescent="0.25">
      <c r="A2789" t="s">
        <v>397</v>
      </c>
      <c r="B2789" s="13" t="s">
        <v>22</v>
      </c>
      <c r="C2789" s="13" t="s">
        <v>43</v>
      </c>
      <c r="D2789" s="14" t="s">
        <v>163</v>
      </c>
      <c r="E2789" s="13" t="s">
        <v>58</v>
      </c>
      <c r="F2789" s="13" t="s">
        <v>1041</v>
      </c>
      <c r="G2789" s="13">
        <v>1.49</v>
      </c>
      <c r="H2789" s="15">
        <v>234</v>
      </c>
      <c r="I2789" s="16">
        <v>348.66</v>
      </c>
      <c r="J2789" s="16">
        <v>405.39861818181822</v>
      </c>
      <c r="K2789" s="16">
        <v>-56.738618181818197</v>
      </c>
      <c r="L2789" s="13"/>
      <c r="M2789" s="13">
        <v>1.6</v>
      </c>
      <c r="N2789" s="17">
        <f t="shared" si="94"/>
        <v>0</v>
      </c>
      <c r="O2789" s="17">
        <f t="shared" si="94"/>
        <v>374.40000000000003</v>
      </c>
      <c r="P2789" s="17">
        <f t="shared" si="93"/>
        <v>374.40000000000003</v>
      </c>
      <c r="Q2789" t="str">
        <f>A2789&amp;"-"&amp;B2789&amp;"-"&amp;D2789</f>
        <v>JULI-CNJ2-L6</v>
      </c>
    </row>
    <row r="2790" spans="1:17" x14ac:dyDescent="0.25">
      <c r="A2790" t="s">
        <v>397</v>
      </c>
      <c r="B2790" s="13" t="s">
        <v>22</v>
      </c>
      <c r="C2790" s="13" t="s">
        <v>43</v>
      </c>
      <c r="D2790" s="14" t="s">
        <v>163</v>
      </c>
      <c r="E2790" s="13" t="s">
        <v>58</v>
      </c>
      <c r="F2790" s="13" t="s">
        <v>1145</v>
      </c>
      <c r="G2790" s="13">
        <v>1.49</v>
      </c>
      <c r="H2790" s="15">
        <v>3309</v>
      </c>
      <c r="I2790" s="16">
        <v>4930.41</v>
      </c>
      <c r="J2790" s="16">
        <v>4974.3113818181819</v>
      </c>
      <c r="K2790" s="16">
        <v>-43.901381818181903</v>
      </c>
      <c r="L2790" s="13"/>
      <c r="M2790" s="13">
        <v>1.6</v>
      </c>
      <c r="N2790" s="17">
        <f t="shared" si="94"/>
        <v>0</v>
      </c>
      <c r="O2790" s="17">
        <f t="shared" si="94"/>
        <v>5294.4000000000005</v>
      </c>
      <c r="P2790" s="17">
        <f t="shared" si="93"/>
        <v>5294.4000000000005</v>
      </c>
      <c r="Q2790" t="str">
        <f>A2790&amp;"-"&amp;B2790&amp;"-"&amp;D2790</f>
        <v>JULI-CNJ2-L6</v>
      </c>
    </row>
    <row r="2791" spans="1:17" x14ac:dyDescent="0.25">
      <c r="A2791" t="s">
        <v>397</v>
      </c>
      <c r="B2791" s="13" t="s">
        <v>22</v>
      </c>
      <c r="C2791" s="13" t="s">
        <v>43</v>
      </c>
      <c r="D2791" s="14" t="s">
        <v>163</v>
      </c>
      <c r="E2791" s="13" t="s">
        <v>58</v>
      </c>
      <c r="F2791" s="13" t="s">
        <v>1146</v>
      </c>
      <c r="G2791" s="13">
        <v>1.49</v>
      </c>
      <c r="H2791" s="15">
        <v>2149</v>
      </c>
      <c r="I2791" s="16">
        <v>3202.01</v>
      </c>
      <c r="J2791" s="16">
        <v>3611.6476190476192</v>
      </c>
      <c r="K2791" s="16">
        <v>-409.63761904761907</v>
      </c>
      <c r="L2791" s="13"/>
      <c r="M2791" s="13">
        <v>1.6</v>
      </c>
      <c r="N2791" s="17">
        <f t="shared" si="94"/>
        <v>0</v>
      </c>
      <c r="O2791" s="17">
        <f t="shared" si="94"/>
        <v>3438.4</v>
      </c>
      <c r="P2791" s="17">
        <f t="shared" si="93"/>
        <v>3438.4</v>
      </c>
      <c r="Q2791" t="str">
        <f>A2791&amp;"-"&amp;B2791&amp;"-"&amp;D2791</f>
        <v>JULI-CNJ2-L6</v>
      </c>
    </row>
    <row r="2792" spans="1:17" x14ac:dyDescent="0.25">
      <c r="A2792" t="s">
        <v>397</v>
      </c>
      <c r="B2792" s="13" t="s">
        <v>22</v>
      </c>
      <c r="C2792" s="13" t="s">
        <v>43</v>
      </c>
      <c r="D2792" s="14" t="s">
        <v>163</v>
      </c>
      <c r="E2792" s="13" t="s">
        <v>58</v>
      </c>
      <c r="F2792" s="13" t="s">
        <v>1147</v>
      </c>
      <c r="G2792" s="13">
        <v>1.49</v>
      </c>
      <c r="H2792" s="15">
        <v>3622</v>
      </c>
      <c r="I2792" s="16">
        <v>5396.7800000000007</v>
      </c>
      <c r="J2792" s="16">
        <v>5442.405238095238</v>
      </c>
      <c r="K2792" s="16">
        <v>-45.625238095238231</v>
      </c>
      <c r="L2792" s="13"/>
      <c r="M2792" s="13">
        <v>1.6</v>
      </c>
      <c r="N2792" s="17">
        <f t="shared" si="94"/>
        <v>0</v>
      </c>
      <c r="O2792" s="17">
        <f t="shared" si="94"/>
        <v>5795.2000000000007</v>
      </c>
      <c r="P2792" s="17">
        <f t="shared" si="93"/>
        <v>5795.2000000000007</v>
      </c>
      <c r="Q2792" t="str">
        <f>A2792&amp;"-"&amp;B2792&amp;"-"&amp;D2792</f>
        <v>JULI-CNJ2-L6</v>
      </c>
    </row>
    <row r="2793" spans="1:17" x14ac:dyDescent="0.25">
      <c r="A2793" t="s">
        <v>397</v>
      </c>
      <c r="B2793" s="13" t="s">
        <v>22</v>
      </c>
      <c r="C2793" s="13" t="s">
        <v>43</v>
      </c>
      <c r="D2793" s="14" t="s">
        <v>164</v>
      </c>
      <c r="E2793" s="13" t="s">
        <v>58</v>
      </c>
      <c r="F2793" s="13" t="s">
        <v>1042</v>
      </c>
      <c r="G2793" s="13">
        <v>1.49</v>
      </c>
      <c r="H2793" s="15">
        <v>1784</v>
      </c>
      <c r="I2793" s="16">
        <v>2658.16</v>
      </c>
      <c r="J2793" s="16">
        <v>3888.1881666666668</v>
      </c>
      <c r="K2793" s="16">
        <v>-1230.0281666666667</v>
      </c>
      <c r="L2793" s="13"/>
      <c r="M2793" s="13">
        <v>1.6</v>
      </c>
      <c r="N2793" s="17">
        <f t="shared" si="94"/>
        <v>0</v>
      </c>
      <c r="O2793" s="17">
        <f t="shared" si="94"/>
        <v>2854.4</v>
      </c>
      <c r="P2793" s="17">
        <f t="shared" si="93"/>
        <v>2854.4</v>
      </c>
      <c r="Q2793" t="str">
        <f>A2793&amp;"-"&amp;B2793&amp;"-"&amp;D2793</f>
        <v>JULI-CNJ2-L7</v>
      </c>
    </row>
    <row r="2794" spans="1:17" x14ac:dyDescent="0.25">
      <c r="A2794" t="s">
        <v>397</v>
      </c>
      <c r="B2794" s="13" t="s">
        <v>22</v>
      </c>
      <c r="C2794" s="13" t="s">
        <v>43</v>
      </c>
      <c r="D2794" s="14" t="s">
        <v>164</v>
      </c>
      <c r="E2794" s="13" t="s">
        <v>58</v>
      </c>
      <c r="F2794" s="13" t="s">
        <v>1148</v>
      </c>
      <c r="G2794" s="13">
        <v>1.49</v>
      </c>
      <c r="H2794" s="15">
        <v>912</v>
      </c>
      <c r="I2794" s="16">
        <v>1358.8799999999999</v>
      </c>
      <c r="J2794" s="16">
        <v>2204.896140350877</v>
      </c>
      <c r="K2794" s="16">
        <v>-846.01614035087732</v>
      </c>
      <c r="L2794" s="13"/>
      <c r="M2794" s="13">
        <v>1.6</v>
      </c>
      <c r="N2794" s="17">
        <f t="shared" si="94"/>
        <v>0</v>
      </c>
      <c r="O2794" s="17">
        <f t="shared" si="94"/>
        <v>1459.2</v>
      </c>
      <c r="P2794" s="17">
        <f t="shared" si="93"/>
        <v>1459.2</v>
      </c>
      <c r="Q2794" t="str">
        <f>A2794&amp;"-"&amp;B2794&amp;"-"&amp;D2794</f>
        <v>JULI-CNJ2-L7</v>
      </c>
    </row>
    <row r="2795" spans="1:17" x14ac:dyDescent="0.25">
      <c r="A2795" t="s">
        <v>397</v>
      </c>
      <c r="B2795" s="13" t="s">
        <v>22</v>
      </c>
      <c r="C2795" s="13" t="s">
        <v>43</v>
      </c>
      <c r="D2795" s="14" t="s">
        <v>164</v>
      </c>
      <c r="E2795" s="13" t="s">
        <v>58</v>
      </c>
      <c r="F2795" s="13" t="s">
        <v>1147</v>
      </c>
      <c r="G2795" s="13">
        <v>1.49</v>
      </c>
      <c r="H2795" s="15">
        <v>1739</v>
      </c>
      <c r="I2795" s="16">
        <v>2591.1099999999997</v>
      </c>
      <c r="J2795" s="16">
        <v>4370.7738596491226</v>
      </c>
      <c r="K2795" s="16">
        <v>-1779.6638596491227</v>
      </c>
      <c r="L2795" s="13"/>
      <c r="M2795" s="13">
        <v>1.6</v>
      </c>
      <c r="N2795" s="17">
        <f t="shared" si="94"/>
        <v>0</v>
      </c>
      <c r="O2795" s="17">
        <f t="shared" si="94"/>
        <v>2782.4</v>
      </c>
      <c r="P2795" s="17">
        <f t="shared" si="93"/>
        <v>2782.4</v>
      </c>
      <c r="Q2795" t="str">
        <f>A2795&amp;"-"&amp;B2795&amp;"-"&amp;D2795</f>
        <v>JULI-CNJ2-L7</v>
      </c>
    </row>
    <row r="2796" spans="1:17" x14ac:dyDescent="0.25">
      <c r="A2796" t="s">
        <v>397</v>
      </c>
      <c r="B2796" s="13" t="s">
        <v>22</v>
      </c>
      <c r="C2796" s="13" t="s">
        <v>43</v>
      </c>
      <c r="D2796" s="14" t="s">
        <v>164</v>
      </c>
      <c r="E2796" s="13" t="s">
        <v>58</v>
      </c>
      <c r="F2796" s="13" t="s">
        <v>1149</v>
      </c>
      <c r="G2796" s="13">
        <v>1.49</v>
      </c>
      <c r="H2796" s="15">
        <v>2195</v>
      </c>
      <c r="I2796" s="16">
        <v>3270.55</v>
      </c>
      <c r="J2796" s="16">
        <v>5258.2918333333328</v>
      </c>
      <c r="K2796" s="16">
        <v>-1987.7418333333333</v>
      </c>
      <c r="L2796" s="13"/>
      <c r="M2796" s="13">
        <v>1.6</v>
      </c>
      <c r="N2796" s="17">
        <f t="shared" si="94"/>
        <v>0</v>
      </c>
      <c r="O2796" s="17">
        <f t="shared" si="94"/>
        <v>3512</v>
      </c>
      <c r="P2796" s="17">
        <f t="shared" si="93"/>
        <v>3512</v>
      </c>
      <c r="Q2796" t="str">
        <f>A2796&amp;"-"&amp;B2796&amp;"-"&amp;D2796</f>
        <v>JULI-CNJ2-L7</v>
      </c>
    </row>
    <row r="2797" spans="1:17" x14ac:dyDescent="0.25">
      <c r="A2797" t="s">
        <v>397</v>
      </c>
      <c r="B2797" s="13" t="s">
        <v>22</v>
      </c>
      <c r="C2797" s="13" t="s">
        <v>201</v>
      </c>
      <c r="D2797" s="14" t="s">
        <v>158</v>
      </c>
      <c r="E2797" s="13" t="s">
        <v>191</v>
      </c>
      <c r="F2797" s="13" t="s">
        <v>1150</v>
      </c>
      <c r="G2797" s="13">
        <v>0.48000000000000015</v>
      </c>
      <c r="H2797" s="15">
        <v>8600</v>
      </c>
      <c r="I2797" s="16">
        <v>4128</v>
      </c>
      <c r="J2797" s="16">
        <v>8099.2900000000009</v>
      </c>
      <c r="K2797" s="16">
        <v>-3971.29</v>
      </c>
      <c r="L2797" s="13">
        <v>1.03</v>
      </c>
      <c r="M2797" s="13"/>
      <c r="N2797" s="17">
        <f t="shared" si="94"/>
        <v>8858</v>
      </c>
      <c r="O2797" s="17">
        <f t="shared" si="94"/>
        <v>0</v>
      </c>
      <c r="P2797" s="17">
        <f t="shared" si="93"/>
        <v>8858</v>
      </c>
      <c r="Q2797" t="str">
        <f>A2797&amp;"-"&amp;B2797&amp;"-"&amp;D2797</f>
        <v>JULI-CNJ2-L4</v>
      </c>
    </row>
    <row r="2798" spans="1:17" x14ac:dyDescent="0.25">
      <c r="A2798" t="s">
        <v>397</v>
      </c>
      <c r="B2798" s="13" t="s">
        <v>22</v>
      </c>
      <c r="C2798" s="13" t="s">
        <v>201</v>
      </c>
      <c r="D2798" s="14" t="s">
        <v>160</v>
      </c>
      <c r="E2798" s="13" t="s">
        <v>191</v>
      </c>
      <c r="F2798" s="13" t="s">
        <v>1150</v>
      </c>
      <c r="G2798" s="13">
        <v>0.4800000000000002</v>
      </c>
      <c r="H2798" s="15">
        <v>12477</v>
      </c>
      <c r="I2798" s="16">
        <v>5988.9599999999991</v>
      </c>
      <c r="J2798" s="16">
        <v>10100.290000000001</v>
      </c>
      <c r="K2798" s="16">
        <v>-4111.33</v>
      </c>
      <c r="L2798" s="13">
        <v>1.03</v>
      </c>
      <c r="M2798" s="13"/>
      <c r="N2798" s="17">
        <f t="shared" si="94"/>
        <v>12851.31</v>
      </c>
      <c r="O2798" s="17">
        <f t="shared" si="94"/>
        <v>0</v>
      </c>
      <c r="P2798" s="17">
        <f t="shared" si="93"/>
        <v>12851.31</v>
      </c>
      <c r="Q2798" t="str">
        <f>A2798&amp;"-"&amp;B2798&amp;"-"&amp;D2798</f>
        <v>JULI-CNJ2-L5</v>
      </c>
    </row>
    <row r="2799" spans="1:17" x14ac:dyDescent="0.25">
      <c r="A2799" t="s">
        <v>397</v>
      </c>
      <c r="B2799" s="13" t="s">
        <v>23</v>
      </c>
      <c r="C2799" s="13" t="s">
        <v>60</v>
      </c>
      <c r="D2799" s="14" t="s">
        <v>44</v>
      </c>
      <c r="E2799" s="13" t="s">
        <v>77</v>
      </c>
      <c r="F2799" s="13" t="s">
        <v>1151</v>
      </c>
      <c r="G2799" s="13">
        <v>3.2</v>
      </c>
      <c r="H2799" s="15">
        <v>612</v>
      </c>
      <c r="I2799" s="16">
        <v>1958.3999999999999</v>
      </c>
      <c r="J2799" s="16">
        <v>2607</v>
      </c>
      <c r="K2799" s="16">
        <v>-648.60000000000014</v>
      </c>
      <c r="L2799" s="13">
        <v>9.23</v>
      </c>
      <c r="M2799" s="13"/>
      <c r="N2799" s="17">
        <f t="shared" si="94"/>
        <v>5648.76</v>
      </c>
      <c r="O2799" s="17">
        <f t="shared" si="94"/>
        <v>0</v>
      </c>
      <c r="P2799" s="17">
        <f t="shared" si="93"/>
        <v>5648.76</v>
      </c>
      <c r="Q2799" t="str">
        <f>A2799&amp;"-"&amp;B2799&amp;"-"&amp;D2799</f>
        <v>JULI-CVA-L1</v>
      </c>
    </row>
    <row r="2800" spans="1:17" x14ac:dyDescent="0.25">
      <c r="A2800" t="s">
        <v>397</v>
      </c>
      <c r="B2800" s="13" t="s">
        <v>23</v>
      </c>
      <c r="C2800" s="13" t="s">
        <v>60</v>
      </c>
      <c r="D2800" s="14" t="s">
        <v>50</v>
      </c>
      <c r="E2800" s="13" t="s">
        <v>77</v>
      </c>
      <c r="F2800" s="13" t="s">
        <v>1151</v>
      </c>
      <c r="G2800" s="13">
        <v>3.2</v>
      </c>
      <c r="H2800" s="15">
        <v>637</v>
      </c>
      <c r="I2800" s="16">
        <v>2038.4</v>
      </c>
      <c r="J2800" s="16">
        <v>2607</v>
      </c>
      <c r="K2800" s="16">
        <v>-568.59999999999991</v>
      </c>
      <c r="L2800" s="13">
        <v>9.23</v>
      </c>
      <c r="M2800" s="13"/>
      <c r="N2800" s="17">
        <f t="shared" si="94"/>
        <v>5879.51</v>
      </c>
      <c r="O2800" s="17">
        <f t="shared" si="94"/>
        <v>0</v>
      </c>
      <c r="P2800" s="17">
        <f t="shared" si="93"/>
        <v>5879.51</v>
      </c>
      <c r="Q2800" t="str">
        <f>A2800&amp;"-"&amp;B2800&amp;"-"&amp;D2800</f>
        <v>JULI-CVA-L2</v>
      </c>
    </row>
    <row r="2801" spans="1:17" x14ac:dyDescent="0.25">
      <c r="A2801" t="s">
        <v>397</v>
      </c>
      <c r="B2801" s="13" t="s">
        <v>23</v>
      </c>
      <c r="C2801" s="13" t="s">
        <v>1043</v>
      </c>
      <c r="D2801" s="14" t="s">
        <v>56</v>
      </c>
      <c r="E2801" s="13" t="s">
        <v>534</v>
      </c>
      <c r="F2801" s="13" t="s">
        <v>1044</v>
      </c>
      <c r="G2801" s="13">
        <v>0.8</v>
      </c>
      <c r="H2801" s="15">
        <v>1642</v>
      </c>
      <c r="I2801" s="16">
        <v>1313.6</v>
      </c>
      <c r="J2801" s="16">
        <v>1608.088888888889</v>
      </c>
      <c r="K2801" s="16">
        <v>-294.48888888888882</v>
      </c>
      <c r="L2801" s="13"/>
      <c r="M2801" s="13">
        <v>0.8</v>
      </c>
      <c r="N2801" s="17">
        <f t="shared" si="94"/>
        <v>0</v>
      </c>
      <c r="O2801" s="17">
        <f t="shared" si="94"/>
        <v>1313.6000000000001</v>
      </c>
      <c r="P2801" s="17">
        <f t="shared" si="93"/>
        <v>1313.6000000000001</v>
      </c>
      <c r="Q2801" t="str">
        <f>A2801&amp;"-"&amp;B2801&amp;"-"&amp;D2801</f>
        <v>JULI-CVA-L3</v>
      </c>
    </row>
    <row r="2802" spans="1:17" x14ac:dyDescent="0.25">
      <c r="A2802" t="s">
        <v>397</v>
      </c>
      <c r="B2802" s="13" t="s">
        <v>23</v>
      </c>
      <c r="C2802" s="13" t="s">
        <v>1043</v>
      </c>
      <c r="D2802" s="14" t="s">
        <v>56</v>
      </c>
      <c r="E2802" s="13" t="s">
        <v>534</v>
      </c>
      <c r="F2802" s="13" t="s">
        <v>1152</v>
      </c>
      <c r="G2802" s="13">
        <v>0.79999999999999993</v>
      </c>
      <c r="H2802" s="15">
        <v>2635</v>
      </c>
      <c r="I2802" s="16">
        <v>2108</v>
      </c>
      <c r="J2802" s="16">
        <v>2581.0090125269367</v>
      </c>
      <c r="K2802" s="16">
        <v>-473.00901252693683</v>
      </c>
      <c r="L2802" s="13"/>
      <c r="M2802" s="13">
        <v>0.8</v>
      </c>
      <c r="N2802" s="17">
        <f t="shared" si="94"/>
        <v>0</v>
      </c>
      <c r="O2802" s="17">
        <f t="shared" si="94"/>
        <v>2108</v>
      </c>
      <c r="P2802" s="17">
        <f t="shared" si="93"/>
        <v>2108</v>
      </c>
      <c r="Q2802" t="str">
        <f>A2802&amp;"-"&amp;B2802&amp;"-"&amp;D2802</f>
        <v>JULI-CVA-L3</v>
      </c>
    </row>
    <row r="2803" spans="1:17" x14ac:dyDescent="0.25">
      <c r="A2803" t="s">
        <v>397</v>
      </c>
      <c r="B2803" s="13" t="s">
        <v>23</v>
      </c>
      <c r="C2803" s="13" t="s">
        <v>1043</v>
      </c>
      <c r="D2803" s="14" t="s">
        <v>56</v>
      </c>
      <c r="E2803" s="13" t="s">
        <v>534</v>
      </c>
      <c r="F2803" s="13" t="s">
        <v>1045</v>
      </c>
      <c r="G2803" s="13">
        <v>0.80000000000000016</v>
      </c>
      <c r="H2803" s="15">
        <v>7924</v>
      </c>
      <c r="I2803" s="16">
        <v>6339.2</v>
      </c>
      <c r="J2803" s="16">
        <v>7117.0685107979143</v>
      </c>
      <c r="K2803" s="16">
        <v>-777.86851079791495</v>
      </c>
      <c r="L2803" s="13"/>
      <c r="M2803" s="13">
        <v>0.8</v>
      </c>
      <c r="N2803" s="17">
        <f t="shared" si="94"/>
        <v>0</v>
      </c>
      <c r="O2803" s="17">
        <f t="shared" si="94"/>
        <v>6339.2000000000007</v>
      </c>
      <c r="P2803" s="17">
        <f t="shared" si="93"/>
        <v>6339.2000000000007</v>
      </c>
      <c r="Q2803" t="str">
        <f>A2803&amp;"-"&amp;B2803&amp;"-"&amp;D2803</f>
        <v>JULI-CVA-L3</v>
      </c>
    </row>
    <row r="2804" spans="1:17" x14ac:dyDescent="0.25">
      <c r="A2804" t="s">
        <v>397</v>
      </c>
      <c r="B2804" s="13" t="s">
        <v>23</v>
      </c>
      <c r="C2804" s="13" t="s">
        <v>1043</v>
      </c>
      <c r="D2804" s="14" t="s">
        <v>56</v>
      </c>
      <c r="E2804" s="13" t="s">
        <v>534</v>
      </c>
      <c r="F2804" s="13" t="s">
        <v>1046</v>
      </c>
      <c r="G2804" s="13">
        <v>0.8</v>
      </c>
      <c r="H2804" s="15">
        <v>227</v>
      </c>
      <c r="I2804" s="16">
        <v>181.6</v>
      </c>
      <c r="J2804" s="16">
        <v>199.25555555555556</v>
      </c>
      <c r="K2804" s="16">
        <v>-17.655555555555566</v>
      </c>
      <c r="L2804" s="13"/>
      <c r="M2804" s="13">
        <v>0.9</v>
      </c>
      <c r="N2804" s="17">
        <f t="shared" si="94"/>
        <v>0</v>
      </c>
      <c r="O2804" s="17">
        <f t="shared" si="94"/>
        <v>204.3</v>
      </c>
      <c r="P2804" s="17">
        <f t="shared" si="93"/>
        <v>204.3</v>
      </c>
      <c r="Q2804" t="str">
        <f>A2804&amp;"-"&amp;B2804&amp;"-"&amp;D2804</f>
        <v>JULI-CVA-L3</v>
      </c>
    </row>
    <row r="2805" spans="1:17" x14ac:dyDescent="0.25">
      <c r="A2805" t="s">
        <v>397</v>
      </c>
      <c r="B2805" s="13" t="s">
        <v>23</v>
      </c>
      <c r="C2805" s="13" t="s">
        <v>1043</v>
      </c>
      <c r="D2805" s="14" t="s">
        <v>56</v>
      </c>
      <c r="E2805" s="13" t="s">
        <v>534</v>
      </c>
      <c r="F2805" s="13" t="s">
        <v>1153</v>
      </c>
      <c r="G2805" s="13">
        <v>0.8</v>
      </c>
      <c r="H2805" s="15">
        <v>860</v>
      </c>
      <c r="I2805" s="16">
        <v>688</v>
      </c>
      <c r="J2805" s="16">
        <v>739.57803223070391</v>
      </c>
      <c r="K2805" s="16">
        <v>-51.578032230703911</v>
      </c>
      <c r="L2805" s="13"/>
      <c r="M2805" s="13">
        <v>0.8</v>
      </c>
      <c r="N2805" s="17">
        <f t="shared" si="94"/>
        <v>0</v>
      </c>
      <c r="O2805" s="17">
        <f t="shared" si="94"/>
        <v>688</v>
      </c>
      <c r="P2805" s="17">
        <f t="shared" si="93"/>
        <v>688</v>
      </c>
      <c r="Q2805" t="str">
        <f>A2805&amp;"-"&amp;B2805&amp;"-"&amp;D2805</f>
        <v>JULI-CVA-L3</v>
      </c>
    </row>
    <row r="2806" spans="1:17" x14ac:dyDescent="0.25">
      <c r="A2806" t="s">
        <v>397</v>
      </c>
      <c r="B2806" s="13" t="s">
        <v>23</v>
      </c>
      <c r="C2806" s="13" t="s">
        <v>1043</v>
      </c>
      <c r="D2806" s="14" t="s">
        <v>158</v>
      </c>
      <c r="E2806" s="13" t="s">
        <v>534</v>
      </c>
      <c r="F2806" s="13" t="s">
        <v>1044</v>
      </c>
      <c r="G2806" s="13">
        <v>0.8</v>
      </c>
      <c r="H2806" s="15">
        <v>1639</v>
      </c>
      <c r="I2806" s="16">
        <v>1311.2</v>
      </c>
      <c r="J2806" s="16">
        <v>1802.3262557789205</v>
      </c>
      <c r="K2806" s="16">
        <v>-491.12625577892061</v>
      </c>
      <c r="L2806" s="13"/>
      <c r="M2806" s="13">
        <v>0.8</v>
      </c>
      <c r="N2806" s="17">
        <f t="shared" si="94"/>
        <v>0</v>
      </c>
      <c r="O2806" s="17">
        <f t="shared" si="94"/>
        <v>1311.2</v>
      </c>
      <c r="P2806" s="17">
        <f t="shared" si="93"/>
        <v>1311.2</v>
      </c>
      <c r="Q2806" t="str">
        <f>A2806&amp;"-"&amp;B2806&amp;"-"&amp;D2806</f>
        <v>JULI-CVA-L4</v>
      </c>
    </row>
    <row r="2807" spans="1:17" x14ac:dyDescent="0.25">
      <c r="A2807" t="s">
        <v>397</v>
      </c>
      <c r="B2807" s="13" t="s">
        <v>23</v>
      </c>
      <c r="C2807" s="13" t="s">
        <v>1043</v>
      </c>
      <c r="D2807" s="14" t="s">
        <v>158</v>
      </c>
      <c r="E2807" s="13" t="s">
        <v>534</v>
      </c>
      <c r="F2807" s="13" t="s">
        <v>1152</v>
      </c>
      <c r="G2807" s="13">
        <v>0.79999999999999993</v>
      </c>
      <c r="H2807" s="15">
        <v>3217</v>
      </c>
      <c r="I2807" s="16">
        <v>2573.6</v>
      </c>
      <c r="J2807" s="16">
        <v>2881.7444444444445</v>
      </c>
      <c r="K2807" s="16">
        <v>-308.14444444444445</v>
      </c>
      <c r="L2807" s="13"/>
      <c r="M2807" s="13">
        <v>0.8</v>
      </c>
      <c r="N2807" s="17">
        <f t="shared" si="94"/>
        <v>0</v>
      </c>
      <c r="O2807" s="17">
        <f t="shared" si="94"/>
        <v>2573.6000000000004</v>
      </c>
      <c r="P2807" s="17">
        <f t="shared" si="93"/>
        <v>2573.6000000000004</v>
      </c>
      <c r="Q2807" t="str">
        <f>A2807&amp;"-"&amp;B2807&amp;"-"&amp;D2807</f>
        <v>JULI-CVA-L4</v>
      </c>
    </row>
    <row r="2808" spans="1:17" x14ac:dyDescent="0.25">
      <c r="A2808" t="s">
        <v>397</v>
      </c>
      <c r="B2808" s="13" t="s">
        <v>23</v>
      </c>
      <c r="C2808" s="13" t="s">
        <v>1043</v>
      </c>
      <c r="D2808" s="14" t="s">
        <v>158</v>
      </c>
      <c r="E2808" s="13" t="s">
        <v>534</v>
      </c>
      <c r="F2808" s="13" t="s">
        <v>1045</v>
      </c>
      <c r="G2808" s="13">
        <v>0.80000000000000016</v>
      </c>
      <c r="H2808" s="15">
        <v>7920</v>
      </c>
      <c r="I2808" s="16">
        <v>6336</v>
      </c>
      <c r="J2808" s="16">
        <v>7124.6737442210797</v>
      </c>
      <c r="K2808" s="16">
        <v>-788.67374422107946</v>
      </c>
      <c r="L2808" s="13"/>
      <c r="M2808" s="13">
        <v>0.8</v>
      </c>
      <c r="N2808" s="17">
        <f t="shared" si="94"/>
        <v>0</v>
      </c>
      <c r="O2808" s="17">
        <f t="shared" si="94"/>
        <v>6336</v>
      </c>
      <c r="P2808" s="17">
        <f t="shared" si="93"/>
        <v>6336</v>
      </c>
      <c r="Q2808" t="str">
        <f>A2808&amp;"-"&amp;B2808&amp;"-"&amp;D2808</f>
        <v>JULI-CVA-L4</v>
      </c>
    </row>
    <row r="2809" spans="1:17" x14ac:dyDescent="0.25">
      <c r="A2809" t="s">
        <v>397</v>
      </c>
      <c r="B2809" s="13" t="s">
        <v>23</v>
      </c>
      <c r="C2809" s="13" t="s">
        <v>1043</v>
      </c>
      <c r="D2809" s="14" t="s">
        <v>158</v>
      </c>
      <c r="E2809" s="13" t="s">
        <v>534</v>
      </c>
      <c r="F2809" s="13" t="s">
        <v>1046</v>
      </c>
      <c r="G2809" s="13">
        <v>0.8</v>
      </c>
      <c r="H2809" s="15">
        <v>497</v>
      </c>
      <c r="I2809" s="16">
        <v>397.6</v>
      </c>
      <c r="J2809" s="16">
        <v>436.25555555555553</v>
      </c>
      <c r="K2809" s="16">
        <v>-38.655555555555509</v>
      </c>
      <c r="L2809" s="13"/>
      <c r="M2809" s="13">
        <v>0.9</v>
      </c>
      <c r="N2809" s="17">
        <f t="shared" si="94"/>
        <v>0</v>
      </c>
      <c r="O2809" s="17">
        <f t="shared" si="94"/>
        <v>447.3</v>
      </c>
      <c r="P2809" s="17">
        <f t="shared" si="93"/>
        <v>447.3</v>
      </c>
      <c r="Q2809" t="str">
        <f>A2809&amp;"-"&amp;B2809&amp;"-"&amp;D2809</f>
        <v>JULI-CVA-L4</v>
      </c>
    </row>
    <row r="2810" spans="1:17" x14ac:dyDescent="0.25">
      <c r="A2810" t="s">
        <v>397</v>
      </c>
      <c r="B2810" s="13" t="s">
        <v>23</v>
      </c>
      <c r="C2810" s="13" t="s">
        <v>201</v>
      </c>
      <c r="D2810" s="14" t="s">
        <v>44</v>
      </c>
      <c r="E2810" s="13" t="s">
        <v>191</v>
      </c>
      <c r="F2810" s="13" t="s">
        <v>1047</v>
      </c>
      <c r="G2810" s="13">
        <v>0.4800000000000002</v>
      </c>
      <c r="H2810" s="15">
        <v>28127</v>
      </c>
      <c r="I2810" s="16">
        <v>13500.960000000001</v>
      </c>
      <c r="J2810" s="16">
        <v>9085</v>
      </c>
      <c r="K2810" s="16">
        <v>4415.9600000000009</v>
      </c>
      <c r="L2810" s="13">
        <v>1.08</v>
      </c>
      <c r="M2810" s="13"/>
      <c r="N2810" s="17">
        <f t="shared" si="94"/>
        <v>30377.160000000003</v>
      </c>
      <c r="O2810" s="17">
        <f t="shared" si="94"/>
        <v>0</v>
      </c>
      <c r="P2810" s="17">
        <f t="shared" si="93"/>
        <v>30377.160000000003</v>
      </c>
      <c r="Q2810" t="str">
        <f>A2810&amp;"-"&amp;B2810&amp;"-"&amp;D2810</f>
        <v>JULI-CVA-L1</v>
      </c>
    </row>
    <row r="2811" spans="1:17" x14ac:dyDescent="0.25">
      <c r="A2811" t="s">
        <v>397</v>
      </c>
      <c r="B2811" s="13" t="s">
        <v>23</v>
      </c>
      <c r="C2811" s="13" t="s">
        <v>201</v>
      </c>
      <c r="D2811" s="14" t="s">
        <v>44</v>
      </c>
      <c r="E2811" s="13" t="s">
        <v>191</v>
      </c>
      <c r="F2811" s="13" t="s">
        <v>1154</v>
      </c>
      <c r="G2811" s="13">
        <v>0.4</v>
      </c>
      <c r="H2811" s="15">
        <v>2040</v>
      </c>
      <c r="I2811" s="16">
        <v>816</v>
      </c>
      <c r="J2811" s="16">
        <v>553</v>
      </c>
      <c r="K2811" s="16">
        <v>263</v>
      </c>
      <c r="L2811" s="13">
        <v>1.04</v>
      </c>
      <c r="M2811" s="13"/>
      <c r="N2811" s="17">
        <f t="shared" si="94"/>
        <v>2121.6</v>
      </c>
      <c r="O2811" s="17">
        <f t="shared" si="94"/>
        <v>0</v>
      </c>
      <c r="P2811" s="17">
        <f t="shared" si="93"/>
        <v>2121.6</v>
      </c>
      <c r="Q2811" t="str">
        <f>A2811&amp;"-"&amp;B2811&amp;"-"&amp;D2811</f>
        <v>JULI-CVA-L1</v>
      </c>
    </row>
    <row r="2812" spans="1:17" x14ac:dyDescent="0.25">
      <c r="A2812" t="s">
        <v>397</v>
      </c>
      <c r="B2812" s="13" t="s">
        <v>23</v>
      </c>
      <c r="C2812" s="13" t="s">
        <v>201</v>
      </c>
      <c r="D2812" s="14" t="s">
        <v>301</v>
      </c>
      <c r="E2812" s="13" t="s">
        <v>191</v>
      </c>
      <c r="F2812" s="13" t="s">
        <v>1047</v>
      </c>
      <c r="G2812" s="13">
        <v>0.48000000000000015</v>
      </c>
      <c r="H2812" s="15">
        <v>15634</v>
      </c>
      <c r="I2812" s="16">
        <v>7504.3199999999988</v>
      </c>
      <c r="J2812" s="16">
        <v>6873</v>
      </c>
      <c r="K2812" s="16">
        <v>631.31999999999994</v>
      </c>
      <c r="L2812" s="13">
        <v>1.08</v>
      </c>
      <c r="M2812" s="13"/>
      <c r="N2812" s="17">
        <f t="shared" si="94"/>
        <v>16884.72</v>
      </c>
      <c r="O2812" s="17">
        <f t="shared" si="94"/>
        <v>0</v>
      </c>
      <c r="P2812" s="17">
        <f t="shared" si="93"/>
        <v>16884.72</v>
      </c>
      <c r="Q2812" t="str">
        <f>A2812&amp;"-"&amp;B2812&amp;"-"&amp;D2812</f>
        <v>JULI-CVA-L10</v>
      </c>
    </row>
    <row r="2813" spans="1:17" x14ac:dyDescent="0.25">
      <c r="A2813" t="s">
        <v>397</v>
      </c>
      <c r="B2813" s="13" t="s">
        <v>23</v>
      </c>
      <c r="C2813" s="13" t="s">
        <v>201</v>
      </c>
      <c r="D2813" s="14" t="s">
        <v>301</v>
      </c>
      <c r="E2813" s="13" t="s">
        <v>191</v>
      </c>
      <c r="F2813" s="13" t="s">
        <v>1154</v>
      </c>
      <c r="G2813" s="13">
        <v>0.40000000000000008</v>
      </c>
      <c r="H2813" s="15">
        <v>5490</v>
      </c>
      <c r="I2813" s="16">
        <v>2196</v>
      </c>
      <c r="J2813" s="16">
        <v>1659</v>
      </c>
      <c r="K2813" s="16">
        <v>537</v>
      </c>
      <c r="L2813" s="13">
        <v>1.04</v>
      </c>
      <c r="M2813" s="13"/>
      <c r="N2813" s="17">
        <f t="shared" si="94"/>
        <v>5709.6</v>
      </c>
      <c r="O2813" s="17">
        <f t="shared" si="94"/>
        <v>0</v>
      </c>
      <c r="P2813" s="17">
        <f t="shared" si="93"/>
        <v>5709.6</v>
      </c>
      <c r="Q2813" t="str">
        <f>A2813&amp;"-"&amp;B2813&amp;"-"&amp;D2813</f>
        <v>JULI-CVA-L10</v>
      </c>
    </row>
    <row r="2814" spans="1:17" x14ac:dyDescent="0.25">
      <c r="A2814" t="s">
        <v>397</v>
      </c>
      <c r="B2814" s="13" t="s">
        <v>23</v>
      </c>
      <c r="C2814" s="13" t="s">
        <v>201</v>
      </c>
      <c r="D2814" s="14" t="s">
        <v>301</v>
      </c>
      <c r="E2814" s="13" t="s">
        <v>191</v>
      </c>
      <c r="F2814" s="13" t="s">
        <v>1155</v>
      </c>
      <c r="G2814" s="13">
        <v>0.33</v>
      </c>
      <c r="H2814" s="15">
        <v>4090</v>
      </c>
      <c r="I2814" s="16">
        <v>1349.7</v>
      </c>
      <c r="J2814" s="16">
        <v>1501</v>
      </c>
      <c r="K2814" s="16">
        <v>-151.30000000000001</v>
      </c>
      <c r="L2814" s="13">
        <v>1.1499999999999999</v>
      </c>
      <c r="M2814" s="13"/>
      <c r="N2814" s="17">
        <f t="shared" si="94"/>
        <v>4703.5</v>
      </c>
      <c r="O2814" s="17">
        <f t="shared" si="94"/>
        <v>0</v>
      </c>
      <c r="P2814" s="17">
        <f t="shared" si="93"/>
        <v>4703.5</v>
      </c>
      <c r="Q2814" t="str">
        <f>A2814&amp;"-"&amp;B2814&amp;"-"&amp;D2814</f>
        <v>JULI-CVA-L10</v>
      </c>
    </row>
    <row r="2815" spans="1:17" x14ac:dyDescent="0.25">
      <c r="A2815" t="s">
        <v>397</v>
      </c>
      <c r="B2815" s="13" t="s">
        <v>23</v>
      </c>
      <c r="C2815" s="13" t="s">
        <v>201</v>
      </c>
      <c r="D2815" s="14" t="s">
        <v>301</v>
      </c>
      <c r="E2815" s="13" t="s">
        <v>191</v>
      </c>
      <c r="F2815" s="13" t="s">
        <v>1156</v>
      </c>
      <c r="G2815" s="13">
        <v>0.33</v>
      </c>
      <c r="H2815" s="15">
        <v>3097</v>
      </c>
      <c r="I2815" s="16">
        <v>1022.01</v>
      </c>
      <c r="J2815" s="16">
        <v>1659</v>
      </c>
      <c r="K2815" s="16">
        <v>-636.9899999999999</v>
      </c>
      <c r="L2815" s="13">
        <v>1.1000000000000001</v>
      </c>
      <c r="M2815" s="13"/>
      <c r="N2815" s="17">
        <f t="shared" si="94"/>
        <v>3406.7000000000003</v>
      </c>
      <c r="O2815" s="17">
        <f t="shared" si="94"/>
        <v>0</v>
      </c>
      <c r="P2815" s="17">
        <f t="shared" si="93"/>
        <v>3406.7000000000003</v>
      </c>
      <c r="Q2815" t="str">
        <f>A2815&amp;"-"&amp;B2815&amp;"-"&amp;D2815</f>
        <v>JULI-CVA-L10</v>
      </c>
    </row>
    <row r="2816" spans="1:17" x14ac:dyDescent="0.25">
      <c r="A2816" t="s">
        <v>397</v>
      </c>
      <c r="B2816" s="13" t="s">
        <v>23</v>
      </c>
      <c r="C2816" s="13" t="s">
        <v>201</v>
      </c>
      <c r="D2816" s="14" t="s">
        <v>50</v>
      </c>
      <c r="E2816" s="13" t="s">
        <v>191</v>
      </c>
      <c r="F2816" s="13" t="s">
        <v>1047</v>
      </c>
      <c r="G2816" s="13">
        <v>0.4800000000000002</v>
      </c>
      <c r="H2816" s="15">
        <v>25304</v>
      </c>
      <c r="I2816" s="16">
        <v>12145.920000000002</v>
      </c>
      <c r="J2816" s="16">
        <v>7818.7819593787335</v>
      </c>
      <c r="K2816" s="16">
        <v>4327.1380406212656</v>
      </c>
      <c r="L2816" s="13">
        <v>1.08</v>
      </c>
      <c r="M2816" s="13"/>
      <c r="N2816" s="17">
        <f t="shared" si="94"/>
        <v>27328.320000000003</v>
      </c>
      <c r="O2816" s="17">
        <f t="shared" si="94"/>
        <v>0</v>
      </c>
      <c r="P2816" s="17">
        <f t="shared" si="93"/>
        <v>27328.320000000003</v>
      </c>
      <c r="Q2816" t="str">
        <f>A2816&amp;"-"&amp;B2816&amp;"-"&amp;D2816</f>
        <v>JULI-CVA-L2</v>
      </c>
    </row>
    <row r="2817" spans="1:17" x14ac:dyDescent="0.25">
      <c r="A2817" t="s">
        <v>397</v>
      </c>
      <c r="B2817" s="13" t="s">
        <v>23</v>
      </c>
      <c r="C2817" s="13" t="s">
        <v>201</v>
      </c>
      <c r="D2817" s="14" t="s">
        <v>50</v>
      </c>
      <c r="E2817" s="13" t="s">
        <v>191</v>
      </c>
      <c r="F2817" s="13" t="s">
        <v>1154</v>
      </c>
      <c r="G2817" s="13">
        <v>0.40000000000000008</v>
      </c>
      <c r="H2817" s="15">
        <v>3744</v>
      </c>
      <c r="I2817" s="16">
        <v>1497.6</v>
      </c>
      <c r="J2817" s="16">
        <v>1266.2180406212665</v>
      </c>
      <c r="K2817" s="16">
        <v>231.3819593787336</v>
      </c>
      <c r="L2817" s="13">
        <v>1.04</v>
      </c>
      <c r="M2817" s="13"/>
      <c r="N2817" s="17">
        <f t="shared" si="94"/>
        <v>3893.76</v>
      </c>
      <c r="O2817" s="17">
        <f t="shared" si="94"/>
        <v>0</v>
      </c>
      <c r="P2817" s="17">
        <f t="shared" si="93"/>
        <v>3893.76</v>
      </c>
      <c r="Q2817" t="str">
        <f>A2817&amp;"-"&amp;B2817&amp;"-"&amp;D2817</f>
        <v>JULI-CVA-L2</v>
      </c>
    </row>
    <row r="2818" spans="1:17" x14ac:dyDescent="0.25">
      <c r="A2818" t="s">
        <v>397</v>
      </c>
      <c r="B2818" s="13" t="s">
        <v>23</v>
      </c>
      <c r="C2818" s="13" t="s">
        <v>201</v>
      </c>
      <c r="D2818" s="14" t="s">
        <v>160</v>
      </c>
      <c r="E2818" s="13" t="s">
        <v>191</v>
      </c>
      <c r="F2818" s="13" t="s">
        <v>1047</v>
      </c>
      <c r="G2818" s="13">
        <v>0.48000000000000026</v>
      </c>
      <c r="H2818" s="15">
        <v>27437</v>
      </c>
      <c r="I2818" s="16">
        <v>13169.760000000002</v>
      </c>
      <c r="J2818" s="16">
        <v>8641.3846153846152</v>
      </c>
      <c r="K2818" s="16">
        <v>4528.375384615385</v>
      </c>
      <c r="L2818" s="13">
        <v>1.08</v>
      </c>
      <c r="M2818" s="13"/>
      <c r="N2818" s="17">
        <f t="shared" si="94"/>
        <v>29631.960000000003</v>
      </c>
      <c r="O2818" s="17">
        <f t="shared" si="94"/>
        <v>0</v>
      </c>
      <c r="P2818" s="17">
        <f t="shared" ref="P2818:P2881" si="95">N2818+O2818</f>
        <v>29631.960000000003</v>
      </c>
      <c r="Q2818" t="str">
        <f>A2818&amp;"-"&amp;B2818&amp;"-"&amp;D2818</f>
        <v>JULI-CVA-L5</v>
      </c>
    </row>
    <row r="2819" spans="1:17" x14ac:dyDescent="0.25">
      <c r="A2819" t="s">
        <v>397</v>
      </c>
      <c r="B2819" s="13" t="s">
        <v>23</v>
      </c>
      <c r="C2819" s="13" t="s">
        <v>201</v>
      </c>
      <c r="D2819" s="14" t="s">
        <v>160</v>
      </c>
      <c r="E2819" s="13" t="s">
        <v>191</v>
      </c>
      <c r="F2819" s="13" t="s">
        <v>1150</v>
      </c>
      <c r="G2819" s="13">
        <v>0.48</v>
      </c>
      <c r="H2819" s="15">
        <v>8279</v>
      </c>
      <c r="I2819" s="16">
        <v>3973.92</v>
      </c>
      <c r="J2819" s="16">
        <v>2591.3711317418215</v>
      </c>
      <c r="K2819" s="16">
        <v>1382.5488682581786</v>
      </c>
      <c r="L2819" s="13">
        <v>1.03</v>
      </c>
      <c r="M2819" s="13"/>
      <c r="N2819" s="17">
        <f t="shared" si="94"/>
        <v>8527.3700000000008</v>
      </c>
      <c r="O2819" s="17">
        <f t="shared" si="94"/>
        <v>0</v>
      </c>
      <c r="P2819" s="17">
        <f t="shared" si="95"/>
        <v>8527.3700000000008</v>
      </c>
      <c r="Q2819" t="str">
        <f>A2819&amp;"-"&amp;B2819&amp;"-"&amp;D2819</f>
        <v>JULI-CVA-L5</v>
      </c>
    </row>
    <row r="2820" spans="1:17" x14ac:dyDescent="0.25">
      <c r="A2820" t="s">
        <v>397</v>
      </c>
      <c r="B2820" s="13" t="s">
        <v>23</v>
      </c>
      <c r="C2820" s="13" t="s">
        <v>201</v>
      </c>
      <c r="D2820" s="14" t="s">
        <v>160</v>
      </c>
      <c r="E2820" s="13" t="s">
        <v>191</v>
      </c>
      <c r="F2820" s="13" t="s">
        <v>1154</v>
      </c>
      <c r="G2820" s="13">
        <v>0.4</v>
      </c>
      <c r="H2820" s="15">
        <v>1990</v>
      </c>
      <c r="I2820" s="16">
        <v>796</v>
      </c>
      <c r="J2820" s="16">
        <v>553</v>
      </c>
      <c r="K2820" s="16">
        <v>243</v>
      </c>
      <c r="L2820" s="13">
        <v>1.04</v>
      </c>
      <c r="M2820" s="13"/>
      <c r="N2820" s="17">
        <f t="shared" si="94"/>
        <v>2069.6</v>
      </c>
      <c r="O2820" s="17">
        <f t="shared" si="94"/>
        <v>0</v>
      </c>
      <c r="P2820" s="17">
        <f t="shared" si="95"/>
        <v>2069.6</v>
      </c>
      <c r="Q2820" t="str">
        <f>A2820&amp;"-"&amp;B2820&amp;"-"&amp;D2820</f>
        <v>JULI-CVA-L5</v>
      </c>
    </row>
    <row r="2821" spans="1:17" x14ac:dyDescent="0.25">
      <c r="A2821" t="s">
        <v>397</v>
      </c>
      <c r="B2821" s="13" t="s">
        <v>23</v>
      </c>
      <c r="C2821" s="13" t="s">
        <v>201</v>
      </c>
      <c r="D2821" s="14" t="s">
        <v>160</v>
      </c>
      <c r="E2821" s="13" t="s">
        <v>191</v>
      </c>
      <c r="F2821" s="13" t="s">
        <v>1155</v>
      </c>
      <c r="G2821" s="13">
        <v>0.33</v>
      </c>
      <c r="H2821" s="15">
        <v>289</v>
      </c>
      <c r="I2821" s="16">
        <v>95.37</v>
      </c>
      <c r="J2821" s="16">
        <v>459.2442528735632</v>
      </c>
      <c r="K2821" s="16">
        <v>-363.87425287356319</v>
      </c>
      <c r="L2821" s="13">
        <v>1.1499999999999999</v>
      </c>
      <c r="M2821" s="13"/>
      <c r="N2821" s="17">
        <f t="shared" si="94"/>
        <v>332.34999999999997</v>
      </c>
      <c r="O2821" s="17">
        <f t="shared" si="94"/>
        <v>0</v>
      </c>
      <c r="P2821" s="17">
        <f t="shared" si="95"/>
        <v>332.34999999999997</v>
      </c>
      <c r="Q2821" t="str">
        <f>A2821&amp;"-"&amp;B2821&amp;"-"&amp;D2821</f>
        <v>JULI-CVA-L5</v>
      </c>
    </row>
    <row r="2822" spans="1:17" x14ac:dyDescent="0.25">
      <c r="A2822" t="s">
        <v>397</v>
      </c>
      <c r="B2822" s="13" t="s">
        <v>23</v>
      </c>
      <c r="C2822" s="13" t="s">
        <v>201</v>
      </c>
      <c r="D2822" s="14" t="s">
        <v>163</v>
      </c>
      <c r="E2822" s="13" t="s">
        <v>191</v>
      </c>
      <c r="F2822" s="13" t="s">
        <v>1047</v>
      </c>
      <c r="G2822" s="13">
        <v>0.48000000000000026</v>
      </c>
      <c r="H2822" s="15">
        <v>28252</v>
      </c>
      <c r="I2822" s="16">
        <v>13560.959999999997</v>
      </c>
      <c r="J2822" s="16">
        <v>8799.2352045256739</v>
      </c>
      <c r="K2822" s="16">
        <v>4761.7247954743261</v>
      </c>
      <c r="L2822" s="13">
        <v>1.08</v>
      </c>
      <c r="M2822" s="13"/>
      <c r="N2822" s="17">
        <f t="shared" si="94"/>
        <v>30512.160000000003</v>
      </c>
      <c r="O2822" s="17">
        <f t="shared" si="94"/>
        <v>0</v>
      </c>
      <c r="P2822" s="17">
        <f t="shared" si="95"/>
        <v>30512.160000000003</v>
      </c>
      <c r="Q2822" t="str">
        <f>A2822&amp;"-"&amp;B2822&amp;"-"&amp;D2822</f>
        <v>JULI-CVA-L6</v>
      </c>
    </row>
    <row r="2823" spans="1:17" x14ac:dyDescent="0.25">
      <c r="A2823" t="s">
        <v>397</v>
      </c>
      <c r="B2823" s="13" t="s">
        <v>23</v>
      </c>
      <c r="C2823" s="13" t="s">
        <v>201</v>
      </c>
      <c r="D2823" s="14" t="s">
        <v>163</v>
      </c>
      <c r="E2823" s="13" t="s">
        <v>191</v>
      </c>
      <c r="F2823" s="13" t="s">
        <v>1150</v>
      </c>
      <c r="G2823" s="13">
        <v>0.48</v>
      </c>
      <c r="H2823" s="15">
        <v>6640</v>
      </c>
      <c r="I2823" s="16">
        <v>3187.2</v>
      </c>
      <c r="J2823" s="16">
        <v>2054</v>
      </c>
      <c r="K2823" s="16">
        <v>1133.2</v>
      </c>
      <c r="L2823" s="13">
        <v>1.03</v>
      </c>
      <c r="M2823" s="13"/>
      <c r="N2823" s="17">
        <f t="shared" si="94"/>
        <v>6839.2</v>
      </c>
      <c r="O2823" s="17">
        <f t="shared" si="94"/>
        <v>0</v>
      </c>
      <c r="P2823" s="17">
        <f t="shared" si="95"/>
        <v>6839.2</v>
      </c>
      <c r="Q2823" t="str">
        <f>A2823&amp;"-"&amp;B2823&amp;"-"&amp;D2823</f>
        <v>JULI-CVA-L6</v>
      </c>
    </row>
    <row r="2824" spans="1:17" x14ac:dyDescent="0.25">
      <c r="A2824" t="s">
        <v>397</v>
      </c>
      <c r="B2824" s="13" t="s">
        <v>23</v>
      </c>
      <c r="C2824" s="13" t="s">
        <v>201</v>
      </c>
      <c r="D2824" s="14" t="s">
        <v>163</v>
      </c>
      <c r="E2824" s="13" t="s">
        <v>191</v>
      </c>
      <c r="F2824" s="13" t="s">
        <v>1154</v>
      </c>
      <c r="G2824" s="13">
        <v>0.4</v>
      </c>
      <c r="H2824" s="15">
        <v>2242</v>
      </c>
      <c r="I2824" s="16">
        <v>896.8</v>
      </c>
      <c r="J2824" s="16">
        <v>838.76479547432552</v>
      </c>
      <c r="K2824" s="16">
        <v>58.035204525674487</v>
      </c>
      <c r="L2824" s="13">
        <v>1.04</v>
      </c>
      <c r="M2824" s="13"/>
      <c r="N2824" s="17">
        <f t="shared" si="94"/>
        <v>2331.6800000000003</v>
      </c>
      <c r="O2824" s="17">
        <f t="shared" si="94"/>
        <v>0</v>
      </c>
      <c r="P2824" s="17">
        <f t="shared" si="95"/>
        <v>2331.6800000000003</v>
      </c>
      <c r="Q2824" t="str">
        <f>A2824&amp;"-"&amp;B2824&amp;"-"&amp;D2824</f>
        <v>JULI-CVA-L6</v>
      </c>
    </row>
    <row r="2825" spans="1:17" x14ac:dyDescent="0.25">
      <c r="A2825" t="s">
        <v>397</v>
      </c>
      <c r="B2825" s="13" t="s">
        <v>23</v>
      </c>
      <c r="C2825" s="13" t="s">
        <v>201</v>
      </c>
      <c r="D2825" s="14" t="s">
        <v>163</v>
      </c>
      <c r="E2825" s="13" t="s">
        <v>191</v>
      </c>
      <c r="F2825" s="13" t="s">
        <v>1155</v>
      </c>
      <c r="G2825" s="13">
        <v>0.33</v>
      </c>
      <c r="H2825" s="15">
        <v>270</v>
      </c>
      <c r="I2825" s="16">
        <v>89.1</v>
      </c>
      <c r="J2825" s="16">
        <v>553</v>
      </c>
      <c r="K2825" s="16">
        <v>-463.9</v>
      </c>
      <c r="L2825" s="13">
        <v>1.1499999999999999</v>
      </c>
      <c r="M2825" s="13"/>
      <c r="N2825" s="17">
        <f t="shared" si="94"/>
        <v>310.5</v>
      </c>
      <c r="O2825" s="17">
        <f t="shared" si="94"/>
        <v>0</v>
      </c>
      <c r="P2825" s="17">
        <f t="shared" si="95"/>
        <v>310.5</v>
      </c>
      <c r="Q2825" t="str">
        <f>A2825&amp;"-"&amp;B2825&amp;"-"&amp;D2825</f>
        <v>JULI-CVA-L6</v>
      </c>
    </row>
    <row r="2826" spans="1:17" x14ac:dyDescent="0.25">
      <c r="A2826" t="s">
        <v>397</v>
      </c>
      <c r="B2826" s="13" t="s">
        <v>23</v>
      </c>
      <c r="C2826" s="13" t="s">
        <v>201</v>
      </c>
      <c r="D2826" s="14" t="s">
        <v>164</v>
      </c>
      <c r="E2826" s="13" t="s">
        <v>191</v>
      </c>
      <c r="F2826" s="13" t="s">
        <v>1047</v>
      </c>
      <c r="G2826" s="13">
        <v>0.48000000000000015</v>
      </c>
      <c r="H2826" s="15">
        <v>17643</v>
      </c>
      <c r="I2826" s="16">
        <v>8468.64</v>
      </c>
      <c r="J2826" s="16">
        <v>6320</v>
      </c>
      <c r="K2826" s="16">
        <v>2148.6400000000003</v>
      </c>
      <c r="L2826" s="13">
        <v>1.08</v>
      </c>
      <c r="M2826" s="13"/>
      <c r="N2826" s="17">
        <f t="shared" si="94"/>
        <v>19054.440000000002</v>
      </c>
      <c r="O2826" s="17">
        <f t="shared" si="94"/>
        <v>0</v>
      </c>
      <c r="P2826" s="17">
        <f t="shared" si="95"/>
        <v>19054.440000000002</v>
      </c>
      <c r="Q2826" t="str">
        <f>A2826&amp;"-"&amp;B2826&amp;"-"&amp;D2826</f>
        <v>JULI-CVA-L7</v>
      </c>
    </row>
    <row r="2827" spans="1:17" x14ac:dyDescent="0.25">
      <c r="A2827" t="s">
        <v>397</v>
      </c>
      <c r="B2827" s="13" t="s">
        <v>23</v>
      </c>
      <c r="C2827" s="13" t="s">
        <v>201</v>
      </c>
      <c r="D2827" s="14" t="s">
        <v>164</v>
      </c>
      <c r="E2827" s="13" t="s">
        <v>191</v>
      </c>
      <c r="F2827" s="13" t="s">
        <v>1154</v>
      </c>
      <c r="G2827" s="13">
        <v>0.40000000000000008</v>
      </c>
      <c r="H2827" s="15">
        <v>4489</v>
      </c>
      <c r="I2827" s="16">
        <v>1795.6</v>
      </c>
      <c r="J2827" s="16">
        <v>1659</v>
      </c>
      <c r="K2827" s="16">
        <v>136.60000000000002</v>
      </c>
      <c r="L2827" s="13">
        <v>1.04</v>
      </c>
      <c r="M2827" s="13"/>
      <c r="N2827" s="17">
        <f t="shared" si="94"/>
        <v>4668.5600000000004</v>
      </c>
      <c r="O2827" s="17">
        <f t="shared" si="94"/>
        <v>0</v>
      </c>
      <c r="P2827" s="17">
        <f t="shared" si="95"/>
        <v>4668.5600000000004</v>
      </c>
      <c r="Q2827" t="str">
        <f>A2827&amp;"-"&amp;B2827&amp;"-"&amp;D2827</f>
        <v>JULI-CVA-L7</v>
      </c>
    </row>
    <row r="2828" spans="1:17" x14ac:dyDescent="0.25">
      <c r="A2828" t="s">
        <v>397</v>
      </c>
      <c r="B2828" s="13" t="s">
        <v>23</v>
      </c>
      <c r="C2828" s="13" t="s">
        <v>201</v>
      </c>
      <c r="D2828" s="14" t="s">
        <v>164</v>
      </c>
      <c r="E2828" s="13" t="s">
        <v>191</v>
      </c>
      <c r="F2828" s="13" t="s">
        <v>1155</v>
      </c>
      <c r="G2828" s="13">
        <v>0.33</v>
      </c>
      <c r="H2828" s="15">
        <v>5562</v>
      </c>
      <c r="I2828" s="16">
        <v>1835.46</v>
      </c>
      <c r="J2828" s="16">
        <v>948</v>
      </c>
      <c r="K2828" s="16">
        <v>887.46</v>
      </c>
      <c r="L2828" s="13">
        <v>1.1499999999999999</v>
      </c>
      <c r="M2828" s="13"/>
      <c r="N2828" s="17">
        <f t="shared" si="94"/>
        <v>6396.2999999999993</v>
      </c>
      <c r="O2828" s="17">
        <f t="shared" si="94"/>
        <v>0</v>
      </c>
      <c r="P2828" s="17">
        <f t="shared" si="95"/>
        <v>6396.2999999999993</v>
      </c>
      <c r="Q2828" t="str">
        <f>A2828&amp;"-"&amp;B2828&amp;"-"&amp;D2828</f>
        <v>JULI-CVA-L7</v>
      </c>
    </row>
    <row r="2829" spans="1:17" x14ac:dyDescent="0.25">
      <c r="A2829" t="s">
        <v>397</v>
      </c>
      <c r="B2829" s="13" t="s">
        <v>23</v>
      </c>
      <c r="C2829" s="13" t="s">
        <v>201</v>
      </c>
      <c r="D2829" s="14" t="s">
        <v>164</v>
      </c>
      <c r="E2829" s="13" t="s">
        <v>191</v>
      </c>
      <c r="F2829" s="13" t="s">
        <v>1156</v>
      </c>
      <c r="G2829" s="13">
        <v>0.33</v>
      </c>
      <c r="H2829" s="15">
        <v>3855</v>
      </c>
      <c r="I2829" s="16">
        <v>1272.1500000000001</v>
      </c>
      <c r="J2829" s="16">
        <v>1106</v>
      </c>
      <c r="K2829" s="16">
        <v>166.14999999999998</v>
      </c>
      <c r="L2829" s="13">
        <v>1.1000000000000001</v>
      </c>
      <c r="M2829" s="13"/>
      <c r="N2829" s="17">
        <f t="shared" si="94"/>
        <v>4240.5</v>
      </c>
      <c r="O2829" s="17">
        <f t="shared" si="94"/>
        <v>0</v>
      </c>
      <c r="P2829" s="17">
        <f t="shared" si="95"/>
        <v>4240.5</v>
      </c>
      <c r="Q2829" t="str">
        <f>A2829&amp;"-"&amp;B2829&amp;"-"&amp;D2829</f>
        <v>JULI-CVA-L7</v>
      </c>
    </row>
    <row r="2830" spans="1:17" x14ac:dyDescent="0.25">
      <c r="A2830" t="s">
        <v>397</v>
      </c>
      <c r="B2830" s="13" t="s">
        <v>23</v>
      </c>
      <c r="C2830" s="13" t="s">
        <v>201</v>
      </c>
      <c r="D2830" s="14" t="s">
        <v>198</v>
      </c>
      <c r="E2830" s="13" t="s">
        <v>191</v>
      </c>
      <c r="F2830" s="13" t="s">
        <v>1047</v>
      </c>
      <c r="G2830" s="13">
        <v>0.4800000000000002</v>
      </c>
      <c r="H2830" s="15">
        <v>17832</v>
      </c>
      <c r="I2830" s="16">
        <v>8559.36</v>
      </c>
      <c r="J2830" s="16">
        <v>6873</v>
      </c>
      <c r="K2830" s="16">
        <v>1686.3600000000001</v>
      </c>
      <c r="L2830" s="13">
        <v>1.08</v>
      </c>
      <c r="M2830" s="13"/>
      <c r="N2830" s="17">
        <f t="shared" si="94"/>
        <v>19258.560000000001</v>
      </c>
      <c r="O2830" s="17">
        <f t="shared" si="94"/>
        <v>0</v>
      </c>
      <c r="P2830" s="17">
        <f t="shared" si="95"/>
        <v>19258.560000000001</v>
      </c>
      <c r="Q2830" t="str">
        <f>A2830&amp;"-"&amp;B2830&amp;"-"&amp;D2830</f>
        <v>JULI-CVA-L8</v>
      </c>
    </row>
    <row r="2831" spans="1:17" x14ac:dyDescent="0.25">
      <c r="A2831" t="s">
        <v>397</v>
      </c>
      <c r="B2831" s="13" t="s">
        <v>23</v>
      </c>
      <c r="C2831" s="13" t="s">
        <v>201</v>
      </c>
      <c r="D2831" s="14" t="s">
        <v>198</v>
      </c>
      <c r="E2831" s="13" t="s">
        <v>191</v>
      </c>
      <c r="F2831" s="13" t="s">
        <v>1154</v>
      </c>
      <c r="G2831" s="13">
        <v>0.40000000000000008</v>
      </c>
      <c r="H2831" s="15">
        <v>4622</v>
      </c>
      <c r="I2831" s="16">
        <v>1848.8</v>
      </c>
      <c r="J2831" s="16">
        <v>1659</v>
      </c>
      <c r="K2831" s="16">
        <v>189.80000000000007</v>
      </c>
      <c r="L2831" s="13">
        <v>1.04</v>
      </c>
      <c r="M2831" s="13"/>
      <c r="N2831" s="17">
        <f t="shared" si="94"/>
        <v>4806.88</v>
      </c>
      <c r="O2831" s="17">
        <f t="shared" si="94"/>
        <v>0</v>
      </c>
      <c r="P2831" s="17">
        <f t="shared" si="95"/>
        <v>4806.88</v>
      </c>
      <c r="Q2831" t="str">
        <f>A2831&amp;"-"&amp;B2831&amp;"-"&amp;D2831</f>
        <v>JULI-CVA-L8</v>
      </c>
    </row>
    <row r="2832" spans="1:17" x14ac:dyDescent="0.25">
      <c r="A2832" t="s">
        <v>397</v>
      </c>
      <c r="B2832" s="13" t="s">
        <v>23</v>
      </c>
      <c r="C2832" s="13" t="s">
        <v>201</v>
      </c>
      <c r="D2832" s="14" t="s">
        <v>198</v>
      </c>
      <c r="E2832" s="13" t="s">
        <v>191</v>
      </c>
      <c r="F2832" s="13" t="s">
        <v>1155</v>
      </c>
      <c r="G2832" s="13">
        <v>0.33</v>
      </c>
      <c r="H2832" s="15">
        <v>5220</v>
      </c>
      <c r="I2832" s="16">
        <v>1722.6</v>
      </c>
      <c r="J2832" s="16">
        <v>948</v>
      </c>
      <c r="K2832" s="16">
        <v>774.6</v>
      </c>
      <c r="L2832" s="13">
        <v>1.1499999999999999</v>
      </c>
      <c r="M2832" s="13"/>
      <c r="N2832" s="17">
        <f t="shared" si="94"/>
        <v>6002.9999999999991</v>
      </c>
      <c r="O2832" s="17">
        <f t="shared" si="94"/>
        <v>0</v>
      </c>
      <c r="P2832" s="17">
        <f t="shared" si="95"/>
        <v>6002.9999999999991</v>
      </c>
      <c r="Q2832" t="str">
        <f>A2832&amp;"-"&amp;B2832&amp;"-"&amp;D2832</f>
        <v>JULI-CVA-L8</v>
      </c>
    </row>
    <row r="2833" spans="1:17" x14ac:dyDescent="0.25">
      <c r="A2833" t="s">
        <v>397</v>
      </c>
      <c r="B2833" s="13" t="s">
        <v>23</v>
      </c>
      <c r="C2833" s="13" t="s">
        <v>201</v>
      </c>
      <c r="D2833" s="14" t="s">
        <v>198</v>
      </c>
      <c r="E2833" s="13" t="s">
        <v>191</v>
      </c>
      <c r="F2833" s="13" t="s">
        <v>1156</v>
      </c>
      <c r="G2833" s="13">
        <v>0.33</v>
      </c>
      <c r="H2833" s="15">
        <v>3269</v>
      </c>
      <c r="I2833" s="16">
        <v>1078.77</v>
      </c>
      <c r="J2833" s="16">
        <v>1659</v>
      </c>
      <c r="K2833" s="16">
        <v>-580.2299999999999</v>
      </c>
      <c r="L2833" s="13">
        <v>1.1000000000000001</v>
      </c>
      <c r="M2833" s="13"/>
      <c r="N2833" s="17">
        <f t="shared" si="94"/>
        <v>3595.9</v>
      </c>
      <c r="O2833" s="17">
        <f t="shared" si="94"/>
        <v>0</v>
      </c>
      <c r="P2833" s="17">
        <f t="shared" si="95"/>
        <v>3595.9</v>
      </c>
      <c r="Q2833" t="str">
        <f>A2833&amp;"-"&amp;B2833&amp;"-"&amp;D2833</f>
        <v>JULI-CVA-L8</v>
      </c>
    </row>
    <row r="2834" spans="1:17" x14ac:dyDescent="0.25">
      <c r="A2834" t="s">
        <v>397</v>
      </c>
      <c r="B2834" s="13" t="s">
        <v>23</v>
      </c>
      <c r="C2834" s="13" t="s">
        <v>201</v>
      </c>
      <c r="D2834" s="14" t="s">
        <v>199</v>
      </c>
      <c r="E2834" s="13" t="s">
        <v>191</v>
      </c>
      <c r="F2834" s="13" t="s">
        <v>1047</v>
      </c>
      <c r="G2834" s="13">
        <v>0.4800000000000002</v>
      </c>
      <c r="H2834" s="15">
        <v>16220</v>
      </c>
      <c r="I2834" s="16">
        <v>7785.6</v>
      </c>
      <c r="J2834" s="16">
        <v>6435.7441860465115</v>
      </c>
      <c r="K2834" s="16">
        <v>1349.8558139534882</v>
      </c>
      <c r="L2834" s="13">
        <v>1.08</v>
      </c>
      <c r="M2834" s="13"/>
      <c r="N2834" s="17">
        <f t="shared" si="94"/>
        <v>17517.600000000002</v>
      </c>
      <c r="O2834" s="17">
        <f t="shared" si="94"/>
        <v>0</v>
      </c>
      <c r="P2834" s="17">
        <f t="shared" si="95"/>
        <v>17517.600000000002</v>
      </c>
      <c r="Q2834" t="str">
        <f>A2834&amp;"-"&amp;B2834&amp;"-"&amp;D2834</f>
        <v>JULI-CVA-L9</v>
      </c>
    </row>
    <row r="2835" spans="1:17" x14ac:dyDescent="0.25">
      <c r="A2835" t="s">
        <v>397</v>
      </c>
      <c r="B2835" s="13" t="s">
        <v>23</v>
      </c>
      <c r="C2835" s="13" t="s">
        <v>201</v>
      </c>
      <c r="D2835" s="14" t="s">
        <v>199</v>
      </c>
      <c r="E2835" s="13" t="s">
        <v>191</v>
      </c>
      <c r="F2835" s="13" t="s">
        <v>1154</v>
      </c>
      <c r="G2835" s="13">
        <v>0.40000000000000008</v>
      </c>
      <c r="H2835" s="15">
        <v>4239</v>
      </c>
      <c r="I2835" s="16">
        <v>1695.6</v>
      </c>
      <c r="J2835" s="16">
        <v>1543.2558139534883</v>
      </c>
      <c r="K2835" s="16">
        <v>152.34418604651165</v>
      </c>
      <c r="L2835" s="13">
        <v>1.04</v>
      </c>
      <c r="M2835" s="13"/>
      <c r="N2835" s="17">
        <f t="shared" si="94"/>
        <v>4408.5600000000004</v>
      </c>
      <c r="O2835" s="17">
        <f t="shared" si="94"/>
        <v>0</v>
      </c>
      <c r="P2835" s="17">
        <f t="shared" si="95"/>
        <v>4408.5600000000004</v>
      </c>
      <c r="Q2835" t="str">
        <f>A2835&amp;"-"&amp;B2835&amp;"-"&amp;D2835</f>
        <v>JULI-CVA-L9</v>
      </c>
    </row>
    <row r="2836" spans="1:17" x14ac:dyDescent="0.25">
      <c r="A2836" t="s">
        <v>397</v>
      </c>
      <c r="B2836" s="13" t="s">
        <v>23</v>
      </c>
      <c r="C2836" s="13" t="s">
        <v>201</v>
      </c>
      <c r="D2836" s="14" t="s">
        <v>199</v>
      </c>
      <c r="E2836" s="13" t="s">
        <v>191</v>
      </c>
      <c r="F2836" s="13" t="s">
        <v>1155</v>
      </c>
      <c r="G2836" s="13">
        <v>0.33</v>
      </c>
      <c r="H2836" s="15">
        <v>3810</v>
      </c>
      <c r="I2836" s="16">
        <v>1257.3000000000002</v>
      </c>
      <c r="J2836" s="16">
        <v>1469.9076305220883</v>
      </c>
      <c r="K2836" s="16">
        <v>-212.6076305220883</v>
      </c>
      <c r="L2836" s="13">
        <v>1.1499999999999999</v>
      </c>
      <c r="M2836" s="13"/>
      <c r="N2836" s="17">
        <f t="shared" si="94"/>
        <v>4381.5</v>
      </c>
      <c r="O2836" s="17">
        <f t="shared" si="94"/>
        <v>0</v>
      </c>
      <c r="P2836" s="17">
        <f t="shared" si="95"/>
        <v>4381.5</v>
      </c>
      <c r="Q2836" t="str">
        <f>A2836&amp;"-"&amp;B2836&amp;"-"&amp;D2836</f>
        <v>JULI-CVA-L9</v>
      </c>
    </row>
    <row r="2837" spans="1:17" x14ac:dyDescent="0.25">
      <c r="A2837" t="s">
        <v>397</v>
      </c>
      <c r="B2837" s="13" t="s">
        <v>23</v>
      </c>
      <c r="C2837" s="13" t="s">
        <v>201</v>
      </c>
      <c r="D2837" s="14" t="s">
        <v>199</v>
      </c>
      <c r="E2837" s="13" t="s">
        <v>191</v>
      </c>
      <c r="F2837" s="13" t="s">
        <v>1156</v>
      </c>
      <c r="G2837" s="13">
        <v>0.33</v>
      </c>
      <c r="H2837" s="15">
        <v>2754</v>
      </c>
      <c r="I2837" s="16">
        <v>908.82</v>
      </c>
      <c r="J2837" s="16">
        <v>1690.0923694779117</v>
      </c>
      <c r="K2837" s="16">
        <v>-781.27236947791164</v>
      </c>
      <c r="L2837" s="13">
        <v>1.1000000000000001</v>
      </c>
      <c r="M2837" s="13"/>
      <c r="N2837" s="17">
        <f t="shared" si="94"/>
        <v>3029.4</v>
      </c>
      <c r="O2837" s="17">
        <f t="shared" si="94"/>
        <v>0</v>
      </c>
      <c r="P2837" s="17">
        <f t="shared" si="95"/>
        <v>3029.4</v>
      </c>
      <c r="Q2837" t="str">
        <f>A2837&amp;"-"&amp;B2837&amp;"-"&amp;D2837</f>
        <v>JULI-CVA-L9</v>
      </c>
    </row>
    <row r="2838" spans="1:17" x14ac:dyDescent="0.25">
      <c r="A2838" t="s">
        <v>397</v>
      </c>
      <c r="B2838" s="13" t="s">
        <v>24</v>
      </c>
      <c r="C2838" s="13" t="s">
        <v>226</v>
      </c>
      <c r="D2838" s="14" t="s">
        <v>219</v>
      </c>
      <c r="E2838" s="13" t="s">
        <v>61</v>
      </c>
      <c r="F2838" s="13" t="s">
        <v>1050</v>
      </c>
      <c r="G2838" s="13">
        <v>0.68</v>
      </c>
      <c r="H2838" s="15">
        <v>207</v>
      </c>
      <c r="I2838" s="16">
        <v>140.76</v>
      </c>
      <c r="J2838" s="16">
        <v>104.6777477040537</v>
      </c>
      <c r="K2838" s="16">
        <v>36.082252295946304</v>
      </c>
      <c r="L2838" s="13">
        <v>1.82</v>
      </c>
      <c r="M2838" s="13"/>
      <c r="N2838" s="17">
        <f t="shared" si="94"/>
        <v>376.74</v>
      </c>
      <c r="O2838" s="17">
        <f t="shared" si="94"/>
        <v>0</v>
      </c>
      <c r="P2838" s="17">
        <f t="shared" si="95"/>
        <v>376.74</v>
      </c>
      <c r="Q2838" t="str">
        <f>A2838&amp;"-"&amp;B2838&amp;"-"&amp;D2838</f>
        <v>JULI-KLB-L1A</v>
      </c>
    </row>
    <row r="2839" spans="1:17" x14ac:dyDescent="0.25">
      <c r="A2839" t="s">
        <v>397</v>
      </c>
      <c r="B2839" s="13" t="s">
        <v>24</v>
      </c>
      <c r="C2839" s="13" t="s">
        <v>226</v>
      </c>
      <c r="D2839" s="14" t="s">
        <v>219</v>
      </c>
      <c r="E2839" s="13" t="s">
        <v>61</v>
      </c>
      <c r="F2839" s="13" t="s">
        <v>1157</v>
      </c>
      <c r="G2839" s="13">
        <v>0.68</v>
      </c>
      <c r="H2839" s="15">
        <v>1900</v>
      </c>
      <c r="I2839" s="16">
        <v>1292</v>
      </c>
      <c r="J2839" s="16">
        <v>862.11671059629339</v>
      </c>
      <c r="K2839" s="16">
        <v>429.88328940370656</v>
      </c>
      <c r="L2839" s="13">
        <v>1.82</v>
      </c>
      <c r="M2839" s="13"/>
      <c r="N2839" s="17">
        <f t="shared" si="94"/>
        <v>3458</v>
      </c>
      <c r="O2839" s="17">
        <f t="shared" si="94"/>
        <v>0</v>
      </c>
      <c r="P2839" s="17">
        <f t="shared" si="95"/>
        <v>3458</v>
      </c>
      <c r="Q2839" t="str">
        <f>A2839&amp;"-"&amp;B2839&amp;"-"&amp;D2839</f>
        <v>JULI-KLB-L1A</v>
      </c>
    </row>
    <row r="2840" spans="1:17" x14ac:dyDescent="0.25">
      <c r="A2840" t="s">
        <v>397</v>
      </c>
      <c r="B2840" s="13" t="s">
        <v>24</v>
      </c>
      <c r="C2840" s="13" t="s">
        <v>226</v>
      </c>
      <c r="D2840" s="14" t="s">
        <v>219</v>
      </c>
      <c r="E2840" s="13" t="s">
        <v>61</v>
      </c>
      <c r="F2840" s="13" t="s">
        <v>1158</v>
      </c>
      <c r="G2840" s="13">
        <v>0.66</v>
      </c>
      <c r="H2840" s="15">
        <v>445</v>
      </c>
      <c r="I2840" s="16">
        <v>293.7</v>
      </c>
      <c r="J2840" s="16">
        <v>205.84005914427814</v>
      </c>
      <c r="K2840" s="16">
        <v>87.859940855721845</v>
      </c>
      <c r="L2840" s="13">
        <v>1.97</v>
      </c>
      <c r="M2840" s="13"/>
      <c r="N2840" s="17">
        <f t="shared" si="94"/>
        <v>876.65</v>
      </c>
      <c r="O2840" s="17">
        <f t="shared" si="94"/>
        <v>0</v>
      </c>
      <c r="P2840" s="17">
        <f t="shared" si="95"/>
        <v>876.65</v>
      </c>
      <c r="Q2840" t="str">
        <f>A2840&amp;"-"&amp;B2840&amp;"-"&amp;D2840</f>
        <v>JULI-KLB-L1A</v>
      </c>
    </row>
    <row r="2841" spans="1:17" x14ac:dyDescent="0.25">
      <c r="A2841" t="s">
        <v>397</v>
      </c>
      <c r="B2841" s="13" t="s">
        <v>24</v>
      </c>
      <c r="C2841" s="13" t="s">
        <v>226</v>
      </c>
      <c r="D2841" s="14" t="s">
        <v>219</v>
      </c>
      <c r="E2841" s="13" t="s">
        <v>61</v>
      </c>
      <c r="F2841" s="13" t="s">
        <v>1159</v>
      </c>
      <c r="G2841" s="13">
        <v>0.8</v>
      </c>
      <c r="H2841" s="15">
        <v>2491</v>
      </c>
      <c r="I2841" s="16">
        <v>1992.8</v>
      </c>
      <c r="J2841" s="16">
        <v>1322.3362558019599</v>
      </c>
      <c r="K2841" s="16">
        <v>670.46374419804022</v>
      </c>
      <c r="L2841" s="13">
        <v>2.1</v>
      </c>
      <c r="M2841" s="13"/>
      <c r="N2841" s="17">
        <f t="shared" ref="N2841:O2902" si="96">$H2841*L2841</f>
        <v>5231.1000000000004</v>
      </c>
      <c r="O2841" s="17">
        <f t="shared" si="96"/>
        <v>0</v>
      </c>
      <c r="P2841" s="17">
        <f t="shared" si="95"/>
        <v>5231.1000000000004</v>
      </c>
      <c r="Q2841" t="str">
        <f>A2841&amp;"-"&amp;B2841&amp;"-"&amp;D2841</f>
        <v>JULI-KLB-L1A</v>
      </c>
    </row>
    <row r="2842" spans="1:17" x14ac:dyDescent="0.25">
      <c r="A2842" t="s">
        <v>397</v>
      </c>
      <c r="B2842" s="13" t="s">
        <v>24</v>
      </c>
      <c r="C2842" s="13" t="s">
        <v>226</v>
      </c>
      <c r="D2842" s="14" t="s">
        <v>219</v>
      </c>
      <c r="E2842" s="13" t="s">
        <v>61</v>
      </c>
      <c r="F2842" s="13" t="s">
        <v>1053</v>
      </c>
      <c r="G2842" s="13">
        <v>0.68</v>
      </c>
      <c r="H2842" s="15">
        <v>380</v>
      </c>
      <c r="I2842" s="16">
        <v>258.39999999999998</v>
      </c>
      <c r="J2842" s="16">
        <v>184.42643138159127</v>
      </c>
      <c r="K2842" s="16">
        <v>73.973568618408734</v>
      </c>
      <c r="L2842" s="13">
        <v>1.82</v>
      </c>
      <c r="M2842" s="13"/>
      <c r="N2842" s="17">
        <f t="shared" si="96"/>
        <v>691.6</v>
      </c>
      <c r="O2842" s="17">
        <f t="shared" si="96"/>
        <v>0</v>
      </c>
      <c r="P2842" s="17">
        <f t="shared" si="95"/>
        <v>691.6</v>
      </c>
      <c r="Q2842" t="str">
        <f>A2842&amp;"-"&amp;B2842&amp;"-"&amp;D2842</f>
        <v>JULI-KLB-L1A</v>
      </c>
    </row>
    <row r="2843" spans="1:17" x14ac:dyDescent="0.25">
      <c r="A2843" t="s">
        <v>397</v>
      </c>
      <c r="B2843" s="13" t="s">
        <v>24</v>
      </c>
      <c r="C2843" s="13" t="s">
        <v>226</v>
      </c>
      <c r="D2843" s="14" t="s">
        <v>219</v>
      </c>
      <c r="E2843" s="13" t="s">
        <v>61</v>
      </c>
      <c r="F2843" s="13" t="s">
        <v>1055</v>
      </c>
      <c r="G2843" s="13">
        <v>0.68</v>
      </c>
      <c r="H2843" s="15">
        <v>131</v>
      </c>
      <c r="I2843" s="16">
        <v>89.08</v>
      </c>
      <c r="J2843" s="16">
        <v>69.001482901240792</v>
      </c>
      <c r="K2843" s="16">
        <v>20.078517098759203</v>
      </c>
      <c r="L2843" s="13">
        <v>1.82</v>
      </c>
      <c r="M2843" s="13"/>
      <c r="N2843" s="17">
        <f t="shared" si="96"/>
        <v>238.42000000000002</v>
      </c>
      <c r="O2843" s="17">
        <f t="shared" si="96"/>
        <v>0</v>
      </c>
      <c r="P2843" s="17">
        <f t="shared" si="95"/>
        <v>238.42000000000002</v>
      </c>
      <c r="Q2843" t="str">
        <f>A2843&amp;"-"&amp;B2843&amp;"-"&amp;D2843</f>
        <v>JULI-KLB-L1A</v>
      </c>
    </row>
    <row r="2844" spans="1:17" x14ac:dyDescent="0.25">
      <c r="A2844" t="s">
        <v>397</v>
      </c>
      <c r="B2844" s="13" t="s">
        <v>24</v>
      </c>
      <c r="C2844" s="13" t="s">
        <v>226</v>
      </c>
      <c r="D2844" s="14" t="s">
        <v>219</v>
      </c>
      <c r="E2844" s="13" t="s">
        <v>61</v>
      </c>
      <c r="F2844" s="13" t="s">
        <v>1160</v>
      </c>
      <c r="G2844" s="13">
        <v>0.72000000000000008</v>
      </c>
      <c r="H2844" s="15">
        <v>2350</v>
      </c>
      <c r="I2844" s="16">
        <v>1692</v>
      </c>
      <c r="J2844" s="16">
        <v>1349.7043617767763</v>
      </c>
      <c r="K2844" s="16">
        <v>342.29563822322348</v>
      </c>
      <c r="L2844" s="13">
        <v>1.36</v>
      </c>
      <c r="M2844" s="13"/>
      <c r="N2844" s="17">
        <f t="shared" si="96"/>
        <v>3196.0000000000005</v>
      </c>
      <c r="O2844" s="17">
        <f t="shared" si="96"/>
        <v>0</v>
      </c>
      <c r="P2844" s="17">
        <f t="shared" si="95"/>
        <v>3196.0000000000005</v>
      </c>
      <c r="Q2844" t="str">
        <f>A2844&amp;"-"&amp;B2844&amp;"-"&amp;D2844</f>
        <v>JULI-KLB-L1A</v>
      </c>
    </row>
    <row r="2845" spans="1:17" x14ac:dyDescent="0.25">
      <c r="A2845" t="s">
        <v>397</v>
      </c>
      <c r="B2845" s="13" t="s">
        <v>24</v>
      </c>
      <c r="C2845" s="13" t="s">
        <v>226</v>
      </c>
      <c r="D2845" s="14" t="s">
        <v>219</v>
      </c>
      <c r="E2845" s="13" t="s">
        <v>61</v>
      </c>
      <c r="F2845" s="13" t="s">
        <v>1161</v>
      </c>
      <c r="G2845" s="13">
        <v>0.7</v>
      </c>
      <c r="H2845" s="15">
        <v>3535</v>
      </c>
      <c r="I2845" s="16">
        <v>2474.5</v>
      </c>
      <c r="J2845" s="16">
        <v>1689.502153825214</v>
      </c>
      <c r="K2845" s="16">
        <v>784.99784617478599</v>
      </c>
      <c r="L2845" s="13">
        <v>1.3</v>
      </c>
      <c r="M2845" s="13"/>
      <c r="N2845" s="17">
        <f t="shared" si="96"/>
        <v>4595.5</v>
      </c>
      <c r="O2845" s="17">
        <f t="shared" si="96"/>
        <v>0</v>
      </c>
      <c r="P2845" s="17">
        <f t="shared" si="95"/>
        <v>4595.5</v>
      </c>
      <c r="Q2845" t="str">
        <f>A2845&amp;"-"&amp;B2845&amp;"-"&amp;D2845</f>
        <v>JULI-KLB-L1A</v>
      </c>
    </row>
    <row r="2846" spans="1:17" x14ac:dyDescent="0.25">
      <c r="A2846" t="s">
        <v>397</v>
      </c>
      <c r="B2846" s="13" t="s">
        <v>24</v>
      </c>
      <c r="C2846" s="13" t="s">
        <v>226</v>
      </c>
      <c r="D2846" s="14" t="s">
        <v>219</v>
      </c>
      <c r="E2846" s="13" t="s">
        <v>61</v>
      </c>
      <c r="F2846" s="13" t="s">
        <v>1162</v>
      </c>
      <c r="G2846" s="13">
        <v>0.72</v>
      </c>
      <c r="H2846" s="15">
        <v>400</v>
      </c>
      <c r="I2846" s="16">
        <v>288</v>
      </c>
      <c r="J2846" s="16">
        <v>213.80690579953068</v>
      </c>
      <c r="K2846" s="16">
        <v>74.193094200469332</v>
      </c>
      <c r="L2846" s="13">
        <v>1.36</v>
      </c>
      <c r="M2846" s="13"/>
      <c r="N2846" s="17">
        <f t="shared" si="96"/>
        <v>544</v>
      </c>
      <c r="O2846" s="17">
        <f t="shared" si="96"/>
        <v>0</v>
      </c>
      <c r="P2846" s="17">
        <f t="shared" si="95"/>
        <v>544</v>
      </c>
      <c r="Q2846" t="str">
        <f>A2846&amp;"-"&amp;B2846&amp;"-"&amp;D2846</f>
        <v>JULI-KLB-L1A</v>
      </c>
    </row>
    <row r="2847" spans="1:17" x14ac:dyDescent="0.25">
      <c r="A2847" t="s">
        <v>397</v>
      </c>
      <c r="B2847" s="13" t="s">
        <v>24</v>
      </c>
      <c r="C2847" s="13" t="s">
        <v>226</v>
      </c>
      <c r="D2847" s="14" t="s">
        <v>219</v>
      </c>
      <c r="E2847" s="13" t="s">
        <v>61</v>
      </c>
      <c r="F2847" s="13" t="s">
        <v>1163</v>
      </c>
      <c r="G2847" s="13">
        <v>0.68</v>
      </c>
      <c r="H2847" s="15">
        <v>1430</v>
      </c>
      <c r="I2847" s="16">
        <v>972.4</v>
      </c>
      <c r="J2847" s="16">
        <v>612.99698311399413</v>
      </c>
      <c r="K2847" s="16">
        <v>359.40301688600584</v>
      </c>
      <c r="L2847" s="13">
        <v>1.83</v>
      </c>
      <c r="M2847" s="13"/>
      <c r="N2847" s="17">
        <f t="shared" si="96"/>
        <v>2616.9</v>
      </c>
      <c r="O2847" s="17">
        <f t="shared" si="96"/>
        <v>0</v>
      </c>
      <c r="P2847" s="17">
        <f t="shared" si="95"/>
        <v>2616.9</v>
      </c>
      <c r="Q2847" t="str">
        <f>A2847&amp;"-"&amp;B2847&amp;"-"&amp;D2847</f>
        <v>JULI-KLB-L1A</v>
      </c>
    </row>
    <row r="2848" spans="1:17" x14ac:dyDescent="0.25">
      <c r="A2848" t="s">
        <v>397</v>
      </c>
      <c r="B2848" s="13" t="s">
        <v>24</v>
      </c>
      <c r="C2848" s="13" t="s">
        <v>226</v>
      </c>
      <c r="D2848" s="14" t="s">
        <v>219</v>
      </c>
      <c r="E2848" s="13" t="s">
        <v>61</v>
      </c>
      <c r="F2848" s="13" t="s">
        <v>1164</v>
      </c>
      <c r="G2848" s="13">
        <v>0.68</v>
      </c>
      <c r="H2848" s="15">
        <v>2325</v>
      </c>
      <c r="I2848" s="16">
        <v>1581</v>
      </c>
      <c r="J2848" s="16">
        <v>988.73639834552966</v>
      </c>
      <c r="K2848" s="16">
        <v>592.26360165447022</v>
      </c>
      <c r="L2848" s="13">
        <v>1.83</v>
      </c>
      <c r="M2848" s="13"/>
      <c r="N2848" s="17">
        <f t="shared" si="96"/>
        <v>4254.75</v>
      </c>
      <c r="O2848" s="17">
        <f t="shared" si="96"/>
        <v>0</v>
      </c>
      <c r="P2848" s="17">
        <f t="shared" si="95"/>
        <v>4254.75</v>
      </c>
      <c r="Q2848" t="str">
        <f>A2848&amp;"-"&amp;B2848&amp;"-"&amp;D2848</f>
        <v>JULI-KLB-L1A</v>
      </c>
    </row>
    <row r="2849" spans="1:17" x14ac:dyDescent="0.25">
      <c r="A2849" t="s">
        <v>397</v>
      </c>
      <c r="B2849" s="13" t="s">
        <v>24</v>
      </c>
      <c r="C2849" s="13" t="s">
        <v>226</v>
      </c>
      <c r="D2849" s="14" t="s">
        <v>219</v>
      </c>
      <c r="E2849" s="13" t="s">
        <v>61</v>
      </c>
      <c r="F2849" s="13" t="s">
        <v>1165</v>
      </c>
      <c r="G2849" s="13">
        <v>0.65</v>
      </c>
      <c r="H2849" s="15">
        <v>5603</v>
      </c>
      <c r="I2849" s="16">
        <v>3641.95</v>
      </c>
      <c r="J2849" s="16">
        <v>2299.390496071112</v>
      </c>
      <c r="K2849" s="16">
        <v>1342.559503928888</v>
      </c>
      <c r="L2849" s="13">
        <v>1.66</v>
      </c>
      <c r="M2849" s="13"/>
      <c r="N2849" s="17">
        <f t="shared" si="96"/>
        <v>9300.98</v>
      </c>
      <c r="O2849" s="17">
        <f t="shared" si="96"/>
        <v>0</v>
      </c>
      <c r="P2849" s="17">
        <f t="shared" si="95"/>
        <v>9300.98</v>
      </c>
      <c r="Q2849" t="str">
        <f>A2849&amp;"-"&amp;B2849&amp;"-"&amp;D2849</f>
        <v>JULI-KLB-L1A</v>
      </c>
    </row>
    <row r="2850" spans="1:17" x14ac:dyDescent="0.25">
      <c r="A2850" t="s">
        <v>397</v>
      </c>
      <c r="B2850" s="13" t="s">
        <v>24</v>
      </c>
      <c r="C2850" s="13" t="s">
        <v>226</v>
      </c>
      <c r="D2850" s="14" t="s">
        <v>219</v>
      </c>
      <c r="E2850" s="13" t="s">
        <v>61</v>
      </c>
      <c r="F2850" s="13" t="s">
        <v>876</v>
      </c>
      <c r="G2850" s="13">
        <v>0.65</v>
      </c>
      <c r="H2850" s="15">
        <v>8817</v>
      </c>
      <c r="I2850" s="16">
        <v>5731.05</v>
      </c>
      <c r="J2850" s="16">
        <v>3844.1455508156587</v>
      </c>
      <c r="K2850" s="16">
        <v>1886.9044491843408</v>
      </c>
      <c r="L2850" s="13">
        <v>1.64</v>
      </c>
      <c r="M2850" s="13"/>
      <c r="N2850" s="17">
        <f t="shared" si="96"/>
        <v>14459.88</v>
      </c>
      <c r="O2850" s="17">
        <f t="shared" si="96"/>
        <v>0</v>
      </c>
      <c r="P2850" s="17">
        <f t="shared" si="95"/>
        <v>14459.88</v>
      </c>
      <c r="Q2850" t="str">
        <f>A2850&amp;"-"&amp;B2850&amp;"-"&amp;D2850</f>
        <v>JULI-KLB-L1A</v>
      </c>
    </row>
    <row r="2851" spans="1:17" x14ac:dyDescent="0.25">
      <c r="A2851" t="s">
        <v>397</v>
      </c>
      <c r="B2851" s="13" t="s">
        <v>24</v>
      </c>
      <c r="C2851" s="13" t="s">
        <v>226</v>
      </c>
      <c r="D2851" s="14" t="s">
        <v>219</v>
      </c>
      <c r="E2851" s="13" t="s">
        <v>61</v>
      </c>
      <c r="F2851" s="13" t="s">
        <v>1166</v>
      </c>
      <c r="G2851" s="13">
        <v>0.65</v>
      </c>
      <c r="H2851" s="15">
        <v>4682</v>
      </c>
      <c r="I2851" s="16">
        <v>3043.3</v>
      </c>
      <c r="J2851" s="16">
        <v>2064.1584034807238</v>
      </c>
      <c r="K2851" s="16">
        <v>979.14159651927616</v>
      </c>
      <c r="L2851" s="13">
        <v>1.66</v>
      </c>
      <c r="M2851" s="13"/>
      <c r="N2851" s="17">
        <f t="shared" si="96"/>
        <v>7772.12</v>
      </c>
      <c r="O2851" s="17">
        <f t="shared" si="96"/>
        <v>0</v>
      </c>
      <c r="P2851" s="17">
        <f t="shared" si="95"/>
        <v>7772.12</v>
      </c>
      <c r="Q2851" t="str">
        <f>A2851&amp;"-"&amp;B2851&amp;"-"&amp;D2851</f>
        <v>JULI-KLB-L1A</v>
      </c>
    </row>
    <row r="2852" spans="1:17" x14ac:dyDescent="0.25">
      <c r="A2852" t="s">
        <v>397</v>
      </c>
      <c r="B2852" s="13" t="s">
        <v>24</v>
      </c>
      <c r="C2852" s="13" t="s">
        <v>226</v>
      </c>
      <c r="D2852" s="14" t="s">
        <v>219</v>
      </c>
      <c r="E2852" s="13" t="s">
        <v>61</v>
      </c>
      <c r="F2852" s="13" t="s">
        <v>1167</v>
      </c>
      <c r="G2852" s="13">
        <v>0.65</v>
      </c>
      <c r="H2852" s="15">
        <v>6172</v>
      </c>
      <c r="I2852" s="16">
        <v>4011.7999999999997</v>
      </c>
      <c r="J2852" s="16">
        <v>2569.1600592420432</v>
      </c>
      <c r="K2852" s="16">
        <v>1442.639940757957</v>
      </c>
      <c r="L2852" s="13">
        <v>1.66</v>
      </c>
      <c r="M2852" s="13"/>
      <c r="N2852" s="17">
        <f t="shared" si="96"/>
        <v>10245.519999999999</v>
      </c>
      <c r="O2852" s="17">
        <f t="shared" si="96"/>
        <v>0</v>
      </c>
      <c r="P2852" s="17">
        <f t="shared" si="95"/>
        <v>10245.519999999999</v>
      </c>
      <c r="Q2852" t="str">
        <f>A2852&amp;"-"&amp;B2852&amp;"-"&amp;D2852</f>
        <v>JULI-KLB-L1A</v>
      </c>
    </row>
    <row r="2853" spans="1:17" x14ac:dyDescent="0.25">
      <c r="A2853" t="s">
        <v>397</v>
      </c>
      <c r="B2853" s="13" t="s">
        <v>24</v>
      </c>
      <c r="C2853" s="13" t="s">
        <v>226</v>
      </c>
      <c r="D2853" s="14" t="s">
        <v>221</v>
      </c>
      <c r="E2853" s="13" t="s">
        <v>61</v>
      </c>
      <c r="F2853" s="13" t="s">
        <v>1050</v>
      </c>
      <c r="G2853" s="13">
        <v>0.68</v>
      </c>
      <c r="H2853" s="15">
        <v>895</v>
      </c>
      <c r="I2853" s="16">
        <v>608.6</v>
      </c>
      <c r="J2853" s="16">
        <v>395.75397619755228</v>
      </c>
      <c r="K2853" s="16">
        <v>212.8460238024478</v>
      </c>
      <c r="L2853" s="13">
        <v>1.82</v>
      </c>
      <c r="M2853" s="13"/>
      <c r="N2853" s="17">
        <f t="shared" si="96"/>
        <v>1628.9</v>
      </c>
      <c r="O2853" s="17">
        <f t="shared" si="96"/>
        <v>0</v>
      </c>
      <c r="P2853" s="17">
        <f t="shared" si="95"/>
        <v>1628.9</v>
      </c>
      <c r="Q2853" t="str">
        <f>A2853&amp;"-"&amp;B2853&amp;"-"&amp;D2853</f>
        <v>JULI-KLB-L1B</v>
      </c>
    </row>
    <row r="2854" spans="1:17" x14ac:dyDescent="0.25">
      <c r="A2854" t="s">
        <v>397</v>
      </c>
      <c r="B2854" s="13" t="s">
        <v>24</v>
      </c>
      <c r="C2854" s="13" t="s">
        <v>226</v>
      </c>
      <c r="D2854" s="14" t="s">
        <v>221</v>
      </c>
      <c r="E2854" s="13" t="s">
        <v>61</v>
      </c>
      <c r="F2854" s="13" t="s">
        <v>1157</v>
      </c>
      <c r="G2854" s="13">
        <v>0.68</v>
      </c>
      <c r="H2854" s="15">
        <v>2734</v>
      </c>
      <c r="I2854" s="16">
        <v>1859.1200000000001</v>
      </c>
      <c r="J2854" s="16">
        <v>1121.2247694057717</v>
      </c>
      <c r="K2854" s="16">
        <v>737.89523059422845</v>
      </c>
      <c r="L2854" s="13">
        <v>1.82</v>
      </c>
      <c r="M2854" s="13"/>
      <c r="N2854" s="17">
        <f t="shared" si="96"/>
        <v>4975.88</v>
      </c>
      <c r="O2854" s="17">
        <f t="shared" si="96"/>
        <v>0</v>
      </c>
      <c r="P2854" s="17">
        <f t="shared" si="95"/>
        <v>4975.88</v>
      </c>
      <c r="Q2854" t="str">
        <f>A2854&amp;"-"&amp;B2854&amp;"-"&amp;D2854</f>
        <v>JULI-KLB-L1B</v>
      </c>
    </row>
    <row r="2855" spans="1:17" x14ac:dyDescent="0.25">
      <c r="A2855" t="s">
        <v>397</v>
      </c>
      <c r="B2855" s="13" t="s">
        <v>24</v>
      </c>
      <c r="C2855" s="13" t="s">
        <v>226</v>
      </c>
      <c r="D2855" s="14" t="s">
        <v>221</v>
      </c>
      <c r="E2855" s="13" t="s">
        <v>61</v>
      </c>
      <c r="F2855" s="13" t="s">
        <v>1158</v>
      </c>
      <c r="G2855" s="13">
        <v>0.66</v>
      </c>
      <c r="H2855" s="15">
        <v>338</v>
      </c>
      <c r="I2855" s="16">
        <v>223.07999999999998</v>
      </c>
      <c r="J2855" s="16">
        <v>133.20662244408246</v>
      </c>
      <c r="K2855" s="16">
        <v>89.873377555917557</v>
      </c>
      <c r="L2855" s="13">
        <v>1.97</v>
      </c>
      <c r="M2855" s="13"/>
      <c r="N2855" s="17">
        <f t="shared" si="96"/>
        <v>665.86</v>
      </c>
      <c r="O2855" s="17">
        <f t="shared" si="96"/>
        <v>0</v>
      </c>
      <c r="P2855" s="17">
        <f t="shared" si="95"/>
        <v>665.86</v>
      </c>
      <c r="Q2855" t="str">
        <f>A2855&amp;"-"&amp;B2855&amp;"-"&amp;D2855</f>
        <v>JULI-KLB-L1B</v>
      </c>
    </row>
    <row r="2856" spans="1:17" x14ac:dyDescent="0.25">
      <c r="A2856" t="s">
        <v>397</v>
      </c>
      <c r="B2856" s="13" t="s">
        <v>24</v>
      </c>
      <c r="C2856" s="13" t="s">
        <v>226</v>
      </c>
      <c r="D2856" s="14" t="s">
        <v>221</v>
      </c>
      <c r="E2856" s="13" t="s">
        <v>61</v>
      </c>
      <c r="F2856" s="13" t="s">
        <v>1159</v>
      </c>
      <c r="G2856" s="13">
        <v>0.8</v>
      </c>
      <c r="H2856" s="15">
        <v>3769</v>
      </c>
      <c r="I2856" s="16">
        <v>3015.2</v>
      </c>
      <c r="J2856" s="16">
        <v>1838</v>
      </c>
      <c r="K2856" s="16">
        <v>1177.2</v>
      </c>
      <c r="L2856" s="13">
        <v>2.1</v>
      </c>
      <c r="M2856" s="13"/>
      <c r="N2856" s="17">
        <f t="shared" si="96"/>
        <v>7914.9000000000005</v>
      </c>
      <c r="O2856" s="17">
        <f t="shared" si="96"/>
        <v>0</v>
      </c>
      <c r="P2856" s="17">
        <f t="shared" si="95"/>
        <v>7914.9000000000005</v>
      </c>
      <c r="Q2856" t="str">
        <f>A2856&amp;"-"&amp;B2856&amp;"-"&amp;D2856</f>
        <v>JULI-KLB-L1B</v>
      </c>
    </row>
    <row r="2857" spans="1:17" x14ac:dyDescent="0.25">
      <c r="A2857" t="s">
        <v>397</v>
      </c>
      <c r="B2857" s="13" t="s">
        <v>24</v>
      </c>
      <c r="C2857" s="13" t="s">
        <v>226</v>
      </c>
      <c r="D2857" s="14" t="s">
        <v>221</v>
      </c>
      <c r="E2857" s="13" t="s">
        <v>61</v>
      </c>
      <c r="F2857" s="13" t="s">
        <v>1053</v>
      </c>
      <c r="G2857" s="13">
        <v>0.68</v>
      </c>
      <c r="H2857" s="15">
        <v>95</v>
      </c>
      <c r="I2857" s="16">
        <v>64.600000000000009</v>
      </c>
      <c r="J2857" s="16">
        <v>41.493512450851902</v>
      </c>
      <c r="K2857" s="16">
        <v>23.106487549148103</v>
      </c>
      <c r="L2857" s="13">
        <v>1.82</v>
      </c>
      <c r="M2857" s="13"/>
      <c r="N2857" s="17">
        <f t="shared" si="96"/>
        <v>172.9</v>
      </c>
      <c r="O2857" s="17">
        <f t="shared" si="96"/>
        <v>0</v>
      </c>
      <c r="P2857" s="17">
        <f t="shared" si="95"/>
        <v>172.9</v>
      </c>
      <c r="Q2857" t="str">
        <f>A2857&amp;"-"&amp;B2857&amp;"-"&amp;D2857</f>
        <v>JULI-KLB-L1B</v>
      </c>
    </row>
    <row r="2858" spans="1:17" x14ac:dyDescent="0.25">
      <c r="A2858" t="s">
        <v>397</v>
      </c>
      <c r="B2858" s="13" t="s">
        <v>24</v>
      </c>
      <c r="C2858" s="13" t="s">
        <v>226</v>
      </c>
      <c r="D2858" s="14" t="s">
        <v>221</v>
      </c>
      <c r="E2858" s="13" t="s">
        <v>61</v>
      </c>
      <c r="F2858" s="13" t="s">
        <v>1055</v>
      </c>
      <c r="G2858" s="13">
        <v>0.68</v>
      </c>
      <c r="H2858" s="15">
        <v>22</v>
      </c>
      <c r="I2858" s="16">
        <v>14.96</v>
      </c>
      <c r="J2858" s="16">
        <v>10.557702349869452</v>
      </c>
      <c r="K2858" s="16">
        <v>4.4022976501305493</v>
      </c>
      <c r="L2858" s="13">
        <v>1.82</v>
      </c>
      <c r="M2858" s="13"/>
      <c r="N2858" s="17">
        <f t="shared" si="96"/>
        <v>40.04</v>
      </c>
      <c r="O2858" s="17">
        <f t="shared" si="96"/>
        <v>0</v>
      </c>
      <c r="P2858" s="17">
        <f t="shared" si="95"/>
        <v>40.04</v>
      </c>
      <c r="Q2858" t="str">
        <f>A2858&amp;"-"&amp;B2858&amp;"-"&amp;D2858</f>
        <v>JULI-KLB-L1B</v>
      </c>
    </row>
    <row r="2859" spans="1:17" x14ac:dyDescent="0.25">
      <c r="A2859" t="s">
        <v>397</v>
      </c>
      <c r="B2859" s="13" t="s">
        <v>24</v>
      </c>
      <c r="C2859" s="13" t="s">
        <v>226</v>
      </c>
      <c r="D2859" s="14" t="s">
        <v>221</v>
      </c>
      <c r="E2859" s="13" t="s">
        <v>61</v>
      </c>
      <c r="F2859" s="13" t="s">
        <v>1160</v>
      </c>
      <c r="G2859" s="13">
        <v>0.72</v>
      </c>
      <c r="H2859" s="15">
        <v>1693</v>
      </c>
      <c r="I2859" s="16">
        <v>1218.96</v>
      </c>
      <c r="J2859" s="16">
        <v>1090.9136117262972</v>
      </c>
      <c r="K2859" s="16">
        <v>128.04638827370269</v>
      </c>
      <c r="L2859" s="13">
        <v>1.36</v>
      </c>
      <c r="M2859" s="13"/>
      <c r="N2859" s="17">
        <f t="shared" si="96"/>
        <v>2302.48</v>
      </c>
      <c r="O2859" s="17">
        <f t="shared" si="96"/>
        <v>0</v>
      </c>
      <c r="P2859" s="17">
        <f t="shared" si="95"/>
        <v>2302.48</v>
      </c>
      <c r="Q2859" t="str">
        <f>A2859&amp;"-"&amp;B2859&amp;"-"&amp;D2859</f>
        <v>JULI-KLB-L1B</v>
      </c>
    </row>
    <row r="2860" spans="1:17" x14ac:dyDescent="0.25">
      <c r="A2860" t="s">
        <v>397</v>
      </c>
      <c r="B2860" s="13" t="s">
        <v>24</v>
      </c>
      <c r="C2860" s="13" t="s">
        <v>226</v>
      </c>
      <c r="D2860" s="14" t="s">
        <v>221</v>
      </c>
      <c r="E2860" s="13" t="s">
        <v>61</v>
      </c>
      <c r="F2860" s="13" t="s">
        <v>1161</v>
      </c>
      <c r="G2860" s="13">
        <v>0.7</v>
      </c>
      <c r="H2860" s="15">
        <v>4945</v>
      </c>
      <c r="I2860" s="16">
        <v>3461.5</v>
      </c>
      <c r="J2860" s="16">
        <v>2023.5078014240189</v>
      </c>
      <c r="K2860" s="16">
        <v>1437.9921985759811</v>
      </c>
      <c r="L2860" s="13">
        <v>1.3</v>
      </c>
      <c r="M2860" s="13"/>
      <c r="N2860" s="17">
        <f t="shared" si="96"/>
        <v>6428.5</v>
      </c>
      <c r="O2860" s="17">
        <f t="shared" si="96"/>
        <v>0</v>
      </c>
      <c r="P2860" s="17">
        <f t="shared" si="95"/>
        <v>6428.5</v>
      </c>
      <c r="Q2860" t="str">
        <f>A2860&amp;"-"&amp;B2860&amp;"-"&amp;D2860</f>
        <v>JULI-KLB-L1B</v>
      </c>
    </row>
    <row r="2861" spans="1:17" x14ac:dyDescent="0.25">
      <c r="A2861" t="s">
        <v>397</v>
      </c>
      <c r="B2861" s="13" t="s">
        <v>24</v>
      </c>
      <c r="C2861" s="13" t="s">
        <v>226</v>
      </c>
      <c r="D2861" s="14" t="s">
        <v>221</v>
      </c>
      <c r="E2861" s="13" t="s">
        <v>61</v>
      </c>
      <c r="F2861" s="13" t="s">
        <v>1162</v>
      </c>
      <c r="G2861" s="13">
        <v>0.72</v>
      </c>
      <c r="H2861" s="15">
        <v>1435</v>
      </c>
      <c r="I2861" s="16">
        <v>1033.2</v>
      </c>
      <c r="J2861" s="16">
        <v>811.06070603761134</v>
      </c>
      <c r="K2861" s="16">
        <v>222.13929396238873</v>
      </c>
      <c r="L2861" s="13">
        <v>1.36</v>
      </c>
      <c r="M2861" s="13"/>
      <c r="N2861" s="17">
        <f t="shared" si="96"/>
        <v>1951.6000000000001</v>
      </c>
      <c r="O2861" s="17">
        <f t="shared" si="96"/>
        <v>0</v>
      </c>
      <c r="P2861" s="17">
        <f t="shared" si="95"/>
        <v>1951.6000000000001</v>
      </c>
      <c r="Q2861" t="str">
        <f>A2861&amp;"-"&amp;B2861&amp;"-"&amp;D2861</f>
        <v>JULI-KLB-L1B</v>
      </c>
    </row>
    <row r="2862" spans="1:17" x14ac:dyDescent="0.25">
      <c r="A2862" t="s">
        <v>397</v>
      </c>
      <c r="B2862" s="13" t="s">
        <v>24</v>
      </c>
      <c r="C2862" s="13" t="s">
        <v>226</v>
      </c>
      <c r="D2862" s="14" t="s">
        <v>221</v>
      </c>
      <c r="E2862" s="13" t="s">
        <v>61</v>
      </c>
      <c r="F2862" s="13" t="s">
        <v>1163</v>
      </c>
      <c r="G2862" s="13">
        <v>0.68</v>
      </c>
      <c r="H2862" s="15">
        <v>2865</v>
      </c>
      <c r="I2862" s="16">
        <v>1948.2</v>
      </c>
      <c r="J2862" s="16">
        <v>1263.8841842612978</v>
      </c>
      <c r="K2862" s="16">
        <v>684.31581573870221</v>
      </c>
      <c r="L2862" s="13">
        <v>1.83</v>
      </c>
      <c r="M2862" s="13"/>
      <c r="N2862" s="17">
        <f t="shared" si="96"/>
        <v>5242.95</v>
      </c>
      <c r="O2862" s="17">
        <f t="shared" si="96"/>
        <v>0</v>
      </c>
      <c r="P2862" s="17">
        <f t="shared" si="95"/>
        <v>5242.95</v>
      </c>
      <c r="Q2862" t="str">
        <f>A2862&amp;"-"&amp;B2862&amp;"-"&amp;D2862</f>
        <v>JULI-KLB-L1B</v>
      </c>
    </row>
    <row r="2863" spans="1:17" x14ac:dyDescent="0.25">
      <c r="A2863" t="s">
        <v>397</v>
      </c>
      <c r="B2863" s="13" t="s">
        <v>24</v>
      </c>
      <c r="C2863" s="13" t="s">
        <v>226</v>
      </c>
      <c r="D2863" s="14" t="s">
        <v>221</v>
      </c>
      <c r="E2863" s="13" t="s">
        <v>61</v>
      </c>
      <c r="F2863" s="13" t="s">
        <v>1164</v>
      </c>
      <c r="G2863" s="13">
        <v>0.68</v>
      </c>
      <c r="H2863" s="15">
        <v>2400</v>
      </c>
      <c r="I2863" s="16">
        <v>1632</v>
      </c>
      <c r="J2863" s="16">
        <v>988.55349523207678</v>
      </c>
      <c r="K2863" s="16">
        <v>643.44650476792322</v>
      </c>
      <c r="L2863" s="13">
        <v>1.83</v>
      </c>
      <c r="M2863" s="13"/>
      <c r="N2863" s="17">
        <f t="shared" si="96"/>
        <v>4392</v>
      </c>
      <c r="O2863" s="17">
        <f t="shared" si="96"/>
        <v>0</v>
      </c>
      <c r="P2863" s="17">
        <f t="shared" si="95"/>
        <v>4392</v>
      </c>
      <c r="Q2863" t="str">
        <f>A2863&amp;"-"&amp;B2863&amp;"-"&amp;D2863</f>
        <v>JULI-KLB-L1B</v>
      </c>
    </row>
    <row r="2864" spans="1:17" x14ac:dyDescent="0.25">
      <c r="A2864" t="s">
        <v>397</v>
      </c>
      <c r="B2864" s="13" t="s">
        <v>24</v>
      </c>
      <c r="C2864" s="13" t="s">
        <v>226</v>
      </c>
      <c r="D2864" s="14" t="s">
        <v>221</v>
      </c>
      <c r="E2864" s="13" t="s">
        <v>61</v>
      </c>
      <c r="F2864" s="13" t="s">
        <v>1165</v>
      </c>
      <c r="G2864" s="13">
        <v>0.65</v>
      </c>
      <c r="H2864" s="15">
        <v>4985</v>
      </c>
      <c r="I2864" s="16">
        <v>3240.25</v>
      </c>
      <c r="J2864" s="16">
        <v>1838</v>
      </c>
      <c r="K2864" s="16">
        <v>1402.25</v>
      </c>
      <c r="L2864" s="13">
        <v>1.66</v>
      </c>
      <c r="M2864" s="13"/>
      <c r="N2864" s="17">
        <f t="shared" si="96"/>
        <v>8275.1</v>
      </c>
      <c r="O2864" s="17">
        <f t="shared" si="96"/>
        <v>0</v>
      </c>
      <c r="P2864" s="17">
        <f t="shared" si="95"/>
        <v>8275.1</v>
      </c>
      <c r="Q2864" t="str">
        <f>A2864&amp;"-"&amp;B2864&amp;"-"&amp;D2864</f>
        <v>JULI-KLB-L1B</v>
      </c>
    </row>
    <row r="2865" spans="1:17" x14ac:dyDescent="0.25">
      <c r="A2865" t="s">
        <v>397</v>
      </c>
      <c r="B2865" s="13" t="s">
        <v>24</v>
      </c>
      <c r="C2865" s="13" t="s">
        <v>226</v>
      </c>
      <c r="D2865" s="14" t="s">
        <v>221</v>
      </c>
      <c r="E2865" s="13" t="s">
        <v>61</v>
      </c>
      <c r="F2865" s="13" t="s">
        <v>876</v>
      </c>
      <c r="G2865" s="13">
        <v>0.65</v>
      </c>
      <c r="H2865" s="15">
        <v>8613</v>
      </c>
      <c r="I2865" s="16">
        <v>5598.45</v>
      </c>
      <c r="J2865" s="16">
        <v>3434.8002090103018</v>
      </c>
      <c r="K2865" s="16">
        <v>2163.649790989698</v>
      </c>
      <c r="L2865" s="13">
        <v>1.64</v>
      </c>
      <c r="M2865" s="13"/>
      <c r="N2865" s="17">
        <f t="shared" si="96"/>
        <v>14125.32</v>
      </c>
      <c r="O2865" s="17">
        <f t="shared" si="96"/>
        <v>0</v>
      </c>
      <c r="P2865" s="17">
        <f t="shared" si="95"/>
        <v>14125.32</v>
      </c>
      <c r="Q2865" t="str">
        <f>A2865&amp;"-"&amp;B2865&amp;"-"&amp;D2865</f>
        <v>JULI-KLB-L1B</v>
      </c>
    </row>
    <row r="2866" spans="1:17" x14ac:dyDescent="0.25">
      <c r="A2866" t="s">
        <v>397</v>
      </c>
      <c r="B2866" s="13" t="s">
        <v>24</v>
      </c>
      <c r="C2866" s="13" t="s">
        <v>226</v>
      </c>
      <c r="D2866" s="14" t="s">
        <v>221</v>
      </c>
      <c r="E2866" s="13" t="s">
        <v>61</v>
      </c>
      <c r="F2866" s="13" t="s">
        <v>1166</v>
      </c>
      <c r="G2866" s="13">
        <v>0.65</v>
      </c>
      <c r="H2866" s="15">
        <v>5730</v>
      </c>
      <c r="I2866" s="16">
        <v>3724.5</v>
      </c>
      <c r="J2866" s="16">
        <v>2480.4870687489547</v>
      </c>
      <c r="K2866" s="16">
        <v>1244.0129312510453</v>
      </c>
      <c r="L2866" s="13">
        <v>1.66</v>
      </c>
      <c r="M2866" s="13"/>
      <c r="N2866" s="17">
        <f t="shared" si="96"/>
        <v>9511.7999999999993</v>
      </c>
      <c r="O2866" s="17">
        <f t="shared" si="96"/>
        <v>0</v>
      </c>
      <c r="P2866" s="17">
        <f t="shared" si="95"/>
        <v>9511.7999999999993</v>
      </c>
      <c r="Q2866" t="str">
        <f>A2866&amp;"-"&amp;B2866&amp;"-"&amp;D2866</f>
        <v>JULI-KLB-L1B</v>
      </c>
    </row>
    <row r="2867" spans="1:17" x14ac:dyDescent="0.25">
      <c r="A2867" t="s">
        <v>397</v>
      </c>
      <c r="B2867" s="13" t="s">
        <v>24</v>
      </c>
      <c r="C2867" s="13" t="s">
        <v>226</v>
      </c>
      <c r="D2867" s="14" t="s">
        <v>221</v>
      </c>
      <c r="E2867" s="13" t="s">
        <v>61</v>
      </c>
      <c r="F2867" s="13" t="s">
        <v>1167</v>
      </c>
      <c r="G2867" s="13">
        <v>0.65</v>
      </c>
      <c r="H2867" s="15">
        <v>4415</v>
      </c>
      <c r="I2867" s="16">
        <v>2869.75</v>
      </c>
      <c r="J2867" s="16">
        <v>1827.5563407113139</v>
      </c>
      <c r="K2867" s="16">
        <v>1042.1936592886861</v>
      </c>
      <c r="L2867" s="13">
        <v>1.66</v>
      </c>
      <c r="M2867" s="13"/>
      <c r="N2867" s="17">
        <f t="shared" si="96"/>
        <v>7328.9</v>
      </c>
      <c r="O2867" s="17">
        <f t="shared" si="96"/>
        <v>0</v>
      </c>
      <c r="P2867" s="17">
        <f t="shared" si="95"/>
        <v>7328.9</v>
      </c>
      <c r="Q2867" t="str">
        <f>A2867&amp;"-"&amp;B2867&amp;"-"&amp;D2867</f>
        <v>JULI-KLB-L1B</v>
      </c>
    </row>
    <row r="2868" spans="1:17" x14ac:dyDescent="0.25">
      <c r="A2868" t="s">
        <v>397</v>
      </c>
      <c r="B2868" s="13" t="s">
        <v>24</v>
      </c>
      <c r="C2868" s="13" t="s">
        <v>226</v>
      </c>
      <c r="D2868" s="14" t="s">
        <v>222</v>
      </c>
      <c r="E2868" s="13" t="s">
        <v>61</v>
      </c>
      <c r="F2868" s="13" t="s">
        <v>1050</v>
      </c>
      <c r="G2868" s="13">
        <v>0.68</v>
      </c>
      <c r="H2868" s="15">
        <v>380</v>
      </c>
      <c r="I2868" s="16">
        <v>258.39999999999998</v>
      </c>
      <c r="J2868" s="16">
        <v>165.64960750208991</v>
      </c>
      <c r="K2868" s="16">
        <v>92.75039249791007</v>
      </c>
      <c r="L2868" s="13">
        <v>1.82</v>
      </c>
      <c r="M2868" s="13"/>
      <c r="N2868" s="17">
        <f t="shared" si="96"/>
        <v>691.6</v>
      </c>
      <c r="O2868" s="17">
        <f t="shared" si="96"/>
        <v>0</v>
      </c>
      <c r="P2868" s="17">
        <f t="shared" si="95"/>
        <v>691.6</v>
      </c>
      <c r="Q2868" t="str">
        <f>A2868&amp;"-"&amp;B2868&amp;"-"&amp;D2868</f>
        <v>JULI-KLB-L2A</v>
      </c>
    </row>
    <row r="2869" spans="1:17" x14ac:dyDescent="0.25">
      <c r="A2869" t="s">
        <v>397</v>
      </c>
      <c r="B2869" s="13" t="s">
        <v>24</v>
      </c>
      <c r="C2869" s="13" t="s">
        <v>226</v>
      </c>
      <c r="D2869" s="14" t="s">
        <v>222</v>
      </c>
      <c r="E2869" s="13" t="s">
        <v>61</v>
      </c>
      <c r="F2869" s="13" t="s">
        <v>1157</v>
      </c>
      <c r="G2869" s="13">
        <v>0.68</v>
      </c>
      <c r="H2869" s="15">
        <v>3395</v>
      </c>
      <c r="I2869" s="16">
        <v>2308.5999999999995</v>
      </c>
      <c r="J2869" s="16">
        <v>1450.6142440361057</v>
      </c>
      <c r="K2869" s="16">
        <v>857.98575596389412</v>
      </c>
      <c r="L2869" s="13">
        <v>1.82</v>
      </c>
      <c r="M2869" s="13"/>
      <c r="N2869" s="17">
        <f t="shared" si="96"/>
        <v>6178.9000000000005</v>
      </c>
      <c r="O2869" s="17">
        <f t="shared" si="96"/>
        <v>0</v>
      </c>
      <c r="P2869" s="17">
        <f t="shared" si="95"/>
        <v>6178.9000000000005</v>
      </c>
      <c r="Q2869" t="str">
        <f>A2869&amp;"-"&amp;B2869&amp;"-"&amp;D2869</f>
        <v>JULI-KLB-L2A</v>
      </c>
    </row>
    <row r="2870" spans="1:17" x14ac:dyDescent="0.25">
      <c r="A2870" t="s">
        <v>397</v>
      </c>
      <c r="B2870" s="13" t="s">
        <v>24</v>
      </c>
      <c r="C2870" s="13" t="s">
        <v>226</v>
      </c>
      <c r="D2870" s="14" t="s">
        <v>222</v>
      </c>
      <c r="E2870" s="13" t="s">
        <v>61</v>
      </c>
      <c r="F2870" s="13" t="s">
        <v>1158</v>
      </c>
      <c r="G2870" s="13">
        <v>0.66</v>
      </c>
      <c r="H2870" s="15">
        <v>75</v>
      </c>
      <c r="I2870" s="16">
        <v>49.5</v>
      </c>
      <c r="J2870" s="16">
        <v>31.424844452125818</v>
      </c>
      <c r="K2870" s="16">
        <v>18.075155547874186</v>
      </c>
      <c r="L2870" s="13">
        <v>1.97</v>
      </c>
      <c r="M2870" s="13"/>
      <c r="N2870" s="17">
        <f t="shared" si="96"/>
        <v>147.75</v>
      </c>
      <c r="O2870" s="17">
        <f t="shared" si="96"/>
        <v>0</v>
      </c>
      <c r="P2870" s="17">
        <f t="shared" si="95"/>
        <v>147.75</v>
      </c>
      <c r="Q2870" t="str">
        <f>A2870&amp;"-"&amp;B2870&amp;"-"&amp;D2870</f>
        <v>JULI-KLB-L2A</v>
      </c>
    </row>
    <row r="2871" spans="1:17" x14ac:dyDescent="0.25">
      <c r="A2871" t="s">
        <v>397</v>
      </c>
      <c r="B2871" s="13" t="s">
        <v>24</v>
      </c>
      <c r="C2871" s="13" t="s">
        <v>226</v>
      </c>
      <c r="D2871" s="14" t="s">
        <v>222</v>
      </c>
      <c r="E2871" s="13" t="s">
        <v>61</v>
      </c>
      <c r="F2871" s="13" t="s">
        <v>1168</v>
      </c>
      <c r="G2871" s="13">
        <v>0.68</v>
      </c>
      <c r="H2871" s="15">
        <v>3179</v>
      </c>
      <c r="I2871" s="16">
        <v>2161.7200000000003</v>
      </c>
      <c r="J2871" s="16">
        <v>1436.841552990556</v>
      </c>
      <c r="K2871" s="16">
        <v>724.87844700944402</v>
      </c>
      <c r="L2871" s="13">
        <v>1.82</v>
      </c>
      <c r="M2871" s="13"/>
      <c r="N2871" s="17">
        <f t="shared" si="96"/>
        <v>5785.78</v>
      </c>
      <c r="O2871" s="17">
        <f t="shared" si="96"/>
        <v>0</v>
      </c>
      <c r="P2871" s="17">
        <f t="shared" si="95"/>
        <v>5785.78</v>
      </c>
      <c r="Q2871" t="str">
        <f>A2871&amp;"-"&amp;B2871&amp;"-"&amp;D2871</f>
        <v>JULI-KLB-L2A</v>
      </c>
    </row>
    <row r="2872" spans="1:17" x14ac:dyDescent="0.25">
      <c r="A2872" t="s">
        <v>397</v>
      </c>
      <c r="B2872" s="13" t="s">
        <v>24</v>
      </c>
      <c r="C2872" s="13" t="s">
        <v>226</v>
      </c>
      <c r="D2872" s="14" t="s">
        <v>222</v>
      </c>
      <c r="E2872" s="13" t="s">
        <v>61</v>
      </c>
      <c r="F2872" s="13" t="s">
        <v>1160</v>
      </c>
      <c r="G2872" s="13">
        <v>0.72</v>
      </c>
      <c r="H2872" s="15">
        <v>412</v>
      </c>
      <c r="I2872" s="16">
        <v>296.64</v>
      </c>
      <c r="J2872" s="16">
        <v>228.54662552417122</v>
      </c>
      <c r="K2872" s="16">
        <v>68.093374475828796</v>
      </c>
      <c r="L2872" s="13">
        <v>1.36</v>
      </c>
      <c r="M2872" s="13"/>
      <c r="N2872" s="17">
        <f t="shared" si="96"/>
        <v>560.32000000000005</v>
      </c>
      <c r="O2872" s="17">
        <f t="shared" si="96"/>
        <v>0</v>
      </c>
      <c r="P2872" s="17">
        <f t="shared" si="95"/>
        <v>560.32000000000005</v>
      </c>
      <c r="Q2872" t="str">
        <f>A2872&amp;"-"&amp;B2872&amp;"-"&amp;D2872</f>
        <v>JULI-KLB-L2A</v>
      </c>
    </row>
    <row r="2873" spans="1:17" x14ac:dyDescent="0.25">
      <c r="A2873" t="s">
        <v>397</v>
      </c>
      <c r="B2873" s="13" t="s">
        <v>24</v>
      </c>
      <c r="C2873" s="13" t="s">
        <v>226</v>
      </c>
      <c r="D2873" s="14" t="s">
        <v>222</v>
      </c>
      <c r="E2873" s="13" t="s">
        <v>61</v>
      </c>
      <c r="F2873" s="13" t="s">
        <v>1161</v>
      </c>
      <c r="G2873" s="13">
        <v>0.7</v>
      </c>
      <c r="H2873" s="15">
        <v>5985</v>
      </c>
      <c r="I2873" s="16">
        <v>4189.5</v>
      </c>
      <c r="J2873" s="16">
        <v>2718.1394216113767</v>
      </c>
      <c r="K2873" s="16">
        <v>1471.360578388623</v>
      </c>
      <c r="L2873" s="13">
        <v>1.3</v>
      </c>
      <c r="M2873" s="13"/>
      <c r="N2873" s="17">
        <f t="shared" si="96"/>
        <v>7780.5</v>
      </c>
      <c r="O2873" s="17">
        <f t="shared" si="96"/>
        <v>0</v>
      </c>
      <c r="P2873" s="17">
        <f t="shared" si="95"/>
        <v>7780.5</v>
      </c>
      <c r="Q2873" t="str">
        <f>A2873&amp;"-"&amp;B2873&amp;"-"&amp;D2873</f>
        <v>JULI-KLB-L2A</v>
      </c>
    </row>
    <row r="2874" spans="1:17" x14ac:dyDescent="0.25">
      <c r="A2874" t="s">
        <v>397</v>
      </c>
      <c r="B2874" s="13" t="s">
        <v>24</v>
      </c>
      <c r="C2874" s="13" t="s">
        <v>226</v>
      </c>
      <c r="D2874" s="14" t="s">
        <v>222</v>
      </c>
      <c r="E2874" s="13" t="s">
        <v>61</v>
      </c>
      <c r="F2874" s="13" t="s">
        <v>1162</v>
      </c>
      <c r="G2874" s="13">
        <v>0.72</v>
      </c>
      <c r="H2874" s="15">
        <v>1338</v>
      </c>
      <c r="I2874" s="16">
        <v>963.36</v>
      </c>
      <c r="J2874" s="16">
        <v>737.28681857741913</v>
      </c>
      <c r="K2874" s="16">
        <v>226.07318142258092</v>
      </c>
      <c r="L2874" s="13">
        <v>1.36</v>
      </c>
      <c r="M2874" s="13"/>
      <c r="N2874" s="17">
        <f t="shared" si="96"/>
        <v>1819.68</v>
      </c>
      <c r="O2874" s="17">
        <f t="shared" si="96"/>
        <v>0</v>
      </c>
      <c r="P2874" s="17">
        <f t="shared" si="95"/>
        <v>1819.68</v>
      </c>
      <c r="Q2874" t="str">
        <f>A2874&amp;"-"&amp;B2874&amp;"-"&amp;D2874</f>
        <v>JULI-KLB-L2A</v>
      </c>
    </row>
    <row r="2875" spans="1:17" x14ac:dyDescent="0.25">
      <c r="A2875" t="s">
        <v>397</v>
      </c>
      <c r="B2875" s="13" t="s">
        <v>24</v>
      </c>
      <c r="C2875" s="13" t="s">
        <v>226</v>
      </c>
      <c r="D2875" s="14" t="s">
        <v>222</v>
      </c>
      <c r="E2875" s="13" t="s">
        <v>61</v>
      </c>
      <c r="F2875" s="13" t="s">
        <v>1163</v>
      </c>
      <c r="G2875" s="13">
        <v>0.68</v>
      </c>
      <c r="H2875" s="15">
        <v>1694</v>
      </c>
      <c r="I2875" s="16">
        <v>1151.92</v>
      </c>
      <c r="J2875" s="16">
        <v>731.86080599347747</v>
      </c>
      <c r="K2875" s="16">
        <v>420.0591940065226</v>
      </c>
      <c r="L2875" s="13">
        <v>1.83</v>
      </c>
      <c r="M2875" s="13"/>
      <c r="N2875" s="17">
        <f t="shared" si="96"/>
        <v>3100.02</v>
      </c>
      <c r="O2875" s="17">
        <f t="shared" si="96"/>
        <v>0</v>
      </c>
      <c r="P2875" s="17">
        <f t="shared" si="95"/>
        <v>3100.02</v>
      </c>
      <c r="Q2875" t="str">
        <f>A2875&amp;"-"&amp;B2875&amp;"-"&amp;D2875</f>
        <v>JULI-KLB-L2A</v>
      </c>
    </row>
    <row r="2876" spans="1:17" x14ac:dyDescent="0.25">
      <c r="A2876" t="s">
        <v>397</v>
      </c>
      <c r="B2876" s="13" t="s">
        <v>24</v>
      </c>
      <c r="C2876" s="13" t="s">
        <v>226</v>
      </c>
      <c r="D2876" s="14" t="s">
        <v>222</v>
      </c>
      <c r="E2876" s="13" t="s">
        <v>61</v>
      </c>
      <c r="F2876" s="13" t="s">
        <v>1164</v>
      </c>
      <c r="G2876" s="13">
        <v>0.68</v>
      </c>
      <c r="H2876" s="15">
        <v>2600</v>
      </c>
      <c r="I2876" s="16">
        <v>1768.0000000000002</v>
      </c>
      <c r="J2876" s="16">
        <v>1176.6479183260942</v>
      </c>
      <c r="K2876" s="16">
        <v>591.35208167390556</v>
      </c>
      <c r="L2876" s="13">
        <v>1.83</v>
      </c>
      <c r="M2876" s="13"/>
      <c r="N2876" s="17">
        <f t="shared" si="96"/>
        <v>4758</v>
      </c>
      <c r="O2876" s="17">
        <f t="shared" si="96"/>
        <v>0</v>
      </c>
      <c r="P2876" s="17">
        <f t="shared" si="95"/>
        <v>4758</v>
      </c>
      <c r="Q2876" t="str">
        <f>A2876&amp;"-"&amp;B2876&amp;"-"&amp;D2876</f>
        <v>JULI-KLB-L2A</v>
      </c>
    </row>
    <row r="2877" spans="1:17" x14ac:dyDescent="0.25">
      <c r="A2877" t="s">
        <v>397</v>
      </c>
      <c r="B2877" s="13" t="s">
        <v>24</v>
      </c>
      <c r="C2877" s="13" t="s">
        <v>226</v>
      </c>
      <c r="D2877" s="14" t="s">
        <v>222</v>
      </c>
      <c r="E2877" s="13" t="s">
        <v>61</v>
      </c>
      <c r="F2877" s="13" t="s">
        <v>1165</v>
      </c>
      <c r="G2877" s="13">
        <v>0.65</v>
      </c>
      <c r="H2877" s="15">
        <v>5053</v>
      </c>
      <c r="I2877" s="16">
        <v>3284.45</v>
      </c>
      <c r="J2877" s="16">
        <v>2152.4963106624373</v>
      </c>
      <c r="K2877" s="16">
        <v>1131.9536893375628</v>
      </c>
      <c r="L2877" s="13">
        <v>1.66</v>
      </c>
      <c r="M2877" s="13"/>
      <c r="N2877" s="17">
        <f t="shared" si="96"/>
        <v>8387.98</v>
      </c>
      <c r="O2877" s="17">
        <f t="shared" si="96"/>
        <v>0</v>
      </c>
      <c r="P2877" s="17">
        <f t="shared" si="95"/>
        <v>8387.98</v>
      </c>
      <c r="Q2877" t="str">
        <f>A2877&amp;"-"&amp;B2877&amp;"-"&amp;D2877</f>
        <v>JULI-KLB-L2A</v>
      </c>
    </row>
    <row r="2878" spans="1:17" x14ac:dyDescent="0.25">
      <c r="A2878" t="s">
        <v>397</v>
      </c>
      <c r="B2878" s="13" t="s">
        <v>24</v>
      </c>
      <c r="C2878" s="13" t="s">
        <v>226</v>
      </c>
      <c r="D2878" s="14" t="s">
        <v>222</v>
      </c>
      <c r="E2878" s="13" t="s">
        <v>61</v>
      </c>
      <c r="F2878" s="13" t="s">
        <v>876</v>
      </c>
      <c r="G2878" s="13">
        <v>0.65</v>
      </c>
      <c r="H2878" s="15">
        <v>7275</v>
      </c>
      <c r="I2878" s="16">
        <v>4728.75</v>
      </c>
      <c r="J2878" s="16">
        <v>2885.1571251446521</v>
      </c>
      <c r="K2878" s="16">
        <v>1843.5928748553481</v>
      </c>
      <c r="L2878" s="13">
        <v>1.64</v>
      </c>
      <c r="M2878" s="13"/>
      <c r="N2878" s="17">
        <f t="shared" si="96"/>
        <v>11931</v>
      </c>
      <c r="O2878" s="17">
        <f t="shared" si="96"/>
        <v>0</v>
      </c>
      <c r="P2878" s="17">
        <f t="shared" si="95"/>
        <v>11931</v>
      </c>
      <c r="Q2878" t="str">
        <f>A2878&amp;"-"&amp;B2878&amp;"-"&amp;D2878</f>
        <v>JULI-KLB-L2A</v>
      </c>
    </row>
    <row r="2879" spans="1:17" x14ac:dyDescent="0.25">
      <c r="A2879" t="s">
        <v>397</v>
      </c>
      <c r="B2879" s="13" t="s">
        <v>24</v>
      </c>
      <c r="C2879" s="13" t="s">
        <v>226</v>
      </c>
      <c r="D2879" s="14" t="s">
        <v>222</v>
      </c>
      <c r="E2879" s="13" t="s">
        <v>61</v>
      </c>
      <c r="F2879" s="13" t="s">
        <v>1166</v>
      </c>
      <c r="G2879" s="13">
        <v>0.65</v>
      </c>
      <c r="H2879" s="15">
        <v>4204</v>
      </c>
      <c r="I2879" s="16">
        <v>2732.6</v>
      </c>
      <c r="J2879" s="16">
        <v>1928.5980896987846</v>
      </c>
      <c r="K2879" s="16">
        <v>804.00191030121539</v>
      </c>
      <c r="L2879" s="13">
        <v>1.66</v>
      </c>
      <c r="M2879" s="13"/>
      <c r="N2879" s="17">
        <f t="shared" si="96"/>
        <v>6978.6399999999994</v>
      </c>
      <c r="O2879" s="17">
        <f t="shared" si="96"/>
        <v>0</v>
      </c>
      <c r="P2879" s="17">
        <f t="shared" si="95"/>
        <v>6978.6399999999994</v>
      </c>
      <c r="Q2879" t="str">
        <f>A2879&amp;"-"&amp;B2879&amp;"-"&amp;D2879</f>
        <v>JULI-KLB-L2A</v>
      </c>
    </row>
    <row r="2880" spans="1:17" x14ac:dyDescent="0.25">
      <c r="A2880" t="s">
        <v>397</v>
      </c>
      <c r="B2880" s="13" t="s">
        <v>24</v>
      </c>
      <c r="C2880" s="13" t="s">
        <v>226</v>
      </c>
      <c r="D2880" s="14" t="s">
        <v>222</v>
      </c>
      <c r="E2880" s="13" t="s">
        <v>61</v>
      </c>
      <c r="F2880" s="13" t="s">
        <v>1167</v>
      </c>
      <c r="G2880" s="13">
        <v>0.65</v>
      </c>
      <c r="H2880" s="15">
        <v>6580</v>
      </c>
      <c r="I2880" s="16">
        <v>4277</v>
      </c>
      <c r="J2880" s="16">
        <v>2736.7366354807095</v>
      </c>
      <c r="K2880" s="16">
        <v>1540.2633645192907</v>
      </c>
      <c r="L2880" s="13">
        <v>1.66</v>
      </c>
      <c r="M2880" s="13"/>
      <c r="N2880" s="17">
        <f t="shared" si="96"/>
        <v>10922.8</v>
      </c>
      <c r="O2880" s="17">
        <f t="shared" si="96"/>
        <v>0</v>
      </c>
      <c r="P2880" s="17">
        <f t="shared" si="95"/>
        <v>10922.8</v>
      </c>
      <c r="Q2880" t="str">
        <f>A2880&amp;"-"&amp;B2880&amp;"-"&amp;D2880</f>
        <v>JULI-KLB-L2A</v>
      </c>
    </row>
    <row r="2881" spans="1:17" x14ac:dyDescent="0.25">
      <c r="A2881" t="s">
        <v>397</v>
      </c>
      <c r="B2881" s="13" t="s">
        <v>24</v>
      </c>
      <c r="C2881" s="13" t="s">
        <v>226</v>
      </c>
      <c r="D2881" s="14" t="s">
        <v>223</v>
      </c>
      <c r="E2881" s="13" t="s">
        <v>61</v>
      </c>
      <c r="F2881" s="13" t="s">
        <v>1050</v>
      </c>
      <c r="G2881" s="13">
        <v>0.68</v>
      </c>
      <c r="H2881" s="15">
        <v>2364</v>
      </c>
      <c r="I2881" s="16">
        <v>1607.52</v>
      </c>
      <c r="J2881" s="16">
        <v>1033.4272089156989</v>
      </c>
      <c r="K2881" s="16">
        <v>574.09279108430121</v>
      </c>
      <c r="L2881" s="13">
        <v>1.82</v>
      </c>
      <c r="M2881" s="13"/>
      <c r="N2881" s="17">
        <f t="shared" si="96"/>
        <v>4302.4800000000005</v>
      </c>
      <c r="O2881" s="17">
        <f t="shared" si="96"/>
        <v>0</v>
      </c>
      <c r="P2881" s="17">
        <f t="shared" si="95"/>
        <v>4302.4800000000005</v>
      </c>
      <c r="Q2881" t="str">
        <f>A2881&amp;"-"&amp;B2881&amp;"-"&amp;D2881</f>
        <v>JULI-KLB-L2B</v>
      </c>
    </row>
    <row r="2882" spans="1:17" x14ac:dyDescent="0.25">
      <c r="A2882" t="s">
        <v>397</v>
      </c>
      <c r="B2882" s="13" t="s">
        <v>24</v>
      </c>
      <c r="C2882" s="13" t="s">
        <v>226</v>
      </c>
      <c r="D2882" s="14" t="s">
        <v>223</v>
      </c>
      <c r="E2882" s="13" t="s">
        <v>61</v>
      </c>
      <c r="F2882" s="13" t="s">
        <v>1157</v>
      </c>
      <c r="G2882" s="13">
        <v>0.68</v>
      </c>
      <c r="H2882" s="15">
        <v>1244</v>
      </c>
      <c r="I2882" s="16">
        <v>845.92</v>
      </c>
      <c r="J2882" s="16">
        <v>583.64871782248815</v>
      </c>
      <c r="K2882" s="16">
        <v>262.27128217751181</v>
      </c>
      <c r="L2882" s="13">
        <v>1.82</v>
      </c>
      <c r="M2882" s="13"/>
      <c r="N2882" s="17">
        <f t="shared" si="96"/>
        <v>2264.08</v>
      </c>
      <c r="O2882" s="17">
        <f t="shared" si="96"/>
        <v>0</v>
      </c>
      <c r="P2882" s="17">
        <f t="shared" ref="P2882:P2945" si="97">N2882+O2882</f>
        <v>2264.08</v>
      </c>
      <c r="Q2882" t="str">
        <f>A2882&amp;"-"&amp;B2882&amp;"-"&amp;D2882</f>
        <v>JULI-KLB-L2B</v>
      </c>
    </row>
    <row r="2883" spans="1:17" x14ac:dyDescent="0.25">
      <c r="A2883" t="s">
        <v>397</v>
      </c>
      <c r="B2883" s="13" t="s">
        <v>24</v>
      </c>
      <c r="C2883" s="13" t="s">
        <v>226</v>
      </c>
      <c r="D2883" s="14" t="s">
        <v>223</v>
      </c>
      <c r="E2883" s="13" t="s">
        <v>61</v>
      </c>
      <c r="F2883" s="13" t="s">
        <v>1158</v>
      </c>
      <c r="G2883" s="13">
        <v>0.66</v>
      </c>
      <c r="H2883" s="15">
        <v>711</v>
      </c>
      <c r="I2883" s="16">
        <v>469.26000000000005</v>
      </c>
      <c r="J2883" s="16">
        <v>333.40745200385317</v>
      </c>
      <c r="K2883" s="16">
        <v>135.85254799614688</v>
      </c>
      <c r="L2883" s="13">
        <v>1.97</v>
      </c>
      <c r="M2883" s="13"/>
      <c r="N2883" s="17">
        <f t="shared" si="96"/>
        <v>1400.67</v>
      </c>
      <c r="O2883" s="17">
        <f t="shared" si="96"/>
        <v>0</v>
      </c>
      <c r="P2883" s="17">
        <f t="shared" si="97"/>
        <v>1400.67</v>
      </c>
      <c r="Q2883" t="str">
        <f>A2883&amp;"-"&amp;B2883&amp;"-"&amp;D2883</f>
        <v>JULI-KLB-L2B</v>
      </c>
    </row>
    <row r="2884" spans="1:17" x14ac:dyDescent="0.25">
      <c r="A2884" t="s">
        <v>397</v>
      </c>
      <c r="B2884" s="13" t="s">
        <v>24</v>
      </c>
      <c r="C2884" s="13" t="s">
        <v>226</v>
      </c>
      <c r="D2884" s="14" t="s">
        <v>223</v>
      </c>
      <c r="E2884" s="13" t="s">
        <v>61</v>
      </c>
      <c r="F2884" s="13" t="s">
        <v>1053</v>
      </c>
      <c r="G2884" s="13">
        <v>0.68</v>
      </c>
      <c r="H2884" s="15">
        <v>23</v>
      </c>
      <c r="I2884" s="16">
        <v>15.64</v>
      </c>
      <c r="J2884" s="16">
        <v>11.600987925356751</v>
      </c>
      <c r="K2884" s="16">
        <v>4.0390120746432494</v>
      </c>
      <c r="L2884" s="13">
        <v>1.82</v>
      </c>
      <c r="M2884" s="13"/>
      <c r="N2884" s="17">
        <f t="shared" si="96"/>
        <v>41.86</v>
      </c>
      <c r="O2884" s="17">
        <f t="shared" si="96"/>
        <v>0</v>
      </c>
      <c r="P2884" s="17">
        <f t="shared" si="97"/>
        <v>41.86</v>
      </c>
      <c r="Q2884" t="str">
        <f>A2884&amp;"-"&amp;B2884&amp;"-"&amp;D2884</f>
        <v>JULI-KLB-L2B</v>
      </c>
    </row>
    <row r="2885" spans="1:17" x14ac:dyDescent="0.25">
      <c r="A2885" t="s">
        <v>397</v>
      </c>
      <c r="B2885" s="13" t="s">
        <v>24</v>
      </c>
      <c r="C2885" s="13" t="s">
        <v>226</v>
      </c>
      <c r="D2885" s="14" t="s">
        <v>223</v>
      </c>
      <c r="E2885" s="13" t="s">
        <v>61</v>
      </c>
      <c r="F2885" s="13" t="s">
        <v>1055</v>
      </c>
      <c r="G2885" s="13">
        <v>0.68</v>
      </c>
      <c r="H2885" s="15">
        <v>53</v>
      </c>
      <c r="I2885" s="16">
        <v>36.04</v>
      </c>
      <c r="J2885" s="16">
        <v>26.73271130625686</v>
      </c>
      <c r="K2885" s="16">
        <v>9.3072886937431392</v>
      </c>
      <c r="L2885" s="13">
        <v>1.82</v>
      </c>
      <c r="M2885" s="13"/>
      <c r="N2885" s="17">
        <f t="shared" si="96"/>
        <v>96.460000000000008</v>
      </c>
      <c r="O2885" s="17">
        <f t="shared" si="96"/>
        <v>0</v>
      </c>
      <c r="P2885" s="17">
        <f t="shared" si="97"/>
        <v>96.460000000000008</v>
      </c>
      <c r="Q2885" t="str">
        <f>A2885&amp;"-"&amp;B2885&amp;"-"&amp;D2885</f>
        <v>JULI-KLB-L2B</v>
      </c>
    </row>
    <row r="2886" spans="1:17" x14ac:dyDescent="0.25">
      <c r="A2886" t="s">
        <v>397</v>
      </c>
      <c r="B2886" s="13" t="s">
        <v>24</v>
      </c>
      <c r="C2886" s="13" t="s">
        <v>226</v>
      </c>
      <c r="D2886" s="14" t="s">
        <v>223</v>
      </c>
      <c r="E2886" s="13" t="s">
        <v>61</v>
      </c>
      <c r="F2886" s="13" t="s">
        <v>1168</v>
      </c>
      <c r="G2886" s="13">
        <v>0.68</v>
      </c>
      <c r="H2886" s="15">
        <v>3492</v>
      </c>
      <c r="I2886" s="16">
        <v>2374.56</v>
      </c>
      <c r="J2886" s="16">
        <v>1746.1941598360654</v>
      </c>
      <c r="K2886" s="16">
        <v>628.36584016393442</v>
      </c>
      <c r="L2886" s="13">
        <v>1.82</v>
      </c>
      <c r="M2886" s="13"/>
      <c r="N2886" s="17">
        <f t="shared" si="96"/>
        <v>6355.4400000000005</v>
      </c>
      <c r="O2886" s="17">
        <f t="shared" si="96"/>
        <v>0</v>
      </c>
      <c r="P2886" s="17">
        <f t="shared" si="97"/>
        <v>6355.4400000000005</v>
      </c>
      <c r="Q2886" t="str">
        <f>A2886&amp;"-"&amp;B2886&amp;"-"&amp;D2886</f>
        <v>JULI-KLB-L2B</v>
      </c>
    </row>
    <row r="2887" spans="1:17" x14ac:dyDescent="0.25">
      <c r="A2887" t="s">
        <v>397</v>
      </c>
      <c r="B2887" s="13" t="s">
        <v>24</v>
      </c>
      <c r="C2887" s="13" t="s">
        <v>226</v>
      </c>
      <c r="D2887" s="14" t="s">
        <v>223</v>
      </c>
      <c r="E2887" s="13" t="s">
        <v>61</v>
      </c>
      <c r="F2887" s="13" t="s">
        <v>1160</v>
      </c>
      <c r="G2887" s="13">
        <v>0.72</v>
      </c>
      <c r="H2887" s="15">
        <v>1570</v>
      </c>
      <c r="I2887" s="16">
        <v>1130.4000000000003</v>
      </c>
      <c r="J2887" s="16">
        <v>812.6641910148104</v>
      </c>
      <c r="K2887" s="16">
        <v>317.73580898518964</v>
      </c>
      <c r="L2887" s="13">
        <v>1.36</v>
      </c>
      <c r="M2887" s="13"/>
      <c r="N2887" s="17">
        <f t="shared" si="96"/>
        <v>2135.2000000000003</v>
      </c>
      <c r="O2887" s="17">
        <f t="shared" si="96"/>
        <v>0</v>
      </c>
      <c r="P2887" s="17">
        <f t="shared" si="97"/>
        <v>2135.2000000000003</v>
      </c>
      <c r="Q2887" t="str">
        <f>A2887&amp;"-"&amp;B2887&amp;"-"&amp;D2887</f>
        <v>JULI-KLB-L2B</v>
      </c>
    </row>
    <row r="2888" spans="1:17" x14ac:dyDescent="0.25">
      <c r="A2888" t="s">
        <v>397</v>
      </c>
      <c r="B2888" s="13" t="s">
        <v>24</v>
      </c>
      <c r="C2888" s="13" t="s">
        <v>226</v>
      </c>
      <c r="D2888" s="14" t="s">
        <v>223</v>
      </c>
      <c r="E2888" s="13" t="s">
        <v>61</v>
      </c>
      <c r="F2888" s="13" t="s">
        <v>1161</v>
      </c>
      <c r="G2888" s="13">
        <v>0.70000000000000007</v>
      </c>
      <c r="H2888" s="15">
        <v>7180</v>
      </c>
      <c r="I2888" s="16">
        <v>5026</v>
      </c>
      <c r="J2888" s="16">
        <v>3106.9980738021545</v>
      </c>
      <c r="K2888" s="16">
        <v>1919.001926197845</v>
      </c>
      <c r="L2888" s="13">
        <v>1.3</v>
      </c>
      <c r="M2888" s="13"/>
      <c r="N2888" s="17">
        <f t="shared" si="96"/>
        <v>9334</v>
      </c>
      <c r="O2888" s="17">
        <f t="shared" si="96"/>
        <v>0</v>
      </c>
      <c r="P2888" s="17">
        <f t="shared" si="97"/>
        <v>9334</v>
      </c>
      <c r="Q2888" t="str">
        <f>A2888&amp;"-"&amp;B2888&amp;"-"&amp;D2888</f>
        <v>JULI-KLB-L2B</v>
      </c>
    </row>
    <row r="2889" spans="1:17" x14ac:dyDescent="0.25">
      <c r="A2889" t="s">
        <v>397</v>
      </c>
      <c r="B2889" s="13" t="s">
        <v>24</v>
      </c>
      <c r="C2889" s="13" t="s">
        <v>226</v>
      </c>
      <c r="D2889" s="14" t="s">
        <v>223</v>
      </c>
      <c r="E2889" s="13" t="s">
        <v>61</v>
      </c>
      <c r="F2889" s="13" t="s">
        <v>1162</v>
      </c>
      <c r="G2889" s="13">
        <v>0.72000000000000008</v>
      </c>
      <c r="H2889" s="15">
        <v>545</v>
      </c>
      <c r="I2889" s="16">
        <v>392.4</v>
      </c>
      <c r="J2889" s="16">
        <v>243.84480434348384</v>
      </c>
      <c r="K2889" s="16">
        <v>148.55519565651613</v>
      </c>
      <c r="L2889" s="13">
        <v>1.36</v>
      </c>
      <c r="M2889" s="13"/>
      <c r="N2889" s="17">
        <f t="shared" si="96"/>
        <v>741.2</v>
      </c>
      <c r="O2889" s="17">
        <f t="shared" si="96"/>
        <v>0</v>
      </c>
      <c r="P2889" s="17">
        <f t="shared" si="97"/>
        <v>741.2</v>
      </c>
      <c r="Q2889" t="str">
        <f>A2889&amp;"-"&amp;B2889&amp;"-"&amp;D2889</f>
        <v>JULI-KLB-L2B</v>
      </c>
    </row>
    <row r="2890" spans="1:17" x14ac:dyDescent="0.25">
      <c r="A2890" t="s">
        <v>397</v>
      </c>
      <c r="B2890" s="13" t="s">
        <v>24</v>
      </c>
      <c r="C2890" s="13" t="s">
        <v>226</v>
      </c>
      <c r="D2890" s="14" t="s">
        <v>223</v>
      </c>
      <c r="E2890" s="13" t="s">
        <v>61</v>
      </c>
      <c r="F2890" s="13" t="s">
        <v>1163</v>
      </c>
      <c r="G2890" s="13">
        <v>0.68</v>
      </c>
      <c r="H2890" s="15">
        <v>2607</v>
      </c>
      <c r="I2890" s="16">
        <v>1772.7599999999998</v>
      </c>
      <c r="J2890" s="16">
        <v>1171.5021994958513</v>
      </c>
      <c r="K2890" s="16">
        <v>601.25780050414858</v>
      </c>
      <c r="L2890" s="13">
        <v>1.83</v>
      </c>
      <c r="M2890" s="13"/>
      <c r="N2890" s="17">
        <f t="shared" si="96"/>
        <v>4770.8100000000004</v>
      </c>
      <c r="O2890" s="17">
        <f t="shared" si="96"/>
        <v>0</v>
      </c>
      <c r="P2890" s="17">
        <f t="shared" si="97"/>
        <v>4770.8100000000004</v>
      </c>
      <c r="Q2890" t="str">
        <f>A2890&amp;"-"&amp;B2890&amp;"-"&amp;D2890</f>
        <v>JULI-KLB-L2B</v>
      </c>
    </row>
    <row r="2891" spans="1:17" x14ac:dyDescent="0.25">
      <c r="A2891" t="s">
        <v>397</v>
      </c>
      <c r="B2891" s="13" t="s">
        <v>24</v>
      </c>
      <c r="C2891" s="13" t="s">
        <v>226</v>
      </c>
      <c r="D2891" s="14" t="s">
        <v>223</v>
      </c>
      <c r="E2891" s="13" t="s">
        <v>61</v>
      </c>
      <c r="F2891" s="13" t="s">
        <v>1164</v>
      </c>
      <c r="G2891" s="13">
        <v>0.68</v>
      </c>
      <c r="H2891" s="15">
        <v>2148</v>
      </c>
      <c r="I2891" s="16">
        <v>1460.64</v>
      </c>
      <c r="J2891" s="16">
        <v>1006.2061742116632</v>
      </c>
      <c r="K2891" s="16">
        <v>454.43382578833695</v>
      </c>
      <c r="L2891" s="13">
        <v>1.83</v>
      </c>
      <c r="M2891" s="13"/>
      <c r="N2891" s="17">
        <f t="shared" si="96"/>
        <v>3930.84</v>
      </c>
      <c r="O2891" s="17">
        <f t="shared" si="96"/>
        <v>0</v>
      </c>
      <c r="P2891" s="17">
        <f t="shared" si="97"/>
        <v>3930.84</v>
      </c>
      <c r="Q2891" t="str">
        <f>A2891&amp;"-"&amp;B2891&amp;"-"&amp;D2891</f>
        <v>JULI-KLB-L2B</v>
      </c>
    </row>
    <row r="2892" spans="1:17" x14ac:dyDescent="0.25">
      <c r="A2892" t="s">
        <v>397</v>
      </c>
      <c r="B2892" s="13" t="s">
        <v>24</v>
      </c>
      <c r="C2892" s="13" t="s">
        <v>226</v>
      </c>
      <c r="D2892" s="14" t="s">
        <v>223</v>
      </c>
      <c r="E2892" s="13" t="s">
        <v>61</v>
      </c>
      <c r="F2892" s="13" t="s">
        <v>1165</v>
      </c>
      <c r="G2892" s="13">
        <v>0.65</v>
      </c>
      <c r="H2892" s="15">
        <v>5726</v>
      </c>
      <c r="I2892" s="16">
        <v>3721.9</v>
      </c>
      <c r="J2892" s="16">
        <v>2182.033449982534</v>
      </c>
      <c r="K2892" s="16">
        <v>1539.8665500174661</v>
      </c>
      <c r="L2892" s="13">
        <v>1.66</v>
      </c>
      <c r="M2892" s="13"/>
      <c r="N2892" s="17">
        <f t="shared" si="96"/>
        <v>9505.16</v>
      </c>
      <c r="O2892" s="17">
        <f t="shared" si="96"/>
        <v>0</v>
      </c>
      <c r="P2892" s="17">
        <f t="shared" si="97"/>
        <v>9505.16</v>
      </c>
      <c r="Q2892" t="str">
        <f>A2892&amp;"-"&amp;B2892&amp;"-"&amp;D2892</f>
        <v>JULI-KLB-L2B</v>
      </c>
    </row>
    <row r="2893" spans="1:17" x14ac:dyDescent="0.25">
      <c r="A2893" t="s">
        <v>397</v>
      </c>
      <c r="B2893" s="13" t="s">
        <v>24</v>
      </c>
      <c r="C2893" s="13" t="s">
        <v>226</v>
      </c>
      <c r="D2893" s="14" t="s">
        <v>223</v>
      </c>
      <c r="E2893" s="13" t="s">
        <v>61</v>
      </c>
      <c r="F2893" s="13" t="s">
        <v>876</v>
      </c>
      <c r="G2893" s="13">
        <v>0.65</v>
      </c>
      <c r="H2893" s="15">
        <v>7071</v>
      </c>
      <c r="I2893" s="16">
        <v>4596.1499999999996</v>
      </c>
      <c r="J2893" s="16">
        <v>2760.1643072306997</v>
      </c>
      <c r="K2893" s="16">
        <v>1835.9856927693002</v>
      </c>
      <c r="L2893" s="13">
        <v>1.64</v>
      </c>
      <c r="M2893" s="13"/>
      <c r="N2893" s="17">
        <f t="shared" si="96"/>
        <v>11596.439999999999</v>
      </c>
      <c r="O2893" s="17">
        <f t="shared" si="96"/>
        <v>0</v>
      </c>
      <c r="P2893" s="17">
        <f t="shared" si="97"/>
        <v>11596.439999999999</v>
      </c>
      <c r="Q2893" t="str">
        <f>A2893&amp;"-"&amp;B2893&amp;"-"&amp;D2893</f>
        <v>JULI-KLB-L2B</v>
      </c>
    </row>
    <row r="2894" spans="1:17" x14ac:dyDescent="0.25">
      <c r="A2894" t="s">
        <v>397</v>
      </c>
      <c r="B2894" s="13" t="s">
        <v>24</v>
      </c>
      <c r="C2894" s="13" t="s">
        <v>226</v>
      </c>
      <c r="D2894" s="14" t="s">
        <v>223</v>
      </c>
      <c r="E2894" s="13" t="s">
        <v>61</v>
      </c>
      <c r="F2894" s="13" t="s">
        <v>1060</v>
      </c>
      <c r="G2894" s="13">
        <v>0.65</v>
      </c>
      <c r="H2894" s="15">
        <v>61</v>
      </c>
      <c r="I2894" s="16">
        <v>39.65</v>
      </c>
      <c r="J2894" s="16">
        <v>30.767837541163555</v>
      </c>
      <c r="K2894" s="16">
        <v>8.8821624588364436</v>
      </c>
      <c r="L2894" s="13">
        <v>1.64</v>
      </c>
      <c r="M2894" s="13"/>
      <c r="N2894" s="17">
        <f t="shared" si="96"/>
        <v>100.03999999999999</v>
      </c>
      <c r="O2894" s="17">
        <f t="shared" si="96"/>
        <v>0</v>
      </c>
      <c r="P2894" s="17">
        <f t="shared" si="97"/>
        <v>100.03999999999999</v>
      </c>
      <c r="Q2894" t="str">
        <f>A2894&amp;"-"&amp;B2894&amp;"-"&amp;D2894</f>
        <v>JULI-KLB-L2B</v>
      </c>
    </row>
    <row r="2895" spans="1:17" x14ac:dyDescent="0.25">
      <c r="A2895" t="s">
        <v>397</v>
      </c>
      <c r="B2895" s="13" t="s">
        <v>24</v>
      </c>
      <c r="C2895" s="13" t="s">
        <v>226</v>
      </c>
      <c r="D2895" s="14" t="s">
        <v>223</v>
      </c>
      <c r="E2895" s="13" t="s">
        <v>61</v>
      </c>
      <c r="F2895" s="13" t="s">
        <v>1166</v>
      </c>
      <c r="G2895" s="13">
        <v>0.65</v>
      </c>
      <c r="H2895" s="15">
        <v>6385</v>
      </c>
      <c r="I2895" s="16">
        <v>4150.25</v>
      </c>
      <c r="J2895" s="16">
        <v>2670.4933544407554</v>
      </c>
      <c r="K2895" s="16">
        <v>1479.7566455592446</v>
      </c>
      <c r="L2895" s="13">
        <v>1.66</v>
      </c>
      <c r="M2895" s="13"/>
      <c r="N2895" s="17">
        <f t="shared" si="96"/>
        <v>10599.1</v>
      </c>
      <c r="O2895" s="17">
        <f t="shared" si="96"/>
        <v>0</v>
      </c>
      <c r="P2895" s="17">
        <f t="shared" si="97"/>
        <v>10599.1</v>
      </c>
      <c r="Q2895" t="str">
        <f>A2895&amp;"-"&amp;B2895&amp;"-"&amp;D2895</f>
        <v>JULI-KLB-L2B</v>
      </c>
    </row>
    <row r="2896" spans="1:17" x14ac:dyDescent="0.25">
      <c r="A2896" t="s">
        <v>397</v>
      </c>
      <c r="B2896" s="13" t="s">
        <v>24</v>
      </c>
      <c r="C2896" s="13" t="s">
        <v>226</v>
      </c>
      <c r="D2896" s="14" t="s">
        <v>223</v>
      </c>
      <c r="E2896" s="13" t="s">
        <v>61</v>
      </c>
      <c r="F2896" s="13" t="s">
        <v>1167</v>
      </c>
      <c r="G2896" s="13">
        <v>0.65</v>
      </c>
      <c r="H2896" s="15">
        <v>4044</v>
      </c>
      <c r="I2896" s="16">
        <v>2628.6</v>
      </c>
      <c r="J2896" s="16">
        <v>1579.314370127164</v>
      </c>
      <c r="K2896" s="16">
        <v>1049.2856298728361</v>
      </c>
      <c r="L2896" s="13">
        <v>1.66</v>
      </c>
      <c r="M2896" s="13"/>
      <c r="N2896" s="17">
        <f t="shared" si="96"/>
        <v>6713.04</v>
      </c>
      <c r="O2896" s="17">
        <f t="shared" si="96"/>
        <v>0</v>
      </c>
      <c r="P2896" s="17">
        <f t="shared" si="97"/>
        <v>6713.04</v>
      </c>
      <c r="Q2896" t="str">
        <f>A2896&amp;"-"&amp;B2896&amp;"-"&amp;D2896</f>
        <v>JULI-KLB-L2B</v>
      </c>
    </row>
    <row r="2897" spans="1:17" x14ac:dyDescent="0.25">
      <c r="A2897" t="s">
        <v>397</v>
      </c>
      <c r="B2897" s="13" t="s">
        <v>24</v>
      </c>
      <c r="C2897" s="13" t="s">
        <v>226</v>
      </c>
      <c r="D2897" s="14" t="s">
        <v>224</v>
      </c>
      <c r="E2897" s="13" t="s">
        <v>61</v>
      </c>
      <c r="F2897" s="13" t="s">
        <v>1169</v>
      </c>
      <c r="G2897" s="13">
        <v>0.68</v>
      </c>
      <c r="H2897" s="15">
        <v>3146</v>
      </c>
      <c r="I2897" s="16">
        <v>2139.2800000000002</v>
      </c>
      <c r="J2897" s="16">
        <v>1451.4373589195234</v>
      </c>
      <c r="K2897" s="16">
        <v>687.8426410804766</v>
      </c>
      <c r="L2897" s="13">
        <v>2.56</v>
      </c>
      <c r="M2897" s="13"/>
      <c r="N2897" s="17">
        <f t="shared" si="96"/>
        <v>8053.76</v>
      </c>
      <c r="O2897" s="17">
        <f t="shared" si="96"/>
        <v>0</v>
      </c>
      <c r="P2897" s="17">
        <f t="shared" si="97"/>
        <v>8053.76</v>
      </c>
      <c r="Q2897" t="str">
        <f>A2897&amp;"-"&amp;B2897&amp;"-"&amp;D2897</f>
        <v>JULI-KLB-L3A</v>
      </c>
    </row>
    <row r="2898" spans="1:17" x14ac:dyDescent="0.25">
      <c r="A2898" t="s">
        <v>397</v>
      </c>
      <c r="B2898" s="13" t="s">
        <v>24</v>
      </c>
      <c r="C2898" s="13" t="s">
        <v>226</v>
      </c>
      <c r="D2898" s="14" t="s">
        <v>224</v>
      </c>
      <c r="E2898" s="13" t="s">
        <v>61</v>
      </c>
      <c r="F2898" s="13" t="s">
        <v>1050</v>
      </c>
      <c r="G2898" s="13">
        <v>0.68</v>
      </c>
      <c r="H2898" s="15">
        <v>3975</v>
      </c>
      <c r="I2898" s="16">
        <v>2703.0000000000005</v>
      </c>
      <c r="J2898" s="16">
        <v>1428.223729719479</v>
      </c>
      <c r="K2898" s="16">
        <v>1274.7762702805212</v>
      </c>
      <c r="L2898" s="13">
        <v>1.82</v>
      </c>
      <c r="M2898" s="13"/>
      <c r="N2898" s="17">
        <f t="shared" si="96"/>
        <v>7234.5</v>
      </c>
      <c r="O2898" s="17">
        <f t="shared" si="96"/>
        <v>0</v>
      </c>
      <c r="P2898" s="17">
        <f t="shared" si="97"/>
        <v>7234.5</v>
      </c>
      <c r="Q2898" t="str">
        <f>A2898&amp;"-"&amp;B2898&amp;"-"&amp;D2898</f>
        <v>JULI-KLB-L3A</v>
      </c>
    </row>
    <row r="2899" spans="1:17" x14ac:dyDescent="0.25">
      <c r="A2899" t="s">
        <v>397</v>
      </c>
      <c r="B2899" s="13" t="s">
        <v>24</v>
      </c>
      <c r="C2899" s="13" t="s">
        <v>226</v>
      </c>
      <c r="D2899" s="14" t="s">
        <v>224</v>
      </c>
      <c r="E2899" s="13" t="s">
        <v>61</v>
      </c>
      <c r="F2899" s="13" t="s">
        <v>1157</v>
      </c>
      <c r="G2899" s="13">
        <v>0.68</v>
      </c>
      <c r="H2899" s="15">
        <v>2441</v>
      </c>
      <c r="I2899" s="16">
        <v>1659.8799999999999</v>
      </c>
      <c r="J2899" s="16">
        <v>989.82768842840767</v>
      </c>
      <c r="K2899" s="16">
        <v>670.05231157159221</v>
      </c>
      <c r="L2899" s="13">
        <v>1.82</v>
      </c>
      <c r="M2899" s="13"/>
      <c r="N2899" s="17">
        <f t="shared" si="96"/>
        <v>4442.62</v>
      </c>
      <c r="O2899" s="17">
        <f t="shared" si="96"/>
        <v>0</v>
      </c>
      <c r="P2899" s="17">
        <f t="shared" si="97"/>
        <v>4442.62</v>
      </c>
      <c r="Q2899" t="str">
        <f>A2899&amp;"-"&amp;B2899&amp;"-"&amp;D2899</f>
        <v>JULI-KLB-L3A</v>
      </c>
    </row>
    <row r="2900" spans="1:17" x14ac:dyDescent="0.25">
      <c r="A2900" t="s">
        <v>397</v>
      </c>
      <c r="B2900" s="13" t="s">
        <v>24</v>
      </c>
      <c r="C2900" s="13" t="s">
        <v>226</v>
      </c>
      <c r="D2900" s="14" t="s">
        <v>224</v>
      </c>
      <c r="E2900" s="13" t="s">
        <v>61</v>
      </c>
      <c r="F2900" s="13" t="s">
        <v>1158</v>
      </c>
      <c r="G2900" s="13">
        <v>0.66</v>
      </c>
      <c r="H2900" s="15">
        <v>748</v>
      </c>
      <c r="I2900" s="16">
        <v>493.67999999999995</v>
      </c>
      <c r="J2900" s="16">
        <v>329.39964962313474</v>
      </c>
      <c r="K2900" s="16">
        <v>164.28035037686524</v>
      </c>
      <c r="L2900" s="13">
        <v>1.97</v>
      </c>
      <c r="M2900" s="13"/>
      <c r="N2900" s="17">
        <f t="shared" si="96"/>
        <v>1473.56</v>
      </c>
      <c r="O2900" s="17">
        <f t="shared" si="96"/>
        <v>0</v>
      </c>
      <c r="P2900" s="17">
        <f t="shared" si="97"/>
        <v>1473.56</v>
      </c>
      <c r="Q2900" t="str">
        <f>A2900&amp;"-"&amp;B2900&amp;"-"&amp;D2900</f>
        <v>JULI-KLB-L3A</v>
      </c>
    </row>
    <row r="2901" spans="1:17" x14ac:dyDescent="0.25">
      <c r="A2901" t="s">
        <v>397</v>
      </c>
      <c r="B2901" s="13" t="s">
        <v>24</v>
      </c>
      <c r="C2901" s="13" t="s">
        <v>226</v>
      </c>
      <c r="D2901" s="14" t="s">
        <v>224</v>
      </c>
      <c r="E2901" s="13" t="s">
        <v>61</v>
      </c>
      <c r="F2901" s="13" t="s">
        <v>1067</v>
      </c>
      <c r="G2901" s="13">
        <v>0.68</v>
      </c>
      <c r="H2901" s="15">
        <v>1334</v>
      </c>
      <c r="I2901" s="16">
        <v>907.12</v>
      </c>
      <c r="J2901" s="16">
        <v>535.19883791389634</v>
      </c>
      <c r="K2901" s="16">
        <v>371.92116208610366</v>
      </c>
      <c r="L2901" s="13">
        <v>1.82</v>
      </c>
      <c r="M2901" s="13"/>
      <c r="N2901" s="17">
        <f t="shared" si="96"/>
        <v>2427.88</v>
      </c>
      <c r="O2901" s="17">
        <f t="shared" si="96"/>
        <v>0</v>
      </c>
      <c r="P2901" s="17">
        <f t="shared" si="97"/>
        <v>2427.88</v>
      </c>
      <c r="Q2901" t="str">
        <f>A2901&amp;"-"&amp;B2901&amp;"-"&amp;D2901</f>
        <v>JULI-KLB-L3A</v>
      </c>
    </row>
    <row r="2902" spans="1:17" x14ac:dyDescent="0.25">
      <c r="A2902" t="s">
        <v>397</v>
      </c>
      <c r="B2902" s="13" t="s">
        <v>24</v>
      </c>
      <c r="C2902" s="13" t="s">
        <v>226</v>
      </c>
      <c r="D2902" s="14" t="s">
        <v>224</v>
      </c>
      <c r="E2902" s="13" t="s">
        <v>61</v>
      </c>
      <c r="F2902" s="13" t="s">
        <v>1168</v>
      </c>
      <c r="G2902" s="13">
        <v>0.68</v>
      </c>
      <c r="H2902" s="15">
        <v>6130</v>
      </c>
      <c r="I2902" s="16">
        <v>4168.3999999999996</v>
      </c>
      <c r="J2902" s="16">
        <v>2247.404539622793</v>
      </c>
      <c r="K2902" s="16">
        <v>1920.9954603772067</v>
      </c>
      <c r="L2902" s="13">
        <v>1.82</v>
      </c>
      <c r="M2902" s="13"/>
      <c r="N2902" s="17">
        <f t="shared" si="96"/>
        <v>11156.6</v>
      </c>
      <c r="O2902" s="17">
        <f t="shared" si="96"/>
        <v>0</v>
      </c>
      <c r="P2902" s="17">
        <f t="shared" si="97"/>
        <v>11156.6</v>
      </c>
      <c r="Q2902" t="str">
        <f>A2902&amp;"-"&amp;B2902&amp;"-"&amp;D2902</f>
        <v>JULI-KLB-L3A</v>
      </c>
    </row>
    <row r="2903" spans="1:17" x14ac:dyDescent="0.25">
      <c r="A2903" t="s">
        <v>397</v>
      </c>
      <c r="B2903" s="13" t="s">
        <v>24</v>
      </c>
      <c r="C2903" s="13" t="s">
        <v>226</v>
      </c>
      <c r="D2903" s="14" t="s">
        <v>224</v>
      </c>
      <c r="E2903" s="13" t="s">
        <v>61</v>
      </c>
      <c r="F2903" s="13" t="s">
        <v>1068</v>
      </c>
      <c r="G2903" s="13">
        <v>0.66</v>
      </c>
      <c r="H2903" s="15">
        <v>15</v>
      </c>
      <c r="I2903" s="16">
        <v>9.9</v>
      </c>
      <c r="J2903" s="16">
        <v>5.7398187718798415</v>
      </c>
      <c r="K2903" s="16">
        <v>4.1601812281201589</v>
      </c>
      <c r="L2903" s="13">
        <v>1.97</v>
      </c>
      <c r="M2903" s="13"/>
      <c r="N2903" s="17">
        <f t="shared" ref="N2903:O2962" si="98">$H2903*L2903</f>
        <v>29.55</v>
      </c>
      <c r="O2903" s="17">
        <f t="shared" si="98"/>
        <v>0</v>
      </c>
      <c r="P2903" s="17">
        <f t="shared" si="97"/>
        <v>29.55</v>
      </c>
      <c r="Q2903" t="str">
        <f>A2903&amp;"-"&amp;B2903&amp;"-"&amp;D2903</f>
        <v>JULI-KLB-L3A</v>
      </c>
    </row>
    <row r="2904" spans="1:17" x14ac:dyDescent="0.25">
      <c r="A2904" t="s">
        <v>397</v>
      </c>
      <c r="B2904" s="13" t="s">
        <v>24</v>
      </c>
      <c r="C2904" s="13" t="s">
        <v>226</v>
      </c>
      <c r="D2904" s="14" t="s">
        <v>224</v>
      </c>
      <c r="E2904" s="13" t="s">
        <v>61</v>
      </c>
      <c r="F2904" s="13" t="s">
        <v>1160</v>
      </c>
      <c r="G2904" s="13">
        <v>0.72000000000000008</v>
      </c>
      <c r="H2904" s="15">
        <v>1955</v>
      </c>
      <c r="I2904" s="16">
        <v>1407.6</v>
      </c>
      <c r="J2904" s="16">
        <v>816.10959706477172</v>
      </c>
      <c r="K2904" s="16">
        <v>591.49040293522819</v>
      </c>
      <c r="L2904" s="13">
        <v>1.36</v>
      </c>
      <c r="M2904" s="13"/>
      <c r="N2904" s="17">
        <f t="shared" si="98"/>
        <v>2658.8</v>
      </c>
      <c r="O2904" s="17">
        <f t="shared" si="98"/>
        <v>0</v>
      </c>
      <c r="P2904" s="17">
        <f t="shared" si="97"/>
        <v>2658.8</v>
      </c>
      <c r="Q2904" t="str">
        <f>A2904&amp;"-"&amp;B2904&amp;"-"&amp;D2904</f>
        <v>JULI-KLB-L3A</v>
      </c>
    </row>
    <row r="2905" spans="1:17" x14ac:dyDescent="0.25">
      <c r="A2905" t="s">
        <v>397</v>
      </c>
      <c r="B2905" s="13" t="s">
        <v>24</v>
      </c>
      <c r="C2905" s="13" t="s">
        <v>226</v>
      </c>
      <c r="D2905" s="14" t="s">
        <v>224</v>
      </c>
      <c r="E2905" s="13" t="s">
        <v>61</v>
      </c>
      <c r="F2905" s="13" t="s">
        <v>1161</v>
      </c>
      <c r="G2905" s="13">
        <v>0.69999999999999984</v>
      </c>
      <c r="H2905" s="15">
        <v>5119</v>
      </c>
      <c r="I2905" s="16">
        <v>3583.3</v>
      </c>
      <c r="J2905" s="16">
        <v>1780.6130316738916</v>
      </c>
      <c r="K2905" s="16">
        <v>1802.6869683261082</v>
      </c>
      <c r="L2905" s="13">
        <v>1.3</v>
      </c>
      <c r="M2905" s="13"/>
      <c r="N2905" s="17">
        <f t="shared" si="98"/>
        <v>6654.7</v>
      </c>
      <c r="O2905" s="17">
        <f t="shared" si="98"/>
        <v>0</v>
      </c>
      <c r="P2905" s="17">
        <f t="shared" si="97"/>
        <v>6654.7</v>
      </c>
      <c r="Q2905" t="str">
        <f>A2905&amp;"-"&amp;B2905&amp;"-"&amp;D2905</f>
        <v>JULI-KLB-L3A</v>
      </c>
    </row>
    <row r="2906" spans="1:17" x14ac:dyDescent="0.25">
      <c r="A2906" t="s">
        <v>397</v>
      </c>
      <c r="B2906" s="13" t="s">
        <v>24</v>
      </c>
      <c r="C2906" s="13" t="s">
        <v>226</v>
      </c>
      <c r="D2906" s="14" t="s">
        <v>224</v>
      </c>
      <c r="E2906" s="13" t="s">
        <v>61</v>
      </c>
      <c r="F2906" s="13" t="s">
        <v>1162</v>
      </c>
      <c r="G2906" s="13">
        <v>0.72</v>
      </c>
      <c r="H2906" s="15">
        <v>2145</v>
      </c>
      <c r="I2906" s="16">
        <v>1544.4</v>
      </c>
      <c r="J2906" s="16">
        <v>774.3391138563627</v>
      </c>
      <c r="K2906" s="16">
        <v>770.06088614363739</v>
      </c>
      <c r="L2906" s="13">
        <v>1.36</v>
      </c>
      <c r="M2906" s="13"/>
      <c r="N2906" s="17">
        <f t="shared" si="98"/>
        <v>2917.2000000000003</v>
      </c>
      <c r="O2906" s="17">
        <f t="shared" si="98"/>
        <v>0</v>
      </c>
      <c r="P2906" s="17">
        <f t="shared" si="97"/>
        <v>2917.2000000000003</v>
      </c>
      <c r="Q2906" t="str">
        <f>A2906&amp;"-"&amp;B2906&amp;"-"&amp;D2906</f>
        <v>JULI-KLB-L3A</v>
      </c>
    </row>
    <row r="2907" spans="1:17" x14ac:dyDescent="0.25">
      <c r="A2907" t="s">
        <v>397</v>
      </c>
      <c r="B2907" s="13" t="s">
        <v>24</v>
      </c>
      <c r="C2907" s="13" t="s">
        <v>226</v>
      </c>
      <c r="D2907" s="14" t="s">
        <v>224</v>
      </c>
      <c r="E2907" s="13" t="s">
        <v>61</v>
      </c>
      <c r="F2907" s="13" t="s">
        <v>1163</v>
      </c>
      <c r="G2907" s="13">
        <v>0.68</v>
      </c>
      <c r="H2907" s="15">
        <v>1265</v>
      </c>
      <c r="I2907" s="16">
        <v>860.19999999999993</v>
      </c>
      <c r="J2907" s="16">
        <v>560.64199198922915</v>
      </c>
      <c r="K2907" s="16">
        <v>299.55800801077089</v>
      </c>
      <c r="L2907" s="13">
        <v>1.83</v>
      </c>
      <c r="M2907" s="13"/>
      <c r="N2907" s="17">
        <f t="shared" si="98"/>
        <v>2314.9500000000003</v>
      </c>
      <c r="O2907" s="17">
        <f t="shared" si="98"/>
        <v>0</v>
      </c>
      <c r="P2907" s="17">
        <f t="shared" si="97"/>
        <v>2314.9500000000003</v>
      </c>
      <c r="Q2907" t="str">
        <f>A2907&amp;"-"&amp;B2907&amp;"-"&amp;D2907</f>
        <v>JULI-KLB-L3A</v>
      </c>
    </row>
    <row r="2908" spans="1:17" x14ac:dyDescent="0.25">
      <c r="A2908" t="s">
        <v>397</v>
      </c>
      <c r="B2908" s="13" t="s">
        <v>24</v>
      </c>
      <c r="C2908" s="13" t="s">
        <v>226</v>
      </c>
      <c r="D2908" s="14" t="s">
        <v>224</v>
      </c>
      <c r="E2908" s="13" t="s">
        <v>61</v>
      </c>
      <c r="F2908" s="13" t="s">
        <v>1164</v>
      </c>
      <c r="G2908" s="13">
        <v>0.68</v>
      </c>
      <c r="H2908" s="15">
        <v>2396</v>
      </c>
      <c r="I2908" s="16">
        <v>1629.28</v>
      </c>
      <c r="J2908" s="16">
        <v>1018.2788193266601</v>
      </c>
      <c r="K2908" s="16">
        <v>611.00118067333995</v>
      </c>
      <c r="L2908" s="13">
        <v>1.83</v>
      </c>
      <c r="M2908" s="13"/>
      <c r="N2908" s="17">
        <f t="shared" si="98"/>
        <v>4384.68</v>
      </c>
      <c r="O2908" s="17">
        <f t="shared" si="98"/>
        <v>0</v>
      </c>
      <c r="P2908" s="17">
        <f t="shared" si="97"/>
        <v>4384.68</v>
      </c>
      <c r="Q2908" t="str">
        <f>A2908&amp;"-"&amp;B2908&amp;"-"&amp;D2908</f>
        <v>JULI-KLB-L3A</v>
      </c>
    </row>
    <row r="2909" spans="1:17" x14ac:dyDescent="0.25">
      <c r="A2909" t="s">
        <v>397</v>
      </c>
      <c r="B2909" s="13" t="s">
        <v>24</v>
      </c>
      <c r="C2909" s="13" t="s">
        <v>226</v>
      </c>
      <c r="D2909" s="14" t="s">
        <v>224</v>
      </c>
      <c r="E2909" s="13" t="s">
        <v>61</v>
      </c>
      <c r="F2909" s="13" t="s">
        <v>1165</v>
      </c>
      <c r="G2909" s="13">
        <v>0.65</v>
      </c>
      <c r="H2909" s="15">
        <v>5701</v>
      </c>
      <c r="I2909" s="16">
        <v>3705.65</v>
      </c>
      <c r="J2909" s="16">
        <v>2004.2515030292891</v>
      </c>
      <c r="K2909" s="16">
        <v>1701.3984969707108</v>
      </c>
      <c r="L2909" s="13">
        <v>1.66</v>
      </c>
      <c r="M2909" s="13"/>
      <c r="N2909" s="17">
        <f t="shared" si="98"/>
        <v>9463.66</v>
      </c>
      <c r="O2909" s="17">
        <f t="shared" si="98"/>
        <v>0</v>
      </c>
      <c r="P2909" s="17">
        <f t="shared" si="97"/>
        <v>9463.66</v>
      </c>
      <c r="Q2909" t="str">
        <f>A2909&amp;"-"&amp;B2909&amp;"-"&amp;D2909</f>
        <v>JULI-KLB-L3A</v>
      </c>
    </row>
    <row r="2910" spans="1:17" x14ac:dyDescent="0.25">
      <c r="A2910" t="s">
        <v>397</v>
      </c>
      <c r="B2910" s="13" t="s">
        <v>24</v>
      </c>
      <c r="C2910" s="13" t="s">
        <v>226</v>
      </c>
      <c r="D2910" s="14" t="s">
        <v>224</v>
      </c>
      <c r="E2910" s="13" t="s">
        <v>61</v>
      </c>
      <c r="F2910" s="13" t="s">
        <v>1060</v>
      </c>
      <c r="G2910" s="13">
        <v>0.65</v>
      </c>
      <c r="H2910" s="15">
        <v>404</v>
      </c>
      <c r="I2910" s="16">
        <v>262.60000000000002</v>
      </c>
      <c r="J2910" s="16">
        <v>159.89477730009563</v>
      </c>
      <c r="K2910" s="16">
        <v>102.70522269990438</v>
      </c>
      <c r="L2910" s="13">
        <v>1.64</v>
      </c>
      <c r="M2910" s="13"/>
      <c r="N2910" s="17">
        <f t="shared" si="98"/>
        <v>662.56</v>
      </c>
      <c r="O2910" s="17">
        <f t="shared" si="98"/>
        <v>0</v>
      </c>
      <c r="P2910" s="17">
        <f t="shared" si="97"/>
        <v>662.56</v>
      </c>
      <c r="Q2910" t="str">
        <f>A2910&amp;"-"&amp;B2910&amp;"-"&amp;D2910</f>
        <v>JULI-KLB-L3A</v>
      </c>
    </row>
    <row r="2911" spans="1:17" x14ac:dyDescent="0.25">
      <c r="A2911" t="s">
        <v>397</v>
      </c>
      <c r="B2911" s="13" t="s">
        <v>24</v>
      </c>
      <c r="C2911" s="13" t="s">
        <v>226</v>
      </c>
      <c r="D2911" s="14" t="s">
        <v>224</v>
      </c>
      <c r="E2911" s="13" t="s">
        <v>61</v>
      </c>
      <c r="F2911" s="13" t="s">
        <v>1166</v>
      </c>
      <c r="G2911" s="13">
        <v>0.65</v>
      </c>
      <c r="H2911" s="15">
        <v>5755</v>
      </c>
      <c r="I2911" s="16">
        <v>3740.75</v>
      </c>
      <c r="J2911" s="16">
        <v>2107.6797662036283</v>
      </c>
      <c r="K2911" s="16">
        <v>1633.0702337963714</v>
      </c>
      <c r="L2911" s="13">
        <v>1.66</v>
      </c>
      <c r="M2911" s="13"/>
      <c r="N2911" s="17">
        <f t="shared" si="98"/>
        <v>9553.2999999999993</v>
      </c>
      <c r="O2911" s="17">
        <f t="shared" si="98"/>
        <v>0</v>
      </c>
      <c r="P2911" s="17">
        <f t="shared" si="97"/>
        <v>9553.2999999999993</v>
      </c>
      <c r="Q2911" t="str">
        <f>A2911&amp;"-"&amp;B2911&amp;"-"&amp;D2911</f>
        <v>JULI-KLB-L3A</v>
      </c>
    </row>
    <row r="2912" spans="1:17" x14ac:dyDescent="0.25">
      <c r="A2912" t="s">
        <v>397</v>
      </c>
      <c r="B2912" s="13" t="s">
        <v>24</v>
      </c>
      <c r="C2912" s="13" t="s">
        <v>226</v>
      </c>
      <c r="D2912" s="14" t="s">
        <v>224</v>
      </c>
      <c r="E2912" s="13" t="s">
        <v>61</v>
      </c>
      <c r="F2912" s="13" t="s">
        <v>1167</v>
      </c>
      <c r="G2912" s="13">
        <v>0.65</v>
      </c>
      <c r="H2912" s="15">
        <v>5923</v>
      </c>
      <c r="I2912" s="16">
        <v>3849.9500000000003</v>
      </c>
      <c r="J2912" s="16">
        <v>2170.959776556957</v>
      </c>
      <c r="K2912" s="16">
        <v>1678.9902234430429</v>
      </c>
      <c r="L2912" s="13">
        <v>1.66</v>
      </c>
      <c r="M2912" s="13"/>
      <c r="N2912" s="17">
        <f t="shared" si="98"/>
        <v>9832.18</v>
      </c>
      <c r="O2912" s="17">
        <f t="shared" si="98"/>
        <v>0</v>
      </c>
      <c r="P2912" s="17">
        <f t="shared" si="97"/>
        <v>9832.18</v>
      </c>
      <c r="Q2912" t="str">
        <f>A2912&amp;"-"&amp;B2912&amp;"-"&amp;D2912</f>
        <v>JULI-KLB-L3A</v>
      </c>
    </row>
    <row r="2913" spans="1:17" x14ac:dyDescent="0.25">
      <c r="A2913" t="s">
        <v>397</v>
      </c>
      <c r="B2913" s="13" t="s">
        <v>24</v>
      </c>
      <c r="C2913" s="13" t="s">
        <v>226</v>
      </c>
      <c r="D2913" s="14" t="s">
        <v>225</v>
      </c>
      <c r="E2913" s="13" t="s">
        <v>61</v>
      </c>
      <c r="F2913" s="13" t="s">
        <v>1169</v>
      </c>
      <c r="G2913" s="13">
        <v>0.68</v>
      </c>
      <c r="H2913" s="15">
        <v>3205</v>
      </c>
      <c r="I2913" s="16">
        <v>2179.4</v>
      </c>
      <c r="J2913" s="16">
        <v>1898.6214547801037</v>
      </c>
      <c r="K2913" s="16">
        <v>280.7785452198965</v>
      </c>
      <c r="L2913" s="13">
        <v>2.56</v>
      </c>
      <c r="M2913" s="13"/>
      <c r="N2913" s="17">
        <f t="shared" si="98"/>
        <v>8204.7999999999993</v>
      </c>
      <c r="O2913" s="17">
        <f t="shared" si="98"/>
        <v>0</v>
      </c>
      <c r="P2913" s="17">
        <f t="shared" si="97"/>
        <v>8204.7999999999993</v>
      </c>
      <c r="Q2913" t="str">
        <f>A2913&amp;"-"&amp;B2913&amp;"-"&amp;D2913</f>
        <v>JULI-KLB-L3B</v>
      </c>
    </row>
    <row r="2914" spans="1:17" x14ac:dyDescent="0.25">
      <c r="A2914" t="s">
        <v>397</v>
      </c>
      <c r="B2914" s="13" t="s">
        <v>24</v>
      </c>
      <c r="C2914" s="13" t="s">
        <v>226</v>
      </c>
      <c r="D2914" s="14" t="s">
        <v>225</v>
      </c>
      <c r="E2914" s="13" t="s">
        <v>61</v>
      </c>
      <c r="F2914" s="13" t="s">
        <v>1050</v>
      </c>
      <c r="G2914" s="13">
        <v>0.68</v>
      </c>
      <c r="H2914" s="15">
        <v>3737</v>
      </c>
      <c r="I2914" s="16">
        <v>2541.1599999999994</v>
      </c>
      <c r="J2914" s="16">
        <v>1577.137473571205</v>
      </c>
      <c r="K2914" s="16">
        <v>964.022526428795</v>
      </c>
      <c r="L2914" s="13">
        <v>1.82</v>
      </c>
      <c r="M2914" s="13"/>
      <c r="N2914" s="17">
        <f t="shared" si="98"/>
        <v>6801.34</v>
      </c>
      <c r="O2914" s="17">
        <f t="shared" si="98"/>
        <v>0</v>
      </c>
      <c r="P2914" s="17">
        <f t="shared" si="97"/>
        <v>6801.34</v>
      </c>
      <c r="Q2914" t="str">
        <f>A2914&amp;"-"&amp;B2914&amp;"-"&amp;D2914</f>
        <v>JULI-KLB-L3B</v>
      </c>
    </row>
    <row r="2915" spans="1:17" x14ac:dyDescent="0.25">
      <c r="A2915" t="s">
        <v>397</v>
      </c>
      <c r="B2915" s="13" t="s">
        <v>24</v>
      </c>
      <c r="C2915" s="13" t="s">
        <v>226</v>
      </c>
      <c r="D2915" s="14" t="s">
        <v>225</v>
      </c>
      <c r="E2915" s="13" t="s">
        <v>61</v>
      </c>
      <c r="F2915" s="13" t="s">
        <v>1157</v>
      </c>
      <c r="G2915" s="13">
        <v>0.68</v>
      </c>
      <c r="H2915" s="15">
        <v>2198</v>
      </c>
      <c r="I2915" s="16">
        <v>1494.64</v>
      </c>
      <c r="J2915" s="16">
        <v>900.29052037246777</v>
      </c>
      <c r="K2915" s="16">
        <v>594.34947962753222</v>
      </c>
      <c r="L2915" s="13">
        <v>1.82</v>
      </c>
      <c r="M2915" s="13"/>
      <c r="N2915" s="17">
        <f t="shared" si="98"/>
        <v>4000.36</v>
      </c>
      <c r="O2915" s="17">
        <f t="shared" si="98"/>
        <v>0</v>
      </c>
      <c r="P2915" s="17">
        <f t="shared" si="97"/>
        <v>4000.36</v>
      </c>
      <c r="Q2915" t="str">
        <f>A2915&amp;"-"&amp;B2915&amp;"-"&amp;D2915</f>
        <v>JULI-KLB-L3B</v>
      </c>
    </row>
    <row r="2916" spans="1:17" x14ac:dyDescent="0.25">
      <c r="A2916" t="s">
        <v>397</v>
      </c>
      <c r="B2916" s="13" t="s">
        <v>24</v>
      </c>
      <c r="C2916" s="13" t="s">
        <v>226</v>
      </c>
      <c r="D2916" s="14" t="s">
        <v>225</v>
      </c>
      <c r="E2916" s="13" t="s">
        <v>61</v>
      </c>
      <c r="F2916" s="13" t="s">
        <v>1158</v>
      </c>
      <c r="G2916" s="13">
        <v>0.66</v>
      </c>
      <c r="H2916" s="15">
        <v>48</v>
      </c>
      <c r="I2916" s="16">
        <v>31.68</v>
      </c>
      <c r="J2916" s="16">
        <v>21.866548977366421</v>
      </c>
      <c r="K2916" s="16">
        <v>9.8134510226335792</v>
      </c>
      <c r="L2916" s="13">
        <v>1.97</v>
      </c>
      <c r="M2916" s="13"/>
      <c r="N2916" s="17">
        <f t="shared" si="98"/>
        <v>94.56</v>
      </c>
      <c r="O2916" s="17">
        <f t="shared" si="98"/>
        <v>0</v>
      </c>
      <c r="P2916" s="17">
        <f t="shared" si="97"/>
        <v>94.56</v>
      </c>
      <c r="Q2916" t="str">
        <f>A2916&amp;"-"&amp;B2916&amp;"-"&amp;D2916</f>
        <v>JULI-KLB-L3B</v>
      </c>
    </row>
    <row r="2917" spans="1:17" x14ac:dyDescent="0.25">
      <c r="A2917" t="s">
        <v>397</v>
      </c>
      <c r="B2917" s="13" t="s">
        <v>24</v>
      </c>
      <c r="C2917" s="13" t="s">
        <v>226</v>
      </c>
      <c r="D2917" s="14" t="s">
        <v>225</v>
      </c>
      <c r="E2917" s="13" t="s">
        <v>61</v>
      </c>
      <c r="F2917" s="13" t="s">
        <v>1055</v>
      </c>
      <c r="G2917" s="13">
        <v>0.68</v>
      </c>
      <c r="H2917" s="15">
        <v>280</v>
      </c>
      <c r="I2917" s="16">
        <v>190.39999999999998</v>
      </c>
      <c r="J2917" s="16">
        <v>117.01532580618283</v>
      </c>
      <c r="K2917" s="16">
        <v>73.384674193817162</v>
      </c>
      <c r="L2917" s="13">
        <v>1.82</v>
      </c>
      <c r="M2917" s="13"/>
      <c r="N2917" s="17">
        <f t="shared" si="98"/>
        <v>509.6</v>
      </c>
      <c r="O2917" s="17">
        <f t="shared" si="98"/>
        <v>0</v>
      </c>
      <c r="P2917" s="17">
        <f t="shared" si="97"/>
        <v>509.6</v>
      </c>
      <c r="Q2917" t="str">
        <f>A2917&amp;"-"&amp;B2917&amp;"-"&amp;D2917</f>
        <v>JULI-KLB-L3B</v>
      </c>
    </row>
    <row r="2918" spans="1:17" x14ac:dyDescent="0.25">
      <c r="A2918" t="s">
        <v>397</v>
      </c>
      <c r="B2918" s="13" t="s">
        <v>24</v>
      </c>
      <c r="C2918" s="13" t="s">
        <v>226</v>
      </c>
      <c r="D2918" s="14" t="s">
        <v>225</v>
      </c>
      <c r="E2918" s="13" t="s">
        <v>61</v>
      </c>
      <c r="F2918" s="13" t="s">
        <v>1067</v>
      </c>
      <c r="G2918" s="13">
        <v>0.68</v>
      </c>
      <c r="H2918" s="15">
        <v>573</v>
      </c>
      <c r="I2918" s="16">
        <v>389.64000000000004</v>
      </c>
      <c r="J2918" s="16">
        <v>246.68278764806064</v>
      </c>
      <c r="K2918" s="16">
        <v>142.95721235193938</v>
      </c>
      <c r="L2918" s="13">
        <v>1.82</v>
      </c>
      <c r="M2918" s="13"/>
      <c r="N2918" s="17">
        <f t="shared" si="98"/>
        <v>1042.8600000000001</v>
      </c>
      <c r="O2918" s="17">
        <f t="shared" si="98"/>
        <v>0</v>
      </c>
      <c r="P2918" s="17">
        <f t="shared" si="97"/>
        <v>1042.8600000000001</v>
      </c>
      <c r="Q2918" t="str">
        <f>A2918&amp;"-"&amp;B2918&amp;"-"&amp;D2918</f>
        <v>JULI-KLB-L3B</v>
      </c>
    </row>
    <row r="2919" spans="1:17" x14ac:dyDescent="0.25">
      <c r="A2919" t="s">
        <v>397</v>
      </c>
      <c r="B2919" s="13" t="s">
        <v>24</v>
      </c>
      <c r="C2919" s="13" t="s">
        <v>226</v>
      </c>
      <c r="D2919" s="14" t="s">
        <v>225</v>
      </c>
      <c r="E2919" s="13" t="s">
        <v>61</v>
      </c>
      <c r="F2919" s="13" t="s">
        <v>1168</v>
      </c>
      <c r="G2919" s="13">
        <v>0.68</v>
      </c>
      <c r="H2919" s="15">
        <v>5945</v>
      </c>
      <c r="I2919" s="16">
        <v>4042.5999999999995</v>
      </c>
      <c r="J2919" s="16">
        <v>2453.9566812357134</v>
      </c>
      <c r="K2919" s="16">
        <v>1588.6433187642861</v>
      </c>
      <c r="L2919" s="13">
        <v>1.82</v>
      </c>
      <c r="M2919" s="13"/>
      <c r="N2919" s="17">
        <f t="shared" si="98"/>
        <v>10819.9</v>
      </c>
      <c r="O2919" s="17">
        <f t="shared" si="98"/>
        <v>0</v>
      </c>
      <c r="P2919" s="17">
        <f t="shared" si="97"/>
        <v>10819.9</v>
      </c>
      <c r="Q2919" t="str">
        <f>A2919&amp;"-"&amp;B2919&amp;"-"&amp;D2919</f>
        <v>JULI-KLB-L3B</v>
      </c>
    </row>
    <row r="2920" spans="1:17" x14ac:dyDescent="0.25">
      <c r="A2920" t="s">
        <v>397</v>
      </c>
      <c r="B2920" s="13" t="s">
        <v>24</v>
      </c>
      <c r="C2920" s="13" t="s">
        <v>226</v>
      </c>
      <c r="D2920" s="14" t="s">
        <v>225</v>
      </c>
      <c r="E2920" s="13" t="s">
        <v>61</v>
      </c>
      <c r="F2920" s="13" t="s">
        <v>1160</v>
      </c>
      <c r="G2920" s="13">
        <v>0.72</v>
      </c>
      <c r="H2920" s="15">
        <v>17</v>
      </c>
      <c r="I2920" s="16">
        <v>12.24</v>
      </c>
      <c r="J2920" s="16">
        <v>7.4862831050228316</v>
      </c>
      <c r="K2920" s="16">
        <v>4.7537168949771686</v>
      </c>
      <c r="L2920" s="13">
        <v>1.36</v>
      </c>
      <c r="M2920" s="13"/>
      <c r="N2920" s="17">
        <f t="shared" si="98"/>
        <v>23.12</v>
      </c>
      <c r="O2920" s="17">
        <f t="shared" si="98"/>
        <v>0</v>
      </c>
      <c r="P2920" s="17">
        <f t="shared" si="97"/>
        <v>23.12</v>
      </c>
      <c r="Q2920" t="str">
        <f>A2920&amp;"-"&amp;B2920&amp;"-"&amp;D2920</f>
        <v>JULI-KLB-L3B</v>
      </c>
    </row>
    <row r="2921" spans="1:17" x14ac:dyDescent="0.25">
      <c r="A2921" t="s">
        <v>397</v>
      </c>
      <c r="B2921" s="13" t="s">
        <v>24</v>
      </c>
      <c r="C2921" s="13" t="s">
        <v>226</v>
      </c>
      <c r="D2921" s="14" t="s">
        <v>225</v>
      </c>
      <c r="E2921" s="13" t="s">
        <v>61</v>
      </c>
      <c r="F2921" s="13" t="s">
        <v>1161</v>
      </c>
      <c r="G2921" s="13">
        <v>0.70000000000000007</v>
      </c>
      <c r="H2921" s="15">
        <v>7200</v>
      </c>
      <c r="I2921" s="16">
        <v>5040</v>
      </c>
      <c r="J2921" s="16">
        <v>2892.0956300225066</v>
      </c>
      <c r="K2921" s="16">
        <v>2147.9043699774929</v>
      </c>
      <c r="L2921" s="13">
        <v>1.3</v>
      </c>
      <c r="M2921" s="13"/>
      <c r="N2921" s="17">
        <f t="shared" si="98"/>
        <v>9360</v>
      </c>
      <c r="O2921" s="17">
        <f t="shared" si="98"/>
        <v>0</v>
      </c>
      <c r="P2921" s="17">
        <f t="shared" si="97"/>
        <v>9360</v>
      </c>
      <c r="Q2921" t="str">
        <f>A2921&amp;"-"&amp;B2921&amp;"-"&amp;D2921</f>
        <v>JULI-KLB-L3B</v>
      </c>
    </row>
    <row r="2922" spans="1:17" x14ac:dyDescent="0.25">
      <c r="A2922" t="s">
        <v>397</v>
      </c>
      <c r="B2922" s="13" t="s">
        <v>24</v>
      </c>
      <c r="C2922" s="13" t="s">
        <v>226</v>
      </c>
      <c r="D2922" s="14" t="s">
        <v>225</v>
      </c>
      <c r="E2922" s="13" t="s">
        <v>61</v>
      </c>
      <c r="F2922" s="13" t="s">
        <v>1162</v>
      </c>
      <c r="G2922" s="13">
        <v>0.72</v>
      </c>
      <c r="H2922" s="15">
        <v>1623</v>
      </c>
      <c r="I2922" s="16">
        <v>1168.56</v>
      </c>
      <c r="J2922" s="16">
        <v>795.56919502095582</v>
      </c>
      <c r="K2922" s="16">
        <v>372.99080497904413</v>
      </c>
      <c r="L2922" s="13">
        <v>1.36</v>
      </c>
      <c r="M2922" s="13"/>
      <c r="N2922" s="17">
        <f t="shared" si="98"/>
        <v>2207.2800000000002</v>
      </c>
      <c r="O2922" s="17">
        <f t="shared" si="98"/>
        <v>0</v>
      </c>
      <c r="P2922" s="17">
        <f t="shared" si="97"/>
        <v>2207.2800000000002</v>
      </c>
      <c r="Q2922" t="str">
        <f>A2922&amp;"-"&amp;B2922&amp;"-"&amp;D2922</f>
        <v>JULI-KLB-L3B</v>
      </c>
    </row>
    <row r="2923" spans="1:17" x14ac:dyDescent="0.25">
      <c r="A2923" t="s">
        <v>397</v>
      </c>
      <c r="B2923" s="13" t="s">
        <v>24</v>
      </c>
      <c r="C2923" s="13" t="s">
        <v>226</v>
      </c>
      <c r="D2923" s="14" t="s">
        <v>225</v>
      </c>
      <c r="E2923" s="13" t="s">
        <v>61</v>
      </c>
      <c r="F2923" s="13" t="s">
        <v>1163</v>
      </c>
      <c r="G2923" s="13">
        <v>0.68</v>
      </c>
      <c r="H2923" s="15">
        <v>2875</v>
      </c>
      <c r="I2923" s="16">
        <v>1955</v>
      </c>
      <c r="J2923" s="16">
        <v>955.89500879400612</v>
      </c>
      <c r="K2923" s="16">
        <v>999.10499120599377</v>
      </c>
      <c r="L2923" s="13">
        <v>1.83</v>
      </c>
      <c r="M2923" s="13"/>
      <c r="N2923" s="17">
        <f t="shared" si="98"/>
        <v>5261.25</v>
      </c>
      <c r="O2923" s="17">
        <f t="shared" si="98"/>
        <v>0</v>
      </c>
      <c r="P2923" s="17">
        <f t="shared" si="97"/>
        <v>5261.25</v>
      </c>
      <c r="Q2923" t="str">
        <f>A2923&amp;"-"&amp;B2923&amp;"-"&amp;D2923</f>
        <v>JULI-KLB-L3B</v>
      </c>
    </row>
    <row r="2924" spans="1:17" x14ac:dyDescent="0.25">
      <c r="A2924" t="s">
        <v>397</v>
      </c>
      <c r="B2924" s="13" t="s">
        <v>24</v>
      </c>
      <c r="C2924" s="13" t="s">
        <v>226</v>
      </c>
      <c r="D2924" s="14" t="s">
        <v>225</v>
      </c>
      <c r="E2924" s="13" t="s">
        <v>61</v>
      </c>
      <c r="F2924" s="13" t="s">
        <v>1164</v>
      </c>
      <c r="G2924" s="13">
        <v>0.68</v>
      </c>
      <c r="H2924" s="15">
        <v>2240</v>
      </c>
      <c r="I2924" s="16">
        <v>1523.2</v>
      </c>
      <c r="J2924" s="16">
        <v>938.10808689302667</v>
      </c>
      <c r="K2924" s="16">
        <v>585.09191310697327</v>
      </c>
      <c r="L2924" s="13">
        <v>1.83</v>
      </c>
      <c r="M2924" s="13"/>
      <c r="N2924" s="17">
        <f t="shared" si="98"/>
        <v>4099.2</v>
      </c>
      <c r="O2924" s="17">
        <f t="shared" si="98"/>
        <v>0</v>
      </c>
      <c r="P2924" s="17">
        <f t="shared" si="97"/>
        <v>4099.2</v>
      </c>
      <c r="Q2924" t="str">
        <f>A2924&amp;"-"&amp;B2924&amp;"-"&amp;D2924</f>
        <v>JULI-KLB-L3B</v>
      </c>
    </row>
    <row r="2925" spans="1:17" x14ac:dyDescent="0.25">
      <c r="A2925" t="s">
        <v>397</v>
      </c>
      <c r="B2925" s="13" t="s">
        <v>24</v>
      </c>
      <c r="C2925" s="13" t="s">
        <v>226</v>
      </c>
      <c r="D2925" s="14" t="s">
        <v>225</v>
      </c>
      <c r="E2925" s="13" t="s">
        <v>61</v>
      </c>
      <c r="F2925" s="13" t="s">
        <v>1165</v>
      </c>
      <c r="G2925" s="13">
        <v>0.65</v>
      </c>
      <c r="H2925" s="15">
        <v>4904</v>
      </c>
      <c r="I2925" s="16">
        <v>3187.6</v>
      </c>
      <c r="J2925" s="16">
        <v>1898.0849272169935</v>
      </c>
      <c r="K2925" s="16">
        <v>1289.5150727830066</v>
      </c>
      <c r="L2925" s="13">
        <v>1.66</v>
      </c>
      <c r="M2925" s="13"/>
      <c r="N2925" s="17">
        <f t="shared" si="98"/>
        <v>8140.6399999999994</v>
      </c>
      <c r="O2925" s="17">
        <f t="shared" si="98"/>
        <v>0</v>
      </c>
      <c r="P2925" s="17">
        <f t="shared" si="97"/>
        <v>8140.6399999999994</v>
      </c>
      <c r="Q2925" t="str">
        <f>A2925&amp;"-"&amp;B2925&amp;"-"&amp;D2925</f>
        <v>JULI-KLB-L3B</v>
      </c>
    </row>
    <row r="2926" spans="1:17" x14ac:dyDescent="0.25">
      <c r="A2926" t="s">
        <v>397</v>
      </c>
      <c r="B2926" s="13" t="s">
        <v>24</v>
      </c>
      <c r="C2926" s="13" t="s">
        <v>226</v>
      </c>
      <c r="D2926" s="14" t="s">
        <v>225</v>
      </c>
      <c r="E2926" s="13" t="s">
        <v>61</v>
      </c>
      <c r="F2926" s="13" t="s">
        <v>1060</v>
      </c>
      <c r="G2926" s="13">
        <v>0.65</v>
      </c>
      <c r="H2926" s="15">
        <v>1605</v>
      </c>
      <c r="I2926" s="16">
        <v>1043.25</v>
      </c>
      <c r="J2926" s="16">
        <v>740.92306367873539</v>
      </c>
      <c r="K2926" s="16">
        <v>302.32693632126461</v>
      </c>
      <c r="L2926" s="13">
        <v>1.64</v>
      </c>
      <c r="M2926" s="13"/>
      <c r="N2926" s="17">
        <f t="shared" si="98"/>
        <v>2632.2</v>
      </c>
      <c r="O2926" s="17">
        <f t="shared" si="98"/>
        <v>0</v>
      </c>
      <c r="P2926" s="17">
        <f t="shared" si="97"/>
        <v>2632.2</v>
      </c>
      <c r="Q2926" t="str">
        <f>A2926&amp;"-"&amp;B2926&amp;"-"&amp;D2926</f>
        <v>JULI-KLB-L3B</v>
      </c>
    </row>
    <row r="2927" spans="1:17" x14ac:dyDescent="0.25">
      <c r="A2927" t="s">
        <v>397</v>
      </c>
      <c r="B2927" s="13" t="s">
        <v>24</v>
      </c>
      <c r="C2927" s="13" t="s">
        <v>226</v>
      </c>
      <c r="D2927" s="14" t="s">
        <v>225</v>
      </c>
      <c r="E2927" s="13" t="s">
        <v>61</v>
      </c>
      <c r="F2927" s="13" t="s">
        <v>1166</v>
      </c>
      <c r="G2927" s="13">
        <v>0.65</v>
      </c>
      <c r="H2927" s="15">
        <v>5011</v>
      </c>
      <c r="I2927" s="16">
        <v>3257.15</v>
      </c>
      <c r="J2927" s="16">
        <v>1992.594387042456</v>
      </c>
      <c r="K2927" s="16">
        <v>1264.5556129575439</v>
      </c>
      <c r="L2927" s="13">
        <v>1.66</v>
      </c>
      <c r="M2927" s="13"/>
      <c r="N2927" s="17">
        <f t="shared" si="98"/>
        <v>8318.26</v>
      </c>
      <c r="O2927" s="17">
        <f t="shared" si="98"/>
        <v>0</v>
      </c>
      <c r="P2927" s="17">
        <f t="shared" si="97"/>
        <v>8318.26</v>
      </c>
      <c r="Q2927" t="str">
        <f>A2927&amp;"-"&amp;B2927&amp;"-"&amp;D2927</f>
        <v>JULI-KLB-L3B</v>
      </c>
    </row>
    <row r="2928" spans="1:17" x14ac:dyDescent="0.25">
      <c r="A2928" t="s">
        <v>397</v>
      </c>
      <c r="B2928" s="13" t="s">
        <v>24</v>
      </c>
      <c r="C2928" s="13" t="s">
        <v>226</v>
      </c>
      <c r="D2928" s="14" t="s">
        <v>225</v>
      </c>
      <c r="E2928" s="13" t="s">
        <v>61</v>
      </c>
      <c r="F2928" s="13" t="s">
        <v>1167</v>
      </c>
      <c r="G2928" s="13">
        <v>0.65</v>
      </c>
      <c r="H2928" s="15">
        <v>4731</v>
      </c>
      <c r="I2928" s="16">
        <v>3075.15</v>
      </c>
      <c r="J2928" s="16">
        <v>1862.6726258351973</v>
      </c>
      <c r="K2928" s="16">
        <v>1212.4773741648028</v>
      </c>
      <c r="L2928" s="13">
        <v>1.66</v>
      </c>
      <c r="M2928" s="13"/>
      <c r="N2928" s="17">
        <f t="shared" si="98"/>
        <v>7853.46</v>
      </c>
      <c r="O2928" s="17">
        <f t="shared" si="98"/>
        <v>0</v>
      </c>
      <c r="P2928" s="17">
        <f t="shared" si="97"/>
        <v>7853.46</v>
      </c>
      <c r="Q2928" t="str">
        <f>A2928&amp;"-"&amp;B2928&amp;"-"&amp;D2928</f>
        <v>JULI-KLB-L3B</v>
      </c>
    </row>
    <row r="2929" spans="1:17" x14ac:dyDescent="0.25">
      <c r="A2929" t="s">
        <v>397</v>
      </c>
      <c r="B2929" s="13" t="s">
        <v>25</v>
      </c>
      <c r="C2929" s="13" t="s">
        <v>286</v>
      </c>
      <c r="D2929" s="14" t="s">
        <v>56</v>
      </c>
      <c r="E2929" s="13" t="s">
        <v>1074</v>
      </c>
      <c r="F2929" s="13" t="s">
        <v>1075</v>
      </c>
      <c r="G2929" s="13">
        <v>2.5</v>
      </c>
      <c r="H2929" s="15">
        <v>300</v>
      </c>
      <c r="I2929" s="16">
        <v>750</v>
      </c>
      <c r="J2929" s="16">
        <v>1082.0787005429913</v>
      </c>
      <c r="K2929" s="16">
        <v>-332.07870054299144</v>
      </c>
      <c r="L2929" s="13"/>
      <c r="M2929" s="13">
        <v>2.5</v>
      </c>
      <c r="N2929" s="17">
        <f t="shared" si="98"/>
        <v>0</v>
      </c>
      <c r="O2929" s="17">
        <f t="shared" si="98"/>
        <v>750</v>
      </c>
      <c r="P2929" s="17">
        <f t="shared" si="97"/>
        <v>750</v>
      </c>
      <c r="Q2929" t="str">
        <f>A2929&amp;"-"&amp;B2929&amp;"-"&amp;D2929</f>
        <v>JULI-MJ1-L3</v>
      </c>
    </row>
    <row r="2930" spans="1:17" x14ac:dyDescent="0.25">
      <c r="A2930" t="s">
        <v>397</v>
      </c>
      <c r="B2930" s="13" t="s">
        <v>25</v>
      </c>
      <c r="C2930" s="13" t="s">
        <v>286</v>
      </c>
      <c r="D2930" s="14" t="s">
        <v>158</v>
      </c>
      <c r="E2930" s="13" t="s">
        <v>1074</v>
      </c>
      <c r="F2930" s="13" t="s">
        <v>1075</v>
      </c>
      <c r="G2930" s="13">
        <v>2.5</v>
      </c>
      <c r="H2930" s="15">
        <v>302</v>
      </c>
      <c r="I2930" s="16">
        <v>755</v>
      </c>
      <c r="J2930" s="16">
        <v>534.51477457981377</v>
      </c>
      <c r="K2930" s="16">
        <v>220.48522542018617</v>
      </c>
      <c r="L2930" s="13"/>
      <c r="M2930" s="13">
        <v>2.5</v>
      </c>
      <c r="N2930" s="17">
        <f t="shared" si="98"/>
        <v>0</v>
      </c>
      <c r="O2930" s="17">
        <f t="shared" si="98"/>
        <v>755</v>
      </c>
      <c r="P2930" s="17">
        <f t="shared" si="97"/>
        <v>755</v>
      </c>
      <c r="Q2930" t="str">
        <f>A2930&amp;"-"&amp;B2930&amp;"-"&amp;D2930</f>
        <v>JULI-MJ1-L4</v>
      </c>
    </row>
    <row r="2931" spans="1:17" x14ac:dyDescent="0.25">
      <c r="A2931" t="s">
        <v>397</v>
      </c>
      <c r="B2931" s="13" t="s">
        <v>25</v>
      </c>
      <c r="C2931" s="13" t="s">
        <v>1043</v>
      </c>
      <c r="D2931" s="14" t="s">
        <v>56</v>
      </c>
      <c r="E2931" s="13" t="s">
        <v>534</v>
      </c>
      <c r="F2931" s="13" t="s">
        <v>1170</v>
      </c>
      <c r="G2931" s="13">
        <v>0.80000000000000016</v>
      </c>
      <c r="H2931" s="15">
        <v>2281</v>
      </c>
      <c r="I2931" s="16">
        <v>1824.8</v>
      </c>
      <c r="J2931" s="16">
        <v>9190.0920497079987</v>
      </c>
      <c r="K2931" s="16">
        <v>-7365.2920497079995</v>
      </c>
      <c r="L2931" s="13"/>
      <c r="M2931" s="13">
        <v>0.8</v>
      </c>
      <c r="N2931" s="17">
        <f t="shared" si="98"/>
        <v>0</v>
      </c>
      <c r="O2931" s="17">
        <f t="shared" si="98"/>
        <v>1824.8000000000002</v>
      </c>
      <c r="P2931" s="17">
        <f t="shared" si="97"/>
        <v>1824.8000000000002</v>
      </c>
      <c r="Q2931" t="str">
        <f>A2931&amp;"-"&amp;B2931&amp;"-"&amp;D2931</f>
        <v>JULI-MJ1-L3</v>
      </c>
    </row>
    <row r="2932" spans="1:17" x14ac:dyDescent="0.25">
      <c r="A2932" t="s">
        <v>397</v>
      </c>
      <c r="B2932" s="13" t="s">
        <v>25</v>
      </c>
      <c r="C2932" s="13" t="s">
        <v>1043</v>
      </c>
      <c r="D2932" s="14" t="s">
        <v>56</v>
      </c>
      <c r="E2932" s="13" t="s">
        <v>534</v>
      </c>
      <c r="F2932" s="13" t="s">
        <v>1152</v>
      </c>
      <c r="G2932" s="13">
        <v>0.79999999999999993</v>
      </c>
      <c r="H2932" s="15">
        <v>2992</v>
      </c>
      <c r="I2932" s="16">
        <v>2393.6</v>
      </c>
      <c r="J2932" s="16">
        <v>5607.2436364468649</v>
      </c>
      <c r="K2932" s="16">
        <v>-3213.6436364468655</v>
      </c>
      <c r="L2932" s="13"/>
      <c r="M2932" s="13">
        <v>0.8</v>
      </c>
      <c r="N2932" s="17">
        <f t="shared" si="98"/>
        <v>0</v>
      </c>
      <c r="O2932" s="17">
        <f t="shared" si="98"/>
        <v>2393.6</v>
      </c>
      <c r="P2932" s="17">
        <f t="shared" si="97"/>
        <v>2393.6</v>
      </c>
      <c r="Q2932" t="str">
        <f>A2932&amp;"-"&amp;B2932&amp;"-"&amp;D2932</f>
        <v>JULI-MJ1-L3</v>
      </c>
    </row>
    <row r="2933" spans="1:17" x14ac:dyDescent="0.25">
      <c r="A2933" t="s">
        <v>397</v>
      </c>
      <c r="B2933" s="13" t="s">
        <v>25</v>
      </c>
      <c r="C2933" s="13" t="s">
        <v>1043</v>
      </c>
      <c r="D2933" s="14" t="s">
        <v>56</v>
      </c>
      <c r="E2933" s="13" t="s">
        <v>534</v>
      </c>
      <c r="F2933" s="13" t="s">
        <v>1171</v>
      </c>
      <c r="G2933" s="13">
        <v>0.90000000000000024</v>
      </c>
      <c r="H2933" s="15">
        <v>1500</v>
      </c>
      <c r="I2933" s="16">
        <v>1350.0000000000005</v>
      </c>
      <c r="J2933" s="16">
        <v>5328.0843246994082</v>
      </c>
      <c r="K2933" s="16">
        <v>-3978.0843246994095</v>
      </c>
      <c r="L2933" s="13"/>
      <c r="M2933" s="13">
        <v>0.9</v>
      </c>
      <c r="N2933" s="17">
        <f t="shared" si="98"/>
        <v>0</v>
      </c>
      <c r="O2933" s="17">
        <f t="shared" si="98"/>
        <v>1350</v>
      </c>
      <c r="P2933" s="17">
        <f t="shared" si="97"/>
        <v>1350</v>
      </c>
      <c r="Q2933" t="str">
        <f>A2933&amp;"-"&amp;B2933&amp;"-"&amp;D2933</f>
        <v>JULI-MJ1-L3</v>
      </c>
    </row>
    <row r="2934" spans="1:17" x14ac:dyDescent="0.25">
      <c r="A2934" t="s">
        <v>397</v>
      </c>
      <c r="B2934" s="13" t="s">
        <v>25</v>
      </c>
      <c r="C2934" s="13" t="s">
        <v>1043</v>
      </c>
      <c r="D2934" s="14" t="s">
        <v>56</v>
      </c>
      <c r="E2934" s="13" t="s">
        <v>534</v>
      </c>
      <c r="F2934" s="13" t="s">
        <v>1172</v>
      </c>
      <c r="G2934" s="13">
        <v>0.8</v>
      </c>
      <c r="H2934" s="15">
        <v>404</v>
      </c>
      <c r="I2934" s="16">
        <v>323.2</v>
      </c>
      <c r="J2934" s="16">
        <v>1377.7659916066086</v>
      </c>
      <c r="K2934" s="16">
        <v>-1054.5659916066086</v>
      </c>
      <c r="L2934" s="13"/>
      <c r="M2934" s="13">
        <v>0.8</v>
      </c>
      <c r="N2934" s="17">
        <f t="shared" si="98"/>
        <v>0</v>
      </c>
      <c r="O2934" s="17">
        <f t="shared" si="98"/>
        <v>323.20000000000005</v>
      </c>
      <c r="P2934" s="17">
        <f t="shared" si="97"/>
        <v>323.20000000000005</v>
      </c>
      <c r="Q2934" t="str">
        <f>A2934&amp;"-"&amp;B2934&amp;"-"&amp;D2934</f>
        <v>JULI-MJ1-L3</v>
      </c>
    </row>
    <row r="2935" spans="1:17" x14ac:dyDescent="0.25">
      <c r="A2935" t="s">
        <v>397</v>
      </c>
      <c r="B2935" s="13" t="s">
        <v>25</v>
      </c>
      <c r="C2935" s="13" t="s">
        <v>1043</v>
      </c>
      <c r="D2935" s="14" t="s">
        <v>158</v>
      </c>
      <c r="E2935" s="13" t="s">
        <v>534</v>
      </c>
      <c r="F2935" s="13" t="s">
        <v>1170</v>
      </c>
      <c r="G2935" s="13">
        <v>0.8</v>
      </c>
      <c r="H2935" s="15">
        <v>1432</v>
      </c>
      <c r="I2935" s="16">
        <v>1145.5999999999999</v>
      </c>
      <c r="J2935" s="16">
        <v>7309.7897686091428</v>
      </c>
      <c r="K2935" s="16">
        <v>-6164.1897686091434</v>
      </c>
      <c r="L2935" s="13"/>
      <c r="M2935" s="13">
        <v>0.8</v>
      </c>
      <c r="N2935" s="17">
        <f t="shared" si="98"/>
        <v>0</v>
      </c>
      <c r="O2935" s="17">
        <f t="shared" si="98"/>
        <v>1145.6000000000001</v>
      </c>
      <c r="P2935" s="17">
        <f t="shared" si="97"/>
        <v>1145.6000000000001</v>
      </c>
      <c r="Q2935" t="str">
        <f>A2935&amp;"-"&amp;B2935&amp;"-"&amp;D2935</f>
        <v>JULI-MJ1-L4</v>
      </c>
    </row>
    <row r="2936" spans="1:17" x14ac:dyDescent="0.25">
      <c r="A2936" t="s">
        <v>397</v>
      </c>
      <c r="B2936" s="13" t="s">
        <v>25</v>
      </c>
      <c r="C2936" s="13" t="s">
        <v>1043</v>
      </c>
      <c r="D2936" s="14" t="s">
        <v>158</v>
      </c>
      <c r="E2936" s="13" t="s">
        <v>534</v>
      </c>
      <c r="F2936" s="13" t="s">
        <v>1152</v>
      </c>
      <c r="G2936" s="13">
        <v>0.79999999999999993</v>
      </c>
      <c r="H2936" s="15">
        <v>3480</v>
      </c>
      <c r="I2936" s="16">
        <v>2784</v>
      </c>
      <c r="J2936" s="16">
        <v>6266.8655711774791</v>
      </c>
      <c r="K2936" s="16">
        <v>-3482.8655711774791</v>
      </c>
      <c r="L2936" s="13"/>
      <c r="M2936" s="13">
        <v>0.8</v>
      </c>
      <c r="N2936" s="17">
        <f t="shared" si="98"/>
        <v>0</v>
      </c>
      <c r="O2936" s="17">
        <f t="shared" si="98"/>
        <v>2784</v>
      </c>
      <c r="P2936" s="17">
        <f t="shared" si="97"/>
        <v>2784</v>
      </c>
      <c r="Q2936" t="str">
        <f>A2936&amp;"-"&amp;B2936&amp;"-"&amp;D2936</f>
        <v>JULI-MJ1-L4</v>
      </c>
    </row>
    <row r="2937" spans="1:17" x14ac:dyDescent="0.25">
      <c r="A2937" t="s">
        <v>397</v>
      </c>
      <c r="B2937" s="13" t="s">
        <v>25</v>
      </c>
      <c r="C2937" s="13" t="s">
        <v>1043</v>
      </c>
      <c r="D2937" s="14" t="s">
        <v>158</v>
      </c>
      <c r="E2937" s="13" t="s">
        <v>534</v>
      </c>
      <c r="F2937" s="13" t="s">
        <v>1171</v>
      </c>
      <c r="G2937" s="13">
        <v>0.90000000000000024</v>
      </c>
      <c r="H2937" s="15">
        <v>1020</v>
      </c>
      <c r="I2937" s="16">
        <v>917.99999999999977</v>
      </c>
      <c r="J2937" s="16">
        <v>3344.8871051935389</v>
      </c>
      <c r="K2937" s="16">
        <v>-2426.8871051935389</v>
      </c>
      <c r="L2937" s="13"/>
      <c r="M2937" s="13">
        <v>0.9</v>
      </c>
      <c r="N2937" s="17">
        <f t="shared" si="98"/>
        <v>0</v>
      </c>
      <c r="O2937" s="17">
        <f t="shared" si="98"/>
        <v>918</v>
      </c>
      <c r="P2937" s="17">
        <f t="shared" si="97"/>
        <v>918</v>
      </c>
      <c r="Q2937" t="str">
        <f>A2937&amp;"-"&amp;B2937&amp;"-"&amp;D2937</f>
        <v>JULI-MJ1-L4</v>
      </c>
    </row>
    <row r="2938" spans="1:17" x14ac:dyDescent="0.25">
      <c r="A2938" t="s">
        <v>397</v>
      </c>
      <c r="B2938" s="13" t="s">
        <v>25</v>
      </c>
      <c r="C2938" s="13" t="s">
        <v>1043</v>
      </c>
      <c r="D2938" s="14" t="s">
        <v>158</v>
      </c>
      <c r="E2938" s="13" t="s">
        <v>534</v>
      </c>
      <c r="F2938" s="13" t="s">
        <v>1172</v>
      </c>
      <c r="G2938" s="13">
        <v>0.79999999999999993</v>
      </c>
      <c r="H2938" s="15">
        <v>1320</v>
      </c>
      <c r="I2938" s="16">
        <v>1056</v>
      </c>
      <c r="J2938" s="16">
        <v>3027.7394053778398</v>
      </c>
      <c r="K2938" s="16">
        <v>-1971.7394053778398</v>
      </c>
      <c r="L2938" s="13"/>
      <c r="M2938" s="13">
        <v>0.8</v>
      </c>
      <c r="N2938" s="17">
        <f t="shared" si="98"/>
        <v>0</v>
      </c>
      <c r="O2938" s="17">
        <f t="shared" si="98"/>
        <v>1056</v>
      </c>
      <c r="P2938" s="17">
        <f t="shared" si="97"/>
        <v>1056</v>
      </c>
      <c r="Q2938" t="str">
        <f>A2938&amp;"-"&amp;B2938&amp;"-"&amp;D2938</f>
        <v>JULI-MJ1-L4</v>
      </c>
    </row>
    <row r="2939" spans="1:17" x14ac:dyDescent="0.25">
      <c r="A2939" t="s">
        <v>397</v>
      </c>
      <c r="B2939" s="13" t="s">
        <v>25</v>
      </c>
      <c r="C2939" s="13" t="s">
        <v>43</v>
      </c>
      <c r="D2939" s="14" t="s">
        <v>301</v>
      </c>
      <c r="E2939" s="13" t="s">
        <v>1077</v>
      </c>
      <c r="F2939" s="13" t="s">
        <v>1078</v>
      </c>
      <c r="G2939" s="13">
        <v>3.94</v>
      </c>
      <c r="H2939" s="15">
        <v>572</v>
      </c>
      <c r="I2939" s="16">
        <v>2253.6800000000003</v>
      </c>
      <c r="J2939" s="16">
        <v>7332</v>
      </c>
      <c r="K2939" s="16">
        <v>-5078.32</v>
      </c>
      <c r="L2939" s="13"/>
      <c r="M2939" s="13">
        <v>4.07</v>
      </c>
      <c r="N2939" s="17">
        <f t="shared" si="98"/>
        <v>0</v>
      </c>
      <c r="O2939" s="17">
        <f t="shared" si="98"/>
        <v>2328.04</v>
      </c>
      <c r="P2939" s="17">
        <f t="shared" si="97"/>
        <v>2328.04</v>
      </c>
      <c r="Q2939" t="str">
        <f>A2939&amp;"-"&amp;B2939&amp;"-"&amp;D2939</f>
        <v>JULI-MJ1-L10</v>
      </c>
    </row>
    <row r="2940" spans="1:17" x14ac:dyDescent="0.25">
      <c r="A2940" t="s">
        <v>397</v>
      </c>
      <c r="B2940" s="13" t="s">
        <v>25</v>
      </c>
      <c r="C2940" s="13" t="s">
        <v>43</v>
      </c>
      <c r="D2940" s="14" t="s">
        <v>287</v>
      </c>
      <c r="E2940" s="13" t="s">
        <v>302</v>
      </c>
      <c r="F2940" s="13" t="s">
        <v>946</v>
      </c>
      <c r="G2940" s="13">
        <v>3.3799999999999986</v>
      </c>
      <c r="H2940" s="15">
        <v>3818</v>
      </c>
      <c r="I2940" s="16">
        <v>12904.840000000004</v>
      </c>
      <c r="J2940" s="16">
        <v>20774</v>
      </c>
      <c r="K2940" s="16">
        <v>-7869.1599999999989</v>
      </c>
      <c r="L2940" s="13"/>
      <c r="M2940" s="13">
        <v>3.5</v>
      </c>
      <c r="N2940" s="17">
        <f t="shared" si="98"/>
        <v>0</v>
      </c>
      <c r="O2940" s="17">
        <f t="shared" si="98"/>
        <v>13363</v>
      </c>
      <c r="P2940" s="17">
        <f t="shared" si="97"/>
        <v>13363</v>
      </c>
      <c r="Q2940" t="str">
        <f>A2940&amp;"-"&amp;B2940&amp;"-"&amp;D2940</f>
        <v>JULI-MJ1-L11</v>
      </c>
    </row>
    <row r="2941" spans="1:17" x14ac:dyDescent="0.25">
      <c r="A2941" t="s">
        <v>397</v>
      </c>
      <c r="B2941" s="13" t="s">
        <v>25</v>
      </c>
      <c r="C2941" s="13" t="s">
        <v>43</v>
      </c>
      <c r="D2941" s="14" t="s">
        <v>310</v>
      </c>
      <c r="E2941" s="13" t="s">
        <v>302</v>
      </c>
      <c r="F2941" s="13" t="s">
        <v>946</v>
      </c>
      <c r="G2941" s="13">
        <v>3.3799999999999986</v>
      </c>
      <c r="H2941" s="15">
        <v>3783</v>
      </c>
      <c r="I2941" s="16">
        <v>12786.539999999999</v>
      </c>
      <c r="J2941" s="16">
        <v>20774</v>
      </c>
      <c r="K2941" s="16">
        <v>-7987.46</v>
      </c>
      <c r="L2941" s="13"/>
      <c r="M2941" s="13">
        <v>3.5</v>
      </c>
      <c r="N2941" s="17">
        <f t="shared" si="98"/>
        <v>0</v>
      </c>
      <c r="O2941" s="17">
        <f t="shared" si="98"/>
        <v>13240.5</v>
      </c>
      <c r="P2941" s="17">
        <f t="shared" si="97"/>
        <v>13240.5</v>
      </c>
      <c r="Q2941" t="str">
        <f>A2941&amp;"-"&amp;B2941&amp;"-"&amp;D2941</f>
        <v>JULI-MJ1-L12</v>
      </c>
    </row>
    <row r="2942" spans="1:17" x14ac:dyDescent="0.25">
      <c r="A2942" t="s">
        <v>397</v>
      </c>
      <c r="B2942" s="13" t="s">
        <v>25</v>
      </c>
      <c r="C2942" s="13" t="s">
        <v>43</v>
      </c>
      <c r="D2942" s="14" t="s">
        <v>320</v>
      </c>
      <c r="E2942" s="13" t="s">
        <v>302</v>
      </c>
      <c r="F2942" s="13" t="s">
        <v>946</v>
      </c>
      <c r="G2942" s="13">
        <v>3.3800000000000003</v>
      </c>
      <c r="H2942" s="15">
        <v>1689</v>
      </c>
      <c r="I2942" s="16">
        <v>5708.82</v>
      </c>
      <c r="J2942" s="16">
        <v>8554</v>
      </c>
      <c r="K2942" s="16">
        <v>-2845.1800000000003</v>
      </c>
      <c r="L2942" s="13"/>
      <c r="M2942" s="13">
        <v>3.5</v>
      </c>
      <c r="N2942" s="17">
        <f t="shared" si="98"/>
        <v>0</v>
      </c>
      <c r="O2942" s="17">
        <f t="shared" si="98"/>
        <v>5911.5</v>
      </c>
      <c r="P2942" s="17">
        <f t="shared" si="97"/>
        <v>5911.5</v>
      </c>
      <c r="Q2942" t="str">
        <f>A2942&amp;"-"&amp;B2942&amp;"-"&amp;D2942</f>
        <v>JULI-MJ1-L13</v>
      </c>
    </row>
    <row r="2943" spans="1:17" x14ac:dyDescent="0.25">
      <c r="A2943" t="s">
        <v>397</v>
      </c>
      <c r="B2943" s="13" t="s">
        <v>25</v>
      </c>
      <c r="C2943" s="13" t="s">
        <v>43</v>
      </c>
      <c r="D2943" s="14" t="s">
        <v>1079</v>
      </c>
      <c r="E2943" s="13" t="s">
        <v>302</v>
      </c>
      <c r="F2943" s="13" t="s">
        <v>946</v>
      </c>
      <c r="G2943" s="13">
        <v>3.3800000000000003</v>
      </c>
      <c r="H2943" s="15">
        <v>1676</v>
      </c>
      <c r="I2943" s="16">
        <v>5664.88</v>
      </c>
      <c r="J2943" s="16">
        <v>8554</v>
      </c>
      <c r="K2943" s="16">
        <v>-2889.12</v>
      </c>
      <c r="L2943" s="13"/>
      <c r="M2943" s="13">
        <v>3.5</v>
      </c>
      <c r="N2943" s="17">
        <f t="shared" si="98"/>
        <v>0</v>
      </c>
      <c r="O2943" s="17">
        <f t="shared" si="98"/>
        <v>5866</v>
      </c>
      <c r="P2943" s="17">
        <f t="shared" si="97"/>
        <v>5866</v>
      </c>
      <c r="Q2943" t="str">
        <f>A2943&amp;"-"&amp;B2943&amp;"-"&amp;D2943</f>
        <v>JULI-MJ1-L14</v>
      </c>
    </row>
    <row r="2944" spans="1:17" x14ac:dyDescent="0.25">
      <c r="A2944" t="s">
        <v>397</v>
      </c>
      <c r="B2944" s="13" t="s">
        <v>25</v>
      </c>
      <c r="C2944" s="13" t="s">
        <v>43</v>
      </c>
      <c r="D2944" s="14" t="s">
        <v>56</v>
      </c>
      <c r="E2944" s="13" t="s">
        <v>71</v>
      </c>
      <c r="F2944" s="13" t="s">
        <v>1173</v>
      </c>
      <c r="G2944" s="13">
        <v>11.27</v>
      </c>
      <c r="H2944" s="15">
        <v>51</v>
      </c>
      <c r="I2944" s="16">
        <v>574.77</v>
      </c>
      <c r="J2944" s="16">
        <v>94.914990933942605</v>
      </c>
      <c r="K2944" s="16">
        <v>479.85500906605745</v>
      </c>
      <c r="L2944" s="13"/>
      <c r="M2944" s="13">
        <v>11.4</v>
      </c>
      <c r="N2944" s="17">
        <f t="shared" si="98"/>
        <v>0</v>
      </c>
      <c r="O2944" s="17">
        <f t="shared" si="98"/>
        <v>581.4</v>
      </c>
      <c r="P2944" s="17">
        <f t="shared" si="97"/>
        <v>581.4</v>
      </c>
      <c r="Q2944" t="str">
        <f>A2944&amp;"-"&amp;B2944&amp;"-"&amp;D2944</f>
        <v>JULI-MJ1-L3</v>
      </c>
    </row>
    <row r="2945" spans="1:17" x14ac:dyDescent="0.25">
      <c r="A2945" t="s">
        <v>397</v>
      </c>
      <c r="B2945" s="13" t="s">
        <v>25</v>
      </c>
      <c r="C2945" s="13" t="s">
        <v>43</v>
      </c>
      <c r="D2945" s="14" t="s">
        <v>56</v>
      </c>
      <c r="E2945" s="13" t="s">
        <v>179</v>
      </c>
      <c r="F2945" s="13" t="s">
        <v>308</v>
      </c>
      <c r="G2945" s="13">
        <v>2.85</v>
      </c>
      <c r="H2945" s="15">
        <v>11</v>
      </c>
      <c r="I2945" s="16">
        <v>31.35</v>
      </c>
      <c r="J2945" s="16">
        <v>38.16834323432343</v>
      </c>
      <c r="K2945" s="16">
        <v>-6.8183432343234305</v>
      </c>
      <c r="L2945" s="13"/>
      <c r="M2945" s="13">
        <v>2.9</v>
      </c>
      <c r="N2945" s="17">
        <f t="shared" si="98"/>
        <v>0</v>
      </c>
      <c r="O2945" s="17">
        <f t="shared" si="98"/>
        <v>31.9</v>
      </c>
      <c r="P2945" s="17">
        <f t="shared" si="97"/>
        <v>31.9</v>
      </c>
      <c r="Q2945" t="str">
        <f>A2945&amp;"-"&amp;B2945&amp;"-"&amp;D2945</f>
        <v>JULI-MJ1-L3</v>
      </c>
    </row>
    <row r="2946" spans="1:17" x14ac:dyDescent="0.25">
      <c r="A2946" t="s">
        <v>397</v>
      </c>
      <c r="B2946" s="13" t="s">
        <v>25</v>
      </c>
      <c r="C2946" s="13" t="s">
        <v>43</v>
      </c>
      <c r="D2946" s="14" t="s">
        <v>56</v>
      </c>
      <c r="E2946" s="13" t="s">
        <v>179</v>
      </c>
      <c r="F2946" s="13" t="s">
        <v>492</v>
      </c>
      <c r="G2946" s="13">
        <v>3.2</v>
      </c>
      <c r="H2946" s="15">
        <v>35</v>
      </c>
      <c r="I2946" s="16">
        <v>112</v>
      </c>
      <c r="J2946" s="16">
        <v>121.796699669967</v>
      </c>
      <c r="K2946" s="16">
        <v>-9.7966996699669977</v>
      </c>
      <c r="L2946" s="13"/>
      <c r="M2946" s="13">
        <v>3.35</v>
      </c>
      <c r="N2946" s="17">
        <f t="shared" si="98"/>
        <v>0</v>
      </c>
      <c r="O2946" s="17">
        <f t="shared" si="98"/>
        <v>117.25</v>
      </c>
      <c r="P2946" s="17">
        <f t="shared" ref="P2946:P3009" si="99">N2946+O2946</f>
        <v>117.25</v>
      </c>
      <c r="Q2946" t="str">
        <f>A2946&amp;"-"&amp;B2946&amp;"-"&amp;D2946</f>
        <v>JULI-MJ1-L3</v>
      </c>
    </row>
    <row r="2947" spans="1:17" x14ac:dyDescent="0.25">
      <c r="A2947" t="s">
        <v>397</v>
      </c>
      <c r="B2947" s="13" t="s">
        <v>25</v>
      </c>
      <c r="C2947" s="13" t="s">
        <v>43</v>
      </c>
      <c r="D2947" s="14" t="s">
        <v>158</v>
      </c>
      <c r="E2947" s="13" t="s">
        <v>71</v>
      </c>
      <c r="F2947" s="13" t="s">
        <v>1173</v>
      </c>
      <c r="G2947" s="13">
        <v>11.27</v>
      </c>
      <c r="H2947" s="15">
        <v>51</v>
      </c>
      <c r="I2947" s="16">
        <v>574.77</v>
      </c>
      <c r="J2947" s="16">
        <v>114.25467564515769</v>
      </c>
      <c r="K2947" s="16">
        <v>460.51532435484233</v>
      </c>
      <c r="L2947" s="13"/>
      <c r="M2947" s="13">
        <v>11.4</v>
      </c>
      <c r="N2947" s="17">
        <f t="shared" si="98"/>
        <v>0</v>
      </c>
      <c r="O2947" s="17">
        <f t="shared" si="98"/>
        <v>581.4</v>
      </c>
      <c r="P2947" s="17">
        <f t="shared" si="99"/>
        <v>581.4</v>
      </c>
      <c r="Q2947" t="str">
        <f>A2947&amp;"-"&amp;B2947&amp;"-"&amp;D2947</f>
        <v>JULI-MJ1-L4</v>
      </c>
    </row>
    <row r="2948" spans="1:17" x14ac:dyDescent="0.25">
      <c r="A2948" t="s">
        <v>397</v>
      </c>
      <c r="B2948" s="13" t="s">
        <v>25</v>
      </c>
      <c r="C2948" s="13" t="s">
        <v>43</v>
      </c>
      <c r="D2948" s="14" t="s">
        <v>158</v>
      </c>
      <c r="E2948" s="13" t="s">
        <v>179</v>
      </c>
      <c r="F2948" s="13" t="s">
        <v>308</v>
      </c>
      <c r="G2948" s="13">
        <v>2.85</v>
      </c>
      <c r="H2948" s="15">
        <v>12</v>
      </c>
      <c r="I2948" s="16">
        <v>34.200000000000003</v>
      </c>
      <c r="J2948" s="16">
        <v>32.370860927152314</v>
      </c>
      <c r="K2948" s="16">
        <v>1.8291390728476884</v>
      </c>
      <c r="L2948" s="13"/>
      <c r="M2948" s="13">
        <v>2.9</v>
      </c>
      <c r="N2948" s="17">
        <f t="shared" si="98"/>
        <v>0</v>
      </c>
      <c r="O2948" s="17">
        <f t="shared" si="98"/>
        <v>34.799999999999997</v>
      </c>
      <c r="P2948" s="17">
        <f t="shared" si="99"/>
        <v>34.799999999999997</v>
      </c>
      <c r="Q2948" t="str">
        <f>A2948&amp;"-"&amp;B2948&amp;"-"&amp;D2948</f>
        <v>JULI-MJ1-L4</v>
      </c>
    </row>
    <row r="2949" spans="1:17" x14ac:dyDescent="0.25">
      <c r="A2949" t="s">
        <v>397</v>
      </c>
      <c r="B2949" s="13" t="s">
        <v>25</v>
      </c>
      <c r="C2949" s="13" t="s">
        <v>43</v>
      </c>
      <c r="D2949" s="14" t="s">
        <v>158</v>
      </c>
      <c r="E2949" s="13" t="s">
        <v>179</v>
      </c>
      <c r="F2949" s="13" t="s">
        <v>492</v>
      </c>
      <c r="G2949" s="13">
        <v>3.2</v>
      </c>
      <c r="H2949" s="15">
        <v>35</v>
      </c>
      <c r="I2949" s="16">
        <v>112</v>
      </c>
      <c r="J2949" s="16">
        <v>103.38047006882222</v>
      </c>
      <c r="K2949" s="16">
        <v>8.6195299311777802</v>
      </c>
      <c r="L2949" s="13"/>
      <c r="M2949" s="13">
        <v>3.35</v>
      </c>
      <c r="N2949" s="17">
        <f t="shared" si="98"/>
        <v>0</v>
      </c>
      <c r="O2949" s="17">
        <f t="shared" si="98"/>
        <v>117.25</v>
      </c>
      <c r="P2949" s="17">
        <f t="shared" si="99"/>
        <v>117.25</v>
      </c>
      <c r="Q2949" t="str">
        <f>A2949&amp;"-"&amp;B2949&amp;"-"&amp;D2949</f>
        <v>JULI-MJ1-L4</v>
      </c>
    </row>
    <row r="2950" spans="1:17" x14ac:dyDescent="0.25">
      <c r="A2950" t="s">
        <v>397</v>
      </c>
      <c r="B2950" s="13" t="s">
        <v>25</v>
      </c>
      <c r="C2950" s="13" t="s">
        <v>43</v>
      </c>
      <c r="D2950" s="14" t="s">
        <v>164</v>
      </c>
      <c r="E2950" s="13" t="s">
        <v>58</v>
      </c>
      <c r="F2950" s="13" t="s">
        <v>944</v>
      </c>
      <c r="G2950" s="13">
        <v>3.9200000000000004</v>
      </c>
      <c r="H2950" s="15">
        <v>267</v>
      </c>
      <c r="I2950" s="16">
        <v>1046.6400000000001</v>
      </c>
      <c r="J2950" s="16">
        <v>4377.2666666666673</v>
      </c>
      <c r="K2950" s="16">
        <v>-3330.6266666666666</v>
      </c>
      <c r="L2950" s="13"/>
      <c r="M2950" s="13">
        <v>4.05</v>
      </c>
      <c r="N2950" s="17">
        <f t="shared" si="98"/>
        <v>0</v>
      </c>
      <c r="O2950" s="17">
        <f t="shared" si="98"/>
        <v>1081.3499999999999</v>
      </c>
      <c r="P2950" s="17">
        <f t="shared" si="99"/>
        <v>1081.3499999999999</v>
      </c>
      <c r="Q2950" t="str">
        <f>A2950&amp;"-"&amp;B2950&amp;"-"&amp;D2950</f>
        <v>JULI-MJ1-L7</v>
      </c>
    </row>
    <row r="2951" spans="1:17" x14ac:dyDescent="0.25">
      <c r="A2951" t="s">
        <v>397</v>
      </c>
      <c r="B2951" s="13" t="s">
        <v>25</v>
      </c>
      <c r="C2951" s="13" t="s">
        <v>43</v>
      </c>
      <c r="D2951" s="14" t="s">
        <v>164</v>
      </c>
      <c r="E2951" s="13" t="s">
        <v>179</v>
      </c>
      <c r="F2951" s="13" t="s">
        <v>308</v>
      </c>
      <c r="G2951" s="13">
        <v>2.85</v>
      </c>
      <c r="H2951" s="15">
        <v>43</v>
      </c>
      <c r="I2951" s="16">
        <v>122.55</v>
      </c>
      <c r="J2951" s="16">
        <v>613.68571428571431</v>
      </c>
      <c r="K2951" s="16">
        <v>-491.13571428571424</v>
      </c>
      <c r="L2951" s="13"/>
      <c r="M2951" s="13">
        <v>2.9</v>
      </c>
      <c r="N2951" s="17">
        <f t="shared" si="98"/>
        <v>0</v>
      </c>
      <c r="O2951" s="17">
        <f t="shared" si="98"/>
        <v>124.7</v>
      </c>
      <c r="P2951" s="17">
        <f t="shared" si="99"/>
        <v>124.7</v>
      </c>
      <c r="Q2951" t="str">
        <f>A2951&amp;"-"&amp;B2951&amp;"-"&amp;D2951</f>
        <v>JULI-MJ1-L7</v>
      </c>
    </row>
    <row r="2952" spans="1:17" x14ac:dyDescent="0.25">
      <c r="A2952" t="s">
        <v>397</v>
      </c>
      <c r="B2952" s="13" t="s">
        <v>25</v>
      </c>
      <c r="C2952" s="13" t="s">
        <v>43</v>
      </c>
      <c r="D2952" s="14" t="s">
        <v>164</v>
      </c>
      <c r="E2952" s="13" t="s">
        <v>179</v>
      </c>
      <c r="F2952" s="13" t="s">
        <v>492</v>
      </c>
      <c r="G2952" s="13">
        <v>3.2</v>
      </c>
      <c r="H2952" s="15">
        <v>170</v>
      </c>
      <c r="I2952" s="16">
        <v>544</v>
      </c>
      <c r="J2952" s="16">
        <v>1119.047619047619</v>
      </c>
      <c r="K2952" s="16">
        <v>-575.04761904761904</v>
      </c>
      <c r="L2952" s="13"/>
      <c r="M2952" s="13">
        <v>3.35</v>
      </c>
      <c r="N2952" s="17">
        <f t="shared" si="98"/>
        <v>0</v>
      </c>
      <c r="O2952" s="17">
        <f t="shared" si="98"/>
        <v>569.5</v>
      </c>
      <c r="P2952" s="17">
        <f t="shared" si="99"/>
        <v>569.5</v>
      </c>
      <c r="Q2952" t="str">
        <f>A2952&amp;"-"&amp;B2952&amp;"-"&amp;D2952</f>
        <v>JULI-MJ1-L7</v>
      </c>
    </row>
    <row r="2953" spans="1:17" x14ac:dyDescent="0.25">
      <c r="A2953" t="s">
        <v>397</v>
      </c>
      <c r="B2953" s="13" t="s">
        <v>25</v>
      </c>
      <c r="C2953" s="13" t="s">
        <v>947</v>
      </c>
      <c r="D2953" s="14" t="s">
        <v>56</v>
      </c>
      <c r="E2953" s="13" t="s">
        <v>948</v>
      </c>
      <c r="F2953" s="13" t="s">
        <v>949</v>
      </c>
      <c r="G2953" s="13">
        <v>6.75</v>
      </c>
      <c r="H2953" s="15">
        <v>74</v>
      </c>
      <c r="I2953" s="16">
        <v>499.5</v>
      </c>
      <c r="J2953" s="16">
        <v>1599.8552631578948</v>
      </c>
      <c r="K2953" s="16">
        <v>-1100.3552631578948</v>
      </c>
      <c r="L2953" s="13"/>
      <c r="M2953" s="13">
        <v>6.75</v>
      </c>
      <c r="N2953" s="17">
        <f t="shared" si="98"/>
        <v>0</v>
      </c>
      <c r="O2953" s="17">
        <f t="shared" si="98"/>
        <v>499.5</v>
      </c>
      <c r="P2953" s="17">
        <f t="shared" si="99"/>
        <v>499.5</v>
      </c>
      <c r="Q2953" t="str">
        <f>A2953&amp;"-"&amp;B2953&amp;"-"&amp;D2953</f>
        <v>JULI-MJ1-L3</v>
      </c>
    </row>
    <row r="2954" spans="1:17" x14ac:dyDescent="0.25">
      <c r="A2954" t="s">
        <v>397</v>
      </c>
      <c r="B2954" s="13" t="s">
        <v>25</v>
      </c>
      <c r="C2954" s="13" t="s">
        <v>947</v>
      </c>
      <c r="D2954" s="14" t="s">
        <v>158</v>
      </c>
      <c r="E2954" s="13" t="s">
        <v>948</v>
      </c>
      <c r="F2954" s="13" t="s">
        <v>949</v>
      </c>
      <c r="G2954" s="13">
        <v>6.75</v>
      </c>
      <c r="H2954" s="15">
        <v>15</v>
      </c>
      <c r="I2954" s="16">
        <v>101.25</v>
      </c>
      <c r="J2954" s="16">
        <v>3706.1973684210525</v>
      </c>
      <c r="K2954" s="16">
        <v>-3604.9473684210525</v>
      </c>
      <c r="L2954" s="13"/>
      <c r="M2954" s="13">
        <v>6.75</v>
      </c>
      <c r="N2954" s="17">
        <f t="shared" si="98"/>
        <v>0</v>
      </c>
      <c r="O2954" s="17">
        <f t="shared" si="98"/>
        <v>101.25</v>
      </c>
      <c r="P2954" s="17">
        <f t="shared" si="99"/>
        <v>101.25</v>
      </c>
      <c r="Q2954" t="str">
        <f>A2954&amp;"-"&amp;B2954&amp;"-"&amp;D2954</f>
        <v>JULI-MJ1-L4</v>
      </c>
    </row>
    <row r="2955" spans="1:17" x14ac:dyDescent="0.25">
      <c r="A2955" t="s">
        <v>397</v>
      </c>
      <c r="B2955" s="13" t="s">
        <v>25</v>
      </c>
      <c r="C2955" s="13" t="s">
        <v>952</v>
      </c>
      <c r="D2955" s="14" t="s">
        <v>287</v>
      </c>
      <c r="E2955" s="13" t="s">
        <v>953</v>
      </c>
      <c r="F2955" s="13" t="s">
        <v>1174</v>
      </c>
      <c r="G2955" s="13">
        <v>12.47</v>
      </c>
      <c r="H2955" s="15">
        <v>44</v>
      </c>
      <c r="I2955" s="16">
        <v>548.68000000000006</v>
      </c>
      <c r="J2955" s="16">
        <v>3666</v>
      </c>
      <c r="K2955" s="16">
        <v>-3117.3199999999997</v>
      </c>
      <c r="L2955" s="13"/>
      <c r="M2955" s="13">
        <v>20.239999999999998</v>
      </c>
      <c r="N2955" s="17">
        <f t="shared" si="98"/>
        <v>0</v>
      </c>
      <c r="O2955" s="17">
        <f t="shared" si="98"/>
        <v>890.56</v>
      </c>
      <c r="P2955" s="17">
        <f t="shared" si="99"/>
        <v>890.56</v>
      </c>
      <c r="Q2955" t="str">
        <f>A2955&amp;"-"&amp;B2955&amp;"-"&amp;D2955</f>
        <v>JULI-MJ1-L11</v>
      </c>
    </row>
    <row r="2956" spans="1:17" x14ac:dyDescent="0.25">
      <c r="A2956" t="s">
        <v>397</v>
      </c>
      <c r="B2956" s="13" t="s">
        <v>25</v>
      </c>
      <c r="C2956" s="13" t="s">
        <v>952</v>
      </c>
      <c r="D2956" s="14" t="s">
        <v>310</v>
      </c>
      <c r="E2956" s="13" t="s">
        <v>953</v>
      </c>
      <c r="F2956" s="13" t="s">
        <v>1174</v>
      </c>
      <c r="G2956" s="13">
        <v>12.47</v>
      </c>
      <c r="H2956" s="15">
        <v>44</v>
      </c>
      <c r="I2956" s="16">
        <v>548.68000000000006</v>
      </c>
      <c r="J2956" s="16">
        <v>3666</v>
      </c>
      <c r="K2956" s="16">
        <v>-3117.3199999999997</v>
      </c>
      <c r="L2956" s="13"/>
      <c r="M2956" s="13">
        <v>20.239999999999998</v>
      </c>
      <c r="N2956" s="17">
        <f t="shared" si="98"/>
        <v>0</v>
      </c>
      <c r="O2956" s="17">
        <f t="shared" si="98"/>
        <v>890.56</v>
      </c>
      <c r="P2956" s="17">
        <f t="shared" si="99"/>
        <v>890.56</v>
      </c>
      <c r="Q2956" t="str">
        <f>A2956&amp;"-"&amp;B2956&amp;"-"&amp;D2956</f>
        <v>JULI-MJ1-L12</v>
      </c>
    </row>
    <row r="2957" spans="1:17" x14ac:dyDescent="0.25">
      <c r="A2957" t="s">
        <v>397</v>
      </c>
      <c r="B2957" s="13" t="s">
        <v>25</v>
      </c>
      <c r="C2957" s="13" t="s">
        <v>952</v>
      </c>
      <c r="D2957" s="14" t="s">
        <v>160</v>
      </c>
      <c r="E2957" s="13" t="s">
        <v>953</v>
      </c>
      <c r="F2957" s="13" t="s">
        <v>1080</v>
      </c>
      <c r="G2957" s="13">
        <v>12.47</v>
      </c>
      <c r="H2957" s="15">
        <v>198</v>
      </c>
      <c r="I2957" s="16">
        <v>2469.06</v>
      </c>
      <c r="J2957" s="16">
        <v>3766.6352941176469</v>
      </c>
      <c r="K2957" s="16">
        <v>-1297.575294117647</v>
      </c>
      <c r="L2957" s="13"/>
      <c r="M2957" s="13">
        <v>20.239999999999998</v>
      </c>
      <c r="N2957" s="17">
        <f t="shared" si="98"/>
        <v>0</v>
      </c>
      <c r="O2957" s="17">
        <f t="shared" si="98"/>
        <v>4007.5199999999995</v>
      </c>
      <c r="P2957" s="17">
        <f t="shared" si="99"/>
        <v>4007.5199999999995</v>
      </c>
      <c r="Q2957" t="str">
        <f>A2957&amp;"-"&amp;B2957&amp;"-"&amp;D2957</f>
        <v>JULI-MJ1-L5</v>
      </c>
    </row>
    <row r="2958" spans="1:17" x14ac:dyDescent="0.25">
      <c r="A2958" t="s">
        <v>397</v>
      </c>
      <c r="B2958" s="13" t="s">
        <v>25</v>
      </c>
      <c r="C2958" s="13" t="s">
        <v>952</v>
      </c>
      <c r="D2958" s="14" t="s">
        <v>160</v>
      </c>
      <c r="E2958" s="13" t="s">
        <v>953</v>
      </c>
      <c r="F2958" s="13" t="s">
        <v>1175</v>
      </c>
      <c r="G2958" s="13">
        <v>12.47</v>
      </c>
      <c r="H2958" s="15">
        <v>499</v>
      </c>
      <c r="I2958" s="16">
        <v>6222.53</v>
      </c>
      <c r="J2958" s="16">
        <v>7470.6028577762809</v>
      </c>
      <c r="K2958" s="16">
        <v>-1248.072857776282</v>
      </c>
      <c r="L2958" s="13"/>
      <c r="M2958" s="13">
        <v>20.239999999999998</v>
      </c>
      <c r="N2958" s="17">
        <f t="shared" si="98"/>
        <v>0</v>
      </c>
      <c r="O2958" s="17">
        <f t="shared" si="98"/>
        <v>10099.759999999998</v>
      </c>
      <c r="P2958" s="17">
        <f t="shared" si="99"/>
        <v>10099.759999999998</v>
      </c>
      <c r="Q2958" t="str">
        <f>A2958&amp;"-"&amp;B2958&amp;"-"&amp;D2958</f>
        <v>JULI-MJ1-L5</v>
      </c>
    </row>
    <row r="2959" spans="1:17" x14ac:dyDescent="0.25">
      <c r="A2959" t="s">
        <v>397</v>
      </c>
      <c r="B2959" s="13" t="s">
        <v>25</v>
      </c>
      <c r="C2959" s="13" t="s">
        <v>952</v>
      </c>
      <c r="D2959" s="14" t="s">
        <v>160</v>
      </c>
      <c r="E2959" s="13" t="s">
        <v>953</v>
      </c>
      <c r="F2959" s="13" t="s">
        <v>1174</v>
      </c>
      <c r="G2959" s="13">
        <v>12.47</v>
      </c>
      <c r="H2959" s="15">
        <v>308</v>
      </c>
      <c r="I2959" s="16">
        <v>3840.76</v>
      </c>
      <c r="J2959" s="16">
        <v>4306.5412613530261</v>
      </c>
      <c r="K2959" s="16">
        <v>-465.78126135302614</v>
      </c>
      <c r="L2959" s="13"/>
      <c r="M2959" s="13">
        <v>20.239999999999998</v>
      </c>
      <c r="N2959" s="17">
        <f t="shared" si="98"/>
        <v>0</v>
      </c>
      <c r="O2959" s="17">
        <f t="shared" si="98"/>
        <v>6233.9199999999992</v>
      </c>
      <c r="P2959" s="17">
        <f t="shared" si="99"/>
        <v>6233.9199999999992</v>
      </c>
      <c r="Q2959" t="str">
        <f>A2959&amp;"-"&amp;B2959&amp;"-"&amp;D2959</f>
        <v>JULI-MJ1-L5</v>
      </c>
    </row>
    <row r="2960" spans="1:17" x14ac:dyDescent="0.25">
      <c r="A2960" t="s">
        <v>397</v>
      </c>
      <c r="B2960" s="13" t="s">
        <v>25</v>
      </c>
      <c r="C2960" s="13" t="s">
        <v>952</v>
      </c>
      <c r="D2960" s="14" t="s">
        <v>160</v>
      </c>
      <c r="E2960" s="13" t="s">
        <v>953</v>
      </c>
      <c r="F2960" s="13" t="s">
        <v>1176</v>
      </c>
      <c r="G2960" s="13">
        <v>12.47</v>
      </c>
      <c r="H2960" s="15">
        <v>477</v>
      </c>
      <c r="I2960" s="16">
        <v>5948.1899999999987</v>
      </c>
      <c r="J2960" s="16">
        <v>8896.2205867530447</v>
      </c>
      <c r="K2960" s="16">
        <v>-2948.0305867530456</v>
      </c>
      <c r="L2960" s="13"/>
      <c r="M2960" s="13">
        <v>20.09</v>
      </c>
      <c r="N2960" s="17">
        <f t="shared" si="98"/>
        <v>0</v>
      </c>
      <c r="O2960" s="17">
        <f t="shared" si="98"/>
        <v>9582.93</v>
      </c>
      <c r="P2960" s="17">
        <f t="shared" si="99"/>
        <v>9582.93</v>
      </c>
      <c r="Q2960" t="str">
        <f>A2960&amp;"-"&amp;B2960&amp;"-"&amp;D2960</f>
        <v>JULI-MJ1-L5</v>
      </c>
    </row>
    <row r="2961" spans="1:17" x14ac:dyDescent="0.25">
      <c r="A2961" t="s">
        <v>397</v>
      </c>
      <c r="B2961" s="13" t="s">
        <v>25</v>
      </c>
      <c r="C2961" s="13" t="s">
        <v>952</v>
      </c>
      <c r="D2961" s="14" t="s">
        <v>163</v>
      </c>
      <c r="E2961" s="13" t="s">
        <v>953</v>
      </c>
      <c r="F2961" s="13" t="s">
        <v>1080</v>
      </c>
      <c r="G2961" s="13">
        <v>12.47</v>
      </c>
      <c r="H2961" s="15">
        <v>187</v>
      </c>
      <c r="I2961" s="16">
        <v>2331.8900000000003</v>
      </c>
      <c r="J2961" s="16">
        <v>3286.2832587064672</v>
      </c>
      <c r="K2961" s="16">
        <v>-954.39325870646758</v>
      </c>
      <c r="L2961" s="13"/>
      <c r="M2961" s="13">
        <v>20.239999999999998</v>
      </c>
      <c r="N2961" s="17">
        <f t="shared" si="98"/>
        <v>0</v>
      </c>
      <c r="O2961" s="17">
        <f t="shared" si="98"/>
        <v>3784.8799999999997</v>
      </c>
      <c r="P2961" s="17">
        <f t="shared" si="99"/>
        <v>3784.8799999999997</v>
      </c>
      <c r="Q2961" t="str">
        <f>A2961&amp;"-"&amp;B2961&amp;"-"&amp;D2961</f>
        <v>JULI-MJ1-L6</v>
      </c>
    </row>
    <row r="2962" spans="1:17" x14ac:dyDescent="0.25">
      <c r="A2962" t="s">
        <v>397</v>
      </c>
      <c r="B2962" s="13" t="s">
        <v>25</v>
      </c>
      <c r="C2962" s="13" t="s">
        <v>952</v>
      </c>
      <c r="D2962" s="14" t="s">
        <v>163</v>
      </c>
      <c r="E2962" s="13" t="s">
        <v>953</v>
      </c>
      <c r="F2962" s="13" t="s">
        <v>1175</v>
      </c>
      <c r="G2962" s="13">
        <v>12.47</v>
      </c>
      <c r="H2962" s="15">
        <v>498</v>
      </c>
      <c r="I2962" s="16">
        <v>6210.06</v>
      </c>
      <c r="J2962" s="16">
        <v>7440.7637039221154</v>
      </c>
      <c r="K2962" s="16">
        <v>-1230.7037039221148</v>
      </c>
      <c r="L2962" s="13"/>
      <c r="M2962" s="13">
        <v>20.239999999999998</v>
      </c>
      <c r="N2962" s="17">
        <f t="shared" si="98"/>
        <v>0</v>
      </c>
      <c r="O2962" s="17">
        <f t="shared" si="98"/>
        <v>10079.519999999999</v>
      </c>
      <c r="P2962" s="17">
        <f t="shared" si="99"/>
        <v>10079.519999999999</v>
      </c>
      <c r="Q2962" t="str">
        <f>A2962&amp;"-"&amp;B2962&amp;"-"&amp;D2962</f>
        <v>JULI-MJ1-L6</v>
      </c>
    </row>
    <row r="2963" spans="1:17" x14ac:dyDescent="0.25">
      <c r="A2963" t="s">
        <v>397</v>
      </c>
      <c r="B2963" s="13" t="s">
        <v>25</v>
      </c>
      <c r="C2963" s="13" t="s">
        <v>952</v>
      </c>
      <c r="D2963" s="14" t="s">
        <v>163</v>
      </c>
      <c r="E2963" s="13" t="s">
        <v>953</v>
      </c>
      <c r="F2963" s="13" t="s">
        <v>1174</v>
      </c>
      <c r="G2963" s="13">
        <v>12.47</v>
      </c>
      <c r="H2963" s="15">
        <v>311</v>
      </c>
      <c r="I2963" s="16">
        <v>3878.17</v>
      </c>
      <c r="J2963" s="16">
        <v>4339.666666666667</v>
      </c>
      <c r="K2963" s="16">
        <v>-461.49666666666678</v>
      </c>
      <c r="L2963" s="13"/>
      <c r="M2963" s="13">
        <v>20.239999999999998</v>
      </c>
      <c r="N2963" s="17">
        <f t="shared" ref="N2963:O3021" si="100">$H2963*L2963</f>
        <v>0</v>
      </c>
      <c r="O2963" s="17">
        <f t="shared" si="100"/>
        <v>6294.6399999999994</v>
      </c>
      <c r="P2963" s="17">
        <f t="shared" si="99"/>
        <v>6294.6399999999994</v>
      </c>
      <c r="Q2963" t="str">
        <f>A2963&amp;"-"&amp;B2963&amp;"-"&amp;D2963</f>
        <v>JULI-MJ1-L6</v>
      </c>
    </row>
    <row r="2964" spans="1:17" x14ac:dyDescent="0.25">
      <c r="A2964" t="s">
        <v>397</v>
      </c>
      <c r="B2964" s="13" t="s">
        <v>25</v>
      </c>
      <c r="C2964" s="13" t="s">
        <v>952</v>
      </c>
      <c r="D2964" s="14" t="s">
        <v>163</v>
      </c>
      <c r="E2964" s="13" t="s">
        <v>953</v>
      </c>
      <c r="F2964" s="13" t="s">
        <v>1176</v>
      </c>
      <c r="G2964" s="13">
        <v>12.47</v>
      </c>
      <c r="H2964" s="15">
        <v>529</v>
      </c>
      <c r="I2964" s="16">
        <v>6596.6299999999992</v>
      </c>
      <c r="J2964" s="16">
        <v>9373.2863707047491</v>
      </c>
      <c r="K2964" s="16">
        <v>-2776.6563707047521</v>
      </c>
      <c r="L2964" s="13"/>
      <c r="M2964" s="13">
        <v>20.09</v>
      </c>
      <c r="N2964" s="17">
        <f t="shared" si="100"/>
        <v>0</v>
      </c>
      <c r="O2964" s="17">
        <f t="shared" si="100"/>
        <v>10627.61</v>
      </c>
      <c r="P2964" s="17">
        <f t="shared" si="99"/>
        <v>10627.61</v>
      </c>
      <c r="Q2964" t="str">
        <f>A2964&amp;"-"&amp;B2964&amp;"-"&amp;D2964</f>
        <v>JULI-MJ1-L6</v>
      </c>
    </row>
    <row r="2965" spans="1:17" x14ac:dyDescent="0.25">
      <c r="A2965" t="s">
        <v>397</v>
      </c>
      <c r="B2965" s="13" t="s">
        <v>25</v>
      </c>
      <c r="C2965" s="13" t="s">
        <v>955</v>
      </c>
      <c r="D2965" s="14" t="s">
        <v>44</v>
      </c>
      <c r="E2965" s="13" t="s">
        <v>71</v>
      </c>
      <c r="F2965" s="13" t="s">
        <v>1081</v>
      </c>
      <c r="G2965" s="13">
        <v>4.9800000000000022</v>
      </c>
      <c r="H2965" s="15">
        <v>950</v>
      </c>
      <c r="I2965" s="16">
        <v>4730.9999999999982</v>
      </c>
      <c r="J2965" s="16">
        <v>9843.4847266320066</v>
      </c>
      <c r="K2965" s="16">
        <v>-5112.4847266320076</v>
      </c>
      <c r="L2965" s="13"/>
      <c r="M2965" s="13">
        <v>6.34</v>
      </c>
      <c r="N2965" s="17">
        <f t="shared" si="100"/>
        <v>0</v>
      </c>
      <c r="O2965" s="17">
        <f t="shared" si="100"/>
        <v>6023</v>
      </c>
      <c r="P2965" s="17">
        <f t="shared" si="99"/>
        <v>6023</v>
      </c>
      <c r="Q2965" t="str">
        <f>A2965&amp;"-"&amp;B2965&amp;"-"&amp;D2965</f>
        <v>JULI-MJ1-L1</v>
      </c>
    </row>
    <row r="2966" spans="1:17" x14ac:dyDescent="0.25">
      <c r="A2966" t="s">
        <v>397</v>
      </c>
      <c r="B2966" s="13" t="s">
        <v>25</v>
      </c>
      <c r="C2966" s="13" t="s">
        <v>955</v>
      </c>
      <c r="D2966" s="14" t="s">
        <v>44</v>
      </c>
      <c r="E2966" s="13" t="s">
        <v>71</v>
      </c>
      <c r="F2966" s="13" t="s">
        <v>1177</v>
      </c>
      <c r="G2966" s="13">
        <v>5</v>
      </c>
      <c r="H2966" s="15">
        <v>1612</v>
      </c>
      <c r="I2966" s="16">
        <v>8060</v>
      </c>
      <c r="J2966" s="16">
        <v>13818.910533759672</v>
      </c>
      <c r="K2966" s="16">
        <v>-5758.9105337596711</v>
      </c>
      <c r="L2966" s="13"/>
      <c r="M2966" s="13">
        <v>6.15</v>
      </c>
      <c r="N2966" s="17">
        <f t="shared" si="100"/>
        <v>0</v>
      </c>
      <c r="O2966" s="17">
        <f t="shared" si="100"/>
        <v>9913.8000000000011</v>
      </c>
      <c r="P2966" s="17">
        <f t="shared" si="99"/>
        <v>9913.8000000000011</v>
      </c>
      <c r="Q2966" t="str">
        <f>A2966&amp;"-"&amp;B2966&amp;"-"&amp;D2966</f>
        <v>JULI-MJ1-L1</v>
      </c>
    </row>
    <row r="2967" spans="1:17" x14ac:dyDescent="0.25">
      <c r="A2967" t="s">
        <v>397</v>
      </c>
      <c r="B2967" s="13" t="s">
        <v>25</v>
      </c>
      <c r="C2967" s="13" t="s">
        <v>955</v>
      </c>
      <c r="D2967" s="14" t="s">
        <v>44</v>
      </c>
      <c r="E2967" s="13" t="s">
        <v>71</v>
      </c>
      <c r="F2967" s="13" t="s">
        <v>1178</v>
      </c>
      <c r="G2967" s="13">
        <v>5</v>
      </c>
      <c r="H2967" s="15">
        <v>89</v>
      </c>
      <c r="I2967" s="16">
        <v>445</v>
      </c>
      <c r="J2967" s="16">
        <v>777.60473960832257</v>
      </c>
      <c r="K2967" s="16">
        <v>-332.60473960832252</v>
      </c>
      <c r="L2967" s="13"/>
      <c r="M2967" s="13">
        <v>6.11</v>
      </c>
      <c r="N2967" s="17">
        <f t="shared" si="100"/>
        <v>0</v>
      </c>
      <c r="O2967" s="17">
        <f t="shared" si="100"/>
        <v>543.79000000000008</v>
      </c>
      <c r="P2967" s="17">
        <f t="shared" si="99"/>
        <v>543.79000000000008</v>
      </c>
      <c r="Q2967" t="str">
        <f>A2967&amp;"-"&amp;B2967&amp;"-"&amp;D2967</f>
        <v>JULI-MJ1-L1</v>
      </c>
    </row>
    <row r="2968" spans="1:17" x14ac:dyDescent="0.25">
      <c r="A2968" t="s">
        <v>397</v>
      </c>
      <c r="B2968" s="13" t="s">
        <v>25</v>
      </c>
      <c r="C2968" s="13" t="s">
        <v>955</v>
      </c>
      <c r="D2968" s="14" t="s">
        <v>50</v>
      </c>
      <c r="E2968" s="13" t="s">
        <v>71</v>
      </c>
      <c r="F2968" s="13" t="s">
        <v>1081</v>
      </c>
      <c r="G2968" s="13">
        <v>4.9800000000000022</v>
      </c>
      <c r="H2968" s="15">
        <v>952</v>
      </c>
      <c r="I2968" s="16">
        <v>4740.96</v>
      </c>
      <c r="J2968" s="16">
        <v>9890.6901592839131</v>
      </c>
      <c r="K2968" s="16">
        <v>-5149.7301592839112</v>
      </c>
      <c r="L2968" s="13"/>
      <c r="M2968" s="13">
        <v>6.34</v>
      </c>
      <c r="N2968" s="17">
        <f t="shared" si="100"/>
        <v>0</v>
      </c>
      <c r="O2968" s="17">
        <f t="shared" si="100"/>
        <v>6035.68</v>
      </c>
      <c r="P2968" s="17">
        <f t="shared" si="99"/>
        <v>6035.68</v>
      </c>
      <c r="Q2968" t="str">
        <f>A2968&amp;"-"&amp;B2968&amp;"-"&amp;D2968</f>
        <v>JULI-MJ1-L2</v>
      </c>
    </row>
    <row r="2969" spans="1:17" x14ac:dyDescent="0.25">
      <c r="A2969" t="s">
        <v>397</v>
      </c>
      <c r="B2969" s="13" t="s">
        <v>25</v>
      </c>
      <c r="C2969" s="13" t="s">
        <v>955</v>
      </c>
      <c r="D2969" s="14" t="s">
        <v>50</v>
      </c>
      <c r="E2969" s="13" t="s">
        <v>71</v>
      </c>
      <c r="F2969" s="13" t="s">
        <v>1177</v>
      </c>
      <c r="G2969" s="13">
        <v>5</v>
      </c>
      <c r="H2969" s="15">
        <v>1604</v>
      </c>
      <c r="I2969" s="16">
        <v>8020</v>
      </c>
      <c r="J2969" s="16">
        <v>13780.221918019724</v>
      </c>
      <c r="K2969" s="16">
        <v>-5760.2219180197244</v>
      </c>
      <c r="L2969" s="13"/>
      <c r="M2969" s="13">
        <v>6.15</v>
      </c>
      <c r="N2969" s="17">
        <f t="shared" si="100"/>
        <v>0</v>
      </c>
      <c r="O2969" s="17">
        <f t="shared" si="100"/>
        <v>9864.6</v>
      </c>
      <c r="P2969" s="17">
        <f t="shared" si="99"/>
        <v>9864.6</v>
      </c>
      <c r="Q2969" t="str">
        <f>A2969&amp;"-"&amp;B2969&amp;"-"&amp;D2969</f>
        <v>JULI-MJ1-L2</v>
      </c>
    </row>
    <row r="2970" spans="1:17" x14ac:dyDescent="0.25">
      <c r="A2970" t="s">
        <v>397</v>
      </c>
      <c r="B2970" s="13" t="s">
        <v>25</v>
      </c>
      <c r="C2970" s="13" t="s">
        <v>955</v>
      </c>
      <c r="D2970" s="14" t="s">
        <v>50</v>
      </c>
      <c r="E2970" s="13" t="s">
        <v>71</v>
      </c>
      <c r="F2970" s="13" t="s">
        <v>1178</v>
      </c>
      <c r="G2970" s="13">
        <v>5</v>
      </c>
      <c r="H2970" s="15">
        <v>87</v>
      </c>
      <c r="I2970" s="16">
        <v>435</v>
      </c>
      <c r="J2970" s="16">
        <v>769.08792269636285</v>
      </c>
      <c r="K2970" s="16">
        <v>-334.08792269636285</v>
      </c>
      <c r="L2970" s="13"/>
      <c r="M2970" s="13">
        <v>6.11</v>
      </c>
      <c r="N2970" s="17">
        <f t="shared" si="100"/>
        <v>0</v>
      </c>
      <c r="O2970" s="17">
        <f t="shared" si="100"/>
        <v>531.57000000000005</v>
      </c>
      <c r="P2970" s="17">
        <f t="shared" si="99"/>
        <v>531.57000000000005</v>
      </c>
      <c r="Q2970" t="str">
        <f>A2970&amp;"-"&amp;B2970&amp;"-"&amp;D2970</f>
        <v>JULI-MJ1-L2</v>
      </c>
    </row>
    <row r="2971" spans="1:17" x14ac:dyDescent="0.25">
      <c r="A2971" t="s">
        <v>397</v>
      </c>
      <c r="B2971" s="13" t="s">
        <v>25</v>
      </c>
      <c r="C2971" s="13" t="s">
        <v>955</v>
      </c>
      <c r="D2971" s="14" t="s">
        <v>198</v>
      </c>
      <c r="E2971" s="13" t="s">
        <v>71</v>
      </c>
      <c r="F2971" s="13" t="s">
        <v>1082</v>
      </c>
      <c r="G2971" s="13">
        <v>5</v>
      </c>
      <c r="H2971" s="15">
        <v>1089</v>
      </c>
      <c r="I2971" s="16">
        <v>5445</v>
      </c>
      <c r="J2971" s="16">
        <v>15312.343107173032</v>
      </c>
      <c r="K2971" s="16">
        <v>-9867.343107173032</v>
      </c>
      <c r="L2971" s="13"/>
      <c r="M2971" s="13">
        <v>6.8</v>
      </c>
      <c r="N2971" s="17">
        <f t="shared" si="100"/>
        <v>0</v>
      </c>
      <c r="O2971" s="17">
        <f t="shared" si="100"/>
        <v>7405.2</v>
      </c>
      <c r="P2971" s="17">
        <f t="shared" si="99"/>
        <v>7405.2</v>
      </c>
      <c r="Q2971" t="str">
        <f>A2971&amp;"-"&amp;B2971&amp;"-"&amp;D2971</f>
        <v>JULI-MJ1-L8</v>
      </c>
    </row>
    <row r="2972" spans="1:17" x14ac:dyDescent="0.25">
      <c r="A2972" t="s">
        <v>397</v>
      </c>
      <c r="B2972" s="13" t="s">
        <v>25</v>
      </c>
      <c r="C2972" s="13" t="s">
        <v>955</v>
      </c>
      <c r="D2972" s="14" t="s">
        <v>198</v>
      </c>
      <c r="E2972" s="13" t="s">
        <v>71</v>
      </c>
      <c r="F2972" s="13" t="s">
        <v>1179</v>
      </c>
      <c r="G2972" s="13">
        <v>5</v>
      </c>
      <c r="H2972" s="15">
        <v>897</v>
      </c>
      <c r="I2972" s="16">
        <v>4485</v>
      </c>
      <c r="J2972" s="16">
        <v>9127.6568928269699</v>
      </c>
      <c r="K2972" s="16">
        <v>-4642.6568928269699</v>
      </c>
      <c r="L2972" s="13"/>
      <c r="M2972" s="13">
        <v>6.8</v>
      </c>
      <c r="N2972" s="17">
        <f t="shared" si="100"/>
        <v>0</v>
      </c>
      <c r="O2972" s="17">
        <f t="shared" si="100"/>
        <v>6099.5999999999995</v>
      </c>
      <c r="P2972" s="17">
        <f t="shared" si="99"/>
        <v>6099.5999999999995</v>
      </c>
      <c r="Q2972" t="str">
        <f>A2972&amp;"-"&amp;B2972&amp;"-"&amp;D2972</f>
        <v>JULI-MJ1-L8</v>
      </c>
    </row>
    <row r="2973" spans="1:17" x14ac:dyDescent="0.25">
      <c r="A2973" t="s">
        <v>397</v>
      </c>
      <c r="B2973" s="13" t="s">
        <v>25</v>
      </c>
      <c r="C2973" s="13" t="s">
        <v>955</v>
      </c>
      <c r="D2973" s="14" t="s">
        <v>199</v>
      </c>
      <c r="E2973" s="13" t="s">
        <v>71</v>
      </c>
      <c r="F2973" s="13" t="s">
        <v>1082</v>
      </c>
      <c r="G2973" s="13">
        <v>5</v>
      </c>
      <c r="H2973" s="15">
        <v>1073</v>
      </c>
      <c r="I2973" s="16">
        <v>5365</v>
      </c>
      <c r="J2973" s="16">
        <v>15247.626370327956</v>
      </c>
      <c r="K2973" s="16">
        <v>-9882.6263703279565</v>
      </c>
      <c r="L2973" s="13"/>
      <c r="M2973" s="13">
        <v>6.8</v>
      </c>
      <c r="N2973" s="17">
        <f t="shared" si="100"/>
        <v>0</v>
      </c>
      <c r="O2973" s="17">
        <f t="shared" si="100"/>
        <v>7296.4</v>
      </c>
      <c r="P2973" s="17">
        <f t="shared" si="99"/>
        <v>7296.4</v>
      </c>
      <c r="Q2973" t="str">
        <f>A2973&amp;"-"&amp;B2973&amp;"-"&amp;D2973</f>
        <v>JULI-MJ1-L9</v>
      </c>
    </row>
    <row r="2974" spans="1:17" x14ac:dyDescent="0.25">
      <c r="A2974" t="s">
        <v>397</v>
      </c>
      <c r="B2974" s="13" t="s">
        <v>25</v>
      </c>
      <c r="C2974" s="13" t="s">
        <v>955</v>
      </c>
      <c r="D2974" s="14" t="s">
        <v>199</v>
      </c>
      <c r="E2974" s="13" t="s">
        <v>71</v>
      </c>
      <c r="F2974" s="13" t="s">
        <v>1179</v>
      </c>
      <c r="G2974" s="13">
        <v>5</v>
      </c>
      <c r="H2974" s="15">
        <v>902</v>
      </c>
      <c r="I2974" s="16">
        <v>4510</v>
      </c>
      <c r="J2974" s="16">
        <v>9192.3736296720435</v>
      </c>
      <c r="K2974" s="16">
        <v>-4682.3736296720435</v>
      </c>
      <c r="L2974" s="13"/>
      <c r="M2974" s="13">
        <v>6.8</v>
      </c>
      <c r="N2974" s="17">
        <f t="shared" si="100"/>
        <v>0</v>
      </c>
      <c r="O2974" s="17">
        <f t="shared" si="100"/>
        <v>6133.5999999999995</v>
      </c>
      <c r="P2974" s="17">
        <f t="shared" si="99"/>
        <v>6133.5999999999995</v>
      </c>
      <c r="Q2974" t="str">
        <f>A2974&amp;"-"&amp;B2974&amp;"-"&amp;D2974</f>
        <v>JULI-MJ1-L9</v>
      </c>
    </row>
    <row r="2975" spans="1:17" x14ac:dyDescent="0.25">
      <c r="A2975" t="s">
        <v>397</v>
      </c>
      <c r="B2975" s="13" t="s">
        <v>26</v>
      </c>
      <c r="C2975" s="13" t="s">
        <v>226</v>
      </c>
      <c r="D2975" s="14" t="s">
        <v>44</v>
      </c>
      <c r="E2975" s="13" t="s">
        <v>61</v>
      </c>
      <c r="F2975" s="13" t="s">
        <v>959</v>
      </c>
      <c r="G2975" s="13">
        <v>0.65000000000000013</v>
      </c>
      <c r="H2975" s="15">
        <v>7424</v>
      </c>
      <c r="I2975" s="16">
        <v>4825.5999999999995</v>
      </c>
      <c r="J2975" s="16">
        <v>7001.5084839508108</v>
      </c>
      <c r="K2975" s="16">
        <v>-2175.9084839508105</v>
      </c>
      <c r="L2975" s="13">
        <v>1.64</v>
      </c>
      <c r="M2975" s="13"/>
      <c r="N2975" s="17">
        <f t="shared" si="100"/>
        <v>12175.359999999999</v>
      </c>
      <c r="O2975" s="17">
        <f t="shared" si="100"/>
        <v>0</v>
      </c>
      <c r="P2975" s="17">
        <f t="shared" si="99"/>
        <v>12175.359999999999</v>
      </c>
      <c r="Q2975" t="str">
        <f>A2975&amp;"-"&amp;B2975&amp;"-"&amp;D2975</f>
        <v>JULI-MJ2-L1</v>
      </c>
    </row>
    <row r="2976" spans="1:17" x14ac:dyDescent="0.25">
      <c r="A2976" t="s">
        <v>397</v>
      </c>
      <c r="B2976" s="13" t="s">
        <v>26</v>
      </c>
      <c r="C2976" s="13" t="s">
        <v>226</v>
      </c>
      <c r="D2976" s="14" t="s">
        <v>44</v>
      </c>
      <c r="E2976" s="13" t="s">
        <v>61</v>
      </c>
      <c r="F2976" s="13" t="s">
        <v>1180</v>
      </c>
      <c r="G2976" s="13">
        <v>0.65000000000000013</v>
      </c>
      <c r="H2976" s="15">
        <v>17080</v>
      </c>
      <c r="I2976" s="16">
        <v>11102</v>
      </c>
      <c r="J2976" s="16">
        <v>11644.817148017059</v>
      </c>
      <c r="K2976" s="16">
        <v>-542.81714801705868</v>
      </c>
      <c r="L2976" s="13">
        <v>1.64</v>
      </c>
      <c r="M2976" s="13"/>
      <c r="N2976" s="17">
        <f t="shared" si="100"/>
        <v>28011.199999999997</v>
      </c>
      <c r="O2976" s="17">
        <f t="shared" si="100"/>
        <v>0</v>
      </c>
      <c r="P2976" s="17">
        <f t="shared" si="99"/>
        <v>28011.199999999997</v>
      </c>
      <c r="Q2976" t="str">
        <f>A2976&amp;"-"&amp;B2976&amp;"-"&amp;D2976</f>
        <v>JULI-MJ2-L1</v>
      </c>
    </row>
    <row r="2977" spans="1:17" x14ac:dyDescent="0.25">
      <c r="A2977" t="s">
        <v>397</v>
      </c>
      <c r="B2977" s="13" t="s">
        <v>26</v>
      </c>
      <c r="C2977" s="13" t="s">
        <v>226</v>
      </c>
      <c r="D2977" s="14" t="s">
        <v>44</v>
      </c>
      <c r="E2977" s="13" t="s">
        <v>61</v>
      </c>
      <c r="F2977" s="13" t="s">
        <v>1181</v>
      </c>
      <c r="G2977" s="13">
        <v>0.65000000000000013</v>
      </c>
      <c r="H2977" s="15">
        <v>2265</v>
      </c>
      <c r="I2977" s="16">
        <v>1472.25</v>
      </c>
      <c r="J2977" s="16">
        <v>1553.6743680321304</v>
      </c>
      <c r="K2977" s="16">
        <v>-81.424368032130602</v>
      </c>
      <c r="L2977" s="13">
        <v>1.76</v>
      </c>
      <c r="M2977" s="13"/>
      <c r="N2977" s="17">
        <f t="shared" si="100"/>
        <v>3986.4</v>
      </c>
      <c r="O2977" s="17">
        <f t="shared" si="100"/>
        <v>0</v>
      </c>
      <c r="P2977" s="17">
        <f t="shared" si="99"/>
        <v>3986.4</v>
      </c>
      <c r="Q2977" t="str">
        <f>A2977&amp;"-"&amp;B2977&amp;"-"&amp;D2977</f>
        <v>JULI-MJ2-L1</v>
      </c>
    </row>
    <row r="2978" spans="1:17" x14ac:dyDescent="0.25">
      <c r="A2978" t="s">
        <v>397</v>
      </c>
      <c r="B2978" s="13" t="s">
        <v>26</v>
      </c>
      <c r="C2978" s="13" t="s">
        <v>226</v>
      </c>
      <c r="D2978" s="14" t="s">
        <v>301</v>
      </c>
      <c r="E2978" s="13" t="s">
        <v>61</v>
      </c>
      <c r="F2978" s="13" t="s">
        <v>1182</v>
      </c>
      <c r="G2978" s="13">
        <v>0.70000000000000007</v>
      </c>
      <c r="H2978" s="15">
        <v>2031</v>
      </c>
      <c r="I2978" s="16">
        <v>1421.7000000000003</v>
      </c>
      <c r="J2978" s="16">
        <v>1067.1444770291519</v>
      </c>
      <c r="K2978" s="16">
        <v>354.55552297084796</v>
      </c>
      <c r="L2978" s="13">
        <v>1.3</v>
      </c>
      <c r="M2978" s="13"/>
      <c r="N2978" s="17">
        <f t="shared" si="100"/>
        <v>2640.3</v>
      </c>
      <c r="O2978" s="17">
        <f t="shared" si="100"/>
        <v>0</v>
      </c>
      <c r="P2978" s="17">
        <f t="shared" si="99"/>
        <v>2640.3</v>
      </c>
      <c r="Q2978" t="str">
        <f>A2978&amp;"-"&amp;B2978&amp;"-"&amp;D2978</f>
        <v>JULI-MJ2-L10</v>
      </c>
    </row>
    <row r="2979" spans="1:17" x14ac:dyDescent="0.25">
      <c r="A2979" t="s">
        <v>397</v>
      </c>
      <c r="B2979" s="13" t="s">
        <v>26</v>
      </c>
      <c r="C2979" s="13" t="s">
        <v>226</v>
      </c>
      <c r="D2979" s="14" t="s">
        <v>301</v>
      </c>
      <c r="E2979" s="13" t="s">
        <v>61</v>
      </c>
      <c r="F2979" s="13" t="s">
        <v>1183</v>
      </c>
      <c r="G2979" s="13">
        <v>0.93</v>
      </c>
      <c r="H2979" s="15">
        <v>646</v>
      </c>
      <c r="I2979" s="16">
        <v>600.77999999999986</v>
      </c>
      <c r="J2979" s="16">
        <v>463.59459367636583</v>
      </c>
      <c r="K2979" s="16">
        <v>137.18540632363414</v>
      </c>
      <c r="L2979" s="13">
        <v>2.2400000000000002</v>
      </c>
      <c r="M2979" s="13"/>
      <c r="N2979" s="17">
        <f t="shared" si="100"/>
        <v>1447.0400000000002</v>
      </c>
      <c r="O2979" s="17">
        <f t="shared" si="100"/>
        <v>0</v>
      </c>
      <c r="P2979" s="17">
        <f t="shared" si="99"/>
        <v>1447.0400000000002</v>
      </c>
      <c r="Q2979" t="str">
        <f>A2979&amp;"-"&amp;B2979&amp;"-"&amp;D2979</f>
        <v>JULI-MJ2-L10</v>
      </c>
    </row>
    <row r="2980" spans="1:17" x14ac:dyDescent="0.25">
      <c r="A2980" t="s">
        <v>397</v>
      </c>
      <c r="B2980" s="13" t="s">
        <v>26</v>
      </c>
      <c r="C2980" s="13" t="s">
        <v>226</v>
      </c>
      <c r="D2980" s="14" t="s">
        <v>301</v>
      </c>
      <c r="E2980" s="13" t="s">
        <v>61</v>
      </c>
      <c r="F2980" s="13" t="s">
        <v>1184</v>
      </c>
      <c r="G2980" s="13">
        <v>0.93</v>
      </c>
      <c r="H2980" s="15">
        <v>507</v>
      </c>
      <c r="I2980" s="16">
        <v>471.51</v>
      </c>
      <c r="J2980" s="16">
        <v>335.61131493330856</v>
      </c>
      <c r="K2980" s="16">
        <v>135.8986850666914</v>
      </c>
      <c r="L2980" s="13">
        <v>2.4300000000000002</v>
      </c>
      <c r="M2980" s="13"/>
      <c r="N2980" s="17">
        <f t="shared" si="100"/>
        <v>1232.01</v>
      </c>
      <c r="O2980" s="17">
        <f t="shared" si="100"/>
        <v>0</v>
      </c>
      <c r="P2980" s="17">
        <f t="shared" si="99"/>
        <v>1232.01</v>
      </c>
      <c r="Q2980" t="str">
        <f>A2980&amp;"-"&amp;B2980&amp;"-"&amp;D2980</f>
        <v>JULI-MJ2-L10</v>
      </c>
    </row>
    <row r="2981" spans="1:17" x14ac:dyDescent="0.25">
      <c r="A2981" t="s">
        <v>397</v>
      </c>
      <c r="B2981" s="13" t="s">
        <v>26</v>
      </c>
      <c r="C2981" s="13" t="s">
        <v>226</v>
      </c>
      <c r="D2981" s="14" t="s">
        <v>301</v>
      </c>
      <c r="E2981" s="13" t="s">
        <v>61</v>
      </c>
      <c r="F2981" s="13" t="s">
        <v>1185</v>
      </c>
      <c r="G2981" s="13">
        <v>0.66</v>
      </c>
      <c r="H2981" s="15">
        <v>1623</v>
      </c>
      <c r="I2981" s="16">
        <v>1071.18</v>
      </c>
      <c r="J2981" s="16">
        <v>1135.355402967903</v>
      </c>
      <c r="K2981" s="16">
        <v>-64.175402967902954</v>
      </c>
      <c r="L2981" s="13">
        <v>1.83</v>
      </c>
      <c r="M2981" s="13"/>
      <c r="N2981" s="17">
        <f t="shared" si="100"/>
        <v>2970.09</v>
      </c>
      <c r="O2981" s="17">
        <f t="shared" si="100"/>
        <v>0</v>
      </c>
      <c r="P2981" s="17">
        <f t="shared" si="99"/>
        <v>2970.09</v>
      </c>
      <c r="Q2981" t="str">
        <f>A2981&amp;"-"&amp;B2981&amp;"-"&amp;D2981</f>
        <v>JULI-MJ2-L10</v>
      </c>
    </row>
    <row r="2982" spans="1:17" x14ac:dyDescent="0.25">
      <c r="A2982" t="s">
        <v>397</v>
      </c>
      <c r="B2982" s="13" t="s">
        <v>26</v>
      </c>
      <c r="C2982" s="13" t="s">
        <v>226</v>
      </c>
      <c r="D2982" s="14" t="s">
        <v>301</v>
      </c>
      <c r="E2982" s="13" t="s">
        <v>61</v>
      </c>
      <c r="F2982" s="13" t="s">
        <v>1186</v>
      </c>
      <c r="G2982" s="13">
        <v>0.70000000000000007</v>
      </c>
      <c r="H2982" s="15">
        <v>8640</v>
      </c>
      <c r="I2982" s="16">
        <v>6048</v>
      </c>
      <c r="J2982" s="16">
        <v>4348.2039523490612</v>
      </c>
      <c r="K2982" s="16">
        <v>1699.7960476509386</v>
      </c>
      <c r="L2982" s="13">
        <v>1.3</v>
      </c>
      <c r="M2982" s="13"/>
      <c r="N2982" s="17">
        <f t="shared" si="100"/>
        <v>11232</v>
      </c>
      <c r="O2982" s="17">
        <f t="shared" si="100"/>
        <v>0</v>
      </c>
      <c r="P2982" s="17">
        <f t="shared" si="99"/>
        <v>11232</v>
      </c>
      <c r="Q2982" t="str">
        <f>A2982&amp;"-"&amp;B2982&amp;"-"&amp;D2982</f>
        <v>JULI-MJ2-L10</v>
      </c>
    </row>
    <row r="2983" spans="1:17" x14ac:dyDescent="0.25">
      <c r="A2983" t="s">
        <v>397</v>
      </c>
      <c r="B2983" s="13" t="s">
        <v>26</v>
      </c>
      <c r="C2983" s="13" t="s">
        <v>226</v>
      </c>
      <c r="D2983" s="14" t="s">
        <v>301</v>
      </c>
      <c r="E2983" s="13" t="s">
        <v>61</v>
      </c>
      <c r="F2983" s="13" t="s">
        <v>1085</v>
      </c>
      <c r="G2983" s="13">
        <v>0.79</v>
      </c>
      <c r="H2983" s="15">
        <v>78</v>
      </c>
      <c r="I2983" s="16">
        <v>61.620000000000005</v>
      </c>
      <c r="J2983" s="16">
        <v>42.294618681694182</v>
      </c>
      <c r="K2983" s="16">
        <v>19.325381318305823</v>
      </c>
      <c r="L2983" s="13">
        <v>2.42</v>
      </c>
      <c r="M2983" s="13"/>
      <c r="N2983" s="17">
        <f t="shared" si="100"/>
        <v>188.76</v>
      </c>
      <c r="O2983" s="17">
        <f t="shared" si="100"/>
        <v>0</v>
      </c>
      <c r="P2983" s="17">
        <f t="shared" si="99"/>
        <v>188.76</v>
      </c>
      <c r="Q2983" t="str">
        <f>A2983&amp;"-"&amp;B2983&amp;"-"&amp;D2983</f>
        <v>JULI-MJ2-L10</v>
      </c>
    </row>
    <row r="2984" spans="1:17" x14ac:dyDescent="0.25">
      <c r="A2984" t="s">
        <v>397</v>
      </c>
      <c r="B2984" s="13" t="s">
        <v>26</v>
      </c>
      <c r="C2984" s="13" t="s">
        <v>226</v>
      </c>
      <c r="D2984" s="14" t="s">
        <v>301</v>
      </c>
      <c r="E2984" s="13" t="s">
        <v>61</v>
      </c>
      <c r="F2984" s="13" t="s">
        <v>1187</v>
      </c>
      <c r="G2984" s="13">
        <v>0.79</v>
      </c>
      <c r="H2984" s="15">
        <v>813</v>
      </c>
      <c r="I2984" s="16">
        <v>642.27</v>
      </c>
      <c r="J2984" s="16">
        <v>608.24444444444441</v>
      </c>
      <c r="K2984" s="16">
        <v>34.02555555555557</v>
      </c>
      <c r="L2984" s="13">
        <v>2.14</v>
      </c>
      <c r="M2984" s="13"/>
      <c r="N2984" s="17">
        <f t="shared" si="100"/>
        <v>1739.8200000000002</v>
      </c>
      <c r="O2984" s="17">
        <f t="shared" si="100"/>
        <v>0</v>
      </c>
      <c r="P2984" s="17">
        <f t="shared" si="99"/>
        <v>1739.8200000000002</v>
      </c>
      <c r="Q2984" t="str">
        <f>A2984&amp;"-"&amp;B2984&amp;"-"&amp;D2984</f>
        <v>JULI-MJ2-L10</v>
      </c>
    </row>
    <row r="2985" spans="1:17" x14ac:dyDescent="0.25">
      <c r="A2985" t="s">
        <v>397</v>
      </c>
      <c r="B2985" s="13" t="s">
        <v>26</v>
      </c>
      <c r="C2985" s="13" t="s">
        <v>226</v>
      </c>
      <c r="D2985" s="14" t="s">
        <v>301</v>
      </c>
      <c r="E2985" s="13" t="s">
        <v>61</v>
      </c>
      <c r="F2985" s="13" t="s">
        <v>1188</v>
      </c>
      <c r="G2985" s="13">
        <v>0.72</v>
      </c>
      <c r="H2985" s="15">
        <v>104</v>
      </c>
      <c r="I2985" s="16">
        <v>74.88</v>
      </c>
      <c r="J2985" s="16">
        <v>71.213559322033902</v>
      </c>
      <c r="K2985" s="16">
        <v>3.6664406779660936</v>
      </c>
      <c r="L2985" s="13">
        <v>2.29</v>
      </c>
      <c r="M2985" s="13"/>
      <c r="N2985" s="17">
        <f t="shared" si="100"/>
        <v>238.16</v>
      </c>
      <c r="O2985" s="17">
        <f t="shared" si="100"/>
        <v>0</v>
      </c>
      <c r="P2985" s="17">
        <f t="shared" si="99"/>
        <v>238.16</v>
      </c>
      <c r="Q2985" t="str">
        <f>A2985&amp;"-"&amp;B2985&amp;"-"&amp;D2985</f>
        <v>JULI-MJ2-L10</v>
      </c>
    </row>
    <row r="2986" spans="1:17" x14ac:dyDescent="0.25">
      <c r="A2986" t="s">
        <v>397</v>
      </c>
      <c r="B2986" s="13" t="s">
        <v>26</v>
      </c>
      <c r="C2986" s="13" t="s">
        <v>226</v>
      </c>
      <c r="D2986" s="14" t="s">
        <v>301</v>
      </c>
      <c r="E2986" s="13" t="s">
        <v>61</v>
      </c>
      <c r="F2986" s="13" t="s">
        <v>1189</v>
      </c>
      <c r="G2986" s="13">
        <v>0.79</v>
      </c>
      <c r="H2986" s="15">
        <v>1849</v>
      </c>
      <c r="I2986" s="16">
        <v>1460.71</v>
      </c>
      <c r="J2986" s="16">
        <v>1043.5239560143668</v>
      </c>
      <c r="K2986" s="16">
        <v>417.18604398563286</v>
      </c>
      <c r="L2986" s="13">
        <v>2.42</v>
      </c>
      <c r="M2986" s="13"/>
      <c r="N2986" s="17">
        <f t="shared" si="100"/>
        <v>4474.58</v>
      </c>
      <c r="O2986" s="17">
        <f t="shared" si="100"/>
        <v>0</v>
      </c>
      <c r="P2986" s="17">
        <f t="shared" si="99"/>
        <v>4474.58</v>
      </c>
      <c r="Q2986" t="str">
        <f>A2986&amp;"-"&amp;B2986&amp;"-"&amp;D2986</f>
        <v>JULI-MJ2-L10</v>
      </c>
    </row>
    <row r="2987" spans="1:17" x14ac:dyDescent="0.25">
      <c r="A2987" t="s">
        <v>397</v>
      </c>
      <c r="B2987" s="13" t="s">
        <v>26</v>
      </c>
      <c r="C2987" s="13" t="s">
        <v>226</v>
      </c>
      <c r="D2987" s="14" t="s">
        <v>301</v>
      </c>
      <c r="E2987" s="13" t="s">
        <v>61</v>
      </c>
      <c r="F2987" s="13" t="s">
        <v>1190</v>
      </c>
      <c r="G2987" s="13">
        <v>0.79</v>
      </c>
      <c r="H2987" s="15">
        <v>1899</v>
      </c>
      <c r="I2987" s="16">
        <v>1500.21</v>
      </c>
      <c r="J2987" s="16">
        <v>1049.8780830572612</v>
      </c>
      <c r="K2987" s="16">
        <v>450.33191694273881</v>
      </c>
      <c r="L2987" s="13">
        <v>2.42</v>
      </c>
      <c r="M2987" s="13"/>
      <c r="N2987" s="17">
        <f t="shared" si="100"/>
        <v>4595.58</v>
      </c>
      <c r="O2987" s="17">
        <f t="shared" si="100"/>
        <v>0</v>
      </c>
      <c r="P2987" s="17">
        <f t="shared" si="99"/>
        <v>4595.58</v>
      </c>
      <c r="Q2987" t="str">
        <f>A2987&amp;"-"&amp;B2987&amp;"-"&amp;D2987</f>
        <v>JULI-MJ2-L10</v>
      </c>
    </row>
    <row r="2988" spans="1:17" x14ac:dyDescent="0.25">
      <c r="A2988" t="s">
        <v>397</v>
      </c>
      <c r="B2988" s="13" t="s">
        <v>26</v>
      </c>
      <c r="C2988" s="13" t="s">
        <v>226</v>
      </c>
      <c r="D2988" s="14" t="s">
        <v>301</v>
      </c>
      <c r="E2988" s="13" t="s">
        <v>61</v>
      </c>
      <c r="F2988" s="13" t="s">
        <v>1086</v>
      </c>
      <c r="G2988" s="13">
        <v>0.79</v>
      </c>
      <c r="H2988" s="15">
        <v>2091</v>
      </c>
      <c r="I2988" s="16">
        <v>1651.8899999999999</v>
      </c>
      <c r="J2988" s="16">
        <v>1177.8263930095213</v>
      </c>
      <c r="K2988" s="16">
        <v>474.0636069904786</v>
      </c>
      <c r="L2988" s="13">
        <v>2.42</v>
      </c>
      <c r="M2988" s="13"/>
      <c r="N2988" s="17">
        <f t="shared" si="100"/>
        <v>5060.22</v>
      </c>
      <c r="O2988" s="17">
        <f t="shared" si="100"/>
        <v>0</v>
      </c>
      <c r="P2988" s="17">
        <f t="shared" si="99"/>
        <v>5060.22</v>
      </c>
      <c r="Q2988" t="str">
        <f>A2988&amp;"-"&amp;B2988&amp;"-"&amp;D2988</f>
        <v>JULI-MJ2-L10</v>
      </c>
    </row>
    <row r="2989" spans="1:17" x14ac:dyDescent="0.25">
      <c r="A2989" t="s">
        <v>397</v>
      </c>
      <c r="B2989" s="13" t="s">
        <v>26</v>
      </c>
      <c r="C2989" s="13" t="s">
        <v>226</v>
      </c>
      <c r="D2989" s="14" t="s">
        <v>301</v>
      </c>
      <c r="E2989" s="13" t="s">
        <v>61</v>
      </c>
      <c r="F2989" s="13" t="s">
        <v>1191</v>
      </c>
      <c r="G2989" s="13">
        <v>0.79</v>
      </c>
      <c r="H2989" s="15">
        <v>1552</v>
      </c>
      <c r="I2989" s="16">
        <v>1226.08</v>
      </c>
      <c r="J2989" s="16">
        <v>1127.2370648844333</v>
      </c>
      <c r="K2989" s="16">
        <v>98.842935115566732</v>
      </c>
      <c r="L2989" s="13">
        <v>2.14</v>
      </c>
      <c r="M2989" s="13"/>
      <c r="N2989" s="17">
        <f t="shared" si="100"/>
        <v>3321.28</v>
      </c>
      <c r="O2989" s="17">
        <f t="shared" si="100"/>
        <v>0</v>
      </c>
      <c r="P2989" s="17">
        <f t="shared" si="99"/>
        <v>3321.28</v>
      </c>
      <c r="Q2989" t="str">
        <f>A2989&amp;"-"&amp;B2989&amp;"-"&amp;D2989</f>
        <v>JULI-MJ2-L10</v>
      </c>
    </row>
    <row r="2990" spans="1:17" x14ac:dyDescent="0.25">
      <c r="A2990" t="s">
        <v>397</v>
      </c>
      <c r="B2990" s="13" t="s">
        <v>26</v>
      </c>
      <c r="C2990" s="13" t="s">
        <v>226</v>
      </c>
      <c r="D2990" s="14" t="s">
        <v>301</v>
      </c>
      <c r="E2990" s="13" t="s">
        <v>61</v>
      </c>
      <c r="F2990" s="13" t="s">
        <v>1192</v>
      </c>
      <c r="G2990" s="13">
        <v>0.79</v>
      </c>
      <c r="H2990" s="15">
        <v>3395</v>
      </c>
      <c r="I2990" s="16">
        <v>2682.05</v>
      </c>
      <c r="J2990" s="16">
        <v>2448.0859698904369</v>
      </c>
      <c r="K2990" s="16">
        <v>233.96403010956294</v>
      </c>
      <c r="L2990" s="13">
        <v>2.14</v>
      </c>
      <c r="M2990" s="13"/>
      <c r="N2990" s="17">
        <f t="shared" si="100"/>
        <v>7265.3</v>
      </c>
      <c r="O2990" s="17">
        <f t="shared" si="100"/>
        <v>0</v>
      </c>
      <c r="P2990" s="17">
        <f t="shared" si="99"/>
        <v>7265.3</v>
      </c>
      <c r="Q2990" t="str">
        <f>A2990&amp;"-"&amp;B2990&amp;"-"&amp;D2990</f>
        <v>JULI-MJ2-L10</v>
      </c>
    </row>
    <row r="2991" spans="1:17" x14ac:dyDescent="0.25">
      <c r="A2991" t="s">
        <v>397</v>
      </c>
      <c r="B2991" s="13" t="s">
        <v>26</v>
      </c>
      <c r="C2991" s="13" t="s">
        <v>226</v>
      </c>
      <c r="D2991" s="14" t="s">
        <v>301</v>
      </c>
      <c r="E2991" s="13" t="s">
        <v>61</v>
      </c>
      <c r="F2991" s="13" t="s">
        <v>1193</v>
      </c>
      <c r="G2991" s="13">
        <v>0.72000000000000008</v>
      </c>
      <c r="H2991" s="15">
        <v>681</v>
      </c>
      <c r="I2991" s="16">
        <v>490.32</v>
      </c>
      <c r="J2991" s="16">
        <v>478.98631111677491</v>
      </c>
      <c r="K2991" s="16">
        <v>11.333688883225037</v>
      </c>
      <c r="L2991" s="13">
        <v>2.29</v>
      </c>
      <c r="M2991" s="13"/>
      <c r="N2991" s="17">
        <f t="shared" si="100"/>
        <v>1559.49</v>
      </c>
      <c r="O2991" s="17">
        <f t="shared" si="100"/>
        <v>0</v>
      </c>
      <c r="P2991" s="17">
        <f t="shared" si="99"/>
        <v>1559.49</v>
      </c>
      <c r="Q2991" t="str">
        <f>A2991&amp;"-"&amp;B2991&amp;"-"&amp;D2991</f>
        <v>JULI-MJ2-L10</v>
      </c>
    </row>
    <row r="2992" spans="1:17" x14ac:dyDescent="0.25">
      <c r="A2992" t="s">
        <v>397</v>
      </c>
      <c r="B2992" s="13" t="s">
        <v>26</v>
      </c>
      <c r="C2992" s="13" t="s">
        <v>226</v>
      </c>
      <c r="D2992" s="14" t="s">
        <v>301</v>
      </c>
      <c r="E2992" s="13" t="s">
        <v>61</v>
      </c>
      <c r="F2992" s="13" t="s">
        <v>1194</v>
      </c>
      <c r="G2992" s="13">
        <v>0.79</v>
      </c>
      <c r="H2992" s="15">
        <v>248</v>
      </c>
      <c r="I2992" s="16">
        <v>195.92</v>
      </c>
      <c r="J2992" s="16">
        <v>141.70014456404854</v>
      </c>
      <c r="K2992" s="16">
        <v>54.21985543595148</v>
      </c>
      <c r="L2992" s="13">
        <v>2.42</v>
      </c>
      <c r="M2992" s="13"/>
      <c r="N2992" s="17">
        <f t="shared" si="100"/>
        <v>600.16</v>
      </c>
      <c r="O2992" s="17">
        <f t="shared" si="100"/>
        <v>0</v>
      </c>
      <c r="P2992" s="17">
        <f t="shared" si="99"/>
        <v>600.16</v>
      </c>
      <c r="Q2992" t="str">
        <f>A2992&amp;"-"&amp;B2992&amp;"-"&amp;D2992</f>
        <v>JULI-MJ2-L10</v>
      </c>
    </row>
    <row r="2993" spans="1:17" x14ac:dyDescent="0.25">
      <c r="A2993" t="s">
        <v>397</v>
      </c>
      <c r="B2993" s="13" t="s">
        <v>26</v>
      </c>
      <c r="C2993" s="13" t="s">
        <v>226</v>
      </c>
      <c r="D2993" s="14" t="s">
        <v>301</v>
      </c>
      <c r="E2993" s="13" t="s">
        <v>61</v>
      </c>
      <c r="F2993" s="13" t="s">
        <v>1195</v>
      </c>
      <c r="G2993" s="13">
        <v>0.79</v>
      </c>
      <c r="H2993" s="15">
        <v>1395</v>
      </c>
      <c r="I2993" s="16">
        <v>1102.05</v>
      </c>
      <c r="J2993" s="16">
        <v>807.82894146948934</v>
      </c>
      <c r="K2993" s="16">
        <v>294.2210585305105</v>
      </c>
      <c r="L2993" s="13">
        <v>2.42</v>
      </c>
      <c r="M2993" s="13"/>
      <c r="N2993" s="17">
        <f t="shared" si="100"/>
        <v>3375.9</v>
      </c>
      <c r="O2993" s="17">
        <f t="shared" si="100"/>
        <v>0</v>
      </c>
      <c r="P2993" s="17">
        <f t="shared" si="99"/>
        <v>3375.9</v>
      </c>
      <c r="Q2993" t="str">
        <f>A2993&amp;"-"&amp;B2993&amp;"-"&amp;D2993</f>
        <v>JULI-MJ2-L10</v>
      </c>
    </row>
    <row r="2994" spans="1:17" x14ac:dyDescent="0.25">
      <c r="A2994" t="s">
        <v>397</v>
      </c>
      <c r="B2994" s="13" t="s">
        <v>26</v>
      </c>
      <c r="C2994" s="13" t="s">
        <v>226</v>
      </c>
      <c r="D2994" s="14" t="s">
        <v>301</v>
      </c>
      <c r="E2994" s="13" t="s">
        <v>61</v>
      </c>
      <c r="F2994" s="13" t="s">
        <v>1196</v>
      </c>
      <c r="G2994" s="13">
        <v>0.65</v>
      </c>
      <c r="H2994" s="15">
        <v>2676</v>
      </c>
      <c r="I2994" s="16">
        <v>1739.4</v>
      </c>
      <c r="J2994" s="16">
        <v>1467.5646469166663</v>
      </c>
      <c r="K2994" s="16">
        <v>271.83535308333347</v>
      </c>
      <c r="L2994" s="13">
        <v>1.66</v>
      </c>
      <c r="M2994" s="13"/>
      <c r="N2994" s="17">
        <f t="shared" si="100"/>
        <v>4442.16</v>
      </c>
      <c r="O2994" s="17">
        <f t="shared" si="100"/>
        <v>0</v>
      </c>
      <c r="P2994" s="17">
        <f t="shared" si="99"/>
        <v>4442.16</v>
      </c>
      <c r="Q2994" t="str">
        <f>A2994&amp;"-"&amp;B2994&amp;"-"&amp;D2994</f>
        <v>JULI-MJ2-L10</v>
      </c>
    </row>
    <row r="2995" spans="1:17" x14ac:dyDescent="0.25">
      <c r="A2995" t="s">
        <v>397</v>
      </c>
      <c r="B2995" s="13" t="s">
        <v>26</v>
      </c>
      <c r="C2995" s="13" t="s">
        <v>226</v>
      </c>
      <c r="D2995" s="14" t="s">
        <v>301</v>
      </c>
      <c r="E2995" s="13" t="s">
        <v>61</v>
      </c>
      <c r="F2995" s="13" t="s">
        <v>1197</v>
      </c>
      <c r="G2995" s="13">
        <v>0.65</v>
      </c>
      <c r="H2995" s="15">
        <v>533</v>
      </c>
      <c r="I2995" s="16">
        <v>346.45</v>
      </c>
      <c r="J2995" s="16">
        <v>328.90564032642908</v>
      </c>
      <c r="K2995" s="16">
        <v>17.544359673570881</v>
      </c>
      <c r="L2995" s="13">
        <v>1.79</v>
      </c>
      <c r="M2995" s="13"/>
      <c r="N2995" s="17">
        <f t="shared" si="100"/>
        <v>954.07</v>
      </c>
      <c r="O2995" s="17">
        <f t="shared" si="100"/>
        <v>0</v>
      </c>
      <c r="P2995" s="17">
        <f t="shared" si="99"/>
        <v>954.07</v>
      </c>
      <c r="Q2995" t="str">
        <f>A2995&amp;"-"&amp;B2995&amp;"-"&amp;D2995</f>
        <v>JULI-MJ2-L10</v>
      </c>
    </row>
    <row r="2996" spans="1:17" x14ac:dyDescent="0.25">
      <c r="A2996" t="s">
        <v>397</v>
      </c>
      <c r="B2996" s="13" t="s">
        <v>26</v>
      </c>
      <c r="C2996" s="13" t="s">
        <v>226</v>
      </c>
      <c r="D2996" s="14" t="s">
        <v>301</v>
      </c>
      <c r="E2996" s="13" t="s">
        <v>61</v>
      </c>
      <c r="F2996" s="13" t="s">
        <v>959</v>
      </c>
      <c r="G2996" s="13">
        <v>0.65</v>
      </c>
      <c r="H2996" s="15">
        <v>113</v>
      </c>
      <c r="I2996" s="16">
        <v>73.45</v>
      </c>
      <c r="J2996" s="16">
        <v>62.809969388510325</v>
      </c>
      <c r="K2996" s="16">
        <v>10.640030611489667</v>
      </c>
      <c r="L2996" s="13">
        <v>1.64</v>
      </c>
      <c r="M2996" s="13"/>
      <c r="N2996" s="17">
        <f t="shared" si="100"/>
        <v>185.32</v>
      </c>
      <c r="O2996" s="17">
        <f t="shared" si="100"/>
        <v>0</v>
      </c>
      <c r="P2996" s="17">
        <f t="shared" si="99"/>
        <v>185.32</v>
      </c>
      <c r="Q2996" t="str">
        <f>A2996&amp;"-"&amp;B2996&amp;"-"&amp;D2996</f>
        <v>JULI-MJ2-L10</v>
      </c>
    </row>
    <row r="2997" spans="1:17" x14ac:dyDescent="0.25">
      <c r="A2997" t="s">
        <v>397</v>
      </c>
      <c r="B2997" s="13" t="s">
        <v>26</v>
      </c>
      <c r="C2997" s="13" t="s">
        <v>226</v>
      </c>
      <c r="D2997" s="14" t="s">
        <v>301</v>
      </c>
      <c r="E2997" s="13" t="s">
        <v>61</v>
      </c>
      <c r="F2997" s="13" t="s">
        <v>1198</v>
      </c>
      <c r="G2997" s="13">
        <v>0.65</v>
      </c>
      <c r="H2997" s="15">
        <v>2540</v>
      </c>
      <c r="I2997" s="16">
        <v>1650.9999999999998</v>
      </c>
      <c r="J2997" s="16">
        <v>1441.8050084171559</v>
      </c>
      <c r="K2997" s="16">
        <v>209.19499158284373</v>
      </c>
      <c r="L2997" s="13">
        <v>1.66</v>
      </c>
      <c r="M2997" s="13"/>
      <c r="N2997" s="17">
        <f t="shared" si="100"/>
        <v>4216.3999999999996</v>
      </c>
      <c r="O2997" s="17">
        <f t="shared" si="100"/>
        <v>0</v>
      </c>
      <c r="P2997" s="17">
        <f t="shared" si="99"/>
        <v>4216.3999999999996</v>
      </c>
      <c r="Q2997" t="str">
        <f>A2997&amp;"-"&amp;B2997&amp;"-"&amp;D2997</f>
        <v>JULI-MJ2-L10</v>
      </c>
    </row>
    <row r="2998" spans="1:17" x14ac:dyDescent="0.25">
      <c r="A2998" t="s">
        <v>397</v>
      </c>
      <c r="B2998" s="13" t="s">
        <v>26</v>
      </c>
      <c r="C2998" s="13" t="s">
        <v>226</v>
      </c>
      <c r="D2998" s="14" t="s">
        <v>301</v>
      </c>
      <c r="E2998" s="13" t="s">
        <v>61</v>
      </c>
      <c r="F2998" s="13" t="s">
        <v>1199</v>
      </c>
      <c r="G2998" s="13">
        <v>0.65</v>
      </c>
      <c r="H2998" s="15">
        <v>876</v>
      </c>
      <c r="I2998" s="16">
        <v>569.39999999999986</v>
      </c>
      <c r="J2998" s="16">
        <v>507.01606309649719</v>
      </c>
      <c r="K2998" s="16">
        <v>62.383936903502715</v>
      </c>
      <c r="L2998" s="13">
        <v>1.79</v>
      </c>
      <c r="M2998" s="13"/>
      <c r="N2998" s="17">
        <f t="shared" si="100"/>
        <v>1568.04</v>
      </c>
      <c r="O2998" s="17">
        <f t="shared" si="100"/>
        <v>0</v>
      </c>
      <c r="P2998" s="17">
        <f t="shared" si="99"/>
        <v>1568.04</v>
      </c>
      <c r="Q2998" t="str">
        <f>A2998&amp;"-"&amp;B2998&amp;"-"&amp;D2998</f>
        <v>JULI-MJ2-L10</v>
      </c>
    </row>
    <row r="2999" spans="1:17" x14ac:dyDescent="0.25">
      <c r="A2999" t="s">
        <v>397</v>
      </c>
      <c r="B2999" s="13" t="s">
        <v>26</v>
      </c>
      <c r="C2999" s="13" t="s">
        <v>226</v>
      </c>
      <c r="D2999" s="14" t="s">
        <v>301</v>
      </c>
      <c r="E2999" s="13" t="s">
        <v>61</v>
      </c>
      <c r="F2999" s="13" t="s">
        <v>1087</v>
      </c>
      <c r="G2999" s="13">
        <v>0.65</v>
      </c>
      <c r="H2999" s="15">
        <v>67</v>
      </c>
      <c r="I2999" s="16">
        <v>43.55</v>
      </c>
      <c r="J2999" s="16">
        <v>45.169444444444444</v>
      </c>
      <c r="K2999" s="16">
        <v>-1.6194444444444436</v>
      </c>
      <c r="L2999" s="13">
        <v>1.64</v>
      </c>
      <c r="M2999" s="13"/>
      <c r="N2999" s="17">
        <f t="shared" si="100"/>
        <v>109.88</v>
      </c>
      <c r="O2999" s="17">
        <f t="shared" si="100"/>
        <v>0</v>
      </c>
      <c r="P2999" s="17">
        <f t="shared" si="99"/>
        <v>109.88</v>
      </c>
      <c r="Q2999" t="str">
        <f>A2999&amp;"-"&amp;B2999&amp;"-"&amp;D2999</f>
        <v>JULI-MJ2-L10</v>
      </c>
    </row>
    <row r="3000" spans="1:17" x14ac:dyDescent="0.25">
      <c r="A3000" t="s">
        <v>397</v>
      </c>
      <c r="B3000" s="13" t="s">
        <v>26</v>
      </c>
      <c r="C3000" s="13" t="s">
        <v>226</v>
      </c>
      <c r="D3000" s="14" t="s">
        <v>287</v>
      </c>
      <c r="E3000" s="13" t="s">
        <v>61</v>
      </c>
      <c r="F3000" s="13" t="s">
        <v>1182</v>
      </c>
      <c r="G3000" s="13">
        <v>0.70000000000000007</v>
      </c>
      <c r="H3000" s="15">
        <v>2033</v>
      </c>
      <c r="I3000" s="16">
        <v>1423.1</v>
      </c>
      <c r="J3000" s="16">
        <v>1068.1217453947613</v>
      </c>
      <c r="K3000" s="16">
        <v>354.97825460523853</v>
      </c>
      <c r="L3000" s="13">
        <v>1.3</v>
      </c>
      <c r="M3000" s="13"/>
      <c r="N3000" s="17">
        <f t="shared" si="100"/>
        <v>2642.9</v>
      </c>
      <c r="O3000" s="17">
        <f t="shared" si="100"/>
        <v>0</v>
      </c>
      <c r="P3000" s="17">
        <f t="shared" si="99"/>
        <v>2642.9</v>
      </c>
      <c r="Q3000" t="str">
        <f>A3000&amp;"-"&amp;B3000&amp;"-"&amp;D3000</f>
        <v>JULI-MJ2-L11</v>
      </c>
    </row>
    <row r="3001" spans="1:17" x14ac:dyDescent="0.25">
      <c r="A3001" t="s">
        <v>397</v>
      </c>
      <c r="B3001" s="13" t="s">
        <v>26</v>
      </c>
      <c r="C3001" s="13" t="s">
        <v>226</v>
      </c>
      <c r="D3001" s="14" t="s">
        <v>287</v>
      </c>
      <c r="E3001" s="13" t="s">
        <v>61</v>
      </c>
      <c r="F3001" s="13" t="s">
        <v>1183</v>
      </c>
      <c r="G3001" s="13">
        <v>0.93</v>
      </c>
      <c r="H3001" s="15">
        <v>646</v>
      </c>
      <c r="I3001" s="16">
        <v>600.78</v>
      </c>
      <c r="J3001" s="16">
        <v>463.86295349815157</v>
      </c>
      <c r="K3001" s="16">
        <v>136.9170465018484</v>
      </c>
      <c r="L3001" s="13">
        <v>2.2400000000000002</v>
      </c>
      <c r="M3001" s="13"/>
      <c r="N3001" s="17">
        <f t="shared" si="100"/>
        <v>1447.0400000000002</v>
      </c>
      <c r="O3001" s="17">
        <f t="shared" si="100"/>
        <v>0</v>
      </c>
      <c r="P3001" s="17">
        <f t="shared" si="99"/>
        <v>1447.0400000000002</v>
      </c>
      <c r="Q3001" t="str">
        <f>A3001&amp;"-"&amp;B3001&amp;"-"&amp;D3001</f>
        <v>JULI-MJ2-L11</v>
      </c>
    </row>
    <row r="3002" spans="1:17" x14ac:dyDescent="0.25">
      <c r="A3002" t="s">
        <v>397</v>
      </c>
      <c r="B3002" s="13" t="s">
        <v>26</v>
      </c>
      <c r="C3002" s="13" t="s">
        <v>226</v>
      </c>
      <c r="D3002" s="14" t="s">
        <v>287</v>
      </c>
      <c r="E3002" s="13" t="s">
        <v>61</v>
      </c>
      <c r="F3002" s="13" t="s">
        <v>1184</v>
      </c>
      <c r="G3002" s="13">
        <v>0.93</v>
      </c>
      <c r="H3002" s="15">
        <v>506</v>
      </c>
      <c r="I3002" s="16">
        <v>470.58</v>
      </c>
      <c r="J3002" s="16">
        <v>335.10586651233717</v>
      </c>
      <c r="K3002" s="16">
        <v>135.47413348766278</v>
      </c>
      <c r="L3002" s="13">
        <v>2.4300000000000002</v>
      </c>
      <c r="M3002" s="13"/>
      <c r="N3002" s="17">
        <f t="shared" si="100"/>
        <v>1229.5800000000002</v>
      </c>
      <c r="O3002" s="17">
        <f t="shared" si="100"/>
        <v>0</v>
      </c>
      <c r="P3002" s="17">
        <f t="shared" si="99"/>
        <v>1229.5800000000002</v>
      </c>
      <c r="Q3002" t="str">
        <f>A3002&amp;"-"&amp;B3002&amp;"-"&amp;D3002</f>
        <v>JULI-MJ2-L11</v>
      </c>
    </row>
    <row r="3003" spans="1:17" x14ac:dyDescent="0.25">
      <c r="A3003" t="s">
        <v>397</v>
      </c>
      <c r="B3003" s="13" t="s">
        <v>26</v>
      </c>
      <c r="C3003" s="13" t="s">
        <v>226</v>
      </c>
      <c r="D3003" s="14" t="s">
        <v>287</v>
      </c>
      <c r="E3003" s="13" t="s">
        <v>61</v>
      </c>
      <c r="F3003" s="13" t="s">
        <v>1185</v>
      </c>
      <c r="G3003" s="13">
        <v>0.66</v>
      </c>
      <c r="H3003" s="15">
        <v>1623</v>
      </c>
      <c r="I3003" s="16">
        <v>1071.18</v>
      </c>
      <c r="J3003" s="16">
        <v>1135.7760413355968</v>
      </c>
      <c r="K3003" s="16">
        <v>-64.596041335596595</v>
      </c>
      <c r="L3003" s="13">
        <v>1.83</v>
      </c>
      <c r="M3003" s="13"/>
      <c r="N3003" s="17">
        <f t="shared" si="100"/>
        <v>2970.09</v>
      </c>
      <c r="O3003" s="17">
        <f t="shared" si="100"/>
        <v>0</v>
      </c>
      <c r="P3003" s="17">
        <f t="shared" si="99"/>
        <v>2970.09</v>
      </c>
      <c r="Q3003" t="str">
        <f>A3003&amp;"-"&amp;B3003&amp;"-"&amp;D3003</f>
        <v>JULI-MJ2-L11</v>
      </c>
    </row>
    <row r="3004" spans="1:17" x14ac:dyDescent="0.25">
      <c r="A3004" t="s">
        <v>397</v>
      </c>
      <c r="B3004" s="13" t="s">
        <v>26</v>
      </c>
      <c r="C3004" s="13" t="s">
        <v>226</v>
      </c>
      <c r="D3004" s="14" t="s">
        <v>287</v>
      </c>
      <c r="E3004" s="13" t="s">
        <v>61</v>
      </c>
      <c r="F3004" s="13" t="s">
        <v>1186</v>
      </c>
      <c r="G3004" s="13">
        <v>0.70000000000000007</v>
      </c>
      <c r="H3004" s="15">
        <v>8638</v>
      </c>
      <c r="I3004" s="16">
        <v>6046.5999999999995</v>
      </c>
      <c r="J3004" s="16">
        <v>4346.7353054571104</v>
      </c>
      <c r="K3004" s="16">
        <v>1699.8646945428893</v>
      </c>
      <c r="L3004" s="13">
        <v>1.3</v>
      </c>
      <c r="M3004" s="13"/>
      <c r="N3004" s="17">
        <f t="shared" si="100"/>
        <v>11229.4</v>
      </c>
      <c r="O3004" s="17">
        <f t="shared" si="100"/>
        <v>0</v>
      </c>
      <c r="P3004" s="17">
        <f t="shared" si="99"/>
        <v>11229.4</v>
      </c>
      <c r="Q3004" t="str">
        <f>A3004&amp;"-"&amp;B3004&amp;"-"&amp;D3004</f>
        <v>JULI-MJ2-L11</v>
      </c>
    </row>
    <row r="3005" spans="1:17" x14ac:dyDescent="0.25">
      <c r="A3005" t="s">
        <v>397</v>
      </c>
      <c r="B3005" s="13" t="s">
        <v>26</v>
      </c>
      <c r="C3005" s="13" t="s">
        <v>226</v>
      </c>
      <c r="D3005" s="14" t="s">
        <v>287</v>
      </c>
      <c r="E3005" s="13" t="s">
        <v>61</v>
      </c>
      <c r="F3005" s="13" t="s">
        <v>1085</v>
      </c>
      <c r="G3005" s="13">
        <v>0.79</v>
      </c>
      <c r="H3005" s="15">
        <v>82</v>
      </c>
      <c r="I3005" s="16">
        <v>64.78</v>
      </c>
      <c r="J3005" s="16">
        <v>44.675082411042297</v>
      </c>
      <c r="K3005" s="16">
        <v>20.104917588957701</v>
      </c>
      <c r="L3005" s="13">
        <v>2.42</v>
      </c>
      <c r="M3005" s="13"/>
      <c r="N3005" s="17">
        <f t="shared" si="100"/>
        <v>198.44</v>
      </c>
      <c r="O3005" s="17">
        <f t="shared" si="100"/>
        <v>0</v>
      </c>
      <c r="P3005" s="17">
        <f t="shared" si="99"/>
        <v>198.44</v>
      </c>
      <c r="Q3005" t="str">
        <f>A3005&amp;"-"&amp;B3005&amp;"-"&amp;D3005</f>
        <v>JULI-MJ2-L11</v>
      </c>
    </row>
    <row r="3006" spans="1:17" x14ac:dyDescent="0.25">
      <c r="A3006" t="s">
        <v>397</v>
      </c>
      <c r="B3006" s="13" t="s">
        <v>26</v>
      </c>
      <c r="C3006" s="13" t="s">
        <v>226</v>
      </c>
      <c r="D3006" s="14" t="s">
        <v>287</v>
      </c>
      <c r="E3006" s="13" t="s">
        <v>61</v>
      </c>
      <c r="F3006" s="13" t="s">
        <v>1187</v>
      </c>
      <c r="G3006" s="13">
        <v>0.79</v>
      </c>
      <c r="H3006" s="15">
        <v>812</v>
      </c>
      <c r="I3006" s="16">
        <v>641.48</v>
      </c>
      <c r="J3006" s="16">
        <v>607.49629629629635</v>
      </c>
      <c r="K3006" s="16">
        <v>33.983703703703668</v>
      </c>
      <c r="L3006" s="13">
        <v>2.14</v>
      </c>
      <c r="M3006" s="13"/>
      <c r="N3006" s="17">
        <f t="shared" si="100"/>
        <v>1737.68</v>
      </c>
      <c r="O3006" s="17">
        <f t="shared" si="100"/>
        <v>0</v>
      </c>
      <c r="P3006" s="17">
        <f t="shared" si="99"/>
        <v>1737.68</v>
      </c>
      <c r="Q3006" t="str">
        <f>A3006&amp;"-"&amp;B3006&amp;"-"&amp;D3006</f>
        <v>JULI-MJ2-L11</v>
      </c>
    </row>
    <row r="3007" spans="1:17" x14ac:dyDescent="0.25">
      <c r="A3007" t="s">
        <v>397</v>
      </c>
      <c r="B3007" s="13" t="s">
        <v>26</v>
      </c>
      <c r="C3007" s="13" t="s">
        <v>226</v>
      </c>
      <c r="D3007" s="14" t="s">
        <v>287</v>
      </c>
      <c r="E3007" s="13" t="s">
        <v>61</v>
      </c>
      <c r="F3007" s="13" t="s">
        <v>1188</v>
      </c>
      <c r="G3007" s="13">
        <v>0.72</v>
      </c>
      <c r="H3007" s="15">
        <v>105</v>
      </c>
      <c r="I3007" s="16">
        <v>75.599999999999994</v>
      </c>
      <c r="J3007" s="16">
        <v>71.898305084745758</v>
      </c>
      <c r="K3007" s="16">
        <v>3.7016949152542367</v>
      </c>
      <c r="L3007" s="13">
        <v>2.29</v>
      </c>
      <c r="M3007" s="13"/>
      <c r="N3007" s="17">
        <f t="shared" si="100"/>
        <v>240.45000000000002</v>
      </c>
      <c r="O3007" s="17">
        <f t="shared" si="100"/>
        <v>0</v>
      </c>
      <c r="P3007" s="17">
        <f t="shared" si="99"/>
        <v>240.45000000000002</v>
      </c>
      <c r="Q3007" t="str">
        <f>A3007&amp;"-"&amp;B3007&amp;"-"&amp;D3007</f>
        <v>JULI-MJ2-L11</v>
      </c>
    </row>
    <row r="3008" spans="1:17" x14ac:dyDescent="0.25">
      <c r="A3008" t="s">
        <v>397</v>
      </c>
      <c r="B3008" s="13" t="s">
        <v>26</v>
      </c>
      <c r="C3008" s="13" t="s">
        <v>226</v>
      </c>
      <c r="D3008" s="14" t="s">
        <v>287</v>
      </c>
      <c r="E3008" s="13" t="s">
        <v>61</v>
      </c>
      <c r="F3008" s="13" t="s">
        <v>1189</v>
      </c>
      <c r="G3008" s="13">
        <v>0.79</v>
      </c>
      <c r="H3008" s="15">
        <v>1851</v>
      </c>
      <c r="I3008" s="16">
        <v>1462.29</v>
      </c>
      <c r="J3008" s="16">
        <v>1044.6020559965766</v>
      </c>
      <c r="K3008" s="16">
        <v>417.68794400342335</v>
      </c>
      <c r="L3008" s="13">
        <v>2.42</v>
      </c>
      <c r="M3008" s="13"/>
      <c r="N3008" s="17">
        <f t="shared" si="100"/>
        <v>4479.42</v>
      </c>
      <c r="O3008" s="17">
        <f t="shared" si="100"/>
        <v>0</v>
      </c>
      <c r="P3008" s="17">
        <f t="shared" si="99"/>
        <v>4479.42</v>
      </c>
      <c r="Q3008" t="str">
        <f>A3008&amp;"-"&amp;B3008&amp;"-"&amp;D3008</f>
        <v>JULI-MJ2-L11</v>
      </c>
    </row>
    <row r="3009" spans="1:17" x14ac:dyDescent="0.25">
      <c r="A3009" t="s">
        <v>397</v>
      </c>
      <c r="B3009" s="13" t="s">
        <v>26</v>
      </c>
      <c r="C3009" s="13" t="s">
        <v>226</v>
      </c>
      <c r="D3009" s="14" t="s">
        <v>287</v>
      </c>
      <c r="E3009" s="13" t="s">
        <v>61</v>
      </c>
      <c r="F3009" s="13" t="s">
        <v>1190</v>
      </c>
      <c r="G3009" s="13">
        <v>0.79</v>
      </c>
      <c r="H3009" s="15">
        <v>1896</v>
      </c>
      <c r="I3009" s="16">
        <v>1497.84</v>
      </c>
      <c r="J3009" s="16">
        <v>1048.0441669992356</v>
      </c>
      <c r="K3009" s="16">
        <v>449.79583300076456</v>
      </c>
      <c r="L3009" s="13">
        <v>2.42</v>
      </c>
      <c r="M3009" s="13"/>
      <c r="N3009" s="17">
        <f t="shared" si="100"/>
        <v>4588.32</v>
      </c>
      <c r="O3009" s="17">
        <f t="shared" si="100"/>
        <v>0</v>
      </c>
      <c r="P3009" s="17">
        <f t="shared" si="99"/>
        <v>4588.32</v>
      </c>
      <c r="Q3009" t="str">
        <f>A3009&amp;"-"&amp;B3009&amp;"-"&amp;D3009</f>
        <v>JULI-MJ2-L11</v>
      </c>
    </row>
    <row r="3010" spans="1:17" x14ac:dyDescent="0.25">
      <c r="A3010" t="s">
        <v>397</v>
      </c>
      <c r="B3010" s="13" t="s">
        <v>26</v>
      </c>
      <c r="C3010" s="13" t="s">
        <v>226</v>
      </c>
      <c r="D3010" s="14" t="s">
        <v>287</v>
      </c>
      <c r="E3010" s="13" t="s">
        <v>61</v>
      </c>
      <c r="F3010" s="13" t="s">
        <v>1086</v>
      </c>
      <c r="G3010" s="13">
        <v>0.79</v>
      </c>
      <c r="H3010" s="15">
        <v>2090</v>
      </c>
      <c r="I3010" s="16">
        <v>1651.1</v>
      </c>
      <c r="J3010" s="16">
        <v>1177.2826554553355</v>
      </c>
      <c r="K3010" s="16">
        <v>473.81734454466442</v>
      </c>
      <c r="L3010" s="13">
        <v>2.42</v>
      </c>
      <c r="M3010" s="13"/>
      <c r="N3010" s="17">
        <f t="shared" si="100"/>
        <v>5057.8</v>
      </c>
      <c r="O3010" s="17">
        <f t="shared" si="100"/>
        <v>0</v>
      </c>
      <c r="P3010" s="17">
        <f t="shared" ref="P3010:P3073" si="101">N3010+O3010</f>
        <v>5057.8</v>
      </c>
      <c r="Q3010" t="str">
        <f>A3010&amp;"-"&amp;B3010&amp;"-"&amp;D3010</f>
        <v>JULI-MJ2-L11</v>
      </c>
    </row>
    <row r="3011" spans="1:17" x14ac:dyDescent="0.25">
      <c r="A3011" t="s">
        <v>397</v>
      </c>
      <c r="B3011" s="13" t="s">
        <v>26</v>
      </c>
      <c r="C3011" s="13" t="s">
        <v>226</v>
      </c>
      <c r="D3011" s="14" t="s">
        <v>287</v>
      </c>
      <c r="E3011" s="13" t="s">
        <v>61</v>
      </c>
      <c r="F3011" s="13" t="s">
        <v>1191</v>
      </c>
      <c r="G3011" s="13">
        <v>0.79</v>
      </c>
      <c r="H3011" s="15">
        <v>1553</v>
      </c>
      <c r="I3011" s="16">
        <v>1226.8699999999999</v>
      </c>
      <c r="J3011" s="16">
        <v>1127.958493455862</v>
      </c>
      <c r="K3011" s="16">
        <v>98.911506544138049</v>
      </c>
      <c r="L3011" s="13">
        <v>2.14</v>
      </c>
      <c r="M3011" s="13"/>
      <c r="N3011" s="17">
        <f t="shared" si="100"/>
        <v>3323.42</v>
      </c>
      <c r="O3011" s="17">
        <f t="shared" si="100"/>
        <v>0</v>
      </c>
      <c r="P3011" s="17">
        <f t="shared" si="101"/>
        <v>3323.42</v>
      </c>
      <c r="Q3011" t="str">
        <f>A3011&amp;"-"&amp;B3011&amp;"-"&amp;D3011</f>
        <v>JULI-MJ2-L11</v>
      </c>
    </row>
    <row r="3012" spans="1:17" x14ac:dyDescent="0.25">
      <c r="A3012" t="s">
        <v>397</v>
      </c>
      <c r="B3012" s="13" t="s">
        <v>26</v>
      </c>
      <c r="C3012" s="13" t="s">
        <v>226</v>
      </c>
      <c r="D3012" s="14" t="s">
        <v>287</v>
      </c>
      <c r="E3012" s="13" t="s">
        <v>61</v>
      </c>
      <c r="F3012" s="13" t="s">
        <v>1192</v>
      </c>
      <c r="G3012" s="13">
        <v>0.79</v>
      </c>
      <c r="H3012" s="15">
        <v>3395</v>
      </c>
      <c r="I3012" s="16">
        <v>2682.05</v>
      </c>
      <c r="J3012" s="16">
        <v>2448.1126894671565</v>
      </c>
      <c r="K3012" s="16">
        <v>233.93731053284336</v>
      </c>
      <c r="L3012" s="13">
        <v>2.14</v>
      </c>
      <c r="M3012" s="13"/>
      <c r="N3012" s="17">
        <f t="shared" si="100"/>
        <v>7265.3</v>
      </c>
      <c r="O3012" s="17">
        <f t="shared" si="100"/>
        <v>0</v>
      </c>
      <c r="P3012" s="17">
        <f t="shared" si="101"/>
        <v>7265.3</v>
      </c>
      <c r="Q3012" t="str">
        <f>A3012&amp;"-"&amp;B3012&amp;"-"&amp;D3012</f>
        <v>JULI-MJ2-L11</v>
      </c>
    </row>
    <row r="3013" spans="1:17" x14ac:dyDescent="0.25">
      <c r="A3013" t="s">
        <v>397</v>
      </c>
      <c r="B3013" s="13" t="s">
        <v>26</v>
      </c>
      <c r="C3013" s="13" t="s">
        <v>226</v>
      </c>
      <c r="D3013" s="14" t="s">
        <v>287</v>
      </c>
      <c r="E3013" s="13" t="s">
        <v>61</v>
      </c>
      <c r="F3013" s="13" t="s">
        <v>1193</v>
      </c>
      <c r="G3013" s="13">
        <v>0.72000000000000008</v>
      </c>
      <c r="H3013" s="15">
        <v>680</v>
      </c>
      <c r="I3013" s="16">
        <v>489.59999999999997</v>
      </c>
      <c r="J3013" s="16">
        <v>478.30156535406309</v>
      </c>
      <c r="K3013" s="16">
        <v>11.298434645936865</v>
      </c>
      <c r="L3013" s="13">
        <v>2.29</v>
      </c>
      <c r="M3013" s="13"/>
      <c r="N3013" s="17">
        <f t="shared" si="100"/>
        <v>1557.2</v>
      </c>
      <c r="O3013" s="17">
        <f t="shared" si="100"/>
        <v>0</v>
      </c>
      <c r="P3013" s="17">
        <f t="shared" si="101"/>
        <v>1557.2</v>
      </c>
      <c r="Q3013" t="str">
        <f>A3013&amp;"-"&amp;B3013&amp;"-"&amp;D3013</f>
        <v>JULI-MJ2-L11</v>
      </c>
    </row>
    <row r="3014" spans="1:17" x14ac:dyDescent="0.25">
      <c r="A3014" t="s">
        <v>397</v>
      </c>
      <c r="B3014" s="13" t="s">
        <v>26</v>
      </c>
      <c r="C3014" s="13" t="s">
        <v>226</v>
      </c>
      <c r="D3014" s="14" t="s">
        <v>287</v>
      </c>
      <c r="E3014" s="13" t="s">
        <v>61</v>
      </c>
      <c r="F3014" s="13" t="s">
        <v>1194</v>
      </c>
      <c r="G3014" s="13">
        <v>0.79</v>
      </c>
      <c r="H3014" s="15">
        <v>250</v>
      </c>
      <c r="I3014" s="16">
        <v>197.49999999999997</v>
      </c>
      <c r="J3014" s="16">
        <v>142.8778803288661</v>
      </c>
      <c r="K3014" s="16">
        <v>54.622119671133923</v>
      </c>
      <c r="L3014" s="13">
        <v>2.42</v>
      </c>
      <c r="M3014" s="13"/>
      <c r="N3014" s="17">
        <f t="shared" si="100"/>
        <v>605</v>
      </c>
      <c r="O3014" s="17">
        <f t="shared" si="100"/>
        <v>0</v>
      </c>
      <c r="P3014" s="17">
        <f t="shared" si="101"/>
        <v>605</v>
      </c>
      <c r="Q3014" t="str">
        <f>A3014&amp;"-"&amp;B3014&amp;"-"&amp;D3014</f>
        <v>JULI-MJ2-L11</v>
      </c>
    </row>
    <row r="3015" spans="1:17" x14ac:dyDescent="0.25">
      <c r="A3015" t="s">
        <v>397</v>
      </c>
      <c r="B3015" s="13" t="s">
        <v>26</v>
      </c>
      <c r="C3015" s="13" t="s">
        <v>226</v>
      </c>
      <c r="D3015" s="14" t="s">
        <v>287</v>
      </c>
      <c r="E3015" s="13" t="s">
        <v>61</v>
      </c>
      <c r="F3015" s="13" t="s">
        <v>1195</v>
      </c>
      <c r="G3015" s="13">
        <v>0.79</v>
      </c>
      <c r="H3015" s="15">
        <v>1395</v>
      </c>
      <c r="I3015" s="16">
        <v>1102.05</v>
      </c>
      <c r="J3015" s="16">
        <v>807.67153887208678</v>
      </c>
      <c r="K3015" s="16">
        <v>294.378461127913</v>
      </c>
      <c r="L3015" s="13">
        <v>2.42</v>
      </c>
      <c r="M3015" s="13"/>
      <c r="N3015" s="17">
        <f t="shared" si="100"/>
        <v>3375.9</v>
      </c>
      <c r="O3015" s="17">
        <f t="shared" si="100"/>
        <v>0</v>
      </c>
      <c r="P3015" s="17">
        <f t="shared" si="101"/>
        <v>3375.9</v>
      </c>
      <c r="Q3015" t="str">
        <f>A3015&amp;"-"&amp;B3015&amp;"-"&amp;D3015</f>
        <v>JULI-MJ2-L11</v>
      </c>
    </row>
    <row r="3016" spans="1:17" x14ac:dyDescent="0.25">
      <c r="A3016" t="s">
        <v>397</v>
      </c>
      <c r="B3016" s="13" t="s">
        <v>26</v>
      </c>
      <c r="C3016" s="13" t="s">
        <v>226</v>
      </c>
      <c r="D3016" s="14" t="s">
        <v>287</v>
      </c>
      <c r="E3016" s="13" t="s">
        <v>61</v>
      </c>
      <c r="F3016" s="13" t="s">
        <v>1196</v>
      </c>
      <c r="G3016" s="13">
        <v>0.65</v>
      </c>
      <c r="H3016" s="15">
        <v>2675</v>
      </c>
      <c r="I3016" s="16">
        <v>1738.75</v>
      </c>
      <c r="J3016" s="16">
        <v>1466.7661967817719</v>
      </c>
      <c r="K3016" s="16">
        <v>271.9838032182281</v>
      </c>
      <c r="L3016" s="13">
        <v>1.66</v>
      </c>
      <c r="M3016" s="13"/>
      <c r="N3016" s="17">
        <f t="shared" si="100"/>
        <v>4440.5</v>
      </c>
      <c r="O3016" s="17">
        <f t="shared" si="100"/>
        <v>0</v>
      </c>
      <c r="P3016" s="17">
        <f t="shared" si="101"/>
        <v>4440.5</v>
      </c>
      <c r="Q3016" t="str">
        <f>A3016&amp;"-"&amp;B3016&amp;"-"&amp;D3016</f>
        <v>JULI-MJ2-L11</v>
      </c>
    </row>
    <row r="3017" spans="1:17" x14ac:dyDescent="0.25">
      <c r="A3017" t="s">
        <v>397</v>
      </c>
      <c r="B3017" s="13" t="s">
        <v>26</v>
      </c>
      <c r="C3017" s="13" t="s">
        <v>226</v>
      </c>
      <c r="D3017" s="14" t="s">
        <v>287</v>
      </c>
      <c r="E3017" s="13" t="s">
        <v>61</v>
      </c>
      <c r="F3017" s="13" t="s">
        <v>1197</v>
      </c>
      <c r="G3017" s="13">
        <v>0.65</v>
      </c>
      <c r="H3017" s="15">
        <v>532</v>
      </c>
      <c r="I3017" s="16">
        <v>345.8</v>
      </c>
      <c r="J3017" s="16">
        <v>328.27150572651033</v>
      </c>
      <c r="K3017" s="16">
        <v>17.528494273489713</v>
      </c>
      <c r="L3017" s="13">
        <v>1.79</v>
      </c>
      <c r="M3017" s="13"/>
      <c r="N3017" s="17">
        <f t="shared" si="100"/>
        <v>952.28</v>
      </c>
      <c r="O3017" s="17">
        <f t="shared" si="100"/>
        <v>0</v>
      </c>
      <c r="P3017" s="17">
        <f t="shared" si="101"/>
        <v>952.28</v>
      </c>
      <c r="Q3017" t="str">
        <f>A3017&amp;"-"&amp;B3017&amp;"-"&amp;D3017</f>
        <v>JULI-MJ2-L11</v>
      </c>
    </row>
    <row r="3018" spans="1:17" x14ac:dyDescent="0.25">
      <c r="A3018" t="s">
        <v>397</v>
      </c>
      <c r="B3018" s="13" t="s">
        <v>26</v>
      </c>
      <c r="C3018" s="13" t="s">
        <v>226</v>
      </c>
      <c r="D3018" s="14" t="s">
        <v>287</v>
      </c>
      <c r="E3018" s="13" t="s">
        <v>61</v>
      </c>
      <c r="F3018" s="13" t="s">
        <v>959</v>
      </c>
      <c r="G3018" s="13">
        <v>0.65</v>
      </c>
      <c r="H3018" s="15">
        <v>110</v>
      </c>
      <c r="I3018" s="16">
        <v>71.5</v>
      </c>
      <c r="J3018" s="16">
        <v>61.052231834570165</v>
      </c>
      <c r="K3018" s="16">
        <v>10.447768165429839</v>
      </c>
      <c r="L3018" s="13">
        <v>1.64</v>
      </c>
      <c r="M3018" s="13"/>
      <c r="N3018" s="17">
        <f t="shared" si="100"/>
        <v>180.39999999999998</v>
      </c>
      <c r="O3018" s="17">
        <f t="shared" si="100"/>
        <v>0</v>
      </c>
      <c r="P3018" s="17">
        <f t="shared" si="101"/>
        <v>180.39999999999998</v>
      </c>
      <c r="Q3018" t="str">
        <f>A3018&amp;"-"&amp;B3018&amp;"-"&amp;D3018</f>
        <v>JULI-MJ2-L11</v>
      </c>
    </row>
    <row r="3019" spans="1:17" x14ac:dyDescent="0.25">
      <c r="A3019" t="s">
        <v>397</v>
      </c>
      <c r="B3019" s="13" t="s">
        <v>26</v>
      </c>
      <c r="C3019" s="13" t="s">
        <v>226</v>
      </c>
      <c r="D3019" s="14" t="s">
        <v>287</v>
      </c>
      <c r="E3019" s="13" t="s">
        <v>61</v>
      </c>
      <c r="F3019" s="13" t="s">
        <v>1198</v>
      </c>
      <c r="G3019" s="13">
        <v>0.65</v>
      </c>
      <c r="H3019" s="15">
        <v>2543</v>
      </c>
      <c r="I3019" s="16">
        <v>1652.95</v>
      </c>
      <c r="J3019" s="16">
        <v>1443.5644771485877</v>
      </c>
      <c r="K3019" s="16">
        <v>209.38552285141242</v>
      </c>
      <c r="L3019" s="13">
        <v>1.66</v>
      </c>
      <c r="M3019" s="13"/>
      <c r="N3019" s="17">
        <f t="shared" si="100"/>
        <v>4221.38</v>
      </c>
      <c r="O3019" s="17">
        <f t="shared" si="100"/>
        <v>0</v>
      </c>
      <c r="P3019" s="17">
        <f t="shared" si="101"/>
        <v>4221.38</v>
      </c>
      <c r="Q3019" t="str">
        <f>A3019&amp;"-"&amp;B3019&amp;"-"&amp;D3019</f>
        <v>JULI-MJ2-L11</v>
      </c>
    </row>
    <row r="3020" spans="1:17" x14ac:dyDescent="0.25">
      <c r="A3020" t="s">
        <v>397</v>
      </c>
      <c r="B3020" s="13" t="s">
        <v>26</v>
      </c>
      <c r="C3020" s="13" t="s">
        <v>226</v>
      </c>
      <c r="D3020" s="14" t="s">
        <v>287</v>
      </c>
      <c r="E3020" s="13" t="s">
        <v>61</v>
      </c>
      <c r="F3020" s="13" t="s">
        <v>1199</v>
      </c>
      <c r="G3020" s="13">
        <v>0.65</v>
      </c>
      <c r="H3020" s="15">
        <v>876</v>
      </c>
      <c r="I3020" s="16">
        <v>569.4</v>
      </c>
      <c r="J3020" s="16">
        <v>507.18829289464014</v>
      </c>
      <c r="K3020" s="16">
        <v>62.211707105359821</v>
      </c>
      <c r="L3020" s="13">
        <v>1.79</v>
      </c>
      <c r="M3020" s="13"/>
      <c r="N3020" s="17">
        <f t="shared" si="100"/>
        <v>1568.04</v>
      </c>
      <c r="O3020" s="17">
        <f t="shared" si="100"/>
        <v>0</v>
      </c>
      <c r="P3020" s="17">
        <f t="shared" si="101"/>
        <v>1568.04</v>
      </c>
      <c r="Q3020" t="str">
        <f>A3020&amp;"-"&amp;B3020&amp;"-"&amp;D3020</f>
        <v>JULI-MJ2-L11</v>
      </c>
    </row>
    <row r="3021" spans="1:17" x14ac:dyDescent="0.25">
      <c r="A3021" t="s">
        <v>397</v>
      </c>
      <c r="B3021" s="13" t="s">
        <v>26</v>
      </c>
      <c r="C3021" s="13" t="s">
        <v>226</v>
      </c>
      <c r="D3021" s="14" t="s">
        <v>287</v>
      </c>
      <c r="E3021" s="13" t="s">
        <v>61</v>
      </c>
      <c r="F3021" s="13" t="s">
        <v>1087</v>
      </c>
      <c r="G3021" s="13">
        <v>0.65</v>
      </c>
      <c r="H3021" s="15">
        <v>66</v>
      </c>
      <c r="I3021" s="16">
        <v>42.9</v>
      </c>
      <c r="J3021" s="16">
        <v>44.634653694695388</v>
      </c>
      <c r="K3021" s="16">
        <v>-1.7346536946953854</v>
      </c>
      <c r="L3021" s="13">
        <v>1.64</v>
      </c>
      <c r="M3021" s="13"/>
      <c r="N3021" s="17">
        <f t="shared" si="100"/>
        <v>108.24</v>
      </c>
      <c r="O3021" s="17">
        <f t="shared" si="100"/>
        <v>0</v>
      </c>
      <c r="P3021" s="17">
        <f t="shared" si="101"/>
        <v>108.24</v>
      </c>
      <c r="Q3021" t="str">
        <f>A3021&amp;"-"&amp;B3021&amp;"-"&amp;D3021</f>
        <v>JULI-MJ2-L11</v>
      </c>
    </row>
    <row r="3022" spans="1:17" x14ac:dyDescent="0.25">
      <c r="A3022" t="s">
        <v>397</v>
      </c>
      <c r="B3022" s="13" t="s">
        <v>26</v>
      </c>
      <c r="C3022" s="13" t="s">
        <v>226</v>
      </c>
      <c r="D3022" s="14" t="s">
        <v>310</v>
      </c>
      <c r="E3022" s="13" t="s">
        <v>61</v>
      </c>
      <c r="F3022" s="13" t="s">
        <v>1200</v>
      </c>
      <c r="G3022" s="13">
        <v>0.70000000000000007</v>
      </c>
      <c r="H3022" s="15">
        <v>3610</v>
      </c>
      <c r="I3022" s="16">
        <v>2526.9999999999995</v>
      </c>
      <c r="J3022" s="16">
        <v>1636.2441976331349</v>
      </c>
      <c r="K3022" s="16">
        <v>890.7558023668654</v>
      </c>
      <c r="L3022" s="13">
        <v>1.3</v>
      </c>
      <c r="M3022" s="13"/>
      <c r="N3022" s="17">
        <f t="shared" ref="N3022:O3085" si="102">$H3022*L3022</f>
        <v>4693</v>
      </c>
      <c r="O3022" s="17">
        <f t="shared" si="102"/>
        <v>0</v>
      </c>
      <c r="P3022" s="17">
        <f t="shared" si="101"/>
        <v>4693</v>
      </c>
      <c r="Q3022" t="str">
        <f>A3022&amp;"-"&amp;B3022&amp;"-"&amp;D3022</f>
        <v>JULI-MJ2-L12</v>
      </c>
    </row>
    <row r="3023" spans="1:17" x14ac:dyDescent="0.25">
      <c r="A3023" t="s">
        <v>397</v>
      </c>
      <c r="B3023" s="13" t="s">
        <v>26</v>
      </c>
      <c r="C3023" s="13" t="s">
        <v>226</v>
      </c>
      <c r="D3023" s="14" t="s">
        <v>310</v>
      </c>
      <c r="E3023" s="13" t="s">
        <v>61</v>
      </c>
      <c r="F3023" s="13" t="s">
        <v>1201</v>
      </c>
      <c r="G3023" s="13">
        <v>0.70000000000000007</v>
      </c>
      <c r="H3023" s="15">
        <v>8397</v>
      </c>
      <c r="I3023" s="16">
        <v>5877.9000000000005</v>
      </c>
      <c r="J3023" s="16">
        <v>3421.8288474342921</v>
      </c>
      <c r="K3023" s="16">
        <v>2456.0711525657075</v>
      </c>
      <c r="L3023" s="13">
        <v>1.3</v>
      </c>
      <c r="M3023" s="13"/>
      <c r="N3023" s="17">
        <f t="shared" si="102"/>
        <v>10916.1</v>
      </c>
      <c r="O3023" s="17">
        <f t="shared" si="102"/>
        <v>0</v>
      </c>
      <c r="P3023" s="17">
        <f t="shared" si="101"/>
        <v>10916.1</v>
      </c>
      <c r="Q3023" t="str">
        <f>A3023&amp;"-"&amp;B3023&amp;"-"&amp;D3023</f>
        <v>JULI-MJ2-L12</v>
      </c>
    </row>
    <row r="3024" spans="1:17" x14ac:dyDescent="0.25">
      <c r="A3024" t="s">
        <v>397</v>
      </c>
      <c r="B3024" s="13" t="s">
        <v>26</v>
      </c>
      <c r="C3024" s="13" t="s">
        <v>226</v>
      </c>
      <c r="D3024" s="14" t="s">
        <v>310</v>
      </c>
      <c r="E3024" s="13" t="s">
        <v>61</v>
      </c>
      <c r="F3024" s="13" t="s">
        <v>1182</v>
      </c>
      <c r="G3024" s="13">
        <v>0.70000000000000007</v>
      </c>
      <c r="H3024" s="15">
        <v>2753</v>
      </c>
      <c r="I3024" s="16">
        <v>1927.1000000000001</v>
      </c>
      <c r="J3024" s="16">
        <v>1696.2396503019713</v>
      </c>
      <c r="K3024" s="16">
        <v>230.86034969802876</v>
      </c>
      <c r="L3024" s="13">
        <v>1.3</v>
      </c>
      <c r="M3024" s="13"/>
      <c r="N3024" s="17">
        <f t="shared" si="102"/>
        <v>3578.9</v>
      </c>
      <c r="O3024" s="17">
        <f t="shared" si="102"/>
        <v>0</v>
      </c>
      <c r="P3024" s="17">
        <f t="shared" si="101"/>
        <v>3578.9</v>
      </c>
      <c r="Q3024" t="str">
        <f>A3024&amp;"-"&amp;B3024&amp;"-"&amp;D3024</f>
        <v>JULI-MJ2-L12</v>
      </c>
    </row>
    <row r="3025" spans="1:17" x14ac:dyDescent="0.25">
      <c r="A3025" t="s">
        <v>397</v>
      </c>
      <c r="B3025" s="13" t="s">
        <v>26</v>
      </c>
      <c r="C3025" s="13" t="s">
        <v>226</v>
      </c>
      <c r="D3025" s="14" t="s">
        <v>310</v>
      </c>
      <c r="E3025" s="13" t="s">
        <v>61</v>
      </c>
      <c r="F3025" s="13" t="s">
        <v>1202</v>
      </c>
      <c r="G3025" s="13">
        <v>0.77999999999999992</v>
      </c>
      <c r="H3025" s="15">
        <v>1165</v>
      </c>
      <c r="I3025" s="16">
        <v>908.7</v>
      </c>
      <c r="J3025" s="16">
        <v>570.22299202482077</v>
      </c>
      <c r="K3025" s="16">
        <v>338.47700797517916</v>
      </c>
      <c r="L3025" s="13">
        <v>2</v>
      </c>
      <c r="M3025" s="13"/>
      <c r="N3025" s="17">
        <f t="shared" si="102"/>
        <v>2330</v>
      </c>
      <c r="O3025" s="17">
        <f t="shared" si="102"/>
        <v>0</v>
      </c>
      <c r="P3025" s="17">
        <f t="shared" si="101"/>
        <v>2330</v>
      </c>
      <c r="Q3025" t="str">
        <f>A3025&amp;"-"&amp;B3025&amp;"-"&amp;D3025</f>
        <v>JULI-MJ2-L12</v>
      </c>
    </row>
    <row r="3026" spans="1:17" x14ac:dyDescent="0.25">
      <c r="A3026" t="s">
        <v>397</v>
      </c>
      <c r="B3026" s="13" t="s">
        <v>26</v>
      </c>
      <c r="C3026" s="13" t="s">
        <v>226</v>
      </c>
      <c r="D3026" s="14" t="s">
        <v>310</v>
      </c>
      <c r="E3026" s="13" t="s">
        <v>61</v>
      </c>
      <c r="F3026" s="13" t="s">
        <v>1088</v>
      </c>
      <c r="G3026" s="13">
        <v>0.78000000000000014</v>
      </c>
      <c r="H3026" s="15">
        <v>3044</v>
      </c>
      <c r="I3026" s="16">
        <v>2374.3199999999997</v>
      </c>
      <c r="J3026" s="16">
        <v>2102.4351870202868</v>
      </c>
      <c r="K3026" s="16">
        <v>271.88481297971305</v>
      </c>
      <c r="L3026" s="13">
        <v>2</v>
      </c>
      <c r="M3026" s="13"/>
      <c r="N3026" s="17">
        <f t="shared" si="102"/>
        <v>6088</v>
      </c>
      <c r="O3026" s="17">
        <f t="shared" si="102"/>
        <v>0</v>
      </c>
      <c r="P3026" s="17">
        <f t="shared" si="101"/>
        <v>6088</v>
      </c>
      <c r="Q3026" t="str">
        <f>A3026&amp;"-"&amp;B3026&amp;"-"&amp;D3026</f>
        <v>JULI-MJ2-L12</v>
      </c>
    </row>
    <row r="3027" spans="1:17" x14ac:dyDescent="0.25">
      <c r="A3027" t="s">
        <v>397</v>
      </c>
      <c r="B3027" s="13" t="s">
        <v>26</v>
      </c>
      <c r="C3027" s="13" t="s">
        <v>226</v>
      </c>
      <c r="D3027" s="14" t="s">
        <v>310</v>
      </c>
      <c r="E3027" s="13" t="s">
        <v>61</v>
      </c>
      <c r="F3027" s="13" t="s">
        <v>1203</v>
      </c>
      <c r="G3027" s="13">
        <v>0.77999999999999992</v>
      </c>
      <c r="H3027" s="15">
        <v>3002</v>
      </c>
      <c r="I3027" s="16">
        <v>2341.56</v>
      </c>
      <c r="J3027" s="16">
        <v>1426.561551025429</v>
      </c>
      <c r="K3027" s="16">
        <v>914.99844897457081</v>
      </c>
      <c r="L3027" s="13">
        <v>2</v>
      </c>
      <c r="M3027" s="13"/>
      <c r="N3027" s="17">
        <f t="shared" si="102"/>
        <v>6004</v>
      </c>
      <c r="O3027" s="17">
        <f t="shared" si="102"/>
        <v>0</v>
      </c>
      <c r="P3027" s="17">
        <f t="shared" si="101"/>
        <v>6004</v>
      </c>
      <c r="Q3027" t="str">
        <f>A3027&amp;"-"&amp;B3027&amp;"-"&amp;D3027</f>
        <v>JULI-MJ2-L12</v>
      </c>
    </row>
    <row r="3028" spans="1:17" x14ac:dyDescent="0.25">
      <c r="A3028" t="s">
        <v>397</v>
      </c>
      <c r="B3028" s="13" t="s">
        <v>26</v>
      </c>
      <c r="C3028" s="13" t="s">
        <v>226</v>
      </c>
      <c r="D3028" s="14" t="s">
        <v>310</v>
      </c>
      <c r="E3028" s="13" t="s">
        <v>61</v>
      </c>
      <c r="F3028" s="13" t="s">
        <v>1089</v>
      </c>
      <c r="G3028" s="13">
        <v>0.78000000000000014</v>
      </c>
      <c r="H3028" s="15">
        <v>520</v>
      </c>
      <c r="I3028" s="16">
        <v>405.59999999999997</v>
      </c>
      <c r="J3028" s="16">
        <v>354.9053861856882</v>
      </c>
      <c r="K3028" s="16">
        <v>50.694613814311793</v>
      </c>
      <c r="L3028" s="13">
        <v>2</v>
      </c>
      <c r="M3028" s="13"/>
      <c r="N3028" s="17">
        <f t="shared" si="102"/>
        <v>1040</v>
      </c>
      <c r="O3028" s="17">
        <f t="shared" si="102"/>
        <v>0</v>
      </c>
      <c r="P3028" s="17">
        <f t="shared" si="101"/>
        <v>1040</v>
      </c>
      <c r="Q3028" t="str">
        <f>A3028&amp;"-"&amp;B3028&amp;"-"&amp;D3028</f>
        <v>JULI-MJ2-L12</v>
      </c>
    </row>
    <row r="3029" spans="1:17" x14ac:dyDescent="0.25">
      <c r="A3029" t="s">
        <v>397</v>
      </c>
      <c r="B3029" s="13" t="s">
        <v>26</v>
      </c>
      <c r="C3029" s="13" t="s">
        <v>226</v>
      </c>
      <c r="D3029" s="14" t="s">
        <v>310</v>
      </c>
      <c r="E3029" s="13" t="s">
        <v>61</v>
      </c>
      <c r="F3029" s="13" t="s">
        <v>1204</v>
      </c>
      <c r="G3029" s="13">
        <v>0.78</v>
      </c>
      <c r="H3029" s="15">
        <v>2052</v>
      </c>
      <c r="I3029" s="16">
        <v>1600.56</v>
      </c>
      <c r="J3029" s="16">
        <v>960.67448219845687</v>
      </c>
      <c r="K3029" s="16">
        <v>639.8855178015433</v>
      </c>
      <c r="L3029" s="13">
        <v>2</v>
      </c>
      <c r="M3029" s="13"/>
      <c r="N3029" s="17">
        <f t="shared" si="102"/>
        <v>4104</v>
      </c>
      <c r="O3029" s="17">
        <f t="shared" si="102"/>
        <v>0</v>
      </c>
      <c r="P3029" s="17">
        <f t="shared" si="101"/>
        <v>4104</v>
      </c>
      <c r="Q3029" t="str">
        <f>A3029&amp;"-"&amp;B3029&amp;"-"&amp;D3029</f>
        <v>JULI-MJ2-L12</v>
      </c>
    </row>
    <row r="3030" spans="1:17" x14ac:dyDescent="0.25">
      <c r="A3030" t="s">
        <v>397</v>
      </c>
      <c r="B3030" s="13" t="s">
        <v>26</v>
      </c>
      <c r="C3030" s="13" t="s">
        <v>226</v>
      </c>
      <c r="D3030" s="14" t="s">
        <v>310</v>
      </c>
      <c r="E3030" s="13" t="s">
        <v>61</v>
      </c>
      <c r="F3030" s="13" t="s">
        <v>1205</v>
      </c>
      <c r="G3030" s="13">
        <v>0.92999999999999994</v>
      </c>
      <c r="H3030" s="15">
        <v>3832</v>
      </c>
      <c r="I3030" s="16">
        <v>3563.7600000000007</v>
      </c>
      <c r="J3030" s="16">
        <v>2572.6212146345642</v>
      </c>
      <c r="K3030" s="16">
        <v>991.13878536543598</v>
      </c>
      <c r="L3030" s="13">
        <v>2.2400000000000002</v>
      </c>
      <c r="M3030" s="13"/>
      <c r="N3030" s="17">
        <f t="shared" si="102"/>
        <v>8583.68</v>
      </c>
      <c r="O3030" s="17">
        <f t="shared" si="102"/>
        <v>0</v>
      </c>
      <c r="P3030" s="17">
        <f t="shared" si="101"/>
        <v>8583.68</v>
      </c>
      <c r="Q3030" t="str">
        <f>A3030&amp;"-"&amp;B3030&amp;"-"&amp;D3030</f>
        <v>JULI-MJ2-L12</v>
      </c>
    </row>
    <row r="3031" spans="1:17" x14ac:dyDescent="0.25">
      <c r="A3031" t="s">
        <v>397</v>
      </c>
      <c r="B3031" s="13" t="s">
        <v>26</v>
      </c>
      <c r="C3031" s="13" t="s">
        <v>226</v>
      </c>
      <c r="D3031" s="14" t="s">
        <v>310</v>
      </c>
      <c r="E3031" s="13" t="s">
        <v>61</v>
      </c>
      <c r="F3031" s="13" t="s">
        <v>1206</v>
      </c>
      <c r="G3031" s="13">
        <v>0.93</v>
      </c>
      <c r="H3031" s="15">
        <v>702</v>
      </c>
      <c r="I3031" s="16">
        <v>652.86</v>
      </c>
      <c r="J3031" s="16">
        <v>345.86341463414635</v>
      </c>
      <c r="K3031" s="16">
        <v>306.99658536585366</v>
      </c>
      <c r="L3031" s="13">
        <v>2.2400000000000002</v>
      </c>
      <c r="M3031" s="13"/>
      <c r="N3031" s="17">
        <f t="shared" si="102"/>
        <v>1572.4800000000002</v>
      </c>
      <c r="O3031" s="17">
        <f t="shared" si="102"/>
        <v>0</v>
      </c>
      <c r="P3031" s="17">
        <f t="shared" si="101"/>
        <v>1572.4800000000002</v>
      </c>
      <c r="Q3031" t="str">
        <f>A3031&amp;"-"&amp;B3031&amp;"-"&amp;D3031</f>
        <v>JULI-MJ2-L12</v>
      </c>
    </row>
    <row r="3032" spans="1:17" x14ac:dyDescent="0.25">
      <c r="A3032" t="s">
        <v>397</v>
      </c>
      <c r="B3032" s="13" t="s">
        <v>26</v>
      </c>
      <c r="C3032" s="13" t="s">
        <v>226</v>
      </c>
      <c r="D3032" s="14" t="s">
        <v>310</v>
      </c>
      <c r="E3032" s="13" t="s">
        <v>61</v>
      </c>
      <c r="F3032" s="13" t="s">
        <v>1207</v>
      </c>
      <c r="G3032" s="13">
        <v>0.93</v>
      </c>
      <c r="H3032" s="15">
        <v>3009</v>
      </c>
      <c r="I3032" s="16">
        <v>2798.37</v>
      </c>
      <c r="J3032" s="16">
        <v>2233.8752369076797</v>
      </c>
      <c r="K3032" s="16">
        <v>564.49476309231977</v>
      </c>
      <c r="L3032" s="13">
        <v>2.2400000000000002</v>
      </c>
      <c r="M3032" s="13"/>
      <c r="N3032" s="17">
        <f t="shared" si="102"/>
        <v>6740.1600000000008</v>
      </c>
      <c r="O3032" s="17">
        <f t="shared" si="102"/>
        <v>0</v>
      </c>
      <c r="P3032" s="17">
        <f t="shared" si="101"/>
        <v>6740.1600000000008</v>
      </c>
      <c r="Q3032" t="str">
        <f>A3032&amp;"-"&amp;B3032&amp;"-"&amp;D3032</f>
        <v>JULI-MJ2-L12</v>
      </c>
    </row>
    <row r="3033" spans="1:17" x14ac:dyDescent="0.25">
      <c r="A3033" t="s">
        <v>397</v>
      </c>
      <c r="B3033" s="13" t="s">
        <v>26</v>
      </c>
      <c r="C3033" s="13" t="s">
        <v>226</v>
      </c>
      <c r="D3033" s="14" t="s">
        <v>310</v>
      </c>
      <c r="E3033" s="13" t="s">
        <v>61</v>
      </c>
      <c r="F3033" s="13" t="s">
        <v>1090</v>
      </c>
      <c r="G3033" s="13">
        <v>0.79</v>
      </c>
      <c r="H3033" s="15">
        <v>85</v>
      </c>
      <c r="I3033" s="16">
        <v>67.149999999999991</v>
      </c>
      <c r="J3033" s="16">
        <v>54.129482894893982</v>
      </c>
      <c r="K3033" s="16">
        <v>13.020517105106022</v>
      </c>
      <c r="L3033" s="13">
        <v>2.08</v>
      </c>
      <c r="M3033" s="13"/>
      <c r="N3033" s="17">
        <f t="shared" si="102"/>
        <v>176.8</v>
      </c>
      <c r="O3033" s="17">
        <f t="shared" si="102"/>
        <v>0</v>
      </c>
      <c r="P3033" s="17">
        <f t="shared" si="101"/>
        <v>176.8</v>
      </c>
      <c r="Q3033" t="str">
        <f>A3033&amp;"-"&amp;B3033&amp;"-"&amp;D3033</f>
        <v>JULI-MJ2-L12</v>
      </c>
    </row>
    <row r="3034" spans="1:17" x14ac:dyDescent="0.25">
      <c r="A3034" t="s">
        <v>397</v>
      </c>
      <c r="B3034" s="13" t="s">
        <v>26</v>
      </c>
      <c r="C3034" s="13" t="s">
        <v>226</v>
      </c>
      <c r="D3034" s="14" t="s">
        <v>310</v>
      </c>
      <c r="E3034" s="13" t="s">
        <v>61</v>
      </c>
      <c r="F3034" s="13" t="s">
        <v>1208</v>
      </c>
      <c r="G3034" s="13">
        <v>0.79</v>
      </c>
      <c r="H3034" s="15">
        <v>1804</v>
      </c>
      <c r="I3034" s="16">
        <v>1425.16</v>
      </c>
      <c r="J3034" s="16">
        <v>839.80197515584007</v>
      </c>
      <c r="K3034" s="16">
        <v>585.35802484416001</v>
      </c>
      <c r="L3034" s="13">
        <v>2.08</v>
      </c>
      <c r="M3034" s="13"/>
      <c r="N3034" s="17">
        <f t="shared" si="102"/>
        <v>3752.32</v>
      </c>
      <c r="O3034" s="17">
        <f t="shared" si="102"/>
        <v>0</v>
      </c>
      <c r="P3034" s="17">
        <f t="shared" si="101"/>
        <v>3752.32</v>
      </c>
      <c r="Q3034" t="str">
        <f>A3034&amp;"-"&amp;B3034&amp;"-"&amp;D3034</f>
        <v>JULI-MJ2-L12</v>
      </c>
    </row>
    <row r="3035" spans="1:17" x14ac:dyDescent="0.25">
      <c r="A3035" t="s">
        <v>397</v>
      </c>
      <c r="B3035" s="13" t="s">
        <v>26</v>
      </c>
      <c r="C3035" s="13" t="s">
        <v>226</v>
      </c>
      <c r="D3035" s="14" t="s">
        <v>310</v>
      </c>
      <c r="E3035" s="13" t="s">
        <v>61</v>
      </c>
      <c r="F3035" s="13" t="s">
        <v>1209</v>
      </c>
      <c r="G3035" s="13">
        <v>0.79</v>
      </c>
      <c r="H3035" s="15">
        <v>1940</v>
      </c>
      <c r="I3035" s="16">
        <v>1532.6000000000001</v>
      </c>
      <c r="J3035" s="16">
        <v>853.72247449341148</v>
      </c>
      <c r="K3035" s="16">
        <v>678.87752550658865</v>
      </c>
      <c r="L3035" s="13">
        <v>2.08</v>
      </c>
      <c r="M3035" s="13"/>
      <c r="N3035" s="17">
        <f t="shared" si="102"/>
        <v>4035.2000000000003</v>
      </c>
      <c r="O3035" s="17">
        <f t="shared" si="102"/>
        <v>0</v>
      </c>
      <c r="P3035" s="17">
        <f t="shared" si="101"/>
        <v>4035.2000000000003</v>
      </c>
      <c r="Q3035" t="str">
        <f>A3035&amp;"-"&amp;B3035&amp;"-"&amp;D3035</f>
        <v>JULI-MJ2-L12</v>
      </c>
    </row>
    <row r="3036" spans="1:17" x14ac:dyDescent="0.25">
      <c r="A3036" t="s">
        <v>397</v>
      </c>
      <c r="B3036" s="13" t="s">
        <v>26</v>
      </c>
      <c r="C3036" s="13" t="s">
        <v>226</v>
      </c>
      <c r="D3036" s="14" t="s">
        <v>310</v>
      </c>
      <c r="E3036" s="13" t="s">
        <v>61</v>
      </c>
      <c r="F3036" s="13" t="s">
        <v>1091</v>
      </c>
      <c r="G3036" s="13">
        <v>0.79</v>
      </c>
      <c r="H3036" s="15">
        <v>343</v>
      </c>
      <c r="I3036" s="16">
        <v>270.97000000000003</v>
      </c>
      <c r="J3036" s="16">
        <v>227.63380264212057</v>
      </c>
      <c r="K3036" s="16">
        <v>43.336197357879414</v>
      </c>
      <c r="L3036" s="13">
        <v>2.08</v>
      </c>
      <c r="M3036" s="13"/>
      <c r="N3036" s="17">
        <f t="shared" si="102"/>
        <v>713.44</v>
      </c>
      <c r="O3036" s="17">
        <f t="shared" si="102"/>
        <v>0</v>
      </c>
      <c r="P3036" s="17">
        <f t="shared" si="101"/>
        <v>713.44</v>
      </c>
      <c r="Q3036" t="str">
        <f>A3036&amp;"-"&amp;B3036&amp;"-"&amp;D3036</f>
        <v>JULI-MJ2-L12</v>
      </c>
    </row>
    <row r="3037" spans="1:17" x14ac:dyDescent="0.25">
      <c r="A3037" t="s">
        <v>397</v>
      </c>
      <c r="B3037" s="13" t="s">
        <v>26</v>
      </c>
      <c r="C3037" s="13" t="s">
        <v>226</v>
      </c>
      <c r="D3037" s="14" t="s">
        <v>310</v>
      </c>
      <c r="E3037" s="13" t="s">
        <v>61</v>
      </c>
      <c r="F3037" s="13" t="s">
        <v>1210</v>
      </c>
      <c r="G3037" s="13">
        <v>0.79</v>
      </c>
      <c r="H3037" s="15">
        <v>1870</v>
      </c>
      <c r="I3037" s="16">
        <v>1477.3000000000002</v>
      </c>
      <c r="J3037" s="16">
        <v>903.24010481326309</v>
      </c>
      <c r="K3037" s="16">
        <v>574.05989518673698</v>
      </c>
      <c r="L3037" s="13">
        <v>2.08</v>
      </c>
      <c r="M3037" s="13"/>
      <c r="N3037" s="17">
        <f t="shared" si="102"/>
        <v>3889.6</v>
      </c>
      <c r="O3037" s="17">
        <f t="shared" si="102"/>
        <v>0</v>
      </c>
      <c r="P3037" s="17">
        <f t="shared" si="101"/>
        <v>3889.6</v>
      </c>
      <c r="Q3037" t="str">
        <f>A3037&amp;"-"&amp;B3037&amp;"-"&amp;D3037</f>
        <v>JULI-MJ2-L12</v>
      </c>
    </row>
    <row r="3038" spans="1:17" x14ac:dyDescent="0.25">
      <c r="A3038" t="s">
        <v>397</v>
      </c>
      <c r="B3038" s="13" t="s">
        <v>26</v>
      </c>
      <c r="C3038" s="13" t="s">
        <v>226</v>
      </c>
      <c r="D3038" s="14" t="s">
        <v>320</v>
      </c>
      <c r="E3038" s="13" t="s">
        <v>61</v>
      </c>
      <c r="F3038" s="13" t="s">
        <v>1200</v>
      </c>
      <c r="G3038" s="13">
        <v>0.70000000000000007</v>
      </c>
      <c r="H3038" s="15">
        <v>3610</v>
      </c>
      <c r="I3038" s="16">
        <v>2527</v>
      </c>
      <c r="J3038" s="16">
        <v>1635.7103596937091</v>
      </c>
      <c r="K3038" s="16">
        <v>891.28964030629095</v>
      </c>
      <c r="L3038" s="13">
        <v>1.3</v>
      </c>
      <c r="M3038" s="13"/>
      <c r="N3038" s="17">
        <f t="shared" si="102"/>
        <v>4693</v>
      </c>
      <c r="O3038" s="17">
        <f t="shared" si="102"/>
        <v>0</v>
      </c>
      <c r="P3038" s="17">
        <f t="shared" si="101"/>
        <v>4693</v>
      </c>
      <c r="Q3038" t="str">
        <f>A3038&amp;"-"&amp;B3038&amp;"-"&amp;D3038</f>
        <v>JULI-MJ2-L13</v>
      </c>
    </row>
    <row r="3039" spans="1:17" x14ac:dyDescent="0.25">
      <c r="A3039" t="s">
        <v>397</v>
      </c>
      <c r="B3039" s="13" t="s">
        <v>26</v>
      </c>
      <c r="C3039" s="13" t="s">
        <v>226</v>
      </c>
      <c r="D3039" s="14" t="s">
        <v>320</v>
      </c>
      <c r="E3039" s="13" t="s">
        <v>61</v>
      </c>
      <c r="F3039" s="13" t="s">
        <v>1201</v>
      </c>
      <c r="G3039" s="13">
        <v>0.70000000000000007</v>
      </c>
      <c r="H3039" s="15">
        <v>8396</v>
      </c>
      <c r="I3039" s="16">
        <v>5877.2</v>
      </c>
      <c r="J3039" s="16">
        <v>3421.464335776473</v>
      </c>
      <c r="K3039" s="16">
        <v>2455.7356642235272</v>
      </c>
      <c r="L3039" s="13">
        <v>1.3</v>
      </c>
      <c r="M3039" s="13"/>
      <c r="N3039" s="17">
        <f t="shared" si="102"/>
        <v>10914.800000000001</v>
      </c>
      <c r="O3039" s="17">
        <f t="shared" si="102"/>
        <v>0</v>
      </c>
      <c r="P3039" s="17">
        <f t="shared" si="101"/>
        <v>10914.800000000001</v>
      </c>
      <c r="Q3039" t="str">
        <f>A3039&amp;"-"&amp;B3039&amp;"-"&amp;D3039</f>
        <v>JULI-MJ2-L13</v>
      </c>
    </row>
    <row r="3040" spans="1:17" x14ac:dyDescent="0.25">
      <c r="A3040" t="s">
        <v>397</v>
      </c>
      <c r="B3040" s="13" t="s">
        <v>26</v>
      </c>
      <c r="C3040" s="13" t="s">
        <v>226</v>
      </c>
      <c r="D3040" s="14" t="s">
        <v>320</v>
      </c>
      <c r="E3040" s="13" t="s">
        <v>61</v>
      </c>
      <c r="F3040" s="13" t="s">
        <v>1182</v>
      </c>
      <c r="G3040" s="13">
        <v>0.70000000000000007</v>
      </c>
      <c r="H3040" s="15">
        <v>2755</v>
      </c>
      <c r="I3040" s="16">
        <v>1928.4999999999998</v>
      </c>
      <c r="J3040" s="16">
        <v>1697.1179034471963</v>
      </c>
      <c r="K3040" s="16">
        <v>231.38209655280346</v>
      </c>
      <c r="L3040" s="13">
        <v>1.3</v>
      </c>
      <c r="M3040" s="13"/>
      <c r="N3040" s="17">
        <f t="shared" si="102"/>
        <v>3581.5</v>
      </c>
      <c r="O3040" s="17">
        <f t="shared" si="102"/>
        <v>0</v>
      </c>
      <c r="P3040" s="17">
        <f t="shared" si="101"/>
        <v>3581.5</v>
      </c>
      <c r="Q3040" t="str">
        <f>A3040&amp;"-"&amp;B3040&amp;"-"&amp;D3040</f>
        <v>JULI-MJ2-L13</v>
      </c>
    </row>
    <row r="3041" spans="1:17" x14ac:dyDescent="0.25">
      <c r="A3041" t="s">
        <v>397</v>
      </c>
      <c r="B3041" s="13" t="s">
        <v>26</v>
      </c>
      <c r="C3041" s="13" t="s">
        <v>226</v>
      </c>
      <c r="D3041" s="14" t="s">
        <v>320</v>
      </c>
      <c r="E3041" s="13" t="s">
        <v>61</v>
      </c>
      <c r="F3041" s="13" t="s">
        <v>1202</v>
      </c>
      <c r="G3041" s="13">
        <v>0.77999999999999992</v>
      </c>
      <c r="H3041" s="15">
        <v>1165</v>
      </c>
      <c r="I3041" s="16">
        <v>908.7</v>
      </c>
      <c r="J3041" s="16">
        <v>570.23997157091208</v>
      </c>
      <c r="K3041" s="16">
        <v>338.46002842908786</v>
      </c>
      <c r="L3041" s="13">
        <v>2</v>
      </c>
      <c r="M3041" s="13"/>
      <c r="N3041" s="17">
        <f t="shared" si="102"/>
        <v>2330</v>
      </c>
      <c r="O3041" s="17">
        <f t="shared" si="102"/>
        <v>0</v>
      </c>
      <c r="P3041" s="17">
        <f t="shared" si="101"/>
        <v>2330</v>
      </c>
      <c r="Q3041" t="str">
        <f>A3041&amp;"-"&amp;B3041&amp;"-"&amp;D3041</f>
        <v>JULI-MJ2-L13</v>
      </c>
    </row>
    <row r="3042" spans="1:17" x14ac:dyDescent="0.25">
      <c r="A3042" t="s">
        <v>397</v>
      </c>
      <c r="B3042" s="13" t="s">
        <v>26</v>
      </c>
      <c r="C3042" s="13" t="s">
        <v>226</v>
      </c>
      <c r="D3042" s="14" t="s">
        <v>320</v>
      </c>
      <c r="E3042" s="13" t="s">
        <v>61</v>
      </c>
      <c r="F3042" s="13" t="s">
        <v>1088</v>
      </c>
      <c r="G3042" s="13">
        <v>0.78000000000000014</v>
      </c>
      <c r="H3042" s="15">
        <v>3044</v>
      </c>
      <c r="I3042" s="16">
        <v>2374.3200000000002</v>
      </c>
      <c r="J3042" s="16">
        <v>2102.5847521757455</v>
      </c>
      <c r="K3042" s="16">
        <v>271.73524782425454</v>
      </c>
      <c r="L3042" s="13">
        <v>2</v>
      </c>
      <c r="M3042" s="13"/>
      <c r="N3042" s="17">
        <f t="shared" si="102"/>
        <v>6088</v>
      </c>
      <c r="O3042" s="17">
        <f t="shared" si="102"/>
        <v>0</v>
      </c>
      <c r="P3042" s="17">
        <f t="shared" si="101"/>
        <v>6088</v>
      </c>
      <c r="Q3042" t="str">
        <f>A3042&amp;"-"&amp;B3042&amp;"-"&amp;D3042</f>
        <v>JULI-MJ2-L13</v>
      </c>
    </row>
    <row r="3043" spans="1:17" x14ac:dyDescent="0.25">
      <c r="A3043" t="s">
        <v>397</v>
      </c>
      <c r="B3043" s="13" t="s">
        <v>26</v>
      </c>
      <c r="C3043" s="13" t="s">
        <v>226</v>
      </c>
      <c r="D3043" s="14" t="s">
        <v>320</v>
      </c>
      <c r="E3043" s="13" t="s">
        <v>61</v>
      </c>
      <c r="F3043" s="13" t="s">
        <v>1203</v>
      </c>
      <c r="G3043" s="13">
        <v>0.77999999999999992</v>
      </c>
      <c r="H3043" s="15">
        <v>3003</v>
      </c>
      <c r="I3043" s="16">
        <v>2342.34</v>
      </c>
      <c r="J3043" s="16">
        <v>1427.0313184672896</v>
      </c>
      <c r="K3043" s="16">
        <v>915.30868153271058</v>
      </c>
      <c r="L3043" s="13">
        <v>2</v>
      </c>
      <c r="M3043" s="13"/>
      <c r="N3043" s="17">
        <f t="shared" si="102"/>
        <v>6006</v>
      </c>
      <c r="O3043" s="17">
        <f t="shared" si="102"/>
        <v>0</v>
      </c>
      <c r="P3043" s="17">
        <f t="shared" si="101"/>
        <v>6006</v>
      </c>
      <c r="Q3043" t="str">
        <f>A3043&amp;"-"&amp;B3043&amp;"-"&amp;D3043</f>
        <v>JULI-MJ2-L13</v>
      </c>
    </row>
    <row r="3044" spans="1:17" x14ac:dyDescent="0.25">
      <c r="A3044" t="s">
        <v>397</v>
      </c>
      <c r="B3044" s="13" t="s">
        <v>26</v>
      </c>
      <c r="C3044" s="13" t="s">
        <v>226</v>
      </c>
      <c r="D3044" s="14" t="s">
        <v>320</v>
      </c>
      <c r="E3044" s="13" t="s">
        <v>61</v>
      </c>
      <c r="F3044" s="13" t="s">
        <v>1089</v>
      </c>
      <c r="G3044" s="13">
        <v>0.78000000000000014</v>
      </c>
      <c r="H3044" s="15">
        <v>522</v>
      </c>
      <c r="I3044" s="16">
        <v>407.15999999999997</v>
      </c>
      <c r="J3044" s="16">
        <v>356.20921498576877</v>
      </c>
      <c r="K3044" s="16">
        <v>50.950785014231265</v>
      </c>
      <c r="L3044" s="13">
        <v>2</v>
      </c>
      <c r="M3044" s="13"/>
      <c r="N3044" s="17">
        <f t="shared" si="102"/>
        <v>1044</v>
      </c>
      <c r="O3044" s="17">
        <f t="shared" si="102"/>
        <v>0</v>
      </c>
      <c r="P3044" s="17">
        <f t="shared" si="101"/>
        <v>1044</v>
      </c>
      <c r="Q3044" t="str">
        <f>A3044&amp;"-"&amp;B3044&amp;"-"&amp;D3044</f>
        <v>JULI-MJ2-L13</v>
      </c>
    </row>
    <row r="3045" spans="1:17" x14ac:dyDescent="0.25">
      <c r="A3045" t="s">
        <v>397</v>
      </c>
      <c r="B3045" s="13" t="s">
        <v>26</v>
      </c>
      <c r="C3045" s="13" t="s">
        <v>226</v>
      </c>
      <c r="D3045" s="14" t="s">
        <v>320</v>
      </c>
      <c r="E3045" s="13" t="s">
        <v>61</v>
      </c>
      <c r="F3045" s="13" t="s">
        <v>1204</v>
      </c>
      <c r="G3045" s="13">
        <v>0.78</v>
      </c>
      <c r="H3045" s="15">
        <v>2053</v>
      </c>
      <c r="I3045" s="16">
        <v>1601.3400000000001</v>
      </c>
      <c r="J3045" s="16">
        <v>961.1284147827264</v>
      </c>
      <c r="K3045" s="16">
        <v>640.21158521727352</v>
      </c>
      <c r="L3045" s="13">
        <v>2</v>
      </c>
      <c r="M3045" s="13"/>
      <c r="N3045" s="17">
        <f t="shared" si="102"/>
        <v>4106</v>
      </c>
      <c r="O3045" s="17">
        <f t="shared" si="102"/>
        <v>0</v>
      </c>
      <c r="P3045" s="17">
        <f t="shared" si="101"/>
        <v>4106</v>
      </c>
      <c r="Q3045" t="str">
        <f>A3045&amp;"-"&amp;B3045&amp;"-"&amp;D3045</f>
        <v>JULI-MJ2-L13</v>
      </c>
    </row>
    <row r="3046" spans="1:17" x14ac:dyDescent="0.25">
      <c r="A3046" t="s">
        <v>397</v>
      </c>
      <c r="B3046" s="13" t="s">
        <v>26</v>
      </c>
      <c r="C3046" s="13" t="s">
        <v>226</v>
      </c>
      <c r="D3046" s="14" t="s">
        <v>320</v>
      </c>
      <c r="E3046" s="13" t="s">
        <v>61</v>
      </c>
      <c r="F3046" s="13" t="s">
        <v>1205</v>
      </c>
      <c r="G3046" s="13">
        <v>0.92999999999999994</v>
      </c>
      <c r="H3046" s="15">
        <v>3831</v>
      </c>
      <c r="I3046" s="16">
        <v>3562.8300000000008</v>
      </c>
      <c r="J3046" s="16">
        <v>2571.9685737974678</v>
      </c>
      <c r="K3046" s="16">
        <v>990.86142620253258</v>
      </c>
      <c r="L3046" s="13">
        <v>2.2400000000000002</v>
      </c>
      <c r="M3046" s="13"/>
      <c r="N3046" s="17">
        <f t="shared" si="102"/>
        <v>8581.44</v>
      </c>
      <c r="O3046" s="17">
        <f t="shared" si="102"/>
        <v>0</v>
      </c>
      <c r="P3046" s="17">
        <f t="shared" si="101"/>
        <v>8581.44</v>
      </c>
      <c r="Q3046" t="str">
        <f>A3046&amp;"-"&amp;B3046&amp;"-"&amp;D3046</f>
        <v>JULI-MJ2-L13</v>
      </c>
    </row>
    <row r="3047" spans="1:17" x14ac:dyDescent="0.25">
      <c r="A3047" t="s">
        <v>397</v>
      </c>
      <c r="B3047" s="13" t="s">
        <v>26</v>
      </c>
      <c r="C3047" s="13" t="s">
        <v>226</v>
      </c>
      <c r="D3047" s="14" t="s">
        <v>320</v>
      </c>
      <c r="E3047" s="13" t="s">
        <v>61</v>
      </c>
      <c r="F3047" s="13" t="s">
        <v>1206</v>
      </c>
      <c r="G3047" s="13">
        <v>0.93</v>
      </c>
      <c r="H3047" s="15">
        <v>703</v>
      </c>
      <c r="I3047" s="16">
        <v>653.79</v>
      </c>
      <c r="J3047" s="16">
        <v>346.35609756097563</v>
      </c>
      <c r="K3047" s="16">
        <v>307.43390243902434</v>
      </c>
      <c r="L3047" s="13">
        <v>2.2400000000000002</v>
      </c>
      <c r="M3047" s="13"/>
      <c r="N3047" s="17">
        <f t="shared" si="102"/>
        <v>1574.7200000000003</v>
      </c>
      <c r="O3047" s="17">
        <f t="shared" si="102"/>
        <v>0</v>
      </c>
      <c r="P3047" s="17">
        <f t="shared" si="101"/>
        <v>1574.7200000000003</v>
      </c>
      <c r="Q3047" t="str">
        <f>A3047&amp;"-"&amp;B3047&amp;"-"&amp;D3047</f>
        <v>JULI-MJ2-L13</v>
      </c>
    </row>
    <row r="3048" spans="1:17" x14ac:dyDescent="0.25">
      <c r="A3048" t="s">
        <v>397</v>
      </c>
      <c r="B3048" s="13" t="s">
        <v>26</v>
      </c>
      <c r="C3048" s="13" t="s">
        <v>226</v>
      </c>
      <c r="D3048" s="14" t="s">
        <v>320</v>
      </c>
      <c r="E3048" s="13" t="s">
        <v>61</v>
      </c>
      <c r="F3048" s="13" t="s">
        <v>1207</v>
      </c>
      <c r="G3048" s="13">
        <v>0.93</v>
      </c>
      <c r="H3048" s="15">
        <v>3011</v>
      </c>
      <c r="I3048" s="16">
        <v>2800.2299999999996</v>
      </c>
      <c r="J3048" s="16">
        <v>2235.7614963082146</v>
      </c>
      <c r="K3048" s="16">
        <v>564.46850369178514</v>
      </c>
      <c r="L3048" s="13">
        <v>2.2400000000000002</v>
      </c>
      <c r="M3048" s="13"/>
      <c r="N3048" s="17">
        <f t="shared" si="102"/>
        <v>6744.64</v>
      </c>
      <c r="O3048" s="17">
        <f t="shared" si="102"/>
        <v>0</v>
      </c>
      <c r="P3048" s="17">
        <f t="shared" si="101"/>
        <v>6744.64</v>
      </c>
      <c r="Q3048" t="str">
        <f>A3048&amp;"-"&amp;B3048&amp;"-"&amp;D3048</f>
        <v>JULI-MJ2-L13</v>
      </c>
    </row>
    <row r="3049" spans="1:17" x14ac:dyDescent="0.25">
      <c r="A3049" t="s">
        <v>397</v>
      </c>
      <c r="B3049" s="13" t="s">
        <v>26</v>
      </c>
      <c r="C3049" s="13" t="s">
        <v>226</v>
      </c>
      <c r="D3049" s="14" t="s">
        <v>320</v>
      </c>
      <c r="E3049" s="13" t="s">
        <v>61</v>
      </c>
      <c r="F3049" s="13" t="s">
        <v>1090</v>
      </c>
      <c r="G3049" s="13">
        <v>0.79</v>
      </c>
      <c r="H3049" s="15">
        <v>83</v>
      </c>
      <c r="I3049" s="16">
        <v>65.569999999999993</v>
      </c>
      <c r="J3049" s="16">
        <v>52.763400552026894</v>
      </c>
      <c r="K3049" s="16">
        <v>12.806599447973099</v>
      </c>
      <c r="L3049" s="13">
        <v>2.08</v>
      </c>
      <c r="M3049" s="13"/>
      <c r="N3049" s="17">
        <f t="shared" si="102"/>
        <v>172.64000000000001</v>
      </c>
      <c r="O3049" s="17">
        <f t="shared" si="102"/>
        <v>0</v>
      </c>
      <c r="P3049" s="17">
        <f t="shared" si="101"/>
        <v>172.64000000000001</v>
      </c>
      <c r="Q3049" t="str">
        <f>A3049&amp;"-"&amp;B3049&amp;"-"&amp;D3049</f>
        <v>JULI-MJ2-L13</v>
      </c>
    </row>
    <row r="3050" spans="1:17" x14ac:dyDescent="0.25">
      <c r="A3050" t="s">
        <v>397</v>
      </c>
      <c r="B3050" s="13" t="s">
        <v>26</v>
      </c>
      <c r="C3050" s="13" t="s">
        <v>226</v>
      </c>
      <c r="D3050" s="14" t="s">
        <v>320</v>
      </c>
      <c r="E3050" s="13" t="s">
        <v>61</v>
      </c>
      <c r="F3050" s="13" t="s">
        <v>1208</v>
      </c>
      <c r="G3050" s="13">
        <v>0.79</v>
      </c>
      <c r="H3050" s="15">
        <v>1801</v>
      </c>
      <c r="I3050" s="16">
        <v>1422.79</v>
      </c>
      <c r="J3050" s="16">
        <v>838.38034320266615</v>
      </c>
      <c r="K3050" s="16">
        <v>584.40965679733381</v>
      </c>
      <c r="L3050" s="13">
        <v>2.08</v>
      </c>
      <c r="M3050" s="13"/>
      <c r="N3050" s="17">
        <f t="shared" si="102"/>
        <v>3746.08</v>
      </c>
      <c r="O3050" s="17">
        <f t="shared" si="102"/>
        <v>0</v>
      </c>
      <c r="P3050" s="17">
        <f t="shared" si="101"/>
        <v>3746.08</v>
      </c>
      <c r="Q3050" t="str">
        <f>A3050&amp;"-"&amp;B3050&amp;"-"&amp;D3050</f>
        <v>JULI-MJ2-L13</v>
      </c>
    </row>
    <row r="3051" spans="1:17" x14ac:dyDescent="0.25">
      <c r="A3051" t="s">
        <v>397</v>
      </c>
      <c r="B3051" s="13" t="s">
        <v>26</v>
      </c>
      <c r="C3051" s="13" t="s">
        <v>226</v>
      </c>
      <c r="D3051" s="14" t="s">
        <v>320</v>
      </c>
      <c r="E3051" s="13" t="s">
        <v>61</v>
      </c>
      <c r="F3051" s="13" t="s">
        <v>1209</v>
      </c>
      <c r="G3051" s="13">
        <v>0.79</v>
      </c>
      <c r="H3051" s="15">
        <v>1940</v>
      </c>
      <c r="I3051" s="16">
        <v>1532.6000000000001</v>
      </c>
      <c r="J3051" s="16">
        <v>853.70786335324806</v>
      </c>
      <c r="K3051" s="16">
        <v>678.89213664675208</v>
      </c>
      <c r="L3051" s="13">
        <v>2.08</v>
      </c>
      <c r="M3051" s="13"/>
      <c r="N3051" s="17">
        <f t="shared" si="102"/>
        <v>4035.2000000000003</v>
      </c>
      <c r="O3051" s="17">
        <f t="shared" si="102"/>
        <v>0</v>
      </c>
      <c r="P3051" s="17">
        <f t="shared" si="101"/>
        <v>4035.2000000000003</v>
      </c>
      <c r="Q3051" t="str">
        <f>A3051&amp;"-"&amp;B3051&amp;"-"&amp;D3051</f>
        <v>JULI-MJ2-L13</v>
      </c>
    </row>
    <row r="3052" spans="1:17" x14ac:dyDescent="0.25">
      <c r="A3052" t="s">
        <v>397</v>
      </c>
      <c r="B3052" s="13" t="s">
        <v>26</v>
      </c>
      <c r="C3052" s="13" t="s">
        <v>226</v>
      </c>
      <c r="D3052" s="14" t="s">
        <v>320</v>
      </c>
      <c r="E3052" s="13" t="s">
        <v>61</v>
      </c>
      <c r="F3052" s="13" t="s">
        <v>1091</v>
      </c>
      <c r="G3052" s="13">
        <v>0.79</v>
      </c>
      <c r="H3052" s="15">
        <v>341</v>
      </c>
      <c r="I3052" s="16">
        <v>269.39</v>
      </c>
      <c r="J3052" s="16">
        <v>226.33296891803064</v>
      </c>
      <c r="K3052" s="16">
        <v>43.057031081969356</v>
      </c>
      <c r="L3052" s="13">
        <v>2.08</v>
      </c>
      <c r="M3052" s="13"/>
      <c r="N3052" s="17">
        <f t="shared" si="102"/>
        <v>709.28</v>
      </c>
      <c r="O3052" s="17">
        <f t="shared" si="102"/>
        <v>0</v>
      </c>
      <c r="P3052" s="17">
        <f t="shared" si="101"/>
        <v>709.28</v>
      </c>
      <c r="Q3052" t="str">
        <f>A3052&amp;"-"&amp;B3052&amp;"-"&amp;D3052</f>
        <v>JULI-MJ2-L13</v>
      </c>
    </row>
    <row r="3053" spans="1:17" x14ac:dyDescent="0.25">
      <c r="A3053" t="s">
        <v>397</v>
      </c>
      <c r="B3053" s="13" t="s">
        <v>26</v>
      </c>
      <c r="C3053" s="13" t="s">
        <v>226</v>
      </c>
      <c r="D3053" s="14" t="s">
        <v>320</v>
      </c>
      <c r="E3053" s="13" t="s">
        <v>61</v>
      </c>
      <c r="F3053" s="13" t="s">
        <v>1210</v>
      </c>
      <c r="G3053" s="13">
        <v>0.79</v>
      </c>
      <c r="H3053" s="15">
        <v>1870</v>
      </c>
      <c r="I3053" s="16">
        <v>1477.3</v>
      </c>
      <c r="J3053" s="16">
        <v>903.24298540754967</v>
      </c>
      <c r="K3053" s="16">
        <v>574.05701459245029</v>
      </c>
      <c r="L3053" s="13">
        <v>2.08</v>
      </c>
      <c r="M3053" s="13"/>
      <c r="N3053" s="17">
        <f t="shared" si="102"/>
        <v>3889.6</v>
      </c>
      <c r="O3053" s="17">
        <f t="shared" si="102"/>
        <v>0</v>
      </c>
      <c r="P3053" s="17">
        <f t="shared" si="101"/>
        <v>3889.6</v>
      </c>
      <c r="Q3053" t="str">
        <f>A3053&amp;"-"&amp;B3053&amp;"-"&amp;D3053</f>
        <v>JULI-MJ2-L13</v>
      </c>
    </row>
    <row r="3054" spans="1:17" x14ac:dyDescent="0.25">
      <c r="A3054" t="s">
        <v>397</v>
      </c>
      <c r="B3054" s="13" t="s">
        <v>26</v>
      </c>
      <c r="C3054" s="13" t="s">
        <v>226</v>
      </c>
      <c r="D3054" s="14" t="s">
        <v>50</v>
      </c>
      <c r="E3054" s="13" t="s">
        <v>61</v>
      </c>
      <c r="F3054" s="13" t="s">
        <v>1099</v>
      </c>
      <c r="G3054" s="13">
        <v>0.65</v>
      </c>
      <c r="H3054" s="15">
        <v>2645</v>
      </c>
      <c r="I3054" s="16">
        <v>1719.2499999999998</v>
      </c>
      <c r="J3054" s="16">
        <v>1741.8085844394257</v>
      </c>
      <c r="K3054" s="16">
        <v>-22.558584439425516</v>
      </c>
      <c r="L3054" s="13">
        <v>1.72</v>
      </c>
      <c r="M3054" s="13"/>
      <c r="N3054" s="17">
        <f t="shared" si="102"/>
        <v>4549.3999999999996</v>
      </c>
      <c r="O3054" s="17">
        <f t="shared" si="102"/>
        <v>0</v>
      </c>
      <c r="P3054" s="17">
        <f t="shared" si="101"/>
        <v>4549.3999999999996</v>
      </c>
      <c r="Q3054" t="str">
        <f>A3054&amp;"-"&amp;B3054&amp;"-"&amp;D3054</f>
        <v>JULI-MJ2-L2</v>
      </c>
    </row>
    <row r="3055" spans="1:17" x14ac:dyDescent="0.25">
      <c r="A3055" t="s">
        <v>397</v>
      </c>
      <c r="B3055" s="13" t="s">
        <v>26</v>
      </c>
      <c r="C3055" s="13" t="s">
        <v>226</v>
      </c>
      <c r="D3055" s="14" t="s">
        <v>50</v>
      </c>
      <c r="E3055" s="13" t="s">
        <v>61</v>
      </c>
      <c r="F3055" s="13" t="s">
        <v>1211</v>
      </c>
      <c r="G3055" s="13">
        <v>0.79999999999999993</v>
      </c>
      <c r="H3055" s="15">
        <v>5387</v>
      </c>
      <c r="I3055" s="16">
        <v>4309.6000000000004</v>
      </c>
      <c r="J3055" s="16">
        <v>3388.0959424607031</v>
      </c>
      <c r="K3055" s="16">
        <v>921.50405753929692</v>
      </c>
      <c r="L3055" s="13">
        <v>2.1</v>
      </c>
      <c r="M3055" s="13"/>
      <c r="N3055" s="17">
        <f t="shared" si="102"/>
        <v>11312.7</v>
      </c>
      <c r="O3055" s="17">
        <f t="shared" si="102"/>
        <v>0</v>
      </c>
      <c r="P3055" s="17">
        <f t="shared" si="101"/>
        <v>11312.7</v>
      </c>
      <c r="Q3055" t="str">
        <f>A3055&amp;"-"&amp;B3055&amp;"-"&amp;D3055</f>
        <v>JULI-MJ2-L2</v>
      </c>
    </row>
    <row r="3056" spans="1:17" x14ac:dyDescent="0.25">
      <c r="A3056" t="s">
        <v>397</v>
      </c>
      <c r="B3056" s="13" t="s">
        <v>26</v>
      </c>
      <c r="C3056" s="13" t="s">
        <v>226</v>
      </c>
      <c r="D3056" s="14" t="s">
        <v>50</v>
      </c>
      <c r="E3056" s="13" t="s">
        <v>61</v>
      </c>
      <c r="F3056" s="13" t="s">
        <v>1212</v>
      </c>
      <c r="G3056" s="13">
        <v>0.79999999999999993</v>
      </c>
      <c r="H3056" s="15">
        <v>9797</v>
      </c>
      <c r="I3056" s="16">
        <v>7837.6</v>
      </c>
      <c r="J3056" s="16">
        <v>5349.7475254256397</v>
      </c>
      <c r="K3056" s="16">
        <v>2487.8524745743598</v>
      </c>
      <c r="L3056" s="13">
        <v>2.1</v>
      </c>
      <c r="M3056" s="13"/>
      <c r="N3056" s="17">
        <f t="shared" si="102"/>
        <v>20573.7</v>
      </c>
      <c r="O3056" s="17">
        <f t="shared" si="102"/>
        <v>0</v>
      </c>
      <c r="P3056" s="17">
        <f t="shared" si="101"/>
        <v>20573.7</v>
      </c>
      <c r="Q3056" t="str">
        <f>A3056&amp;"-"&amp;B3056&amp;"-"&amp;D3056</f>
        <v>JULI-MJ2-L2</v>
      </c>
    </row>
    <row r="3057" spans="1:17" x14ac:dyDescent="0.25">
      <c r="A3057" t="s">
        <v>397</v>
      </c>
      <c r="B3057" s="13" t="s">
        <v>26</v>
      </c>
      <c r="C3057" s="13" t="s">
        <v>226</v>
      </c>
      <c r="D3057" s="14" t="s">
        <v>50</v>
      </c>
      <c r="E3057" s="13" t="s">
        <v>61</v>
      </c>
      <c r="F3057" s="13" t="s">
        <v>1100</v>
      </c>
      <c r="G3057" s="13">
        <v>0.65</v>
      </c>
      <c r="H3057" s="15">
        <v>64</v>
      </c>
      <c r="I3057" s="16">
        <v>41.6</v>
      </c>
      <c r="J3057" s="16">
        <v>32.956540899262748</v>
      </c>
      <c r="K3057" s="16">
        <v>8.6434591007372532</v>
      </c>
      <c r="L3057" s="13">
        <v>1.91</v>
      </c>
      <c r="M3057" s="13"/>
      <c r="N3057" s="17">
        <f t="shared" si="102"/>
        <v>122.24</v>
      </c>
      <c r="O3057" s="17">
        <f t="shared" si="102"/>
        <v>0</v>
      </c>
      <c r="P3057" s="17">
        <f t="shared" si="101"/>
        <v>122.24</v>
      </c>
      <c r="Q3057" t="str">
        <f>A3057&amp;"-"&amp;B3057&amp;"-"&amp;D3057</f>
        <v>JULI-MJ2-L2</v>
      </c>
    </row>
    <row r="3058" spans="1:17" x14ac:dyDescent="0.25">
      <c r="A3058" t="s">
        <v>397</v>
      </c>
      <c r="B3058" s="13" t="s">
        <v>26</v>
      </c>
      <c r="C3058" s="13" t="s">
        <v>226</v>
      </c>
      <c r="D3058" s="14" t="s">
        <v>50</v>
      </c>
      <c r="E3058" s="13" t="s">
        <v>61</v>
      </c>
      <c r="F3058" s="13" t="s">
        <v>1213</v>
      </c>
      <c r="G3058" s="13">
        <v>0.8</v>
      </c>
      <c r="H3058" s="15">
        <v>2899</v>
      </c>
      <c r="I3058" s="16">
        <v>2319.1999999999998</v>
      </c>
      <c r="J3058" s="16">
        <v>1705.9362399182928</v>
      </c>
      <c r="K3058" s="16">
        <v>613.26376008170701</v>
      </c>
      <c r="L3058" s="13">
        <v>2.1</v>
      </c>
      <c r="M3058" s="13"/>
      <c r="N3058" s="17">
        <f t="shared" si="102"/>
        <v>6087.9000000000005</v>
      </c>
      <c r="O3058" s="17">
        <f t="shared" si="102"/>
        <v>0</v>
      </c>
      <c r="P3058" s="17">
        <f t="shared" si="101"/>
        <v>6087.9000000000005</v>
      </c>
      <c r="Q3058" t="str">
        <f>A3058&amp;"-"&amp;B3058&amp;"-"&amp;D3058</f>
        <v>JULI-MJ2-L2</v>
      </c>
    </row>
    <row r="3059" spans="1:17" x14ac:dyDescent="0.25">
      <c r="A3059" t="s">
        <v>397</v>
      </c>
      <c r="B3059" s="13" t="s">
        <v>26</v>
      </c>
      <c r="C3059" s="13" t="s">
        <v>226</v>
      </c>
      <c r="D3059" s="14" t="s">
        <v>50</v>
      </c>
      <c r="E3059" s="13" t="s">
        <v>61</v>
      </c>
      <c r="F3059" s="13" t="s">
        <v>1214</v>
      </c>
      <c r="G3059" s="13">
        <v>0.8</v>
      </c>
      <c r="H3059" s="15">
        <v>1047</v>
      </c>
      <c r="I3059" s="16">
        <v>837.6</v>
      </c>
      <c r="J3059" s="16">
        <v>526.89440458395609</v>
      </c>
      <c r="K3059" s="16">
        <v>310.70559541604388</v>
      </c>
      <c r="L3059" s="13">
        <v>2.1</v>
      </c>
      <c r="M3059" s="13"/>
      <c r="N3059" s="17">
        <f t="shared" si="102"/>
        <v>2198.7000000000003</v>
      </c>
      <c r="O3059" s="17">
        <f t="shared" si="102"/>
        <v>0</v>
      </c>
      <c r="P3059" s="17">
        <f t="shared" si="101"/>
        <v>2198.7000000000003</v>
      </c>
      <c r="Q3059" t="str">
        <f>A3059&amp;"-"&amp;B3059&amp;"-"&amp;D3059</f>
        <v>JULI-MJ2-L2</v>
      </c>
    </row>
    <row r="3060" spans="1:17" x14ac:dyDescent="0.25">
      <c r="A3060" t="s">
        <v>397</v>
      </c>
      <c r="B3060" s="13" t="s">
        <v>26</v>
      </c>
      <c r="C3060" s="13" t="s">
        <v>226</v>
      </c>
      <c r="D3060" s="14" t="s">
        <v>50</v>
      </c>
      <c r="E3060" s="13" t="s">
        <v>61</v>
      </c>
      <c r="F3060" s="13" t="s">
        <v>1101</v>
      </c>
      <c r="G3060" s="13">
        <v>0.65</v>
      </c>
      <c r="H3060" s="15">
        <v>259</v>
      </c>
      <c r="I3060" s="16">
        <v>168.35</v>
      </c>
      <c r="J3060" s="16">
        <v>142.72835091815344</v>
      </c>
      <c r="K3060" s="16">
        <v>25.621649081846545</v>
      </c>
      <c r="L3060" s="13">
        <v>1.91</v>
      </c>
      <c r="M3060" s="13"/>
      <c r="N3060" s="17">
        <f t="shared" si="102"/>
        <v>494.69</v>
      </c>
      <c r="O3060" s="17">
        <f t="shared" si="102"/>
        <v>0</v>
      </c>
      <c r="P3060" s="17">
        <f t="shared" si="101"/>
        <v>494.69</v>
      </c>
      <c r="Q3060" t="str">
        <f>A3060&amp;"-"&amp;B3060&amp;"-"&amp;D3060</f>
        <v>JULI-MJ2-L2</v>
      </c>
    </row>
    <row r="3061" spans="1:17" x14ac:dyDescent="0.25">
      <c r="A3061" t="s">
        <v>397</v>
      </c>
      <c r="B3061" s="13" t="s">
        <v>26</v>
      </c>
      <c r="C3061" s="13" t="s">
        <v>226</v>
      </c>
      <c r="D3061" s="14" t="s">
        <v>50</v>
      </c>
      <c r="E3061" s="13" t="s">
        <v>61</v>
      </c>
      <c r="F3061" s="13" t="s">
        <v>1102</v>
      </c>
      <c r="G3061" s="13">
        <v>0.66</v>
      </c>
      <c r="H3061" s="15">
        <v>646</v>
      </c>
      <c r="I3061" s="16">
        <v>426.36</v>
      </c>
      <c r="J3061" s="16">
        <v>373.46628947073782</v>
      </c>
      <c r="K3061" s="16">
        <v>52.89371052926213</v>
      </c>
      <c r="L3061" s="13">
        <v>1.71</v>
      </c>
      <c r="M3061" s="13"/>
      <c r="N3061" s="17">
        <f t="shared" si="102"/>
        <v>1104.6600000000001</v>
      </c>
      <c r="O3061" s="17">
        <f t="shared" si="102"/>
        <v>0</v>
      </c>
      <c r="P3061" s="17">
        <f t="shared" si="101"/>
        <v>1104.6600000000001</v>
      </c>
      <c r="Q3061" t="str">
        <f>A3061&amp;"-"&amp;B3061&amp;"-"&amp;D3061</f>
        <v>JULI-MJ2-L2</v>
      </c>
    </row>
    <row r="3062" spans="1:17" x14ac:dyDescent="0.25">
      <c r="A3062" t="s">
        <v>397</v>
      </c>
      <c r="B3062" s="13" t="s">
        <v>26</v>
      </c>
      <c r="C3062" s="13" t="s">
        <v>226</v>
      </c>
      <c r="D3062" s="14" t="s">
        <v>50</v>
      </c>
      <c r="E3062" s="13" t="s">
        <v>61</v>
      </c>
      <c r="F3062" s="13" t="s">
        <v>1103</v>
      </c>
      <c r="G3062" s="13">
        <v>0.63</v>
      </c>
      <c r="H3062" s="15">
        <v>5</v>
      </c>
      <c r="I3062" s="16">
        <v>3.15</v>
      </c>
      <c r="J3062" s="16">
        <v>1.9304281345565748</v>
      </c>
      <c r="K3062" s="16">
        <v>1.2195718654434251</v>
      </c>
      <c r="L3062" s="13">
        <v>1.85</v>
      </c>
      <c r="M3062" s="13"/>
      <c r="N3062" s="17">
        <f t="shared" si="102"/>
        <v>9.25</v>
      </c>
      <c r="O3062" s="17">
        <f t="shared" si="102"/>
        <v>0</v>
      </c>
      <c r="P3062" s="17">
        <f t="shared" si="101"/>
        <v>9.25</v>
      </c>
      <c r="Q3062" t="str">
        <f>A3062&amp;"-"&amp;B3062&amp;"-"&amp;D3062</f>
        <v>JULI-MJ2-L2</v>
      </c>
    </row>
    <row r="3063" spans="1:17" x14ac:dyDescent="0.25">
      <c r="A3063" t="s">
        <v>397</v>
      </c>
      <c r="B3063" s="13" t="s">
        <v>26</v>
      </c>
      <c r="C3063" s="13" t="s">
        <v>226</v>
      </c>
      <c r="D3063" s="14" t="s">
        <v>50</v>
      </c>
      <c r="E3063" s="13" t="s">
        <v>61</v>
      </c>
      <c r="F3063" s="13" t="s">
        <v>1215</v>
      </c>
      <c r="G3063" s="13">
        <v>0.7</v>
      </c>
      <c r="H3063" s="15">
        <v>2690</v>
      </c>
      <c r="I3063" s="16">
        <v>1883</v>
      </c>
      <c r="J3063" s="16">
        <v>1370.7125887026984</v>
      </c>
      <c r="K3063" s="16">
        <v>512.28741129730156</v>
      </c>
      <c r="L3063" s="13">
        <v>1.3</v>
      </c>
      <c r="M3063" s="13"/>
      <c r="N3063" s="17">
        <f t="shared" si="102"/>
        <v>3497</v>
      </c>
      <c r="O3063" s="17">
        <f t="shared" si="102"/>
        <v>0</v>
      </c>
      <c r="P3063" s="17">
        <f t="shared" si="101"/>
        <v>3497</v>
      </c>
      <c r="Q3063" t="str">
        <f>A3063&amp;"-"&amp;B3063&amp;"-"&amp;D3063</f>
        <v>JULI-MJ2-L2</v>
      </c>
    </row>
    <row r="3064" spans="1:17" x14ac:dyDescent="0.25">
      <c r="A3064" t="s">
        <v>397</v>
      </c>
      <c r="B3064" s="13" t="s">
        <v>26</v>
      </c>
      <c r="C3064" s="13" t="s">
        <v>226</v>
      </c>
      <c r="D3064" s="14" t="s">
        <v>50</v>
      </c>
      <c r="E3064" s="13" t="s">
        <v>61</v>
      </c>
      <c r="F3064" s="13" t="s">
        <v>1200</v>
      </c>
      <c r="G3064" s="13">
        <v>0.7</v>
      </c>
      <c r="H3064" s="15">
        <v>3480</v>
      </c>
      <c r="I3064" s="16">
        <v>2436</v>
      </c>
      <c r="J3064" s="16">
        <v>1556.9130365538156</v>
      </c>
      <c r="K3064" s="16">
        <v>879.08696344618431</v>
      </c>
      <c r="L3064" s="13">
        <v>1.3</v>
      </c>
      <c r="M3064" s="13"/>
      <c r="N3064" s="17">
        <f t="shared" si="102"/>
        <v>4524</v>
      </c>
      <c r="O3064" s="17">
        <f t="shared" si="102"/>
        <v>0</v>
      </c>
      <c r="P3064" s="17">
        <f t="shared" si="101"/>
        <v>4524</v>
      </c>
      <c r="Q3064" t="str">
        <f>A3064&amp;"-"&amp;B3064&amp;"-"&amp;D3064</f>
        <v>JULI-MJ2-L2</v>
      </c>
    </row>
    <row r="3065" spans="1:17" x14ac:dyDescent="0.25">
      <c r="A3065" t="s">
        <v>397</v>
      </c>
      <c r="B3065" s="13" t="s">
        <v>26</v>
      </c>
      <c r="C3065" s="13" t="s">
        <v>226</v>
      </c>
      <c r="D3065" s="14" t="s">
        <v>50</v>
      </c>
      <c r="E3065" s="13" t="s">
        <v>61</v>
      </c>
      <c r="F3065" s="13" t="s">
        <v>1216</v>
      </c>
      <c r="G3065" s="13">
        <v>0.70000000000000007</v>
      </c>
      <c r="H3065" s="15">
        <v>5463</v>
      </c>
      <c r="I3065" s="16">
        <v>3824.1</v>
      </c>
      <c r="J3065" s="16">
        <v>2485.0550067140011</v>
      </c>
      <c r="K3065" s="16">
        <v>1339.044993285999</v>
      </c>
      <c r="L3065" s="13">
        <v>1.3</v>
      </c>
      <c r="M3065" s="13"/>
      <c r="N3065" s="17">
        <f t="shared" si="102"/>
        <v>7101.9000000000005</v>
      </c>
      <c r="O3065" s="17">
        <f t="shared" si="102"/>
        <v>0</v>
      </c>
      <c r="P3065" s="17">
        <f t="shared" si="101"/>
        <v>7101.9000000000005</v>
      </c>
      <c r="Q3065" t="str">
        <f>A3065&amp;"-"&amp;B3065&amp;"-"&amp;D3065</f>
        <v>JULI-MJ2-L2</v>
      </c>
    </row>
    <row r="3066" spans="1:17" x14ac:dyDescent="0.25">
      <c r="A3066" t="s">
        <v>397</v>
      </c>
      <c r="B3066" s="13" t="s">
        <v>26</v>
      </c>
      <c r="C3066" s="13" t="s">
        <v>226</v>
      </c>
      <c r="D3066" s="14" t="s">
        <v>50</v>
      </c>
      <c r="E3066" s="13" t="s">
        <v>61</v>
      </c>
      <c r="F3066" s="13" t="s">
        <v>1217</v>
      </c>
      <c r="G3066" s="13">
        <v>0.7</v>
      </c>
      <c r="H3066" s="15">
        <v>3164</v>
      </c>
      <c r="I3066" s="16">
        <v>2214.7999999999997</v>
      </c>
      <c r="J3066" s="16">
        <v>1508.1311813380541</v>
      </c>
      <c r="K3066" s="16">
        <v>706.66881866194581</v>
      </c>
      <c r="L3066" s="13">
        <v>1.3</v>
      </c>
      <c r="M3066" s="13"/>
      <c r="N3066" s="17">
        <f t="shared" si="102"/>
        <v>4113.2</v>
      </c>
      <c r="O3066" s="17">
        <f t="shared" si="102"/>
        <v>0</v>
      </c>
      <c r="P3066" s="17">
        <f t="shared" si="101"/>
        <v>4113.2</v>
      </c>
      <c r="Q3066" t="str">
        <f>A3066&amp;"-"&amp;B3066&amp;"-"&amp;D3066</f>
        <v>JULI-MJ2-L2</v>
      </c>
    </row>
    <row r="3067" spans="1:17" x14ac:dyDescent="0.25">
      <c r="A3067" t="s">
        <v>397</v>
      </c>
      <c r="B3067" s="13" t="s">
        <v>26</v>
      </c>
      <c r="C3067" s="13" t="s">
        <v>226</v>
      </c>
      <c r="D3067" s="14" t="s">
        <v>50</v>
      </c>
      <c r="E3067" s="13" t="s">
        <v>61</v>
      </c>
      <c r="F3067" s="13" t="s">
        <v>1105</v>
      </c>
      <c r="G3067" s="13">
        <v>0.66</v>
      </c>
      <c r="H3067" s="15">
        <v>37</v>
      </c>
      <c r="I3067" s="16">
        <v>24.42</v>
      </c>
      <c r="J3067" s="16">
        <v>15.623880440702107</v>
      </c>
      <c r="K3067" s="16">
        <v>8.7961195592978925</v>
      </c>
      <c r="L3067" s="13">
        <v>1.73</v>
      </c>
      <c r="M3067" s="13"/>
      <c r="N3067" s="17">
        <f t="shared" si="102"/>
        <v>64.010000000000005</v>
      </c>
      <c r="O3067" s="17">
        <f t="shared" si="102"/>
        <v>0</v>
      </c>
      <c r="P3067" s="17">
        <f t="shared" si="101"/>
        <v>64.010000000000005</v>
      </c>
      <c r="Q3067" t="str">
        <f>A3067&amp;"-"&amp;B3067&amp;"-"&amp;D3067</f>
        <v>JULI-MJ2-L2</v>
      </c>
    </row>
    <row r="3068" spans="1:17" x14ac:dyDescent="0.25">
      <c r="A3068" t="s">
        <v>397</v>
      </c>
      <c r="B3068" s="13" t="s">
        <v>26</v>
      </c>
      <c r="C3068" s="13" t="s">
        <v>226</v>
      </c>
      <c r="D3068" s="14" t="s">
        <v>56</v>
      </c>
      <c r="E3068" s="13" t="s">
        <v>61</v>
      </c>
      <c r="F3068" s="13" t="s">
        <v>1099</v>
      </c>
      <c r="G3068" s="13">
        <v>0.65</v>
      </c>
      <c r="H3068" s="15">
        <v>2645</v>
      </c>
      <c r="I3068" s="16">
        <v>1719.25</v>
      </c>
      <c r="J3068" s="16">
        <v>1741.5643283990576</v>
      </c>
      <c r="K3068" s="16">
        <v>-22.314328399057462</v>
      </c>
      <c r="L3068" s="13">
        <v>1.72</v>
      </c>
      <c r="M3068" s="13"/>
      <c r="N3068" s="17">
        <f t="shared" si="102"/>
        <v>4549.3999999999996</v>
      </c>
      <c r="O3068" s="17">
        <f t="shared" si="102"/>
        <v>0</v>
      </c>
      <c r="P3068" s="17">
        <f t="shared" si="101"/>
        <v>4549.3999999999996</v>
      </c>
      <c r="Q3068" t="str">
        <f>A3068&amp;"-"&amp;B3068&amp;"-"&amp;D3068</f>
        <v>JULI-MJ2-L3</v>
      </c>
    </row>
    <row r="3069" spans="1:17" x14ac:dyDescent="0.25">
      <c r="A3069" t="s">
        <v>397</v>
      </c>
      <c r="B3069" s="13" t="s">
        <v>26</v>
      </c>
      <c r="C3069" s="13" t="s">
        <v>226</v>
      </c>
      <c r="D3069" s="14" t="s">
        <v>56</v>
      </c>
      <c r="E3069" s="13" t="s">
        <v>61</v>
      </c>
      <c r="F3069" s="13" t="s">
        <v>1211</v>
      </c>
      <c r="G3069" s="13">
        <v>0.79999999999999993</v>
      </c>
      <c r="H3069" s="15">
        <v>5387</v>
      </c>
      <c r="I3069" s="16">
        <v>4309.6000000000004</v>
      </c>
      <c r="J3069" s="16">
        <v>3388.0749643640261</v>
      </c>
      <c r="K3069" s="16">
        <v>921.52503563597372</v>
      </c>
      <c r="L3069" s="13">
        <v>2.1</v>
      </c>
      <c r="M3069" s="13"/>
      <c r="N3069" s="17">
        <f t="shared" si="102"/>
        <v>11312.7</v>
      </c>
      <c r="O3069" s="17">
        <f t="shared" si="102"/>
        <v>0</v>
      </c>
      <c r="P3069" s="17">
        <f t="shared" si="101"/>
        <v>11312.7</v>
      </c>
      <c r="Q3069" t="str">
        <f>A3069&amp;"-"&amp;B3069&amp;"-"&amp;D3069</f>
        <v>JULI-MJ2-L3</v>
      </c>
    </row>
    <row r="3070" spans="1:17" x14ac:dyDescent="0.25">
      <c r="A3070" t="s">
        <v>397</v>
      </c>
      <c r="B3070" s="13" t="s">
        <v>26</v>
      </c>
      <c r="C3070" s="13" t="s">
        <v>226</v>
      </c>
      <c r="D3070" s="14" t="s">
        <v>56</v>
      </c>
      <c r="E3070" s="13" t="s">
        <v>61</v>
      </c>
      <c r="F3070" s="13" t="s">
        <v>1212</v>
      </c>
      <c r="G3070" s="13">
        <v>0.79999999999999993</v>
      </c>
      <c r="H3070" s="15">
        <v>9798</v>
      </c>
      <c r="I3070" s="16">
        <v>7838.4</v>
      </c>
      <c r="J3070" s="16">
        <v>5350.0964515247351</v>
      </c>
      <c r="K3070" s="16">
        <v>2488.3035484752645</v>
      </c>
      <c r="L3070" s="13">
        <v>2.1</v>
      </c>
      <c r="M3070" s="13"/>
      <c r="N3070" s="17">
        <f t="shared" si="102"/>
        <v>20575.8</v>
      </c>
      <c r="O3070" s="17">
        <f t="shared" si="102"/>
        <v>0</v>
      </c>
      <c r="P3070" s="17">
        <f t="shared" si="101"/>
        <v>20575.8</v>
      </c>
      <c r="Q3070" t="str">
        <f>A3070&amp;"-"&amp;B3070&amp;"-"&amp;D3070</f>
        <v>JULI-MJ2-L3</v>
      </c>
    </row>
    <row r="3071" spans="1:17" x14ac:dyDescent="0.25">
      <c r="A3071" t="s">
        <v>397</v>
      </c>
      <c r="B3071" s="13" t="s">
        <v>26</v>
      </c>
      <c r="C3071" s="13" t="s">
        <v>226</v>
      </c>
      <c r="D3071" s="14" t="s">
        <v>56</v>
      </c>
      <c r="E3071" s="13" t="s">
        <v>61</v>
      </c>
      <c r="F3071" s="13" t="s">
        <v>1100</v>
      </c>
      <c r="G3071" s="13">
        <v>0.65</v>
      </c>
      <c r="H3071" s="15">
        <v>64</v>
      </c>
      <c r="I3071" s="16">
        <v>41.6</v>
      </c>
      <c r="J3071" s="16">
        <v>32.956540899262748</v>
      </c>
      <c r="K3071" s="16">
        <v>8.6434591007372532</v>
      </c>
      <c r="L3071" s="13">
        <v>1.91</v>
      </c>
      <c r="M3071" s="13"/>
      <c r="N3071" s="17">
        <f t="shared" si="102"/>
        <v>122.24</v>
      </c>
      <c r="O3071" s="17">
        <f t="shared" si="102"/>
        <v>0</v>
      </c>
      <c r="P3071" s="17">
        <f t="shared" si="101"/>
        <v>122.24</v>
      </c>
      <c r="Q3071" t="str">
        <f>A3071&amp;"-"&amp;B3071&amp;"-"&amp;D3071</f>
        <v>JULI-MJ2-L3</v>
      </c>
    </row>
    <row r="3072" spans="1:17" x14ac:dyDescent="0.25">
      <c r="A3072" t="s">
        <v>397</v>
      </c>
      <c r="B3072" s="13" t="s">
        <v>26</v>
      </c>
      <c r="C3072" s="13" t="s">
        <v>226</v>
      </c>
      <c r="D3072" s="14" t="s">
        <v>56</v>
      </c>
      <c r="E3072" s="13" t="s">
        <v>61</v>
      </c>
      <c r="F3072" s="13" t="s">
        <v>1213</v>
      </c>
      <c r="G3072" s="13">
        <v>0.8</v>
      </c>
      <c r="H3072" s="15">
        <v>2900</v>
      </c>
      <c r="I3072" s="16">
        <v>2320</v>
      </c>
      <c r="J3072" s="16">
        <v>1706.5392249929198</v>
      </c>
      <c r="K3072" s="16">
        <v>613.46077500707997</v>
      </c>
      <c r="L3072" s="13">
        <v>2.1</v>
      </c>
      <c r="M3072" s="13"/>
      <c r="N3072" s="17">
        <f t="shared" si="102"/>
        <v>6090</v>
      </c>
      <c r="O3072" s="17">
        <f t="shared" si="102"/>
        <v>0</v>
      </c>
      <c r="P3072" s="17">
        <f t="shared" si="101"/>
        <v>6090</v>
      </c>
      <c r="Q3072" t="str">
        <f>A3072&amp;"-"&amp;B3072&amp;"-"&amp;D3072</f>
        <v>JULI-MJ2-L3</v>
      </c>
    </row>
    <row r="3073" spans="1:17" x14ac:dyDescent="0.25">
      <c r="A3073" t="s">
        <v>397</v>
      </c>
      <c r="B3073" s="13" t="s">
        <v>26</v>
      </c>
      <c r="C3073" s="13" t="s">
        <v>226</v>
      </c>
      <c r="D3073" s="14" t="s">
        <v>56</v>
      </c>
      <c r="E3073" s="13" t="s">
        <v>61</v>
      </c>
      <c r="F3073" s="13" t="s">
        <v>1214</v>
      </c>
      <c r="G3073" s="13">
        <v>0.8</v>
      </c>
      <c r="H3073" s="15">
        <v>1048</v>
      </c>
      <c r="I3073" s="16">
        <v>838.4</v>
      </c>
      <c r="J3073" s="16">
        <v>527.13750996015938</v>
      </c>
      <c r="K3073" s="16">
        <v>311.2624900398406</v>
      </c>
      <c r="L3073" s="13">
        <v>2.1</v>
      </c>
      <c r="M3073" s="13"/>
      <c r="N3073" s="17">
        <f t="shared" si="102"/>
        <v>2200.8000000000002</v>
      </c>
      <c r="O3073" s="17">
        <f t="shared" si="102"/>
        <v>0</v>
      </c>
      <c r="P3073" s="17">
        <f t="shared" si="101"/>
        <v>2200.8000000000002</v>
      </c>
      <c r="Q3073" t="str">
        <f>A3073&amp;"-"&amp;B3073&amp;"-"&amp;D3073</f>
        <v>JULI-MJ2-L3</v>
      </c>
    </row>
    <row r="3074" spans="1:17" x14ac:dyDescent="0.25">
      <c r="A3074" t="s">
        <v>397</v>
      </c>
      <c r="B3074" s="13" t="s">
        <v>26</v>
      </c>
      <c r="C3074" s="13" t="s">
        <v>226</v>
      </c>
      <c r="D3074" s="14" t="s">
        <v>56</v>
      </c>
      <c r="E3074" s="13" t="s">
        <v>61</v>
      </c>
      <c r="F3074" s="13" t="s">
        <v>1101</v>
      </c>
      <c r="G3074" s="13">
        <v>0.65</v>
      </c>
      <c r="H3074" s="15">
        <v>260</v>
      </c>
      <c r="I3074" s="16">
        <v>169</v>
      </c>
      <c r="J3074" s="16">
        <v>143.06487612797216</v>
      </c>
      <c r="K3074" s="16">
        <v>25.935123872027852</v>
      </c>
      <c r="L3074" s="13">
        <v>1.91</v>
      </c>
      <c r="M3074" s="13"/>
      <c r="N3074" s="17">
        <f t="shared" si="102"/>
        <v>496.59999999999997</v>
      </c>
      <c r="O3074" s="17">
        <f t="shared" si="102"/>
        <v>0</v>
      </c>
      <c r="P3074" s="17">
        <f t="shared" ref="P3074:P3137" si="103">N3074+O3074</f>
        <v>496.59999999999997</v>
      </c>
      <c r="Q3074" t="str">
        <f>A3074&amp;"-"&amp;B3074&amp;"-"&amp;D3074</f>
        <v>JULI-MJ2-L3</v>
      </c>
    </row>
    <row r="3075" spans="1:17" x14ac:dyDescent="0.25">
      <c r="A3075" t="s">
        <v>397</v>
      </c>
      <c r="B3075" s="13" t="s">
        <v>26</v>
      </c>
      <c r="C3075" s="13" t="s">
        <v>226</v>
      </c>
      <c r="D3075" s="14" t="s">
        <v>56</v>
      </c>
      <c r="E3075" s="13" t="s">
        <v>61</v>
      </c>
      <c r="F3075" s="13" t="s">
        <v>1102</v>
      </c>
      <c r="G3075" s="13">
        <v>0.66</v>
      </c>
      <c r="H3075" s="15">
        <v>646</v>
      </c>
      <c r="I3075" s="16">
        <v>426.35999999999996</v>
      </c>
      <c r="J3075" s="16">
        <v>373.34543798087134</v>
      </c>
      <c r="K3075" s="16">
        <v>53.014562019128675</v>
      </c>
      <c r="L3075" s="13">
        <v>1.71</v>
      </c>
      <c r="M3075" s="13"/>
      <c r="N3075" s="17">
        <f t="shared" si="102"/>
        <v>1104.6600000000001</v>
      </c>
      <c r="O3075" s="17">
        <f t="shared" si="102"/>
        <v>0</v>
      </c>
      <c r="P3075" s="17">
        <f t="shared" si="103"/>
        <v>1104.6600000000001</v>
      </c>
      <c r="Q3075" t="str">
        <f>A3075&amp;"-"&amp;B3075&amp;"-"&amp;D3075</f>
        <v>JULI-MJ2-L3</v>
      </c>
    </row>
    <row r="3076" spans="1:17" x14ac:dyDescent="0.25">
      <c r="A3076" t="s">
        <v>397</v>
      </c>
      <c r="B3076" s="13" t="s">
        <v>26</v>
      </c>
      <c r="C3076" s="13" t="s">
        <v>226</v>
      </c>
      <c r="D3076" s="14" t="s">
        <v>56</v>
      </c>
      <c r="E3076" s="13" t="s">
        <v>61</v>
      </c>
      <c r="F3076" s="13" t="s">
        <v>1103</v>
      </c>
      <c r="G3076" s="13">
        <v>0.63</v>
      </c>
      <c r="H3076" s="15">
        <v>6</v>
      </c>
      <c r="I3076" s="16">
        <v>3.78</v>
      </c>
      <c r="J3076" s="16">
        <v>2.3165137614678901</v>
      </c>
      <c r="K3076" s="16">
        <v>1.4634862385321097</v>
      </c>
      <c r="L3076" s="13">
        <v>1.85</v>
      </c>
      <c r="M3076" s="13"/>
      <c r="N3076" s="17">
        <f t="shared" si="102"/>
        <v>11.100000000000001</v>
      </c>
      <c r="O3076" s="17">
        <f t="shared" si="102"/>
        <v>0</v>
      </c>
      <c r="P3076" s="17">
        <f t="shared" si="103"/>
        <v>11.100000000000001</v>
      </c>
      <c r="Q3076" t="str">
        <f>A3076&amp;"-"&amp;B3076&amp;"-"&amp;D3076</f>
        <v>JULI-MJ2-L3</v>
      </c>
    </row>
    <row r="3077" spans="1:17" x14ac:dyDescent="0.25">
      <c r="A3077" t="s">
        <v>397</v>
      </c>
      <c r="B3077" s="13" t="s">
        <v>26</v>
      </c>
      <c r="C3077" s="13" t="s">
        <v>226</v>
      </c>
      <c r="D3077" s="14" t="s">
        <v>56</v>
      </c>
      <c r="E3077" s="13" t="s">
        <v>61</v>
      </c>
      <c r="F3077" s="13" t="s">
        <v>1215</v>
      </c>
      <c r="G3077" s="13">
        <v>0.7</v>
      </c>
      <c r="H3077" s="15">
        <v>2690</v>
      </c>
      <c r="I3077" s="16">
        <v>1883</v>
      </c>
      <c r="J3077" s="16">
        <v>1370.5098532187042</v>
      </c>
      <c r="K3077" s="16">
        <v>512.49014678129583</v>
      </c>
      <c r="L3077" s="13">
        <v>1.3</v>
      </c>
      <c r="M3077" s="13"/>
      <c r="N3077" s="17">
        <f t="shared" si="102"/>
        <v>3497</v>
      </c>
      <c r="O3077" s="17">
        <f t="shared" si="102"/>
        <v>0</v>
      </c>
      <c r="P3077" s="17">
        <f t="shared" si="103"/>
        <v>3497</v>
      </c>
      <c r="Q3077" t="str">
        <f>A3077&amp;"-"&amp;B3077&amp;"-"&amp;D3077</f>
        <v>JULI-MJ2-L3</v>
      </c>
    </row>
    <row r="3078" spans="1:17" x14ac:dyDescent="0.25">
      <c r="A3078" t="s">
        <v>397</v>
      </c>
      <c r="B3078" s="13" t="s">
        <v>26</v>
      </c>
      <c r="C3078" s="13" t="s">
        <v>226</v>
      </c>
      <c r="D3078" s="14" t="s">
        <v>56</v>
      </c>
      <c r="E3078" s="13" t="s">
        <v>61</v>
      </c>
      <c r="F3078" s="13" t="s">
        <v>1200</v>
      </c>
      <c r="G3078" s="13">
        <v>0.7</v>
      </c>
      <c r="H3078" s="15">
        <v>3480</v>
      </c>
      <c r="I3078" s="16">
        <v>2436</v>
      </c>
      <c r="J3078" s="16">
        <v>1557.0315415553268</v>
      </c>
      <c r="K3078" s="16">
        <v>878.96845844467282</v>
      </c>
      <c r="L3078" s="13">
        <v>1.3</v>
      </c>
      <c r="M3078" s="13"/>
      <c r="N3078" s="17">
        <f t="shared" si="102"/>
        <v>4524</v>
      </c>
      <c r="O3078" s="17">
        <f t="shared" si="102"/>
        <v>0</v>
      </c>
      <c r="P3078" s="17">
        <f t="shared" si="103"/>
        <v>4524</v>
      </c>
      <c r="Q3078" t="str">
        <f>A3078&amp;"-"&amp;B3078&amp;"-"&amp;D3078</f>
        <v>JULI-MJ2-L3</v>
      </c>
    </row>
    <row r="3079" spans="1:17" x14ac:dyDescent="0.25">
      <c r="A3079" t="s">
        <v>397</v>
      </c>
      <c r="B3079" s="13" t="s">
        <v>26</v>
      </c>
      <c r="C3079" s="13" t="s">
        <v>226</v>
      </c>
      <c r="D3079" s="14" t="s">
        <v>56</v>
      </c>
      <c r="E3079" s="13" t="s">
        <v>61</v>
      </c>
      <c r="F3079" s="13" t="s">
        <v>1216</v>
      </c>
      <c r="G3079" s="13">
        <v>0.70000000000000007</v>
      </c>
      <c r="H3079" s="15">
        <v>5465</v>
      </c>
      <c r="I3079" s="16">
        <v>3825.5</v>
      </c>
      <c r="J3079" s="16">
        <v>2485.8851891208628</v>
      </c>
      <c r="K3079" s="16">
        <v>1339.6148108791365</v>
      </c>
      <c r="L3079" s="13">
        <v>1.3</v>
      </c>
      <c r="M3079" s="13"/>
      <c r="N3079" s="17">
        <f t="shared" si="102"/>
        <v>7104.5</v>
      </c>
      <c r="O3079" s="17">
        <f t="shared" si="102"/>
        <v>0</v>
      </c>
      <c r="P3079" s="17">
        <f t="shared" si="103"/>
        <v>7104.5</v>
      </c>
      <c r="Q3079" t="str">
        <f>A3079&amp;"-"&amp;B3079&amp;"-"&amp;D3079</f>
        <v>JULI-MJ2-L3</v>
      </c>
    </row>
    <row r="3080" spans="1:17" x14ac:dyDescent="0.25">
      <c r="A3080" t="s">
        <v>397</v>
      </c>
      <c r="B3080" s="13" t="s">
        <v>26</v>
      </c>
      <c r="C3080" s="13" t="s">
        <v>226</v>
      </c>
      <c r="D3080" s="14" t="s">
        <v>56</v>
      </c>
      <c r="E3080" s="13" t="s">
        <v>61</v>
      </c>
      <c r="F3080" s="13" t="s">
        <v>1217</v>
      </c>
      <c r="G3080" s="13">
        <v>0.7</v>
      </c>
      <c r="H3080" s="15">
        <v>3161</v>
      </c>
      <c r="I3080" s="16">
        <v>2212.7000000000003</v>
      </c>
      <c r="J3080" s="16">
        <v>1506.7931979383766</v>
      </c>
      <c r="K3080" s="16">
        <v>705.90680206162347</v>
      </c>
      <c r="L3080" s="13">
        <v>1.3</v>
      </c>
      <c r="M3080" s="13"/>
      <c r="N3080" s="17">
        <f t="shared" si="102"/>
        <v>4109.3</v>
      </c>
      <c r="O3080" s="17">
        <f t="shared" si="102"/>
        <v>0</v>
      </c>
      <c r="P3080" s="17">
        <f t="shared" si="103"/>
        <v>4109.3</v>
      </c>
      <c r="Q3080" t="str">
        <f>A3080&amp;"-"&amp;B3080&amp;"-"&amp;D3080</f>
        <v>JULI-MJ2-L3</v>
      </c>
    </row>
    <row r="3081" spans="1:17" x14ac:dyDescent="0.25">
      <c r="A3081" t="s">
        <v>397</v>
      </c>
      <c r="B3081" s="13" t="s">
        <v>26</v>
      </c>
      <c r="C3081" s="13" t="s">
        <v>226</v>
      </c>
      <c r="D3081" s="14" t="s">
        <v>56</v>
      </c>
      <c r="E3081" s="13" t="s">
        <v>61</v>
      </c>
      <c r="F3081" s="13" t="s">
        <v>1105</v>
      </c>
      <c r="G3081" s="13">
        <v>0.66</v>
      </c>
      <c r="H3081" s="15">
        <v>35</v>
      </c>
      <c r="I3081" s="16">
        <v>23.1</v>
      </c>
      <c r="J3081" s="16">
        <v>14.684370156256545</v>
      </c>
      <c r="K3081" s="16">
        <v>8.4156298437434565</v>
      </c>
      <c r="L3081" s="13">
        <v>1.73</v>
      </c>
      <c r="M3081" s="13"/>
      <c r="N3081" s="17">
        <f t="shared" si="102"/>
        <v>60.55</v>
      </c>
      <c r="O3081" s="17">
        <f t="shared" si="102"/>
        <v>0</v>
      </c>
      <c r="P3081" s="17">
        <f t="shared" si="103"/>
        <v>60.55</v>
      </c>
      <c r="Q3081" t="str">
        <f>A3081&amp;"-"&amp;B3081&amp;"-"&amp;D3081</f>
        <v>JULI-MJ2-L3</v>
      </c>
    </row>
    <row r="3082" spans="1:17" x14ac:dyDescent="0.25">
      <c r="A3082" t="s">
        <v>397</v>
      </c>
      <c r="B3082" s="13" t="s">
        <v>26</v>
      </c>
      <c r="C3082" s="13" t="s">
        <v>226</v>
      </c>
      <c r="D3082" s="14" t="s">
        <v>158</v>
      </c>
      <c r="E3082" s="13" t="s">
        <v>61</v>
      </c>
      <c r="F3082" s="13" t="s">
        <v>1107</v>
      </c>
      <c r="G3082" s="13">
        <v>0.76000000000000012</v>
      </c>
      <c r="H3082" s="15">
        <v>71</v>
      </c>
      <c r="I3082" s="16">
        <v>53.96</v>
      </c>
      <c r="J3082" s="16">
        <v>41.369334820942605</v>
      </c>
      <c r="K3082" s="16">
        <v>12.590665179057392</v>
      </c>
      <c r="L3082" s="13">
        <v>2</v>
      </c>
      <c r="M3082" s="13"/>
      <c r="N3082" s="17">
        <f t="shared" si="102"/>
        <v>142</v>
      </c>
      <c r="O3082" s="17">
        <f t="shared" si="102"/>
        <v>0</v>
      </c>
      <c r="P3082" s="17">
        <f t="shared" si="103"/>
        <v>142</v>
      </c>
      <c r="Q3082" t="str">
        <f>A3082&amp;"-"&amp;B3082&amp;"-"&amp;D3082</f>
        <v>JULI-MJ2-L4</v>
      </c>
    </row>
    <row r="3083" spans="1:17" x14ac:dyDescent="0.25">
      <c r="A3083" t="s">
        <v>397</v>
      </c>
      <c r="B3083" s="13" t="s">
        <v>26</v>
      </c>
      <c r="C3083" s="13" t="s">
        <v>226</v>
      </c>
      <c r="D3083" s="14" t="s">
        <v>158</v>
      </c>
      <c r="E3083" s="13" t="s">
        <v>61</v>
      </c>
      <c r="F3083" s="13" t="s">
        <v>1108</v>
      </c>
      <c r="G3083" s="13">
        <v>0.73999999999999988</v>
      </c>
      <c r="H3083" s="15">
        <v>101</v>
      </c>
      <c r="I3083" s="16">
        <v>74.739999999999995</v>
      </c>
      <c r="J3083" s="16">
        <v>80.235072386046539</v>
      </c>
      <c r="K3083" s="16">
        <v>-5.4950723860465374</v>
      </c>
      <c r="L3083" s="13">
        <v>2.17</v>
      </c>
      <c r="M3083" s="13"/>
      <c r="N3083" s="17">
        <f t="shared" si="102"/>
        <v>219.17</v>
      </c>
      <c r="O3083" s="17">
        <f t="shared" si="102"/>
        <v>0</v>
      </c>
      <c r="P3083" s="17">
        <f t="shared" si="103"/>
        <v>219.17</v>
      </c>
      <c r="Q3083" t="str">
        <f>A3083&amp;"-"&amp;B3083&amp;"-"&amp;D3083</f>
        <v>JULI-MJ2-L4</v>
      </c>
    </row>
    <row r="3084" spans="1:17" x14ac:dyDescent="0.25">
      <c r="A3084" t="s">
        <v>397</v>
      </c>
      <c r="B3084" s="13" t="s">
        <v>26</v>
      </c>
      <c r="C3084" s="13" t="s">
        <v>226</v>
      </c>
      <c r="D3084" s="14" t="s">
        <v>158</v>
      </c>
      <c r="E3084" s="13" t="s">
        <v>61</v>
      </c>
      <c r="F3084" s="13" t="s">
        <v>1218</v>
      </c>
      <c r="G3084" s="13">
        <v>0.76</v>
      </c>
      <c r="H3084" s="15">
        <v>5675</v>
      </c>
      <c r="I3084" s="16">
        <v>4313</v>
      </c>
      <c r="J3084" s="16">
        <v>3323.1035500330709</v>
      </c>
      <c r="K3084" s="16">
        <v>989.89644996692925</v>
      </c>
      <c r="L3084" s="13">
        <v>2</v>
      </c>
      <c r="M3084" s="13"/>
      <c r="N3084" s="17">
        <f t="shared" si="102"/>
        <v>11350</v>
      </c>
      <c r="O3084" s="17">
        <f t="shared" si="102"/>
        <v>0</v>
      </c>
      <c r="P3084" s="17">
        <f t="shared" si="103"/>
        <v>11350</v>
      </c>
      <c r="Q3084" t="str">
        <f>A3084&amp;"-"&amp;B3084&amp;"-"&amp;D3084</f>
        <v>JULI-MJ2-L4</v>
      </c>
    </row>
    <row r="3085" spans="1:17" x14ac:dyDescent="0.25">
      <c r="A3085" t="s">
        <v>397</v>
      </c>
      <c r="B3085" s="13" t="s">
        <v>26</v>
      </c>
      <c r="C3085" s="13" t="s">
        <v>226</v>
      </c>
      <c r="D3085" s="14" t="s">
        <v>158</v>
      </c>
      <c r="E3085" s="13" t="s">
        <v>61</v>
      </c>
      <c r="F3085" s="13" t="s">
        <v>1219</v>
      </c>
      <c r="G3085" s="13">
        <v>0.74</v>
      </c>
      <c r="H3085" s="15">
        <v>621</v>
      </c>
      <c r="I3085" s="16">
        <v>459.54</v>
      </c>
      <c r="J3085" s="16">
        <v>366.30992737410941</v>
      </c>
      <c r="K3085" s="16">
        <v>93.230072625890642</v>
      </c>
      <c r="L3085" s="13">
        <v>2.17</v>
      </c>
      <c r="M3085" s="13"/>
      <c r="N3085" s="17">
        <f t="shared" si="102"/>
        <v>1347.57</v>
      </c>
      <c r="O3085" s="17">
        <f t="shared" si="102"/>
        <v>0</v>
      </c>
      <c r="P3085" s="17">
        <f t="shared" si="103"/>
        <v>1347.57</v>
      </c>
      <c r="Q3085" t="str">
        <f>A3085&amp;"-"&amp;B3085&amp;"-"&amp;D3085</f>
        <v>JULI-MJ2-L4</v>
      </c>
    </row>
    <row r="3086" spans="1:17" x14ac:dyDescent="0.25">
      <c r="A3086" t="s">
        <v>397</v>
      </c>
      <c r="B3086" s="13" t="s">
        <v>26</v>
      </c>
      <c r="C3086" s="13" t="s">
        <v>226</v>
      </c>
      <c r="D3086" s="14" t="s">
        <v>158</v>
      </c>
      <c r="E3086" s="13" t="s">
        <v>61</v>
      </c>
      <c r="F3086" s="13" t="s">
        <v>1109</v>
      </c>
      <c r="G3086" s="13">
        <v>0.76</v>
      </c>
      <c r="H3086" s="15">
        <v>921</v>
      </c>
      <c r="I3086" s="16">
        <v>699.96</v>
      </c>
      <c r="J3086" s="16">
        <v>695.60040752323653</v>
      </c>
      <c r="K3086" s="16">
        <v>4.3595924767635026</v>
      </c>
      <c r="L3086" s="13">
        <v>2</v>
      </c>
      <c r="M3086" s="13"/>
      <c r="N3086" s="17">
        <f t="shared" ref="N3086:O3149" si="104">$H3086*L3086</f>
        <v>1842</v>
      </c>
      <c r="O3086" s="17">
        <f t="shared" si="104"/>
        <v>0</v>
      </c>
      <c r="P3086" s="17">
        <f t="shared" si="103"/>
        <v>1842</v>
      </c>
      <c r="Q3086" t="str">
        <f>A3086&amp;"-"&amp;B3086&amp;"-"&amp;D3086</f>
        <v>JULI-MJ2-L4</v>
      </c>
    </row>
    <row r="3087" spans="1:17" x14ac:dyDescent="0.25">
      <c r="A3087" t="s">
        <v>397</v>
      </c>
      <c r="B3087" s="13" t="s">
        <v>26</v>
      </c>
      <c r="C3087" s="13" t="s">
        <v>226</v>
      </c>
      <c r="D3087" s="14" t="s">
        <v>158</v>
      </c>
      <c r="E3087" s="13" t="s">
        <v>61</v>
      </c>
      <c r="F3087" s="13" t="s">
        <v>1220</v>
      </c>
      <c r="G3087" s="13">
        <v>0.73999999999999988</v>
      </c>
      <c r="H3087" s="15">
        <v>240</v>
      </c>
      <c r="I3087" s="16">
        <v>177.60000000000002</v>
      </c>
      <c r="J3087" s="16">
        <v>144.95166782281908</v>
      </c>
      <c r="K3087" s="16">
        <v>32.648332177180954</v>
      </c>
      <c r="L3087" s="13">
        <v>2.17</v>
      </c>
      <c r="M3087" s="13"/>
      <c r="N3087" s="17">
        <f t="shared" si="104"/>
        <v>520.79999999999995</v>
      </c>
      <c r="O3087" s="17">
        <f t="shared" si="104"/>
        <v>0</v>
      </c>
      <c r="P3087" s="17">
        <f t="shared" si="103"/>
        <v>520.79999999999995</v>
      </c>
      <c r="Q3087" t="str">
        <f>A3087&amp;"-"&amp;B3087&amp;"-"&amp;D3087</f>
        <v>JULI-MJ2-L4</v>
      </c>
    </row>
    <row r="3088" spans="1:17" x14ac:dyDescent="0.25">
      <c r="A3088" t="s">
        <v>397</v>
      </c>
      <c r="B3088" s="13" t="s">
        <v>26</v>
      </c>
      <c r="C3088" s="13" t="s">
        <v>226</v>
      </c>
      <c r="D3088" s="14" t="s">
        <v>158</v>
      </c>
      <c r="E3088" s="13" t="s">
        <v>61</v>
      </c>
      <c r="F3088" s="13" t="s">
        <v>1221</v>
      </c>
      <c r="G3088" s="13">
        <v>0.68</v>
      </c>
      <c r="H3088" s="15">
        <v>2377</v>
      </c>
      <c r="I3088" s="16">
        <v>1616.3600000000001</v>
      </c>
      <c r="J3088" s="16">
        <v>1319.8965908338257</v>
      </c>
      <c r="K3088" s="16">
        <v>296.46340916617402</v>
      </c>
      <c r="L3088" s="13">
        <v>1.82</v>
      </c>
      <c r="M3088" s="13"/>
      <c r="N3088" s="17">
        <f t="shared" si="104"/>
        <v>4326.1400000000003</v>
      </c>
      <c r="O3088" s="17">
        <f t="shared" si="104"/>
        <v>0</v>
      </c>
      <c r="P3088" s="17">
        <f t="shared" si="103"/>
        <v>4326.1400000000003</v>
      </c>
      <c r="Q3088" t="str">
        <f>A3088&amp;"-"&amp;B3088&amp;"-"&amp;D3088</f>
        <v>JULI-MJ2-L4</v>
      </c>
    </row>
    <row r="3089" spans="1:17" x14ac:dyDescent="0.25">
      <c r="A3089" t="s">
        <v>397</v>
      </c>
      <c r="B3089" s="13" t="s">
        <v>26</v>
      </c>
      <c r="C3089" s="13" t="s">
        <v>226</v>
      </c>
      <c r="D3089" s="14" t="s">
        <v>158</v>
      </c>
      <c r="E3089" s="13" t="s">
        <v>61</v>
      </c>
      <c r="F3089" s="13" t="s">
        <v>1222</v>
      </c>
      <c r="G3089" s="13">
        <v>0.72</v>
      </c>
      <c r="H3089" s="15">
        <v>1722</v>
      </c>
      <c r="I3089" s="16">
        <v>1239.8399999999999</v>
      </c>
      <c r="J3089" s="16">
        <v>1010</v>
      </c>
      <c r="K3089" s="16">
        <v>229.83999999999992</v>
      </c>
      <c r="L3089" s="13">
        <v>1.36</v>
      </c>
      <c r="M3089" s="13"/>
      <c r="N3089" s="17">
        <f t="shared" si="104"/>
        <v>2341.92</v>
      </c>
      <c r="O3089" s="17">
        <f t="shared" si="104"/>
        <v>0</v>
      </c>
      <c r="P3089" s="17">
        <f t="shared" si="103"/>
        <v>2341.92</v>
      </c>
      <c r="Q3089" t="str">
        <f>A3089&amp;"-"&amp;B3089&amp;"-"&amp;D3089</f>
        <v>JULI-MJ2-L4</v>
      </c>
    </row>
    <row r="3090" spans="1:17" x14ac:dyDescent="0.25">
      <c r="A3090" t="s">
        <v>397</v>
      </c>
      <c r="B3090" s="13" t="s">
        <v>26</v>
      </c>
      <c r="C3090" s="13" t="s">
        <v>226</v>
      </c>
      <c r="D3090" s="14" t="s">
        <v>158</v>
      </c>
      <c r="E3090" s="13" t="s">
        <v>61</v>
      </c>
      <c r="F3090" s="13" t="s">
        <v>1182</v>
      </c>
      <c r="G3090" s="13">
        <v>0.7</v>
      </c>
      <c r="H3090" s="15">
        <v>2086</v>
      </c>
      <c r="I3090" s="16">
        <v>1460.2000000000003</v>
      </c>
      <c r="J3090" s="16">
        <v>1111.1569399529581</v>
      </c>
      <c r="K3090" s="16">
        <v>349.04306004704199</v>
      </c>
      <c r="L3090" s="13">
        <v>1.3</v>
      </c>
      <c r="M3090" s="13"/>
      <c r="N3090" s="17">
        <f t="shared" si="104"/>
        <v>2711.8</v>
      </c>
      <c r="O3090" s="17">
        <f t="shared" si="104"/>
        <v>0</v>
      </c>
      <c r="P3090" s="17">
        <f t="shared" si="103"/>
        <v>2711.8</v>
      </c>
      <c r="Q3090" t="str">
        <f>A3090&amp;"-"&amp;B3090&amp;"-"&amp;D3090</f>
        <v>JULI-MJ2-L4</v>
      </c>
    </row>
    <row r="3091" spans="1:17" x14ac:dyDescent="0.25">
      <c r="A3091" t="s">
        <v>397</v>
      </c>
      <c r="B3091" s="13" t="s">
        <v>26</v>
      </c>
      <c r="C3091" s="13" t="s">
        <v>226</v>
      </c>
      <c r="D3091" s="14" t="s">
        <v>158</v>
      </c>
      <c r="E3091" s="13" t="s">
        <v>61</v>
      </c>
      <c r="F3091" s="13" t="s">
        <v>1223</v>
      </c>
      <c r="G3091" s="13">
        <v>0.69999999999999984</v>
      </c>
      <c r="H3091" s="15">
        <v>2478</v>
      </c>
      <c r="I3091" s="16">
        <v>1734.6</v>
      </c>
      <c r="J3091" s="16">
        <v>1557.3566661614823</v>
      </c>
      <c r="K3091" s="16">
        <v>177.2433338385178</v>
      </c>
      <c r="L3091" s="13">
        <v>1.3</v>
      </c>
      <c r="M3091" s="13"/>
      <c r="N3091" s="17">
        <f t="shared" si="104"/>
        <v>3221.4</v>
      </c>
      <c r="O3091" s="17">
        <f t="shared" si="104"/>
        <v>0</v>
      </c>
      <c r="P3091" s="17">
        <f t="shared" si="103"/>
        <v>3221.4</v>
      </c>
      <c r="Q3091" t="str">
        <f>A3091&amp;"-"&amp;B3091&amp;"-"&amp;D3091</f>
        <v>JULI-MJ2-L4</v>
      </c>
    </row>
    <row r="3092" spans="1:17" x14ac:dyDescent="0.25">
      <c r="A3092" t="s">
        <v>397</v>
      </c>
      <c r="B3092" s="13" t="s">
        <v>26</v>
      </c>
      <c r="C3092" s="13" t="s">
        <v>226</v>
      </c>
      <c r="D3092" s="14" t="s">
        <v>158</v>
      </c>
      <c r="E3092" s="13" t="s">
        <v>61</v>
      </c>
      <c r="F3092" s="13" t="s">
        <v>1224</v>
      </c>
      <c r="G3092" s="13">
        <v>0.69999999999999984</v>
      </c>
      <c r="H3092" s="15">
        <v>1554</v>
      </c>
      <c r="I3092" s="16">
        <v>1087.8</v>
      </c>
      <c r="J3092" s="16">
        <v>887.19468812800892</v>
      </c>
      <c r="K3092" s="16">
        <v>200.60531187199103</v>
      </c>
      <c r="L3092" s="13">
        <v>1.3</v>
      </c>
      <c r="M3092" s="13"/>
      <c r="N3092" s="17">
        <f t="shared" si="104"/>
        <v>2020.2</v>
      </c>
      <c r="O3092" s="17">
        <f t="shared" si="104"/>
        <v>0</v>
      </c>
      <c r="P3092" s="17">
        <f t="shared" si="103"/>
        <v>2020.2</v>
      </c>
      <c r="Q3092" t="str">
        <f>A3092&amp;"-"&amp;B3092&amp;"-"&amp;D3092</f>
        <v>JULI-MJ2-L4</v>
      </c>
    </row>
    <row r="3093" spans="1:17" x14ac:dyDescent="0.25">
      <c r="A3093" t="s">
        <v>397</v>
      </c>
      <c r="B3093" s="13" t="s">
        <v>26</v>
      </c>
      <c r="C3093" s="13" t="s">
        <v>226</v>
      </c>
      <c r="D3093" s="14" t="s">
        <v>158</v>
      </c>
      <c r="E3093" s="13" t="s">
        <v>61</v>
      </c>
      <c r="F3093" s="13" t="s">
        <v>1225</v>
      </c>
      <c r="G3093" s="13">
        <v>0.7</v>
      </c>
      <c r="H3093" s="15">
        <v>1101</v>
      </c>
      <c r="I3093" s="16">
        <v>770.7</v>
      </c>
      <c r="J3093" s="16">
        <v>618.77713120623912</v>
      </c>
      <c r="K3093" s="16">
        <v>151.92286879376084</v>
      </c>
      <c r="L3093" s="13">
        <v>1.3</v>
      </c>
      <c r="M3093" s="13"/>
      <c r="N3093" s="17">
        <f t="shared" si="104"/>
        <v>1431.3</v>
      </c>
      <c r="O3093" s="17">
        <f t="shared" si="104"/>
        <v>0</v>
      </c>
      <c r="P3093" s="17">
        <f t="shared" si="103"/>
        <v>1431.3</v>
      </c>
      <c r="Q3093" t="str">
        <f>A3093&amp;"-"&amp;B3093&amp;"-"&amp;D3093</f>
        <v>JULI-MJ2-L4</v>
      </c>
    </row>
    <row r="3094" spans="1:17" x14ac:dyDescent="0.25">
      <c r="A3094" t="s">
        <v>397</v>
      </c>
      <c r="B3094" s="13" t="s">
        <v>26</v>
      </c>
      <c r="C3094" s="13" t="s">
        <v>226</v>
      </c>
      <c r="D3094" s="14" t="s">
        <v>158</v>
      </c>
      <c r="E3094" s="13" t="s">
        <v>61</v>
      </c>
      <c r="F3094" s="13" t="s">
        <v>1226</v>
      </c>
      <c r="G3094" s="13">
        <v>0.72</v>
      </c>
      <c r="H3094" s="15">
        <v>986</v>
      </c>
      <c r="I3094" s="16">
        <v>709.92000000000007</v>
      </c>
      <c r="J3094" s="16">
        <v>488.85033955878265</v>
      </c>
      <c r="K3094" s="16">
        <v>221.06966044121739</v>
      </c>
      <c r="L3094" s="13">
        <v>1.34</v>
      </c>
      <c r="M3094" s="13"/>
      <c r="N3094" s="17">
        <f t="shared" si="104"/>
        <v>1321.24</v>
      </c>
      <c r="O3094" s="17">
        <f t="shared" si="104"/>
        <v>0</v>
      </c>
      <c r="P3094" s="17">
        <f t="shared" si="103"/>
        <v>1321.24</v>
      </c>
      <c r="Q3094" t="str">
        <f>A3094&amp;"-"&amp;B3094&amp;"-"&amp;D3094</f>
        <v>JULI-MJ2-L4</v>
      </c>
    </row>
    <row r="3095" spans="1:17" x14ac:dyDescent="0.25">
      <c r="A3095" t="s">
        <v>397</v>
      </c>
      <c r="B3095" s="13" t="s">
        <v>26</v>
      </c>
      <c r="C3095" s="13" t="s">
        <v>226</v>
      </c>
      <c r="D3095" s="14" t="s">
        <v>158</v>
      </c>
      <c r="E3095" s="13" t="s">
        <v>61</v>
      </c>
      <c r="F3095" s="13" t="s">
        <v>1227</v>
      </c>
      <c r="G3095" s="13">
        <v>0.71999999999999986</v>
      </c>
      <c r="H3095" s="15">
        <v>8308</v>
      </c>
      <c r="I3095" s="16">
        <v>5981.7599999999993</v>
      </c>
      <c r="J3095" s="16">
        <v>4142.8102602671088</v>
      </c>
      <c r="K3095" s="16">
        <v>1838.9497397328907</v>
      </c>
      <c r="L3095" s="13">
        <v>1.34</v>
      </c>
      <c r="M3095" s="13"/>
      <c r="N3095" s="17">
        <f t="shared" si="104"/>
        <v>11132.720000000001</v>
      </c>
      <c r="O3095" s="17">
        <f t="shared" si="104"/>
        <v>0</v>
      </c>
      <c r="P3095" s="17">
        <f t="shared" si="103"/>
        <v>11132.720000000001</v>
      </c>
      <c r="Q3095" t="str">
        <f>A3095&amp;"-"&amp;B3095&amp;"-"&amp;D3095</f>
        <v>JULI-MJ2-L4</v>
      </c>
    </row>
    <row r="3096" spans="1:17" x14ac:dyDescent="0.25">
      <c r="A3096" t="s">
        <v>397</v>
      </c>
      <c r="B3096" s="13" t="s">
        <v>26</v>
      </c>
      <c r="C3096" s="13" t="s">
        <v>226</v>
      </c>
      <c r="D3096" s="14" t="s">
        <v>158</v>
      </c>
      <c r="E3096" s="13" t="s">
        <v>61</v>
      </c>
      <c r="F3096" s="13" t="s">
        <v>1228</v>
      </c>
      <c r="G3096" s="13">
        <v>0.72</v>
      </c>
      <c r="H3096" s="15">
        <v>3179</v>
      </c>
      <c r="I3096" s="16">
        <v>2288.8799999999997</v>
      </c>
      <c r="J3096" s="16">
        <v>1759.9698137163664</v>
      </c>
      <c r="K3096" s="16">
        <v>528.91018628363361</v>
      </c>
      <c r="L3096" s="13">
        <v>1.34</v>
      </c>
      <c r="M3096" s="13"/>
      <c r="N3096" s="17">
        <f t="shared" si="104"/>
        <v>4259.8600000000006</v>
      </c>
      <c r="O3096" s="17">
        <f t="shared" si="104"/>
        <v>0</v>
      </c>
      <c r="P3096" s="17">
        <f t="shared" si="103"/>
        <v>4259.8600000000006</v>
      </c>
      <c r="Q3096" t="str">
        <f>A3096&amp;"-"&amp;B3096&amp;"-"&amp;D3096</f>
        <v>JULI-MJ2-L4</v>
      </c>
    </row>
    <row r="3097" spans="1:17" x14ac:dyDescent="0.25">
      <c r="A3097" t="s">
        <v>397</v>
      </c>
      <c r="B3097" s="13" t="s">
        <v>26</v>
      </c>
      <c r="C3097" s="13" t="s">
        <v>226</v>
      </c>
      <c r="D3097" s="14" t="s">
        <v>158</v>
      </c>
      <c r="E3097" s="13" t="s">
        <v>61</v>
      </c>
      <c r="F3097" s="13" t="s">
        <v>1229</v>
      </c>
      <c r="G3097" s="13">
        <v>0.65</v>
      </c>
      <c r="H3097" s="15">
        <v>2615</v>
      </c>
      <c r="I3097" s="16">
        <v>1699.75</v>
      </c>
      <c r="J3097" s="16">
        <v>1384.3312774182341</v>
      </c>
      <c r="K3097" s="16">
        <v>315.41872258176602</v>
      </c>
      <c r="L3097" s="13">
        <v>1.66</v>
      </c>
      <c r="M3097" s="13"/>
      <c r="N3097" s="17">
        <f t="shared" si="104"/>
        <v>4340.8999999999996</v>
      </c>
      <c r="O3097" s="17">
        <f t="shared" si="104"/>
        <v>0</v>
      </c>
      <c r="P3097" s="17">
        <f t="shared" si="103"/>
        <v>4340.8999999999996</v>
      </c>
      <c r="Q3097" t="str">
        <f>A3097&amp;"-"&amp;B3097&amp;"-"&amp;D3097</f>
        <v>JULI-MJ2-L4</v>
      </c>
    </row>
    <row r="3098" spans="1:17" x14ac:dyDescent="0.25">
      <c r="A3098" t="s">
        <v>397</v>
      </c>
      <c r="B3098" s="13" t="s">
        <v>26</v>
      </c>
      <c r="C3098" s="13" t="s">
        <v>226</v>
      </c>
      <c r="D3098" s="14" t="s">
        <v>158</v>
      </c>
      <c r="E3098" s="13" t="s">
        <v>61</v>
      </c>
      <c r="F3098" s="13" t="s">
        <v>1230</v>
      </c>
      <c r="G3098" s="13">
        <v>0.65</v>
      </c>
      <c r="H3098" s="15">
        <v>1069</v>
      </c>
      <c r="I3098" s="16">
        <v>694.85</v>
      </c>
      <c r="J3098" s="16">
        <v>604.75871396819639</v>
      </c>
      <c r="K3098" s="16">
        <v>90.091286031803634</v>
      </c>
      <c r="L3098" s="13">
        <v>1.66</v>
      </c>
      <c r="M3098" s="13"/>
      <c r="N3098" s="17">
        <f t="shared" si="104"/>
        <v>1774.54</v>
      </c>
      <c r="O3098" s="17">
        <f t="shared" si="104"/>
        <v>0</v>
      </c>
      <c r="P3098" s="17">
        <f t="shared" si="103"/>
        <v>1774.54</v>
      </c>
      <c r="Q3098" t="str">
        <f>A3098&amp;"-"&amp;B3098&amp;"-"&amp;D3098</f>
        <v>JULI-MJ2-L4</v>
      </c>
    </row>
    <row r="3099" spans="1:17" x14ac:dyDescent="0.25">
      <c r="A3099" t="s">
        <v>397</v>
      </c>
      <c r="B3099" s="13" t="s">
        <v>26</v>
      </c>
      <c r="C3099" s="13" t="s">
        <v>226</v>
      </c>
      <c r="D3099" s="14" t="s">
        <v>158</v>
      </c>
      <c r="E3099" s="13" t="s">
        <v>61</v>
      </c>
      <c r="F3099" s="13" t="s">
        <v>1087</v>
      </c>
      <c r="G3099" s="13">
        <v>0.65</v>
      </c>
      <c r="H3099" s="15">
        <v>282</v>
      </c>
      <c r="I3099" s="16">
        <v>183.3</v>
      </c>
      <c r="J3099" s="16">
        <v>211.63462567653724</v>
      </c>
      <c r="K3099" s="16">
        <v>-28.334625676537243</v>
      </c>
      <c r="L3099" s="13">
        <v>1.64</v>
      </c>
      <c r="M3099" s="13"/>
      <c r="N3099" s="17">
        <f t="shared" si="104"/>
        <v>462.47999999999996</v>
      </c>
      <c r="O3099" s="17">
        <f t="shared" si="104"/>
        <v>0</v>
      </c>
      <c r="P3099" s="17">
        <f t="shared" si="103"/>
        <v>462.47999999999996</v>
      </c>
      <c r="Q3099" t="str">
        <f>A3099&amp;"-"&amp;B3099&amp;"-"&amp;D3099</f>
        <v>JULI-MJ2-L4</v>
      </c>
    </row>
    <row r="3100" spans="1:17" x14ac:dyDescent="0.25">
      <c r="A3100" t="s">
        <v>397</v>
      </c>
      <c r="B3100" s="13" t="s">
        <v>26</v>
      </c>
      <c r="C3100" s="13" t="s">
        <v>226</v>
      </c>
      <c r="D3100" s="14" t="s">
        <v>158</v>
      </c>
      <c r="E3100" s="13" t="s">
        <v>61</v>
      </c>
      <c r="F3100" s="13" t="s">
        <v>1231</v>
      </c>
      <c r="G3100" s="13">
        <v>0.88</v>
      </c>
      <c r="H3100" s="15">
        <v>717</v>
      </c>
      <c r="I3100" s="16">
        <v>630.96</v>
      </c>
      <c r="J3100" s="16">
        <v>451.69299315203472</v>
      </c>
      <c r="K3100" s="16">
        <v>179.26700684796532</v>
      </c>
      <c r="L3100" s="13">
        <v>2.65</v>
      </c>
      <c r="M3100" s="13"/>
      <c r="N3100" s="17">
        <f t="shared" si="104"/>
        <v>1900.05</v>
      </c>
      <c r="O3100" s="17">
        <f t="shared" si="104"/>
        <v>0</v>
      </c>
      <c r="P3100" s="17">
        <f t="shared" si="103"/>
        <v>1900.05</v>
      </c>
      <c r="Q3100" t="str">
        <f>A3100&amp;"-"&amp;B3100&amp;"-"&amp;D3100</f>
        <v>JULI-MJ2-L4</v>
      </c>
    </row>
    <row r="3101" spans="1:17" x14ac:dyDescent="0.25">
      <c r="A3101" t="s">
        <v>397</v>
      </c>
      <c r="B3101" s="13" t="s">
        <v>26</v>
      </c>
      <c r="C3101" s="13" t="s">
        <v>226</v>
      </c>
      <c r="D3101" s="14" t="s">
        <v>160</v>
      </c>
      <c r="E3101" s="13" t="s">
        <v>61</v>
      </c>
      <c r="F3101" s="13" t="s">
        <v>1107</v>
      </c>
      <c r="G3101" s="13">
        <v>0.76000000000000012</v>
      </c>
      <c r="H3101" s="15">
        <v>72</v>
      </c>
      <c r="I3101" s="16">
        <v>54.72</v>
      </c>
      <c r="J3101" s="16">
        <v>41.967005055741538</v>
      </c>
      <c r="K3101" s="16">
        <v>12.752994944258463</v>
      </c>
      <c r="L3101" s="13">
        <v>2</v>
      </c>
      <c r="M3101" s="13"/>
      <c r="N3101" s="17">
        <f t="shared" si="104"/>
        <v>144</v>
      </c>
      <c r="O3101" s="17">
        <f t="shared" si="104"/>
        <v>0</v>
      </c>
      <c r="P3101" s="17">
        <f t="shared" si="103"/>
        <v>144</v>
      </c>
      <c r="Q3101" t="str">
        <f>A3101&amp;"-"&amp;B3101&amp;"-"&amp;D3101</f>
        <v>JULI-MJ2-L5</v>
      </c>
    </row>
    <row r="3102" spans="1:17" x14ac:dyDescent="0.25">
      <c r="A3102" t="s">
        <v>397</v>
      </c>
      <c r="B3102" s="13" t="s">
        <v>26</v>
      </c>
      <c r="C3102" s="13" t="s">
        <v>226</v>
      </c>
      <c r="D3102" s="14" t="s">
        <v>160</v>
      </c>
      <c r="E3102" s="13" t="s">
        <v>61</v>
      </c>
      <c r="F3102" s="13" t="s">
        <v>1108</v>
      </c>
      <c r="G3102" s="13">
        <v>0.73999999999999988</v>
      </c>
      <c r="H3102" s="15">
        <v>99</v>
      </c>
      <c r="I3102" s="16">
        <v>73.260000000000005</v>
      </c>
      <c r="J3102" s="16">
        <v>78.862614622613364</v>
      </c>
      <c r="K3102" s="16">
        <v>-5.6026146226133573</v>
      </c>
      <c r="L3102" s="13">
        <v>2.17</v>
      </c>
      <c r="M3102" s="13"/>
      <c r="N3102" s="17">
        <f t="shared" si="104"/>
        <v>214.82999999999998</v>
      </c>
      <c r="O3102" s="17">
        <f t="shared" si="104"/>
        <v>0</v>
      </c>
      <c r="P3102" s="17">
        <f t="shared" si="103"/>
        <v>214.82999999999998</v>
      </c>
      <c r="Q3102" t="str">
        <f>A3102&amp;"-"&amp;B3102&amp;"-"&amp;D3102</f>
        <v>JULI-MJ2-L5</v>
      </c>
    </row>
    <row r="3103" spans="1:17" x14ac:dyDescent="0.25">
      <c r="A3103" t="s">
        <v>397</v>
      </c>
      <c r="B3103" s="13" t="s">
        <v>26</v>
      </c>
      <c r="C3103" s="13" t="s">
        <v>226</v>
      </c>
      <c r="D3103" s="14" t="s">
        <v>160</v>
      </c>
      <c r="E3103" s="13" t="s">
        <v>61</v>
      </c>
      <c r="F3103" s="13" t="s">
        <v>1218</v>
      </c>
      <c r="G3103" s="13">
        <v>0.76</v>
      </c>
      <c r="H3103" s="15">
        <v>5675</v>
      </c>
      <c r="I3103" s="16">
        <v>4313</v>
      </c>
      <c r="J3103" s="16">
        <v>3322.8949544163984</v>
      </c>
      <c r="K3103" s="16">
        <v>990.10504558360174</v>
      </c>
      <c r="L3103" s="13">
        <v>2</v>
      </c>
      <c r="M3103" s="13"/>
      <c r="N3103" s="17">
        <f t="shared" si="104"/>
        <v>11350</v>
      </c>
      <c r="O3103" s="17">
        <f t="shared" si="104"/>
        <v>0</v>
      </c>
      <c r="P3103" s="17">
        <f t="shared" si="103"/>
        <v>11350</v>
      </c>
      <c r="Q3103" t="str">
        <f>A3103&amp;"-"&amp;B3103&amp;"-"&amp;D3103</f>
        <v>JULI-MJ2-L5</v>
      </c>
    </row>
    <row r="3104" spans="1:17" x14ac:dyDescent="0.25">
      <c r="A3104" t="s">
        <v>397</v>
      </c>
      <c r="B3104" s="13" t="s">
        <v>26</v>
      </c>
      <c r="C3104" s="13" t="s">
        <v>226</v>
      </c>
      <c r="D3104" s="14" t="s">
        <v>160</v>
      </c>
      <c r="E3104" s="13" t="s">
        <v>61</v>
      </c>
      <c r="F3104" s="13" t="s">
        <v>1219</v>
      </c>
      <c r="G3104" s="13">
        <v>0.74</v>
      </c>
      <c r="H3104" s="15">
        <v>621</v>
      </c>
      <c r="I3104" s="16">
        <v>459.54</v>
      </c>
      <c r="J3104" s="16">
        <v>366.30992737410941</v>
      </c>
      <c r="K3104" s="16">
        <v>93.230072625890642</v>
      </c>
      <c r="L3104" s="13">
        <v>2.17</v>
      </c>
      <c r="M3104" s="13"/>
      <c r="N3104" s="17">
        <f t="shared" si="104"/>
        <v>1347.57</v>
      </c>
      <c r="O3104" s="17">
        <f t="shared" si="104"/>
        <v>0</v>
      </c>
      <c r="P3104" s="17">
        <f t="shared" si="103"/>
        <v>1347.57</v>
      </c>
      <c r="Q3104" t="str">
        <f>A3104&amp;"-"&amp;B3104&amp;"-"&amp;D3104</f>
        <v>JULI-MJ2-L5</v>
      </c>
    </row>
    <row r="3105" spans="1:17" x14ac:dyDescent="0.25">
      <c r="A3105" t="s">
        <v>397</v>
      </c>
      <c r="B3105" s="13" t="s">
        <v>26</v>
      </c>
      <c r="C3105" s="13" t="s">
        <v>226</v>
      </c>
      <c r="D3105" s="14" t="s">
        <v>160</v>
      </c>
      <c r="E3105" s="13" t="s">
        <v>61</v>
      </c>
      <c r="F3105" s="13" t="s">
        <v>1109</v>
      </c>
      <c r="G3105" s="13">
        <v>0.76</v>
      </c>
      <c r="H3105" s="15">
        <v>921</v>
      </c>
      <c r="I3105" s="16">
        <v>699.96</v>
      </c>
      <c r="J3105" s="16">
        <v>696.3095832796447</v>
      </c>
      <c r="K3105" s="16">
        <v>3.6504167203553379</v>
      </c>
      <c r="L3105" s="13">
        <v>2</v>
      </c>
      <c r="M3105" s="13"/>
      <c r="N3105" s="17">
        <f t="shared" si="104"/>
        <v>1842</v>
      </c>
      <c r="O3105" s="17">
        <f t="shared" si="104"/>
        <v>0</v>
      </c>
      <c r="P3105" s="17">
        <f t="shared" si="103"/>
        <v>1842</v>
      </c>
      <c r="Q3105" t="str">
        <f>A3105&amp;"-"&amp;B3105&amp;"-"&amp;D3105</f>
        <v>JULI-MJ2-L5</v>
      </c>
    </row>
    <row r="3106" spans="1:17" x14ac:dyDescent="0.25">
      <c r="A3106" t="s">
        <v>397</v>
      </c>
      <c r="B3106" s="13" t="s">
        <v>26</v>
      </c>
      <c r="C3106" s="13" t="s">
        <v>226</v>
      </c>
      <c r="D3106" s="14" t="s">
        <v>160</v>
      </c>
      <c r="E3106" s="13" t="s">
        <v>61</v>
      </c>
      <c r="F3106" s="13" t="s">
        <v>1220</v>
      </c>
      <c r="G3106" s="13">
        <v>0.73999999999999988</v>
      </c>
      <c r="H3106" s="15">
        <v>240</v>
      </c>
      <c r="I3106" s="16">
        <v>177.6</v>
      </c>
      <c r="J3106" s="16">
        <v>145.16705021583397</v>
      </c>
      <c r="K3106" s="16">
        <v>32.432949784166041</v>
      </c>
      <c r="L3106" s="13">
        <v>2.17</v>
      </c>
      <c r="M3106" s="13"/>
      <c r="N3106" s="17">
        <f t="shared" si="104"/>
        <v>520.79999999999995</v>
      </c>
      <c r="O3106" s="17">
        <f t="shared" si="104"/>
        <v>0</v>
      </c>
      <c r="P3106" s="17">
        <f t="shared" si="103"/>
        <v>520.79999999999995</v>
      </c>
      <c r="Q3106" t="str">
        <f>A3106&amp;"-"&amp;B3106&amp;"-"&amp;D3106</f>
        <v>JULI-MJ2-L5</v>
      </c>
    </row>
    <row r="3107" spans="1:17" x14ac:dyDescent="0.25">
      <c r="A3107" t="s">
        <v>397</v>
      </c>
      <c r="B3107" s="13" t="s">
        <v>26</v>
      </c>
      <c r="C3107" s="13" t="s">
        <v>226</v>
      </c>
      <c r="D3107" s="14" t="s">
        <v>160</v>
      </c>
      <c r="E3107" s="13" t="s">
        <v>61</v>
      </c>
      <c r="F3107" s="13" t="s">
        <v>1221</v>
      </c>
      <c r="G3107" s="13">
        <v>0.68</v>
      </c>
      <c r="H3107" s="15">
        <v>2376</v>
      </c>
      <c r="I3107" s="16">
        <v>1615.68</v>
      </c>
      <c r="J3107" s="16">
        <v>1319.2711062777025</v>
      </c>
      <c r="K3107" s="16">
        <v>296.40889372229731</v>
      </c>
      <c r="L3107" s="13">
        <v>1.82</v>
      </c>
      <c r="M3107" s="13"/>
      <c r="N3107" s="17">
        <f t="shared" si="104"/>
        <v>4324.32</v>
      </c>
      <c r="O3107" s="17">
        <f t="shared" si="104"/>
        <v>0</v>
      </c>
      <c r="P3107" s="17">
        <f t="shared" si="103"/>
        <v>4324.32</v>
      </c>
      <c r="Q3107" t="str">
        <f>A3107&amp;"-"&amp;B3107&amp;"-"&amp;D3107</f>
        <v>JULI-MJ2-L5</v>
      </c>
    </row>
    <row r="3108" spans="1:17" x14ac:dyDescent="0.25">
      <c r="A3108" t="s">
        <v>397</v>
      </c>
      <c r="B3108" s="13" t="s">
        <v>26</v>
      </c>
      <c r="C3108" s="13" t="s">
        <v>226</v>
      </c>
      <c r="D3108" s="14" t="s">
        <v>160</v>
      </c>
      <c r="E3108" s="13" t="s">
        <v>61</v>
      </c>
      <c r="F3108" s="13" t="s">
        <v>1222</v>
      </c>
      <c r="G3108" s="13">
        <v>0.72</v>
      </c>
      <c r="H3108" s="15">
        <v>1723</v>
      </c>
      <c r="I3108" s="16">
        <v>1240.56</v>
      </c>
      <c r="J3108" s="16">
        <v>1010</v>
      </c>
      <c r="K3108" s="16">
        <v>230.55999999999995</v>
      </c>
      <c r="L3108" s="13">
        <v>1.36</v>
      </c>
      <c r="M3108" s="13"/>
      <c r="N3108" s="17">
        <f t="shared" si="104"/>
        <v>2343.2800000000002</v>
      </c>
      <c r="O3108" s="17">
        <f t="shared" si="104"/>
        <v>0</v>
      </c>
      <c r="P3108" s="17">
        <f t="shared" si="103"/>
        <v>2343.2800000000002</v>
      </c>
      <c r="Q3108" t="str">
        <f>A3108&amp;"-"&amp;B3108&amp;"-"&amp;D3108</f>
        <v>JULI-MJ2-L5</v>
      </c>
    </row>
    <row r="3109" spans="1:17" x14ac:dyDescent="0.25">
      <c r="A3109" t="s">
        <v>397</v>
      </c>
      <c r="B3109" s="13" t="s">
        <v>26</v>
      </c>
      <c r="C3109" s="13" t="s">
        <v>226</v>
      </c>
      <c r="D3109" s="14" t="s">
        <v>160</v>
      </c>
      <c r="E3109" s="13" t="s">
        <v>61</v>
      </c>
      <c r="F3109" s="13" t="s">
        <v>1182</v>
      </c>
      <c r="G3109" s="13">
        <v>0.7</v>
      </c>
      <c r="H3109" s="15">
        <v>2089</v>
      </c>
      <c r="I3109" s="16">
        <v>1462.2999999999997</v>
      </c>
      <c r="J3109" s="16">
        <v>1112.8419884188211</v>
      </c>
      <c r="K3109" s="16">
        <v>349.45801158117894</v>
      </c>
      <c r="L3109" s="13">
        <v>1.3</v>
      </c>
      <c r="M3109" s="13"/>
      <c r="N3109" s="17">
        <f t="shared" si="104"/>
        <v>2715.7000000000003</v>
      </c>
      <c r="O3109" s="17">
        <f t="shared" si="104"/>
        <v>0</v>
      </c>
      <c r="P3109" s="17">
        <f t="shared" si="103"/>
        <v>2715.7000000000003</v>
      </c>
      <c r="Q3109" t="str">
        <f>A3109&amp;"-"&amp;B3109&amp;"-"&amp;D3109</f>
        <v>JULI-MJ2-L5</v>
      </c>
    </row>
    <row r="3110" spans="1:17" x14ac:dyDescent="0.25">
      <c r="A3110" t="s">
        <v>397</v>
      </c>
      <c r="B3110" s="13" t="s">
        <v>26</v>
      </c>
      <c r="C3110" s="13" t="s">
        <v>226</v>
      </c>
      <c r="D3110" s="14" t="s">
        <v>160</v>
      </c>
      <c r="E3110" s="13" t="s">
        <v>61</v>
      </c>
      <c r="F3110" s="13" t="s">
        <v>1223</v>
      </c>
      <c r="G3110" s="13">
        <v>0.69999999999999984</v>
      </c>
      <c r="H3110" s="15">
        <v>2475</v>
      </c>
      <c r="I3110" s="16">
        <v>1732.5</v>
      </c>
      <c r="J3110" s="16">
        <v>1555.9597123455142</v>
      </c>
      <c r="K3110" s="16">
        <v>176.54028765448589</v>
      </c>
      <c r="L3110" s="13">
        <v>1.3</v>
      </c>
      <c r="M3110" s="13"/>
      <c r="N3110" s="17">
        <f t="shared" si="104"/>
        <v>3217.5</v>
      </c>
      <c r="O3110" s="17">
        <f t="shared" si="104"/>
        <v>0</v>
      </c>
      <c r="P3110" s="17">
        <f t="shared" si="103"/>
        <v>3217.5</v>
      </c>
      <c r="Q3110" t="str">
        <f>A3110&amp;"-"&amp;B3110&amp;"-"&amp;D3110</f>
        <v>JULI-MJ2-L5</v>
      </c>
    </row>
    <row r="3111" spans="1:17" x14ac:dyDescent="0.25">
      <c r="A3111" t="s">
        <v>397</v>
      </c>
      <c r="B3111" s="13" t="s">
        <v>26</v>
      </c>
      <c r="C3111" s="13" t="s">
        <v>226</v>
      </c>
      <c r="D3111" s="14" t="s">
        <v>160</v>
      </c>
      <c r="E3111" s="13" t="s">
        <v>61</v>
      </c>
      <c r="F3111" s="13" t="s">
        <v>1224</v>
      </c>
      <c r="G3111" s="13">
        <v>0.69999999999999984</v>
      </c>
      <c r="H3111" s="15">
        <v>1556</v>
      </c>
      <c r="I3111" s="16">
        <v>1089.2</v>
      </c>
      <c r="J3111" s="16">
        <v>888.23352496494942</v>
      </c>
      <c r="K3111" s="16">
        <v>200.96647503505059</v>
      </c>
      <c r="L3111" s="13">
        <v>1.3</v>
      </c>
      <c r="M3111" s="13"/>
      <c r="N3111" s="17">
        <f t="shared" si="104"/>
        <v>2022.8000000000002</v>
      </c>
      <c r="O3111" s="17">
        <f t="shared" si="104"/>
        <v>0</v>
      </c>
      <c r="P3111" s="17">
        <f t="shared" si="103"/>
        <v>2022.8000000000002</v>
      </c>
      <c r="Q3111" t="str">
        <f>A3111&amp;"-"&amp;B3111&amp;"-"&amp;D3111</f>
        <v>JULI-MJ2-L5</v>
      </c>
    </row>
    <row r="3112" spans="1:17" x14ac:dyDescent="0.25">
      <c r="A3112" t="s">
        <v>397</v>
      </c>
      <c r="B3112" s="13" t="s">
        <v>26</v>
      </c>
      <c r="C3112" s="13" t="s">
        <v>226</v>
      </c>
      <c r="D3112" s="14" t="s">
        <v>160</v>
      </c>
      <c r="E3112" s="13" t="s">
        <v>61</v>
      </c>
      <c r="F3112" s="13" t="s">
        <v>1225</v>
      </c>
      <c r="G3112" s="13">
        <v>0.7</v>
      </c>
      <c r="H3112" s="15">
        <v>1099</v>
      </c>
      <c r="I3112" s="16">
        <v>769.3</v>
      </c>
      <c r="J3112" s="16">
        <v>617.71815876102062</v>
      </c>
      <c r="K3112" s="16">
        <v>151.58184123897928</v>
      </c>
      <c r="L3112" s="13">
        <v>1.3</v>
      </c>
      <c r="M3112" s="13"/>
      <c r="N3112" s="17">
        <f t="shared" si="104"/>
        <v>1428.7</v>
      </c>
      <c r="O3112" s="17">
        <f t="shared" si="104"/>
        <v>0</v>
      </c>
      <c r="P3112" s="17">
        <f t="shared" si="103"/>
        <v>1428.7</v>
      </c>
      <c r="Q3112" t="str">
        <f>A3112&amp;"-"&amp;B3112&amp;"-"&amp;D3112</f>
        <v>JULI-MJ2-L5</v>
      </c>
    </row>
    <row r="3113" spans="1:17" x14ac:dyDescent="0.25">
      <c r="A3113" t="s">
        <v>397</v>
      </c>
      <c r="B3113" s="13" t="s">
        <v>26</v>
      </c>
      <c r="C3113" s="13" t="s">
        <v>226</v>
      </c>
      <c r="D3113" s="14" t="s">
        <v>160</v>
      </c>
      <c r="E3113" s="13" t="s">
        <v>61</v>
      </c>
      <c r="F3113" s="13" t="s">
        <v>1226</v>
      </c>
      <c r="G3113" s="13">
        <v>0.72</v>
      </c>
      <c r="H3113" s="15">
        <v>986</v>
      </c>
      <c r="I3113" s="16">
        <v>709.92000000000007</v>
      </c>
      <c r="J3113" s="16">
        <v>488.61427981394252</v>
      </c>
      <c r="K3113" s="16">
        <v>221.30572018605753</v>
      </c>
      <c r="L3113" s="13">
        <v>1.34</v>
      </c>
      <c r="M3113" s="13"/>
      <c r="N3113" s="17">
        <f t="shared" si="104"/>
        <v>1321.24</v>
      </c>
      <c r="O3113" s="17">
        <f t="shared" si="104"/>
        <v>0</v>
      </c>
      <c r="P3113" s="17">
        <f t="shared" si="103"/>
        <v>1321.24</v>
      </c>
      <c r="Q3113" t="str">
        <f>A3113&amp;"-"&amp;B3113&amp;"-"&amp;D3113</f>
        <v>JULI-MJ2-L5</v>
      </c>
    </row>
    <row r="3114" spans="1:17" x14ac:dyDescent="0.25">
      <c r="A3114" t="s">
        <v>397</v>
      </c>
      <c r="B3114" s="13" t="s">
        <v>26</v>
      </c>
      <c r="C3114" s="13" t="s">
        <v>226</v>
      </c>
      <c r="D3114" s="14" t="s">
        <v>160</v>
      </c>
      <c r="E3114" s="13" t="s">
        <v>61</v>
      </c>
      <c r="F3114" s="13" t="s">
        <v>1227</v>
      </c>
      <c r="G3114" s="13">
        <v>0.71999999999999986</v>
      </c>
      <c r="H3114" s="15">
        <v>8303</v>
      </c>
      <c r="I3114" s="16">
        <v>5978.1599999999989</v>
      </c>
      <c r="J3114" s="16">
        <v>4140.1406877179716</v>
      </c>
      <c r="K3114" s="16">
        <v>1838.0193122820283</v>
      </c>
      <c r="L3114" s="13">
        <v>1.34</v>
      </c>
      <c r="M3114" s="13"/>
      <c r="N3114" s="17">
        <f t="shared" si="104"/>
        <v>11126.02</v>
      </c>
      <c r="O3114" s="17">
        <f t="shared" si="104"/>
        <v>0</v>
      </c>
      <c r="P3114" s="17">
        <f t="shared" si="103"/>
        <v>11126.02</v>
      </c>
      <c r="Q3114" t="str">
        <f>A3114&amp;"-"&amp;B3114&amp;"-"&amp;D3114</f>
        <v>JULI-MJ2-L5</v>
      </c>
    </row>
    <row r="3115" spans="1:17" x14ac:dyDescent="0.25">
      <c r="A3115" t="s">
        <v>397</v>
      </c>
      <c r="B3115" s="13" t="s">
        <v>26</v>
      </c>
      <c r="C3115" s="13" t="s">
        <v>226</v>
      </c>
      <c r="D3115" s="14" t="s">
        <v>160</v>
      </c>
      <c r="E3115" s="13" t="s">
        <v>61</v>
      </c>
      <c r="F3115" s="13" t="s">
        <v>1228</v>
      </c>
      <c r="G3115" s="13">
        <v>0.72</v>
      </c>
      <c r="H3115" s="15">
        <v>3180</v>
      </c>
      <c r="I3115" s="16">
        <v>2289.6</v>
      </c>
      <c r="J3115" s="16">
        <v>1760.3800158959245</v>
      </c>
      <c r="K3115" s="16">
        <v>529.21998410407537</v>
      </c>
      <c r="L3115" s="13">
        <v>1.34</v>
      </c>
      <c r="M3115" s="13"/>
      <c r="N3115" s="17">
        <f t="shared" si="104"/>
        <v>4261.2</v>
      </c>
      <c r="O3115" s="17">
        <f t="shared" si="104"/>
        <v>0</v>
      </c>
      <c r="P3115" s="17">
        <f t="shared" si="103"/>
        <v>4261.2</v>
      </c>
      <c r="Q3115" t="str">
        <f>A3115&amp;"-"&amp;B3115&amp;"-"&amp;D3115</f>
        <v>JULI-MJ2-L5</v>
      </c>
    </row>
    <row r="3116" spans="1:17" x14ac:dyDescent="0.25">
      <c r="A3116" t="s">
        <v>397</v>
      </c>
      <c r="B3116" s="13" t="s">
        <v>26</v>
      </c>
      <c r="C3116" s="13" t="s">
        <v>226</v>
      </c>
      <c r="D3116" s="14" t="s">
        <v>160</v>
      </c>
      <c r="E3116" s="13" t="s">
        <v>61</v>
      </c>
      <c r="F3116" s="13" t="s">
        <v>1229</v>
      </c>
      <c r="G3116" s="13">
        <v>0.65</v>
      </c>
      <c r="H3116" s="15">
        <v>2615</v>
      </c>
      <c r="I3116" s="16">
        <v>1699.75</v>
      </c>
      <c r="J3116" s="16">
        <v>1384.7164957413524</v>
      </c>
      <c r="K3116" s="16">
        <v>315.03350425864755</v>
      </c>
      <c r="L3116" s="13">
        <v>1.66</v>
      </c>
      <c r="M3116" s="13"/>
      <c r="N3116" s="17">
        <f t="shared" si="104"/>
        <v>4340.8999999999996</v>
      </c>
      <c r="O3116" s="17">
        <f t="shared" si="104"/>
        <v>0</v>
      </c>
      <c r="P3116" s="17">
        <f t="shared" si="103"/>
        <v>4340.8999999999996</v>
      </c>
      <c r="Q3116" t="str">
        <f>A3116&amp;"-"&amp;B3116&amp;"-"&amp;D3116</f>
        <v>JULI-MJ2-L5</v>
      </c>
    </row>
    <row r="3117" spans="1:17" x14ac:dyDescent="0.25">
      <c r="A3117" t="s">
        <v>397</v>
      </c>
      <c r="B3117" s="13" t="s">
        <v>26</v>
      </c>
      <c r="C3117" s="13" t="s">
        <v>226</v>
      </c>
      <c r="D3117" s="14" t="s">
        <v>160</v>
      </c>
      <c r="E3117" s="13" t="s">
        <v>61</v>
      </c>
      <c r="F3117" s="13" t="s">
        <v>1230</v>
      </c>
      <c r="G3117" s="13">
        <v>0.65</v>
      </c>
      <c r="H3117" s="15">
        <v>1071</v>
      </c>
      <c r="I3117" s="16">
        <v>696.15</v>
      </c>
      <c r="J3117" s="16">
        <v>605.88875866462456</v>
      </c>
      <c r="K3117" s="16">
        <v>90.261241335375473</v>
      </c>
      <c r="L3117" s="13">
        <v>1.66</v>
      </c>
      <c r="M3117" s="13"/>
      <c r="N3117" s="17">
        <f t="shared" si="104"/>
        <v>1777.86</v>
      </c>
      <c r="O3117" s="17">
        <f t="shared" si="104"/>
        <v>0</v>
      </c>
      <c r="P3117" s="17">
        <f t="shared" si="103"/>
        <v>1777.86</v>
      </c>
      <c r="Q3117" t="str">
        <f>A3117&amp;"-"&amp;B3117&amp;"-"&amp;D3117</f>
        <v>JULI-MJ2-L5</v>
      </c>
    </row>
    <row r="3118" spans="1:17" x14ac:dyDescent="0.25">
      <c r="A3118" t="s">
        <v>397</v>
      </c>
      <c r="B3118" s="13" t="s">
        <v>26</v>
      </c>
      <c r="C3118" s="13" t="s">
        <v>226</v>
      </c>
      <c r="D3118" s="14" t="s">
        <v>160</v>
      </c>
      <c r="E3118" s="13" t="s">
        <v>61</v>
      </c>
      <c r="F3118" s="13" t="s">
        <v>1087</v>
      </c>
      <c r="G3118" s="13">
        <v>0.65</v>
      </c>
      <c r="H3118" s="15">
        <v>283</v>
      </c>
      <c r="I3118" s="16">
        <v>183.95</v>
      </c>
      <c r="J3118" s="16">
        <v>212.31893522854435</v>
      </c>
      <c r="K3118" s="16">
        <v>-28.368935228544345</v>
      </c>
      <c r="L3118" s="13">
        <v>1.64</v>
      </c>
      <c r="M3118" s="13"/>
      <c r="N3118" s="17">
        <f t="shared" si="104"/>
        <v>464.11999999999995</v>
      </c>
      <c r="O3118" s="17">
        <f t="shared" si="104"/>
        <v>0</v>
      </c>
      <c r="P3118" s="17">
        <f t="shared" si="103"/>
        <v>464.11999999999995</v>
      </c>
      <c r="Q3118" t="str">
        <f>A3118&amp;"-"&amp;B3118&amp;"-"&amp;D3118</f>
        <v>JULI-MJ2-L5</v>
      </c>
    </row>
    <row r="3119" spans="1:17" x14ac:dyDescent="0.25">
      <c r="A3119" t="s">
        <v>397</v>
      </c>
      <c r="B3119" s="13" t="s">
        <v>26</v>
      </c>
      <c r="C3119" s="13" t="s">
        <v>226</v>
      </c>
      <c r="D3119" s="14" t="s">
        <v>160</v>
      </c>
      <c r="E3119" s="13" t="s">
        <v>61</v>
      </c>
      <c r="F3119" s="13" t="s">
        <v>1231</v>
      </c>
      <c r="G3119" s="13">
        <v>0.88</v>
      </c>
      <c r="H3119" s="15">
        <v>718</v>
      </c>
      <c r="I3119" s="16">
        <v>631.84</v>
      </c>
      <c r="J3119" s="16">
        <v>452.40520120529072</v>
      </c>
      <c r="K3119" s="16">
        <v>179.43479879470928</v>
      </c>
      <c r="L3119" s="13">
        <v>2.65</v>
      </c>
      <c r="M3119" s="13"/>
      <c r="N3119" s="17">
        <f t="shared" si="104"/>
        <v>1902.7</v>
      </c>
      <c r="O3119" s="17">
        <f t="shared" si="104"/>
        <v>0</v>
      </c>
      <c r="P3119" s="17">
        <f t="shared" si="103"/>
        <v>1902.7</v>
      </c>
      <c r="Q3119" t="str">
        <f>A3119&amp;"-"&amp;B3119&amp;"-"&amp;D3119</f>
        <v>JULI-MJ2-L5</v>
      </c>
    </row>
    <row r="3120" spans="1:17" x14ac:dyDescent="0.25">
      <c r="A3120" t="s">
        <v>397</v>
      </c>
      <c r="B3120" s="13" t="s">
        <v>26</v>
      </c>
      <c r="C3120" s="13" t="s">
        <v>226</v>
      </c>
      <c r="D3120" s="14" t="s">
        <v>163</v>
      </c>
      <c r="E3120" s="13" t="s">
        <v>61</v>
      </c>
      <c r="F3120" s="13" t="s">
        <v>1107</v>
      </c>
      <c r="G3120" s="13">
        <v>0.76000000000000012</v>
      </c>
      <c r="H3120" s="15">
        <v>81</v>
      </c>
      <c r="I3120" s="16">
        <v>61.56</v>
      </c>
      <c r="J3120" s="16">
        <v>39.600061797714574</v>
      </c>
      <c r="K3120" s="16">
        <v>21.959938202285425</v>
      </c>
      <c r="L3120" s="13">
        <v>2</v>
      </c>
      <c r="M3120" s="13"/>
      <c r="N3120" s="17">
        <f t="shared" si="104"/>
        <v>162</v>
      </c>
      <c r="O3120" s="17">
        <f t="shared" si="104"/>
        <v>0</v>
      </c>
      <c r="P3120" s="17">
        <f t="shared" si="103"/>
        <v>162</v>
      </c>
      <c r="Q3120" t="str">
        <f>A3120&amp;"-"&amp;B3120&amp;"-"&amp;D3120</f>
        <v>JULI-MJ2-L6</v>
      </c>
    </row>
    <row r="3121" spans="1:17" x14ac:dyDescent="0.25">
      <c r="A3121" t="s">
        <v>397</v>
      </c>
      <c r="B3121" s="13" t="s">
        <v>26</v>
      </c>
      <c r="C3121" s="13" t="s">
        <v>226</v>
      </c>
      <c r="D3121" s="14" t="s">
        <v>163</v>
      </c>
      <c r="E3121" s="13" t="s">
        <v>61</v>
      </c>
      <c r="F3121" s="13" t="s">
        <v>1108</v>
      </c>
      <c r="G3121" s="13">
        <v>0.74</v>
      </c>
      <c r="H3121" s="15">
        <v>28</v>
      </c>
      <c r="I3121" s="16">
        <v>20.72</v>
      </c>
      <c r="J3121" s="16">
        <v>14.154411860822007</v>
      </c>
      <c r="K3121" s="16">
        <v>6.5655881391779927</v>
      </c>
      <c r="L3121" s="13">
        <v>2.17</v>
      </c>
      <c r="M3121" s="13"/>
      <c r="N3121" s="17">
        <f t="shared" si="104"/>
        <v>60.76</v>
      </c>
      <c r="O3121" s="17">
        <f t="shared" si="104"/>
        <v>0</v>
      </c>
      <c r="P3121" s="17">
        <f t="shared" si="103"/>
        <v>60.76</v>
      </c>
      <c r="Q3121" t="str">
        <f>A3121&amp;"-"&amp;B3121&amp;"-"&amp;D3121</f>
        <v>JULI-MJ2-L6</v>
      </c>
    </row>
    <row r="3122" spans="1:17" x14ac:dyDescent="0.25">
      <c r="A3122" t="s">
        <v>397</v>
      </c>
      <c r="B3122" s="13" t="s">
        <v>26</v>
      </c>
      <c r="C3122" s="13" t="s">
        <v>226</v>
      </c>
      <c r="D3122" s="14" t="s">
        <v>163</v>
      </c>
      <c r="E3122" s="13" t="s">
        <v>61</v>
      </c>
      <c r="F3122" s="13" t="s">
        <v>1218</v>
      </c>
      <c r="G3122" s="13">
        <v>0.7599999999999999</v>
      </c>
      <c r="H3122" s="15">
        <v>7419</v>
      </c>
      <c r="I3122" s="16">
        <v>5638.44</v>
      </c>
      <c r="J3122" s="16">
        <v>3997.3071189807797</v>
      </c>
      <c r="K3122" s="16">
        <v>1641.1328810192203</v>
      </c>
      <c r="L3122" s="13">
        <v>2</v>
      </c>
      <c r="M3122" s="13"/>
      <c r="N3122" s="17">
        <f t="shared" si="104"/>
        <v>14838</v>
      </c>
      <c r="O3122" s="17">
        <f t="shared" si="104"/>
        <v>0</v>
      </c>
      <c r="P3122" s="17">
        <f t="shared" si="103"/>
        <v>14838</v>
      </c>
      <c r="Q3122" t="str">
        <f>A3122&amp;"-"&amp;B3122&amp;"-"&amp;D3122</f>
        <v>JULI-MJ2-L6</v>
      </c>
    </row>
    <row r="3123" spans="1:17" x14ac:dyDescent="0.25">
      <c r="A3123" t="s">
        <v>397</v>
      </c>
      <c r="B3123" s="13" t="s">
        <v>26</v>
      </c>
      <c r="C3123" s="13" t="s">
        <v>226</v>
      </c>
      <c r="D3123" s="14" t="s">
        <v>163</v>
      </c>
      <c r="E3123" s="13" t="s">
        <v>61</v>
      </c>
      <c r="F3123" s="13" t="s">
        <v>1219</v>
      </c>
      <c r="G3123" s="13">
        <v>0.74</v>
      </c>
      <c r="H3123" s="15">
        <v>15</v>
      </c>
      <c r="I3123" s="16">
        <v>11.1</v>
      </c>
      <c r="J3123" s="16">
        <v>7.0465116279069768</v>
      </c>
      <c r="K3123" s="16">
        <v>4.0534883720930228</v>
      </c>
      <c r="L3123" s="13">
        <v>2.17</v>
      </c>
      <c r="M3123" s="13"/>
      <c r="N3123" s="17">
        <f t="shared" si="104"/>
        <v>32.549999999999997</v>
      </c>
      <c r="O3123" s="17">
        <f t="shared" si="104"/>
        <v>0</v>
      </c>
      <c r="P3123" s="17">
        <f t="shared" si="103"/>
        <v>32.549999999999997</v>
      </c>
      <c r="Q3123" t="str">
        <f>A3123&amp;"-"&amp;B3123&amp;"-"&amp;D3123</f>
        <v>JULI-MJ2-L6</v>
      </c>
    </row>
    <row r="3124" spans="1:17" x14ac:dyDescent="0.25">
      <c r="A3124" t="s">
        <v>397</v>
      </c>
      <c r="B3124" s="13" t="s">
        <v>26</v>
      </c>
      <c r="C3124" s="13" t="s">
        <v>226</v>
      </c>
      <c r="D3124" s="14" t="s">
        <v>163</v>
      </c>
      <c r="E3124" s="13" t="s">
        <v>61</v>
      </c>
      <c r="F3124" s="13" t="s">
        <v>1109</v>
      </c>
      <c r="G3124" s="13">
        <v>0.76</v>
      </c>
      <c r="H3124" s="15">
        <v>1562</v>
      </c>
      <c r="I3124" s="16">
        <v>1187.1199999999999</v>
      </c>
      <c r="J3124" s="16">
        <v>928.02549015895522</v>
      </c>
      <c r="K3124" s="16">
        <v>259.09450984104473</v>
      </c>
      <c r="L3124" s="13">
        <v>2</v>
      </c>
      <c r="M3124" s="13"/>
      <c r="N3124" s="17">
        <f t="shared" si="104"/>
        <v>3124</v>
      </c>
      <c r="O3124" s="17">
        <f t="shared" si="104"/>
        <v>0</v>
      </c>
      <c r="P3124" s="17">
        <f t="shared" si="103"/>
        <v>3124</v>
      </c>
      <c r="Q3124" t="str">
        <f>A3124&amp;"-"&amp;B3124&amp;"-"&amp;D3124</f>
        <v>JULI-MJ2-L6</v>
      </c>
    </row>
    <row r="3125" spans="1:17" x14ac:dyDescent="0.25">
      <c r="A3125" t="s">
        <v>397</v>
      </c>
      <c r="B3125" s="13" t="s">
        <v>26</v>
      </c>
      <c r="C3125" s="13" t="s">
        <v>226</v>
      </c>
      <c r="D3125" s="14" t="s">
        <v>163</v>
      </c>
      <c r="E3125" s="13" t="s">
        <v>61</v>
      </c>
      <c r="F3125" s="13" t="s">
        <v>1220</v>
      </c>
      <c r="G3125" s="13">
        <v>0.74</v>
      </c>
      <c r="H3125" s="15">
        <v>322</v>
      </c>
      <c r="I3125" s="16">
        <v>238.28</v>
      </c>
      <c r="J3125" s="16">
        <v>197.10303030303032</v>
      </c>
      <c r="K3125" s="16">
        <v>41.176969696969678</v>
      </c>
      <c r="L3125" s="13">
        <v>2.17</v>
      </c>
      <c r="M3125" s="13"/>
      <c r="N3125" s="17">
        <f t="shared" si="104"/>
        <v>698.74</v>
      </c>
      <c r="O3125" s="17">
        <f t="shared" si="104"/>
        <v>0</v>
      </c>
      <c r="P3125" s="17">
        <f t="shared" si="103"/>
        <v>698.74</v>
      </c>
      <c r="Q3125" t="str">
        <f>A3125&amp;"-"&amp;B3125&amp;"-"&amp;D3125</f>
        <v>JULI-MJ2-L6</v>
      </c>
    </row>
    <row r="3126" spans="1:17" x14ac:dyDescent="0.25">
      <c r="A3126" t="s">
        <v>397</v>
      </c>
      <c r="B3126" s="13" t="s">
        <v>26</v>
      </c>
      <c r="C3126" s="13" t="s">
        <v>226</v>
      </c>
      <c r="D3126" s="14" t="s">
        <v>163</v>
      </c>
      <c r="E3126" s="13" t="s">
        <v>61</v>
      </c>
      <c r="F3126" s="13" t="s">
        <v>1221</v>
      </c>
      <c r="G3126" s="13">
        <v>0.68</v>
      </c>
      <c r="H3126" s="15">
        <v>2287</v>
      </c>
      <c r="I3126" s="16">
        <v>1555.16</v>
      </c>
      <c r="J3126" s="16">
        <v>1220.8238955149875</v>
      </c>
      <c r="K3126" s="16">
        <v>334.33610448501264</v>
      </c>
      <c r="L3126" s="13">
        <v>1.82</v>
      </c>
      <c r="M3126" s="13"/>
      <c r="N3126" s="17">
        <f t="shared" si="104"/>
        <v>4162.34</v>
      </c>
      <c r="O3126" s="17">
        <f t="shared" si="104"/>
        <v>0</v>
      </c>
      <c r="P3126" s="17">
        <f t="shared" si="103"/>
        <v>4162.34</v>
      </c>
      <c r="Q3126" t="str">
        <f>A3126&amp;"-"&amp;B3126&amp;"-"&amp;D3126</f>
        <v>JULI-MJ2-L6</v>
      </c>
    </row>
    <row r="3127" spans="1:17" x14ac:dyDescent="0.25">
      <c r="A3127" t="s">
        <v>397</v>
      </c>
      <c r="B3127" s="13" t="s">
        <v>26</v>
      </c>
      <c r="C3127" s="13" t="s">
        <v>226</v>
      </c>
      <c r="D3127" s="14" t="s">
        <v>163</v>
      </c>
      <c r="E3127" s="13" t="s">
        <v>61</v>
      </c>
      <c r="F3127" s="13" t="s">
        <v>1222</v>
      </c>
      <c r="G3127" s="13">
        <v>0.72</v>
      </c>
      <c r="H3127" s="15">
        <v>3100</v>
      </c>
      <c r="I3127" s="16">
        <v>2232</v>
      </c>
      <c r="J3127" s="16">
        <v>1602.6307894736842</v>
      </c>
      <c r="K3127" s="16">
        <v>629.3692105263159</v>
      </c>
      <c r="L3127" s="13">
        <v>1.36</v>
      </c>
      <c r="M3127" s="13"/>
      <c r="N3127" s="17">
        <f t="shared" si="104"/>
        <v>4216</v>
      </c>
      <c r="O3127" s="17">
        <f t="shared" si="104"/>
        <v>0</v>
      </c>
      <c r="P3127" s="17">
        <f t="shared" si="103"/>
        <v>4216</v>
      </c>
      <c r="Q3127" t="str">
        <f>A3127&amp;"-"&amp;B3127&amp;"-"&amp;D3127</f>
        <v>JULI-MJ2-L6</v>
      </c>
    </row>
    <row r="3128" spans="1:17" x14ac:dyDescent="0.25">
      <c r="A3128" t="s">
        <v>397</v>
      </c>
      <c r="B3128" s="13" t="s">
        <v>26</v>
      </c>
      <c r="C3128" s="13" t="s">
        <v>226</v>
      </c>
      <c r="D3128" s="14" t="s">
        <v>163</v>
      </c>
      <c r="E3128" s="13" t="s">
        <v>61</v>
      </c>
      <c r="F3128" s="13" t="s">
        <v>1182</v>
      </c>
      <c r="G3128" s="13">
        <v>0.69999999999999984</v>
      </c>
      <c r="H3128" s="15">
        <v>624</v>
      </c>
      <c r="I3128" s="16">
        <v>436.79999999999995</v>
      </c>
      <c r="J3128" s="16">
        <v>325.44963377999801</v>
      </c>
      <c r="K3128" s="16">
        <v>111.35036622000202</v>
      </c>
      <c r="L3128" s="13">
        <v>1.3</v>
      </c>
      <c r="M3128" s="13"/>
      <c r="N3128" s="17">
        <f t="shared" si="104"/>
        <v>811.2</v>
      </c>
      <c r="O3128" s="17">
        <f t="shared" si="104"/>
        <v>0</v>
      </c>
      <c r="P3128" s="17">
        <f t="shared" si="103"/>
        <v>811.2</v>
      </c>
      <c r="Q3128" t="str">
        <f>A3128&amp;"-"&amp;B3128&amp;"-"&amp;D3128</f>
        <v>JULI-MJ2-L6</v>
      </c>
    </row>
    <row r="3129" spans="1:17" x14ac:dyDescent="0.25">
      <c r="A3129" t="s">
        <v>397</v>
      </c>
      <c r="B3129" s="13" t="s">
        <v>26</v>
      </c>
      <c r="C3129" s="13" t="s">
        <v>226</v>
      </c>
      <c r="D3129" s="14" t="s">
        <v>163</v>
      </c>
      <c r="E3129" s="13" t="s">
        <v>61</v>
      </c>
      <c r="F3129" s="13" t="s">
        <v>1223</v>
      </c>
      <c r="G3129" s="13">
        <v>0.69999999999999984</v>
      </c>
      <c r="H3129" s="15">
        <v>2331</v>
      </c>
      <c r="I3129" s="16">
        <v>1631.7</v>
      </c>
      <c r="J3129" s="16">
        <v>1257.9600284495023</v>
      </c>
      <c r="K3129" s="16">
        <v>373.7399715504979</v>
      </c>
      <c r="L3129" s="13">
        <v>1.3</v>
      </c>
      <c r="M3129" s="13"/>
      <c r="N3129" s="17">
        <f t="shared" si="104"/>
        <v>3030.3</v>
      </c>
      <c r="O3129" s="17">
        <f t="shared" si="104"/>
        <v>0</v>
      </c>
      <c r="P3129" s="17">
        <f t="shared" si="103"/>
        <v>3030.3</v>
      </c>
      <c r="Q3129" t="str">
        <f>A3129&amp;"-"&amp;B3129&amp;"-"&amp;D3129</f>
        <v>JULI-MJ2-L6</v>
      </c>
    </row>
    <row r="3130" spans="1:17" x14ac:dyDescent="0.25">
      <c r="A3130" t="s">
        <v>397</v>
      </c>
      <c r="B3130" s="13" t="s">
        <v>26</v>
      </c>
      <c r="C3130" s="13" t="s">
        <v>226</v>
      </c>
      <c r="D3130" s="14" t="s">
        <v>163</v>
      </c>
      <c r="E3130" s="13" t="s">
        <v>61</v>
      </c>
      <c r="F3130" s="13" t="s">
        <v>1224</v>
      </c>
      <c r="G3130" s="13">
        <v>0.7</v>
      </c>
      <c r="H3130" s="15">
        <v>2345</v>
      </c>
      <c r="I3130" s="16">
        <v>1641.5</v>
      </c>
      <c r="J3130" s="16">
        <v>1162.2328270321073</v>
      </c>
      <c r="K3130" s="16">
        <v>479.26717296789286</v>
      </c>
      <c r="L3130" s="13">
        <v>1.3</v>
      </c>
      <c r="M3130" s="13"/>
      <c r="N3130" s="17">
        <f t="shared" si="104"/>
        <v>3048.5</v>
      </c>
      <c r="O3130" s="17">
        <f t="shared" si="104"/>
        <v>0</v>
      </c>
      <c r="P3130" s="17">
        <f t="shared" si="103"/>
        <v>3048.5</v>
      </c>
      <c r="Q3130" t="str">
        <f>A3130&amp;"-"&amp;B3130&amp;"-"&amp;D3130</f>
        <v>JULI-MJ2-L6</v>
      </c>
    </row>
    <row r="3131" spans="1:17" x14ac:dyDescent="0.25">
      <c r="A3131" t="s">
        <v>397</v>
      </c>
      <c r="B3131" s="13" t="s">
        <v>26</v>
      </c>
      <c r="C3131" s="13" t="s">
        <v>226</v>
      </c>
      <c r="D3131" s="14" t="s">
        <v>163</v>
      </c>
      <c r="E3131" s="13" t="s">
        <v>61</v>
      </c>
      <c r="F3131" s="13" t="s">
        <v>1225</v>
      </c>
      <c r="G3131" s="13">
        <v>0.7</v>
      </c>
      <c r="H3131" s="15">
        <v>2787</v>
      </c>
      <c r="I3131" s="16">
        <v>1950.9</v>
      </c>
      <c r="J3131" s="16">
        <v>1275.5817621351648</v>
      </c>
      <c r="K3131" s="16">
        <v>675.31823786483528</v>
      </c>
      <c r="L3131" s="13">
        <v>1.3</v>
      </c>
      <c r="M3131" s="13"/>
      <c r="N3131" s="17">
        <f t="shared" si="104"/>
        <v>3623.1</v>
      </c>
      <c r="O3131" s="17">
        <f t="shared" si="104"/>
        <v>0</v>
      </c>
      <c r="P3131" s="17">
        <f t="shared" si="103"/>
        <v>3623.1</v>
      </c>
      <c r="Q3131" t="str">
        <f>A3131&amp;"-"&amp;B3131&amp;"-"&amp;D3131</f>
        <v>JULI-MJ2-L6</v>
      </c>
    </row>
    <row r="3132" spans="1:17" x14ac:dyDescent="0.25">
      <c r="A3132" t="s">
        <v>397</v>
      </c>
      <c r="B3132" s="13" t="s">
        <v>26</v>
      </c>
      <c r="C3132" s="13" t="s">
        <v>226</v>
      </c>
      <c r="D3132" s="14" t="s">
        <v>163</v>
      </c>
      <c r="E3132" s="13" t="s">
        <v>61</v>
      </c>
      <c r="F3132" s="13" t="s">
        <v>1226</v>
      </c>
      <c r="G3132" s="13">
        <v>0.71999999999999986</v>
      </c>
      <c r="H3132" s="15">
        <v>2770</v>
      </c>
      <c r="I3132" s="16">
        <v>1994.4</v>
      </c>
      <c r="J3132" s="16">
        <v>1401.7593596235458</v>
      </c>
      <c r="K3132" s="16">
        <v>592.64064037645414</v>
      </c>
      <c r="L3132" s="13">
        <v>1.34</v>
      </c>
      <c r="M3132" s="13"/>
      <c r="N3132" s="17">
        <f t="shared" si="104"/>
        <v>3711.8</v>
      </c>
      <c r="O3132" s="17">
        <f t="shared" si="104"/>
        <v>0</v>
      </c>
      <c r="P3132" s="17">
        <f t="shared" si="103"/>
        <v>3711.8</v>
      </c>
      <c r="Q3132" t="str">
        <f>A3132&amp;"-"&amp;B3132&amp;"-"&amp;D3132</f>
        <v>JULI-MJ2-L6</v>
      </c>
    </row>
    <row r="3133" spans="1:17" x14ac:dyDescent="0.25">
      <c r="A3133" t="s">
        <v>397</v>
      </c>
      <c r="B3133" s="13" t="s">
        <v>26</v>
      </c>
      <c r="C3133" s="13" t="s">
        <v>226</v>
      </c>
      <c r="D3133" s="14" t="s">
        <v>163</v>
      </c>
      <c r="E3133" s="13" t="s">
        <v>61</v>
      </c>
      <c r="F3133" s="13" t="s">
        <v>1227</v>
      </c>
      <c r="G3133" s="13">
        <v>0.72</v>
      </c>
      <c r="H3133" s="15">
        <v>6631</v>
      </c>
      <c r="I3133" s="16">
        <v>4774.3200000000006</v>
      </c>
      <c r="J3133" s="16">
        <v>3099.1272397907314</v>
      </c>
      <c r="K3133" s="16">
        <v>1675.1927602092685</v>
      </c>
      <c r="L3133" s="13">
        <v>1.34</v>
      </c>
      <c r="M3133" s="13"/>
      <c r="N3133" s="17">
        <f t="shared" si="104"/>
        <v>8885.5400000000009</v>
      </c>
      <c r="O3133" s="17">
        <f t="shared" si="104"/>
        <v>0</v>
      </c>
      <c r="P3133" s="17">
        <f t="shared" si="103"/>
        <v>8885.5400000000009</v>
      </c>
      <c r="Q3133" t="str">
        <f>A3133&amp;"-"&amp;B3133&amp;"-"&amp;D3133</f>
        <v>JULI-MJ2-L6</v>
      </c>
    </row>
    <row r="3134" spans="1:17" x14ac:dyDescent="0.25">
      <c r="A3134" t="s">
        <v>397</v>
      </c>
      <c r="B3134" s="13" t="s">
        <v>26</v>
      </c>
      <c r="C3134" s="13" t="s">
        <v>226</v>
      </c>
      <c r="D3134" s="14" t="s">
        <v>163</v>
      </c>
      <c r="E3134" s="13" t="s">
        <v>61</v>
      </c>
      <c r="F3134" s="13" t="s">
        <v>1228</v>
      </c>
      <c r="G3134" s="13">
        <v>0.72000000000000008</v>
      </c>
      <c r="H3134" s="15">
        <v>2570</v>
      </c>
      <c r="I3134" s="16">
        <v>1850.3999999999999</v>
      </c>
      <c r="J3134" s="16">
        <v>1348.0135132333057</v>
      </c>
      <c r="K3134" s="16">
        <v>502.3864867666943</v>
      </c>
      <c r="L3134" s="13">
        <v>1.34</v>
      </c>
      <c r="M3134" s="13"/>
      <c r="N3134" s="17">
        <f t="shared" si="104"/>
        <v>3443.8</v>
      </c>
      <c r="O3134" s="17">
        <f t="shared" si="104"/>
        <v>0</v>
      </c>
      <c r="P3134" s="17">
        <f t="shared" si="103"/>
        <v>3443.8</v>
      </c>
      <c r="Q3134" t="str">
        <f>A3134&amp;"-"&amp;B3134&amp;"-"&amp;D3134</f>
        <v>JULI-MJ2-L6</v>
      </c>
    </row>
    <row r="3135" spans="1:17" x14ac:dyDescent="0.25">
      <c r="A3135" t="s">
        <v>397</v>
      </c>
      <c r="B3135" s="13" t="s">
        <v>26</v>
      </c>
      <c r="C3135" s="13" t="s">
        <v>226</v>
      </c>
      <c r="D3135" s="14" t="s">
        <v>163</v>
      </c>
      <c r="E3135" s="13" t="s">
        <v>61</v>
      </c>
      <c r="F3135" s="13" t="s">
        <v>1229</v>
      </c>
      <c r="G3135" s="13">
        <v>0.65</v>
      </c>
      <c r="H3135" s="15">
        <v>1128</v>
      </c>
      <c r="I3135" s="16">
        <v>733.2</v>
      </c>
      <c r="J3135" s="16">
        <v>598.61172551632251</v>
      </c>
      <c r="K3135" s="16">
        <v>134.58827448367754</v>
      </c>
      <c r="L3135" s="13">
        <v>1.66</v>
      </c>
      <c r="M3135" s="13"/>
      <c r="N3135" s="17">
        <f t="shared" si="104"/>
        <v>1872.48</v>
      </c>
      <c r="O3135" s="17">
        <f t="shared" si="104"/>
        <v>0</v>
      </c>
      <c r="P3135" s="17">
        <f t="shared" si="103"/>
        <v>1872.48</v>
      </c>
      <c r="Q3135" t="str">
        <f>A3135&amp;"-"&amp;B3135&amp;"-"&amp;D3135</f>
        <v>JULI-MJ2-L6</v>
      </c>
    </row>
    <row r="3136" spans="1:17" x14ac:dyDescent="0.25">
      <c r="A3136" t="s">
        <v>397</v>
      </c>
      <c r="B3136" s="13" t="s">
        <v>26</v>
      </c>
      <c r="C3136" s="13" t="s">
        <v>226</v>
      </c>
      <c r="D3136" s="14" t="s">
        <v>163</v>
      </c>
      <c r="E3136" s="13" t="s">
        <v>61</v>
      </c>
      <c r="F3136" s="13" t="s">
        <v>1230</v>
      </c>
      <c r="G3136" s="13">
        <v>0.65</v>
      </c>
      <c r="H3136" s="15">
        <v>2664</v>
      </c>
      <c r="I3136" s="16">
        <v>1731.6</v>
      </c>
      <c r="J3136" s="16">
        <v>1469.7586270763513</v>
      </c>
      <c r="K3136" s="16">
        <v>261.84137292364858</v>
      </c>
      <c r="L3136" s="13">
        <v>1.66</v>
      </c>
      <c r="M3136" s="13"/>
      <c r="N3136" s="17">
        <f t="shared" si="104"/>
        <v>4422.24</v>
      </c>
      <c r="O3136" s="17">
        <f t="shared" si="104"/>
        <v>0</v>
      </c>
      <c r="P3136" s="17">
        <f t="shared" si="103"/>
        <v>4422.24</v>
      </c>
      <c r="Q3136" t="str">
        <f>A3136&amp;"-"&amp;B3136&amp;"-"&amp;D3136</f>
        <v>JULI-MJ2-L6</v>
      </c>
    </row>
    <row r="3137" spans="1:17" x14ac:dyDescent="0.25">
      <c r="A3137" t="s">
        <v>397</v>
      </c>
      <c r="B3137" s="13" t="s">
        <v>26</v>
      </c>
      <c r="C3137" s="13" t="s">
        <v>226</v>
      </c>
      <c r="D3137" s="14" t="s">
        <v>163</v>
      </c>
      <c r="E3137" s="13" t="s">
        <v>61</v>
      </c>
      <c r="F3137" s="13" t="s">
        <v>1087</v>
      </c>
      <c r="G3137" s="13">
        <v>0.65</v>
      </c>
      <c r="H3137" s="15">
        <v>108</v>
      </c>
      <c r="I3137" s="16">
        <v>70.2</v>
      </c>
      <c r="J3137" s="16">
        <v>50.734883720930227</v>
      </c>
      <c r="K3137" s="16">
        <v>19.465116279069772</v>
      </c>
      <c r="L3137" s="13">
        <v>1.64</v>
      </c>
      <c r="M3137" s="13"/>
      <c r="N3137" s="17">
        <f t="shared" si="104"/>
        <v>177.11999999999998</v>
      </c>
      <c r="O3137" s="17">
        <f t="shared" si="104"/>
        <v>0</v>
      </c>
      <c r="P3137" s="17">
        <f t="shared" si="103"/>
        <v>177.11999999999998</v>
      </c>
      <c r="Q3137" t="str">
        <f>A3137&amp;"-"&amp;B3137&amp;"-"&amp;D3137</f>
        <v>JULI-MJ2-L6</v>
      </c>
    </row>
    <row r="3138" spans="1:17" x14ac:dyDescent="0.25">
      <c r="A3138" t="s">
        <v>397</v>
      </c>
      <c r="B3138" s="13" t="s">
        <v>26</v>
      </c>
      <c r="C3138" s="13" t="s">
        <v>226</v>
      </c>
      <c r="D3138" s="14" t="s">
        <v>163</v>
      </c>
      <c r="E3138" s="13" t="s">
        <v>61</v>
      </c>
      <c r="F3138" s="13" t="s">
        <v>1231</v>
      </c>
      <c r="G3138" s="13">
        <v>0.88</v>
      </c>
      <c r="H3138" s="15">
        <v>373</v>
      </c>
      <c r="I3138" s="16">
        <v>328.24</v>
      </c>
      <c r="J3138" s="16">
        <v>204.07908992416034</v>
      </c>
      <c r="K3138" s="16">
        <v>124.16091007583967</v>
      </c>
      <c r="L3138" s="13">
        <v>2.65</v>
      </c>
      <c r="M3138" s="13"/>
      <c r="N3138" s="17">
        <f t="shared" si="104"/>
        <v>988.44999999999993</v>
      </c>
      <c r="O3138" s="17">
        <f t="shared" si="104"/>
        <v>0</v>
      </c>
      <c r="P3138" s="17">
        <f t="shared" ref="P3138:P3201" si="105">N3138+O3138</f>
        <v>988.44999999999993</v>
      </c>
      <c r="Q3138" t="str">
        <f>A3138&amp;"-"&amp;B3138&amp;"-"&amp;D3138</f>
        <v>JULI-MJ2-L6</v>
      </c>
    </row>
    <row r="3139" spans="1:17" x14ac:dyDescent="0.25">
      <c r="A3139" t="s">
        <v>397</v>
      </c>
      <c r="B3139" s="13" t="s">
        <v>26</v>
      </c>
      <c r="C3139" s="13" t="s">
        <v>226</v>
      </c>
      <c r="D3139" s="14" t="s">
        <v>164</v>
      </c>
      <c r="E3139" s="13" t="s">
        <v>61</v>
      </c>
      <c r="F3139" s="13" t="s">
        <v>1107</v>
      </c>
      <c r="G3139" s="13">
        <v>0.76000000000000012</v>
      </c>
      <c r="H3139" s="15">
        <v>82</v>
      </c>
      <c r="I3139" s="16">
        <v>62.319999999999993</v>
      </c>
      <c r="J3139" s="16">
        <v>40.097022684117036</v>
      </c>
      <c r="K3139" s="16">
        <v>22.222977315882961</v>
      </c>
      <c r="L3139" s="13">
        <v>2</v>
      </c>
      <c r="M3139" s="13"/>
      <c r="N3139" s="17">
        <f t="shared" si="104"/>
        <v>164</v>
      </c>
      <c r="O3139" s="17">
        <f t="shared" si="104"/>
        <v>0</v>
      </c>
      <c r="P3139" s="17">
        <f t="shared" si="105"/>
        <v>164</v>
      </c>
      <c r="Q3139" t="str">
        <f>A3139&amp;"-"&amp;B3139&amp;"-"&amp;D3139</f>
        <v>JULI-MJ2-L7</v>
      </c>
    </row>
    <row r="3140" spans="1:17" x14ac:dyDescent="0.25">
      <c r="A3140" t="s">
        <v>397</v>
      </c>
      <c r="B3140" s="13" t="s">
        <v>26</v>
      </c>
      <c r="C3140" s="13" t="s">
        <v>226</v>
      </c>
      <c r="D3140" s="14" t="s">
        <v>164</v>
      </c>
      <c r="E3140" s="13" t="s">
        <v>61</v>
      </c>
      <c r="F3140" s="13" t="s">
        <v>1108</v>
      </c>
      <c r="G3140" s="13">
        <v>0.74</v>
      </c>
      <c r="H3140" s="15">
        <v>27</v>
      </c>
      <c r="I3140" s="16">
        <v>19.98</v>
      </c>
      <c r="J3140" s="16">
        <v>13.624229012665381</v>
      </c>
      <c r="K3140" s="16">
        <v>6.3557709873346191</v>
      </c>
      <c r="L3140" s="13">
        <v>2.17</v>
      </c>
      <c r="M3140" s="13"/>
      <c r="N3140" s="17">
        <f t="shared" si="104"/>
        <v>58.589999999999996</v>
      </c>
      <c r="O3140" s="17">
        <f t="shared" si="104"/>
        <v>0</v>
      </c>
      <c r="P3140" s="17">
        <f t="shared" si="105"/>
        <v>58.589999999999996</v>
      </c>
      <c r="Q3140" t="str">
        <f>A3140&amp;"-"&amp;B3140&amp;"-"&amp;D3140</f>
        <v>JULI-MJ2-L7</v>
      </c>
    </row>
    <row r="3141" spans="1:17" x14ac:dyDescent="0.25">
      <c r="A3141" t="s">
        <v>397</v>
      </c>
      <c r="B3141" s="13" t="s">
        <v>26</v>
      </c>
      <c r="C3141" s="13" t="s">
        <v>226</v>
      </c>
      <c r="D3141" s="14" t="s">
        <v>164</v>
      </c>
      <c r="E3141" s="13" t="s">
        <v>61</v>
      </c>
      <c r="F3141" s="13" t="s">
        <v>1218</v>
      </c>
      <c r="G3141" s="13">
        <v>0.7599999999999999</v>
      </c>
      <c r="H3141" s="15">
        <v>7418</v>
      </c>
      <c r="I3141" s="16">
        <v>5637.68</v>
      </c>
      <c r="J3141" s="16">
        <v>3996.9345147313584</v>
      </c>
      <c r="K3141" s="16">
        <v>1640.7454852686415</v>
      </c>
      <c r="L3141" s="13">
        <v>2</v>
      </c>
      <c r="M3141" s="13"/>
      <c r="N3141" s="17">
        <f t="shared" si="104"/>
        <v>14836</v>
      </c>
      <c r="O3141" s="17">
        <f t="shared" si="104"/>
        <v>0</v>
      </c>
      <c r="P3141" s="17">
        <f t="shared" si="105"/>
        <v>14836</v>
      </c>
      <c r="Q3141" t="str">
        <f>A3141&amp;"-"&amp;B3141&amp;"-"&amp;D3141</f>
        <v>JULI-MJ2-L7</v>
      </c>
    </row>
    <row r="3142" spans="1:17" x14ac:dyDescent="0.25">
      <c r="A3142" t="s">
        <v>397</v>
      </c>
      <c r="B3142" s="13" t="s">
        <v>26</v>
      </c>
      <c r="C3142" s="13" t="s">
        <v>226</v>
      </c>
      <c r="D3142" s="14" t="s">
        <v>164</v>
      </c>
      <c r="E3142" s="13" t="s">
        <v>61</v>
      </c>
      <c r="F3142" s="13" t="s">
        <v>1219</v>
      </c>
      <c r="G3142" s="13">
        <v>0.74</v>
      </c>
      <c r="H3142" s="15">
        <v>15</v>
      </c>
      <c r="I3142" s="16">
        <v>11.1</v>
      </c>
      <c r="J3142" s="16">
        <v>7.0465116279069768</v>
      </c>
      <c r="K3142" s="16">
        <v>4.0534883720930228</v>
      </c>
      <c r="L3142" s="13">
        <v>2.17</v>
      </c>
      <c r="M3142" s="13"/>
      <c r="N3142" s="17">
        <f t="shared" si="104"/>
        <v>32.549999999999997</v>
      </c>
      <c r="O3142" s="17">
        <f t="shared" si="104"/>
        <v>0</v>
      </c>
      <c r="P3142" s="17">
        <f t="shared" si="105"/>
        <v>32.549999999999997</v>
      </c>
      <c r="Q3142" t="str">
        <f>A3142&amp;"-"&amp;B3142&amp;"-"&amp;D3142</f>
        <v>JULI-MJ2-L7</v>
      </c>
    </row>
    <row r="3143" spans="1:17" x14ac:dyDescent="0.25">
      <c r="A3143" t="s">
        <v>397</v>
      </c>
      <c r="B3143" s="13" t="s">
        <v>26</v>
      </c>
      <c r="C3143" s="13" t="s">
        <v>226</v>
      </c>
      <c r="D3143" s="14" t="s">
        <v>164</v>
      </c>
      <c r="E3143" s="13" t="s">
        <v>61</v>
      </c>
      <c r="F3143" s="13" t="s">
        <v>1109</v>
      </c>
      <c r="G3143" s="13">
        <v>0.76</v>
      </c>
      <c r="H3143" s="15">
        <v>1560</v>
      </c>
      <c r="I3143" s="16">
        <v>1185.5999999999999</v>
      </c>
      <c r="J3143" s="16">
        <v>926.91088138464499</v>
      </c>
      <c r="K3143" s="16">
        <v>258.68911861535503</v>
      </c>
      <c r="L3143" s="13">
        <v>2</v>
      </c>
      <c r="M3143" s="13"/>
      <c r="N3143" s="17">
        <f t="shared" si="104"/>
        <v>3120</v>
      </c>
      <c r="O3143" s="17">
        <f t="shared" si="104"/>
        <v>0</v>
      </c>
      <c r="P3143" s="17">
        <f t="shared" si="105"/>
        <v>3120</v>
      </c>
      <c r="Q3143" t="str">
        <f>A3143&amp;"-"&amp;B3143&amp;"-"&amp;D3143</f>
        <v>JULI-MJ2-L7</v>
      </c>
    </row>
    <row r="3144" spans="1:17" x14ac:dyDescent="0.25">
      <c r="A3144" t="s">
        <v>397</v>
      </c>
      <c r="B3144" s="13" t="s">
        <v>26</v>
      </c>
      <c r="C3144" s="13" t="s">
        <v>226</v>
      </c>
      <c r="D3144" s="14" t="s">
        <v>164</v>
      </c>
      <c r="E3144" s="13" t="s">
        <v>61</v>
      </c>
      <c r="F3144" s="13" t="s">
        <v>1220</v>
      </c>
      <c r="G3144" s="13">
        <v>0.74</v>
      </c>
      <c r="H3144" s="15">
        <v>323</v>
      </c>
      <c r="I3144" s="16">
        <v>239.02</v>
      </c>
      <c r="J3144" s="16">
        <v>197.71515151515152</v>
      </c>
      <c r="K3144" s="16">
        <v>41.304848484848492</v>
      </c>
      <c r="L3144" s="13">
        <v>2.17</v>
      </c>
      <c r="M3144" s="13"/>
      <c r="N3144" s="17">
        <f t="shared" si="104"/>
        <v>700.91</v>
      </c>
      <c r="O3144" s="17">
        <f t="shared" si="104"/>
        <v>0</v>
      </c>
      <c r="P3144" s="17">
        <f t="shared" si="105"/>
        <v>700.91</v>
      </c>
      <c r="Q3144" t="str">
        <f>A3144&amp;"-"&amp;B3144&amp;"-"&amp;D3144</f>
        <v>JULI-MJ2-L7</v>
      </c>
    </row>
    <row r="3145" spans="1:17" x14ac:dyDescent="0.25">
      <c r="A3145" t="s">
        <v>397</v>
      </c>
      <c r="B3145" s="13" t="s">
        <v>26</v>
      </c>
      <c r="C3145" s="13" t="s">
        <v>226</v>
      </c>
      <c r="D3145" s="14" t="s">
        <v>164</v>
      </c>
      <c r="E3145" s="13" t="s">
        <v>61</v>
      </c>
      <c r="F3145" s="13" t="s">
        <v>1221</v>
      </c>
      <c r="G3145" s="13">
        <v>0.68</v>
      </c>
      <c r="H3145" s="15">
        <v>2286</v>
      </c>
      <c r="I3145" s="16">
        <v>1554.48</v>
      </c>
      <c r="J3145" s="16">
        <v>1220.7013307353805</v>
      </c>
      <c r="K3145" s="16">
        <v>333.77866926461974</v>
      </c>
      <c r="L3145" s="13">
        <v>1.82</v>
      </c>
      <c r="M3145" s="13"/>
      <c r="N3145" s="17">
        <f t="shared" si="104"/>
        <v>4160.5200000000004</v>
      </c>
      <c r="O3145" s="17">
        <f t="shared" si="104"/>
        <v>0</v>
      </c>
      <c r="P3145" s="17">
        <f t="shared" si="105"/>
        <v>4160.5200000000004</v>
      </c>
      <c r="Q3145" t="str">
        <f>A3145&amp;"-"&amp;B3145&amp;"-"&amp;D3145</f>
        <v>JULI-MJ2-L7</v>
      </c>
    </row>
    <row r="3146" spans="1:17" x14ac:dyDescent="0.25">
      <c r="A3146" t="s">
        <v>397</v>
      </c>
      <c r="B3146" s="13" t="s">
        <v>26</v>
      </c>
      <c r="C3146" s="13" t="s">
        <v>226</v>
      </c>
      <c r="D3146" s="14" t="s">
        <v>164</v>
      </c>
      <c r="E3146" s="13" t="s">
        <v>61</v>
      </c>
      <c r="F3146" s="13" t="s">
        <v>1222</v>
      </c>
      <c r="G3146" s="13">
        <v>0.72</v>
      </c>
      <c r="H3146" s="15">
        <v>3100</v>
      </c>
      <c r="I3146" s="16">
        <v>2232</v>
      </c>
      <c r="J3146" s="16">
        <v>1602.6573684210525</v>
      </c>
      <c r="K3146" s="16">
        <v>629.34263157894736</v>
      </c>
      <c r="L3146" s="13">
        <v>1.36</v>
      </c>
      <c r="M3146" s="13"/>
      <c r="N3146" s="17">
        <f t="shared" si="104"/>
        <v>4216</v>
      </c>
      <c r="O3146" s="17">
        <f t="shared" si="104"/>
        <v>0</v>
      </c>
      <c r="P3146" s="17">
        <f t="shared" si="105"/>
        <v>4216</v>
      </c>
      <c r="Q3146" t="str">
        <f>A3146&amp;"-"&amp;B3146&amp;"-"&amp;D3146</f>
        <v>JULI-MJ2-L7</v>
      </c>
    </row>
    <row r="3147" spans="1:17" x14ac:dyDescent="0.25">
      <c r="A3147" t="s">
        <v>397</v>
      </c>
      <c r="B3147" s="13" t="s">
        <v>26</v>
      </c>
      <c r="C3147" s="13" t="s">
        <v>226</v>
      </c>
      <c r="D3147" s="14" t="s">
        <v>164</v>
      </c>
      <c r="E3147" s="13" t="s">
        <v>61</v>
      </c>
      <c r="F3147" s="13" t="s">
        <v>1182</v>
      </c>
      <c r="G3147" s="13">
        <v>0.69999999999999984</v>
      </c>
      <c r="H3147" s="15">
        <v>625</v>
      </c>
      <c r="I3147" s="16">
        <v>437.5</v>
      </c>
      <c r="J3147" s="16">
        <v>326.01074489110908</v>
      </c>
      <c r="K3147" s="16">
        <v>111.4892551088909</v>
      </c>
      <c r="L3147" s="13">
        <v>1.3</v>
      </c>
      <c r="M3147" s="13"/>
      <c r="N3147" s="17">
        <f t="shared" si="104"/>
        <v>812.5</v>
      </c>
      <c r="O3147" s="17">
        <f t="shared" si="104"/>
        <v>0</v>
      </c>
      <c r="P3147" s="17">
        <f t="shared" si="105"/>
        <v>812.5</v>
      </c>
      <c r="Q3147" t="str">
        <f>A3147&amp;"-"&amp;B3147&amp;"-"&amp;D3147</f>
        <v>JULI-MJ2-L7</v>
      </c>
    </row>
    <row r="3148" spans="1:17" x14ac:dyDescent="0.25">
      <c r="A3148" t="s">
        <v>397</v>
      </c>
      <c r="B3148" s="13" t="s">
        <v>26</v>
      </c>
      <c r="C3148" s="13" t="s">
        <v>226</v>
      </c>
      <c r="D3148" s="14" t="s">
        <v>164</v>
      </c>
      <c r="E3148" s="13" t="s">
        <v>61</v>
      </c>
      <c r="F3148" s="13" t="s">
        <v>1223</v>
      </c>
      <c r="G3148" s="13">
        <v>0.69999999999999984</v>
      </c>
      <c r="H3148" s="15">
        <v>2331</v>
      </c>
      <c r="I3148" s="16">
        <v>1631.7</v>
      </c>
      <c r="J3148" s="16">
        <v>1257.9600284495023</v>
      </c>
      <c r="K3148" s="16">
        <v>373.7399715504979</v>
      </c>
      <c r="L3148" s="13">
        <v>1.3</v>
      </c>
      <c r="M3148" s="13"/>
      <c r="N3148" s="17">
        <f t="shared" si="104"/>
        <v>3030.3</v>
      </c>
      <c r="O3148" s="17">
        <f t="shared" si="104"/>
        <v>0</v>
      </c>
      <c r="P3148" s="17">
        <f t="shared" si="105"/>
        <v>3030.3</v>
      </c>
      <c r="Q3148" t="str">
        <f>A3148&amp;"-"&amp;B3148&amp;"-"&amp;D3148</f>
        <v>JULI-MJ2-L7</v>
      </c>
    </row>
    <row r="3149" spans="1:17" x14ac:dyDescent="0.25">
      <c r="A3149" t="s">
        <v>397</v>
      </c>
      <c r="B3149" s="13" t="s">
        <v>26</v>
      </c>
      <c r="C3149" s="13" t="s">
        <v>226</v>
      </c>
      <c r="D3149" s="14" t="s">
        <v>164</v>
      </c>
      <c r="E3149" s="13" t="s">
        <v>61</v>
      </c>
      <c r="F3149" s="13" t="s">
        <v>1224</v>
      </c>
      <c r="G3149" s="13">
        <v>0.7</v>
      </c>
      <c r="H3149" s="15">
        <v>2343</v>
      </c>
      <c r="I3149" s="16">
        <v>1640.1000000000001</v>
      </c>
      <c r="J3149" s="16">
        <v>1161.2126172187493</v>
      </c>
      <c r="K3149" s="16">
        <v>478.88738278125089</v>
      </c>
      <c r="L3149" s="13">
        <v>1.3</v>
      </c>
      <c r="M3149" s="13"/>
      <c r="N3149" s="17">
        <f t="shared" si="104"/>
        <v>3045.9</v>
      </c>
      <c r="O3149" s="17">
        <f t="shared" si="104"/>
        <v>0</v>
      </c>
      <c r="P3149" s="17">
        <f t="shared" si="105"/>
        <v>3045.9</v>
      </c>
      <c r="Q3149" t="str">
        <f>A3149&amp;"-"&amp;B3149&amp;"-"&amp;D3149</f>
        <v>JULI-MJ2-L7</v>
      </c>
    </row>
    <row r="3150" spans="1:17" x14ac:dyDescent="0.25">
      <c r="A3150" t="s">
        <v>397</v>
      </c>
      <c r="B3150" s="13" t="s">
        <v>26</v>
      </c>
      <c r="C3150" s="13" t="s">
        <v>226</v>
      </c>
      <c r="D3150" s="14" t="s">
        <v>164</v>
      </c>
      <c r="E3150" s="13" t="s">
        <v>61</v>
      </c>
      <c r="F3150" s="13" t="s">
        <v>1225</v>
      </c>
      <c r="G3150" s="13">
        <v>0.7</v>
      </c>
      <c r="H3150" s="15">
        <v>2787</v>
      </c>
      <c r="I3150" s="16">
        <v>1950.9</v>
      </c>
      <c r="J3150" s="16">
        <v>1275.5817621351648</v>
      </c>
      <c r="K3150" s="16">
        <v>675.31823786483528</v>
      </c>
      <c r="L3150" s="13">
        <v>1.3</v>
      </c>
      <c r="M3150" s="13"/>
      <c r="N3150" s="17">
        <f t="shared" ref="N3150:O3202" si="106">$H3150*L3150</f>
        <v>3623.1</v>
      </c>
      <c r="O3150" s="17">
        <f t="shared" si="106"/>
        <v>0</v>
      </c>
      <c r="P3150" s="17">
        <f t="shared" si="105"/>
        <v>3623.1</v>
      </c>
      <c r="Q3150" t="str">
        <f>A3150&amp;"-"&amp;B3150&amp;"-"&amp;D3150</f>
        <v>JULI-MJ2-L7</v>
      </c>
    </row>
    <row r="3151" spans="1:17" x14ac:dyDescent="0.25">
      <c r="A3151" t="s">
        <v>397</v>
      </c>
      <c r="B3151" s="13" t="s">
        <v>26</v>
      </c>
      <c r="C3151" s="13" t="s">
        <v>226</v>
      </c>
      <c r="D3151" s="14" t="s">
        <v>164</v>
      </c>
      <c r="E3151" s="13" t="s">
        <v>61</v>
      </c>
      <c r="F3151" s="13" t="s">
        <v>1226</v>
      </c>
      <c r="G3151" s="13">
        <v>0.71999999999999986</v>
      </c>
      <c r="H3151" s="15">
        <v>2770</v>
      </c>
      <c r="I3151" s="16">
        <v>1994.4000000000003</v>
      </c>
      <c r="J3151" s="16">
        <v>1401.7095470658103</v>
      </c>
      <c r="K3151" s="16">
        <v>592.69045293418992</v>
      </c>
      <c r="L3151" s="13">
        <v>1.34</v>
      </c>
      <c r="M3151" s="13"/>
      <c r="N3151" s="17">
        <f t="shared" si="106"/>
        <v>3711.8</v>
      </c>
      <c r="O3151" s="17">
        <f t="shared" si="106"/>
        <v>0</v>
      </c>
      <c r="P3151" s="17">
        <f t="shared" si="105"/>
        <v>3711.8</v>
      </c>
      <c r="Q3151" t="str">
        <f>A3151&amp;"-"&amp;B3151&amp;"-"&amp;D3151</f>
        <v>JULI-MJ2-L7</v>
      </c>
    </row>
    <row r="3152" spans="1:17" x14ac:dyDescent="0.25">
      <c r="A3152" t="s">
        <v>397</v>
      </c>
      <c r="B3152" s="13" t="s">
        <v>26</v>
      </c>
      <c r="C3152" s="13" t="s">
        <v>226</v>
      </c>
      <c r="D3152" s="14" t="s">
        <v>164</v>
      </c>
      <c r="E3152" s="13" t="s">
        <v>61</v>
      </c>
      <c r="F3152" s="13" t="s">
        <v>1227</v>
      </c>
      <c r="G3152" s="13">
        <v>0.72</v>
      </c>
      <c r="H3152" s="15">
        <v>6632</v>
      </c>
      <c r="I3152" s="16">
        <v>4775.04</v>
      </c>
      <c r="J3152" s="16">
        <v>3099.5970072325922</v>
      </c>
      <c r="K3152" s="16">
        <v>1675.442992767408</v>
      </c>
      <c r="L3152" s="13">
        <v>1.34</v>
      </c>
      <c r="M3152" s="13"/>
      <c r="N3152" s="17">
        <f t="shared" si="106"/>
        <v>8886.880000000001</v>
      </c>
      <c r="O3152" s="17">
        <f t="shared" si="106"/>
        <v>0</v>
      </c>
      <c r="P3152" s="17">
        <f t="shared" si="105"/>
        <v>8886.880000000001</v>
      </c>
      <c r="Q3152" t="str">
        <f>A3152&amp;"-"&amp;B3152&amp;"-"&amp;D3152</f>
        <v>JULI-MJ2-L7</v>
      </c>
    </row>
    <row r="3153" spans="1:17" x14ac:dyDescent="0.25">
      <c r="A3153" t="s">
        <v>397</v>
      </c>
      <c r="B3153" s="13" t="s">
        <v>26</v>
      </c>
      <c r="C3153" s="13" t="s">
        <v>226</v>
      </c>
      <c r="D3153" s="14" t="s">
        <v>164</v>
      </c>
      <c r="E3153" s="13" t="s">
        <v>61</v>
      </c>
      <c r="F3153" s="13" t="s">
        <v>1228</v>
      </c>
      <c r="G3153" s="13">
        <v>0.72000000000000008</v>
      </c>
      <c r="H3153" s="15">
        <v>2572</v>
      </c>
      <c r="I3153" s="16">
        <v>1851.84</v>
      </c>
      <c r="J3153" s="16">
        <v>1349.0569566570307</v>
      </c>
      <c r="K3153" s="16">
        <v>502.78304334296928</v>
      </c>
      <c r="L3153" s="13">
        <v>1.34</v>
      </c>
      <c r="M3153" s="13"/>
      <c r="N3153" s="17">
        <f t="shared" si="106"/>
        <v>3446.48</v>
      </c>
      <c r="O3153" s="17">
        <f t="shared" si="106"/>
        <v>0</v>
      </c>
      <c r="P3153" s="17">
        <f t="shared" si="105"/>
        <v>3446.48</v>
      </c>
      <c r="Q3153" t="str">
        <f>A3153&amp;"-"&amp;B3153&amp;"-"&amp;D3153</f>
        <v>JULI-MJ2-L7</v>
      </c>
    </row>
    <row r="3154" spans="1:17" x14ac:dyDescent="0.25">
      <c r="A3154" t="s">
        <v>397</v>
      </c>
      <c r="B3154" s="13" t="s">
        <v>26</v>
      </c>
      <c r="C3154" s="13" t="s">
        <v>226</v>
      </c>
      <c r="D3154" s="14" t="s">
        <v>164</v>
      </c>
      <c r="E3154" s="13" t="s">
        <v>61</v>
      </c>
      <c r="F3154" s="13" t="s">
        <v>1229</v>
      </c>
      <c r="G3154" s="13">
        <v>0.65</v>
      </c>
      <c r="H3154" s="15">
        <v>1127</v>
      </c>
      <c r="I3154" s="16">
        <v>732.55</v>
      </c>
      <c r="J3154" s="16">
        <v>598.08014656895409</v>
      </c>
      <c r="K3154" s="16">
        <v>134.46985343104586</v>
      </c>
      <c r="L3154" s="13">
        <v>1.66</v>
      </c>
      <c r="M3154" s="13"/>
      <c r="N3154" s="17">
        <f t="shared" si="106"/>
        <v>1870.82</v>
      </c>
      <c r="O3154" s="17">
        <f t="shared" si="106"/>
        <v>0</v>
      </c>
      <c r="P3154" s="17">
        <f t="shared" si="105"/>
        <v>1870.82</v>
      </c>
      <c r="Q3154" t="str">
        <f>A3154&amp;"-"&amp;B3154&amp;"-"&amp;D3154</f>
        <v>JULI-MJ2-L7</v>
      </c>
    </row>
    <row r="3155" spans="1:17" x14ac:dyDescent="0.25">
      <c r="A3155" t="s">
        <v>397</v>
      </c>
      <c r="B3155" s="13" t="s">
        <v>26</v>
      </c>
      <c r="C3155" s="13" t="s">
        <v>226</v>
      </c>
      <c r="D3155" s="14" t="s">
        <v>164</v>
      </c>
      <c r="E3155" s="13" t="s">
        <v>61</v>
      </c>
      <c r="F3155" s="13" t="s">
        <v>1230</v>
      </c>
      <c r="G3155" s="13">
        <v>0.65</v>
      </c>
      <c r="H3155" s="15">
        <v>2666</v>
      </c>
      <c r="I3155" s="16">
        <v>1732.9</v>
      </c>
      <c r="J3155" s="16">
        <v>1470.8373349511305</v>
      </c>
      <c r="K3155" s="16">
        <v>262.06266504886958</v>
      </c>
      <c r="L3155" s="13">
        <v>1.66</v>
      </c>
      <c r="M3155" s="13"/>
      <c r="N3155" s="17">
        <f t="shared" si="106"/>
        <v>4425.5599999999995</v>
      </c>
      <c r="O3155" s="17">
        <f t="shared" si="106"/>
        <v>0</v>
      </c>
      <c r="P3155" s="17">
        <f t="shared" si="105"/>
        <v>4425.5599999999995</v>
      </c>
      <c r="Q3155" t="str">
        <f>A3155&amp;"-"&amp;B3155&amp;"-"&amp;D3155</f>
        <v>JULI-MJ2-L7</v>
      </c>
    </row>
    <row r="3156" spans="1:17" x14ac:dyDescent="0.25">
      <c r="A3156" t="s">
        <v>397</v>
      </c>
      <c r="B3156" s="13" t="s">
        <v>26</v>
      </c>
      <c r="C3156" s="13" t="s">
        <v>226</v>
      </c>
      <c r="D3156" s="14" t="s">
        <v>164</v>
      </c>
      <c r="E3156" s="13" t="s">
        <v>61</v>
      </c>
      <c r="F3156" s="13" t="s">
        <v>1087</v>
      </c>
      <c r="G3156" s="13">
        <v>0.65</v>
      </c>
      <c r="H3156" s="15">
        <v>108</v>
      </c>
      <c r="I3156" s="16">
        <v>70.2</v>
      </c>
      <c r="J3156" s="16">
        <v>50.734883720930227</v>
      </c>
      <c r="K3156" s="16">
        <v>19.465116279069772</v>
      </c>
      <c r="L3156" s="13">
        <v>1.64</v>
      </c>
      <c r="M3156" s="13"/>
      <c r="N3156" s="17">
        <f t="shared" si="106"/>
        <v>177.11999999999998</v>
      </c>
      <c r="O3156" s="17">
        <f t="shared" si="106"/>
        <v>0</v>
      </c>
      <c r="P3156" s="17">
        <f t="shared" si="105"/>
        <v>177.11999999999998</v>
      </c>
      <c r="Q3156" t="str">
        <f>A3156&amp;"-"&amp;B3156&amp;"-"&amp;D3156</f>
        <v>JULI-MJ2-L7</v>
      </c>
    </row>
    <row r="3157" spans="1:17" x14ac:dyDescent="0.25">
      <c r="A3157" t="s">
        <v>397</v>
      </c>
      <c r="B3157" s="13" t="s">
        <v>26</v>
      </c>
      <c r="C3157" s="13" t="s">
        <v>226</v>
      </c>
      <c r="D3157" s="14" t="s">
        <v>164</v>
      </c>
      <c r="E3157" s="13" t="s">
        <v>61</v>
      </c>
      <c r="F3157" s="13" t="s">
        <v>1231</v>
      </c>
      <c r="G3157" s="13">
        <v>0.88</v>
      </c>
      <c r="H3157" s="15">
        <v>372</v>
      </c>
      <c r="I3157" s="16">
        <v>327.36</v>
      </c>
      <c r="J3157" s="16">
        <v>203.53196099674972</v>
      </c>
      <c r="K3157" s="16">
        <v>123.8280390032503</v>
      </c>
      <c r="L3157" s="13">
        <v>2.65</v>
      </c>
      <c r="M3157" s="13"/>
      <c r="N3157" s="17">
        <f t="shared" si="106"/>
        <v>985.8</v>
      </c>
      <c r="O3157" s="17">
        <f t="shared" si="106"/>
        <v>0</v>
      </c>
      <c r="P3157" s="17">
        <f t="shared" si="105"/>
        <v>985.8</v>
      </c>
      <c r="Q3157" t="str">
        <f>A3157&amp;"-"&amp;B3157&amp;"-"&amp;D3157</f>
        <v>JULI-MJ2-L7</v>
      </c>
    </row>
    <row r="3158" spans="1:17" x14ac:dyDescent="0.25">
      <c r="A3158" t="s">
        <v>397</v>
      </c>
      <c r="B3158" s="13" t="s">
        <v>26</v>
      </c>
      <c r="C3158" s="13" t="s">
        <v>226</v>
      </c>
      <c r="D3158" s="14" t="s">
        <v>198</v>
      </c>
      <c r="E3158" s="13" t="s">
        <v>61</v>
      </c>
      <c r="F3158" s="13" t="s">
        <v>1182</v>
      </c>
      <c r="G3158" s="13">
        <v>0.69999999999999984</v>
      </c>
      <c r="H3158" s="15">
        <v>3515</v>
      </c>
      <c r="I3158" s="16">
        <v>2460.5</v>
      </c>
      <c r="J3158" s="16">
        <v>1987.5996725146199</v>
      </c>
      <c r="K3158" s="16">
        <v>472.90032748538016</v>
      </c>
      <c r="L3158" s="13">
        <v>1.3</v>
      </c>
      <c r="M3158" s="13"/>
      <c r="N3158" s="17">
        <f t="shared" si="106"/>
        <v>4569.5</v>
      </c>
      <c r="O3158" s="17">
        <f t="shared" si="106"/>
        <v>0</v>
      </c>
      <c r="P3158" s="17">
        <f t="shared" si="105"/>
        <v>4569.5</v>
      </c>
      <c r="Q3158" t="str">
        <f>A3158&amp;"-"&amp;B3158&amp;"-"&amp;D3158</f>
        <v>JULI-MJ2-L8</v>
      </c>
    </row>
    <row r="3159" spans="1:17" x14ac:dyDescent="0.25">
      <c r="A3159" t="s">
        <v>397</v>
      </c>
      <c r="B3159" s="13" t="s">
        <v>26</v>
      </c>
      <c r="C3159" s="13" t="s">
        <v>226</v>
      </c>
      <c r="D3159" s="14" t="s">
        <v>198</v>
      </c>
      <c r="E3159" s="13" t="s">
        <v>61</v>
      </c>
      <c r="F3159" s="13" t="s">
        <v>1183</v>
      </c>
      <c r="G3159" s="13">
        <v>0.93</v>
      </c>
      <c r="H3159" s="15">
        <v>1029</v>
      </c>
      <c r="I3159" s="16">
        <v>956.97</v>
      </c>
      <c r="J3159" s="16">
        <v>651.90612972794065</v>
      </c>
      <c r="K3159" s="16">
        <v>305.06387027205926</v>
      </c>
      <c r="L3159" s="13">
        <v>2.2400000000000002</v>
      </c>
      <c r="M3159" s="13"/>
      <c r="N3159" s="17">
        <f t="shared" si="106"/>
        <v>2304.96</v>
      </c>
      <c r="O3159" s="17">
        <f t="shared" si="106"/>
        <v>0</v>
      </c>
      <c r="P3159" s="17">
        <f t="shared" si="105"/>
        <v>2304.96</v>
      </c>
      <c r="Q3159" t="str">
        <f>A3159&amp;"-"&amp;B3159&amp;"-"&amp;D3159</f>
        <v>JULI-MJ2-L8</v>
      </c>
    </row>
    <row r="3160" spans="1:17" x14ac:dyDescent="0.25">
      <c r="A3160" t="s">
        <v>397</v>
      </c>
      <c r="B3160" s="13" t="s">
        <v>26</v>
      </c>
      <c r="C3160" s="13" t="s">
        <v>226</v>
      </c>
      <c r="D3160" s="14" t="s">
        <v>198</v>
      </c>
      <c r="E3160" s="13" t="s">
        <v>61</v>
      </c>
      <c r="F3160" s="13" t="s">
        <v>1184</v>
      </c>
      <c r="G3160" s="13">
        <v>0.93</v>
      </c>
      <c r="H3160" s="15">
        <v>43</v>
      </c>
      <c r="I3160" s="16">
        <v>39.989999999999995</v>
      </c>
      <c r="J3160" s="16">
        <v>24.832330827067668</v>
      </c>
      <c r="K3160" s="16">
        <v>15.15766917293233</v>
      </c>
      <c r="L3160" s="13">
        <v>2.4300000000000002</v>
      </c>
      <c r="M3160" s="13"/>
      <c r="N3160" s="17">
        <f t="shared" si="106"/>
        <v>104.49000000000001</v>
      </c>
      <c r="O3160" s="17">
        <f t="shared" si="106"/>
        <v>0</v>
      </c>
      <c r="P3160" s="17">
        <f t="shared" si="105"/>
        <v>104.49000000000001</v>
      </c>
      <c r="Q3160" t="str">
        <f>A3160&amp;"-"&amp;B3160&amp;"-"&amp;D3160</f>
        <v>JULI-MJ2-L8</v>
      </c>
    </row>
    <row r="3161" spans="1:17" x14ac:dyDescent="0.25">
      <c r="A3161" t="s">
        <v>397</v>
      </c>
      <c r="B3161" s="13" t="s">
        <v>26</v>
      </c>
      <c r="C3161" s="13" t="s">
        <v>226</v>
      </c>
      <c r="D3161" s="14" t="s">
        <v>198</v>
      </c>
      <c r="E3161" s="13" t="s">
        <v>61</v>
      </c>
      <c r="F3161" s="13" t="s">
        <v>1185</v>
      </c>
      <c r="G3161" s="13">
        <v>0.66</v>
      </c>
      <c r="H3161" s="15">
        <v>1470</v>
      </c>
      <c r="I3161" s="16">
        <v>970.19999999999993</v>
      </c>
      <c r="J3161" s="16">
        <v>963.4724028855419</v>
      </c>
      <c r="K3161" s="16">
        <v>6.7275971144581206</v>
      </c>
      <c r="L3161" s="13">
        <v>1.83</v>
      </c>
      <c r="M3161" s="13"/>
      <c r="N3161" s="17">
        <f t="shared" si="106"/>
        <v>2690.1</v>
      </c>
      <c r="O3161" s="17">
        <f t="shared" si="106"/>
        <v>0</v>
      </c>
      <c r="P3161" s="17">
        <f t="shared" si="105"/>
        <v>2690.1</v>
      </c>
      <c r="Q3161" t="str">
        <f>A3161&amp;"-"&amp;B3161&amp;"-"&amp;D3161</f>
        <v>JULI-MJ2-L8</v>
      </c>
    </row>
    <row r="3162" spans="1:17" x14ac:dyDescent="0.25">
      <c r="A3162" t="s">
        <v>397</v>
      </c>
      <c r="B3162" s="13" t="s">
        <v>26</v>
      </c>
      <c r="C3162" s="13" t="s">
        <v>226</v>
      </c>
      <c r="D3162" s="14" t="s">
        <v>198</v>
      </c>
      <c r="E3162" s="13" t="s">
        <v>61</v>
      </c>
      <c r="F3162" s="13" t="s">
        <v>1186</v>
      </c>
      <c r="G3162" s="13">
        <v>0.69999999999999984</v>
      </c>
      <c r="H3162" s="15">
        <v>5071</v>
      </c>
      <c r="I3162" s="16">
        <v>3549.7</v>
      </c>
      <c r="J3162" s="16">
        <v>2571.591581132333</v>
      </c>
      <c r="K3162" s="16">
        <v>978.1084188676673</v>
      </c>
      <c r="L3162" s="13">
        <v>1.3</v>
      </c>
      <c r="M3162" s="13"/>
      <c r="N3162" s="17">
        <f t="shared" si="106"/>
        <v>6592.3</v>
      </c>
      <c r="O3162" s="17">
        <f t="shared" si="106"/>
        <v>0</v>
      </c>
      <c r="P3162" s="17">
        <f t="shared" si="105"/>
        <v>6592.3</v>
      </c>
      <c r="Q3162" t="str">
        <f>A3162&amp;"-"&amp;B3162&amp;"-"&amp;D3162</f>
        <v>JULI-MJ2-L8</v>
      </c>
    </row>
    <row r="3163" spans="1:17" x14ac:dyDescent="0.25">
      <c r="A3163" t="s">
        <v>397</v>
      </c>
      <c r="B3163" s="13" t="s">
        <v>26</v>
      </c>
      <c r="C3163" s="13" t="s">
        <v>226</v>
      </c>
      <c r="D3163" s="14" t="s">
        <v>198</v>
      </c>
      <c r="E3163" s="13" t="s">
        <v>61</v>
      </c>
      <c r="F3163" s="13" t="s">
        <v>1085</v>
      </c>
      <c r="G3163" s="13">
        <v>0.79</v>
      </c>
      <c r="H3163" s="15">
        <v>256</v>
      </c>
      <c r="I3163" s="16">
        <v>202.23999999999998</v>
      </c>
      <c r="J3163" s="16">
        <v>151.30976027397261</v>
      </c>
      <c r="K3163" s="16">
        <v>50.930239726027388</v>
      </c>
      <c r="L3163" s="13">
        <v>2.42</v>
      </c>
      <c r="M3163" s="13"/>
      <c r="N3163" s="17">
        <f t="shared" si="106"/>
        <v>619.52</v>
      </c>
      <c r="O3163" s="17">
        <f t="shared" si="106"/>
        <v>0</v>
      </c>
      <c r="P3163" s="17">
        <f t="shared" si="105"/>
        <v>619.52</v>
      </c>
      <c r="Q3163" t="str">
        <f>A3163&amp;"-"&amp;B3163&amp;"-"&amp;D3163</f>
        <v>JULI-MJ2-L8</v>
      </c>
    </row>
    <row r="3164" spans="1:17" x14ac:dyDescent="0.25">
      <c r="A3164" t="s">
        <v>397</v>
      </c>
      <c r="B3164" s="13" t="s">
        <v>26</v>
      </c>
      <c r="C3164" s="13" t="s">
        <v>226</v>
      </c>
      <c r="D3164" s="14" t="s">
        <v>198</v>
      </c>
      <c r="E3164" s="13" t="s">
        <v>61</v>
      </c>
      <c r="F3164" s="13" t="s">
        <v>1187</v>
      </c>
      <c r="G3164" s="13">
        <v>0.79</v>
      </c>
      <c r="H3164" s="15">
        <v>1430</v>
      </c>
      <c r="I3164" s="16">
        <v>1129.7</v>
      </c>
      <c r="J3164" s="16">
        <v>947.08196721311481</v>
      </c>
      <c r="K3164" s="16">
        <v>182.61803278688524</v>
      </c>
      <c r="L3164" s="13">
        <v>2.14</v>
      </c>
      <c r="M3164" s="13"/>
      <c r="N3164" s="17">
        <f t="shared" si="106"/>
        <v>3060.2000000000003</v>
      </c>
      <c r="O3164" s="17">
        <f t="shared" si="106"/>
        <v>0</v>
      </c>
      <c r="P3164" s="17">
        <f t="shared" si="105"/>
        <v>3060.2000000000003</v>
      </c>
      <c r="Q3164" t="str">
        <f>A3164&amp;"-"&amp;B3164&amp;"-"&amp;D3164</f>
        <v>JULI-MJ2-L8</v>
      </c>
    </row>
    <row r="3165" spans="1:17" x14ac:dyDescent="0.25">
      <c r="A3165" t="s">
        <v>397</v>
      </c>
      <c r="B3165" s="13" t="s">
        <v>26</v>
      </c>
      <c r="C3165" s="13" t="s">
        <v>226</v>
      </c>
      <c r="D3165" s="14" t="s">
        <v>198</v>
      </c>
      <c r="E3165" s="13" t="s">
        <v>61</v>
      </c>
      <c r="F3165" s="13" t="s">
        <v>1188</v>
      </c>
      <c r="G3165" s="13">
        <v>0.72</v>
      </c>
      <c r="H3165" s="15">
        <v>48</v>
      </c>
      <c r="I3165" s="16">
        <v>34.56</v>
      </c>
      <c r="J3165" s="16">
        <v>31.790163934426229</v>
      </c>
      <c r="K3165" s="16">
        <v>2.7698360655737737</v>
      </c>
      <c r="L3165" s="13">
        <v>2.29</v>
      </c>
      <c r="M3165" s="13"/>
      <c r="N3165" s="17">
        <f t="shared" si="106"/>
        <v>109.92</v>
      </c>
      <c r="O3165" s="17">
        <f t="shared" si="106"/>
        <v>0</v>
      </c>
      <c r="P3165" s="17">
        <f t="shared" si="105"/>
        <v>109.92</v>
      </c>
      <c r="Q3165" t="str">
        <f>A3165&amp;"-"&amp;B3165&amp;"-"&amp;D3165</f>
        <v>JULI-MJ2-L8</v>
      </c>
    </row>
    <row r="3166" spans="1:17" x14ac:dyDescent="0.25">
      <c r="A3166" t="s">
        <v>397</v>
      </c>
      <c r="B3166" s="13" t="s">
        <v>26</v>
      </c>
      <c r="C3166" s="13" t="s">
        <v>226</v>
      </c>
      <c r="D3166" s="14" t="s">
        <v>198</v>
      </c>
      <c r="E3166" s="13" t="s">
        <v>61</v>
      </c>
      <c r="F3166" s="13" t="s">
        <v>1189</v>
      </c>
      <c r="G3166" s="13">
        <v>0.79</v>
      </c>
      <c r="H3166" s="15">
        <v>1513</v>
      </c>
      <c r="I3166" s="16">
        <v>1195.27</v>
      </c>
      <c r="J3166" s="16">
        <v>862.12693466458063</v>
      </c>
      <c r="K3166" s="16">
        <v>333.14306533541935</v>
      </c>
      <c r="L3166" s="13">
        <v>2.42</v>
      </c>
      <c r="M3166" s="13"/>
      <c r="N3166" s="17">
        <f t="shared" si="106"/>
        <v>3661.46</v>
      </c>
      <c r="O3166" s="17">
        <f t="shared" si="106"/>
        <v>0</v>
      </c>
      <c r="P3166" s="17">
        <f t="shared" si="105"/>
        <v>3661.46</v>
      </c>
      <c r="Q3166" t="str">
        <f>A3166&amp;"-"&amp;B3166&amp;"-"&amp;D3166</f>
        <v>JULI-MJ2-L8</v>
      </c>
    </row>
    <row r="3167" spans="1:17" x14ac:dyDescent="0.25">
      <c r="A3167" t="s">
        <v>397</v>
      </c>
      <c r="B3167" s="13" t="s">
        <v>26</v>
      </c>
      <c r="C3167" s="13" t="s">
        <v>226</v>
      </c>
      <c r="D3167" s="14" t="s">
        <v>198</v>
      </c>
      <c r="E3167" s="13" t="s">
        <v>61</v>
      </c>
      <c r="F3167" s="13" t="s">
        <v>1190</v>
      </c>
      <c r="G3167" s="13">
        <v>0.79</v>
      </c>
      <c r="H3167" s="15">
        <v>656</v>
      </c>
      <c r="I3167" s="16">
        <v>518.24</v>
      </c>
      <c r="J3167" s="16">
        <v>389.22564481281961</v>
      </c>
      <c r="K3167" s="16">
        <v>129.01435518718031</v>
      </c>
      <c r="L3167" s="13">
        <v>2.42</v>
      </c>
      <c r="M3167" s="13"/>
      <c r="N3167" s="17">
        <f t="shared" si="106"/>
        <v>1587.52</v>
      </c>
      <c r="O3167" s="17">
        <f t="shared" si="106"/>
        <v>0</v>
      </c>
      <c r="P3167" s="17">
        <f t="shared" si="105"/>
        <v>1587.52</v>
      </c>
      <c r="Q3167" t="str">
        <f>A3167&amp;"-"&amp;B3167&amp;"-"&amp;D3167</f>
        <v>JULI-MJ2-L8</v>
      </c>
    </row>
    <row r="3168" spans="1:17" x14ac:dyDescent="0.25">
      <c r="A3168" t="s">
        <v>397</v>
      </c>
      <c r="B3168" s="13" t="s">
        <v>26</v>
      </c>
      <c r="C3168" s="13" t="s">
        <v>226</v>
      </c>
      <c r="D3168" s="14" t="s">
        <v>198</v>
      </c>
      <c r="E3168" s="13" t="s">
        <v>61</v>
      </c>
      <c r="F3168" s="13" t="s">
        <v>1086</v>
      </c>
      <c r="G3168" s="13">
        <v>0.79</v>
      </c>
      <c r="H3168" s="15">
        <v>505</v>
      </c>
      <c r="I3168" s="16">
        <v>398.94999999999993</v>
      </c>
      <c r="J3168" s="16">
        <v>294.31266036094803</v>
      </c>
      <c r="K3168" s="16">
        <v>104.63733963905194</v>
      </c>
      <c r="L3168" s="13">
        <v>2.42</v>
      </c>
      <c r="M3168" s="13"/>
      <c r="N3168" s="17">
        <f t="shared" si="106"/>
        <v>1222.0999999999999</v>
      </c>
      <c r="O3168" s="17">
        <f t="shared" si="106"/>
        <v>0</v>
      </c>
      <c r="P3168" s="17">
        <f t="shared" si="105"/>
        <v>1222.0999999999999</v>
      </c>
      <c r="Q3168" t="str">
        <f>A3168&amp;"-"&amp;B3168&amp;"-"&amp;D3168</f>
        <v>JULI-MJ2-L8</v>
      </c>
    </row>
    <row r="3169" spans="1:17" x14ac:dyDescent="0.25">
      <c r="A3169" t="s">
        <v>397</v>
      </c>
      <c r="B3169" s="13" t="s">
        <v>26</v>
      </c>
      <c r="C3169" s="13" t="s">
        <v>226</v>
      </c>
      <c r="D3169" s="14" t="s">
        <v>198</v>
      </c>
      <c r="E3169" s="13" t="s">
        <v>61</v>
      </c>
      <c r="F3169" s="13" t="s">
        <v>1191</v>
      </c>
      <c r="G3169" s="13">
        <v>0.79</v>
      </c>
      <c r="H3169" s="15">
        <v>2650</v>
      </c>
      <c r="I3169" s="16">
        <v>2093.5</v>
      </c>
      <c r="J3169" s="16">
        <v>1716.0275826177465</v>
      </c>
      <c r="K3169" s="16">
        <v>377.4724173822533</v>
      </c>
      <c r="L3169" s="13">
        <v>2.14</v>
      </c>
      <c r="M3169" s="13"/>
      <c r="N3169" s="17">
        <f t="shared" si="106"/>
        <v>5671</v>
      </c>
      <c r="O3169" s="17">
        <f t="shared" si="106"/>
        <v>0</v>
      </c>
      <c r="P3169" s="17">
        <f t="shared" si="105"/>
        <v>5671</v>
      </c>
      <c r="Q3169" t="str">
        <f>A3169&amp;"-"&amp;B3169&amp;"-"&amp;D3169</f>
        <v>JULI-MJ2-L8</v>
      </c>
    </row>
    <row r="3170" spans="1:17" x14ac:dyDescent="0.25">
      <c r="A3170" t="s">
        <v>397</v>
      </c>
      <c r="B3170" s="13" t="s">
        <v>26</v>
      </c>
      <c r="C3170" s="13" t="s">
        <v>226</v>
      </c>
      <c r="D3170" s="14" t="s">
        <v>198</v>
      </c>
      <c r="E3170" s="13" t="s">
        <v>61</v>
      </c>
      <c r="F3170" s="13" t="s">
        <v>1232</v>
      </c>
      <c r="G3170" s="13">
        <v>0.72</v>
      </c>
      <c r="H3170" s="15">
        <v>522</v>
      </c>
      <c r="I3170" s="16">
        <v>375.84000000000003</v>
      </c>
      <c r="J3170" s="16">
        <v>335.10028623471248</v>
      </c>
      <c r="K3170" s="16">
        <v>40.739713765287519</v>
      </c>
      <c r="L3170" s="13">
        <v>2.29</v>
      </c>
      <c r="M3170" s="13"/>
      <c r="N3170" s="17">
        <f t="shared" si="106"/>
        <v>1195.3800000000001</v>
      </c>
      <c r="O3170" s="17">
        <f t="shared" si="106"/>
        <v>0</v>
      </c>
      <c r="P3170" s="17">
        <f t="shared" si="105"/>
        <v>1195.3800000000001</v>
      </c>
      <c r="Q3170" t="str">
        <f>A3170&amp;"-"&amp;B3170&amp;"-"&amp;D3170</f>
        <v>JULI-MJ2-L8</v>
      </c>
    </row>
    <row r="3171" spans="1:17" x14ac:dyDescent="0.25">
      <c r="A3171" t="s">
        <v>397</v>
      </c>
      <c r="B3171" s="13" t="s">
        <v>26</v>
      </c>
      <c r="C3171" s="13" t="s">
        <v>226</v>
      </c>
      <c r="D3171" s="14" t="s">
        <v>198</v>
      </c>
      <c r="E3171" s="13" t="s">
        <v>61</v>
      </c>
      <c r="F3171" s="13" t="s">
        <v>1192</v>
      </c>
      <c r="G3171" s="13">
        <v>0.79</v>
      </c>
      <c r="H3171" s="15">
        <v>1335</v>
      </c>
      <c r="I3171" s="16">
        <v>1054.6500000000001</v>
      </c>
      <c r="J3171" s="16">
        <v>946.21052631578948</v>
      </c>
      <c r="K3171" s="16">
        <v>108.43947368421061</v>
      </c>
      <c r="L3171" s="13">
        <v>2.14</v>
      </c>
      <c r="M3171" s="13"/>
      <c r="N3171" s="17">
        <f t="shared" si="106"/>
        <v>2856.9</v>
      </c>
      <c r="O3171" s="17">
        <f t="shared" si="106"/>
        <v>0</v>
      </c>
      <c r="P3171" s="17">
        <f t="shared" si="105"/>
        <v>2856.9</v>
      </c>
      <c r="Q3171" t="str">
        <f>A3171&amp;"-"&amp;B3171&amp;"-"&amp;D3171</f>
        <v>JULI-MJ2-L8</v>
      </c>
    </row>
    <row r="3172" spans="1:17" x14ac:dyDescent="0.25">
      <c r="A3172" t="s">
        <v>397</v>
      </c>
      <c r="B3172" s="13" t="s">
        <v>26</v>
      </c>
      <c r="C3172" s="13" t="s">
        <v>226</v>
      </c>
      <c r="D3172" s="14" t="s">
        <v>198</v>
      </c>
      <c r="E3172" s="13" t="s">
        <v>61</v>
      </c>
      <c r="F3172" s="13" t="s">
        <v>1194</v>
      </c>
      <c r="G3172" s="13">
        <v>0.79</v>
      </c>
      <c r="H3172" s="15">
        <v>3357</v>
      </c>
      <c r="I3172" s="16">
        <v>2652.03</v>
      </c>
      <c r="J3172" s="16">
        <v>1918.4973608393127</v>
      </c>
      <c r="K3172" s="16">
        <v>733.53263916068715</v>
      </c>
      <c r="L3172" s="13">
        <v>2.42</v>
      </c>
      <c r="M3172" s="13"/>
      <c r="N3172" s="17">
        <f t="shared" si="106"/>
        <v>8123.94</v>
      </c>
      <c r="O3172" s="17">
        <f t="shared" si="106"/>
        <v>0</v>
      </c>
      <c r="P3172" s="17">
        <f t="shared" si="105"/>
        <v>8123.94</v>
      </c>
      <c r="Q3172" t="str">
        <f>A3172&amp;"-"&amp;B3172&amp;"-"&amp;D3172</f>
        <v>JULI-MJ2-L8</v>
      </c>
    </row>
    <row r="3173" spans="1:17" x14ac:dyDescent="0.25">
      <c r="A3173" t="s">
        <v>397</v>
      </c>
      <c r="B3173" s="13" t="s">
        <v>26</v>
      </c>
      <c r="C3173" s="13" t="s">
        <v>226</v>
      </c>
      <c r="D3173" s="14" t="s">
        <v>198</v>
      </c>
      <c r="E3173" s="13" t="s">
        <v>61</v>
      </c>
      <c r="F3173" s="13" t="s">
        <v>1195</v>
      </c>
      <c r="G3173" s="13">
        <v>0.79</v>
      </c>
      <c r="H3173" s="15">
        <v>2056</v>
      </c>
      <c r="I3173" s="16">
        <v>1624.24</v>
      </c>
      <c r="J3173" s="16">
        <v>1153.0857451733189</v>
      </c>
      <c r="K3173" s="16">
        <v>471.15425482668104</v>
      </c>
      <c r="L3173" s="13">
        <v>2.42</v>
      </c>
      <c r="M3173" s="13"/>
      <c r="N3173" s="17">
        <f t="shared" si="106"/>
        <v>4975.5199999999995</v>
      </c>
      <c r="O3173" s="17">
        <f t="shared" si="106"/>
        <v>0</v>
      </c>
      <c r="P3173" s="17">
        <f t="shared" si="105"/>
        <v>4975.5199999999995</v>
      </c>
      <c r="Q3173" t="str">
        <f>A3173&amp;"-"&amp;B3173&amp;"-"&amp;D3173</f>
        <v>JULI-MJ2-L8</v>
      </c>
    </row>
    <row r="3174" spans="1:17" x14ac:dyDescent="0.25">
      <c r="A3174" t="s">
        <v>397</v>
      </c>
      <c r="B3174" s="13" t="s">
        <v>26</v>
      </c>
      <c r="C3174" s="13" t="s">
        <v>226</v>
      </c>
      <c r="D3174" s="14" t="s">
        <v>198</v>
      </c>
      <c r="E3174" s="13" t="s">
        <v>61</v>
      </c>
      <c r="F3174" s="13" t="s">
        <v>1196</v>
      </c>
      <c r="G3174" s="13">
        <v>0.65</v>
      </c>
      <c r="H3174" s="15">
        <v>4121</v>
      </c>
      <c r="I3174" s="16">
        <v>2678.65</v>
      </c>
      <c r="J3174" s="16">
        <v>2471.9746548188655</v>
      </c>
      <c r="K3174" s="16">
        <v>206.67534518113462</v>
      </c>
      <c r="L3174" s="13">
        <v>1.66</v>
      </c>
      <c r="M3174" s="13"/>
      <c r="N3174" s="17">
        <f t="shared" si="106"/>
        <v>6840.86</v>
      </c>
      <c r="O3174" s="17">
        <f t="shared" si="106"/>
        <v>0</v>
      </c>
      <c r="P3174" s="17">
        <f t="shared" si="105"/>
        <v>6840.86</v>
      </c>
      <c r="Q3174" t="str">
        <f>A3174&amp;"-"&amp;B3174&amp;"-"&amp;D3174</f>
        <v>JULI-MJ2-L8</v>
      </c>
    </row>
    <row r="3175" spans="1:17" x14ac:dyDescent="0.25">
      <c r="A3175" t="s">
        <v>397</v>
      </c>
      <c r="B3175" s="13" t="s">
        <v>26</v>
      </c>
      <c r="C3175" s="13" t="s">
        <v>226</v>
      </c>
      <c r="D3175" s="14" t="s">
        <v>198</v>
      </c>
      <c r="E3175" s="13" t="s">
        <v>61</v>
      </c>
      <c r="F3175" s="13" t="s">
        <v>1197</v>
      </c>
      <c r="G3175" s="13">
        <v>0.65</v>
      </c>
      <c r="H3175" s="15">
        <v>438</v>
      </c>
      <c r="I3175" s="16">
        <v>284.7</v>
      </c>
      <c r="J3175" s="16">
        <v>243.89118250170884</v>
      </c>
      <c r="K3175" s="16">
        <v>40.808817498291177</v>
      </c>
      <c r="L3175" s="13">
        <v>1.79</v>
      </c>
      <c r="M3175" s="13"/>
      <c r="N3175" s="17">
        <f t="shared" si="106"/>
        <v>784.02</v>
      </c>
      <c r="O3175" s="17">
        <f t="shared" si="106"/>
        <v>0</v>
      </c>
      <c r="P3175" s="17">
        <f t="shared" si="105"/>
        <v>784.02</v>
      </c>
      <c r="Q3175" t="str">
        <f>A3175&amp;"-"&amp;B3175&amp;"-"&amp;D3175</f>
        <v>JULI-MJ2-L8</v>
      </c>
    </row>
    <row r="3176" spans="1:17" x14ac:dyDescent="0.25">
      <c r="A3176" t="s">
        <v>397</v>
      </c>
      <c r="B3176" s="13" t="s">
        <v>26</v>
      </c>
      <c r="C3176" s="13" t="s">
        <v>226</v>
      </c>
      <c r="D3176" s="14" t="s">
        <v>198</v>
      </c>
      <c r="E3176" s="13" t="s">
        <v>61</v>
      </c>
      <c r="F3176" s="13" t="s">
        <v>959</v>
      </c>
      <c r="G3176" s="13">
        <v>0.65</v>
      </c>
      <c r="H3176" s="15">
        <v>193</v>
      </c>
      <c r="I3176" s="16">
        <v>125.45</v>
      </c>
      <c r="J3176" s="16">
        <v>127.23194444444445</v>
      </c>
      <c r="K3176" s="16">
        <v>-1.7819444444444414</v>
      </c>
      <c r="L3176" s="13">
        <v>1.64</v>
      </c>
      <c r="M3176" s="13"/>
      <c r="N3176" s="17">
        <f t="shared" si="106"/>
        <v>316.52</v>
      </c>
      <c r="O3176" s="17">
        <f t="shared" si="106"/>
        <v>0</v>
      </c>
      <c r="P3176" s="17">
        <f t="shared" si="105"/>
        <v>316.52</v>
      </c>
      <c r="Q3176" t="str">
        <f>A3176&amp;"-"&amp;B3176&amp;"-"&amp;D3176</f>
        <v>JULI-MJ2-L8</v>
      </c>
    </row>
    <row r="3177" spans="1:17" x14ac:dyDescent="0.25">
      <c r="A3177" t="s">
        <v>397</v>
      </c>
      <c r="B3177" s="13" t="s">
        <v>26</v>
      </c>
      <c r="C3177" s="13" t="s">
        <v>226</v>
      </c>
      <c r="D3177" s="14" t="s">
        <v>198</v>
      </c>
      <c r="E3177" s="13" t="s">
        <v>61</v>
      </c>
      <c r="F3177" s="13" t="s">
        <v>1198</v>
      </c>
      <c r="G3177" s="13">
        <v>0.65</v>
      </c>
      <c r="H3177" s="15">
        <v>4274</v>
      </c>
      <c r="I3177" s="16">
        <v>2778.1</v>
      </c>
      <c r="J3177" s="16">
        <v>2350.5989829272885</v>
      </c>
      <c r="K3177" s="16">
        <v>427.50101707271159</v>
      </c>
      <c r="L3177" s="13">
        <v>1.66</v>
      </c>
      <c r="M3177" s="13"/>
      <c r="N3177" s="17">
        <f t="shared" si="106"/>
        <v>7094.8399999999992</v>
      </c>
      <c r="O3177" s="17">
        <f t="shared" si="106"/>
        <v>0</v>
      </c>
      <c r="P3177" s="17">
        <f t="shared" si="105"/>
        <v>7094.8399999999992</v>
      </c>
      <c r="Q3177" t="str">
        <f>A3177&amp;"-"&amp;B3177&amp;"-"&amp;D3177</f>
        <v>JULI-MJ2-L8</v>
      </c>
    </row>
    <row r="3178" spans="1:17" x14ac:dyDescent="0.25">
      <c r="A3178" t="s">
        <v>397</v>
      </c>
      <c r="B3178" s="13" t="s">
        <v>26</v>
      </c>
      <c r="C3178" s="13" t="s">
        <v>226</v>
      </c>
      <c r="D3178" s="14" t="s">
        <v>198</v>
      </c>
      <c r="E3178" s="13" t="s">
        <v>61</v>
      </c>
      <c r="F3178" s="13" t="s">
        <v>1199</v>
      </c>
      <c r="G3178" s="13">
        <v>0.65</v>
      </c>
      <c r="H3178" s="15">
        <v>97</v>
      </c>
      <c r="I3178" s="16">
        <v>63.05</v>
      </c>
      <c r="J3178" s="16">
        <v>53.277691258900163</v>
      </c>
      <c r="K3178" s="16">
        <v>9.7723087410998382</v>
      </c>
      <c r="L3178" s="13">
        <v>1.79</v>
      </c>
      <c r="M3178" s="13"/>
      <c r="N3178" s="17">
        <f t="shared" si="106"/>
        <v>173.63</v>
      </c>
      <c r="O3178" s="17">
        <f t="shared" si="106"/>
        <v>0</v>
      </c>
      <c r="P3178" s="17">
        <f t="shared" si="105"/>
        <v>173.63</v>
      </c>
      <c r="Q3178" t="str">
        <f>A3178&amp;"-"&amp;B3178&amp;"-"&amp;D3178</f>
        <v>JULI-MJ2-L8</v>
      </c>
    </row>
    <row r="3179" spans="1:17" x14ac:dyDescent="0.25">
      <c r="A3179" t="s">
        <v>397</v>
      </c>
      <c r="B3179" s="13" t="s">
        <v>26</v>
      </c>
      <c r="C3179" s="13" t="s">
        <v>226</v>
      </c>
      <c r="D3179" s="14" t="s">
        <v>198</v>
      </c>
      <c r="E3179" s="13" t="s">
        <v>61</v>
      </c>
      <c r="F3179" s="13" t="s">
        <v>1087</v>
      </c>
      <c r="G3179" s="13">
        <v>0.65</v>
      </c>
      <c r="H3179" s="15">
        <v>16</v>
      </c>
      <c r="I3179" s="16">
        <v>10.399999999999999</v>
      </c>
      <c r="J3179" s="16">
        <v>8.8547945205479444</v>
      </c>
      <c r="K3179" s="16">
        <v>1.545205479452054</v>
      </c>
      <c r="L3179" s="13">
        <v>1.64</v>
      </c>
      <c r="M3179" s="13"/>
      <c r="N3179" s="17">
        <f t="shared" si="106"/>
        <v>26.24</v>
      </c>
      <c r="O3179" s="17">
        <f t="shared" si="106"/>
        <v>0</v>
      </c>
      <c r="P3179" s="17">
        <f t="shared" si="105"/>
        <v>26.24</v>
      </c>
      <c r="Q3179" t="str">
        <f>A3179&amp;"-"&amp;B3179&amp;"-"&amp;D3179</f>
        <v>JULI-MJ2-L8</v>
      </c>
    </row>
    <row r="3180" spans="1:17" x14ac:dyDescent="0.25">
      <c r="A3180" t="s">
        <v>397</v>
      </c>
      <c r="B3180" s="13" t="s">
        <v>26</v>
      </c>
      <c r="C3180" s="13" t="s">
        <v>226</v>
      </c>
      <c r="D3180" s="14" t="s">
        <v>199</v>
      </c>
      <c r="E3180" s="13" t="s">
        <v>61</v>
      </c>
      <c r="F3180" s="13" t="s">
        <v>1182</v>
      </c>
      <c r="G3180" s="13">
        <v>0.69999999999999984</v>
      </c>
      <c r="H3180" s="15">
        <v>3515</v>
      </c>
      <c r="I3180" s="16">
        <v>2460.5</v>
      </c>
      <c r="J3180" s="16">
        <v>1987.4970693400167</v>
      </c>
      <c r="K3180" s="16">
        <v>473.00293065998329</v>
      </c>
      <c r="L3180" s="13">
        <v>1.3</v>
      </c>
      <c r="M3180" s="13"/>
      <c r="N3180" s="17">
        <f t="shared" si="106"/>
        <v>4569.5</v>
      </c>
      <c r="O3180" s="17">
        <f t="shared" si="106"/>
        <v>0</v>
      </c>
      <c r="P3180" s="17">
        <f t="shared" si="105"/>
        <v>4569.5</v>
      </c>
      <c r="Q3180" t="str">
        <f>A3180&amp;"-"&amp;B3180&amp;"-"&amp;D3180</f>
        <v>JULI-MJ2-L9</v>
      </c>
    </row>
    <row r="3181" spans="1:17" x14ac:dyDescent="0.25">
      <c r="A3181" t="s">
        <v>397</v>
      </c>
      <c r="B3181" s="13" t="s">
        <v>26</v>
      </c>
      <c r="C3181" s="13" t="s">
        <v>226</v>
      </c>
      <c r="D3181" s="14" t="s">
        <v>199</v>
      </c>
      <c r="E3181" s="13" t="s">
        <v>61</v>
      </c>
      <c r="F3181" s="13" t="s">
        <v>1183</v>
      </c>
      <c r="G3181" s="13">
        <v>0.93</v>
      </c>
      <c r="H3181" s="15">
        <v>1030</v>
      </c>
      <c r="I3181" s="16">
        <v>957.9</v>
      </c>
      <c r="J3181" s="16">
        <v>652.40703215706992</v>
      </c>
      <c r="K3181" s="16">
        <v>305.49296784293006</v>
      </c>
      <c r="L3181" s="13">
        <v>2.2400000000000002</v>
      </c>
      <c r="M3181" s="13"/>
      <c r="N3181" s="17">
        <f t="shared" si="106"/>
        <v>2307.2000000000003</v>
      </c>
      <c r="O3181" s="17">
        <f t="shared" si="106"/>
        <v>0</v>
      </c>
      <c r="P3181" s="17">
        <f t="shared" si="105"/>
        <v>2307.2000000000003</v>
      </c>
      <c r="Q3181" t="str">
        <f>A3181&amp;"-"&amp;B3181&amp;"-"&amp;D3181</f>
        <v>JULI-MJ2-L9</v>
      </c>
    </row>
    <row r="3182" spans="1:17" x14ac:dyDescent="0.25">
      <c r="A3182" t="s">
        <v>397</v>
      </c>
      <c r="B3182" s="13" t="s">
        <v>26</v>
      </c>
      <c r="C3182" s="13" t="s">
        <v>226</v>
      </c>
      <c r="D3182" s="14" t="s">
        <v>199</v>
      </c>
      <c r="E3182" s="13" t="s">
        <v>61</v>
      </c>
      <c r="F3182" s="13" t="s">
        <v>1184</v>
      </c>
      <c r="G3182" s="13">
        <v>0.93</v>
      </c>
      <c r="H3182" s="15">
        <v>42</v>
      </c>
      <c r="I3182" s="16">
        <v>39.06</v>
      </c>
      <c r="J3182" s="16">
        <v>24.191060985797826</v>
      </c>
      <c r="K3182" s="16">
        <v>14.868939014202173</v>
      </c>
      <c r="L3182" s="13">
        <v>2.4300000000000002</v>
      </c>
      <c r="M3182" s="13"/>
      <c r="N3182" s="17">
        <f t="shared" si="106"/>
        <v>102.06</v>
      </c>
      <c r="O3182" s="17">
        <f t="shared" si="106"/>
        <v>0</v>
      </c>
      <c r="P3182" s="17">
        <f t="shared" si="105"/>
        <v>102.06</v>
      </c>
      <c r="Q3182" t="str">
        <f>A3182&amp;"-"&amp;B3182&amp;"-"&amp;D3182</f>
        <v>JULI-MJ2-L9</v>
      </c>
    </row>
    <row r="3183" spans="1:17" x14ac:dyDescent="0.25">
      <c r="A3183" t="s">
        <v>397</v>
      </c>
      <c r="B3183" s="13" t="s">
        <v>26</v>
      </c>
      <c r="C3183" s="13" t="s">
        <v>226</v>
      </c>
      <c r="D3183" s="14" t="s">
        <v>199</v>
      </c>
      <c r="E3183" s="13" t="s">
        <v>61</v>
      </c>
      <c r="F3183" s="13" t="s">
        <v>1185</v>
      </c>
      <c r="G3183" s="13">
        <v>0.66</v>
      </c>
      <c r="H3183" s="15">
        <v>1469</v>
      </c>
      <c r="I3183" s="16">
        <v>969.54</v>
      </c>
      <c r="J3183" s="16">
        <v>962.94456456067371</v>
      </c>
      <c r="K3183" s="16">
        <v>6.5954354393262804</v>
      </c>
      <c r="L3183" s="13">
        <v>1.83</v>
      </c>
      <c r="M3183" s="13"/>
      <c r="N3183" s="17">
        <f t="shared" si="106"/>
        <v>2688.27</v>
      </c>
      <c r="O3183" s="17">
        <f t="shared" si="106"/>
        <v>0</v>
      </c>
      <c r="P3183" s="17">
        <f t="shared" si="105"/>
        <v>2688.27</v>
      </c>
      <c r="Q3183" t="str">
        <f>A3183&amp;"-"&amp;B3183&amp;"-"&amp;D3183</f>
        <v>JULI-MJ2-L9</v>
      </c>
    </row>
    <row r="3184" spans="1:17" x14ac:dyDescent="0.25">
      <c r="A3184" t="s">
        <v>397</v>
      </c>
      <c r="B3184" s="13" t="s">
        <v>26</v>
      </c>
      <c r="C3184" s="13" t="s">
        <v>226</v>
      </c>
      <c r="D3184" s="14" t="s">
        <v>199</v>
      </c>
      <c r="E3184" s="13" t="s">
        <v>61</v>
      </c>
      <c r="F3184" s="13" t="s">
        <v>1186</v>
      </c>
      <c r="G3184" s="13">
        <v>0.69999999999999984</v>
      </c>
      <c r="H3184" s="15">
        <v>5070</v>
      </c>
      <c r="I3184" s="16">
        <v>3549</v>
      </c>
      <c r="J3184" s="16">
        <v>2570.7434705712071</v>
      </c>
      <c r="K3184" s="16">
        <v>978.25652942879299</v>
      </c>
      <c r="L3184" s="13">
        <v>1.3</v>
      </c>
      <c r="M3184" s="13"/>
      <c r="N3184" s="17">
        <f t="shared" si="106"/>
        <v>6591</v>
      </c>
      <c r="O3184" s="17">
        <f t="shared" si="106"/>
        <v>0</v>
      </c>
      <c r="P3184" s="17">
        <f t="shared" si="105"/>
        <v>6591</v>
      </c>
      <c r="Q3184" t="str">
        <f>A3184&amp;"-"&amp;B3184&amp;"-"&amp;D3184</f>
        <v>JULI-MJ2-L9</v>
      </c>
    </row>
    <row r="3185" spans="1:17" x14ac:dyDescent="0.25">
      <c r="A3185" t="s">
        <v>397</v>
      </c>
      <c r="B3185" s="13" t="s">
        <v>26</v>
      </c>
      <c r="C3185" s="13" t="s">
        <v>226</v>
      </c>
      <c r="D3185" s="14" t="s">
        <v>199</v>
      </c>
      <c r="E3185" s="13" t="s">
        <v>61</v>
      </c>
      <c r="F3185" s="13" t="s">
        <v>1085</v>
      </c>
      <c r="G3185" s="13">
        <v>0.79</v>
      </c>
      <c r="H3185" s="15">
        <v>259</v>
      </c>
      <c r="I3185" s="16">
        <v>204.61</v>
      </c>
      <c r="J3185" s="16">
        <v>153.00940261660654</v>
      </c>
      <c r="K3185" s="16">
        <v>51.60059738339347</v>
      </c>
      <c r="L3185" s="13">
        <v>2.42</v>
      </c>
      <c r="M3185" s="13"/>
      <c r="N3185" s="17">
        <f t="shared" si="106"/>
        <v>626.78</v>
      </c>
      <c r="O3185" s="17">
        <f t="shared" si="106"/>
        <v>0</v>
      </c>
      <c r="P3185" s="17">
        <f t="shared" si="105"/>
        <v>626.78</v>
      </c>
      <c r="Q3185" t="str">
        <f>A3185&amp;"-"&amp;B3185&amp;"-"&amp;D3185</f>
        <v>JULI-MJ2-L9</v>
      </c>
    </row>
    <row r="3186" spans="1:17" x14ac:dyDescent="0.25">
      <c r="A3186" t="s">
        <v>397</v>
      </c>
      <c r="B3186" s="13" t="s">
        <v>26</v>
      </c>
      <c r="C3186" s="13" t="s">
        <v>226</v>
      </c>
      <c r="D3186" s="14" t="s">
        <v>199</v>
      </c>
      <c r="E3186" s="13" t="s">
        <v>61</v>
      </c>
      <c r="F3186" s="13" t="s">
        <v>1187</v>
      </c>
      <c r="G3186" s="13">
        <v>0.79</v>
      </c>
      <c r="H3186" s="15">
        <v>1429</v>
      </c>
      <c r="I3186" s="16">
        <v>1128.9100000000001</v>
      </c>
      <c r="J3186" s="16">
        <v>946.41967213114754</v>
      </c>
      <c r="K3186" s="16">
        <v>182.49032786885255</v>
      </c>
      <c r="L3186" s="13">
        <v>2.14</v>
      </c>
      <c r="M3186" s="13"/>
      <c r="N3186" s="17">
        <f t="shared" si="106"/>
        <v>3058.0600000000004</v>
      </c>
      <c r="O3186" s="17">
        <f t="shared" si="106"/>
        <v>0</v>
      </c>
      <c r="P3186" s="17">
        <f t="shared" si="105"/>
        <v>3058.0600000000004</v>
      </c>
      <c r="Q3186" t="str">
        <f>A3186&amp;"-"&amp;B3186&amp;"-"&amp;D3186</f>
        <v>JULI-MJ2-L9</v>
      </c>
    </row>
    <row r="3187" spans="1:17" x14ac:dyDescent="0.25">
      <c r="A3187" t="s">
        <v>397</v>
      </c>
      <c r="B3187" s="13" t="s">
        <v>26</v>
      </c>
      <c r="C3187" s="13" t="s">
        <v>226</v>
      </c>
      <c r="D3187" s="14" t="s">
        <v>199</v>
      </c>
      <c r="E3187" s="13" t="s">
        <v>61</v>
      </c>
      <c r="F3187" s="13" t="s">
        <v>1188</v>
      </c>
      <c r="G3187" s="13">
        <v>0.72</v>
      </c>
      <c r="H3187" s="15">
        <v>48</v>
      </c>
      <c r="I3187" s="16">
        <v>34.56</v>
      </c>
      <c r="J3187" s="16">
        <v>31.790163934426229</v>
      </c>
      <c r="K3187" s="16">
        <v>2.7698360655737737</v>
      </c>
      <c r="L3187" s="13">
        <v>2.29</v>
      </c>
      <c r="M3187" s="13"/>
      <c r="N3187" s="17">
        <f t="shared" si="106"/>
        <v>109.92</v>
      </c>
      <c r="O3187" s="17">
        <f t="shared" si="106"/>
        <v>0</v>
      </c>
      <c r="P3187" s="17">
        <f t="shared" si="105"/>
        <v>109.92</v>
      </c>
      <c r="Q3187" t="str">
        <f>A3187&amp;"-"&amp;B3187&amp;"-"&amp;D3187</f>
        <v>JULI-MJ2-L9</v>
      </c>
    </row>
    <row r="3188" spans="1:17" x14ac:dyDescent="0.25">
      <c r="A3188" t="s">
        <v>397</v>
      </c>
      <c r="B3188" s="13" t="s">
        <v>26</v>
      </c>
      <c r="C3188" s="13" t="s">
        <v>226</v>
      </c>
      <c r="D3188" s="14" t="s">
        <v>199</v>
      </c>
      <c r="E3188" s="13" t="s">
        <v>61</v>
      </c>
      <c r="F3188" s="13" t="s">
        <v>1189</v>
      </c>
      <c r="G3188" s="13">
        <v>0.79</v>
      </c>
      <c r="H3188" s="15">
        <v>1513</v>
      </c>
      <c r="I3188" s="16">
        <v>1195.27</v>
      </c>
      <c r="J3188" s="16">
        <v>862.03587798163346</v>
      </c>
      <c r="K3188" s="16">
        <v>333.23412201836652</v>
      </c>
      <c r="L3188" s="13">
        <v>2.42</v>
      </c>
      <c r="M3188" s="13"/>
      <c r="N3188" s="17">
        <f t="shared" si="106"/>
        <v>3661.46</v>
      </c>
      <c r="O3188" s="17">
        <f t="shared" si="106"/>
        <v>0</v>
      </c>
      <c r="P3188" s="17">
        <f t="shared" si="105"/>
        <v>3661.46</v>
      </c>
      <c r="Q3188" t="str">
        <f>A3188&amp;"-"&amp;B3188&amp;"-"&amp;D3188</f>
        <v>JULI-MJ2-L9</v>
      </c>
    </row>
    <row r="3189" spans="1:17" x14ac:dyDescent="0.25">
      <c r="A3189" t="s">
        <v>397</v>
      </c>
      <c r="B3189" s="13" t="s">
        <v>26</v>
      </c>
      <c r="C3189" s="13" t="s">
        <v>226</v>
      </c>
      <c r="D3189" s="14" t="s">
        <v>199</v>
      </c>
      <c r="E3189" s="13" t="s">
        <v>61</v>
      </c>
      <c r="F3189" s="13" t="s">
        <v>1190</v>
      </c>
      <c r="G3189" s="13">
        <v>0.79</v>
      </c>
      <c r="H3189" s="15">
        <v>657</v>
      </c>
      <c r="I3189" s="16">
        <v>519.03</v>
      </c>
      <c r="J3189" s="16">
        <v>390.16821392723926</v>
      </c>
      <c r="K3189" s="16">
        <v>128.86178607276071</v>
      </c>
      <c r="L3189" s="13">
        <v>2.42</v>
      </c>
      <c r="M3189" s="13"/>
      <c r="N3189" s="17">
        <f t="shared" si="106"/>
        <v>1589.94</v>
      </c>
      <c r="O3189" s="17">
        <f t="shared" si="106"/>
        <v>0</v>
      </c>
      <c r="P3189" s="17">
        <f t="shared" si="105"/>
        <v>1589.94</v>
      </c>
      <c r="Q3189" t="str">
        <f>A3189&amp;"-"&amp;B3189&amp;"-"&amp;D3189</f>
        <v>JULI-MJ2-L9</v>
      </c>
    </row>
    <row r="3190" spans="1:17" x14ac:dyDescent="0.25">
      <c r="A3190" t="s">
        <v>397</v>
      </c>
      <c r="B3190" s="13" t="s">
        <v>26</v>
      </c>
      <c r="C3190" s="13" t="s">
        <v>226</v>
      </c>
      <c r="D3190" s="14" t="s">
        <v>199</v>
      </c>
      <c r="E3190" s="13" t="s">
        <v>61</v>
      </c>
      <c r="F3190" s="13" t="s">
        <v>1086</v>
      </c>
      <c r="G3190" s="13">
        <v>0.79</v>
      </c>
      <c r="H3190" s="15">
        <v>505</v>
      </c>
      <c r="I3190" s="16">
        <v>398.94999999999993</v>
      </c>
      <c r="J3190" s="16">
        <v>294.31959633035012</v>
      </c>
      <c r="K3190" s="16">
        <v>104.63040366964989</v>
      </c>
      <c r="L3190" s="13">
        <v>2.42</v>
      </c>
      <c r="M3190" s="13"/>
      <c r="N3190" s="17">
        <f t="shared" si="106"/>
        <v>1222.0999999999999</v>
      </c>
      <c r="O3190" s="17">
        <f t="shared" si="106"/>
        <v>0</v>
      </c>
      <c r="P3190" s="17">
        <f t="shared" si="105"/>
        <v>1222.0999999999999</v>
      </c>
      <c r="Q3190" t="str">
        <f>A3190&amp;"-"&amp;B3190&amp;"-"&amp;D3190</f>
        <v>JULI-MJ2-L9</v>
      </c>
    </row>
    <row r="3191" spans="1:17" x14ac:dyDescent="0.25">
      <c r="A3191" t="s">
        <v>397</v>
      </c>
      <c r="B3191" s="13" t="s">
        <v>26</v>
      </c>
      <c r="C3191" s="13" t="s">
        <v>226</v>
      </c>
      <c r="D3191" s="14" t="s">
        <v>199</v>
      </c>
      <c r="E3191" s="13" t="s">
        <v>61</v>
      </c>
      <c r="F3191" s="13" t="s">
        <v>1191</v>
      </c>
      <c r="G3191" s="13">
        <v>0.79</v>
      </c>
      <c r="H3191" s="15">
        <v>2650</v>
      </c>
      <c r="I3191" s="16">
        <v>2093.5</v>
      </c>
      <c r="J3191" s="16">
        <v>1716.0275826177465</v>
      </c>
      <c r="K3191" s="16">
        <v>377.4724173822533</v>
      </c>
      <c r="L3191" s="13">
        <v>2.14</v>
      </c>
      <c r="M3191" s="13"/>
      <c r="N3191" s="17">
        <f t="shared" si="106"/>
        <v>5671</v>
      </c>
      <c r="O3191" s="17">
        <f t="shared" si="106"/>
        <v>0</v>
      </c>
      <c r="P3191" s="17">
        <f t="shared" si="105"/>
        <v>5671</v>
      </c>
      <c r="Q3191" t="str">
        <f>A3191&amp;"-"&amp;B3191&amp;"-"&amp;D3191</f>
        <v>JULI-MJ2-L9</v>
      </c>
    </row>
    <row r="3192" spans="1:17" x14ac:dyDescent="0.25">
      <c r="A3192" t="s">
        <v>397</v>
      </c>
      <c r="B3192" s="13" t="s">
        <v>26</v>
      </c>
      <c r="C3192" s="13" t="s">
        <v>226</v>
      </c>
      <c r="D3192" s="14" t="s">
        <v>199</v>
      </c>
      <c r="E3192" s="13" t="s">
        <v>61</v>
      </c>
      <c r="F3192" s="13" t="s">
        <v>1232</v>
      </c>
      <c r="G3192" s="13">
        <v>0.72</v>
      </c>
      <c r="H3192" s="15">
        <v>523</v>
      </c>
      <c r="I3192" s="16">
        <v>376.56</v>
      </c>
      <c r="J3192" s="16">
        <v>335.7625813166797</v>
      </c>
      <c r="K3192" s="16">
        <v>40.797418683320309</v>
      </c>
      <c r="L3192" s="13">
        <v>2.29</v>
      </c>
      <c r="M3192" s="13"/>
      <c r="N3192" s="17">
        <f t="shared" si="106"/>
        <v>1197.67</v>
      </c>
      <c r="O3192" s="17">
        <f t="shared" si="106"/>
        <v>0</v>
      </c>
      <c r="P3192" s="17">
        <f t="shared" si="105"/>
        <v>1197.67</v>
      </c>
      <c r="Q3192" t="str">
        <f>A3192&amp;"-"&amp;B3192&amp;"-"&amp;D3192</f>
        <v>JULI-MJ2-L9</v>
      </c>
    </row>
    <row r="3193" spans="1:17" x14ac:dyDescent="0.25">
      <c r="A3193" t="s">
        <v>397</v>
      </c>
      <c r="B3193" s="13" t="s">
        <v>26</v>
      </c>
      <c r="C3193" s="13" t="s">
        <v>226</v>
      </c>
      <c r="D3193" s="14" t="s">
        <v>199</v>
      </c>
      <c r="E3193" s="13" t="s">
        <v>61</v>
      </c>
      <c r="F3193" s="13" t="s">
        <v>1192</v>
      </c>
      <c r="G3193" s="13">
        <v>0.79</v>
      </c>
      <c r="H3193" s="15">
        <v>1335</v>
      </c>
      <c r="I3193" s="16">
        <v>1054.6500000000001</v>
      </c>
      <c r="J3193" s="16">
        <v>946.21052631578948</v>
      </c>
      <c r="K3193" s="16">
        <v>108.43947368421061</v>
      </c>
      <c r="L3193" s="13">
        <v>2.14</v>
      </c>
      <c r="M3193" s="13"/>
      <c r="N3193" s="17">
        <f t="shared" si="106"/>
        <v>2856.9</v>
      </c>
      <c r="O3193" s="17">
        <f t="shared" si="106"/>
        <v>0</v>
      </c>
      <c r="P3193" s="17">
        <f t="shared" si="105"/>
        <v>2856.9</v>
      </c>
      <c r="Q3193" t="str">
        <f>A3193&amp;"-"&amp;B3193&amp;"-"&amp;D3193</f>
        <v>JULI-MJ2-L9</v>
      </c>
    </row>
    <row r="3194" spans="1:17" x14ac:dyDescent="0.25">
      <c r="A3194" t="s">
        <v>397</v>
      </c>
      <c r="B3194" s="13" t="s">
        <v>26</v>
      </c>
      <c r="C3194" s="13" t="s">
        <v>226</v>
      </c>
      <c r="D3194" s="14" t="s">
        <v>199</v>
      </c>
      <c r="E3194" s="13" t="s">
        <v>61</v>
      </c>
      <c r="F3194" s="13" t="s">
        <v>1194</v>
      </c>
      <c r="G3194" s="13">
        <v>0.79</v>
      </c>
      <c r="H3194" s="15">
        <v>3358</v>
      </c>
      <c r="I3194" s="16">
        <v>2652.82</v>
      </c>
      <c r="J3194" s="16">
        <v>1919.1476137892018</v>
      </c>
      <c r="K3194" s="16">
        <v>733.67238621079844</v>
      </c>
      <c r="L3194" s="13">
        <v>2.42</v>
      </c>
      <c r="M3194" s="13"/>
      <c r="N3194" s="17">
        <f t="shared" si="106"/>
        <v>8126.36</v>
      </c>
      <c r="O3194" s="17">
        <f t="shared" si="106"/>
        <v>0</v>
      </c>
      <c r="P3194" s="17">
        <f t="shared" si="105"/>
        <v>8126.36</v>
      </c>
      <c r="Q3194" t="str">
        <f>A3194&amp;"-"&amp;B3194&amp;"-"&amp;D3194</f>
        <v>JULI-MJ2-L9</v>
      </c>
    </row>
    <row r="3195" spans="1:17" x14ac:dyDescent="0.25">
      <c r="A3195" t="s">
        <v>397</v>
      </c>
      <c r="B3195" s="13" t="s">
        <v>26</v>
      </c>
      <c r="C3195" s="13" t="s">
        <v>226</v>
      </c>
      <c r="D3195" s="14" t="s">
        <v>199</v>
      </c>
      <c r="E3195" s="13" t="s">
        <v>61</v>
      </c>
      <c r="F3195" s="13" t="s">
        <v>1195</v>
      </c>
      <c r="G3195" s="13">
        <v>0.79</v>
      </c>
      <c r="H3195" s="15">
        <v>2056</v>
      </c>
      <c r="I3195" s="16">
        <v>1624.24</v>
      </c>
      <c r="J3195" s="16">
        <v>1153.2940365809745</v>
      </c>
      <c r="K3195" s="16">
        <v>470.94596341902565</v>
      </c>
      <c r="L3195" s="13">
        <v>2.42</v>
      </c>
      <c r="M3195" s="13"/>
      <c r="N3195" s="17">
        <f t="shared" si="106"/>
        <v>4975.5199999999995</v>
      </c>
      <c r="O3195" s="17">
        <f t="shared" si="106"/>
        <v>0</v>
      </c>
      <c r="P3195" s="17">
        <f t="shared" si="105"/>
        <v>4975.5199999999995</v>
      </c>
      <c r="Q3195" t="str">
        <f>A3195&amp;"-"&amp;B3195&amp;"-"&amp;D3195</f>
        <v>JULI-MJ2-L9</v>
      </c>
    </row>
    <row r="3196" spans="1:17" x14ac:dyDescent="0.25">
      <c r="A3196" t="s">
        <v>397</v>
      </c>
      <c r="B3196" s="13" t="s">
        <v>26</v>
      </c>
      <c r="C3196" s="13" t="s">
        <v>226</v>
      </c>
      <c r="D3196" s="14" t="s">
        <v>199</v>
      </c>
      <c r="E3196" s="13" t="s">
        <v>61</v>
      </c>
      <c r="F3196" s="13" t="s">
        <v>1196</v>
      </c>
      <c r="G3196" s="13">
        <v>0.65</v>
      </c>
      <c r="H3196" s="15">
        <v>4122</v>
      </c>
      <c r="I3196" s="16">
        <v>2679.2999999999997</v>
      </c>
      <c r="J3196" s="16">
        <v>2472.6309592162224</v>
      </c>
      <c r="K3196" s="16">
        <v>206.66904078377758</v>
      </c>
      <c r="L3196" s="13">
        <v>1.66</v>
      </c>
      <c r="M3196" s="13"/>
      <c r="N3196" s="17">
        <f t="shared" si="106"/>
        <v>6842.5199999999995</v>
      </c>
      <c r="O3196" s="17">
        <f t="shared" si="106"/>
        <v>0</v>
      </c>
      <c r="P3196" s="17">
        <f t="shared" si="105"/>
        <v>6842.5199999999995</v>
      </c>
      <c r="Q3196" t="str">
        <f>A3196&amp;"-"&amp;B3196&amp;"-"&amp;D3196</f>
        <v>JULI-MJ2-L9</v>
      </c>
    </row>
    <row r="3197" spans="1:17" x14ac:dyDescent="0.25">
      <c r="A3197" t="s">
        <v>397</v>
      </c>
      <c r="B3197" s="13" t="s">
        <v>26</v>
      </c>
      <c r="C3197" s="13" t="s">
        <v>226</v>
      </c>
      <c r="D3197" s="14" t="s">
        <v>199</v>
      </c>
      <c r="E3197" s="13" t="s">
        <v>61</v>
      </c>
      <c r="F3197" s="13" t="s">
        <v>1197</v>
      </c>
      <c r="G3197" s="13">
        <v>0.65</v>
      </c>
      <c r="H3197" s="15">
        <v>437</v>
      </c>
      <c r="I3197" s="16">
        <v>284.05</v>
      </c>
      <c r="J3197" s="16">
        <v>243.18241057188428</v>
      </c>
      <c r="K3197" s="16">
        <v>40.867589428115735</v>
      </c>
      <c r="L3197" s="13">
        <v>1.79</v>
      </c>
      <c r="M3197" s="13"/>
      <c r="N3197" s="17">
        <f t="shared" si="106"/>
        <v>782.23</v>
      </c>
      <c r="O3197" s="17">
        <f t="shared" si="106"/>
        <v>0</v>
      </c>
      <c r="P3197" s="17">
        <f t="shared" si="105"/>
        <v>782.23</v>
      </c>
      <c r="Q3197" t="str">
        <f>A3197&amp;"-"&amp;B3197&amp;"-"&amp;D3197</f>
        <v>JULI-MJ2-L9</v>
      </c>
    </row>
    <row r="3198" spans="1:17" x14ac:dyDescent="0.25">
      <c r="A3198" t="s">
        <v>397</v>
      </c>
      <c r="B3198" s="13" t="s">
        <v>26</v>
      </c>
      <c r="C3198" s="13" t="s">
        <v>226</v>
      </c>
      <c r="D3198" s="14" t="s">
        <v>199</v>
      </c>
      <c r="E3198" s="13" t="s">
        <v>61</v>
      </c>
      <c r="F3198" s="13" t="s">
        <v>959</v>
      </c>
      <c r="G3198" s="13">
        <v>0.65</v>
      </c>
      <c r="H3198" s="15">
        <v>192</v>
      </c>
      <c r="I3198" s="16">
        <v>124.8</v>
      </c>
      <c r="J3198" s="16">
        <v>126.73663423673848</v>
      </c>
      <c r="K3198" s="16">
        <v>-1.9366342367384846</v>
      </c>
      <c r="L3198" s="13">
        <v>1.64</v>
      </c>
      <c r="M3198" s="13"/>
      <c r="N3198" s="17">
        <f t="shared" si="106"/>
        <v>314.88</v>
      </c>
      <c r="O3198" s="17">
        <f t="shared" si="106"/>
        <v>0</v>
      </c>
      <c r="P3198" s="17">
        <f t="shared" si="105"/>
        <v>314.88</v>
      </c>
      <c r="Q3198" t="str">
        <f>A3198&amp;"-"&amp;B3198&amp;"-"&amp;D3198</f>
        <v>JULI-MJ2-L9</v>
      </c>
    </row>
    <row r="3199" spans="1:17" x14ac:dyDescent="0.25">
      <c r="A3199" t="s">
        <v>397</v>
      </c>
      <c r="B3199" s="13" t="s">
        <v>26</v>
      </c>
      <c r="C3199" s="13" t="s">
        <v>226</v>
      </c>
      <c r="D3199" s="14" t="s">
        <v>199</v>
      </c>
      <c r="E3199" s="13" t="s">
        <v>61</v>
      </c>
      <c r="F3199" s="13" t="s">
        <v>1198</v>
      </c>
      <c r="G3199" s="13">
        <v>0.65</v>
      </c>
      <c r="H3199" s="15">
        <v>4273</v>
      </c>
      <c r="I3199" s="16">
        <v>2777.4500000000003</v>
      </c>
      <c r="J3199" s="16">
        <v>2349.8971983014335</v>
      </c>
      <c r="K3199" s="16">
        <v>427.55280169856638</v>
      </c>
      <c r="L3199" s="13">
        <v>1.66</v>
      </c>
      <c r="M3199" s="13"/>
      <c r="N3199" s="17">
        <f t="shared" si="106"/>
        <v>7093.1799999999994</v>
      </c>
      <c r="O3199" s="17">
        <f t="shared" si="106"/>
        <v>0</v>
      </c>
      <c r="P3199" s="17">
        <f t="shared" si="105"/>
        <v>7093.1799999999994</v>
      </c>
      <c r="Q3199" t="str">
        <f>A3199&amp;"-"&amp;B3199&amp;"-"&amp;D3199</f>
        <v>JULI-MJ2-L9</v>
      </c>
    </row>
    <row r="3200" spans="1:17" x14ac:dyDescent="0.25">
      <c r="A3200" t="s">
        <v>397</v>
      </c>
      <c r="B3200" s="13" t="s">
        <v>26</v>
      </c>
      <c r="C3200" s="13" t="s">
        <v>226</v>
      </c>
      <c r="D3200" s="14" t="s">
        <v>199</v>
      </c>
      <c r="E3200" s="13" t="s">
        <v>61</v>
      </c>
      <c r="F3200" s="13" t="s">
        <v>1199</v>
      </c>
      <c r="G3200" s="13">
        <v>0.65</v>
      </c>
      <c r="H3200" s="15">
        <v>98</v>
      </c>
      <c r="I3200" s="16">
        <v>63.7</v>
      </c>
      <c r="J3200" s="16">
        <v>53.836387311681435</v>
      </c>
      <c r="K3200" s="16">
        <v>9.8636126883185682</v>
      </c>
      <c r="L3200" s="13">
        <v>1.79</v>
      </c>
      <c r="M3200" s="13"/>
      <c r="N3200" s="17">
        <f t="shared" si="106"/>
        <v>175.42000000000002</v>
      </c>
      <c r="O3200" s="17">
        <f t="shared" si="106"/>
        <v>0</v>
      </c>
      <c r="P3200" s="17">
        <f t="shared" si="105"/>
        <v>175.42000000000002</v>
      </c>
      <c r="Q3200" t="str">
        <f>A3200&amp;"-"&amp;B3200&amp;"-"&amp;D3200</f>
        <v>JULI-MJ2-L9</v>
      </c>
    </row>
    <row r="3201" spans="1:17" x14ac:dyDescent="0.25">
      <c r="A3201" t="s">
        <v>397</v>
      </c>
      <c r="B3201" s="13" t="s">
        <v>26</v>
      </c>
      <c r="C3201" s="13" t="s">
        <v>226</v>
      </c>
      <c r="D3201" s="14" t="s">
        <v>199</v>
      </c>
      <c r="E3201" s="13" t="s">
        <v>61</v>
      </c>
      <c r="F3201" s="13" t="s">
        <v>1087</v>
      </c>
      <c r="G3201" s="13">
        <v>0.65</v>
      </c>
      <c r="H3201" s="15">
        <v>14</v>
      </c>
      <c r="I3201" s="16">
        <v>9.1</v>
      </c>
      <c r="J3201" s="16">
        <v>7.7479452054794518</v>
      </c>
      <c r="K3201" s="16">
        <v>1.3520547945205477</v>
      </c>
      <c r="L3201" s="13">
        <v>1.64</v>
      </c>
      <c r="M3201" s="13"/>
      <c r="N3201" s="17">
        <f t="shared" si="106"/>
        <v>22.959999999999997</v>
      </c>
      <c r="O3201" s="17">
        <f t="shared" si="106"/>
        <v>0</v>
      </c>
      <c r="P3201" s="17">
        <f t="shared" si="105"/>
        <v>22.959999999999997</v>
      </c>
      <c r="Q3201" t="str">
        <f>A3201&amp;"-"&amp;B3201&amp;"-"&amp;D3201</f>
        <v>JULI-MJ2-L9</v>
      </c>
    </row>
    <row r="3202" spans="1:17" x14ac:dyDescent="0.25">
      <c r="A3202" t="s">
        <v>398</v>
      </c>
      <c r="B3202" s="13" t="s">
        <v>18</v>
      </c>
      <c r="C3202" s="13" t="s">
        <v>43</v>
      </c>
      <c r="D3202" s="14" t="s">
        <v>50</v>
      </c>
      <c r="E3202" s="13" t="s">
        <v>45</v>
      </c>
      <c r="F3202" s="13" t="s">
        <v>1233</v>
      </c>
      <c r="G3202" s="13">
        <v>3.3100000000000009</v>
      </c>
      <c r="H3202" s="15">
        <v>3136</v>
      </c>
      <c r="I3202" s="16">
        <v>10380.16</v>
      </c>
      <c r="J3202" s="16">
        <v>11547.552926923761</v>
      </c>
      <c r="K3202" s="16">
        <v>-1167.3929269237603</v>
      </c>
      <c r="L3202" s="13"/>
      <c r="M3202" s="13">
        <v>3.8</v>
      </c>
      <c r="N3202" s="17">
        <f t="shared" si="106"/>
        <v>0</v>
      </c>
      <c r="O3202" s="17">
        <f t="shared" si="106"/>
        <v>11916.8</v>
      </c>
      <c r="P3202" s="17">
        <f t="shared" ref="P3202:P3265" si="107">N3202+O3202</f>
        <v>11916.8</v>
      </c>
      <c r="Q3202" t="str">
        <f>A3202&amp;"-"&amp;B3202&amp;"-"&amp;D3202</f>
        <v>AGUSTUS-CBA-L2</v>
      </c>
    </row>
    <row r="3203" spans="1:17" x14ac:dyDescent="0.25">
      <c r="A3203" t="s">
        <v>398</v>
      </c>
      <c r="B3203" s="13" t="s">
        <v>18</v>
      </c>
      <c r="C3203" s="13" t="s">
        <v>43</v>
      </c>
      <c r="D3203" s="14" t="s">
        <v>50</v>
      </c>
      <c r="E3203" s="13" t="s">
        <v>45</v>
      </c>
      <c r="F3203" s="13" t="s">
        <v>1234</v>
      </c>
      <c r="G3203" s="13">
        <v>2.99</v>
      </c>
      <c r="H3203" s="15">
        <v>460</v>
      </c>
      <c r="I3203" s="16">
        <v>1375.4</v>
      </c>
      <c r="J3203" s="16">
        <v>2001</v>
      </c>
      <c r="K3203" s="16">
        <v>-625.59999999999991</v>
      </c>
      <c r="L3203" s="13"/>
      <c r="M3203" s="13">
        <v>3.23</v>
      </c>
      <c r="N3203" s="17">
        <f t="shared" ref="N3203:O3263" si="108">$H3203*L3203</f>
        <v>0</v>
      </c>
      <c r="O3203" s="17">
        <f t="shared" si="108"/>
        <v>1485.8</v>
      </c>
      <c r="P3203" s="17">
        <f t="shared" si="107"/>
        <v>1485.8</v>
      </c>
      <c r="Q3203" t="str">
        <f>A3203&amp;"-"&amp;B3203&amp;"-"&amp;D3203</f>
        <v>AGUSTUS-CBA-L2</v>
      </c>
    </row>
    <row r="3204" spans="1:17" x14ac:dyDescent="0.25">
      <c r="A3204" t="s">
        <v>398</v>
      </c>
      <c r="B3204" s="13" t="s">
        <v>18</v>
      </c>
      <c r="C3204" s="13" t="s">
        <v>43</v>
      </c>
      <c r="D3204" s="14" t="s">
        <v>56</v>
      </c>
      <c r="E3204" s="13" t="s">
        <v>179</v>
      </c>
      <c r="F3204" s="13" t="s">
        <v>1116</v>
      </c>
      <c r="G3204" s="13">
        <v>1.54</v>
      </c>
      <c r="H3204" s="15">
        <v>3</v>
      </c>
      <c r="I3204" s="16">
        <v>4.62</v>
      </c>
      <c r="J3204" s="16">
        <v>4.1428695652173912</v>
      </c>
      <c r="K3204" s="16">
        <v>0.47713043478260886</v>
      </c>
      <c r="L3204" s="13"/>
      <c r="M3204" s="13">
        <v>1.65</v>
      </c>
      <c r="N3204" s="17">
        <f t="shared" si="108"/>
        <v>0</v>
      </c>
      <c r="O3204" s="17">
        <f t="shared" si="108"/>
        <v>4.9499999999999993</v>
      </c>
      <c r="P3204" s="17">
        <f t="shared" si="107"/>
        <v>4.9499999999999993</v>
      </c>
      <c r="Q3204" t="str">
        <f>A3204&amp;"-"&amp;B3204&amp;"-"&amp;D3204</f>
        <v>AGUSTUS-CBA-L3</v>
      </c>
    </row>
    <row r="3205" spans="1:17" x14ac:dyDescent="0.25">
      <c r="A3205" t="s">
        <v>398</v>
      </c>
      <c r="B3205" s="13" t="s">
        <v>18</v>
      </c>
      <c r="C3205" s="13" t="s">
        <v>43</v>
      </c>
      <c r="D3205" s="14" t="s">
        <v>56</v>
      </c>
      <c r="E3205" s="13" t="s">
        <v>179</v>
      </c>
      <c r="F3205" s="13" t="s">
        <v>1118</v>
      </c>
      <c r="G3205" s="13">
        <v>1.54</v>
      </c>
      <c r="H3205" s="15">
        <v>3232</v>
      </c>
      <c r="I3205" s="16">
        <v>4977.28</v>
      </c>
      <c r="J3205" s="16">
        <v>4530.4555514874146</v>
      </c>
      <c r="K3205" s="16">
        <v>446.82444851258572</v>
      </c>
      <c r="L3205" s="13"/>
      <c r="M3205" s="13">
        <v>1.65</v>
      </c>
      <c r="N3205" s="17">
        <f t="shared" si="108"/>
        <v>0</v>
      </c>
      <c r="O3205" s="17">
        <f t="shared" si="108"/>
        <v>5332.7999999999993</v>
      </c>
      <c r="P3205" s="17">
        <f t="shared" si="107"/>
        <v>5332.7999999999993</v>
      </c>
      <c r="Q3205" t="str">
        <f>A3205&amp;"-"&amp;B3205&amp;"-"&amp;D3205</f>
        <v>AGUSTUS-CBA-L3</v>
      </c>
    </row>
    <row r="3206" spans="1:17" x14ac:dyDescent="0.25">
      <c r="A3206" t="s">
        <v>398</v>
      </c>
      <c r="B3206" s="13" t="s">
        <v>18</v>
      </c>
      <c r="C3206" s="13" t="s">
        <v>43</v>
      </c>
      <c r="D3206" s="14" t="s">
        <v>56</v>
      </c>
      <c r="E3206" s="13" t="s">
        <v>179</v>
      </c>
      <c r="F3206" s="13" t="s">
        <v>1235</v>
      </c>
      <c r="G3206" s="13">
        <v>1.54</v>
      </c>
      <c r="H3206" s="15">
        <v>1872</v>
      </c>
      <c r="I3206" s="16">
        <v>2882.8800000000006</v>
      </c>
      <c r="J3206" s="16">
        <v>2620.6388235294116</v>
      </c>
      <c r="K3206" s="16">
        <v>262.24117647058819</v>
      </c>
      <c r="L3206" s="13"/>
      <c r="M3206" s="13">
        <v>1.65</v>
      </c>
      <c r="N3206" s="17">
        <f t="shared" si="108"/>
        <v>0</v>
      </c>
      <c r="O3206" s="17">
        <f t="shared" si="108"/>
        <v>3088.7999999999997</v>
      </c>
      <c r="P3206" s="17">
        <f t="shared" si="107"/>
        <v>3088.7999999999997</v>
      </c>
      <c r="Q3206" t="str">
        <f>A3206&amp;"-"&amp;B3206&amp;"-"&amp;D3206</f>
        <v>AGUSTUS-CBA-L3</v>
      </c>
    </row>
    <row r="3207" spans="1:17" x14ac:dyDescent="0.25">
      <c r="A3207" t="s">
        <v>398</v>
      </c>
      <c r="B3207" s="13" t="s">
        <v>18</v>
      </c>
      <c r="C3207" s="13" t="s">
        <v>43</v>
      </c>
      <c r="D3207" s="14" t="s">
        <v>56</v>
      </c>
      <c r="E3207" s="13" t="s">
        <v>179</v>
      </c>
      <c r="F3207" s="13" t="s">
        <v>1236</v>
      </c>
      <c r="G3207" s="13">
        <v>1.5399999999999996</v>
      </c>
      <c r="H3207" s="15">
        <v>6008</v>
      </c>
      <c r="I3207" s="16">
        <v>9252.32</v>
      </c>
      <c r="J3207" s="16">
        <v>8757.4827554179574</v>
      </c>
      <c r="K3207" s="16">
        <v>494.83724458204318</v>
      </c>
      <c r="L3207" s="13"/>
      <c r="M3207" s="13">
        <v>1.65</v>
      </c>
      <c r="N3207" s="17">
        <f t="shared" si="108"/>
        <v>0</v>
      </c>
      <c r="O3207" s="17">
        <f t="shared" si="108"/>
        <v>9913.1999999999989</v>
      </c>
      <c r="P3207" s="17">
        <f t="shared" si="107"/>
        <v>9913.1999999999989</v>
      </c>
      <c r="Q3207" t="str">
        <f>A3207&amp;"-"&amp;B3207&amp;"-"&amp;D3207</f>
        <v>AGUSTUS-CBA-L3</v>
      </c>
    </row>
    <row r="3208" spans="1:17" x14ac:dyDescent="0.25">
      <c r="A3208" t="s">
        <v>398</v>
      </c>
      <c r="B3208" s="13" t="s">
        <v>18</v>
      </c>
      <c r="C3208" s="13" t="s">
        <v>43</v>
      </c>
      <c r="D3208" s="14" t="s">
        <v>56</v>
      </c>
      <c r="E3208" s="13" t="s">
        <v>179</v>
      </c>
      <c r="F3208" s="13" t="s">
        <v>1237</v>
      </c>
      <c r="G3208" s="13">
        <v>1.54</v>
      </c>
      <c r="H3208" s="15">
        <v>275</v>
      </c>
      <c r="I3208" s="16">
        <v>423.5</v>
      </c>
      <c r="J3208" s="16">
        <v>667</v>
      </c>
      <c r="K3208" s="16">
        <v>-243.5</v>
      </c>
      <c r="L3208" s="13"/>
      <c r="M3208" s="13">
        <v>1.65</v>
      </c>
      <c r="N3208" s="17">
        <f t="shared" si="108"/>
        <v>0</v>
      </c>
      <c r="O3208" s="17">
        <f t="shared" si="108"/>
        <v>453.75</v>
      </c>
      <c r="P3208" s="17">
        <f t="shared" si="107"/>
        <v>453.75</v>
      </c>
      <c r="Q3208" t="str">
        <f>A3208&amp;"-"&amp;B3208&amp;"-"&amp;D3208</f>
        <v>AGUSTUS-CBA-L3</v>
      </c>
    </row>
    <row r="3209" spans="1:17" x14ac:dyDescent="0.25">
      <c r="A3209" t="s">
        <v>398</v>
      </c>
      <c r="B3209" s="13" t="s">
        <v>18</v>
      </c>
      <c r="C3209" s="13" t="s">
        <v>955</v>
      </c>
      <c r="D3209" s="14" t="s">
        <v>44</v>
      </c>
      <c r="E3209" s="13" t="s">
        <v>71</v>
      </c>
      <c r="F3209" s="13" t="s">
        <v>1119</v>
      </c>
      <c r="G3209" s="13">
        <v>5</v>
      </c>
      <c r="H3209" s="15">
        <v>2098</v>
      </c>
      <c r="I3209" s="16">
        <v>10490</v>
      </c>
      <c r="J3209" s="16">
        <v>8289.86</v>
      </c>
      <c r="K3209" s="16">
        <v>2200.14</v>
      </c>
      <c r="L3209" s="13"/>
      <c r="M3209" s="13">
        <v>6.95</v>
      </c>
      <c r="N3209" s="17">
        <f t="shared" si="108"/>
        <v>0</v>
      </c>
      <c r="O3209" s="17">
        <f t="shared" si="108"/>
        <v>14581.1</v>
      </c>
      <c r="P3209" s="17">
        <f t="shared" si="107"/>
        <v>14581.1</v>
      </c>
      <c r="Q3209" t="str">
        <f>A3209&amp;"-"&amp;B3209&amp;"-"&amp;D3209</f>
        <v>AGUSTUS-CBA-L1</v>
      </c>
    </row>
    <row r="3210" spans="1:17" x14ac:dyDescent="0.25">
      <c r="A3210" t="s">
        <v>398</v>
      </c>
      <c r="B3210" s="13" t="s">
        <v>18</v>
      </c>
      <c r="C3210" s="13" t="s">
        <v>955</v>
      </c>
      <c r="D3210" s="14" t="s">
        <v>44</v>
      </c>
      <c r="E3210" s="13" t="s">
        <v>71</v>
      </c>
      <c r="F3210" s="13" t="s">
        <v>1238</v>
      </c>
      <c r="G3210" s="13">
        <v>4.9800000000000022</v>
      </c>
      <c r="H3210" s="15">
        <v>1850</v>
      </c>
      <c r="I3210" s="16">
        <v>9213</v>
      </c>
      <c r="J3210" s="16">
        <v>8289.86</v>
      </c>
      <c r="K3210" s="16">
        <v>923.13999999999965</v>
      </c>
      <c r="L3210" s="13"/>
      <c r="M3210" s="13">
        <v>6.34</v>
      </c>
      <c r="N3210" s="17">
        <f t="shared" si="108"/>
        <v>0</v>
      </c>
      <c r="O3210" s="17">
        <f t="shared" si="108"/>
        <v>11729</v>
      </c>
      <c r="P3210" s="17">
        <f t="shared" si="107"/>
        <v>11729</v>
      </c>
      <c r="Q3210" t="str">
        <f>A3210&amp;"-"&amp;B3210&amp;"-"&amp;D3210</f>
        <v>AGUSTUS-CBA-L1</v>
      </c>
    </row>
    <row r="3211" spans="1:17" x14ac:dyDescent="0.25">
      <c r="A3211" t="s">
        <v>398</v>
      </c>
      <c r="B3211" s="13" t="s">
        <v>18</v>
      </c>
      <c r="C3211" s="13" t="s">
        <v>955</v>
      </c>
      <c r="D3211" s="14" t="s">
        <v>50</v>
      </c>
      <c r="E3211" s="13" t="s">
        <v>58</v>
      </c>
      <c r="F3211" s="13" t="s">
        <v>1120</v>
      </c>
      <c r="G3211" s="13">
        <v>3.4600000000000004</v>
      </c>
      <c r="H3211" s="15">
        <v>543</v>
      </c>
      <c r="I3211" s="16">
        <v>1878.7800000000002</v>
      </c>
      <c r="J3211" s="16">
        <v>2357.5631126802</v>
      </c>
      <c r="K3211" s="16">
        <v>-478.78311268020002</v>
      </c>
      <c r="L3211" s="13"/>
      <c r="M3211" s="13">
        <v>4.46</v>
      </c>
      <c r="N3211" s="17">
        <f t="shared" si="108"/>
        <v>0</v>
      </c>
      <c r="O3211" s="17">
        <f t="shared" si="108"/>
        <v>2421.7800000000002</v>
      </c>
      <c r="P3211" s="17">
        <f t="shared" si="107"/>
        <v>2421.7800000000002</v>
      </c>
      <c r="Q3211" t="str">
        <f>A3211&amp;"-"&amp;B3211&amp;"-"&amp;D3211</f>
        <v>AGUSTUS-CBA-L2</v>
      </c>
    </row>
    <row r="3212" spans="1:17" x14ac:dyDescent="0.25">
      <c r="A3212" t="s">
        <v>398</v>
      </c>
      <c r="B3212" s="13" t="s">
        <v>18</v>
      </c>
      <c r="C3212" s="13" t="s">
        <v>955</v>
      </c>
      <c r="D3212" s="14" t="s">
        <v>50</v>
      </c>
      <c r="E3212" s="13" t="s">
        <v>58</v>
      </c>
      <c r="F3212" s="13" t="s">
        <v>1239</v>
      </c>
      <c r="G3212" s="13">
        <v>3.46</v>
      </c>
      <c r="H3212" s="15">
        <v>5</v>
      </c>
      <c r="I3212" s="16">
        <v>17.3</v>
      </c>
      <c r="J3212" s="16">
        <v>0</v>
      </c>
      <c r="K3212" s="16">
        <v>17.3</v>
      </c>
      <c r="L3212" s="13"/>
      <c r="M3212" s="13">
        <v>4.46</v>
      </c>
      <c r="N3212" s="17">
        <f t="shared" si="108"/>
        <v>0</v>
      </c>
      <c r="O3212" s="17">
        <f t="shared" si="108"/>
        <v>22.3</v>
      </c>
      <c r="P3212" s="17">
        <f t="shared" si="107"/>
        <v>22.3</v>
      </c>
      <c r="Q3212" t="str">
        <f>A3212&amp;"-"&amp;B3212&amp;"-"&amp;D3212</f>
        <v>AGUSTUS-CBA-L2</v>
      </c>
    </row>
    <row r="3213" spans="1:17" x14ac:dyDescent="0.25">
      <c r="A3213" t="s">
        <v>398</v>
      </c>
      <c r="B3213" s="13" t="s">
        <v>19</v>
      </c>
      <c r="C3213" s="13" t="s">
        <v>70</v>
      </c>
      <c r="D3213" s="14" t="s">
        <v>44</v>
      </c>
      <c r="E3213" s="13" t="s">
        <v>77</v>
      </c>
      <c r="F3213" s="13" t="s">
        <v>1240</v>
      </c>
      <c r="G3213" s="13">
        <v>3.7</v>
      </c>
      <c r="H3213" s="15">
        <v>975</v>
      </c>
      <c r="I3213" s="16">
        <v>3607.4999999999995</v>
      </c>
      <c r="J3213" s="16">
        <v>1713.9093749999997</v>
      </c>
      <c r="K3213" s="16">
        <v>1893.590625</v>
      </c>
      <c r="L3213" s="13">
        <v>8.06</v>
      </c>
      <c r="M3213" s="13"/>
      <c r="N3213" s="17">
        <f t="shared" si="108"/>
        <v>7858.5000000000009</v>
      </c>
      <c r="O3213" s="17">
        <f t="shared" si="108"/>
        <v>0</v>
      </c>
      <c r="P3213" s="17">
        <f t="shared" si="107"/>
        <v>7858.5000000000009</v>
      </c>
      <c r="Q3213" t="str">
        <f>A3213&amp;"-"&amp;B3213&amp;"-"&amp;D3213</f>
        <v>AGUSTUS-CHW-L1</v>
      </c>
    </row>
    <row r="3214" spans="1:17" x14ac:dyDescent="0.25">
      <c r="A3214" t="s">
        <v>398</v>
      </c>
      <c r="B3214" s="13" t="s">
        <v>19</v>
      </c>
      <c r="C3214" s="13" t="s">
        <v>70</v>
      </c>
      <c r="D3214" s="14" t="s">
        <v>44</v>
      </c>
      <c r="E3214" s="13" t="s">
        <v>77</v>
      </c>
      <c r="F3214" s="13" t="s">
        <v>1241</v>
      </c>
      <c r="G3214" s="13">
        <v>3.7</v>
      </c>
      <c r="H3214" s="15">
        <v>164</v>
      </c>
      <c r="I3214" s="16">
        <v>606.79999999999995</v>
      </c>
      <c r="J3214" s="16">
        <v>367.05013499431601</v>
      </c>
      <c r="K3214" s="16">
        <v>239.749865005684</v>
      </c>
      <c r="L3214" s="13">
        <v>9.4499999999999993</v>
      </c>
      <c r="M3214" s="13"/>
      <c r="N3214" s="17">
        <f t="shared" si="108"/>
        <v>1549.8</v>
      </c>
      <c r="O3214" s="17">
        <f t="shared" si="108"/>
        <v>0</v>
      </c>
      <c r="P3214" s="17">
        <f t="shared" si="107"/>
        <v>1549.8</v>
      </c>
      <c r="Q3214" t="str">
        <f>A3214&amp;"-"&amp;B3214&amp;"-"&amp;D3214</f>
        <v>AGUSTUS-CHW-L1</v>
      </c>
    </row>
    <row r="3215" spans="1:17" x14ac:dyDescent="0.25">
      <c r="A3215" t="s">
        <v>398</v>
      </c>
      <c r="B3215" s="13" t="s">
        <v>19</v>
      </c>
      <c r="C3215" s="13" t="s">
        <v>70</v>
      </c>
      <c r="D3215" s="14" t="s">
        <v>44</v>
      </c>
      <c r="E3215" s="13" t="s">
        <v>77</v>
      </c>
      <c r="F3215" s="13" t="s">
        <v>707</v>
      </c>
      <c r="G3215" s="13">
        <v>3.7</v>
      </c>
      <c r="H3215" s="15">
        <v>8</v>
      </c>
      <c r="I3215" s="16">
        <v>29.6</v>
      </c>
      <c r="J3215" s="16">
        <v>26.441338582677169</v>
      </c>
      <c r="K3215" s="16">
        <v>3.1586614173228345</v>
      </c>
      <c r="L3215" s="13">
        <v>7.18</v>
      </c>
      <c r="M3215" s="13"/>
      <c r="N3215" s="17">
        <f t="shared" si="108"/>
        <v>57.44</v>
      </c>
      <c r="O3215" s="17">
        <f t="shared" si="108"/>
        <v>0</v>
      </c>
      <c r="P3215" s="17">
        <f t="shared" si="107"/>
        <v>57.44</v>
      </c>
      <c r="Q3215" t="str">
        <f>A3215&amp;"-"&amp;B3215&amp;"-"&amp;D3215</f>
        <v>AGUSTUS-CHW-L1</v>
      </c>
    </row>
    <row r="3216" spans="1:17" x14ac:dyDescent="0.25">
      <c r="A3216" t="s">
        <v>398</v>
      </c>
      <c r="B3216" s="13" t="s">
        <v>19</v>
      </c>
      <c r="C3216" s="13" t="s">
        <v>70</v>
      </c>
      <c r="D3216" s="14" t="s">
        <v>44</v>
      </c>
      <c r="E3216" s="13" t="s">
        <v>77</v>
      </c>
      <c r="F3216" s="13" t="s">
        <v>1242</v>
      </c>
      <c r="G3216" s="13">
        <v>2.75</v>
      </c>
      <c r="H3216" s="15">
        <v>806</v>
      </c>
      <c r="I3216" s="16">
        <v>2216.5</v>
      </c>
      <c r="J3216" s="16">
        <v>1731.1247844827585</v>
      </c>
      <c r="K3216" s="16">
        <v>485.37521551724137</v>
      </c>
      <c r="L3216" s="13">
        <v>5.29</v>
      </c>
      <c r="M3216" s="13"/>
      <c r="N3216" s="17">
        <f t="shared" si="108"/>
        <v>4263.74</v>
      </c>
      <c r="O3216" s="17">
        <f t="shared" si="108"/>
        <v>0</v>
      </c>
      <c r="P3216" s="17">
        <f t="shared" si="107"/>
        <v>4263.74</v>
      </c>
      <c r="Q3216" t="str">
        <f>A3216&amp;"-"&amp;B3216&amp;"-"&amp;D3216</f>
        <v>AGUSTUS-CHW-L1</v>
      </c>
    </row>
    <row r="3217" spans="1:17" x14ac:dyDescent="0.25">
      <c r="A3217" t="s">
        <v>398</v>
      </c>
      <c r="B3217" s="13" t="s">
        <v>19</v>
      </c>
      <c r="C3217" s="13" t="s">
        <v>70</v>
      </c>
      <c r="D3217" s="14" t="s">
        <v>44</v>
      </c>
      <c r="E3217" s="13" t="s">
        <v>77</v>
      </c>
      <c r="F3217" s="13" t="s">
        <v>1121</v>
      </c>
      <c r="G3217" s="13">
        <v>2.75</v>
      </c>
      <c r="H3217" s="15">
        <v>364</v>
      </c>
      <c r="I3217" s="16">
        <v>1001</v>
      </c>
      <c r="J3217" s="16">
        <v>708.29113300492611</v>
      </c>
      <c r="K3217" s="16">
        <v>292.70886699507389</v>
      </c>
      <c r="L3217" s="13">
        <v>5.29</v>
      </c>
      <c r="M3217" s="13"/>
      <c r="N3217" s="17">
        <f t="shared" si="108"/>
        <v>1925.56</v>
      </c>
      <c r="O3217" s="17">
        <f t="shared" si="108"/>
        <v>0</v>
      </c>
      <c r="P3217" s="17">
        <f t="shared" si="107"/>
        <v>1925.56</v>
      </c>
      <c r="Q3217" t="str">
        <f>A3217&amp;"-"&amp;B3217&amp;"-"&amp;D3217</f>
        <v>AGUSTUS-CHW-L1</v>
      </c>
    </row>
    <row r="3218" spans="1:17" x14ac:dyDescent="0.25">
      <c r="A3218" t="s">
        <v>398</v>
      </c>
      <c r="B3218" s="13" t="s">
        <v>19</v>
      </c>
      <c r="C3218" s="13" t="s">
        <v>70</v>
      </c>
      <c r="D3218" s="14" t="s">
        <v>44</v>
      </c>
      <c r="E3218" s="13" t="s">
        <v>77</v>
      </c>
      <c r="F3218" s="13" t="s">
        <v>1243</v>
      </c>
      <c r="G3218" s="13">
        <v>2.75</v>
      </c>
      <c r="H3218" s="15">
        <v>296</v>
      </c>
      <c r="I3218" s="16">
        <v>814</v>
      </c>
      <c r="J3218" s="16">
        <v>886.7036250000001</v>
      </c>
      <c r="K3218" s="16">
        <v>-72.703625000000045</v>
      </c>
      <c r="L3218" s="13">
        <v>6.01</v>
      </c>
      <c r="M3218" s="13"/>
      <c r="N3218" s="17">
        <f t="shared" si="108"/>
        <v>1778.96</v>
      </c>
      <c r="O3218" s="17">
        <f t="shared" si="108"/>
        <v>0</v>
      </c>
      <c r="P3218" s="17">
        <f t="shared" si="107"/>
        <v>1778.96</v>
      </c>
      <c r="Q3218" t="str">
        <f>A3218&amp;"-"&amp;B3218&amp;"-"&amp;D3218</f>
        <v>AGUSTUS-CHW-L1</v>
      </c>
    </row>
    <row r="3219" spans="1:17" x14ac:dyDescent="0.25">
      <c r="A3219" t="s">
        <v>398</v>
      </c>
      <c r="B3219" s="13" t="s">
        <v>19</v>
      </c>
      <c r="C3219" s="13" t="s">
        <v>70</v>
      </c>
      <c r="D3219" s="14" t="s">
        <v>44</v>
      </c>
      <c r="E3219" s="13" t="s">
        <v>77</v>
      </c>
      <c r="F3219" s="13" t="s">
        <v>821</v>
      </c>
      <c r="G3219" s="13">
        <v>3.7000000000000006</v>
      </c>
      <c r="H3219" s="15">
        <v>88</v>
      </c>
      <c r="I3219" s="16">
        <v>325.60000000000002</v>
      </c>
      <c r="J3219" s="16">
        <v>211.326338028169</v>
      </c>
      <c r="K3219" s="16">
        <v>114.27366197183099</v>
      </c>
      <c r="L3219" s="13">
        <v>8.25</v>
      </c>
      <c r="M3219" s="13"/>
      <c r="N3219" s="17">
        <f t="shared" si="108"/>
        <v>726</v>
      </c>
      <c r="O3219" s="17">
        <f t="shared" si="108"/>
        <v>0</v>
      </c>
      <c r="P3219" s="17">
        <f t="shared" si="107"/>
        <v>726</v>
      </c>
      <c r="Q3219" t="str">
        <f>A3219&amp;"-"&amp;B3219&amp;"-"&amp;D3219</f>
        <v>AGUSTUS-CHW-L1</v>
      </c>
    </row>
    <row r="3220" spans="1:17" x14ac:dyDescent="0.25">
      <c r="A3220" t="s">
        <v>398</v>
      </c>
      <c r="B3220" s="13" t="s">
        <v>19</v>
      </c>
      <c r="C3220" s="13" t="s">
        <v>70</v>
      </c>
      <c r="D3220" s="14" t="s">
        <v>44</v>
      </c>
      <c r="E3220" s="13" t="s">
        <v>77</v>
      </c>
      <c r="F3220" s="13" t="s">
        <v>822</v>
      </c>
      <c r="G3220" s="13">
        <v>3.7</v>
      </c>
      <c r="H3220" s="15">
        <v>24</v>
      </c>
      <c r="I3220" s="16">
        <v>88.8</v>
      </c>
      <c r="J3220" s="16">
        <v>54.900000000000006</v>
      </c>
      <c r="K3220" s="16">
        <v>33.899999999999991</v>
      </c>
      <c r="L3220" s="13">
        <v>8.64</v>
      </c>
      <c r="M3220" s="13"/>
      <c r="N3220" s="17">
        <f t="shared" si="108"/>
        <v>207.36</v>
      </c>
      <c r="O3220" s="17">
        <f t="shared" si="108"/>
        <v>0</v>
      </c>
      <c r="P3220" s="17">
        <f t="shared" si="107"/>
        <v>207.36</v>
      </c>
      <c r="Q3220" t="str">
        <f>A3220&amp;"-"&amp;B3220&amp;"-"&amp;D3220</f>
        <v>AGUSTUS-CHW-L1</v>
      </c>
    </row>
    <row r="3221" spans="1:17" x14ac:dyDescent="0.25">
      <c r="A3221" t="s">
        <v>398</v>
      </c>
      <c r="B3221" s="13" t="s">
        <v>19</v>
      </c>
      <c r="C3221" s="13" t="s">
        <v>70</v>
      </c>
      <c r="D3221" s="14" t="s">
        <v>44</v>
      </c>
      <c r="E3221" s="13" t="s">
        <v>77</v>
      </c>
      <c r="F3221" s="13" t="s">
        <v>1006</v>
      </c>
      <c r="G3221" s="13">
        <v>3.7</v>
      </c>
      <c r="H3221" s="15">
        <v>257</v>
      </c>
      <c r="I3221" s="16">
        <v>950.90000000000009</v>
      </c>
      <c r="J3221" s="16">
        <v>568.97420145875253</v>
      </c>
      <c r="K3221" s="16">
        <v>381.92579854124756</v>
      </c>
      <c r="L3221" s="13">
        <v>7.63</v>
      </c>
      <c r="M3221" s="13"/>
      <c r="N3221" s="17">
        <f t="shared" si="108"/>
        <v>1960.91</v>
      </c>
      <c r="O3221" s="17">
        <f t="shared" si="108"/>
        <v>0</v>
      </c>
      <c r="P3221" s="17">
        <f t="shared" si="107"/>
        <v>1960.91</v>
      </c>
      <c r="Q3221" t="str">
        <f>A3221&amp;"-"&amp;B3221&amp;"-"&amp;D3221</f>
        <v>AGUSTUS-CHW-L1</v>
      </c>
    </row>
    <row r="3222" spans="1:17" x14ac:dyDescent="0.25">
      <c r="A3222" t="s">
        <v>398</v>
      </c>
      <c r="B3222" s="13" t="s">
        <v>19</v>
      </c>
      <c r="C3222" s="13" t="s">
        <v>70</v>
      </c>
      <c r="D3222" s="14" t="s">
        <v>44</v>
      </c>
      <c r="E3222" s="13" t="s">
        <v>77</v>
      </c>
      <c r="F3222" s="13" t="s">
        <v>1244</v>
      </c>
      <c r="G3222" s="13">
        <v>3.6999999999999997</v>
      </c>
      <c r="H3222" s="15">
        <v>701</v>
      </c>
      <c r="I3222" s="16">
        <v>2593.7000000000003</v>
      </c>
      <c r="J3222" s="16">
        <v>1829.1975339537223</v>
      </c>
      <c r="K3222" s="16">
        <v>764.50246604627762</v>
      </c>
      <c r="L3222" s="13">
        <v>7.52</v>
      </c>
      <c r="M3222" s="13"/>
      <c r="N3222" s="17">
        <f t="shared" si="108"/>
        <v>5271.5199999999995</v>
      </c>
      <c r="O3222" s="17">
        <f t="shared" si="108"/>
        <v>0</v>
      </c>
      <c r="P3222" s="17">
        <f t="shared" si="107"/>
        <v>5271.5199999999995</v>
      </c>
      <c r="Q3222" t="str">
        <f>A3222&amp;"-"&amp;B3222&amp;"-"&amp;D3222</f>
        <v>AGUSTUS-CHW-L1</v>
      </c>
    </row>
    <row r="3223" spans="1:17" x14ac:dyDescent="0.25">
      <c r="A3223" t="s">
        <v>398</v>
      </c>
      <c r="B3223" s="13" t="s">
        <v>19</v>
      </c>
      <c r="C3223" s="13" t="s">
        <v>70</v>
      </c>
      <c r="D3223" s="14" t="s">
        <v>44</v>
      </c>
      <c r="E3223" s="13" t="s">
        <v>77</v>
      </c>
      <c r="F3223" s="13" t="s">
        <v>823</v>
      </c>
      <c r="G3223" s="13">
        <v>3.7</v>
      </c>
      <c r="H3223" s="15">
        <v>11</v>
      </c>
      <c r="I3223" s="16">
        <v>40.700000000000003</v>
      </c>
      <c r="J3223" s="16">
        <v>32.253749999999997</v>
      </c>
      <c r="K3223" s="16">
        <v>8.4462499999999991</v>
      </c>
      <c r="L3223" s="13">
        <v>7.48</v>
      </c>
      <c r="M3223" s="13"/>
      <c r="N3223" s="17">
        <f t="shared" si="108"/>
        <v>82.28</v>
      </c>
      <c r="O3223" s="17">
        <f t="shared" si="108"/>
        <v>0</v>
      </c>
      <c r="P3223" s="17">
        <f t="shared" si="107"/>
        <v>82.28</v>
      </c>
      <c r="Q3223" t="str">
        <f>A3223&amp;"-"&amp;B3223&amp;"-"&amp;D3223</f>
        <v>AGUSTUS-CHW-L1</v>
      </c>
    </row>
    <row r="3224" spans="1:17" x14ac:dyDescent="0.25">
      <c r="A3224" t="s">
        <v>398</v>
      </c>
      <c r="B3224" s="13" t="s">
        <v>19</v>
      </c>
      <c r="C3224" s="13" t="s">
        <v>70</v>
      </c>
      <c r="D3224" s="14" t="s">
        <v>44</v>
      </c>
      <c r="E3224" s="13" t="s">
        <v>77</v>
      </c>
      <c r="F3224" s="13" t="s">
        <v>1245</v>
      </c>
      <c r="G3224" s="13">
        <v>3.7</v>
      </c>
      <c r="H3224" s="15">
        <v>545</v>
      </c>
      <c r="I3224" s="16">
        <v>2016.5000000000002</v>
      </c>
      <c r="J3224" s="16">
        <v>1245.8232948086397</v>
      </c>
      <c r="K3224" s="16">
        <v>770.67670519136027</v>
      </c>
      <c r="L3224" s="13">
        <v>7.18</v>
      </c>
      <c r="M3224" s="13"/>
      <c r="N3224" s="17">
        <f t="shared" si="108"/>
        <v>3913.1</v>
      </c>
      <c r="O3224" s="17">
        <f t="shared" si="108"/>
        <v>0</v>
      </c>
      <c r="P3224" s="17">
        <f t="shared" si="107"/>
        <v>3913.1</v>
      </c>
      <c r="Q3224" t="str">
        <f>A3224&amp;"-"&amp;B3224&amp;"-"&amp;D3224</f>
        <v>AGUSTUS-CHW-L1</v>
      </c>
    </row>
    <row r="3225" spans="1:17" x14ac:dyDescent="0.25">
      <c r="A3225" t="s">
        <v>398</v>
      </c>
      <c r="B3225" s="13" t="s">
        <v>19</v>
      </c>
      <c r="C3225" s="13" t="s">
        <v>70</v>
      </c>
      <c r="D3225" s="14" t="s">
        <v>44</v>
      </c>
      <c r="E3225" s="13" t="s">
        <v>77</v>
      </c>
      <c r="F3225" s="13" t="s">
        <v>824</v>
      </c>
      <c r="G3225" s="13">
        <v>3.7</v>
      </c>
      <c r="H3225" s="15">
        <v>59</v>
      </c>
      <c r="I3225" s="16">
        <v>218.3</v>
      </c>
      <c r="J3225" s="16">
        <v>109.22812500000001</v>
      </c>
      <c r="K3225" s="16">
        <v>109.07187500000001</v>
      </c>
      <c r="L3225" s="13">
        <v>7.16</v>
      </c>
      <c r="M3225" s="13"/>
      <c r="N3225" s="17">
        <f t="shared" si="108"/>
        <v>422.44</v>
      </c>
      <c r="O3225" s="17">
        <f t="shared" si="108"/>
        <v>0</v>
      </c>
      <c r="P3225" s="17">
        <f t="shared" si="107"/>
        <v>422.44</v>
      </c>
      <c r="Q3225" t="str">
        <f>A3225&amp;"-"&amp;B3225&amp;"-"&amp;D3225</f>
        <v>AGUSTUS-CHW-L1</v>
      </c>
    </row>
    <row r="3226" spans="1:17" x14ac:dyDescent="0.25">
      <c r="A3226" t="s">
        <v>398</v>
      </c>
      <c r="B3226" s="13" t="s">
        <v>19</v>
      </c>
      <c r="C3226" s="13" t="s">
        <v>70</v>
      </c>
      <c r="D3226" s="14" t="s">
        <v>44</v>
      </c>
      <c r="E3226" s="13" t="s">
        <v>77</v>
      </c>
      <c r="F3226" s="13" t="s">
        <v>825</v>
      </c>
      <c r="G3226" s="13">
        <v>3.7</v>
      </c>
      <c r="H3226" s="15">
        <v>170</v>
      </c>
      <c r="I3226" s="16">
        <v>629</v>
      </c>
      <c r="J3226" s="16">
        <v>352.27500000000003</v>
      </c>
      <c r="K3226" s="16">
        <v>276.72499999999991</v>
      </c>
      <c r="L3226" s="13">
        <v>8.16</v>
      </c>
      <c r="M3226" s="13"/>
      <c r="N3226" s="17">
        <f t="shared" si="108"/>
        <v>1387.2</v>
      </c>
      <c r="O3226" s="17">
        <f t="shared" si="108"/>
        <v>0</v>
      </c>
      <c r="P3226" s="17">
        <f t="shared" si="107"/>
        <v>1387.2</v>
      </c>
      <c r="Q3226" t="str">
        <f>A3226&amp;"-"&amp;B3226&amp;"-"&amp;D3226</f>
        <v>AGUSTUS-CHW-L1</v>
      </c>
    </row>
    <row r="3227" spans="1:17" x14ac:dyDescent="0.25">
      <c r="A3227" t="s">
        <v>398</v>
      </c>
      <c r="B3227" s="13" t="s">
        <v>19</v>
      </c>
      <c r="C3227" s="13" t="s">
        <v>70</v>
      </c>
      <c r="D3227" s="14" t="s">
        <v>44</v>
      </c>
      <c r="E3227" s="13" t="s">
        <v>77</v>
      </c>
      <c r="F3227" s="13" t="s">
        <v>537</v>
      </c>
      <c r="G3227" s="13">
        <v>3.7</v>
      </c>
      <c r="H3227" s="15">
        <v>53</v>
      </c>
      <c r="I3227" s="16">
        <v>196.1</v>
      </c>
      <c r="J3227" s="16">
        <v>145.48500000000001</v>
      </c>
      <c r="K3227" s="16">
        <v>50.614999999999981</v>
      </c>
      <c r="L3227" s="13">
        <v>8.31</v>
      </c>
      <c r="M3227" s="13"/>
      <c r="N3227" s="17">
        <f t="shared" si="108"/>
        <v>440.43</v>
      </c>
      <c r="O3227" s="17">
        <f t="shared" si="108"/>
        <v>0</v>
      </c>
      <c r="P3227" s="17">
        <f t="shared" si="107"/>
        <v>440.43</v>
      </c>
      <c r="Q3227" t="str">
        <f>A3227&amp;"-"&amp;B3227&amp;"-"&amp;D3227</f>
        <v>AGUSTUS-CHW-L1</v>
      </c>
    </row>
    <row r="3228" spans="1:17" x14ac:dyDescent="0.25">
      <c r="A3228" t="s">
        <v>398</v>
      </c>
      <c r="B3228" s="13" t="s">
        <v>19</v>
      </c>
      <c r="C3228" s="13" t="s">
        <v>70</v>
      </c>
      <c r="D3228" s="14" t="s">
        <v>44</v>
      </c>
      <c r="E3228" s="13" t="s">
        <v>77</v>
      </c>
      <c r="F3228" s="13" t="s">
        <v>708</v>
      </c>
      <c r="G3228" s="13">
        <v>3.7</v>
      </c>
      <c r="H3228" s="15">
        <v>6</v>
      </c>
      <c r="I3228" s="16">
        <v>22.2</v>
      </c>
      <c r="J3228" s="16">
        <v>26.352</v>
      </c>
      <c r="K3228" s="16">
        <v>-4.152000000000001</v>
      </c>
      <c r="L3228" s="13">
        <v>7.81</v>
      </c>
      <c r="M3228" s="13"/>
      <c r="N3228" s="17">
        <f t="shared" si="108"/>
        <v>46.86</v>
      </c>
      <c r="O3228" s="17">
        <f t="shared" si="108"/>
        <v>0</v>
      </c>
      <c r="P3228" s="17">
        <f t="shared" si="107"/>
        <v>46.86</v>
      </c>
      <c r="Q3228" t="str">
        <f>A3228&amp;"-"&amp;B3228&amp;"-"&amp;D3228</f>
        <v>AGUSTUS-CHW-L1</v>
      </c>
    </row>
    <row r="3229" spans="1:17" x14ac:dyDescent="0.25">
      <c r="A3229" t="s">
        <v>398</v>
      </c>
      <c r="B3229" s="13" t="s">
        <v>19</v>
      </c>
      <c r="C3229" s="13" t="s">
        <v>70</v>
      </c>
      <c r="D3229" s="14" t="s">
        <v>44</v>
      </c>
      <c r="E3229" s="13" t="s">
        <v>77</v>
      </c>
      <c r="F3229" s="13" t="s">
        <v>709</v>
      </c>
      <c r="G3229" s="13">
        <v>3.7000000000000006</v>
      </c>
      <c r="H3229" s="15">
        <v>211</v>
      </c>
      <c r="I3229" s="16">
        <v>780.7</v>
      </c>
      <c r="J3229" s="16">
        <v>729.85348900352972</v>
      </c>
      <c r="K3229" s="16">
        <v>50.846510996470343</v>
      </c>
      <c r="L3229" s="13">
        <v>8.2100000000000009</v>
      </c>
      <c r="M3229" s="13"/>
      <c r="N3229" s="17">
        <f t="shared" si="108"/>
        <v>1732.3100000000002</v>
      </c>
      <c r="O3229" s="17">
        <f t="shared" si="108"/>
        <v>0</v>
      </c>
      <c r="P3229" s="17">
        <f t="shared" si="107"/>
        <v>1732.3100000000002</v>
      </c>
      <c r="Q3229" t="str">
        <f>A3229&amp;"-"&amp;B3229&amp;"-"&amp;D3229</f>
        <v>AGUSTUS-CHW-L1</v>
      </c>
    </row>
    <row r="3230" spans="1:17" x14ac:dyDescent="0.25">
      <c r="A3230" t="s">
        <v>398</v>
      </c>
      <c r="B3230" s="13" t="s">
        <v>19</v>
      </c>
      <c r="C3230" s="13" t="s">
        <v>70</v>
      </c>
      <c r="D3230" s="14" t="s">
        <v>44</v>
      </c>
      <c r="E3230" s="13" t="s">
        <v>77</v>
      </c>
      <c r="F3230" s="13" t="s">
        <v>1008</v>
      </c>
      <c r="G3230" s="13">
        <v>3.7000000000000006</v>
      </c>
      <c r="H3230" s="15">
        <v>105</v>
      </c>
      <c r="I3230" s="16">
        <v>388.5</v>
      </c>
      <c r="J3230" s="16">
        <v>252.36602112676056</v>
      </c>
      <c r="K3230" s="16">
        <v>136.13397887323944</v>
      </c>
      <c r="L3230" s="13">
        <v>8.1300000000000008</v>
      </c>
      <c r="M3230" s="13"/>
      <c r="N3230" s="17">
        <f t="shared" si="108"/>
        <v>853.65000000000009</v>
      </c>
      <c r="O3230" s="17">
        <f t="shared" si="108"/>
        <v>0</v>
      </c>
      <c r="P3230" s="17">
        <f t="shared" si="107"/>
        <v>853.65000000000009</v>
      </c>
      <c r="Q3230" t="str">
        <f>A3230&amp;"-"&amp;B3230&amp;"-"&amp;D3230</f>
        <v>AGUSTUS-CHW-L1</v>
      </c>
    </row>
    <row r="3231" spans="1:17" x14ac:dyDescent="0.25">
      <c r="A3231" t="s">
        <v>398</v>
      </c>
      <c r="B3231" s="13" t="s">
        <v>19</v>
      </c>
      <c r="C3231" s="13" t="s">
        <v>70</v>
      </c>
      <c r="D3231" s="14" t="s">
        <v>44</v>
      </c>
      <c r="E3231" s="13" t="s">
        <v>77</v>
      </c>
      <c r="F3231" s="13" t="s">
        <v>710</v>
      </c>
      <c r="G3231" s="13">
        <v>3.7</v>
      </c>
      <c r="H3231" s="15">
        <v>8</v>
      </c>
      <c r="I3231" s="16">
        <v>29.6</v>
      </c>
      <c r="J3231" s="16">
        <v>20.619718309859156</v>
      </c>
      <c r="K3231" s="16">
        <v>8.9802816901408455</v>
      </c>
      <c r="L3231" s="13">
        <v>7.6</v>
      </c>
      <c r="M3231" s="13"/>
      <c r="N3231" s="17">
        <f t="shared" si="108"/>
        <v>60.8</v>
      </c>
      <c r="O3231" s="17">
        <f t="shared" si="108"/>
        <v>0</v>
      </c>
      <c r="P3231" s="17">
        <f t="shared" si="107"/>
        <v>60.8</v>
      </c>
      <c r="Q3231" t="str">
        <f>A3231&amp;"-"&amp;B3231&amp;"-"&amp;D3231</f>
        <v>AGUSTUS-CHW-L1</v>
      </c>
    </row>
    <row r="3232" spans="1:17" x14ac:dyDescent="0.25">
      <c r="A3232" t="s">
        <v>398</v>
      </c>
      <c r="B3232" s="13" t="s">
        <v>19</v>
      </c>
      <c r="C3232" s="13" t="s">
        <v>70</v>
      </c>
      <c r="D3232" s="14" t="s">
        <v>44</v>
      </c>
      <c r="E3232" s="13" t="s">
        <v>77</v>
      </c>
      <c r="F3232" s="13" t="s">
        <v>1122</v>
      </c>
      <c r="G3232" s="13">
        <v>2.75</v>
      </c>
      <c r="H3232" s="15">
        <v>304</v>
      </c>
      <c r="I3232" s="16">
        <v>836</v>
      </c>
      <c r="J3232" s="16">
        <v>600.79212343023653</v>
      </c>
      <c r="K3232" s="16">
        <v>235.20787656976341</v>
      </c>
      <c r="L3232" s="13">
        <v>6.9</v>
      </c>
      <c r="M3232" s="13"/>
      <c r="N3232" s="17">
        <f t="shared" si="108"/>
        <v>2097.6</v>
      </c>
      <c r="O3232" s="17">
        <f t="shared" si="108"/>
        <v>0</v>
      </c>
      <c r="P3232" s="17">
        <f t="shared" si="107"/>
        <v>2097.6</v>
      </c>
      <c r="Q3232" t="str">
        <f>A3232&amp;"-"&amp;B3232&amp;"-"&amp;D3232</f>
        <v>AGUSTUS-CHW-L1</v>
      </c>
    </row>
    <row r="3233" spans="1:17" x14ac:dyDescent="0.25">
      <c r="A3233" t="s">
        <v>398</v>
      </c>
      <c r="B3233" s="13" t="s">
        <v>19</v>
      </c>
      <c r="C3233" s="13" t="s">
        <v>70</v>
      </c>
      <c r="D3233" s="14" t="s">
        <v>44</v>
      </c>
      <c r="E3233" s="13" t="s">
        <v>77</v>
      </c>
      <c r="F3233" s="13" t="s">
        <v>1123</v>
      </c>
      <c r="G3233" s="13">
        <v>2.75</v>
      </c>
      <c r="H3233" s="15">
        <v>236</v>
      </c>
      <c r="I3233" s="16">
        <v>649</v>
      </c>
      <c r="J3233" s="16">
        <v>465.03301381565251</v>
      </c>
      <c r="K3233" s="16">
        <v>183.96698618434743</v>
      </c>
      <c r="L3233" s="13">
        <v>7.3</v>
      </c>
      <c r="M3233" s="13"/>
      <c r="N3233" s="17">
        <f t="shared" si="108"/>
        <v>1722.8</v>
      </c>
      <c r="O3233" s="17">
        <f t="shared" si="108"/>
        <v>0</v>
      </c>
      <c r="P3233" s="17">
        <f t="shared" si="107"/>
        <v>1722.8</v>
      </c>
      <c r="Q3233" t="str">
        <f>A3233&amp;"-"&amp;B3233&amp;"-"&amp;D3233</f>
        <v>AGUSTUS-CHW-L1</v>
      </c>
    </row>
    <row r="3234" spans="1:17" x14ac:dyDescent="0.25">
      <c r="A3234" t="s">
        <v>398</v>
      </c>
      <c r="B3234" s="13" t="s">
        <v>19</v>
      </c>
      <c r="C3234" s="13" t="s">
        <v>70</v>
      </c>
      <c r="D3234" s="14" t="s">
        <v>50</v>
      </c>
      <c r="E3234" s="13" t="s">
        <v>71</v>
      </c>
      <c r="F3234" s="13" t="s">
        <v>1246</v>
      </c>
      <c r="G3234" s="13">
        <v>5</v>
      </c>
      <c r="H3234" s="15">
        <v>1094</v>
      </c>
      <c r="I3234" s="16">
        <v>5470</v>
      </c>
      <c r="J3234" s="16">
        <v>4243.6749412397985</v>
      </c>
      <c r="K3234" s="16">
        <v>1226.325058760202</v>
      </c>
      <c r="L3234" s="13">
        <v>12.66</v>
      </c>
      <c r="M3234" s="13"/>
      <c r="N3234" s="17">
        <f t="shared" si="108"/>
        <v>13850.04</v>
      </c>
      <c r="O3234" s="17">
        <f t="shared" si="108"/>
        <v>0</v>
      </c>
      <c r="P3234" s="17">
        <f t="shared" si="107"/>
        <v>13850.04</v>
      </c>
      <c r="Q3234" t="str">
        <f>A3234&amp;"-"&amp;B3234&amp;"-"&amp;D3234</f>
        <v>AGUSTUS-CHW-L2</v>
      </c>
    </row>
    <row r="3235" spans="1:17" x14ac:dyDescent="0.25">
      <c r="A3235" t="s">
        <v>398</v>
      </c>
      <c r="B3235" s="13" t="s">
        <v>19</v>
      </c>
      <c r="C3235" s="13" t="s">
        <v>70</v>
      </c>
      <c r="D3235" s="14" t="s">
        <v>50</v>
      </c>
      <c r="E3235" s="13" t="s">
        <v>73</v>
      </c>
      <c r="F3235" s="13" t="s">
        <v>1010</v>
      </c>
      <c r="G3235" s="13">
        <v>4.5</v>
      </c>
      <c r="H3235" s="15">
        <v>28</v>
      </c>
      <c r="I3235" s="16">
        <v>126</v>
      </c>
      <c r="J3235" s="16">
        <v>146.4</v>
      </c>
      <c r="K3235" s="16">
        <v>-20.400000000000006</v>
      </c>
      <c r="L3235" s="13">
        <v>11.08</v>
      </c>
      <c r="M3235" s="13"/>
      <c r="N3235" s="17">
        <f t="shared" si="108"/>
        <v>310.24</v>
      </c>
      <c r="O3235" s="17">
        <f t="shared" si="108"/>
        <v>0</v>
      </c>
      <c r="P3235" s="17">
        <f t="shared" si="107"/>
        <v>310.24</v>
      </c>
      <c r="Q3235" t="str">
        <f>A3235&amp;"-"&amp;B3235&amp;"-"&amp;D3235</f>
        <v>AGUSTUS-CHW-L2</v>
      </c>
    </row>
    <row r="3236" spans="1:17" x14ac:dyDescent="0.25">
      <c r="A3236" t="s">
        <v>398</v>
      </c>
      <c r="B3236" s="13" t="s">
        <v>19</v>
      </c>
      <c r="C3236" s="13" t="s">
        <v>70</v>
      </c>
      <c r="D3236" s="14" t="s">
        <v>50</v>
      </c>
      <c r="E3236" s="13" t="s">
        <v>73</v>
      </c>
      <c r="F3236" s="13" t="s">
        <v>1124</v>
      </c>
      <c r="G3236" s="13">
        <v>4.5</v>
      </c>
      <c r="H3236" s="15">
        <v>3</v>
      </c>
      <c r="I3236" s="16">
        <v>13.5</v>
      </c>
      <c r="J3236" s="16">
        <v>9.15</v>
      </c>
      <c r="K3236" s="16">
        <v>4.3499999999999996</v>
      </c>
      <c r="L3236" s="13">
        <v>13.06</v>
      </c>
      <c r="M3236" s="13"/>
      <c r="N3236" s="17">
        <f t="shared" si="108"/>
        <v>39.18</v>
      </c>
      <c r="O3236" s="17">
        <f t="shared" si="108"/>
        <v>0</v>
      </c>
      <c r="P3236" s="17">
        <f t="shared" si="107"/>
        <v>39.18</v>
      </c>
      <c r="Q3236" t="str">
        <f>A3236&amp;"-"&amp;B3236&amp;"-"&amp;D3236</f>
        <v>AGUSTUS-CHW-L2</v>
      </c>
    </row>
    <row r="3237" spans="1:17" x14ac:dyDescent="0.25">
      <c r="A3237" t="s">
        <v>398</v>
      </c>
      <c r="B3237" s="13" t="s">
        <v>19</v>
      </c>
      <c r="C3237" s="13" t="s">
        <v>70</v>
      </c>
      <c r="D3237" s="14" t="s">
        <v>50</v>
      </c>
      <c r="E3237" s="13" t="s">
        <v>73</v>
      </c>
      <c r="F3237" s="13" t="s">
        <v>1247</v>
      </c>
      <c r="G3237" s="13">
        <v>4.5</v>
      </c>
      <c r="H3237" s="15">
        <v>86</v>
      </c>
      <c r="I3237" s="16">
        <v>387</v>
      </c>
      <c r="J3237" s="16">
        <v>747.44750231267346</v>
      </c>
      <c r="K3237" s="16">
        <v>-360.44750231267346</v>
      </c>
      <c r="L3237" s="13">
        <v>13.1</v>
      </c>
      <c r="M3237" s="13"/>
      <c r="N3237" s="17">
        <f t="shared" si="108"/>
        <v>1126.5999999999999</v>
      </c>
      <c r="O3237" s="17">
        <f t="shared" si="108"/>
        <v>0</v>
      </c>
      <c r="P3237" s="17">
        <f t="shared" si="107"/>
        <v>1126.5999999999999</v>
      </c>
      <c r="Q3237" t="str">
        <f>A3237&amp;"-"&amp;B3237&amp;"-"&amp;D3237</f>
        <v>AGUSTUS-CHW-L2</v>
      </c>
    </row>
    <row r="3238" spans="1:17" x14ac:dyDescent="0.25">
      <c r="A3238" t="s">
        <v>398</v>
      </c>
      <c r="B3238" s="13" t="s">
        <v>19</v>
      </c>
      <c r="C3238" s="13" t="s">
        <v>70</v>
      </c>
      <c r="D3238" s="14" t="s">
        <v>50</v>
      </c>
      <c r="E3238" s="13" t="s">
        <v>73</v>
      </c>
      <c r="F3238" s="13" t="s">
        <v>827</v>
      </c>
      <c r="G3238" s="13">
        <v>4.7</v>
      </c>
      <c r="H3238" s="15">
        <v>12</v>
      </c>
      <c r="I3238" s="16">
        <v>56.4</v>
      </c>
      <c r="J3238" s="16">
        <v>65.88</v>
      </c>
      <c r="K3238" s="16">
        <v>-9.4799999999999969</v>
      </c>
      <c r="L3238" s="13">
        <v>11.39</v>
      </c>
      <c r="M3238" s="13"/>
      <c r="N3238" s="17">
        <f t="shared" si="108"/>
        <v>136.68</v>
      </c>
      <c r="O3238" s="17">
        <f t="shared" si="108"/>
        <v>0</v>
      </c>
      <c r="P3238" s="17">
        <f t="shared" si="107"/>
        <v>136.68</v>
      </c>
      <c r="Q3238" t="str">
        <f>A3238&amp;"-"&amp;B3238&amp;"-"&amp;D3238</f>
        <v>AGUSTUS-CHW-L2</v>
      </c>
    </row>
    <row r="3239" spans="1:17" x14ac:dyDescent="0.25">
      <c r="A3239" t="s">
        <v>398</v>
      </c>
      <c r="B3239" s="13" t="s">
        <v>19</v>
      </c>
      <c r="C3239" s="13" t="s">
        <v>70</v>
      </c>
      <c r="D3239" s="14" t="s">
        <v>50</v>
      </c>
      <c r="E3239" s="13" t="s">
        <v>73</v>
      </c>
      <c r="F3239" s="13" t="s">
        <v>828</v>
      </c>
      <c r="G3239" s="13">
        <v>4.5</v>
      </c>
      <c r="H3239" s="15">
        <v>15</v>
      </c>
      <c r="I3239" s="16">
        <v>67.5</v>
      </c>
      <c r="J3239" s="16">
        <v>62.750849184782609</v>
      </c>
      <c r="K3239" s="16">
        <v>4.7491508152173907</v>
      </c>
      <c r="L3239" s="13">
        <v>9.3699999999999992</v>
      </c>
      <c r="M3239" s="13"/>
      <c r="N3239" s="17">
        <f t="shared" si="108"/>
        <v>140.54999999999998</v>
      </c>
      <c r="O3239" s="17">
        <f t="shared" si="108"/>
        <v>0</v>
      </c>
      <c r="P3239" s="17">
        <f t="shared" si="107"/>
        <v>140.54999999999998</v>
      </c>
      <c r="Q3239" t="str">
        <f>A3239&amp;"-"&amp;B3239&amp;"-"&amp;D3239</f>
        <v>AGUSTUS-CHW-L2</v>
      </c>
    </row>
    <row r="3240" spans="1:17" x14ac:dyDescent="0.25">
      <c r="A3240" t="s">
        <v>398</v>
      </c>
      <c r="B3240" s="13" t="s">
        <v>19</v>
      </c>
      <c r="C3240" s="13" t="s">
        <v>70</v>
      </c>
      <c r="D3240" s="14" t="s">
        <v>50</v>
      </c>
      <c r="E3240" s="13" t="s">
        <v>73</v>
      </c>
      <c r="F3240" s="13" t="s">
        <v>1248</v>
      </c>
      <c r="G3240" s="13">
        <v>4.5</v>
      </c>
      <c r="H3240" s="15">
        <v>546</v>
      </c>
      <c r="I3240" s="16">
        <v>2457</v>
      </c>
      <c r="J3240" s="16">
        <v>2055.1662499999998</v>
      </c>
      <c r="K3240" s="16">
        <v>401.83375000000001</v>
      </c>
      <c r="L3240" s="13">
        <v>10.72</v>
      </c>
      <c r="M3240" s="13"/>
      <c r="N3240" s="17">
        <f t="shared" si="108"/>
        <v>5853.1200000000008</v>
      </c>
      <c r="O3240" s="17">
        <f t="shared" si="108"/>
        <v>0</v>
      </c>
      <c r="P3240" s="17">
        <f t="shared" si="107"/>
        <v>5853.1200000000008</v>
      </c>
      <c r="Q3240" t="str">
        <f>A3240&amp;"-"&amp;B3240&amp;"-"&amp;D3240</f>
        <v>AGUSTUS-CHW-L2</v>
      </c>
    </row>
    <row r="3241" spans="1:17" x14ac:dyDescent="0.25">
      <c r="A3241" t="s">
        <v>398</v>
      </c>
      <c r="B3241" s="13" t="s">
        <v>19</v>
      </c>
      <c r="C3241" s="13" t="s">
        <v>70</v>
      </c>
      <c r="D3241" s="14" t="s">
        <v>50</v>
      </c>
      <c r="E3241" s="13" t="s">
        <v>73</v>
      </c>
      <c r="F3241" s="13" t="s">
        <v>1011</v>
      </c>
      <c r="G3241" s="13">
        <v>4.5</v>
      </c>
      <c r="H3241" s="15">
        <v>18</v>
      </c>
      <c r="I3241" s="16">
        <v>81</v>
      </c>
      <c r="J3241" s="16">
        <v>96.990000000000009</v>
      </c>
      <c r="K3241" s="16">
        <v>-15.990000000000013</v>
      </c>
      <c r="L3241" s="13">
        <v>11.62</v>
      </c>
      <c r="M3241" s="13"/>
      <c r="N3241" s="17">
        <f t="shared" si="108"/>
        <v>209.16</v>
      </c>
      <c r="O3241" s="17">
        <f t="shared" si="108"/>
        <v>0</v>
      </c>
      <c r="P3241" s="17">
        <f t="shared" si="107"/>
        <v>209.16</v>
      </c>
      <c r="Q3241" t="str">
        <f>A3241&amp;"-"&amp;B3241&amp;"-"&amp;D3241</f>
        <v>AGUSTUS-CHW-L2</v>
      </c>
    </row>
    <row r="3242" spans="1:17" x14ac:dyDescent="0.25">
      <c r="A3242" t="s">
        <v>398</v>
      </c>
      <c r="B3242" s="13" t="s">
        <v>19</v>
      </c>
      <c r="C3242" s="13" t="s">
        <v>70</v>
      </c>
      <c r="D3242" s="14" t="s">
        <v>50</v>
      </c>
      <c r="E3242" s="13" t="s">
        <v>73</v>
      </c>
      <c r="F3242" s="13" t="s">
        <v>829</v>
      </c>
      <c r="G3242" s="13">
        <v>4.5</v>
      </c>
      <c r="H3242" s="15">
        <v>80</v>
      </c>
      <c r="I3242" s="16">
        <v>360</v>
      </c>
      <c r="J3242" s="16">
        <v>284.86675531914892</v>
      </c>
      <c r="K3242" s="16">
        <v>75.133244680851078</v>
      </c>
      <c r="L3242" s="13">
        <v>10.94</v>
      </c>
      <c r="M3242" s="13"/>
      <c r="N3242" s="17">
        <f t="shared" si="108"/>
        <v>875.19999999999993</v>
      </c>
      <c r="O3242" s="17">
        <f t="shared" si="108"/>
        <v>0</v>
      </c>
      <c r="P3242" s="17">
        <f t="shared" si="107"/>
        <v>875.19999999999993</v>
      </c>
      <c r="Q3242" t="str">
        <f>A3242&amp;"-"&amp;B3242&amp;"-"&amp;D3242</f>
        <v>AGUSTUS-CHW-L2</v>
      </c>
    </row>
    <row r="3243" spans="1:17" x14ac:dyDescent="0.25">
      <c r="A3243" t="s">
        <v>398</v>
      </c>
      <c r="B3243" s="13" t="s">
        <v>19</v>
      </c>
      <c r="C3243" s="13" t="s">
        <v>70</v>
      </c>
      <c r="D3243" s="14" t="s">
        <v>50</v>
      </c>
      <c r="E3243" s="13" t="s">
        <v>73</v>
      </c>
      <c r="F3243" s="13" t="s">
        <v>1249</v>
      </c>
      <c r="G3243" s="13">
        <v>4.5</v>
      </c>
      <c r="H3243" s="15">
        <v>525</v>
      </c>
      <c r="I3243" s="16">
        <v>2362.5</v>
      </c>
      <c r="J3243" s="16">
        <v>1693.306956521739</v>
      </c>
      <c r="K3243" s="16">
        <v>669.19304347826096</v>
      </c>
      <c r="L3243" s="13">
        <v>9.92</v>
      </c>
      <c r="M3243" s="13"/>
      <c r="N3243" s="17">
        <f t="shared" si="108"/>
        <v>5208</v>
      </c>
      <c r="O3243" s="17">
        <f t="shared" si="108"/>
        <v>0</v>
      </c>
      <c r="P3243" s="17">
        <f t="shared" si="107"/>
        <v>5208</v>
      </c>
      <c r="Q3243" t="str">
        <f>A3243&amp;"-"&amp;B3243&amp;"-"&amp;D3243</f>
        <v>AGUSTUS-CHW-L2</v>
      </c>
    </row>
    <row r="3244" spans="1:17" x14ac:dyDescent="0.25">
      <c r="A3244" t="s">
        <v>398</v>
      </c>
      <c r="B3244" s="13" t="s">
        <v>19</v>
      </c>
      <c r="C3244" s="13" t="s">
        <v>70</v>
      </c>
      <c r="D3244" s="14" t="s">
        <v>50</v>
      </c>
      <c r="E3244" s="13" t="s">
        <v>73</v>
      </c>
      <c r="F3244" s="13" t="s">
        <v>1126</v>
      </c>
      <c r="G3244" s="13">
        <v>4.5</v>
      </c>
      <c r="H3244" s="15">
        <v>5</v>
      </c>
      <c r="I3244" s="16">
        <v>22.5</v>
      </c>
      <c r="J3244" s="16">
        <v>15.25</v>
      </c>
      <c r="K3244" s="16">
        <v>7.25</v>
      </c>
      <c r="L3244" s="13">
        <v>9.48</v>
      </c>
      <c r="M3244" s="13"/>
      <c r="N3244" s="17">
        <f t="shared" si="108"/>
        <v>47.400000000000006</v>
      </c>
      <c r="O3244" s="17">
        <f t="shared" si="108"/>
        <v>0</v>
      </c>
      <c r="P3244" s="17">
        <f t="shared" si="107"/>
        <v>47.400000000000006</v>
      </c>
      <c r="Q3244" t="str">
        <f>A3244&amp;"-"&amp;B3244&amp;"-"&amp;D3244</f>
        <v>AGUSTUS-CHW-L2</v>
      </c>
    </row>
    <row r="3245" spans="1:17" x14ac:dyDescent="0.25">
      <c r="A3245" t="s">
        <v>398</v>
      </c>
      <c r="B3245" s="13" t="s">
        <v>19</v>
      </c>
      <c r="C3245" s="13" t="s">
        <v>70</v>
      </c>
      <c r="D3245" s="14" t="s">
        <v>50</v>
      </c>
      <c r="E3245" s="13" t="s">
        <v>73</v>
      </c>
      <c r="F3245" s="13" t="s">
        <v>1014</v>
      </c>
      <c r="G3245" s="13">
        <v>4.5</v>
      </c>
      <c r="H3245" s="15">
        <v>7</v>
      </c>
      <c r="I3245" s="16">
        <v>31.5</v>
      </c>
      <c r="J3245" s="16">
        <v>24.018749999999997</v>
      </c>
      <c r="K3245" s="16">
        <v>7.4812500000000028</v>
      </c>
      <c r="L3245" s="13">
        <v>11.05</v>
      </c>
      <c r="M3245" s="13"/>
      <c r="N3245" s="17">
        <f t="shared" si="108"/>
        <v>77.350000000000009</v>
      </c>
      <c r="O3245" s="17">
        <f t="shared" si="108"/>
        <v>0</v>
      </c>
      <c r="P3245" s="17">
        <f t="shared" si="107"/>
        <v>77.350000000000009</v>
      </c>
      <c r="Q3245" t="str">
        <f>A3245&amp;"-"&amp;B3245&amp;"-"&amp;D3245</f>
        <v>AGUSTUS-CHW-L2</v>
      </c>
    </row>
    <row r="3246" spans="1:17" x14ac:dyDescent="0.25">
      <c r="A3246" t="s">
        <v>398</v>
      </c>
      <c r="B3246" s="13" t="s">
        <v>19</v>
      </c>
      <c r="C3246" s="13" t="s">
        <v>70</v>
      </c>
      <c r="D3246" s="14" t="s">
        <v>50</v>
      </c>
      <c r="E3246" s="13" t="s">
        <v>73</v>
      </c>
      <c r="F3246" s="13" t="s">
        <v>711</v>
      </c>
      <c r="G3246" s="13">
        <v>4.5</v>
      </c>
      <c r="H3246" s="15">
        <v>250</v>
      </c>
      <c r="I3246" s="16">
        <v>1125</v>
      </c>
      <c r="J3246" s="16">
        <v>765.03016501960315</v>
      </c>
      <c r="K3246" s="16">
        <v>359.96983498039685</v>
      </c>
      <c r="L3246" s="13">
        <v>10.82</v>
      </c>
      <c r="M3246" s="13"/>
      <c r="N3246" s="17">
        <f t="shared" si="108"/>
        <v>2705</v>
      </c>
      <c r="O3246" s="17">
        <f t="shared" si="108"/>
        <v>0</v>
      </c>
      <c r="P3246" s="17">
        <f t="shared" si="107"/>
        <v>2705</v>
      </c>
      <c r="Q3246" t="str">
        <f>A3246&amp;"-"&amp;B3246&amp;"-"&amp;D3246</f>
        <v>AGUSTUS-CHW-L2</v>
      </c>
    </row>
    <row r="3247" spans="1:17" x14ac:dyDescent="0.25">
      <c r="A3247" t="s">
        <v>398</v>
      </c>
      <c r="B3247" s="13" t="s">
        <v>19</v>
      </c>
      <c r="C3247" s="13" t="s">
        <v>70</v>
      </c>
      <c r="D3247" s="14" t="s">
        <v>50</v>
      </c>
      <c r="E3247" s="13" t="s">
        <v>73</v>
      </c>
      <c r="F3247" s="13" t="s">
        <v>712</v>
      </c>
      <c r="G3247" s="13">
        <v>4.5</v>
      </c>
      <c r="H3247" s="15">
        <v>13</v>
      </c>
      <c r="I3247" s="16">
        <v>58.5</v>
      </c>
      <c r="J3247" s="16">
        <v>33.991628959276021</v>
      </c>
      <c r="K3247" s="16">
        <v>24.508371040723979</v>
      </c>
      <c r="L3247" s="13">
        <v>10.42</v>
      </c>
      <c r="M3247" s="13"/>
      <c r="N3247" s="17">
        <f t="shared" si="108"/>
        <v>135.46</v>
      </c>
      <c r="O3247" s="17">
        <f t="shared" si="108"/>
        <v>0</v>
      </c>
      <c r="P3247" s="17">
        <f t="shared" si="107"/>
        <v>135.46</v>
      </c>
      <c r="Q3247" t="str">
        <f>A3247&amp;"-"&amp;B3247&amp;"-"&amp;D3247</f>
        <v>AGUSTUS-CHW-L2</v>
      </c>
    </row>
    <row r="3248" spans="1:17" x14ac:dyDescent="0.25">
      <c r="A3248" t="s">
        <v>398</v>
      </c>
      <c r="B3248" s="13" t="s">
        <v>19</v>
      </c>
      <c r="C3248" s="13" t="s">
        <v>70</v>
      </c>
      <c r="D3248" s="14" t="s">
        <v>50</v>
      </c>
      <c r="E3248" s="13" t="s">
        <v>73</v>
      </c>
      <c r="F3248" s="13" t="s">
        <v>1250</v>
      </c>
      <c r="G3248" s="13">
        <v>4.5</v>
      </c>
      <c r="H3248" s="15">
        <v>16</v>
      </c>
      <c r="I3248" s="16">
        <v>72</v>
      </c>
      <c r="J3248" s="16">
        <v>83.657142857142858</v>
      </c>
      <c r="K3248" s="16">
        <v>-11.657142857142858</v>
      </c>
      <c r="L3248" s="13">
        <v>10.51</v>
      </c>
      <c r="M3248" s="13"/>
      <c r="N3248" s="17">
        <f t="shared" si="108"/>
        <v>168.16</v>
      </c>
      <c r="O3248" s="17">
        <f t="shared" si="108"/>
        <v>0</v>
      </c>
      <c r="P3248" s="17">
        <f t="shared" si="107"/>
        <v>168.16</v>
      </c>
      <c r="Q3248" t="str">
        <f>A3248&amp;"-"&amp;B3248&amp;"-"&amp;D3248</f>
        <v>AGUSTUS-CHW-L2</v>
      </c>
    </row>
    <row r="3249" spans="1:17" x14ac:dyDescent="0.25">
      <c r="A3249" t="s">
        <v>398</v>
      </c>
      <c r="B3249" s="13" t="s">
        <v>19</v>
      </c>
      <c r="C3249" s="13" t="s">
        <v>70</v>
      </c>
      <c r="D3249" s="14" t="s">
        <v>50</v>
      </c>
      <c r="E3249" s="13" t="s">
        <v>73</v>
      </c>
      <c r="F3249" s="13" t="s">
        <v>830</v>
      </c>
      <c r="G3249" s="13">
        <v>4.5</v>
      </c>
      <c r="H3249" s="15">
        <v>104</v>
      </c>
      <c r="I3249" s="16">
        <v>468</v>
      </c>
      <c r="J3249" s="16">
        <v>705.46499999999992</v>
      </c>
      <c r="K3249" s="16">
        <v>-237.46499999999997</v>
      </c>
      <c r="L3249" s="13">
        <v>11.12</v>
      </c>
      <c r="M3249" s="13"/>
      <c r="N3249" s="17">
        <f t="shared" si="108"/>
        <v>1156.48</v>
      </c>
      <c r="O3249" s="17">
        <f t="shared" si="108"/>
        <v>0</v>
      </c>
      <c r="P3249" s="17">
        <f t="shared" si="107"/>
        <v>1156.48</v>
      </c>
      <c r="Q3249" t="str">
        <f>A3249&amp;"-"&amp;B3249&amp;"-"&amp;D3249</f>
        <v>AGUSTUS-CHW-L2</v>
      </c>
    </row>
    <row r="3250" spans="1:17" x14ac:dyDescent="0.25">
      <c r="A3250" t="s">
        <v>398</v>
      </c>
      <c r="B3250" s="13" t="s">
        <v>19</v>
      </c>
      <c r="C3250" s="13" t="s">
        <v>70</v>
      </c>
      <c r="D3250" s="14" t="s">
        <v>50</v>
      </c>
      <c r="E3250" s="13" t="s">
        <v>73</v>
      </c>
      <c r="F3250" s="13" t="s">
        <v>1127</v>
      </c>
      <c r="G3250" s="13">
        <v>4.5</v>
      </c>
      <c r="H3250" s="15">
        <v>146</v>
      </c>
      <c r="I3250" s="16">
        <v>657</v>
      </c>
      <c r="J3250" s="16">
        <v>402.63929447852757</v>
      </c>
      <c r="K3250" s="16">
        <v>254.36070552147243</v>
      </c>
      <c r="L3250" s="13">
        <v>11.17</v>
      </c>
      <c r="M3250" s="13"/>
      <c r="N3250" s="17">
        <f t="shared" si="108"/>
        <v>1630.82</v>
      </c>
      <c r="O3250" s="17">
        <f t="shared" si="108"/>
        <v>0</v>
      </c>
      <c r="P3250" s="17">
        <f t="shared" si="107"/>
        <v>1630.82</v>
      </c>
      <c r="Q3250" t="str">
        <f>A3250&amp;"-"&amp;B3250&amp;"-"&amp;D3250</f>
        <v>AGUSTUS-CHW-L2</v>
      </c>
    </row>
    <row r="3251" spans="1:17" x14ac:dyDescent="0.25">
      <c r="A3251" t="s">
        <v>398</v>
      </c>
      <c r="B3251" s="13" t="s">
        <v>19</v>
      </c>
      <c r="C3251" s="13" t="s">
        <v>70</v>
      </c>
      <c r="D3251" s="14" t="s">
        <v>50</v>
      </c>
      <c r="E3251" s="13" t="s">
        <v>73</v>
      </c>
      <c r="F3251" s="13" t="s">
        <v>1251</v>
      </c>
      <c r="G3251" s="13">
        <v>4.5</v>
      </c>
      <c r="H3251" s="15">
        <v>192</v>
      </c>
      <c r="I3251" s="16">
        <v>864</v>
      </c>
      <c r="J3251" s="16">
        <v>642.31476410730806</v>
      </c>
      <c r="K3251" s="16">
        <v>221.68523589269194</v>
      </c>
      <c r="L3251" s="13">
        <v>10.81</v>
      </c>
      <c r="M3251" s="13"/>
      <c r="N3251" s="17">
        <f t="shared" si="108"/>
        <v>2075.52</v>
      </c>
      <c r="O3251" s="17">
        <f t="shared" si="108"/>
        <v>0</v>
      </c>
      <c r="P3251" s="17">
        <f t="shared" si="107"/>
        <v>2075.52</v>
      </c>
      <c r="Q3251" t="str">
        <f>A3251&amp;"-"&amp;B3251&amp;"-"&amp;D3251</f>
        <v>AGUSTUS-CHW-L2</v>
      </c>
    </row>
    <row r="3252" spans="1:17" x14ac:dyDescent="0.25">
      <c r="A3252" t="s">
        <v>398</v>
      </c>
      <c r="B3252" s="13" t="s">
        <v>19</v>
      </c>
      <c r="C3252" s="13" t="s">
        <v>70</v>
      </c>
      <c r="D3252" s="14" t="s">
        <v>56</v>
      </c>
      <c r="E3252" s="13" t="s">
        <v>71</v>
      </c>
      <c r="F3252" s="13" t="s">
        <v>1128</v>
      </c>
      <c r="G3252" s="13">
        <v>5</v>
      </c>
      <c r="H3252" s="15">
        <v>13</v>
      </c>
      <c r="I3252" s="16">
        <v>65</v>
      </c>
      <c r="J3252" s="16">
        <v>81.974685257885483</v>
      </c>
      <c r="K3252" s="16">
        <v>-16.974685257885476</v>
      </c>
      <c r="L3252" s="13">
        <v>11.96</v>
      </c>
      <c r="M3252" s="13"/>
      <c r="N3252" s="17">
        <f t="shared" si="108"/>
        <v>155.48000000000002</v>
      </c>
      <c r="O3252" s="17">
        <f t="shared" si="108"/>
        <v>0</v>
      </c>
      <c r="P3252" s="17">
        <f t="shared" si="107"/>
        <v>155.48000000000002</v>
      </c>
      <c r="Q3252" t="str">
        <f>A3252&amp;"-"&amp;B3252&amp;"-"&amp;D3252</f>
        <v>AGUSTUS-CHW-L3</v>
      </c>
    </row>
    <row r="3253" spans="1:17" x14ac:dyDescent="0.25">
      <c r="A3253" t="s">
        <v>398</v>
      </c>
      <c r="B3253" s="13" t="s">
        <v>19</v>
      </c>
      <c r="C3253" s="13" t="s">
        <v>70</v>
      </c>
      <c r="D3253" s="14" t="s">
        <v>56</v>
      </c>
      <c r="E3253" s="13" t="s">
        <v>71</v>
      </c>
      <c r="F3253" s="13" t="s">
        <v>1252</v>
      </c>
      <c r="G3253" s="13">
        <v>4.8</v>
      </c>
      <c r="H3253" s="15">
        <v>381</v>
      </c>
      <c r="I3253" s="16">
        <v>1828.8</v>
      </c>
      <c r="J3253" s="16">
        <v>2203.6288830072363</v>
      </c>
      <c r="K3253" s="16">
        <v>-374.82888300723664</v>
      </c>
      <c r="L3253" s="13">
        <v>12.19</v>
      </c>
      <c r="M3253" s="13"/>
      <c r="N3253" s="17">
        <f t="shared" si="108"/>
        <v>4644.3899999999994</v>
      </c>
      <c r="O3253" s="17">
        <f t="shared" si="108"/>
        <v>0</v>
      </c>
      <c r="P3253" s="17">
        <f t="shared" si="107"/>
        <v>4644.3899999999994</v>
      </c>
      <c r="Q3253" t="str">
        <f>A3253&amp;"-"&amp;B3253&amp;"-"&amp;D3253</f>
        <v>AGUSTUS-CHW-L3</v>
      </c>
    </row>
    <row r="3254" spans="1:17" x14ac:dyDescent="0.25">
      <c r="A3254" t="s">
        <v>398</v>
      </c>
      <c r="B3254" s="13" t="s">
        <v>19</v>
      </c>
      <c r="C3254" s="13" t="s">
        <v>70</v>
      </c>
      <c r="D3254" s="14" t="s">
        <v>56</v>
      </c>
      <c r="E3254" s="13" t="s">
        <v>71</v>
      </c>
      <c r="F3254" s="13" t="s">
        <v>1253</v>
      </c>
      <c r="G3254" s="13">
        <v>5</v>
      </c>
      <c r="H3254" s="15">
        <v>144</v>
      </c>
      <c r="I3254" s="16">
        <v>720</v>
      </c>
      <c r="J3254" s="16">
        <v>1084.9285714285716</v>
      </c>
      <c r="K3254" s="16">
        <v>-364.92857142857144</v>
      </c>
      <c r="L3254" s="13">
        <v>11.98</v>
      </c>
      <c r="M3254" s="13"/>
      <c r="N3254" s="17">
        <f t="shared" si="108"/>
        <v>1725.1200000000001</v>
      </c>
      <c r="O3254" s="17">
        <f t="shared" si="108"/>
        <v>0</v>
      </c>
      <c r="P3254" s="17">
        <f t="shared" si="107"/>
        <v>1725.1200000000001</v>
      </c>
      <c r="Q3254" t="str">
        <f>A3254&amp;"-"&amp;B3254&amp;"-"&amp;D3254</f>
        <v>AGUSTUS-CHW-L3</v>
      </c>
    </row>
    <row r="3255" spans="1:17" x14ac:dyDescent="0.25">
      <c r="A3255" t="s">
        <v>398</v>
      </c>
      <c r="B3255" s="13" t="s">
        <v>19</v>
      </c>
      <c r="C3255" s="13" t="s">
        <v>70</v>
      </c>
      <c r="D3255" s="14" t="s">
        <v>56</v>
      </c>
      <c r="E3255" s="13" t="s">
        <v>71</v>
      </c>
      <c r="F3255" s="13" t="s">
        <v>1254</v>
      </c>
      <c r="G3255" s="13">
        <v>5</v>
      </c>
      <c r="H3255" s="15">
        <v>387</v>
      </c>
      <c r="I3255" s="16">
        <v>1935</v>
      </c>
      <c r="J3255" s="16">
        <v>2069.9395976803189</v>
      </c>
      <c r="K3255" s="16">
        <v>-134.93959768031894</v>
      </c>
      <c r="L3255" s="13">
        <v>11.82</v>
      </c>
      <c r="M3255" s="13"/>
      <c r="N3255" s="17">
        <f t="shared" si="108"/>
        <v>4574.34</v>
      </c>
      <c r="O3255" s="17">
        <f t="shared" si="108"/>
        <v>0</v>
      </c>
      <c r="P3255" s="17">
        <f t="shared" si="107"/>
        <v>4574.34</v>
      </c>
      <c r="Q3255" t="str">
        <f>A3255&amp;"-"&amp;B3255&amp;"-"&amp;D3255</f>
        <v>AGUSTUS-CHW-L3</v>
      </c>
    </row>
    <row r="3256" spans="1:17" x14ac:dyDescent="0.25">
      <c r="A3256" t="s">
        <v>398</v>
      </c>
      <c r="B3256" s="13" t="s">
        <v>19</v>
      </c>
      <c r="C3256" s="13" t="s">
        <v>70</v>
      </c>
      <c r="D3256" s="14" t="s">
        <v>56</v>
      </c>
      <c r="E3256" s="13" t="s">
        <v>71</v>
      </c>
      <c r="F3256" s="13" t="s">
        <v>1130</v>
      </c>
      <c r="G3256" s="13">
        <v>5</v>
      </c>
      <c r="H3256" s="15">
        <v>5</v>
      </c>
      <c r="I3256" s="16">
        <v>25</v>
      </c>
      <c r="J3256" s="16">
        <v>549</v>
      </c>
      <c r="K3256" s="16">
        <v>-524</v>
      </c>
      <c r="L3256" s="13">
        <v>13.11</v>
      </c>
      <c r="M3256" s="13"/>
      <c r="N3256" s="17">
        <f t="shared" si="108"/>
        <v>65.55</v>
      </c>
      <c r="O3256" s="17">
        <f t="shared" si="108"/>
        <v>0</v>
      </c>
      <c r="P3256" s="17">
        <f t="shared" si="107"/>
        <v>65.55</v>
      </c>
      <c r="Q3256" t="str">
        <f>A3256&amp;"-"&amp;B3256&amp;"-"&amp;D3256</f>
        <v>AGUSTUS-CHW-L3</v>
      </c>
    </row>
    <row r="3257" spans="1:17" x14ac:dyDescent="0.25">
      <c r="A3257" t="s">
        <v>398</v>
      </c>
      <c r="B3257" s="13" t="s">
        <v>19</v>
      </c>
      <c r="C3257" s="13" t="s">
        <v>70</v>
      </c>
      <c r="D3257" s="14" t="s">
        <v>56</v>
      </c>
      <c r="E3257" s="13" t="s">
        <v>71</v>
      </c>
      <c r="F3257" s="13" t="s">
        <v>1131</v>
      </c>
      <c r="G3257" s="13">
        <v>4.8</v>
      </c>
      <c r="H3257" s="15">
        <v>36</v>
      </c>
      <c r="I3257" s="16">
        <v>172.8</v>
      </c>
      <c r="J3257" s="16">
        <v>304.0591283191157</v>
      </c>
      <c r="K3257" s="16">
        <v>-131.25912831911569</v>
      </c>
      <c r="L3257" s="13">
        <v>13.1</v>
      </c>
      <c r="M3257" s="13"/>
      <c r="N3257" s="17">
        <f t="shared" si="108"/>
        <v>471.59999999999997</v>
      </c>
      <c r="O3257" s="17">
        <f t="shared" si="108"/>
        <v>0</v>
      </c>
      <c r="P3257" s="17">
        <f t="shared" si="107"/>
        <v>471.59999999999997</v>
      </c>
      <c r="Q3257" t="str">
        <f>A3257&amp;"-"&amp;B3257&amp;"-"&amp;D3257</f>
        <v>AGUSTUS-CHW-L3</v>
      </c>
    </row>
    <row r="3258" spans="1:17" x14ac:dyDescent="0.25">
      <c r="A3258" t="s">
        <v>398</v>
      </c>
      <c r="B3258" s="13" t="s">
        <v>19</v>
      </c>
      <c r="C3258" s="13" t="s">
        <v>70</v>
      </c>
      <c r="D3258" s="14" t="s">
        <v>56</v>
      </c>
      <c r="E3258" s="13" t="s">
        <v>71</v>
      </c>
      <c r="F3258" s="13" t="s">
        <v>1132</v>
      </c>
      <c r="G3258" s="13">
        <v>4.8</v>
      </c>
      <c r="H3258" s="15">
        <v>7</v>
      </c>
      <c r="I3258" s="16">
        <v>33.6</v>
      </c>
      <c r="J3258" s="16">
        <v>30.991935483870968</v>
      </c>
      <c r="K3258" s="16">
        <v>2.6080645161290334</v>
      </c>
      <c r="L3258" s="13">
        <v>12.56</v>
      </c>
      <c r="M3258" s="13"/>
      <c r="N3258" s="17">
        <f t="shared" si="108"/>
        <v>87.92</v>
      </c>
      <c r="O3258" s="17">
        <f t="shared" si="108"/>
        <v>0</v>
      </c>
      <c r="P3258" s="17">
        <f t="shared" si="107"/>
        <v>87.92</v>
      </c>
      <c r="Q3258" t="str">
        <f>A3258&amp;"-"&amp;B3258&amp;"-"&amp;D3258</f>
        <v>AGUSTUS-CHW-L3</v>
      </c>
    </row>
    <row r="3259" spans="1:17" x14ac:dyDescent="0.25">
      <c r="A3259" t="s">
        <v>398</v>
      </c>
      <c r="B3259" s="13" t="s">
        <v>19</v>
      </c>
      <c r="C3259" s="13" t="s">
        <v>70</v>
      </c>
      <c r="D3259" s="14" t="s">
        <v>56</v>
      </c>
      <c r="E3259" s="13" t="s">
        <v>71</v>
      </c>
      <c r="F3259" s="13" t="s">
        <v>1255</v>
      </c>
      <c r="G3259" s="13">
        <v>4.8</v>
      </c>
      <c r="H3259" s="15">
        <v>620</v>
      </c>
      <c r="I3259" s="16">
        <v>2976</v>
      </c>
      <c r="J3259" s="16">
        <v>4365.5421686746986</v>
      </c>
      <c r="K3259" s="16">
        <v>-1389.5421686746988</v>
      </c>
      <c r="L3259" s="13">
        <v>13.49</v>
      </c>
      <c r="M3259" s="13"/>
      <c r="N3259" s="17">
        <f t="shared" si="108"/>
        <v>8363.7999999999993</v>
      </c>
      <c r="O3259" s="17">
        <f t="shared" si="108"/>
        <v>0</v>
      </c>
      <c r="P3259" s="17">
        <f t="shared" si="107"/>
        <v>8363.7999999999993</v>
      </c>
      <c r="Q3259" t="str">
        <f>A3259&amp;"-"&amp;B3259&amp;"-"&amp;D3259</f>
        <v>AGUSTUS-CHW-L3</v>
      </c>
    </row>
    <row r="3260" spans="1:17" x14ac:dyDescent="0.25">
      <c r="A3260" t="s">
        <v>398</v>
      </c>
      <c r="B3260" s="13" t="s">
        <v>19</v>
      </c>
      <c r="C3260" s="13" t="s">
        <v>70</v>
      </c>
      <c r="D3260" s="14" t="s">
        <v>56</v>
      </c>
      <c r="E3260" s="13" t="s">
        <v>71</v>
      </c>
      <c r="F3260" s="13" t="s">
        <v>1256</v>
      </c>
      <c r="G3260" s="13">
        <v>4.8</v>
      </c>
      <c r="H3260" s="15">
        <v>173</v>
      </c>
      <c r="I3260" s="16">
        <v>830.40000000000009</v>
      </c>
      <c r="J3260" s="16">
        <v>1256.8834172450761</v>
      </c>
      <c r="K3260" s="16">
        <v>-426.48341724507611</v>
      </c>
      <c r="L3260" s="13">
        <v>12.7</v>
      </c>
      <c r="M3260" s="13"/>
      <c r="N3260" s="17">
        <f t="shared" si="108"/>
        <v>2197.1</v>
      </c>
      <c r="O3260" s="17">
        <f t="shared" si="108"/>
        <v>0</v>
      </c>
      <c r="P3260" s="17">
        <f t="shared" si="107"/>
        <v>2197.1</v>
      </c>
      <c r="Q3260" t="str">
        <f>A3260&amp;"-"&amp;B3260&amp;"-"&amp;D3260</f>
        <v>AGUSTUS-CHW-L3</v>
      </c>
    </row>
    <row r="3261" spans="1:17" x14ac:dyDescent="0.25">
      <c r="A3261" t="s">
        <v>398</v>
      </c>
      <c r="B3261" s="13" t="s">
        <v>19</v>
      </c>
      <c r="C3261" s="13" t="s">
        <v>70</v>
      </c>
      <c r="D3261" s="14" t="s">
        <v>56</v>
      </c>
      <c r="E3261" s="13" t="s">
        <v>71</v>
      </c>
      <c r="F3261" s="13" t="s">
        <v>1020</v>
      </c>
      <c r="G3261" s="13">
        <v>5</v>
      </c>
      <c r="H3261" s="15">
        <v>20</v>
      </c>
      <c r="I3261" s="16">
        <v>100</v>
      </c>
      <c r="J3261" s="16">
        <v>131.05161290322582</v>
      </c>
      <c r="K3261" s="16">
        <v>-31.051612903225802</v>
      </c>
      <c r="L3261" s="13">
        <v>11.98</v>
      </c>
      <c r="M3261" s="13"/>
      <c r="N3261" s="17">
        <f t="shared" si="108"/>
        <v>239.60000000000002</v>
      </c>
      <c r="O3261" s="17">
        <f t="shared" si="108"/>
        <v>0</v>
      </c>
      <c r="P3261" s="17">
        <f t="shared" si="107"/>
        <v>239.60000000000002</v>
      </c>
      <c r="Q3261" t="str">
        <f>A3261&amp;"-"&amp;B3261&amp;"-"&amp;D3261</f>
        <v>AGUSTUS-CHW-L3</v>
      </c>
    </row>
    <row r="3262" spans="1:17" x14ac:dyDescent="0.25">
      <c r="A3262" t="s">
        <v>398</v>
      </c>
      <c r="B3262" s="13" t="s">
        <v>19</v>
      </c>
      <c r="C3262" s="13" t="s">
        <v>70</v>
      </c>
      <c r="D3262" s="14" t="s">
        <v>158</v>
      </c>
      <c r="E3262" s="13" t="s">
        <v>142</v>
      </c>
      <c r="F3262" s="13" t="s">
        <v>1021</v>
      </c>
      <c r="G3262" s="13">
        <v>1.6500000000000001</v>
      </c>
      <c r="H3262" s="15">
        <v>2665</v>
      </c>
      <c r="I3262" s="16">
        <v>4397.25</v>
      </c>
      <c r="J3262" s="16">
        <v>3598.6950000000002</v>
      </c>
      <c r="K3262" s="16">
        <v>798.55500000000006</v>
      </c>
      <c r="L3262" s="13">
        <v>5.88</v>
      </c>
      <c r="M3262" s="13"/>
      <c r="N3262" s="17">
        <f t="shared" si="108"/>
        <v>15670.199999999999</v>
      </c>
      <c r="O3262" s="17">
        <f t="shared" si="108"/>
        <v>0</v>
      </c>
      <c r="P3262" s="17">
        <f t="shared" si="107"/>
        <v>15670.199999999999</v>
      </c>
      <c r="Q3262" t="str">
        <f>A3262&amp;"-"&amp;B3262&amp;"-"&amp;D3262</f>
        <v>AGUSTUS-CHW-L4</v>
      </c>
    </row>
    <row r="3263" spans="1:17" x14ac:dyDescent="0.25">
      <c r="A3263" t="s">
        <v>398</v>
      </c>
      <c r="B3263" s="13" t="s">
        <v>19</v>
      </c>
      <c r="C3263" s="13" t="s">
        <v>70</v>
      </c>
      <c r="D3263" s="14" t="s">
        <v>158</v>
      </c>
      <c r="E3263" s="13" t="s">
        <v>142</v>
      </c>
      <c r="F3263" s="13" t="s">
        <v>1257</v>
      </c>
      <c r="G3263" s="13">
        <v>1.6500000000000001</v>
      </c>
      <c r="H3263" s="15">
        <v>1947</v>
      </c>
      <c r="I3263" s="16">
        <v>3212.55</v>
      </c>
      <c r="J3263" s="16">
        <v>3573.146308449549</v>
      </c>
      <c r="K3263" s="16">
        <v>-360.59630844954887</v>
      </c>
      <c r="L3263" s="13">
        <v>5.83</v>
      </c>
      <c r="M3263" s="13"/>
      <c r="N3263" s="17">
        <f t="shared" si="108"/>
        <v>11351.01</v>
      </c>
      <c r="O3263" s="17">
        <f t="shared" si="108"/>
        <v>0</v>
      </c>
      <c r="P3263" s="17">
        <f t="shared" si="107"/>
        <v>11351.01</v>
      </c>
      <c r="Q3263" t="str">
        <f>A3263&amp;"-"&amp;B3263&amp;"-"&amp;D3263</f>
        <v>AGUSTUS-CHW-L4</v>
      </c>
    </row>
    <row r="3264" spans="1:17" x14ac:dyDescent="0.25">
      <c r="A3264" t="s">
        <v>398</v>
      </c>
      <c r="B3264" s="13" t="s">
        <v>19</v>
      </c>
      <c r="C3264" s="13" t="s">
        <v>70</v>
      </c>
      <c r="D3264" s="14" t="s">
        <v>158</v>
      </c>
      <c r="E3264" s="13" t="s">
        <v>142</v>
      </c>
      <c r="F3264" s="13" t="s">
        <v>1258</v>
      </c>
      <c r="G3264" s="13">
        <v>1.6500000000000001</v>
      </c>
      <c r="H3264" s="15">
        <v>1282</v>
      </c>
      <c r="I3264" s="16">
        <v>2115.3000000000002</v>
      </c>
      <c r="J3264" s="16">
        <v>3563.853691550451</v>
      </c>
      <c r="K3264" s="16">
        <v>-1448.553691550451</v>
      </c>
      <c r="L3264" s="13">
        <v>6.04</v>
      </c>
      <c r="M3264" s="13"/>
      <c r="N3264" s="17">
        <f t="shared" ref="N3264:O3317" si="109">$H3264*L3264</f>
        <v>7743.28</v>
      </c>
      <c r="O3264" s="17">
        <f t="shared" si="109"/>
        <v>0</v>
      </c>
      <c r="P3264" s="17">
        <f t="shared" si="107"/>
        <v>7743.28</v>
      </c>
      <c r="Q3264" t="str">
        <f>A3264&amp;"-"&amp;B3264&amp;"-"&amp;D3264</f>
        <v>AGUSTUS-CHW-L4</v>
      </c>
    </row>
    <row r="3265" spans="1:17" x14ac:dyDescent="0.25">
      <c r="A3265" t="s">
        <v>398</v>
      </c>
      <c r="B3265" s="13" t="s">
        <v>19</v>
      </c>
      <c r="C3265" s="13" t="s">
        <v>70</v>
      </c>
      <c r="D3265" s="14" t="s">
        <v>158</v>
      </c>
      <c r="E3265" s="13" t="s">
        <v>142</v>
      </c>
      <c r="F3265" s="13" t="s">
        <v>1259</v>
      </c>
      <c r="G3265" s="13">
        <v>1.75</v>
      </c>
      <c r="H3265" s="15">
        <v>978</v>
      </c>
      <c r="I3265" s="16">
        <v>1711.5</v>
      </c>
      <c r="J3265" s="16">
        <v>1342.3050000000001</v>
      </c>
      <c r="K3265" s="16">
        <v>369.19499999999994</v>
      </c>
      <c r="L3265" s="13">
        <v>6.95</v>
      </c>
      <c r="M3265" s="13"/>
      <c r="N3265" s="17">
        <f t="shared" si="109"/>
        <v>6797.1</v>
      </c>
      <c r="O3265" s="17">
        <f t="shared" si="109"/>
        <v>0</v>
      </c>
      <c r="P3265" s="17">
        <f t="shared" si="107"/>
        <v>6797.1</v>
      </c>
      <c r="Q3265" t="str">
        <f>A3265&amp;"-"&amp;B3265&amp;"-"&amp;D3265</f>
        <v>AGUSTUS-CHW-L4</v>
      </c>
    </row>
    <row r="3266" spans="1:17" x14ac:dyDescent="0.25">
      <c r="A3266" t="s">
        <v>398</v>
      </c>
      <c r="B3266" s="13" t="s">
        <v>20</v>
      </c>
      <c r="C3266" s="13" t="s">
        <v>60</v>
      </c>
      <c r="D3266" s="14" t="s">
        <v>56</v>
      </c>
      <c r="E3266" s="13" t="s">
        <v>61</v>
      </c>
      <c r="F3266" s="13" t="s">
        <v>1260</v>
      </c>
      <c r="G3266" s="13">
        <v>1.0999999999999999</v>
      </c>
      <c r="H3266" s="15">
        <v>3872</v>
      </c>
      <c r="I3266" s="16">
        <v>4259.2</v>
      </c>
      <c r="J3266" s="16">
        <v>7006.5872080101499</v>
      </c>
      <c r="K3266" s="16">
        <v>-2747.3872080101492</v>
      </c>
      <c r="L3266" s="13">
        <v>2.61</v>
      </c>
      <c r="M3266" s="13"/>
      <c r="N3266" s="17">
        <f t="shared" si="109"/>
        <v>10105.92</v>
      </c>
      <c r="O3266" s="17">
        <f t="shared" si="109"/>
        <v>0</v>
      </c>
      <c r="P3266" s="17">
        <f t="shared" ref="P3266:P3329" si="110">N3266+O3266</f>
        <v>10105.92</v>
      </c>
      <c r="Q3266" t="str">
        <f>A3266&amp;"-"&amp;B3266&amp;"-"&amp;D3266</f>
        <v>AGUSTUS-CJL-L3</v>
      </c>
    </row>
    <row r="3267" spans="1:17" x14ac:dyDescent="0.25">
      <c r="A3267" t="s">
        <v>398</v>
      </c>
      <c r="B3267" s="13" t="s">
        <v>20</v>
      </c>
      <c r="C3267" s="13" t="s">
        <v>60</v>
      </c>
      <c r="D3267" s="14" t="s">
        <v>56</v>
      </c>
      <c r="E3267" s="13" t="s">
        <v>837</v>
      </c>
      <c r="F3267" s="13" t="s">
        <v>1261</v>
      </c>
      <c r="G3267" s="13">
        <v>3</v>
      </c>
      <c r="H3267" s="15">
        <v>2396</v>
      </c>
      <c r="I3267" s="16">
        <v>7188</v>
      </c>
      <c r="J3267" s="16">
        <v>7389.1676564641384</v>
      </c>
      <c r="K3267" s="16">
        <v>-201.16765646413887</v>
      </c>
      <c r="L3267" s="13">
        <v>8.93</v>
      </c>
      <c r="M3267" s="13"/>
      <c r="N3267" s="17">
        <f t="shared" si="109"/>
        <v>21396.28</v>
      </c>
      <c r="O3267" s="17">
        <f t="shared" si="109"/>
        <v>0</v>
      </c>
      <c r="P3267" s="17">
        <f t="shared" si="110"/>
        <v>21396.28</v>
      </c>
      <c r="Q3267" t="str">
        <f>A3267&amp;"-"&amp;B3267&amp;"-"&amp;D3267</f>
        <v>AGUSTUS-CJL-L3</v>
      </c>
    </row>
    <row r="3268" spans="1:17" x14ac:dyDescent="0.25">
      <c r="A3268" t="s">
        <v>398</v>
      </c>
      <c r="B3268" s="13" t="s">
        <v>20</v>
      </c>
      <c r="C3268" s="13" t="s">
        <v>286</v>
      </c>
      <c r="D3268" s="14" t="s">
        <v>56</v>
      </c>
      <c r="E3268" s="13" t="s">
        <v>58</v>
      </c>
      <c r="F3268" s="13" t="s">
        <v>1024</v>
      </c>
      <c r="G3268" s="13">
        <v>8.65</v>
      </c>
      <c r="H3268" s="15">
        <v>572</v>
      </c>
      <c r="I3268" s="16">
        <v>4947.8</v>
      </c>
      <c r="J3268" s="16">
        <v>2659.6363636363635</v>
      </c>
      <c r="K3268" s="16">
        <v>2288.1636363636362</v>
      </c>
      <c r="L3268" s="13"/>
      <c r="M3268" s="13">
        <v>8.65</v>
      </c>
      <c r="N3268" s="17">
        <f t="shared" si="109"/>
        <v>0</v>
      </c>
      <c r="O3268" s="17">
        <f t="shared" si="109"/>
        <v>4947.8</v>
      </c>
      <c r="P3268" s="17">
        <f t="shared" si="110"/>
        <v>4947.8</v>
      </c>
      <c r="Q3268" t="str">
        <f>A3268&amp;"-"&amp;B3268&amp;"-"&amp;D3268</f>
        <v>AGUSTUS-CJL-L3</v>
      </c>
    </row>
    <row r="3269" spans="1:17" x14ac:dyDescent="0.25">
      <c r="A3269" t="s">
        <v>398</v>
      </c>
      <c r="B3269" s="13" t="s">
        <v>22</v>
      </c>
      <c r="C3269" s="13" t="s">
        <v>154</v>
      </c>
      <c r="D3269" s="14" t="s">
        <v>158</v>
      </c>
      <c r="E3269" s="13" t="s">
        <v>155</v>
      </c>
      <c r="F3269" s="13" t="s">
        <v>1262</v>
      </c>
      <c r="G3269" s="13">
        <v>0.51</v>
      </c>
      <c r="H3269" s="15">
        <v>44</v>
      </c>
      <c r="I3269" s="16">
        <v>22.44</v>
      </c>
      <c r="J3269" s="16">
        <v>25.083760683760683</v>
      </c>
      <c r="K3269" s="16">
        <v>-2.6437606837606822</v>
      </c>
      <c r="L3269" s="13">
        <v>1.47</v>
      </c>
      <c r="M3269" s="13"/>
      <c r="N3269" s="17">
        <f t="shared" si="109"/>
        <v>64.679999999999993</v>
      </c>
      <c r="O3269" s="17">
        <f t="shared" si="109"/>
        <v>0</v>
      </c>
      <c r="P3269" s="17">
        <f t="shared" si="110"/>
        <v>64.679999999999993</v>
      </c>
      <c r="Q3269" t="str">
        <f>A3269&amp;"-"&amp;B3269&amp;"-"&amp;D3269</f>
        <v>AGUSTUS-CNJ2-L4</v>
      </c>
    </row>
    <row r="3270" spans="1:17" x14ac:dyDescent="0.25">
      <c r="A3270" t="s">
        <v>398</v>
      </c>
      <c r="B3270" s="13" t="s">
        <v>22</v>
      </c>
      <c r="C3270" s="13" t="s">
        <v>154</v>
      </c>
      <c r="D3270" s="14" t="s">
        <v>158</v>
      </c>
      <c r="E3270" s="13" t="s">
        <v>155</v>
      </c>
      <c r="F3270" s="13" t="s">
        <v>1263</v>
      </c>
      <c r="G3270" s="13">
        <v>0.51</v>
      </c>
      <c r="H3270" s="15">
        <v>792</v>
      </c>
      <c r="I3270" s="16">
        <v>403.92</v>
      </c>
      <c r="J3270" s="16">
        <v>451.50769230769231</v>
      </c>
      <c r="K3270" s="16">
        <v>-47.587692307692294</v>
      </c>
      <c r="L3270" s="13">
        <v>1.47</v>
      </c>
      <c r="M3270" s="13"/>
      <c r="N3270" s="17">
        <f t="shared" si="109"/>
        <v>1164.24</v>
      </c>
      <c r="O3270" s="17">
        <f t="shared" si="109"/>
        <v>0</v>
      </c>
      <c r="P3270" s="17">
        <f t="shared" si="110"/>
        <v>1164.24</v>
      </c>
      <c r="Q3270" t="str">
        <f>A3270&amp;"-"&amp;B3270&amp;"-"&amp;D3270</f>
        <v>AGUSTUS-CNJ2-L4</v>
      </c>
    </row>
    <row r="3271" spans="1:17" x14ac:dyDescent="0.25">
      <c r="A3271" t="s">
        <v>398</v>
      </c>
      <c r="B3271" s="13" t="s">
        <v>22</v>
      </c>
      <c r="C3271" s="13" t="s">
        <v>154</v>
      </c>
      <c r="D3271" s="14" t="s">
        <v>158</v>
      </c>
      <c r="E3271" s="13" t="s">
        <v>155</v>
      </c>
      <c r="F3271" s="13" t="s">
        <v>1264</v>
      </c>
      <c r="G3271" s="13">
        <v>0.51</v>
      </c>
      <c r="H3271" s="15">
        <v>218</v>
      </c>
      <c r="I3271" s="16">
        <v>111.18</v>
      </c>
      <c r="J3271" s="16">
        <v>124.27863247863249</v>
      </c>
      <c r="K3271" s="16">
        <v>-13.098632478632481</v>
      </c>
      <c r="L3271" s="13">
        <v>1.47</v>
      </c>
      <c r="M3271" s="13"/>
      <c r="N3271" s="17">
        <f t="shared" si="109"/>
        <v>320.45999999999998</v>
      </c>
      <c r="O3271" s="17">
        <f t="shared" si="109"/>
        <v>0</v>
      </c>
      <c r="P3271" s="17">
        <f t="shared" si="110"/>
        <v>320.45999999999998</v>
      </c>
      <c r="Q3271" t="str">
        <f>A3271&amp;"-"&amp;B3271&amp;"-"&amp;D3271</f>
        <v>AGUSTUS-CNJ2-L4</v>
      </c>
    </row>
    <row r="3272" spans="1:17" x14ac:dyDescent="0.25">
      <c r="A3272" t="s">
        <v>398</v>
      </c>
      <c r="B3272" s="13" t="s">
        <v>22</v>
      </c>
      <c r="C3272" s="13" t="s">
        <v>154</v>
      </c>
      <c r="D3272" s="14" t="s">
        <v>158</v>
      </c>
      <c r="E3272" s="13" t="s">
        <v>155</v>
      </c>
      <c r="F3272" s="13" t="s">
        <v>1265</v>
      </c>
      <c r="G3272" s="13">
        <v>0.51</v>
      </c>
      <c r="H3272" s="15">
        <v>116</v>
      </c>
      <c r="I3272" s="16">
        <v>59.16</v>
      </c>
      <c r="J3272" s="16">
        <v>66.129914529914529</v>
      </c>
      <c r="K3272" s="16">
        <v>-6.9699145299145329</v>
      </c>
      <c r="L3272" s="13">
        <v>1.47</v>
      </c>
      <c r="M3272" s="13"/>
      <c r="N3272" s="17">
        <f t="shared" si="109"/>
        <v>170.52</v>
      </c>
      <c r="O3272" s="17">
        <f t="shared" si="109"/>
        <v>0</v>
      </c>
      <c r="P3272" s="17">
        <f t="shared" si="110"/>
        <v>170.52</v>
      </c>
      <c r="Q3272" t="str">
        <f>A3272&amp;"-"&amp;B3272&amp;"-"&amp;D3272</f>
        <v>AGUSTUS-CNJ2-L4</v>
      </c>
    </row>
    <row r="3273" spans="1:17" x14ac:dyDescent="0.25">
      <c r="A3273" t="s">
        <v>398</v>
      </c>
      <c r="B3273" s="13" t="s">
        <v>22</v>
      </c>
      <c r="C3273" s="13" t="s">
        <v>154</v>
      </c>
      <c r="D3273" s="14" t="s">
        <v>163</v>
      </c>
      <c r="E3273" s="13" t="s">
        <v>155</v>
      </c>
      <c r="F3273" s="13" t="s">
        <v>1263</v>
      </c>
      <c r="G3273" s="13">
        <v>0.51</v>
      </c>
      <c r="H3273" s="15">
        <v>396</v>
      </c>
      <c r="I3273" s="16">
        <v>201.96</v>
      </c>
      <c r="J3273" s="16">
        <v>528.26400000000001</v>
      </c>
      <c r="K3273" s="16">
        <v>-326.30399999999997</v>
      </c>
      <c r="L3273" s="13">
        <v>1.47</v>
      </c>
      <c r="M3273" s="13"/>
      <c r="N3273" s="17">
        <f t="shared" si="109"/>
        <v>582.12</v>
      </c>
      <c r="O3273" s="17">
        <f t="shared" si="109"/>
        <v>0</v>
      </c>
      <c r="P3273" s="17">
        <f t="shared" si="110"/>
        <v>582.12</v>
      </c>
      <c r="Q3273" t="str">
        <f>A3273&amp;"-"&amp;B3273&amp;"-"&amp;D3273</f>
        <v>AGUSTUS-CNJ2-L6</v>
      </c>
    </row>
    <row r="3274" spans="1:17" x14ac:dyDescent="0.25">
      <c r="A3274" t="s">
        <v>398</v>
      </c>
      <c r="B3274" s="13" t="s">
        <v>22</v>
      </c>
      <c r="C3274" s="13" t="s">
        <v>154</v>
      </c>
      <c r="D3274" s="14" t="s">
        <v>163</v>
      </c>
      <c r="E3274" s="13" t="s">
        <v>155</v>
      </c>
      <c r="F3274" s="13" t="s">
        <v>1264</v>
      </c>
      <c r="G3274" s="13">
        <v>0.51</v>
      </c>
      <c r="H3274" s="15">
        <v>104</v>
      </c>
      <c r="I3274" s="16">
        <v>53.04</v>
      </c>
      <c r="J3274" s="16">
        <v>138.73599999999999</v>
      </c>
      <c r="K3274" s="16">
        <v>-85.695999999999998</v>
      </c>
      <c r="L3274" s="13">
        <v>1.47</v>
      </c>
      <c r="M3274" s="13"/>
      <c r="N3274" s="17">
        <f t="shared" si="109"/>
        <v>152.88</v>
      </c>
      <c r="O3274" s="17">
        <f t="shared" si="109"/>
        <v>0</v>
      </c>
      <c r="P3274" s="17">
        <f t="shared" si="110"/>
        <v>152.88</v>
      </c>
      <c r="Q3274" t="str">
        <f>A3274&amp;"-"&amp;B3274&amp;"-"&amp;D3274</f>
        <v>AGUSTUS-CNJ2-L6</v>
      </c>
    </row>
    <row r="3275" spans="1:17" x14ac:dyDescent="0.25">
      <c r="A3275" t="s">
        <v>398</v>
      </c>
      <c r="B3275" s="13" t="s">
        <v>22</v>
      </c>
      <c r="C3275" s="13" t="s">
        <v>43</v>
      </c>
      <c r="D3275" s="14" t="s">
        <v>44</v>
      </c>
      <c r="E3275" s="13" t="s">
        <v>165</v>
      </c>
      <c r="F3275" s="13" t="s">
        <v>850</v>
      </c>
      <c r="G3275" s="13">
        <v>1.86</v>
      </c>
      <c r="H3275" s="15">
        <v>1477</v>
      </c>
      <c r="I3275" s="16">
        <v>2747.22</v>
      </c>
      <c r="J3275" s="16">
        <v>2429.5475000000001</v>
      </c>
      <c r="K3275" s="16">
        <v>317.67250000000007</v>
      </c>
      <c r="L3275" s="13"/>
      <c r="M3275" s="13">
        <v>1.95</v>
      </c>
      <c r="N3275" s="17">
        <f t="shared" si="109"/>
        <v>0</v>
      </c>
      <c r="O3275" s="17">
        <f t="shared" si="109"/>
        <v>2880.15</v>
      </c>
      <c r="P3275" s="17">
        <f t="shared" si="110"/>
        <v>2880.15</v>
      </c>
      <c r="Q3275" t="str">
        <f>A3275&amp;"-"&amp;B3275&amp;"-"&amp;D3275</f>
        <v>AGUSTUS-CNJ2-L1</v>
      </c>
    </row>
    <row r="3276" spans="1:17" x14ac:dyDescent="0.25">
      <c r="A3276" t="s">
        <v>398</v>
      </c>
      <c r="B3276" s="13" t="s">
        <v>22</v>
      </c>
      <c r="C3276" s="13" t="s">
        <v>43</v>
      </c>
      <c r="D3276" s="14" t="s">
        <v>44</v>
      </c>
      <c r="E3276" s="13" t="s">
        <v>71</v>
      </c>
      <c r="F3276" s="13" t="s">
        <v>1266</v>
      </c>
      <c r="G3276" s="13">
        <v>3.9399999999999995</v>
      </c>
      <c r="H3276" s="15">
        <v>1102</v>
      </c>
      <c r="I3276" s="16">
        <v>4341.88</v>
      </c>
      <c r="J3276" s="16">
        <v>7622.8600000000006</v>
      </c>
      <c r="K3276" s="16">
        <v>-3280.9800000000005</v>
      </c>
      <c r="L3276" s="13"/>
      <c r="M3276" s="13">
        <v>3.7</v>
      </c>
      <c r="N3276" s="17">
        <f t="shared" si="109"/>
        <v>0</v>
      </c>
      <c r="O3276" s="17">
        <f t="shared" si="109"/>
        <v>4077.4</v>
      </c>
      <c r="P3276" s="17">
        <f t="shared" si="110"/>
        <v>4077.4</v>
      </c>
      <c r="Q3276" t="str">
        <f>A3276&amp;"-"&amp;B3276&amp;"-"&amp;D3276</f>
        <v>AGUSTUS-CNJ2-L1</v>
      </c>
    </row>
    <row r="3277" spans="1:17" x14ac:dyDescent="0.25">
      <c r="A3277" t="s">
        <v>398</v>
      </c>
      <c r="B3277" s="13" t="s">
        <v>22</v>
      </c>
      <c r="C3277" s="13" t="s">
        <v>43</v>
      </c>
      <c r="D3277" s="14" t="s">
        <v>44</v>
      </c>
      <c r="E3277" s="13" t="s">
        <v>1267</v>
      </c>
      <c r="F3277" s="13" t="s">
        <v>1268</v>
      </c>
      <c r="G3277" s="13">
        <v>2.85</v>
      </c>
      <c r="H3277" s="15">
        <v>1015</v>
      </c>
      <c r="I3277" s="16">
        <v>2892.75</v>
      </c>
      <c r="J3277" s="16">
        <v>3144.4300000000003</v>
      </c>
      <c r="K3277" s="16">
        <v>-251.68</v>
      </c>
      <c r="L3277" s="13"/>
      <c r="M3277" s="13">
        <v>3</v>
      </c>
      <c r="N3277" s="17">
        <f t="shared" si="109"/>
        <v>0</v>
      </c>
      <c r="O3277" s="17">
        <f t="shared" si="109"/>
        <v>3045</v>
      </c>
      <c r="P3277" s="17">
        <f t="shared" si="110"/>
        <v>3045</v>
      </c>
      <c r="Q3277" t="str">
        <f>A3277&amp;"-"&amp;B3277&amp;"-"&amp;D3277</f>
        <v>AGUSTUS-CNJ2-L1</v>
      </c>
    </row>
    <row r="3278" spans="1:17" x14ac:dyDescent="0.25">
      <c r="A3278" t="s">
        <v>398</v>
      </c>
      <c r="B3278" s="13" t="s">
        <v>22</v>
      </c>
      <c r="C3278" s="13" t="s">
        <v>43</v>
      </c>
      <c r="D3278" s="14" t="s">
        <v>44</v>
      </c>
      <c r="E3278" s="13" t="s">
        <v>167</v>
      </c>
      <c r="F3278" s="13" t="s">
        <v>1269</v>
      </c>
      <c r="G3278" s="13">
        <v>1.91</v>
      </c>
      <c r="H3278" s="15">
        <v>1760</v>
      </c>
      <c r="I3278" s="16">
        <v>3361.6</v>
      </c>
      <c r="J3278" s="16">
        <v>3382.8824999999997</v>
      </c>
      <c r="K3278" s="16">
        <v>-21.282499999999914</v>
      </c>
      <c r="L3278" s="13"/>
      <c r="M3278" s="13">
        <v>2</v>
      </c>
      <c r="N3278" s="17">
        <f t="shared" si="109"/>
        <v>0</v>
      </c>
      <c r="O3278" s="17">
        <f t="shared" si="109"/>
        <v>3520</v>
      </c>
      <c r="P3278" s="17">
        <f t="shared" si="110"/>
        <v>3520</v>
      </c>
      <c r="Q3278" t="str">
        <f>A3278&amp;"-"&amp;B3278&amp;"-"&amp;D3278</f>
        <v>AGUSTUS-CNJ2-L1</v>
      </c>
    </row>
    <row r="3279" spans="1:17" x14ac:dyDescent="0.25">
      <c r="A3279" t="s">
        <v>398</v>
      </c>
      <c r="B3279" s="13" t="s">
        <v>22</v>
      </c>
      <c r="C3279" s="13" t="s">
        <v>43</v>
      </c>
      <c r="D3279" s="14" t="s">
        <v>50</v>
      </c>
      <c r="E3279" s="13" t="s">
        <v>170</v>
      </c>
      <c r="F3279" s="13" t="s">
        <v>1270</v>
      </c>
      <c r="G3279" s="13">
        <v>0.28999999999999998</v>
      </c>
      <c r="H3279" s="15">
        <v>3018</v>
      </c>
      <c r="I3279" s="16">
        <v>875.22</v>
      </c>
      <c r="J3279" s="16">
        <v>874.65053030303034</v>
      </c>
      <c r="K3279" s="16">
        <v>0.56946969696974747</v>
      </c>
      <c r="L3279" s="13"/>
      <c r="M3279" s="13">
        <v>0.3</v>
      </c>
      <c r="N3279" s="17">
        <f t="shared" si="109"/>
        <v>0</v>
      </c>
      <c r="O3279" s="17">
        <f t="shared" si="109"/>
        <v>905.4</v>
      </c>
      <c r="P3279" s="17">
        <f t="shared" si="110"/>
        <v>905.4</v>
      </c>
      <c r="Q3279" t="str">
        <f>A3279&amp;"-"&amp;B3279&amp;"-"&amp;D3279</f>
        <v>AGUSTUS-CNJ2-L2</v>
      </c>
    </row>
    <row r="3280" spans="1:17" x14ac:dyDescent="0.25">
      <c r="A3280" t="s">
        <v>398</v>
      </c>
      <c r="B3280" s="13" t="s">
        <v>22</v>
      </c>
      <c r="C3280" s="13" t="s">
        <v>43</v>
      </c>
      <c r="D3280" s="14" t="s">
        <v>50</v>
      </c>
      <c r="E3280" s="13" t="s">
        <v>1271</v>
      </c>
      <c r="F3280" s="13" t="s">
        <v>1272</v>
      </c>
      <c r="G3280" s="13">
        <v>0.34</v>
      </c>
      <c r="H3280" s="15">
        <v>3864</v>
      </c>
      <c r="I3280" s="16">
        <v>1313.76</v>
      </c>
      <c r="J3280" s="16">
        <v>1288.644</v>
      </c>
      <c r="K3280" s="16">
        <v>25.115999999999985</v>
      </c>
      <c r="L3280" s="13"/>
      <c r="M3280" s="13">
        <v>0.35</v>
      </c>
      <c r="N3280" s="17">
        <f t="shared" si="109"/>
        <v>0</v>
      </c>
      <c r="O3280" s="17">
        <f t="shared" si="109"/>
        <v>1352.3999999999999</v>
      </c>
      <c r="P3280" s="17">
        <f t="shared" si="110"/>
        <v>1352.3999999999999</v>
      </c>
      <c r="Q3280" t="str">
        <f>A3280&amp;"-"&amp;B3280&amp;"-"&amp;D3280</f>
        <v>AGUSTUS-CNJ2-L2</v>
      </c>
    </row>
    <row r="3281" spans="1:17" x14ac:dyDescent="0.25">
      <c r="A3281" t="s">
        <v>398</v>
      </c>
      <c r="B3281" s="13" t="s">
        <v>22</v>
      </c>
      <c r="C3281" s="13" t="s">
        <v>43</v>
      </c>
      <c r="D3281" s="14" t="s">
        <v>50</v>
      </c>
      <c r="E3281" s="13" t="s">
        <v>550</v>
      </c>
      <c r="F3281" s="13" t="s">
        <v>1139</v>
      </c>
      <c r="G3281" s="13">
        <v>0.28999999999999998</v>
      </c>
      <c r="H3281" s="15">
        <v>1458</v>
      </c>
      <c r="I3281" s="16">
        <v>422.82</v>
      </c>
      <c r="J3281" s="16">
        <v>419.09458333333333</v>
      </c>
      <c r="K3281" s="16">
        <v>3.7254166666666588</v>
      </c>
      <c r="L3281" s="13"/>
      <c r="M3281" s="13">
        <v>0.3</v>
      </c>
      <c r="N3281" s="17">
        <f t="shared" si="109"/>
        <v>0</v>
      </c>
      <c r="O3281" s="17">
        <f t="shared" si="109"/>
        <v>437.4</v>
      </c>
      <c r="P3281" s="17">
        <f t="shared" si="110"/>
        <v>437.4</v>
      </c>
      <c r="Q3281" t="str">
        <f>A3281&amp;"-"&amp;B3281&amp;"-"&amp;D3281</f>
        <v>AGUSTUS-CNJ2-L2</v>
      </c>
    </row>
    <row r="3282" spans="1:17" x14ac:dyDescent="0.25">
      <c r="A3282" t="s">
        <v>398</v>
      </c>
      <c r="B3282" s="13" t="s">
        <v>22</v>
      </c>
      <c r="C3282" s="13" t="s">
        <v>43</v>
      </c>
      <c r="D3282" s="14" t="s">
        <v>50</v>
      </c>
      <c r="E3282" s="13" t="s">
        <v>555</v>
      </c>
      <c r="F3282" s="13" t="s">
        <v>1142</v>
      </c>
      <c r="G3282" s="13">
        <v>0.23</v>
      </c>
      <c r="H3282" s="15">
        <v>2020</v>
      </c>
      <c r="I3282" s="16">
        <v>464.59999999999997</v>
      </c>
      <c r="J3282" s="16">
        <v>578.98082237673827</v>
      </c>
      <c r="K3282" s="16">
        <v>-114.38082237673829</v>
      </c>
      <c r="L3282" s="13"/>
      <c r="M3282" s="13">
        <v>0.24</v>
      </c>
      <c r="N3282" s="17">
        <f t="shared" si="109"/>
        <v>0</v>
      </c>
      <c r="O3282" s="17">
        <f t="shared" si="109"/>
        <v>484.79999999999995</v>
      </c>
      <c r="P3282" s="17">
        <f t="shared" si="110"/>
        <v>484.79999999999995</v>
      </c>
      <c r="Q3282" t="str">
        <f>A3282&amp;"-"&amp;B3282&amp;"-"&amp;D3282</f>
        <v>AGUSTUS-CNJ2-L2</v>
      </c>
    </row>
    <row r="3283" spans="1:17" x14ac:dyDescent="0.25">
      <c r="A3283" t="s">
        <v>398</v>
      </c>
      <c r="B3283" s="13" t="s">
        <v>22</v>
      </c>
      <c r="C3283" s="13" t="s">
        <v>43</v>
      </c>
      <c r="D3283" s="14" t="s">
        <v>50</v>
      </c>
      <c r="E3283" s="13" t="s">
        <v>555</v>
      </c>
      <c r="F3283" s="13" t="s">
        <v>1273</v>
      </c>
      <c r="G3283" s="13">
        <v>0.23</v>
      </c>
      <c r="H3283" s="15">
        <v>845</v>
      </c>
      <c r="I3283" s="16">
        <v>194.35</v>
      </c>
      <c r="J3283" s="16">
        <v>250.16921969696969</v>
      </c>
      <c r="K3283" s="16">
        <v>-55.819219696969704</v>
      </c>
      <c r="L3283" s="13"/>
      <c r="M3283" s="13">
        <v>0.24</v>
      </c>
      <c r="N3283" s="17">
        <f t="shared" si="109"/>
        <v>0</v>
      </c>
      <c r="O3283" s="17">
        <f t="shared" si="109"/>
        <v>202.79999999999998</v>
      </c>
      <c r="P3283" s="17">
        <f t="shared" si="110"/>
        <v>202.79999999999998</v>
      </c>
      <c r="Q3283" t="str">
        <f>A3283&amp;"-"&amp;B3283&amp;"-"&amp;D3283</f>
        <v>AGUSTUS-CNJ2-L2</v>
      </c>
    </row>
    <row r="3284" spans="1:17" x14ac:dyDescent="0.25">
      <c r="A3284" t="s">
        <v>398</v>
      </c>
      <c r="B3284" s="13" t="s">
        <v>22</v>
      </c>
      <c r="C3284" s="13" t="s">
        <v>43</v>
      </c>
      <c r="D3284" s="14" t="s">
        <v>50</v>
      </c>
      <c r="E3284" s="13" t="s">
        <v>177</v>
      </c>
      <c r="F3284" s="13" t="s">
        <v>849</v>
      </c>
      <c r="G3284" s="13">
        <v>0.24000000000000005</v>
      </c>
      <c r="H3284" s="15">
        <v>8948</v>
      </c>
      <c r="I3284" s="16">
        <v>2147.52</v>
      </c>
      <c r="J3284" s="16">
        <v>2584.3412609565949</v>
      </c>
      <c r="K3284" s="16">
        <v>-436.82126095659487</v>
      </c>
      <c r="L3284" s="13"/>
      <c r="M3284" s="13">
        <v>0.25</v>
      </c>
      <c r="N3284" s="17">
        <f t="shared" si="109"/>
        <v>0</v>
      </c>
      <c r="O3284" s="17">
        <f t="shared" si="109"/>
        <v>2237</v>
      </c>
      <c r="P3284" s="17">
        <f t="shared" si="110"/>
        <v>2237</v>
      </c>
      <c r="Q3284" t="str">
        <f>A3284&amp;"-"&amp;B3284&amp;"-"&amp;D3284</f>
        <v>AGUSTUS-CNJ2-L2</v>
      </c>
    </row>
    <row r="3285" spans="1:17" x14ac:dyDescent="0.25">
      <c r="A3285" t="s">
        <v>398</v>
      </c>
      <c r="B3285" s="13" t="s">
        <v>22</v>
      </c>
      <c r="C3285" s="13" t="s">
        <v>43</v>
      </c>
      <c r="D3285" s="14" t="s">
        <v>50</v>
      </c>
      <c r="E3285" s="13" t="s">
        <v>177</v>
      </c>
      <c r="F3285" s="13" t="s">
        <v>1274</v>
      </c>
      <c r="G3285" s="13">
        <v>0.24</v>
      </c>
      <c r="H3285" s="15">
        <v>4950</v>
      </c>
      <c r="I3285" s="16">
        <v>1188</v>
      </c>
      <c r="J3285" s="16">
        <v>1572.21</v>
      </c>
      <c r="K3285" s="16">
        <v>-384.21000000000004</v>
      </c>
      <c r="L3285" s="13"/>
      <c r="M3285" s="13">
        <v>0.25</v>
      </c>
      <c r="N3285" s="17">
        <f t="shared" si="109"/>
        <v>0</v>
      </c>
      <c r="O3285" s="17">
        <f t="shared" si="109"/>
        <v>1237.5</v>
      </c>
      <c r="P3285" s="17">
        <f t="shared" si="110"/>
        <v>1237.5</v>
      </c>
      <c r="Q3285" t="str">
        <f>A3285&amp;"-"&amp;B3285&amp;"-"&amp;D3285</f>
        <v>AGUSTUS-CNJ2-L2</v>
      </c>
    </row>
    <row r="3286" spans="1:17" x14ac:dyDescent="0.25">
      <c r="A3286" t="s">
        <v>398</v>
      </c>
      <c r="B3286" s="13" t="s">
        <v>22</v>
      </c>
      <c r="C3286" s="13" t="s">
        <v>43</v>
      </c>
      <c r="D3286" s="14" t="s">
        <v>50</v>
      </c>
      <c r="E3286" s="13" t="s">
        <v>177</v>
      </c>
      <c r="F3286" s="13" t="s">
        <v>1275</v>
      </c>
      <c r="G3286" s="13">
        <v>0.24</v>
      </c>
      <c r="H3286" s="15">
        <v>1565</v>
      </c>
      <c r="I3286" s="16">
        <v>375.6</v>
      </c>
      <c r="J3286" s="16">
        <v>434.9395833333333</v>
      </c>
      <c r="K3286" s="16">
        <v>-59.339583333333309</v>
      </c>
      <c r="L3286" s="13"/>
      <c r="M3286" s="13">
        <v>0.6</v>
      </c>
      <c r="N3286" s="17">
        <f t="shared" si="109"/>
        <v>0</v>
      </c>
      <c r="O3286" s="17">
        <f t="shared" si="109"/>
        <v>939</v>
      </c>
      <c r="P3286" s="17">
        <f t="shared" si="110"/>
        <v>939</v>
      </c>
      <c r="Q3286" t="str">
        <f>A3286&amp;"-"&amp;B3286&amp;"-"&amp;D3286</f>
        <v>AGUSTUS-CNJ2-L2</v>
      </c>
    </row>
    <row r="3287" spans="1:17" x14ac:dyDescent="0.25">
      <c r="A3287" t="s">
        <v>398</v>
      </c>
      <c r="B3287" s="13" t="s">
        <v>22</v>
      </c>
      <c r="C3287" s="13" t="s">
        <v>43</v>
      </c>
      <c r="D3287" s="14" t="s">
        <v>50</v>
      </c>
      <c r="E3287" s="13" t="s">
        <v>177</v>
      </c>
      <c r="F3287" s="13" t="s">
        <v>1276</v>
      </c>
      <c r="G3287" s="13">
        <v>0.24</v>
      </c>
      <c r="H3287" s="15">
        <v>1032</v>
      </c>
      <c r="I3287" s="16">
        <v>247.68</v>
      </c>
      <c r="J3287" s="16">
        <v>286.81</v>
      </c>
      <c r="K3287" s="16">
        <v>-39.129999999999995</v>
      </c>
      <c r="L3287" s="13"/>
      <c r="M3287" s="13">
        <v>0.25</v>
      </c>
      <c r="N3287" s="17">
        <f t="shared" si="109"/>
        <v>0</v>
      </c>
      <c r="O3287" s="17">
        <f t="shared" si="109"/>
        <v>258</v>
      </c>
      <c r="P3287" s="17">
        <f t="shared" si="110"/>
        <v>258</v>
      </c>
      <c r="Q3287" t="str">
        <f>A3287&amp;"-"&amp;B3287&amp;"-"&amp;D3287</f>
        <v>AGUSTUS-CNJ2-L2</v>
      </c>
    </row>
    <row r="3288" spans="1:17" x14ac:dyDescent="0.25">
      <c r="A3288" t="s">
        <v>398</v>
      </c>
      <c r="B3288" s="13" t="s">
        <v>22</v>
      </c>
      <c r="C3288" s="13" t="s">
        <v>43</v>
      </c>
      <c r="D3288" s="14" t="s">
        <v>56</v>
      </c>
      <c r="E3288" s="13" t="s">
        <v>165</v>
      </c>
      <c r="F3288" s="13" t="s">
        <v>850</v>
      </c>
      <c r="G3288" s="13">
        <v>1.86</v>
      </c>
      <c r="H3288" s="15">
        <v>918</v>
      </c>
      <c r="I3288" s="16">
        <v>1707.48</v>
      </c>
      <c r="J3288" s="16">
        <v>2001</v>
      </c>
      <c r="K3288" s="16">
        <v>-293.52</v>
      </c>
      <c r="L3288" s="13"/>
      <c r="M3288" s="13">
        <v>1.95</v>
      </c>
      <c r="N3288" s="17">
        <f t="shared" si="109"/>
        <v>0</v>
      </c>
      <c r="O3288" s="17">
        <f t="shared" si="109"/>
        <v>1790.1</v>
      </c>
      <c r="P3288" s="17">
        <f t="shared" si="110"/>
        <v>1790.1</v>
      </c>
      <c r="Q3288" t="str">
        <f>A3288&amp;"-"&amp;B3288&amp;"-"&amp;D3288</f>
        <v>AGUSTUS-CNJ2-L3</v>
      </c>
    </row>
    <row r="3289" spans="1:17" x14ac:dyDescent="0.25">
      <c r="A3289" t="s">
        <v>398</v>
      </c>
      <c r="B3289" s="13" t="s">
        <v>22</v>
      </c>
      <c r="C3289" s="13" t="s">
        <v>43</v>
      </c>
      <c r="D3289" s="14" t="s">
        <v>56</v>
      </c>
      <c r="E3289" s="13" t="s">
        <v>179</v>
      </c>
      <c r="F3289" s="13" t="s">
        <v>1277</v>
      </c>
      <c r="G3289" s="13">
        <v>1.54</v>
      </c>
      <c r="H3289" s="15">
        <v>686</v>
      </c>
      <c r="I3289" s="16">
        <v>1056.44</v>
      </c>
      <c r="J3289" s="16">
        <v>1132.6929268292683</v>
      </c>
      <c r="K3289" s="16">
        <v>-76.25292682926829</v>
      </c>
      <c r="L3289" s="13"/>
      <c r="M3289" s="13">
        <v>1.65</v>
      </c>
      <c r="N3289" s="17">
        <f t="shared" si="109"/>
        <v>0</v>
      </c>
      <c r="O3289" s="17">
        <f t="shared" si="109"/>
        <v>1131.8999999999999</v>
      </c>
      <c r="P3289" s="17">
        <f t="shared" si="110"/>
        <v>1131.8999999999999</v>
      </c>
      <c r="Q3289" t="str">
        <f>A3289&amp;"-"&amp;B3289&amp;"-"&amp;D3289</f>
        <v>AGUSTUS-CNJ2-L3</v>
      </c>
    </row>
    <row r="3290" spans="1:17" x14ac:dyDescent="0.25">
      <c r="A3290" t="s">
        <v>398</v>
      </c>
      <c r="B3290" s="13" t="s">
        <v>22</v>
      </c>
      <c r="C3290" s="13" t="s">
        <v>43</v>
      </c>
      <c r="D3290" s="14" t="s">
        <v>56</v>
      </c>
      <c r="E3290" s="13" t="s">
        <v>179</v>
      </c>
      <c r="F3290" s="13" t="s">
        <v>1278</v>
      </c>
      <c r="G3290" s="13">
        <v>1.54</v>
      </c>
      <c r="H3290" s="15">
        <v>47</v>
      </c>
      <c r="I3290" s="16">
        <v>72.38</v>
      </c>
      <c r="J3290" s="16">
        <v>78.372500000000002</v>
      </c>
      <c r="K3290" s="16">
        <v>-5.9925000000000068</v>
      </c>
      <c r="L3290" s="13"/>
      <c r="M3290" s="13">
        <v>1.65</v>
      </c>
      <c r="N3290" s="17">
        <f t="shared" si="109"/>
        <v>0</v>
      </c>
      <c r="O3290" s="17">
        <f t="shared" si="109"/>
        <v>77.55</v>
      </c>
      <c r="P3290" s="17">
        <f t="shared" si="110"/>
        <v>77.55</v>
      </c>
      <c r="Q3290" t="str">
        <f>A3290&amp;"-"&amp;B3290&amp;"-"&amp;D3290</f>
        <v>AGUSTUS-CNJ2-L3</v>
      </c>
    </row>
    <row r="3291" spans="1:17" x14ac:dyDescent="0.25">
      <c r="A3291" t="s">
        <v>398</v>
      </c>
      <c r="B3291" s="13" t="s">
        <v>22</v>
      </c>
      <c r="C3291" s="13" t="s">
        <v>43</v>
      </c>
      <c r="D3291" s="14" t="s">
        <v>56</v>
      </c>
      <c r="E3291" s="13" t="s">
        <v>179</v>
      </c>
      <c r="F3291" s="13" t="s">
        <v>1279</v>
      </c>
      <c r="G3291" s="13">
        <v>1.54</v>
      </c>
      <c r="H3291" s="15">
        <v>27</v>
      </c>
      <c r="I3291" s="16">
        <v>41.58</v>
      </c>
      <c r="J3291" s="16">
        <v>45.022500000000001</v>
      </c>
      <c r="K3291" s="16">
        <v>-3.4425000000000026</v>
      </c>
      <c r="L3291" s="13"/>
      <c r="M3291" s="13">
        <v>1.65</v>
      </c>
      <c r="N3291" s="17">
        <f t="shared" si="109"/>
        <v>0</v>
      </c>
      <c r="O3291" s="17">
        <f t="shared" si="109"/>
        <v>44.55</v>
      </c>
      <c r="P3291" s="17">
        <f t="shared" si="110"/>
        <v>44.55</v>
      </c>
      <c r="Q3291" t="str">
        <f>A3291&amp;"-"&amp;B3291&amp;"-"&amp;D3291</f>
        <v>AGUSTUS-CNJ2-L3</v>
      </c>
    </row>
    <row r="3292" spans="1:17" x14ac:dyDescent="0.25">
      <c r="A3292" t="s">
        <v>398</v>
      </c>
      <c r="B3292" s="13" t="s">
        <v>22</v>
      </c>
      <c r="C3292" s="13" t="s">
        <v>43</v>
      </c>
      <c r="D3292" s="14" t="s">
        <v>56</v>
      </c>
      <c r="E3292" s="13" t="s">
        <v>179</v>
      </c>
      <c r="F3292" s="13" t="s">
        <v>1280</v>
      </c>
      <c r="G3292" s="13">
        <v>1.54</v>
      </c>
      <c r="H3292" s="15">
        <v>220</v>
      </c>
      <c r="I3292" s="16">
        <v>338.8</v>
      </c>
      <c r="J3292" s="16">
        <v>366.85</v>
      </c>
      <c r="K3292" s="16">
        <v>-28.050000000000011</v>
      </c>
      <c r="L3292" s="13"/>
      <c r="M3292" s="13">
        <v>1.65</v>
      </c>
      <c r="N3292" s="17">
        <f t="shared" si="109"/>
        <v>0</v>
      </c>
      <c r="O3292" s="17">
        <f t="shared" si="109"/>
        <v>363</v>
      </c>
      <c r="P3292" s="17">
        <f t="shared" si="110"/>
        <v>363</v>
      </c>
      <c r="Q3292" t="str">
        <f>A3292&amp;"-"&amp;B3292&amp;"-"&amp;D3292</f>
        <v>AGUSTUS-CNJ2-L3</v>
      </c>
    </row>
    <row r="3293" spans="1:17" x14ac:dyDescent="0.25">
      <c r="A3293" t="s">
        <v>398</v>
      </c>
      <c r="B3293" s="13" t="s">
        <v>22</v>
      </c>
      <c r="C3293" s="13" t="s">
        <v>43</v>
      </c>
      <c r="D3293" s="14" t="s">
        <v>56</v>
      </c>
      <c r="E3293" s="13" t="s">
        <v>179</v>
      </c>
      <c r="F3293" s="13" t="s">
        <v>1281</v>
      </c>
      <c r="G3293" s="13">
        <v>1.54</v>
      </c>
      <c r="H3293" s="15">
        <v>81</v>
      </c>
      <c r="I3293" s="16">
        <v>124.74</v>
      </c>
      <c r="J3293" s="16">
        <v>135.0675</v>
      </c>
      <c r="K3293" s="16">
        <v>-10.327500000000001</v>
      </c>
      <c r="L3293" s="13"/>
      <c r="M3293" s="13">
        <v>1.65</v>
      </c>
      <c r="N3293" s="17">
        <f t="shared" si="109"/>
        <v>0</v>
      </c>
      <c r="O3293" s="17">
        <f t="shared" si="109"/>
        <v>133.65</v>
      </c>
      <c r="P3293" s="17">
        <f t="shared" si="110"/>
        <v>133.65</v>
      </c>
      <c r="Q3293" t="str">
        <f>A3293&amp;"-"&amp;B3293&amp;"-"&amp;D3293</f>
        <v>AGUSTUS-CNJ2-L3</v>
      </c>
    </row>
    <row r="3294" spans="1:17" x14ac:dyDescent="0.25">
      <c r="A3294" t="s">
        <v>398</v>
      </c>
      <c r="B3294" s="13" t="s">
        <v>22</v>
      </c>
      <c r="C3294" s="13" t="s">
        <v>43</v>
      </c>
      <c r="D3294" s="14" t="s">
        <v>56</v>
      </c>
      <c r="E3294" s="13" t="s">
        <v>179</v>
      </c>
      <c r="F3294" s="13" t="s">
        <v>1282</v>
      </c>
      <c r="G3294" s="13">
        <v>1.54</v>
      </c>
      <c r="H3294" s="15">
        <v>1214</v>
      </c>
      <c r="I3294" s="16">
        <v>1869.56</v>
      </c>
      <c r="J3294" s="16">
        <v>2174.42</v>
      </c>
      <c r="K3294" s="16">
        <v>-304.86</v>
      </c>
      <c r="L3294" s="13"/>
      <c r="M3294" s="13">
        <v>1.65</v>
      </c>
      <c r="N3294" s="17">
        <f t="shared" si="109"/>
        <v>0</v>
      </c>
      <c r="O3294" s="17">
        <f t="shared" si="109"/>
        <v>2003.1</v>
      </c>
      <c r="P3294" s="17">
        <f t="shared" si="110"/>
        <v>2003.1</v>
      </c>
      <c r="Q3294" t="str">
        <f>A3294&amp;"-"&amp;B3294&amp;"-"&amp;D3294</f>
        <v>AGUSTUS-CNJ2-L3</v>
      </c>
    </row>
    <row r="3295" spans="1:17" x14ac:dyDescent="0.25">
      <c r="A3295" t="s">
        <v>398</v>
      </c>
      <c r="B3295" s="13" t="s">
        <v>22</v>
      </c>
      <c r="C3295" s="13" t="s">
        <v>43</v>
      </c>
      <c r="D3295" s="14" t="s">
        <v>56</v>
      </c>
      <c r="E3295" s="13" t="s">
        <v>179</v>
      </c>
      <c r="F3295" s="13" t="s">
        <v>1283</v>
      </c>
      <c r="G3295" s="13">
        <v>1.54</v>
      </c>
      <c r="H3295" s="15">
        <v>2384</v>
      </c>
      <c r="I3295" s="16">
        <v>3671.36</v>
      </c>
      <c r="J3295" s="16">
        <v>4545.9964363636363</v>
      </c>
      <c r="K3295" s="16">
        <v>-874.63643636363622</v>
      </c>
      <c r="L3295" s="13"/>
      <c r="M3295" s="13">
        <v>1.65</v>
      </c>
      <c r="N3295" s="17">
        <f t="shared" si="109"/>
        <v>0</v>
      </c>
      <c r="O3295" s="17">
        <f t="shared" si="109"/>
        <v>3933.6</v>
      </c>
      <c r="P3295" s="17">
        <f t="shared" si="110"/>
        <v>3933.6</v>
      </c>
      <c r="Q3295" t="str">
        <f>A3295&amp;"-"&amp;B3295&amp;"-"&amp;D3295</f>
        <v>AGUSTUS-CNJ2-L3</v>
      </c>
    </row>
    <row r="3296" spans="1:17" x14ac:dyDescent="0.25">
      <c r="A3296" t="s">
        <v>398</v>
      </c>
      <c r="B3296" s="13" t="s">
        <v>22</v>
      </c>
      <c r="C3296" s="13" t="s">
        <v>43</v>
      </c>
      <c r="D3296" s="14" t="s">
        <v>56</v>
      </c>
      <c r="E3296" s="13" t="s">
        <v>179</v>
      </c>
      <c r="F3296" s="13" t="s">
        <v>1284</v>
      </c>
      <c r="G3296" s="13">
        <v>1.54</v>
      </c>
      <c r="H3296" s="15">
        <v>1386</v>
      </c>
      <c r="I3296" s="16">
        <v>2134.44</v>
      </c>
      <c r="J3296" s="16">
        <v>2293.1385636363634</v>
      </c>
      <c r="K3296" s="16">
        <v>-158.69856363636364</v>
      </c>
      <c r="L3296" s="13"/>
      <c r="M3296" s="13">
        <v>1.65</v>
      </c>
      <c r="N3296" s="17">
        <f t="shared" si="109"/>
        <v>0</v>
      </c>
      <c r="O3296" s="17">
        <f t="shared" si="109"/>
        <v>2286.9</v>
      </c>
      <c r="P3296" s="17">
        <f t="shared" si="110"/>
        <v>2286.9</v>
      </c>
      <c r="Q3296" t="str">
        <f>A3296&amp;"-"&amp;B3296&amp;"-"&amp;D3296</f>
        <v>AGUSTUS-CNJ2-L3</v>
      </c>
    </row>
    <row r="3297" spans="1:17" x14ac:dyDescent="0.25">
      <c r="A3297" t="s">
        <v>398</v>
      </c>
      <c r="B3297" s="13" t="s">
        <v>22</v>
      </c>
      <c r="C3297" s="13" t="s">
        <v>43</v>
      </c>
      <c r="D3297" s="14" t="s">
        <v>56</v>
      </c>
      <c r="E3297" s="13" t="s">
        <v>179</v>
      </c>
      <c r="F3297" s="13" t="s">
        <v>1285</v>
      </c>
      <c r="G3297" s="13">
        <v>1.54</v>
      </c>
      <c r="H3297" s="15">
        <v>2286</v>
      </c>
      <c r="I3297" s="16">
        <v>3520.44</v>
      </c>
      <c r="J3297" s="16">
        <v>3775.4770731707317</v>
      </c>
      <c r="K3297" s="16">
        <v>-255.03707317073179</v>
      </c>
      <c r="L3297" s="13"/>
      <c r="M3297" s="13">
        <v>1.65</v>
      </c>
      <c r="N3297" s="17">
        <f t="shared" si="109"/>
        <v>0</v>
      </c>
      <c r="O3297" s="17">
        <f t="shared" si="109"/>
        <v>3771.8999999999996</v>
      </c>
      <c r="P3297" s="17">
        <f t="shared" si="110"/>
        <v>3771.8999999999996</v>
      </c>
      <c r="Q3297" t="str">
        <f>A3297&amp;"-"&amp;B3297&amp;"-"&amp;D3297</f>
        <v>AGUSTUS-CNJ2-L3</v>
      </c>
    </row>
    <row r="3298" spans="1:17" x14ac:dyDescent="0.25">
      <c r="A3298" t="s">
        <v>398</v>
      </c>
      <c r="B3298" s="13" t="s">
        <v>22</v>
      </c>
      <c r="C3298" s="13" t="s">
        <v>43</v>
      </c>
      <c r="D3298" s="14" t="s">
        <v>163</v>
      </c>
      <c r="E3298" s="13" t="s">
        <v>58</v>
      </c>
      <c r="F3298" s="13" t="s">
        <v>1286</v>
      </c>
      <c r="G3298" s="13">
        <v>1.49</v>
      </c>
      <c r="H3298" s="15">
        <v>556</v>
      </c>
      <c r="I3298" s="16">
        <v>828.44</v>
      </c>
      <c r="J3298" s="16">
        <v>904.72749999999996</v>
      </c>
      <c r="K3298" s="16">
        <v>-76.287499999999994</v>
      </c>
      <c r="L3298" s="13"/>
      <c r="M3298" s="13">
        <v>1.6</v>
      </c>
      <c r="N3298" s="17">
        <f t="shared" si="109"/>
        <v>0</v>
      </c>
      <c r="O3298" s="17">
        <f t="shared" si="109"/>
        <v>889.6</v>
      </c>
      <c r="P3298" s="17">
        <f t="shared" si="110"/>
        <v>889.6</v>
      </c>
      <c r="Q3298" t="str">
        <f>A3298&amp;"-"&amp;B3298&amp;"-"&amp;D3298</f>
        <v>AGUSTUS-CNJ2-L6</v>
      </c>
    </row>
    <row r="3299" spans="1:17" x14ac:dyDescent="0.25">
      <c r="A3299" t="s">
        <v>398</v>
      </c>
      <c r="B3299" s="13" t="s">
        <v>22</v>
      </c>
      <c r="C3299" s="13" t="s">
        <v>43</v>
      </c>
      <c r="D3299" s="14" t="s">
        <v>163</v>
      </c>
      <c r="E3299" s="13" t="s">
        <v>58</v>
      </c>
      <c r="F3299" s="13" t="s">
        <v>1287</v>
      </c>
      <c r="G3299" s="13">
        <v>1.49</v>
      </c>
      <c r="H3299" s="15">
        <v>663</v>
      </c>
      <c r="I3299" s="16">
        <v>987.87000000000012</v>
      </c>
      <c r="J3299" s="16">
        <v>1077.3499999999999</v>
      </c>
      <c r="K3299" s="16">
        <v>-89.479999999999961</v>
      </c>
      <c r="L3299" s="13"/>
      <c r="M3299" s="13">
        <v>1.6</v>
      </c>
      <c r="N3299" s="17">
        <f t="shared" si="109"/>
        <v>0</v>
      </c>
      <c r="O3299" s="17">
        <f t="shared" si="109"/>
        <v>1060.8</v>
      </c>
      <c r="P3299" s="17">
        <f t="shared" si="110"/>
        <v>1060.8</v>
      </c>
      <c r="Q3299" t="str">
        <f>A3299&amp;"-"&amp;B3299&amp;"-"&amp;D3299</f>
        <v>AGUSTUS-CNJ2-L6</v>
      </c>
    </row>
    <row r="3300" spans="1:17" x14ac:dyDescent="0.25">
      <c r="A3300" t="s">
        <v>398</v>
      </c>
      <c r="B3300" s="13" t="s">
        <v>22</v>
      </c>
      <c r="C3300" s="13" t="s">
        <v>43</v>
      </c>
      <c r="D3300" s="14" t="s">
        <v>163</v>
      </c>
      <c r="E3300" s="13" t="s">
        <v>58</v>
      </c>
      <c r="F3300" s="13" t="s">
        <v>1288</v>
      </c>
      <c r="G3300" s="13">
        <v>1.49</v>
      </c>
      <c r="H3300" s="15">
        <v>2382</v>
      </c>
      <c r="I3300" s="16">
        <v>3549.18</v>
      </c>
      <c r="J3300" s="16">
        <v>3451.0756727272728</v>
      </c>
      <c r="K3300" s="16">
        <v>98.104327272727303</v>
      </c>
      <c r="L3300" s="13"/>
      <c r="M3300" s="13">
        <v>1.6</v>
      </c>
      <c r="N3300" s="17">
        <f t="shared" si="109"/>
        <v>0</v>
      </c>
      <c r="O3300" s="17">
        <f t="shared" si="109"/>
        <v>3811.2000000000003</v>
      </c>
      <c r="P3300" s="17">
        <f t="shared" si="110"/>
        <v>3811.2000000000003</v>
      </c>
      <c r="Q3300" t="str">
        <f>A3300&amp;"-"&amp;B3300&amp;"-"&amp;D3300</f>
        <v>AGUSTUS-CNJ2-L6</v>
      </c>
    </row>
    <row r="3301" spans="1:17" x14ac:dyDescent="0.25">
      <c r="A3301" t="s">
        <v>398</v>
      </c>
      <c r="B3301" s="13" t="s">
        <v>22</v>
      </c>
      <c r="C3301" s="13" t="s">
        <v>43</v>
      </c>
      <c r="D3301" s="14" t="s">
        <v>163</v>
      </c>
      <c r="E3301" s="13" t="s">
        <v>58</v>
      </c>
      <c r="F3301" s="13" t="s">
        <v>1289</v>
      </c>
      <c r="G3301" s="13">
        <v>1.49</v>
      </c>
      <c r="H3301" s="15">
        <v>964</v>
      </c>
      <c r="I3301" s="16">
        <v>1436.36</v>
      </c>
      <c r="J3301" s="16">
        <v>1917.73</v>
      </c>
      <c r="K3301" s="16">
        <v>-481.37</v>
      </c>
      <c r="L3301" s="13"/>
      <c r="M3301" s="13">
        <v>1.6</v>
      </c>
      <c r="N3301" s="17">
        <f t="shared" si="109"/>
        <v>0</v>
      </c>
      <c r="O3301" s="17">
        <f t="shared" si="109"/>
        <v>1542.4</v>
      </c>
      <c r="P3301" s="17">
        <f t="shared" si="110"/>
        <v>1542.4</v>
      </c>
      <c r="Q3301" t="str">
        <f>A3301&amp;"-"&amp;B3301&amp;"-"&amp;D3301</f>
        <v>AGUSTUS-CNJ2-L6</v>
      </c>
    </row>
    <row r="3302" spans="1:17" x14ac:dyDescent="0.25">
      <c r="A3302" t="s">
        <v>398</v>
      </c>
      <c r="B3302" s="13" t="s">
        <v>22</v>
      </c>
      <c r="C3302" s="13" t="s">
        <v>43</v>
      </c>
      <c r="D3302" s="14" t="s">
        <v>163</v>
      </c>
      <c r="E3302" s="13" t="s">
        <v>58</v>
      </c>
      <c r="F3302" s="13" t="s">
        <v>1147</v>
      </c>
      <c r="G3302" s="13">
        <v>1.49</v>
      </c>
      <c r="H3302" s="15">
        <v>1167</v>
      </c>
      <c r="I3302" s="16">
        <v>1738.83</v>
      </c>
      <c r="J3302" s="16">
        <v>2001</v>
      </c>
      <c r="K3302" s="16">
        <v>-262.17000000000007</v>
      </c>
      <c r="L3302" s="13"/>
      <c r="M3302" s="13">
        <v>1.6</v>
      </c>
      <c r="N3302" s="17">
        <f t="shared" si="109"/>
        <v>0</v>
      </c>
      <c r="O3302" s="17">
        <f t="shared" si="109"/>
        <v>1867.2</v>
      </c>
      <c r="P3302" s="17">
        <f t="shared" si="110"/>
        <v>1867.2</v>
      </c>
      <c r="Q3302" t="str">
        <f>A3302&amp;"-"&amp;B3302&amp;"-"&amp;D3302</f>
        <v>AGUSTUS-CNJ2-L6</v>
      </c>
    </row>
    <row r="3303" spans="1:17" x14ac:dyDescent="0.25">
      <c r="A3303" t="s">
        <v>398</v>
      </c>
      <c r="B3303" s="13" t="s">
        <v>22</v>
      </c>
      <c r="C3303" s="13" t="s">
        <v>43</v>
      </c>
      <c r="D3303" s="14" t="s">
        <v>163</v>
      </c>
      <c r="E3303" s="13" t="s">
        <v>58</v>
      </c>
      <c r="F3303" s="13" t="s">
        <v>1290</v>
      </c>
      <c r="G3303" s="13">
        <v>1.49</v>
      </c>
      <c r="H3303" s="15">
        <v>3979</v>
      </c>
      <c r="I3303" s="16">
        <v>5928.71</v>
      </c>
      <c r="J3303" s="16">
        <v>6560.8368272727275</v>
      </c>
      <c r="K3303" s="16">
        <v>-632.12682727272727</v>
      </c>
      <c r="L3303" s="13"/>
      <c r="M3303" s="13">
        <v>1.6</v>
      </c>
      <c r="N3303" s="17">
        <f t="shared" si="109"/>
        <v>0</v>
      </c>
      <c r="O3303" s="17">
        <f t="shared" si="109"/>
        <v>6366.4000000000005</v>
      </c>
      <c r="P3303" s="17">
        <f t="shared" si="110"/>
        <v>6366.4000000000005</v>
      </c>
      <c r="Q3303" t="str">
        <f>A3303&amp;"-"&amp;B3303&amp;"-"&amp;D3303</f>
        <v>AGUSTUS-CNJ2-L6</v>
      </c>
    </row>
    <row r="3304" spans="1:17" x14ac:dyDescent="0.25">
      <c r="A3304" t="s">
        <v>398</v>
      </c>
      <c r="B3304" s="13" t="s">
        <v>22</v>
      </c>
      <c r="C3304" s="13" t="s">
        <v>43</v>
      </c>
      <c r="D3304" s="14" t="s">
        <v>164</v>
      </c>
      <c r="E3304" s="13" t="s">
        <v>58</v>
      </c>
      <c r="F3304" s="13" t="s">
        <v>1291</v>
      </c>
      <c r="G3304" s="13">
        <v>1.49</v>
      </c>
      <c r="H3304" s="15">
        <v>2309</v>
      </c>
      <c r="I3304" s="16">
        <v>3440.41</v>
      </c>
      <c r="J3304" s="16">
        <v>5154.6411666666672</v>
      </c>
      <c r="K3304" s="16">
        <v>-1714.2311666666667</v>
      </c>
      <c r="L3304" s="13"/>
      <c r="M3304" s="13">
        <v>1.6</v>
      </c>
      <c r="N3304" s="17">
        <f t="shared" si="109"/>
        <v>0</v>
      </c>
      <c r="O3304" s="17">
        <f t="shared" si="109"/>
        <v>3694.4</v>
      </c>
      <c r="P3304" s="17">
        <f t="shared" si="110"/>
        <v>3694.4</v>
      </c>
      <c r="Q3304" t="str">
        <f>A3304&amp;"-"&amp;B3304&amp;"-"&amp;D3304</f>
        <v>AGUSTUS-CNJ2-L7</v>
      </c>
    </row>
    <row r="3305" spans="1:17" x14ac:dyDescent="0.25">
      <c r="A3305" t="s">
        <v>398</v>
      </c>
      <c r="B3305" s="13" t="s">
        <v>22</v>
      </c>
      <c r="C3305" s="13" t="s">
        <v>43</v>
      </c>
      <c r="D3305" s="14" t="s">
        <v>164</v>
      </c>
      <c r="E3305" s="13" t="s">
        <v>58</v>
      </c>
      <c r="F3305" s="13" t="s">
        <v>1292</v>
      </c>
      <c r="G3305" s="13">
        <v>1.49</v>
      </c>
      <c r="H3305" s="15">
        <v>2628</v>
      </c>
      <c r="I3305" s="16">
        <v>3915.72</v>
      </c>
      <c r="J3305" s="16">
        <v>7138.56</v>
      </c>
      <c r="K3305" s="16">
        <v>-3222.8399999999997</v>
      </c>
      <c r="L3305" s="13"/>
      <c r="M3305" s="13">
        <v>1.6</v>
      </c>
      <c r="N3305" s="17">
        <f t="shared" si="109"/>
        <v>0</v>
      </c>
      <c r="O3305" s="17">
        <f t="shared" si="109"/>
        <v>4204.8</v>
      </c>
      <c r="P3305" s="17">
        <f t="shared" si="110"/>
        <v>4204.8</v>
      </c>
      <c r="Q3305" t="str">
        <f>A3305&amp;"-"&amp;B3305&amp;"-"&amp;D3305</f>
        <v>AGUSTUS-CNJ2-L7</v>
      </c>
    </row>
    <row r="3306" spans="1:17" x14ac:dyDescent="0.25">
      <c r="A3306" t="s">
        <v>398</v>
      </c>
      <c r="B3306" s="13" t="s">
        <v>22</v>
      </c>
      <c r="C3306" s="13" t="s">
        <v>43</v>
      </c>
      <c r="D3306" s="14" t="s">
        <v>164</v>
      </c>
      <c r="E3306" s="13" t="s">
        <v>58</v>
      </c>
      <c r="F3306" s="13" t="s">
        <v>1147</v>
      </c>
      <c r="G3306" s="13">
        <v>1.49</v>
      </c>
      <c r="H3306" s="15">
        <v>670</v>
      </c>
      <c r="I3306" s="16">
        <v>998.3</v>
      </c>
      <c r="J3306" s="16">
        <v>2001</v>
      </c>
      <c r="K3306" s="16">
        <v>-1002.7</v>
      </c>
      <c r="L3306" s="13"/>
      <c r="M3306" s="13">
        <v>1.6</v>
      </c>
      <c r="N3306" s="17">
        <f t="shared" si="109"/>
        <v>0</v>
      </c>
      <c r="O3306" s="17">
        <f t="shared" si="109"/>
        <v>1072</v>
      </c>
      <c r="P3306" s="17">
        <f t="shared" si="110"/>
        <v>1072</v>
      </c>
      <c r="Q3306" t="str">
        <f>A3306&amp;"-"&amp;B3306&amp;"-"&amp;D3306</f>
        <v>AGUSTUS-CNJ2-L7</v>
      </c>
    </row>
    <row r="3307" spans="1:17" x14ac:dyDescent="0.25">
      <c r="A3307" t="s">
        <v>398</v>
      </c>
      <c r="B3307" s="13" t="s">
        <v>22</v>
      </c>
      <c r="C3307" s="13" t="s">
        <v>43</v>
      </c>
      <c r="D3307" s="14" t="s">
        <v>164</v>
      </c>
      <c r="E3307" s="13" t="s">
        <v>58</v>
      </c>
      <c r="F3307" s="13" t="s">
        <v>1290</v>
      </c>
      <c r="G3307" s="13">
        <v>1.49</v>
      </c>
      <c r="H3307" s="15">
        <v>768</v>
      </c>
      <c r="I3307" s="16">
        <v>1144.32</v>
      </c>
      <c r="J3307" s="16">
        <v>2285.5188333333335</v>
      </c>
      <c r="K3307" s="16">
        <v>-1141.1988333333334</v>
      </c>
      <c r="L3307" s="13"/>
      <c r="M3307" s="13">
        <v>1.6</v>
      </c>
      <c r="N3307" s="17">
        <f t="shared" si="109"/>
        <v>0</v>
      </c>
      <c r="O3307" s="17">
        <f t="shared" si="109"/>
        <v>1228.8000000000002</v>
      </c>
      <c r="P3307" s="17">
        <f t="shared" si="110"/>
        <v>1228.8000000000002</v>
      </c>
      <c r="Q3307" t="str">
        <f>A3307&amp;"-"&amp;B3307&amp;"-"&amp;D3307</f>
        <v>AGUSTUS-CNJ2-L7</v>
      </c>
    </row>
    <row r="3308" spans="1:17" x14ac:dyDescent="0.25">
      <c r="A3308" t="s">
        <v>398</v>
      </c>
      <c r="B3308" s="13" t="s">
        <v>22</v>
      </c>
      <c r="C3308" s="13" t="s">
        <v>201</v>
      </c>
      <c r="D3308" s="14" t="s">
        <v>158</v>
      </c>
      <c r="E3308" s="13" t="s">
        <v>191</v>
      </c>
      <c r="F3308" s="13" t="s">
        <v>1150</v>
      </c>
      <c r="G3308" s="13">
        <v>0.48</v>
      </c>
      <c r="H3308" s="15">
        <v>5180</v>
      </c>
      <c r="I3308" s="16">
        <v>2486.4</v>
      </c>
      <c r="J3308" s="16">
        <v>3144.43</v>
      </c>
      <c r="K3308" s="16">
        <v>-658.03000000000009</v>
      </c>
      <c r="L3308" s="13">
        <v>1.03</v>
      </c>
      <c r="M3308" s="13"/>
      <c r="N3308" s="17">
        <f t="shared" si="109"/>
        <v>5335.4000000000005</v>
      </c>
      <c r="O3308" s="17">
        <f t="shared" si="109"/>
        <v>0</v>
      </c>
      <c r="P3308" s="17">
        <f t="shared" si="110"/>
        <v>5335.4000000000005</v>
      </c>
      <c r="Q3308" t="str">
        <f>A3308&amp;"-"&amp;B3308&amp;"-"&amp;D3308</f>
        <v>AGUSTUS-CNJ2-L4</v>
      </c>
    </row>
    <row r="3309" spans="1:17" x14ac:dyDescent="0.25">
      <c r="A3309" t="s">
        <v>398</v>
      </c>
      <c r="B3309" s="13" t="s">
        <v>22</v>
      </c>
      <c r="C3309" s="13" t="s">
        <v>201</v>
      </c>
      <c r="D3309" s="14" t="s">
        <v>160</v>
      </c>
      <c r="E3309" s="13" t="s">
        <v>191</v>
      </c>
      <c r="F3309" s="13" t="s">
        <v>1150</v>
      </c>
      <c r="G3309" s="13">
        <v>0.48</v>
      </c>
      <c r="H3309" s="15">
        <v>4718</v>
      </c>
      <c r="I3309" s="16">
        <v>2264.64</v>
      </c>
      <c r="J3309" s="16">
        <v>3144.43</v>
      </c>
      <c r="K3309" s="16">
        <v>-879.79</v>
      </c>
      <c r="L3309" s="13">
        <v>1.03</v>
      </c>
      <c r="M3309" s="13"/>
      <c r="N3309" s="17">
        <f t="shared" si="109"/>
        <v>4859.54</v>
      </c>
      <c r="O3309" s="17">
        <f t="shared" si="109"/>
        <v>0</v>
      </c>
      <c r="P3309" s="17">
        <f t="shared" si="110"/>
        <v>4859.54</v>
      </c>
      <c r="Q3309" t="str">
        <f>A3309&amp;"-"&amp;B3309&amp;"-"&amp;D3309</f>
        <v>AGUSTUS-CNJ2-L5</v>
      </c>
    </row>
    <row r="3310" spans="1:17" x14ac:dyDescent="0.25">
      <c r="A3310" t="s">
        <v>398</v>
      </c>
      <c r="B3310" s="13" t="s">
        <v>22</v>
      </c>
      <c r="C3310" s="13" t="s">
        <v>413</v>
      </c>
      <c r="D3310" s="14" t="s">
        <v>158</v>
      </c>
      <c r="E3310" s="13" t="s">
        <v>155</v>
      </c>
      <c r="F3310" s="13" t="s">
        <v>1293</v>
      </c>
      <c r="G3310" s="13">
        <v>0.39000000000000007</v>
      </c>
      <c r="H3310" s="15">
        <v>6786</v>
      </c>
      <c r="I3310" s="16">
        <v>2646.54</v>
      </c>
      <c r="J3310" s="16">
        <v>5812.43</v>
      </c>
      <c r="K3310" s="16">
        <v>-3165.8899999999994</v>
      </c>
      <c r="L3310" s="13"/>
      <c r="M3310" s="13">
        <v>1.43</v>
      </c>
      <c r="N3310" s="17">
        <f t="shared" si="109"/>
        <v>0</v>
      </c>
      <c r="O3310" s="17">
        <f t="shared" si="109"/>
        <v>9703.98</v>
      </c>
      <c r="P3310" s="17">
        <f t="shared" si="110"/>
        <v>9703.98</v>
      </c>
      <c r="Q3310" t="str">
        <f>A3310&amp;"-"&amp;B3310&amp;"-"&amp;D3310</f>
        <v>AGUSTUS-CNJ2-L4</v>
      </c>
    </row>
    <row r="3311" spans="1:17" x14ac:dyDescent="0.25">
      <c r="A3311" t="s">
        <v>398</v>
      </c>
      <c r="B3311" s="13" t="s">
        <v>22</v>
      </c>
      <c r="C3311" s="13" t="s">
        <v>413</v>
      </c>
      <c r="D3311" s="14" t="s">
        <v>158</v>
      </c>
      <c r="E3311" s="13" t="s">
        <v>73</v>
      </c>
      <c r="F3311" s="13" t="s">
        <v>1294</v>
      </c>
      <c r="G3311" s="13">
        <v>0.71</v>
      </c>
      <c r="H3311" s="15">
        <v>767</v>
      </c>
      <c r="I3311" s="16">
        <v>544.56999999999994</v>
      </c>
      <c r="J3311" s="16">
        <v>3656.6859999999997</v>
      </c>
      <c r="K3311" s="16">
        <v>-3112.116</v>
      </c>
      <c r="L3311" s="13"/>
      <c r="M3311" s="13">
        <v>3.23</v>
      </c>
      <c r="N3311" s="17">
        <f t="shared" si="109"/>
        <v>0</v>
      </c>
      <c r="O3311" s="17">
        <f t="shared" si="109"/>
        <v>2477.41</v>
      </c>
      <c r="P3311" s="17">
        <f t="shared" si="110"/>
        <v>2477.41</v>
      </c>
      <c r="Q3311" t="str">
        <f>A3311&amp;"-"&amp;B3311&amp;"-"&amp;D3311</f>
        <v>AGUSTUS-CNJ2-L4</v>
      </c>
    </row>
    <row r="3312" spans="1:17" x14ac:dyDescent="0.25">
      <c r="A3312" t="s">
        <v>398</v>
      </c>
      <c r="B3312" s="13" t="s">
        <v>22</v>
      </c>
      <c r="C3312" s="13" t="s">
        <v>413</v>
      </c>
      <c r="D3312" s="14" t="s">
        <v>158</v>
      </c>
      <c r="E3312" s="13" t="s">
        <v>414</v>
      </c>
      <c r="F3312" s="13" t="s">
        <v>1295</v>
      </c>
      <c r="G3312" s="13">
        <v>2.94</v>
      </c>
      <c r="H3312" s="15">
        <v>978</v>
      </c>
      <c r="I3312" s="16">
        <v>2875.3199999999997</v>
      </c>
      <c r="J3312" s="16">
        <v>3299.1740000000004</v>
      </c>
      <c r="K3312" s="16">
        <v>-423.85399999999987</v>
      </c>
      <c r="L3312" s="13"/>
      <c r="M3312" s="13">
        <v>4.32</v>
      </c>
      <c r="N3312" s="17">
        <f t="shared" si="109"/>
        <v>0</v>
      </c>
      <c r="O3312" s="17">
        <f t="shared" si="109"/>
        <v>4224.96</v>
      </c>
      <c r="P3312" s="17">
        <f t="shared" si="110"/>
        <v>4224.96</v>
      </c>
      <c r="Q3312" t="str">
        <f>A3312&amp;"-"&amp;B3312&amp;"-"&amp;D3312</f>
        <v>AGUSTUS-CNJ2-L4</v>
      </c>
    </row>
    <row r="3313" spans="1:17" x14ac:dyDescent="0.25">
      <c r="A3313" t="s">
        <v>398</v>
      </c>
      <c r="B3313" s="13" t="s">
        <v>22</v>
      </c>
      <c r="C3313" s="13" t="s">
        <v>413</v>
      </c>
      <c r="D3313" s="14" t="s">
        <v>160</v>
      </c>
      <c r="E3313" s="13" t="s">
        <v>73</v>
      </c>
      <c r="F3313" s="13" t="s">
        <v>1294</v>
      </c>
      <c r="G3313" s="13">
        <v>0.71</v>
      </c>
      <c r="H3313" s="15">
        <v>155</v>
      </c>
      <c r="I3313" s="16">
        <v>110.05</v>
      </c>
      <c r="J3313" s="16">
        <v>2668</v>
      </c>
      <c r="K3313" s="16">
        <v>-2557.9499999999998</v>
      </c>
      <c r="L3313" s="13"/>
      <c r="M3313" s="13">
        <v>3.23</v>
      </c>
      <c r="N3313" s="17">
        <f t="shared" si="109"/>
        <v>0</v>
      </c>
      <c r="O3313" s="17">
        <f t="shared" si="109"/>
        <v>500.65</v>
      </c>
      <c r="P3313" s="17">
        <f t="shared" si="110"/>
        <v>500.65</v>
      </c>
      <c r="Q3313" t="str">
        <f>A3313&amp;"-"&amp;B3313&amp;"-"&amp;D3313</f>
        <v>AGUSTUS-CNJ2-L5</v>
      </c>
    </row>
    <row r="3314" spans="1:17" x14ac:dyDescent="0.25">
      <c r="A3314" t="s">
        <v>398</v>
      </c>
      <c r="B3314" s="13" t="s">
        <v>22</v>
      </c>
      <c r="C3314" s="13" t="s">
        <v>413</v>
      </c>
      <c r="D3314" s="14" t="s">
        <v>160</v>
      </c>
      <c r="E3314" s="13" t="s">
        <v>414</v>
      </c>
      <c r="F3314" s="13" t="s">
        <v>1295</v>
      </c>
      <c r="G3314" s="13">
        <v>2.94</v>
      </c>
      <c r="H3314" s="15">
        <v>669</v>
      </c>
      <c r="I3314" s="16">
        <v>1966.8600000000001</v>
      </c>
      <c r="J3314" s="16">
        <v>3144.43</v>
      </c>
      <c r="K3314" s="16">
        <v>-1177.5700000000002</v>
      </c>
      <c r="L3314" s="13"/>
      <c r="M3314" s="13">
        <v>4.32</v>
      </c>
      <c r="N3314" s="17">
        <f t="shared" si="109"/>
        <v>0</v>
      </c>
      <c r="O3314" s="17">
        <f t="shared" si="109"/>
        <v>2890.0800000000004</v>
      </c>
      <c r="P3314" s="17">
        <f t="shared" si="110"/>
        <v>2890.0800000000004</v>
      </c>
      <c r="Q3314" t="str">
        <f>A3314&amp;"-"&amp;B3314&amp;"-"&amp;D3314</f>
        <v>AGUSTUS-CNJ2-L5</v>
      </c>
    </row>
    <row r="3315" spans="1:17" x14ac:dyDescent="0.25">
      <c r="A3315" t="s">
        <v>398</v>
      </c>
      <c r="B3315" s="13" t="s">
        <v>22</v>
      </c>
      <c r="C3315" s="13" t="s">
        <v>413</v>
      </c>
      <c r="D3315" s="14" t="s">
        <v>160</v>
      </c>
      <c r="E3315" s="13" t="s">
        <v>77</v>
      </c>
      <c r="F3315" s="13" t="s">
        <v>1296</v>
      </c>
      <c r="G3315" s="13">
        <v>0.90000000000000024</v>
      </c>
      <c r="H3315" s="15">
        <v>2706</v>
      </c>
      <c r="I3315" s="16">
        <v>2435.4</v>
      </c>
      <c r="J3315" s="16">
        <v>7622.8600000000006</v>
      </c>
      <c r="K3315" s="16">
        <v>-5187.46</v>
      </c>
      <c r="L3315" s="13"/>
      <c r="M3315" s="13">
        <v>2.67</v>
      </c>
      <c r="N3315" s="17">
        <f t="shared" si="109"/>
        <v>0</v>
      </c>
      <c r="O3315" s="17">
        <f t="shared" si="109"/>
        <v>7225.0199999999995</v>
      </c>
      <c r="P3315" s="17">
        <f t="shared" si="110"/>
        <v>7225.0199999999995</v>
      </c>
      <c r="Q3315" t="str">
        <f>A3315&amp;"-"&amp;B3315&amp;"-"&amp;D3315</f>
        <v>AGUSTUS-CNJ2-L5</v>
      </c>
    </row>
    <row r="3316" spans="1:17" x14ac:dyDescent="0.25">
      <c r="A3316" t="s">
        <v>398</v>
      </c>
      <c r="B3316" s="13" t="s">
        <v>23</v>
      </c>
      <c r="C3316" s="13" t="s">
        <v>60</v>
      </c>
      <c r="D3316" s="14" t="s">
        <v>44</v>
      </c>
      <c r="E3316" s="13" t="s">
        <v>58</v>
      </c>
      <c r="F3316" s="13" t="s">
        <v>1297</v>
      </c>
      <c r="G3316" s="13">
        <v>5.87</v>
      </c>
      <c r="H3316" s="15">
        <v>385</v>
      </c>
      <c r="I3316" s="16">
        <v>2259.9499999999998</v>
      </c>
      <c r="J3316" s="16">
        <v>2607</v>
      </c>
      <c r="K3316" s="16">
        <v>-347.05000000000007</v>
      </c>
      <c r="L3316" s="13">
        <v>15.27</v>
      </c>
      <c r="M3316" s="13"/>
      <c r="N3316" s="17">
        <f t="shared" si="109"/>
        <v>5878.95</v>
      </c>
      <c r="O3316" s="17">
        <f t="shared" si="109"/>
        <v>0</v>
      </c>
      <c r="P3316" s="17">
        <f t="shared" si="110"/>
        <v>5878.95</v>
      </c>
      <c r="Q3316" t="str">
        <f>A3316&amp;"-"&amp;B3316&amp;"-"&amp;D3316</f>
        <v>AGUSTUS-CVA-L1</v>
      </c>
    </row>
    <row r="3317" spans="1:17" x14ac:dyDescent="0.25">
      <c r="A3317" t="s">
        <v>398</v>
      </c>
      <c r="B3317" s="13" t="s">
        <v>23</v>
      </c>
      <c r="C3317" s="13" t="s">
        <v>60</v>
      </c>
      <c r="D3317" s="14" t="s">
        <v>44</v>
      </c>
      <c r="E3317" s="13" t="s">
        <v>58</v>
      </c>
      <c r="F3317" s="13" t="s">
        <v>1298</v>
      </c>
      <c r="G3317" s="13">
        <v>4.6000000000000005</v>
      </c>
      <c r="H3317" s="15">
        <v>1086</v>
      </c>
      <c r="I3317" s="16">
        <v>4995.6000000000004</v>
      </c>
      <c r="J3317" s="16">
        <v>3713</v>
      </c>
      <c r="K3317" s="16">
        <v>1282.5999999999999</v>
      </c>
      <c r="L3317" s="13">
        <v>12.33</v>
      </c>
      <c r="M3317" s="13"/>
      <c r="N3317" s="17">
        <f t="shared" si="109"/>
        <v>13390.38</v>
      </c>
      <c r="O3317" s="17">
        <f t="shared" si="109"/>
        <v>0</v>
      </c>
      <c r="P3317" s="17">
        <f t="shared" si="110"/>
        <v>13390.38</v>
      </c>
      <c r="Q3317" t="str">
        <f>A3317&amp;"-"&amp;B3317&amp;"-"&amp;D3317</f>
        <v>AGUSTUS-CVA-L1</v>
      </c>
    </row>
    <row r="3318" spans="1:17" x14ac:dyDescent="0.25">
      <c r="A3318" t="s">
        <v>398</v>
      </c>
      <c r="B3318" s="13" t="s">
        <v>23</v>
      </c>
      <c r="C3318" s="13" t="s">
        <v>60</v>
      </c>
      <c r="D3318" s="14" t="s">
        <v>44</v>
      </c>
      <c r="E3318" s="13" t="s">
        <v>77</v>
      </c>
      <c r="F3318" s="13" t="s">
        <v>1299</v>
      </c>
      <c r="G3318" s="13">
        <v>4.5</v>
      </c>
      <c r="H3318" s="15">
        <v>1170</v>
      </c>
      <c r="I3318" s="16">
        <v>5265</v>
      </c>
      <c r="J3318" s="16">
        <v>5767</v>
      </c>
      <c r="K3318" s="16">
        <v>-502</v>
      </c>
      <c r="L3318" s="13">
        <v>10.67</v>
      </c>
      <c r="M3318" s="13"/>
      <c r="N3318" s="17">
        <f t="shared" ref="N3318:O3378" si="111">$H3318*L3318</f>
        <v>12483.9</v>
      </c>
      <c r="O3318" s="17">
        <f t="shared" si="111"/>
        <v>0</v>
      </c>
      <c r="P3318" s="17">
        <f t="shared" si="110"/>
        <v>12483.9</v>
      </c>
      <c r="Q3318" t="str">
        <f>A3318&amp;"-"&amp;B3318&amp;"-"&amp;D3318</f>
        <v>AGUSTUS-CVA-L1</v>
      </c>
    </row>
    <row r="3319" spans="1:17" x14ac:dyDescent="0.25">
      <c r="A3319" t="s">
        <v>398</v>
      </c>
      <c r="B3319" s="13" t="s">
        <v>23</v>
      </c>
      <c r="C3319" s="13" t="s">
        <v>60</v>
      </c>
      <c r="D3319" s="14" t="s">
        <v>44</v>
      </c>
      <c r="E3319" s="13" t="s">
        <v>77</v>
      </c>
      <c r="F3319" s="13" t="s">
        <v>1151</v>
      </c>
      <c r="G3319" s="13">
        <v>3.2</v>
      </c>
      <c r="H3319" s="15">
        <v>353</v>
      </c>
      <c r="I3319" s="16">
        <v>1129.5999999999999</v>
      </c>
      <c r="J3319" s="16">
        <v>1106</v>
      </c>
      <c r="K3319" s="16">
        <v>23.600000000000023</v>
      </c>
      <c r="L3319" s="13">
        <v>9.23</v>
      </c>
      <c r="M3319" s="13"/>
      <c r="N3319" s="17">
        <f t="shared" si="111"/>
        <v>3258.19</v>
      </c>
      <c r="O3319" s="17">
        <f t="shared" si="111"/>
        <v>0</v>
      </c>
      <c r="P3319" s="17">
        <f t="shared" si="110"/>
        <v>3258.19</v>
      </c>
      <c r="Q3319" t="str">
        <f>A3319&amp;"-"&amp;B3319&amp;"-"&amp;D3319</f>
        <v>AGUSTUS-CVA-L1</v>
      </c>
    </row>
    <row r="3320" spans="1:17" x14ac:dyDescent="0.25">
      <c r="A3320" t="s">
        <v>398</v>
      </c>
      <c r="B3320" s="13" t="s">
        <v>23</v>
      </c>
      <c r="C3320" s="13" t="s">
        <v>60</v>
      </c>
      <c r="D3320" s="14" t="s">
        <v>50</v>
      </c>
      <c r="E3320" s="13" t="s">
        <v>58</v>
      </c>
      <c r="F3320" s="13" t="s">
        <v>1297</v>
      </c>
      <c r="G3320" s="13">
        <v>5.87</v>
      </c>
      <c r="H3320" s="15">
        <v>439</v>
      </c>
      <c r="I3320" s="16">
        <v>2576.9299999999998</v>
      </c>
      <c r="J3320" s="16">
        <v>3100.75</v>
      </c>
      <c r="K3320" s="16">
        <v>-523.82000000000005</v>
      </c>
      <c r="L3320" s="13">
        <v>15.27</v>
      </c>
      <c r="M3320" s="13"/>
      <c r="N3320" s="17">
        <f t="shared" si="111"/>
        <v>6703.53</v>
      </c>
      <c r="O3320" s="17">
        <f t="shared" si="111"/>
        <v>0</v>
      </c>
      <c r="P3320" s="17">
        <f t="shared" si="110"/>
        <v>6703.53</v>
      </c>
      <c r="Q3320" t="str">
        <f>A3320&amp;"-"&amp;B3320&amp;"-"&amp;D3320</f>
        <v>AGUSTUS-CVA-L2</v>
      </c>
    </row>
    <row r="3321" spans="1:17" x14ac:dyDescent="0.25">
      <c r="A3321" t="s">
        <v>398</v>
      </c>
      <c r="B3321" s="13" t="s">
        <v>23</v>
      </c>
      <c r="C3321" s="13" t="s">
        <v>60</v>
      </c>
      <c r="D3321" s="14" t="s">
        <v>50</v>
      </c>
      <c r="E3321" s="13" t="s">
        <v>58</v>
      </c>
      <c r="F3321" s="13" t="s">
        <v>1298</v>
      </c>
      <c r="G3321" s="13">
        <v>4.6000000000000005</v>
      </c>
      <c r="H3321" s="15">
        <v>910</v>
      </c>
      <c r="I3321" s="16">
        <v>4186</v>
      </c>
      <c r="J3321" s="16">
        <v>3507.4601769911505</v>
      </c>
      <c r="K3321" s="16">
        <v>678.53982300884957</v>
      </c>
      <c r="L3321" s="13">
        <v>12.33</v>
      </c>
      <c r="M3321" s="13"/>
      <c r="N3321" s="17">
        <f t="shared" si="111"/>
        <v>11220.3</v>
      </c>
      <c r="O3321" s="17">
        <f t="shared" si="111"/>
        <v>0</v>
      </c>
      <c r="P3321" s="17">
        <f t="shared" si="110"/>
        <v>11220.3</v>
      </c>
      <c r="Q3321" t="str">
        <f>A3321&amp;"-"&amp;B3321&amp;"-"&amp;D3321</f>
        <v>AGUSTUS-CVA-L2</v>
      </c>
    </row>
    <row r="3322" spans="1:17" x14ac:dyDescent="0.25">
      <c r="A3322" t="s">
        <v>398</v>
      </c>
      <c r="B3322" s="13" t="s">
        <v>23</v>
      </c>
      <c r="C3322" s="13" t="s">
        <v>60</v>
      </c>
      <c r="D3322" s="14" t="s">
        <v>50</v>
      </c>
      <c r="E3322" s="13" t="s">
        <v>77</v>
      </c>
      <c r="F3322" s="13" t="s">
        <v>1299</v>
      </c>
      <c r="G3322" s="13">
        <v>4.5</v>
      </c>
      <c r="H3322" s="15">
        <v>1162</v>
      </c>
      <c r="I3322" s="16">
        <v>5229</v>
      </c>
      <c r="J3322" s="16">
        <v>5826.25</v>
      </c>
      <c r="K3322" s="16">
        <v>-597.25</v>
      </c>
      <c r="L3322" s="13">
        <v>10.67</v>
      </c>
      <c r="M3322" s="13"/>
      <c r="N3322" s="17">
        <f t="shared" si="111"/>
        <v>12398.539999999999</v>
      </c>
      <c r="O3322" s="17">
        <f t="shared" si="111"/>
        <v>0</v>
      </c>
      <c r="P3322" s="17">
        <f t="shared" si="110"/>
        <v>12398.539999999999</v>
      </c>
      <c r="Q3322" t="str">
        <f>A3322&amp;"-"&amp;B3322&amp;"-"&amp;D3322</f>
        <v>AGUSTUS-CVA-L2</v>
      </c>
    </row>
    <row r="3323" spans="1:17" x14ac:dyDescent="0.25">
      <c r="A3323" t="s">
        <v>398</v>
      </c>
      <c r="B3323" s="13" t="s">
        <v>23</v>
      </c>
      <c r="C3323" s="13" t="s">
        <v>60</v>
      </c>
      <c r="D3323" s="14" t="s">
        <v>50</v>
      </c>
      <c r="E3323" s="13" t="s">
        <v>77</v>
      </c>
      <c r="F3323" s="13" t="s">
        <v>1151</v>
      </c>
      <c r="G3323" s="13">
        <v>3.2000000000000006</v>
      </c>
      <c r="H3323" s="15">
        <v>398</v>
      </c>
      <c r="I3323" s="16">
        <v>1273.5999999999999</v>
      </c>
      <c r="J3323" s="16">
        <v>1311.5398230088495</v>
      </c>
      <c r="K3323" s="16">
        <v>-37.939823008849629</v>
      </c>
      <c r="L3323" s="13">
        <v>9.23</v>
      </c>
      <c r="M3323" s="13"/>
      <c r="N3323" s="17">
        <f t="shared" si="111"/>
        <v>3673.54</v>
      </c>
      <c r="O3323" s="17">
        <f t="shared" si="111"/>
        <v>0</v>
      </c>
      <c r="P3323" s="17">
        <f t="shared" si="110"/>
        <v>3673.54</v>
      </c>
      <c r="Q3323" t="str">
        <f>A3323&amp;"-"&amp;B3323&amp;"-"&amp;D3323</f>
        <v>AGUSTUS-CVA-L2</v>
      </c>
    </row>
    <row r="3324" spans="1:17" x14ac:dyDescent="0.25">
      <c r="A3324" t="s">
        <v>398</v>
      </c>
      <c r="B3324" s="13" t="s">
        <v>23</v>
      </c>
      <c r="C3324" s="13" t="s">
        <v>1043</v>
      </c>
      <c r="D3324" s="14" t="s">
        <v>56</v>
      </c>
      <c r="E3324" s="13" t="s">
        <v>534</v>
      </c>
      <c r="F3324" s="13" t="s">
        <v>1044</v>
      </c>
      <c r="G3324" s="13">
        <v>0.8</v>
      </c>
      <c r="H3324" s="15">
        <v>2139</v>
      </c>
      <c r="I3324" s="16">
        <v>1711.2</v>
      </c>
      <c r="J3324" s="16">
        <v>1953.9909670509669</v>
      </c>
      <c r="K3324" s="16">
        <v>-242.79096705096711</v>
      </c>
      <c r="L3324" s="13"/>
      <c r="M3324" s="13">
        <v>0.8</v>
      </c>
      <c r="N3324" s="17">
        <f t="shared" si="111"/>
        <v>0</v>
      </c>
      <c r="O3324" s="17">
        <f t="shared" si="111"/>
        <v>1711.2</v>
      </c>
      <c r="P3324" s="17">
        <f t="shared" si="110"/>
        <v>1711.2</v>
      </c>
      <c r="Q3324" t="str">
        <f>A3324&amp;"-"&amp;B3324&amp;"-"&amp;D3324</f>
        <v>AGUSTUS-CVA-L3</v>
      </c>
    </row>
    <row r="3325" spans="1:17" x14ac:dyDescent="0.25">
      <c r="A3325" t="s">
        <v>398</v>
      </c>
      <c r="B3325" s="13" t="s">
        <v>23</v>
      </c>
      <c r="C3325" s="13" t="s">
        <v>1043</v>
      </c>
      <c r="D3325" s="14" t="s">
        <v>56</v>
      </c>
      <c r="E3325" s="13" t="s">
        <v>534</v>
      </c>
      <c r="F3325" s="13" t="s">
        <v>1152</v>
      </c>
      <c r="G3325" s="13">
        <v>0.8</v>
      </c>
      <c r="H3325" s="15">
        <v>3</v>
      </c>
      <c r="I3325" s="16">
        <v>2.4</v>
      </c>
      <c r="J3325" s="16">
        <v>2.4909909909909911</v>
      </c>
      <c r="K3325" s="16">
        <v>-9.0990990990991172E-2</v>
      </c>
      <c r="L3325" s="13"/>
      <c r="M3325" s="13">
        <v>0.8</v>
      </c>
      <c r="N3325" s="17">
        <f t="shared" si="111"/>
        <v>0</v>
      </c>
      <c r="O3325" s="17">
        <f t="shared" si="111"/>
        <v>2.4000000000000004</v>
      </c>
      <c r="P3325" s="17">
        <f t="shared" si="110"/>
        <v>2.4000000000000004</v>
      </c>
      <c r="Q3325" t="str">
        <f>A3325&amp;"-"&amp;B3325&amp;"-"&amp;D3325</f>
        <v>AGUSTUS-CVA-L3</v>
      </c>
    </row>
    <row r="3326" spans="1:17" x14ac:dyDescent="0.25">
      <c r="A3326" t="s">
        <v>398</v>
      </c>
      <c r="B3326" s="13" t="s">
        <v>23</v>
      </c>
      <c r="C3326" s="13" t="s">
        <v>1043</v>
      </c>
      <c r="D3326" s="14" t="s">
        <v>56</v>
      </c>
      <c r="E3326" s="13" t="s">
        <v>534</v>
      </c>
      <c r="F3326" s="13" t="s">
        <v>1045</v>
      </c>
      <c r="G3326" s="13">
        <v>0.8</v>
      </c>
      <c r="H3326" s="15">
        <v>79</v>
      </c>
      <c r="I3326" s="16">
        <v>63.2</v>
      </c>
      <c r="J3326" s="16">
        <v>47.537540805223067</v>
      </c>
      <c r="K3326" s="16">
        <v>15.662459194776936</v>
      </c>
      <c r="L3326" s="13"/>
      <c r="M3326" s="13">
        <v>0.8</v>
      </c>
      <c r="N3326" s="17">
        <f t="shared" si="111"/>
        <v>0</v>
      </c>
      <c r="O3326" s="17">
        <f t="shared" si="111"/>
        <v>63.2</v>
      </c>
      <c r="P3326" s="17">
        <f t="shared" si="110"/>
        <v>63.2</v>
      </c>
      <c r="Q3326" t="str">
        <f>A3326&amp;"-"&amp;B3326&amp;"-"&amp;D3326</f>
        <v>AGUSTUS-CVA-L3</v>
      </c>
    </row>
    <row r="3327" spans="1:17" x14ac:dyDescent="0.25">
      <c r="A3327" t="s">
        <v>398</v>
      </c>
      <c r="B3327" s="13" t="s">
        <v>23</v>
      </c>
      <c r="C3327" s="13" t="s">
        <v>1043</v>
      </c>
      <c r="D3327" s="14" t="s">
        <v>56</v>
      </c>
      <c r="E3327" s="13" t="s">
        <v>534</v>
      </c>
      <c r="F3327" s="13" t="s">
        <v>1046</v>
      </c>
      <c r="G3327" s="13">
        <v>0.85000000000000009</v>
      </c>
      <c r="H3327" s="15">
        <v>638</v>
      </c>
      <c r="I3327" s="16">
        <v>573.5</v>
      </c>
      <c r="J3327" s="16">
        <v>542.79076923076911</v>
      </c>
      <c r="K3327" s="16">
        <v>30.709230769230807</v>
      </c>
      <c r="L3327" s="13"/>
      <c r="M3327" s="13">
        <v>0.9</v>
      </c>
      <c r="N3327" s="17">
        <f t="shared" si="111"/>
        <v>0</v>
      </c>
      <c r="O3327" s="17">
        <f t="shared" si="111"/>
        <v>574.20000000000005</v>
      </c>
      <c r="P3327" s="17">
        <f t="shared" si="110"/>
        <v>574.20000000000005</v>
      </c>
      <c r="Q3327" t="str">
        <f>A3327&amp;"-"&amp;B3327&amp;"-"&amp;D3327</f>
        <v>AGUSTUS-CVA-L3</v>
      </c>
    </row>
    <row r="3328" spans="1:17" x14ac:dyDescent="0.25">
      <c r="A3328" t="s">
        <v>398</v>
      </c>
      <c r="B3328" s="13" t="s">
        <v>23</v>
      </c>
      <c r="C3328" s="13" t="s">
        <v>1043</v>
      </c>
      <c r="D3328" s="14" t="s">
        <v>56</v>
      </c>
      <c r="E3328" s="13" t="s">
        <v>534</v>
      </c>
      <c r="F3328" s="13" t="s">
        <v>1153</v>
      </c>
      <c r="G3328" s="13">
        <v>0.8</v>
      </c>
      <c r="H3328" s="15">
        <v>24</v>
      </c>
      <c r="I3328" s="16">
        <v>19.2</v>
      </c>
      <c r="J3328" s="16">
        <v>107.72727272727272</v>
      </c>
      <c r="K3328" s="16">
        <v>-88.527272727272717</v>
      </c>
      <c r="L3328" s="13"/>
      <c r="M3328" s="13">
        <v>0.8</v>
      </c>
      <c r="N3328" s="17">
        <f t="shared" si="111"/>
        <v>0</v>
      </c>
      <c r="O3328" s="17">
        <f t="shared" si="111"/>
        <v>19.200000000000003</v>
      </c>
      <c r="P3328" s="17">
        <f t="shared" si="110"/>
        <v>19.200000000000003</v>
      </c>
      <c r="Q3328" t="str">
        <f>A3328&amp;"-"&amp;B3328&amp;"-"&amp;D3328</f>
        <v>AGUSTUS-CVA-L3</v>
      </c>
    </row>
    <row r="3329" spans="1:17" x14ac:dyDescent="0.25">
      <c r="A3329" t="s">
        <v>398</v>
      </c>
      <c r="B3329" s="13" t="s">
        <v>23</v>
      </c>
      <c r="C3329" s="13" t="s">
        <v>1043</v>
      </c>
      <c r="D3329" s="14" t="s">
        <v>158</v>
      </c>
      <c r="E3329" s="13" t="s">
        <v>534</v>
      </c>
      <c r="F3329" s="13" t="s">
        <v>1044</v>
      </c>
      <c r="G3329" s="13">
        <v>0.8</v>
      </c>
      <c r="H3329" s="15">
        <v>2208</v>
      </c>
      <c r="I3329" s="16">
        <v>1766.4</v>
      </c>
      <c r="J3329" s="16">
        <v>1760.9741185747912</v>
      </c>
      <c r="K3329" s="16">
        <v>5.4258814252090062</v>
      </c>
      <c r="L3329" s="13"/>
      <c r="M3329" s="13">
        <v>0.8</v>
      </c>
      <c r="N3329" s="17">
        <f t="shared" si="111"/>
        <v>0</v>
      </c>
      <c r="O3329" s="17">
        <f t="shared" si="111"/>
        <v>1766.4</v>
      </c>
      <c r="P3329" s="17">
        <f t="shared" si="110"/>
        <v>1766.4</v>
      </c>
      <c r="Q3329" t="str">
        <f>A3329&amp;"-"&amp;B3329&amp;"-"&amp;D3329</f>
        <v>AGUSTUS-CVA-L4</v>
      </c>
    </row>
    <row r="3330" spans="1:17" x14ac:dyDescent="0.25">
      <c r="A3330" t="s">
        <v>398</v>
      </c>
      <c r="B3330" s="13" t="s">
        <v>23</v>
      </c>
      <c r="C3330" s="13" t="s">
        <v>1043</v>
      </c>
      <c r="D3330" s="14" t="s">
        <v>158</v>
      </c>
      <c r="E3330" s="13" t="s">
        <v>534</v>
      </c>
      <c r="F3330" s="13" t="s">
        <v>1152</v>
      </c>
      <c r="G3330" s="13">
        <v>0.8</v>
      </c>
      <c r="H3330" s="15">
        <v>28</v>
      </c>
      <c r="I3330" s="16">
        <v>22.4</v>
      </c>
      <c r="J3330" s="16">
        <v>18.042414355628061</v>
      </c>
      <c r="K3330" s="16">
        <v>4.3575856443719374</v>
      </c>
      <c r="L3330" s="13"/>
      <c r="M3330" s="13">
        <v>0.8</v>
      </c>
      <c r="N3330" s="17">
        <f t="shared" si="111"/>
        <v>0</v>
      </c>
      <c r="O3330" s="17">
        <f t="shared" si="111"/>
        <v>22.400000000000002</v>
      </c>
      <c r="P3330" s="17">
        <f t="shared" ref="P3330:P3393" si="112">N3330+O3330</f>
        <v>22.400000000000002</v>
      </c>
      <c r="Q3330" t="str">
        <f>A3330&amp;"-"&amp;B3330&amp;"-"&amp;D3330</f>
        <v>AGUSTUS-CVA-L4</v>
      </c>
    </row>
    <row r="3331" spans="1:17" x14ac:dyDescent="0.25">
      <c r="A3331" t="s">
        <v>398</v>
      </c>
      <c r="B3331" s="13" t="s">
        <v>23</v>
      </c>
      <c r="C3331" s="13" t="s">
        <v>1043</v>
      </c>
      <c r="D3331" s="14" t="s">
        <v>158</v>
      </c>
      <c r="E3331" s="13" t="s">
        <v>534</v>
      </c>
      <c r="F3331" s="13" t="s">
        <v>1045</v>
      </c>
      <c r="G3331" s="13">
        <v>0.8</v>
      </c>
      <c r="H3331" s="15">
        <v>485</v>
      </c>
      <c r="I3331" s="16">
        <v>388</v>
      </c>
      <c r="J3331" s="16">
        <v>494.84317343173433</v>
      </c>
      <c r="K3331" s="16">
        <v>-106.84317343173433</v>
      </c>
      <c r="L3331" s="13"/>
      <c r="M3331" s="13">
        <v>0.8</v>
      </c>
      <c r="N3331" s="17">
        <f t="shared" si="111"/>
        <v>0</v>
      </c>
      <c r="O3331" s="17">
        <f t="shared" si="111"/>
        <v>388</v>
      </c>
      <c r="P3331" s="17">
        <f t="shared" si="112"/>
        <v>388</v>
      </c>
      <c r="Q3331" t="str">
        <f>A3331&amp;"-"&amp;B3331&amp;"-"&amp;D3331</f>
        <v>AGUSTUS-CVA-L4</v>
      </c>
    </row>
    <row r="3332" spans="1:17" x14ac:dyDescent="0.25">
      <c r="A3332" t="s">
        <v>398</v>
      </c>
      <c r="B3332" s="13" t="s">
        <v>23</v>
      </c>
      <c r="C3332" s="13" t="s">
        <v>1043</v>
      </c>
      <c r="D3332" s="14" t="s">
        <v>158</v>
      </c>
      <c r="E3332" s="13" t="s">
        <v>534</v>
      </c>
      <c r="F3332" s="13" t="s">
        <v>1046</v>
      </c>
      <c r="G3332" s="13">
        <v>0.9</v>
      </c>
      <c r="H3332" s="15">
        <v>29</v>
      </c>
      <c r="I3332" s="16">
        <v>26.1</v>
      </c>
      <c r="J3332" s="16">
        <v>18.68678629690049</v>
      </c>
      <c r="K3332" s="16">
        <v>7.4132137030995118</v>
      </c>
      <c r="L3332" s="13"/>
      <c r="M3332" s="13">
        <v>0.9</v>
      </c>
      <c r="N3332" s="17">
        <f t="shared" si="111"/>
        <v>0</v>
      </c>
      <c r="O3332" s="17">
        <f t="shared" si="111"/>
        <v>26.1</v>
      </c>
      <c r="P3332" s="17">
        <f t="shared" si="112"/>
        <v>26.1</v>
      </c>
      <c r="Q3332" t="str">
        <f>A3332&amp;"-"&amp;B3332&amp;"-"&amp;D3332</f>
        <v>AGUSTUS-CVA-L4</v>
      </c>
    </row>
    <row r="3333" spans="1:17" x14ac:dyDescent="0.25">
      <c r="A3333" t="s">
        <v>398</v>
      </c>
      <c r="B3333" s="13" t="s">
        <v>23</v>
      </c>
      <c r="C3333" s="13" t="s">
        <v>1043</v>
      </c>
      <c r="D3333" s="14" t="s">
        <v>158</v>
      </c>
      <c r="E3333" s="13" t="s">
        <v>534</v>
      </c>
      <c r="F3333" s="13" t="s">
        <v>1153</v>
      </c>
      <c r="G3333" s="13">
        <v>0.8</v>
      </c>
      <c r="H3333" s="15">
        <v>488</v>
      </c>
      <c r="I3333" s="16">
        <v>390.4</v>
      </c>
      <c r="J3333" s="16">
        <v>314.45350734094615</v>
      </c>
      <c r="K3333" s="16">
        <v>75.946492659053831</v>
      </c>
      <c r="L3333" s="13"/>
      <c r="M3333" s="13">
        <v>0.8</v>
      </c>
      <c r="N3333" s="17">
        <f t="shared" si="111"/>
        <v>0</v>
      </c>
      <c r="O3333" s="17">
        <f t="shared" si="111"/>
        <v>390.40000000000003</v>
      </c>
      <c r="P3333" s="17">
        <f t="shared" si="112"/>
        <v>390.40000000000003</v>
      </c>
      <c r="Q3333" t="str">
        <f>A3333&amp;"-"&amp;B3333&amp;"-"&amp;D3333</f>
        <v>AGUSTUS-CVA-L4</v>
      </c>
    </row>
    <row r="3334" spans="1:17" x14ac:dyDescent="0.25">
      <c r="A3334" t="s">
        <v>398</v>
      </c>
      <c r="B3334" s="13" t="s">
        <v>23</v>
      </c>
      <c r="C3334" s="13" t="s">
        <v>185</v>
      </c>
      <c r="D3334" s="14" t="s">
        <v>164</v>
      </c>
      <c r="E3334" s="13" t="s">
        <v>1300</v>
      </c>
      <c r="F3334" s="13" t="s">
        <v>1301</v>
      </c>
      <c r="G3334" s="13">
        <v>2.5099999999999998</v>
      </c>
      <c r="H3334" s="15">
        <v>844</v>
      </c>
      <c r="I3334" s="16">
        <v>2118.44</v>
      </c>
      <c r="J3334" s="16">
        <v>2297.1683255916832</v>
      </c>
      <c r="K3334" s="16">
        <v>-178.72832559168336</v>
      </c>
      <c r="L3334" s="13">
        <v>5.36</v>
      </c>
      <c r="M3334" s="13"/>
      <c r="N3334" s="17">
        <f t="shared" si="111"/>
        <v>4523.84</v>
      </c>
      <c r="O3334" s="17">
        <f t="shared" si="111"/>
        <v>0</v>
      </c>
      <c r="P3334" s="17">
        <f t="shared" si="112"/>
        <v>4523.84</v>
      </c>
      <c r="Q3334" t="str">
        <f>A3334&amp;"-"&amp;B3334&amp;"-"&amp;D3334</f>
        <v>AGUSTUS-CVA-L7</v>
      </c>
    </row>
    <row r="3335" spans="1:17" x14ac:dyDescent="0.25">
      <c r="A3335" t="s">
        <v>398</v>
      </c>
      <c r="B3335" s="13" t="s">
        <v>23</v>
      </c>
      <c r="C3335" s="13" t="s">
        <v>185</v>
      </c>
      <c r="D3335" s="14" t="s">
        <v>164</v>
      </c>
      <c r="E3335" s="13" t="s">
        <v>77</v>
      </c>
      <c r="F3335" s="13" t="s">
        <v>1302</v>
      </c>
      <c r="G3335" s="13">
        <v>1.34</v>
      </c>
      <c r="H3335" s="15">
        <v>1411</v>
      </c>
      <c r="I3335" s="16">
        <v>1890.74</v>
      </c>
      <c r="J3335" s="16">
        <v>3479.8375028480291</v>
      </c>
      <c r="K3335" s="16">
        <v>-1589.0975028480291</v>
      </c>
      <c r="L3335" s="13">
        <v>2.74</v>
      </c>
      <c r="M3335" s="13"/>
      <c r="N3335" s="17">
        <f t="shared" si="111"/>
        <v>3866.1400000000003</v>
      </c>
      <c r="O3335" s="17">
        <f t="shared" si="111"/>
        <v>0</v>
      </c>
      <c r="P3335" s="17">
        <f t="shared" si="112"/>
        <v>3866.1400000000003</v>
      </c>
      <c r="Q3335" t="str">
        <f>A3335&amp;"-"&amp;B3335&amp;"-"&amp;D3335</f>
        <v>AGUSTUS-CVA-L7</v>
      </c>
    </row>
    <row r="3336" spans="1:17" x14ac:dyDescent="0.25">
      <c r="A3336" t="s">
        <v>398</v>
      </c>
      <c r="B3336" s="13" t="s">
        <v>23</v>
      </c>
      <c r="C3336" s="13" t="s">
        <v>185</v>
      </c>
      <c r="D3336" s="14" t="s">
        <v>164</v>
      </c>
      <c r="E3336" s="13" t="s">
        <v>77</v>
      </c>
      <c r="F3336" s="13" t="s">
        <v>1303</v>
      </c>
      <c r="G3336" s="13">
        <v>1.7700000000000002</v>
      </c>
      <c r="H3336" s="15">
        <v>744</v>
      </c>
      <c r="I3336" s="16">
        <v>1316.8799999999999</v>
      </c>
      <c r="J3336" s="16">
        <v>1436.4345679012345</v>
      </c>
      <c r="K3336" s="16">
        <v>-119.55456790123458</v>
      </c>
      <c r="L3336" s="13">
        <v>3.4</v>
      </c>
      <c r="M3336" s="13"/>
      <c r="N3336" s="17">
        <f t="shared" si="111"/>
        <v>2529.6</v>
      </c>
      <c r="O3336" s="17">
        <f t="shared" si="111"/>
        <v>0</v>
      </c>
      <c r="P3336" s="17">
        <f t="shared" si="112"/>
        <v>2529.6</v>
      </c>
      <c r="Q3336" t="str">
        <f>A3336&amp;"-"&amp;B3336&amp;"-"&amp;D3336</f>
        <v>AGUSTUS-CVA-L7</v>
      </c>
    </row>
    <row r="3337" spans="1:17" x14ac:dyDescent="0.25">
      <c r="A3337" t="s">
        <v>398</v>
      </c>
      <c r="B3337" s="13" t="s">
        <v>23</v>
      </c>
      <c r="C3337" s="13" t="s">
        <v>185</v>
      </c>
      <c r="D3337" s="14" t="s">
        <v>164</v>
      </c>
      <c r="E3337" s="13" t="s">
        <v>77</v>
      </c>
      <c r="F3337" s="13" t="s">
        <v>1304</v>
      </c>
      <c r="G3337" s="13">
        <v>1.9399999999999997</v>
      </c>
      <c r="H3337" s="15">
        <v>1888</v>
      </c>
      <c r="I3337" s="16">
        <v>3662.72</v>
      </c>
      <c r="J3337" s="16">
        <v>2770.4178713755887</v>
      </c>
      <c r="K3337" s="16">
        <v>892.30212862441147</v>
      </c>
      <c r="L3337" s="13">
        <v>3.29</v>
      </c>
      <c r="M3337" s="13"/>
      <c r="N3337" s="17">
        <f t="shared" si="111"/>
        <v>6211.52</v>
      </c>
      <c r="O3337" s="17">
        <f t="shared" si="111"/>
        <v>0</v>
      </c>
      <c r="P3337" s="17">
        <f t="shared" si="112"/>
        <v>6211.52</v>
      </c>
      <c r="Q3337" t="str">
        <f>A3337&amp;"-"&amp;B3337&amp;"-"&amp;D3337</f>
        <v>AGUSTUS-CVA-L7</v>
      </c>
    </row>
    <row r="3338" spans="1:17" x14ac:dyDescent="0.25">
      <c r="A3338" t="s">
        <v>398</v>
      </c>
      <c r="B3338" s="13" t="s">
        <v>23</v>
      </c>
      <c r="C3338" s="13" t="s">
        <v>185</v>
      </c>
      <c r="D3338" s="14" t="s">
        <v>164</v>
      </c>
      <c r="E3338" s="13" t="s">
        <v>382</v>
      </c>
      <c r="F3338" s="13" t="s">
        <v>1305</v>
      </c>
      <c r="G3338" s="13">
        <v>1.94</v>
      </c>
      <c r="H3338" s="15">
        <v>47</v>
      </c>
      <c r="I3338" s="16">
        <v>91.18</v>
      </c>
      <c r="J3338" s="16">
        <v>204.65354330708661</v>
      </c>
      <c r="K3338" s="16">
        <v>-113.4735433070866</v>
      </c>
      <c r="L3338" s="13">
        <v>3.25</v>
      </c>
      <c r="M3338" s="13"/>
      <c r="N3338" s="17">
        <f t="shared" si="111"/>
        <v>152.75</v>
      </c>
      <c r="O3338" s="17">
        <f t="shared" si="111"/>
        <v>0</v>
      </c>
      <c r="P3338" s="17">
        <f t="shared" si="112"/>
        <v>152.75</v>
      </c>
      <c r="Q3338" t="str">
        <f>A3338&amp;"-"&amp;B3338&amp;"-"&amp;D3338</f>
        <v>AGUSTUS-CVA-L7</v>
      </c>
    </row>
    <row r="3339" spans="1:17" x14ac:dyDescent="0.25">
      <c r="A3339" t="s">
        <v>398</v>
      </c>
      <c r="B3339" s="13" t="s">
        <v>23</v>
      </c>
      <c r="C3339" s="13" t="s">
        <v>185</v>
      </c>
      <c r="D3339" s="14" t="s">
        <v>164</v>
      </c>
      <c r="E3339" s="13" t="s">
        <v>941</v>
      </c>
      <c r="F3339" s="13" t="s">
        <v>1306</v>
      </c>
      <c r="G3339" s="13">
        <v>1.61</v>
      </c>
      <c r="H3339" s="15">
        <v>500</v>
      </c>
      <c r="I3339" s="16">
        <v>805</v>
      </c>
      <c r="J3339" s="16">
        <v>553</v>
      </c>
      <c r="K3339" s="16">
        <v>252</v>
      </c>
      <c r="L3339" s="13">
        <v>3.46</v>
      </c>
      <c r="M3339" s="13"/>
      <c r="N3339" s="17">
        <f t="shared" si="111"/>
        <v>1730</v>
      </c>
      <c r="O3339" s="17">
        <f t="shared" si="111"/>
        <v>0</v>
      </c>
      <c r="P3339" s="17">
        <f t="shared" si="112"/>
        <v>1730</v>
      </c>
      <c r="Q3339" t="str">
        <f>A3339&amp;"-"&amp;B3339&amp;"-"&amp;D3339</f>
        <v>AGUSTUS-CVA-L7</v>
      </c>
    </row>
    <row r="3340" spans="1:17" x14ac:dyDescent="0.25">
      <c r="A3340" t="s">
        <v>398</v>
      </c>
      <c r="B3340" s="13" t="s">
        <v>23</v>
      </c>
      <c r="C3340" s="13" t="s">
        <v>185</v>
      </c>
      <c r="D3340" s="14" t="s">
        <v>164</v>
      </c>
      <c r="E3340" s="13" t="s">
        <v>142</v>
      </c>
      <c r="F3340" s="13" t="s">
        <v>1307</v>
      </c>
      <c r="G3340" s="13">
        <v>1.41</v>
      </c>
      <c r="H3340" s="15">
        <v>401</v>
      </c>
      <c r="I3340" s="16">
        <v>565.41</v>
      </c>
      <c r="J3340" s="16">
        <v>792.48818897637796</v>
      </c>
      <c r="K3340" s="16">
        <v>-227.07818897637793</v>
      </c>
      <c r="L3340" s="13">
        <v>3.06</v>
      </c>
      <c r="M3340" s="13"/>
      <c r="N3340" s="17">
        <f t="shared" si="111"/>
        <v>1227.06</v>
      </c>
      <c r="O3340" s="17">
        <f t="shared" si="111"/>
        <v>0</v>
      </c>
      <c r="P3340" s="17">
        <f t="shared" si="112"/>
        <v>1227.06</v>
      </c>
      <c r="Q3340" t="str">
        <f>A3340&amp;"-"&amp;B3340&amp;"-"&amp;D3340</f>
        <v>AGUSTUS-CVA-L7</v>
      </c>
    </row>
    <row r="3341" spans="1:17" x14ac:dyDescent="0.25">
      <c r="A3341" t="s">
        <v>398</v>
      </c>
      <c r="B3341" s="13" t="s">
        <v>23</v>
      </c>
      <c r="C3341" s="13" t="s">
        <v>185</v>
      </c>
      <c r="D3341" s="14" t="s">
        <v>198</v>
      </c>
      <c r="E3341" s="13" t="s">
        <v>1300</v>
      </c>
      <c r="F3341" s="13" t="s">
        <v>1301</v>
      </c>
      <c r="G3341" s="13">
        <v>2.5099999999999998</v>
      </c>
      <c r="H3341" s="15">
        <v>1145</v>
      </c>
      <c r="I3341" s="16">
        <v>2873.95</v>
      </c>
      <c r="J3341" s="16">
        <v>2533.7895981087468</v>
      </c>
      <c r="K3341" s="16">
        <v>340.16040189125289</v>
      </c>
      <c r="L3341" s="13">
        <v>5.36</v>
      </c>
      <c r="M3341" s="13"/>
      <c r="N3341" s="17">
        <f t="shared" si="111"/>
        <v>6137.2000000000007</v>
      </c>
      <c r="O3341" s="17">
        <f t="shared" si="111"/>
        <v>0</v>
      </c>
      <c r="P3341" s="17">
        <f t="shared" si="112"/>
        <v>6137.2000000000007</v>
      </c>
      <c r="Q3341" t="str">
        <f>A3341&amp;"-"&amp;B3341&amp;"-"&amp;D3341</f>
        <v>AGUSTUS-CVA-L8</v>
      </c>
    </row>
    <row r="3342" spans="1:17" x14ac:dyDescent="0.25">
      <c r="A3342" t="s">
        <v>398</v>
      </c>
      <c r="B3342" s="13" t="s">
        <v>23</v>
      </c>
      <c r="C3342" s="13" t="s">
        <v>185</v>
      </c>
      <c r="D3342" s="14" t="s">
        <v>198</v>
      </c>
      <c r="E3342" s="13" t="s">
        <v>77</v>
      </c>
      <c r="F3342" s="13" t="s">
        <v>1302</v>
      </c>
      <c r="G3342" s="13">
        <v>1.34</v>
      </c>
      <c r="H3342" s="15">
        <v>1254</v>
      </c>
      <c r="I3342" s="16">
        <v>1680.36</v>
      </c>
      <c r="J3342" s="16">
        <v>2668.4444444444443</v>
      </c>
      <c r="K3342" s="16">
        <v>-988.08444444444444</v>
      </c>
      <c r="L3342" s="13">
        <v>2.74</v>
      </c>
      <c r="M3342" s="13"/>
      <c r="N3342" s="17">
        <f t="shared" si="111"/>
        <v>3435.9600000000005</v>
      </c>
      <c r="O3342" s="17">
        <f t="shared" si="111"/>
        <v>0</v>
      </c>
      <c r="P3342" s="17">
        <f t="shared" si="112"/>
        <v>3435.9600000000005</v>
      </c>
      <c r="Q3342" t="str">
        <f>A3342&amp;"-"&amp;B3342&amp;"-"&amp;D3342</f>
        <v>AGUSTUS-CVA-L8</v>
      </c>
    </row>
    <row r="3343" spans="1:17" x14ac:dyDescent="0.25">
      <c r="A3343" t="s">
        <v>398</v>
      </c>
      <c r="B3343" s="13" t="s">
        <v>23</v>
      </c>
      <c r="C3343" s="13" t="s">
        <v>185</v>
      </c>
      <c r="D3343" s="14" t="s">
        <v>198</v>
      </c>
      <c r="E3343" s="13" t="s">
        <v>77</v>
      </c>
      <c r="F3343" s="13" t="s">
        <v>1303</v>
      </c>
      <c r="G3343" s="13">
        <v>1.7700000000000002</v>
      </c>
      <c r="H3343" s="15">
        <v>812</v>
      </c>
      <c r="I3343" s="16">
        <v>1437.24</v>
      </c>
      <c r="J3343" s="16">
        <v>1471.2372093023255</v>
      </c>
      <c r="K3343" s="16">
        <v>-33.997209302325615</v>
      </c>
      <c r="L3343" s="13">
        <v>3.4</v>
      </c>
      <c r="M3343" s="13"/>
      <c r="N3343" s="17">
        <f t="shared" si="111"/>
        <v>2760.7999999999997</v>
      </c>
      <c r="O3343" s="17">
        <f t="shared" si="111"/>
        <v>0</v>
      </c>
      <c r="P3343" s="17">
        <f t="shared" si="112"/>
        <v>2760.7999999999997</v>
      </c>
      <c r="Q3343" t="str">
        <f>A3343&amp;"-"&amp;B3343&amp;"-"&amp;D3343</f>
        <v>AGUSTUS-CVA-L8</v>
      </c>
    </row>
    <row r="3344" spans="1:17" x14ac:dyDescent="0.25">
      <c r="A3344" t="s">
        <v>398</v>
      </c>
      <c r="B3344" s="13" t="s">
        <v>23</v>
      </c>
      <c r="C3344" s="13" t="s">
        <v>185</v>
      </c>
      <c r="D3344" s="14" t="s">
        <v>198</v>
      </c>
      <c r="E3344" s="13" t="s">
        <v>77</v>
      </c>
      <c r="F3344" s="13" t="s">
        <v>1304</v>
      </c>
      <c r="G3344" s="13">
        <v>1.9399999999999997</v>
      </c>
      <c r="H3344" s="15">
        <v>1431</v>
      </c>
      <c r="I3344" s="16">
        <v>2776.14</v>
      </c>
      <c r="J3344" s="16">
        <v>2338.757235142119</v>
      </c>
      <c r="K3344" s="16">
        <v>437.38276485788106</v>
      </c>
      <c r="L3344" s="13">
        <v>3.29</v>
      </c>
      <c r="M3344" s="13"/>
      <c r="N3344" s="17">
        <f t="shared" si="111"/>
        <v>4707.99</v>
      </c>
      <c r="O3344" s="17">
        <f t="shared" si="111"/>
        <v>0</v>
      </c>
      <c r="P3344" s="17">
        <f t="shared" si="112"/>
        <v>4707.99</v>
      </c>
      <c r="Q3344" t="str">
        <f>A3344&amp;"-"&amp;B3344&amp;"-"&amp;D3344</f>
        <v>AGUSTUS-CVA-L8</v>
      </c>
    </row>
    <row r="3345" spans="1:17" x14ac:dyDescent="0.25">
      <c r="A3345" t="s">
        <v>398</v>
      </c>
      <c r="B3345" s="13" t="s">
        <v>23</v>
      </c>
      <c r="C3345" s="13" t="s">
        <v>185</v>
      </c>
      <c r="D3345" s="14" t="s">
        <v>198</v>
      </c>
      <c r="E3345" s="13" t="s">
        <v>941</v>
      </c>
      <c r="F3345" s="13" t="s">
        <v>1308</v>
      </c>
      <c r="G3345" s="13">
        <v>1.34</v>
      </c>
      <c r="H3345" s="15">
        <v>194</v>
      </c>
      <c r="I3345" s="16">
        <v>259.95999999999998</v>
      </c>
      <c r="J3345" s="16">
        <v>380.43262411347519</v>
      </c>
      <c r="K3345" s="16">
        <v>-120.47262411347521</v>
      </c>
      <c r="L3345" s="13">
        <v>2.83</v>
      </c>
      <c r="M3345" s="13"/>
      <c r="N3345" s="17">
        <f t="shared" si="111"/>
        <v>549.02</v>
      </c>
      <c r="O3345" s="17">
        <f t="shared" si="111"/>
        <v>0</v>
      </c>
      <c r="P3345" s="17">
        <f t="shared" si="112"/>
        <v>549.02</v>
      </c>
      <c r="Q3345" t="str">
        <f>A3345&amp;"-"&amp;B3345&amp;"-"&amp;D3345</f>
        <v>AGUSTUS-CVA-L8</v>
      </c>
    </row>
    <row r="3346" spans="1:17" x14ac:dyDescent="0.25">
      <c r="A3346" t="s">
        <v>398</v>
      </c>
      <c r="B3346" s="13" t="s">
        <v>23</v>
      </c>
      <c r="C3346" s="13" t="s">
        <v>185</v>
      </c>
      <c r="D3346" s="14" t="s">
        <v>198</v>
      </c>
      <c r="E3346" s="13" t="s">
        <v>941</v>
      </c>
      <c r="F3346" s="13" t="s">
        <v>1306</v>
      </c>
      <c r="G3346" s="13">
        <v>1.61</v>
      </c>
      <c r="H3346" s="15">
        <v>400</v>
      </c>
      <c r="I3346" s="16">
        <v>644</v>
      </c>
      <c r="J3346" s="16">
        <v>1055.7272727272727</v>
      </c>
      <c r="K3346" s="16">
        <v>-411.72727272727269</v>
      </c>
      <c r="L3346" s="13">
        <v>3.46</v>
      </c>
      <c r="M3346" s="13"/>
      <c r="N3346" s="17">
        <f t="shared" si="111"/>
        <v>1384</v>
      </c>
      <c r="O3346" s="17">
        <f t="shared" si="111"/>
        <v>0</v>
      </c>
      <c r="P3346" s="17">
        <f t="shared" si="112"/>
        <v>1384</v>
      </c>
      <c r="Q3346" t="str">
        <f>A3346&amp;"-"&amp;B3346&amp;"-"&amp;D3346</f>
        <v>AGUSTUS-CVA-L8</v>
      </c>
    </row>
    <row r="3347" spans="1:17" x14ac:dyDescent="0.25">
      <c r="A3347" t="s">
        <v>398</v>
      </c>
      <c r="B3347" s="13" t="s">
        <v>23</v>
      </c>
      <c r="C3347" s="13" t="s">
        <v>185</v>
      </c>
      <c r="D3347" s="14" t="s">
        <v>198</v>
      </c>
      <c r="E3347" s="13" t="s">
        <v>142</v>
      </c>
      <c r="F3347" s="13" t="s">
        <v>1309</v>
      </c>
      <c r="G3347" s="13">
        <v>0.78</v>
      </c>
      <c r="H3347" s="15">
        <v>326</v>
      </c>
      <c r="I3347" s="16">
        <v>254.27999999999997</v>
      </c>
      <c r="J3347" s="16">
        <v>532.61161616161621</v>
      </c>
      <c r="K3347" s="16">
        <v>-278.33161616161618</v>
      </c>
      <c r="L3347" s="13">
        <v>3.13</v>
      </c>
      <c r="M3347" s="13"/>
      <c r="N3347" s="17">
        <f t="shared" si="111"/>
        <v>1020.38</v>
      </c>
      <c r="O3347" s="17">
        <f t="shared" si="111"/>
        <v>0</v>
      </c>
      <c r="P3347" s="17">
        <f t="shared" si="112"/>
        <v>1020.38</v>
      </c>
      <c r="Q3347" t="str">
        <f>A3347&amp;"-"&amp;B3347&amp;"-"&amp;D3347</f>
        <v>AGUSTUS-CVA-L8</v>
      </c>
    </row>
    <row r="3348" spans="1:17" x14ac:dyDescent="0.25">
      <c r="A3348" t="s">
        <v>398</v>
      </c>
      <c r="B3348" s="13" t="s">
        <v>23</v>
      </c>
      <c r="C3348" s="13" t="s">
        <v>185</v>
      </c>
      <c r="D3348" s="14" t="s">
        <v>198</v>
      </c>
      <c r="E3348" s="13" t="s">
        <v>142</v>
      </c>
      <c r="F3348" s="13" t="s">
        <v>1307</v>
      </c>
      <c r="G3348" s="13">
        <v>1.41</v>
      </c>
      <c r="H3348" s="15">
        <v>143</v>
      </c>
      <c r="I3348" s="16">
        <v>201.63</v>
      </c>
      <c r="J3348" s="16">
        <v>553</v>
      </c>
      <c r="K3348" s="16">
        <v>-351.37</v>
      </c>
      <c r="L3348" s="13">
        <v>3.06</v>
      </c>
      <c r="M3348" s="13"/>
      <c r="N3348" s="17">
        <f t="shared" si="111"/>
        <v>437.58</v>
      </c>
      <c r="O3348" s="17">
        <f t="shared" si="111"/>
        <v>0</v>
      </c>
      <c r="P3348" s="17">
        <f t="shared" si="112"/>
        <v>437.58</v>
      </c>
      <c r="Q3348" t="str">
        <f>A3348&amp;"-"&amp;B3348&amp;"-"&amp;D3348</f>
        <v>AGUSTUS-CVA-L8</v>
      </c>
    </row>
    <row r="3349" spans="1:17" x14ac:dyDescent="0.25">
      <c r="A3349" t="s">
        <v>398</v>
      </c>
      <c r="B3349" s="13" t="s">
        <v>23</v>
      </c>
      <c r="C3349" s="13" t="s">
        <v>201</v>
      </c>
      <c r="D3349" s="14" t="s">
        <v>301</v>
      </c>
      <c r="E3349" s="13" t="s">
        <v>191</v>
      </c>
      <c r="F3349" s="13" t="s">
        <v>1310</v>
      </c>
      <c r="G3349" s="13">
        <v>0.39000000000000007</v>
      </c>
      <c r="H3349" s="15">
        <v>14830</v>
      </c>
      <c r="I3349" s="16">
        <v>5783.7000000000007</v>
      </c>
      <c r="J3349" s="16">
        <v>5767</v>
      </c>
      <c r="K3349" s="16">
        <v>16.700000000000045</v>
      </c>
      <c r="L3349" s="13">
        <v>0.98</v>
      </c>
      <c r="M3349" s="13"/>
      <c r="N3349" s="17">
        <f t="shared" si="111"/>
        <v>14533.4</v>
      </c>
      <c r="O3349" s="17">
        <f t="shared" si="111"/>
        <v>0</v>
      </c>
      <c r="P3349" s="17">
        <f t="shared" si="112"/>
        <v>14533.4</v>
      </c>
      <c r="Q3349" t="str">
        <f>A3349&amp;"-"&amp;B3349&amp;"-"&amp;D3349</f>
        <v>AGUSTUS-CVA-L10</v>
      </c>
    </row>
    <row r="3350" spans="1:17" x14ac:dyDescent="0.25">
      <c r="A3350" t="s">
        <v>398</v>
      </c>
      <c r="B3350" s="13" t="s">
        <v>23</v>
      </c>
      <c r="C3350" s="13" t="s">
        <v>201</v>
      </c>
      <c r="D3350" s="14" t="s">
        <v>301</v>
      </c>
      <c r="E3350" s="13" t="s">
        <v>191</v>
      </c>
      <c r="F3350" s="13" t="s">
        <v>1150</v>
      </c>
      <c r="G3350" s="13">
        <v>0.48</v>
      </c>
      <c r="H3350" s="15">
        <v>1568</v>
      </c>
      <c r="I3350" s="16">
        <v>752.64</v>
      </c>
      <c r="J3350" s="16">
        <v>845.8780487804878</v>
      </c>
      <c r="K3350" s="16">
        <v>-93.238048780487816</v>
      </c>
      <c r="L3350" s="13">
        <v>1.03</v>
      </c>
      <c r="M3350" s="13"/>
      <c r="N3350" s="17">
        <f t="shared" si="111"/>
        <v>1615.04</v>
      </c>
      <c r="O3350" s="17">
        <f t="shared" si="111"/>
        <v>0</v>
      </c>
      <c r="P3350" s="17">
        <f t="shared" si="112"/>
        <v>1615.04</v>
      </c>
      <c r="Q3350" t="str">
        <f>A3350&amp;"-"&amp;B3350&amp;"-"&amp;D3350</f>
        <v>AGUSTUS-CVA-L10</v>
      </c>
    </row>
    <row r="3351" spans="1:17" x14ac:dyDescent="0.25">
      <c r="A3351" t="s">
        <v>398</v>
      </c>
      <c r="B3351" s="13" t="s">
        <v>23</v>
      </c>
      <c r="C3351" s="13" t="s">
        <v>201</v>
      </c>
      <c r="D3351" s="14" t="s">
        <v>301</v>
      </c>
      <c r="E3351" s="13" t="s">
        <v>191</v>
      </c>
      <c r="F3351" s="13" t="s">
        <v>1155</v>
      </c>
      <c r="G3351" s="13">
        <v>0.33</v>
      </c>
      <c r="H3351" s="15">
        <v>8025</v>
      </c>
      <c r="I3351" s="16">
        <v>2648.25</v>
      </c>
      <c r="J3351" s="16">
        <v>3295.1368765926463</v>
      </c>
      <c r="K3351" s="16">
        <v>-646.88687659264656</v>
      </c>
      <c r="L3351" s="13">
        <v>1.1499999999999999</v>
      </c>
      <c r="M3351" s="13"/>
      <c r="N3351" s="17">
        <f t="shared" si="111"/>
        <v>9228.75</v>
      </c>
      <c r="O3351" s="17">
        <f t="shared" si="111"/>
        <v>0</v>
      </c>
      <c r="P3351" s="17">
        <f t="shared" si="112"/>
        <v>9228.75</v>
      </c>
      <c r="Q3351" t="str">
        <f>A3351&amp;"-"&amp;B3351&amp;"-"&amp;D3351</f>
        <v>AGUSTUS-CVA-L10</v>
      </c>
    </row>
    <row r="3352" spans="1:17" x14ac:dyDescent="0.25">
      <c r="A3352" t="s">
        <v>398</v>
      </c>
      <c r="B3352" s="13" t="s">
        <v>23</v>
      </c>
      <c r="C3352" s="13" t="s">
        <v>201</v>
      </c>
      <c r="D3352" s="14" t="s">
        <v>301</v>
      </c>
      <c r="E3352" s="13" t="s">
        <v>191</v>
      </c>
      <c r="F3352" s="13" t="s">
        <v>1156</v>
      </c>
      <c r="G3352" s="13">
        <v>0.33</v>
      </c>
      <c r="H3352" s="15">
        <v>3080</v>
      </c>
      <c r="I3352" s="16">
        <v>1016.4000000000001</v>
      </c>
      <c r="J3352" s="16">
        <v>1072.9850746268658</v>
      </c>
      <c r="K3352" s="16">
        <v>-56.585074626865719</v>
      </c>
      <c r="L3352" s="13">
        <v>1.1000000000000001</v>
      </c>
      <c r="M3352" s="13"/>
      <c r="N3352" s="17">
        <f t="shared" si="111"/>
        <v>3388.0000000000005</v>
      </c>
      <c r="O3352" s="17">
        <f t="shared" si="111"/>
        <v>0</v>
      </c>
      <c r="P3352" s="17">
        <f t="shared" si="112"/>
        <v>3388.0000000000005</v>
      </c>
      <c r="Q3352" t="str">
        <f>A3352&amp;"-"&amp;B3352&amp;"-"&amp;D3352</f>
        <v>AGUSTUS-CVA-L10</v>
      </c>
    </row>
    <row r="3353" spans="1:17" x14ac:dyDescent="0.25">
      <c r="A3353" t="s">
        <v>398</v>
      </c>
      <c r="B3353" s="13" t="s">
        <v>23</v>
      </c>
      <c r="C3353" s="13" t="s">
        <v>201</v>
      </c>
      <c r="D3353" s="14" t="s">
        <v>301</v>
      </c>
      <c r="E3353" s="13" t="s">
        <v>191</v>
      </c>
      <c r="F3353" s="13" t="s">
        <v>1311</v>
      </c>
      <c r="G3353" s="13">
        <v>0.4</v>
      </c>
      <c r="H3353" s="15">
        <v>7467</v>
      </c>
      <c r="I3353" s="16">
        <v>2986.8</v>
      </c>
      <c r="J3353" s="16">
        <v>2212</v>
      </c>
      <c r="K3353" s="16">
        <v>774.8</v>
      </c>
      <c r="L3353" s="13">
        <v>1.1000000000000001</v>
      </c>
      <c r="M3353" s="13"/>
      <c r="N3353" s="17">
        <f t="shared" si="111"/>
        <v>8213.7000000000007</v>
      </c>
      <c r="O3353" s="17">
        <f t="shared" si="111"/>
        <v>0</v>
      </c>
      <c r="P3353" s="17">
        <f t="shared" si="112"/>
        <v>8213.7000000000007</v>
      </c>
      <c r="Q3353" t="str">
        <f>A3353&amp;"-"&amp;B3353&amp;"-"&amp;D3353</f>
        <v>AGUSTUS-CVA-L10</v>
      </c>
    </row>
    <row r="3354" spans="1:17" x14ac:dyDescent="0.25">
      <c r="A3354" t="s">
        <v>398</v>
      </c>
      <c r="B3354" s="13" t="s">
        <v>23</v>
      </c>
      <c r="C3354" s="13" t="s">
        <v>201</v>
      </c>
      <c r="D3354" s="14" t="s">
        <v>56</v>
      </c>
      <c r="E3354" s="13" t="s">
        <v>191</v>
      </c>
      <c r="F3354" s="13" t="s">
        <v>1310</v>
      </c>
      <c r="G3354" s="13">
        <v>0.3899999999999999</v>
      </c>
      <c r="H3354" s="15">
        <v>23833</v>
      </c>
      <c r="I3354" s="16">
        <v>9294.8700000000008</v>
      </c>
      <c r="J3354" s="16">
        <v>8326.4624591947759</v>
      </c>
      <c r="K3354" s="16">
        <v>968.40754080522299</v>
      </c>
      <c r="L3354" s="13">
        <v>0.98</v>
      </c>
      <c r="M3354" s="13"/>
      <c r="N3354" s="17">
        <f t="shared" si="111"/>
        <v>23356.34</v>
      </c>
      <c r="O3354" s="17">
        <f t="shared" si="111"/>
        <v>0</v>
      </c>
      <c r="P3354" s="17">
        <f t="shared" si="112"/>
        <v>23356.34</v>
      </c>
      <c r="Q3354" t="str">
        <f>A3354&amp;"-"&amp;B3354&amp;"-"&amp;D3354</f>
        <v>AGUSTUS-CVA-L3</v>
      </c>
    </row>
    <row r="3355" spans="1:17" x14ac:dyDescent="0.25">
      <c r="A3355" t="s">
        <v>398</v>
      </c>
      <c r="B3355" s="13" t="s">
        <v>23</v>
      </c>
      <c r="C3355" s="13" t="s">
        <v>201</v>
      </c>
      <c r="D3355" s="14" t="s">
        <v>56</v>
      </c>
      <c r="E3355" s="13" t="s">
        <v>191</v>
      </c>
      <c r="F3355" s="13" t="s">
        <v>1312</v>
      </c>
      <c r="G3355" s="13">
        <v>0.69</v>
      </c>
      <c r="H3355" s="15">
        <v>315</v>
      </c>
      <c r="I3355" s="16">
        <v>217.35</v>
      </c>
      <c r="J3355" s="16">
        <v>553</v>
      </c>
      <c r="K3355" s="16">
        <v>-335.65</v>
      </c>
      <c r="L3355" s="13">
        <v>1.57</v>
      </c>
      <c r="M3355" s="13"/>
      <c r="N3355" s="17">
        <f t="shared" si="111"/>
        <v>494.55</v>
      </c>
      <c r="O3355" s="17">
        <f t="shared" si="111"/>
        <v>0</v>
      </c>
      <c r="P3355" s="17">
        <f t="shared" si="112"/>
        <v>494.55</v>
      </c>
      <c r="Q3355" t="str">
        <f>A3355&amp;"-"&amp;B3355&amp;"-"&amp;D3355</f>
        <v>AGUSTUS-CVA-L3</v>
      </c>
    </row>
    <row r="3356" spans="1:17" x14ac:dyDescent="0.25">
      <c r="A3356" t="s">
        <v>398</v>
      </c>
      <c r="B3356" s="13" t="s">
        <v>23</v>
      </c>
      <c r="C3356" s="13" t="s">
        <v>201</v>
      </c>
      <c r="D3356" s="14" t="s">
        <v>56</v>
      </c>
      <c r="E3356" s="13" t="s">
        <v>191</v>
      </c>
      <c r="F3356" s="13" t="s">
        <v>1311</v>
      </c>
      <c r="G3356" s="13">
        <v>0.4</v>
      </c>
      <c r="H3356" s="15">
        <v>8042</v>
      </c>
      <c r="I3356" s="16">
        <v>3216.8</v>
      </c>
      <c r="J3356" s="16">
        <v>2212</v>
      </c>
      <c r="K3356" s="16">
        <v>1004.8</v>
      </c>
      <c r="L3356" s="13">
        <v>1.1000000000000001</v>
      </c>
      <c r="M3356" s="13"/>
      <c r="N3356" s="17">
        <f t="shared" si="111"/>
        <v>8846.2000000000007</v>
      </c>
      <c r="O3356" s="17">
        <f t="shared" si="111"/>
        <v>0</v>
      </c>
      <c r="P3356" s="17">
        <f t="shared" si="112"/>
        <v>8846.2000000000007</v>
      </c>
      <c r="Q3356" t="str">
        <f>A3356&amp;"-"&amp;B3356&amp;"-"&amp;D3356</f>
        <v>AGUSTUS-CVA-L3</v>
      </c>
    </row>
    <row r="3357" spans="1:17" x14ac:dyDescent="0.25">
      <c r="A3357" t="s">
        <v>398</v>
      </c>
      <c r="B3357" s="13" t="s">
        <v>23</v>
      </c>
      <c r="C3357" s="13" t="s">
        <v>201</v>
      </c>
      <c r="D3357" s="14" t="s">
        <v>158</v>
      </c>
      <c r="E3357" s="13" t="s">
        <v>191</v>
      </c>
      <c r="F3357" s="13" t="s">
        <v>1310</v>
      </c>
      <c r="G3357" s="13">
        <v>0.3899999999999999</v>
      </c>
      <c r="H3357" s="15">
        <v>26250</v>
      </c>
      <c r="I3357" s="16">
        <v>10237.5</v>
      </c>
      <c r="J3357" s="16">
        <v>8531.0031545741331</v>
      </c>
      <c r="K3357" s="16">
        <v>1706.4968454258674</v>
      </c>
      <c r="L3357" s="13">
        <v>0.98</v>
      </c>
      <c r="M3357" s="13"/>
      <c r="N3357" s="17">
        <f t="shared" si="111"/>
        <v>25725</v>
      </c>
      <c r="O3357" s="17">
        <f t="shared" si="111"/>
        <v>0</v>
      </c>
      <c r="P3357" s="17">
        <f t="shared" si="112"/>
        <v>25725</v>
      </c>
      <c r="Q3357" t="str">
        <f>A3357&amp;"-"&amp;B3357&amp;"-"&amp;D3357</f>
        <v>AGUSTUS-CVA-L4</v>
      </c>
    </row>
    <row r="3358" spans="1:17" x14ac:dyDescent="0.25">
      <c r="A3358" t="s">
        <v>398</v>
      </c>
      <c r="B3358" s="13" t="s">
        <v>23</v>
      </c>
      <c r="C3358" s="13" t="s">
        <v>201</v>
      </c>
      <c r="D3358" s="14" t="s">
        <v>158</v>
      </c>
      <c r="E3358" s="13" t="s">
        <v>191</v>
      </c>
      <c r="F3358" s="13" t="s">
        <v>1312</v>
      </c>
      <c r="G3358" s="13">
        <v>0.69</v>
      </c>
      <c r="H3358" s="15">
        <v>214</v>
      </c>
      <c r="I3358" s="16">
        <v>147.66</v>
      </c>
      <c r="J3358" s="16">
        <v>553</v>
      </c>
      <c r="K3358" s="16">
        <v>-405.34000000000003</v>
      </c>
      <c r="L3358" s="13">
        <v>1.57</v>
      </c>
      <c r="M3358" s="13"/>
      <c r="N3358" s="17">
        <f t="shared" si="111"/>
        <v>335.98</v>
      </c>
      <c r="O3358" s="17">
        <f t="shared" si="111"/>
        <v>0</v>
      </c>
      <c r="P3358" s="17">
        <f t="shared" si="112"/>
        <v>335.98</v>
      </c>
      <c r="Q3358" t="str">
        <f>A3358&amp;"-"&amp;B3358&amp;"-"&amp;D3358</f>
        <v>AGUSTUS-CVA-L4</v>
      </c>
    </row>
    <row r="3359" spans="1:17" x14ac:dyDescent="0.25">
      <c r="A3359" t="s">
        <v>398</v>
      </c>
      <c r="B3359" s="13" t="s">
        <v>23</v>
      </c>
      <c r="C3359" s="13" t="s">
        <v>201</v>
      </c>
      <c r="D3359" s="14" t="s">
        <v>158</v>
      </c>
      <c r="E3359" s="13" t="s">
        <v>191</v>
      </c>
      <c r="F3359" s="13" t="s">
        <v>1311</v>
      </c>
      <c r="G3359" s="13">
        <v>0.4</v>
      </c>
      <c r="H3359" s="15">
        <v>8038</v>
      </c>
      <c r="I3359" s="16">
        <v>3215.2</v>
      </c>
      <c r="J3359" s="16">
        <v>2054.9968454258674</v>
      </c>
      <c r="K3359" s="16">
        <v>1160.2031545741324</v>
      </c>
      <c r="L3359" s="13">
        <v>1.1000000000000001</v>
      </c>
      <c r="M3359" s="13"/>
      <c r="N3359" s="17">
        <f t="shared" si="111"/>
        <v>8841.8000000000011</v>
      </c>
      <c r="O3359" s="17">
        <f t="shared" si="111"/>
        <v>0</v>
      </c>
      <c r="P3359" s="17">
        <f t="shared" si="112"/>
        <v>8841.8000000000011</v>
      </c>
      <c r="Q3359" t="str">
        <f>A3359&amp;"-"&amp;B3359&amp;"-"&amp;D3359</f>
        <v>AGUSTUS-CVA-L4</v>
      </c>
    </row>
    <row r="3360" spans="1:17" x14ac:dyDescent="0.25">
      <c r="A3360" t="s">
        <v>398</v>
      </c>
      <c r="B3360" s="13" t="s">
        <v>23</v>
      </c>
      <c r="C3360" s="13" t="s">
        <v>201</v>
      </c>
      <c r="D3360" s="14" t="s">
        <v>160</v>
      </c>
      <c r="E3360" s="13" t="s">
        <v>191</v>
      </c>
      <c r="F3360" s="13" t="s">
        <v>1310</v>
      </c>
      <c r="G3360" s="13">
        <v>0.39000000000000007</v>
      </c>
      <c r="H3360" s="15">
        <v>11653</v>
      </c>
      <c r="I3360" s="16">
        <v>4544.67</v>
      </c>
      <c r="J3360" s="16">
        <v>3778.0795782429864</v>
      </c>
      <c r="K3360" s="16">
        <v>766.5904217570137</v>
      </c>
      <c r="L3360" s="13">
        <v>0.98</v>
      </c>
      <c r="M3360" s="13"/>
      <c r="N3360" s="17">
        <f t="shared" si="111"/>
        <v>11419.94</v>
      </c>
      <c r="O3360" s="17">
        <f t="shared" si="111"/>
        <v>0</v>
      </c>
      <c r="P3360" s="17">
        <f t="shared" si="112"/>
        <v>11419.94</v>
      </c>
      <c r="Q3360" t="str">
        <f>A3360&amp;"-"&amp;B3360&amp;"-"&amp;D3360</f>
        <v>AGUSTUS-CVA-L5</v>
      </c>
    </row>
    <row r="3361" spans="1:17" x14ac:dyDescent="0.25">
      <c r="A3361" t="s">
        <v>398</v>
      </c>
      <c r="B3361" s="13" t="s">
        <v>23</v>
      </c>
      <c r="C3361" s="13" t="s">
        <v>201</v>
      </c>
      <c r="D3361" s="14" t="s">
        <v>160</v>
      </c>
      <c r="E3361" s="13" t="s">
        <v>191</v>
      </c>
      <c r="F3361" s="13" t="s">
        <v>1047</v>
      </c>
      <c r="G3361" s="13">
        <v>0.48</v>
      </c>
      <c r="H3361" s="15">
        <v>1087</v>
      </c>
      <c r="I3361" s="16">
        <v>521.76</v>
      </c>
      <c r="J3361" s="16">
        <v>235.91483516483515</v>
      </c>
      <c r="K3361" s="16">
        <v>285.84516483516484</v>
      </c>
      <c r="L3361" s="13">
        <v>1.08</v>
      </c>
      <c r="M3361" s="13"/>
      <c r="N3361" s="17">
        <f t="shared" si="111"/>
        <v>1173.96</v>
      </c>
      <c r="O3361" s="17">
        <f t="shared" si="111"/>
        <v>0</v>
      </c>
      <c r="P3361" s="17">
        <f t="shared" si="112"/>
        <v>1173.96</v>
      </c>
      <c r="Q3361" t="str">
        <f>A3361&amp;"-"&amp;B3361&amp;"-"&amp;D3361</f>
        <v>AGUSTUS-CVA-L5</v>
      </c>
    </row>
    <row r="3362" spans="1:17" x14ac:dyDescent="0.25">
      <c r="A3362" t="s">
        <v>398</v>
      </c>
      <c r="B3362" s="13" t="s">
        <v>23</v>
      </c>
      <c r="C3362" s="13" t="s">
        <v>201</v>
      </c>
      <c r="D3362" s="14" t="s">
        <v>160</v>
      </c>
      <c r="E3362" s="13" t="s">
        <v>191</v>
      </c>
      <c r="F3362" s="13" t="s">
        <v>1150</v>
      </c>
      <c r="G3362" s="13">
        <v>0.48</v>
      </c>
      <c r="H3362" s="15">
        <v>790</v>
      </c>
      <c r="I3362" s="16">
        <v>379.2</v>
      </c>
      <c r="J3362" s="16">
        <v>149.30622009569376</v>
      </c>
      <c r="K3362" s="16">
        <v>229.89377990430623</v>
      </c>
      <c r="L3362" s="13">
        <v>1.03</v>
      </c>
      <c r="M3362" s="13"/>
      <c r="N3362" s="17">
        <f t="shared" si="111"/>
        <v>813.7</v>
      </c>
      <c r="O3362" s="17">
        <f t="shared" si="111"/>
        <v>0</v>
      </c>
      <c r="P3362" s="17">
        <f t="shared" si="112"/>
        <v>813.7</v>
      </c>
      <c r="Q3362" t="str">
        <f>A3362&amp;"-"&amp;B3362&amp;"-"&amp;D3362</f>
        <v>AGUSTUS-CVA-L5</v>
      </c>
    </row>
    <row r="3363" spans="1:17" x14ac:dyDescent="0.25">
      <c r="A3363" t="s">
        <v>398</v>
      </c>
      <c r="B3363" s="13" t="s">
        <v>23</v>
      </c>
      <c r="C3363" s="13" t="s">
        <v>201</v>
      </c>
      <c r="D3363" s="14" t="s">
        <v>160</v>
      </c>
      <c r="E3363" s="13" t="s">
        <v>191</v>
      </c>
      <c r="F3363" s="13" t="s">
        <v>1313</v>
      </c>
      <c r="G3363" s="13">
        <v>0.39000000000000007</v>
      </c>
      <c r="H3363" s="15">
        <v>12220</v>
      </c>
      <c r="I3363" s="16">
        <v>4765.8</v>
      </c>
      <c r="J3363" s="16">
        <v>3563.6937799043062</v>
      </c>
      <c r="K3363" s="16">
        <v>1202.1062200956935</v>
      </c>
      <c r="L3363" s="13">
        <v>1.08</v>
      </c>
      <c r="M3363" s="13"/>
      <c r="N3363" s="17">
        <f t="shared" si="111"/>
        <v>13197.6</v>
      </c>
      <c r="O3363" s="17">
        <f t="shared" si="111"/>
        <v>0</v>
      </c>
      <c r="P3363" s="17">
        <f t="shared" si="112"/>
        <v>13197.6</v>
      </c>
      <c r="Q3363" t="str">
        <f>A3363&amp;"-"&amp;B3363&amp;"-"&amp;D3363</f>
        <v>AGUSTUS-CVA-L5</v>
      </c>
    </row>
    <row r="3364" spans="1:17" x14ac:dyDescent="0.25">
      <c r="A3364" t="s">
        <v>398</v>
      </c>
      <c r="B3364" s="13" t="s">
        <v>23</v>
      </c>
      <c r="C3364" s="13" t="s">
        <v>201</v>
      </c>
      <c r="D3364" s="14" t="s">
        <v>160</v>
      </c>
      <c r="E3364" s="13" t="s">
        <v>191</v>
      </c>
      <c r="F3364" s="13" t="s">
        <v>1155</v>
      </c>
      <c r="G3364" s="13">
        <v>0.33</v>
      </c>
      <c r="H3364" s="15">
        <v>4210</v>
      </c>
      <c r="I3364" s="16">
        <v>1389.3</v>
      </c>
      <c r="J3364" s="16">
        <v>1257.753488372093</v>
      </c>
      <c r="K3364" s="16">
        <v>131.54651162790708</v>
      </c>
      <c r="L3364" s="13">
        <v>1.1499999999999999</v>
      </c>
      <c r="M3364" s="13"/>
      <c r="N3364" s="17">
        <f t="shared" si="111"/>
        <v>4841.5</v>
      </c>
      <c r="O3364" s="17">
        <f t="shared" si="111"/>
        <v>0</v>
      </c>
      <c r="P3364" s="17">
        <f t="shared" si="112"/>
        <v>4841.5</v>
      </c>
      <c r="Q3364" t="str">
        <f>A3364&amp;"-"&amp;B3364&amp;"-"&amp;D3364</f>
        <v>AGUSTUS-CVA-L5</v>
      </c>
    </row>
    <row r="3365" spans="1:17" x14ac:dyDescent="0.25">
      <c r="A3365" t="s">
        <v>398</v>
      </c>
      <c r="B3365" s="13" t="s">
        <v>23</v>
      </c>
      <c r="C3365" s="13" t="s">
        <v>201</v>
      </c>
      <c r="D3365" s="14" t="s">
        <v>160</v>
      </c>
      <c r="E3365" s="13" t="s">
        <v>191</v>
      </c>
      <c r="F3365" s="13" t="s">
        <v>1314</v>
      </c>
      <c r="G3365" s="13">
        <v>0.69</v>
      </c>
      <c r="H3365" s="15">
        <v>1250</v>
      </c>
      <c r="I3365" s="16">
        <v>862.5</v>
      </c>
      <c r="J3365" s="16">
        <v>1659</v>
      </c>
      <c r="K3365" s="16">
        <v>-796.5</v>
      </c>
      <c r="L3365" s="13">
        <v>1.32</v>
      </c>
      <c r="M3365" s="13"/>
      <c r="N3365" s="17">
        <f t="shared" si="111"/>
        <v>1650</v>
      </c>
      <c r="O3365" s="17">
        <f t="shared" si="111"/>
        <v>0</v>
      </c>
      <c r="P3365" s="17">
        <f t="shared" si="112"/>
        <v>1650</v>
      </c>
      <c r="Q3365" t="str">
        <f>A3365&amp;"-"&amp;B3365&amp;"-"&amp;D3365</f>
        <v>AGUSTUS-CVA-L5</v>
      </c>
    </row>
    <row r="3366" spans="1:17" x14ac:dyDescent="0.25">
      <c r="A3366" t="s">
        <v>398</v>
      </c>
      <c r="B3366" s="13" t="s">
        <v>23</v>
      </c>
      <c r="C3366" s="13" t="s">
        <v>201</v>
      </c>
      <c r="D3366" s="14" t="s">
        <v>160</v>
      </c>
      <c r="E3366" s="13" t="s">
        <v>191</v>
      </c>
      <c r="F3366" s="13" t="s">
        <v>1311</v>
      </c>
      <c r="G3366" s="13">
        <v>0.4</v>
      </c>
      <c r="H3366" s="15">
        <v>7593</v>
      </c>
      <c r="I3366" s="16">
        <v>3037.2</v>
      </c>
      <c r="J3366" s="16">
        <v>1601.2520982200858</v>
      </c>
      <c r="K3366" s="16">
        <v>1435.9479017799142</v>
      </c>
      <c r="L3366" s="13">
        <v>1.1000000000000001</v>
      </c>
      <c r="M3366" s="13"/>
      <c r="N3366" s="17">
        <f t="shared" si="111"/>
        <v>8352.3000000000011</v>
      </c>
      <c r="O3366" s="17">
        <f t="shared" si="111"/>
        <v>0</v>
      </c>
      <c r="P3366" s="17">
        <f t="shared" si="112"/>
        <v>8352.3000000000011</v>
      </c>
      <c r="Q3366" t="str">
        <f>A3366&amp;"-"&amp;B3366&amp;"-"&amp;D3366</f>
        <v>AGUSTUS-CVA-L5</v>
      </c>
    </row>
    <row r="3367" spans="1:17" x14ac:dyDescent="0.25">
      <c r="A3367" t="s">
        <v>398</v>
      </c>
      <c r="B3367" s="13" t="s">
        <v>23</v>
      </c>
      <c r="C3367" s="13" t="s">
        <v>201</v>
      </c>
      <c r="D3367" s="14" t="s">
        <v>160</v>
      </c>
      <c r="E3367" s="13" t="s">
        <v>191</v>
      </c>
      <c r="F3367" s="13" t="s">
        <v>1315</v>
      </c>
      <c r="G3367" s="13">
        <v>0.33</v>
      </c>
      <c r="H3367" s="15">
        <v>3252</v>
      </c>
      <c r="I3367" s="16">
        <v>1073.1600000000001</v>
      </c>
      <c r="J3367" s="16">
        <v>1501</v>
      </c>
      <c r="K3367" s="16">
        <v>-427.84000000000003</v>
      </c>
      <c r="L3367" s="13">
        <v>1.3</v>
      </c>
      <c r="M3367" s="13"/>
      <c r="N3367" s="17">
        <f t="shared" si="111"/>
        <v>4227.6000000000004</v>
      </c>
      <c r="O3367" s="17">
        <f t="shared" si="111"/>
        <v>0</v>
      </c>
      <c r="P3367" s="17">
        <f t="shared" si="112"/>
        <v>4227.6000000000004</v>
      </c>
      <c r="Q3367" t="str">
        <f>A3367&amp;"-"&amp;B3367&amp;"-"&amp;D3367</f>
        <v>AGUSTUS-CVA-L5</v>
      </c>
    </row>
    <row r="3368" spans="1:17" x14ac:dyDescent="0.25">
      <c r="A3368" t="s">
        <v>398</v>
      </c>
      <c r="B3368" s="13" t="s">
        <v>23</v>
      </c>
      <c r="C3368" s="13" t="s">
        <v>201</v>
      </c>
      <c r="D3368" s="14" t="s">
        <v>163</v>
      </c>
      <c r="E3368" s="13" t="s">
        <v>191</v>
      </c>
      <c r="F3368" s="13" t="s">
        <v>1310</v>
      </c>
      <c r="G3368" s="13">
        <v>0.39000000000000007</v>
      </c>
      <c r="H3368" s="15">
        <v>9350</v>
      </c>
      <c r="I3368" s="16">
        <v>3646.4999999999995</v>
      </c>
      <c r="J3368" s="16">
        <v>3160</v>
      </c>
      <c r="K3368" s="16">
        <v>486.49999999999989</v>
      </c>
      <c r="L3368" s="13">
        <v>0.98</v>
      </c>
      <c r="M3368" s="13"/>
      <c r="N3368" s="17">
        <f t="shared" si="111"/>
        <v>9163</v>
      </c>
      <c r="O3368" s="17">
        <f t="shared" si="111"/>
        <v>0</v>
      </c>
      <c r="P3368" s="17">
        <f t="shared" si="112"/>
        <v>9163</v>
      </c>
      <c r="Q3368" t="str">
        <f>A3368&amp;"-"&amp;B3368&amp;"-"&amp;D3368</f>
        <v>AGUSTUS-CVA-L6</v>
      </c>
    </row>
    <row r="3369" spans="1:17" x14ac:dyDescent="0.25">
      <c r="A3369" t="s">
        <v>398</v>
      </c>
      <c r="B3369" s="13" t="s">
        <v>23</v>
      </c>
      <c r="C3369" s="13" t="s">
        <v>201</v>
      </c>
      <c r="D3369" s="14" t="s">
        <v>163</v>
      </c>
      <c r="E3369" s="13" t="s">
        <v>191</v>
      </c>
      <c r="F3369" s="13" t="s">
        <v>1047</v>
      </c>
      <c r="G3369" s="13">
        <v>0.48</v>
      </c>
      <c r="H3369" s="15">
        <v>770</v>
      </c>
      <c r="I3369" s="16">
        <v>369.6</v>
      </c>
      <c r="J3369" s="16">
        <v>182.12574850299401</v>
      </c>
      <c r="K3369" s="16">
        <v>187.47425149700601</v>
      </c>
      <c r="L3369" s="13">
        <v>1.08</v>
      </c>
      <c r="M3369" s="13"/>
      <c r="N3369" s="17">
        <f t="shared" si="111"/>
        <v>831.6</v>
      </c>
      <c r="O3369" s="17">
        <f t="shared" si="111"/>
        <v>0</v>
      </c>
      <c r="P3369" s="17">
        <f t="shared" si="112"/>
        <v>831.6</v>
      </c>
      <c r="Q3369" t="str">
        <f>A3369&amp;"-"&amp;B3369&amp;"-"&amp;D3369</f>
        <v>AGUSTUS-CVA-L6</v>
      </c>
    </row>
    <row r="3370" spans="1:17" x14ac:dyDescent="0.25">
      <c r="A3370" t="s">
        <v>398</v>
      </c>
      <c r="B3370" s="13" t="s">
        <v>23</v>
      </c>
      <c r="C3370" s="13" t="s">
        <v>201</v>
      </c>
      <c r="D3370" s="14" t="s">
        <v>163</v>
      </c>
      <c r="E3370" s="13" t="s">
        <v>191</v>
      </c>
      <c r="F3370" s="13" t="s">
        <v>1150</v>
      </c>
      <c r="G3370" s="13">
        <v>0.48</v>
      </c>
      <c r="H3370" s="15">
        <v>788</v>
      </c>
      <c r="I3370" s="16">
        <v>378.24</v>
      </c>
      <c r="J3370" s="16">
        <v>151.982421875</v>
      </c>
      <c r="K3370" s="16">
        <v>226.25757812500001</v>
      </c>
      <c r="L3370" s="13">
        <v>1.03</v>
      </c>
      <c r="M3370" s="13"/>
      <c r="N3370" s="17">
        <f t="shared" si="111"/>
        <v>811.64</v>
      </c>
      <c r="O3370" s="17">
        <f t="shared" si="111"/>
        <v>0</v>
      </c>
      <c r="P3370" s="17">
        <f t="shared" si="112"/>
        <v>811.64</v>
      </c>
      <c r="Q3370" t="str">
        <f>A3370&amp;"-"&amp;B3370&amp;"-"&amp;D3370</f>
        <v>AGUSTUS-CVA-L6</v>
      </c>
    </row>
    <row r="3371" spans="1:17" x14ac:dyDescent="0.25">
      <c r="A3371" t="s">
        <v>398</v>
      </c>
      <c r="B3371" s="13" t="s">
        <v>23</v>
      </c>
      <c r="C3371" s="13" t="s">
        <v>201</v>
      </c>
      <c r="D3371" s="14" t="s">
        <v>163</v>
      </c>
      <c r="E3371" s="13" t="s">
        <v>191</v>
      </c>
      <c r="F3371" s="13" t="s">
        <v>1154</v>
      </c>
      <c r="G3371" s="13">
        <v>0.4</v>
      </c>
      <c r="H3371" s="15">
        <v>1044</v>
      </c>
      <c r="I3371" s="16">
        <v>417.6</v>
      </c>
      <c r="J3371" s="16">
        <v>329.904</v>
      </c>
      <c r="K3371" s="16">
        <v>87.696000000000026</v>
      </c>
      <c r="L3371" s="13">
        <v>1.04</v>
      </c>
      <c r="M3371" s="13"/>
      <c r="N3371" s="17">
        <f t="shared" si="111"/>
        <v>1085.76</v>
      </c>
      <c r="O3371" s="17">
        <f t="shared" si="111"/>
        <v>0</v>
      </c>
      <c r="P3371" s="17">
        <f t="shared" si="112"/>
        <v>1085.76</v>
      </c>
      <c r="Q3371" t="str">
        <f>A3371&amp;"-"&amp;B3371&amp;"-"&amp;D3371</f>
        <v>AGUSTUS-CVA-L6</v>
      </c>
    </row>
    <row r="3372" spans="1:17" x14ac:dyDescent="0.25">
      <c r="A3372" t="s">
        <v>398</v>
      </c>
      <c r="B3372" s="13" t="s">
        <v>23</v>
      </c>
      <c r="C3372" s="13" t="s">
        <v>201</v>
      </c>
      <c r="D3372" s="14" t="s">
        <v>163</v>
      </c>
      <c r="E3372" s="13" t="s">
        <v>191</v>
      </c>
      <c r="F3372" s="13" t="s">
        <v>1313</v>
      </c>
      <c r="G3372" s="13">
        <v>0.39000000000000007</v>
      </c>
      <c r="H3372" s="15">
        <v>12830</v>
      </c>
      <c r="I3372" s="16">
        <v>5003.7</v>
      </c>
      <c r="J3372" s="16">
        <v>3773.8918296220058</v>
      </c>
      <c r="K3372" s="16">
        <v>1229.808170377994</v>
      </c>
      <c r="L3372" s="13">
        <v>1.08</v>
      </c>
      <c r="M3372" s="13"/>
      <c r="N3372" s="17">
        <f t="shared" si="111"/>
        <v>13856.400000000001</v>
      </c>
      <c r="O3372" s="17">
        <f t="shared" si="111"/>
        <v>0</v>
      </c>
      <c r="P3372" s="17">
        <f t="shared" si="112"/>
        <v>13856.400000000001</v>
      </c>
      <c r="Q3372" t="str">
        <f>A3372&amp;"-"&amp;B3372&amp;"-"&amp;D3372</f>
        <v>AGUSTUS-CVA-L6</v>
      </c>
    </row>
    <row r="3373" spans="1:17" x14ac:dyDescent="0.25">
      <c r="A3373" t="s">
        <v>398</v>
      </c>
      <c r="B3373" s="13" t="s">
        <v>23</v>
      </c>
      <c r="C3373" s="13" t="s">
        <v>201</v>
      </c>
      <c r="D3373" s="14" t="s">
        <v>163</v>
      </c>
      <c r="E3373" s="13" t="s">
        <v>191</v>
      </c>
      <c r="F3373" s="13" t="s">
        <v>1155</v>
      </c>
      <c r="G3373" s="13">
        <v>0.33</v>
      </c>
      <c r="H3373" s="15">
        <v>4266</v>
      </c>
      <c r="I3373" s="16">
        <v>1407.78</v>
      </c>
      <c r="J3373" s="16">
        <v>1135.0603121978522</v>
      </c>
      <c r="K3373" s="16">
        <v>272.71968780214786</v>
      </c>
      <c r="L3373" s="13">
        <v>1.1499999999999999</v>
      </c>
      <c r="M3373" s="13"/>
      <c r="N3373" s="17">
        <f t="shared" si="111"/>
        <v>4905.8999999999996</v>
      </c>
      <c r="O3373" s="17">
        <f t="shared" si="111"/>
        <v>0</v>
      </c>
      <c r="P3373" s="17">
        <f t="shared" si="112"/>
        <v>4905.8999999999996</v>
      </c>
      <c r="Q3373" t="str">
        <f>A3373&amp;"-"&amp;B3373&amp;"-"&amp;D3373</f>
        <v>AGUSTUS-CVA-L6</v>
      </c>
    </row>
    <row r="3374" spans="1:17" x14ac:dyDescent="0.25">
      <c r="A3374" t="s">
        <v>398</v>
      </c>
      <c r="B3374" s="13" t="s">
        <v>23</v>
      </c>
      <c r="C3374" s="13" t="s">
        <v>201</v>
      </c>
      <c r="D3374" s="14" t="s">
        <v>163</v>
      </c>
      <c r="E3374" s="13" t="s">
        <v>191</v>
      </c>
      <c r="F3374" s="13" t="s">
        <v>1314</v>
      </c>
      <c r="G3374" s="13">
        <v>0.69</v>
      </c>
      <c r="H3374" s="15">
        <v>1270</v>
      </c>
      <c r="I3374" s="16">
        <v>876.3</v>
      </c>
      <c r="J3374" s="16">
        <v>1659</v>
      </c>
      <c r="K3374" s="16">
        <v>-782.7</v>
      </c>
      <c r="L3374" s="13">
        <v>1.32</v>
      </c>
      <c r="M3374" s="13"/>
      <c r="N3374" s="17">
        <f t="shared" si="111"/>
        <v>1676.4</v>
      </c>
      <c r="O3374" s="17">
        <f t="shared" si="111"/>
        <v>0</v>
      </c>
      <c r="P3374" s="17">
        <f t="shared" si="112"/>
        <v>1676.4</v>
      </c>
      <c r="Q3374" t="str">
        <f>A3374&amp;"-"&amp;B3374&amp;"-"&amp;D3374</f>
        <v>AGUSTUS-CVA-L6</v>
      </c>
    </row>
    <row r="3375" spans="1:17" x14ac:dyDescent="0.25">
      <c r="A3375" t="s">
        <v>398</v>
      </c>
      <c r="B3375" s="13" t="s">
        <v>23</v>
      </c>
      <c r="C3375" s="13" t="s">
        <v>201</v>
      </c>
      <c r="D3375" s="14" t="s">
        <v>163</v>
      </c>
      <c r="E3375" s="13" t="s">
        <v>191</v>
      </c>
      <c r="F3375" s="13" t="s">
        <v>1311</v>
      </c>
      <c r="G3375" s="13">
        <v>0.4</v>
      </c>
      <c r="H3375" s="15">
        <v>8576</v>
      </c>
      <c r="I3375" s="16">
        <v>3430.4</v>
      </c>
      <c r="J3375" s="16">
        <v>2031.3979994806543</v>
      </c>
      <c r="K3375" s="16">
        <v>1399.0020005193455</v>
      </c>
      <c r="L3375" s="13">
        <v>1.1000000000000001</v>
      </c>
      <c r="M3375" s="13"/>
      <c r="N3375" s="17">
        <f t="shared" si="111"/>
        <v>9433.6</v>
      </c>
      <c r="O3375" s="17">
        <f t="shared" si="111"/>
        <v>0</v>
      </c>
      <c r="P3375" s="17">
        <f t="shared" si="112"/>
        <v>9433.6</v>
      </c>
      <c r="Q3375" t="str">
        <f>A3375&amp;"-"&amp;B3375&amp;"-"&amp;D3375</f>
        <v>AGUSTUS-CVA-L6</v>
      </c>
    </row>
    <row r="3376" spans="1:17" x14ac:dyDescent="0.25">
      <c r="A3376" t="s">
        <v>398</v>
      </c>
      <c r="B3376" s="13" t="s">
        <v>23</v>
      </c>
      <c r="C3376" s="13" t="s">
        <v>201</v>
      </c>
      <c r="D3376" s="14" t="s">
        <v>163</v>
      </c>
      <c r="E3376" s="13" t="s">
        <v>191</v>
      </c>
      <c r="F3376" s="13" t="s">
        <v>1315</v>
      </c>
      <c r="G3376" s="13">
        <v>0.33</v>
      </c>
      <c r="H3376" s="15">
        <v>3250</v>
      </c>
      <c r="I3376" s="16">
        <v>1072.5</v>
      </c>
      <c r="J3376" s="16">
        <v>1322.6376883214937</v>
      </c>
      <c r="K3376" s="16">
        <v>-250.13768832149353</v>
      </c>
      <c r="L3376" s="13">
        <v>1.3</v>
      </c>
      <c r="M3376" s="13"/>
      <c r="N3376" s="17">
        <f t="shared" si="111"/>
        <v>4225</v>
      </c>
      <c r="O3376" s="17">
        <f t="shared" si="111"/>
        <v>0</v>
      </c>
      <c r="P3376" s="17">
        <f t="shared" si="112"/>
        <v>4225</v>
      </c>
      <c r="Q3376" t="str">
        <f>A3376&amp;"-"&amp;B3376&amp;"-"&amp;D3376</f>
        <v>AGUSTUS-CVA-L6</v>
      </c>
    </row>
    <row r="3377" spans="1:17" x14ac:dyDescent="0.25">
      <c r="A3377" t="s">
        <v>398</v>
      </c>
      <c r="B3377" s="13" t="s">
        <v>23</v>
      </c>
      <c r="C3377" s="13" t="s">
        <v>201</v>
      </c>
      <c r="D3377" s="14" t="s">
        <v>164</v>
      </c>
      <c r="E3377" s="13" t="s">
        <v>191</v>
      </c>
      <c r="F3377" s="13" t="s">
        <v>1155</v>
      </c>
      <c r="G3377" s="13">
        <v>0.33</v>
      </c>
      <c r="H3377" s="15">
        <v>5519</v>
      </c>
      <c r="I3377" s="16">
        <v>1821.27</v>
      </c>
      <c r="J3377" s="16">
        <v>2212</v>
      </c>
      <c r="K3377" s="16">
        <v>-390.73</v>
      </c>
      <c r="L3377" s="13">
        <v>1.1499999999999999</v>
      </c>
      <c r="M3377" s="13"/>
      <c r="N3377" s="17">
        <f t="shared" si="111"/>
        <v>6346.8499999999995</v>
      </c>
      <c r="O3377" s="17">
        <f t="shared" si="111"/>
        <v>0</v>
      </c>
      <c r="P3377" s="17">
        <f t="shared" si="112"/>
        <v>6346.8499999999995</v>
      </c>
      <c r="Q3377" t="str">
        <f>A3377&amp;"-"&amp;B3377&amp;"-"&amp;D3377</f>
        <v>AGUSTUS-CVA-L7</v>
      </c>
    </row>
    <row r="3378" spans="1:17" x14ac:dyDescent="0.25">
      <c r="A3378" t="s">
        <v>398</v>
      </c>
      <c r="B3378" s="13" t="s">
        <v>23</v>
      </c>
      <c r="C3378" s="13" t="s">
        <v>201</v>
      </c>
      <c r="D3378" s="14" t="s">
        <v>198</v>
      </c>
      <c r="E3378" s="13" t="s">
        <v>191</v>
      </c>
      <c r="F3378" s="13" t="s">
        <v>1155</v>
      </c>
      <c r="G3378" s="13">
        <v>0.33</v>
      </c>
      <c r="H3378" s="15">
        <v>5559</v>
      </c>
      <c r="I3378" s="16">
        <v>1834.47</v>
      </c>
      <c r="J3378" s="16">
        <v>2212</v>
      </c>
      <c r="K3378" s="16">
        <v>-377.52999999999992</v>
      </c>
      <c r="L3378" s="13">
        <v>1.1499999999999999</v>
      </c>
      <c r="M3378" s="13"/>
      <c r="N3378" s="17">
        <f t="shared" si="111"/>
        <v>6392.8499999999995</v>
      </c>
      <c r="O3378" s="17">
        <f t="shared" si="111"/>
        <v>0</v>
      </c>
      <c r="P3378" s="17">
        <f t="shared" si="112"/>
        <v>6392.8499999999995</v>
      </c>
      <c r="Q3378" t="str">
        <f>A3378&amp;"-"&amp;B3378&amp;"-"&amp;D3378</f>
        <v>AGUSTUS-CVA-L8</v>
      </c>
    </row>
    <row r="3379" spans="1:17" x14ac:dyDescent="0.25">
      <c r="A3379" t="s">
        <v>398</v>
      </c>
      <c r="B3379" s="13" t="s">
        <v>23</v>
      </c>
      <c r="C3379" s="13" t="s">
        <v>201</v>
      </c>
      <c r="D3379" s="14" t="s">
        <v>199</v>
      </c>
      <c r="E3379" s="13" t="s">
        <v>191</v>
      </c>
      <c r="F3379" s="13" t="s">
        <v>1310</v>
      </c>
      <c r="G3379" s="13">
        <v>0.39</v>
      </c>
      <c r="H3379" s="15">
        <v>14514</v>
      </c>
      <c r="I3379" s="16">
        <v>5660.4600000000009</v>
      </c>
      <c r="J3379" s="16">
        <v>6320</v>
      </c>
      <c r="K3379" s="16">
        <v>-659.54</v>
      </c>
      <c r="L3379" s="13">
        <v>0.98</v>
      </c>
      <c r="M3379" s="13"/>
      <c r="N3379" s="17">
        <f t="shared" ref="N3379:O3440" si="113">$H3379*L3379</f>
        <v>14223.72</v>
      </c>
      <c r="O3379" s="17">
        <f t="shared" si="113"/>
        <v>0</v>
      </c>
      <c r="P3379" s="17">
        <f t="shared" si="112"/>
        <v>14223.72</v>
      </c>
      <c r="Q3379" t="str">
        <f>A3379&amp;"-"&amp;B3379&amp;"-"&amp;D3379</f>
        <v>AGUSTUS-CVA-L9</v>
      </c>
    </row>
    <row r="3380" spans="1:17" x14ac:dyDescent="0.25">
      <c r="A3380" t="s">
        <v>398</v>
      </c>
      <c r="B3380" s="13" t="s">
        <v>23</v>
      </c>
      <c r="C3380" s="13" t="s">
        <v>201</v>
      </c>
      <c r="D3380" s="14" t="s">
        <v>199</v>
      </c>
      <c r="E3380" s="13" t="s">
        <v>191</v>
      </c>
      <c r="F3380" s="13" t="s">
        <v>1150</v>
      </c>
      <c r="G3380" s="13">
        <v>0.48</v>
      </c>
      <c r="H3380" s="15">
        <v>942</v>
      </c>
      <c r="I3380" s="16">
        <v>452.16</v>
      </c>
      <c r="J3380" s="16">
        <v>395</v>
      </c>
      <c r="K3380" s="16">
        <v>57.160000000000025</v>
      </c>
      <c r="L3380" s="13">
        <v>1.03</v>
      </c>
      <c r="M3380" s="13"/>
      <c r="N3380" s="17">
        <f t="shared" si="113"/>
        <v>970.26</v>
      </c>
      <c r="O3380" s="17">
        <f t="shared" si="113"/>
        <v>0</v>
      </c>
      <c r="P3380" s="17">
        <f t="shared" si="112"/>
        <v>970.26</v>
      </c>
      <c r="Q3380" t="str">
        <f>A3380&amp;"-"&amp;B3380&amp;"-"&amp;D3380</f>
        <v>AGUSTUS-CVA-L9</v>
      </c>
    </row>
    <row r="3381" spans="1:17" x14ac:dyDescent="0.25">
      <c r="A3381" t="s">
        <v>398</v>
      </c>
      <c r="B3381" s="13" t="s">
        <v>23</v>
      </c>
      <c r="C3381" s="13" t="s">
        <v>201</v>
      </c>
      <c r="D3381" s="14" t="s">
        <v>199</v>
      </c>
      <c r="E3381" s="13" t="s">
        <v>191</v>
      </c>
      <c r="F3381" s="13" t="s">
        <v>1155</v>
      </c>
      <c r="G3381" s="13">
        <v>0.33</v>
      </c>
      <c r="H3381" s="15">
        <v>7924</v>
      </c>
      <c r="I3381" s="16">
        <v>2614.92</v>
      </c>
      <c r="J3381" s="16">
        <v>3795.7004247661216</v>
      </c>
      <c r="K3381" s="16">
        <v>-1180.7804247661215</v>
      </c>
      <c r="L3381" s="13">
        <v>1.1499999999999999</v>
      </c>
      <c r="M3381" s="13"/>
      <c r="N3381" s="17">
        <f t="shared" si="113"/>
        <v>9112.5999999999985</v>
      </c>
      <c r="O3381" s="17">
        <f t="shared" si="113"/>
        <v>0</v>
      </c>
      <c r="P3381" s="17">
        <f t="shared" si="112"/>
        <v>9112.5999999999985</v>
      </c>
      <c r="Q3381" t="str">
        <f>A3381&amp;"-"&amp;B3381&amp;"-"&amp;D3381</f>
        <v>AGUSTUS-CVA-L9</v>
      </c>
    </row>
    <row r="3382" spans="1:17" x14ac:dyDescent="0.25">
      <c r="A3382" t="s">
        <v>398</v>
      </c>
      <c r="B3382" s="13" t="s">
        <v>23</v>
      </c>
      <c r="C3382" s="13" t="s">
        <v>201</v>
      </c>
      <c r="D3382" s="14" t="s">
        <v>199</v>
      </c>
      <c r="E3382" s="13" t="s">
        <v>191</v>
      </c>
      <c r="F3382" s="13" t="s">
        <v>1156</v>
      </c>
      <c r="G3382" s="13">
        <v>0.33</v>
      </c>
      <c r="H3382" s="15">
        <v>3014</v>
      </c>
      <c r="I3382" s="16">
        <v>994.62000000000012</v>
      </c>
      <c r="J3382" s="16">
        <v>1002.9839999999999</v>
      </c>
      <c r="K3382" s="16">
        <v>-8.3639999999999191</v>
      </c>
      <c r="L3382" s="13">
        <v>1.1000000000000001</v>
      </c>
      <c r="M3382" s="13"/>
      <c r="N3382" s="17">
        <f t="shared" si="113"/>
        <v>3315.4</v>
      </c>
      <c r="O3382" s="17">
        <f t="shared" si="113"/>
        <v>0</v>
      </c>
      <c r="P3382" s="17">
        <f t="shared" si="112"/>
        <v>3315.4</v>
      </c>
      <c r="Q3382" t="str">
        <f>A3382&amp;"-"&amp;B3382&amp;"-"&amp;D3382</f>
        <v>AGUSTUS-CVA-L9</v>
      </c>
    </row>
    <row r="3383" spans="1:17" x14ac:dyDescent="0.25">
      <c r="A3383" t="s">
        <v>398</v>
      </c>
      <c r="B3383" s="13" t="s">
        <v>23</v>
      </c>
      <c r="C3383" s="13" t="s">
        <v>201</v>
      </c>
      <c r="D3383" s="14" t="s">
        <v>199</v>
      </c>
      <c r="E3383" s="13" t="s">
        <v>191</v>
      </c>
      <c r="F3383" s="13" t="s">
        <v>1311</v>
      </c>
      <c r="G3383" s="13">
        <v>0.4</v>
      </c>
      <c r="H3383" s="15">
        <v>7450</v>
      </c>
      <c r="I3383" s="16">
        <v>2980</v>
      </c>
      <c r="J3383" s="16">
        <v>2232.3155752338785</v>
      </c>
      <c r="K3383" s="16">
        <v>747.68442476612154</v>
      </c>
      <c r="L3383" s="13">
        <v>1.1000000000000001</v>
      </c>
      <c r="M3383" s="13"/>
      <c r="N3383" s="17">
        <f t="shared" si="113"/>
        <v>8195</v>
      </c>
      <c r="O3383" s="17">
        <f t="shared" si="113"/>
        <v>0</v>
      </c>
      <c r="P3383" s="17">
        <f t="shared" si="112"/>
        <v>8195</v>
      </c>
      <c r="Q3383" t="str">
        <f>A3383&amp;"-"&amp;B3383&amp;"-"&amp;D3383</f>
        <v>AGUSTUS-CVA-L9</v>
      </c>
    </row>
    <row r="3384" spans="1:17" x14ac:dyDescent="0.25">
      <c r="A3384" t="s">
        <v>398</v>
      </c>
      <c r="B3384" s="13" t="s">
        <v>24</v>
      </c>
      <c r="C3384" s="13" t="s">
        <v>226</v>
      </c>
      <c r="D3384" s="14" t="s">
        <v>219</v>
      </c>
      <c r="E3384" s="13" t="s">
        <v>61</v>
      </c>
      <c r="F3384" s="13" t="s">
        <v>1316</v>
      </c>
      <c r="G3384" s="13">
        <v>0.68</v>
      </c>
      <c r="H3384" s="15">
        <v>2608</v>
      </c>
      <c r="I3384" s="16">
        <v>1773.4400000000003</v>
      </c>
      <c r="J3384" s="16">
        <v>1453.04882159881</v>
      </c>
      <c r="K3384" s="16">
        <v>320.39117840118996</v>
      </c>
      <c r="L3384" s="13">
        <v>1.82</v>
      </c>
      <c r="M3384" s="13"/>
      <c r="N3384" s="17">
        <f t="shared" si="113"/>
        <v>4746.5600000000004</v>
      </c>
      <c r="O3384" s="17">
        <f t="shared" si="113"/>
        <v>0</v>
      </c>
      <c r="P3384" s="17">
        <f t="shared" si="112"/>
        <v>4746.5600000000004</v>
      </c>
      <c r="Q3384" t="str">
        <f>A3384&amp;"-"&amp;B3384&amp;"-"&amp;D3384</f>
        <v>AGUSTUS-KLB-L1A</v>
      </c>
    </row>
    <row r="3385" spans="1:17" x14ac:dyDescent="0.25">
      <c r="A3385" t="s">
        <v>398</v>
      </c>
      <c r="B3385" s="13" t="s">
        <v>24</v>
      </c>
      <c r="C3385" s="13" t="s">
        <v>226</v>
      </c>
      <c r="D3385" s="14" t="s">
        <v>219</v>
      </c>
      <c r="E3385" s="13" t="s">
        <v>61</v>
      </c>
      <c r="F3385" s="13" t="s">
        <v>1317</v>
      </c>
      <c r="G3385" s="13">
        <v>0.66</v>
      </c>
      <c r="H3385" s="15">
        <v>456</v>
      </c>
      <c r="I3385" s="16">
        <v>300.96000000000004</v>
      </c>
      <c r="J3385" s="16">
        <v>391.23866930863034</v>
      </c>
      <c r="K3385" s="16">
        <v>-90.278669308630356</v>
      </c>
      <c r="L3385" s="13">
        <v>1.97</v>
      </c>
      <c r="M3385" s="13"/>
      <c r="N3385" s="17">
        <f t="shared" si="113"/>
        <v>898.31999999999994</v>
      </c>
      <c r="O3385" s="17">
        <f t="shared" si="113"/>
        <v>0</v>
      </c>
      <c r="P3385" s="17">
        <f t="shared" si="112"/>
        <v>898.31999999999994</v>
      </c>
      <c r="Q3385" t="str">
        <f>A3385&amp;"-"&amp;B3385&amp;"-"&amp;D3385</f>
        <v>AGUSTUS-KLB-L1A</v>
      </c>
    </row>
    <row r="3386" spans="1:17" x14ac:dyDescent="0.25">
      <c r="A3386" t="s">
        <v>398</v>
      </c>
      <c r="B3386" s="13" t="s">
        <v>24</v>
      </c>
      <c r="C3386" s="13" t="s">
        <v>226</v>
      </c>
      <c r="D3386" s="14" t="s">
        <v>219</v>
      </c>
      <c r="E3386" s="13" t="s">
        <v>61</v>
      </c>
      <c r="F3386" s="13" t="s">
        <v>1159</v>
      </c>
      <c r="G3386" s="13">
        <v>0.8</v>
      </c>
      <c r="H3386" s="15">
        <v>1280</v>
      </c>
      <c r="I3386" s="16">
        <v>1024</v>
      </c>
      <c r="J3386" s="16">
        <v>579.67486360506382</v>
      </c>
      <c r="K3386" s="16">
        <v>444.32513639493618</v>
      </c>
      <c r="L3386" s="13">
        <v>2.1</v>
      </c>
      <c r="M3386" s="13"/>
      <c r="N3386" s="17">
        <f t="shared" si="113"/>
        <v>2688</v>
      </c>
      <c r="O3386" s="17">
        <f t="shared" si="113"/>
        <v>0</v>
      </c>
      <c r="P3386" s="17">
        <f t="shared" si="112"/>
        <v>2688</v>
      </c>
      <c r="Q3386" t="str">
        <f>A3386&amp;"-"&amp;B3386&amp;"-"&amp;D3386</f>
        <v>AGUSTUS-KLB-L1A</v>
      </c>
    </row>
    <row r="3387" spans="1:17" x14ac:dyDescent="0.25">
      <c r="A3387" t="s">
        <v>398</v>
      </c>
      <c r="B3387" s="13" t="s">
        <v>24</v>
      </c>
      <c r="C3387" s="13" t="s">
        <v>226</v>
      </c>
      <c r="D3387" s="14" t="s">
        <v>219</v>
      </c>
      <c r="E3387" s="13" t="s">
        <v>61</v>
      </c>
      <c r="F3387" s="13" t="s">
        <v>1318</v>
      </c>
      <c r="G3387" s="13">
        <v>0.68</v>
      </c>
      <c r="H3387" s="15">
        <v>2250</v>
      </c>
      <c r="I3387" s="16">
        <v>1530</v>
      </c>
      <c r="J3387" s="16">
        <v>1138.8682795698924</v>
      </c>
      <c r="K3387" s="16">
        <v>391.13172043010758</v>
      </c>
      <c r="L3387" s="13">
        <v>1.82</v>
      </c>
      <c r="M3387" s="13"/>
      <c r="N3387" s="17">
        <f t="shared" si="113"/>
        <v>4095</v>
      </c>
      <c r="O3387" s="17">
        <f t="shared" si="113"/>
        <v>0</v>
      </c>
      <c r="P3387" s="17">
        <f t="shared" si="112"/>
        <v>4095</v>
      </c>
      <c r="Q3387" t="str">
        <f>A3387&amp;"-"&amp;B3387&amp;"-"&amp;D3387</f>
        <v>AGUSTUS-KLB-L1A</v>
      </c>
    </row>
    <row r="3388" spans="1:17" x14ac:dyDescent="0.25">
      <c r="A3388" t="s">
        <v>398</v>
      </c>
      <c r="B3388" s="13" t="s">
        <v>24</v>
      </c>
      <c r="C3388" s="13" t="s">
        <v>226</v>
      </c>
      <c r="D3388" s="14" t="s">
        <v>219</v>
      </c>
      <c r="E3388" s="13" t="s">
        <v>61</v>
      </c>
      <c r="F3388" s="13" t="s">
        <v>1319</v>
      </c>
      <c r="G3388" s="13">
        <v>0.66</v>
      </c>
      <c r="H3388" s="15">
        <v>145</v>
      </c>
      <c r="I3388" s="16">
        <v>95.7</v>
      </c>
      <c r="J3388" s="16">
        <v>74.030555555555566</v>
      </c>
      <c r="K3388" s="16">
        <v>21.669444444444437</v>
      </c>
      <c r="L3388" s="13">
        <v>1.97</v>
      </c>
      <c r="M3388" s="13"/>
      <c r="N3388" s="17">
        <f t="shared" si="113"/>
        <v>285.64999999999998</v>
      </c>
      <c r="O3388" s="17">
        <f t="shared" si="113"/>
        <v>0</v>
      </c>
      <c r="P3388" s="17">
        <f t="shared" si="112"/>
        <v>285.64999999999998</v>
      </c>
      <c r="Q3388" t="str">
        <f>A3388&amp;"-"&amp;B3388&amp;"-"&amp;D3388</f>
        <v>AGUSTUS-KLB-L1A</v>
      </c>
    </row>
    <row r="3389" spans="1:17" x14ac:dyDescent="0.25">
      <c r="A3389" t="s">
        <v>398</v>
      </c>
      <c r="B3389" s="13" t="s">
        <v>24</v>
      </c>
      <c r="C3389" s="13" t="s">
        <v>226</v>
      </c>
      <c r="D3389" s="14" t="s">
        <v>219</v>
      </c>
      <c r="E3389" s="13" t="s">
        <v>61</v>
      </c>
      <c r="F3389" s="13" t="s">
        <v>1168</v>
      </c>
      <c r="G3389" s="13">
        <v>0.67999999999999994</v>
      </c>
      <c r="H3389" s="15">
        <v>8703</v>
      </c>
      <c r="I3389" s="16">
        <v>5918.0399999999991</v>
      </c>
      <c r="J3389" s="16">
        <v>4309.9991863048472</v>
      </c>
      <c r="K3389" s="16">
        <v>1608.0408136951523</v>
      </c>
      <c r="L3389" s="13">
        <v>1.82</v>
      </c>
      <c r="M3389" s="13"/>
      <c r="N3389" s="17">
        <f t="shared" si="113"/>
        <v>15839.460000000001</v>
      </c>
      <c r="O3389" s="17">
        <f t="shared" si="113"/>
        <v>0</v>
      </c>
      <c r="P3389" s="17">
        <f t="shared" si="112"/>
        <v>15839.460000000001</v>
      </c>
      <c r="Q3389" t="str">
        <f>A3389&amp;"-"&amp;B3389&amp;"-"&amp;D3389</f>
        <v>AGUSTUS-KLB-L1A</v>
      </c>
    </row>
    <row r="3390" spans="1:17" x14ac:dyDescent="0.25">
      <c r="A3390" t="s">
        <v>398</v>
      </c>
      <c r="B3390" s="13" t="s">
        <v>24</v>
      </c>
      <c r="C3390" s="13" t="s">
        <v>226</v>
      </c>
      <c r="D3390" s="14" t="s">
        <v>219</v>
      </c>
      <c r="E3390" s="13" t="s">
        <v>61</v>
      </c>
      <c r="F3390" s="13" t="s">
        <v>1320</v>
      </c>
      <c r="G3390" s="13">
        <v>0.68</v>
      </c>
      <c r="H3390" s="15">
        <v>9170</v>
      </c>
      <c r="I3390" s="16">
        <v>6235.6</v>
      </c>
      <c r="J3390" s="16">
        <v>3612.9712389380529</v>
      </c>
      <c r="K3390" s="16">
        <v>2622.6287610619474</v>
      </c>
      <c r="L3390" s="13">
        <v>1.82</v>
      </c>
      <c r="M3390" s="13"/>
      <c r="N3390" s="17">
        <f t="shared" si="113"/>
        <v>16689.400000000001</v>
      </c>
      <c r="O3390" s="17">
        <f t="shared" si="113"/>
        <v>0</v>
      </c>
      <c r="P3390" s="17">
        <f t="shared" si="112"/>
        <v>16689.400000000001</v>
      </c>
      <c r="Q3390" t="str">
        <f>A3390&amp;"-"&amp;B3390&amp;"-"&amp;D3390</f>
        <v>AGUSTUS-KLB-L1A</v>
      </c>
    </row>
    <row r="3391" spans="1:17" x14ac:dyDescent="0.25">
      <c r="A3391" t="s">
        <v>398</v>
      </c>
      <c r="B3391" s="13" t="s">
        <v>24</v>
      </c>
      <c r="C3391" s="13" t="s">
        <v>226</v>
      </c>
      <c r="D3391" s="14" t="s">
        <v>219</v>
      </c>
      <c r="E3391" s="13" t="s">
        <v>61</v>
      </c>
      <c r="F3391" s="13" t="s">
        <v>1321</v>
      </c>
      <c r="G3391" s="13">
        <v>0.80000000000000016</v>
      </c>
      <c r="H3391" s="15">
        <v>4190</v>
      </c>
      <c r="I3391" s="16">
        <v>3352</v>
      </c>
      <c r="J3391" s="16">
        <v>1983.5017596302641</v>
      </c>
      <c r="K3391" s="16">
        <v>1368.4982403697359</v>
      </c>
      <c r="L3391" s="13">
        <v>2.1</v>
      </c>
      <c r="M3391" s="13"/>
      <c r="N3391" s="17">
        <f t="shared" si="113"/>
        <v>8799</v>
      </c>
      <c r="O3391" s="17">
        <f t="shared" si="113"/>
        <v>0</v>
      </c>
      <c r="P3391" s="17">
        <f t="shared" si="112"/>
        <v>8799</v>
      </c>
      <c r="Q3391" t="str">
        <f>A3391&amp;"-"&amp;B3391&amp;"-"&amp;D3391</f>
        <v>AGUSTUS-KLB-L1A</v>
      </c>
    </row>
    <row r="3392" spans="1:17" x14ac:dyDescent="0.25">
      <c r="A3392" t="s">
        <v>398</v>
      </c>
      <c r="B3392" s="13" t="s">
        <v>24</v>
      </c>
      <c r="C3392" s="13" t="s">
        <v>226</v>
      </c>
      <c r="D3392" s="14" t="s">
        <v>219</v>
      </c>
      <c r="E3392" s="13" t="s">
        <v>61</v>
      </c>
      <c r="F3392" s="13" t="s">
        <v>1322</v>
      </c>
      <c r="G3392" s="13">
        <v>0.80000000000000016</v>
      </c>
      <c r="H3392" s="15">
        <v>410</v>
      </c>
      <c r="I3392" s="16">
        <v>328</v>
      </c>
      <c r="J3392" s="16">
        <v>198.81853214692413</v>
      </c>
      <c r="K3392" s="16">
        <v>129.1814678530759</v>
      </c>
      <c r="L3392" s="13">
        <v>2.2599999999999998</v>
      </c>
      <c r="M3392" s="13"/>
      <c r="N3392" s="17">
        <f t="shared" si="113"/>
        <v>926.59999999999991</v>
      </c>
      <c r="O3392" s="17">
        <f t="shared" si="113"/>
        <v>0</v>
      </c>
      <c r="P3392" s="17">
        <f t="shared" si="112"/>
        <v>926.59999999999991</v>
      </c>
      <c r="Q3392" t="str">
        <f>A3392&amp;"-"&amp;B3392&amp;"-"&amp;D3392</f>
        <v>AGUSTUS-KLB-L1A</v>
      </c>
    </row>
    <row r="3393" spans="1:17" x14ac:dyDescent="0.25">
      <c r="A3393" t="s">
        <v>398</v>
      </c>
      <c r="B3393" s="13" t="s">
        <v>24</v>
      </c>
      <c r="C3393" s="13" t="s">
        <v>226</v>
      </c>
      <c r="D3393" s="14" t="s">
        <v>219</v>
      </c>
      <c r="E3393" s="13" t="s">
        <v>61</v>
      </c>
      <c r="F3393" s="13" t="s">
        <v>1323</v>
      </c>
      <c r="G3393" s="13">
        <v>0.68</v>
      </c>
      <c r="H3393" s="15">
        <v>51</v>
      </c>
      <c r="I3393" s="16">
        <v>34.68</v>
      </c>
      <c r="J3393" s="16">
        <v>22.760079933629068</v>
      </c>
      <c r="K3393" s="16">
        <v>11.919920066370935</v>
      </c>
      <c r="L3393" s="13">
        <v>1.83</v>
      </c>
      <c r="M3393" s="13"/>
      <c r="N3393" s="17">
        <f t="shared" si="113"/>
        <v>93.33</v>
      </c>
      <c r="O3393" s="17">
        <f t="shared" si="113"/>
        <v>0</v>
      </c>
      <c r="P3393" s="17">
        <f t="shared" si="112"/>
        <v>93.33</v>
      </c>
      <c r="Q3393" t="str">
        <f>A3393&amp;"-"&amp;B3393&amp;"-"&amp;D3393</f>
        <v>AGUSTUS-KLB-L1A</v>
      </c>
    </row>
    <row r="3394" spans="1:17" x14ac:dyDescent="0.25">
      <c r="A3394" t="s">
        <v>398</v>
      </c>
      <c r="B3394" s="13" t="s">
        <v>24</v>
      </c>
      <c r="C3394" s="13" t="s">
        <v>226</v>
      </c>
      <c r="D3394" s="14" t="s">
        <v>219</v>
      </c>
      <c r="E3394" s="13" t="s">
        <v>61</v>
      </c>
      <c r="F3394" s="13" t="s">
        <v>1324</v>
      </c>
      <c r="G3394" s="13">
        <v>0.66</v>
      </c>
      <c r="H3394" s="15">
        <v>22</v>
      </c>
      <c r="I3394" s="16">
        <v>14.52</v>
      </c>
      <c r="J3394" s="16">
        <v>9.8856744260489737</v>
      </c>
      <c r="K3394" s="16">
        <v>4.6343255739510258</v>
      </c>
      <c r="L3394" s="13">
        <v>1.98</v>
      </c>
      <c r="M3394" s="13"/>
      <c r="N3394" s="17">
        <f t="shared" si="113"/>
        <v>43.56</v>
      </c>
      <c r="O3394" s="17">
        <f t="shared" si="113"/>
        <v>0</v>
      </c>
      <c r="P3394" s="17">
        <f t="shared" ref="P3394:P3457" si="114">N3394+O3394</f>
        <v>43.56</v>
      </c>
      <c r="Q3394" t="str">
        <f>A3394&amp;"-"&amp;B3394&amp;"-"&amp;D3394</f>
        <v>AGUSTUS-KLB-L1A</v>
      </c>
    </row>
    <row r="3395" spans="1:17" x14ac:dyDescent="0.25">
      <c r="A3395" t="s">
        <v>398</v>
      </c>
      <c r="B3395" s="13" t="s">
        <v>24</v>
      </c>
      <c r="C3395" s="13" t="s">
        <v>226</v>
      </c>
      <c r="D3395" s="14" t="s">
        <v>219</v>
      </c>
      <c r="E3395" s="13" t="s">
        <v>61</v>
      </c>
      <c r="F3395" s="13" t="s">
        <v>1325</v>
      </c>
      <c r="G3395" s="13">
        <v>0.68</v>
      </c>
      <c r="H3395" s="15">
        <v>2007</v>
      </c>
      <c r="I3395" s="16">
        <v>1364.76</v>
      </c>
      <c r="J3395" s="16">
        <v>904.24011358508517</v>
      </c>
      <c r="K3395" s="16">
        <v>460.51988641491471</v>
      </c>
      <c r="L3395" s="13">
        <v>1.83</v>
      </c>
      <c r="M3395" s="13"/>
      <c r="N3395" s="17">
        <f t="shared" si="113"/>
        <v>3672.81</v>
      </c>
      <c r="O3395" s="17">
        <f t="shared" si="113"/>
        <v>0</v>
      </c>
      <c r="P3395" s="17">
        <f t="shared" si="114"/>
        <v>3672.81</v>
      </c>
      <c r="Q3395" t="str">
        <f>A3395&amp;"-"&amp;B3395&amp;"-"&amp;D3395</f>
        <v>AGUSTUS-KLB-L1A</v>
      </c>
    </row>
    <row r="3396" spans="1:17" x14ac:dyDescent="0.25">
      <c r="A3396" t="s">
        <v>398</v>
      </c>
      <c r="B3396" s="13" t="s">
        <v>24</v>
      </c>
      <c r="C3396" s="13" t="s">
        <v>226</v>
      </c>
      <c r="D3396" s="14" t="s">
        <v>219</v>
      </c>
      <c r="E3396" s="13" t="s">
        <v>61</v>
      </c>
      <c r="F3396" s="13" t="s">
        <v>1326</v>
      </c>
      <c r="G3396" s="13">
        <v>0.68</v>
      </c>
      <c r="H3396" s="15">
        <v>2649</v>
      </c>
      <c r="I3396" s="16">
        <v>1801.32</v>
      </c>
      <c r="J3396" s="16">
        <v>1190.16457032528</v>
      </c>
      <c r="K3396" s="16">
        <v>611.15542967472004</v>
      </c>
      <c r="L3396" s="13">
        <v>1.83</v>
      </c>
      <c r="M3396" s="13"/>
      <c r="N3396" s="17">
        <f t="shared" si="113"/>
        <v>4847.67</v>
      </c>
      <c r="O3396" s="17">
        <f t="shared" si="113"/>
        <v>0</v>
      </c>
      <c r="P3396" s="17">
        <f t="shared" si="114"/>
        <v>4847.67</v>
      </c>
      <c r="Q3396" t="str">
        <f>A3396&amp;"-"&amp;B3396&amp;"-"&amp;D3396</f>
        <v>AGUSTUS-KLB-L1A</v>
      </c>
    </row>
    <row r="3397" spans="1:17" x14ac:dyDescent="0.25">
      <c r="A3397" t="s">
        <v>398</v>
      </c>
      <c r="B3397" s="13" t="s">
        <v>24</v>
      </c>
      <c r="C3397" s="13" t="s">
        <v>226</v>
      </c>
      <c r="D3397" s="14" t="s">
        <v>219</v>
      </c>
      <c r="E3397" s="13" t="s">
        <v>61</v>
      </c>
      <c r="F3397" s="13" t="s">
        <v>1327</v>
      </c>
      <c r="G3397" s="13">
        <v>0.66</v>
      </c>
      <c r="H3397" s="15">
        <v>303</v>
      </c>
      <c r="I3397" s="16">
        <v>199.98</v>
      </c>
      <c r="J3397" s="16">
        <v>126.66503086556823</v>
      </c>
      <c r="K3397" s="16">
        <v>73.314969134431763</v>
      </c>
      <c r="L3397" s="13">
        <v>1.98</v>
      </c>
      <c r="M3397" s="13"/>
      <c r="N3397" s="17">
        <f t="shared" si="113"/>
        <v>599.93999999999994</v>
      </c>
      <c r="O3397" s="17">
        <f t="shared" si="113"/>
        <v>0</v>
      </c>
      <c r="P3397" s="17">
        <f t="shared" si="114"/>
        <v>599.93999999999994</v>
      </c>
      <c r="Q3397" t="str">
        <f>A3397&amp;"-"&amp;B3397&amp;"-"&amp;D3397</f>
        <v>AGUSTUS-KLB-L1A</v>
      </c>
    </row>
    <row r="3398" spans="1:17" x14ac:dyDescent="0.25">
      <c r="A3398" t="s">
        <v>398</v>
      </c>
      <c r="B3398" s="13" t="s">
        <v>24</v>
      </c>
      <c r="C3398" s="13" t="s">
        <v>226</v>
      </c>
      <c r="D3398" s="14" t="s">
        <v>219</v>
      </c>
      <c r="E3398" s="13" t="s">
        <v>61</v>
      </c>
      <c r="F3398" s="13" t="s">
        <v>1328</v>
      </c>
      <c r="G3398" s="13">
        <v>0.68</v>
      </c>
      <c r="H3398" s="15">
        <v>953</v>
      </c>
      <c r="I3398" s="16">
        <v>648.04</v>
      </c>
      <c r="J3398" s="16">
        <v>501.66203529380476</v>
      </c>
      <c r="K3398" s="16">
        <v>146.37796470619523</v>
      </c>
      <c r="L3398" s="13">
        <v>1.83</v>
      </c>
      <c r="M3398" s="13"/>
      <c r="N3398" s="17">
        <f t="shared" si="113"/>
        <v>1743.99</v>
      </c>
      <c r="O3398" s="17">
        <f t="shared" si="113"/>
        <v>0</v>
      </c>
      <c r="P3398" s="17">
        <f t="shared" si="114"/>
        <v>1743.99</v>
      </c>
      <c r="Q3398" t="str">
        <f>A3398&amp;"-"&amp;B3398&amp;"-"&amp;D3398</f>
        <v>AGUSTUS-KLB-L1A</v>
      </c>
    </row>
    <row r="3399" spans="1:17" x14ac:dyDescent="0.25">
      <c r="A3399" t="s">
        <v>398</v>
      </c>
      <c r="B3399" s="13" t="s">
        <v>24</v>
      </c>
      <c r="C3399" s="13" t="s">
        <v>226</v>
      </c>
      <c r="D3399" s="14" t="s">
        <v>219</v>
      </c>
      <c r="E3399" s="13" t="s">
        <v>61</v>
      </c>
      <c r="F3399" s="13" t="s">
        <v>1167</v>
      </c>
      <c r="G3399" s="13">
        <v>0.65</v>
      </c>
      <c r="H3399" s="15">
        <v>8465</v>
      </c>
      <c r="I3399" s="16">
        <v>5502.25</v>
      </c>
      <c r="J3399" s="16">
        <v>3720.4705889125426</v>
      </c>
      <c r="K3399" s="16">
        <v>1781.7794110874574</v>
      </c>
      <c r="L3399" s="13">
        <v>1.66</v>
      </c>
      <c r="M3399" s="13"/>
      <c r="N3399" s="17">
        <f t="shared" si="113"/>
        <v>14051.9</v>
      </c>
      <c r="O3399" s="17">
        <f t="shared" si="113"/>
        <v>0</v>
      </c>
      <c r="P3399" s="17">
        <f t="shared" si="114"/>
        <v>14051.9</v>
      </c>
      <c r="Q3399" t="str">
        <f>A3399&amp;"-"&amp;B3399&amp;"-"&amp;D3399</f>
        <v>AGUSTUS-KLB-L1A</v>
      </c>
    </row>
    <row r="3400" spans="1:17" x14ac:dyDescent="0.25">
      <c r="A3400" t="s">
        <v>398</v>
      </c>
      <c r="B3400" s="13" t="s">
        <v>24</v>
      </c>
      <c r="C3400" s="13" t="s">
        <v>226</v>
      </c>
      <c r="D3400" s="14" t="s">
        <v>221</v>
      </c>
      <c r="E3400" s="13" t="s">
        <v>61</v>
      </c>
      <c r="F3400" s="13" t="s">
        <v>1316</v>
      </c>
      <c r="G3400" s="13">
        <v>0.68</v>
      </c>
      <c r="H3400" s="15">
        <v>4775</v>
      </c>
      <c r="I3400" s="16">
        <v>3247</v>
      </c>
      <c r="J3400" s="16">
        <v>2135.7220337683102</v>
      </c>
      <c r="K3400" s="16">
        <v>1111.2779662316902</v>
      </c>
      <c r="L3400" s="13">
        <v>1.82</v>
      </c>
      <c r="M3400" s="13"/>
      <c r="N3400" s="17">
        <f t="shared" si="113"/>
        <v>8690.5</v>
      </c>
      <c r="O3400" s="17">
        <f t="shared" si="113"/>
        <v>0</v>
      </c>
      <c r="P3400" s="17">
        <f t="shared" si="114"/>
        <v>8690.5</v>
      </c>
      <c r="Q3400" t="str">
        <f>A3400&amp;"-"&amp;B3400&amp;"-"&amp;D3400</f>
        <v>AGUSTUS-KLB-L1B</v>
      </c>
    </row>
    <row r="3401" spans="1:17" x14ac:dyDescent="0.25">
      <c r="A3401" t="s">
        <v>398</v>
      </c>
      <c r="B3401" s="13" t="s">
        <v>24</v>
      </c>
      <c r="C3401" s="13" t="s">
        <v>226</v>
      </c>
      <c r="D3401" s="14" t="s">
        <v>221</v>
      </c>
      <c r="E3401" s="13" t="s">
        <v>61</v>
      </c>
      <c r="F3401" s="13" t="s">
        <v>1317</v>
      </c>
      <c r="G3401" s="13">
        <v>0.66</v>
      </c>
      <c r="H3401" s="15">
        <v>105</v>
      </c>
      <c r="I3401" s="16">
        <v>69.3</v>
      </c>
      <c r="J3401" s="16">
        <v>47.417690417690416</v>
      </c>
      <c r="K3401" s="16">
        <v>21.882309582309581</v>
      </c>
      <c r="L3401" s="13">
        <v>1.97</v>
      </c>
      <c r="M3401" s="13"/>
      <c r="N3401" s="17">
        <f t="shared" si="113"/>
        <v>206.85</v>
      </c>
      <c r="O3401" s="17">
        <f t="shared" si="113"/>
        <v>0</v>
      </c>
      <c r="P3401" s="17">
        <f t="shared" si="114"/>
        <v>206.85</v>
      </c>
      <c r="Q3401" t="str">
        <f>A3401&amp;"-"&amp;B3401&amp;"-"&amp;D3401</f>
        <v>AGUSTUS-KLB-L1B</v>
      </c>
    </row>
    <row r="3402" spans="1:17" x14ac:dyDescent="0.25">
      <c r="A3402" t="s">
        <v>398</v>
      </c>
      <c r="B3402" s="13" t="s">
        <v>24</v>
      </c>
      <c r="C3402" s="13" t="s">
        <v>226</v>
      </c>
      <c r="D3402" s="14" t="s">
        <v>221</v>
      </c>
      <c r="E3402" s="13" t="s">
        <v>61</v>
      </c>
      <c r="F3402" s="13" t="s">
        <v>1159</v>
      </c>
      <c r="G3402" s="13">
        <v>0.8</v>
      </c>
      <c r="H3402" s="15">
        <v>2003</v>
      </c>
      <c r="I3402" s="16">
        <v>1602.4</v>
      </c>
      <c r="J3402" s="16">
        <v>931.88415930904466</v>
      </c>
      <c r="K3402" s="16">
        <v>670.51584069095532</v>
      </c>
      <c r="L3402" s="13">
        <v>2.1</v>
      </c>
      <c r="M3402" s="13"/>
      <c r="N3402" s="17">
        <f t="shared" si="113"/>
        <v>4206.3</v>
      </c>
      <c r="O3402" s="17">
        <f t="shared" si="113"/>
        <v>0</v>
      </c>
      <c r="P3402" s="17">
        <f t="shared" si="114"/>
        <v>4206.3</v>
      </c>
      <c r="Q3402" t="str">
        <f>A3402&amp;"-"&amp;B3402&amp;"-"&amp;D3402</f>
        <v>AGUSTUS-KLB-L1B</v>
      </c>
    </row>
    <row r="3403" spans="1:17" x14ac:dyDescent="0.25">
      <c r="A3403" t="s">
        <v>398</v>
      </c>
      <c r="B3403" s="13" t="s">
        <v>24</v>
      </c>
      <c r="C3403" s="13" t="s">
        <v>226</v>
      </c>
      <c r="D3403" s="14" t="s">
        <v>221</v>
      </c>
      <c r="E3403" s="13" t="s">
        <v>61</v>
      </c>
      <c r="F3403" s="13" t="s">
        <v>1318</v>
      </c>
      <c r="G3403" s="13">
        <v>0.68</v>
      </c>
      <c r="H3403" s="15">
        <v>2915</v>
      </c>
      <c r="I3403" s="16">
        <v>1982.2</v>
      </c>
      <c r="J3403" s="16">
        <v>1327.8874488780812</v>
      </c>
      <c r="K3403" s="16">
        <v>654.312551121919</v>
      </c>
      <c r="L3403" s="13">
        <v>1.82</v>
      </c>
      <c r="M3403" s="13"/>
      <c r="N3403" s="17">
        <f t="shared" si="113"/>
        <v>5305.3</v>
      </c>
      <c r="O3403" s="17">
        <f t="shared" si="113"/>
        <v>0</v>
      </c>
      <c r="P3403" s="17">
        <f t="shared" si="114"/>
        <v>5305.3</v>
      </c>
      <c r="Q3403" t="str">
        <f>A3403&amp;"-"&amp;B3403&amp;"-"&amp;D3403</f>
        <v>AGUSTUS-KLB-L1B</v>
      </c>
    </row>
    <row r="3404" spans="1:17" x14ac:dyDescent="0.25">
      <c r="A3404" t="s">
        <v>398</v>
      </c>
      <c r="B3404" s="13" t="s">
        <v>24</v>
      </c>
      <c r="C3404" s="13" t="s">
        <v>226</v>
      </c>
      <c r="D3404" s="14" t="s">
        <v>221</v>
      </c>
      <c r="E3404" s="13" t="s">
        <v>61</v>
      </c>
      <c r="F3404" s="13" t="s">
        <v>1319</v>
      </c>
      <c r="G3404" s="13">
        <v>0.66</v>
      </c>
      <c r="H3404" s="15">
        <v>285</v>
      </c>
      <c r="I3404" s="16">
        <v>188.1</v>
      </c>
      <c r="J3404" s="16">
        <v>157.7801204819277</v>
      </c>
      <c r="K3404" s="16">
        <v>30.319879518072298</v>
      </c>
      <c r="L3404" s="13">
        <v>1.97</v>
      </c>
      <c r="M3404" s="13"/>
      <c r="N3404" s="17">
        <f t="shared" si="113"/>
        <v>561.45000000000005</v>
      </c>
      <c r="O3404" s="17">
        <f t="shared" si="113"/>
        <v>0</v>
      </c>
      <c r="P3404" s="17">
        <f t="shared" si="114"/>
        <v>561.45000000000005</v>
      </c>
      <c r="Q3404" t="str">
        <f>A3404&amp;"-"&amp;B3404&amp;"-"&amp;D3404</f>
        <v>AGUSTUS-KLB-L1B</v>
      </c>
    </row>
    <row r="3405" spans="1:17" x14ac:dyDescent="0.25">
      <c r="A3405" t="s">
        <v>398</v>
      </c>
      <c r="B3405" s="13" t="s">
        <v>24</v>
      </c>
      <c r="C3405" s="13" t="s">
        <v>226</v>
      </c>
      <c r="D3405" s="14" t="s">
        <v>221</v>
      </c>
      <c r="E3405" s="13" t="s">
        <v>61</v>
      </c>
      <c r="F3405" s="13" t="s">
        <v>1168</v>
      </c>
      <c r="G3405" s="13">
        <v>0.67999999999999994</v>
      </c>
      <c r="H3405" s="15">
        <v>7750</v>
      </c>
      <c r="I3405" s="16">
        <v>5269.9999999999991</v>
      </c>
      <c r="J3405" s="16">
        <v>3496.4488244705631</v>
      </c>
      <c r="K3405" s="16">
        <v>1773.5511755294363</v>
      </c>
      <c r="L3405" s="13">
        <v>1.82</v>
      </c>
      <c r="M3405" s="13"/>
      <c r="N3405" s="17">
        <f t="shared" si="113"/>
        <v>14105</v>
      </c>
      <c r="O3405" s="17">
        <f t="shared" si="113"/>
        <v>0</v>
      </c>
      <c r="P3405" s="17">
        <f t="shared" si="114"/>
        <v>14105</v>
      </c>
      <c r="Q3405" t="str">
        <f>A3405&amp;"-"&amp;B3405&amp;"-"&amp;D3405</f>
        <v>AGUSTUS-KLB-L1B</v>
      </c>
    </row>
    <row r="3406" spans="1:17" x14ac:dyDescent="0.25">
      <c r="A3406" t="s">
        <v>398</v>
      </c>
      <c r="B3406" s="13" t="s">
        <v>24</v>
      </c>
      <c r="C3406" s="13" t="s">
        <v>226</v>
      </c>
      <c r="D3406" s="14" t="s">
        <v>221</v>
      </c>
      <c r="E3406" s="13" t="s">
        <v>61</v>
      </c>
      <c r="F3406" s="13" t="s">
        <v>1320</v>
      </c>
      <c r="G3406" s="13">
        <v>0.68</v>
      </c>
      <c r="H3406" s="15">
        <v>6690</v>
      </c>
      <c r="I3406" s="16">
        <v>4549.2</v>
      </c>
      <c r="J3406" s="16">
        <v>2806.7496790966229</v>
      </c>
      <c r="K3406" s="16">
        <v>1742.4503209033774</v>
      </c>
      <c r="L3406" s="13">
        <v>1.82</v>
      </c>
      <c r="M3406" s="13"/>
      <c r="N3406" s="17">
        <f t="shared" si="113"/>
        <v>12175.800000000001</v>
      </c>
      <c r="O3406" s="17">
        <f t="shared" si="113"/>
        <v>0</v>
      </c>
      <c r="P3406" s="17">
        <f t="shared" si="114"/>
        <v>12175.800000000001</v>
      </c>
      <c r="Q3406" t="str">
        <f>A3406&amp;"-"&amp;B3406&amp;"-"&amp;D3406</f>
        <v>AGUSTUS-KLB-L1B</v>
      </c>
    </row>
    <row r="3407" spans="1:17" x14ac:dyDescent="0.25">
      <c r="A3407" t="s">
        <v>398</v>
      </c>
      <c r="B3407" s="13" t="s">
        <v>24</v>
      </c>
      <c r="C3407" s="13" t="s">
        <v>226</v>
      </c>
      <c r="D3407" s="14" t="s">
        <v>221</v>
      </c>
      <c r="E3407" s="13" t="s">
        <v>61</v>
      </c>
      <c r="F3407" s="13" t="s">
        <v>1321</v>
      </c>
      <c r="G3407" s="13">
        <v>0.8</v>
      </c>
      <c r="H3407" s="15">
        <v>3894</v>
      </c>
      <c r="I3407" s="16">
        <v>3115.2</v>
      </c>
      <c r="J3407" s="16">
        <v>1711.4628323183786</v>
      </c>
      <c r="K3407" s="16">
        <v>1403.7371676816215</v>
      </c>
      <c r="L3407" s="13">
        <v>2.1</v>
      </c>
      <c r="M3407" s="13"/>
      <c r="N3407" s="17">
        <f t="shared" si="113"/>
        <v>8177.4000000000005</v>
      </c>
      <c r="O3407" s="17">
        <f t="shared" si="113"/>
        <v>0</v>
      </c>
      <c r="P3407" s="17">
        <f t="shared" si="114"/>
        <v>8177.4000000000005</v>
      </c>
      <c r="Q3407" t="str">
        <f>A3407&amp;"-"&amp;B3407&amp;"-"&amp;D3407</f>
        <v>AGUSTUS-KLB-L1B</v>
      </c>
    </row>
    <row r="3408" spans="1:17" x14ac:dyDescent="0.25">
      <c r="A3408" t="s">
        <v>398</v>
      </c>
      <c r="B3408" s="13" t="s">
        <v>24</v>
      </c>
      <c r="C3408" s="13" t="s">
        <v>226</v>
      </c>
      <c r="D3408" s="14" t="s">
        <v>221</v>
      </c>
      <c r="E3408" s="13" t="s">
        <v>61</v>
      </c>
      <c r="F3408" s="13" t="s">
        <v>1322</v>
      </c>
      <c r="G3408" s="13">
        <v>0.8</v>
      </c>
      <c r="H3408" s="15">
        <v>703</v>
      </c>
      <c r="I3408" s="16">
        <v>562.4</v>
      </c>
      <c r="J3408" s="16">
        <v>312.91662973557527</v>
      </c>
      <c r="K3408" s="16">
        <v>249.48337026442479</v>
      </c>
      <c r="L3408" s="13">
        <v>2.2599999999999998</v>
      </c>
      <c r="M3408" s="13"/>
      <c r="N3408" s="17">
        <f t="shared" si="113"/>
        <v>1588.7799999999997</v>
      </c>
      <c r="O3408" s="17">
        <f t="shared" si="113"/>
        <v>0</v>
      </c>
      <c r="P3408" s="17">
        <f t="shared" si="114"/>
        <v>1588.7799999999997</v>
      </c>
      <c r="Q3408" t="str">
        <f>A3408&amp;"-"&amp;B3408&amp;"-"&amp;D3408</f>
        <v>AGUSTUS-KLB-L1B</v>
      </c>
    </row>
    <row r="3409" spans="1:17" x14ac:dyDescent="0.25">
      <c r="A3409" t="s">
        <v>398</v>
      </c>
      <c r="B3409" s="13" t="s">
        <v>24</v>
      </c>
      <c r="C3409" s="13" t="s">
        <v>226</v>
      </c>
      <c r="D3409" s="14" t="s">
        <v>221</v>
      </c>
      <c r="E3409" s="13" t="s">
        <v>61</v>
      </c>
      <c r="F3409" s="13" t="s">
        <v>1323</v>
      </c>
      <c r="G3409" s="13">
        <v>0.68</v>
      </c>
      <c r="H3409" s="15">
        <v>2010</v>
      </c>
      <c r="I3409" s="16">
        <v>1366.8000000000002</v>
      </c>
      <c r="J3409" s="16">
        <v>840.68128078817733</v>
      </c>
      <c r="K3409" s="16">
        <v>526.11871921182274</v>
      </c>
      <c r="L3409" s="13">
        <v>1.83</v>
      </c>
      <c r="M3409" s="13"/>
      <c r="N3409" s="17">
        <f t="shared" si="113"/>
        <v>3678.3</v>
      </c>
      <c r="O3409" s="17">
        <f t="shared" si="113"/>
        <v>0</v>
      </c>
      <c r="P3409" s="17">
        <f t="shared" si="114"/>
        <v>3678.3</v>
      </c>
      <c r="Q3409" t="str">
        <f>A3409&amp;"-"&amp;B3409&amp;"-"&amp;D3409</f>
        <v>AGUSTUS-KLB-L1B</v>
      </c>
    </row>
    <row r="3410" spans="1:17" x14ac:dyDescent="0.25">
      <c r="A3410" t="s">
        <v>398</v>
      </c>
      <c r="B3410" s="13" t="s">
        <v>24</v>
      </c>
      <c r="C3410" s="13" t="s">
        <v>226</v>
      </c>
      <c r="D3410" s="14" t="s">
        <v>221</v>
      </c>
      <c r="E3410" s="13" t="s">
        <v>61</v>
      </c>
      <c r="F3410" s="13" t="s">
        <v>1324</v>
      </c>
      <c r="G3410" s="13">
        <v>0.66</v>
      </c>
      <c r="H3410" s="15">
        <v>220</v>
      </c>
      <c r="I3410" s="16">
        <v>145.19999999999999</v>
      </c>
      <c r="J3410" s="16">
        <v>91.9</v>
      </c>
      <c r="K3410" s="16">
        <v>53.299999999999983</v>
      </c>
      <c r="L3410" s="13">
        <v>1.98</v>
      </c>
      <c r="M3410" s="13"/>
      <c r="N3410" s="17">
        <f t="shared" si="113"/>
        <v>435.6</v>
      </c>
      <c r="O3410" s="17">
        <f t="shared" si="113"/>
        <v>0</v>
      </c>
      <c r="P3410" s="17">
        <f t="shared" si="114"/>
        <v>435.6</v>
      </c>
      <c r="Q3410" t="str">
        <f>A3410&amp;"-"&amp;B3410&amp;"-"&amp;D3410</f>
        <v>AGUSTUS-KLB-L1B</v>
      </c>
    </row>
    <row r="3411" spans="1:17" x14ac:dyDescent="0.25">
      <c r="A3411" t="s">
        <v>398</v>
      </c>
      <c r="B3411" s="13" t="s">
        <v>24</v>
      </c>
      <c r="C3411" s="13" t="s">
        <v>226</v>
      </c>
      <c r="D3411" s="14" t="s">
        <v>221</v>
      </c>
      <c r="E3411" s="13" t="s">
        <v>61</v>
      </c>
      <c r="F3411" s="13" t="s">
        <v>1325</v>
      </c>
      <c r="G3411" s="13">
        <v>0.68</v>
      </c>
      <c r="H3411" s="15">
        <v>1485</v>
      </c>
      <c r="I3411" s="16">
        <v>1009.8</v>
      </c>
      <c r="J3411" s="16">
        <v>672.27339901477842</v>
      </c>
      <c r="K3411" s="16">
        <v>337.52660098522153</v>
      </c>
      <c r="L3411" s="13">
        <v>1.83</v>
      </c>
      <c r="M3411" s="13"/>
      <c r="N3411" s="17">
        <f t="shared" si="113"/>
        <v>2717.55</v>
      </c>
      <c r="O3411" s="17">
        <f t="shared" si="113"/>
        <v>0</v>
      </c>
      <c r="P3411" s="17">
        <f t="shared" si="114"/>
        <v>2717.55</v>
      </c>
      <c r="Q3411" t="str">
        <f>A3411&amp;"-"&amp;B3411&amp;"-"&amp;D3411</f>
        <v>AGUSTUS-KLB-L1B</v>
      </c>
    </row>
    <row r="3412" spans="1:17" x14ac:dyDescent="0.25">
      <c r="A3412" t="s">
        <v>398</v>
      </c>
      <c r="B3412" s="13" t="s">
        <v>24</v>
      </c>
      <c r="C3412" s="13" t="s">
        <v>226</v>
      </c>
      <c r="D3412" s="14" t="s">
        <v>221</v>
      </c>
      <c r="E3412" s="13" t="s">
        <v>61</v>
      </c>
      <c r="F3412" s="13" t="s">
        <v>1326</v>
      </c>
      <c r="G3412" s="13">
        <v>0.68</v>
      </c>
      <c r="H3412" s="15">
        <v>128</v>
      </c>
      <c r="I3412" s="16">
        <v>87.039999999999992</v>
      </c>
      <c r="J3412" s="16">
        <v>54.519499454233589</v>
      </c>
      <c r="K3412" s="16">
        <v>32.52050054576641</v>
      </c>
      <c r="L3412" s="13">
        <v>1.83</v>
      </c>
      <c r="M3412" s="13"/>
      <c r="N3412" s="17">
        <f t="shared" si="113"/>
        <v>234.24</v>
      </c>
      <c r="O3412" s="17">
        <f t="shared" si="113"/>
        <v>0</v>
      </c>
      <c r="P3412" s="17">
        <f t="shared" si="114"/>
        <v>234.24</v>
      </c>
      <c r="Q3412" t="str">
        <f>A3412&amp;"-"&amp;B3412&amp;"-"&amp;D3412</f>
        <v>AGUSTUS-KLB-L1B</v>
      </c>
    </row>
    <row r="3413" spans="1:17" x14ac:dyDescent="0.25">
      <c r="A3413" t="s">
        <v>398</v>
      </c>
      <c r="B3413" s="13" t="s">
        <v>24</v>
      </c>
      <c r="C3413" s="13" t="s">
        <v>226</v>
      </c>
      <c r="D3413" s="14" t="s">
        <v>221</v>
      </c>
      <c r="E3413" s="13" t="s">
        <v>61</v>
      </c>
      <c r="F3413" s="13" t="s">
        <v>1327</v>
      </c>
      <c r="G3413" s="13">
        <v>0.66</v>
      </c>
      <c r="H3413" s="15">
        <v>64</v>
      </c>
      <c r="I3413" s="16">
        <v>42.24</v>
      </c>
      <c r="J3413" s="16">
        <v>27.528442226726959</v>
      </c>
      <c r="K3413" s="16">
        <v>14.711557773273041</v>
      </c>
      <c r="L3413" s="13">
        <v>1.98</v>
      </c>
      <c r="M3413" s="13"/>
      <c r="N3413" s="17">
        <f t="shared" si="113"/>
        <v>126.72</v>
      </c>
      <c r="O3413" s="17">
        <f t="shared" si="113"/>
        <v>0</v>
      </c>
      <c r="P3413" s="17">
        <f t="shared" si="114"/>
        <v>126.72</v>
      </c>
      <c r="Q3413" t="str">
        <f>A3413&amp;"-"&amp;B3413&amp;"-"&amp;D3413</f>
        <v>AGUSTUS-KLB-L1B</v>
      </c>
    </row>
    <row r="3414" spans="1:17" x14ac:dyDescent="0.25">
      <c r="A3414" t="s">
        <v>398</v>
      </c>
      <c r="B3414" s="13" t="s">
        <v>24</v>
      </c>
      <c r="C3414" s="13" t="s">
        <v>226</v>
      </c>
      <c r="D3414" s="14" t="s">
        <v>221</v>
      </c>
      <c r="E3414" s="13" t="s">
        <v>61</v>
      </c>
      <c r="F3414" s="13" t="s">
        <v>1328</v>
      </c>
      <c r="G3414" s="13">
        <v>0.68</v>
      </c>
      <c r="H3414" s="15">
        <v>708</v>
      </c>
      <c r="I3414" s="16">
        <v>481.44</v>
      </c>
      <c r="J3414" s="16">
        <v>316.1103989433409</v>
      </c>
      <c r="K3414" s="16">
        <v>165.32960105665904</v>
      </c>
      <c r="L3414" s="13">
        <v>1.83</v>
      </c>
      <c r="M3414" s="13"/>
      <c r="N3414" s="17">
        <f t="shared" si="113"/>
        <v>1295.6400000000001</v>
      </c>
      <c r="O3414" s="17">
        <f t="shared" si="113"/>
        <v>0</v>
      </c>
      <c r="P3414" s="17">
        <f t="shared" si="114"/>
        <v>1295.6400000000001</v>
      </c>
      <c r="Q3414" t="str">
        <f>A3414&amp;"-"&amp;B3414&amp;"-"&amp;D3414</f>
        <v>AGUSTUS-KLB-L1B</v>
      </c>
    </row>
    <row r="3415" spans="1:17" x14ac:dyDescent="0.25">
      <c r="A3415" t="s">
        <v>398</v>
      </c>
      <c r="B3415" s="13" t="s">
        <v>24</v>
      </c>
      <c r="C3415" s="13" t="s">
        <v>226</v>
      </c>
      <c r="D3415" s="14" t="s">
        <v>221</v>
      </c>
      <c r="E3415" s="13" t="s">
        <v>61</v>
      </c>
      <c r="F3415" s="13" t="s">
        <v>1167</v>
      </c>
      <c r="G3415" s="13">
        <v>0.65</v>
      </c>
      <c r="H3415" s="15">
        <v>12928</v>
      </c>
      <c r="I3415" s="16">
        <v>8403.2000000000007</v>
      </c>
      <c r="J3415" s="16">
        <v>5286.7175610965496</v>
      </c>
      <c r="K3415" s="16">
        <v>3116.4824389034507</v>
      </c>
      <c r="L3415" s="13">
        <v>1.66</v>
      </c>
      <c r="M3415" s="13"/>
      <c r="N3415" s="17">
        <f t="shared" si="113"/>
        <v>21460.48</v>
      </c>
      <c r="O3415" s="17">
        <f t="shared" si="113"/>
        <v>0</v>
      </c>
      <c r="P3415" s="17">
        <f t="shared" si="114"/>
        <v>21460.48</v>
      </c>
      <c r="Q3415" t="str">
        <f>A3415&amp;"-"&amp;B3415&amp;"-"&amp;D3415</f>
        <v>AGUSTUS-KLB-L1B</v>
      </c>
    </row>
    <row r="3416" spans="1:17" x14ac:dyDescent="0.25">
      <c r="A3416" t="s">
        <v>398</v>
      </c>
      <c r="B3416" s="13" t="s">
        <v>24</v>
      </c>
      <c r="C3416" s="13" t="s">
        <v>226</v>
      </c>
      <c r="D3416" s="14" t="s">
        <v>222</v>
      </c>
      <c r="E3416" s="13" t="s">
        <v>61</v>
      </c>
      <c r="F3416" s="13" t="s">
        <v>1316</v>
      </c>
      <c r="G3416" s="13">
        <v>0.68</v>
      </c>
      <c r="H3416" s="15">
        <v>3920</v>
      </c>
      <c r="I3416" s="16">
        <v>2665.6</v>
      </c>
      <c r="J3416" s="16">
        <v>1589.9746452946526</v>
      </c>
      <c r="K3416" s="16">
        <v>1075.625354705347</v>
      </c>
      <c r="L3416" s="13">
        <v>1.82</v>
      </c>
      <c r="M3416" s="13"/>
      <c r="N3416" s="17">
        <f t="shared" si="113"/>
        <v>7134.4000000000005</v>
      </c>
      <c r="O3416" s="17">
        <f t="shared" si="113"/>
        <v>0</v>
      </c>
      <c r="P3416" s="17">
        <f t="shared" si="114"/>
        <v>7134.4000000000005</v>
      </c>
      <c r="Q3416" t="str">
        <f>A3416&amp;"-"&amp;B3416&amp;"-"&amp;D3416</f>
        <v>AGUSTUS-KLB-L2A</v>
      </c>
    </row>
    <row r="3417" spans="1:17" x14ac:dyDescent="0.25">
      <c r="A3417" t="s">
        <v>398</v>
      </c>
      <c r="B3417" s="13" t="s">
        <v>24</v>
      </c>
      <c r="C3417" s="13" t="s">
        <v>226</v>
      </c>
      <c r="D3417" s="14" t="s">
        <v>222</v>
      </c>
      <c r="E3417" s="13" t="s">
        <v>61</v>
      </c>
      <c r="F3417" s="13" t="s">
        <v>1317</v>
      </c>
      <c r="G3417" s="13">
        <v>0.66</v>
      </c>
      <c r="H3417" s="15">
        <v>420</v>
      </c>
      <c r="I3417" s="16">
        <v>277.20000000000005</v>
      </c>
      <c r="J3417" s="16">
        <v>170.84742753623189</v>
      </c>
      <c r="K3417" s="16">
        <v>106.35257246376811</v>
      </c>
      <c r="L3417" s="13">
        <v>1.97</v>
      </c>
      <c r="M3417" s="13"/>
      <c r="N3417" s="17">
        <f t="shared" si="113"/>
        <v>827.4</v>
      </c>
      <c r="O3417" s="17">
        <f t="shared" si="113"/>
        <v>0</v>
      </c>
      <c r="P3417" s="17">
        <f t="shared" si="114"/>
        <v>827.4</v>
      </c>
      <c r="Q3417" t="str">
        <f>A3417&amp;"-"&amp;B3417&amp;"-"&amp;D3417</f>
        <v>AGUSTUS-KLB-L2A</v>
      </c>
    </row>
    <row r="3418" spans="1:17" x14ac:dyDescent="0.25">
      <c r="A3418" t="s">
        <v>398</v>
      </c>
      <c r="B3418" s="13" t="s">
        <v>24</v>
      </c>
      <c r="C3418" s="13" t="s">
        <v>226</v>
      </c>
      <c r="D3418" s="14" t="s">
        <v>222</v>
      </c>
      <c r="E3418" s="13" t="s">
        <v>61</v>
      </c>
      <c r="F3418" s="13" t="s">
        <v>1329</v>
      </c>
      <c r="G3418" s="13">
        <v>0.68</v>
      </c>
      <c r="H3418" s="15">
        <v>2235</v>
      </c>
      <c r="I3418" s="16">
        <v>1519.8</v>
      </c>
      <c r="J3418" s="16">
        <v>1078.327583856013</v>
      </c>
      <c r="K3418" s="16">
        <v>441.47241614398695</v>
      </c>
      <c r="L3418" s="13">
        <v>1.82</v>
      </c>
      <c r="M3418" s="13"/>
      <c r="N3418" s="17">
        <f t="shared" si="113"/>
        <v>4067.7000000000003</v>
      </c>
      <c r="O3418" s="17">
        <f t="shared" si="113"/>
        <v>0</v>
      </c>
      <c r="P3418" s="17">
        <f t="shared" si="114"/>
        <v>4067.7000000000003</v>
      </c>
      <c r="Q3418" t="str">
        <f>A3418&amp;"-"&amp;B3418&amp;"-"&amp;D3418</f>
        <v>AGUSTUS-KLB-L2A</v>
      </c>
    </row>
    <row r="3419" spans="1:17" x14ac:dyDescent="0.25">
      <c r="A3419" t="s">
        <v>398</v>
      </c>
      <c r="B3419" s="13" t="s">
        <v>24</v>
      </c>
      <c r="C3419" s="13" t="s">
        <v>226</v>
      </c>
      <c r="D3419" s="14" t="s">
        <v>222</v>
      </c>
      <c r="E3419" s="13" t="s">
        <v>61</v>
      </c>
      <c r="F3419" s="13" t="s">
        <v>1330</v>
      </c>
      <c r="G3419" s="13">
        <v>0.66</v>
      </c>
      <c r="H3419" s="15">
        <v>95</v>
      </c>
      <c r="I3419" s="16">
        <v>62.7</v>
      </c>
      <c r="J3419" s="16">
        <v>45.23575129533679</v>
      </c>
      <c r="K3419" s="16">
        <v>17.464248704663213</v>
      </c>
      <c r="L3419" s="13">
        <v>1.97</v>
      </c>
      <c r="M3419" s="13"/>
      <c r="N3419" s="17">
        <f t="shared" si="113"/>
        <v>187.15</v>
      </c>
      <c r="O3419" s="17">
        <f t="shared" si="113"/>
        <v>0</v>
      </c>
      <c r="P3419" s="17">
        <f t="shared" si="114"/>
        <v>187.15</v>
      </c>
      <c r="Q3419" t="str">
        <f>A3419&amp;"-"&amp;B3419&amp;"-"&amp;D3419</f>
        <v>AGUSTUS-KLB-L2A</v>
      </c>
    </row>
    <row r="3420" spans="1:17" x14ac:dyDescent="0.25">
      <c r="A3420" t="s">
        <v>398</v>
      </c>
      <c r="B3420" s="13" t="s">
        <v>24</v>
      </c>
      <c r="C3420" s="13" t="s">
        <v>226</v>
      </c>
      <c r="D3420" s="14" t="s">
        <v>222</v>
      </c>
      <c r="E3420" s="13" t="s">
        <v>61</v>
      </c>
      <c r="F3420" s="13" t="s">
        <v>1318</v>
      </c>
      <c r="G3420" s="13">
        <v>0.68</v>
      </c>
      <c r="H3420" s="15">
        <v>1920</v>
      </c>
      <c r="I3420" s="16">
        <v>1305.5999999999999</v>
      </c>
      <c r="J3420" s="16">
        <v>868.35989306980582</v>
      </c>
      <c r="K3420" s="16">
        <v>437.24010693019414</v>
      </c>
      <c r="L3420" s="13">
        <v>1.82</v>
      </c>
      <c r="M3420" s="13"/>
      <c r="N3420" s="17">
        <f t="shared" si="113"/>
        <v>3494.4</v>
      </c>
      <c r="O3420" s="17">
        <f t="shared" si="113"/>
        <v>0</v>
      </c>
      <c r="P3420" s="17">
        <f t="shared" si="114"/>
        <v>3494.4</v>
      </c>
      <c r="Q3420" t="str">
        <f>A3420&amp;"-"&amp;B3420&amp;"-"&amp;D3420</f>
        <v>AGUSTUS-KLB-L2A</v>
      </c>
    </row>
    <row r="3421" spans="1:17" x14ac:dyDescent="0.25">
      <c r="A3421" t="s">
        <v>398</v>
      </c>
      <c r="B3421" s="13" t="s">
        <v>24</v>
      </c>
      <c r="C3421" s="13" t="s">
        <v>226</v>
      </c>
      <c r="D3421" s="14" t="s">
        <v>222</v>
      </c>
      <c r="E3421" s="13" t="s">
        <v>61</v>
      </c>
      <c r="F3421" s="13" t="s">
        <v>1319</v>
      </c>
      <c r="G3421" s="13">
        <v>0.66</v>
      </c>
      <c r="H3421" s="15">
        <v>150</v>
      </c>
      <c r="I3421" s="16">
        <v>99</v>
      </c>
      <c r="J3421" s="16">
        <v>67.739557739557739</v>
      </c>
      <c r="K3421" s="16">
        <v>31.260442260442261</v>
      </c>
      <c r="L3421" s="13">
        <v>1.97</v>
      </c>
      <c r="M3421" s="13"/>
      <c r="N3421" s="17">
        <f t="shared" si="113"/>
        <v>295.5</v>
      </c>
      <c r="O3421" s="17">
        <f t="shared" si="113"/>
        <v>0</v>
      </c>
      <c r="P3421" s="17">
        <f t="shared" si="114"/>
        <v>295.5</v>
      </c>
      <c r="Q3421" t="str">
        <f>A3421&amp;"-"&amp;B3421&amp;"-"&amp;D3421</f>
        <v>AGUSTUS-KLB-L2A</v>
      </c>
    </row>
    <row r="3422" spans="1:17" x14ac:dyDescent="0.25">
      <c r="A3422" t="s">
        <v>398</v>
      </c>
      <c r="B3422" s="13" t="s">
        <v>24</v>
      </c>
      <c r="C3422" s="13" t="s">
        <v>226</v>
      </c>
      <c r="D3422" s="14" t="s">
        <v>222</v>
      </c>
      <c r="E3422" s="13" t="s">
        <v>61</v>
      </c>
      <c r="F3422" s="13" t="s">
        <v>1331</v>
      </c>
      <c r="G3422" s="13">
        <v>0.68</v>
      </c>
      <c r="H3422" s="15">
        <v>8314</v>
      </c>
      <c r="I3422" s="16">
        <v>5653.52</v>
      </c>
      <c r="J3422" s="16">
        <v>3652.0231651329477</v>
      </c>
      <c r="K3422" s="16">
        <v>2001.4968348670523</v>
      </c>
      <c r="L3422" s="13">
        <v>1.82</v>
      </c>
      <c r="M3422" s="13"/>
      <c r="N3422" s="17">
        <f t="shared" si="113"/>
        <v>15131.480000000001</v>
      </c>
      <c r="O3422" s="17">
        <f t="shared" si="113"/>
        <v>0</v>
      </c>
      <c r="P3422" s="17">
        <f t="shared" si="114"/>
        <v>15131.480000000001</v>
      </c>
      <c r="Q3422" t="str">
        <f>A3422&amp;"-"&amp;B3422&amp;"-"&amp;D3422</f>
        <v>AGUSTUS-KLB-L2A</v>
      </c>
    </row>
    <row r="3423" spans="1:17" x14ac:dyDescent="0.25">
      <c r="A3423" t="s">
        <v>398</v>
      </c>
      <c r="B3423" s="13" t="s">
        <v>24</v>
      </c>
      <c r="C3423" s="13" t="s">
        <v>226</v>
      </c>
      <c r="D3423" s="14" t="s">
        <v>222</v>
      </c>
      <c r="E3423" s="13" t="s">
        <v>61</v>
      </c>
      <c r="F3423" s="13" t="s">
        <v>1168</v>
      </c>
      <c r="G3423" s="13">
        <v>0.68</v>
      </c>
      <c r="H3423" s="15">
        <v>3475</v>
      </c>
      <c r="I3423" s="16">
        <v>2363</v>
      </c>
      <c r="J3423" s="16">
        <v>1573.3147231757616</v>
      </c>
      <c r="K3423" s="16">
        <v>789.68527682423826</v>
      </c>
      <c r="L3423" s="13">
        <v>1.82</v>
      </c>
      <c r="M3423" s="13"/>
      <c r="N3423" s="17">
        <f t="shared" si="113"/>
        <v>6324.5</v>
      </c>
      <c r="O3423" s="17">
        <f t="shared" si="113"/>
        <v>0</v>
      </c>
      <c r="P3423" s="17">
        <f t="shared" si="114"/>
        <v>6324.5</v>
      </c>
      <c r="Q3423" t="str">
        <f>A3423&amp;"-"&amp;B3423&amp;"-"&amp;D3423</f>
        <v>AGUSTUS-KLB-L2A</v>
      </c>
    </row>
    <row r="3424" spans="1:17" x14ac:dyDescent="0.25">
      <c r="A3424" t="s">
        <v>398</v>
      </c>
      <c r="B3424" s="13" t="s">
        <v>24</v>
      </c>
      <c r="C3424" s="13" t="s">
        <v>226</v>
      </c>
      <c r="D3424" s="14" t="s">
        <v>222</v>
      </c>
      <c r="E3424" s="13" t="s">
        <v>61</v>
      </c>
      <c r="F3424" s="13" t="s">
        <v>1320</v>
      </c>
      <c r="G3424" s="13">
        <v>0.68</v>
      </c>
      <c r="H3424" s="15">
        <v>4925</v>
      </c>
      <c r="I3424" s="16">
        <v>3349</v>
      </c>
      <c r="J3424" s="16">
        <v>1993.3572654462243</v>
      </c>
      <c r="K3424" s="16">
        <v>1355.6427345537757</v>
      </c>
      <c r="L3424" s="13">
        <v>1.82</v>
      </c>
      <c r="M3424" s="13"/>
      <c r="N3424" s="17">
        <f t="shared" si="113"/>
        <v>8963.5</v>
      </c>
      <c r="O3424" s="17">
        <f t="shared" si="113"/>
        <v>0</v>
      </c>
      <c r="P3424" s="17">
        <f t="shared" si="114"/>
        <v>8963.5</v>
      </c>
      <c r="Q3424" t="str">
        <f>A3424&amp;"-"&amp;B3424&amp;"-"&amp;D3424</f>
        <v>AGUSTUS-KLB-L2A</v>
      </c>
    </row>
    <row r="3425" spans="1:17" x14ac:dyDescent="0.25">
      <c r="A3425" t="s">
        <v>398</v>
      </c>
      <c r="B3425" s="13" t="s">
        <v>24</v>
      </c>
      <c r="C3425" s="13" t="s">
        <v>226</v>
      </c>
      <c r="D3425" s="14" t="s">
        <v>222</v>
      </c>
      <c r="E3425" s="13" t="s">
        <v>61</v>
      </c>
      <c r="F3425" s="13" t="s">
        <v>1332</v>
      </c>
      <c r="G3425" s="13">
        <v>0.68</v>
      </c>
      <c r="H3425" s="15">
        <v>2727</v>
      </c>
      <c r="I3425" s="16">
        <v>1854.3600000000001</v>
      </c>
      <c r="J3425" s="16">
        <v>1212.178082207261</v>
      </c>
      <c r="K3425" s="16">
        <v>642.18191779273911</v>
      </c>
      <c r="L3425" s="13">
        <v>1.82</v>
      </c>
      <c r="M3425" s="13"/>
      <c r="N3425" s="17">
        <f t="shared" si="113"/>
        <v>4963.1400000000003</v>
      </c>
      <c r="O3425" s="17">
        <f t="shared" si="113"/>
        <v>0</v>
      </c>
      <c r="P3425" s="17">
        <f t="shared" si="114"/>
        <v>4963.1400000000003</v>
      </c>
      <c r="Q3425" t="str">
        <f>A3425&amp;"-"&amp;B3425&amp;"-"&amp;D3425</f>
        <v>AGUSTUS-KLB-L2A</v>
      </c>
    </row>
    <row r="3426" spans="1:17" x14ac:dyDescent="0.25">
      <c r="A3426" t="s">
        <v>398</v>
      </c>
      <c r="B3426" s="13" t="s">
        <v>24</v>
      </c>
      <c r="C3426" s="13" t="s">
        <v>226</v>
      </c>
      <c r="D3426" s="14" t="s">
        <v>222</v>
      </c>
      <c r="E3426" s="13" t="s">
        <v>61</v>
      </c>
      <c r="F3426" s="13" t="s">
        <v>1323</v>
      </c>
      <c r="G3426" s="13">
        <v>0.68</v>
      </c>
      <c r="H3426" s="15">
        <v>1680</v>
      </c>
      <c r="I3426" s="16">
        <v>1142.3999999999999</v>
      </c>
      <c r="J3426" s="16">
        <v>693.71912042254962</v>
      </c>
      <c r="K3426" s="16">
        <v>448.68087957745036</v>
      </c>
      <c r="L3426" s="13">
        <v>1.83</v>
      </c>
      <c r="M3426" s="13"/>
      <c r="N3426" s="17">
        <f t="shared" si="113"/>
        <v>3074.4</v>
      </c>
      <c r="O3426" s="17">
        <f t="shared" si="113"/>
        <v>0</v>
      </c>
      <c r="P3426" s="17">
        <f t="shared" si="114"/>
        <v>3074.4</v>
      </c>
      <c r="Q3426" t="str">
        <f>A3426&amp;"-"&amp;B3426&amp;"-"&amp;D3426</f>
        <v>AGUSTUS-KLB-L2A</v>
      </c>
    </row>
    <row r="3427" spans="1:17" x14ac:dyDescent="0.25">
      <c r="A3427" t="s">
        <v>398</v>
      </c>
      <c r="B3427" s="13" t="s">
        <v>24</v>
      </c>
      <c r="C3427" s="13" t="s">
        <v>226</v>
      </c>
      <c r="D3427" s="14" t="s">
        <v>222</v>
      </c>
      <c r="E3427" s="13" t="s">
        <v>61</v>
      </c>
      <c r="F3427" s="13" t="s">
        <v>1324</v>
      </c>
      <c r="G3427" s="13">
        <v>0.66</v>
      </c>
      <c r="H3427" s="15">
        <v>430</v>
      </c>
      <c r="I3427" s="16">
        <v>283.8</v>
      </c>
      <c r="J3427" s="16">
        <v>182.25624656348643</v>
      </c>
      <c r="K3427" s="16">
        <v>101.54375343651361</v>
      </c>
      <c r="L3427" s="13">
        <v>1.98</v>
      </c>
      <c r="M3427" s="13"/>
      <c r="N3427" s="17">
        <f t="shared" si="113"/>
        <v>851.4</v>
      </c>
      <c r="O3427" s="17">
        <f t="shared" si="113"/>
        <v>0</v>
      </c>
      <c r="P3427" s="17">
        <f t="shared" si="114"/>
        <v>851.4</v>
      </c>
      <c r="Q3427" t="str">
        <f>A3427&amp;"-"&amp;B3427&amp;"-"&amp;D3427</f>
        <v>AGUSTUS-KLB-L2A</v>
      </c>
    </row>
    <row r="3428" spans="1:17" x14ac:dyDescent="0.25">
      <c r="A3428" t="s">
        <v>398</v>
      </c>
      <c r="B3428" s="13" t="s">
        <v>24</v>
      </c>
      <c r="C3428" s="13" t="s">
        <v>226</v>
      </c>
      <c r="D3428" s="14" t="s">
        <v>222</v>
      </c>
      <c r="E3428" s="13" t="s">
        <v>61</v>
      </c>
      <c r="F3428" s="13" t="s">
        <v>1325</v>
      </c>
      <c r="G3428" s="13">
        <v>0.68</v>
      </c>
      <c r="H3428" s="15">
        <v>3360</v>
      </c>
      <c r="I3428" s="16">
        <v>2284.8000000000002</v>
      </c>
      <c r="J3428" s="16">
        <v>1492.4943057537066</v>
      </c>
      <c r="K3428" s="16">
        <v>792.30569424629346</v>
      </c>
      <c r="L3428" s="13">
        <v>1.83</v>
      </c>
      <c r="M3428" s="13"/>
      <c r="N3428" s="17">
        <f t="shared" si="113"/>
        <v>6148.8</v>
      </c>
      <c r="O3428" s="17">
        <f t="shared" si="113"/>
        <v>0</v>
      </c>
      <c r="P3428" s="17">
        <f t="shared" si="114"/>
        <v>6148.8</v>
      </c>
      <c r="Q3428" t="str">
        <f>A3428&amp;"-"&amp;B3428&amp;"-"&amp;D3428</f>
        <v>AGUSTUS-KLB-L2A</v>
      </c>
    </row>
    <row r="3429" spans="1:17" x14ac:dyDescent="0.25">
      <c r="A3429" t="s">
        <v>398</v>
      </c>
      <c r="B3429" s="13" t="s">
        <v>24</v>
      </c>
      <c r="C3429" s="13" t="s">
        <v>226</v>
      </c>
      <c r="D3429" s="14" t="s">
        <v>222</v>
      </c>
      <c r="E3429" s="13" t="s">
        <v>61</v>
      </c>
      <c r="F3429" s="13" t="s">
        <v>1326</v>
      </c>
      <c r="G3429" s="13">
        <v>0.68</v>
      </c>
      <c r="H3429" s="15">
        <v>1805</v>
      </c>
      <c r="I3429" s="16">
        <v>1227.4000000000001</v>
      </c>
      <c r="J3429" s="16">
        <v>776.95316159250592</v>
      </c>
      <c r="K3429" s="16">
        <v>450.44683840749417</v>
      </c>
      <c r="L3429" s="13">
        <v>1.83</v>
      </c>
      <c r="M3429" s="13"/>
      <c r="N3429" s="17">
        <f t="shared" si="113"/>
        <v>3303.15</v>
      </c>
      <c r="O3429" s="17">
        <f t="shared" si="113"/>
        <v>0</v>
      </c>
      <c r="P3429" s="17">
        <f t="shared" si="114"/>
        <v>3303.15</v>
      </c>
      <c r="Q3429" t="str">
        <f>A3429&amp;"-"&amp;B3429&amp;"-"&amp;D3429</f>
        <v>AGUSTUS-KLB-L2A</v>
      </c>
    </row>
    <row r="3430" spans="1:17" x14ac:dyDescent="0.25">
      <c r="A3430" t="s">
        <v>398</v>
      </c>
      <c r="B3430" s="13" t="s">
        <v>24</v>
      </c>
      <c r="C3430" s="13" t="s">
        <v>226</v>
      </c>
      <c r="D3430" s="14" t="s">
        <v>222</v>
      </c>
      <c r="E3430" s="13" t="s">
        <v>61</v>
      </c>
      <c r="F3430" s="13" t="s">
        <v>1327</v>
      </c>
      <c r="G3430" s="13">
        <v>0.66</v>
      </c>
      <c r="H3430" s="15">
        <v>215</v>
      </c>
      <c r="I3430" s="16">
        <v>141.9</v>
      </c>
      <c r="J3430" s="16">
        <v>92.545667447306798</v>
      </c>
      <c r="K3430" s="16">
        <v>49.354332552693208</v>
      </c>
      <c r="L3430" s="13">
        <v>1.98</v>
      </c>
      <c r="M3430" s="13"/>
      <c r="N3430" s="17">
        <f t="shared" si="113"/>
        <v>425.7</v>
      </c>
      <c r="O3430" s="17">
        <f t="shared" si="113"/>
        <v>0</v>
      </c>
      <c r="P3430" s="17">
        <f t="shared" si="114"/>
        <v>425.7</v>
      </c>
      <c r="Q3430" t="str">
        <f>A3430&amp;"-"&amp;B3430&amp;"-"&amp;D3430</f>
        <v>AGUSTUS-KLB-L2A</v>
      </c>
    </row>
    <row r="3431" spans="1:17" x14ac:dyDescent="0.25">
      <c r="A3431" t="s">
        <v>398</v>
      </c>
      <c r="B3431" s="13" t="s">
        <v>24</v>
      </c>
      <c r="C3431" s="13" t="s">
        <v>226</v>
      </c>
      <c r="D3431" s="14" t="s">
        <v>222</v>
      </c>
      <c r="E3431" s="13" t="s">
        <v>61</v>
      </c>
      <c r="F3431" s="13" t="s">
        <v>1328</v>
      </c>
      <c r="G3431" s="13">
        <v>0.68</v>
      </c>
      <c r="H3431" s="15">
        <v>705</v>
      </c>
      <c r="I3431" s="16">
        <v>479.40000000000003</v>
      </c>
      <c r="J3431" s="16">
        <v>300.34840290302412</v>
      </c>
      <c r="K3431" s="16">
        <v>179.05159709697588</v>
      </c>
      <c r="L3431" s="13">
        <v>1.83</v>
      </c>
      <c r="M3431" s="13"/>
      <c r="N3431" s="17">
        <f t="shared" si="113"/>
        <v>1290.1500000000001</v>
      </c>
      <c r="O3431" s="17">
        <f t="shared" si="113"/>
        <v>0</v>
      </c>
      <c r="P3431" s="17">
        <f t="shared" si="114"/>
        <v>1290.1500000000001</v>
      </c>
      <c r="Q3431" t="str">
        <f>A3431&amp;"-"&amp;B3431&amp;"-"&amp;D3431</f>
        <v>AGUSTUS-KLB-L2A</v>
      </c>
    </row>
    <row r="3432" spans="1:17" x14ac:dyDescent="0.25">
      <c r="A3432" t="s">
        <v>398</v>
      </c>
      <c r="B3432" s="13" t="s">
        <v>24</v>
      </c>
      <c r="C3432" s="13" t="s">
        <v>226</v>
      </c>
      <c r="D3432" s="14" t="s">
        <v>222</v>
      </c>
      <c r="E3432" s="13" t="s">
        <v>61</v>
      </c>
      <c r="F3432" s="13" t="s">
        <v>1167</v>
      </c>
      <c r="G3432" s="13">
        <v>0.65</v>
      </c>
      <c r="H3432" s="15">
        <v>10750</v>
      </c>
      <c r="I3432" s="16">
        <v>6987.5</v>
      </c>
      <c r="J3432" s="16">
        <v>4428.3250005636282</v>
      </c>
      <c r="K3432" s="16">
        <v>2559.1749994363722</v>
      </c>
      <c r="L3432" s="13">
        <v>1.66</v>
      </c>
      <c r="M3432" s="13"/>
      <c r="N3432" s="17">
        <f t="shared" si="113"/>
        <v>17845</v>
      </c>
      <c r="O3432" s="17">
        <f t="shared" si="113"/>
        <v>0</v>
      </c>
      <c r="P3432" s="17">
        <f t="shared" si="114"/>
        <v>17845</v>
      </c>
      <c r="Q3432" t="str">
        <f>A3432&amp;"-"&amp;B3432&amp;"-"&amp;D3432</f>
        <v>AGUSTUS-KLB-L2A</v>
      </c>
    </row>
    <row r="3433" spans="1:17" x14ac:dyDescent="0.25">
      <c r="A3433" t="s">
        <v>398</v>
      </c>
      <c r="B3433" s="13" t="s">
        <v>24</v>
      </c>
      <c r="C3433" s="13" t="s">
        <v>226</v>
      </c>
      <c r="D3433" s="14" t="s">
        <v>223</v>
      </c>
      <c r="E3433" s="13" t="s">
        <v>61</v>
      </c>
      <c r="F3433" s="13" t="s">
        <v>1316</v>
      </c>
      <c r="G3433" s="13">
        <v>0.68</v>
      </c>
      <c r="H3433" s="15">
        <v>3450</v>
      </c>
      <c r="I3433" s="16">
        <v>2346</v>
      </c>
      <c r="J3433" s="16">
        <v>1758.3920374844793</v>
      </c>
      <c r="K3433" s="16">
        <v>587.60796251552063</v>
      </c>
      <c r="L3433" s="13">
        <v>1.82</v>
      </c>
      <c r="M3433" s="13"/>
      <c r="N3433" s="17">
        <f t="shared" si="113"/>
        <v>6279</v>
      </c>
      <c r="O3433" s="17">
        <f t="shared" si="113"/>
        <v>0</v>
      </c>
      <c r="P3433" s="17">
        <f t="shared" si="114"/>
        <v>6279</v>
      </c>
      <c r="Q3433" t="str">
        <f>A3433&amp;"-"&amp;B3433&amp;"-"&amp;D3433</f>
        <v>AGUSTUS-KLB-L2B</v>
      </c>
    </row>
    <row r="3434" spans="1:17" x14ac:dyDescent="0.25">
      <c r="A3434" t="s">
        <v>398</v>
      </c>
      <c r="B3434" s="13" t="s">
        <v>24</v>
      </c>
      <c r="C3434" s="13" t="s">
        <v>226</v>
      </c>
      <c r="D3434" s="14" t="s">
        <v>223</v>
      </c>
      <c r="E3434" s="13" t="s">
        <v>61</v>
      </c>
      <c r="F3434" s="13" t="s">
        <v>1317</v>
      </c>
      <c r="G3434" s="13">
        <v>0.66</v>
      </c>
      <c r="H3434" s="15">
        <v>160</v>
      </c>
      <c r="I3434" s="16">
        <v>105.6</v>
      </c>
      <c r="J3434" s="16">
        <v>79.72129937246217</v>
      </c>
      <c r="K3434" s="16">
        <v>25.878700627537839</v>
      </c>
      <c r="L3434" s="13">
        <v>1.97</v>
      </c>
      <c r="M3434" s="13"/>
      <c r="N3434" s="17">
        <f t="shared" si="113"/>
        <v>315.2</v>
      </c>
      <c r="O3434" s="17">
        <f t="shared" si="113"/>
        <v>0</v>
      </c>
      <c r="P3434" s="17">
        <f t="shared" si="114"/>
        <v>315.2</v>
      </c>
      <c r="Q3434" t="str">
        <f>A3434&amp;"-"&amp;B3434&amp;"-"&amp;D3434</f>
        <v>AGUSTUS-KLB-L2B</v>
      </c>
    </row>
    <row r="3435" spans="1:17" x14ac:dyDescent="0.25">
      <c r="A3435" t="s">
        <v>398</v>
      </c>
      <c r="B3435" s="13" t="s">
        <v>24</v>
      </c>
      <c r="C3435" s="13" t="s">
        <v>226</v>
      </c>
      <c r="D3435" s="14" t="s">
        <v>223</v>
      </c>
      <c r="E3435" s="13" t="s">
        <v>61</v>
      </c>
      <c r="F3435" s="13" t="s">
        <v>1329</v>
      </c>
      <c r="G3435" s="13">
        <v>0.68</v>
      </c>
      <c r="H3435" s="15">
        <v>3820</v>
      </c>
      <c r="I3435" s="16">
        <v>2597.6</v>
      </c>
      <c r="J3435" s="16">
        <v>1773.4364253437293</v>
      </c>
      <c r="K3435" s="16">
        <v>824.1635746562705</v>
      </c>
      <c r="L3435" s="13">
        <v>1.82</v>
      </c>
      <c r="M3435" s="13"/>
      <c r="N3435" s="17">
        <f t="shared" si="113"/>
        <v>6952.4000000000005</v>
      </c>
      <c r="O3435" s="17">
        <f t="shared" si="113"/>
        <v>0</v>
      </c>
      <c r="P3435" s="17">
        <f t="shared" si="114"/>
        <v>6952.4000000000005</v>
      </c>
      <c r="Q3435" t="str">
        <f>A3435&amp;"-"&amp;B3435&amp;"-"&amp;D3435</f>
        <v>AGUSTUS-KLB-L2B</v>
      </c>
    </row>
    <row r="3436" spans="1:17" x14ac:dyDescent="0.25">
      <c r="A3436" t="s">
        <v>398</v>
      </c>
      <c r="B3436" s="13" t="s">
        <v>24</v>
      </c>
      <c r="C3436" s="13" t="s">
        <v>226</v>
      </c>
      <c r="D3436" s="14" t="s">
        <v>223</v>
      </c>
      <c r="E3436" s="13" t="s">
        <v>61</v>
      </c>
      <c r="F3436" s="13" t="s">
        <v>1330</v>
      </c>
      <c r="G3436" s="13">
        <v>0.66</v>
      </c>
      <c r="H3436" s="15">
        <v>410</v>
      </c>
      <c r="I3436" s="16">
        <v>270.60000000000002</v>
      </c>
      <c r="J3436" s="16">
        <v>193.08474226804123</v>
      </c>
      <c r="K3436" s="16">
        <v>77.515257731958769</v>
      </c>
      <c r="L3436" s="13">
        <v>1.97</v>
      </c>
      <c r="M3436" s="13"/>
      <c r="N3436" s="17">
        <f t="shared" si="113"/>
        <v>807.7</v>
      </c>
      <c r="O3436" s="17">
        <f t="shared" si="113"/>
        <v>0</v>
      </c>
      <c r="P3436" s="17">
        <f t="shared" si="114"/>
        <v>807.7</v>
      </c>
      <c r="Q3436" t="str">
        <f>A3436&amp;"-"&amp;B3436&amp;"-"&amp;D3436</f>
        <v>AGUSTUS-KLB-L2B</v>
      </c>
    </row>
    <row r="3437" spans="1:17" x14ac:dyDescent="0.25">
      <c r="A3437" t="s">
        <v>398</v>
      </c>
      <c r="B3437" s="13" t="s">
        <v>24</v>
      </c>
      <c r="C3437" s="13" t="s">
        <v>226</v>
      </c>
      <c r="D3437" s="14" t="s">
        <v>223</v>
      </c>
      <c r="E3437" s="13" t="s">
        <v>61</v>
      </c>
      <c r="F3437" s="13" t="s">
        <v>1318</v>
      </c>
      <c r="G3437" s="13">
        <v>0.68</v>
      </c>
      <c r="H3437" s="15">
        <v>3235</v>
      </c>
      <c r="I3437" s="16">
        <v>2199.7999999999997</v>
      </c>
      <c r="J3437" s="16">
        <v>1420.0028816688784</v>
      </c>
      <c r="K3437" s="16">
        <v>779.79711833112151</v>
      </c>
      <c r="L3437" s="13">
        <v>1.82</v>
      </c>
      <c r="M3437" s="13"/>
      <c r="N3437" s="17">
        <f t="shared" si="113"/>
        <v>5887.7</v>
      </c>
      <c r="O3437" s="17">
        <f t="shared" si="113"/>
        <v>0</v>
      </c>
      <c r="P3437" s="17">
        <f t="shared" si="114"/>
        <v>5887.7</v>
      </c>
      <c r="Q3437" t="str">
        <f>A3437&amp;"-"&amp;B3437&amp;"-"&amp;D3437</f>
        <v>AGUSTUS-KLB-L2B</v>
      </c>
    </row>
    <row r="3438" spans="1:17" x14ac:dyDescent="0.25">
      <c r="A3438" t="s">
        <v>398</v>
      </c>
      <c r="B3438" s="13" t="s">
        <v>24</v>
      </c>
      <c r="C3438" s="13" t="s">
        <v>226</v>
      </c>
      <c r="D3438" s="14" t="s">
        <v>223</v>
      </c>
      <c r="E3438" s="13" t="s">
        <v>61</v>
      </c>
      <c r="F3438" s="13" t="s">
        <v>1319</v>
      </c>
      <c r="G3438" s="13">
        <v>0.66</v>
      </c>
      <c r="H3438" s="15">
        <v>280</v>
      </c>
      <c r="I3438" s="16">
        <v>184.79999999999998</v>
      </c>
      <c r="J3438" s="16">
        <v>121.32157999431658</v>
      </c>
      <c r="K3438" s="16">
        <v>63.478420005683418</v>
      </c>
      <c r="L3438" s="13">
        <v>1.97</v>
      </c>
      <c r="M3438" s="13"/>
      <c r="N3438" s="17">
        <f t="shared" si="113"/>
        <v>551.6</v>
      </c>
      <c r="O3438" s="17">
        <f t="shared" si="113"/>
        <v>0</v>
      </c>
      <c r="P3438" s="17">
        <f t="shared" si="114"/>
        <v>551.6</v>
      </c>
      <c r="Q3438" t="str">
        <f>A3438&amp;"-"&amp;B3438&amp;"-"&amp;D3438</f>
        <v>AGUSTUS-KLB-L2B</v>
      </c>
    </row>
    <row r="3439" spans="1:17" x14ac:dyDescent="0.25">
      <c r="A3439" t="s">
        <v>398</v>
      </c>
      <c r="B3439" s="13" t="s">
        <v>24</v>
      </c>
      <c r="C3439" s="13" t="s">
        <v>226</v>
      </c>
      <c r="D3439" s="14" t="s">
        <v>223</v>
      </c>
      <c r="E3439" s="13" t="s">
        <v>61</v>
      </c>
      <c r="F3439" s="13" t="s">
        <v>1331</v>
      </c>
      <c r="G3439" s="13">
        <v>0.68</v>
      </c>
      <c r="H3439" s="15">
        <v>5566</v>
      </c>
      <c r="I3439" s="16">
        <v>3784.8799999999997</v>
      </c>
      <c r="J3439" s="16">
        <v>2452.9094049744272</v>
      </c>
      <c r="K3439" s="16">
        <v>1331.9705950255729</v>
      </c>
      <c r="L3439" s="13">
        <v>1.82</v>
      </c>
      <c r="M3439" s="13"/>
      <c r="N3439" s="17">
        <f t="shared" si="113"/>
        <v>10130.120000000001</v>
      </c>
      <c r="O3439" s="17">
        <f t="shared" si="113"/>
        <v>0</v>
      </c>
      <c r="P3439" s="17">
        <f t="shared" si="114"/>
        <v>10130.120000000001</v>
      </c>
      <c r="Q3439" t="str">
        <f>A3439&amp;"-"&amp;B3439&amp;"-"&amp;D3439</f>
        <v>AGUSTUS-KLB-L2B</v>
      </c>
    </row>
    <row r="3440" spans="1:17" x14ac:dyDescent="0.25">
      <c r="A3440" t="s">
        <v>398</v>
      </c>
      <c r="B3440" s="13" t="s">
        <v>24</v>
      </c>
      <c r="C3440" s="13" t="s">
        <v>226</v>
      </c>
      <c r="D3440" s="14" t="s">
        <v>223</v>
      </c>
      <c r="E3440" s="13" t="s">
        <v>61</v>
      </c>
      <c r="F3440" s="13" t="s">
        <v>1168</v>
      </c>
      <c r="G3440" s="13">
        <v>0.68</v>
      </c>
      <c r="H3440" s="15">
        <v>4105</v>
      </c>
      <c r="I3440" s="16">
        <v>2791.4</v>
      </c>
      <c r="J3440" s="16">
        <v>1869.5510978810576</v>
      </c>
      <c r="K3440" s="16">
        <v>921.84890211894231</v>
      </c>
      <c r="L3440" s="13">
        <v>1.82</v>
      </c>
      <c r="M3440" s="13"/>
      <c r="N3440" s="17">
        <f t="shared" si="113"/>
        <v>7471.1</v>
      </c>
      <c r="O3440" s="17">
        <f t="shared" si="113"/>
        <v>0</v>
      </c>
      <c r="P3440" s="17">
        <f t="shared" si="114"/>
        <v>7471.1</v>
      </c>
      <c r="Q3440" t="str">
        <f>A3440&amp;"-"&amp;B3440&amp;"-"&amp;D3440</f>
        <v>AGUSTUS-KLB-L2B</v>
      </c>
    </row>
    <row r="3441" spans="1:17" x14ac:dyDescent="0.25">
      <c r="A3441" t="s">
        <v>398</v>
      </c>
      <c r="B3441" s="13" t="s">
        <v>24</v>
      </c>
      <c r="C3441" s="13" t="s">
        <v>226</v>
      </c>
      <c r="D3441" s="14" t="s">
        <v>223</v>
      </c>
      <c r="E3441" s="13" t="s">
        <v>61</v>
      </c>
      <c r="F3441" s="13" t="s">
        <v>1320</v>
      </c>
      <c r="G3441" s="13">
        <v>0.68</v>
      </c>
      <c r="H3441" s="15">
        <v>3805</v>
      </c>
      <c r="I3441" s="16">
        <v>2587.3999999999996</v>
      </c>
      <c r="J3441" s="16">
        <v>1816.6829896907216</v>
      </c>
      <c r="K3441" s="16">
        <v>770.71701030927829</v>
      </c>
      <c r="L3441" s="13">
        <v>1.82</v>
      </c>
      <c r="M3441" s="13"/>
      <c r="N3441" s="17">
        <f t="shared" ref="N3441:O3501" si="115">$H3441*L3441</f>
        <v>6925.1</v>
      </c>
      <c r="O3441" s="17">
        <f t="shared" si="115"/>
        <v>0</v>
      </c>
      <c r="P3441" s="17">
        <f t="shared" si="114"/>
        <v>6925.1</v>
      </c>
      <c r="Q3441" t="str">
        <f>A3441&amp;"-"&amp;B3441&amp;"-"&amp;D3441</f>
        <v>AGUSTUS-KLB-L2B</v>
      </c>
    </row>
    <row r="3442" spans="1:17" x14ac:dyDescent="0.25">
      <c r="A3442" t="s">
        <v>398</v>
      </c>
      <c r="B3442" s="13" t="s">
        <v>24</v>
      </c>
      <c r="C3442" s="13" t="s">
        <v>226</v>
      </c>
      <c r="D3442" s="14" t="s">
        <v>223</v>
      </c>
      <c r="E3442" s="13" t="s">
        <v>61</v>
      </c>
      <c r="F3442" s="13" t="s">
        <v>1332</v>
      </c>
      <c r="G3442" s="13">
        <v>0.68</v>
      </c>
      <c r="H3442" s="15">
        <v>2894</v>
      </c>
      <c r="I3442" s="16">
        <v>1967.9199999999998</v>
      </c>
      <c r="J3442" s="16">
        <v>1362.3653794974566</v>
      </c>
      <c r="K3442" s="16">
        <v>605.55462050254323</v>
      </c>
      <c r="L3442" s="13">
        <v>1.82</v>
      </c>
      <c r="M3442" s="13"/>
      <c r="N3442" s="17">
        <f t="shared" si="115"/>
        <v>5267.08</v>
      </c>
      <c r="O3442" s="17">
        <f t="shared" si="115"/>
        <v>0</v>
      </c>
      <c r="P3442" s="17">
        <f t="shared" si="114"/>
        <v>5267.08</v>
      </c>
      <c r="Q3442" t="str">
        <f>A3442&amp;"-"&amp;B3442&amp;"-"&amp;D3442</f>
        <v>AGUSTUS-KLB-L2B</v>
      </c>
    </row>
    <row r="3443" spans="1:17" x14ac:dyDescent="0.25">
      <c r="A3443" t="s">
        <v>398</v>
      </c>
      <c r="B3443" s="13" t="s">
        <v>24</v>
      </c>
      <c r="C3443" s="13" t="s">
        <v>226</v>
      </c>
      <c r="D3443" s="14" t="s">
        <v>223</v>
      </c>
      <c r="E3443" s="13" t="s">
        <v>61</v>
      </c>
      <c r="F3443" s="13" t="s">
        <v>1323</v>
      </c>
      <c r="G3443" s="13">
        <v>0.68</v>
      </c>
      <c r="H3443" s="15">
        <v>1560</v>
      </c>
      <c r="I3443" s="16">
        <v>1060.8</v>
      </c>
      <c r="J3443" s="16">
        <v>868.03642368810051</v>
      </c>
      <c r="K3443" s="16">
        <v>192.76357631189947</v>
      </c>
      <c r="L3443" s="13">
        <v>1.83</v>
      </c>
      <c r="M3443" s="13"/>
      <c r="N3443" s="17">
        <f t="shared" si="115"/>
        <v>2854.8</v>
      </c>
      <c r="O3443" s="17">
        <f t="shared" si="115"/>
        <v>0</v>
      </c>
      <c r="P3443" s="17">
        <f t="shared" si="114"/>
        <v>2854.8</v>
      </c>
      <c r="Q3443" t="str">
        <f>A3443&amp;"-"&amp;B3443&amp;"-"&amp;D3443</f>
        <v>AGUSTUS-KLB-L2B</v>
      </c>
    </row>
    <row r="3444" spans="1:17" x14ac:dyDescent="0.25">
      <c r="A3444" t="s">
        <v>398</v>
      </c>
      <c r="B3444" s="13" t="s">
        <v>24</v>
      </c>
      <c r="C3444" s="13" t="s">
        <v>226</v>
      </c>
      <c r="D3444" s="14" t="s">
        <v>223</v>
      </c>
      <c r="E3444" s="13" t="s">
        <v>61</v>
      </c>
      <c r="F3444" s="13" t="s">
        <v>1324</v>
      </c>
      <c r="G3444" s="13">
        <v>0.66</v>
      </c>
      <c r="H3444" s="15">
        <v>45</v>
      </c>
      <c r="I3444" s="16">
        <v>29.7</v>
      </c>
      <c r="J3444" s="16">
        <v>25.063636363636363</v>
      </c>
      <c r="K3444" s="16">
        <v>4.6363636363636367</v>
      </c>
      <c r="L3444" s="13">
        <v>1.98</v>
      </c>
      <c r="M3444" s="13"/>
      <c r="N3444" s="17">
        <f t="shared" si="115"/>
        <v>89.1</v>
      </c>
      <c r="O3444" s="17">
        <f t="shared" si="115"/>
        <v>0</v>
      </c>
      <c r="P3444" s="17">
        <f t="shared" si="114"/>
        <v>89.1</v>
      </c>
      <c r="Q3444" t="str">
        <f>A3444&amp;"-"&amp;B3444&amp;"-"&amp;D3444</f>
        <v>AGUSTUS-KLB-L2B</v>
      </c>
    </row>
    <row r="3445" spans="1:17" x14ac:dyDescent="0.25">
      <c r="A3445" t="s">
        <v>398</v>
      </c>
      <c r="B3445" s="13" t="s">
        <v>24</v>
      </c>
      <c r="C3445" s="13" t="s">
        <v>226</v>
      </c>
      <c r="D3445" s="14" t="s">
        <v>223</v>
      </c>
      <c r="E3445" s="13" t="s">
        <v>61</v>
      </c>
      <c r="F3445" s="13" t="s">
        <v>1325</v>
      </c>
      <c r="G3445" s="13">
        <v>0.68</v>
      </c>
      <c r="H3445" s="15">
        <v>105</v>
      </c>
      <c r="I3445" s="16">
        <v>71.400000000000006</v>
      </c>
      <c r="J3445" s="16">
        <v>58.01060144124169</v>
      </c>
      <c r="K3445" s="16">
        <v>13.389398558758314</v>
      </c>
      <c r="L3445" s="13">
        <v>1.83</v>
      </c>
      <c r="M3445" s="13"/>
      <c r="N3445" s="17">
        <f t="shared" si="115"/>
        <v>192.15</v>
      </c>
      <c r="O3445" s="17">
        <f t="shared" si="115"/>
        <v>0</v>
      </c>
      <c r="P3445" s="17">
        <f t="shared" si="114"/>
        <v>192.15</v>
      </c>
      <c r="Q3445" t="str">
        <f>A3445&amp;"-"&amp;B3445&amp;"-"&amp;D3445</f>
        <v>AGUSTUS-KLB-L2B</v>
      </c>
    </row>
    <row r="3446" spans="1:17" x14ac:dyDescent="0.25">
      <c r="A3446" t="s">
        <v>398</v>
      </c>
      <c r="B3446" s="13" t="s">
        <v>24</v>
      </c>
      <c r="C3446" s="13" t="s">
        <v>226</v>
      </c>
      <c r="D3446" s="14" t="s">
        <v>223</v>
      </c>
      <c r="E3446" s="13" t="s">
        <v>61</v>
      </c>
      <c r="F3446" s="13" t="s">
        <v>1326</v>
      </c>
      <c r="G3446" s="13">
        <v>0.68</v>
      </c>
      <c r="H3446" s="15">
        <v>935</v>
      </c>
      <c r="I3446" s="16">
        <v>635.79999999999995</v>
      </c>
      <c r="J3446" s="16">
        <v>494.51434965527466</v>
      </c>
      <c r="K3446" s="16">
        <v>141.28565034472533</v>
      </c>
      <c r="L3446" s="13">
        <v>1.83</v>
      </c>
      <c r="M3446" s="13"/>
      <c r="N3446" s="17">
        <f t="shared" si="115"/>
        <v>1711.05</v>
      </c>
      <c r="O3446" s="17">
        <f t="shared" si="115"/>
        <v>0</v>
      </c>
      <c r="P3446" s="17">
        <f t="shared" si="114"/>
        <v>1711.05</v>
      </c>
      <c r="Q3446" t="str">
        <f>A3446&amp;"-"&amp;B3446&amp;"-"&amp;D3446</f>
        <v>AGUSTUS-KLB-L2B</v>
      </c>
    </row>
    <row r="3447" spans="1:17" x14ac:dyDescent="0.25">
      <c r="A3447" t="s">
        <v>398</v>
      </c>
      <c r="B3447" s="13" t="s">
        <v>24</v>
      </c>
      <c r="C3447" s="13" t="s">
        <v>226</v>
      </c>
      <c r="D3447" s="14" t="s">
        <v>223</v>
      </c>
      <c r="E3447" s="13" t="s">
        <v>61</v>
      </c>
      <c r="F3447" s="13" t="s">
        <v>1327</v>
      </c>
      <c r="G3447" s="13">
        <v>0.66</v>
      </c>
      <c r="H3447" s="15">
        <v>145</v>
      </c>
      <c r="I3447" s="16">
        <v>95.7</v>
      </c>
      <c r="J3447" s="16">
        <v>81.253048780487802</v>
      </c>
      <c r="K3447" s="16">
        <v>14.446951219512201</v>
      </c>
      <c r="L3447" s="13">
        <v>1.98</v>
      </c>
      <c r="M3447" s="13"/>
      <c r="N3447" s="17">
        <f t="shared" si="115"/>
        <v>287.10000000000002</v>
      </c>
      <c r="O3447" s="17">
        <f t="shared" si="115"/>
        <v>0</v>
      </c>
      <c r="P3447" s="17">
        <f t="shared" si="114"/>
        <v>287.10000000000002</v>
      </c>
      <c r="Q3447" t="str">
        <f>A3447&amp;"-"&amp;B3447&amp;"-"&amp;D3447</f>
        <v>AGUSTUS-KLB-L2B</v>
      </c>
    </row>
    <row r="3448" spans="1:17" x14ac:dyDescent="0.25">
      <c r="A3448" t="s">
        <v>398</v>
      </c>
      <c r="B3448" s="13" t="s">
        <v>24</v>
      </c>
      <c r="C3448" s="13" t="s">
        <v>226</v>
      </c>
      <c r="D3448" s="14" t="s">
        <v>223</v>
      </c>
      <c r="E3448" s="13" t="s">
        <v>61</v>
      </c>
      <c r="F3448" s="13" t="s">
        <v>1328</v>
      </c>
      <c r="G3448" s="13">
        <v>0.68</v>
      </c>
      <c r="H3448" s="15">
        <v>965</v>
      </c>
      <c r="I3448" s="16">
        <v>656.19999999999993</v>
      </c>
      <c r="J3448" s="16">
        <v>504.44810797013059</v>
      </c>
      <c r="K3448" s="16">
        <v>151.75189202986942</v>
      </c>
      <c r="L3448" s="13">
        <v>1.83</v>
      </c>
      <c r="M3448" s="13"/>
      <c r="N3448" s="17">
        <f t="shared" si="115"/>
        <v>1765.95</v>
      </c>
      <c r="O3448" s="17">
        <f t="shared" si="115"/>
        <v>0</v>
      </c>
      <c r="P3448" s="17">
        <f t="shared" si="114"/>
        <v>1765.95</v>
      </c>
      <c r="Q3448" t="str">
        <f>A3448&amp;"-"&amp;B3448&amp;"-"&amp;D3448</f>
        <v>AGUSTUS-KLB-L2B</v>
      </c>
    </row>
    <row r="3449" spans="1:17" x14ac:dyDescent="0.25">
      <c r="A3449" t="s">
        <v>398</v>
      </c>
      <c r="B3449" s="13" t="s">
        <v>24</v>
      </c>
      <c r="C3449" s="13" t="s">
        <v>226</v>
      </c>
      <c r="D3449" s="14" t="s">
        <v>223</v>
      </c>
      <c r="E3449" s="13" t="s">
        <v>61</v>
      </c>
      <c r="F3449" s="13" t="s">
        <v>1167</v>
      </c>
      <c r="G3449" s="13">
        <v>0.65</v>
      </c>
      <c r="H3449" s="15">
        <v>10485</v>
      </c>
      <c r="I3449" s="16">
        <v>6815.25</v>
      </c>
      <c r="J3449" s="16">
        <v>5339.2059939255578</v>
      </c>
      <c r="K3449" s="16">
        <v>1476.0440060744415</v>
      </c>
      <c r="L3449" s="13">
        <v>1.66</v>
      </c>
      <c r="M3449" s="13"/>
      <c r="N3449" s="17">
        <f t="shared" si="115"/>
        <v>17405.099999999999</v>
      </c>
      <c r="O3449" s="17">
        <f t="shared" si="115"/>
        <v>0</v>
      </c>
      <c r="P3449" s="17">
        <f t="shared" si="114"/>
        <v>17405.099999999999</v>
      </c>
      <c r="Q3449" t="str">
        <f>A3449&amp;"-"&amp;B3449&amp;"-"&amp;D3449</f>
        <v>AGUSTUS-KLB-L2B</v>
      </c>
    </row>
    <row r="3450" spans="1:17" x14ac:dyDescent="0.25">
      <c r="A3450" t="s">
        <v>398</v>
      </c>
      <c r="B3450" s="13" t="s">
        <v>24</v>
      </c>
      <c r="C3450" s="13" t="s">
        <v>226</v>
      </c>
      <c r="D3450" s="14" t="s">
        <v>224</v>
      </c>
      <c r="E3450" s="13" t="s">
        <v>61</v>
      </c>
      <c r="F3450" s="13" t="s">
        <v>1316</v>
      </c>
      <c r="G3450" s="13">
        <v>0.68</v>
      </c>
      <c r="H3450" s="15">
        <v>3254</v>
      </c>
      <c r="I3450" s="16">
        <v>2212.7200000000003</v>
      </c>
      <c r="J3450" s="16">
        <v>1297.1347062490161</v>
      </c>
      <c r="K3450" s="16">
        <v>915.58529375098408</v>
      </c>
      <c r="L3450" s="13">
        <v>1.82</v>
      </c>
      <c r="M3450" s="13"/>
      <c r="N3450" s="17">
        <f t="shared" si="115"/>
        <v>5922.2800000000007</v>
      </c>
      <c r="O3450" s="17">
        <f t="shared" si="115"/>
        <v>0</v>
      </c>
      <c r="P3450" s="17">
        <f t="shared" si="114"/>
        <v>5922.2800000000007</v>
      </c>
      <c r="Q3450" t="str">
        <f>A3450&amp;"-"&amp;B3450&amp;"-"&amp;D3450</f>
        <v>AGUSTUS-KLB-L3A</v>
      </c>
    </row>
    <row r="3451" spans="1:17" x14ac:dyDescent="0.25">
      <c r="A3451" t="s">
        <v>398</v>
      </c>
      <c r="B3451" s="13" t="s">
        <v>24</v>
      </c>
      <c r="C3451" s="13" t="s">
        <v>226</v>
      </c>
      <c r="D3451" s="14" t="s">
        <v>224</v>
      </c>
      <c r="E3451" s="13" t="s">
        <v>61</v>
      </c>
      <c r="F3451" s="13" t="s">
        <v>1317</v>
      </c>
      <c r="G3451" s="13">
        <v>0.66</v>
      </c>
      <c r="H3451" s="15">
        <v>570</v>
      </c>
      <c r="I3451" s="16">
        <v>376.2</v>
      </c>
      <c r="J3451" s="16">
        <v>249.44285714285712</v>
      </c>
      <c r="K3451" s="16">
        <v>126.75714285714287</v>
      </c>
      <c r="L3451" s="13">
        <v>1.97</v>
      </c>
      <c r="M3451" s="13"/>
      <c r="N3451" s="17">
        <f t="shared" si="115"/>
        <v>1122.9000000000001</v>
      </c>
      <c r="O3451" s="17">
        <f t="shared" si="115"/>
        <v>0</v>
      </c>
      <c r="P3451" s="17">
        <f t="shared" si="114"/>
        <v>1122.9000000000001</v>
      </c>
      <c r="Q3451" t="str">
        <f>A3451&amp;"-"&amp;B3451&amp;"-"&amp;D3451</f>
        <v>AGUSTUS-KLB-L3A</v>
      </c>
    </row>
    <row r="3452" spans="1:17" x14ac:dyDescent="0.25">
      <c r="A3452" t="s">
        <v>398</v>
      </c>
      <c r="B3452" s="13" t="s">
        <v>24</v>
      </c>
      <c r="C3452" s="13" t="s">
        <v>226</v>
      </c>
      <c r="D3452" s="14" t="s">
        <v>224</v>
      </c>
      <c r="E3452" s="13" t="s">
        <v>61</v>
      </c>
      <c r="F3452" s="13" t="s">
        <v>1329</v>
      </c>
      <c r="G3452" s="13">
        <v>0.68</v>
      </c>
      <c r="H3452" s="15">
        <v>5695</v>
      </c>
      <c r="I3452" s="16">
        <v>3872.6</v>
      </c>
      <c r="J3452" s="16">
        <v>2335.6938125259389</v>
      </c>
      <c r="K3452" s="16">
        <v>1536.9061874740614</v>
      </c>
      <c r="L3452" s="13">
        <v>1.82</v>
      </c>
      <c r="M3452" s="13"/>
      <c r="N3452" s="17">
        <f t="shared" si="115"/>
        <v>10364.9</v>
      </c>
      <c r="O3452" s="17">
        <f t="shared" si="115"/>
        <v>0</v>
      </c>
      <c r="P3452" s="17">
        <f t="shared" si="114"/>
        <v>10364.9</v>
      </c>
      <c r="Q3452" t="str">
        <f>A3452&amp;"-"&amp;B3452&amp;"-"&amp;D3452</f>
        <v>AGUSTUS-KLB-L3A</v>
      </c>
    </row>
    <row r="3453" spans="1:17" x14ac:dyDescent="0.25">
      <c r="A3453" t="s">
        <v>398</v>
      </c>
      <c r="B3453" s="13" t="s">
        <v>24</v>
      </c>
      <c r="C3453" s="13" t="s">
        <v>226</v>
      </c>
      <c r="D3453" s="14" t="s">
        <v>224</v>
      </c>
      <c r="E3453" s="13" t="s">
        <v>61</v>
      </c>
      <c r="F3453" s="13" t="s">
        <v>1330</v>
      </c>
      <c r="G3453" s="13">
        <v>0.66</v>
      </c>
      <c r="H3453" s="15">
        <v>850</v>
      </c>
      <c r="I3453" s="16">
        <v>561</v>
      </c>
      <c r="J3453" s="16">
        <v>343.22652173913042</v>
      </c>
      <c r="K3453" s="16">
        <v>217.77347826086958</v>
      </c>
      <c r="L3453" s="13">
        <v>1.97</v>
      </c>
      <c r="M3453" s="13"/>
      <c r="N3453" s="17">
        <f t="shared" si="115"/>
        <v>1674.5</v>
      </c>
      <c r="O3453" s="17">
        <f t="shared" si="115"/>
        <v>0</v>
      </c>
      <c r="P3453" s="17">
        <f t="shared" si="114"/>
        <v>1674.5</v>
      </c>
      <c r="Q3453" t="str">
        <f>A3453&amp;"-"&amp;B3453&amp;"-"&amp;D3453</f>
        <v>AGUSTUS-KLB-L3A</v>
      </c>
    </row>
    <row r="3454" spans="1:17" x14ac:dyDescent="0.25">
      <c r="A3454" t="s">
        <v>398</v>
      </c>
      <c r="B3454" s="13" t="s">
        <v>24</v>
      </c>
      <c r="C3454" s="13" t="s">
        <v>226</v>
      </c>
      <c r="D3454" s="14" t="s">
        <v>224</v>
      </c>
      <c r="E3454" s="13" t="s">
        <v>61</v>
      </c>
      <c r="F3454" s="13" t="s">
        <v>1318</v>
      </c>
      <c r="G3454" s="13">
        <v>0.68</v>
      </c>
      <c r="H3454" s="15">
        <v>2260</v>
      </c>
      <c r="I3454" s="16">
        <v>1536.8</v>
      </c>
      <c r="J3454" s="16">
        <v>919.74612324429643</v>
      </c>
      <c r="K3454" s="16">
        <v>617.05387675570353</v>
      </c>
      <c r="L3454" s="13">
        <v>1.82</v>
      </c>
      <c r="M3454" s="13"/>
      <c r="N3454" s="17">
        <f t="shared" si="115"/>
        <v>4113.2</v>
      </c>
      <c r="O3454" s="17">
        <f t="shared" si="115"/>
        <v>0</v>
      </c>
      <c r="P3454" s="17">
        <f t="shared" si="114"/>
        <v>4113.2</v>
      </c>
      <c r="Q3454" t="str">
        <f>A3454&amp;"-"&amp;B3454&amp;"-"&amp;D3454</f>
        <v>AGUSTUS-KLB-L3A</v>
      </c>
    </row>
    <row r="3455" spans="1:17" x14ac:dyDescent="0.25">
      <c r="A3455" t="s">
        <v>398</v>
      </c>
      <c r="B3455" s="13" t="s">
        <v>24</v>
      </c>
      <c r="C3455" s="13" t="s">
        <v>226</v>
      </c>
      <c r="D3455" s="14" t="s">
        <v>224</v>
      </c>
      <c r="E3455" s="13" t="s">
        <v>61</v>
      </c>
      <c r="F3455" s="13" t="s">
        <v>1319</v>
      </c>
      <c r="G3455" s="13">
        <v>0.66</v>
      </c>
      <c r="H3455" s="15">
        <v>145</v>
      </c>
      <c r="I3455" s="16">
        <v>95.7</v>
      </c>
      <c r="J3455" s="16">
        <v>61.12614678899083</v>
      </c>
      <c r="K3455" s="16">
        <v>34.573853211009173</v>
      </c>
      <c r="L3455" s="13">
        <v>1.97</v>
      </c>
      <c r="M3455" s="13"/>
      <c r="N3455" s="17">
        <f t="shared" si="115"/>
        <v>285.64999999999998</v>
      </c>
      <c r="O3455" s="17">
        <f t="shared" si="115"/>
        <v>0</v>
      </c>
      <c r="P3455" s="17">
        <f t="shared" si="114"/>
        <v>285.64999999999998</v>
      </c>
      <c r="Q3455" t="str">
        <f>A3455&amp;"-"&amp;B3455&amp;"-"&amp;D3455</f>
        <v>AGUSTUS-KLB-L3A</v>
      </c>
    </row>
    <row r="3456" spans="1:17" x14ac:dyDescent="0.25">
      <c r="A3456" t="s">
        <v>398</v>
      </c>
      <c r="B3456" s="13" t="s">
        <v>24</v>
      </c>
      <c r="C3456" s="13" t="s">
        <v>226</v>
      </c>
      <c r="D3456" s="14" t="s">
        <v>224</v>
      </c>
      <c r="E3456" s="13" t="s">
        <v>61</v>
      </c>
      <c r="F3456" s="13" t="s">
        <v>1331</v>
      </c>
      <c r="G3456" s="13">
        <v>0.68</v>
      </c>
      <c r="H3456" s="15">
        <v>3493</v>
      </c>
      <c r="I3456" s="16">
        <v>2375.2399999999998</v>
      </c>
      <c r="J3456" s="16">
        <v>1391.2672741943315</v>
      </c>
      <c r="K3456" s="16">
        <v>983.97272580566846</v>
      </c>
      <c r="L3456" s="13">
        <v>1.82</v>
      </c>
      <c r="M3456" s="13"/>
      <c r="N3456" s="17">
        <f t="shared" si="115"/>
        <v>6357.26</v>
      </c>
      <c r="O3456" s="17">
        <f t="shared" si="115"/>
        <v>0</v>
      </c>
      <c r="P3456" s="17">
        <f t="shared" si="114"/>
        <v>6357.26</v>
      </c>
      <c r="Q3456" t="str">
        <f>A3456&amp;"-"&amp;B3456&amp;"-"&amp;D3456</f>
        <v>AGUSTUS-KLB-L3A</v>
      </c>
    </row>
    <row r="3457" spans="1:17" x14ac:dyDescent="0.25">
      <c r="A3457" t="s">
        <v>398</v>
      </c>
      <c r="B3457" s="13" t="s">
        <v>24</v>
      </c>
      <c r="C3457" s="13" t="s">
        <v>226</v>
      </c>
      <c r="D3457" s="14" t="s">
        <v>224</v>
      </c>
      <c r="E3457" s="13" t="s">
        <v>61</v>
      </c>
      <c r="F3457" s="13" t="s">
        <v>1168</v>
      </c>
      <c r="G3457" s="13">
        <v>0.68</v>
      </c>
      <c r="H3457" s="15">
        <v>3555</v>
      </c>
      <c r="I3457" s="16">
        <v>2417.4</v>
      </c>
      <c r="J3457" s="16">
        <v>1264.1817447495962</v>
      </c>
      <c r="K3457" s="16">
        <v>1153.2182552504039</v>
      </c>
      <c r="L3457" s="13">
        <v>1.82</v>
      </c>
      <c r="M3457" s="13"/>
      <c r="N3457" s="17">
        <f t="shared" si="115"/>
        <v>6470.1</v>
      </c>
      <c r="O3457" s="17">
        <f t="shared" si="115"/>
        <v>0</v>
      </c>
      <c r="P3457" s="17">
        <f t="shared" si="114"/>
        <v>6470.1</v>
      </c>
      <c r="Q3457" t="str">
        <f>A3457&amp;"-"&amp;B3457&amp;"-"&amp;D3457</f>
        <v>AGUSTUS-KLB-L3A</v>
      </c>
    </row>
    <row r="3458" spans="1:17" x14ac:dyDescent="0.25">
      <c r="A3458" t="s">
        <v>398</v>
      </c>
      <c r="B3458" s="13" t="s">
        <v>24</v>
      </c>
      <c r="C3458" s="13" t="s">
        <v>226</v>
      </c>
      <c r="D3458" s="14" t="s">
        <v>224</v>
      </c>
      <c r="E3458" s="13" t="s">
        <v>61</v>
      </c>
      <c r="F3458" s="13" t="s">
        <v>1320</v>
      </c>
      <c r="G3458" s="13">
        <v>0.68</v>
      </c>
      <c r="H3458" s="15">
        <v>10005</v>
      </c>
      <c r="I3458" s="16">
        <v>6803.4000000000005</v>
      </c>
      <c r="J3458" s="16">
        <v>3479.3145502645502</v>
      </c>
      <c r="K3458" s="16">
        <v>3324.0854497354503</v>
      </c>
      <c r="L3458" s="13">
        <v>1.82</v>
      </c>
      <c r="M3458" s="13"/>
      <c r="N3458" s="17">
        <f t="shared" si="115"/>
        <v>18209.100000000002</v>
      </c>
      <c r="O3458" s="17">
        <f t="shared" si="115"/>
        <v>0</v>
      </c>
      <c r="P3458" s="17">
        <f t="shared" ref="P3458:P3521" si="116">N3458+O3458</f>
        <v>18209.100000000002</v>
      </c>
      <c r="Q3458" t="str">
        <f>A3458&amp;"-"&amp;B3458&amp;"-"&amp;D3458</f>
        <v>AGUSTUS-KLB-L3A</v>
      </c>
    </row>
    <row r="3459" spans="1:17" x14ac:dyDescent="0.25">
      <c r="A3459" t="s">
        <v>398</v>
      </c>
      <c r="B3459" s="13" t="s">
        <v>24</v>
      </c>
      <c r="C3459" s="13" t="s">
        <v>226</v>
      </c>
      <c r="D3459" s="14" t="s">
        <v>224</v>
      </c>
      <c r="E3459" s="13" t="s">
        <v>61</v>
      </c>
      <c r="F3459" s="13" t="s">
        <v>1333</v>
      </c>
      <c r="G3459" s="13">
        <v>0.66</v>
      </c>
      <c r="H3459" s="15">
        <v>1311</v>
      </c>
      <c r="I3459" s="16">
        <v>865.26</v>
      </c>
      <c r="J3459" s="16">
        <v>486.59491114701137</v>
      </c>
      <c r="K3459" s="16">
        <v>378.66508885298862</v>
      </c>
      <c r="L3459" s="13">
        <v>1.97</v>
      </c>
      <c r="M3459" s="13"/>
      <c r="N3459" s="17">
        <f t="shared" si="115"/>
        <v>2582.67</v>
      </c>
      <c r="O3459" s="17">
        <f t="shared" si="115"/>
        <v>0</v>
      </c>
      <c r="P3459" s="17">
        <f t="shared" si="116"/>
        <v>2582.67</v>
      </c>
      <c r="Q3459" t="str">
        <f>A3459&amp;"-"&amp;B3459&amp;"-"&amp;D3459</f>
        <v>AGUSTUS-KLB-L3A</v>
      </c>
    </row>
    <row r="3460" spans="1:17" x14ac:dyDescent="0.25">
      <c r="A3460" t="s">
        <v>398</v>
      </c>
      <c r="B3460" s="13" t="s">
        <v>24</v>
      </c>
      <c r="C3460" s="13" t="s">
        <v>226</v>
      </c>
      <c r="D3460" s="14" t="s">
        <v>224</v>
      </c>
      <c r="E3460" s="13" t="s">
        <v>61</v>
      </c>
      <c r="F3460" s="13" t="s">
        <v>1332</v>
      </c>
      <c r="G3460" s="13">
        <v>0.68</v>
      </c>
      <c r="H3460" s="15">
        <v>6544</v>
      </c>
      <c r="I3460" s="16">
        <v>4449.92</v>
      </c>
      <c r="J3460" s="16">
        <v>2392.287928316141</v>
      </c>
      <c r="K3460" s="16">
        <v>2057.6320716838595</v>
      </c>
      <c r="L3460" s="13">
        <v>1.82</v>
      </c>
      <c r="M3460" s="13"/>
      <c r="N3460" s="17">
        <f t="shared" si="115"/>
        <v>11910.08</v>
      </c>
      <c r="O3460" s="17">
        <f t="shared" si="115"/>
        <v>0</v>
      </c>
      <c r="P3460" s="17">
        <f t="shared" si="116"/>
        <v>11910.08</v>
      </c>
      <c r="Q3460" t="str">
        <f>A3460&amp;"-"&amp;B3460&amp;"-"&amp;D3460</f>
        <v>AGUSTUS-KLB-L3A</v>
      </c>
    </row>
    <row r="3461" spans="1:17" x14ac:dyDescent="0.25">
      <c r="A3461" t="s">
        <v>398</v>
      </c>
      <c r="B3461" s="13" t="s">
        <v>24</v>
      </c>
      <c r="C3461" s="13" t="s">
        <v>226</v>
      </c>
      <c r="D3461" s="14" t="s">
        <v>224</v>
      </c>
      <c r="E3461" s="13" t="s">
        <v>61</v>
      </c>
      <c r="F3461" s="13" t="s">
        <v>1323</v>
      </c>
      <c r="G3461" s="13">
        <v>0.68</v>
      </c>
      <c r="H3461" s="15">
        <v>620</v>
      </c>
      <c r="I3461" s="16">
        <v>421.6</v>
      </c>
      <c r="J3461" s="16">
        <v>265.48572461522571</v>
      </c>
      <c r="K3461" s="16">
        <v>156.11427538477432</v>
      </c>
      <c r="L3461" s="13">
        <v>1.83</v>
      </c>
      <c r="M3461" s="13"/>
      <c r="N3461" s="17">
        <f t="shared" si="115"/>
        <v>1134.6000000000001</v>
      </c>
      <c r="O3461" s="17">
        <f t="shared" si="115"/>
        <v>0</v>
      </c>
      <c r="P3461" s="17">
        <f t="shared" si="116"/>
        <v>1134.6000000000001</v>
      </c>
      <c r="Q3461" t="str">
        <f>A3461&amp;"-"&amp;B3461&amp;"-"&amp;D3461</f>
        <v>AGUSTUS-KLB-L3A</v>
      </c>
    </row>
    <row r="3462" spans="1:17" x14ac:dyDescent="0.25">
      <c r="A3462" t="s">
        <v>398</v>
      </c>
      <c r="B3462" s="13" t="s">
        <v>24</v>
      </c>
      <c r="C3462" s="13" t="s">
        <v>226</v>
      </c>
      <c r="D3462" s="14" t="s">
        <v>224</v>
      </c>
      <c r="E3462" s="13" t="s">
        <v>61</v>
      </c>
      <c r="F3462" s="13" t="s">
        <v>1324</v>
      </c>
      <c r="G3462" s="13">
        <v>0.66</v>
      </c>
      <c r="H3462" s="15">
        <v>330</v>
      </c>
      <c r="I3462" s="16">
        <v>217.8</v>
      </c>
      <c r="J3462" s="16">
        <v>144.21968288399958</v>
      </c>
      <c r="K3462" s="16">
        <v>73.580317116000401</v>
      </c>
      <c r="L3462" s="13">
        <v>1.98</v>
      </c>
      <c r="M3462" s="13"/>
      <c r="N3462" s="17">
        <f t="shared" si="115"/>
        <v>653.4</v>
      </c>
      <c r="O3462" s="17">
        <f t="shared" si="115"/>
        <v>0</v>
      </c>
      <c r="P3462" s="17">
        <f t="shared" si="116"/>
        <v>653.4</v>
      </c>
      <c r="Q3462" t="str">
        <f>A3462&amp;"-"&amp;B3462&amp;"-"&amp;D3462</f>
        <v>AGUSTUS-KLB-L3A</v>
      </c>
    </row>
    <row r="3463" spans="1:17" x14ac:dyDescent="0.25">
      <c r="A3463" t="s">
        <v>398</v>
      </c>
      <c r="B3463" s="13" t="s">
        <v>24</v>
      </c>
      <c r="C3463" s="13" t="s">
        <v>226</v>
      </c>
      <c r="D3463" s="14" t="s">
        <v>224</v>
      </c>
      <c r="E3463" s="13" t="s">
        <v>61</v>
      </c>
      <c r="F3463" s="13" t="s">
        <v>1325</v>
      </c>
      <c r="G3463" s="13">
        <v>0.68</v>
      </c>
      <c r="H3463" s="15">
        <v>3365</v>
      </c>
      <c r="I3463" s="16">
        <v>2288.1999999999998</v>
      </c>
      <c r="J3463" s="16">
        <v>1285.7287414887676</v>
      </c>
      <c r="K3463" s="16">
        <v>1002.4712585112323</v>
      </c>
      <c r="L3463" s="13">
        <v>1.83</v>
      </c>
      <c r="M3463" s="13"/>
      <c r="N3463" s="17">
        <f t="shared" si="115"/>
        <v>6157.95</v>
      </c>
      <c r="O3463" s="17">
        <f t="shared" si="115"/>
        <v>0</v>
      </c>
      <c r="P3463" s="17">
        <f t="shared" si="116"/>
        <v>6157.95</v>
      </c>
      <c r="Q3463" t="str">
        <f>A3463&amp;"-"&amp;B3463&amp;"-"&amp;D3463</f>
        <v>AGUSTUS-KLB-L3A</v>
      </c>
    </row>
    <row r="3464" spans="1:17" x14ac:dyDescent="0.25">
      <c r="A3464" t="s">
        <v>398</v>
      </c>
      <c r="B3464" s="13" t="s">
        <v>24</v>
      </c>
      <c r="C3464" s="13" t="s">
        <v>226</v>
      </c>
      <c r="D3464" s="14" t="s">
        <v>224</v>
      </c>
      <c r="E3464" s="13" t="s">
        <v>61</v>
      </c>
      <c r="F3464" s="13" t="s">
        <v>1326</v>
      </c>
      <c r="G3464" s="13">
        <v>0.68</v>
      </c>
      <c r="H3464" s="15">
        <v>1200</v>
      </c>
      <c r="I3464" s="16">
        <v>816</v>
      </c>
      <c r="J3464" s="16">
        <v>487.96460176991155</v>
      </c>
      <c r="K3464" s="16">
        <v>328.03539823008845</v>
      </c>
      <c r="L3464" s="13">
        <v>1.83</v>
      </c>
      <c r="M3464" s="13"/>
      <c r="N3464" s="17">
        <f t="shared" si="115"/>
        <v>2196</v>
      </c>
      <c r="O3464" s="17">
        <f t="shared" si="115"/>
        <v>0</v>
      </c>
      <c r="P3464" s="17">
        <f t="shared" si="116"/>
        <v>2196</v>
      </c>
      <c r="Q3464" t="str">
        <f>A3464&amp;"-"&amp;B3464&amp;"-"&amp;D3464</f>
        <v>AGUSTUS-KLB-L3A</v>
      </c>
    </row>
    <row r="3465" spans="1:17" x14ac:dyDescent="0.25">
      <c r="A3465" t="s">
        <v>398</v>
      </c>
      <c r="B3465" s="13" t="s">
        <v>24</v>
      </c>
      <c r="C3465" s="13" t="s">
        <v>226</v>
      </c>
      <c r="D3465" s="14" t="s">
        <v>224</v>
      </c>
      <c r="E3465" s="13" t="s">
        <v>61</v>
      </c>
      <c r="F3465" s="13" t="s">
        <v>1327</v>
      </c>
      <c r="G3465" s="13">
        <v>0.66</v>
      </c>
      <c r="H3465" s="15">
        <v>7</v>
      </c>
      <c r="I3465" s="16">
        <v>4.62</v>
      </c>
      <c r="J3465" s="16">
        <v>2.8464601769911506</v>
      </c>
      <c r="K3465" s="16">
        <v>1.7735398230088495</v>
      </c>
      <c r="L3465" s="13">
        <v>1.98</v>
      </c>
      <c r="M3465" s="13"/>
      <c r="N3465" s="17">
        <f t="shared" si="115"/>
        <v>13.86</v>
      </c>
      <c r="O3465" s="17">
        <f t="shared" si="115"/>
        <v>0</v>
      </c>
      <c r="P3465" s="17">
        <f t="shared" si="116"/>
        <v>13.86</v>
      </c>
      <c r="Q3465" t="str">
        <f>A3465&amp;"-"&amp;B3465&amp;"-"&amp;D3465</f>
        <v>AGUSTUS-KLB-L3A</v>
      </c>
    </row>
    <row r="3466" spans="1:17" x14ac:dyDescent="0.25">
      <c r="A3466" t="s">
        <v>398</v>
      </c>
      <c r="B3466" s="13" t="s">
        <v>24</v>
      </c>
      <c r="C3466" s="13" t="s">
        <v>226</v>
      </c>
      <c r="D3466" s="14" t="s">
        <v>224</v>
      </c>
      <c r="E3466" s="13" t="s">
        <v>61</v>
      </c>
      <c r="F3466" s="13" t="s">
        <v>1328</v>
      </c>
      <c r="G3466" s="13">
        <v>0.68</v>
      </c>
      <c r="H3466" s="15">
        <v>1285</v>
      </c>
      <c r="I3466" s="16">
        <v>873.8</v>
      </c>
      <c r="J3466" s="16">
        <v>456.29524084390147</v>
      </c>
      <c r="K3466" s="16">
        <v>417.50475915609854</v>
      </c>
      <c r="L3466" s="13">
        <v>1.83</v>
      </c>
      <c r="M3466" s="13"/>
      <c r="N3466" s="17">
        <f t="shared" si="115"/>
        <v>2351.5500000000002</v>
      </c>
      <c r="O3466" s="17">
        <f t="shared" si="115"/>
        <v>0</v>
      </c>
      <c r="P3466" s="17">
        <f t="shared" si="116"/>
        <v>2351.5500000000002</v>
      </c>
      <c r="Q3466" t="str">
        <f>A3466&amp;"-"&amp;B3466&amp;"-"&amp;D3466</f>
        <v>AGUSTUS-KLB-L3A</v>
      </c>
    </row>
    <row r="3467" spans="1:17" x14ac:dyDescent="0.25">
      <c r="A3467" t="s">
        <v>398</v>
      </c>
      <c r="B3467" s="13" t="s">
        <v>24</v>
      </c>
      <c r="C3467" s="13" t="s">
        <v>226</v>
      </c>
      <c r="D3467" s="14" t="s">
        <v>224</v>
      </c>
      <c r="E3467" s="13" t="s">
        <v>61</v>
      </c>
      <c r="F3467" s="13" t="s">
        <v>1167</v>
      </c>
      <c r="G3467" s="13">
        <v>0.65</v>
      </c>
      <c r="H3467" s="15">
        <v>9113</v>
      </c>
      <c r="I3467" s="16">
        <v>5923.45</v>
      </c>
      <c r="J3467" s="16">
        <v>3355.4429718593437</v>
      </c>
      <c r="K3467" s="16">
        <v>2568.0070281406565</v>
      </c>
      <c r="L3467" s="13">
        <v>1.66</v>
      </c>
      <c r="M3467" s="13"/>
      <c r="N3467" s="17">
        <f t="shared" si="115"/>
        <v>15127.58</v>
      </c>
      <c r="O3467" s="17">
        <f t="shared" si="115"/>
        <v>0</v>
      </c>
      <c r="P3467" s="17">
        <f t="shared" si="116"/>
        <v>15127.58</v>
      </c>
      <c r="Q3467" t="str">
        <f>A3467&amp;"-"&amp;B3467&amp;"-"&amp;D3467</f>
        <v>AGUSTUS-KLB-L3A</v>
      </c>
    </row>
    <row r="3468" spans="1:17" x14ac:dyDescent="0.25">
      <c r="A3468" t="s">
        <v>398</v>
      </c>
      <c r="B3468" s="13" t="s">
        <v>24</v>
      </c>
      <c r="C3468" s="13" t="s">
        <v>226</v>
      </c>
      <c r="D3468" s="14" t="s">
        <v>225</v>
      </c>
      <c r="E3468" s="13" t="s">
        <v>61</v>
      </c>
      <c r="F3468" s="13" t="s">
        <v>1316</v>
      </c>
      <c r="G3468" s="13">
        <v>0.68</v>
      </c>
      <c r="H3468" s="15">
        <v>4167</v>
      </c>
      <c r="I3468" s="16">
        <v>2833.56</v>
      </c>
      <c r="J3468" s="16">
        <v>1769.7120031081772</v>
      </c>
      <c r="K3468" s="16">
        <v>1063.847996891823</v>
      </c>
      <c r="L3468" s="13">
        <v>1.82</v>
      </c>
      <c r="M3468" s="13"/>
      <c r="N3468" s="17">
        <f t="shared" si="115"/>
        <v>7583.9400000000005</v>
      </c>
      <c r="O3468" s="17">
        <f t="shared" si="115"/>
        <v>0</v>
      </c>
      <c r="P3468" s="17">
        <f t="shared" si="116"/>
        <v>7583.9400000000005</v>
      </c>
      <c r="Q3468" t="str">
        <f>A3468&amp;"-"&amp;B3468&amp;"-"&amp;D3468</f>
        <v>AGUSTUS-KLB-L3B</v>
      </c>
    </row>
    <row r="3469" spans="1:17" x14ac:dyDescent="0.25">
      <c r="A3469" t="s">
        <v>398</v>
      </c>
      <c r="B3469" s="13" t="s">
        <v>24</v>
      </c>
      <c r="C3469" s="13" t="s">
        <v>226</v>
      </c>
      <c r="D3469" s="14" t="s">
        <v>225</v>
      </c>
      <c r="E3469" s="13" t="s">
        <v>61</v>
      </c>
      <c r="F3469" s="13" t="s">
        <v>1317</v>
      </c>
      <c r="G3469" s="13">
        <v>0.66</v>
      </c>
      <c r="H3469" s="15">
        <v>10</v>
      </c>
      <c r="I3469" s="16">
        <v>6.6</v>
      </c>
      <c r="J3469" s="16">
        <v>4.0663716814159292</v>
      </c>
      <c r="K3469" s="16">
        <v>2.5336283185840704</v>
      </c>
      <c r="L3469" s="13">
        <v>1.97</v>
      </c>
      <c r="M3469" s="13"/>
      <c r="N3469" s="17">
        <f t="shared" si="115"/>
        <v>19.7</v>
      </c>
      <c r="O3469" s="17">
        <f t="shared" si="115"/>
        <v>0</v>
      </c>
      <c r="P3469" s="17">
        <f t="shared" si="116"/>
        <v>19.7</v>
      </c>
      <c r="Q3469" t="str">
        <f>A3469&amp;"-"&amp;B3469&amp;"-"&amp;D3469</f>
        <v>AGUSTUS-KLB-L3B</v>
      </c>
    </row>
    <row r="3470" spans="1:17" x14ac:dyDescent="0.25">
      <c r="A3470" t="s">
        <v>398</v>
      </c>
      <c r="B3470" s="13" t="s">
        <v>24</v>
      </c>
      <c r="C3470" s="13" t="s">
        <v>226</v>
      </c>
      <c r="D3470" s="14" t="s">
        <v>225</v>
      </c>
      <c r="E3470" s="13" t="s">
        <v>61</v>
      </c>
      <c r="F3470" s="13" t="s">
        <v>1329</v>
      </c>
      <c r="G3470" s="13">
        <v>0.68</v>
      </c>
      <c r="H3470" s="15">
        <v>6418</v>
      </c>
      <c r="I3470" s="16">
        <v>4364.24</v>
      </c>
      <c r="J3470" s="16">
        <v>2749.9987662362328</v>
      </c>
      <c r="K3470" s="16">
        <v>1614.2412337637672</v>
      </c>
      <c r="L3470" s="13">
        <v>1.82</v>
      </c>
      <c r="M3470" s="13"/>
      <c r="N3470" s="17">
        <f t="shared" si="115"/>
        <v>11680.76</v>
      </c>
      <c r="O3470" s="17">
        <f t="shared" si="115"/>
        <v>0</v>
      </c>
      <c r="P3470" s="17">
        <f t="shared" si="116"/>
        <v>11680.76</v>
      </c>
      <c r="Q3470" t="str">
        <f>A3470&amp;"-"&amp;B3470&amp;"-"&amp;D3470</f>
        <v>AGUSTUS-KLB-L3B</v>
      </c>
    </row>
    <row r="3471" spans="1:17" x14ac:dyDescent="0.25">
      <c r="A3471" t="s">
        <v>398</v>
      </c>
      <c r="B3471" s="13" t="s">
        <v>24</v>
      </c>
      <c r="C3471" s="13" t="s">
        <v>226</v>
      </c>
      <c r="D3471" s="14" t="s">
        <v>225</v>
      </c>
      <c r="E3471" s="13" t="s">
        <v>61</v>
      </c>
      <c r="F3471" s="13" t="s">
        <v>1330</v>
      </c>
      <c r="G3471" s="13">
        <v>0.66</v>
      </c>
      <c r="H3471" s="15">
        <v>170</v>
      </c>
      <c r="I3471" s="16">
        <v>112.19999999999999</v>
      </c>
      <c r="J3471" s="16">
        <v>75.257059006485534</v>
      </c>
      <c r="K3471" s="16">
        <v>36.942940993514469</v>
      </c>
      <c r="L3471" s="13">
        <v>1.97</v>
      </c>
      <c r="M3471" s="13"/>
      <c r="N3471" s="17">
        <f t="shared" si="115"/>
        <v>334.9</v>
      </c>
      <c r="O3471" s="17">
        <f t="shared" si="115"/>
        <v>0</v>
      </c>
      <c r="P3471" s="17">
        <f t="shared" si="116"/>
        <v>334.9</v>
      </c>
      <c r="Q3471" t="str">
        <f>A3471&amp;"-"&amp;B3471&amp;"-"&amp;D3471</f>
        <v>AGUSTUS-KLB-L3B</v>
      </c>
    </row>
    <row r="3472" spans="1:17" x14ac:dyDescent="0.25">
      <c r="A3472" t="s">
        <v>398</v>
      </c>
      <c r="B3472" s="13" t="s">
        <v>24</v>
      </c>
      <c r="C3472" s="13" t="s">
        <v>226</v>
      </c>
      <c r="D3472" s="14" t="s">
        <v>225</v>
      </c>
      <c r="E3472" s="13" t="s">
        <v>61</v>
      </c>
      <c r="F3472" s="13" t="s">
        <v>1318</v>
      </c>
      <c r="G3472" s="13">
        <v>0.68</v>
      </c>
      <c r="H3472" s="15">
        <v>2997</v>
      </c>
      <c r="I3472" s="16">
        <v>2037.9599999999998</v>
      </c>
      <c r="J3472" s="16">
        <v>1236.1480145713845</v>
      </c>
      <c r="K3472" s="16">
        <v>801.81198542861557</v>
      </c>
      <c r="L3472" s="13">
        <v>1.82</v>
      </c>
      <c r="M3472" s="13"/>
      <c r="N3472" s="17">
        <f t="shared" si="115"/>
        <v>5454.54</v>
      </c>
      <c r="O3472" s="17">
        <f t="shared" si="115"/>
        <v>0</v>
      </c>
      <c r="P3472" s="17">
        <f t="shared" si="116"/>
        <v>5454.54</v>
      </c>
      <c r="Q3472" t="str">
        <f>A3472&amp;"-"&amp;B3472&amp;"-"&amp;D3472</f>
        <v>AGUSTUS-KLB-L3B</v>
      </c>
    </row>
    <row r="3473" spans="1:17" x14ac:dyDescent="0.25">
      <c r="A3473" t="s">
        <v>398</v>
      </c>
      <c r="B3473" s="13" t="s">
        <v>24</v>
      </c>
      <c r="C3473" s="13" t="s">
        <v>226</v>
      </c>
      <c r="D3473" s="14" t="s">
        <v>225</v>
      </c>
      <c r="E3473" s="13" t="s">
        <v>61</v>
      </c>
      <c r="F3473" s="13" t="s">
        <v>1319</v>
      </c>
      <c r="G3473" s="13">
        <v>0.66</v>
      </c>
      <c r="H3473" s="15">
        <v>207</v>
      </c>
      <c r="I3473" s="16">
        <v>136.62</v>
      </c>
      <c r="J3473" s="16">
        <v>84.593177827940821</v>
      </c>
      <c r="K3473" s="16">
        <v>52.026822172059184</v>
      </c>
      <c r="L3473" s="13">
        <v>1.97</v>
      </c>
      <c r="M3473" s="13"/>
      <c r="N3473" s="17">
        <f t="shared" si="115"/>
        <v>407.79</v>
      </c>
      <c r="O3473" s="17">
        <f t="shared" si="115"/>
        <v>0</v>
      </c>
      <c r="P3473" s="17">
        <f t="shared" si="116"/>
        <v>407.79</v>
      </c>
      <c r="Q3473" t="str">
        <f>A3473&amp;"-"&amp;B3473&amp;"-"&amp;D3473</f>
        <v>AGUSTUS-KLB-L3B</v>
      </c>
    </row>
    <row r="3474" spans="1:17" x14ac:dyDescent="0.25">
      <c r="A3474" t="s">
        <v>398</v>
      </c>
      <c r="B3474" s="13" t="s">
        <v>24</v>
      </c>
      <c r="C3474" s="13" t="s">
        <v>226</v>
      </c>
      <c r="D3474" s="14" t="s">
        <v>225</v>
      </c>
      <c r="E3474" s="13" t="s">
        <v>61</v>
      </c>
      <c r="F3474" s="13" t="s">
        <v>1331</v>
      </c>
      <c r="G3474" s="13">
        <v>0.68</v>
      </c>
      <c r="H3474" s="15">
        <v>3456</v>
      </c>
      <c r="I3474" s="16">
        <v>2350.08</v>
      </c>
      <c r="J3474" s="16">
        <v>1444.6527439094311</v>
      </c>
      <c r="K3474" s="16">
        <v>905.4272560905689</v>
      </c>
      <c r="L3474" s="13">
        <v>1.82</v>
      </c>
      <c r="M3474" s="13"/>
      <c r="N3474" s="17">
        <f t="shared" si="115"/>
        <v>6289.92</v>
      </c>
      <c r="O3474" s="17">
        <f t="shared" si="115"/>
        <v>0</v>
      </c>
      <c r="P3474" s="17">
        <f t="shared" si="116"/>
        <v>6289.92</v>
      </c>
      <c r="Q3474" t="str">
        <f>A3474&amp;"-"&amp;B3474&amp;"-"&amp;D3474</f>
        <v>AGUSTUS-KLB-L3B</v>
      </c>
    </row>
    <row r="3475" spans="1:17" x14ac:dyDescent="0.25">
      <c r="A3475" t="s">
        <v>398</v>
      </c>
      <c r="B3475" s="13" t="s">
        <v>24</v>
      </c>
      <c r="C3475" s="13" t="s">
        <v>226</v>
      </c>
      <c r="D3475" s="14" t="s">
        <v>225</v>
      </c>
      <c r="E3475" s="13" t="s">
        <v>61</v>
      </c>
      <c r="F3475" s="13" t="s">
        <v>1168</v>
      </c>
      <c r="G3475" s="13">
        <v>0.68</v>
      </c>
      <c r="H3475" s="15">
        <v>2951</v>
      </c>
      <c r="I3475" s="16">
        <v>2006.6800000000003</v>
      </c>
      <c r="J3475" s="16">
        <v>1210.1477379500996</v>
      </c>
      <c r="K3475" s="16">
        <v>796.53226204990028</v>
      </c>
      <c r="L3475" s="13">
        <v>1.82</v>
      </c>
      <c r="M3475" s="13"/>
      <c r="N3475" s="17">
        <f t="shared" si="115"/>
        <v>5370.8200000000006</v>
      </c>
      <c r="O3475" s="17">
        <f t="shared" si="115"/>
        <v>0</v>
      </c>
      <c r="P3475" s="17">
        <f t="shared" si="116"/>
        <v>5370.8200000000006</v>
      </c>
      <c r="Q3475" t="str">
        <f>A3475&amp;"-"&amp;B3475&amp;"-"&amp;D3475</f>
        <v>AGUSTUS-KLB-L3B</v>
      </c>
    </row>
    <row r="3476" spans="1:17" x14ac:dyDescent="0.25">
      <c r="A3476" t="s">
        <v>398</v>
      </c>
      <c r="B3476" s="13" t="s">
        <v>24</v>
      </c>
      <c r="C3476" s="13" t="s">
        <v>226</v>
      </c>
      <c r="D3476" s="14" t="s">
        <v>225</v>
      </c>
      <c r="E3476" s="13" t="s">
        <v>61</v>
      </c>
      <c r="F3476" s="13" t="s">
        <v>1320</v>
      </c>
      <c r="G3476" s="13">
        <v>0.68</v>
      </c>
      <c r="H3476" s="15">
        <v>6845</v>
      </c>
      <c r="I3476" s="16">
        <v>4654.6000000000004</v>
      </c>
      <c r="J3476" s="16">
        <v>2664.8953229398662</v>
      </c>
      <c r="K3476" s="16">
        <v>1989.7046770601337</v>
      </c>
      <c r="L3476" s="13">
        <v>1.82</v>
      </c>
      <c r="M3476" s="13"/>
      <c r="N3476" s="17">
        <f t="shared" si="115"/>
        <v>12457.9</v>
      </c>
      <c r="O3476" s="17">
        <f t="shared" si="115"/>
        <v>0</v>
      </c>
      <c r="P3476" s="17">
        <f t="shared" si="116"/>
        <v>12457.9</v>
      </c>
      <c r="Q3476" t="str">
        <f>A3476&amp;"-"&amp;B3476&amp;"-"&amp;D3476</f>
        <v>AGUSTUS-KLB-L3B</v>
      </c>
    </row>
    <row r="3477" spans="1:17" x14ac:dyDescent="0.25">
      <c r="A3477" t="s">
        <v>398</v>
      </c>
      <c r="B3477" s="13" t="s">
        <v>24</v>
      </c>
      <c r="C3477" s="13" t="s">
        <v>226</v>
      </c>
      <c r="D3477" s="14" t="s">
        <v>225</v>
      </c>
      <c r="E3477" s="13" t="s">
        <v>61</v>
      </c>
      <c r="F3477" s="13" t="s">
        <v>1333</v>
      </c>
      <c r="G3477" s="13">
        <v>0.66</v>
      </c>
      <c r="H3477" s="15">
        <v>1395</v>
      </c>
      <c r="I3477" s="16">
        <v>920.7</v>
      </c>
      <c r="J3477" s="16">
        <v>629.66846758349709</v>
      </c>
      <c r="K3477" s="16">
        <v>291.03153241650296</v>
      </c>
      <c r="L3477" s="13">
        <v>1.97</v>
      </c>
      <c r="M3477" s="13"/>
      <c r="N3477" s="17">
        <f t="shared" si="115"/>
        <v>2748.15</v>
      </c>
      <c r="O3477" s="17">
        <f t="shared" si="115"/>
        <v>0</v>
      </c>
      <c r="P3477" s="17">
        <f t="shared" si="116"/>
        <v>2748.15</v>
      </c>
      <c r="Q3477" t="str">
        <f>A3477&amp;"-"&amp;B3477&amp;"-"&amp;D3477</f>
        <v>AGUSTUS-KLB-L3B</v>
      </c>
    </row>
    <row r="3478" spans="1:17" x14ac:dyDescent="0.25">
      <c r="A3478" t="s">
        <v>398</v>
      </c>
      <c r="B3478" s="13" t="s">
        <v>24</v>
      </c>
      <c r="C3478" s="13" t="s">
        <v>226</v>
      </c>
      <c r="D3478" s="14" t="s">
        <v>225</v>
      </c>
      <c r="E3478" s="13" t="s">
        <v>61</v>
      </c>
      <c r="F3478" s="13" t="s">
        <v>1332</v>
      </c>
      <c r="G3478" s="13">
        <v>0.68</v>
      </c>
      <c r="H3478" s="15">
        <v>4688</v>
      </c>
      <c r="I3478" s="16">
        <v>3187.84</v>
      </c>
      <c r="J3478" s="16">
        <v>1842.1678004535147</v>
      </c>
      <c r="K3478" s="16">
        <v>1345.6721995464852</v>
      </c>
      <c r="L3478" s="13">
        <v>1.82</v>
      </c>
      <c r="M3478" s="13"/>
      <c r="N3478" s="17">
        <f t="shared" si="115"/>
        <v>8532.16</v>
      </c>
      <c r="O3478" s="17">
        <f t="shared" si="115"/>
        <v>0</v>
      </c>
      <c r="P3478" s="17">
        <f t="shared" si="116"/>
        <v>8532.16</v>
      </c>
      <c r="Q3478" t="str">
        <f>A3478&amp;"-"&amp;B3478&amp;"-"&amp;D3478</f>
        <v>AGUSTUS-KLB-L3B</v>
      </c>
    </row>
    <row r="3479" spans="1:17" x14ac:dyDescent="0.25">
      <c r="A3479" t="s">
        <v>398</v>
      </c>
      <c r="B3479" s="13" t="s">
        <v>24</v>
      </c>
      <c r="C3479" s="13" t="s">
        <v>226</v>
      </c>
      <c r="D3479" s="14" t="s">
        <v>225</v>
      </c>
      <c r="E3479" s="13" t="s">
        <v>61</v>
      </c>
      <c r="F3479" s="13" t="s">
        <v>1323</v>
      </c>
      <c r="G3479" s="13">
        <v>0.68</v>
      </c>
      <c r="H3479" s="15">
        <v>2051</v>
      </c>
      <c r="I3479" s="16">
        <v>1394.68</v>
      </c>
      <c r="J3479" s="16">
        <v>850.90500182906692</v>
      </c>
      <c r="K3479" s="16">
        <v>543.77499817093303</v>
      </c>
      <c r="L3479" s="13">
        <v>1.83</v>
      </c>
      <c r="M3479" s="13"/>
      <c r="N3479" s="17">
        <f t="shared" si="115"/>
        <v>3753.33</v>
      </c>
      <c r="O3479" s="17">
        <f t="shared" si="115"/>
        <v>0</v>
      </c>
      <c r="P3479" s="17">
        <f t="shared" si="116"/>
        <v>3753.33</v>
      </c>
      <c r="Q3479" t="str">
        <f>A3479&amp;"-"&amp;B3479&amp;"-"&amp;D3479</f>
        <v>AGUSTUS-KLB-L3B</v>
      </c>
    </row>
    <row r="3480" spans="1:17" x14ac:dyDescent="0.25">
      <c r="A3480" t="s">
        <v>398</v>
      </c>
      <c r="B3480" s="13" t="s">
        <v>24</v>
      </c>
      <c r="C3480" s="13" t="s">
        <v>226</v>
      </c>
      <c r="D3480" s="14" t="s">
        <v>225</v>
      </c>
      <c r="E3480" s="13" t="s">
        <v>61</v>
      </c>
      <c r="F3480" s="13" t="s">
        <v>1324</v>
      </c>
      <c r="G3480" s="13">
        <v>0.66</v>
      </c>
      <c r="H3480" s="15">
        <v>34</v>
      </c>
      <c r="I3480" s="16">
        <v>22.44</v>
      </c>
      <c r="J3480" s="16">
        <v>13.899917022814265</v>
      </c>
      <c r="K3480" s="16">
        <v>8.5400829771857367</v>
      </c>
      <c r="L3480" s="13">
        <v>1.98</v>
      </c>
      <c r="M3480" s="13"/>
      <c r="N3480" s="17">
        <f t="shared" si="115"/>
        <v>67.319999999999993</v>
      </c>
      <c r="O3480" s="17">
        <f t="shared" si="115"/>
        <v>0</v>
      </c>
      <c r="P3480" s="17">
        <f t="shared" si="116"/>
        <v>67.319999999999993</v>
      </c>
      <c r="Q3480" t="str">
        <f>A3480&amp;"-"&amp;B3480&amp;"-"&amp;D3480</f>
        <v>AGUSTUS-KLB-L3B</v>
      </c>
    </row>
    <row r="3481" spans="1:17" x14ac:dyDescent="0.25">
      <c r="A3481" t="s">
        <v>398</v>
      </c>
      <c r="B3481" s="13" t="s">
        <v>24</v>
      </c>
      <c r="C3481" s="13" t="s">
        <v>226</v>
      </c>
      <c r="D3481" s="14" t="s">
        <v>225</v>
      </c>
      <c r="E3481" s="13" t="s">
        <v>61</v>
      </c>
      <c r="F3481" s="13" t="s">
        <v>1325</v>
      </c>
      <c r="G3481" s="13">
        <v>0.68</v>
      </c>
      <c r="H3481" s="15">
        <v>115</v>
      </c>
      <c r="I3481" s="16">
        <v>78.2</v>
      </c>
      <c r="J3481" s="16">
        <v>46.879317365116677</v>
      </c>
      <c r="K3481" s="16">
        <v>31.320682634883319</v>
      </c>
      <c r="L3481" s="13">
        <v>1.83</v>
      </c>
      <c r="M3481" s="13"/>
      <c r="N3481" s="17">
        <f t="shared" si="115"/>
        <v>210.45000000000002</v>
      </c>
      <c r="O3481" s="17">
        <f t="shared" si="115"/>
        <v>0</v>
      </c>
      <c r="P3481" s="17">
        <f t="shared" si="116"/>
        <v>210.45000000000002</v>
      </c>
      <c r="Q3481" t="str">
        <f>A3481&amp;"-"&amp;B3481&amp;"-"&amp;D3481</f>
        <v>AGUSTUS-KLB-L3B</v>
      </c>
    </row>
    <row r="3482" spans="1:17" x14ac:dyDescent="0.25">
      <c r="A3482" t="s">
        <v>398</v>
      </c>
      <c r="B3482" s="13" t="s">
        <v>24</v>
      </c>
      <c r="C3482" s="13" t="s">
        <v>226</v>
      </c>
      <c r="D3482" s="14" t="s">
        <v>225</v>
      </c>
      <c r="E3482" s="13" t="s">
        <v>61</v>
      </c>
      <c r="F3482" s="13" t="s">
        <v>1326</v>
      </c>
      <c r="G3482" s="13">
        <v>0.68</v>
      </c>
      <c r="H3482" s="15">
        <v>1584</v>
      </c>
      <c r="I3482" s="16">
        <v>1077.1200000000001</v>
      </c>
      <c r="J3482" s="16">
        <v>638.00368297857585</v>
      </c>
      <c r="K3482" s="16">
        <v>439.11631702142427</v>
      </c>
      <c r="L3482" s="13">
        <v>1.83</v>
      </c>
      <c r="M3482" s="13"/>
      <c r="N3482" s="17">
        <f t="shared" si="115"/>
        <v>2898.7200000000003</v>
      </c>
      <c r="O3482" s="17">
        <f t="shared" si="115"/>
        <v>0</v>
      </c>
      <c r="P3482" s="17">
        <f t="shared" si="116"/>
        <v>2898.7200000000003</v>
      </c>
      <c r="Q3482" t="str">
        <f>A3482&amp;"-"&amp;B3482&amp;"-"&amp;D3482</f>
        <v>AGUSTUS-KLB-L3B</v>
      </c>
    </row>
    <row r="3483" spans="1:17" x14ac:dyDescent="0.25">
      <c r="A3483" t="s">
        <v>398</v>
      </c>
      <c r="B3483" s="13" t="s">
        <v>24</v>
      </c>
      <c r="C3483" s="13" t="s">
        <v>226</v>
      </c>
      <c r="D3483" s="14" t="s">
        <v>225</v>
      </c>
      <c r="E3483" s="13" t="s">
        <v>61</v>
      </c>
      <c r="F3483" s="13" t="s">
        <v>1327</v>
      </c>
      <c r="G3483" s="13">
        <v>0.66</v>
      </c>
      <c r="H3483" s="15">
        <v>360</v>
      </c>
      <c r="I3483" s="16">
        <v>237.6</v>
      </c>
      <c r="J3483" s="16">
        <v>144.79044063990605</v>
      </c>
      <c r="K3483" s="16">
        <v>92.809559360093957</v>
      </c>
      <c r="L3483" s="13">
        <v>1.98</v>
      </c>
      <c r="M3483" s="13"/>
      <c r="N3483" s="17">
        <f t="shared" si="115"/>
        <v>712.8</v>
      </c>
      <c r="O3483" s="17">
        <f t="shared" si="115"/>
        <v>0</v>
      </c>
      <c r="P3483" s="17">
        <f t="shared" si="116"/>
        <v>712.8</v>
      </c>
      <c r="Q3483" t="str">
        <f>A3483&amp;"-"&amp;B3483&amp;"-"&amp;D3483</f>
        <v>AGUSTUS-KLB-L3B</v>
      </c>
    </row>
    <row r="3484" spans="1:17" x14ac:dyDescent="0.25">
      <c r="A3484" t="s">
        <v>398</v>
      </c>
      <c r="B3484" s="13" t="s">
        <v>24</v>
      </c>
      <c r="C3484" s="13" t="s">
        <v>226</v>
      </c>
      <c r="D3484" s="14" t="s">
        <v>225</v>
      </c>
      <c r="E3484" s="13" t="s">
        <v>61</v>
      </c>
      <c r="F3484" s="13" t="s">
        <v>1328</v>
      </c>
      <c r="G3484" s="13">
        <v>0.68</v>
      </c>
      <c r="H3484" s="15">
        <v>377</v>
      </c>
      <c r="I3484" s="16">
        <v>256.36</v>
      </c>
      <c r="J3484" s="16">
        <v>151.6786526593163</v>
      </c>
      <c r="K3484" s="16">
        <v>104.68134734068371</v>
      </c>
      <c r="L3484" s="13">
        <v>1.83</v>
      </c>
      <c r="M3484" s="13"/>
      <c r="N3484" s="17">
        <f t="shared" si="115"/>
        <v>689.91000000000008</v>
      </c>
      <c r="O3484" s="17">
        <f t="shared" si="115"/>
        <v>0</v>
      </c>
      <c r="P3484" s="17">
        <f t="shared" si="116"/>
        <v>689.91000000000008</v>
      </c>
      <c r="Q3484" t="str">
        <f>A3484&amp;"-"&amp;B3484&amp;"-"&amp;D3484</f>
        <v>AGUSTUS-KLB-L3B</v>
      </c>
    </row>
    <row r="3485" spans="1:17" x14ac:dyDescent="0.25">
      <c r="A3485" t="s">
        <v>398</v>
      </c>
      <c r="B3485" s="13" t="s">
        <v>24</v>
      </c>
      <c r="C3485" s="13" t="s">
        <v>226</v>
      </c>
      <c r="D3485" s="14" t="s">
        <v>225</v>
      </c>
      <c r="E3485" s="13" t="s">
        <v>61</v>
      </c>
      <c r="F3485" s="13" t="s">
        <v>1167</v>
      </c>
      <c r="G3485" s="13">
        <v>0.65</v>
      </c>
      <c r="H3485" s="15">
        <v>12269</v>
      </c>
      <c r="I3485" s="16">
        <v>7974.85</v>
      </c>
      <c r="J3485" s="16">
        <v>4660.5355222371581</v>
      </c>
      <c r="K3485" s="16">
        <v>3314.3144777628418</v>
      </c>
      <c r="L3485" s="13">
        <v>1.66</v>
      </c>
      <c r="M3485" s="13"/>
      <c r="N3485" s="17">
        <f t="shared" si="115"/>
        <v>20366.539999999997</v>
      </c>
      <c r="O3485" s="17">
        <f t="shared" si="115"/>
        <v>0</v>
      </c>
      <c r="P3485" s="17">
        <f t="shared" si="116"/>
        <v>20366.539999999997</v>
      </c>
      <c r="Q3485" t="str">
        <f>A3485&amp;"-"&amp;B3485&amp;"-"&amp;D3485</f>
        <v>AGUSTUS-KLB-L3B</v>
      </c>
    </row>
    <row r="3486" spans="1:17" x14ac:dyDescent="0.25">
      <c r="A3486" t="s">
        <v>398</v>
      </c>
      <c r="B3486" s="13" t="s">
        <v>25</v>
      </c>
      <c r="C3486" s="13" t="s">
        <v>226</v>
      </c>
      <c r="D3486" s="14" t="s">
        <v>44</v>
      </c>
      <c r="E3486" s="13" t="s">
        <v>61</v>
      </c>
      <c r="F3486" s="13" t="s">
        <v>1334</v>
      </c>
      <c r="G3486" s="13">
        <v>0.76000000000000012</v>
      </c>
      <c r="H3486" s="15">
        <v>3025</v>
      </c>
      <c r="I3486" s="16">
        <v>2299</v>
      </c>
      <c r="J3486" s="16">
        <v>2296.0745974025976</v>
      </c>
      <c r="K3486" s="16">
        <v>2.9254025974024671</v>
      </c>
      <c r="L3486" s="13">
        <v>2</v>
      </c>
      <c r="M3486" s="13"/>
      <c r="N3486" s="17">
        <f t="shared" si="115"/>
        <v>6050</v>
      </c>
      <c r="O3486" s="17">
        <f t="shared" si="115"/>
        <v>0</v>
      </c>
      <c r="P3486" s="17">
        <f t="shared" si="116"/>
        <v>6050</v>
      </c>
      <c r="Q3486" t="str">
        <f>A3486&amp;"-"&amp;B3486&amp;"-"&amp;D3486</f>
        <v>AGUSTUS-MJ1-L1</v>
      </c>
    </row>
    <row r="3487" spans="1:17" x14ac:dyDescent="0.25">
      <c r="A3487" t="s">
        <v>398</v>
      </c>
      <c r="B3487" s="13" t="s">
        <v>25</v>
      </c>
      <c r="C3487" s="13" t="s">
        <v>226</v>
      </c>
      <c r="D3487" s="14" t="s">
        <v>44</v>
      </c>
      <c r="E3487" s="13" t="s">
        <v>61</v>
      </c>
      <c r="F3487" s="13" t="s">
        <v>1335</v>
      </c>
      <c r="G3487" s="13">
        <v>0.67999999999999983</v>
      </c>
      <c r="H3487" s="15">
        <v>4258</v>
      </c>
      <c r="I3487" s="16">
        <v>2895.44</v>
      </c>
      <c r="J3487" s="16">
        <v>9794.8578271208917</v>
      </c>
      <c r="K3487" s="16">
        <v>-6899.4178271208921</v>
      </c>
      <c r="L3487" s="13">
        <v>1.83</v>
      </c>
      <c r="M3487" s="13"/>
      <c r="N3487" s="17">
        <f t="shared" si="115"/>
        <v>7792.14</v>
      </c>
      <c r="O3487" s="17">
        <f t="shared" si="115"/>
        <v>0</v>
      </c>
      <c r="P3487" s="17">
        <f t="shared" si="116"/>
        <v>7792.14</v>
      </c>
      <c r="Q3487" t="str">
        <f>A3487&amp;"-"&amp;B3487&amp;"-"&amp;D3487</f>
        <v>AGUSTUS-MJ1-L1</v>
      </c>
    </row>
    <row r="3488" spans="1:17" x14ac:dyDescent="0.25">
      <c r="A3488" t="s">
        <v>398</v>
      </c>
      <c r="B3488" s="13" t="s">
        <v>25</v>
      </c>
      <c r="C3488" s="13" t="s">
        <v>226</v>
      </c>
      <c r="D3488" s="14" t="s">
        <v>44</v>
      </c>
      <c r="E3488" s="13" t="s">
        <v>61</v>
      </c>
      <c r="F3488" s="13" t="s">
        <v>1336</v>
      </c>
      <c r="G3488" s="13">
        <v>0.68</v>
      </c>
      <c r="H3488" s="15">
        <v>2641</v>
      </c>
      <c r="I3488" s="16">
        <v>1795.8799999999999</v>
      </c>
      <c r="J3488" s="16">
        <v>2619.9263604501666</v>
      </c>
      <c r="K3488" s="16">
        <v>-824.04636045016684</v>
      </c>
      <c r="L3488" s="13">
        <v>1.83</v>
      </c>
      <c r="M3488" s="13"/>
      <c r="N3488" s="17">
        <f t="shared" si="115"/>
        <v>4833.03</v>
      </c>
      <c r="O3488" s="17">
        <f t="shared" si="115"/>
        <v>0</v>
      </c>
      <c r="P3488" s="17">
        <f t="shared" si="116"/>
        <v>4833.03</v>
      </c>
      <c r="Q3488" t="str">
        <f>A3488&amp;"-"&amp;B3488&amp;"-"&amp;D3488</f>
        <v>AGUSTUS-MJ1-L1</v>
      </c>
    </row>
    <row r="3489" spans="1:17" x14ac:dyDescent="0.25">
      <c r="A3489" t="s">
        <v>398</v>
      </c>
      <c r="B3489" s="13" t="s">
        <v>25</v>
      </c>
      <c r="C3489" s="13" t="s">
        <v>226</v>
      </c>
      <c r="D3489" s="14" t="s">
        <v>44</v>
      </c>
      <c r="E3489" s="13" t="s">
        <v>61</v>
      </c>
      <c r="F3489" s="13" t="s">
        <v>1337</v>
      </c>
      <c r="G3489" s="13">
        <v>0.66</v>
      </c>
      <c r="H3489" s="15">
        <v>51</v>
      </c>
      <c r="I3489" s="16">
        <v>33.659999999999997</v>
      </c>
      <c r="J3489" s="16">
        <v>44.282060096765974</v>
      </c>
      <c r="K3489" s="16">
        <v>-10.622060096765981</v>
      </c>
      <c r="L3489" s="13">
        <v>1.98</v>
      </c>
      <c r="M3489" s="13"/>
      <c r="N3489" s="17">
        <f t="shared" si="115"/>
        <v>100.98</v>
      </c>
      <c r="O3489" s="17">
        <f t="shared" si="115"/>
        <v>0</v>
      </c>
      <c r="P3489" s="17">
        <f t="shared" si="116"/>
        <v>100.98</v>
      </c>
      <c r="Q3489" t="str">
        <f>A3489&amp;"-"&amp;B3489&amp;"-"&amp;D3489</f>
        <v>AGUSTUS-MJ1-L1</v>
      </c>
    </row>
    <row r="3490" spans="1:17" x14ac:dyDescent="0.25">
      <c r="A3490" t="s">
        <v>398</v>
      </c>
      <c r="B3490" s="13" t="s">
        <v>25</v>
      </c>
      <c r="C3490" s="13" t="s">
        <v>226</v>
      </c>
      <c r="D3490" s="14" t="s">
        <v>310</v>
      </c>
      <c r="E3490" s="13" t="s">
        <v>61</v>
      </c>
      <c r="F3490" s="13" t="s">
        <v>1334</v>
      </c>
      <c r="G3490" s="13">
        <v>0.76000000000000012</v>
      </c>
      <c r="H3490" s="15">
        <v>3025</v>
      </c>
      <c r="I3490" s="16">
        <v>2299</v>
      </c>
      <c r="J3490" s="16">
        <v>2150.7122273147643</v>
      </c>
      <c r="K3490" s="16">
        <v>148.28777268523544</v>
      </c>
      <c r="L3490" s="13">
        <v>2</v>
      </c>
      <c r="M3490" s="13"/>
      <c r="N3490" s="17">
        <f t="shared" si="115"/>
        <v>6050</v>
      </c>
      <c r="O3490" s="17">
        <f t="shared" si="115"/>
        <v>0</v>
      </c>
      <c r="P3490" s="17">
        <f t="shared" si="116"/>
        <v>6050</v>
      </c>
      <c r="Q3490" t="str">
        <f>A3490&amp;"-"&amp;B3490&amp;"-"&amp;D3490</f>
        <v>AGUSTUS-MJ1-L12</v>
      </c>
    </row>
    <row r="3491" spans="1:17" x14ac:dyDescent="0.25">
      <c r="A3491" t="s">
        <v>398</v>
      </c>
      <c r="B3491" s="13" t="s">
        <v>25</v>
      </c>
      <c r="C3491" s="13" t="s">
        <v>226</v>
      </c>
      <c r="D3491" s="14" t="s">
        <v>310</v>
      </c>
      <c r="E3491" s="13" t="s">
        <v>61</v>
      </c>
      <c r="F3491" s="13" t="s">
        <v>1335</v>
      </c>
      <c r="G3491" s="13">
        <v>0.67999999999999994</v>
      </c>
      <c r="H3491" s="15">
        <v>3959</v>
      </c>
      <c r="I3491" s="16">
        <v>2692.1200000000003</v>
      </c>
      <c r="J3491" s="16">
        <v>7357.8606191451991</v>
      </c>
      <c r="K3491" s="16">
        <v>-4665.7406191451983</v>
      </c>
      <c r="L3491" s="13">
        <v>1.83</v>
      </c>
      <c r="M3491" s="13"/>
      <c r="N3491" s="17">
        <f t="shared" si="115"/>
        <v>7244.97</v>
      </c>
      <c r="O3491" s="17">
        <f t="shared" si="115"/>
        <v>0</v>
      </c>
      <c r="P3491" s="17">
        <f t="shared" si="116"/>
        <v>7244.97</v>
      </c>
      <c r="Q3491" t="str">
        <f>A3491&amp;"-"&amp;B3491&amp;"-"&amp;D3491</f>
        <v>AGUSTUS-MJ1-L12</v>
      </c>
    </row>
    <row r="3492" spans="1:17" x14ac:dyDescent="0.25">
      <c r="A3492" t="s">
        <v>398</v>
      </c>
      <c r="B3492" s="13" t="s">
        <v>25</v>
      </c>
      <c r="C3492" s="13" t="s">
        <v>226</v>
      </c>
      <c r="D3492" s="14" t="s">
        <v>310</v>
      </c>
      <c r="E3492" s="13" t="s">
        <v>61</v>
      </c>
      <c r="F3492" s="13" t="s">
        <v>1336</v>
      </c>
      <c r="G3492" s="13">
        <v>0.68</v>
      </c>
      <c r="H3492" s="15">
        <v>3734</v>
      </c>
      <c r="I3492" s="16">
        <v>2539.12</v>
      </c>
      <c r="J3492" s="16">
        <v>3109.5904518753641</v>
      </c>
      <c r="K3492" s="16">
        <v>-570.47045187536446</v>
      </c>
      <c r="L3492" s="13">
        <v>1.83</v>
      </c>
      <c r="M3492" s="13"/>
      <c r="N3492" s="17">
        <f t="shared" si="115"/>
        <v>6833.22</v>
      </c>
      <c r="O3492" s="17">
        <f t="shared" si="115"/>
        <v>0</v>
      </c>
      <c r="P3492" s="17">
        <f t="shared" si="116"/>
        <v>6833.22</v>
      </c>
      <c r="Q3492" t="str">
        <f>A3492&amp;"-"&amp;B3492&amp;"-"&amp;D3492</f>
        <v>AGUSTUS-MJ1-L12</v>
      </c>
    </row>
    <row r="3493" spans="1:17" x14ac:dyDescent="0.25">
      <c r="A3493" t="s">
        <v>398</v>
      </c>
      <c r="B3493" s="13" t="s">
        <v>25</v>
      </c>
      <c r="C3493" s="13" t="s">
        <v>226</v>
      </c>
      <c r="D3493" s="14" t="s">
        <v>310</v>
      </c>
      <c r="E3493" s="13" t="s">
        <v>61</v>
      </c>
      <c r="F3493" s="13" t="s">
        <v>1337</v>
      </c>
      <c r="G3493" s="13">
        <v>0.66</v>
      </c>
      <c r="H3493" s="15">
        <v>53</v>
      </c>
      <c r="I3493" s="16">
        <v>34.979999999999997</v>
      </c>
      <c r="J3493" s="16">
        <v>41.836701664671963</v>
      </c>
      <c r="K3493" s="16">
        <v>-6.856701664671963</v>
      </c>
      <c r="L3493" s="13">
        <v>1.98</v>
      </c>
      <c r="M3493" s="13"/>
      <c r="N3493" s="17">
        <f t="shared" si="115"/>
        <v>104.94</v>
      </c>
      <c r="O3493" s="17">
        <f t="shared" si="115"/>
        <v>0</v>
      </c>
      <c r="P3493" s="17">
        <f t="shared" si="116"/>
        <v>104.94</v>
      </c>
      <c r="Q3493" t="str">
        <f>A3493&amp;"-"&amp;B3493&amp;"-"&amp;D3493</f>
        <v>AGUSTUS-MJ1-L12</v>
      </c>
    </row>
    <row r="3494" spans="1:17" x14ac:dyDescent="0.25">
      <c r="A3494" t="s">
        <v>398</v>
      </c>
      <c r="B3494" s="13" t="s">
        <v>25</v>
      </c>
      <c r="C3494" s="13" t="s">
        <v>60</v>
      </c>
      <c r="D3494" s="14" t="s">
        <v>287</v>
      </c>
      <c r="E3494" s="13" t="s">
        <v>58</v>
      </c>
      <c r="F3494" s="13" t="s">
        <v>1338</v>
      </c>
      <c r="G3494" s="13">
        <v>2.41</v>
      </c>
      <c r="H3494" s="15">
        <v>938</v>
      </c>
      <c r="I3494" s="16">
        <v>2260.58</v>
      </c>
      <c r="J3494" s="16">
        <v>7212.0491803278692</v>
      </c>
      <c r="K3494" s="16">
        <v>-4951.4691803278693</v>
      </c>
      <c r="L3494" s="13">
        <v>5.52</v>
      </c>
      <c r="M3494" s="13"/>
      <c r="N3494" s="17">
        <f t="shared" si="115"/>
        <v>5177.7599999999993</v>
      </c>
      <c r="O3494" s="17">
        <f t="shared" si="115"/>
        <v>0</v>
      </c>
      <c r="P3494" s="17">
        <f t="shared" si="116"/>
        <v>5177.7599999999993</v>
      </c>
      <c r="Q3494" t="str">
        <f>A3494&amp;"-"&amp;B3494&amp;"-"&amp;D3494</f>
        <v>AGUSTUS-MJ1-L11</v>
      </c>
    </row>
    <row r="3495" spans="1:17" x14ac:dyDescent="0.25">
      <c r="A3495" t="s">
        <v>398</v>
      </c>
      <c r="B3495" s="13" t="s">
        <v>25</v>
      </c>
      <c r="C3495" s="13" t="s">
        <v>60</v>
      </c>
      <c r="D3495" s="14" t="s">
        <v>287</v>
      </c>
      <c r="E3495" s="13" t="s">
        <v>58</v>
      </c>
      <c r="F3495" s="13" t="s">
        <v>1339</v>
      </c>
      <c r="G3495" s="13">
        <v>4.2699999999999996</v>
      </c>
      <c r="H3495" s="15">
        <v>20</v>
      </c>
      <c r="I3495" s="16">
        <v>85.4</v>
      </c>
      <c r="J3495" s="16">
        <v>172.95081967213113</v>
      </c>
      <c r="K3495" s="16">
        <v>-87.550819672131126</v>
      </c>
      <c r="L3495" s="13">
        <v>8.9</v>
      </c>
      <c r="M3495" s="13"/>
      <c r="N3495" s="17">
        <f t="shared" si="115"/>
        <v>178</v>
      </c>
      <c r="O3495" s="17">
        <f t="shared" si="115"/>
        <v>0</v>
      </c>
      <c r="P3495" s="17">
        <f t="shared" si="116"/>
        <v>178</v>
      </c>
      <c r="Q3495" t="str">
        <f>A3495&amp;"-"&amp;B3495&amp;"-"&amp;D3495</f>
        <v>AGUSTUS-MJ1-L11</v>
      </c>
    </row>
    <row r="3496" spans="1:17" x14ac:dyDescent="0.25">
      <c r="A3496" t="s">
        <v>398</v>
      </c>
      <c r="B3496" s="13" t="s">
        <v>25</v>
      </c>
      <c r="C3496" s="13" t="s">
        <v>60</v>
      </c>
      <c r="D3496" s="14" t="s">
        <v>287</v>
      </c>
      <c r="E3496" s="13" t="s">
        <v>63</v>
      </c>
      <c r="F3496" s="13" t="s">
        <v>1340</v>
      </c>
      <c r="G3496" s="13">
        <v>2.0399999999999996</v>
      </c>
      <c r="H3496" s="15">
        <v>1492</v>
      </c>
      <c r="I3496" s="16">
        <v>3043.6800000000003</v>
      </c>
      <c r="J3496" s="16">
        <v>6330</v>
      </c>
      <c r="K3496" s="16">
        <v>-3286.3199999999997</v>
      </c>
      <c r="L3496" s="13">
        <v>4.79</v>
      </c>
      <c r="M3496" s="13"/>
      <c r="N3496" s="17">
        <f t="shared" si="115"/>
        <v>7146.68</v>
      </c>
      <c r="O3496" s="17">
        <f t="shared" si="115"/>
        <v>0</v>
      </c>
      <c r="P3496" s="17">
        <f t="shared" si="116"/>
        <v>7146.68</v>
      </c>
      <c r="Q3496" t="str">
        <f>A3496&amp;"-"&amp;B3496&amp;"-"&amp;D3496</f>
        <v>AGUSTUS-MJ1-L11</v>
      </c>
    </row>
    <row r="3497" spans="1:17" x14ac:dyDescent="0.25">
      <c r="A3497" t="s">
        <v>398</v>
      </c>
      <c r="B3497" s="13" t="s">
        <v>25</v>
      </c>
      <c r="C3497" s="13" t="s">
        <v>60</v>
      </c>
      <c r="D3497" s="14" t="s">
        <v>287</v>
      </c>
      <c r="E3497" s="13" t="s">
        <v>68</v>
      </c>
      <c r="F3497" s="13" t="s">
        <v>1341</v>
      </c>
      <c r="G3497" s="13">
        <v>3.7899999999999996</v>
      </c>
      <c r="H3497" s="15">
        <v>481</v>
      </c>
      <c r="I3497" s="16">
        <v>1822.9900000000002</v>
      </c>
      <c r="J3497" s="16">
        <v>6330</v>
      </c>
      <c r="K3497" s="16">
        <v>-4507.01</v>
      </c>
      <c r="L3497" s="13">
        <v>9.7200000000000006</v>
      </c>
      <c r="M3497" s="13"/>
      <c r="N3497" s="17">
        <f t="shared" si="115"/>
        <v>4675.3200000000006</v>
      </c>
      <c r="O3497" s="17">
        <f t="shared" si="115"/>
        <v>0</v>
      </c>
      <c r="P3497" s="17">
        <f t="shared" si="116"/>
        <v>4675.3200000000006</v>
      </c>
      <c r="Q3497" t="str">
        <f>A3497&amp;"-"&amp;B3497&amp;"-"&amp;D3497</f>
        <v>AGUSTUS-MJ1-L11</v>
      </c>
    </row>
    <row r="3498" spans="1:17" x14ac:dyDescent="0.25">
      <c r="A3498" t="s">
        <v>398</v>
      </c>
      <c r="B3498" s="13" t="s">
        <v>25</v>
      </c>
      <c r="C3498" s="13" t="s">
        <v>60</v>
      </c>
      <c r="D3498" s="14" t="s">
        <v>310</v>
      </c>
      <c r="E3498" s="13" t="s">
        <v>58</v>
      </c>
      <c r="F3498" s="13" t="s">
        <v>1338</v>
      </c>
      <c r="G3498" s="13">
        <v>2.41</v>
      </c>
      <c r="H3498" s="15">
        <v>191</v>
      </c>
      <c r="I3498" s="16">
        <v>460.31</v>
      </c>
      <c r="J3498" s="16">
        <v>1938.4552845528456</v>
      </c>
      <c r="K3498" s="16">
        <v>-1478.1452845528456</v>
      </c>
      <c r="L3498" s="13">
        <v>5.52</v>
      </c>
      <c r="M3498" s="13"/>
      <c r="N3498" s="17">
        <f t="shared" si="115"/>
        <v>1054.32</v>
      </c>
      <c r="O3498" s="17">
        <f t="shared" si="115"/>
        <v>0</v>
      </c>
      <c r="P3498" s="17">
        <f t="shared" si="116"/>
        <v>1054.32</v>
      </c>
      <c r="Q3498" t="str">
        <f>A3498&amp;"-"&amp;B3498&amp;"-"&amp;D3498</f>
        <v>AGUSTUS-MJ1-L12</v>
      </c>
    </row>
    <row r="3499" spans="1:17" x14ac:dyDescent="0.25">
      <c r="A3499" t="s">
        <v>398</v>
      </c>
      <c r="B3499" s="13" t="s">
        <v>25</v>
      </c>
      <c r="C3499" s="13" t="s">
        <v>60</v>
      </c>
      <c r="D3499" s="14" t="s">
        <v>310</v>
      </c>
      <c r="E3499" s="13" t="s">
        <v>58</v>
      </c>
      <c r="F3499" s="13" t="s">
        <v>1339</v>
      </c>
      <c r="G3499" s="13">
        <v>4.2699999999999996</v>
      </c>
      <c r="H3499" s="15">
        <v>890</v>
      </c>
      <c r="I3499" s="16">
        <v>3800.3</v>
      </c>
      <c r="J3499" s="16">
        <v>4391.5447154471549</v>
      </c>
      <c r="K3499" s="16">
        <v>-591.24471544715448</v>
      </c>
      <c r="L3499" s="13">
        <v>8.9</v>
      </c>
      <c r="M3499" s="13"/>
      <c r="N3499" s="17">
        <f t="shared" si="115"/>
        <v>7921</v>
      </c>
      <c r="O3499" s="17">
        <f t="shared" si="115"/>
        <v>0</v>
      </c>
      <c r="P3499" s="17">
        <f t="shared" si="116"/>
        <v>7921</v>
      </c>
      <c r="Q3499" t="str">
        <f>A3499&amp;"-"&amp;B3499&amp;"-"&amp;D3499</f>
        <v>AGUSTUS-MJ1-L12</v>
      </c>
    </row>
    <row r="3500" spans="1:17" x14ac:dyDescent="0.25">
      <c r="A3500" t="s">
        <v>398</v>
      </c>
      <c r="B3500" s="13" t="s">
        <v>25</v>
      </c>
      <c r="C3500" s="13" t="s">
        <v>60</v>
      </c>
      <c r="D3500" s="14" t="s">
        <v>310</v>
      </c>
      <c r="E3500" s="13" t="s">
        <v>68</v>
      </c>
      <c r="F3500" s="13" t="s">
        <v>1341</v>
      </c>
      <c r="G3500" s="13">
        <v>3.79</v>
      </c>
      <c r="H3500" s="15">
        <v>15</v>
      </c>
      <c r="I3500" s="16">
        <v>56.85</v>
      </c>
      <c r="J3500" s="16">
        <v>1055</v>
      </c>
      <c r="K3500" s="16">
        <v>-998.15</v>
      </c>
      <c r="L3500" s="13">
        <v>9.7200000000000006</v>
      </c>
      <c r="M3500" s="13"/>
      <c r="N3500" s="17">
        <f t="shared" si="115"/>
        <v>145.80000000000001</v>
      </c>
      <c r="O3500" s="17">
        <f t="shared" si="115"/>
        <v>0</v>
      </c>
      <c r="P3500" s="17">
        <f t="shared" si="116"/>
        <v>145.80000000000001</v>
      </c>
      <c r="Q3500" t="str">
        <f>A3500&amp;"-"&amp;B3500&amp;"-"&amp;D3500</f>
        <v>AGUSTUS-MJ1-L12</v>
      </c>
    </row>
    <row r="3501" spans="1:17" x14ac:dyDescent="0.25">
      <c r="A3501" t="s">
        <v>398</v>
      </c>
      <c r="B3501" s="13" t="s">
        <v>25</v>
      </c>
      <c r="C3501" s="13" t="s">
        <v>286</v>
      </c>
      <c r="D3501" s="14" t="s">
        <v>56</v>
      </c>
      <c r="E3501" s="13" t="s">
        <v>1074</v>
      </c>
      <c r="F3501" s="13" t="s">
        <v>1075</v>
      </c>
      <c r="G3501" s="13">
        <v>2.5</v>
      </c>
      <c r="H3501" s="15">
        <v>129</v>
      </c>
      <c r="I3501" s="16">
        <v>322.5</v>
      </c>
      <c r="J3501" s="16">
        <v>3165</v>
      </c>
      <c r="K3501" s="16">
        <v>-2842.5</v>
      </c>
      <c r="L3501" s="13"/>
      <c r="M3501" s="13">
        <v>2.5</v>
      </c>
      <c r="N3501" s="17">
        <f t="shared" si="115"/>
        <v>0</v>
      </c>
      <c r="O3501" s="17">
        <f t="shared" si="115"/>
        <v>322.5</v>
      </c>
      <c r="P3501" s="17">
        <f t="shared" si="116"/>
        <v>322.5</v>
      </c>
      <c r="Q3501" t="str">
        <f>A3501&amp;"-"&amp;B3501&amp;"-"&amp;D3501</f>
        <v>AGUSTUS-MJ1-L3</v>
      </c>
    </row>
    <row r="3502" spans="1:17" x14ac:dyDescent="0.25">
      <c r="A3502" t="s">
        <v>398</v>
      </c>
      <c r="B3502" s="13" t="s">
        <v>25</v>
      </c>
      <c r="C3502" s="13" t="s">
        <v>286</v>
      </c>
      <c r="D3502" s="14" t="s">
        <v>158</v>
      </c>
      <c r="E3502" s="13" t="s">
        <v>1074</v>
      </c>
      <c r="F3502" s="13" t="s">
        <v>1075</v>
      </c>
      <c r="G3502" s="13">
        <v>2.5</v>
      </c>
      <c r="H3502" s="15">
        <v>56</v>
      </c>
      <c r="I3502" s="16">
        <v>140</v>
      </c>
      <c r="J3502" s="16">
        <v>106.2589928057554</v>
      </c>
      <c r="K3502" s="16">
        <v>33.741007194244602</v>
      </c>
      <c r="L3502" s="13"/>
      <c r="M3502" s="13">
        <v>2.5</v>
      </c>
      <c r="N3502" s="17">
        <f t="shared" ref="N3502:O3557" si="117">$H3502*L3502</f>
        <v>0</v>
      </c>
      <c r="O3502" s="17">
        <f t="shared" si="117"/>
        <v>140</v>
      </c>
      <c r="P3502" s="17">
        <f t="shared" si="116"/>
        <v>140</v>
      </c>
      <c r="Q3502" t="str">
        <f>A3502&amp;"-"&amp;B3502&amp;"-"&amp;D3502</f>
        <v>AGUSTUS-MJ1-L4</v>
      </c>
    </row>
    <row r="3503" spans="1:17" x14ac:dyDescent="0.25">
      <c r="A3503" t="s">
        <v>398</v>
      </c>
      <c r="B3503" s="13" t="s">
        <v>25</v>
      </c>
      <c r="C3503" s="13" t="s">
        <v>286</v>
      </c>
      <c r="D3503" s="14" t="s">
        <v>158</v>
      </c>
      <c r="E3503" s="13" t="s">
        <v>58</v>
      </c>
      <c r="F3503" s="13" t="s">
        <v>940</v>
      </c>
      <c r="G3503" s="13">
        <v>3.05</v>
      </c>
      <c r="H3503" s="15">
        <v>215</v>
      </c>
      <c r="I3503" s="16">
        <v>655.75</v>
      </c>
      <c r="J3503" s="16">
        <v>577.16284987277345</v>
      </c>
      <c r="K3503" s="16">
        <v>78.58715012722655</v>
      </c>
      <c r="L3503" s="13"/>
      <c r="M3503" s="13">
        <v>3.05</v>
      </c>
      <c r="N3503" s="17">
        <f t="shared" si="117"/>
        <v>0</v>
      </c>
      <c r="O3503" s="17">
        <f t="shared" si="117"/>
        <v>655.75</v>
      </c>
      <c r="P3503" s="17">
        <f t="shared" si="116"/>
        <v>655.75</v>
      </c>
      <c r="Q3503" t="str">
        <f>A3503&amp;"-"&amp;B3503&amp;"-"&amp;D3503</f>
        <v>AGUSTUS-MJ1-L4</v>
      </c>
    </row>
    <row r="3504" spans="1:17" x14ac:dyDescent="0.25">
      <c r="A3504" t="s">
        <v>398</v>
      </c>
      <c r="B3504" s="13" t="s">
        <v>25</v>
      </c>
      <c r="C3504" s="13" t="s">
        <v>286</v>
      </c>
      <c r="D3504" s="14" t="s">
        <v>158</v>
      </c>
      <c r="E3504" s="13" t="s">
        <v>58</v>
      </c>
      <c r="F3504" s="13" t="s">
        <v>932</v>
      </c>
      <c r="G3504" s="13">
        <v>4.1500000000000004</v>
      </c>
      <c r="H3504" s="15">
        <v>38</v>
      </c>
      <c r="I3504" s="16">
        <v>157.69999999999999</v>
      </c>
      <c r="J3504" s="16">
        <v>102.01017811704835</v>
      </c>
      <c r="K3504" s="16">
        <v>55.689821882951634</v>
      </c>
      <c r="L3504" s="13"/>
      <c r="M3504" s="13">
        <v>4.05</v>
      </c>
      <c r="N3504" s="17">
        <f t="shared" si="117"/>
        <v>0</v>
      </c>
      <c r="O3504" s="17">
        <f t="shared" si="117"/>
        <v>153.9</v>
      </c>
      <c r="P3504" s="17">
        <f t="shared" si="116"/>
        <v>153.9</v>
      </c>
      <c r="Q3504" t="str">
        <f>A3504&amp;"-"&amp;B3504&amp;"-"&amp;D3504</f>
        <v>AGUSTUS-MJ1-L4</v>
      </c>
    </row>
    <row r="3505" spans="1:17" x14ac:dyDescent="0.25">
      <c r="A3505" t="s">
        <v>398</v>
      </c>
      <c r="B3505" s="13" t="s">
        <v>25</v>
      </c>
      <c r="C3505" s="13" t="s">
        <v>1043</v>
      </c>
      <c r="D3505" s="14" t="s">
        <v>158</v>
      </c>
      <c r="E3505" s="13" t="s">
        <v>534</v>
      </c>
      <c r="F3505" s="13" t="s">
        <v>1044</v>
      </c>
      <c r="G3505" s="13">
        <v>0.8</v>
      </c>
      <c r="H3505" s="15">
        <v>293</v>
      </c>
      <c r="I3505" s="16">
        <v>234.4</v>
      </c>
      <c r="J3505" s="16">
        <v>878.21826681049981</v>
      </c>
      <c r="K3505" s="16">
        <v>-643.81826681049984</v>
      </c>
      <c r="L3505" s="13"/>
      <c r="M3505" s="13">
        <v>0.8</v>
      </c>
      <c r="N3505" s="17">
        <f t="shared" si="117"/>
        <v>0</v>
      </c>
      <c r="O3505" s="17">
        <f t="shared" si="117"/>
        <v>234.4</v>
      </c>
      <c r="P3505" s="17">
        <f t="shared" si="116"/>
        <v>234.4</v>
      </c>
      <c r="Q3505" t="str">
        <f>A3505&amp;"-"&amp;B3505&amp;"-"&amp;D3505</f>
        <v>AGUSTUS-MJ1-L4</v>
      </c>
    </row>
    <row r="3506" spans="1:17" x14ac:dyDescent="0.25">
      <c r="A3506" t="s">
        <v>398</v>
      </c>
      <c r="B3506" s="13" t="s">
        <v>25</v>
      </c>
      <c r="C3506" s="13" t="s">
        <v>1043</v>
      </c>
      <c r="D3506" s="14" t="s">
        <v>158</v>
      </c>
      <c r="E3506" s="13" t="s">
        <v>534</v>
      </c>
      <c r="F3506" s="13" t="s">
        <v>1170</v>
      </c>
      <c r="G3506" s="13">
        <v>0.8</v>
      </c>
      <c r="H3506" s="15">
        <v>35</v>
      </c>
      <c r="I3506" s="16">
        <v>28</v>
      </c>
      <c r="J3506" s="16">
        <v>66.360674705599507</v>
      </c>
      <c r="K3506" s="16">
        <v>-38.360674705599514</v>
      </c>
      <c r="L3506" s="13"/>
      <c r="M3506" s="13">
        <v>0.8</v>
      </c>
      <c r="N3506" s="17">
        <f t="shared" si="117"/>
        <v>0</v>
      </c>
      <c r="O3506" s="17">
        <f t="shared" si="117"/>
        <v>28</v>
      </c>
      <c r="P3506" s="17">
        <f t="shared" si="116"/>
        <v>28</v>
      </c>
      <c r="Q3506" t="str">
        <f>A3506&amp;"-"&amp;B3506&amp;"-"&amp;D3506</f>
        <v>AGUSTUS-MJ1-L4</v>
      </c>
    </row>
    <row r="3507" spans="1:17" x14ac:dyDescent="0.25">
      <c r="A3507" t="s">
        <v>398</v>
      </c>
      <c r="B3507" s="13" t="s">
        <v>25</v>
      </c>
      <c r="C3507" s="13" t="s">
        <v>1043</v>
      </c>
      <c r="D3507" s="14" t="s">
        <v>158</v>
      </c>
      <c r="E3507" s="13" t="s">
        <v>534</v>
      </c>
      <c r="F3507" s="13" t="s">
        <v>1152</v>
      </c>
      <c r="G3507" s="13">
        <v>0.79999999999999993</v>
      </c>
      <c r="H3507" s="15">
        <v>1692</v>
      </c>
      <c r="I3507" s="16">
        <v>1353.6000000000001</v>
      </c>
      <c r="J3507" s="16">
        <v>4724.7611552457092</v>
      </c>
      <c r="K3507" s="16">
        <v>-3371.1611552457102</v>
      </c>
      <c r="L3507" s="13"/>
      <c r="M3507" s="13">
        <v>0.8</v>
      </c>
      <c r="N3507" s="17">
        <f t="shared" si="117"/>
        <v>0</v>
      </c>
      <c r="O3507" s="17">
        <f t="shared" si="117"/>
        <v>1353.6000000000001</v>
      </c>
      <c r="P3507" s="17">
        <f t="shared" si="116"/>
        <v>1353.6000000000001</v>
      </c>
      <c r="Q3507" t="str">
        <f>A3507&amp;"-"&amp;B3507&amp;"-"&amp;D3507</f>
        <v>AGUSTUS-MJ1-L4</v>
      </c>
    </row>
    <row r="3508" spans="1:17" x14ac:dyDescent="0.25">
      <c r="A3508" t="s">
        <v>398</v>
      </c>
      <c r="B3508" s="13" t="s">
        <v>25</v>
      </c>
      <c r="C3508" s="13" t="s">
        <v>1043</v>
      </c>
      <c r="D3508" s="14" t="s">
        <v>158</v>
      </c>
      <c r="E3508" s="13" t="s">
        <v>534</v>
      </c>
      <c r="F3508" s="13" t="s">
        <v>1171</v>
      </c>
      <c r="G3508" s="13">
        <v>0.9</v>
      </c>
      <c r="H3508" s="15">
        <v>158</v>
      </c>
      <c r="I3508" s="16">
        <v>142.20000000000002</v>
      </c>
      <c r="J3508" s="16">
        <v>186.95663508646112</v>
      </c>
      <c r="K3508" s="16">
        <v>-44.756635086461117</v>
      </c>
      <c r="L3508" s="13"/>
      <c r="M3508" s="13">
        <v>0.9</v>
      </c>
      <c r="N3508" s="17">
        <f t="shared" si="117"/>
        <v>0</v>
      </c>
      <c r="O3508" s="17">
        <f t="shared" si="117"/>
        <v>142.20000000000002</v>
      </c>
      <c r="P3508" s="17">
        <f t="shared" si="116"/>
        <v>142.20000000000002</v>
      </c>
      <c r="Q3508" t="str">
        <f>A3508&amp;"-"&amp;B3508&amp;"-"&amp;D3508</f>
        <v>AGUSTUS-MJ1-L4</v>
      </c>
    </row>
    <row r="3509" spans="1:17" x14ac:dyDescent="0.25">
      <c r="A3509" t="s">
        <v>398</v>
      </c>
      <c r="B3509" s="13" t="s">
        <v>25</v>
      </c>
      <c r="C3509" s="13" t="s">
        <v>1043</v>
      </c>
      <c r="D3509" s="14" t="s">
        <v>158</v>
      </c>
      <c r="E3509" s="13" t="s">
        <v>534</v>
      </c>
      <c r="F3509" s="13" t="s">
        <v>1045</v>
      </c>
      <c r="G3509" s="13">
        <v>0.79999999999999993</v>
      </c>
      <c r="H3509" s="15">
        <v>1845</v>
      </c>
      <c r="I3509" s="16">
        <v>1476</v>
      </c>
      <c r="J3509" s="16">
        <v>3614.7324847504356</v>
      </c>
      <c r="K3509" s="16">
        <v>-2138.732484750436</v>
      </c>
      <c r="L3509" s="13"/>
      <c r="M3509" s="13">
        <v>0.8</v>
      </c>
      <c r="N3509" s="17">
        <f t="shared" si="117"/>
        <v>0</v>
      </c>
      <c r="O3509" s="17">
        <f t="shared" si="117"/>
        <v>1476</v>
      </c>
      <c r="P3509" s="17">
        <f t="shared" si="116"/>
        <v>1476</v>
      </c>
      <c r="Q3509" t="str">
        <f>A3509&amp;"-"&amp;B3509&amp;"-"&amp;D3509</f>
        <v>AGUSTUS-MJ1-L4</v>
      </c>
    </row>
    <row r="3510" spans="1:17" x14ac:dyDescent="0.25">
      <c r="A3510" t="s">
        <v>398</v>
      </c>
      <c r="B3510" s="13" t="s">
        <v>25</v>
      </c>
      <c r="C3510" s="13" t="s">
        <v>1043</v>
      </c>
      <c r="D3510" s="14" t="s">
        <v>158</v>
      </c>
      <c r="E3510" s="13" t="s">
        <v>534</v>
      </c>
      <c r="F3510" s="13" t="s">
        <v>1046</v>
      </c>
      <c r="G3510" s="13">
        <v>0.9</v>
      </c>
      <c r="H3510" s="15">
        <v>213</v>
      </c>
      <c r="I3510" s="16">
        <v>191.7</v>
      </c>
      <c r="J3510" s="16">
        <v>631.22191011235952</v>
      </c>
      <c r="K3510" s="16">
        <v>-439.52191011235954</v>
      </c>
      <c r="L3510" s="13"/>
      <c r="M3510" s="13">
        <v>0.9</v>
      </c>
      <c r="N3510" s="17">
        <f t="shared" si="117"/>
        <v>0</v>
      </c>
      <c r="O3510" s="17">
        <f t="shared" si="117"/>
        <v>191.70000000000002</v>
      </c>
      <c r="P3510" s="17">
        <f t="shared" si="116"/>
        <v>191.70000000000002</v>
      </c>
      <c r="Q3510" t="str">
        <f>A3510&amp;"-"&amp;B3510&amp;"-"&amp;D3510</f>
        <v>AGUSTUS-MJ1-L4</v>
      </c>
    </row>
    <row r="3511" spans="1:17" x14ac:dyDescent="0.25">
      <c r="A3511" t="s">
        <v>398</v>
      </c>
      <c r="B3511" s="13" t="s">
        <v>25</v>
      </c>
      <c r="C3511" s="13" t="s">
        <v>1043</v>
      </c>
      <c r="D3511" s="14" t="s">
        <v>158</v>
      </c>
      <c r="E3511" s="13" t="s">
        <v>534</v>
      </c>
      <c r="F3511" s="13" t="s">
        <v>1153</v>
      </c>
      <c r="G3511" s="13">
        <v>0.8</v>
      </c>
      <c r="H3511" s="15">
        <v>258</v>
      </c>
      <c r="I3511" s="16">
        <v>206.4</v>
      </c>
      <c r="J3511" s="16">
        <v>869.39814814814815</v>
      </c>
      <c r="K3511" s="16">
        <v>-662.99814814814818</v>
      </c>
      <c r="L3511" s="13"/>
      <c r="M3511" s="13">
        <v>0.8</v>
      </c>
      <c r="N3511" s="17">
        <f t="shared" si="117"/>
        <v>0</v>
      </c>
      <c r="O3511" s="17">
        <f t="shared" si="117"/>
        <v>206.4</v>
      </c>
      <c r="P3511" s="17">
        <f t="shared" si="116"/>
        <v>206.4</v>
      </c>
      <c r="Q3511" t="str">
        <f>A3511&amp;"-"&amp;B3511&amp;"-"&amp;D3511</f>
        <v>AGUSTUS-MJ1-L4</v>
      </c>
    </row>
    <row r="3512" spans="1:17" x14ac:dyDescent="0.25">
      <c r="A3512" t="s">
        <v>398</v>
      </c>
      <c r="B3512" s="13" t="s">
        <v>25</v>
      </c>
      <c r="C3512" s="13" t="s">
        <v>1043</v>
      </c>
      <c r="D3512" s="14" t="s">
        <v>158</v>
      </c>
      <c r="E3512" s="13" t="s">
        <v>534</v>
      </c>
      <c r="F3512" s="13" t="s">
        <v>1172</v>
      </c>
      <c r="G3512" s="13">
        <v>0.8</v>
      </c>
      <c r="H3512" s="15">
        <v>66</v>
      </c>
      <c r="I3512" s="16">
        <v>52.8</v>
      </c>
      <c r="J3512" s="16">
        <v>190.97591218214831</v>
      </c>
      <c r="K3512" s="16">
        <v>-138.17591218214832</v>
      </c>
      <c r="L3512" s="13"/>
      <c r="M3512" s="13">
        <v>0.8</v>
      </c>
      <c r="N3512" s="17">
        <f t="shared" si="117"/>
        <v>0</v>
      </c>
      <c r="O3512" s="17">
        <f t="shared" si="117"/>
        <v>52.800000000000004</v>
      </c>
      <c r="P3512" s="17">
        <f t="shared" si="116"/>
        <v>52.800000000000004</v>
      </c>
      <c r="Q3512" t="str">
        <f>A3512&amp;"-"&amp;B3512&amp;"-"&amp;D3512</f>
        <v>AGUSTUS-MJ1-L4</v>
      </c>
    </row>
    <row r="3513" spans="1:17" x14ac:dyDescent="0.25">
      <c r="A3513" t="s">
        <v>398</v>
      </c>
      <c r="B3513" s="13" t="s">
        <v>25</v>
      </c>
      <c r="C3513" s="13" t="s">
        <v>43</v>
      </c>
      <c r="D3513" s="14" t="s">
        <v>158</v>
      </c>
      <c r="E3513" s="13" t="s">
        <v>58</v>
      </c>
      <c r="F3513" s="13" t="s">
        <v>1342</v>
      </c>
      <c r="G3513" s="13">
        <v>3.52</v>
      </c>
      <c r="H3513" s="15">
        <v>42</v>
      </c>
      <c r="I3513" s="16">
        <v>147.84</v>
      </c>
      <c r="J3513" s="16">
        <v>195.19823788546256</v>
      </c>
      <c r="K3513" s="16">
        <v>-47.358237885462557</v>
      </c>
      <c r="L3513" s="13"/>
      <c r="M3513" s="13">
        <v>3.65</v>
      </c>
      <c r="N3513" s="17">
        <f t="shared" si="117"/>
        <v>0</v>
      </c>
      <c r="O3513" s="17">
        <f t="shared" si="117"/>
        <v>153.29999999999998</v>
      </c>
      <c r="P3513" s="17">
        <f t="shared" si="116"/>
        <v>153.29999999999998</v>
      </c>
      <c r="Q3513" t="str">
        <f>A3513&amp;"-"&amp;B3513&amp;"-"&amp;D3513</f>
        <v>AGUSTUS-MJ1-L4</v>
      </c>
    </row>
    <row r="3514" spans="1:17" x14ac:dyDescent="0.25">
      <c r="A3514" t="s">
        <v>398</v>
      </c>
      <c r="B3514" s="13" t="s">
        <v>25</v>
      </c>
      <c r="C3514" s="13" t="s">
        <v>43</v>
      </c>
      <c r="D3514" s="14" t="s">
        <v>158</v>
      </c>
      <c r="E3514" s="13" t="s">
        <v>58</v>
      </c>
      <c r="F3514" s="13" t="s">
        <v>1343</v>
      </c>
      <c r="G3514" s="13">
        <v>9.83</v>
      </c>
      <c r="H3514" s="15">
        <v>25</v>
      </c>
      <c r="I3514" s="16">
        <v>245.75</v>
      </c>
      <c r="J3514" s="16">
        <v>116.18942731277532</v>
      </c>
      <c r="K3514" s="16">
        <v>129.56057268722469</v>
      </c>
      <c r="L3514" s="13"/>
      <c r="M3514" s="13">
        <v>9.9600000000000009</v>
      </c>
      <c r="N3514" s="17">
        <f t="shared" si="117"/>
        <v>0</v>
      </c>
      <c r="O3514" s="17">
        <f t="shared" si="117"/>
        <v>249.00000000000003</v>
      </c>
      <c r="P3514" s="17">
        <f t="shared" si="116"/>
        <v>249.00000000000003</v>
      </c>
      <c r="Q3514" t="str">
        <f>A3514&amp;"-"&amp;B3514&amp;"-"&amp;D3514</f>
        <v>AGUSTUS-MJ1-L4</v>
      </c>
    </row>
    <row r="3515" spans="1:17" x14ac:dyDescent="0.25">
      <c r="A3515" t="s">
        <v>398</v>
      </c>
      <c r="B3515" s="13" t="s">
        <v>25</v>
      </c>
      <c r="C3515" s="13" t="s">
        <v>43</v>
      </c>
      <c r="D3515" s="14" t="s">
        <v>158</v>
      </c>
      <c r="E3515" s="13" t="s">
        <v>1267</v>
      </c>
      <c r="F3515" s="13" t="s">
        <v>1344</v>
      </c>
      <c r="G3515" s="13">
        <v>2.850000000000001</v>
      </c>
      <c r="H3515" s="15">
        <v>1496</v>
      </c>
      <c r="I3515" s="16">
        <v>4263.6000000000004</v>
      </c>
      <c r="J3515" s="16">
        <v>9408.2666043648551</v>
      </c>
      <c r="K3515" s="16">
        <v>-5144.6666043648556</v>
      </c>
      <c r="L3515" s="13"/>
      <c r="M3515" s="13">
        <v>3</v>
      </c>
      <c r="N3515" s="17">
        <f t="shared" si="117"/>
        <v>0</v>
      </c>
      <c r="O3515" s="17">
        <f t="shared" si="117"/>
        <v>4488</v>
      </c>
      <c r="P3515" s="17">
        <f t="shared" si="116"/>
        <v>4488</v>
      </c>
      <c r="Q3515" t="str">
        <f>A3515&amp;"-"&amp;B3515&amp;"-"&amp;D3515</f>
        <v>AGUSTUS-MJ1-L4</v>
      </c>
    </row>
    <row r="3516" spans="1:17" x14ac:dyDescent="0.25">
      <c r="A3516" t="s">
        <v>398</v>
      </c>
      <c r="B3516" s="13" t="s">
        <v>25</v>
      </c>
      <c r="C3516" s="13" t="s">
        <v>43</v>
      </c>
      <c r="D3516" s="14" t="s">
        <v>158</v>
      </c>
      <c r="E3516" s="13" t="s">
        <v>179</v>
      </c>
      <c r="F3516" s="13" t="s">
        <v>1345</v>
      </c>
      <c r="G3516" s="13">
        <v>3.54</v>
      </c>
      <c r="H3516" s="15">
        <v>147</v>
      </c>
      <c r="I3516" s="16">
        <v>520.38</v>
      </c>
      <c r="J3516" s="16">
        <v>986.94249617271225</v>
      </c>
      <c r="K3516" s="16">
        <v>-466.5624961727122</v>
      </c>
      <c r="L3516" s="13"/>
      <c r="M3516" s="13">
        <v>3.69</v>
      </c>
      <c r="N3516" s="17">
        <f t="shared" si="117"/>
        <v>0</v>
      </c>
      <c r="O3516" s="17">
        <f t="shared" si="117"/>
        <v>542.42999999999995</v>
      </c>
      <c r="P3516" s="17">
        <f t="shared" si="116"/>
        <v>542.42999999999995</v>
      </c>
      <c r="Q3516" t="str">
        <f>A3516&amp;"-"&amp;B3516&amp;"-"&amp;D3516</f>
        <v>AGUSTUS-MJ1-L4</v>
      </c>
    </row>
    <row r="3517" spans="1:17" x14ac:dyDescent="0.25">
      <c r="A3517" t="s">
        <v>398</v>
      </c>
      <c r="B3517" s="13" t="s">
        <v>25</v>
      </c>
      <c r="C3517" s="13" t="s">
        <v>43</v>
      </c>
      <c r="D3517" s="14" t="s">
        <v>158</v>
      </c>
      <c r="E3517" s="13" t="s">
        <v>179</v>
      </c>
      <c r="F3517" s="13" t="s">
        <v>1346</v>
      </c>
      <c r="G3517" s="13">
        <v>3.6</v>
      </c>
      <c r="H3517" s="15">
        <v>48</v>
      </c>
      <c r="I3517" s="16">
        <v>172.8</v>
      </c>
      <c r="J3517" s="16">
        <v>367.75484101692041</v>
      </c>
      <c r="K3517" s="16">
        <v>-194.9548410169204</v>
      </c>
      <c r="L3517" s="13"/>
      <c r="M3517" s="13">
        <v>3.75</v>
      </c>
      <c r="N3517" s="17">
        <f t="shared" si="117"/>
        <v>0</v>
      </c>
      <c r="O3517" s="17">
        <f t="shared" si="117"/>
        <v>180</v>
      </c>
      <c r="P3517" s="17">
        <f t="shared" si="116"/>
        <v>180</v>
      </c>
      <c r="Q3517" t="str">
        <f>A3517&amp;"-"&amp;B3517&amp;"-"&amp;D3517</f>
        <v>AGUSTUS-MJ1-L4</v>
      </c>
    </row>
    <row r="3518" spans="1:17" x14ac:dyDescent="0.25">
      <c r="A3518" t="s">
        <v>398</v>
      </c>
      <c r="B3518" s="13" t="s">
        <v>25</v>
      </c>
      <c r="C3518" s="13" t="s">
        <v>43</v>
      </c>
      <c r="D3518" s="14" t="s">
        <v>158</v>
      </c>
      <c r="E3518" s="13" t="s">
        <v>179</v>
      </c>
      <c r="F3518" s="13" t="s">
        <v>1347</v>
      </c>
      <c r="G3518" s="13">
        <v>3.6</v>
      </c>
      <c r="H3518" s="15">
        <v>23</v>
      </c>
      <c r="I3518" s="16">
        <v>82.8</v>
      </c>
      <c r="J3518" s="16">
        <v>187.59118541033433</v>
      </c>
      <c r="K3518" s="16">
        <v>-104.79118541033434</v>
      </c>
      <c r="L3518" s="13"/>
      <c r="M3518" s="13">
        <v>3.75</v>
      </c>
      <c r="N3518" s="17">
        <f t="shared" si="117"/>
        <v>0</v>
      </c>
      <c r="O3518" s="17">
        <f t="shared" si="117"/>
        <v>86.25</v>
      </c>
      <c r="P3518" s="17">
        <f t="shared" si="116"/>
        <v>86.25</v>
      </c>
      <c r="Q3518" t="str">
        <f>A3518&amp;"-"&amp;B3518&amp;"-"&amp;D3518</f>
        <v>AGUSTUS-MJ1-L4</v>
      </c>
    </row>
    <row r="3519" spans="1:17" x14ac:dyDescent="0.25">
      <c r="A3519" t="s">
        <v>398</v>
      </c>
      <c r="B3519" s="13" t="s">
        <v>25</v>
      </c>
      <c r="C3519" s="13" t="s">
        <v>947</v>
      </c>
      <c r="D3519" s="14" t="s">
        <v>50</v>
      </c>
      <c r="E3519" s="13" t="s">
        <v>65</v>
      </c>
      <c r="F3519" s="13" t="s">
        <v>1348</v>
      </c>
      <c r="G3519" s="13">
        <v>3.11</v>
      </c>
      <c r="H3519" s="15">
        <v>1535</v>
      </c>
      <c r="I3519" s="16">
        <v>4773.8500000000004</v>
      </c>
      <c r="J3519" s="16">
        <v>5185.6322844235083</v>
      </c>
      <c r="K3519" s="16">
        <v>-411.78228442350814</v>
      </c>
      <c r="L3519" s="13"/>
      <c r="M3519" s="13">
        <v>4.03</v>
      </c>
      <c r="N3519" s="17">
        <f t="shared" si="117"/>
        <v>0</v>
      </c>
      <c r="O3519" s="17">
        <f t="shared" si="117"/>
        <v>6186.05</v>
      </c>
      <c r="P3519" s="17">
        <f t="shared" si="116"/>
        <v>6186.05</v>
      </c>
      <c r="Q3519" t="str">
        <f>A3519&amp;"-"&amp;B3519&amp;"-"&amp;D3519</f>
        <v>AGUSTUS-MJ1-L2</v>
      </c>
    </row>
    <row r="3520" spans="1:17" x14ac:dyDescent="0.25">
      <c r="A3520" t="s">
        <v>398</v>
      </c>
      <c r="B3520" s="13" t="s">
        <v>25</v>
      </c>
      <c r="C3520" s="13" t="s">
        <v>947</v>
      </c>
      <c r="D3520" s="14" t="s">
        <v>50</v>
      </c>
      <c r="E3520" s="13" t="s">
        <v>65</v>
      </c>
      <c r="F3520" s="13" t="s">
        <v>1349</v>
      </c>
      <c r="G3520" s="13">
        <v>3.11</v>
      </c>
      <c r="H3520" s="15">
        <v>906</v>
      </c>
      <c r="I3520" s="16">
        <v>2817.66</v>
      </c>
      <c r="J3520" s="16">
        <v>10639.367715576491</v>
      </c>
      <c r="K3520" s="16">
        <v>-7821.7077155764928</v>
      </c>
      <c r="L3520" s="13"/>
      <c r="M3520" s="13">
        <v>3.99</v>
      </c>
      <c r="N3520" s="17">
        <f t="shared" si="117"/>
        <v>0</v>
      </c>
      <c r="O3520" s="17">
        <f t="shared" si="117"/>
        <v>3614.94</v>
      </c>
      <c r="P3520" s="17">
        <f t="shared" si="116"/>
        <v>3614.94</v>
      </c>
      <c r="Q3520" t="str">
        <f>A3520&amp;"-"&amp;B3520&amp;"-"&amp;D3520</f>
        <v>AGUSTUS-MJ1-L2</v>
      </c>
    </row>
    <row r="3521" spans="1:17" x14ac:dyDescent="0.25">
      <c r="A3521" t="s">
        <v>398</v>
      </c>
      <c r="B3521" s="13" t="s">
        <v>25</v>
      </c>
      <c r="C3521" s="13" t="s">
        <v>947</v>
      </c>
      <c r="D3521" s="14" t="s">
        <v>56</v>
      </c>
      <c r="E3521" s="13" t="s">
        <v>65</v>
      </c>
      <c r="F3521" s="13" t="s">
        <v>1350</v>
      </c>
      <c r="G3521" s="13">
        <v>2.2599999999999993</v>
      </c>
      <c r="H3521" s="15">
        <v>1149</v>
      </c>
      <c r="I3521" s="16">
        <v>2596.7399999999998</v>
      </c>
      <c r="J3521" s="16">
        <v>4604.0355428215489</v>
      </c>
      <c r="K3521" s="16">
        <v>-2007.2955428215485</v>
      </c>
      <c r="L3521" s="13"/>
      <c r="M3521" s="13">
        <v>3.12</v>
      </c>
      <c r="N3521" s="17">
        <f t="shared" si="117"/>
        <v>0</v>
      </c>
      <c r="O3521" s="17">
        <f t="shared" si="117"/>
        <v>3584.88</v>
      </c>
      <c r="P3521" s="17">
        <f t="shared" si="116"/>
        <v>3584.88</v>
      </c>
      <c r="Q3521" t="str">
        <f>A3521&amp;"-"&amp;B3521&amp;"-"&amp;D3521</f>
        <v>AGUSTUS-MJ1-L3</v>
      </c>
    </row>
    <row r="3522" spans="1:17" x14ac:dyDescent="0.25">
      <c r="A3522" t="s">
        <v>398</v>
      </c>
      <c r="B3522" s="13" t="s">
        <v>25</v>
      </c>
      <c r="C3522" s="13" t="s">
        <v>947</v>
      </c>
      <c r="D3522" s="14" t="s">
        <v>56</v>
      </c>
      <c r="E3522" s="13" t="s">
        <v>65</v>
      </c>
      <c r="F3522" s="13" t="s">
        <v>1348</v>
      </c>
      <c r="G3522" s="13">
        <v>3.11</v>
      </c>
      <c r="H3522" s="15">
        <v>975</v>
      </c>
      <c r="I3522" s="16">
        <v>3032.25</v>
      </c>
      <c r="J3522" s="16">
        <v>3901.6277350080218</v>
      </c>
      <c r="K3522" s="16">
        <v>-869.37773500802211</v>
      </c>
      <c r="L3522" s="13"/>
      <c r="M3522" s="13">
        <v>4.03</v>
      </c>
      <c r="N3522" s="17">
        <f t="shared" si="117"/>
        <v>0</v>
      </c>
      <c r="O3522" s="17">
        <f t="shared" si="117"/>
        <v>3929.2500000000005</v>
      </c>
      <c r="P3522" s="17">
        <f t="shared" ref="P3522:P3585" si="118">N3522+O3522</f>
        <v>3929.2500000000005</v>
      </c>
      <c r="Q3522" t="str">
        <f>A3522&amp;"-"&amp;B3522&amp;"-"&amp;D3522</f>
        <v>AGUSTUS-MJ1-L3</v>
      </c>
    </row>
    <row r="3523" spans="1:17" x14ac:dyDescent="0.25">
      <c r="A3523" t="s">
        <v>398</v>
      </c>
      <c r="B3523" s="13" t="s">
        <v>25</v>
      </c>
      <c r="C3523" s="13" t="s">
        <v>947</v>
      </c>
      <c r="D3523" s="14" t="s">
        <v>56</v>
      </c>
      <c r="E3523" s="13" t="s">
        <v>65</v>
      </c>
      <c r="F3523" s="13" t="s">
        <v>1349</v>
      </c>
      <c r="G3523" s="13">
        <v>3.11</v>
      </c>
      <c r="H3523" s="15">
        <v>943</v>
      </c>
      <c r="I3523" s="16">
        <v>2932.73</v>
      </c>
      <c r="J3523" s="16">
        <v>11539.336722170432</v>
      </c>
      <c r="K3523" s="16">
        <v>-8606.6067221704288</v>
      </c>
      <c r="L3523" s="13"/>
      <c r="M3523" s="13">
        <v>3.99</v>
      </c>
      <c r="N3523" s="17">
        <f t="shared" si="117"/>
        <v>0</v>
      </c>
      <c r="O3523" s="17">
        <f t="shared" si="117"/>
        <v>3762.57</v>
      </c>
      <c r="P3523" s="17">
        <f t="shared" si="118"/>
        <v>3762.57</v>
      </c>
      <c r="Q3523" t="str">
        <f>A3523&amp;"-"&amp;B3523&amp;"-"&amp;D3523</f>
        <v>AGUSTUS-MJ1-L3</v>
      </c>
    </row>
    <row r="3524" spans="1:17" x14ac:dyDescent="0.25">
      <c r="A3524" t="s">
        <v>398</v>
      </c>
      <c r="B3524" s="13" t="s">
        <v>25</v>
      </c>
      <c r="C3524" s="13" t="s">
        <v>952</v>
      </c>
      <c r="D3524" s="14" t="s">
        <v>287</v>
      </c>
      <c r="E3524" s="13" t="s">
        <v>953</v>
      </c>
      <c r="F3524" s="13" t="s">
        <v>1174</v>
      </c>
      <c r="G3524" s="13">
        <v>12.47</v>
      </c>
      <c r="H3524" s="15">
        <v>107</v>
      </c>
      <c r="I3524" s="16">
        <v>1334.29</v>
      </c>
      <c r="J3524" s="16">
        <v>3165</v>
      </c>
      <c r="K3524" s="16">
        <v>-1830.71</v>
      </c>
      <c r="L3524" s="13"/>
      <c r="M3524" s="13">
        <v>20.239999999999998</v>
      </c>
      <c r="N3524" s="17">
        <f t="shared" si="117"/>
        <v>0</v>
      </c>
      <c r="O3524" s="17">
        <f t="shared" si="117"/>
        <v>2165.6799999999998</v>
      </c>
      <c r="P3524" s="17">
        <f t="shared" si="118"/>
        <v>2165.6799999999998</v>
      </c>
      <c r="Q3524" t="str">
        <f>A3524&amp;"-"&amp;B3524&amp;"-"&amp;D3524</f>
        <v>AGUSTUS-MJ1-L11</v>
      </c>
    </row>
    <row r="3525" spans="1:17" x14ac:dyDescent="0.25">
      <c r="A3525" t="s">
        <v>398</v>
      </c>
      <c r="B3525" s="13" t="s">
        <v>25</v>
      </c>
      <c r="C3525" s="13" t="s">
        <v>952</v>
      </c>
      <c r="D3525" s="14" t="s">
        <v>310</v>
      </c>
      <c r="E3525" s="13" t="s">
        <v>953</v>
      </c>
      <c r="F3525" s="13" t="s">
        <v>1174</v>
      </c>
      <c r="G3525" s="13">
        <v>12.47</v>
      </c>
      <c r="H3525" s="15">
        <v>108</v>
      </c>
      <c r="I3525" s="16">
        <v>1346.76</v>
      </c>
      <c r="J3525" s="16">
        <v>3165</v>
      </c>
      <c r="K3525" s="16">
        <v>-1818.24</v>
      </c>
      <c r="L3525" s="13"/>
      <c r="M3525" s="13">
        <v>20.239999999999998</v>
      </c>
      <c r="N3525" s="17">
        <f t="shared" si="117"/>
        <v>0</v>
      </c>
      <c r="O3525" s="17">
        <f t="shared" si="117"/>
        <v>2185.9199999999996</v>
      </c>
      <c r="P3525" s="17">
        <f t="shared" si="118"/>
        <v>2185.9199999999996</v>
      </c>
      <c r="Q3525" t="str">
        <f>A3525&amp;"-"&amp;B3525&amp;"-"&amp;D3525</f>
        <v>AGUSTUS-MJ1-L12</v>
      </c>
    </row>
    <row r="3526" spans="1:17" x14ac:dyDescent="0.25">
      <c r="A3526" t="s">
        <v>398</v>
      </c>
      <c r="B3526" s="13" t="s">
        <v>25</v>
      </c>
      <c r="C3526" s="13" t="s">
        <v>952</v>
      </c>
      <c r="D3526" s="14" t="s">
        <v>160</v>
      </c>
      <c r="E3526" s="13" t="s">
        <v>953</v>
      </c>
      <c r="F3526" s="13" t="s">
        <v>1175</v>
      </c>
      <c r="G3526" s="13">
        <v>12.47</v>
      </c>
      <c r="H3526" s="15">
        <v>12</v>
      </c>
      <c r="I3526" s="16">
        <v>149.63999999999999</v>
      </c>
      <c r="J3526" s="16">
        <v>147.18951612903226</v>
      </c>
      <c r="K3526" s="16">
        <v>2.4504838709677301</v>
      </c>
      <c r="L3526" s="13"/>
      <c r="M3526" s="13">
        <v>20.239999999999998</v>
      </c>
      <c r="N3526" s="17">
        <f t="shared" si="117"/>
        <v>0</v>
      </c>
      <c r="O3526" s="17">
        <f t="shared" si="117"/>
        <v>242.88</v>
      </c>
      <c r="P3526" s="17">
        <f t="shared" si="118"/>
        <v>242.88</v>
      </c>
      <c r="Q3526" t="str">
        <f>A3526&amp;"-"&amp;B3526&amp;"-"&amp;D3526</f>
        <v>AGUSTUS-MJ1-L5</v>
      </c>
    </row>
    <row r="3527" spans="1:17" x14ac:dyDescent="0.25">
      <c r="A3527" t="s">
        <v>398</v>
      </c>
      <c r="B3527" s="13" t="s">
        <v>25</v>
      </c>
      <c r="C3527" s="13" t="s">
        <v>952</v>
      </c>
      <c r="D3527" s="14" t="s">
        <v>160</v>
      </c>
      <c r="E3527" s="13" t="s">
        <v>953</v>
      </c>
      <c r="F3527" s="13" t="s">
        <v>1351</v>
      </c>
      <c r="G3527" s="13">
        <v>12.47</v>
      </c>
      <c r="H3527" s="15">
        <v>250</v>
      </c>
      <c r="I3527" s="16">
        <v>3117.4999999999995</v>
      </c>
      <c r="J3527" s="16">
        <v>2647.598859676908</v>
      </c>
      <c r="K3527" s="16">
        <v>469.90114032309145</v>
      </c>
      <c r="L3527" s="13"/>
      <c r="M3527" s="13">
        <v>20.239999999999998</v>
      </c>
      <c r="N3527" s="17">
        <f t="shared" si="117"/>
        <v>0</v>
      </c>
      <c r="O3527" s="17">
        <f t="shared" si="117"/>
        <v>5060</v>
      </c>
      <c r="P3527" s="17">
        <f t="shared" si="118"/>
        <v>5060</v>
      </c>
      <c r="Q3527" t="str">
        <f>A3527&amp;"-"&amp;B3527&amp;"-"&amp;D3527</f>
        <v>AGUSTUS-MJ1-L5</v>
      </c>
    </row>
    <row r="3528" spans="1:17" x14ac:dyDescent="0.25">
      <c r="A3528" t="s">
        <v>398</v>
      </c>
      <c r="B3528" s="13" t="s">
        <v>25</v>
      </c>
      <c r="C3528" s="13" t="s">
        <v>952</v>
      </c>
      <c r="D3528" s="14" t="s">
        <v>160</v>
      </c>
      <c r="E3528" s="13" t="s">
        <v>953</v>
      </c>
      <c r="F3528" s="13" t="s">
        <v>1352</v>
      </c>
      <c r="G3528" s="13">
        <v>12.47</v>
      </c>
      <c r="H3528" s="15">
        <v>253</v>
      </c>
      <c r="I3528" s="16">
        <v>3154.9099999999994</v>
      </c>
      <c r="J3528" s="16">
        <v>2846.9533070022762</v>
      </c>
      <c r="K3528" s="16">
        <v>307.95669299772402</v>
      </c>
      <c r="L3528" s="13"/>
      <c r="M3528" s="13">
        <v>20.239999999999998</v>
      </c>
      <c r="N3528" s="17">
        <f t="shared" si="117"/>
        <v>0</v>
      </c>
      <c r="O3528" s="17">
        <f t="shared" si="117"/>
        <v>5120.7199999999993</v>
      </c>
      <c r="P3528" s="17">
        <f t="shared" si="118"/>
        <v>5120.7199999999993</v>
      </c>
      <c r="Q3528" t="str">
        <f>A3528&amp;"-"&amp;B3528&amp;"-"&amp;D3528</f>
        <v>AGUSTUS-MJ1-L5</v>
      </c>
    </row>
    <row r="3529" spans="1:17" x14ac:dyDescent="0.25">
      <c r="A3529" t="s">
        <v>398</v>
      </c>
      <c r="B3529" s="13" t="s">
        <v>25</v>
      </c>
      <c r="C3529" s="13" t="s">
        <v>952</v>
      </c>
      <c r="D3529" s="14" t="s">
        <v>160</v>
      </c>
      <c r="E3529" s="13" t="s">
        <v>953</v>
      </c>
      <c r="F3529" s="13" t="s">
        <v>1353</v>
      </c>
      <c r="G3529" s="13">
        <v>12.47</v>
      </c>
      <c r="H3529" s="15">
        <v>62</v>
      </c>
      <c r="I3529" s="16">
        <v>773.1400000000001</v>
      </c>
      <c r="J3529" s="16">
        <v>700.98888888888882</v>
      </c>
      <c r="K3529" s="16">
        <v>72.151111111111177</v>
      </c>
      <c r="L3529" s="13"/>
      <c r="M3529" s="13">
        <v>20.239999999999998</v>
      </c>
      <c r="N3529" s="17">
        <f t="shared" si="117"/>
        <v>0</v>
      </c>
      <c r="O3529" s="17">
        <f t="shared" si="117"/>
        <v>1254.8799999999999</v>
      </c>
      <c r="P3529" s="17">
        <f t="shared" si="118"/>
        <v>1254.8799999999999</v>
      </c>
      <c r="Q3529" t="str">
        <f>A3529&amp;"-"&amp;B3529&amp;"-"&amp;D3529</f>
        <v>AGUSTUS-MJ1-L5</v>
      </c>
    </row>
    <row r="3530" spans="1:17" x14ac:dyDescent="0.25">
      <c r="A3530" t="s">
        <v>398</v>
      </c>
      <c r="B3530" s="13" t="s">
        <v>25</v>
      </c>
      <c r="C3530" s="13" t="s">
        <v>952</v>
      </c>
      <c r="D3530" s="14" t="s">
        <v>160</v>
      </c>
      <c r="E3530" s="13" t="s">
        <v>953</v>
      </c>
      <c r="F3530" s="13" t="s">
        <v>1174</v>
      </c>
      <c r="G3530" s="13">
        <v>12.47</v>
      </c>
      <c r="H3530" s="15">
        <v>34</v>
      </c>
      <c r="I3530" s="16">
        <v>423.98</v>
      </c>
      <c r="J3530" s="16">
        <v>532.37095219977527</v>
      </c>
      <c r="K3530" s="16">
        <v>-108.39095219977521</v>
      </c>
      <c r="L3530" s="13"/>
      <c r="M3530" s="13">
        <v>20.239999999999998</v>
      </c>
      <c r="N3530" s="17">
        <f t="shared" si="117"/>
        <v>0</v>
      </c>
      <c r="O3530" s="17">
        <f t="shared" si="117"/>
        <v>688.16</v>
      </c>
      <c r="P3530" s="17">
        <f t="shared" si="118"/>
        <v>688.16</v>
      </c>
      <c r="Q3530" t="str">
        <f>A3530&amp;"-"&amp;B3530&amp;"-"&amp;D3530</f>
        <v>AGUSTUS-MJ1-L5</v>
      </c>
    </row>
    <row r="3531" spans="1:17" x14ac:dyDescent="0.25">
      <c r="A3531" t="s">
        <v>398</v>
      </c>
      <c r="B3531" s="13" t="s">
        <v>25</v>
      </c>
      <c r="C3531" s="13" t="s">
        <v>952</v>
      </c>
      <c r="D3531" s="14" t="s">
        <v>160</v>
      </c>
      <c r="E3531" s="13" t="s">
        <v>953</v>
      </c>
      <c r="F3531" s="13" t="s">
        <v>1354</v>
      </c>
      <c r="G3531" s="13">
        <v>12.47</v>
      </c>
      <c r="H3531" s="15">
        <v>500</v>
      </c>
      <c r="I3531" s="16">
        <v>6235.0000000000009</v>
      </c>
      <c r="J3531" s="16">
        <v>6331.8498687521542</v>
      </c>
      <c r="K3531" s="16">
        <v>-96.849868752155217</v>
      </c>
      <c r="L3531" s="13"/>
      <c r="M3531" s="13">
        <v>20.239999999999998</v>
      </c>
      <c r="N3531" s="17">
        <f t="shared" si="117"/>
        <v>0</v>
      </c>
      <c r="O3531" s="17">
        <f t="shared" si="117"/>
        <v>10120</v>
      </c>
      <c r="P3531" s="17">
        <f t="shared" si="118"/>
        <v>10120</v>
      </c>
      <c r="Q3531" t="str">
        <f>A3531&amp;"-"&amp;B3531&amp;"-"&amp;D3531</f>
        <v>AGUSTUS-MJ1-L5</v>
      </c>
    </row>
    <row r="3532" spans="1:17" x14ac:dyDescent="0.25">
      <c r="A3532" t="s">
        <v>398</v>
      </c>
      <c r="B3532" s="13" t="s">
        <v>25</v>
      </c>
      <c r="C3532" s="13" t="s">
        <v>952</v>
      </c>
      <c r="D3532" s="14" t="s">
        <v>160</v>
      </c>
      <c r="E3532" s="13" t="s">
        <v>953</v>
      </c>
      <c r="F3532" s="13" t="s">
        <v>1355</v>
      </c>
      <c r="G3532" s="13">
        <v>12.47</v>
      </c>
      <c r="H3532" s="15">
        <v>262</v>
      </c>
      <c r="I3532" s="16">
        <v>3267.1399999999994</v>
      </c>
      <c r="J3532" s="16">
        <v>3088.8869598765436</v>
      </c>
      <c r="K3532" s="16">
        <v>178.25304012345674</v>
      </c>
      <c r="L3532" s="13"/>
      <c r="M3532" s="13">
        <v>20.239999999999998</v>
      </c>
      <c r="N3532" s="17">
        <f t="shared" si="117"/>
        <v>0</v>
      </c>
      <c r="O3532" s="17">
        <f t="shared" si="117"/>
        <v>5302.8799999999992</v>
      </c>
      <c r="P3532" s="17">
        <f t="shared" si="118"/>
        <v>5302.8799999999992</v>
      </c>
      <c r="Q3532" t="str">
        <f>A3532&amp;"-"&amp;B3532&amp;"-"&amp;D3532</f>
        <v>AGUSTUS-MJ1-L5</v>
      </c>
    </row>
    <row r="3533" spans="1:17" x14ac:dyDescent="0.25">
      <c r="A3533" t="s">
        <v>398</v>
      </c>
      <c r="B3533" s="13" t="s">
        <v>25</v>
      </c>
      <c r="C3533" s="13" t="s">
        <v>952</v>
      </c>
      <c r="D3533" s="14" t="s">
        <v>160</v>
      </c>
      <c r="E3533" s="13" t="s">
        <v>953</v>
      </c>
      <c r="F3533" s="13" t="s">
        <v>1356</v>
      </c>
      <c r="G3533" s="13">
        <v>12.47</v>
      </c>
      <c r="H3533" s="15">
        <v>216</v>
      </c>
      <c r="I3533" s="16">
        <v>2693.5199999999995</v>
      </c>
      <c r="J3533" s="16">
        <v>2551.1505363633105</v>
      </c>
      <c r="K3533" s="16">
        <v>142.36946363669023</v>
      </c>
      <c r="L3533" s="13"/>
      <c r="M3533" s="13">
        <v>20.239999999999998</v>
      </c>
      <c r="N3533" s="17">
        <f t="shared" si="117"/>
        <v>0</v>
      </c>
      <c r="O3533" s="17">
        <f t="shared" si="117"/>
        <v>4371.8399999999992</v>
      </c>
      <c r="P3533" s="17">
        <f t="shared" si="118"/>
        <v>4371.8399999999992</v>
      </c>
      <c r="Q3533" t="str">
        <f>A3533&amp;"-"&amp;B3533&amp;"-"&amp;D3533</f>
        <v>AGUSTUS-MJ1-L5</v>
      </c>
    </row>
    <row r="3534" spans="1:17" x14ac:dyDescent="0.25">
      <c r="A3534" t="s">
        <v>398</v>
      </c>
      <c r="B3534" s="13" t="s">
        <v>25</v>
      </c>
      <c r="C3534" s="13" t="s">
        <v>952</v>
      </c>
      <c r="D3534" s="14" t="s">
        <v>160</v>
      </c>
      <c r="E3534" s="13" t="s">
        <v>953</v>
      </c>
      <c r="F3534" s="13" t="s">
        <v>1357</v>
      </c>
      <c r="G3534" s="13">
        <v>12.47</v>
      </c>
      <c r="H3534" s="15">
        <v>408</v>
      </c>
      <c r="I3534" s="16">
        <v>5087.76</v>
      </c>
      <c r="J3534" s="16">
        <v>4363.0111111111109</v>
      </c>
      <c r="K3534" s="16">
        <v>724.7488888888887</v>
      </c>
      <c r="L3534" s="13"/>
      <c r="M3534" s="13">
        <v>20.239999999999998</v>
      </c>
      <c r="N3534" s="17">
        <f t="shared" si="117"/>
        <v>0</v>
      </c>
      <c r="O3534" s="17">
        <f t="shared" si="117"/>
        <v>8257.92</v>
      </c>
      <c r="P3534" s="17">
        <f t="shared" si="118"/>
        <v>8257.92</v>
      </c>
      <c r="Q3534" t="str">
        <f>A3534&amp;"-"&amp;B3534&amp;"-"&amp;D3534</f>
        <v>AGUSTUS-MJ1-L5</v>
      </c>
    </row>
    <row r="3535" spans="1:17" x14ac:dyDescent="0.25">
      <c r="A3535" t="s">
        <v>398</v>
      </c>
      <c r="B3535" s="13" t="s">
        <v>25</v>
      </c>
      <c r="C3535" s="13" t="s">
        <v>952</v>
      </c>
      <c r="D3535" s="14" t="s">
        <v>163</v>
      </c>
      <c r="E3535" s="13" t="s">
        <v>953</v>
      </c>
      <c r="F3535" s="13" t="s">
        <v>1175</v>
      </c>
      <c r="G3535" s="13">
        <v>12.47</v>
      </c>
      <c r="H3535" s="15">
        <v>13</v>
      </c>
      <c r="I3535" s="16">
        <v>162.11000000000001</v>
      </c>
      <c r="J3535" s="16">
        <v>158.53360215053763</v>
      </c>
      <c r="K3535" s="16">
        <v>3.5763978494623672</v>
      </c>
      <c r="L3535" s="13"/>
      <c r="M3535" s="13">
        <v>20.239999999999998</v>
      </c>
      <c r="N3535" s="17">
        <f t="shared" si="117"/>
        <v>0</v>
      </c>
      <c r="O3535" s="17">
        <f t="shared" si="117"/>
        <v>263.12</v>
      </c>
      <c r="P3535" s="17">
        <f t="shared" si="118"/>
        <v>263.12</v>
      </c>
      <c r="Q3535" t="str">
        <f>A3535&amp;"-"&amp;B3535&amp;"-"&amp;D3535</f>
        <v>AGUSTUS-MJ1-L6</v>
      </c>
    </row>
    <row r="3536" spans="1:17" x14ac:dyDescent="0.25">
      <c r="A3536" t="s">
        <v>398</v>
      </c>
      <c r="B3536" s="13" t="s">
        <v>25</v>
      </c>
      <c r="C3536" s="13" t="s">
        <v>952</v>
      </c>
      <c r="D3536" s="14" t="s">
        <v>163</v>
      </c>
      <c r="E3536" s="13" t="s">
        <v>953</v>
      </c>
      <c r="F3536" s="13" t="s">
        <v>1351</v>
      </c>
      <c r="G3536" s="13">
        <v>12.47</v>
      </c>
      <c r="H3536" s="15">
        <v>251</v>
      </c>
      <c r="I3536" s="16">
        <v>3129.9700000000003</v>
      </c>
      <c r="J3536" s="16">
        <v>2662.9222753936401</v>
      </c>
      <c r="K3536" s="16">
        <v>467.04772460635991</v>
      </c>
      <c r="L3536" s="13"/>
      <c r="M3536" s="13">
        <v>20.239999999999998</v>
      </c>
      <c r="N3536" s="17">
        <f t="shared" si="117"/>
        <v>0</v>
      </c>
      <c r="O3536" s="17">
        <f t="shared" si="117"/>
        <v>5080.24</v>
      </c>
      <c r="P3536" s="17">
        <f t="shared" si="118"/>
        <v>5080.24</v>
      </c>
      <c r="Q3536" t="str">
        <f>A3536&amp;"-"&amp;B3536&amp;"-"&amp;D3536</f>
        <v>AGUSTUS-MJ1-L6</v>
      </c>
    </row>
    <row r="3537" spans="1:17" x14ac:dyDescent="0.25">
      <c r="A3537" t="s">
        <v>398</v>
      </c>
      <c r="B3537" s="13" t="s">
        <v>25</v>
      </c>
      <c r="C3537" s="13" t="s">
        <v>952</v>
      </c>
      <c r="D3537" s="14" t="s">
        <v>163</v>
      </c>
      <c r="E3537" s="13" t="s">
        <v>953</v>
      </c>
      <c r="F3537" s="13" t="s">
        <v>1352</v>
      </c>
      <c r="G3537" s="13">
        <v>12.47</v>
      </c>
      <c r="H3537" s="15">
        <v>254</v>
      </c>
      <c r="I3537" s="16">
        <v>3167.3799999999997</v>
      </c>
      <c r="J3537" s="16">
        <v>2840.8742072295445</v>
      </c>
      <c r="K3537" s="16">
        <v>326.50579277045551</v>
      </c>
      <c r="L3537" s="13"/>
      <c r="M3537" s="13">
        <v>20.239999999999998</v>
      </c>
      <c r="N3537" s="17">
        <f t="shared" si="117"/>
        <v>0</v>
      </c>
      <c r="O3537" s="17">
        <f t="shared" si="117"/>
        <v>5140.96</v>
      </c>
      <c r="P3537" s="17">
        <f t="shared" si="118"/>
        <v>5140.96</v>
      </c>
      <c r="Q3537" t="str">
        <f>A3537&amp;"-"&amp;B3537&amp;"-"&amp;D3537</f>
        <v>AGUSTUS-MJ1-L6</v>
      </c>
    </row>
    <row r="3538" spans="1:17" x14ac:dyDescent="0.25">
      <c r="A3538" t="s">
        <v>398</v>
      </c>
      <c r="B3538" s="13" t="s">
        <v>25</v>
      </c>
      <c r="C3538" s="13" t="s">
        <v>952</v>
      </c>
      <c r="D3538" s="14" t="s">
        <v>163</v>
      </c>
      <c r="E3538" s="13" t="s">
        <v>953</v>
      </c>
      <c r="F3538" s="13" t="s">
        <v>1353</v>
      </c>
      <c r="G3538" s="13">
        <v>12.47</v>
      </c>
      <c r="H3538" s="15">
        <v>64</v>
      </c>
      <c r="I3538" s="16">
        <v>798.07999999999993</v>
      </c>
      <c r="J3538" s="16">
        <v>722.08888888888885</v>
      </c>
      <c r="K3538" s="16">
        <v>75.991111111111138</v>
      </c>
      <c r="L3538" s="13"/>
      <c r="M3538" s="13">
        <v>20.239999999999998</v>
      </c>
      <c r="N3538" s="17">
        <f t="shared" si="117"/>
        <v>0</v>
      </c>
      <c r="O3538" s="17">
        <f t="shared" si="117"/>
        <v>1295.3599999999999</v>
      </c>
      <c r="P3538" s="17">
        <f t="shared" si="118"/>
        <v>1295.3599999999999</v>
      </c>
      <c r="Q3538" t="str">
        <f>A3538&amp;"-"&amp;B3538&amp;"-"&amp;D3538</f>
        <v>AGUSTUS-MJ1-L6</v>
      </c>
    </row>
    <row r="3539" spans="1:17" x14ac:dyDescent="0.25">
      <c r="A3539" t="s">
        <v>398</v>
      </c>
      <c r="B3539" s="13" t="s">
        <v>25</v>
      </c>
      <c r="C3539" s="13" t="s">
        <v>952</v>
      </c>
      <c r="D3539" s="14" t="s">
        <v>163</v>
      </c>
      <c r="E3539" s="13" t="s">
        <v>953</v>
      </c>
      <c r="F3539" s="13" t="s">
        <v>1174</v>
      </c>
      <c r="G3539" s="13">
        <v>12.47</v>
      </c>
      <c r="H3539" s="15">
        <v>35</v>
      </c>
      <c r="I3539" s="16">
        <v>436.45000000000005</v>
      </c>
      <c r="J3539" s="16">
        <v>537.43735319102836</v>
      </c>
      <c r="K3539" s="16">
        <v>-100.98735319102836</v>
      </c>
      <c r="L3539" s="13"/>
      <c r="M3539" s="13">
        <v>20.239999999999998</v>
      </c>
      <c r="N3539" s="17">
        <f t="shared" si="117"/>
        <v>0</v>
      </c>
      <c r="O3539" s="17">
        <f t="shared" si="117"/>
        <v>708.4</v>
      </c>
      <c r="P3539" s="17">
        <f t="shared" si="118"/>
        <v>708.4</v>
      </c>
      <c r="Q3539" t="str">
        <f>A3539&amp;"-"&amp;B3539&amp;"-"&amp;D3539</f>
        <v>AGUSTUS-MJ1-L6</v>
      </c>
    </row>
    <row r="3540" spans="1:17" x14ac:dyDescent="0.25">
      <c r="A3540" t="s">
        <v>398</v>
      </c>
      <c r="B3540" s="13" t="s">
        <v>25</v>
      </c>
      <c r="C3540" s="13" t="s">
        <v>952</v>
      </c>
      <c r="D3540" s="14" t="s">
        <v>163</v>
      </c>
      <c r="E3540" s="13" t="s">
        <v>953</v>
      </c>
      <c r="F3540" s="13" t="s">
        <v>1354</v>
      </c>
      <c r="G3540" s="13">
        <v>12.47</v>
      </c>
      <c r="H3540" s="15">
        <v>500</v>
      </c>
      <c r="I3540" s="16">
        <v>6235.0000000000009</v>
      </c>
      <c r="J3540" s="16">
        <v>6304.9368655417538</v>
      </c>
      <c r="K3540" s="16">
        <v>-69.936865541755111</v>
      </c>
      <c r="L3540" s="13"/>
      <c r="M3540" s="13">
        <v>20.239999999999998</v>
      </c>
      <c r="N3540" s="17">
        <f t="shared" si="117"/>
        <v>0</v>
      </c>
      <c r="O3540" s="17">
        <f t="shared" si="117"/>
        <v>10120</v>
      </c>
      <c r="P3540" s="17">
        <f t="shared" si="118"/>
        <v>10120</v>
      </c>
      <c r="Q3540" t="str">
        <f>A3540&amp;"-"&amp;B3540&amp;"-"&amp;D3540</f>
        <v>AGUSTUS-MJ1-L6</v>
      </c>
    </row>
    <row r="3541" spans="1:17" x14ac:dyDescent="0.25">
      <c r="A3541" t="s">
        <v>398</v>
      </c>
      <c r="B3541" s="13" t="s">
        <v>25</v>
      </c>
      <c r="C3541" s="13" t="s">
        <v>952</v>
      </c>
      <c r="D3541" s="14" t="s">
        <v>163</v>
      </c>
      <c r="E3541" s="13" t="s">
        <v>953</v>
      </c>
      <c r="F3541" s="13" t="s">
        <v>1355</v>
      </c>
      <c r="G3541" s="13">
        <v>12.47</v>
      </c>
      <c r="H3541" s="15">
        <v>262</v>
      </c>
      <c r="I3541" s="16">
        <v>3267.1400000000003</v>
      </c>
      <c r="J3541" s="16">
        <v>3075.9736224156482</v>
      </c>
      <c r="K3541" s="16">
        <v>191.16637758435206</v>
      </c>
      <c r="L3541" s="13"/>
      <c r="M3541" s="13">
        <v>20.239999999999998</v>
      </c>
      <c r="N3541" s="17">
        <f t="shared" si="117"/>
        <v>0</v>
      </c>
      <c r="O3541" s="17">
        <f t="shared" si="117"/>
        <v>5302.8799999999992</v>
      </c>
      <c r="P3541" s="17">
        <f t="shared" si="118"/>
        <v>5302.8799999999992</v>
      </c>
      <c r="Q3541" t="str">
        <f>A3541&amp;"-"&amp;B3541&amp;"-"&amp;D3541</f>
        <v>AGUSTUS-MJ1-L6</v>
      </c>
    </row>
    <row r="3542" spans="1:17" x14ac:dyDescent="0.25">
      <c r="A3542" t="s">
        <v>398</v>
      </c>
      <c r="B3542" s="13" t="s">
        <v>25</v>
      </c>
      <c r="C3542" s="13" t="s">
        <v>952</v>
      </c>
      <c r="D3542" s="14" t="s">
        <v>163</v>
      </c>
      <c r="E3542" s="13" t="s">
        <v>953</v>
      </c>
      <c r="F3542" s="13" t="s">
        <v>1356</v>
      </c>
      <c r="G3542" s="13">
        <v>12.47</v>
      </c>
      <c r="H3542" s="15">
        <v>221</v>
      </c>
      <c r="I3542" s="16">
        <v>2755.87</v>
      </c>
      <c r="J3542" s="16">
        <v>2598.1442963000686</v>
      </c>
      <c r="K3542" s="16">
        <v>157.72570369993147</v>
      </c>
      <c r="L3542" s="13"/>
      <c r="M3542" s="13">
        <v>20.239999999999998</v>
      </c>
      <c r="N3542" s="17">
        <f t="shared" si="117"/>
        <v>0</v>
      </c>
      <c r="O3542" s="17">
        <f t="shared" si="117"/>
        <v>4473.04</v>
      </c>
      <c r="P3542" s="17">
        <f t="shared" si="118"/>
        <v>4473.04</v>
      </c>
      <c r="Q3542" t="str">
        <f>A3542&amp;"-"&amp;B3542&amp;"-"&amp;D3542</f>
        <v>AGUSTUS-MJ1-L6</v>
      </c>
    </row>
    <row r="3543" spans="1:17" x14ac:dyDescent="0.25">
      <c r="A3543" t="s">
        <v>398</v>
      </c>
      <c r="B3543" s="13" t="s">
        <v>25</v>
      </c>
      <c r="C3543" s="13" t="s">
        <v>952</v>
      </c>
      <c r="D3543" s="14" t="s">
        <v>163</v>
      </c>
      <c r="E3543" s="13" t="s">
        <v>953</v>
      </c>
      <c r="F3543" s="13" t="s">
        <v>1357</v>
      </c>
      <c r="G3543" s="13">
        <v>12.47</v>
      </c>
      <c r="H3543" s="15">
        <v>403</v>
      </c>
      <c r="I3543" s="16">
        <v>5025.41</v>
      </c>
      <c r="J3543" s="16">
        <v>4309.0888888888894</v>
      </c>
      <c r="K3543" s="16">
        <v>716.32111111111078</v>
      </c>
      <c r="L3543" s="13"/>
      <c r="M3543" s="13">
        <v>20.239999999999998</v>
      </c>
      <c r="N3543" s="17">
        <f t="shared" si="117"/>
        <v>0</v>
      </c>
      <c r="O3543" s="17">
        <f t="shared" si="117"/>
        <v>8156.7199999999993</v>
      </c>
      <c r="P3543" s="17">
        <f t="shared" si="118"/>
        <v>8156.7199999999993</v>
      </c>
      <c r="Q3543" t="str">
        <f>A3543&amp;"-"&amp;B3543&amp;"-"&amp;D3543</f>
        <v>AGUSTUS-MJ1-L6</v>
      </c>
    </row>
    <row r="3544" spans="1:17" x14ac:dyDescent="0.25">
      <c r="A3544" t="s">
        <v>398</v>
      </c>
      <c r="B3544" s="13" t="s">
        <v>25</v>
      </c>
      <c r="C3544" s="13" t="s">
        <v>955</v>
      </c>
      <c r="D3544" s="14" t="s">
        <v>44</v>
      </c>
      <c r="E3544" s="13" t="s">
        <v>71</v>
      </c>
      <c r="F3544" s="13" t="s">
        <v>1081</v>
      </c>
      <c r="G3544" s="13">
        <v>4.9800000000000004</v>
      </c>
      <c r="H3544" s="15">
        <v>54</v>
      </c>
      <c r="I3544" s="16">
        <v>268.92</v>
      </c>
      <c r="J3544" s="16">
        <v>1017.3214285714286</v>
      </c>
      <c r="K3544" s="16">
        <v>-748.4014285714286</v>
      </c>
      <c r="L3544" s="13"/>
      <c r="M3544" s="13">
        <v>6.34</v>
      </c>
      <c r="N3544" s="17">
        <f t="shared" si="117"/>
        <v>0</v>
      </c>
      <c r="O3544" s="17">
        <f t="shared" si="117"/>
        <v>342.36</v>
      </c>
      <c r="P3544" s="17">
        <f t="shared" si="118"/>
        <v>342.36</v>
      </c>
      <c r="Q3544" t="str">
        <f>A3544&amp;"-"&amp;B3544&amp;"-"&amp;D3544</f>
        <v>AGUSTUS-MJ1-L1</v>
      </c>
    </row>
    <row r="3545" spans="1:17" x14ac:dyDescent="0.25">
      <c r="A3545" t="s">
        <v>398</v>
      </c>
      <c r="B3545" s="13" t="s">
        <v>25</v>
      </c>
      <c r="C3545" s="13" t="s">
        <v>955</v>
      </c>
      <c r="D3545" s="14" t="s">
        <v>44</v>
      </c>
      <c r="E3545" s="13" t="s">
        <v>71</v>
      </c>
      <c r="F3545" s="13" t="s">
        <v>1177</v>
      </c>
      <c r="G3545" s="13">
        <v>5</v>
      </c>
      <c r="H3545" s="15">
        <v>680</v>
      </c>
      <c r="I3545" s="16">
        <v>3400</v>
      </c>
      <c r="J3545" s="16">
        <v>5194.7872725954912</v>
      </c>
      <c r="K3545" s="16">
        <v>-1794.7872725954917</v>
      </c>
      <c r="L3545" s="13"/>
      <c r="M3545" s="13">
        <v>6.15</v>
      </c>
      <c r="N3545" s="17">
        <f t="shared" si="117"/>
        <v>0</v>
      </c>
      <c r="O3545" s="17">
        <f t="shared" si="117"/>
        <v>4182</v>
      </c>
      <c r="P3545" s="17">
        <f t="shared" si="118"/>
        <v>4182</v>
      </c>
      <c r="Q3545" t="str">
        <f>A3545&amp;"-"&amp;B3545&amp;"-"&amp;D3545</f>
        <v>AGUSTUS-MJ1-L1</v>
      </c>
    </row>
    <row r="3546" spans="1:17" x14ac:dyDescent="0.25">
      <c r="A3546" t="s">
        <v>398</v>
      </c>
      <c r="B3546" s="13" t="s">
        <v>25</v>
      </c>
      <c r="C3546" s="13" t="s">
        <v>955</v>
      </c>
      <c r="D3546" s="14" t="s">
        <v>44</v>
      </c>
      <c r="E3546" s="13" t="s">
        <v>71</v>
      </c>
      <c r="F3546" s="13" t="s">
        <v>1358</v>
      </c>
      <c r="G3546" s="13">
        <v>5</v>
      </c>
      <c r="H3546" s="15">
        <v>155</v>
      </c>
      <c r="I3546" s="16">
        <v>775</v>
      </c>
      <c r="J3546" s="16">
        <v>2242.7504537626573</v>
      </c>
      <c r="K3546" s="16">
        <v>-1467.7504537626571</v>
      </c>
      <c r="L3546" s="13"/>
      <c r="M3546" s="13">
        <v>5.95</v>
      </c>
      <c r="N3546" s="17">
        <f t="shared" si="117"/>
        <v>0</v>
      </c>
      <c r="O3546" s="17">
        <f t="shared" si="117"/>
        <v>922.25</v>
      </c>
      <c r="P3546" s="17">
        <f t="shared" si="118"/>
        <v>922.25</v>
      </c>
      <c r="Q3546" t="str">
        <f>A3546&amp;"-"&amp;B3546&amp;"-"&amp;D3546</f>
        <v>AGUSTUS-MJ1-L1</v>
      </c>
    </row>
    <row r="3547" spans="1:17" x14ac:dyDescent="0.25">
      <c r="A3547" t="s">
        <v>398</v>
      </c>
      <c r="B3547" s="13" t="s">
        <v>25</v>
      </c>
      <c r="C3547" s="13" t="s">
        <v>955</v>
      </c>
      <c r="D3547" s="14" t="s">
        <v>50</v>
      </c>
      <c r="E3547" s="13" t="s">
        <v>71</v>
      </c>
      <c r="F3547" s="13" t="s">
        <v>1177</v>
      </c>
      <c r="G3547" s="13">
        <v>5</v>
      </c>
      <c r="H3547" s="15">
        <v>679</v>
      </c>
      <c r="I3547" s="16">
        <v>3395</v>
      </c>
      <c r="J3547" s="16">
        <v>5185.0451451451454</v>
      </c>
      <c r="K3547" s="16">
        <v>-1790.0451451451452</v>
      </c>
      <c r="L3547" s="13"/>
      <c r="M3547" s="13">
        <v>6.15</v>
      </c>
      <c r="N3547" s="17">
        <f t="shared" si="117"/>
        <v>0</v>
      </c>
      <c r="O3547" s="17">
        <f t="shared" si="117"/>
        <v>4175.8500000000004</v>
      </c>
      <c r="P3547" s="17">
        <f t="shared" si="118"/>
        <v>4175.8500000000004</v>
      </c>
      <c r="Q3547" t="str">
        <f>A3547&amp;"-"&amp;B3547&amp;"-"&amp;D3547</f>
        <v>AGUSTUS-MJ1-L2</v>
      </c>
    </row>
    <row r="3548" spans="1:17" x14ac:dyDescent="0.25">
      <c r="A3548" t="s">
        <v>398</v>
      </c>
      <c r="B3548" s="13" t="s">
        <v>25</v>
      </c>
      <c r="C3548" s="13" t="s">
        <v>955</v>
      </c>
      <c r="D3548" s="14" t="s">
        <v>50</v>
      </c>
      <c r="E3548" s="13" t="s">
        <v>71</v>
      </c>
      <c r="F3548" s="13" t="s">
        <v>1358</v>
      </c>
      <c r="G3548" s="13">
        <v>5</v>
      </c>
      <c r="H3548" s="15">
        <v>150</v>
      </c>
      <c r="I3548" s="16">
        <v>750</v>
      </c>
      <c r="J3548" s="16">
        <v>2199.9548548548546</v>
      </c>
      <c r="K3548" s="16">
        <v>-1449.9548548548548</v>
      </c>
      <c r="L3548" s="13"/>
      <c r="M3548" s="13">
        <v>5.95</v>
      </c>
      <c r="N3548" s="17">
        <f t="shared" si="117"/>
        <v>0</v>
      </c>
      <c r="O3548" s="17">
        <f t="shared" si="117"/>
        <v>892.5</v>
      </c>
      <c r="P3548" s="17">
        <f t="shared" si="118"/>
        <v>892.5</v>
      </c>
      <c r="Q3548" t="str">
        <f>A3548&amp;"-"&amp;B3548&amp;"-"&amp;D3548</f>
        <v>AGUSTUS-MJ1-L2</v>
      </c>
    </row>
    <row r="3549" spans="1:17" x14ac:dyDescent="0.25">
      <c r="A3549" t="s">
        <v>398</v>
      </c>
      <c r="B3549" s="13" t="s">
        <v>25</v>
      </c>
      <c r="C3549" s="13" t="s">
        <v>955</v>
      </c>
      <c r="D3549" s="14" t="s">
        <v>198</v>
      </c>
      <c r="E3549" s="13" t="s">
        <v>71</v>
      </c>
      <c r="F3549" s="13" t="s">
        <v>1082</v>
      </c>
      <c r="G3549" s="13">
        <v>5</v>
      </c>
      <c r="H3549" s="15">
        <v>33</v>
      </c>
      <c r="I3549" s="16">
        <v>165</v>
      </c>
      <c r="J3549" s="16">
        <v>977.65581710743004</v>
      </c>
      <c r="K3549" s="16">
        <v>-812.65581710743004</v>
      </c>
      <c r="L3549" s="13"/>
      <c r="M3549" s="13">
        <v>6.8</v>
      </c>
      <c r="N3549" s="17">
        <f t="shared" si="117"/>
        <v>0</v>
      </c>
      <c r="O3549" s="17">
        <f t="shared" si="117"/>
        <v>224.4</v>
      </c>
      <c r="P3549" s="17">
        <f t="shared" si="118"/>
        <v>224.4</v>
      </c>
      <c r="Q3549" t="str">
        <f>A3549&amp;"-"&amp;B3549&amp;"-"&amp;D3549</f>
        <v>AGUSTUS-MJ1-L8</v>
      </c>
    </row>
    <row r="3550" spans="1:17" x14ac:dyDescent="0.25">
      <c r="A3550" t="s">
        <v>398</v>
      </c>
      <c r="B3550" s="13" t="s">
        <v>25</v>
      </c>
      <c r="C3550" s="13" t="s">
        <v>955</v>
      </c>
      <c r="D3550" s="14" t="s">
        <v>198</v>
      </c>
      <c r="E3550" s="13" t="s">
        <v>71</v>
      </c>
      <c r="F3550" s="13" t="s">
        <v>1179</v>
      </c>
      <c r="G3550" s="13">
        <v>5</v>
      </c>
      <c r="H3550" s="15">
        <v>599</v>
      </c>
      <c r="I3550" s="16">
        <v>2995</v>
      </c>
      <c r="J3550" s="16">
        <v>7462.3441828925697</v>
      </c>
      <c r="K3550" s="16">
        <v>-4467.3441828925697</v>
      </c>
      <c r="L3550" s="13"/>
      <c r="M3550" s="13">
        <v>6.8</v>
      </c>
      <c r="N3550" s="17">
        <f t="shared" si="117"/>
        <v>0</v>
      </c>
      <c r="O3550" s="17">
        <f t="shared" si="117"/>
        <v>4073.2</v>
      </c>
      <c r="P3550" s="17">
        <f t="shared" si="118"/>
        <v>4073.2</v>
      </c>
      <c r="Q3550" t="str">
        <f>A3550&amp;"-"&amp;B3550&amp;"-"&amp;D3550</f>
        <v>AGUSTUS-MJ1-L8</v>
      </c>
    </row>
    <row r="3551" spans="1:17" x14ac:dyDescent="0.25">
      <c r="A3551" t="s">
        <v>398</v>
      </c>
      <c r="B3551" s="13" t="s">
        <v>25</v>
      </c>
      <c r="C3551" s="13" t="s">
        <v>955</v>
      </c>
      <c r="D3551" s="14" t="s">
        <v>198</v>
      </c>
      <c r="E3551" s="13" t="s">
        <v>71</v>
      </c>
      <c r="F3551" s="13" t="s">
        <v>1359</v>
      </c>
      <c r="G3551" s="13">
        <v>5</v>
      </c>
      <c r="H3551" s="15">
        <v>150</v>
      </c>
      <c r="I3551" s="16">
        <v>750</v>
      </c>
      <c r="J3551" s="16">
        <v>1055</v>
      </c>
      <c r="K3551" s="16">
        <v>-305</v>
      </c>
      <c r="L3551" s="13"/>
      <c r="M3551" s="13">
        <v>6.75</v>
      </c>
      <c r="N3551" s="17">
        <f t="shared" si="117"/>
        <v>0</v>
      </c>
      <c r="O3551" s="17">
        <f t="shared" si="117"/>
        <v>1012.5</v>
      </c>
      <c r="P3551" s="17">
        <f t="shared" si="118"/>
        <v>1012.5</v>
      </c>
      <c r="Q3551" t="str">
        <f>A3551&amp;"-"&amp;B3551&amp;"-"&amp;D3551</f>
        <v>AGUSTUS-MJ1-L8</v>
      </c>
    </row>
    <row r="3552" spans="1:17" x14ac:dyDescent="0.25">
      <c r="A3552" t="s">
        <v>398</v>
      </c>
      <c r="B3552" s="13" t="s">
        <v>25</v>
      </c>
      <c r="C3552" s="13" t="s">
        <v>955</v>
      </c>
      <c r="D3552" s="14" t="s">
        <v>199</v>
      </c>
      <c r="E3552" s="13" t="s">
        <v>71</v>
      </c>
      <c r="F3552" s="13" t="s">
        <v>1082</v>
      </c>
      <c r="G3552" s="13">
        <v>5</v>
      </c>
      <c r="H3552" s="15">
        <v>31</v>
      </c>
      <c r="I3552" s="16">
        <v>155</v>
      </c>
      <c r="J3552" s="16">
        <v>923.03046594982084</v>
      </c>
      <c r="K3552" s="16">
        <v>-768.03046594982084</v>
      </c>
      <c r="L3552" s="13"/>
      <c r="M3552" s="13">
        <v>6.8</v>
      </c>
      <c r="N3552" s="17">
        <f t="shared" si="117"/>
        <v>0</v>
      </c>
      <c r="O3552" s="17">
        <f t="shared" si="117"/>
        <v>210.79999999999998</v>
      </c>
      <c r="P3552" s="17">
        <f t="shared" si="118"/>
        <v>210.79999999999998</v>
      </c>
      <c r="Q3552" t="str">
        <f>A3552&amp;"-"&amp;B3552&amp;"-"&amp;D3552</f>
        <v>AGUSTUS-MJ1-L9</v>
      </c>
    </row>
    <row r="3553" spans="1:17" x14ac:dyDescent="0.25">
      <c r="A3553" t="s">
        <v>398</v>
      </c>
      <c r="B3553" s="13" t="s">
        <v>25</v>
      </c>
      <c r="C3553" s="13" t="s">
        <v>955</v>
      </c>
      <c r="D3553" s="14" t="s">
        <v>199</v>
      </c>
      <c r="E3553" s="13" t="s">
        <v>71</v>
      </c>
      <c r="F3553" s="13" t="s">
        <v>1179</v>
      </c>
      <c r="G3553" s="13">
        <v>5</v>
      </c>
      <c r="H3553" s="15">
        <v>648</v>
      </c>
      <c r="I3553" s="16">
        <v>3240</v>
      </c>
      <c r="J3553" s="16">
        <v>7516.9695340501794</v>
      </c>
      <c r="K3553" s="16">
        <v>-4276.9695340501794</v>
      </c>
      <c r="L3553" s="13"/>
      <c r="M3553" s="13">
        <v>6.8</v>
      </c>
      <c r="N3553" s="17">
        <f t="shared" si="117"/>
        <v>0</v>
      </c>
      <c r="O3553" s="17">
        <f t="shared" si="117"/>
        <v>4406.3999999999996</v>
      </c>
      <c r="P3553" s="17">
        <f t="shared" si="118"/>
        <v>4406.3999999999996</v>
      </c>
      <c r="Q3553" t="str">
        <f>A3553&amp;"-"&amp;B3553&amp;"-"&amp;D3553</f>
        <v>AGUSTUS-MJ1-L9</v>
      </c>
    </row>
    <row r="3554" spans="1:17" x14ac:dyDescent="0.25">
      <c r="A3554" t="s">
        <v>398</v>
      </c>
      <c r="B3554" s="13" t="s">
        <v>25</v>
      </c>
      <c r="C3554" s="13" t="s">
        <v>955</v>
      </c>
      <c r="D3554" s="14" t="s">
        <v>199</v>
      </c>
      <c r="E3554" s="13" t="s">
        <v>71</v>
      </c>
      <c r="F3554" s="13" t="s">
        <v>1359</v>
      </c>
      <c r="G3554" s="13">
        <v>5</v>
      </c>
      <c r="H3554" s="15">
        <v>157</v>
      </c>
      <c r="I3554" s="16">
        <v>785</v>
      </c>
      <c r="J3554" s="16">
        <v>1055</v>
      </c>
      <c r="K3554" s="16">
        <v>-270</v>
      </c>
      <c r="L3554" s="13"/>
      <c r="M3554" s="13">
        <v>6.75</v>
      </c>
      <c r="N3554" s="17">
        <f t="shared" si="117"/>
        <v>0</v>
      </c>
      <c r="O3554" s="17">
        <f t="shared" si="117"/>
        <v>1059.75</v>
      </c>
      <c r="P3554" s="17">
        <f t="shared" si="118"/>
        <v>1059.75</v>
      </c>
      <c r="Q3554" t="str">
        <f>A3554&amp;"-"&amp;B3554&amp;"-"&amp;D3554</f>
        <v>AGUSTUS-MJ1-L9</v>
      </c>
    </row>
    <row r="3555" spans="1:17" x14ac:dyDescent="0.25">
      <c r="A3555" t="s">
        <v>398</v>
      </c>
      <c r="B3555" s="13" t="s">
        <v>26</v>
      </c>
      <c r="C3555" s="13" t="s">
        <v>226</v>
      </c>
      <c r="D3555" s="14" t="s">
        <v>44</v>
      </c>
      <c r="E3555" s="13" t="s">
        <v>61</v>
      </c>
      <c r="F3555" s="13" t="s">
        <v>1360</v>
      </c>
      <c r="G3555" s="13">
        <v>0.66</v>
      </c>
      <c r="H3555" s="15">
        <v>7427</v>
      </c>
      <c r="I3555" s="16">
        <v>4901.8200000000006</v>
      </c>
      <c r="J3555" s="16">
        <v>7746.1415490841018</v>
      </c>
      <c r="K3555" s="16">
        <v>-2844.3215490841026</v>
      </c>
      <c r="L3555" s="13">
        <v>1.71</v>
      </c>
      <c r="M3555" s="13"/>
      <c r="N3555" s="17">
        <f t="shared" si="117"/>
        <v>12700.17</v>
      </c>
      <c r="O3555" s="17">
        <f t="shared" si="117"/>
        <v>0</v>
      </c>
      <c r="P3555" s="17">
        <f t="shared" si="118"/>
        <v>12700.17</v>
      </c>
      <c r="Q3555" t="str">
        <f>A3555&amp;"-"&amp;B3555&amp;"-"&amp;D3555</f>
        <v>AGUSTUS-MJ2-L1</v>
      </c>
    </row>
    <row r="3556" spans="1:17" x14ac:dyDescent="0.25">
      <c r="A3556" t="s">
        <v>398</v>
      </c>
      <c r="B3556" s="13" t="s">
        <v>26</v>
      </c>
      <c r="C3556" s="13" t="s">
        <v>226</v>
      </c>
      <c r="D3556" s="14" t="s">
        <v>44</v>
      </c>
      <c r="E3556" s="13" t="s">
        <v>61</v>
      </c>
      <c r="F3556" s="13" t="s">
        <v>1361</v>
      </c>
      <c r="G3556" s="13">
        <v>0.7</v>
      </c>
      <c r="H3556" s="15">
        <v>630</v>
      </c>
      <c r="I3556" s="16">
        <v>441</v>
      </c>
      <c r="J3556" s="16">
        <v>985.56164383561645</v>
      </c>
      <c r="K3556" s="16">
        <v>-544.56164383561645</v>
      </c>
      <c r="L3556" s="13">
        <v>1.3</v>
      </c>
      <c r="M3556" s="13"/>
      <c r="N3556" s="17">
        <f t="shared" si="117"/>
        <v>819</v>
      </c>
      <c r="O3556" s="17">
        <f t="shared" si="117"/>
        <v>0</v>
      </c>
      <c r="P3556" s="17">
        <f t="shared" si="118"/>
        <v>819</v>
      </c>
      <c r="Q3556" t="str">
        <f>A3556&amp;"-"&amp;B3556&amp;"-"&amp;D3556</f>
        <v>AGUSTUS-MJ2-L1</v>
      </c>
    </row>
    <row r="3557" spans="1:17" x14ac:dyDescent="0.25">
      <c r="A3557" t="s">
        <v>398</v>
      </c>
      <c r="B3557" s="13" t="s">
        <v>26</v>
      </c>
      <c r="C3557" s="13" t="s">
        <v>226</v>
      </c>
      <c r="D3557" s="14" t="s">
        <v>44</v>
      </c>
      <c r="E3557" s="13" t="s">
        <v>61</v>
      </c>
      <c r="F3557" s="13" t="s">
        <v>1180</v>
      </c>
      <c r="G3557" s="13">
        <v>0.65000000000000013</v>
      </c>
      <c r="H3557" s="15">
        <v>17080</v>
      </c>
      <c r="I3557" s="16">
        <v>11102</v>
      </c>
      <c r="J3557" s="16">
        <v>14162.686363018182</v>
      </c>
      <c r="K3557" s="16">
        <v>-3060.6863630181801</v>
      </c>
      <c r="L3557" s="13">
        <v>1.64</v>
      </c>
      <c r="M3557" s="13"/>
      <c r="N3557" s="17">
        <f t="shared" si="117"/>
        <v>28011.199999999997</v>
      </c>
      <c r="O3557" s="17">
        <f t="shared" si="117"/>
        <v>0</v>
      </c>
      <c r="P3557" s="17">
        <f t="shared" si="118"/>
        <v>28011.199999999997</v>
      </c>
      <c r="Q3557" t="str">
        <f>A3557&amp;"-"&amp;B3557&amp;"-"&amp;D3557</f>
        <v>AGUSTUS-MJ2-L1</v>
      </c>
    </row>
    <row r="3558" spans="1:17" x14ac:dyDescent="0.25">
      <c r="A3558" t="s">
        <v>398</v>
      </c>
      <c r="B3558" s="13" t="s">
        <v>26</v>
      </c>
      <c r="C3558" s="13" t="s">
        <v>226</v>
      </c>
      <c r="D3558" s="14" t="s">
        <v>44</v>
      </c>
      <c r="E3558" s="13" t="s">
        <v>61</v>
      </c>
      <c r="F3558" s="13" t="s">
        <v>1181</v>
      </c>
      <c r="G3558" s="13">
        <v>0.65000000000000013</v>
      </c>
      <c r="H3558" s="15">
        <v>2590</v>
      </c>
      <c r="I3558" s="16">
        <v>1683.5</v>
      </c>
      <c r="J3558" s="16">
        <v>2229.6104440621002</v>
      </c>
      <c r="K3558" s="16">
        <v>-546.11044406209987</v>
      </c>
      <c r="L3558" s="13">
        <v>1.76</v>
      </c>
      <c r="M3558" s="13"/>
      <c r="N3558" s="17">
        <f t="shared" ref="N3558:O3621" si="119">$H3558*L3558</f>
        <v>4558.3999999999996</v>
      </c>
      <c r="O3558" s="17">
        <f t="shared" si="119"/>
        <v>0</v>
      </c>
      <c r="P3558" s="17">
        <f t="shared" si="118"/>
        <v>4558.3999999999996</v>
      </c>
      <c r="Q3558" t="str">
        <f>A3558&amp;"-"&amp;B3558&amp;"-"&amp;D3558</f>
        <v>AGUSTUS-MJ2-L1</v>
      </c>
    </row>
    <row r="3559" spans="1:17" x14ac:dyDescent="0.25">
      <c r="A3559" t="s">
        <v>398</v>
      </c>
      <c r="B3559" s="13" t="s">
        <v>26</v>
      </c>
      <c r="C3559" s="13" t="s">
        <v>226</v>
      </c>
      <c r="D3559" s="14" t="s">
        <v>301</v>
      </c>
      <c r="E3559" s="13" t="s">
        <v>61</v>
      </c>
      <c r="F3559" s="13" t="s">
        <v>1362</v>
      </c>
      <c r="G3559" s="13">
        <v>0.65</v>
      </c>
      <c r="H3559" s="15">
        <v>1887</v>
      </c>
      <c r="I3559" s="16">
        <v>1226.55</v>
      </c>
      <c r="J3559" s="16">
        <v>1553.5600825601693</v>
      </c>
      <c r="K3559" s="16">
        <v>-327.01008256016928</v>
      </c>
      <c r="L3559" s="13">
        <v>1.91</v>
      </c>
      <c r="M3559" s="13"/>
      <c r="N3559" s="17">
        <f t="shared" si="119"/>
        <v>3604.17</v>
      </c>
      <c r="O3559" s="17">
        <f t="shared" si="119"/>
        <v>0</v>
      </c>
      <c r="P3559" s="17">
        <f t="shared" si="118"/>
        <v>3604.17</v>
      </c>
      <c r="Q3559" t="str">
        <f>A3559&amp;"-"&amp;B3559&amp;"-"&amp;D3559</f>
        <v>AGUSTUS-MJ2-L10</v>
      </c>
    </row>
    <row r="3560" spans="1:17" x14ac:dyDescent="0.25">
      <c r="A3560" t="s">
        <v>398</v>
      </c>
      <c r="B3560" s="13" t="s">
        <v>26</v>
      </c>
      <c r="C3560" s="13" t="s">
        <v>226</v>
      </c>
      <c r="D3560" s="14" t="s">
        <v>301</v>
      </c>
      <c r="E3560" s="13" t="s">
        <v>61</v>
      </c>
      <c r="F3560" s="13" t="s">
        <v>1363</v>
      </c>
      <c r="G3560" s="13">
        <v>0.66</v>
      </c>
      <c r="H3560" s="15">
        <v>3835</v>
      </c>
      <c r="I3560" s="16">
        <v>2531.1</v>
      </c>
      <c r="J3560" s="16">
        <v>2574.2779819930879</v>
      </c>
      <c r="K3560" s="16">
        <v>-43.177981993087919</v>
      </c>
      <c r="L3560" s="13">
        <v>1.71</v>
      </c>
      <c r="M3560" s="13"/>
      <c r="N3560" s="17">
        <f t="shared" si="119"/>
        <v>6557.8499999999995</v>
      </c>
      <c r="O3560" s="17">
        <f t="shared" si="119"/>
        <v>0</v>
      </c>
      <c r="P3560" s="17">
        <f t="shared" si="118"/>
        <v>6557.8499999999995</v>
      </c>
      <c r="Q3560" t="str">
        <f>A3560&amp;"-"&amp;B3560&amp;"-"&amp;D3560</f>
        <v>AGUSTUS-MJ2-L10</v>
      </c>
    </row>
    <row r="3561" spans="1:17" x14ac:dyDescent="0.25">
      <c r="A3561" t="s">
        <v>398</v>
      </c>
      <c r="B3561" s="13" t="s">
        <v>26</v>
      </c>
      <c r="C3561" s="13" t="s">
        <v>226</v>
      </c>
      <c r="D3561" s="14" t="s">
        <v>301</v>
      </c>
      <c r="E3561" s="13" t="s">
        <v>61</v>
      </c>
      <c r="F3561" s="13" t="s">
        <v>1364</v>
      </c>
      <c r="G3561" s="13">
        <v>0.8</v>
      </c>
      <c r="H3561" s="15">
        <v>3060</v>
      </c>
      <c r="I3561" s="16">
        <v>2448</v>
      </c>
      <c r="J3561" s="16">
        <v>2156.0314442610315</v>
      </c>
      <c r="K3561" s="16">
        <v>291.96855573896875</v>
      </c>
      <c r="L3561" s="13">
        <v>2.1</v>
      </c>
      <c r="M3561" s="13"/>
      <c r="N3561" s="17">
        <f t="shared" si="119"/>
        <v>6426</v>
      </c>
      <c r="O3561" s="17">
        <f t="shared" si="119"/>
        <v>0</v>
      </c>
      <c r="P3561" s="17">
        <f t="shared" si="118"/>
        <v>6426</v>
      </c>
      <c r="Q3561" t="str">
        <f>A3561&amp;"-"&amp;B3561&amp;"-"&amp;D3561</f>
        <v>AGUSTUS-MJ2-L10</v>
      </c>
    </row>
    <row r="3562" spans="1:17" x14ac:dyDescent="0.25">
      <c r="A3562" t="s">
        <v>398</v>
      </c>
      <c r="B3562" s="13" t="s">
        <v>26</v>
      </c>
      <c r="C3562" s="13" t="s">
        <v>226</v>
      </c>
      <c r="D3562" s="14" t="s">
        <v>301</v>
      </c>
      <c r="E3562" s="13" t="s">
        <v>61</v>
      </c>
      <c r="F3562" s="13" t="s">
        <v>1365</v>
      </c>
      <c r="G3562" s="13">
        <v>0.80000000000000016</v>
      </c>
      <c r="H3562" s="15">
        <v>472</v>
      </c>
      <c r="I3562" s="16">
        <v>377.6</v>
      </c>
      <c r="J3562" s="16">
        <v>326.80117535489711</v>
      </c>
      <c r="K3562" s="16">
        <v>50.79882464510294</v>
      </c>
      <c r="L3562" s="13">
        <v>2.2599999999999998</v>
      </c>
      <c r="M3562" s="13"/>
      <c r="N3562" s="17">
        <f t="shared" si="119"/>
        <v>1066.7199999999998</v>
      </c>
      <c r="O3562" s="17">
        <f t="shared" si="119"/>
        <v>0</v>
      </c>
      <c r="P3562" s="17">
        <f t="shared" si="118"/>
        <v>1066.7199999999998</v>
      </c>
      <c r="Q3562" t="str">
        <f>A3562&amp;"-"&amp;B3562&amp;"-"&amp;D3562</f>
        <v>AGUSTUS-MJ2-L10</v>
      </c>
    </row>
    <row r="3563" spans="1:17" x14ac:dyDescent="0.25">
      <c r="A3563" t="s">
        <v>398</v>
      </c>
      <c r="B3563" s="13" t="s">
        <v>26</v>
      </c>
      <c r="C3563" s="13" t="s">
        <v>226</v>
      </c>
      <c r="D3563" s="14" t="s">
        <v>301</v>
      </c>
      <c r="E3563" s="13" t="s">
        <v>61</v>
      </c>
      <c r="F3563" s="13" t="s">
        <v>1366</v>
      </c>
      <c r="G3563" s="13">
        <v>0.66</v>
      </c>
      <c r="H3563" s="15">
        <v>1983</v>
      </c>
      <c r="I3563" s="16">
        <v>1308.7799999999997</v>
      </c>
      <c r="J3563" s="16">
        <v>1305.2430037564818</v>
      </c>
      <c r="K3563" s="16">
        <v>3.5369962435180753</v>
      </c>
      <c r="L3563" s="13">
        <v>1.73</v>
      </c>
      <c r="M3563" s="13"/>
      <c r="N3563" s="17">
        <f t="shared" si="119"/>
        <v>3430.59</v>
      </c>
      <c r="O3563" s="17">
        <f t="shared" si="119"/>
        <v>0</v>
      </c>
      <c r="P3563" s="17">
        <f t="shared" si="118"/>
        <v>3430.59</v>
      </c>
      <c r="Q3563" t="str">
        <f>A3563&amp;"-"&amp;B3563&amp;"-"&amp;D3563</f>
        <v>AGUSTUS-MJ2-L10</v>
      </c>
    </row>
    <row r="3564" spans="1:17" x14ac:dyDescent="0.25">
      <c r="A3564" t="s">
        <v>398</v>
      </c>
      <c r="B3564" s="13" t="s">
        <v>26</v>
      </c>
      <c r="C3564" s="13" t="s">
        <v>226</v>
      </c>
      <c r="D3564" s="14" t="s">
        <v>301</v>
      </c>
      <c r="E3564" s="13" t="s">
        <v>61</v>
      </c>
      <c r="F3564" s="13" t="s">
        <v>1367</v>
      </c>
      <c r="G3564" s="13">
        <v>0.63</v>
      </c>
      <c r="H3564" s="15">
        <v>531</v>
      </c>
      <c r="I3564" s="16">
        <v>334.53000000000003</v>
      </c>
      <c r="J3564" s="16">
        <v>352.76773363007845</v>
      </c>
      <c r="K3564" s="16">
        <v>-18.237733630078409</v>
      </c>
      <c r="L3564" s="13">
        <v>1.87</v>
      </c>
      <c r="M3564" s="13"/>
      <c r="N3564" s="17">
        <f t="shared" si="119"/>
        <v>992.97</v>
      </c>
      <c r="O3564" s="17">
        <f t="shared" si="119"/>
        <v>0</v>
      </c>
      <c r="P3564" s="17">
        <f t="shared" si="118"/>
        <v>992.97</v>
      </c>
      <c r="Q3564" t="str">
        <f>A3564&amp;"-"&amp;B3564&amp;"-"&amp;D3564</f>
        <v>AGUSTUS-MJ2-L10</v>
      </c>
    </row>
    <row r="3565" spans="1:17" x14ac:dyDescent="0.25">
      <c r="A3565" t="s">
        <v>398</v>
      </c>
      <c r="B3565" s="13" t="s">
        <v>26</v>
      </c>
      <c r="C3565" s="13" t="s">
        <v>226</v>
      </c>
      <c r="D3565" s="14" t="s">
        <v>301</v>
      </c>
      <c r="E3565" s="13" t="s">
        <v>61</v>
      </c>
      <c r="F3565" s="13" t="s">
        <v>1187</v>
      </c>
      <c r="G3565" s="13">
        <v>0.79</v>
      </c>
      <c r="H3565" s="15">
        <v>682</v>
      </c>
      <c r="I3565" s="16">
        <v>538.78</v>
      </c>
      <c r="J3565" s="16">
        <v>537.13379310344828</v>
      </c>
      <c r="K3565" s="16">
        <v>1.6462068965516892</v>
      </c>
      <c r="L3565" s="13">
        <v>2.14</v>
      </c>
      <c r="M3565" s="13"/>
      <c r="N3565" s="17">
        <f t="shared" si="119"/>
        <v>1459.48</v>
      </c>
      <c r="O3565" s="17">
        <f t="shared" si="119"/>
        <v>0</v>
      </c>
      <c r="P3565" s="17">
        <f t="shared" si="118"/>
        <v>1459.48</v>
      </c>
      <c r="Q3565" t="str">
        <f>A3565&amp;"-"&amp;B3565&amp;"-"&amp;D3565</f>
        <v>AGUSTUS-MJ2-L10</v>
      </c>
    </row>
    <row r="3566" spans="1:17" x14ac:dyDescent="0.25">
      <c r="A3566" t="s">
        <v>398</v>
      </c>
      <c r="B3566" s="13" t="s">
        <v>26</v>
      </c>
      <c r="C3566" s="13" t="s">
        <v>226</v>
      </c>
      <c r="D3566" s="14" t="s">
        <v>301</v>
      </c>
      <c r="E3566" s="13" t="s">
        <v>61</v>
      </c>
      <c r="F3566" s="13" t="s">
        <v>1368</v>
      </c>
      <c r="G3566" s="13">
        <v>0.79</v>
      </c>
      <c r="H3566" s="15">
        <v>1609</v>
      </c>
      <c r="I3566" s="16">
        <v>1271.1100000000001</v>
      </c>
      <c r="J3566" s="16">
        <v>1097.4633111366245</v>
      </c>
      <c r="K3566" s="16">
        <v>173.64668886337554</v>
      </c>
      <c r="L3566" s="13">
        <v>2.14</v>
      </c>
      <c r="M3566" s="13"/>
      <c r="N3566" s="17">
        <f t="shared" si="119"/>
        <v>3443.26</v>
      </c>
      <c r="O3566" s="17">
        <f t="shared" si="119"/>
        <v>0</v>
      </c>
      <c r="P3566" s="17">
        <f t="shared" si="118"/>
        <v>3443.26</v>
      </c>
      <c r="Q3566" t="str">
        <f>A3566&amp;"-"&amp;B3566&amp;"-"&amp;D3566</f>
        <v>AGUSTUS-MJ2-L10</v>
      </c>
    </row>
    <row r="3567" spans="1:17" x14ac:dyDescent="0.25">
      <c r="A3567" t="s">
        <v>398</v>
      </c>
      <c r="B3567" s="13" t="s">
        <v>26</v>
      </c>
      <c r="C3567" s="13" t="s">
        <v>226</v>
      </c>
      <c r="D3567" s="14" t="s">
        <v>301</v>
      </c>
      <c r="E3567" s="13" t="s">
        <v>61</v>
      </c>
      <c r="F3567" s="13" t="s">
        <v>1188</v>
      </c>
      <c r="G3567" s="13">
        <v>0.72000000000000008</v>
      </c>
      <c r="H3567" s="15">
        <v>208</v>
      </c>
      <c r="I3567" s="16">
        <v>149.76</v>
      </c>
      <c r="J3567" s="16">
        <v>165.12637925172064</v>
      </c>
      <c r="K3567" s="16">
        <v>-15.366379251720648</v>
      </c>
      <c r="L3567" s="13">
        <v>2.29</v>
      </c>
      <c r="M3567" s="13"/>
      <c r="N3567" s="17">
        <f t="shared" si="119"/>
        <v>476.32</v>
      </c>
      <c r="O3567" s="17">
        <f t="shared" si="119"/>
        <v>0</v>
      </c>
      <c r="P3567" s="17">
        <f t="shared" si="118"/>
        <v>476.32</v>
      </c>
      <c r="Q3567" t="str">
        <f>A3567&amp;"-"&amp;B3567&amp;"-"&amp;D3567</f>
        <v>AGUSTUS-MJ2-L10</v>
      </c>
    </row>
    <row r="3568" spans="1:17" x14ac:dyDescent="0.25">
      <c r="A3568" t="s">
        <v>398</v>
      </c>
      <c r="B3568" s="13" t="s">
        <v>26</v>
      </c>
      <c r="C3568" s="13" t="s">
        <v>226</v>
      </c>
      <c r="D3568" s="14" t="s">
        <v>301</v>
      </c>
      <c r="E3568" s="13" t="s">
        <v>61</v>
      </c>
      <c r="F3568" s="13" t="s">
        <v>1369</v>
      </c>
      <c r="G3568" s="13">
        <v>0.79</v>
      </c>
      <c r="H3568" s="15">
        <v>1541</v>
      </c>
      <c r="I3568" s="16">
        <v>1217.3900000000001</v>
      </c>
      <c r="J3568" s="16">
        <v>1281.0622979137243</v>
      </c>
      <c r="K3568" s="16">
        <v>-63.672297913724201</v>
      </c>
      <c r="L3568" s="13">
        <v>2.13</v>
      </c>
      <c r="M3568" s="13"/>
      <c r="N3568" s="17">
        <f t="shared" si="119"/>
        <v>3282.33</v>
      </c>
      <c r="O3568" s="17">
        <f t="shared" si="119"/>
        <v>0</v>
      </c>
      <c r="P3568" s="17">
        <f t="shared" si="118"/>
        <v>3282.33</v>
      </c>
      <c r="Q3568" t="str">
        <f>A3568&amp;"-"&amp;B3568&amp;"-"&amp;D3568</f>
        <v>AGUSTUS-MJ2-L10</v>
      </c>
    </row>
    <row r="3569" spans="1:17" x14ac:dyDescent="0.25">
      <c r="A3569" t="s">
        <v>398</v>
      </c>
      <c r="B3569" s="13" t="s">
        <v>26</v>
      </c>
      <c r="C3569" s="13" t="s">
        <v>226</v>
      </c>
      <c r="D3569" s="14" t="s">
        <v>301</v>
      </c>
      <c r="E3569" s="13" t="s">
        <v>61</v>
      </c>
      <c r="F3569" s="13" t="s">
        <v>1370</v>
      </c>
      <c r="G3569" s="13">
        <v>0.79</v>
      </c>
      <c r="H3569" s="15">
        <v>1268</v>
      </c>
      <c r="I3569" s="16">
        <v>1001.72</v>
      </c>
      <c r="J3569" s="16">
        <v>889.95758438576354</v>
      </c>
      <c r="K3569" s="16">
        <v>111.76241561423646</v>
      </c>
      <c r="L3569" s="13">
        <v>2.13</v>
      </c>
      <c r="M3569" s="13"/>
      <c r="N3569" s="17">
        <f t="shared" si="119"/>
        <v>2700.8399999999997</v>
      </c>
      <c r="O3569" s="17">
        <f t="shared" si="119"/>
        <v>0</v>
      </c>
      <c r="P3569" s="17">
        <f t="shared" si="118"/>
        <v>2700.8399999999997</v>
      </c>
      <c r="Q3569" t="str">
        <f>A3569&amp;"-"&amp;B3569&amp;"-"&amp;D3569</f>
        <v>AGUSTUS-MJ2-L10</v>
      </c>
    </row>
    <row r="3570" spans="1:17" x14ac:dyDescent="0.25">
      <c r="A3570" t="s">
        <v>398</v>
      </c>
      <c r="B3570" s="13" t="s">
        <v>26</v>
      </c>
      <c r="C3570" s="13" t="s">
        <v>226</v>
      </c>
      <c r="D3570" s="14" t="s">
        <v>301</v>
      </c>
      <c r="E3570" s="13" t="s">
        <v>61</v>
      </c>
      <c r="F3570" s="13" t="s">
        <v>1371</v>
      </c>
      <c r="G3570" s="13">
        <v>0.72000000000000008</v>
      </c>
      <c r="H3570" s="15">
        <v>539</v>
      </c>
      <c r="I3570" s="16">
        <v>388.08</v>
      </c>
      <c r="J3570" s="16">
        <v>444.25145355459591</v>
      </c>
      <c r="K3570" s="16">
        <v>-56.171453554595921</v>
      </c>
      <c r="L3570" s="13">
        <v>2.29</v>
      </c>
      <c r="M3570" s="13"/>
      <c r="N3570" s="17">
        <f t="shared" si="119"/>
        <v>1234.31</v>
      </c>
      <c r="O3570" s="17">
        <f t="shared" si="119"/>
        <v>0</v>
      </c>
      <c r="P3570" s="17">
        <f t="shared" si="118"/>
        <v>1234.31</v>
      </c>
      <c r="Q3570" t="str">
        <f>A3570&amp;"-"&amp;B3570&amp;"-"&amp;D3570</f>
        <v>AGUSTUS-MJ2-L10</v>
      </c>
    </row>
    <row r="3571" spans="1:17" x14ac:dyDescent="0.25">
      <c r="A3571" t="s">
        <v>398</v>
      </c>
      <c r="B3571" s="13" t="s">
        <v>26</v>
      </c>
      <c r="C3571" s="13" t="s">
        <v>226</v>
      </c>
      <c r="D3571" s="14" t="s">
        <v>301</v>
      </c>
      <c r="E3571" s="13" t="s">
        <v>61</v>
      </c>
      <c r="F3571" s="13" t="s">
        <v>1372</v>
      </c>
      <c r="G3571" s="13">
        <v>0.79</v>
      </c>
      <c r="H3571" s="15">
        <v>387</v>
      </c>
      <c r="I3571" s="16">
        <v>305.73</v>
      </c>
      <c r="J3571" s="16">
        <v>271.97169230769231</v>
      </c>
      <c r="K3571" s="16">
        <v>33.75830769230771</v>
      </c>
      <c r="L3571" s="13">
        <v>2.14</v>
      </c>
      <c r="M3571" s="13"/>
      <c r="N3571" s="17">
        <f t="shared" si="119"/>
        <v>828.18000000000006</v>
      </c>
      <c r="O3571" s="17">
        <f t="shared" si="119"/>
        <v>0</v>
      </c>
      <c r="P3571" s="17">
        <f t="shared" si="118"/>
        <v>828.18000000000006</v>
      </c>
      <c r="Q3571" t="str">
        <f>A3571&amp;"-"&amp;B3571&amp;"-"&amp;D3571</f>
        <v>AGUSTUS-MJ2-L10</v>
      </c>
    </row>
    <row r="3572" spans="1:17" x14ac:dyDescent="0.25">
      <c r="A3572" t="s">
        <v>398</v>
      </c>
      <c r="B3572" s="13" t="s">
        <v>26</v>
      </c>
      <c r="C3572" s="13" t="s">
        <v>226</v>
      </c>
      <c r="D3572" s="14" t="s">
        <v>301</v>
      </c>
      <c r="E3572" s="13" t="s">
        <v>61</v>
      </c>
      <c r="F3572" s="13" t="s">
        <v>1232</v>
      </c>
      <c r="G3572" s="13">
        <v>0.72</v>
      </c>
      <c r="H3572" s="15">
        <v>47</v>
      </c>
      <c r="I3572" s="16">
        <v>33.840000000000003</v>
      </c>
      <c r="J3572" s="16">
        <v>34.122059758423397</v>
      </c>
      <c r="K3572" s="16">
        <v>-0.2820597584233937</v>
      </c>
      <c r="L3572" s="13">
        <v>2.29</v>
      </c>
      <c r="M3572" s="13"/>
      <c r="N3572" s="17">
        <f t="shared" si="119"/>
        <v>107.63</v>
      </c>
      <c r="O3572" s="17">
        <f t="shared" si="119"/>
        <v>0</v>
      </c>
      <c r="P3572" s="17">
        <f t="shared" si="118"/>
        <v>107.63</v>
      </c>
      <c r="Q3572" t="str">
        <f>A3572&amp;"-"&amp;B3572&amp;"-"&amp;D3572</f>
        <v>AGUSTUS-MJ2-L10</v>
      </c>
    </row>
    <row r="3573" spans="1:17" x14ac:dyDescent="0.25">
      <c r="A3573" t="s">
        <v>398</v>
      </c>
      <c r="B3573" s="13" t="s">
        <v>26</v>
      </c>
      <c r="C3573" s="13" t="s">
        <v>226</v>
      </c>
      <c r="D3573" s="14" t="s">
        <v>301</v>
      </c>
      <c r="E3573" s="13" t="s">
        <v>61</v>
      </c>
      <c r="F3573" s="13" t="s">
        <v>1373</v>
      </c>
      <c r="G3573" s="13">
        <v>0.79</v>
      </c>
      <c r="H3573" s="15">
        <v>1880</v>
      </c>
      <c r="I3573" s="16">
        <v>1485.1999999999998</v>
      </c>
      <c r="J3573" s="16">
        <v>1612.2121932545429</v>
      </c>
      <c r="K3573" s="16">
        <v>-127.01219325454277</v>
      </c>
      <c r="L3573" s="13">
        <v>2.13</v>
      </c>
      <c r="M3573" s="13"/>
      <c r="N3573" s="17">
        <f t="shared" si="119"/>
        <v>4004.3999999999996</v>
      </c>
      <c r="O3573" s="17">
        <f t="shared" si="119"/>
        <v>0</v>
      </c>
      <c r="P3573" s="17">
        <f t="shared" si="118"/>
        <v>4004.3999999999996</v>
      </c>
      <c r="Q3573" t="str">
        <f>A3573&amp;"-"&amp;B3573&amp;"-"&amp;D3573</f>
        <v>AGUSTUS-MJ2-L10</v>
      </c>
    </row>
    <row r="3574" spans="1:17" x14ac:dyDescent="0.25">
      <c r="A3574" t="s">
        <v>398</v>
      </c>
      <c r="B3574" s="13" t="s">
        <v>26</v>
      </c>
      <c r="C3574" s="13" t="s">
        <v>226</v>
      </c>
      <c r="D3574" s="14" t="s">
        <v>301</v>
      </c>
      <c r="E3574" s="13" t="s">
        <v>61</v>
      </c>
      <c r="F3574" s="13" t="s">
        <v>1374</v>
      </c>
      <c r="G3574" s="13">
        <v>0.79</v>
      </c>
      <c r="H3574" s="15">
        <v>1538</v>
      </c>
      <c r="I3574" s="16">
        <v>1215.02</v>
      </c>
      <c r="J3574" s="16">
        <v>1133.056694789082</v>
      </c>
      <c r="K3574" s="16">
        <v>81.963305210918165</v>
      </c>
      <c r="L3574" s="13">
        <v>2.14</v>
      </c>
      <c r="M3574" s="13"/>
      <c r="N3574" s="17">
        <f t="shared" si="119"/>
        <v>3291.32</v>
      </c>
      <c r="O3574" s="17">
        <f t="shared" si="119"/>
        <v>0</v>
      </c>
      <c r="P3574" s="17">
        <f t="shared" si="118"/>
        <v>3291.32</v>
      </c>
      <c r="Q3574" t="str">
        <f>A3574&amp;"-"&amp;B3574&amp;"-"&amp;D3574</f>
        <v>AGUSTUS-MJ2-L10</v>
      </c>
    </row>
    <row r="3575" spans="1:17" x14ac:dyDescent="0.25">
      <c r="A3575" t="s">
        <v>398</v>
      </c>
      <c r="B3575" s="13" t="s">
        <v>26</v>
      </c>
      <c r="C3575" s="13" t="s">
        <v>226</v>
      </c>
      <c r="D3575" s="14" t="s">
        <v>301</v>
      </c>
      <c r="E3575" s="13" t="s">
        <v>61</v>
      </c>
      <c r="F3575" s="13" t="s">
        <v>1193</v>
      </c>
      <c r="G3575" s="13">
        <v>0.72</v>
      </c>
      <c r="H3575" s="15">
        <v>3</v>
      </c>
      <c r="I3575" s="16">
        <v>2.16</v>
      </c>
      <c r="J3575" s="16">
        <v>1.8488936859147329</v>
      </c>
      <c r="K3575" s="16">
        <v>0.31110631408526723</v>
      </c>
      <c r="L3575" s="13">
        <v>2.29</v>
      </c>
      <c r="M3575" s="13"/>
      <c r="N3575" s="17">
        <f t="shared" si="119"/>
        <v>6.87</v>
      </c>
      <c r="O3575" s="17">
        <f t="shared" si="119"/>
        <v>0</v>
      </c>
      <c r="P3575" s="17">
        <f t="shared" si="118"/>
        <v>6.87</v>
      </c>
      <c r="Q3575" t="str">
        <f>A3575&amp;"-"&amp;B3575&amp;"-"&amp;D3575</f>
        <v>AGUSTUS-MJ2-L10</v>
      </c>
    </row>
    <row r="3576" spans="1:17" x14ac:dyDescent="0.25">
      <c r="A3576" t="s">
        <v>398</v>
      </c>
      <c r="B3576" s="13" t="s">
        <v>26</v>
      </c>
      <c r="C3576" s="13" t="s">
        <v>226</v>
      </c>
      <c r="D3576" s="14" t="s">
        <v>301</v>
      </c>
      <c r="E3576" s="13" t="s">
        <v>61</v>
      </c>
      <c r="F3576" s="13" t="s">
        <v>1375</v>
      </c>
      <c r="G3576" s="13">
        <v>0.79</v>
      </c>
      <c r="H3576" s="15">
        <v>1611</v>
      </c>
      <c r="I3576" s="16">
        <v>1272.69</v>
      </c>
      <c r="J3576" s="16">
        <v>1333.9024287444856</v>
      </c>
      <c r="K3576" s="16">
        <v>-61.212428744485521</v>
      </c>
      <c r="L3576" s="13">
        <v>2.14</v>
      </c>
      <c r="M3576" s="13"/>
      <c r="N3576" s="17">
        <f t="shared" si="119"/>
        <v>3447.5400000000004</v>
      </c>
      <c r="O3576" s="17">
        <f t="shared" si="119"/>
        <v>0</v>
      </c>
      <c r="P3576" s="17">
        <f t="shared" si="118"/>
        <v>3447.5400000000004</v>
      </c>
      <c r="Q3576" t="str">
        <f>A3576&amp;"-"&amp;B3576&amp;"-"&amp;D3576</f>
        <v>AGUSTUS-MJ2-L10</v>
      </c>
    </row>
    <row r="3577" spans="1:17" x14ac:dyDescent="0.25">
      <c r="A3577" t="s">
        <v>398</v>
      </c>
      <c r="B3577" s="13" t="s">
        <v>26</v>
      </c>
      <c r="C3577" s="13" t="s">
        <v>226</v>
      </c>
      <c r="D3577" s="14" t="s">
        <v>301</v>
      </c>
      <c r="E3577" s="13" t="s">
        <v>61</v>
      </c>
      <c r="F3577" s="13" t="s">
        <v>1376</v>
      </c>
      <c r="G3577" s="13">
        <v>0.71999999999999986</v>
      </c>
      <c r="H3577" s="15">
        <v>675</v>
      </c>
      <c r="I3577" s="16">
        <v>486</v>
      </c>
      <c r="J3577" s="16">
        <v>555.34838677407868</v>
      </c>
      <c r="K3577" s="16">
        <v>-69.348386774078705</v>
      </c>
      <c r="L3577" s="13">
        <v>2.29</v>
      </c>
      <c r="M3577" s="13"/>
      <c r="N3577" s="17">
        <f t="shared" si="119"/>
        <v>1545.75</v>
      </c>
      <c r="O3577" s="17">
        <f t="shared" si="119"/>
        <v>0</v>
      </c>
      <c r="P3577" s="17">
        <f t="shared" si="118"/>
        <v>1545.75</v>
      </c>
      <c r="Q3577" t="str">
        <f>A3577&amp;"-"&amp;B3577&amp;"-"&amp;D3577</f>
        <v>AGUSTUS-MJ2-L10</v>
      </c>
    </row>
    <row r="3578" spans="1:17" x14ac:dyDescent="0.25">
      <c r="A3578" t="s">
        <v>398</v>
      </c>
      <c r="B3578" s="13" t="s">
        <v>26</v>
      </c>
      <c r="C3578" s="13" t="s">
        <v>226</v>
      </c>
      <c r="D3578" s="14" t="s">
        <v>301</v>
      </c>
      <c r="E3578" s="13" t="s">
        <v>61</v>
      </c>
      <c r="F3578" s="13" t="s">
        <v>1165</v>
      </c>
      <c r="G3578" s="13">
        <v>0.65</v>
      </c>
      <c r="H3578" s="15">
        <v>9761</v>
      </c>
      <c r="I3578" s="16">
        <v>6344.65</v>
      </c>
      <c r="J3578" s="16">
        <v>5794.2137719702523</v>
      </c>
      <c r="K3578" s="16">
        <v>550.43622802974789</v>
      </c>
      <c r="L3578" s="13">
        <v>1.66</v>
      </c>
      <c r="M3578" s="13"/>
      <c r="N3578" s="17">
        <f t="shared" si="119"/>
        <v>16203.259999999998</v>
      </c>
      <c r="O3578" s="17">
        <f t="shared" si="119"/>
        <v>0</v>
      </c>
      <c r="P3578" s="17">
        <f t="shared" si="118"/>
        <v>16203.259999999998</v>
      </c>
      <c r="Q3578" t="str">
        <f>A3578&amp;"-"&amp;B3578&amp;"-"&amp;D3578</f>
        <v>AGUSTUS-MJ2-L10</v>
      </c>
    </row>
    <row r="3579" spans="1:17" x14ac:dyDescent="0.25">
      <c r="A3579" t="s">
        <v>398</v>
      </c>
      <c r="B3579" s="13" t="s">
        <v>26</v>
      </c>
      <c r="C3579" s="13" t="s">
        <v>226</v>
      </c>
      <c r="D3579" s="14" t="s">
        <v>301</v>
      </c>
      <c r="E3579" s="13" t="s">
        <v>61</v>
      </c>
      <c r="F3579" s="13" t="s">
        <v>1196</v>
      </c>
      <c r="G3579" s="13">
        <v>0.65</v>
      </c>
      <c r="H3579" s="15">
        <v>20</v>
      </c>
      <c r="I3579" s="16">
        <v>13</v>
      </c>
      <c r="J3579" s="16">
        <v>15.751724137931035</v>
      </c>
      <c r="K3579" s="16">
        <v>-2.7517241379310349</v>
      </c>
      <c r="L3579" s="13">
        <v>1.66</v>
      </c>
      <c r="M3579" s="13"/>
      <c r="N3579" s="17">
        <f t="shared" si="119"/>
        <v>33.199999999999996</v>
      </c>
      <c r="O3579" s="17">
        <f t="shared" si="119"/>
        <v>0</v>
      </c>
      <c r="P3579" s="17">
        <f t="shared" si="118"/>
        <v>33.199999999999996</v>
      </c>
      <c r="Q3579" t="str">
        <f>A3579&amp;"-"&amp;B3579&amp;"-"&amp;D3579</f>
        <v>AGUSTUS-MJ2-L10</v>
      </c>
    </row>
    <row r="3580" spans="1:17" x14ac:dyDescent="0.25">
      <c r="A3580" t="s">
        <v>398</v>
      </c>
      <c r="B3580" s="13" t="s">
        <v>26</v>
      </c>
      <c r="C3580" s="13" t="s">
        <v>226</v>
      </c>
      <c r="D3580" s="14" t="s">
        <v>301</v>
      </c>
      <c r="E3580" s="13" t="s">
        <v>61</v>
      </c>
      <c r="F3580" s="13" t="s">
        <v>1197</v>
      </c>
      <c r="G3580" s="13">
        <v>0.65</v>
      </c>
      <c r="H3580" s="15">
        <v>5</v>
      </c>
      <c r="I3580" s="16">
        <v>3.25</v>
      </c>
      <c r="J3580" s="16">
        <v>3.9379310344827587</v>
      </c>
      <c r="K3580" s="16">
        <v>-0.68793103448275872</v>
      </c>
      <c r="L3580" s="13">
        <v>1.79</v>
      </c>
      <c r="M3580" s="13"/>
      <c r="N3580" s="17">
        <f t="shared" si="119"/>
        <v>8.9499999999999993</v>
      </c>
      <c r="O3580" s="17">
        <f t="shared" si="119"/>
        <v>0</v>
      </c>
      <c r="P3580" s="17">
        <f t="shared" si="118"/>
        <v>8.9499999999999993</v>
      </c>
      <c r="Q3580" t="str">
        <f>A3580&amp;"-"&amp;B3580&amp;"-"&amp;D3580</f>
        <v>AGUSTUS-MJ2-L10</v>
      </c>
    </row>
    <row r="3581" spans="1:17" x14ac:dyDescent="0.25">
      <c r="A3581" t="s">
        <v>398</v>
      </c>
      <c r="B3581" s="13" t="s">
        <v>26</v>
      </c>
      <c r="C3581" s="13" t="s">
        <v>226</v>
      </c>
      <c r="D3581" s="14" t="s">
        <v>301</v>
      </c>
      <c r="E3581" s="13" t="s">
        <v>61</v>
      </c>
      <c r="F3581" s="13" t="s">
        <v>1377</v>
      </c>
      <c r="G3581" s="13">
        <v>0.65</v>
      </c>
      <c r="H3581" s="15">
        <v>2547</v>
      </c>
      <c r="I3581" s="16">
        <v>1655.55</v>
      </c>
      <c r="J3581" s="16">
        <v>1683.9579826414922</v>
      </c>
      <c r="K3581" s="16">
        <v>-28.407982641492186</v>
      </c>
      <c r="L3581" s="13">
        <v>1.66</v>
      </c>
      <c r="M3581" s="13"/>
      <c r="N3581" s="17">
        <f t="shared" si="119"/>
        <v>4228.0199999999995</v>
      </c>
      <c r="O3581" s="17">
        <f t="shared" si="119"/>
        <v>0</v>
      </c>
      <c r="P3581" s="17">
        <f t="shared" si="118"/>
        <v>4228.0199999999995</v>
      </c>
      <c r="Q3581" t="str">
        <f>A3581&amp;"-"&amp;B3581&amp;"-"&amp;D3581</f>
        <v>AGUSTUS-MJ2-L10</v>
      </c>
    </row>
    <row r="3582" spans="1:17" x14ac:dyDescent="0.25">
      <c r="A3582" t="s">
        <v>398</v>
      </c>
      <c r="B3582" s="13" t="s">
        <v>26</v>
      </c>
      <c r="C3582" s="13" t="s">
        <v>226</v>
      </c>
      <c r="D3582" s="14" t="s">
        <v>287</v>
      </c>
      <c r="E3582" s="13" t="s">
        <v>61</v>
      </c>
      <c r="F3582" s="13" t="s">
        <v>1362</v>
      </c>
      <c r="G3582" s="13">
        <v>0.65</v>
      </c>
      <c r="H3582" s="15">
        <v>1885</v>
      </c>
      <c r="I3582" s="16">
        <v>1225.25</v>
      </c>
      <c r="J3582" s="16">
        <v>1551.9983288829935</v>
      </c>
      <c r="K3582" s="16">
        <v>-326.74832888299358</v>
      </c>
      <c r="L3582" s="13">
        <v>1.91</v>
      </c>
      <c r="M3582" s="13"/>
      <c r="N3582" s="17">
        <f t="shared" si="119"/>
        <v>3600.35</v>
      </c>
      <c r="O3582" s="17">
        <f t="shared" si="119"/>
        <v>0</v>
      </c>
      <c r="P3582" s="17">
        <f t="shared" si="118"/>
        <v>3600.35</v>
      </c>
      <c r="Q3582" t="str">
        <f>A3582&amp;"-"&amp;B3582&amp;"-"&amp;D3582</f>
        <v>AGUSTUS-MJ2-L11</v>
      </c>
    </row>
    <row r="3583" spans="1:17" x14ac:dyDescent="0.25">
      <c r="A3583" t="s">
        <v>398</v>
      </c>
      <c r="B3583" s="13" t="s">
        <v>26</v>
      </c>
      <c r="C3583" s="13" t="s">
        <v>226</v>
      </c>
      <c r="D3583" s="14" t="s">
        <v>287</v>
      </c>
      <c r="E3583" s="13" t="s">
        <v>61</v>
      </c>
      <c r="F3583" s="13" t="s">
        <v>1363</v>
      </c>
      <c r="G3583" s="13">
        <v>0.66</v>
      </c>
      <c r="H3583" s="15">
        <v>3838</v>
      </c>
      <c r="I3583" s="16">
        <v>2533.0800000000004</v>
      </c>
      <c r="J3583" s="16">
        <v>2575.8535363075102</v>
      </c>
      <c r="K3583" s="16">
        <v>-42.773536307510184</v>
      </c>
      <c r="L3583" s="13">
        <v>1.71</v>
      </c>
      <c r="M3583" s="13"/>
      <c r="N3583" s="17">
        <f t="shared" si="119"/>
        <v>6562.98</v>
      </c>
      <c r="O3583" s="17">
        <f t="shared" si="119"/>
        <v>0</v>
      </c>
      <c r="P3583" s="17">
        <f t="shared" si="118"/>
        <v>6562.98</v>
      </c>
      <c r="Q3583" t="str">
        <f>A3583&amp;"-"&amp;B3583&amp;"-"&amp;D3583</f>
        <v>AGUSTUS-MJ2-L11</v>
      </c>
    </row>
    <row r="3584" spans="1:17" x14ac:dyDescent="0.25">
      <c r="A3584" t="s">
        <v>398</v>
      </c>
      <c r="B3584" s="13" t="s">
        <v>26</v>
      </c>
      <c r="C3584" s="13" t="s">
        <v>226</v>
      </c>
      <c r="D3584" s="14" t="s">
        <v>287</v>
      </c>
      <c r="E3584" s="13" t="s">
        <v>61</v>
      </c>
      <c r="F3584" s="13" t="s">
        <v>1364</v>
      </c>
      <c r="G3584" s="13">
        <v>0.8</v>
      </c>
      <c r="H3584" s="15">
        <v>3060</v>
      </c>
      <c r="I3584" s="16">
        <v>2448</v>
      </c>
      <c r="J3584" s="16">
        <v>2155.6897186611918</v>
      </c>
      <c r="K3584" s="16">
        <v>292.31028133880812</v>
      </c>
      <c r="L3584" s="13">
        <v>2.1</v>
      </c>
      <c r="M3584" s="13"/>
      <c r="N3584" s="17">
        <f t="shared" si="119"/>
        <v>6426</v>
      </c>
      <c r="O3584" s="17">
        <f t="shared" si="119"/>
        <v>0</v>
      </c>
      <c r="P3584" s="17">
        <f t="shared" si="118"/>
        <v>6426</v>
      </c>
      <c r="Q3584" t="str">
        <f>A3584&amp;"-"&amp;B3584&amp;"-"&amp;D3584</f>
        <v>AGUSTUS-MJ2-L11</v>
      </c>
    </row>
    <row r="3585" spans="1:17" x14ac:dyDescent="0.25">
      <c r="A3585" t="s">
        <v>398</v>
      </c>
      <c r="B3585" s="13" t="s">
        <v>26</v>
      </c>
      <c r="C3585" s="13" t="s">
        <v>226</v>
      </c>
      <c r="D3585" s="14" t="s">
        <v>287</v>
      </c>
      <c r="E3585" s="13" t="s">
        <v>61</v>
      </c>
      <c r="F3585" s="13" t="s">
        <v>1365</v>
      </c>
      <c r="G3585" s="13">
        <v>0.80000000000000016</v>
      </c>
      <c r="H3585" s="15">
        <v>473</v>
      </c>
      <c r="I3585" s="16">
        <v>378.4</v>
      </c>
      <c r="J3585" s="16">
        <v>327.49329656701832</v>
      </c>
      <c r="K3585" s="16">
        <v>50.906703432981686</v>
      </c>
      <c r="L3585" s="13">
        <v>2.2599999999999998</v>
      </c>
      <c r="M3585" s="13"/>
      <c r="N3585" s="17">
        <f t="shared" si="119"/>
        <v>1068.9799999999998</v>
      </c>
      <c r="O3585" s="17">
        <f t="shared" si="119"/>
        <v>0</v>
      </c>
      <c r="P3585" s="17">
        <f t="shared" si="118"/>
        <v>1068.9799999999998</v>
      </c>
      <c r="Q3585" t="str">
        <f>A3585&amp;"-"&amp;B3585&amp;"-"&amp;D3585</f>
        <v>AGUSTUS-MJ2-L11</v>
      </c>
    </row>
    <row r="3586" spans="1:17" x14ac:dyDescent="0.25">
      <c r="A3586" t="s">
        <v>398</v>
      </c>
      <c r="B3586" s="13" t="s">
        <v>26</v>
      </c>
      <c r="C3586" s="13" t="s">
        <v>226</v>
      </c>
      <c r="D3586" s="14" t="s">
        <v>287</v>
      </c>
      <c r="E3586" s="13" t="s">
        <v>61</v>
      </c>
      <c r="F3586" s="13" t="s">
        <v>1366</v>
      </c>
      <c r="G3586" s="13">
        <v>0.66</v>
      </c>
      <c r="H3586" s="15">
        <v>1982</v>
      </c>
      <c r="I3586" s="16">
        <v>1308.1200000000001</v>
      </c>
      <c r="J3586" s="16">
        <v>1304.7040433763734</v>
      </c>
      <c r="K3586" s="16">
        <v>3.4159566236265206</v>
      </c>
      <c r="L3586" s="13">
        <v>1.73</v>
      </c>
      <c r="M3586" s="13"/>
      <c r="N3586" s="17">
        <f t="shared" si="119"/>
        <v>3428.86</v>
      </c>
      <c r="O3586" s="17">
        <f t="shared" si="119"/>
        <v>0</v>
      </c>
      <c r="P3586" s="17">
        <f t="shared" ref="P3586:P3649" si="120">N3586+O3586</f>
        <v>3428.86</v>
      </c>
      <c r="Q3586" t="str">
        <f>A3586&amp;"-"&amp;B3586&amp;"-"&amp;D3586</f>
        <v>AGUSTUS-MJ2-L11</v>
      </c>
    </row>
    <row r="3587" spans="1:17" x14ac:dyDescent="0.25">
      <c r="A3587" t="s">
        <v>398</v>
      </c>
      <c r="B3587" s="13" t="s">
        <v>26</v>
      </c>
      <c r="C3587" s="13" t="s">
        <v>226</v>
      </c>
      <c r="D3587" s="14" t="s">
        <v>287</v>
      </c>
      <c r="E3587" s="13" t="s">
        <v>61</v>
      </c>
      <c r="F3587" s="13" t="s">
        <v>1367</v>
      </c>
      <c r="G3587" s="13">
        <v>0.63</v>
      </c>
      <c r="H3587" s="15">
        <v>529</v>
      </c>
      <c r="I3587" s="16">
        <v>333.27000000000004</v>
      </c>
      <c r="J3587" s="16">
        <v>351.43585331725961</v>
      </c>
      <c r="K3587" s="16">
        <v>-18.165853317259568</v>
      </c>
      <c r="L3587" s="13">
        <v>1.87</v>
      </c>
      <c r="M3587" s="13"/>
      <c r="N3587" s="17">
        <f t="shared" si="119"/>
        <v>989.23</v>
      </c>
      <c r="O3587" s="17">
        <f t="shared" si="119"/>
        <v>0</v>
      </c>
      <c r="P3587" s="17">
        <f t="shared" si="120"/>
        <v>989.23</v>
      </c>
      <c r="Q3587" t="str">
        <f>A3587&amp;"-"&amp;B3587&amp;"-"&amp;D3587</f>
        <v>AGUSTUS-MJ2-L11</v>
      </c>
    </row>
    <row r="3588" spans="1:17" x14ac:dyDescent="0.25">
      <c r="A3588" t="s">
        <v>398</v>
      </c>
      <c r="B3588" s="13" t="s">
        <v>26</v>
      </c>
      <c r="C3588" s="13" t="s">
        <v>226</v>
      </c>
      <c r="D3588" s="14" t="s">
        <v>287</v>
      </c>
      <c r="E3588" s="13" t="s">
        <v>61</v>
      </c>
      <c r="F3588" s="13" t="s">
        <v>1187</v>
      </c>
      <c r="G3588" s="13">
        <v>0.79</v>
      </c>
      <c r="H3588" s="15">
        <v>683</v>
      </c>
      <c r="I3588" s="16">
        <v>539.57000000000005</v>
      </c>
      <c r="J3588" s="16">
        <v>538.2926155969634</v>
      </c>
      <c r="K3588" s="16">
        <v>1.277384403036649</v>
      </c>
      <c r="L3588" s="13">
        <v>2.14</v>
      </c>
      <c r="M3588" s="13"/>
      <c r="N3588" s="17">
        <f t="shared" si="119"/>
        <v>1461.6200000000001</v>
      </c>
      <c r="O3588" s="17">
        <f t="shared" si="119"/>
        <v>0</v>
      </c>
      <c r="P3588" s="17">
        <f t="shared" si="120"/>
        <v>1461.6200000000001</v>
      </c>
      <c r="Q3588" t="str">
        <f>A3588&amp;"-"&amp;B3588&amp;"-"&amp;D3588</f>
        <v>AGUSTUS-MJ2-L11</v>
      </c>
    </row>
    <row r="3589" spans="1:17" x14ac:dyDescent="0.25">
      <c r="A3589" t="s">
        <v>398</v>
      </c>
      <c r="B3589" s="13" t="s">
        <v>26</v>
      </c>
      <c r="C3589" s="13" t="s">
        <v>226</v>
      </c>
      <c r="D3589" s="14" t="s">
        <v>287</v>
      </c>
      <c r="E3589" s="13" t="s">
        <v>61</v>
      </c>
      <c r="F3589" s="13" t="s">
        <v>1368</v>
      </c>
      <c r="G3589" s="13">
        <v>0.79</v>
      </c>
      <c r="H3589" s="15">
        <v>1611</v>
      </c>
      <c r="I3589" s="16">
        <v>1272.69</v>
      </c>
      <c r="J3589" s="16">
        <v>1098.84787141217</v>
      </c>
      <c r="K3589" s="16">
        <v>173.84212858783008</v>
      </c>
      <c r="L3589" s="13">
        <v>2.14</v>
      </c>
      <c r="M3589" s="13"/>
      <c r="N3589" s="17">
        <f t="shared" si="119"/>
        <v>3447.5400000000004</v>
      </c>
      <c r="O3589" s="17">
        <f t="shared" si="119"/>
        <v>0</v>
      </c>
      <c r="P3589" s="17">
        <f t="shared" si="120"/>
        <v>3447.5400000000004</v>
      </c>
      <c r="Q3589" t="str">
        <f>A3589&amp;"-"&amp;B3589&amp;"-"&amp;D3589</f>
        <v>AGUSTUS-MJ2-L11</v>
      </c>
    </row>
    <row r="3590" spans="1:17" x14ac:dyDescent="0.25">
      <c r="A3590" t="s">
        <v>398</v>
      </c>
      <c r="B3590" s="13" t="s">
        <v>26</v>
      </c>
      <c r="C3590" s="13" t="s">
        <v>226</v>
      </c>
      <c r="D3590" s="14" t="s">
        <v>287</v>
      </c>
      <c r="E3590" s="13" t="s">
        <v>61</v>
      </c>
      <c r="F3590" s="13" t="s">
        <v>1188</v>
      </c>
      <c r="G3590" s="13">
        <v>0.72000000000000008</v>
      </c>
      <c r="H3590" s="15">
        <v>207</v>
      </c>
      <c r="I3590" s="16">
        <v>149.04</v>
      </c>
      <c r="J3590" s="16">
        <v>164.33124746187323</v>
      </c>
      <c r="K3590" s="16">
        <v>-15.291247461873258</v>
      </c>
      <c r="L3590" s="13">
        <v>2.29</v>
      </c>
      <c r="M3590" s="13"/>
      <c r="N3590" s="17">
        <f t="shared" si="119"/>
        <v>474.03000000000003</v>
      </c>
      <c r="O3590" s="17">
        <f t="shared" si="119"/>
        <v>0</v>
      </c>
      <c r="P3590" s="17">
        <f t="shared" si="120"/>
        <v>474.03000000000003</v>
      </c>
      <c r="Q3590" t="str">
        <f>A3590&amp;"-"&amp;B3590&amp;"-"&amp;D3590</f>
        <v>AGUSTUS-MJ2-L11</v>
      </c>
    </row>
    <row r="3591" spans="1:17" x14ac:dyDescent="0.25">
      <c r="A3591" t="s">
        <v>398</v>
      </c>
      <c r="B3591" s="13" t="s">
        <v>26</v>
      </c>
      <c r="C3591" s="13" t="s">
        <v>226</v>
      </c>
      <c r="D3591" s="14" t="s">
        <v>287</v>
      </c>
      <c r="E3591" s="13" t="s">
        <v>61</v>
      </c>
      <c r="F3591" s="13" t="s">
        <v>1369</v>
      </c>
      <c r="G3591" s="13">
        <v>0.79</v>
      </c>
      <c r="H3591" s="15">
        <v>1542</v>
      </c>
      <c r="I3591" s="16">
        <v>1218.1799999999998</v>
      </c>
      <c r="J3591" s="16">
        <v>1281.3935412938977</v>
      </c>
      <c r="K3591" s="16">
        <v>-63.213541293897606</v>
      </c>
      <c r="L3591" s="13">
        <v>2.13</v>
      </c>
      <c r="M3591" s="13"/>
      <c r="N3591" s="17">
        <f t="shared" si="119"/>
        <v>3284.46</v>
      </c>
      <c r="O3591" s="17">
        <f t="shared" si="119"/>
        <v>0</v>
      </c>
      <c r="P3591" s="17">
        <f t="shared" si="120"/>
        <v>3284.46</v>
      </c>
      <c r="Q3591" t="str">
        <f>A3591&amp;"-"&amp;B3591&amp;"-"&amp;D3591</f>
        <v>AGUSTUS-MJ2-L11</v>
      </c>
    </row>
    <row r="3592" spans="1:17" x14ac:dyDescent="0.25">
      <c r="A3592" t="s">
        <v>398</v>
      </c>
      <c r="B3592" s="13" t="s">
        <v>26</v>
      </c>
      <c r="C3592" s="13" t="s">
        <v>226</v>
      </c>
      <c r="D3592" s="14" t="s">
        <v>287</v>
      </c>
      <c r="E3592" s="13" t="s">
        <v>61</v>
      </c>
      <c r="F3592" s="13" t="s">
        <v>1370</v>
      </c>
      <c r="G3592" s="13">
        <v>0.79</v>
      </c>
      <c r="H3592" s="15">
        <v>1267</v>
      </c>
      <c r="I3592" s="16">
        <v>1000.9300000000001</v>
      </c>
      <c r="J3592" s="16">
        <v>889.25481515499428</v>
      </c>
      <c r="K3592" s="16">
        <v>111.67518484500576</v>
      </c>
      <c r="L3592" s="13">
        <v>2.13</v>
      </c>
      <c r="M3592" s="13"/>
      <c r="N3592" s="17">
        <f t="shared" si="119"/>
        <v>2698.71</v>
      </c>
      <c r="O3592" s="17">
        <f t="shared" si="119"/>
        <v>0</v>
      </c>
      <c r="P3592" s="17">
        <f t="shared" si="120"/>
        <v>2698.71</v>
      </c>
      <c r="Q3592" t="str">
        <f>A3592&amp;"-"&amp;B3592&amp;"-"&amp;D3592</f>
        <v>AGUSTUS-MJ2-L11</v>
      </c>
    </row>
    <row r="3593" spans="1:17" x14ac:dyDescent="0.25">
      <c r="A3593" t="s">
        <v>398</v>
      </c>
      <c r="B3593" s="13" t="s">
        <v>26</v>
      </c>
      <c r="C3593" s="13" t="s">
        <v>226</v>
      </c>
      <c r="D3593" s="14" t="s">
        <v>287</v>
      </c>
      <c r="E3593" s="13" t="s">
        <v>61</v>
      </c>
      <c r="F3593" s="13" t="s">
        <v>1371</v>
      </c>
      <c r="G3593" s="13">
        <v>0.72000000000000008</v>
      </c>
      <c r="H3593" s="15">
        <v>539</v>
      </c>
      <c r="I3593" s="16">
        <v>388.08</v>
      </c>
      <c r="J3593" s="16">
        <v>444.24453486395311</v>
      </c>
      <c r="K3593" s="16">
        <v>-56.164534863953079</v>
      </c>
      <c r="L3593" s="13">
        <v>2.29</v>
      </c>
      <c r="M3593" s="13"/>
      <c r="N3593" s="17">
        <f t="shared" si="119"/>
        <v>1234.31</v>
      </c>
      <c r="O3593" s="17">
        <f t="shared" si="119"/>
        <v>0</v>
      </c>
      <c r="P3593" s="17">
        <f t="shared" si="120"/>
        <v>1234.31</v>
      </c>
      <c r="Q3593" t="str">
        <f>A3593&amp;"-"&amp;B3593&amp;"-"&amp;D3593</f>
        <v>AGUSTUS-MJ2-L11</v>
      </c>
    </row>
    <row r="3594" spans="1:17" x14ac:dyDescent="0.25">
      <c r="A3594" t="s">
        <v>398</v>
      </c>
      <c r="B3594" s="13" t="s">
        <v>26</v>
      </c>
      <c r="C3594" s="13" t="s">
        <v>226</v>
      </c>
      <c r="D3594" s="14" t="s">
        <v>287</v>
      </c>
      <c r="E3594" s="13" t="s">
        <v>61</v>
      </c>
      <c r="F3594" s="13" t="s">
        <v>1372</v>
      </c>
      <c r="G3594" s="13">
        <v>0.79</v>
      </c>
      <c r="H3594" s="15">
        <v>388</v>
      </c>
      <c r="I3594" s="16">
        <v>306.52</v>
      </c>
      <c r="J3594" s="16">
        <v>272.67446153846151</v>
      </c>
      <c r="K3594" s="16">
        <v>33.845538461538467</v>
      </c>
      <c r="L3594" s="13">
        <v>2.14</v>
      </c>
      <c r="M3594" s="13"/>
      <c r="N3594" s="17">
        <f t="shared" si="119"/>
        <v>830.32</v>
      </c>
      <c r="O3594" s="17">
        <f t="shared" si="119"/>
        <v>0</v>
      </c>
      <c r="P3594" s="17">
        <f t="shared" si="120"/>
        <v>830.32</v>
      </c>
      <c r="Q3594" t="str">
        <f>A3594&amp;"-"&amp;B3594&amp;"-"&amp;D3594</f>
        <v>AGUSTUS-MJ2-L11</v>
      </c>
    </row>
    <row r="3595" spans="1:17" x14ac:dyDescent="0.25">
      <c r="A3595" t="s">
        <v>398</v>
      </c>
      <c r="B3595" s="13" t="s">
        <v>26</v>
      </c>
      <c r="C3595" s="13" t="s">
        <v>226</v>
      </c>
      <c r="D3595" s="14" t="s">
        <v>287</v>
      </c>
      <c r="E3595" s="13" t="s">
        <v>61</v>
      </c>
      <c r="F3595" s="13" t="s">
        <v>1232</v>
      </c>
      <c r="G3595" s="13">
        <v>0.72</v>
      </c>
      <c r="H3595" s="15">
        <v>47</v>
      </c>
      <c r="I3595" s="16">
        <v>33.840000000000003</v>
      </c>
      <c r="J3595" s="16">
        <v>34.100381194409145</v>
      </c>
      <c r="K3595" s="16">
        <v>-0.26038119440914187</v>
      </c>
      <c r="L3595" s="13">
        <v>2.29</v>
      </c>
      <c r="M3595" s="13"/>
      <c r="N3595" s="17">
        <f t="shared" si="119"/>
        <v>107.63</v>
      </c>
      <c r="O3595" s="17">
        <f t="shared" si="119"/>
        <v>0</v>
      </c>
      <c r="P3595" s="17">
        <f t="shared" si="120"/>
        <v>107.63</v>
      </c>
      <c r="Q3595" t="str">
        <f>A3595&amp;"-"&amp;B3595&amp;"-"&amp;D3595</f>
        <v>AGUSTUS-MJ2-L11</v>
      </c>
    </row>
    <row r="3596" spans="1:17" x14ac:dyDescent="0.25">
      <c r="A3596" t="s">
        <v>398</v>
      </c>
      <c r="B3596" s="13" t="s">
        <v>26</v>
      </c>
      <c r="C3596" s="13" t="s">
        <v>226</v>
      </c>
      <c r="D3596" s="14" t="s">
        <v>287</v>
      </c>
      <c r="E3596" s="13" t="s">
        <v>61</v>
      </c>
      <c r="F3596" s="13" t="s">
        <v>1373</v>
      </c>
      <c r="G3596" s="13">
        <v>0.79</v>
      </c>
      <c r="H3596" s="15">
        <v>1881</v>
      </c>
      <c r="I3596" s="16">
        <v>1485.99</v>
      </c>
      <c r="J3596" s="16">
        <v>1613.3563450064159</v>
      </c>
      <c r="K3596" s="16">
        <v>-127.36634500641567</v>
      </c>
      <c r="L3596" s="13">
        <v>2.13</v>
      </c>
      <c r="M3596" s="13"/>
      <c r="N3596" s="17">
        <f t="shared" si="119"/>
        <v>4006.5299999999997</v>
      </c>
      <c r="O3596" s="17">
        <f t="shared" si="119"/>
        <v>0</v>
      </c>
      <c r="P3596" s="17">
        <f t="shared" si="120"/>
        <v>4006.5299999999997</v>
      </c>
      <c r="Q3596" t="str">
        <f>A3596&amp;"-"&amp;B3596&amp;"-"&amp;D3596</f>
        <v>AGUSTUS-MJ2-L11</v>
      </c>
    </row>
    <row r="3597" spans="1:17" x14ac:dyDescent="0.25">
      <c r="A3597" t="s">
        <v>398</v>
      </c>
      <c r="B3597" s="13" t="s">
        <v>26</v>
      </c>
      <c r="C3597" s="13" t="s">
        <v>226</v>
      </c>
      <c r="D3597" s="14" t="s">
        <v>287</v>
      </c>
      <c r="E3597" s="13" t="s">
        <v>61</v>
      </c>
      <c r="F3597" s="13" t="s">
        <v>1374</v>
      </c>
      <c r="G3597" s="13">
        <v>0.79</v>
      </c>
      <c r="H3597" s="15">
        <v>1537</v>
      </c>
      <c r="I3597" s="16">
        <v>1214.23</v>
      </c>
      <c r="J3597" s="16">
        <v>1132.3539255583128</v>
      </c>
      <c r="K3597" s="16">
        <v>81.876074441687393</v>
      </c>
      <c r="L3597" s="13">
        <v>2.14</v>
      </c>
      <c r="M3597" s="13"/>
      <c r="N3597" s="17">
        <f t="shared" si="119"/>
        <v>3289.1800000000003</v>
      </c>
      <c r="O3597" s="17">
        <f t="shared" si="119"/>
        <v>0</v>
      </c>
      <c r="P3597" s="17">
        <f t="shared" si="120"/>
        <v>3289.1800000000003</v>
      </c>
      <c r="Q3597" t="str">
        <f>A3597&amp;"-"&amp;B3597&amp;"-"&amp;D3597</f>
        <v>AGUSTUS-MJ2-L11</v>
      </c>
    </row>
    <row r="3598" spans="1:17" x14ac:dyDescent="0.25">
      <c r="A3598" t="s">
        <v>398</v>
      </c>
      <c r="B3598" s="13" t="s">
        <v>26</v>
      </c>
      <c r="C3598" s="13" t="s">
        <v>226</v>
      </c>
      <c r="D3598" s="14" t="s">
        <v>287</v>
      </c>
      <c r="E3598" s="13" t="s">
        <v>61</v>
      </c>
      <c r="F3598" s="13" t="s">
        <v>1193</v>
      </c>
      <c r="G3598" s="13">
        <v>0.72</v>
      </c>
      <c r="H3598" s="15">
        <v>3</v>
      </c>
      <c r="I3598" s="16">
        <v>2.16</v>
      </c>
      <c r="J3598" s="16">
        <v>1.8488936859147329</v>
      </c>
      <c r="K3598" s="16">
        <v>0.31110631408526723</v>
      </c>
      <c r="L3598" s="13">
        <v>2.29</v>
      </c>
      <c r="M3598" s="13"/>
      <c r="N3598" s="17">
        <f t="shared" si="119"/>
        <v>6.87</v>
      </c>
      <c r="O3598" s="17">
        <f t="shared" si="119"/>
        <v>0</v>
      </c>
      <c r="P3598" s="17">
        <f t="shared" si="120"/>
        <v>6.87</v>
      </c>
      <c r="Q3598" t="str">
        <f>A3598&amp;"-"&amp;B3598&amp;"-"&amp;D3598</f>
        <v>AGUSTUS-MJ2-L11</v>
      </c>
    </row>
    <row r="3599" spans="1:17" x14ac:dyDescent="0.25">
      <c r="A3599" t="s">
        <v>398</v>
      </c>
      <c r="B3599" s="13" t="s">
        <v>26</v>
      </c>
      <c r="C3599" s="13" t="s">
        <v>226</v>
      </c>
      <c r="D3599" s="14" t="s">
        <v>287</v>
      </c>
      <c r="E3599" s="13" t="s">
        <v>61</v>
      </c>
      <c r="F3599" s="13" t="s">
        <v>1375</v>
      </c>
      <c r="G3599" s="13">
        <v>0.79</v>
      </c>
      <c r="H3599" s="15">
        <v>1612</v>
      </c>
      <c r="I3599" s="16">
        <v>1273.48</v>
      </c>
      <c r="J3599" s="16">
        <v>1335.0838837988949</v>
      </c>
      <c r="K3599" s="16">
        <v>-61.603883798895041</v>
      </c>
      <c r="L3599" s="13">
        <v>2.14</v>
      </c>
      <c r="M3599" s="13"/>
      <c r="N3599" s="17">
        <f t="shared" si="119"/>
        <v>3449.6800000000003</v>
      </c>
      <c r="O3599" s="17">
        <f t="shared" si="119"/>
        <v>0</v>
      </c>
      <c r="P3599" s="17">
        <f t="shared" si="120"/>
        <v>3449.6800000000003</v>
      </c>
      <c r="Q3599" t="str">
        <f>A3599&amp;"-"&amp;B3599&amp;"-"&amp;D3599</f>
        <v>AGUSTUS-MJ2-L11</v>
      </c>
    </row>
    <row r="3600" spans="1:17" x14ac:dyDescent="0.25">
      <c r="A3600" t="s">
        <v>398</v>
      </c>
      <c r="B3600" s="13" t="s">
        <v>26</v>
      </c>
      <c r="C3600" s="13" t="s">
        <v>226</v>
      </c>
      <c r="D3600" s="14" t="s">
        <v>287</v>
      </c>
      <c r="E3600" s="13" t="s">
        <v>61</v>
      </c>
      <c r="F3600" s="13" t="s">
        <v>1376</v>
      </c>
      <c r="G3600" s="13">
        <v>0.71999999999999986</v>
      </c>
      <c r="H3600" s="15">
        <v>674</v>
      </c>
      <c r="I3600" s="16">
        <v>485.28000000000003</v>
      </c>
      <c r="J3600" s="16">
        <v>554.43188195451546</v>
      </c>
      <c r="K3600" s="16">
        <v>-69.151881954515488</v>
      </c>
      <c r="L3600" s="13">
        <v>2.29</v>
      </c>
      <c r="M3600" s="13"/>
      <c r="N3600" s="17">
        <f t="shared" si="119"/>
        <v>1543.46</v>
      </c>
      <c r="O3600" s="17">
        <f t="shared" si="119"/>
        <v>0</v>
      </c>
      <c r="P3600" s="17">
        <f t="shared" si="120"/>
        <v>1543.46</v>
      </c>
      <c r="Q3600" t="str">
        <f>A3600&amp;"-"&amp;B3600&amp;"-"&amp;D3600</f>
        <v>AGUSTUS-MJ2-L11</v>
      </c>
    </row>
    <row r="3601" spans="1:17" x14ac:dyDescent="0.25">
      <c r="A3601" t="s">
        <v>398</v>
      </c>
      <c r="B3601" s="13" t="s">
        <v>26</v>
      </c>
      <c r="C3601" s="13" t="s">
        <v>226</v>
      </c>
      <c r="D3601" s="14" t="s">
        <v>287</v>
      </c>
      <c r="E3601" s="13" t="s">
        <v>61</v>
      </c>
      <c r="F3601" s="13" t="s">
        <v>1165</v>
      </c>
      <c r="G3601" s="13">
        <v>0.65</v>
      </c>
      <c r="H3601" s="15">
        <v>9761</v>
      </c>
      <c r="I3601" s="16">
        <v>6344.65</v>
      </c>
      <c r="J3601" s="16">
        <v>5794.2137719702523</v>
      </c>
      <c r="K3601" s="16">
        <v>550.43622802974789</v>
      </c>
      <c r="L3601" s="13">
        <v>1.66</v>
      </c>
      <c r="M3601" s="13"/>
      <c r="N3601" s="17">
        <f t="shared" si="119"/>
        <v>16203.259999999998</v>
      </c>
      <c r="O3601" s="17">
        <f t="shared" si="119"/>
        <v>0</v>
      </c>
      <c r="P3601" s="17">
        <f t="shared" si="120"/>
        <v>16203.259999999998</v>
      </c>
      <c r="Q3601" t="str">
        <f>A3601&amp;"-"&amp;B3601&amp;"-"&amp;D3601</f>
        <v>AGUSTUS-MJ2-L11</v>
      </c>
    </row>
    <row r="3602" spans="1:17" x14ac:dyDescent="0.25">
      <c r="A3602" t="s">
        <v>398</v>
      </c>
      <c r="B3602" s="13" t="s">
        <v>26</v>
      </c>
      <c r="C3602" s="13" t="s">
        <v>226</v>
      </c>
      <c r="D3602" s="14" t="s">
        <v>287</v>
      </c>
      <c r="E3602" s="13" t="s">
        <v>61</v>
      </c>
      <c r="F3602" s="13" t="s">
        <v>1196</v>
      </c>
      <c r="G3602" s="13">
        <v>0.65</v>
      </c>
      <c r="H3602" s="15">
        <v>20</v>
      </c>
      <c r="I3602" s="16">
        <v>13</v>
      </c>
      <c r="J3602" s="16">
        <v>15.762594893029675</v>
      </c>
      <c r="K3602" s="16">
        <v>-2.7625948930296751</v>
      </c>
      <c r="L3602" s="13">
        <v>1.66</v>
      </c>
      <c r="M3602" s="13"/>
      <c r="N3602" s="17">
        <f t="shared" si="119"/>
        <v>33.199999999999996</v>
      </c>
      <c r="O3602" s="17">
        <f t="shared" si="119"/>
        <v>0</v>
      </c>
      <c r="P3602" s="17">
        <f t="shared" si="120"/>
        <v>33.199999999999996</v>
      </c>
      <c r="Q3602" t="str">
        <f>A3602&amp;"-"&amp;B3602&amp;"-"&amp;D3602</f>
        <v>AGUSTUS-MJ2-L11</v>
      </c>
    </row>
    <row r="3603" spans="1:17" x14ac:dyDescent="0.25">
      <c r="A3603" t="s">
        <v>398</v>
      </c>
      <c r="B3603" s="13" t="s">
        <v>26</v>
      </c>
      <c r="C3603" s="13" t="s">
        <v>226</v>
      </c>
      <c r="D3603" s="14" t="s">
        <v>287</v>
      </c>
      <c r="E3603" s="13" t="s">
        <v>61</v>
      </c>
      <c r="F3603" s="13" t="s">
        <v>1197</v>
      </c>
      <c r="G3603" s="13">
        <v>0.65</v>
      </c>
      <c r="H3603" s="15">
        <v>4</v>
      </c>
      <c r="I3603" s="16">
        <v>2.6</v>
      </c>
      <c r="J3603" s="16">
        <v>3.1525189786059351</v>
      </c>
      <c r="K3603" s="16">
        <v>-0.55251897860593502</v>
      </c>
      <c r="L3603" s="13">
        <v>1.79</v>
      </c>
      <c r="M3603" s="13"/>
      <c r="N3603" s="17">
        <f t="shared" si="119"/>
        <v>7.16</v>
      </c>
      <c r="O3603" s="17">
        <f t="shared" si="119"/>
        <v>0</v>
      </c>
      <c r="P3603" s="17">
        <f t="shared" si="120"/>
        <v>7.16</v>
      </c>
      <c r="Q3603" t="str">
        <f>A3603&amp;"-"&amp;B3603&amp;"-"&amp;D3603</f>
        <v>AGUSTUS-MJ2-L11</v>
      </c>
    </row>
    <row r="3604" spans="1:17" x14ac:dyDescent="0.25">
      <c r="A3604" t="s">
        <v>398</v>
      </c>
      <c r="B3604" s="13" t="s">
        <v>26</v>
      </c>
      <c r="C3604" s="13" t="s">
        <v>226</v>
      </c>
      <c r="D3604" s="14" t="s">
        <v>287</v>
      </c>
      <c r="E3604" s="13" t="s">
        <v>61</v>
      </c>
      <c r="F3604" s="13" t="s">
        <v>1377</v>
      </c>
      <c r="G3604" s="13">
        <v>0.65</v>
      </c>
      <c r="H3604" s="15">
        <v>2546</v>
      </c>
      <c r="I3604" s="16">
        <v>1654.8999999999999</v>
      </c>
      <c r="J3604" s="16">
        <v>1683.4819385249891</v>
      </c>
      <c r="K3604" s="16">
        <v>-28.581938524989194</v>
      </c>
      <c r="L3604" s="13">
        <v>1.66</v>
      </c>
      <c r="M3604" s="13"/>
      <c r="N3604" s="17">
        <f t="shared" si="119"/>
        <v>4226.3599999999997</v>
      </c>
      <c r="O3604" s="17">
        <f t="shared" si="119"/>
        <v>0</v>
      </c>
      <c r="P3604" s="17">
        <f t="shared" si="120"/>
        <v>4226.3599999999997</v>
      </c>
      <c r="Q3604" t="str">
        <f>A3604&amp;"-"&amp;B3604&amp;"-"&amp;D3604</f>
        <v>AGUSTUS-MJ2-L11</v>
      </c>
    </row>
    <row r="3605" spans="1:17" x14ac:dyDescent="0.25">
      <c r="A3605" t="s">
        <v>398</v>
      </c>
      <c r="B3605" s="13" t="s">
        <v>26</v>
      </c>
      <c r="C3605" s="13" t="s">
        <v>226</v>
      </c>
      <c r="D3605" s="14" t="s">
        <v>310</v>
      </c>
      <c r="E3605" s="13" t="s">
        <v>61</v>
      </c>
      <c r="F3605" s="13" t="s">
        <v>1378</v>
      </c>
      <c r="G3605" s="13">
        <v>0.65</v>
      </c>
      <c r="H3605" s="15">
        <v>3892</v>
      </c>
      <c r="I3605" s="16">
        <v>2529.8000000000002</v>
      </c>
      <c r="J3605" s="16">
        <v>2157.1610689759727</v>
      </c>
      <c r="K3605" s="16">
        <v>372.63893102402722</v>
      </c>
      <c r="L3605" s="13">
        <v>1.91</v>
      </c>
      <c r="M3605" s="13"/>
      <c r="N3605" s="17">
        <f t="shared" si="119"/>
        <v>7433.7199999999993</v>
      </c>
      <c r="O3605" s="17">
        <f t="shared" si="119"/>
        <v>0</v>
      </c>
      <c r="P3605" s="17">
        <f t="shared" si="120"/>
        <v>7433.7199999999993</v>
      </c>
      <c r="Q3605" t="str">
        <f>A3605&amp;"-"&amp;B3605&amp;"-"&amp;D3605</f>
        <v>AGUSTUS-MJ2-L12</v>
      </c>
    </row>
    <row r="3606" spans="1:17" x14ac:dyDescent="0.25">
      <c r="A3606" t="s">
        <v>398</v>
      </c>
      <c r="B3606" s="13" t="s">
        <v>26</v>
      </c>
      <c r="C3606" s="13" t="s">
        <v>226</v>
      </c>
      <c r="D3606" s="14" t="s">
        <v>310</v>
      </c>
      <c r="E3606" s="13" t="s">
        <v>61</v>
      </c>
      <c r="F3606" s="13" t="s">
        <v>1363</v>
      </c>
      <c r="G3606" s="13">
        <v>0.66</v>
      </c>
      <c r="H3606" s="15">
        <v>4140</v>
      </c>
      <c r="I3606" s="16">
        <v>2732.4</v>
      </c>
      <c r="J3606" s="16">
        <v>2318.6802880320506</v>
      </c>
      <c r="K3606" s="16">
        <v>413.71971196794885</v>
      </c>
      <c r="L3606" s="13">
        <v>1.71</v>
      </c>
      <c r="M3606" s="13"/>
      <c r="N3606" s="17">
        <f t="shared" si="119"/>
        <v>7079.4</v>
      </c>
      <c r="O3606" s="17">
        <f t="shared" si="119"/>
        <v>0</v>
      </c>
      <c r="P3606" s="17">
        <f t="shared" si="120"/>
        <v>7079.4</v>
      </c>
      <c r="Q3606" t="str">
        <f>A3606&amp;"-"&amp;B3606&amp;"-"&amp;D3606</f>
        <v>AGUSTUS-MJ2-L12</v>
      </c>
    </row>
    <row r="3607" spans="1:17" x14ac:dyDescent="0.25">
      <c r="A3607" t="s">
        <v>398</v>
      </c>
      <c r="B3607" s="13" t="s">
        <v>26</v>
      </c>
      <c r="C3607" s="13" t="s">
        <v>226</v>
      </c>
      <c r="D3607" s="14" t="s">
        <v>310</v>
      </c>
      <c r="E3607" s="13" t="s">
        <v>61</v>
      </c>
      <c r="F3607" s="13" t="s">
        <v>1201</v>
      </c>
      <c r="G3607" s="13">
        <v>0.70000000000000007</v>
      </c>
      <c r="H3607" s="15">
        <v>432</v>
      </c>
      <c r="I3607" s="16">
        <v>302.39999999999998</v>
      </c>
      <c r="J3607" s="16">
        <v>249.1195470819994</v>
      </c>
      <c r="K3607" s="16">
        <v>53.280452918000591</v>
      </c>
      <c r="L3607" s="13">
        <v>1.3</v>
      </c>
      <c r="M3607" s="13"/>
      <c r="N3607" s="17">
        <f t="shared" si="119"/>
        <v>561.6</v>
      </c>
      <c r="O3607" s="17">
        <f t="shared" si="119"/>
        <v>0</v>
      </c>
      <c r="P3607" s="17">
        <f t="shared" si="120"/>
        <v>561.6</v>
      </c>
      <c r="Q3607" t="str">
        <f>A3607&amp;"-"&amp;B3607&amp;"-"&amp;D3607</f>
        <v>AGUSTUS-MJ2-L12</v>
      </c>
    </row>
    <row r="3608" spans="1:17" x14ac:dyDescent="0.25">
      <c r="A3608" t="s">
        <v>398</v>
      </c>
      <c r="B3608" s="13" t="s">
        <v>26</v>
      </c>
      <c r="C3608" s="13" t="s">
        <v>226</v>
      </c>
      <c r="D3608" s="14" t="s">
        <v>310</v>
      </c>
      <c r="E3608" s="13" t="s">
        <v>61</v>
      </c>
      <c r="F3608" s="13" t="s">
        <v>1202</v>
      </c>
      <c r="G3608" s="13">
        <v>0.78</v>
      </c>
      <c r="H3608" s="15">
        <v>697</v>
      </c>
      <c r="I3608" s="16">
        <v>543.66</v>
      </c>
      <c r="J3608" s="16">
        <v>387.59361596731929</v>
      </c>
      <c r="K3608" s="16">
        <v>156.06638403268067</v>
      </c>
      <c r="L3608" s="13">
        <v>2</v>
      </c>
      <c r="M3608" s="13"/>
      <c r="N3608" s="17">
        <f t="shared" si="119"/>
        <v>1394</v>
      </c>
      <c r="O3608" s="17">
        <f t="shared" si="119"/>
        <v>0</v>
      </c>
      <c r="P3608" s="17">
        <f t="shared" si="120"/>
        <v>1394</v>
      </c>
      <c r="Q3608" t="str">
        <f>A3608&amp;"-"&amp;B3608&amp;"-"&amp;D3608</f>
        <v>AGUSTUS-MJ2-L12</v>
      </c>
    </row>
    <row r="3609" spans="1:17" x14ac:dyDescent="0.25">
      <c r="A3609" t="s">
        <v>398</v>
      </c>
      <c r="B3609" s="13" t="s">
        <v>26</v>
      </c>
      <c r="C3609" s="13" t="s">
        <v>226</v>
      </c>
      <c r="D3609" s="14" t="s">
        <v>310</v>
      </c>
      <c r="E3609" s="13" t="s">
        <v>61</v>
      </c>
      <c r="F3609" s="13" t="s">
        <v>1379</v>
      </c>
      <c r="G3609" s="13">
        <v>0.77999999999999992</v>
      </c>
      <c r="H3609" s="15">
        <v>1705</v>
      </c>
      <c r="I3609" s="16">
        <v>1329.9</v>
      </c>
      <c r="J3609" s="16">
        <v>911.0563606073506</v>
      </c>
      <c r="K3609" s="16">
        <v>418.84363939264955</v>
      </c>
      <c r="L3609" s="13">
        <v>2</v>
      </c>
      <c r="M3609" s="13"/>
      <c r="N3609" s="17">
        <f t="shared" si="119"/>
        <v>3410</v>
      </c>
      <c r="O3609" s="17">
        <f t="shared" si="119"/>
        <v>0</v>
      </c>
      <c r="P3609" s="17">
        <f t="shared" si="120"/>
        <v>3410</v>
      </c>
      <c r="Q3609" t="str">
        <f>A3609&amp;"-"&amp;B3609&amp;"-"&amp;D3609</f>
        <v>AGUSTUS-MJ2-L12</v>
      </c>
    </row>
    <row r="3610" spans="1:17" x14ac:dyDescent="0.25">
      <c r="A3610" t="s">
        <v>398</v>
      </c>
      <c r="B3610" s="13" t="s">
        <v>26</v>
      </c>
      <c r="C3610" s="13" t="s">
        <v>226</v>
      </c>
      <c r="D3610" s="14" t="s">
        <v>310</v>
      </c>
      <c r="E3610" s="13" t="s">
        <v>61</v>
      </c>
      <c r="F3610" s="13" t="s">
        <v>1203</v>
      </c>
      <c r="G3610" s="13">
        <v>0.78</v>
      </c>
      <c r="H3610" s="15">
        <v>862</v>
      </c>
      <c r="I3610" s="16">
        <v>672.3599999999999</v>
      </c>
      <c r="J3610" s="16">
        <v>556.44907885932037</v>
      </c>
      <c r="K3610" s="16">
        <v>115.9109211406797</v>
      </c>
      <c r="L3610" s="13">
        <v>2</v>
      </c>
      <c r="M3610" s="13"/>
      <c r="N3610" s="17">
        <f t="shared" si="119"/>
        <v>1724</v>
      </c>
      <c r="O3610" s="17">
        <f t="shared" si="119"/>
        <v>0</v>
      </c>
      <c r="P3610" s="17">
        <f t="shared" si="120"/>
        <v>1724</v>
      </c>
      <c r="Q3610" t="str">
        <f>A3610&amp;"-"&amp;B3610&amp;"-"&amp;D3610</f>
        <v>AGUSTUS-MJ2-L12</v>
      </c>
    </row>
    <row r="3611" spans="1:17" x14ac:dyDescent="0.25">
      <c r="A3611" t="s">
        <v>398</v>
      </c>
      <c r="B3611" s="13" t="s">
        <v>26</v>
      </c>
      <c r="C3611" s="13" t="s">
        <v>226</v>
      </c>
      <c r="D3611" s="14" t="s">
        <v>310</v>
      </c>
      <c r="E3611" s="13" t="s">
        <v>61</v>
      </c>
      <c r="F3611" s="13" t="s">
        <v>1380</v>
      </c>
      <c r="G3611" s="13">
        <v>0.77999999999999992</v>
      </c>
      <c r="H3611" s="15">
        <v>1892</v>
      </c>
      <c r="I3611" s="16">
        <v>1475.7599999999998</v>
      </c>
      <c r="J3611" s="16">
        <v>1028.4793407682589</v>
      </c>
      <c r="K3611" s="16">
        <v>447.28065923174108</v>
      </c>
      <c r="L3611" s="13">
        <v>2</v>
      </c>
      <c r="M3611" s="13"/>
      <c r="N3611" s="17">
        <f t="shared" si="119"/>
        <v>3784</v>
      </c>
      <c r="O3611" s="17">
        <f t="shared" si="119"/>
        <v>0</v>
      </c>
      <c r="P3611" s="17">
        <f t="shared" si="120"/>
        <v>3784</v>
      </c>
      <c r="Q3611" t="str">
        <f>A3611&amp;"-"&amp;B3611&amp;"-"&amp;D3611</f>
        <v>AGUSTUS-MJ2-L12</v>
      </c>
    </row>
    <row r="3612" spans="1:17" x14ac:dyDescent="0.25">
      <c r="A3612" t="s">
        <v>398</v>
      </c>
      <c r="B3612" s="13" t="s">
        <v>26</v>
      </c>
      <c r="C3612" s="13" t="s">
        <v>226</v>
      </c>
      <c r="D3612" s="14" t="s">
        <v>310</v>
      </c>
      <c r="E3612" s="13" t="s">
        <v>61</v>
      </c>
      <c r="F3612" s="13" t="s">
        <v>1204</v>
      </c>
      <c r="G3612" s="13">
        <v>0.78</v>
      </c>
      <c r="H3612" s="15">
        <v>285</v>
      </c>
      <c r="I3612" s="16">
        <v>222.3</v>
      </c>
      <c r="J3612" s="16">
        <v>193.10253679381645</v>
      </c>
      <c r="K3612" s="16">
        <v>29.19746320618356</v>
      </c>
      <c r="L3612" s="13">
        <v>2</v>
      </c>
      <c r="M3612" s="13"/>
      <c r="N3612" s="17">
        <f t="shared" si="119"/>
        <v>570</v>
      </c>
      <c r="O3612" s="17">
        <f t="shared" si="119"/>
        <v>0</v>
      </c>
      <c r="P3612" s="17">
        <f t="shared" si="120"/>
        <v>570</v>
      </c>
      <c r="Q3612" t="str">
        <f>A3612&amp;"-"&amp;B3612&amp;"-"&amp;D3612</f>
        <v>AGUSTUS-MJ2-L12</v>
      </c>
    </row>
    <row r="3613" spans="1:17" x14ac:dyDescent="0.25">
      <c r="A3613" t="s">
        <v>398</v>
      </c>
      <c r="B3613" s="13" t="s">
        <v>26</v>
      </c>
      <c r="C3613" s="13" t="s">
        <v>226</v>
      </c>
      <c r="D3613" s="14" t="s">
        <v>310</v>
      </c>
      <c r="E3613" s="13" t="s">
        <v>61</v>
      </c>
      <c r="F3613" s="13" t="s">
        <v>1381</v>
      </c>
      <c r="G3613" s="13">
        <v>0.78000000000000014</v>
      </c>
      <c r="H3613" s="15">
        <v>4362</v>
      </c>
      <c r="I3613" s="16">
        <v>3402.36</v>
      </c>
      <c r="J3613" s="16">
        <v>2204.0486275168169</v>
      </c>
      <c r="K3613" s="16">
        <v>1198.311372483183</v>
      </c>
      <c r="L3613" s="13">
        <v>2</v>
      </c>
      <c r="M3613" s="13"/>
      <c r="N3613" s="17">
        <f t="shared" si="119"/>
        <v>8724</v>
      </c>
      <c r="O3613" s="17">
        <f t="shared" si="119"/>
        <v>0</v>
      </c>
      <c r="P3613" s="17">
        <f t="shared" si="120"/>
        <v>8724</v>
      </c>
      <c r="Q3613" t="str">
        <f>A3613&amp;"-"&amp;B3613&amp;"-"&amp;D3613</f>
        <v>AGUSTUS-MJ2-L12</v>
      </c>
    </row>
    <row r="3614" spans="1:17" x14ac:dyDescent="0.25">
      <c r="A3614" t="s">
        <v>398</v>
      </c>
      <c r="B3614" s="13" t="s">
        <v>26</v>
      </c>
      <c r="C3614" s="13" t="s">
        <v>226</v>
      </c>
      <c r="D3614" s="14" t="s">
        <v>310</v>
      </c>
      <c r="E3614" s="13" t="s">
        <v>61</v>
      </c>
      <c r="F3614" s="13" t="s">
        <v>1206</v>
      </c>
      <c r="G3614" s="13">
        <v>0.92999999999999994</v>
      </c>
      <c r="H3614" s="15">
        <v>1173</v>
      </c>
      <c r="I3614" s="16">
        <v>1090.8900000000001</v>
      </c>
      <c r="J3614" s="16">
        <v>648.88113556468898</v>
      </c>
      <c r="K3614" s="16">
        <v>442.00886443531095</v>
      </c>
      <c r="L3614" s="13">
        <v>2.2400000000000002</v>
      </c>
      <c r="M3614" s="13"/>
      <c r="N3614" s="17">
        <f t="shared" si="119"/>
        <v>2627.5200000000004</v>
      </c>
      <c r="O3614" s="17">
        <f t="shared" si="119"/>
        <v>0</v>
      </c>
      <c r="P3614" s="17">
        <f t="shared" si="120"/>
        <v>2627.5200000000004</v>
      </c>
      <c r="Q3614" t="str">
        <f>A3614&amp;"-"&amp;B3614&amp;"-"&amp;D3614</f>
        <v>AGUSTUS-MJ2-L12</v>
      </c>
    </row>
    <row r="3615" spans="1:17" x14ac:dyDescent="0.25">
      <c r="A3615" t="s">
        <v>398</v>
      </c>
      <c r="B3615" s="13" t="s">
        <v>26</v>
      </c>
      <c r="C3615" s="13" t="s">
        <v>226</v>
      </c>
      <c r="D3615" s="14" t="s">
        <v>310</v>
      </c>
      <c r="E3615" s="13" t="s">
        <v>61</v>
      </c>
      <c r="F3615" s="13" t="s">
        <v>1382</v>
      </c>
      <c r="G3615" s="13">
        <v>0.92999999999999994</v>
      </c>
      <c r="H3615" s="15">
        <v>2359</v>
      </c>
      <c r="I3615" s="16">
        <v>2193.87</v>
      </c>
      <c r="J3615" s="16">
        <v>1420.1997422198428</v>
      </c>
      <c r="K3615" s="16">
        <v>773.67025778015693</v>
      </c>
      <c r="L3615" s="13">
        <v>2.2400000000000002</v>
      </c>
      <c r="M3615" s="13"/>
      <c r="N3615" s="17">
        <f t="shared" si="119"/>
        <v>5284.1600000000008</v>
      </c>
      <c r="O3615" s="17">
        <f t="shared" si="119"/>
        <v>0</v>
      </c>
      <c r="P3615" s="17">
        <f t="shared" si="120"/>
        <v>5284.1600000000008</v>
      </c>
      <c r="Q3615" t="str">
        <f>A3615&amp;"-"&amp;B3615&amp;"-"&amp;D3615</f>
        <v>AGUSTUS-MJ2-L12</v>
      </c>
    </row>
    <row r="3616" spans="1:17" x14ac:dyDescent="0.25">
      <c r="A3616" t="s">
        <v>398</v>
      </c>
      <c r="B3616" s="13" t="s">
        <v>26</v>
      </c>
      <c r="C3616" s="13" t="s">
        <v>226</v>
      </c>
      <c r="D3616" s="14" t="s">
        <v>310</v>
      </c>
      <c r="E3616" s="13" t="s">
        <v>61</v>
      </c>
      <c r="F3616" s="13" t="s">
        <v>1383</v>
      </c>
      <c r="G3616" s="13">
        <v>0.92999999999999994</v>
      </c>
      <c r="H3616" s="15">
        <v>607</v>
      </c>
      <c r="I3616" s="16">
        <v>564.50999999999988</v>
      </c>
      <c r="J3616" s="16">
        <v>382.1857787865855</v>
      </c>
      <c r="K3616" s="16">
        <v>182.32422121341449</v>
      </c>
      <c r="L3616" s="13">
        <v>2.4300000000000002</v>
      </c>
      <c r="M3616" s="13"/>
      <c r="N3616" s="17">
        <f t="shared" si="119"/>
        <v>1475.01</v>
      </c>
      <c r="O3616" s="17">
        <f t="shared" si="119"/>
        <v>0</v>
      </c>
      <c r="P3616" s="17">
        <f t="shared" si="120"/>
        <v>1475.01</v>
      </c>
      <c r="Q3616" t="str">
        <f>A3616&amp;"-"&amp;B3616&amp;"-"&amp;D3616</f>
        <v>AGUSTUS-MJ2-L12</v>
      </c>
    </row>
    <row r="3617" spans="1:17" x14ac:dyDescent="0.25">
      <c r="A3617" t="s">
        <v>398</v>
      </c>
      <c r="B3617" s="13" t="s">
        <v>26</v>
      </c>
      <c r="C3617" s="13" t="s">
        <v>226</v>
      </c>
      <c r="D3617" s="14" t="s">
        <v>310</v>
      </c>
      <c r="E3617" s="13" t="s">
        <v>61</v>
      </c>
      <c r="F3617" s="13" t="s">
        <v>1208</v>
      </c>
      <c r="G3617" s="13">
        <v>0.79</v>
      </c>
      <c r="H3617" s="15">
        <v>367</v>
      </c>
      <c r="I3617" s="16">
        <v>289.93</v>
      </c>
      <c r="J3617" s="16">
        <v>236.82995028513383</v>
      </c>
      <c r="K3617" s="16">
        <v>53.100049714866223</v>
      </c>
      <c r="L3617" s="13">
        <v>2.08</v>
      </c>
      <c r="M3617" s="13"/>
      <c r="N3617" s="17">
        <f t="shared" si="119"/>
        <v>763.36</v>
      </c>
      <c r="O3617" s="17">
        <f t="shared" si="119"/>
        <v>0</v>
      </c>
      <c r="P3617" s="17">
        <f t="shared" si="120"/>
        <v>763.36</v>
      </c>
      <c r="Q3617" t="str">
        <f>A3617&amp;"-"&amp;B3617&amp;"-"&amp;D3617</f>
        <v>AGUSTUS-MJ2-L12</v>
      </c>
    </row>
    <row r="3618" spans="1:17" x14ac:dyDescent="0.25">
      <c r="A3618" t="s">
        <v>398</v>
      </c>
      <c r="B3618" s="13" t="s">
        <v>26</v>
      </c>
      <c r="C3618" s="13" t="s">
        <v>226</v>
      </c>
      <c r="D3618" s="14" t="s">
        <v>310</v>
      </c>
      <c r="E3618" s="13" t="s">
        <v>61</v>
      </c>
      <c r="F3618" s="13" t="s">
        <v>1384</v>
      </c>
      <c r="G3618" s="13">
        <v>0.79</v>
      </c>
      <c r="H3618" s="15">
        <v>1798</v>
      </c>
      <c r="I3618" s="16">
        <v>1420.42</v>
      </c>
      <c r="J3618" s="16">
        <v>933.57440355591802</v>
      </c>
      <c r="K3618" s="16">
        <v>486.84559644408199</v>
      </c>
      <c r="L3618" s="13">
        <v>2.08</v>
      </c>
      <c r="M3618" s="13"/>
      <c r="N3618" s="17">
        <f t="shared" si="119"/>
        <v>3739.84</v>
      </c>
      <c r="O3618" s="17">
        <f t="shared" si="119"/>
        <v>0</v>
      </c>
      <c r="P3618" s="17">
        <f t="shared" si="120"/>
        <v>3739.84</v>
      </c>
      <c r="Q3618" t="str">
        <f>A3618&amp;"-"&amp;B3618&amp;"-"&amp;D3618</f>
        <v>AGUSTUS-MJ2-L12</v>
      </c>
    </row>
    <row r="3619" spans="1:17" x14ac:dyDescent="0.25">
      <c r="A3619" t="s">
        <v>398</v>
      </c>
      <c r="B3619" s="13" t="s">
        <v>26</v>
      </c>
      <c r="C3619" s="13" t="s">
        <v>226</v>
      </c>
      <c r="D3619" s="14" t="s">
        <v>310</v>
      </c>
      <c r="E3619" s="13" t="s">
        <v>61</v>
      </c>
      <c r="F3619" s="13" t="s">
        <v>1209</v>
      </c>
      <c r="G3619" s="13">
        <v>0.79</v>
      </c>
      <c r="H3619" s="15">
        <v>27</v>
      </c>
      <c r="I3619" s="16">
        <v>21.33</v>
      </c>
      <c r="J3619" s="16">
        <v>14.496473906911142</v>
      </c>
      <c r="K3619" s="16">
        <v>6.8335260930888566</v>
      </c>
      <c r="L3619" s="13">
        <v>2.08</v>
      </c>
      <c r="M3619" s="13"/>
      <c r="N3619" s="17">
        <f t="shared" si="119"/>
        <v>56.160000000000004</v>
      </c>
      <c r="O3619" s="17">
        <f t="shared" si="119"/>
        <v>0</v>
      </c>
      <c r="P3619" s="17">
        <f t="shared" si="120"/>
        <v>56.160000000000004</v>
      </c>
      <c r="Q3619" t="str">
        <f>A3619&amp;"-"&amp;B3619&amp;"-"&amp;D3619</f>
        <v>AGUSTUS-MJ2-L12</v>
      </c>
    </row>
    <row r="3620" spans="1:17" x14ac:dyDescent="0.25">
      <c r="A3620" t="s">
        <v>398</v>
      </c>
      <c r="B3620" s="13" t="s">
        <v>26</v>
      </c>
      <c r="C3620" s="13" t="s">
        <v>226</v>
      </c>
      <c r="D3620" s="14" t="s">
        <v>310</v>
      </c>
      <c r="E3620" s="13" t="s">
        <v>61</v>
      </c>
      <c r="F3620" s="13" t="s">
        <v>1385</v>
      </c>
      <c r="G3620" s="13">
        <v>0.79</v>
      </c>
      <c r="H3620" s="15">
        <v>2950</v>
      </c>
      <c r="I3620" s="16">
        <v>2330.5</v>
      </c>
      <c r="J3620" s="16">
        <v>1419.1444229777021</v>
      </c>
      <c r="K3620" s="16">
        <v>911.35557702229778</v>
      </c>
      <c r="L3620" s="13">
        <v>2.08</v>
      </c>
      <c r="M3620" s="13"/>
      <c r="N3620" s="17">
        <f t="shared" si="119"/>
        <v>6136</v>
      </c>
      <c r="O3620" s="17">
        <f t="shared" si="119"/>
        <v>0</v>
      </c>
      <c r="P3620" s="17">
        <f t="shared" si="120"/>
        <v>6136</v>
      </c>
      <c r="Q3620" t="str">
        <f>A3620&amp;"-"&amp;B3620&amp;"-"&amp;D3620</f>
        <v>AGUSTUS-MJ2-L12</v>
      </c>
    </row>
    <row r="3621" spans="1:17" x14ac:dyDescent="0.25">
      <c r="A3621" t="s">
        <v>398</v>
      </c>
      <c r="B3621" s="13" t="s">
        <v>26</v>
      </c>
      <c r="C3621" s="13" t="s">
        <v>226</v>
      </c>
      <c r="D3621" s="14" t="s">
        <v>310</v>
      </c>
      <c r="E3621" s="13" t="s">
        <v>61</v>
      </c>
      <c r="F3621" s="13" t="s">
        <v>1210</v>
      </c>
      <c r="G3621" s="13">
        <v>0.79</v>
      </c>
      <c r="H3621" s="15">
        <v>115</v>
      </c>
      <c r="I3621" s="16">
        <v>90.85</v>
      </c>
      <c r="J3621" s="16">
        <v>72.813669994742227</v>
      </c>
      <c r="K3621" s="16">
        <v>18.036330005257774</v>
      </c>
      <c r="L3621" s="13">
        <v>2.08</v>
      </c>
      <c r="M3621" s="13"/>
      <c r="N3621" s="17">
        <f t="shared" si="119"/>
        <v>239.20000000000002</v>
      </c>
      <c r="O3621" s="17">
        <f t="shared" si="119"/>
        <v>0</v>
      </c>
      <c r="P3621" s="17">
        <f t="shared" si="120"/>
        <v>239.20000000000002</v>
      </c>
      <c r="Q3621" t="str">
        <f>A3621&amp;"-"&amp;B3621&amp;"-"&amp;D3621</f>
        <v>AGUSTUS-MJ2-L12</v>
      </c>
    </row>
    <row r="3622" spans="1:17" x14ac:dyDescent="0.25">
      <c r="A3622" t="s">
        <v>398</v>
      </c>
      <c r="B3622" s="13" t="s">
        <v>26</v>
      </c>
      <c r="C3622" s="13" t="s">
        <v>226</v>
      </c>
      <c r="D3622" s="14" t="s">
        <v>310</v>
      </c>
      <c r="E3622" s="13" t="s">
        <v>61</v>
      </c>
      <c r="F3622" s="13" t="s">
        <v>1386</v>
      </c>
      <c r="G3622" s="13">
        <v>0.79</v>
      </c>
      <c r="H3622" s="15">
        <v>1312</v>
      </c>
      <c r="I3622" s="16">
        <v>1036.48</v>
      </c>
      <c r="J3622" s="16">
        <v>715.31853362073434</v>
      </c>
      <c r="K3622" s="16">
        <v>321.16146637926562</v>
      </c>
      <c r="L3622" s="13">
        <v>2.08</v>
      </c>
      <c r="M3622" s="13"/>
      <c r="N3622" s="17">
        <f t="shared" ref="N3622:O3685" si="121">$H3622*L3622</f>
        <v>2728.96</v>
      </c>
      <c r="O3622" s="17">
        <f t="shared" si="121"/>
        <v>0</v>
      </c>
      <c r="P3622" s="17">
        <f t="shared" si="120"/>
        <v>2728.96</v>
      </c>
      <c r="Q3622" t="str">
        <f>A3622&amp;"-"&amp;B3622&amp;"-"&amp;D3622</f>
        <v>AGUSTUS-MJ2-L12</v>
      </c>
    </row>
    <row r="3623" spans="1:17" x14ac:dyDescent="0.25">
      <c r="A3623" t="s">
        <v>398</v>
      </c>
      <c r="B3623" s="13" t="s">
        <v>26</v>
      </c>
      <c r="C3623" s="13" t="s">
        <v>226</v>
      </c>
      <c r="D3623" s="14" t="s">
        <v>310</v>
      </c>
      <c r="E3623" s="13" t="s">
        <v>61</v>
      </c>
      <c r="F3623" s="13" t="s">
        <v>1387</v>
      </c>
      <c r="G3623" s="13">
        <v>0.77</v>
      </c>
      <c r="H3623" s="15">
        <v>462</v>
      </c>
      <c r="I3623" s="16">
        <v>355.74</v>
      </c>
      <c r="J3623" s="16">
        <v>251.46721107485234</v>
      </c>
      <c r="K3623" s="16">
        <v>104.27278892514765</v>
      </c>
      <c r="L3623" s="13">
        <v>2.2400000000000002</v>
      </c>
      <c r="M3623" s="13"/>
      <c r="N3623" s="17">
        <f t="shared" si="121"/>
        <v>1034.8800000000001</v>
      </c>
      <c r="O3623" s="17">
        <f t="shared" si="121"/>
        <v>0</v>
      </c>
      <c r="P3623" s="17">
        <f t="shared" si="120"/>
        <v>1034.8800000000001</v>
      </c>
      <c r="Q3623" t="str">
        <f>A3623&amp;"-"&amp;B3623&amp;"-"&amp;D3623</f>
        <v>AGUSTUS-MJ2-L12</v>
      </c>
    </row>
    <row r="3624" spans="1:17" x14ac:dyDescent="0.25">
      <c r="A3624" t="s">
        <v>398</v>
      </c>
      <c r="B3624" s="13" t="s">
        <v>26</v>
      </c>
      <c r="C3624" s="13" t="s">
        <v>226</v>
      </c>
      <c r="D3624" s="14" t="s">
        <v>310</v>
      </c>
      <c r="E3624" s="13" t="s">
        <v>61</v>
      </c>
      <c r="F3624" s="13" t="s">
        <v>1388</v>
      </c>
      <c r="G3624" s="13">
        <v>0.7599999999999999</v>
      </c>
      <c r="H3624" s="15">
        <v>2880</v>
      </c>
      <c r="I3624" s="16">
        <v>2188.8000000000002</v>
      </c>
      <c r="J3624" s="16">
        <v>1836.0932961104952</v>
      </c>
      <c r="K3624" s="16">
        <v>352.70670388950475</v>
      </c>
      <c r="L3624" s="13">
        <v>2</v>
      </c>
      <c r="M3624" s="13"/>
      <c r="N3624" s="17">
        <f t="shared" si="121"/>
        <v>5760</v>
      </c>
      <c r="O3624" s="17">
        <f t="shared" si="121"/>
        <v>0</v>
      </c>
      <c r="P3624" s="17">
        <f t="shared" si="120"/>
        <v>5760</v>
      </c>
      <c r="Q3624" t="str">
        <f>A3624&amp;"-"&amp;B3624&amp;"-"&amp;D3624</f>
        <v>AGUSTUS-MJ2-L12</v>
      </c>
    </row>
    <row r="3625" spans="1:17" x14ac:dyDescent="0.25">
      <c r="A3625" t="s">
        <v>398</v>
      </c>
      <c r="B3625" s="13" t="s">
        <v>26</v>
      </c>
      <c r="C3625" s="13" t="s">
        <v>226</v>
      </c>
      <c r="D3625" s="14" t="s">
        <v>310</v>
      </c>
      <c r="E3625" s="13" t="s">
        <v>61</v>
      </c>
      <c r="F3625" s="13" t="s">
        <v>1389</v>
      </c>
      <c r="G3625" s="13">
        <v>0.79</v>
      </c>
      <c r="H3625" s="15">
        <v>1095</v>
      </c>
      <c r="I3625" s="16">
        <v>865.05</v>
      </c>
      <c r="J3625" s="16">
        <v>552.82493368700261</v>
      </c>
      <c r="K3625" s="16">
        <v>312.22506631299734</v>
      </c>
      <c r="L3625" s="13">
        <v>2.14</v>
      </c>
      <c r="M3625" s="13"/>
      <c r="N3625" s="17">
        <f t="shared" si="121"/>
        <v>2343.3000000000002</v>
      </c>
      <c r="O3625" s="17">
        <f t="shared" si="121"/>
        <v>0</v>
      </c>
      <c r="P3625" s="17">
        <f t="shared" si="120"/>
        <v>2343.3000000000002</v>
      </c>
      <c r="Q3625" t="str">
        <f>A3625&amp;"-"&amp;B3625&amp;"-"&amp;D3625</f>
        <v>AGUSTUS-MJ2-L12</v>
      </c>
    </row>
    <row r="3626" spans="1:17" x14ac:dyDescent="0.25">
      <c r="A3626" t="s">
        <v>398</v>
      </c>
      <c r="B3626" s="13" t="s">
        <v>26</v>
      </c>
      <c r="C3626" s="13" t="s">
        <v>226</v>
      </c>
      <c r="D3626" s="14" t="s">
        <v>310</v>
      </c>
      <c r="E3626" s="13" t="s">
        <v>61</v>
      </c>
      <c r="F3626" s="13" t="s">
        <v>1165</v>
      </c>
      <c r="G3626" s="13">
        <v>0.65000000000000013</v>
      </c>
      <c r="H3626" s="15">
        <v>10527</v>
      </c>
      <c r="I3626" s="16">
        <v>6842.55</v>
      </c>
      <c r="J3626" s="16">
        <v>4822.4977122470436</v>
      </c>
      <c r="K3626" s="16">
        <v>2020.0522877529543</v>
      </c>
      <c r="L3626" s="13">
        <v>1.66</v>
      </c>
      <c r="M3626" s="13"/>
      <c r="N3626" s="17">
        <f t="shared" si="121"/>
        <v>17474.82</v>
      </c>
      <c r="O3626" s="17">
        <f t="shared" si="121"/>
        <v>0</v>
      </c>
      <c r="P3626" s="17">
        <f t="shared" si="120"/>
        <v>17474.82</v>
      </c>
      <c r="Q3626" t="str">
        <f>A3626&amp;"-"&amp;B3626&amp;"-"&amp;D3626</f>
        <v>AGUSTUS-MJ2-L12</v>
      </c>
    </row>
    <row r="3627" spans="1:17" x14ac:dyDescent="0.25">
      <c r="A3627" t="s">
        <v>398</v>
      </c>
      <c r="B3627" s="13" t="s">
        <v>26</v>
      </c>
      <c r="C3627" s="13" t="s">
        <v>226</v>
      </c>
      <c r="D3627" s="14" t="s">
        <v>310</v>
      </c>
      <c r="E3627" s="13" t="s">
        <v>61</v>
      </c>
      <c r="F3627" s="13" t="s">
        <v>1390</v>
      </c>
      <c r="G3627" s="13">
        <v>0.65</v>
      </c>
      <c r="H3627" s="15">
        <v>4045</v>
      </c>
      <c r="I3627" s="16">
        <v>2629.25</v>
      </c>
      <c r="J3627" s="16">
        <v>1811.9822713654391</v>
      </c>
      <c r="K3627" s="16">
        <v>817.26772863456108</v>
      </c>
      <c r="L3627" s="13">
        <v>1.66</v>
      </c>
      <c r="M3627" s="13"/>
      <c r="N3627" s="17">
        <f t="shared" si="121"/>
        <v>6714.7</v>
      </c>
      <c r="O3627" s="17">
        <f t="shared" si="121"/>
        <v>0</v>
      </c>
      <c r="P3627" s="17">
        <f t="shared" si="120"/>
        <v>6714.7</v>
      </c>
      <c r="Q3627" t="str">
        <f>A3627&amp;"-"&amp;B3627&amp;"-"&amp;D3627</f>
        <v>AGUSTUS-MJ2-L12</v>
      </c>
    </row>
    <row r="3628" spans="1:17" x14ac:dyDescent="0.25">
      <c r="A3628" t="s">
        <v>398</v>
      </c>
      <c r="B3628" s="13" t="s">
        <v>26</v>
      </c>
      <c r="C3628" s="13" t="s">
        <v>226</v>
      </c>
      <c r="D3628" s="14" t="s">
        <v>320</v>
      </c>
      <c r="E3628" s="13" t="s">
        <v>61</v>
      </c>
      <c r="F3628" s="13" t="s">
        <v>1378</v>
      </c>
      <c r="G3628" s="13">
        <v>0.65</v>
      </c>
      <c r="H3628" s="15">
        <v>3887</v>
      </c>
      <c r="I3628" s="16">
        <v>2526.5500000000002</v>
      </c>
      <c r="J3628" s="16">
        <v>2154.9946097074435</v>
      </c>
      <c r="K3628" s="16">
        <v>371.55539029255692</v>
      </c>
      <c r="L3628" s="13">
        <v>1.91</v>
      </c>
      <c r="M3628" s="13"/>
      <c r="N3628" s="17">
        <f t="shared" si="121"/>
        <v>7424.17</v>
      </c>
      <c r="O3628" s="17">
        <f t="shared" si="121"/>
        <v>0</v>
      </c>
      <c r="P3628" s="17">
        <f t="shared" si="120"/>
        <v>7424.17</v>
      </c>
      <c r="Q3628" t="str">
        <f>A3628&amp;"-"&amp;B3628&amp;"-"&amp;D3628</f>
        <v>AGUSTUS-MJ2-L13</v>
      </c>
    </row>
    <row r="3629" spans="1:17" x14ac:dyDescent="0.25">
      <c r="A3629" t="s">
        <v>398</v>
      </c>
      <c r="B3629" s="13" t="s">
        <v>26</v>
      </c>
      <c r="C3629" s="13" t="s">
        <v>226</v>
      </c>
      <c r="D3629" s="14" t="s">
        <v>320</v>
      </c>
      <c r="E3629" s="13" t="s">
        <v>61</v>
      </c>
      <c r="F3629" s="13" t="s">
        <v>1363</v>
      </c>
      <c r="G3629" s="13">
        <v>0.66</v>
      </c>
      <c r="H3629" s="15">
        <v>4140</v>
      </c>
      <c r="I3629" s="16">
        <v>2732.4000000000005</v>
      </c>
      <c r="J3629" s="16">
        <v>2318.7069256708223</v>
      </c>
      <c r="K3629" s="16">
        <v>413.69307432917714</v>
      </c>
      <c r="L3629" s="13">
        <v>1.71</v>
      </c>
      <c r="M3629" s="13"/>
      <c r="N3629" s="17">
        <f t="shared" si="121"/>
        <v>7079.4</v>
      </c>
      <c r="O3629" s="17">
        <f t="shared" si="121"/>
        <v>0</v>
      </c>
      <c r="P3629" s="17">
        <f t="shared" si="120"/>
        <v>7079.4</v>
      </c>
      <c r="Q3629" t="str">
        <f>A3629&amp;"-"&amp;B3629&amp;"-"&amp;D3629</f>
        <v>AGUSTUS-MJ2-L13</v>
      </c>
    </row>
    <row r="3630" spans="1:17" x14ac:dyDescent="0.25">
      <c r="A3630" t="s">
        <v>398</v>
      </c>
      <c r="B3630" s="13" t="s">
        <v>26</v>
      </c>
      <c r="C3630" s="13" t="s">
        <v>226</v>
      </c>
      <c r="D3630" s="14" t="s">
        <v>320</v>
      </c>
      <c r="E3630" s="13" t="s">
        <v>61</v>
      </c>
      <c r="F3630" s="13" t="s">
        <v>1201</v>
      </c>
      <c r="G3630" s="13">
        <v>0.70000000000000007</v>
      </c>
      <c r="H3630" s="15">
        <v>432</v>
      </c>
      <c r="I3630" s="16">
        <v>302.39999999999998</v>
      </c>
      <c r="J3630" s="16">
        <v>248.94498457045981</v>
      </c>
      <c r="K3630" s="16">
        <v>53.455015429540175</v>
      </c>
      <c r="L3630" s="13">
        <v>1.3</v>
      </c>
      <c r="M3630" s="13"/>
      <c r="N3630" s="17">
        <f t="shared" si="121"/>
        <v>561.6</v>
      </c>
      <c r="O3630" s="17">
        <f t="shared" si="121"/>
        <v>0</v>
      </c>
      <c r="P3630" s="17">
        <f t="shared" si="120"/>
        <v>561.6</v>
      </c>
      <c r="Q3630" t="str">
        <f>A3630&amp;"-"&amp;B3630&amp;"-"&amp;D3630</f>
        <v>AGUSTUS-MJ2-L13</v>
      </c>
    </row>
    <row r="3631" spans="1:17" x14ac:dyDescent="0.25">
      <c r="A3631" t="s">
        <v>398</v>
      </c>
      <c r="B3631" s="13" t="s">
        <v>26</v>
      </c>
      <c r="C3631" s="13" t="s">
        <v>226</v>
      </c>
      <c r="D3631" s="14" t="s">
        <v>320</v>
      </c>
      <c r="E3631" s="13" t="s">
        <v>61</v>
      </c>
      <c r="F3631" s="13" t="s">
        <v>1202</v>
      </c>
      <c r="G3631" s="13">
        <v>0.78</v>
      </c>
      <c r="H3631" s="15">
        <v>696</v>
      </c>
      <c r="I3631" s="16">
        <v>542.88</v>
      </c>
      <c r="J3631" s="16">
        <v>387.22972120649149</v>
      </c>
      <c r="K3631" s="16">
        <v>155.65027879350851</v>
      </c>
      <c r="L3631" s="13">
        <v>2</v>
      </c>
      <c r="M3631" s="13"/>
      <c r="N3631" s="17">
        <f t="shared" si="121"/>
        <v>1392</v>
      </c>
      <c r="O3631" s="17">
        <f t="shared" si="121"/>
        <v>0</v>
      </c>
      <c r="P3631" s="17">
        <f t="shared" si="120"/>
        <v>1392</v>
      </c>
      <c r="Q3631" t="str">
        <f>A3631&amp;"-"&amp;B3631&amp;"-"&amp;D3631</f>
        <v>AGUSTUS-MJ2-L13</v>
      </c>
    </row>
    <row r="3632" spans="1:17" x14ac:dyDescent="0.25">
      <c r="A3632" t="s">
        <v>398</v>
      </c>
      <c r="B3632" s="13" t="s">
        <v>26</v>
      </c>
      <c r="C3632" s="13" t="s">
        <v>226</v>
      </c>
      <c r="D3632" s="14" t="s">
        <v>320</v>
      </c>
      <c r="E3632" s="13" t="s">
        <v>61</v>
      </c>
      <c r="F3632" s="13" t="s">
        <v>1379</v>
      </c>
      <c r="G3632" s="13">
        <v>0.77999999999999992</v>
      </c>
      <c r="H3632" s="15">
        <v>1705</v>
      </c>
      <c r="I3632" s="16">
        <v>1329.9</v>
      </c>
      <c r="J3632" s="16">
        <v>911.14972142457862</v>
      </c>
      <c r="K3632" s="16">
        <v>418.75027857542148</v>
      </c>
      <c r="L3632" s="13">
        <v>2</v>
      </c>
      <c r="M3632" s="13"/>
      <c r="N3632" s="17">
        <f t="shared" si="121"/>
        <v>3410</v>
      </c>
      <c r="O3632" s="17">
        <f t="shared" si="121"/>
        <v>0</v>
      </c>
      <c r="P3632" s="17">
        <f t="shared" si="120"/>
        <v>3410</v>
      </c>
      <c r="Q3632" t="str">
        <f>A3632&amp;"-"&amp;B3632&amp;"-"&amp;D3632</f>
        <v>AGUSTUS-MJ2-L13</v>
      </c>
    </row>
    <row r="3633" spans="1:17" x14ac:dyDescent="0.25">
      <c r="A3633" t="s">
        <v>398</v>
      </c>
      <c r="B3633" s="13" t="s">
        <v>26</v>
      </c>
      <c r="C3633" s="13" t="s">
        <v>226</v>
      </c>
      <c r="D3633" s="14" t="s">
        <v>320</v>
      </c>
      <c r="E3633" s="13" t="s">
        <v>61</v>
      </c>
      <c r="F3633" s="13" t="s">
        <v>1203</v>
      </c>
      <c r="G3633" s="13">
        <v>0.78</v>
      </c>
      <c r="H3633" s="15">
        <v>863</v>
      </c>
      <c r="I3633" s="16">
        <v>673.14</v>
      </c>
      <c r="J3633" s="16">
        <v>557.00020395254569</v>
      </c>
      <c r="K3633" s="16">
        <v>116.13979604745445</v>
      </c>
      <c r="L3633" s="13">
        <v>2</v>
      </c>
      <c r="M3633" s="13"/>
      <c r="N3633" s="17">
        <f t="shared" si="121"/>
        <v>1726</v>
      </c>
      <c r="O3633" s="17">
        <f t="shared" si="121"/>
        <v>0</v>
      </c>
      <c r="P3633" s="17">
        <f t="shared" si="120"/>
        <v>1726</v>
      </c>
      <c r="Q3633" t="str">
        <f>A3633&amp;"-"&amp;B3633&amp;"-"&amp;D3633</f>
        <v>AGUSTUS-MJ2-L13</v>
      </c>
    </row>
    <row r="3634" spans="1:17" x14ac:dyDescent="0.25">
      <c r="A3634" t="s">
        <v>398</v>
      </c>
      <c r="B3634" s="13" t="s">
        <v>26</v>
      </c>
      <c r="C3634" s="13" t="s">
        <v>226</v>
      </c>
      <c r="D3634" s="14" t="s">
        <v>320</v>
      </c>
      <c r="E3634" s="13" t="s">
        <v>61</v>
      </c>
      <c r="F3634" s="13" t="s">
        <v>1380</v>
      </c>
      <c r="G3634" s="13">
        <v>0.77999999999999992</v>
      </c>
      <c r="H3634" s="15">
        <v>1893</v>
      </c>
      <c r="I3634" s="16">
        <v>1476.54</v>
      </c>
      <c r="J3634" s="16">
        <v>1029.0297022140421</v>
      </c>
      <c r="K3634" s="16">
        <v>447.51029778595802</v>
      </c>
      <c r="L3634" s="13">
        <v>2</v>
      </c>
      <c r="M3634" s="13"/>
      <c r="N3634" s="17">
        <f t="shared" si="121"/>
        <v>3786</v>
      </c>
      <c r="O3634" s="17">
        <f t="shared" si="121"/>
        <v>0</v>
      </c>
      <c r="P3634" s="17">
        <f t="shared" si="120"/>
        <v>3786</v>
      </c>
      <c r="Q3634" t="str">
        <f>A3634&amp;"-"&amp;B3634&amp;"-"&amp;D3634</f>
        <v>AGUSTUS-MJ2-L13</v>
      </c>
    </row>
    <row r="3635" spans="1:17" x14ac:dyDescent="0.25">
      <c r="A3635" t="s">
        <v>398</v>
      </c>
      <c r="B3635" s="13" t="s">
        <v>26</v>
      </c>
      <c r="C3635" s="13" t="s">
        <v>226</v>
      </c>
      <c r="D3635" s="14" t="s">
        <v>320</v>
      </c>
      <c r="E3635" s="13" t="s">
        <v>61</v>
      </c>
      <c r="F3635" s="13" t="s">
        <v>1204</v>
      </c>
      <c r="G3635" s="13">
        <v>0.78</v>
      </c>
      <c r="H3635" s="15">
        <v>286</v>
      </c>
      <c r="I3635" s="16">
        <v>223.08</v>
      </c>
      <c r="J3635" s="16">
        <v>193.54348092560272</v>
      </c>
      <c r="K3635" s="16">
        <v>29.536519074397276</v>
      </c>
      <c r="L3635" s="13">
        <v>2</v>
      </c>
      <c r="M3635" s="13"/>
      <c r="N3635" s="17">
        <f t="shared" si="121"/>
        <v>572</v>
      </c>
      <c r="O3635" s="17">
        <f t="shared" si="121"/>
        <v>0</v>
      </c>
      <c r="P3635" s="17">
        <f t="shared" si="120"/>
        <v>572</v>
      </c>
      <c r="Q3635" t="str">
        <f>A3635&amp;"-"&amp;B3635&amp;"-"&amp;D3635</f>
        <v>AGUSTUS-MJ2-L13</v>
      </c>
    </row>
    <row r="3636" spans="1:17" x14ac:dyDescent="0.25">
      <c r="A3636" t="s">
        <v>398</v>
      </c>
      <c r="B3636" s="13" t="s">
        <v>26</v>
      </c>
      <c r="C3636" s="13" t="s">
        <v>226</v>
      </c>
      <c r="D3636" s="14" t="s">
        <v>320</v>
      </c>
      <c r="E3636" s="13" t="s">
        <v>61</v>
      </c>
      <c r="F3636" s="13" t="s">
        <v>1381</v>
      </c>
      <c r="G3636" s="13">
        <v>0.78000000000000014</v>
      </c>
      <c r="H3636" s="15">
        <v>4363</v>
      </c>
      <c r="I3636" s="16">
        <v>3403.14</v>
      </c>
      <c r="J3636" s="16">
        <v>2204.7245093670558</v>
      </c>
      <c r="K3636" s="16">
        <v>1198.4154906329441</v>
      </c>
      <c r="L3636" s="13">
        <v>2</v>
      </c>
      <c r="M3636" s="13"/>
      <c r="N3636" s="17">
        <f t="shared" si="121"/>
        <v>8726</v>
      </c>
      <c r="O3636" s="17">
        <f t="shared" si="121"/>
        <v>0</v>
      </c>
      <c r="P3636" s="17">
        <f t="shared" si="120"/>
        <v>8726</v>
      </c>
      <c r="Q3636" t="str">
        <f>A3636&amp;"-"&amp;B3636&amp;"-"&amp;D3636</f>
        <v>AGUSTUS-MJ2-L13</v>
      </c>
    </row>
    <row r="3637" spans="1:17" x14ac:dyDescent="0.25">
      <c r="A3637" t="s">
        <v>398</v>
      </c>
      <c r="B3637" s="13" t="s">
        <v>26</v>
      </c>
      <c r="C3637" s="13" t="s">
        <v>226</v>
      </c>
      <c r="D3637" s="14" t="s">
        <v>320</v>
      </c>
      <c r="E3637" s="13" t="s">
        <v>61</v>
      </c>
      <c r="F3637" s="13" t="s">
        <v>1206</v>
      </c>
      <c r="G3637" s="13">
        <v>0.92999999999999994</v>
      </c>
      <c r="H3637" s="15">
        <v>1173</v>
      </c>
      <c r="I3637" s="16">
        <v>1090.8900000000001</v>
      </c>
      <c r="J3637" s="16">
        <v>648.68887206736463</v>
      </c>
      <c r="K3637" s="16">
        <v>442.20112793263536</v>
      </c>
      <c r="L3637" s="13">
        <v>2.2400000000000002</v>
      </c>
      <c r="M3637" s="13"/>
      <c r="N3637" s="17">
        <f t="shared" si="121"/>
        <v>2627.5200000000004</v>
      </c>
      <c r="O3637" s="17">
        <f t="shared" si="121"/>
        <v>0</v>
      </c>
      <c r="P3637" s="17">
        <f t="shared" si="120"/>
        <v>2627.5200000000004</v>
      </c>
      <c r="Q3637" t="str">
        <f>A3637&amp;"-"&amp;B3637&amp;"-"&amp;D3637</f>
        <v>AGUSTUS-MJ2-L13</v>
      </c>
    </row>
    <row r="3638" spans="1:17" x14ac:dyDescent="0.25">
      <c r="A3638" t="s">
        <v>398</v>
      </c>
      <c r="B3638" s="13" t="s">
        <v>26</v>
      </c>
      <c r="C3638" s="13" t="s">
        <v>226</v>
      </c>
      <c r="D3638" s="14" t="s">
        <v>320</v>
      </c>
      <c r="E3638" s="13" t="s">
        <v>61</v>
      </c>
      <c r="F3638" s="13" t="s">
        <v>1382</v>
      </c>
      <c r="G3638" s="13">
        <v>0.92999999999999994</v>
      </c>
      <c r="H3638" s="15">
        <v>2360</v>
      </c>
      <c r="I3638" s="16">
        <v>2194.8000000000002</v>
      </c>
      <c r="J3638" s="16">
        <v>1421.0763247330083</v>
      </c>
      <c r="K3638" s="16">
        <v>773.72367526699145</v>
      </c>
      <c r="L3638" s="13">
        <v>2.2400000000000002</v>
      </c>
      <c r="M3638" s="13"/>
      <c r="N3638" s="17">
        <f t="shared" si="121"/>
        <v>5286.4000000000005</v>
      </c>
      <c r="O3638" s="17">
        <f t="shared" si="121"/>
        <v>0</v>
      </c>
      <c r="P3638" s="17">
        <f t="shared" si="120"/>
        <v>5286.4000000000005</v>
      </c>
      <c r="Q3638" t="str">
        <f>A3638&amp;"-"&amp;B3638&amp;"-"&amp;D3638</f>
        <v>AGUSTUS-MJ2-L13</v>
      </c>
    </row>
    <row r="3639" spans="1:17" x14ac:dyDescent="0.25">
      <c r="A3639" t="s">
        <v>398</v>
      </c>
      <c r="B3639" s="13" t="s">
        <v>26</v>
      </c>
      <c r="C3639" s="13" t="s">
        <v>226</v>
      </c>
      <c r="D3639" s="14" t="s">
        <v>320</v>
      </c>
      <c r="E3639" s="13" t="s">
        <v>61</v>
      </c>
      <c r="F3639" s="13" t="s">
        <v>1383</v>
      </c>
      <c r="G3639" s="13">
        <v>0.92999999999999994</v>
      </c>
      <c r="H3639" s="15">
        <v>605</v>
      </c>
      <c r="I3639" s="16">
        <v>562.65</v>
      </c>
      <c r="J3639" s="16">
        <v>380.94615132473132</v>
      </c>
      <c r="K3639" s="16">
        <v>181.70384867526866</v>
      </c>
      <c r="L3639" s="13">
        <v>2.4300000000000002</v>
      </c>
      <c r="M3639" s="13"/>
      <c r="N3639" s="17">
        <f t="shared" si="121"/>
        <v>1470.15</v>
      </c>
      <c r="O3639" s="17">
        <f t="shared" si="121"/>
        <v>0</v>
      </c>
      <c r="P3639" s="17">
        <f t="shared" si="120"/>
        <v>1470.15</v>
      </c>
      <c r="Q3639" t="str">
        <f>A3639&amp;"-"&amp;B3639&amp;"-"&amp;D3639</f>
        <v>AGUSTUS-MJ2-L13</v>
      </c>
    </row>
    <row r="3640" spans="1:17" x14ac:dyDescent="0.25">
      <c r="A3640" t="s">
        <v>398</v>
      </c>
      <c r="B3640" s="13" t="s">
        <v>26</v>
      </c>
      <c r="C3640" s="13" t="s">
        <v>226</v>
      </c>
      <c r="D3640" s="14" t="s">
        <v>320</v>
      </c>
      <c r="E3640" s="13" t="s">
        <v>61</v>
      </c>
      <c r="F3640" s="13" t="s">
        <v>1208</v>
      </c>
      <c r="G3640" s="13">
        <v>0.79</v>
      </c>
      <c r="H3640" s="15">
        <v>368</v>
      </c>
      <c r="I3640" s="16">
        <v>290.72000000000003</v>
      </c>
      <c r="J3640" s="16">
        <v>237.42698518354283</v>
      </c>
      <c r="K3640" s="16">
        <v>53.293014816457216</v>
      </c>
      <c r="L3640" s="13">
        <v>2.08</v>
      </c>
      <c r="M3640" s="13"/>
      <c r="N3640" s="17">
        <f t="shared" si="121"/>
        <v>765.44</v>
      </c>
      <c r="O3640" s="17">
        <f t="shared" si="121"/>
        <v>0</v>
      </c>
      <c r="P3640" s="17">
        <f t="shared" si="120"/>
        <v>765.44</v>
      </c>
      <c r="Q3640" t="str">
        <f>A3640&amp;"-"&amp;B3640&amp;"-"&amp;D3640</f>
        <v>AGUSTUS-MJ2-L13</v>
      </c>
    </row>
    <row r="3641" spans="1:17" x14ac:dyDescent="0.25">
      <c r="A3641" t="s">
        <v>398</v>
      </c>
      <c r="B3641" s="13" t="s">
        <v>26</v>
      </c>
      <c r="C3641" s="13" t="s">
        <v>226</v>
      </c>
      <c r="D3641" s="14" t="s">
        <v>320</v>
      </c>
      <c r="E3641" s="13" t="s">
        <v>61</v>
      </c>
      <c r="F3641" s="13" t="s">
        <v>1384</v>
      </c>
      <c r="G3641" s="13">
        <v>0.79</v>
      </c>
      <c r="H3641" s="15">
        <v>1797</v>
      </c>
      <c r="I3641" s="16">
        <v>1419.63</v>
      </c>
      <c r="J3641" s="16">
        <v>932.82843394470603</v>
      </c>
      <c r="K3641" s="16">
        <v>486.80156605529396</v>
      </c>
      <c r="L3641" s="13">
        <v>2.08</v>
      </c>
      <c r="M3641" s="13"/>
      <c r="N3641" s="17">
        <f t="shared" si="121"/>
        <v>3737.76</v>
      </c>
      <c r="O3641" s="17">
        <f t="shared" si="121"/>
        <v>0</v>
      </c>
      <c r="P3641" s="17">
        <f t="shared" si="120"/>
        <v>3737.76</v>
      </c>
      <c r="Q3641" t="str">
        <f>A3641&amp;"-"&amp;B3641&amp;"-"&amp;D3641</f>
        <v>AGUSTUS-MJ2-L13</v>
      </c>
    </row>
    <row r="3642" spans="1:17" x14ac:dyDescent="0.25">
      <c r="A3642" t="s">
        <v>398</v>
      </c>
      <c r="B3642" s="13" t="s">
        <v>26</v>
      </c>
      <c r="C3642" s="13" t="s">
        <v>226</v>
      </c>
      <c r="D3642" s="14" t="s">
        <v>320</v>
      </c>
      <c r="E3642" s="13" t="s">
        <v>61</v>
      </c>
      <c r="F3642" s="13" t="s">
        <v>1209</v>
      </c>
      <c r="G3642" s="13">
        <v>0.79</v>
      </c>
      <c r="H3642" s="15">
        <v>28</v>
      </c>
      <c r="I3642" s="16">
        <v>22.12</v>
      </c>
      <c r="J3642" s="16">
        <v>15.040451552210724</v>
      </c>
      <c r="K3642" s="16">
        <v>7.0795484477892767</v>
      </c>
      <c r="L3642" s="13">
        <v>2.08</v>
      </c>
      <c r="M3642" s="13"/>
      <c r="N3642" s="17">
        <f t="shared" si="121"/>
        <v>58.24</v>
      </c>
      <c r="O3642" s="17">
        <f t="shared" si="121"/>
        <v>0</v>
      </c>
      <c r="P3642" s="17">
        <f t="shared" si="120"/>
        <v>58.24</v>
      </c>
      <c r="Q3642" t="str">
        <f>A3642&amp;"-"&amp;B3642&amp;"-"&amp;D3642</f>
        <v>AGUSTUS-MJ2-L13</v>
      </c>
    </row>
    <row r="3643" spans="1:17" x14ac:dyDescent="0.25">
      <c r="A3643" t="s">
        <v>398</v>
      </c>
      <c r="B3643" s="13" t="s">
        <v>26</v>
      </c>
      <c r="C3643" s="13" t="s">
        <v>226</v>
      </c>
      <c r="D3643" s="14" t="s">
        <v>320</v>
      </c>
      <c r="E3643" s="13" t="s">
        <v>61</v>
      </c>
      <c r="F3643" s="13" t="s">
        <v>1385</v>
      </c>
      <c r="G3643" s="13">
        <v>0.79</v>
      </c>
      <c r="H3643" s="15">
        <v>2950</v>
      </c>
      <c r="I3643" s="16">
        <v>2330.5</v>
      </c>
      <c r="J3643" s="16">
        <v>1419.1225778848268</v>
      </c>
      <c r="K3643" s="16">
        <v>911.37742211517309</v>
      </c>
      <c r="L3643" s="13">
        <v>2.08</v>
      </c>
      <c r="M3643" s="13"/>
      <c r="N3643" s="17">
        <f t="shared" si="121"/>
        <v>6136</v>
      </c>
      <c r="O3643" s="17">
        <f t="shared" si="121"/>
        <v>0</v>
      </c>
      <c r="P3643" s="17">
        <f t="shared" si="120"/>
        <v>6136</v>
      </c>
      <c r="Q3643" t="str">
        <f>A3643&amp;"-"&amp;B3643&amp;"-"&amp;D3643</f>
        <v>AGUSTUS-MJ2-L13</v>
      </c>
    </row>
    <row r="3644" spans="1:17" x14ac:dyDescent="0.25">
      <c r="A3644" t="s">
        <v>398</v>
      </c>
      <c r="B3644" s="13" t="s">
        <v>26</v>
      </c>
      <c r="C3644" s="13" t="s">
        <v>226</v>
      </c>
      <c r="D3644" s="14" t="s">
        <v>320</v>
      </c>
      <c r="E3644" s="13" t="s">
        <v>61</v>
      </c>
      <c r="F3644" s="13" t="s">
        <v>1210</v>
      </c>
      <c r="G3644" s="13">
        <v>0.79</v>
      </c>
      <c r="H3644" s="15">
        <v>114</v>
      </c>
      <c r="I3644" s="16">
        <v>90.06</v>
      </c>
      <c r="J3644" s="16">
        <v>72.254487621269277</v>
      </c>
      <c r="K3644" s="16">
        <v>17.805512378730732</v>
      </c>
      <c r="L3644" s="13">
        <v>2.08</v>
      </c>
      <c r="M3644" s="13"/>
      <c r="N3644" s="17">
        <f t="shared" si="121"/>
        <v>237.12</v>
      </c>
      <c r="O3644" s="17">
        <f t="shared" si="121"/>
        <v>0</v>
      </c>
      <c r="P3644" s="17">
        <f t="shared" si="120"/>
        <v>237.12</v>
      </c>
      <c r="Q3644" t="str">
        <f>A3644&amp;"-"&amp;B3644&amp;"-"&amp;D3644</f>
        <v>AGUSTUS-MJ2-L13</v>
      </c>
    </row>
    <row r="3645" spans="1:17" x14ac:dyDescent="0.25">
      <c r="A3645" t="s">
        <v>398</v>
      </c>
      <c r="B3645" s="13" t="s">
        <v>26</v>
      </c>
      <c r="C3645" s="13" t="s">
        <v>226</v>
      </c>
      <c r="D3645" s="14" t="s">
        <v>320</v>
      </c>
      <c r="E3645" s="13" t="s">
        <v>61</v>
      </c>
      <c r="F3645" s="13" t="s">
        <v>1386</v>
      </c>
      <c r="G3645" s="13">
        <v>0.79</v>
      </c>
      <c r="H3645" s="15">
        <v>1314</v>
      </c>
      <c r="I3645" s="16">
        <v>1038.06</v>
      </c>
      <c r="J3645" s="16">
        <v>716.37308873602421</v>
      </c>
      <c r="K3645" s="16">
        <v>321.68691126397573</v>
      </c>
      <c r="L3645" s="13">
        <v>2.08</v>
      </c>
      <c r="M3645" s="13"/>
      <c r="N3645" s="17">
        <f t="shared" si="121"/>
        <v>2733.12</v>
      </c>
      <c r="O3645" s="17">
        <f t="shared" si="121"/>
        <v>0</v>
      </c>
      <c r="P3645" s="17">
        <f t="shared" si="120"/>
        <v>2733.12</v>
      </c>
      <c r="Q3645" t="str">
        <f>A3645&amp;"-"&amp;B3645&amp;"-"&amp;D3645</f>
        <v>AGUSTUS-MJ2-L13</v>
      </c>
    </row>
    <row r="3646" spans="1:17" x14ac:dyDescent="0.25">
      <c r="A3646" t="s">
        <v>398</v>
      </c>
      <c r="B3646" s="13" t="s">
        <v>26</v>
      </c>
      <c r="C3646" s="13" t="s">
        <v>226</v>
      </c>
      <c r="D3646" s="14" t="s">
        <v>320</v>
      </c>
      <c r="E3646" s="13" t="s">
        <v>61</v>
      </c>
      <c r="F3646" s="13" t="s">
        <v>1387</v>
      </c>
      <c r="G3646" s="13">
        <v>0.77</v>
      </c>
      <c r="H3646" s="15">
        <v>462</v>
      </c>
      <c r="I3646" s="16">
        <v>355.74</v>
      </c>
      <c r="J3646" s="16">
        <v>251.45199489617323</v>
      </c>
      <c r="K3646" s="16">
        <v>104.28800510382673</v>
      </c>
      <c r="L3646" s="13">
        <v>2.2400000000000002</v>
      </c>
      <c r="M3646" s="13"/>
      <c r="N3646" s="17">
        <f t="shared" si="121"/>
        <v>1034.8800000000001</v>
      </c>
      <c r="O3646" s="17">
        <f t="shared" si="121"/>
        <v>0</v>
      </c>
      <c r="P3646" s="17">
        <f t="shared" si="120"/>
        <v>1034.8800000000001</v>
      </c>
      <c r="Q3646" t="str">
        <f>A3646&amp;"-"&amp;B3646&amp;"-"&amp;D3646</f>
        <v>AGUSTUS-MJ2-L13</v>
      </c>
    </row>
    <row r="3647" spans="1:17" x14ac:dyDescent="0.25">
      <c r="A3647" t="s">
        <v>398</v>
      </c>
      <c r="B3647" s="13" t="s">
        <v>26</v>
      </c>
      <c r="C3647" s="13" t="s">
        <v>226</v>
      </c>
      <c r="D3647" s="14" t="s">
        <v>320</v>
      </c>
      <c r="E3647" s="13" t="s">
        <v>61</v>
      </c>
      <c r="F3647" s="13" t="s">
        <v>1388</v>
      </c>
      <c r="G3647" s="13">
        <v>0.7599999999999999</v>
      </c>
      <c r="H3647" s="15">
        <v>2880</v>
      </c>
      <c r="I3647" s="16">
        <v>2188.7999999999997</v>
      </c>
      <c r="J3647" s="16">
        <v>1836.3041718014124</v>
      </c>
      <c r="K3647" s="16">
        <v>352.49582819858756</v>
      </c>
      <c r="L3647" s="13">
        <v>2</v>
      </c>
      <c r="M3647" s="13"/>
      <c r="N3647" s="17">
        <f t="shared" si="121"/>
        <v>5760</v>
      </c>
      <c r="O3647" s="17">
        <f t="shared" si="121"/>
        <v>0</v>
      </c>
      <c r="P3647" s="17">
        <f t="shared" si="120"/>
        <v>5760</v>
      </c>
      <c r="Q3647" t="str">
        <f>A3647&amp;"-"&amp;B3647&amp;"-"&amp;D3647</f>
        <v>AGUSTUS-MJ2-L13</v>
      </c>
    </row>
    <row r="3648" spans="1:17" x14ac:dyDescent="0.25">
      <c r="A3648" t="s">
        <v>398</v>
      </c>
      <c r="B3648" s="13" t="s">
        <v>26</v>
      </c>
      <c r="C3648" s="13" t="s">
        <v>226</v>
      </c>
      <c r="D3648" s="14" t="s">
        <v>320</v>
      </c>
      <c r="E3648" s="13" t="s">
        <v>61</v>
      </c>
      <c r="F3648" s="13" t="s">
        <v>1389</v>
      </c>
      <c r="G3648" s="13">
        <v>0.79</v>
      </c>
      <c r="H3648" s="15">
        <v>1095</v>
      </c>
      <c r="I3648" s="16">
        <v>865.05</v>
      </c>
      <c r="J3648" s="16">
        <v>552.58064516129036</v>
      </c>
      <c r="K3648" s="16">
        <v>312.46935483870959</v>
      </c>
      <c r="L3648" s="13">
        <v>2.14</v>
      </c>
      <c r="M3648" s="13"/>
      <c r="N3648" s="17">
        <f t="shared" si="121"/>
        <v>2343.3000000000002</v>
      </c>
      <c r="O3648" s="17">
        <f t="shared" si="121"/>
        <v>0</v>
      </c>
      <c r="P3648" s="17">
        <f t="shared" si="120"/>
        <v>2343.3000000000002</v>
      </c>
      <c r="Q3648" t="str">
        <f>A3648&amp;"-"&amp;B3648&amp;"-"&amp;D3648</f>
        <v>AGUSTUS-MJ2-L13</v>
      </c>
    </row>
    <row r="3649" spans="1:17" x14ac:dyDescent="0.25">
      <c r="A3649" t="s">
        <v>398</v>
      </c>
      <c r="B3649" s="13" t="s">
        <v>26</v>
      </c>
      <c r="C3649" s="13" t="s">
        <v>226</v>
      </c>
      <c r="D3649" s="14" t="s">
        <v>320</v>
      </c>
      <c r="E3649" s="13" t="s">
        <v>61</v>
      </c>
      <c r="F3649" s="13" t="s">
        <v>1165</v>
      </c>
      <c r="G3649" s="13">
        <v>0.65000000000000013</v>
      </c>
      <c r="H3649" s="15">
        <v>10528</v>
      </c>
      <c r="I3649" s="16">
        <v>6843.2</v>
      </c>
      <c r="J3649" s="16">
        <v>4822.3205077696884</v>
      </c>
      <c r="K3649" s="16">
        <v>2020.8794922303109</v>
      </c>
      <c r="L3649" s="13">
        <v>1.66</v>
      </c>
      <c r="M3649" s="13"/>
      <c r="N3649" s="17">
        <f t="shared" si="121"/>
        <v>17476.48</v>
      </c>
      <c r="O3649" s="17">
        <f t="shared" si="121"/>
        <v>0</v>
      </c>
      <c r="P3649" s="17">
        <f t="shared" si="120"/>
        <v>17476.48</v>
      </c>
      <c r="Q3649" t="str">
        <f>A3649&amp;"-"&amp;B3649&amp;"-"&amp;D3649</f>
        <v>AGUSTUS-MJ2-L13</v>
      </c>
    </row>
    <row r="3650" spans="1:17" x14ac:dyDescent="0.25">
      <c r="A3650" t="s">
        <v>398</v>
      </c>
      <c r="B3650" s="13" t="s">
        <v>26</v>
      </c>
      <c r="C3650" s="13" t="s">
        <v>226</v>
      </c>
      <c r="D3650" s="14" t="s">
        <v>320</v>
      </c>
      <c r="E3650" s="13" t="s">
        <v>61</v>
      </c>
      <c r="F3650" s="13" t="s">
        <v>1390</v>
      </c>
      <c r="G3650" s="13">
        <v>0.65</v>
      </c>
      <c r="H3650" s="15">
        <v>4045</v>
      </c>
      <c r="I3650" s="16">
        <v>2629.25</v>
      </c>
      <c r="J3650" s="16">
        <v>1812.2614482847086</v>
      </c>
      <c r="K3650" s="16">
        <v>816.98855171529146</v>
      </c>
      <c r="L3650" s="13">
        <v>1.66</v>
      </c>
      <c r="M3650" s="13"/>
      <c r="N3650" s="17">
        <f t="shared" si="121"/>
        <v>6714.7</v>
      </c>
      <c r="O3650" s="17">
        <f t="shared" si="121"/>
        <v>0</v>
      </c>
      <c r="P3650" s="17">
        <f t="shared" ref="P3650:P3713" si="122">N3650+O3650</f>
        <v>6714.7</v>
      </c>
      <c r="Q3650" t="str">
        <f>A3650&amp;"-"&amp;B3650&amp;"-"&amp;D3650</f>
        <v>AGUSTUS-MJ2-L13</v>
      </c>
    </row>
    <row r="3651" spans="1:17" x14ac:dyDescent="0.25">
      <c r="A3651" t="s">
        <v>398</v>
      </c>
      <c r="B3651" s="13" t="s">
        <v>26</v>
      </c>
      <c r="C3651" s="13" t="s">
        <v>226</v>
      </c>
      <c r="D3651" s="14" t="s">
        <v>50</v>
      </c>
      <c r="E3651" s="13" t="s">
        <v>61</v>
      </c>
      <c r="F3651" s="13" t="s">
        <v>1391</v>
      </c>
      <c r="G3651" s="13">
        <v>0.65</v>
      </c>
      <c r="H3651" s="15">
        <v>8261</v>
      </c>
      <c r="I3651" s="16">
        <v>5369.6500000000005</v>
      </c>
      <c r="J3651" s="16">
        <v>6435.5813543869936</v>
      </c>
      <c r="K3651" s="16">
        <v>-1065.9313543869932</v>
      </c>
      <c r="L3651" s="13">
        <v>1.72</v>
      </c>
      <c r="M3651" s="13"/>
      <c r="N3651" s="17">
        <f t="shared" si="121"/>
        <v>14208.92</v>
      </c>
      <c r="O3651" s="17">
        <f t="shared" si="121"/>
        <v>0</v>
      </c>
      <c r="P3651" s="17">
        <f t="shared" si="122"/>
        <v>14208.92</v>
      </c>
      <c r="Q3651" t="str">
        <f>A3651&amp;"-"&amp;B3651&amp;"-"&amp;D3651</f>
        <v>AGUSTUS-MJ2-L2</v>
      </c>
    </row>
    <row r="3652" spans="1:17" x14ac:dyDescent="0.25">
      <c r="A3652" t="s">
        <v>398</v>
      </c>
      <c r="B3652" s="13" t="s">
        <v>26</v>
      </c>
      <c r="C3652" s="13" t="s">
        <v>226</v>
      </c>
      <c r="D3652" s="14" t="s">
        <v>50</v>
      </c>
      <c r="E3652" s="13" t="s">
        <v>61</v>
      </c>
      <c r="F3652" s="13" t="s">
        <v>1392</v>
      </c>
      <c r="G3652" s="13">
        <v>0.65</v>
      </c>
      <c r="H3652" s="15">
        <v>810</v>
      </c>
      <c r="I3652" s="16">
        <v>526.5</v>
      </c>
      <c r="J3652" s="16">
        <v>925.0200000000001</v>
      </c>
      <c r="K3652" s="16">
        <v>-398.5200000000001</v>
      </c>
      <c r="L3652" s="13">
        <v>1.72</v>
      </c>
      <c r="M3652" s="13"/>
      <c r="N3652" s="17">
        <f t="shared" si="121"/>
        <v>1393.2</v>
      </c>
      <c r="O3652" s="17">
        <f t="shared" si="121"/>
        <v>0</v>
      </c>
      <c r="P3652" s="17">
        <f t="shared" si="122"/>
        <v>1393.2</v>
      </c>
      <c r="Q3652" t="str">
        <f>A3652&amp;"-"&amp;B3652&amp;"-"&amp;D3652</f>
        <v>AGUSTUS-MJ2-L2</v>
      </c>
    </row>
    <row r="3653" spans="1:17" x14ac:dyDescent="0.25">
      <c r="A3653" t="s">
        <v>398</v>
      </c>
      <c r="B3653" s="13" t="s">
        <v>26</v>
      </c>
      <c r="C3653" s="13" t="s">
        <v>226</v>
      </c>
      <c r="D3653" s="14" t="s">
        <v>50</v>
      </c>
      <c r="E3653" s="13" t="s">
        <v>61</v>
      </c>
      <c r="F3653" s="13" t="s">
        <v>1212</v>
      </c>
      <c r="G3653" s="13">
        <v>0.80000000000000016</v>
      </c>
      <c r="H3653" s="15">
        <v>247</v>
      </c>
      <c r="I3653" s="16">
        <v>197.6</v>
      </c>
      <c r="J3653" s="16">
        <v>146.24598404727644</v>
      </c>
      <c r="K3653" s="16">
        <v>51.354015952723579</v>
      </c>
      <c r="L3653" s="13">
        <v>2.1</v>
      </c>
      <c r="M3653" s="13"/>
      <c r="N3653" s="17">
        <f t="shared" si="121"/>
        <v>518.70000000000005</v>
      </c>
      <c r="O3653" s="17">
        <f t="shared" si="121"/>
        <v>0</v>
      </c>
      <c r="P3653" s="17">
        <f t="shared" si="122"/>
        <v>518.70000000000005</v>
      </c>
      <c r="Q3653" t="str">
        <f>A3653&amp;"-"&amp;B3653&amp;"-"&amp;D3653</f>
        <v>AGUSTUS-MJ2-L2</v>
      </c>
    </row>
    <row r="3654" spans="1:17" x14ac:dyDescent="0.25">
      <c r="A3654" t="s">
        <v>398</v>
      </c>
      <c r="B3654" s="13" t="s">
        <v>26</v>
      </c>
      <c r="C3654" s="13" t="s">
        <v>226</v>
      </c>
      <c r="D3654" s="14" t="s">
        <v>50</v>
      </c>
      <c r="E3654" s="13" t="s">
        <v>61</v>
      </c>
      <c r="F3654" s="13" t="s">
        <v>1214</v>
      </c>
      <c r="G3654" s="13">
        <v>0.79999999999999993</v>
      </c>
      <c r="H3654" s="15">
        <v>2355</v>
      </c>
      <c r="I3654" s="16">
        <v>1884</v>
      </c>
      <c r="J3654" s="16">
        <v>1413.2493624864671</v>
      </c>
      <c r="K3654" s="16">
        <v>470.75063751353332</v>
      </c>
      <c r="L3654" s="13">
        <v>2.1</v>
      </c>
      <c r="M3654" s="13"/>
      <c r="N3654" s="17">
        <f t="shared" si="121"/>
        <v>4945.5</v>
      </c>
      <c r="O3654" s="17">
        <f t="shared" si="121"/>
        <v>0</v>
      </c>
      <c r="P3654" s="17">
        <f t="shared" si="122"/>
        <v>4945.5</v>
      </c>
      <c r="Q3654" t="str">
        <f>A3654&amp;"-"&amp;B3654&amp;"-"&amp;D3654</f>
        <v>AGUSTUS-MJ2-L2</v>
      </c>
    </row>
    <row r="3655" spans="1:17" x14ac:dyDescent="0.25">
      <c r="A3655" t="s">
        <v>398</v>
      </c>
      <c r="B3655" s="13" t="s">
        <v>26</v>
      </c>
      <c r="C3655" s="13" t="s">
        <v>226</v>
      </c>
      <c r="D3655" s="14" t="s">
        <v>50</v>
      </c>
      <c r="E3655" s="13" t="s">
        <v>61</v>
      </c>
      <c r="F3655" s="13" t="s">
        <v>1215</v>
      </c>
      <c r="G3655" s="13">
        <v>0.7</v>
      </c>
      <c r="H3655" s="15">
        <v>2998</v>
      </c>
      <c r="I3655" s="16">
        <v>2098.6</v>
      </c>
      <c r="J3655" s="16">
        <v>1965.8059084783654</v>
      </c>
      <c r="K3655" s="16">
        <v>132.79409152163453</v>
      </c>
      <c r="L3655" s="13">
        <v>1.3</v>
      </c>
      <c r="M3655" s="13"/>
      <c r="N3655" s="17">
        <f t="shared" si="121"/>
        <v>3897.4</v>
      </c>
      <c r="O3655" s="17">
        <f t="shared" si="121"/>
        <v>0</v>
      </c>
      <c r="P3655" s="17">
        <f t="shared" si="122"/>
        <v>3897.4</v>
      </c>
      <c r="Q3655" t="str">
        <f>A3655&amp;"-"&amp;B3655&amp;"-"&amp;D3655</f>
        <v>AGUSTUS-MJ2-L2</v>
      </c>
    </row>
    <row r="3656" spans="1:17" x14ac:dyDescent="0.25">
      <c r="A3656" t="s">
        <v>398</v>
      </c>
      <c r="B3656" s="13" t="s">
        <v>26</v>
      </c>
      <c r="C3656" s="13" t="s">
        <v>226</v>
      </c>
      <c r="D3656" s="14" t="s">
        <v>50</v>
      </c>
      <c r="E3656" s="13" t="s">
        <v>61</v>
      </c>
      <c r="F3656" s="13" t="s">
        <v>1217</v>
      </c>
      <c r="G3656" s="13">
        <v>0.7</v>
      </c>
      <c r="H3656" s="15">
        <v>150</v>
      </c>
      <c r="I3656" s="16">
        <v>105</v>
      </c>
      <c r="J3656" s="16">
        <v>119.72577541422545</v>
      </c>
      <c r="K3656" s="16">
        <v>-14.725775414225456</v>
      </c>
      <c r="L3656" s="13">
        <v>1.3</v>
      </c>
      <c r="M3656" s="13"/>
      <c r="N3656" s="17">
        <f t="shared" si="121"/>
        <v>195</v>
      </c>
      <c r="O3656" s="17">
        <f t="shared" si="121"/>
        <v>0</v>
      </c>
      <c r="P3656" s="17">
        <f t="shared" si="122"/>
        <v>195</v>
      </c>
      <c r="Q3656" t="str">
        <f>A3656&amp;"-"&amp;B3656&amp;"-"&amp;D3656</f>
        <v>AGUSTUS-MJ2-L2</v>
      </c>
    </row>
    <row r="3657" spans="1:17" x14ac:dyDescent="0.25">
      <c r="A3657" t="s">
        <v>398</v>
      </c>
      <c r="B3657" s="13" t="s">
        <v>26</v>
      </c>
      <c r="C3657" s="13" t="s">
        <v>226</v>
      </c>
      <c r="D3657" s="14" t="s">
        <v>50</v>
      </c>
      <c r="E3657" s="13" t="s">
        <v>61</v>
      </c>
      <c r="F3657" s="13" t="s">
        <v>1393</v>
      </c>
      <c r="G3657" s="13">
        <v>0.65</v>
      </c>
      <c r="H3657" s="15">
        <v>2893</v>
      </c>
      <c r="I3657" s="16">
        <v>1880.4500000000003</v>
      </c>
      <c r="J3657" s="16">
        <v>2182.0062211343998</v>
      </c>
      <c r="K3657" s="16">
        <v>-301.55622113439983</v>
      </c>
      <c r="L3657" s="13">
        <v>1.72</v>
      </c>
      <c r="M3657" s="13"/>
      <c r="N3657" s="17">
        <f t="shared" si="121"/>
        <v>4975.96</v>
      </c>
      <c r="O3657" s="17">
        <f t="shared" si="121"/>
        <v>0</v>
      </c>
      <c r="P3657" s="17">
        <f t="shared" si="122"/>
        <v>4975.96</v>
      </c>
      <c r="Q3657" t="str">
        <f>A3657&amp;"-"&amp;B3657&amp;"-"&amp;D3657</f>
        <v>AGUSTUS-MJ2-L2</v>
      </c>
    </row>
    <row r="3658" spans="1:17" x14ac:dyDescent="0.25">
      <c r="A3658" t="s">
        <v>398</v>
      </c>
      <c r="B3658" s="13" t="s">
        <v>26</v>
      </c>
      <c r="C3658" s="13" t="s">
        <v>226</v>
      </c>
      <c r="D3658" s="14" t="s">
        <v>50</v>
      </c>
      <c r="E3658" s="13" t="s">
        <v>61</v>
      </c>
      <c r="F3658" s="13" t="s">
        <v>1394</v>
      </c>
      <c r="G3658" s="13">
        <v>0.67999999999999994</v>
      </c>
      <c r="H3658" s="15">
        <v>6679</v>
      </c>
      <c r="I3658" s="16">
        <v>4541.72</v>
      </c>
      <c r="J3658" s="16">
        <v>4368.1671934932774</v>
      </c>
      <c r="K3658" s="16">
        <v>173.55280650672213</v>
      </c>
      <c r="L3658" s="13">
        <v>1.83</v>
      </c>
      <c r="M3658" s="13"/>
      <c r="N3658" s="17">
        <f t="shared" si="121"/>
        <v>12222.57</v>
      </c>
      <c r="O3658" s="17">
        <f t="shared" si="121"/>
        <v>0</v>
      </c>
      <c r="P3658" s="17">
        <f t="shared" si="122"/>
        <v>12222.57</v>
      </c>
      <c r="Q3658" t="str">
        <f>A3658&amp;"-"&amp;B3658&amp;"-"&amp;D3658</f>
        <v>AGUSTUS-MJ2-L2</v>
      </c>
    </row>
    <row r="3659" spans="1:17" x14ac:dyDescent="0.25">
      <c r="A3659" t="s">
        <v>398</v>
      </c>
      <c r="B3659" s="13" t="s">
        <v>26</v>
      </c>
      <c r="C3659" s="13" t="s">
        <v>226</v>
      </c>
      <c r="D3659" s="14" t="s">
        <v>50</v>
      </c>
      <c r="E3659" s="13" t="s">
        <v>61</v>
      </c>
      <c r="F3659" s="13" t="s">
        <v>1395</v>
      </c>
      <c r="G3659" s="13">
        <v>0.66</v>
      </c>
      <c r="H3659" s="15">
        <v>340</v>
      </c>
      <c r="I3659" s="16">
        <v>224.4</v>
      </c>
      <c r="J3659" s="16">
        <v>217.30343547936485</v>
      </c>
      <c r="K3659" s="16">
        <v>7.0965645206351553</v>
      </c>
      <c r="L3659" s="13">
        <v>1.98</v>
      </c>
      <c r="M3659" s="13"/>
      <c r="N3659" s="17">
        <f t="shared" si="121"/>
        <v>673.2</v>
      </c>
      <c r="O3659" s="17">
        <f t="shared" si="121"/>
        <v>0</v>
      </c>
      <c r="P3659" s="17">
        <f t="shared" si="122"/>
        <v>673.2</v>
      </c>
      <c r="Q3659" t="str">
        <f>A3659&amp;"-"&amp;B3659&amp;"-"&amp;D3659</f>
        <v>AGUSTUS-MJ2-L2</v>
      </c>
    </row>
    <row r="3660" spans="1:17" x14ac:dyDescent="0.25">
      <c r="A3660" t="s">
        <v>398</v>
      </c>
      <c r="B3660" s="13" t="s">
        <v>26</v>
      </c>
      <c r="C3660" s="13" t="s">
        <v>226</v>
      </c>
      <c r="D3660" s="14" t="s">
        <v>50</v>
      </c>
      <c r="E3660" s="13" t="s">
        <v>61</v>
      </c>
      <c r="F3660" s="13" t="s">
        <v>1396</v>
      </c>
      <c r="G3660" s="13">
        <v>0.68</v>
      </c>
      <c r="H3660" s="15">
        <v>4473</v>
      </c>
      <c r="I3660" s="16">
        <v>3041.64</v>
      </c>
      <c r="J3660" s="16">
        <v>2959.7944185253104</v>
      </c>
      <c r="K3660" s="16">
        <v>81.845581474689013</v>
      </c>
      <c r="L3660" s="13">
        <v>1.83</v>
      </c>
      <c r="M3660" s="13"/>
      <c r="N3660" s="17">
        <f t="shared" si="121"/>
        <v>8185.59</v>
      </c>
      <c r="O3660" s="17">
        <f t="shared" si="121"/>
        <v>0</v>
      </c>
      <c r="P3660" s="17">
        <f t="shared" si="122"/>
        <v>8185.59</v>
      </c>
      <c r="Q3660" t="str">
        <f>A3660&amp;"-"&amp;B3660&amp;"-"&amp;D3660</f>
        <v>AGUSTUS-MJ2-L2</v>
      </c>
    </row>
    <row r="3661" spans="1:17" x14ac:dyDescent="0.25">
      <c r="A3661" t="s">
        <v>398</v>
      </c>
      <c r="B3661" s="13" t="s">
        <v>26</v>
      </c>
      <c r="C3661" s="13" t="s">
        <v>226</v>
      </c>
      <c r="D3661" s="14" t="s">
        <v>50</v>
      </c>
      <c r="E3661" s="13" t="s">
        <v>61</v>
      </c>
      <c r="F3661" s="13" t="s">
        <v>1397</v>
      </c>
      <c r="G3661" s="13">
        <v>0.66</v>
      </c>
      <c r="H3661" s="15">
        <v>491</v>
      </c>
      <c r="I3661" s="16">
        <v>324.06</v>
      </c>
      <c r="J3661" s="16">
        <v>336.85403149606299</v>
      </c>
      <c r="K3661" s="16">
        <v>-12.794031496062981</v>
      </c>
      <c r="L3661" s="13">
        <v>1.98</v>
      </c>
      <c r="M3661" s="13"/>
      <c r="N3661" s="17">
        <f t="shared" si="121"/>
        <v>972.18</v>
      </c>
      <c r="O3661" s="17">
        <f t="shared" si="121"/>
        <v>0</v>
      </c>
      <c r="P3661" s="17">
        <f t="shared" si="122"/>
        <v>972.18</v>
      </c>
      <c r="Q3661" t="str">
        <f>A3661&amp;"-"&amp;B3661&amp;"-"&amp;D3661</f>
        <v>AGUSTUS-MJ2-L2</v>
      </c>
    </row>
    <row r="3662" spans="1:17" x14ac:dyDescent="0.25">
      <c r="A3662" t="s">
        <v>398</v>
      </c>
      <c r="B3662" s="13" t="s">
        <v>26</v>
      </c>
      <c r="C3662" s="13" t="s">
        <v>226</v>
      </c>
      <c r="D3662" s="14" t="s">
        <v>50</v>
      </c>
      <c r="E3662" s="13" t="s">
        <v>61</v>
      </c>
      <c r="F3662" s="13" t="s">
        <v>1390</v>
      </c>
      <c r="G3662" s="13">
        <v>0.65</v>
      </c>
      <c r="H3662" s="15">
        <v>6480</v>
      </c>
      <c r="I3662" s="16">
        <v>4212</v>
      </c>
      <c r="J3662" s="16">
        <v>4054.2463150582562</v>
      </c>
      <c r="K3662" s="16">
        <v>157.75368494174393</v>
      </c>
      <c r="L3662" s="13">
        <v>1.66</v>
      </c>
      <c r="M3662" s="13"/>
      <c r="N3662" s="17">
        <f t="shared" si="121"/>
        <v>10756.8</v>
      </c>
      <c r="O3662" s="17">
        <f t="shared" si="121"/>
        <v>0</v>
      </c>
      <c r="P3662" s="17">
        <f t="shared" si="122"/>
        <v>10756.8</v>
      </c>
      <c r="Q3662" t="str">
        <f>A3662&amp;"-"&amp;B3662&amp;"-"&amp;D3662</f>
        <v>AGUSTUS-MJ2-L2</v>
      </c>
    </row>
    <row r="3663" spans="1:17" x14ac:dyDescent="0.25">
      <c r="A3663" t="s">
        <v>398</v>
      </c>
      <c r="B3663" s="13" t="s">
        <v>26</v>
      </c>
      <c r="C3663" s="13" t="s">
        <v>226</v>
      </c>
      <c r="D3663" s="14" t="s">
        <v>56</v>
      </c>
      <c r="E3663" s="13" t="s">
        <v>61</v>
      </c>
      <c r="F3663" s="13" t="s">
        <v>1391</v>
      </c>
      <c r="G3663" s="13">
        <v>0.65</v>
      </c>
      <c r="H3663" s="15">
        <v>8265</v>
      </c>
      <c r="I3663" s="16">
        <v>5372.2499999999991</v>
      </c>
      <c r="J3663" s="16">
        <v>6437.7236662751056</v>
      </c>
      <c r="K3663" s="16">
        <v>-1065.473666275107</v>
      </c>
      <c r="L3663" s="13">
        <v>1.72</v>
      </c>
      <c r="M3663" s="13"/>
      <c r="N3663" s="17">
        <f t="shared" si="121"/>
        <v>14215.8</v>
      </c>
      <c r="O3663" s="17">
        <f t="shared" si="121"/>
        <v>0</v>
      </c>
      <c r="P3663" s="17">
        <f t="shared" si="122"/>
        <v>14215.8</v>
      </c>
      <c r="Q3663" t="str">
        <f>A3663&amp;"-"&amp;B3663&amp;"-"&amp;D3663</f>
        <v>AGUSTUS-MJ2-L3</v>
      </c>
    </row>
    <row r="3664" spans="1:17" x14ac:dyDescent="0.25">
      <c r="A3664" t="s">
        <v>398</v>
      </c>
      <c r="B3664" s="13" t="s">
        <v>26</v>
      </c>
      <c r="C3664" s="13" t="s">
        <v>226</v>
      </c>
      <c r="D3664" s="14" t="s">
        <v>56</v>
      </c>
      <c r="E3664" s="13" t="s">
        <v>61</v>
      </c>
      <c r="F3664" s="13" t="s">
        <v>1392</v>
      </c>
      <c r="G3664" s="13">
        <v>0.65</v>
      </c>
      <c r="H3664" s="15">
        <v>810</v>
      </c>
      <c r="I3664" s="16">
        <v>526.5</v>
      </c>
      <c r="J3664" s="16">
        <v>925.0200000000001</v>
      </c>
      <c r="K3664" s="16">
        <v>-398.5200000000001</v>
      </c>
      <c r="L3664" s="13">
        <v>1.72</v>
      </c>
      <c r="M3664" s="13"/>
      <c r="N3664" s="17">
        <f t="shared" si="121"/>
        <v>1393.2</v>
      </c>
      <c r="O3664" s="17">
        <f t="shared" si="121"/>
        <v>0</v>
      </c>
      <c r="P3664" s="17">
        <f t="shared" si="122"/>
        <v>1393.2</v>
      </c>
      <c r="Q3664" t="str">
        <f>A3664&amp;"-"&amp;B3664&amp;"-"&amp;D3664</f>
        <v>AGUSTUS-MJ2-L3</v>
      </c>
    </row>
    <row r="3665" spans="1:17" x14ac:dyDescent="0.25">
      <c r="A3665" t="s">
        <v>398</v>
      </c>
      <c r="B3665" s="13" t="s">
        <v>26</v>
      </c>
      <c r="C3665" s="13" t="s">
        <v>226</v>
      </c>
      <c r="D3665" s="14" t="s">
        <v>56</v>
      </c>
      <c r="E3665" s="13" t="s">
        <v>61</v>
      </c>
      <c r="F3665" s="13" t="s">
        <v>1212</v>
      </c>
      <c r="G3665" s="13">
        <v>0.80000000000000016</v>
      </c>
      <c r="H3665" s="15">
        <v>246</v>
      </c>
      <c r="I3665" s="16">
        <v>196.79999999999998</v>
      </c>
      <c r="J3665" s="16">
        <v>145.70284506833102</v>
      </c>
      <c r="K3665" s="16">
        <v>51.097154931668996</v>
      </c>
      <c r="L3665" s="13">
        <v>2.1</v>
      </c>
      <c r="M3665" s="13"/>
      <c r="N3665" s="17">
        <f t="shared" si="121"/>
        <v>516.6</v>
      </c>
      <c r="O3665" s="17">
        <f t="shared" si="121"/>
        <v>0</v>
      </c>
      <c r="P3665" s="17">
        <f t="shared" si="122"/>
        <v>516.6</v>
      </c>
      <c r="Q3665" t="str">
        <f>A3665&amp;"-"&amp;B3665&amp;"-"&amp;D3665</f>
        <v>AGUSTUS-MJ2-L3</v>
      </c>
    </row>
    <row r="3666" spans="1:17" x14ac:dyDescent="0.25">
      <c r="A3666" t="s">
        <v>398</v>
      </c>
      <c r="B3666" s="13" t="s">
        <v>26</v>
      </c>
      <c r="C3666" s="13" t="s">
        <v>226</v>
      </c>
      <c r="D3666" s="14" t="s">
        <v>56</v>
      </c>
      <c r="E3666" s="13" t="s">
        <v>61</v>
      </c>
      <c r="F3666" s="13" t="s">
        <v>1214</v>
      </c>
      <c r="G3666" s="13">
        <v>0.79999999999999993</v>
      </c>
      <c r="H3666" s="15">
        <v>2354</v>
      </c>
      <c r="I3666" s="16">
        <v>1883.2</v>
      </c>
      <c r="J3666" s="16">
        <v>1412.488671484801</v>
      </c>
      <c r="K3666" s="16">
        <v>470.71132851519917</v>
      </c>
      <c r="L3666" s="13">
        <v>2.1</v>
      </c>
      <c r="M3666" s="13"/>
      <c r="N3666" s="17">
        <f t="shared" si="121"/>
        <v>4943.4000000000005</v>
      </c>
      <c r="O3666" s="17">
        <f t="shared" si="121"/>
        <v>0</v>
      </c>
      <c r="P3666" s="17">
        <f t="shared" si="122"/>
        <v>4943.4000000000005</v>
      </c>
      <c r="Q3666" t="str">
        <f>A3666&amp;"-"&amp;B3666&amp;"-"&amp;D3666</f>
        <v>AGUSTUS-MJ2-L3</v>
      </c>
    </row>
    <row r="3667" spans="1:17" x14ac:dyDescent="0.25">
      <c r="A3667" t="s">
        <v>398</v>
      </c>
      <c r="B3667" s="13" t="s">
        <v>26</v>
      </c>
      <c r="C3667" s="13" t="s">
        <v>226</v>
      </c>
      <c r="D3667" s="14" t="s">
        <v>56</v>
      </c>
      <c r="E3667" s="13" t="s">
        <v>61</v>
      </c>
      <c r="F3667" s="13" t="s">
        <v>1215</v>
      </c>
      <c r="G3667" s="13">
        <v>0.7</v>
      </c>
      <c r="H3667" s="15">
        <v>2998</v>
      </c>
      <c r="I3667" s="16">
        <v>2098.6</v>
      </c>
      <c r="J3667" s="16">
        <v>1966.4222688263417</v>
      </c>
      <c r="K3667" s="16">
        <v>132.17773117365823</v>
      </c>
      <c r="L3667" s="13">
        <v>1.3</v>
      </c>
      <c r="M3667" s="13"/>
      <c r="N3667" s="17">
        <f t="shared" si="121"/>
        <v>3897.4</v>
      </c>
      <c r="O3667" s="17">
        <f t="shared" si="121"/>
        <v>0</v>
      </c>
      <c r="P3667" s="17">
        <f t="shared" si="122"/>
        <v>3897.4</v>
      </c>
      <c r="Q3667" t="str">
        <f>A3667&amp;"-"&amp;B3667&amp;"-"&amp;D3667</f>
        <v>AGUSTUS-MJ2-L3</v>
      </c>
    </row>
    <row r="3668" spans="1:17" x14ac:dyDescent="0.25">
      <c r="A3668" t="s">
        <v>398</v>
      </c>
      <c r="B3668" s="13" t="s">
        <v>26</v>
      </c>
      <c r="C3668" s="13" t="s">
        <v>226</v>
      </c>
      <c r="D3668" s="14" t="s">
        <v>56</v>
      </c>
      <c r="E3668" s="13" t="s">
        <v>61</v>
      </c>
      <c r="F3668" s="13" t="s">
        <v>1217</v>
      </c>
      <c r="G3668" s="13">
        <v>0.7</v>
      </c>
      <c r="H3668" s="15">
        <v>149</v>
      </c>
      <c r="I3668" s="16">
        <v>104.30000000000001</v>
      </c>
      <c r="J3668" s="16">
        <v>118.94903558794925</v>
      </c>
      <c r="K3668" s="16">
        <v>-14.649035587949246</v>
      </c>
      <c r="L3668" s="13">
        <v>1.3</v>
      </c>
      <c r="M3668" s="13"/>
      <c r="N3668" s="17">
        <f t="shared" si="121"/>
        <v>193.70000000000002</v>
      </c>
      <c r="O3668" s="17">
        <f t="shared" si="121"/>
        <v>0</v>
      </c>
      <c r="P3668" s="17">
        <f t="shared" si="122"/>
        <v>193.70000000000002</v>
      </c>
      <c r="Q3668" t="str">
        <f>A3668&amp;"-"&amp;B3668&amp;"-"&amp;D3668</f>
        <v>AGUSTUS-MJ2-L3</v>
      </c>
    </row>
    <row r="3669" spans="1:17" x14ac:dyDescent="0.25">
      <c r="A3669" t="s">
        <v>398</v>
      </c>
      <c r="B3669" s="13" t="s">
        <v>26</v>
      </c>
      <c r="C3669" s="13" t="s">
        <v>226</v>
      </c>
      <c r="D3669" s="14" t="s">
        <v>56</v>
      </c>
      <c r="E3669" s="13" t="s">
        <v>61</v>
      </c>
      <c r="F3669" s="13" t="s">
        <v>1393</v>
      </c>
      <c r="G3669" s="13">
        <v>0.65</v>
      </c>
      <c r="H3669" s="15">
        <v>2892</v>
      </c>
      <c r="I3669" s="16">
        <v>1879.8</v>
      </c>
      <c r="J3669" s="16">
        <v>2181.8074966219287</v>
      </c>
      <c r="K3669" s="16">
        <v>-302.00749662192931</v>
      </c>
      <c r="L3669" s="13">
        <v>1.72</v>
      </c>
      <c r="M3669" s="13"/>
      <c r="N3669" s="17">
        <f t="shared" si="121"/>
        <v>4974.24</v>
      </c>
      <c r="O3669" s="17">
        <f t="shared" si="121"/>
        <v>0</v>
      </c>
      <c r="P3669" s="17">
        <f t="shared" si="122"/>
        <v>4974.24</v>
      </c>
      <c r="Q3669" t="str">
        <f>A3669&amp;"-"&amp;B3669&amp;"-"&amp;D3669</f>
        <v>AGUSTUS-MJ2-L3</v>
      </c>
    </row>
    <row r="3670" spans="1:17" x14ac:dyDescent="0.25">
      <c r="A3670" t="s">
        <v>398</v>
      </c>
      <c r="B3670" s="13" t="s">
        <v>26</v>
      </c>
      <c r="C3670" s="13" t="s">
        <v>226</v>
      </c>
      <c r="D3670" s="14" t="s">
        <v>56</v>
      </c>
      <c r="E3670" s="13" t="s">
        <v>61</v>
      </c>
      <c r="F3670" s="13" t="s">
        <v>1394</v>
      </c>
      <c r="G3670" s="13">
        <v>0.67999999999999994</v>
      </c>
      <c r="H3670" s="15">
        <v>6681</v>
      </c>
      <c r="I3670" s="16">
        <v>4543.08</v>
      </c>
      <c r="J3670" s="16">
        <v>4368.9795458339759</v>
      </c>
      <c r="K3670" s="16">
        <v>174.10045416602412</v>
      </c>
      <c r="L3670" s="13">
        <v>1.83</v>
      </c>
      <c r="M3670" s="13"/>
      <c r="N3670" s="17">
        <f t="shared" si="121"/>
        <v>12226.230000000001</v>
      </c>
      <c r="O3670" s="17">
        <f t="shared" si="121"/>
        <v>0</v>
      </c>
      <c r="P3670" s="17">
        <f t="shared" si="122"/>
        <v>12226.230000000001</v>
      </c>
      <c r="Q3670" t="str">
        <f>A3670&amp;"-"&amp;B3670&amp;"-"&amp;D3670</f>
        <v>AGUSTUS-MJ2-L3</v>
      </c>
    </row>
    <row r="3671" spans="1:17" x14ac:dyDescent="0.25">
      <c r="A3671" t="s">
        <v>398</v>
      </c>
      <c r="B3671" s="13" t="s">
        <v>26</v>
      </c>
      <c r="C3671" s="13" t="s">
        <v>226</v>
      </c>
      <c r="D3671" s="14" t="s">
        <v>56</v>
      </c>
      <c r="E3671" s="13" t="s">
        <v>61</v>
      </c>
      <c r="F3671" s="13" t="s">
        <v>1395</v>
      </c>
      <c r="G3671" s="13">
        <v>0.66</v>
      </c>
      <c r="H3671" s="15">
        <v>340</v>
      </c>
      <c r="I3671" s="16">
        <v>224.4</v>
      </c>
      <c r="J3671" s="16">
        <v>217.28174703166894</v>
      </c>
      <c r="K3671" s="16">
        <v>7.1182529683310776</v>
      </c>
      <c r="L3671" s="13">
        <v>1.98</v>
      </c>
      <c r="M3671" s="13"/>
      <c r="N3671" s="17">
        <f t="shared" si="121"/>
        <v>673.2</v>
      </c>
      <c r="O3671" s="17">
        <f t="shared" si="121"/>
        <v>0</v>
      </c>
      <c r="P3671" s="17">
        <f t="shared" si="122"/>
        <v>673.2</v>
      </c>
      <c r="Q3671" t="str">
        <f>A3671&amp;"-"&amp;B3671&amp;"-"&amp;D3671</f>
        <v>AGUSTUS-MJ2-L3</v>
      </c>
    </row>
    <row r="3672" spans="1:17" x14ac:dyDescent="0.25">
      <c r="A3672" t="s">
        <v>398</v>
      </c>
      <c r="B3672" s="13" t="s">
        <v>26</v>
      </c>
      <c r="C3672" s="13" t="s">
        <v>226</v>
      </c>
      <c r="D3672" s="14" t="s">
        <v>56</v>
      </c>
      <c r="E3672" s="13" t="s">
        <v>61</v>
      </c>
      <c r="F3672" s="13" t="s">
        <v>1396</v>
      </c>
      <c r="G3672" s="13">
        <v>0.68</v>
      </c>
      <c r="H3672" s="15">
        <v>4472</v>
      </c>
      <c r="I3672" s="16">
        <v>3040.96</v>
      </c>
      <c r="J3672" s="16">
        <v>2959.9051446168505</v>
      </c>
      <c r="K3672" s="16">
        <v>81.054855383149444</v>
      </c>
      <c r="L3672" s="13">
        <v>1.83</v>
      </c>
      <c r="M3672" s="13"/>
      <c r="N3672" s="17">
        <f t="shared" si="121"/>
        <v>8183.76</v>
      </c>
      <c r="O3672" s="17">
        <f t="shared" si="121"/>
        <v>0</v>
      </c>
      <c r="P3672" s="17">
        <f t="shared" si="122"/>
        <v>8183.76</v>
      </c>
      <c r="Q3672" t="str">
        <f>A3672&amp;"-"&amp;B3672&amp;"-"&amp;D3672</f>
        <v>AGUSTUS-MJ2-L3</v>
      </c>
    </row>
    <row r="3673" spans="1:17" x14ac:dyDescent="0.25">
      <c r="A3673" t="s">
        <v>398</v>
      </c>
      <c r="B3673" s="13" t="s">
        <v>26</v>
      </c>
      <c r="C3673" s="13" t="s">
        <v>226</v>
      </c>
      <c r="D3673" s="14" t="s">
        <v>56</v>
      </c>
      <c r="E3673" s="13" t="s">
        <v>61</v>
      </c>
      <c r="F3673" s="13" t="s">
        <v>1397</v>
      </c>
      <c r="G3673" s="13">
        <v>0.66</v>
      </c>
      <c r="H3673" s="15">
        <v>489</v>
      </c>
      <c r="I3673" s="16">
        <v>322.74</v>
      </c>
      <c r="J3673" s="16">
        <v>335.231304445695</v>
      </c>
      <c r="K3673" s="16">
        <v>-12.491304445695029</v>
      </c>
      <c r="L3673" s="13">
        <v>1.98</v>
      </c>
      <c r="M3673" s="13"/>
      <c r="N3673" s="17">
        <f t="shared" si="121"/>
        <v>968.22</v>
      </c>
      <c r="O3673" s="17">
        <f t="shared" si="121"/>
        <v>0</v>
      </c>
      <c r="P3673" s="17">
        <f t="shared" si="122"/>
        <v>968.22</v>
      </c>
      <c r="Q3673" t="str">
        <f>A3673&amp;"-"&amp;B3673&amp;"-"&amp;D3673</f>
        <v>AGUSTUS-MJ2-L3</v>
      </c>
    </row>
    <row r="3674" spans="1:17" x14ac:dyDescent="0.25">
      <c r="A3674" t="s">
        <v>398</v>
      </c>
      <c r="B3674" s="13" t="s">
        <v>26</v>
      </c>
      <c r="C3674" s="13" t="s">
        <v>226</v>
      </c>
      <c r="D3674" s="14" t="s">
        <v>56</v>
      </c>
      <c r="E3674" s="13" t="s">
        <v>61</v>
      </c>
      <c r="F3674" s="13" t="s">
        <v>1390</v>
      </c>
      <c r="G3674" s="13">
        <v>0.65</v>
      </c>
      <c r="H3674" s="15">
        <v>6480</v>
      </c>
      <c r="I3674" s="16">
        <v>4212</v>
      </c>
      <c r="J3674" s="16">
        <v>4054.488274207351</v>
      </c>
      <c r="K3674" s="16">
        <v>157.51172579264951</v>
      </c>
      <c r="L3674" s="13">
        <v>1.66</v>
      </c>
      <c r="M3674" s="13"/>
      <c r="N3674" s="17">
        <f t="shared" si="121"/>
        <v>10756.8</v>
      </c>
      <c r="O3674" s="17">
        <f t="shared" si="121"/>
        <v>0</v>
      </c>
      <c r="P3674" s="17">
        <f t="shared" si="122"/>
        <v>10756.8</v>
      </c>
      <c r="Q3674" t="str">
        <f>A3674&amp;"-"&amp;B3674&amp;"-"&amp;D3674</f>
        <v>AGUSTUS-MJ2-L3</v>
      </c>
    </row>
    <row r="3675" spans="1:17" x14ac:dyDescent="0.25">
      <c r="A3675" t="s">
        <v>398</v>
      </c>
      <c r="B3675" s="13" t="s">
        <v>26</v>
      </c>
      <c r="C3675" s="13" t="s">
        <v>226</v>
      </c>
      <c r="D3675" s="14" t="s">
        <v>158</v>
      </c>
      <c r="E3675" s="13" t="s">
        <v>61</v>
      </c>
      <c r="F3675" s="13" t="s">
        <v>1398</v>
      </c>
      <c r="G3675" s="13">
        <v>0.7599999999999999</v>
      </c>
      <c r="H3675" s="15">
        <v>638</v>
      </c>
      <c r="I3675" s="16">
        <v>484.88000000000011</v>
      </c>
      <c r="J3675" s="16">
        <v>437.07075980187989</v>
      </c>
      <c r="K3675" s="16">
        <v>47.80924019812015</v>
      </c>
      <c r="L3675" s="13">
        <v>2</v>
      </c>
      <c r="M3675" s="13"/>
      <c r="N3675" s="17">
        <f t="shared" si="121"/>
        <v>1276</v>
      </c>
      <c r="O3675" s="17">
        <f t="shared" si="121"/>
        <v>0</v>
      </c>
      <c r="P3675" s="17">
        <f t="shared" si="122"/>
        <v>1276</v>
      </c>
      <c r="Q3675" t="str">
        <f>A3675&amp;"-"&amp;B3675&amp;"-"&amp;D3675</f>
        <v>AGUSTUS-MJ2-L4</v>
      </c>
    </row>
    <row r="3676" spans="1:17" x14ac:dyDescent="0.25">
      <c r="A3676" t="s">
        <v>398</v>
      </c>
      <c r="B3676" s="13" t="s">
        <v>26</v>
      </c>
      <c r="C3676" s="13" t="s">
        <v>226</v>
      </c>
      <c r="D3676" s="14" t="s">
        <v>158</v>
      </c>
      <c r="E3676" s="13" t="s">
        <v>61</v>
      </c>
      <c r="F3676" s="13" t="s">
        <v>1399</v>
      </c>
      <c r="G3676" s="13">
        <v>0.7599999999999999</v>
      </c>
      <c r="H3676" s="15">
        <v>7012</v>
      </c>
      <c r="I3676" s="16">
        <v>5329.12</v>
      </c>
      <c r="J3676" s="16">
        <v>4611.2529011562165</v>
      </c>
      <c r="K3676" s="16">
        <v>717.86709884378308</v>
      </c>
      <c r="L3676" s="13">
        <v>2</v>
      </c>
      <c r="M3676" s="13"/>
      <c r="N3676" s="17">
        <f t="shared" si="121"/>
        <v>14024</v>
      </c>
      <c r="O3676" s="17">
        <f t="shared" si="121"/>
        <v>0</v>
      </c>
      <c r="P3676" s="17">
        <f t="shared" si="122"/>
        <v>14024</v>
      </c>
      <c r="Q3676" t="str">
        <f>A3676&amp;"-"&amp;B3676&amp;"-"&amp;D3676</f>
        <v>AGUSTUS-MJ2-L4</v>
      </c>
    </row>
    <row r="3677" spans="1:17" x14ac:dyDescent="0.25">
      <c r="A3677" t="s">
        <v>398</v>
      </c>
      <c r="B3677" s="13" t="s">
        <v>26</v>
      </c>
      <c r="C3677" s="13" t="s">
        <v>226</v>
      </c>
      <c r="D3677" s="14" t="s">
        <v>158</v>
      </c>
      <c r="E3677" s="13" t="s">
        <v>61</v>
      </c>
      <c r="F3677" s="13" t="s">
        <v>1400</v>
      </c>
      <c r="G3677" s="13">
        <v>0.74</v>
      </c>
      <c r="H3677" s="15">
        <v>316</v>
      </c>
      <c r="I3677" s="16">
        <v>233.84</v>
      </c>
      <c r="J3677" s="16">
        <v>204.00904054054052</v>
      </c>
      <c r="K3677" s="16">
        <v>29.830959459459486</v>
      </c>
      <c r="L3677" s="13">
        <v>2.17</v>
      </c>
      <c r="M3677" s="13"/>
      <c r="N3677" s="17">
        <f t="shared" si="121"/>
        <v>685.72</v>
      </c>
      <c r="O3677" s="17">
        <f t="shared" si="121"/>
        <v>0</v>
      </c>
      <c r="P3677" s="17">
        <f t="shared" si="122"/>
        <v>685.72</v>
      </c>
      <c r="Q3677" t="str">
        <f>A3677&amp;"-"&amp;B3677&amp;"-"&amp;D3677</f>
        <v>AGUSTUS-MJ2-L4</v>
      </c>
    </row>
    <row r="3678" spans="1:17" x14ac:dyDescent="0.25">
      <c r="A3678" t="s">
        <v>398</v>
      </c>
      <c r="B3678" s="13" t="s">
        <v>26</v>
      </c>
      <c r="C3678" s="13" t="s">
        <v>226</v>
      </c>
      <c r="D3678" s="14" t="s">
        <v>158</v>
      </c>
      <c r="E3678" s="13" t="s">
        <v>61</v>
      </c>
      <c r="F3678" s="13" t="s">
        <v>1401</v>
      </c>
      <c r="G3678" s="13">
        <v>0.76000000000000012</v>
      </c>
      <c r="H3678" s="15">
        <v>1646</v>
      </c>
      <c r="I3678" s="16">
        <v>1250.9600000000003</v>
      </c>
      <c r="J3678" s="16">
        <v>1013.8020958131383</v>
      </c>
      <c r="K3678" s="16">
        <v>237.15790418686174</v>
      </c>
      <c r="L3678" s="13">
        <v>2</v>
      </c>
      <c r="M3678" s="13"/>
      <c r="N3678" s="17">
        <f t="shared" si="121"/>
        <v>3292</v>
      </c>
      <c r="O3678" s="17">
        <f t="shared" si="121"/>
        <v>0</v>
      </c>
      <c r="P3678" s="17">
        <f t="shared" si="122"/>
        <v>3292</v>
      </c>
      <c r="Q3678" t="str">
        <f>A3678&amp;"-"&amp;B3678&amp;"-"&amp;D3678</f>
        <v>AGUSTUS-MJ2-L4</v>
      </c>
    </row>
    <row r="3679" spans="1:17" x14ac:dyDescent="0.25">
      <c r="A3679" t="s">
        <v>398</v>
      </c>
      <c r="B3679" s="13" t="s">
        <v>26</v>
      </c>
      <c r="C3679" s="13" t="s">
        <v>226</v>
      </c>
      <c r="D3679" s="14" t="s">
        <v>158</v>
      </c>
      <c r="E3679" s="13" t="s">
        <v>61</v>
      </c>
      <c r="F3679" s="13" t="s">
        <v>1402</v>
      </c>
      <c r="G3679" s="13">
        <v>0.74</v>
      </c>
      <c r="H3679" s="15">
        <v>11</v>
      </c>
      <c r="I3679" s="16">
        <v>8.14</v>
      </c>
      <c r="J3679" s="16">
        <v>6.3110830800405271</v>
      </c>
      <c r="K3679" s="16">
        <v>1.8289169199594726</v>
      </c>
      <c r="L3679" s="13">
        <v>2.17</v>
      </c>
      <c r="M3679" s="13"/>
      <c r="N3679" s="17">
        <f t="shared" si="121"/>
        <v>23.869999999999997</v>
      </c>
      <c r="O3679" s="17">
        <f t="shared" si="121"/>
        <v>0</v>
      </c>
      <c r="P3679" s="17">
        <f t="shared" si="122"/>
        <v>23.869999999999997</v>
      </c>
      <c r="Q3679" t="str">
        <f>A3679&amp;"-"&amp;B3679&amp;"-"&amp;D3679</f>
        <v>AGUSTUS-MJ2-L4</v>
      </c>
    </row>
    <row r="3680" spans="1:17" x14ac:dyDescent="0.25">
      <c r="A3680" t="s">
        <v>398</v>
      </c>
      <c r="B3680" s="13" t="s">
        <v>26</v>
      </c>
      <c r="C3680" s="13" t="s">
        <v>226</v>
      </c>
      <c r="D3680" s="14" t="s">
        <v>158</v>
      </c>
      <c r="E3680" s="13" t="s">
        <v>61</v>
      </c>
      <c r="F3680" s="13" t="s">
        <v>1403</v>
      </c>
      <c r="G3680" s="13">
        <v>0.7599999999999999</v>
      </c>
      <c r="H3680" s="15">
        <v>3900</v>
      </c>
      <c r="I3680" s="16">
        <v>2964</v>
      </c>
      <c r="J3680" s="16">
        <v>2599.3556742234036</v>
      </c>
      <c r="K3680" s="16">
        <v>364.64432577659642</v>
      </c>
      <c r="L3680" s="13">
        <v>2</v>
      </c>
      <c r="M3680" s="13"/>
      <c r="N3680" s="17">
        <f t="shared" si="121"/>
        <v>7800</v>
      </c>
      <c r="O3680" s="17">
        <f t="shared" si="121"/>
        <v>0</v>
      </c>
      <c r="P3680" s="17">
        <f t="shared" si="122"/>
        <v>7800</v>
      </c>
      <c r="Q3680" t="str">
        <f>A3680&amp;"-"&amp;B3680&amp;"-"&amp;D3680</f>
        <v>AGUSTUS-MJ2-L4</v>
      </c>
    </row>
    <row r="3681" spans="1:17" x14ac:dyDescent="0.25">
      <c r="A3681" t="s">
        <v>398</v>
      </c>
      <c r="B3681" s="13" t="s">
        <v>26</v>
      </c>
      <c r="C3681" s="13" t="s">
        <v>226</v>
      </c>
      <c r="D3681" s="14" t="s">
        <v>158</v>
      </c>
      <c r="E3681" s="13" t="s">
        <v>61</v>
      </c>
      <c r="F3681" s="13" t="s">
        <v>1404</v>
      </c>
      <c r="G3681" s="13">
        <v>0.74</v>
      </c>
      <c r="H3681" s="15">
        <v>84</v>
      </c>
      <c r="I3681" s="16">
        <v>62.16</v>
      </c>
      <c r="J3681" s="16">
        <v>48.191656290898429</v>
      </c>
      <c r="K3681" s="16">
        <v>13.968343709101573</v>
      </c>
      <c r="L3681" s="13">
        <v>2.17</v>
      </c>
      <c r="M3681" s="13"/>
      <c r="N3681" s="17">
        <f t="shared" si="121"/>
        <v>182.28</v>
      </c>
      <c r="O3681" s="17">
        <f t="shared" si="121"/>
        <v>0</v>
      </c>
      <c r="P3681" s="17">
        <f t="shared" si="122"/>
        <v>182.28</v>
      </c>
      <c r="Q3681" t="str">
        <f>A3681&amp;"-"&amp;B3681&amp;"-"&amp;D3681</f>
        <v>AGUSTUS-MJ2-L4</v>
      </c>
    </row>
    <row r="3682" spans="1:17" x14ac:dyDescent="0.25">
      <c r="A3682" t="s">
        <v>398</v>
      </c>
      <c r="B3682" s="13" t="s">
        <v>26</v>
      </c>
      <c r="C3682" s="13" t="s">
        <v>226</v>
      </c>
      <c r="D3682" s="14" t="s">
        <v>158</v>
      </c>
      <c r="E3682" s="13" t="s">
        <v>61</v>
      </c>
      <c r="F3682" s="13" t="s">
        <v>1405</v>
      </c>
      <c r="G3682" s="13">
        <v>0.8</v>
      </c>
      <c r="H3682" s="15">
        <v>6259</v>
      </c>
      <c r="I3682" s="16">
        <v>5007.2</v>
      </c>
      <c r="J3682" s="16">
        <v>4262.0041169253482</v>
      </c>
      <c r="K3682" s="16">
        <v>745.19588307465187</v>
      </c>
      <c r="L3682" s="13">
        <v>2.1</v>
      </c>
      <c r="M3682" s="13"/>
      <c r="N3682" s="17">
        <f t="shared" si="121"/>
        <v>13143.900000000001</v>
      </c>
      <c r="O3682" s="17">
        <f t="shared" si="121"/>
        <v>0</v>
      </c>
      <c r="P3682" s="17">
        <f t="shared" si="122"/>
        <v>13143.900000000001</v>
      </c>
      <c r="Q3682" t="str">
        <f>A3682&amp;"-"&amp;B3682&amp;"-"&amp;D3682</f>
        <v>AGUSTUS-MJ2-L4</v>
      </c>
    </row>
    <row r="3683" spans="1:17" x14ac:dyDescent="0.25">
      <c r="A3683" t="s">
        <v>398</v>
      </c>
      <c r="B3683" s="13" t="s">
        <v>26</v>
      </c>
      <c r="C3683" s="13" t="s">
        <v>226</v>
      </c>
      <c r="D3683" s="14" t="s">
        <v>158</v>
      </c>
      <c r="E3683" s="13" t="s">
        <v>61</v>
      </c>
      <c r="F3683" s="13" t="s">
        <v>1406</v>
      </c>
      <c r="G3683" s="13">
        <v>0.8</v>
      </c>
      <c r="H3683" s="15">
        <v>37</v>
      </c>
      <c r="I3683" s="16">
        <v>29.6</v>
      </c>
      <c r="J3683" s="16">
        <v>25.859241126070991</v>
      </c>
      <c r="K3683" s="16">
        <v>3.7407588739290105</v>
      </c>
      <c r="L3683" s="13">
        <v>2.1</v>
      </c>
      <c r="M3683" s="13"/>
      <c r="N3683" s="17">
        <f t="shared" si="121"/>
        <v>77.7</v>
      </c>
      <c r="O3683" s="17">
        <f t="shared" si="121"/>
        <v>0</v>
      </c>
      <c r="P3683" s="17">
        <f t="shared" si="122"/>
        <v>77.7</v>
      </c>
      <c r="Q3683" t="str">
        <f>A3683&amp;"-"&amp;B3683&amp;"-"&amp;D3683</f>
        <v>AGUSTUS-MJ2-L4</v>
      </c>
    </row>
    <row r="3684" spans="1:17" x14ac:dyDescent="0.25">
      <c r="A3684" t="s">
        <v>398</v>
      </c>
      <c r="B3684" s="13" t="s">
        <v>26</v>
      </c>
      <c r="C3684" s="13" t="s">
        <v>226</v>
      </c>
      <c r="D3684" s="14" t="s">
        <v>158</v>
      </c>
      <c r="E3684" s="13" t="s">
        <v>61</v>
      </c>
      <c r="F3684" s="13" t="s">
        <v>1407</v>
      </c>
      <c r="G3684" s="13">
        <v>0.72</v>
      </c>
      <c r="H3684" s="15">
        <v>1723</v>
      </c>
      <c r="I3684" s="16">
        <v>1240.56</v>
      </c>
      <c r="J3684" s="16">
        <v>1142</v>
      </c>
      <c r="K3684" s="16">
        <v>98.559999999999945</v>
      </c>
      <c r="L3684" s="13">
        <v>1.36</v>
      </c>
      <c r="M3684" s="13"/>
      <c r="N3684" s="17">
        <f t="shared" si="121"/>
        <v>2343.2800000000002</v>
      </c>
      <c r="O3684" s="17">
        <f t="shared" si="121"/>
        <v>0</v>
      </c>
      <c r="P3684" s="17">
        <f t="shared" si="122"/>
        <v>2343.2800000000002</v>
      </c>
      <c r="Q3684" t="str">
        <f>A3684&amp;"-"&amp;B3684&amp;"-"&amp;D3684</f>
        <v>AGUSTUS-MJ2-L4</v>
      </c>
    </row>
    <row r="3685" spans="1:17" x14ac:dyDescent="0.25">
      <c r="A3685" t="s">
        <v>398</v>
      </c>
      <c r="B3685" s="13" t="s">
        <v>26</v>
      </c>
      <c r="C3685" s="13" t="s">
        <v>226</v>
      </c>
      <c r="D3685" s="14" t="s">
        <v>158</v>
      </c>
      <c r="E3685" s="13" t="s">
        <v>61</v>
      </c>
      <c r="F3685" s="13" t="s">
        <v>1222</v>
      </c>
      <c r="G3685" s="13">
        <v>0.72</v>
      </c>
      <c r="H3685" s="15">
        <v>7</v>
      </c>
      <c r="I3685" s="16">
        <v>5.04</v>
      </c>
      <c r="J3685" s="16">
        <v>3.9672456575682382</v>
      </c>
      <c r="K3685" s="16">
        <v>1.0727543424317618</v>
      </c>
      <c r="L3685" s="13">
        <v>1.36</v>
      </c>
      <c r="M3685" s="13"/>
      <c r="N3685" s="17">
        <f t="shared" si="121"/>
        <v>9.5200000000000014</v>
      </c>
      <c r="O3685" s="17">
        <f t="shared" si="121"/>
        <v>0</v>
      </c>
      <c r="P3685" s="17">
        <f t="shared" si="122"/>
        <v>9.5200000000000014</v>
      </c>
      <c r="Q3685" t="str">
        <f>A3685&amp;"-"&amp;B3685&amp;"-"&amp;D3685</f>
        <v>AGUSTUS-MJ2-L4</v>
      </c>
    </row>
    <row r="3686" spans="1:17" x14ac:dyDescent="0.25">
      <c r="A3686" t="s">
        <v>398</v>
      </c>
      <c r="B3686" s="13" t="s">
        <v>26</v>
      </c>
      <c r="C3686" s="13" t="s">
        <v>226</v>
      </c>
      <c r="D3686" s="14" t="s">
        <v>158</v>
      </c>
      <c r="E3686" s="13" t="s">
        <v>61</v>
      </c>
      <c r="F3686" s="13" t="s">
        <v>1223</v>
      </c>
      <c r="G3686" s="13">
        <v>0.7</v>
      </c>
      <c r="H3686" s="15">
        <v>17</v>
      </c>
      <c r="I3686" s="16">
        <v>11.9</v>
      </c>
      <c r="J3686" s="16">
        <v>9.6347394540942943</v>
      </c>
      <c r="K3686" s="16">
        <v>2.265260545905706</v>
      </c>
      <c r="L3686" s="13">
        <v>1.3</v>
      </c>
      <c r="M3686" s="13"/>
      <c r="N3686" s="17">
        <f t="shared" ref="N3686:O3749" si="123">$H3686*L3686</f>
        <v>22.1</v>
      </c>
      <c r="O3686" s="17">
        <f t="shared" si="123"/>
        <v>0</v>
      </c>
      <c r="P3686" s="17">
        <f t="shared" si="122"/>
        <v>22.1</v>
      </c>
      <c r="Q3686" t="str">
        <f>A3686&amp;"-"&amp;B3686&amp;"-"&amp;D3686</f>
        <v>AGUSTUS-MJ2-L4</v>
      </c>
    </row>
    <row r="3687" spans="1:17" x14ac:dyDescent="0.25">
      <c r="A3687" t="s">
        <v>398</v>
      </c>
      <c r="B3687" s="13" t="s">
        <v>26</v>
      </c>
      <c r="C3687" s="13" t="s">
        <v>226</v>
      </c>
      <c r="D3687" s="14" t="s">
        <v>158</v>
      </c>
      <c r="E3687" s="13" t="s">
        <v>61</v>
      </c>
      <c r="F3687" s="13" t="s">
        <v>1226</v>
      </c>
      <c r="G3687" s="13">
        <v>0.72</v>
      </c>
      <c r="H3687" s="15">
        <v>14</v>
      </c>
      <c r="I3687" s="16">
        <v>10.08</v>
      </c>
      <c r="J3687" s="16">
        <v>7.9344913151364764</v>
      </c>
      <c r="K3687" s="16">
        <v>2.1455086848635236</v>
      </c>
      <c r="L3687" s="13">
        <v>1.34</v>
      </c>
      <c r="M3687" s="13"/>
      <c r="N3687" s="17">
        <f t="shared" si="123"/>
        <v>18.760000000000002</v>
      </c>
      <c r="O3687" s="17">
        <f t="shared" si="123"/>
        <v>0</v>
      </c>
      <c r="P3687" s="17">
        <f t="shared" si="122"/>
        <v>18.760000000000002</v>
      </c>
      <c r="Q3687" t="str">
        <f>A3687&amp;"-"&amp;B3687&amp;"-"&amp;D3687</f>
        <v>AGUSTUS-MJ2-L4</v>
      </c>
    </row>
    <row r="3688" spans="1:17" x14ac:dyDescent="0.25">
      <c r="A3688" t="s">
        <v>398</v>
      </c>
      <c r="B3688" s="13" t="s">
        <v>26</v>
      </c>
      <c r="C3688" s="13" t="s">
        <v>226</v>
      </c>
      <c r="D3688" s="14" t="s">
        <v>158</v>
      </c>
      <c r="E3688" s="13" t="s">
        <v>61</v>
      </c>
      <c r="F3688" s="13" t="s">
        <v>1408</v>
      </c>
      <c r="G3688" s="13">
        <v>0.65</v>
      </c>
      <c r="H3688" s="15">
        <v>854</v>
      </c>
      <c r="I3688" s="16">
        <v>555.1</v>
      </c>
      <c r="J3688" s="16">
        <v>528.08957029044598</v>
      </c>
      <c r="K3688" s="16">
        <v>27.010429709553989</v>
      </c>
      <c r="L3688" s="13">
        <v>1.64</v>
      </c>
      <c r="M3688" s="13"/>
      <c r="N3688" s="17">
        <f t="shared" si="123"/>
        <v>1400.56</v>
      </c>
      <c r="O3688" s="17">
        <f t="shared" si="123"/>
        <v>0</v>
      </c>
      <c r="P3688" s="17">
        <f t="shared" si="122"/>
        <v>1400.56</v>
      </c>
      <c r="Q3688" t="str">
        <f>A3688&amp;"-"&amp;B3688&amp;"-"&amp;D3688</f>
        <v>AGUSTUS-MJ2-L4</v>
      </c>
    </row>
    <row r="3689" spans="1:17" x14ac:dyDescent="0.25">
      <c r="A3689" t="s">
        <v>398</v>
      </c>
      <c r="B3689" s="13" t="s">
        <v>26</v>
      </c>
      <c r="C3689" s="13" t="s">
        <v>226</v>
      </c>
      <c r="D3689" s="14" t="s">
        <v>158</v>
      </c>
      <c r="E3689" s="13" t="s">
        <v>61</v>
      </c>
      <c r="F3689" s="13" t="s">
        <v>1409</v>
      </c>
      <c r="G3689" s="13">
        <v>0.65</v>
      </c>
      <c r="H3689" s="15">
        <v>2840</v>
      </c>
      <c r="I3689" s="16">
        <v>1846</v>
      </c>
      <c r="J3689" s="16">
        <v>1676.9368421052632</v>
      </c>
      <c r="K3689" s="16">
        <v>169.06315789473683</v>
      </c>
      <c r="L3689" s="13">
        <v>1.64</v>
      </c>
      <c r="M3689" s="13"/>
      <c r="N3689" s="17">
        <f t="shared" si="123"/>
        <v>4657.5999999999995</v>
      </c>
      <c r="O3689" s="17">
        <f t="shared" si="123"/>
        <v>0</v>
      </c>
      <c r="P3689" s="17">
        <f t="shared" si="122"/>
        <v>4657.5999999999995</v>
      </c>
      <c r="Q3689" t="str">
        <f>A3689&amp;"-"&amp;B3689&amp;"-"&amp;D3689</f>
        <v>AGUSTUS-MJ2-L4</v>
      </c>
    </row>
    <row r="3690" spans="1:17" x14ac:dyDescent="0.25">
      <c r="A3690" t="s">
        <v>398</v>
      </c>
      <c r="B3690" s="13" t="s">
        <v>26</v>
      </c>
      <c r="C3690" s="13" t="s">
        <v>226</v>
      </c>
      <c r="D3690" s="14" t="s">
        <v>158</v>
      </c>
      <c r="E3690" s="13" t="s">
        <v>61</v>
      </c>
      <c r="F3690" s="13" t="s">
        <v>1390</v>
      </c>
      <c r="G3690" s="13">
        <v>0.65</v>
      </c>
      <c r="H3690" s="15">
        <v>3404</v>
      </c>
      <c r="I3690" s="16">
        <v>2212.6</v>
      </c>
      <c r="J3690" s="16">
        <v>2120.6025931630966</v>
      </c>
      <c r="K3690" s="16">
        <v>91.997406836903679</v>
      </c>
      <c r="L3690" s="13">
        <v>1.66</v>
      </c>
      <c r="M3690" s="13"/>
      <c r="N3690" s="17">
        <f t="shared" si="123"/>
        <v>5650.6399999999994</v>
      </c>
      <c r="O3690" s="17">
        <f t="shared" si="123"/>
        <v>0</v>
      </c>
      <c r="P3690" s="17">
        <f t="shared" si="122"/>
        <v>5650.6399999999994</v>
      </c>
      <c r="Q3690" t="str">
        <f>A3690&amp;"-"&amp;B3690&amp;"-"&amp;D3690</f>
        <v>AGUSTUS-MJ2-L4</v>
      </c>
    </row>
    <row r="3691" spans="1:17" x14ac:dyDescent="0.25">
      <c r="A3691" t="s">
        <v>398</v>
      </c>
      <c r="B3691" s="13" t="s">
        <v>26</v>
      </c>
      <c r="C3691" s="13" t="s">
        <v>226</v>
      </c>
      <c r="D3691" s="14" t="s">
        <v>158</v>
      </c>
      <c r="E3691" s="13" t="s">
        <v>61</v>
      </c>
      <c r="F3691" s="13" t="s">
        <v>1166</v>
      </c>
      <c r="G3691" s="13">
        <v>0.65</v>
      </c>
      <c r="H3691" s="15">
        <v>8129</v>
      </c>
      <c r="I3691" s="16">
        <v>5283.8499999999995</v>
      </c>
      <c r="J3691" s="16">
        <v>4834.4846967417188</v>
      </c>
      <c r="K3691" s="16">
        <v>449.36530325827971</v>
      </c>
      <c r="L3691" s="13">
        <v>1.66</v>
      </c>
      <c r="M3691" s="13"/>
      <c r="N3691" s="17">
        <f t="shared" si="123"/>
        <v>13494.14</v>
      </c>
      <c r="O3691" s="17">
        <f t="shared" si="123"/>
        <v>0</v>
      </c>
      <c r="P3691" s="17">
        <f t="shared" si="122"/>
        <v>13494.14</v>
      </c>
      <c r="Q3691" t="str">
        <f>A3691&amp;"-"&amp;B3691&amp;"-"&amp;D3691</f>
        <v>AGUSTUS-MJ2-L4</v>
      </c>
    </row>
    <row r="3692" spans="1:17" x14ac:dyDescent="0.25">
      <c r="A3692" t="s">
        <v>398</v>
      </c>
      <c r="B3692" s="13" t="s">
        <v>26</v>
      </c>
      <c r="C3692" s="13" t="s">
        <v>226</v>
      </c>
      <c r="D3692" s="14" t="s">
        <v>158</v>
      </c>
      <c r="E3692" s="13" t="s">
        <v>61</v>
      </c>
      <c r="F3692" s="13" t="s">
        <v>1230</v>
      </c>
      <c r="G3692" s="13">
        <v>0.65</v>
      </c>
      <c r="H3692" s="15">
        <v>9</v>
      </c>
      <c r="I3692" s="16">
        <v>5.85</v>
      </c>
      <c r="J3692" s="16">
        <v>6.2027761013880509</v>
      </c>
      <c r="K3692" s="16">
        <v>-0.35277610138805127</v>
      </c>
      <c r="L3692" s="13">
        <v>1.66</v>
      </c>
      <c r="M3692" s="13"/>
      <c r="N3692" s="17">
        <f t="shared" si="123"/>
        <v>14.94</v>
      </c>
      <c r="O3692" s="17">
        <f t="shared" si="123"/>
        <v>0</v>
      </c>
      <c r="P3692" s="17">
        <f t="shared" si="122"/>
        <v>14.94</v>
      </c>
      <c r="Q3692" t="str">
        <f>A3692&amp;"-"&amp;B3692&amp;"-"&amp;D3692</f>
        <v>AGUSTUS-MJ2-L4</v>
      </c>
    </row>
    <row r="3693" spans="1:17" x14ac:dyDescent="0.25">
      <c r="A3693" t="s">
        <v>398</v>
      </c>
      <c r="B3693" s="13" t="s">
        <v>26</v>
      </c>
      <c r="C3693" s="13" t="s">
        <v>226</v>
      </c>
      <c r="D3693" s="14" t="s">
        <v>158</v>
      </c>
      <c r="E3693" s="13" t="s">
        <v>61</v>
      </c>
      <c r="F3693" s="13" t="s">
        <v>1410</v>
      </c>
      <c r="G3693" s="13">
        <v>0.65</v>
      </c>
      <c r="H3693" s="15">
        <v>2700</v>
      </c>
      <c r="I3693" s="16">
        <v>1755</v>
      </c>
      <c r="J3693" s="16">
        <v>1570.43893728798</v>
      </c>
      <c r="K3693" s="16">
        <v>184.56106271201998</v>
      </c>
      <c r="L3693" s="13">
        <v>1.64</v>
      </c>
      <c r="M3693" s="13"/>
      <c r="N3693" s="17">
        <f t="shared" si="123"/>
        <v>4428</v>
      </c>
      <c r="O3693" s="17">
        <f t="shared" si="123"/>
        <v>0</v>
      </c>
      <c r="P3693" s="17">
        <f t="shared" si="122"/>
        <v>4428</v>
      </c>
      <c r="Q3693" t="str">
        <f>A3693&amp;"-"&amp;B3693&amp;"-"&amp;D3693</f>
        <v>AGUSTUS-MJ2-L4</v>
      </c>
    </row>
    <row r="3694" spans="1:17" x14ac:dyDescent="0.25">
      <c r="A3694" t="s">
        <v>398</v>
      </c>
      <c r="B3694" s="13" t="s">
        <v>26</v>
      </c>
      <c r="C3694" s="13" t="s">
        <v>226</v>
      </c>
      <c r="D3694" s="14" t="s">
        <v>158</v>
      </c>
      <c r="E3694" s="13" t="s">
        <v>61</v>
      </c>
      <c r="F3694" s="13" t="s">
        <v>1231</v>
      </c>
      <c r="G3694" s="13">
        <v>0.88</v>
      </c>
      <c r="H3694" s="15">
        <v>23</v>
      </c>
      <c r="I3694" s="16">
        <v>20.239999999999998</v>
      </c>
      <c r="J3694" s="16">
        <v>15.851538925769463</v>
      </c>
      <c r="K3694" s="16">
        <v>4.3884610742305359</v>
      </c>
      <c r="L3694" s="13">
        <v>2.65</v>
      </c>
      <c r="M3694" s="13"/>
      <c r="N3694" s="17">
        <f t="shared" si="123"/>
        <v>60.949999999999996</v>
      </c>
      <c r="O3694" s="17">
        <f t="shared" si="123"/>
        <v>0</v>
      </c>
      <c r="P3694" s="17">
        <f t="shared" si="122"/>
        <v>60.949999999999996</v>
      </c>
      <c r="Q3694" t="str">
        <f>A3694&amp;"-"&amp;B3694&amp;"-"&amp;D3694</f>
        <v>AGUSTUS-MJ2-L4</v>
      </c>
    </row>
    <row r="3695" spans="1:17" x14ac:dyDescent="0.25">
      <c r="A3695" t="s">
        <v>398</v>
      </c>
      <c r="B3695" s="13" t="s">
        <v>26</v>
      </c>
      <c r="C3695" s="13" t="s">
        <v>226</v>
      </c>
      <c r="D3695" s="14" t="s">
        <v>160</v>
      </c>
      <c r="E3695" s="13" t="s">
        <v>61</v>
      </c>
      <c r="F3695" s="13" t="s">
        <v>1398</v>
      </c>
      <c r="G3695" s="13">
        <v>0.7599999999999999</v>
      </c>
      <c r="H3695" s="15">
        <v>635</v>
      </c>
      <c r="I3695" s="16">
        <v>482.60000000000014</v>
      </c>
      <c r="J3695" s="16">
        <v>435.22581385957471</v>
      </c>
      <c r="K3695" s="16">
        <v>47.374186140425294</v>
      </c>
      <c r="L3695" s="13">
        <v>2</v>
      </c>
      <c r="M3695" s="13"/>
      <c r="N3695" s="17">
        <f t="shared" si="123"/>
        <v>1270</v>
      </c>
      <c r="O3695" s="17">
        <f t="shared" si="123"/>
        <v>0</v>
      </c>
      <c r="P3695" s="17">
        <f t="shared" si="122"/>
        <v>1270</v>
      </c>
      <c r="Q3695" t="str">
        <f>A3695&amp;"-"&amp;B3695&amp;"-"&amp;D3695</f>
        <v>AGUSTUS-MJ2-L5</v>
      </c>
    </row>
    <row r="3696" spans="1:17" x14ac:dyDescent="0.25">
      <c r="A3696" t="s">
        <v>398</v>
      </c>
      <c r="B3696" s="13" t="s">
        <v>26</v>
      </c>
      <c r="C3696" s="13" t="s">
        <v>226</v>
      </c>
      <c r="D3696" s="14" t="s">
        <v>160</v>
      </c>
      <c r="E3696" s="13" t="s">
        <v>61</v>
      </c>
      <c r="F3696" s="13" t="s">
        <v>1399</v>
      </c>
      <c r="G3696" s="13">
        <v>0.7599999999999999</v>
      </c>
      <c r="H3696" s="15">
        <v>7014</v>
      </c>
      <c r="I3696" s="16">
        <v>5330.64</v>
      </c>
      <c r="J3696" s="16">
        <v>4611.8437636815534</v>
      </c>
      <c r="K3696" s="16">
        <v>718.79623631844686</v>
      </c>
      <c r="L3696" s="13">
        <v>2</v>
      </c>
      <c r="M3696" s="13"/>
      <c r="N3696" s="17">
        <f t="shared" si="123"/>
        <v>14028</v>
      </c>
      <c r="O3696" s="17">
        <f t="shared" si="123"/>
        <v>0</v>
      </c>
      <c r="P3696" s="17">
        <f t="shared" si="122"/>
        <v>14028</v>
      </c>
      <c r="Q3696" t="str">
        <f>A3696&amp;"-"&amp;B3696&amp;"-"&amp;D3696</f>
        <v>AGUSTUS-MJ2-L5</v>
      </c>
    </row>
    <row r="3697" spans="1:17" x14ac:dyDescent="0.25">
      <c r="A3697" t="s">
        <v>398</v>
      </c>
      <c r="B3697" s="13" t="s">
        <v>26</v>
      </c>
      <c r="C3697" s="13" t="s">
        <v>226</v>
      </c>
      <c r="D3697" s="14" t="s">
        <v>160</v>
      </c>
      <c r="E3697" s="13" t="s">
        <v>61</v>
      </c>
      <c r="F3697" s="13" t="s">
        <v>1400</v>
      </c>
      <c r="G3697" s="13">
        <v>0.74</v>
      </c>
      <c r="H3697" s="15">
        <v>317</v>
      </c>
      <c r="I3697" s="16">
        <v>234.58</v>
      </c>
      <c r="J3697" s="16">
        <v>204.68751640926638</v>
      </c>
      <c r="K3697" s="16">
        <v>29.892483590733612</v>
      </c>
      <c r="L3697" s="13">
        <v>2.17</v>
      </c>
      <c r="M3697" s="13"/>
      <c r="N3697" s="17">
        <f t="shared" si="123"/>
        <v>687.89</v>
      </c>
      <c r="O3697" s="17">
        <f t="shared" si="123"/>
        <v>0</v>
      </c>
      <c r="P3697" s="17">
        <f t="shared" si="122"/>
        <v>687.89</v>
      </c>
      <c r="Q3697" t="str">
        <f>A3697&amp;"-"&amp;B3697&amp;"-"&amp;D3697</f>
        <v>AGUSTUS-MJ2-L5</v>
      </c>
    </row>
    <row r="3698" spans="1:17" x14ac:dyDescent="0.25">
      <c r="A3698" t="s">
        <v>398</v>
      </c>
      <c r="B3698" s="13" t="s">
        <v>26</v>
      </c>
      <c r="C3698" s="13" t="s">
        <v>226</v>
      </c>
      <c r="D3698" s="14" t="s">
        <v>160</v>
      </c>
      <c r="E3698" s="13" t="s">
        <v>61</v>
      </c>
      <c r="F3698" s="13" t="s">
        <v>1401</v>
      </c>
      <c r="G3698" s="13">
        <v>0.76000000000000012</v>
      </c>
      <c r="H3698" s="15">
        <v>1645</v>
      </c>
      <c r="I3698" s="16">
        <v>1250.2000000000003</v>
      </c>
      <c r="J3698" s="16">
        <v>1013.2358902343803</v>
      </c>
      <c r="K3698" s="16">
        <v>236.96410976561978</v>
      </c>
      <c r="L3698" s="13">
        <v>2</v>
      </c>
      <c r="M3698" s="13"/>
      <c r="N3698" s="17">
        <f t="shared" si="123"/>
        <v>3290</v>
      </c>
      <c r="O3698" s="17">
        <f t="shared" si="123"/>
        <v>0</v>
      </c>
      <c r="P3698" s="17">
        <f t="shared" si="122"/>
        <v>3290</v>
      </c>
      <c r="Q3698" t="str">
        <f>A3698&amp;"-"&amp;B3698&amp;"-"&amp;D3698</f>
        <v>AGUSTUS-MJ2-L5</v>
      </c>
    </row>
    <row r="3699" spans="1:17" x14ac:dyDescent="0.25">
      <c r="A3699" t="s">
        <v>398</v>
      </c>
      <c r="B3699" s="13" t="s">
        <v>26</v>
      </c>
      <c r="C3699" s="13" t="s">
        <v>226</v>
      </c>
      <c r="D3699" s="14" t="s">
        <v>160</v>
      </c>
      <c r="E3699" s="13" t="s">
        <v>61</v>
      </c>
      <c r="F3699" s="13" t="s">
        <v>1402</v>
      </c>
      <c r="G3699" s="13">
        <v>0.74</v>
      </c>
      <c r="H3699" s="15">
        <v>12</v>
      </c>
      <c r="I3699" s="16">
        <v>8.879999999999999</v>
      </c>
      <c r="J3699" s="16">
        <v>6.8832559553978712</v>
      </c>
      <c r="K3699" s="16">
        <v>1.9967440446021283</v>
      </c>
      <c r="L3699" s="13">
        <v>2.17</v>
      </c>
      <c r="M3699" s="13"/>
      <c r="N3699" s="17">
        <f t="shared" si="123"/>
        <v>26.04</v>
      </c>
      <c r="O3699" s="17">
        <f t="shared" si="123"/>
        <v>0</v>
      </c>
      <c r="P3699" s="17">
        <f t="shared" si="122"/>
        <v>26.04</v>
      </c>
      <c r="Q3699" t="str">
        <f>A3699&amp;"-"&amp;B3699&amp;"-"&amp;D3699</f>
        <v>AGUSTUS-MJ2-L5</v>
      </c>
    </row>
    <row r="3700" spans="1:17" x14ac:dyDescent="0.25">
      <c r="A3700" t="s">
        <v>398</v>
      </c>
      <c r="B3700" s="13" t="s">
        <v>26</v>
      </c>
      <c r="C3700" s="13" t="s">
        <v>226</v>
      </c>
      <c r="D3700" s="14" t="s">
        <v>160</v>
      </c>
      <c r="E3700" s="13" t="s">
        <v>61</v>
      </c>
      <c r="F3700" s="13" t="s">
        <v>1403</v>
      </c>
      <c r="G3700" s="13">
        <v>0.7599999999999999</v>
      </c>
      <c r="H3700" s="15">
        <v>3901</v>
      </c>
      <c r="I3700" s="16">
        <v>2964.76</v>
      </c>
      <c r="J3700" s="16">
        <v>2599.9790117837024</v>
      </c>
      <c r="K3700" s="16">
        <v>364.78098821629743</v>
      </c>
      <c r="L3700" s="13">
        <v>2</v>
      </c>
      <c r="M3700" s="13"/>
      <c r="N3700" s="17">
        <f t="shared" si="123"/>
        <v>7802</v>
      </c>
      <c r="O3700" s="17">
        <f t="shared" si="123"/>
        <v>0</v>
      </c>
      <c r="P3700" s="17">
        <f t="shared" si="122"/>
        <v>7802</v>
      </c>
      <c r="Q3700" t="str">
        <f>A3700&amp;"-"&amp;B3700&amp;"-"&amp;D3700</f>
        <v>AGUSTUS-MJ2-L5</v>
      </c>
    </row>
    <row r="3701" spans="1:17" x14ac:dyDescent="0.25">
      <c r="A3701" t="s">
        <v>398</v>
      </c>
      <c r="B3701" s="13" t="s">
        <v>26</v>
      </c>
      <c r="C3701" s="13" t="s">
        <v>226</v>
      </c>
      <c r="D3701" s="14" t="s">
        <v>160</v>
      </c>
      <c r="E3701" s="13" t="s">
        <v>61</v>
      </c>
      <c r="F3701" s="13" t="s">
        <v>1404</v>
      </c>
      <c r="G3701" s="13">
        <v>0.74</v>
      </c>
      <c r="H3701" s="15">
        <v>81</v>
      </c>
      <c r="I3701" s="16">
        <v>59.94</v>
      </c>
      <c r="J3701" s="16">
        <v>46.475679063144561</v>
      </c>
      <c r="K3701" s="16">
        <v>13.464320936855442</v>
      </c>
      <c r="L3701" s="13">
        <v>2.17</v>
      </c>
      <c r="M3701" s="13"/>
      <c r="N3701" s="17">
        <f t="shared" si="123"/>
        <v>175.76999999999998</v>
      </c>
      <c r="O3701" s="17">
        <f t="shared" si="123"/>
        <v>0</v>
      </c>
      <c r="P3701" s="17">
        <f t="shared" si="122"/>
        <v>175.76999999999998</v>
      </c>
      <c r="Q3701" t="str">
        <f>A3701&amp;"-"&amp;B3701&amp;"-"&amp;D3701</f>
        <v>AGUSTUS-MJ2-L5</v>
      </c>
    </row>
    <row r="3702" spans="1:17" x14ac:dyDescent="0.25">
      <c r="A3702" t="s">
        <v>398</v>
      </c>
      <c r="B3702" s="13" t="s">
        <v>26</v>
      </c>
      <c r="C3702" s="13" t="s">
        <v>226</v>
      </c>
      <c r="D3702" s="14" t="s">
        <v>160</v>
      </c>
      <c r="E3702" s="13" t="s">
        <v>61</v>
      </c>
      <c r="F3702" s="13" t="s">
        <v>1405</v>
      </c>
      <c r="G3702" s="13">
        <v>0.8</v>
      </c>
      <c r="H3702" s="15">
        <v>6260</v>
      </c>
      <c r="I3702" s="16">
        <v>5008</v>
      </c>
      <c r="J3702" s="16">
        <v>4262.0041169253482</v>
      </c>
      <c r="K3702" s="16">
        <v>745.99588307465183</v>
      </c>
      <c r="L3702" s="13">
        <v>2.1</v>
      </c>
      <c r="M3702" s="13"/>
      <c r="N3702" s="17">
        <f t="shared" si="123"/>
        <v>13146</v>
      </c>
      <c r="O3702" s="17">
        <f t="shared" si="123"/>
        <v>0</v>
      </c>
      <c r="P3702" s="17">
        <f t="shared" si="122"/>
        <v>13146</v>
      </c>
      <c r="Q3702" t="str">
        <f>A3702&amp;"-"&amp;B3702&amp;"-"&amp;D3702</f>
        <v>AGUSTUS-MJ2-L5</v>
      </c>
    </row>
    <row r="3703" spans="1:17" x14ac:dyDescent="0.25">
      <c r="A3703" t="s">
        <v>398</v>
      </c>
      <c r="B3703" s="13" t="s">
        <v>26</v>
      </c>
      <c r="C3703" s="13" t="s">
        <v>226</v>
      </c>
      <c r="D3703" s="14" t="s">
        <v>160</v>
      </c>
      <c r="E3703" s="13" t="s">
        <v>61</v>
      </c>
      <c r="F3703" s="13" t="s">
        <v>1406</v>
      </c>
      <c r="G3703" s="13">
        <v>0.8</v>
      </c>
      <c r="H3703" s="15">
        <v>38</v>
      </c>
      <c r="I3703" s="16">
        <v>30.4</v>
      </c>
      <c r="J3703" s="16">
        <v>26.558139534883722</v>
      </c>
      <c r="K3703" s="16">
        <v>3.8418604651162767</v>
      </c>
      <c r="L3703" s="13">
        <v>2.1</v>
      </c>
      <c r="M3703" s="13"/>
      <c r="N3703" s="17">
        <f t="shared" si="123"/>
        <v>79.8</v>
      </c>
      <c r="O3703" s="17">
        <f t="shared" si="123"/>
        <v>0</v>
      </c>
      <c r="P3703" s="17">
        <f t="shared" si="122"/>
        <v>79.8</v>
      </c>
      <c r="Q3703" t="str">
        <f>A3703&amp;"-"&amp;B3703&amp;"-"&amp;D3703</f>
        <v>AGUSTUS-MJ2-L5</v>
      </c>
    </row>
    <row r="3704" spans="1:17" x14ac:dyDescent="0.25">
      <c r="A3704" t="s">
        <v>398</v>
      </c>
      <c r="B3704" s="13" t="s">
        <v>26</v>
      </c>
      <c r="C3704" s="13" t="s">
        <v>226</v>
      </c>
      <c r="D3704" s="14" t="s">
        <v>160</v>
      </c>
      <c r="E3704" s="13" t="s">
        <v>61</v>
      </c>
      <c r="F3704" s="13" t="s">
        <v>1407</v>
      </c>
      <c r="G3704" s="13">
        <v>0.72</v>
      </c>
      <c r="H3704" s="15">
        <v>1722</v>
      </c>
      <c r="I3704" s="16">
        <v>1239.8399999999999</v>
      </c>
      <c r="J3704" s="16">
        <v>1142</v>
      </c>
      <c r="K3704" s="16">
        <v>97.839999999999918</v>
      </c>
      <c r="L3704" s="13">
        <v>1.36</v>
      </c>
      <c r="M3704" s="13"/>
      <c r="N3704" s="17">
        <f t="shared" si="123"/>
        <v>2341.92</v>
      </c>
      <c r="O3704" s="17">
        <f t="shared" si="123"/>
        <v>0</v>
      </c>
      <c r="P3704" s="17">
        <f t="shared" si="122"/>
        <v>2341.92</v>
      </c>
      <c r="Q3704" t="str">
        <f>A3704&amp;"-"&amp;B3704&amp;"-"&amp;D3704</f>
        <v>AGUSTUS-MJ2-L5</v>
      </c>
    </row>
    <row r="3705" spans="1:17" x14ac:dyDescent="0.25">
      <c r="A3705" t="s">
        <v>398</v>
      </c>
      <c r="B3705" s="13" t="s">
        <v>26</v>
      </c>
      <c r="C3705" s="13" t="s">
        <v>226</v>
      </c>
      <c r="D3705" s="14" t="s">
        <v>160</v>
      </c>
      <c r="E3705" s="13" t="s">
        <v>61</v>
      </c>
      <c r="F3705" s="13" t="s">
        <v>1222</v>
      </c>
      <c r="G3705" s="13">
        <v>0.72</v>
      </c>
      <c r="H3705" s="15">
        <v>8</v>
      </c>
      <c r="I3705" s="16">
        <v>5.76</v>
      </c>
      <c r="J3705" s="16">
        <v>4.5339950372208433</v>
      </c>
      <c r="K3705" s="16">
        <v>1.2260049627791565</v>
      </c>
      <c r="L3705" s="13">
        <v>1.36</v>
      </c>
      <c r="M3705" s="13"/>
      <c r="N3705" s="17">
        <f t="shared" si="123"/>
        <v>10.88</v>
      </c>
      <c r="O3705" s="17">
        <f t="shared" si="123"/>
        <v>0</v>
      </c>
      <c r="P3705" s="17">
        <f t="shared" si="122"/>
        <v>10.88</v>
      </c>
      <c r="Q3705" t="str">
        <f>A3705&amp;"-"&amp;B3705&amp;"-"&amp;D3705</f>
        <v>AGUSTUS-MJ2-L5</v>
      </c>
    </row>
    <row r="3706" spans="1:17" x14ac:dyDescent="0.25">
      <c r="A3706" t="s">
        <v>398</v>
      </c>
      <c r="B3706" s="13" t="s">
        <v>26</v>
      </c>
      <c r="C3706" s="13" t="s">
        <v>226</v>
      </c>
      <c r="D3706" s="14" t="s">
        <v>160</v>
      </c>
      <c r="E3706" s="13" t="s">
        <v>61</v>
      </c>
      <c r="F3706" s="13" t="s">
        <v>1223</v>
      </c>
      <c r="G3706" s="13">
        <v>0.7</v>
      </c>
      <c r="H3706" s="15">
        <v>16</v>
      </c>
      <c r="I3706" s="16">
        <v>11.2</v>
      </c>
      <c r="J3706" s="16">
        <v>9.0679900744416866</v>
      </c>
      <c r="K3706" s="16">
        <v>2.1320099255583127</v>
      </c>
      <c r="L3706" s="13">
        <v>1.3</v>
      </c>
      <c r="M3706" s="13"/>
      <c r="N3706" s="17">
        <f t="shared" si="123"/>
        <v>20.8</v>
      </c>
      <c r="O3706" s="17">
        <f t="shared" si="123"/>
        <v>0</v>
      </c>
      <c r="P3706" s="17">
        <f t="shared" si="122"/>
        <v>20.8</v>
      </c>
      <c r="Q3706" t="str">
        <f>A3706&amp;"-"&amp;B3706&amp;"-"&amp;D3706</f>
        <v>AGUSTUS-MJ2-L5</v>
      </c>
    </row>
    <row r="3707" spans="1:17" x14ac:dyDescent="0.25">
      <c r="A3707" t="s">
        <v>398</v>
      </c>
      <c r="B3707" s="13" t="s">
        <v>26</v>
      </c>
      <c r="C3707" s="13" t="s">
        <v>226</v>
      </c>
      <c r="D3707" s="14" t="s">
        <v>160</v>
      </c>
      <c r="E3707" s="13" t="s">
        <v>61</v>
      </c>
      <c r="F3707" s="13" t="s">
        <v>1226</v>
      </c>
      <c r="G3707" s="13">
        <v>0.72</v>
      </c>
      <c r="H3707" s="15">
        <v>15</v>
      </c>
      <c r="I3707" s="16">
        <v>10.8</v>
      </c>
      <c r="J3707" s="16">
        <v>8.5012406947890824</v>
      </c>
      <c r="K3707" s="16">
        <v>2.2987593052109183</v>
      </c>
      <c r="L3707" s="13">
        <v>1.34</v>
      </c>
      <c r="M3707" s="13"/>
      <c r="N3707" s="17">
        <f t="shared" si="123"/>
        <v>20.100000000000001</v>
      </c>
      <c r="O3707" s="17">
        <f t="shared" si="123"/>
        <v>0</v>
      </c>
      <c r="P3707" s="17">
        <f t="shared" si="122"/>
        <v>20.100000000000001</v>
      </c>
      <c r="Q3707" t="str">
        <f>A3707&amp;"-"&amp;B3707&amp;"-"&amp;D3707</f>
        <v>AGUSTUS-MJ2-L5</v>
      </c>
    </row>
    <row r="3708" spans="1:17" x14ac:dyDescent="0.25">
      <c r="A3708" t="s">
        <v>398</v>
      </c>
      <c r="B3708" s="13" t="s">
        <v>26</v>
      </c>
      <c r="C3708" s="13" t="s">
        <v>226</v>
      </c>
      <c r="D3708" s="14" t="s">
        <v>160</v>
      </c>
      <c r="E3708" s="13" t="s">
        <v>61</v>
      </c>
      <c r="F3708" s="13" t="s">
        <v>1408</v>
      </c>
      <c r="G3708" s="13">
        <v>0.65</v>
      </c>
      <c r="H3708" s="15">
        <v>853</v>
      </c>
      <c r="I3708" s="16">
        <v>554.45000000000005</v>
      </c>
      <c r="J3708" s="16">
        <v>527.48851765886707</v>
      </c>
      <c r="K3708" s="16">
        <v>26.961482341132921</v>
      </c>
      <c r="L3708" s="13">
        <v>1.64</v>
      </c>
      <c r="M3708" s="13"/>
      <c r="N3708" s="17">
        <f t="shared" si="123"/>
        <v>1398.9199999999998</v>
      </c>
      <c r="O3708" s="17">
        <f t="shared" si="123"/>
        <v>0</v>
      </c>
      <c r="P3708" s="17">
        <f t="shared" si="122"/>
        <v>1398.9199999999998</v>
      </c>
      <c r="Q3708" t="str">
        <f>A3708&amp;"-"&amp;B3708&amp;"-"&amp;D3708</f>
        <v>AGUSTUS-MJ2-L5</v>
      </c>
    </row>
    <row r="3709" spans="1:17" x14ac:dyDescent="0.25">
      <c r="A3709" t="s">
        <v>398</v>
      </c>
      <c r="B3709" s="13" t="s">
        <v>26</v>
      </c>
      <c r="C3709" s="13" t="s">
        <v>226</v>
      </c>
      <c r="D3709" s="14" t="s">
        <v>160</v>
      </c>
      <c r="E3709" s="13" t="s">
        <v>61</v>
      </c>
      <c r="F3709" s="13" t="s">
        <v>1409</v>
      </c>
      <c r="G3709" s="13">
        <v>0.65</v>
      </c>
      <c r="H3709" s="15">
        <v>2840</v>
      </c>
      <c r="I3709" s="16">
        <v>1846</v>
      </c>
      <c r="J3709" s="16">
        <v>1676.9368421052632</v>
      </c>
      <c r="K3709" s="16">
        <v>169.06315789473683</v>
      </c>
      <c r="L3709" s="13">
        <v>1.64</v>
      </c>
      <c r="M3709" s="13"/>
      <c r="N3709" s="17">
        <f t="shared" si="123"/>
        <v>4657.5999999999995</v>
      </c>
      <c r="O3709" s="17">
        <f t="shared" si="123"/>
        <v>0</v>
      </c>
      <c r="P3709" s="17">
        <f t="shared" si="122"/>
        <v>4657.5999999999995</v>
      </c>
      <c r="Q3709" t="str">
        <f>A3709&amp;"-"&amp;B3709&amp;"-"&amp;D3709</f>
        <v>AGUSTUS-MJ2-L5</v>
      </c>
    </row>
    <row r="3710" spans="1:17" x14ac:dyDescent="0.25">
      <c r="A3710" t="s">
        <v>398</v>
      </c>
      <c r="B3710" s="13" t="s">
        <v>26</v>
      </c>
      <c r="C3710" s="13" t="s">
        <v>226</v>
      </c>
      <c r="D3710" s="14" t="s">
        <v>160</v>
      </c>
      <c r="E3710" s="13" t="s">
        <v>61</v>
      </c>
      <c r="F3710" s="13" t="s">
        <v>1390</v>
      </c>
      <c r="G3710" s="13">
        <v>0.65</v>
      </c>
      <c r="H3710" s="15">
        <v>3402</v>
      </c>
      <c r="I3710" s="16">
        <v>2211.3000000000002</v>
      </c>
      <c r="J3710" s="16">
        <v>2119.2948219522714</v>
      </c>
      <c r="K3710" s="16">
        <v>92.005178047728421</v>
      </c>
      <c r="L3710" s="13">
        <v>1.66</v>
      </c>
      <c r="M3710" s="13"/>
      <c r="N3710" s="17">
        <f t="shared" si="123"/>
        <v>5647.32</v>
      </c>
      <c r="O3710" s="17">
        <f t="shared" si="123"/>
        <v>0</v>
      </c>
      <c r="P3710" s="17">
        <f t="shared" si="122"/>
        <v>5647.32</v>
      </c>
      <c r="Q3710" t="str">
        <f>A3710&amp;"-"&amp;B3710&amp;"-"&amp;D3710</f>
        <v>AGUSTUS-MJ2-L5</v>
      </c>
    </row>
    <row r="3711" spans="1:17" x14ac:dyDescent="0.25">
      <c r="A3711" t="s">
        <v>398</v>
      </c>
      <c r="B3711" s="13" t="s">
        <v>26</v>
      </c>
      <c r="C3711" s="13" t="s">
        <v>226</v>
      </c>
      <c r="D3711" s="14" t="s">
        <v>160</v>
      </c>
      <c r="E3711" s="13" t="s">
        <v>61</v>
      </c>
      <c r="F3711" s="13" t="s">
        <v>1166</v>
      </c>
      <c r="G3711" s="13">
        <v>0.65</v>
      </c>
      <c r="H3711" s="15">
        <v>8133</v>
      </c>
      <c r="I3711" s="16">
        <v>5286.45</v>
      </c>
      <c r="J3711" s="16">
        <v>4837.3611527147559</v>
      </c>
      <c r="K3711" s="16">
        <v>449.08884728524322</v>
      </c>
      <c r="L3711" s="13">
        <v>1.66</v>
      </c>
      <c r="M3711" s="13"/>
      <c r="N3711" s="17">
        <f t="shared" si="123"/>
        <v>13500.779999999999</v>
      </c>
      <c r="O3711" s="17">
        <f t="shared" si="123"/>
        <v>0</v>
      </c>
      <c r="P3711" s="17">
        <f t="shared" si="122"/>
        <v>13500.779999999999</v>
      </c>
      <c r="Q3711" t="str">
        <f>A3711&amp;"-"&amp;B3711&amp;"-"&amp;D3711</f>
        <v>AGUSTUS-MJ2-L5</v>
      </c>
    </row>
    <row r="3712" spans="1:17" x14ac:dyDescent="0.25">
      <c r="A3712" t="s">
        <v>398</v>
      </c>
      <c r="B3712" s="13" t="s">
        <v>26</v>
      </c>
      <c r="C3712" s="13" t="s">
        <v>226</v>
      </c>
      <c r="D3712" s="14" t="s">
        <v>160</v>
      </c>
      <c r="E3712" s="13" t="s">
        <v>61</v>
      </c>
      <c r="F3712" s="13" t="s">
        <v>1230</v>
      </c>
      <c r="G3712" s="13">
        <v>0.65</v>
      </c>
      <c r="H3712" s="15">
        <v>9</v>
      </c>
      <c r="I3712" s="16">
        <v>5.85</v>
      </c>
      <c r="J3712" s="16">
        <v>6.2027761013880509</v>
      </c>
      <c r="K3712" s="16">
        <v>-0.35277610138805127</v>
      </c>
      <c r="L3712" s="13">
        <v>1.66</v>
      </c>
      <c r="M3712" s="13"/>
      <c r="N3712" s="17">
        <f t="shared" si="123"/>
        <v>14.94</v>
      </c>
      <c r="O3712" s="17">
        <f t="shared" si="123"/>
        <v>0</v>
      </c>
      <c r="P3712" s="17">
        <f t="shared" si="122"/>
        <v>14.94</v>
      </c>
      <c r="Q3712" t="str">
        <f>A3712&amp;"-"&amp;B3712&amp;"-"&amp;D3712</f>
        <v>AGUSTUS-MJ2-L5</v>
      </c>
    </row>
    <row r="3713" spans="1:17" x14ac:dyDescent="0.25">
      <c r="A3713" t="s">
        <v>398</v>
      </c>
      <c r="B3713" s="13" t="s">
        <v>26</v>
      </c>
      <c r="C3713" s="13" t="s">
        <v>226</v>
      </c>
      <c r="D3713" s="14" t="s">
        <v>160</v>
      </c>
      <c r="E3713" s="13" t="s">
        <v>61</v>
      </c>
      <c r="F3713" s="13" t="s">
        <v>1410</v>
      </c>
      <c r="G3713" s="13">
        <v>0.65</v>
      </c>
      <c r="H3713" s="15">
        <v>2699</v>
      </c>
      <c r="I3713" s="16">
        <v>1754.3500000000001</v>
      </c>
      <c r="J3713" s="16">
        <v>1569.8679372879801</v>
      </c>
      <c r="K3713" s="16">
        <v>184.48206271202002</v>
      </c>
      <c r="L3713" s="13">
        <v>1.64</v>
      </c>
      <c r="M3713" s="13"/>
      <c r="N3713" s="17">
        <f t="shared" si="123"/>
        <v>4426.3599999999997</v>
      </c>
      <c r="O3713" s="17">
        <f t="shared" si="123"/>
        <v>0</v>
      </c>
      <c r="P3713" s="17">
        <f t="shared" si="122"/>
        <v>4426.3599999999997</v>
      </c>
      <c r="Q3713" t="str">
        <f>A3713&amp;"-"&amp;B3713&amp;"-"&amp;D3713</f>
        <v>AGUSTUS-MJ2-L5</v>
      </c>
    </row>
    <row r="3714" spans="1:17" x14ac:dyDescent="0.25">
      <c r="A3714" t="s">
        <v>398</v>
      </c>
      <c r="B3714" s="13" t="s">
        <v>26</v>
      </c>
      <c r="C3714" s="13" t="s">
        <v>226</v>
      </c>
      <c r="D3714" s="14" t="s">
        <v>160</v>
      </c>
      <c r="E3714" s="13" t="s">
        <v>61</v>
      </c>
      <c r="F3714" s="13" t="s">
        <v>1231</v>
      </c>
      <c r="G3714" s="13">
        <v>0.88</v>
      </c>
      <c r="H3714" s="15">
        <v>23</v>
      </c>
      <c r="I3714" s="16">
        <v>20.239999999999998</v>
      </c>
      <c r="J3714" s="16">
        <v>15.851538925769463</v>
      </c>
      <c r="K3714" s="16">
        <v>4.3884610742305359</v>
      </c>
      <c r="L3714" s="13">
        <v>2.65</v>
      </c>
      <c r="M3714" s="13"/>
      <c r="N3714" s="17">
        <f t="shared" si="123"/>
        <v>60.949999999999996</v>
      </c>
      <c r="O3714" s="17">
        <f t="shared" si="123"/>
        <v>0</v>
      </c>
      <c r="P3714" s="17">
        <f t="shared" ref="P3714:P3777" si="124">N3714+O3714</f>
        <v>60.949999999999996</v>
      </c>
      <c r="Q3714" t="str">
        <f>A3714&amp;"-"&amp;B3714&amp;"-"&amp;D3714</f>
        <v>AGUSTUS-MJ2-L5</v>
      </c>
    </row>
    <row r="3715" spans="1:17" x14ac:dyDescent="0.25">
      <c r="A3715" t="s">
        <v>398</v>
      </c>
      <c r="B3715" s="13" t="s">
        <v>26</v>
      </c>
      <c r="C3715" s="13" t="s">
        <v>226</v>
      </c>
      <c r="D3715" s="14" t="s">
        <v>163</v>
      </c>
      <c r="E3715" s="13" t="s">
        <v>61</v>
      </c>
      <c r="F3715" s="13" t="s">
        <v>1398</v>
      </c>
      <c r="G3715" s="13">
        <v>0.76000000000000012</v>
      </c>
      <c r="H3715" s="15">
        <v>1185</v>
      </c>
      <c r="I3715" s="16">
        <v>900.6</v>
      </c>
      <c r="J3715" s="16">
        <v>670.78951799686365</v>
      </c>
      <c r="K3715" s="16">
        <v>229.81048200313629</v>
      </c>
      <c r="L3715" s="13">
        <v>2</v>
      </c>
      <c r="M3715" s="13"/>
      <c r="N3715" s="17">
        <f t="shared" si="123"/>
        <v>2370</v>
      </c>
      <c r="O3715" s="17">
        <f t="shared" si="123"/>
        <v>0</v>
      </c>
      <c r="P3715" s="17">
        <f t="shared" si="124"/>
        <v>2370</v>
      </c>
      <c r="Q3715" t="str">
        <f>A3715&amp;"-"&amp;B3715&amp;"-"&amp;D3715</f>
        <v>AGUSTUS-MJ2-L6</v>
      </c>
    </row>
    <row r="3716" spans="1:17" x14ac:dyDescent="0.25">
      <c r="A3716" t="s">
        <v>398</v>
      </c>
      <c r="B3716" s="13" t="s">
        <v>26</v>
      </c>
      <c r="C3716" s="13" t="s">
        <v>226</v>
      </c>
      <c r="D3716" s="14" t="s">
        <v>163</v>
      </c>
      <c r="E3716" s="13" t="s">
        <v>61</v>
      </c>
      <c r="F3716" s="13" t="s">
        <v>1399</v>
      </c>
      <c r="G3716" s="13">
        <v>0.7599999999999999</v>
      </c>
      <c r="H3716" s="15">
        <v>3432</v>
      </c>
      <c r="I3716" s="16">
        <v>2608.3199999999997</v>
      </c>
      <c r="J3716" s="16">
        <v>2234.3486833555044</v>
      </c>
      <c r="K3716" s="16">
        <v>373.97131664449546</v>
      </c>
      <c r="L3716" s="13">
        <v>2</v>
      </c>
      <c r="M3716" s="13"/>
      <c r="N3716" s="17">
        <f t="shared" si="123"/>
        <v>6864</v>
      </c>
      <c r="O3716" s="17">
        <f t="shared" si="123"/>
        <v>0</v>
      </c>
      <c r="P3716" s="17">
        <f t="shared" si="124"/>
        <v>6864</v>
      </c>
      <c r="Q3716" t="str">
        <f>A3716&amp;"-"&amp;B3716&amp;"-"&amp;D3716</f>
        <v>AGUSTUS-MJ2-L6</v>
      </c>
    </row>
    <row r="3717" spans="1:17" x14ac:dyDescent="0.25">
      <c r="A3717" t="s">
        <v>398</v>
      </c>
      <c r="B3717" s="13" t="s">
        <v>26</v>
      </c>
      <c r="C3717" s="13" t="s">
        <v>226</v>
      </c>
      <c r="D3717" s="14" t="s">
        <v>163</v>
      </c>
      <c r="E3717" s="13" t="s">
        <v>61</v>
      </c>
      <c r="F3717" s="13" t="s">
        <v>1400</v>
      </c>
      <c r="G3717" s="13">
        <v>0.74</v>
      </c>
      <c r="H3717" s="15">
        <v>547</v>
      </c>
      <c r="I3717" s="16">
        <v>404.78000000000003</v>
      </c>
      <c r="J3717" s="16">
        <v>354.2922022999814</v>
      </c>
      <c r="K3717" s="16">
        <v>50.487797700018618</v>
      </c>
      <c r="L3717" s="13">
        <v>2.17</v>
      </c>
      <c r="M3717" s="13"/>
      <c r="N3717" s="17">
        <f t="shared" si="123"/>
        <v>1186.99</v>
      </c>
      <c r="O3717" s="17">
        <f t="shared" si="123"/>
        <v>0</v>
      </c>
      <c r="P3717" s="17">
        <f t="shared" si="124"/>
        <v>1186.99</v>
      </c>
      <c r="Q3717" t="str">
        <f>A3717&amp;"-"&amp;B3717&amp;"-"&amp;D3717</f>
        <v>AGUSTUS-MJ2-L6</v>
      </c>
    </row>
    <row r="3718" spans="1:17" x14ac:dyDescent="0.25">
      <c r="A3718" t="s">
        <v>398</v>
      </c>
      <c r="B3718" s="13" t="s">
        <v>26</v>
      </c>
      <c r="C3718" s="13" t="s">
        <v>226</v>
      </c>
      <c r="D3718" s="14" t="s">
        <v>163</v>
      </c>
      <c r="E3718" s="13" t="s">
        <v>61</v>
      </c>
      <c r="F3718" s="13" t="s">
        <v>1401</v>
      </c>
      <c r="G3718" s="13">
        <v>0.7599999999999999</v>
      </c>
      <c r="H3718" s="15">
        <v>2028</v>
      </c>
      <c r="I3718" s="16">
        <v>1541.28</v>
      </c>
      <c r="J3718" s="16">
        <v>1317.8644483265837</v>
      </c>
      <c r="K3718" s="16">
        <v>223.41555167341619</v>
      </c>
      <c r="L3718" s="13">
        <v>2</v>
      </c>
      <c r="M3718" s="13"/>
      <c r="N3718" s="17">
        <f t="shared" si="123"/>
        <v>4056</v>
      </c>
      <c r="O3718" s="17">
        <f t="shared" si="123"/>
        <v>0</v>
      </c>
      <c r="P3718" s="17">
        <f t="shared" si="124"/>
        <v>4056</v>
      </c>
      <c r="Q3718" t="str">
        <f>A3718&amp;"-"&amp;B3718&amp;"-"&amp;D3718</f>
        <v>AGUSTUS-MJ2-L6</v>
      </c>
    </row>
    <row r="3719" spans="1:17" x14ac:dyDescent="0.25">
      <c r="A3719" t="s">
        <v>398</v>
      </c>
      <c r="B3719" s="13" t="s">
        <v>26</v>
      </c>
      <c r="C3719" s="13" t="s">
        <v>226</v>
      </c>
      <c r="D3719" s="14" t="s">
        <v>163</v>
      </c>
      <c r="E3719" s="13" t="s">
        <v>61</v>
      </c>
      <c r="F3719" s="13" t="s">
        <v>1402</v>
      </c>
      <c r="G3719" s="13">
        <v>0.74</v>
      </c>
      <c r="H3719" s="15">
        <v>528</v>
      </c>
      <c r="I3719" s="16">
        <v>390.72</v>
      </c>
      <c r="J3719" s="16">
        <v>333.65381033834097</v>
      </c>
      <c r="K3719" s="16">
        <v>57.066189661659074</v>
      </c>
      <c r="L3719" s="13">
        <v>2.17</v>
      </c>
      <c r="M3719" s="13"/>
      <c r="N3719" s="17">
        <f t="shared" si="123"/>
        <v>1145.76</v>
      </c>
      <c r="O3719" s="17">
        <f t="shared" si="123"/>
        <v>0</v>
      </c>
      <c r="P3719" s="17">
        <f t="shared" si="124"/>
        <v>1145.76</v>
      </c>
      <c r="Q3719" t="str">
        <f>A3719&amp;"-"&amp;B3719&amp;"-"&amp;D3719</f>
        <v>AGUSTUS-MJ2-L6</v>
      </c>
    </row>
    <row r="3720" spans="1:17" x14ac:dyDescent="0.25">
      <c r="A3720" t="s">
        <v>398</v>
      </c>
      <c r="B3720" s="13" t="s">
        <v>26</v>
      </c>
      <c r="C3720" s="13" t="s">
        <v>226</v>
      </c>
      <c r="D3720" s="14" t="s">
        <v>163</v>
      </c>
      <c r="E3720" s="13" t="s">
        <v>61</v>
      </c>
      <c r="F3720" s="13" t="s">
        <v>1403</v>
      </c>
      <c r="G3720" s="13">
        <v>0.76</v>
      </c>
      <c r="H3720" s="15">
        <v>3102</v>
      </c>
      <c r="I3720" s="16">
        <v>2357.52</v>
      </c>
      <c r="J3720" s="16">
        <v>2023.3844936148239</v>
      </c>
      <c r="K3720" s="16">
        <v>334.13550638517614</v>
      </c>
      <c r="L3720" s="13">
        <v>2</v>
      </c>
      <c r="M3720" s="13"/>
      <c r="N3720" s="17">
        <f t="shared" si="123"/>
        <v>6204</v>
      </c>
      <c r="O3720" s="17">
        <f t="shared" si="123"/>
        <v>0</v>
      </c>
      <c r="P3720" s="17">
        <f t="shared" si="124"/>
        <v>6204</v>
      </c>
      <c r="Q3720" t="str">
        <f>A3720&amp;"-"&amp;B3720&amp;"-"&amp;D3720</f>
        <v>AGUSTUS-MJ2-L6</v>
      </c>
    </row>
    <row r="3721" spans="1:17" x14ac:dyDescent="0.25">
      <c r="A3721" t="s">
        <v>398</v>
      </c>
      <c r="B3721" s="13" t="s">
        <v>26</v>
      </c>
      <c r="C3721" s="13" t="s">
        <v>226</v>
      </c>
      <c r="D3721" s="14" t="s">
        <v>163</v>
      </c>
      <c r="E3721" s="13" t="s">
        <v>61</v>
      </c>
      <c r="F3721" s="13" t="s">
        <v>1404</v>
      </c>
      <c r="G3721" s="13">
        <v>0.73999999999999988</v>
      </c>
      <c r="H3721" s="15">
        <v>613</v>
      </c>
      <c r="I3721" s="16">
        <v>453.62</v>
      </c>
      <c r="J3721" s="16">
        <v>452.26663619365894</v>
      </c>
      <c r="K3721" s="16">
        <v>1.3533638063410269</v>
      </c>
      <c r="L3721" s="13">
        <v>2.17</v>
      </c>
      <c r="M3721" s="13"/>
      <c r="N3721" s="17">
        <f t="shared" si="123"/>
        <v>1330.21</v>
      </c>
      <c r="O3721" s="17">
        <f t="shared" si="123"/>
        <v>0</v>
      </c>
      <c r="P3721" s="17">
        <f t="shared" si="124"/>
        <v>1330.21</v>
      </c>
      <c r="Q3721" t="str">
        <f>A3721&amp;"-"&amp;B3721&amp;"-"&amp;D3721</f>
        <v>AGUSTUS-MJ2-L6</v>
      </c>
    </row>
    <row r="3722" spans="1:17" x14ac:dyDescent="0.25">
      <c r="A3722" t="s">
        <v>398</v>
      </c>
      <c r="B3722" s="13" t="s">
        <v>26</v>
      </c>
      <c r="C3722" s="13" t="s">
        <v>226</v>
      </c>
      <c r="D3722" s="14" t="s">
        <v>163</v>
      </c>
      <c r="E3722" s="13" t="s">
        <v>61</v>
      </c>
      <c r="F3722" s="13" t="s">
        <v>1411</v>
      </c>
      <c r="G3722" s="13">
        <v>0.8</v>
      </c>
      <c r="H3722" s="15">
        <v>215</v>
      </c>
      <c r="I3722" s="16">
        <v>172</v>
      </c>
      <c r="J3722" s="16">
        <v>138.32676056338028</v>
      </c>
      <c r="K3722" s="16">
        <v>33.673239436619724</v>
      </c>
      <c r="L3722" s="13">
        <v>2.1</v>
      </c>
      <c r="M3722" s="13"/>
      <c r="N3722" s="17">
        <f t="shared" si="123"/>
        <v>451.5</v>
      </c>
      <c r="O3722" s="17">
        <f t="shared" si="123"/>
        <v>0</v>
      </c>
      <c r="P3722" s="17">
        <f t="shared" si="124"/>
        <v>451.5</v>
      </c>
      <c r="Q3722" t="str">
        <f>A3722&amp;"-"&amp;B3722&amp;"-"&amp;D3722</f>
        <v>AGUSTUS-MJ2-L6</v>
      </c>
    </row>
    <row r="3723" spans="1:17" x14ac:dyDescent="0.25">
      <c r="A3723" t="s">
        <v>398</v>
      </c>
      <c r="B3723" s="13" t="s">
        <v>26</v>
      </c>
      <c r="C3723" s="13" t="s">
        <v>226</v>
      </c>
      <c r="D3723" s="14" t="s">
        <v>163</v>
      </c>
      <c r="E3723" s="13" t="s">
        <v>61</v>
      </c>
      <c r="F3723" s="13" t="s">
        <v>1405</v>
      </c>
      <c r="G3723" s="13">
        <v>0.8</v>
      </c>
      <c r="H3723" s="15">
        <v>5612</v>
      </c>
      <c r="I3723" s="16">
        <v>4489.6000000000004</v>
      </c>
      <c r="J3723" s="16">
        <v>3685.3729950959892</v>
      </c>
      <c r="K3723" s="16">
        <v>804.22700490401087</v>
      </c>
      <c r="L3723" s="13">
        <v>2.1</v>
      </c>
      <c r="M3723" s="13"/>
      <c r="N3723" s="17">
        <f t="shared" si="123"/>
        <v>11785.2</v>
      </c>
      <c r="O3723" s="17">
        <f t="shared" si="123"/>
        <v>0</v>
      </c>
      <c r="P3723" s="17">
        <f t="shared" si="124"/>
        <v>11785.2</v>
      </c>
      <c r="Q3723" t="str">
        <f>A3723&amp;"-"&amp;B3723&amp;"-"&amp;D3723</f>
        <v>AGUSTUS-MJ2-L6</v>
      </c>
    </row>
    <row r="3724" spans="1:17" x14ac:dyDescent="0.25">
      <c r="A3724" t="s">
        <v>398</v>
      </c>
      <c r="B3724" s="13" t="s">
        <v>26</v>
      </c>
      <c r="C3724" s="13" t="s">
        <v>226</v>
      </c>
      <c r="D3724" s="14" t="s">
        <v>163</v>
      </c>
      <c r="E3724" s="13" t="s">
        <v>61</v>
      </c>
      <c r="F3724" s="13" t="s">
        <v>1406</v>
      </c>
      <c r="G3724" s="13">
        <v>0.8</v>
      </c>
      <c r="H3724" s="15">
        <v>1560</v>
      </c>
      <c r="I3724" s="16">
        <v>1248</v>
      </c>
      <c r="J3724" s="16">
        <v>1003.6732394366197</v>
      </c>
      <c r="K3724" s="16">
        <v>244.32676056338028</v>
      </c>
      <c r="L3724" s="13">
        <v>2.1</v>
      </c>
      <c r="M3724" s="13"/>
      <c r="N3724" s="17">
        <f t="shared" si="123"/>
        <v>3276</v>
      </c>
      <c r="O3724" s="17">
        <f t="shared" si="123"/>
        <v>0</v>
      </c>
      <c r="P3724" s="17">
        <f t="shared" si="124"/>
        <v>3276</v>
      </c>
      <c r="Q3724" t="str">
        <f>A3724&amp;"-"&amp;B3724&amp;"-"&amp;D3724</f>
        <v>AGUSTUS-MJ2-L6</v>
      </c>
    </row>
    <row r="3725" spans="1:17" x14ac:dyDescent="0.25">
      <c r="A3725" t="s">
        <v>398</v>
      </c>
      <c r="B3725" s="13" t="s">
        <v>26</v>
      </c>
      <c r="C3725" s="13" t="s">
        <v>226</v>
      </c>
      <c r="D3725" s="14" t="s">
        <v>163</v>
      </c>
      <c r="E3725" s="13" t="s">
        <v>61</v>
      </c>
      <c r="F3725" s="13" t="s">
        <v>1407</v>
      </c>
      <c r="G3725" s="13">
        <v>0.71999999999999986</v>
      </c>
      <c r="H3725" s="15">
        <v>800</v>
      </c>
      <c r="I3725" s="16">
        <v>576</v>
      </c>
      <c r="J3725" s="16">
        <v>482.17887941538197</v>
      </c>
      <c r="K3725" s="16">
        <v>93.821120584618058</v>
      </c>
      <c r="L3725" s="13">
        <v>1.36</v>
      </c>
      <c r="M3725" s="13"/>
      <c r="N3725" s="17">
        <f t="shared" si="123"/>
        <v>1088</v>
      </c>
      <c r="O3725" s="17">
        <f t="shared" si="123"/>
        <v>0</v>
      </c>
      <c r="P3725" s="17">
        <f t="shared" si="124"/>
        <v>1088</v>
      </c>
      <c r="Q3725" t="str">
        <f>A3725&amp;"-"&amp;B3725&amp;"-"&amp;D3725</f>
        <v>AGUSTUS-MJ2-L6</v>
      </c>
    </row>
    <row r="3726" spans="1:17" x14ac:dyDescent="0.25">
      <c r="A3726" t="s">
        <v>398</v>
      </c>
      <c r="B3726" s="13" t="s">
        <v>26</v>
      </c>
      <c r="C3726" s="13" t="s">
        <v>226</v>
      </c>
      <c r="D3726" s="14" t="s">
        <v>163</v>
      </c>
      <c r="E3726" s="13" t="s">
        <v>61</v>
      </c>
      <c r="F3726" s="13" t="s">
        <v>1222</v>
      </c>
      <c r="G3726" s="13">
        <v>0.71999999999999986</v>
      </c>
      <c r="H3726" s="15">
        <v>1701</v>
      </c>
      <c r="I3726" s="16">
        <v>1224.72</v>
      </c>
      <c r="J3726" s="16">
        <v>1011.8382444428549</v>
      </c>
      <c r="K3726" s="16">
        <v>212.88175555714503</v>
      </c>
      <c r="L3726" s="13">
        <v>1.36</v>
      </c>
      <c r="M3726" s="13"/>
      <c r="N3726" s="17">
        <f t="shared" si="123"/>
        <v>2313.36</v>
      </c>
      <c r="O3726" s="17">
        <f t="shared" si="123"/>
        <v>0</v>
      </c>
      <c r="P3726" s="17">
        <f t="shared" si="124"/>
        <v>2313.36</v>
      </c>
      <c r="Q3726" t="str">
        <f>A3726&amp;"-"&amp;B3726&amp;"-"&amp;D3726</f>
        <v>AGUSTUS-MJ2-L6</v>
      </c>
    </row>
    <row r="3727" spans="1:17" x14ac:dyDescent="0.25">
      <c r="A3727" t="s">
        <v>398</v>
      </c>
      <c r="B3727" s="13" t="s">
        <v>26</v>
      </c>
      <c r="C3727" s="13" t="s">
        <v>226</v>
      </c>
      <c r="D3727" s="14" t="s">
        <v>163</v>
      </c>
      <c r="E3727" s="13" t="s">
        <v>61</v>
      </c>
      <c r="F3727" s="13" t="s">
        <v>1223</v>
      </c>
      <c r="G3727" s="13">
        <v>0.70000000000000007</v>
      </c>
      <c r="H3727" s="15">
        <v>1219</v>
      </c>
      <c r="I3727" s="16">
        <v>853.30000000000007</v>
      </c>
      <c r="J3727" s="16">
        <v>670.5682870895198</v>
      </c>
      <c r="K3727" s="16">
        <v>182.73171291048027</v>
      </c>
      <c r="L3727" s="13">
        <v>1.3</v>
      </c>
      <c r="M3727" s="13"/>
      <c r="N3727" s="17">
        <f t="shared" si="123"/>
        <v>1584.7</v>
      </c>
      <c r="O3727" s="17">
        <f t="shared" si="123"/>
        <v>0</v>
      </c>
      <c r="P3727" s="17">
        <f t="shared" si="124"/>
        <v>1584.7</v>
      </c>
      <c r="Q3727" t="str">
        <f>A3727&amp;"-"&amp;B3727&amp;"-"&amp;D3727</f>
        <v>AGUSTUS-MJ2-L6</v>
      </c>
    </row>
    <row r="3728" spans="1:17" x14ac:dyDescent="0.25">
      <c r="A3728" t="s">
        <v>398</v>
      </c>
      <c r="B3728" s="13" t="s">
        <v>26</v>
      </c>
      <c r="C3728" s="13" t="s">
        <v>226</v>
      </c>
      <c r="D3728" s="14" t="s">
        <v>163</v>
      </c>
      <c r="E3728" s="13" t="s">
        <v>61</v>
      </c>
      <c r="F3728" s="13" t="s">
        <v>1224</v>
      </c>
      <c r="G3728" s="13">
        <v>0.7</v>
      </c>
      <c r="H3728" s="15">
        <v>201</v>
      </c>
      <c r="I3728" s="16">
        <v>140.69999999999999</v>
      </c>
      <c r="J3728" s="16">
        <v>122.27315531548649</v>
      </c>
      <c r="K3728" s="16">
        <v>18.426844684513526</v>
      </c>
      <c r="L3728" s="13">
        <v>1.3</v>
      </c>
      <c r="M3728" s="13"/>
      <c r="N3728" s="17">
        <f t="shared" si="123"/>
        <v>261.3</v>
      </c>
      <c r="O3728" s="17">
        <f t="shared" si="123"/>
        <v>0</v>
      </c>
      <c r="P3728" s="17">
        <f t="shared" si="124"/>
        <v>261.3</v>
      </c>
      <c r="Q3728" t="str">
        <f>A3728&amp;"-"&amp;B3728&amp;"-"&amp;D3728</f>
        <v>AGUSTUS-MJ2-L6</v>
      </c>
    </row>
    <row r="3729" spans="1:17" x14ac:dyDescent="0.25">
      <c r="A3729" t="s">
        <v>398</v>
      </c>
      <c r="B3729" s="13" t="s">
        <v>26</v>
      </c>
      <c r="C3729" s="13" t="s">
        <v>226</v>
      </c>
      <c r="D3729" s="14" t="s">
        <v>163</v>
      </c>
      <c r="E3729" s="13" t="s">
        <v>61</v>
      </c>
      <c r="F3729" s="13" t="s">
        <v>1226</v>
      </c>
      <c r="G3729" s="13">
        <v>0.72</v>
      </c>
      <c r="H3729" s="15">
        <v>341</v>
      </c>
      <c r="I3729" s="16">
        <v>245.51999999999998</v>
      </c>
      <c r="J3729" s="16">
        <v>219.65796015012597</v>
      </c>
      <c r="K3729" s="16">
        <v>25.862039849874051</v>
      </c>
      <c r="L3729" s="13">
        <v>1.34</v>
      </c>
      <c r="M3729" s="13"/>
      <c r="N3729" s="17">
        <f t="shared" si="123"/>
        <v>456.94000000000005</v>
      </c>
      <c r="O3729" s="17">
        <f t="shared" si="123"/>
        <v>0</v>
      </c>
      <c r="P3729" s="17">
        <f t="shared" si="124"/>
        <v>456.94000000000005</v>
      </c>
      <c r="Q3729" t="str">
        <f>A3729&amp;"-"&amp;B3729&amp;"-"&amp;D3729</f>
        <v>AGUSTUS-MJ2-L6</v>
      </c>
    </row>
    <row r="3730" spans="1:17" x14ac:dyDescent="0.25">
      <c r="A3730" t="s">
        <v>398</v>
      </c>
      <c r="B3730" s="13" t="s">
        <v>26</v>
      </c>
      <c r="C3730" s="13" t="s">
        <v>226</v>
      </c>
      <c r="D3730" s="14" t="s">
        <v>163</v>
      </c>
      <c r="E3730" s="13" t="s">
        <v>61</v>
      </c>
      <c r="F3730" s="13" t="s">
        <v>1228</v>
      </c>
      <c r="G3730" s="13">
        <v>0.71999999999999986</v>
      </c>
      <c r="H3730" s="15">
        <v>482</v>
      </c>
      <c r="I3730" s="16">
        <v>347.03999999999996</v>
      </c>
      <c r="J3730" s="16">
        <v>315.6224041147575</v>
      </c>
      <c r="K3730" s="16">
        <v>31.417595885242537</v>
      </c>
      <c r="L3730" s="13">
        <v>1.34</v>
      </c>
      <c r="M3730" s="13"/>
      <c r="N3730" s="17">
        <f t="shared" si="123"/>
        <v>645.88</v>
      </c>
      <c r="O3730" s="17">
        <f t="shared" si="123"/>
        <v>0</v>
      </c>
      <c r="P3730" s="17">
        <f t="shared" si="124"/>
        <v>645.88</v>
      </c>
      <c r="Q3730" t="str">
        <f>A3730&amp;"-"&amp;B3730&amp;"-"&amp;D3730</f>
        <v>AGUSTUS-MJ2-L6</v>
      </c>
    </row>
    <row r="3731" spans="1:17" x14ac:dyDescent="0.25">
      <c r="A3731" t="s">
        <v>398</v>
      </c>
      <c r="B3731" s="13" t="s">
        <v>26</v>
      </c>
      <c r="C3731" s="13" t="s">
        <v>226</v>
      </c>
      <c r="D3731" s="14" t="s">
        <v>163</v>
      </c>
      <c r="E3731" s="13" t="s">
        <v>61</v>
      </c>
      <c r="F3731" s="13" t="s">
        <v>1408</v>
      </c>
      <c r="G3731" s="13">
        <v>0.65</v>
      </c>
      <c r="H3731" s="15">
        <v>3287</v>
      </c>
      <c r="I3731" s="16">
        <v>2136.5499999999997</v>
      </c>
      <c r="J3731" s="16">
        <v>1859.8686967737801</v>
      </c>
      <c r="K3731" s="16">
        <v>276.68130322622</v>
      </c>
      <c r="L3731" s="13">
        <v>1.64</v>
      </c>
      <c r="M3731" s="13"/>
      <c r="N3731" s="17">
        <f t="shared" si="123"/>
        <v>5390.6799999999994</v>
      </c>
      <c r="O3731" s="17">
        <f t="shared" si="123"/>
        <v>0</v>
      </c>
      <c r="P3731" s="17">
        <f t="shared" si="124"/>
        <v>5390.6799999999994</v>
      </c>
      <c r="Q3731" t="str">
        <f>A3731&amp;"-"&amp;B3731&amp;"-"&amp;D3731</f>
        <v>AGUSTUS-MJ2-L6</v>
      </c>
    </row>
    <row r="3732" spans="1:17" x14ac:dyDescent="0.25">
      <c r="A3732" t="s">
        <v>398</v>
      </c>
      <c r="B3732" s="13" t="s">
        <v>26</v>
      </c>
      <c r="C3732" s="13" t="s">
        <v>226</v>
      </c>
      <c r="D3732" s="14" t="s">
        <v>163</v>
      </c>
      <c r="E3732" s="13" t="s">
        <v>61</v>
      </c>
      <c r="F3732" s="13" t="s">
        <v>1409</v>
      </c>
      <c r="G3732" s="13">
        <v>0.65</v>
      </c>
      <c r="H3732" s="15">
        <v>2152</v>
      </c>
      <c r="I3732" s="16">
        <v>1398.8</v>
      </c>
      <c r="J3732" s="16">
        <v>1212.9132836552174</v>
      </c>
      <c r="K3732" s="16">
        <v>185.88671634478266</v>
      </c>
      <c r="L3732" s="13">
        <v>1.64</v>
      </c>
      <c r="M3732" s="13"/>
      <c r="N3732" s="17">
        <f t="shared" si="123"/>
        <v>3529.2799999999997</v>
      </c>
      <c r="O3732" s="17">
        <f t="shared" si="123"/>
        <v>0</v>
      </c>
      <c r="P3732" s="17">
        <f t="shared" si="124"/>
        <v>3529.2799999999997</v>
      </c>
      <c r="Q3732" t="str">
        <f>A3732&amp;"-"&amp;B3732&amp;"-"&amp;D3732</f>
        <v>AGUSTUS-MJ2-L6</v>
      </c>
    </row>
    <row r="3733" spans="1:17" x14ac:dyDescent="0.25">
      <c r="A3733" t="s">
        <v>398</v>
      </c>
      <c r="B3733" s="13" t="s">
        <v>26</v>
      </c>
      <c r="C3733" s="13" t="s">
        <v>226</v>
      </c>
      <c r="D3733" s="14" t="s">
        <v>163</v>
      </c>
      <c r="E3733" s="13" t="s">
        <v>61</v>
      </c>
      <c r="F3733" s="13" t="s">
        <v>1390</v>
      </c>
      <c r="G3733" s="13">
        <v>0.65</v>
      </c>
      <c r="H3733" s="15">
        <v>1883</v>
      </c>
      <c r="I3733" s="16">
        <v>1223.95</v>
      </c>
      <c r="J3733" s="16">
        <v>1140.7170987424438</v>
      </c>
      <c r="K3733" s="16">
        <v>83.232901257556179</v>
      </c>
      <c r="L3733" s="13">
        <v>1.66</v>
      </c>
      <c r="M3733" s="13"/>
      <c r="N3733" s="17">
        <f t="shared" si="123"/>
        <v>3125.7799999999997</v>
      </c>
      <c r="O3733" s="17">
        <f t="shared" si="123"/>
        <v>0</v>
      </c>
      <c r="P3733" s="17">
        <f t="shared" si="124"/>
        <v>3125.7799999999997</v>
      </c>
      <c r="Q3733" t="str">
        <f>A3733&amp;"-"&amp;B3733&amp;"-"&amp;D3733</f>
        <v>AGUSTUS-MJ2-L6</v>
      </c>
    </row>
    <row r="3734" spans="1:17" x14ac:dyDescent="0.25">
      <c r="A3734" t="s">
        <v>398</v>
      </c>
      <c r="B3734" s="13" t="s">
        <v>26</v>
      </c>
      <c r="C3734" s="13" t="s">
        <v>226</v>
      </c>
      <c r="D3734" s="14" t="s">
        <v>163</v>
      </c>
      <c r="E3734" s="13" t="s">
        <v>61</v>
      </c>
      <c r="F3734" s="13" t="s">
        <v>1229</v>
      </c>
      <c r="G3734" s="13">
        <v>0.65</v>
      </c>
      <c r="H3734" s="15">
        <v>41</v>
      </c>
      <c r="I3734" s="16">
        <v>26.65</v>
      </c>
      <c r="J3734" s="16">
        <v>25.897123893805311</v>
      </c>
      <c r="K3734" s="16">
        <v>0.75287610619468737</v>
      </c>
      <c r="L3734" s="13">
        <v>1.66</v>
      </c>
      <c r="M3734" s="13"/>
      <c r="N3734" s="17">
        <f t="shared" si="123"/>
        <v>68.06</v>
      </c>
      <c r="O3734" s="17">
        <f t="shared" si="123"/>
        <v>0</v>
      </c>
      <c r="P3734" s="17">
        <f t="shared" si="124"/>
        <v>68.06</v>
      </c>
      <c r="Q3734" t="str">
        <f>A3734&amp;"-"&amp;B3734&amp;"-"&amp;D3734</f>
        <v>AGUSTUS-MJ2-L6</v>
      </c>
    </row>
    <row r="3735" spans="1:17" x14ac:dyDescent="0.25">
      <c r="A3735" t="s">
        <v>398</v>
      </c>
      <c r="B3735" s="13" t="s">
        <v>26</v>
      </c>
      <c r="C3735" s="13" t="s">
        <v>226</v>
      </c>
      <c r="D3735" s="14" t="s">
        <v>163</v>
      </c>
      <c r="E3735" s="13" t="s">
        <v>61</v>
      </c>
      <c r="F3735" s="13" t="s">
        <v>1166</v>
      </c>
      <c r="G3735" s="13">
        <v>0.65</v>
      </c>
      <c r="H3735" s="15">
        <v>7626</v>
      </c>
      <c r="I3735" s="16">
        <v>4956.8999999999996</v>
      </c>
      <c r="J3735" s="16">
        <v>4501.2720709232162</v>
      </c>
      <c r="K3735" s="16">
        <v>455.62792907678352</v>
      </c>
      <c r="L3735" s="13">
        <v>1.66</v>
      </c>
      <c r="M3735" s="13"/>
      <c r="N3735" s="17">
        <f t="shared" si="123"/>
        <v>12659.16</v>
      </c>
      <c r="O3735" s="17">
        <f t="shared" si="123"/>
        <v>0</v>
      </c>
      <c r="P3735" s="17">
        <f t="shared" si="124"/>
        <v>12659.16</v>
      </c>
      <c r="Q3735" t="str">
        <f>A3735&amp;"-"&amp;B3735&amp;"-"&amp;D3735</f>
        <v>AGUSTUS-MJ2-L6</v>
      </c>
    </row>
    <row r="3736" spans="1:17" x14ac:dyDescent="0.25">
      <c r="A3736" t="s">
        <v>398</v>
      </c>
      <c r="B3736" s="13" t="s">
        <v>26</v>
      </c>
      <c r="C3736" s="13" t="s">
        <v>226</v>
      </c>
      <c r="D3736" s="14" t="s">
        <v>163</v>
      </c>
      <c r="E3736" s="13" t="s">
        <v>61</v>
      </c>
      <c r="F3736" s="13" t="s">
        <v>1410</v>
      </c>
      <c r="G3736" s="13">
        <v>0.65</v>
      </c>
      <c r="H3736" s="15">
        <v>2044</v>
      </c>
      <c r="I3736" s="16">
        <v>1328.6</v>
      </c>
      <c r="J3736" s="16">
        <v>1220.4585402205839</v>
      </c>
      <c r="K3736" s="16">
        <v>108.14145977941619</v>
      </c>
      <c r="L3736" s="13">
        <v>1.64</v>
      </c>
      <c r="M3736" s="13"/>
      <c r="N3736" s="17">
        <f t="shared" si="123"/>
        <v>3352.16</v>
      </c>
      <c r="O3736" s="17">
        <f t="shared" si="123"/>
        <v>0</v>
      </c>
      <c r="P3736" s="17">
        <f t="shared" si="124"/>
        <v>3352.16</v>
      </c>
      <c r="Q3736" t="str">
        <f>A3736&amp;"-"&amp;B3736&amp;"-"&amp;D3736</f>
        <v>AGUSTUS-MJ2-L6</v>
      </c>
    </row>
    <row r="3737" spans="1:17" x14ac:dyDescent="0.25">
      <c r="A3737" t="s">
        <v>398</v>
      </c>
      <c r="B3737" s="13" t="s">
        <v>26</v>
      </c>
      <c r="C3737" s="13" t="s">
        <v>226</v>
      </c>
      <c r="D3737" s="14" t="s">
        <v>163</v>
      </c>
      <c r="E3737" s="13" t="s">
        <v>61</v>
      </c>
      <c r="F3737" s="13" t="s">
        <v>1231</v>
      </c>
      <c r="G3737" s="13">
        <v>0.88</v>
      </c>
      <c r="H3737" s="15">
        <v>198</v>
      </c>
      <c r="I3737" s="16">
        <v>174.23999999999998</v>
      </c>
      <c r="J3737" s="16">
        <v>126.76146804108029</v>
      </c>
      <c r="K3737" s="16">
        <v>47.478531958919689</v>
      </c>
      <c r="L3737" s="13">
        <v>2.65</v>
      </c>
      <c r="M3737" s="13"/>
      <c r="N3737" s="17">
        <f t="shared" si="123"/>
        <v>524.69999999999993</v>
      </c>
      <c r="O3737" s="17">
        <f t="shared" si="123"/>
        <v>0</v>
      </c>
      <c r="P3737" s="17">
        <f t="shared" si="124"/>
        <v>524.69999999999993</v>
      </c>
      <c r="Q3737" t="str">
        <f>A3737&amp;"-"&amp;B3737&amp;"-"&amp;D3737</f>
        <v>AGUSTUS-MJ2-L6</v>
      </c>
    </row>
    <row r="3738" spans="1:17" x14ac:dyDescent="0.25">
      <c r="A3738" t="s">
        <v>398</v>
      </c>
      <c r="B3738" s="13" t="s">
        <v>26</v>
      </c>
      <c r="C3738" s="13" t="s">
        <v>226</v>
      </c>
      <c r="D3738" s="14" t="s">
        <v>164</v>
      </c>
      <c r="E3738" s="13" t="s">
        <v>61</v>
      </c>
      <c r="F3738" s="13" t="s">
        <v>1398</v>
      </c>
      <c r="G3738" s="13">
        <v>0.76000000000000012</v>
      </c>
      <c r="H3738" s="15">
        <v>1186</v>
      </c>
      <c r="I3738" s="16">
        <v>901.36</v>
      </c>
      <c r="J3738" s="16">
        <v>671.02608966037292</v>
      </c>
      <c r="K3738" s="16">
        <v>230.33391033962704</v>
      </c>
      <c r="L3738" s="13">
        <v>2</v>
      </c>
      <c r="M3738" s="13"/>
      <c r="N3738" s="17">
        <f t="shared" si="123"/>
        <v>2372</v>
      </c>
      <c r="O3738" s="17">
        <f t="shared" si="123"/>
        <v>0</v>
      </c>
      <c r="P3738" s="17">
        <f t="shared" si="124"/>
        <v>2372</v>
      </c>
      <c r="Q3738" t="str">
        <f>A3738&amp;"-"&amp;B3738&amp;"-"&amp;D3738</f>
        <v>AGUSTUS-MJ2-L7</v>
      </c>
    </row>
    <row r="3739" spans="1:17" x14ac:dyDescent="0.25">
      <c r="A3739" t="s">
        <v>398</v>
      </c>
      <c r="B3739" s="13" t="s">
        <v>26</v>
      </c>
      <c r="C3739" s="13" t="s">
        <v>226</v>
      </c>
      <c r="D3739" s="14" t="s">
        <v>164</v>
      </c>
      <c r="E3739" s="13" t="s">
        <v>61</v>
      </c>
      <c r="F3739" s="13" t="s">
        <v>1399</v>
      </c>
      <c r="G3739" s="13">
        <v>0.7599999999999999</v>
      </c>
      <c r="H3739" s="15">
        <v>3434</v>
      </c>
      <c r="I3739" s="16">
        <v>2609.84</v>
      </c>
      <c r="J3739" s="16">
        <v>2235.2499863118833</v>
      </c>
      <c r="K3739" s="16">
        <v>374.59001368811647</v>
      </c>
      <c r="L3739" s="13">
        <v>2</v>
      </c>
      <c r="M3739" s="13"/>
      <c r="N3739" s="17">
        <f t="shared" si="123"/>
        <v>6868</v>
      </c>
      <c r="O3739" s="17">
        <f t="shared" si="123"/>
        <v>0</v>
      </c>
      <c r="P3739" s="17">
        <f t="shared" si="124"/>
        <v>6868</v>
      </c>
      <c r="Q3739" t="str">
        <f>A3739&amp;"-"&amp;B3739&amp;"-"&amp;D3739</f>
        <v>AGUSTUS-MJ2-L7</v>
      </c>
    </row>
    <row r="3740" spans="1:17" x14ac:dyDescent="0.25">
      <c r="A3740" t="s">
        <v>398</v>
      </c>
      <c r="B3740" s="13" t="s">
        <v>26</v>
      </c>
      <c r="C3740" s="13" t="s">
        <v>226</v>
      </c>
      <c r="D3740" s="14" t="s">
        <v>164</v>
      </c>
      <c r="E3740" s="13" t="s">
        <v>61</v>
      </c>
      <c r="F3740" s="13" t="s">
        <v>1400</v>
      </c>
      <c r="G3740" s="13">
        <v>0.74</v>
      </c>
      <c r="H3740" s="15">
        <v>548</v>
      </c>
      <c r="I3740" s="16">
        <v>405.52000000000004</v>
      </c>
      <c r="J3740" s="16">
        <v>355.12314891678574</v>
      </c>
      <c r="K3740" s="16">
        <v>50.396851083214251</v>
      </c>
      <c r="L3740" s="13">
        <v>2.17</v>
      </c>
      <c r="M3740" s="13"/>
      <c r="N3740" s="17">
        <f t="shared" si="123"/>
        <v>1189.1599999999999</v>
      </c>
      <c r="O3740" s="17">
        <f t="shared" si="123"/>
        <v>0</v>
      </c>
      <c r="P3740" s="17">
        <f t="shared" si="124"/>
        <v>1189.1599999999999</v>
      </c>
      <c r="Q3740" t="str">
        <f>A3740&amp;"-"&amp;B3740&amp;"-"&amp;D3740</f>
        <v>AGUSTUS-MJ2-L7</v>
      </c>
    </row>
    <row r="3741" spans="1:17" x14ac:dyDescent="0.25">
      <c r="A3741" t="s">
        <v>398</v>
      </c>
      <c r="B3741" s="13" t="s">
        <v>26</v>
      </c>
      <c r="C3741" s="13" t="s">
        <v>226</v>
      </c>
      <c r="D3741" s="14" t="s">
        <v>164</v>
      </c>
      <c r="E3741" s="13" t="s">
        <v>61</v>
      </c>
      <c r="F3741" s="13" t="s">
        <v>1401</v>
      </c>
      <c r="G3741" s="13">
        <v>0.7599999999999999</v>
      </c>
      <c r="H3741" s="15">
        <v>2025</v>
      </c>
      <c r="I3741" s="16">
        <v>1539</v>
      </c>
      <c r="J3741" s="16">
        <v>1316.5376355113117</v>
      </c>
      <c r="K3741" s="16">
        <v>222.46236448868828</v>
      </c>
      <c r="L3741" s="13">
        <v>2</v>
      </c>
      <c r="M3741" s="13"/>
      <c r="N3741" s="17">
        <f t="shared" si="123"/>
        <v>4050</v>
      </c>
      <c r="O3741" s="17">
        <f t="shared" si="123"/>
        <v>0</v>
      </c>
      <c r="P3741" s="17">
        <f t="shared" si="124"/>
        <v>4050</v>
      </c>
      <c r="Q3741" t="str">
        <f>A3741&amp;"-"&amp;B3741&amp;"-"&amp;D3741</f>
        <v>AGUSTUS-MJ2-L7</v>
      </c>
    </row>
    <row r="3742" spans="1:17" x14ac:dyDescent="0.25">
      <c r="A3742" t="s">
        <v>398</v>
      </c>
      <c r="B3742" s="13" t="s">
        <v>26</v>
      </c>
      <c r="C3742" s="13" t="s">
        <v>226</v>
      </c>
      <c r="D3742" s="14" t="s">
        <v>164</v>
      </c>
      <c r="E3742" s="13" t="s">
        <v>61</v>
      </c>
      <c r="F3742" s="13" t="s">
        <v>1402</v>
      </c>
      <c r="G3742" s="13">
        <v>0.74</v>
      </c>
      <c r="H3742" s="15">
        <v>529</v>
      </c>
      <c r="I3742" s="16">
        <v>391.46</v>
      </c>
      <c r="J3742" s="16">
        <v>334.60899488985825</v>
      </c>
      <c r="K3742" s="16">
        <v>56.851005110141791</v>
      </c>
      <c r="L3742" s="13">
        <v>2.17</v>
      </c>
      <c r="M3742" s="13"/>
      <c r="N3742" s="17">
        <f t="shared" si="123"/>
        <v>1147.93</v>
      </c>
      <c r="O3742" s="17">
        <f t="shared" si="123"/>
        <v>0</v>
      </c>
      <c r="P3742" s="17">
        <f t="shared" si="124"/>
        <v>1147.93</v>
      </c>
      <c r="Q3742" t="str">
        <f>A3742&amp;"-"&amp;B3742&amp;"-"&amp;D3742</f>
        <v>AGUSTUS-MJ2-L7</v>
      </c>
    </row>
    <row r="3743" spans="1:17" x14ac:dyDescent="0.25">
      <c r="A3743" t="s">
        <v>398</v>
      </c>
      <c r="B3743" s="13" t="s">
        <v>26</v>
      </c>
      <c r="C3743" s="13" t="s">
        <v>226</v>
      </c>
      <c r="D3743" s="14" t="s">
        <v>164</v>
      </c>
      <c r="E3743" s="13" t="s">
        <v>61</v>
      </c>
      <c r="F3743" s="13" t="s">
        <v>1403</v>
      </c>
      <c r="G3743" s="13">
        <v>0.76</v>
      </c>
      <c r="H3743" s="15">
        <v>3101</v>
      </c>
      <c r="I3743" s="16">
        <v>2356.7600000000002</v>
      </c>
      <c r="J3743" s="16">
        <v>2022.7660665320982</v>
      </c>
      <c r="K3743" s="16">
        <v>333.9939334679018</v>
      </c>
      <c r="L3743" s="13">
        <v>2</v>
      </c>
      <c r="M3743" s="13"/>
      <c r="N3743" s="17">
        <f t="shared" si="123"/>
        <v>6202</v>
      </c>
      <c r="O3743" s="17">
        <f t="shared" si="123"/>
        <v>0</v>
      </c>
      <c r="P3743" s="17">
        <f t="shared" si="124"/>
        <v>6202</v>
      </c>
      <c r="Q3743" t="str">
        <f>A3743&amp;"-"&amp;B3743&amp;"-"&amp;D3743</f>
        <v>AGUSTUS-MJ2-L7</v>
      </c>
    </row>
    <row r="3744" spans="1:17" x14ac:dyDescent="0.25">
      <c r="A3744" t="s">
        <v>398</v>
      </c>
      <c r="B3744" s="13" t="s">
        <v>26</v>
      </c>
      <c r="C3744" s="13" t="s">
        <v>226</v>
      </c>
      <c r="D3744" s="14" t="s">
        <v>164</v>
      </c>
      <c r="E3744" s="13" t="s">
        <v>61</v>
      </c>
      <c r="F3744" s="13" t="s">
        <v>1404</v>
      </c>
      <c r="G3744" s="13">
        <v>0.73999999999999988</v>
      </c>
      <c r="H3744" s="15">
        <v>614</v>
      </c>
      <c r="I3744" s="16">
        <v>454.36</v>
      </c>
      <c r="J3744" s="16">
        <v>453.28551899200033</v>
      </c>
      <c r="K3744" s="16">
        <v>1.0744810079996587</v>
      </c>
      <c r="L3744" s="13">
        <v>2.17</v>
      </c>
      <c r="M3744" s="13"/>
      <c r="N3744" s="17">
        <f t="shared" si="123"/>
        <v>1332.3799999999999</v>
      </c>
      <c r="O3744" s="17">
        <f t="shared" si="123"/>
        <v>0</v>
      </c>
      <c r="P3744" s="17">
        <f t="shared" si="124"/>
        <v>1332.3799999999999</v>
      </c>
      <c r="Q3744" t="str">
        <f>A3744&amp;"-"&amp;B3744&amp;"-"&amp;D3744</f>
        <v>AGUSTUS-MJ2-L7</v>
      </c>
    </row>
    <row r="3745" spans="1:17" x14ac:dyDescent="0.25">
      <c r="A3745" t="s">
        <v>398</v>
      </c>
      <c r="B3745" s="13" t="s">
        <v>26</v>
      </c>
      <c r="C3745" s="13" t="s">
        <v>226</v>
      </c>
      <c r="D3745" s="14" t="s">
        <v>164</v>
      </c>
      <c r="E3745" s="13" t="s">
        <v>61</v>
      </c>
      <c r="F3745" s="13" t="s">
        <v>1411</v>
      </c>
      <c r="G3745" s="13">
        <v>0.8</v>
      </c>
      <c r="H3745" s="15">
        <v>215</v>
      </c>
      <c r="I3745" s="16">
        <v>172</v>
      </c>
      <c r="J3745" s="16">
        <v>138.32676056338028</v>
      </c>
      <c r="K3745" s="16">
        <v>33.673239436619724</v>
      </c>
      <c r="L3745" s="13">
        <v>2.1</v>
      </c>
      <c r="M3745" s="13"/>
      <c r="N3745" s="17">
        <f t="shared" si="123"/>
        <v>451.5</v>
      </c>
      <c r="O3745" s="17">
        <f t="shared" si="123"/>
        <v>0</v>
      </c>
      <c r="P3745" s="17">
        <f t="shared" si="124"/>
        <v>451.5</v>
      </c>
      <c r="Q3745" t="str">
        <f>A3745&amp;"-"&amp;B3745&amp;"-"&amp;D3745</f>
        <v>AGUSTUS-MJ2-L7</v>
      </c>
    </row>
    <row r="3746" spans="1:17" x14ac:dyDescent="0.25">
      <c r="A3746" t="s">
        <v>398</v>
      </c>
      <c r="B3746" s="13" t="s">
        <v>26</v>
      </c>
      <c r="C3746" s="13" t="s">
        <v>226</v>
      </c>
      <c r="D3746" s="14" t="s">
        <v>164</v>
      </c>
      <c r="E3746" s="13" t="s">
        <v>61</v>
      </c>
      <c r="F3746" s="13" t="s">
        <v>1405</v>
      </c>
      <c r="G3746" s="13">
        <v>0.8</v>
      </c>
      <c r="H3746" s="15">
        <v>5612</v>
      </c>
      <c r="I3746" s="16">
        <v>4489.6000000000004</v>
      </c>
      <c r="J3746" s="16">
        <v>3684.5821950545369</v>
      </c>
      <c r="K3746" s="16">
        <v>805.01780494546347</v>
      </c>
      <c r="L3746" s="13">
        <v>2.1</v>
      </c>
      <c r="M3746" s="13"/>
      <c r="N3746" s="17">
        <f t="shared" si="123"/>
        <v>11785.2</v>
      </c>
      <c r="O3746" s="17">
        <f t="shared" si="123"/>
        <v>0</v>
      </c>
      <c r="P3746" s="17">
        <f t="shared" si="124"/>
        <v>11785.2</v>
      </c>
      <c r="Q3746" t="str">
        <f>A3746&amp;"-"&amp;B3746&amp;"-"&amp;D3746</f>
        <v>AGUSTUS-MJ2-L7</v>
      </c>
    </row>
    <row r="3747" spans="1:17" x14ac:dyDescent="0.25">
      <c r="A3747" t="s">
        <v>398</v>
      </c>
      <c r="B3747" s="13" t="s">
        <v>26</v>
      </c>
      <c r="C3747" s="13" t="s">
        <v>226</v>
      </c>
      <c r="D3747" s="14" t="s">
        <v>164</v>
      </c>
      <c r="E3747" s="13" t="s">
        <v>61</v>
      </c>
      <c r="F3747" s="13" t="s">
        <v>1406</v>
      </c>
      <c r="G3747" s="13">
        <v>0.8</v>
      </c>
      <c r="H3747" s="15">
        <v>1560</v>
      </c>
      <c r="I3747" s="16">
        <v>1248</v>
      </c>
      <c r="J3747" s="16">
        <v>1003.6732394366197</v>
      </c>
      <c r="K3747" s="16">
        <v>244.32676056338028</v>
      </c>
      <c r="L3747" s="13">
        <v>2.1</v>
      </c>
      <c r="M3747" s="13"/>
      <c r="N3747" s="17">
        <f t="shared" si="123"/>
        <v>3276</v>
      </c>
      <c r="O3747" s="17">
        <f t="shared" si="123"/>
        <v>0</v>
      </c>
      <c r="P3747" s="17">
        <f t="shared" si="124"/>
        <v>3276</v>
      </c>
      <c r="Q3747" t="str">
        <f>A3747&amp;"-"&amp;B3747&amp;"-"&amp;D3747</f>
        <v>AGUSTUS-MJ2-L7</v>
      </c>
    </row>
    <row r="3748" spans="1:17" x14ac:dyDescent="0.25">
      <c r="A3748" t="s">
        <v>398</v>
      </c>
      <c r="B3748" s="13" t="s">
        <v>26</v>
      </c>
      <c r="C3748" s="13" t="s">
        <v>226</v>
      </c>
      <c r="D3748" s="14" t="s">
        <v>164</v>
      </c>
      <c r="E3748" s="13" t="s">
        <v>61</v>
      </c>
      <c r="F3748" s="13" t="s">
        <v>1407</v>
      </c>
      <c r="G3748" s="13">
        <v>0.71999999999999986</v>
      </c>
      <c r="H3748" s="15">
        <v>800</v>
      </c>
      <c r="I3748" s="16">
        <v>576</v>
      </c>
      <c r="J3748" s="16">
        <v>482.34117337945946</v>
      </c>
      <c r="K3748" s="16">
        <v>93.658826620540609</v>
      </c>
      <c r="L3748" s="13">
        <v>1.36</v>
      </c>
      <c r="M3748" s="13"/>
      <c r="N3748" s="17">
        <f t="shared" si="123"/>
        <v>1088</v>
      </c>
      <c r="O3748" s="17">
        <f t="shared" si="123"/>
        <v>0</v>
      </c>
      <c r="P3748" s="17">
        <f t="shared" si="124"/>
        <v>1088</v>
      </c>
      <c r="Q3748" t="str">
        <f>A3748&amp;"-"&amp;B3748&amp;"-"&amp;D3748</f>
        <v>AGUSTUS-MJ2-L7</v>
      </c>
    </row>
    <row r="3749" spans="1:17" x14ac:dyDescent="0.25">
      <c r="A3749" t="s">
        <v>398</v>
      </c>
      <c r="B3749" s="13" t="s">
        <v>26</v>
      </c>
      <c r="C3749" s="13" t="s">
        <v>226</v>
      </c>
      <c r="D3749" s="14" t="s">
        <v>164</v>
      </c>
      <c r="E3749" s="13" t="s">
        <v>61</v>
      </c>
      <c r="F3749" s="13" t="s">
        <v>1222</v>
      </c>
      <c r="G3749" s="13">
        <v>0.71999999999999986</v>
      </c>
      <c r="H3749" s="15">
        <v>1704</v>
      </c>
      <c r="I3749" s="16">
        <v>1226.8799999999999</v>
      </c>
      <c r="J3749" s="16">
        <v>1013.4220447775499</v>
      </c>
      <c r="K3749" s="16">
        <v>213.45795522245015</v>
      </c>
      <c r="L3749" s="13">
        <v>1.36</v>
      </c>
      <c r="M3749" s="13"/>
      <c r="N3749" s="17">
        <f t="shared" si="123"/>
        <v>2317.44</v>
      </c>
      <c r="O3749" s="17">
        <f t="shared" si="123"/>
        <v>0</v>
      </c>
      <c r="P3749" s="17">
        <f t="shared" si="124"/>
        <v>2317.44</v>
      </c>
      <c r="Q3749" t="str">
        <f>A3749&amp;"-"&amp;B3749&amp;"-"&amp;D3749</f>
        <v>AGUSTUS-MJ2-L7</v>
      </c>
    </row>
    <row r="3750" spans="1:17" x14ac:dyDescent="0.25">
      <c r="A3750" t="s">
        <v>398</v>
      </c>
      <c r="B3750" s="13" t="s">
        <v>26</v>
      </c>
      <c r="C3750" s="13" t="s">
        <v>226</v>
      </c>
      <c r="D3750" s="14" t="s">
        <v>164</v>
      </c>
      <c r="E3750" s="13" t="s">
        <v>61</v>
      </c>
      <c r="F3750" s="13" t="s">
        <v>1223</v>
      </c>
      <c r="G3750" s="13">
        <v>0.70000000000000007</v>
      </c>
      <c r="H3750" s="15">
        <v>1219</v>
      </c>
      <c r="I3750" s="16">
        <v>853.30000000000007</v>
      </c>
      <c r="J3750" s="16">
        <v>670.39202641610882</v>
      </c>
      <c r="K3750" s="16">
        <v>182.90797358389119</v>
      </c>
      <c r="L3750" s="13">
        <v>1.3</v>
      </c>
      <c r="M3750" s="13"/>
      <c r="N3750" s="17">
        <f t="shared" ref="N3750:O3805" si="125">$H3750*L3750</f>
        <v>1584.7</v>
      </c>
      <c r="O3750" s="17">
        <f t="shared" si="125"/>
        <v>0</v>
      </c>
      <c r="P3750" s="17">
        <f t="shared" si="124"/>
        <v>1584.7</v>
      </c>
      <c r="Q3750" t="str">
        <f>A3750&amp;"-"&amp;B3750&amp;"-"&amp;D3750</f>
        <v>AGUSTUS-MJ2-L7</v>
      </c>
    </row>
    <row r="3751" spans="1:17" x14ac:dyDescent="0.25">
      <c r="A3751" t="s">
        <v>398</v>
      </c>
      <c r="B3751" s="13" t="s">
        <v>26</v>
      </c>
      <c r="C3751" s="13" t="s">
        <v>226</v>
      </c>
      <c r="D3751" s="14" t="s">
        <v>164</v>
      </c>
      <c r="E3751" s="13" t="s">
        <v>61</v>
      </c>
      <c r="F3751" s="13" t="s">
        <v>1224</v>
      </c>
      <c r="G3751" s="13">
        <v>0.7</v>
      </c>
      <c r="H3751" s="15">
        <v>199</v>
      </c>
      <c r="I3751" s="16">
        <v>139.30000000000001</v>
      </c>
      <c r="J3751" s="16">
        <v>120.9336488187534</v>
      </c>
      <c r="K3751" s="16">
        <v>18.36635118124661</v>
      </c>
      <c r="L3751" s="13">
        <v>1.3</v>
      </c>
      <c r="M3751" s="13"/>
      <c r="N3751" s="17">
        <f t="shared" si="125"/>
        <v>258.7</v>
      </c>
      <c r="O3751" s="17">
        <f t="shared" si="125"/>
        <v>0</v>
      </c>
      <c r="P3751" s="17">
        <f t="shared" si="124"/>
        <v>258.7</v>
      </c>
      <c r="Q3751" t="str">
        <f>A3751&amp;"-"&amp;B3751&amp;"-"&amp;D3751</f>
        <v>AGUSTUS-MJ2-L7</v>
      </c>
    </row>
    <row r="3752" spans="1:17" x14ac:dyDescent="0.25">
      <c r="A3752" t="s">
        <v>398</v>
      </c>
      <c r="B3752" s="13" t="s">
        <v>26</v>
      </c>
      <c r="C3752" s="13" t="s">
        <v>226</v>
      </c>
      <c r="D3752" s="14" t="s">
        <v>164</v>
      </c>
      <c r="E3752" s="13" t="s">
        <v>61</v>
      </c>
      <c r="F3752" s="13" t="s">
        <v>1226</v>
      </c>
      <c r="G3752" s="13">
        <v>0.72</v>
      </c>
      <c r="H3752" s="15">
        <v>339</v>
      </c>
      <c r="I3752" s="16">
        <v>244.07999999999998</v>
      </c>
      <c r="J3752" s="16">
        <v>218.311936158788</v>
      </c>
      <c r="K3752" s="16">
        <v>25.768063841211998</v>
      </c>
      <c r="L3752" s="13">
        <v>1.34</v>
      </c>
      <c r="M3752" s="13"/>
      <c r="N3752" s="17">
        <f t="shared" si="125"/>
        <v>454.26000000000005</v>
      </c>
      <c r="O3752" s="17">
        <f t="shared" si="125"/>
        <v>0</v>
      </c>
      <c r="P3752" s="17">
        <f t="shared" si="124"/>
        <v>454.26000000000005</v>
      </c>
      <c r="Q3752" t="str">
        <f>A3752&amp;"-"&amp;B3752&amp;"-"&amp;D3752</f>
        <v>AGUSTUS-MJ2-L7</v>
      </c>
    </row>
    <row r="3753" spans="1:17" x14ac:dyDescent="0.25">
      <c r="A3753" t="s">
        <v>398</v>
      </c>
      <c r="B3753" s="13" t="s">
        <v>26</v>
      </c>
      <c r="C3753" s="13" t="s">
        <v>226</v>
      </c>
      <c r="D3753" s="14" t="s">
        <v>164</v>
      </c>
      <c r="E3753" s="13" t="s">
        <v>61</v>
      </c>
      <c r="F3753" s="13" t="s">
        <v>1228</v>
      </c>
      <c r="G3753" s="13">
        <v>0.71999999999999986</v>
      </c>
      <c r="H3753" s="15">
        <v>481</v>
      </c>
      <c r="I3753" s="16">
        <v>346.32000000000005</v>
      </c>
      <c r="J3753" s="16">
        <v>314.74459496543614</v>
      </c>
      <c r="K3753" s="16">
        <v>31.575405034563911</v>
      </c>
      <c r="L3753" s="13">
        <v>1.34</v>
      </c>
      <c r="M3753" s="13"/>
      <c r="N3753" s="17">
        <f t="shared" si="125"/>
        <v>644.54000000000008</v>
      </c>
      <c r="O3753" s="17">
        <f t="shared" si="125"/>
        <v>0</v>
      </c>
      <c r="P3753" s="17">
        <f t="shared" si="124"/>
        <v>644.54000000000008</v>
      </c>
      <c r="Q3753" t="str">
        <f>A3753&amp;"-"&amp;B3753&amp;"-"&amp;D3753</f>
        <v>AGUSTUS-MJ2-L7</v>
      </c>
    </row>
    <row r="3754" spans="1:17" x14ac:dyDescent="0.25">
      <c r="A3754" t="s">
        <v>398</v>
      </c>
      <c r="B3754" s="13" t="s">
        <v>26</v>
      </c>
      <c r="C3754" s="13" t="s">
        <v>226</v>
      </c>
      <c r="D3754" s="14" t="s">
        <v>164</v>
      </c>
      <c r="E3754" s="13" t="s">
        <v>61</v>
      </c>
      <c r="F3754" s="13" t="s">
        <v>1408</v>
      </c>
      <c r="G3754" s="13">
        <v>0.65</v>
      </c>
      <c r="H3754" s="15">
        <v>3286</v>
      </c>
      <c r="I3754" s="16">
        <v>2135.9</v>
      </c>
      <c r="J3754" s="16">
        <v>1859.6455355407104</v>
      </c>
      <c r="K3754" s="16">
        <v>276.25446445928935</v>
      </c>
      <c r="L3754" s="13">
        <v>1.64</v>
      </c>
      <c r="M3754" s="13"/>
      <c r="N3754" s="17">
        <f t="shared" si="125"/>
        <v>5389.04</v>
      </c>
      <c r="O3754" s="17">
        <f t="shared" si="125"/>
        <v>0</v>
      </c>
      <c r="P3754" s="17">
        <f t="shared" si="124"/>
        <v>5389.04</v>
      </c>
      <c r="Q3754" t="str">
        <f>A3754&amp;"-"&amp;B3754&amp;"-"&amp;D3754</f>
        <v>AGUSTUS-MJ2-L7</v>
      </c>
    </row>
    <row r="3755" spans="1:17" x14ac:dyDescent="0.25">
      <c r="A3755" t="s">
        <v>398</v>
      </c>
      <c r="B3755" s="13" t="s">
        <v>26</v>
      </c>
      <c r="C3755" s="13" t="s">
        <v>226</v>
      </c>
      <c r="D3755" s="14" t="s">
        <v>164</v>
      </c>
      <c r="E3755" s="13" t="s">
        <v>61</v>
      </c>
      <c r="F3755" s="13" t="s">
        <v>1409</v>
      </c>
      <c r="G3755" s="13">
        <v>0.65</v>
      </c>
      <c r="H3755" s="15">
        <v>2152</v>
      </c>
      <c r="I3755" s="16">
        <v>1398.8</v>
      </c>
      <c r="J3755" s="16">
        <v>1213.0214044312079</v>
      </c>
      <c r="K3755" s="16">
        <v>185.77859556879196</v>
      </c>
      <c r="L3755" s="13">
        <v>1.64</v>
      </c>
      <c r="M3755" s="13"/>
      <c r="N3755" s="17">
        <f t="shared" si="125"/>
        <v>3529.2799999999997</v>
      </c>
      <c r="O3755" s="17">
        <f t="shared" si="125"/>
        <v>0</v>
      </c>
      <c r="P3755" s="17">
        <f t="shared" si="124"/>
        <v>3529.2799999999997</v>
      </c>
      <c r="Q3755" t="str">
        <f>A3755&amp;"-"&amp;B3755&amp;"-"&amp;D3755</f>
        <v>AGUSTUS-MJ2-L7</v>
      </c>
    </row>
    <row r="3756" spans="1:17" x14ac:dyDescent="0.25">
      <c r="A3756" t="s">
        <v>398</v>
      </c>
      <c r="B3756" s="13" t="s">
        <v>26</v>
      </c>
      <c r="C3756" s="13" t="s">
        <v>226</v>
      </c>
      <c r="D3756" s="14" t="s">
        <v>164</v>
      </c>
      <c r="E3756" s="13" t="s">
        <v>61</v>
      </c>
      <c r="F3756" s="13" t="s">
        <v>1390</v>
      </c>
      <c r="G3756" s="13">
        <v>0.65</v>
      </c>
      <c r="H3756" s="15">
        <v>1883</v>
      </c>
      <c r="I3756" s="16">
        <v>1223.95</v>
      </c>
      <c r="J3756" s="16">
        <v>1141.0315119647826</v>
      </c>
      <c r="K3756" s="16">
        <v>82.918488035217081</v>
      </c>
      <c r="L3756" s="13">
        <v>1.66</v>
      </c>
      <c r="M3756" s="13"/>
      <c r="N3756" s="17">
        <f t="shared" si="125"/>
        <v>3125.7799999999997</v>
      </c>
      <c r="O3756" s="17">
        <f t="shared" si="125"/>
        <v>0</v>
      </c>
      <c r="P3756" s="17">
        <f t="shared" si="124"/>
        <v>3125.7799999999997</v>
      </c>
      <c r="Q3756" t="str">
        <f>A3756&amp;"-"&amp;B3756&amp;"-"&amp;D3756</f>
        <v>AGUSTUS-MJ2-L7</v>
      </c>
    </row>
    <row r="3757" spans="1:17" x14ac:dyDescent="0.25">
      <c r="A3757" t="s">
        <v>398</v>
      </c>
      <c r="B3757" s="13" t="s">
        <v>26</v>
      </c>
      <c r="C3757" s="13" t="s">
        <v>226</v>
      </c>
      <c r="D3757" s="14" t="s">
        <v>164</v>
      </c>
      <c r="E3757" s="13" t="s">
        <v>61</v>
      </c>
      <c r="F3757" s="13" t="s">
        <v>1229</v>
      </c>
      <c r="G3757" s="13">
        <v>0.65</v>
      </c>
      <c r="H3757" s="15">
        <v>42</v>
      </c>
      <c r="I3757" s="16">
        <v>27.3</v>
      </c>
      <c r="J3757" s="16">
        <v>26.514096185737976</v>
      </c>
      <c r="K3757" s="16">
        <v>0.78590381426202427</v>
      </c>
      <c r="L3757" s="13">
        <v>1.66</v>
      </c>
      <c r="M3757" s="13"/>
      <c r="N3757" s="17">
        <f t="shared" si="125"/>
        <v>69.72</v>
      </c>
      <c r="O3757" s="17">
        <f t="shared" si="125"/>
        <v>0</v>
      </c>
      <c r="P3757" s="17">
        <f t="shared" si="124"/>
        <v>69.72</v>
      </c>
      <c r="Q3757" t="str">
        <f>A3757&amp;"-"&amp;B3757&amp;"-"&amp;D3757</f>
        <v>AGUSTUS-MJ2-L7</v>
      </c>
    </row>
    <row r="3758" spans="1:17" x14ac:dyDescent="0.25">
      <c r="A3758" t="s">
        <v>398</v>
      </c>
      <c r="B3758" s="13" t="s">
        <v>26</v>
      </c>
      <c r="C3758" s="13" t="s">
        <v>226</v>
      </c>
      <c r="D3758" s="14" t="s">
        <v>164</v>
      </c>
      <c r="E3758" s="13" t="s">
        <v>61</v>
      </c>
      <c r="F3758" s="13" t="s">
        <v>1166</v>
      </c>
      <c r="G3758" s="13">
        <v>0.65</v>
      </c>
      <c r="H3758" s="15">
        <v>7626</v>
      </c>
      <c r="I3758" s="16">
        <v>4956.8999999999996</v>
      </c>
      <c r="J3758" s="16">
        <v>4501.4770973972427</v>
      </c>
      <c r="K3758" s="16">
        <v>455.42290260275718</v>
      </c>
      <c r="L3758" s="13">
        <v>1.66</v>
      </c>
      <c r="M3758" s="13"/>
      <c r="N3758" s="17">
        <f t="shared" si="125"/>
        <v>12659.16</v>
      </c>
      <c r="O3758" s="17">
        <f t="shared" si="125"/>
        <v>0</v>
      </c>
      <c r="P3758" s="17">
        <f t="shared" si="124"/>
        <v>12659.16</v>
      </c>
      <c r="Q3758" t="str">
        <f>A3758&amp;"-"&amp;B3758&amp;"-"&amp;D3758</f>
        <v>AGUSTUS-MJ2-L7</v>
      </c>
    </row>
    <row r="3759" spans="1:17" x14ac:dyDescent="0.25">
      <c r="A3759" t="s">
        <v>398</v>
      </c>
      <c r="B3759" s="13" t="s">
        <v>26</v>
      </c>
      <c r="C3759" s="13" t="s">
        <v>226</v>
      </c>
      <c r="D3759" s="14" t="s">
        <v>164</v>
      </c>
      <c r="E3759" s="13" t="s">
        <v>61</v>
      </c>
      <c r="F3759" s="13" t="s">
        <v>1410</v>
      </c>
      <c r="G3759" s="13">
        <v>0.65</v>
      </c>
      <c r="H3759" s="15">
        <v>2045</v>
      </c>
      <c r="I3759" s="16">
        <v>1329.25</v>
      </c>
      <c r="J3759" s="16">
        <v>1220.8452716475472</v>
      </c>
      <c r="K3759" s="16">
        <v>108.40472835245282</v>
      </c>
      <c r="L3759" s="13">
        <v>1.64</v>
      </c>
      <c r="M3759" s="13"/>
      <c r="N3759" s="17">
        <f t="shared" si="125"/>
        <v>3353.7999999999997</v>
      </c>
      <c r="O3759" s="17">
        <f t="shared" si="125"/>
        <v>0</v>
      </c>
      <c r="P3759" s="17">
        <f t="shared" si="124"/>
        <v>3353.7999999999997</v>
      </c>
      <c r="Q3759" t="str">
        <f>A3759&amp;"-"&amp;B3759&amp;"-"&amp;D3759</f>
        <v>AGUSTUS-MJ2-L7</v>
      </c>
    </row>
    <row r="3760" spans="1:17" x14ac:dyDescent="0.25">
      <c r="A3760" t="s">
        <v>398</v>
      </c>
      <c r="B3760" s="13" t="s">
        <v>26</v>
      </c>
      <c r="C3760" s="13" t="s">
        <v>226</v>
      </c>
      <c r="D3760" s="14" t="s">
        <v>164</v>
      </c>
      <c r="E3760" s="13" t="s">
        <v>61</v>
      </c>
      <c r="F3760" s="13" t="s">
        <v>1231</v>
      </c>
      <c r="G3760" s="13">
        <v>0.88</v>
      </c>
      <c r="H3760" s="15">
        <v>197</v>
      </c>
      <c r="I3760" s="16">
        <v>173.35999999999999</v>
      </c>
      <c r="J3760" s="16">
        <v>126.14002244782782</v>
      </c>
      <c r="K3760" s="16">
        <v>47.219977552172182</v>
      </c>
      <c r="L3760" s="13">
        <v>2.65</v>
      </c>
      <c r="M3760" s="13"/>
      <c r="N3760" s="17">
        <f t="shared" si="125"/>
        <v>522.04999999999995</v>
      </c>
      <c r="O3760" s="17">
        <f t="shared" si="125"/>
        <v>0</v>
      </c>
      <c r="P3760" s="17">
        <f t="shared" si="124"/>
        <v>522.04999999999995</v>
      </c>
      <c r="Q3760" t="str">
        <f>A3760&amp;"-"&amp;B3760&amp;"-"&amp;D3760</f>
        <v>AGUSTUS-MJ2-L7</v>
      </c>
    </row>
    <row r="3761" spans="1:17" x14ac:dyDescent="0.25">
      <c r="A3761" t="s">
        <v>398</v>
      </c>
      <c r="B3761" s="13" t="s">
        <v>26</v>
      </c>
      <c r="C3761" s="13" t="s">
        <v>226</v>
      </c>
      <c r="D3761" s="14" t="s">
        <v>198</v>
      </c>
      <c r="E3761" s="13" t="s">
        <v>61</v>
      </c>
      <c r="F3761" s="13" t="s">
        <v>1362</v>
      </c>
      <c r="G3761" s="13">
        <v>0.65</v>
      </c>
      <c r="H3761" s="15">
        <v>598</v>
      </c>
      <c r="I3761" s="16">
        <v>388.7</v>
      </c>
      <c r="J3761" s="16">
        <v>426.60493551713063</v>
      </c>
      <c r="K3761" s="16">
        <v>-37.904935517130646</v>
      </c>
      <c r="L3761" s="13">
        <v>1.91</v>
      </c>
      <c r="M3761" s="13"/>
      <c r="N3761" s="17">
        <f t="shared" si="125"/>
        <v>1142.18</v>
      </c>
      <c r="O3761" s="17">
        <f t="shared" si="125"/>
        <v>0</v>
      </c>
      <c r="P3761" s="17">
        <f t="shared" si="124"/>
        <v>1142.18</v>
      </c>
      <c r="Q3761" t="str">
        <f>A3761&amp;"-"&amp;B3761&amp;"-"&amp;D3761</f>
        <v>AGUSTUS-MJ2-L8</v>
      </c>
    </row>
    <row r="3762" spans="1:17" x14ac:dyDescent="0.25">
      <c r="A3762" t="s">
        <v>398</v>
      </c>
      <c r="B3762" s="13" t="s">
        <v>26</v>
      </c>
      <c r="C3762" s="13" t="s">
        <v>226</v>
      </c>
      <c r="D3762" s="14" t="s">
        <v>198</v>
      </c>
      <c r="E3762" s="13" t="s">
        <v>61</v>
      </c>
      <c r="F3762" s="13" t="s">
        <v>1412</v>
      </c>
      <c r="G3762" s="13">
        <v>0.68</v>
      </c>
      <c r="H3762" s="15">
        <v>1357</v>
      </c>
      <c r="I3762" s="16">
        <v>922.76</v>
      </c>
      <c r="J3762" s="16">
        <v>968.55875000000003</v>
      </c>
      <c r="K3762" s="16">
        <v>-45.798750000000041</v>
      </c>
      <c r="L3762" s="13">
        <v>1.82</v>
      </c>
      <c r="M3762" s="13"/>
      <c r="N3762" s="17">
        <f t="shared" si="125"/>
        <v>2469.7400000000002</v>
      </c>
      <c r="O3762" s="17">
        <f t="shared" si="125"/>
        <v>0</v>
      </c>
      <c r="P3762" s="17">
        <f t="shared" si="124"/>
        <v>2469.7400000000002</v>
      </c>
      <c r="Q3762" t="str">
        <f>A3762&amp;"-"&amp;B3762&amp;"-"&amp;D3762</f>
        <v>AGUSTUS-MJ2-L8</v>
      </c>
    </row>
    <row r="3763" spans="1:17" x14ac:dyDescent="0.25">
      <c r="A3763" t="s">
        <v>398</v>
      </c>
      <c r="B3763" s="13" t="s">
        <v>26</v>
      </c>
      <c r="C3763" s="13" t="s">
        <v>226</v>
      </c>
      <c r="D3763" s="14" t="s">
        <v>198</v>
      </c>
      <c r="E3763" s="13" t="s">
        <v>61</v>
      </c>
      <c r="F3763" s="13" t="s">
        <v>1363</v>
      </c>
      <c r="G3763" s="13">
        <v>0.66</v>
      </c>
      <c r="H3763" s="15">
        <v>4383</v>
      </c>
      <c r="I3763" s="16">
        <v>2892.78</v>
      </c>
      <c r="J3763" s="16">
        <v>2856.4178660172997</v>
      </c>
      <c r="K3763" s="16">
        <v>36.362133982700499</v>
      </c>
      <c r="L3763" s="13">
        <v>1.71</v>
      </c>
      <c r="M3763" s="13"/>
      <c r="N3763" s="17">
        <f t="shared" si="125"/>
        <v>7494.93</v>
      </c>
      <c r="O3763" s="17">
        <f t="shared" si="125"/>
        <v>0</v>
      </c>
      <c r="P3763" s="17">
        <f t="shared" si="124"/>
        <v>7494.93</v>
      </c>
      <c r="Q3763" t="str">
        <f>A3763&amp;"-"&amp;B3763&amp;"-"&amp;D3763</f>
        <v>AGUSTUS-MJ2-L8</v>
      </c>
    </row>
    <row r="3764" spans="1:17" x14ac:dyDescent="0.25">
      <c r="A3764" t="s">
        <v>398</v>
      </c>
      <c r="B3764" s="13" t="s">
        <v>26</v>
      </c>
      <c r="C3764" s="13" t="s">
        <v>226</v>
      </c>
      <c r="D3764" s="14" t="s">
        <v>198</v>
      </c>
      <c r="E3764" s="13" t="s">
        <v>61</v>
      </c>
      <c r="F3764" s="13" t="s">
        <v>1364</v>
      </c>
      <c r="G3764" s="13">
        <v>0.80000000000000016</v>
      </c>
      <c r="H3764" s="15">
        <v>3913</v>
      </c>
      <c r="I3764" s="16">
        <v>3130.4</v>
      </c>
      <c r="J3764" s="16">
        <v>2672.6021701398954</v>
      </c>
      <c r="K3764" s="16">
        <v>457.79782986010434</v>
      </c>
      <c r="L3764" s="13">
        <v>2.1</v>
      </c>
      <c r="M3764" s="13"/>
      <c r="N3764" s="17">
        <f t="shared" si="125"/>
        <v>8217.3000000000011</v>
      </c>
      <c r="O3764" s="17">
        <f t="shared" si="125"/>
        <v>0</v>
      </c>
      <c r="P3764" s="17">
        <f t="shared" si="124"/>
        <v>8217.3000000000011</v>
      </c>
      <c r="Q3764" t="str">
        <f>A3764&amp;"-"&amp;B3764&amp;"-"&amp;D3764</f>
        <v>AGUSTUS-MJ2-L8</v>
      </c>
    </row>
    <row r="3765" spans="1:17" x14ac:dyDescent="0.25">
      <c r="A3765" t="s">
        <v>398</v>
      </c>
      <c r="B3765" s="13" t="s">
        <v>26</v>
      </c>
      <c r="C3765" s="13" t="s">
        <v>226</v>
      </c>
      <c r="D3765" s="14" t="s">
        <v>198</v>
      </c>
      <c r="E3765" s="13" t="s">
        <v>61</v>
      </c>
      <c r="F3765" s="13" t="s">
        <v>1366</v>
      </c>
      <c r="G3765" s="13">
        <v>0.66</v>
      </c>
      <c r="H3765" s="15">
        <v>1071</v>
      </c>
      <c r="I3765" s="16">
        <v>706.8599999999999</v>
      </c>
      <c r="J3765" s="16">
        <v>698.092694980695</v>
      </c>
      <c r="K3765" s="16">
        <v>8.7673050193049349</v>
      </c>
      <c r="L3765" s="13">
        <v>1.73</v>
      </c>
      <c r="M3765" s="13"/>
      <c r="N3765" s="17">
        <f t="shared" si="125"/>
        <v>1852.83</v>
      </c>
      <c r="O3765" s="17">
        <f t="shared" si="125"/>
        <v>0</v>
      </c>
      <c r="P3765" s="17">
        <f t="shared" si="124"/>
        <v>1852.83</v>
      </c>
      <c r="Q3765" t="str">
        <f>A3765&amp;"-"&amp;B3765&amp;"-"&amp;D3765</f>
        <v>AGUSTUS-MJ2-L8</v>
      </c>
    </row>
    <row r="3766" spans="1:17" x14ac:dyDescent="0.25">
      <c r="A3766" t="s">
        <v>398</v>
      </c>
      <c r="B3766" s="13" t="s">
        <v>26</v>
      </c>
      <c r="C3766" s="13" t="s">
        <v>226</v>
      </c>
      <c r="D3766" s="14" t="s">
        <v>198</v>
      </c>
      <c r="E3766" s="13" t="s">
        <v>61</v>
      </c>
      <c r="F3766" s="13" t="s">
        <v>1367</v>
      </c>
      <c r="G3766" s="13">
        <v>0.63</v>
      </c>
      <c r="H3766" s="15">
        <v>2</v>
      </c>
      <c r="I3766" s="16">
        <v>1.26</v>
      </c>
      <c r="J3766" s="16">
        <v>1.3474926253687316</v>
      </c>
      <c r="K3766" s="16">
        <v>-8.7492625368731591E-2</v>
      </c>
      <c r="L3766" s="13">
        <v>1.87</v>
      </c>
      <c r="M3766" s="13"/>
      <c r="N3766" s="17">
        <f t="shared" si="125"/>
        <v>3.74</v>
      </c>
      <c r="O3766" s="17">
        <f t="shared" si="125"/>
        <v>0</v>
      </c>
      <c r="P3766" s="17">
        <f t="shared" si="124"/>
        <v>3.74</v>
      </c>
      <c r="Q3766" t="str">
        <f>A3766&amp;"-"&amp;B3766&amp;"-"&amp;D3766</f>
        <v>AGUSTUS-MJ2-L8</v>
      </c>
    </row>
    <row r="3767" spans="1:17" x14ac:dyDescent="0.25">
      <c r="A3767" t="s">
        <v>398</v>
      </c>
      <c r="B3767" s="13" t="s">
        <v>26</v>
      </c>
      <c r="C3767" s="13" t="s">
        <v>226</v>
      </c>
      <c r="D3767" s="14" t="s">
        <v>198</v>
      </c>
      <c r="E3767" s="13" t="s">
        <v>61</v>
      </c>
      <c r="F3767" s="13" t="s">
        <v>1187</v>
      </c>
      <c r="G3767" s="13">
        <v>0.79</v>
      </c>
      <c r="H3767" s="15">
        <v>1317</v>
      </c>
      <c r="I3767" s="16">
        <v>1040.4299999999998</v>
      </c>
      <c r="J3767" s="16">
        <v>985.05625062594004</v>
      </c>
      <c r="K3767" s="16">
        <v>55.37374937405999</v>
      </c>
      <c r="L3767" s="13">
        <v>2.14</v>
      </c>
      <c r="M3767" s="13"/>
      <c r="N3767" s="17">
        <f t="shared" si="125"/>
        <v>2818.38</v>
      </c>
      <c r="O3767" s="17">
        <f t="shared" si="125"/>
        <v>0</v>
      </c>
      <c r="P3767" s="17">
        <f t="shared" si="124"/>
        <v>2818.38</v>
      </c>
      <c r="Q3767" t="str">
        <f>A3767&amp;"-"&amp;B3767&amp;"-"&amp;D3767</f>
        <v>AGUSTUS-MJ2-L8</v>
      </c>
    </row>
    <row r="3768" spans="1:17" x14ac:dyDescent="0.25">
      <c r="A3768" t="s">
        <v>398</v>
      </c>
      <c r="B3768" s="13" t="s">
        <v>26</v>
      </c>
      <c r="C3768" s="13" t="s">
        <v>226</v>
      </c>
      <c r="D3768" s="14" t="s">
        <v>198</v>
      </c>
      <c r="E3768" s="13" t="s">
        <v>61</v>
      </c>
      <c r="F3768" s="13" t="s">
        <v>1368</v>
      </c>
      <c r="G3768" s="13">
        <v>0.79</v>
      </c>
      <c r="H3768" s="15">
        <v>318</v>
      </c>
      <c r="I3768" s="16">
        <v>251.22</v>
      </c>
      <c r="J3768" s="16">
        <v>216.80955223880596</v>
      </c>
      <c r="K3768" s="16">
        <v>34.410447761194035</v>
      </c>
      <c r="L3768" s="13">
        <v>2.14</v>
      </c>
      <c r="M3768" s="13"/>
      <c r="N3768" s="17">
        <f t="shared" si="125"/>
        <v>680.5200000000001</v>
      </c>
      <c r="O3768" s="17">
        <f t="shared" si="125"/>
        <v>0</v>
      </c>
      <c r="P3768" s="17">
        <f t="shared" si="124"/>
        <v>680.5200000000001</v>
      </c>
      <c r="Q3768" t="str">
        <f>A3768&amp;"-"&amp;B3768&amp;"-"&amp;D3768</f>
        <v>AGUSTUS-MJ2-L8</v>
      </c>
    </row>
    <row r="3769" spans="1:17" x14ac:dyDescent="0.25">
      <c r="A3769" t="s">
        <v>398</v>
      </c>
      <c r="B3769" s="13" t="s">
        <v>26</v>
      </c>
      <c r="C3769" s="13" t="s">
        <v>226</v>
      </c>
      <c r="D3769" s="14" t="s">
        <v>198</v>
      </c>
      <c r="E3769" s="13" t="s">
        <v>61</v>
      </c>
      <c r="F3769" s="13" t="s">
        <v>1188</v>
      </c>
      <c r="G3769" s="13">
        <v>0.72000000000000008</v>
      </c>
      <c r="H3769" s="15">
        <v>361</v>
      </c>
      <c r="I3769" s="16">
        <v>259.92</v>
      </c>
      <c r="J3769" s="16">
        <v>266.01171866737178</v>
      </c>
      <c r="K3769" s="16">
        <v>-6.0917186673717847</v>
      </c>
      <c r="L3769" s="13">
        <v>2.29</v>
      </c>
      <c r="M3769" s="13"/>
      <c r="N3769" s="17">
        <f t="shared" si="125"/>
        <v>826.69</v>
      </c>
      <c r="O3769" s="17">
        <f t="shared" si="125"/>
        <v>0</v>
      </c>
      <c r="P3769" s="17">
        <f t="shared" si="124"/>
        <v>826.69</v>
      </c>
      <c r="Q3769" t="str">
        <f>A3769&amp;"-"&amp;B3769&amp;"-"&amp;D3769</f>
        <v>AGUSTUS-MJ2-L8</v>
      </c>
    </row>
    <row r="3770" spans="1:17" x14ac:dyDescent="0.25">
      <c r="A3770" t="s">
        <v>398</v>
      </c>
      <c r="B3770" s="13" t="s">
        <v>26</v>
      </c>
      <c r="C3770" s="13" t="s">
        <v>226</v>
      </c>
      <c r="D3770" s="14" t="s">
        <v>198</v>
      </c>
      <c r="E3770" s="13" t="s">
        <v>61</v>
      </c>
      <c r="F3770" s="13" t="s">
        <v>1369</v>
      </c>
      <c r="G3770" s="13">
        <v>0.79</v>
      </c>
      <c r="H3770" s="15">
        <v>685</v>
      </c>
      <c r="I3770" s="16">
        <v>541.15</v>
      </c>
      <c r="J3770" s="16">
        <v>527.30636287857737</v>
      </c>
      <c r="K3770" s="16">
        <v>13.843637121422631</v>
      </c>
      <c r="L3770" s="13">
        <v>2.13</v>
      </c>
      <c r="M3770" s="13"/>
      <c r="N3770" s="17">
        <f t="shared" si="125"/>
        <v>1459.05</v>
      </c>
      <c r="O3770" s="17">
        <f t="shared" si="125"/>
        <v>0</v>
      </c>
      <c r="P3770" s="17">
        <f t="shared" si="124"/>
        <v>1459.05</v>
      </c>
      <c r="Q3770" t="str">
        <f>A3770&amp;"-"&amp;B3770&amp;"-"&amp;D3770</f>
        <v>AGUSTUS-MJ2-L8</v>
      </c>
    </row>
    <row r="3771" spans="1:17" x14ac:dyDescent="0.25">
      <c r="A3771" t="s">
        <v>398</v>
      </c>
      <c r="B3771" s="13" t="s">
        <v>26</v>
      </c>
      <c r="C3771" s="13" t="s">
        <v>226</v>
      </c>
      <c r="D3771" s="14" t="s">
        <v>198</v>
      </c>
      <c r="E3771" s="13" t="s">
        <v>61</v>
      </c>
      <c r="F3771" s="13" t="s">
        <v>1371</v>
      </c>
      <c r="G3771" s="13">
        <v>0.72</v>
      </c>
      <c r="H3771" s="15">
        <v>180</v>
      </c>
      <c r="I3771" s="16">
        <v>129.6</v>
      </c>
      <c r="J3771" s="16">
        <v>139.36271186440678</v>
      </c>
      <c r="K3771" s="16">
        <v>-9.7627118644067821</v>
      </c>
      <c r="L3771" s="13">
        <v>2.29</v>
      </c>
      <c r="M3771" s="13"/>
      <c r="N3771" s="17">
        <f t="shared" si="125"/>
        <v>412.2</v>
      </c>
      <c r="O3771" s="17">
        <f t="shared" si="125"/>
        <v>0</v>
      </c>
      <c r="P3771" s="17">
        <f t="shared" si="124"/>
        <v>412.2</v>
      </c>
      <c r="Q3771" t="str">
        <f>A3771&amp;"-"&amp;B3771&amp;"-"&amp;D3771</f>
        <v>AGUSTUS-MJ2-L8</v>
      </c>
    </row>
    <row r="3772" spans="1:17" x14ac:dyDescent="0.25">
      <c r="A3772" t="s">
        <v>398</v>
      </c>
      <c r="B3772" s="13" t="s">
        <v>26</v>
      </c>
      <c r="C3772" s="13" t="s">
        <v>226</v>
      </c>
      <c r="D3772" s="14" t="s">
        <v>198</v>
      </c>
      <c r="E3772" s="13" t="s">
        <v>61</v>
      </c>
      <c r="F3772" s="13" t="s">
        <v>1191</v>
      </c>
      <c r="G3772" s="13">
        <v>0.79</v>
      </c>
      <c r="H3772" s="15">
        <v>332</v>
      </c>
      <c r="I3772" s="16">
        <v>262.28000000000003</v>
      </c>
      <c r="J3772" s="16">
        <v>246.03456510384478</v>
      </c>
      <c r="K3772" s="16">
        <v>16.245434896155231</v>
      </c>
      <c r="L3772" s="13">
        <v>2.14</v>
      </c>
      <c r="M3772" s="13"/>
      <c r="N3772" s="17">
        <f t="shared" si="125"/>
        <v>710.48</v>
      </c>
      <c r="O3772" s="17">
        <f t="shared" si="125"/>
        <v>0</v>
      </c>
      <c r="P3772" s="17">
        <f t="shared" si="124"/>
        <v>710.48</v>
      </c>
      <c r="Q3772" t="str">
        <f>A3772&amp;"-"&amp;B3772&amp;"-"&amp;D3772</f>
        <v>AGUSTUS-MJ2-L8</v>
      </c>
    </row>
    <row r="3773" spans="1:17" x14ac:dyDescent="0.25">
      <c r="A3773" t="s">
        <v>398</v>
      </c>
      <c r="B3773" s="13" t="s">
        <v>26</v>
      </c>
      <c r="C3773" s="13" t="s">
        <v>226</v>
      </c>
      <c r="D3773" s="14" t="s">
        <v>198</v>
      </c>
      <c r="E3773" s="13" t="s">
        <v>61</v>
      </c>
      <c r="F3773" s="13" t="s">
        <v>1372</v>
      </c>
      <c r="G3773" s="13">
        <v>0.79</v>
      </c>
      <c r="H3773" s="15">
        <v>3408</v>
      </c>
      <c r="I3773" s="16">
        <v>2692.32</v>
      </c>
      <c r="J3773" s="16">
        <v>2388.1720055112673</v>
      </c>
      <c r="K3773" s="16">
        <v>304.14799448873214</v>
      </c>
      <c r="L3773" s="13">
        <v>2.14</v>
      </c>
      <c r="M3773" s="13"/>
      <c r="N3773" s="17">
        <f t="shared" si="125"/>
        <v>7293.1200000000008</v>
      </c>
      <c r="O3773" s="17">
        <f t="shared" si="125"/>
        <v>0</v>
      </c>
      <c r="P3773" s="17">
        <f t="shared" si="124"/>
        <v>7293.1200000000008</v>
      </c>
      <c r="Q3773" t="str">
        <f>A3773&amp;"-"&amp;B3773&amp;"-"&amp;D3773</f>
        <v>AGUSTUS-MJ2-L8</v>
      </c>
    </row>
    <row r="3774" spans="1:17" x14ac:dyDescent="0.25">
      <c r="A3774" t="s">
        <v>398</v>
      </c>
      <c r="B3774" s="13" t="s">
        <v>26</v>
      </c>
      <c r="C3774" s="13" t="s">
        <v>226</v>
      </c>
      <c r="D3774" s="14" t="s">
        <v>198</v>
      </c>
      <c r="E3774" s="13" t="s">
        <v>61</v>
      </c>
      <c r="F3774" s="13" t="s">
        <v>1232</v>
      </c>
      <c r="G3774" s="13">
        <v>0.71999999999999986</v>
      </c>
      <c r="H3774" s="15">
        <v>581</v>
      </c>
      <c r="I3774" s="16">
        <v>418.32</v>
      </c>
      <c r="J3774" s="16">
        <v>428.67181413088969</v>
      </c>
      <c r="K3774" s="16">
        <v>-10.351814130889716</v>
      </c>
      <c r="L3774" s="13">
        <v>2.29</v>
      </c>
      <c r="M3774" s="13"/>
      <c r="N3774" s="17">
        <f t="shared" si="125"/>
        <v>1330.49</v>
      </c>
      <c r="O3774" s="17">
        <f t="shared" si="125"/>
        <v>0</v>
      </c>
      <c r="P3774" s="17">
        <f t="shared" si="124"/>
        <v>1330.49</v>
      </c>
      <c r="Q3774" t="str">
        <f>A3774&amp;"-"&amp;B3774&amp;"-"&amp;D3774</f>
        <v>AGUSTUS-MJ2-L8</v>
      </c>
    </row>
    <row r="3775" spans="1:17" x14ac:dyDescent="0.25">
      <c r="A3775" t="s">
        <v>398</v>
      </c>
      <c r="B3775" s="13" t="s">
        <v>26</v>
      </c>
      <c r="C3775" s="13" t="s">
        <v>226</v>
      </c>
      <c r="D3775" s="14" t="s">
        <v>198</v>
      </c>
      <c r="E3775" s="13" t="s">
        <v>61</v>
      </c>
      <c r="F3775" s="13" t="s">
        <v>1373</v>
      </c>
      <c r="G3775" s="13">
        <v>0.79</v>
      </c>
      <c r="H3775" s="15">
        <v>2196</v>
      </c>
      <c r="I3775" s="16">
        <v>1734.84</v>
      </c>
      <c r="J3775" s="16">
        <v>1738.3682785885517</v>
      </c>
      <c r="K3775" s="16">
        <v>-3.5282785885519274</v>
      </c>
      <c r="L3775" s="13">
        <v>2.13</v>
      </c>
      <c r="M3775" s="13"/>
      <c r="N3775" s="17">
        <f t="shared" si="125"/>
        <v>4677.4799999999996</v>
      </c>
      <c r="O3775" s="17">
        <f t="shared" si="125"/>
        <v>0</v>
      </c>
      <c r="P3775" s="17">
        <f t="shared" si="124"/>
        <v>4677.4799999999996</v>
      </c>
      <c r="Q3775" t="str">
        <f>A3775&amp;"-"&amp;B3775&amp;"-"&amp;D3775</f>
        <v>AGUSTUS-MJ2-L8</v>
      </c>
    </row>
    <row r="3776" spans="1:17" x14ac:dyDescent="0.25">
      <c r="A3776" t="s">
        <v>398</v>
      </c>
      <c r="B3776" s="13" t="s">
        <v>26</v>
      </c>
      <c r="C3776" s="13" t="s">
        <v>226</v>
      </c>
      <c r="D3776" s="14" t="s">
        <v>198</v>
      </c>
      <c r="E3776" s="13" t="s">
        <v>61</v>
      </c>
      <c r="F3776" s="13" t="s">
        <v>1192</v>
      </c>
      <c r="G3776" s="13">
        <v>0.79</v>
      </c>
      <c r="H3776" s="15">
        <v>591</v>
      </c>
      <c r="I3776" s="16">
        <v>466.89</v>
      </c>
      <c r="J3776" s="16">
        <v>452.09915036078473</v>
      </c>
      <c r="K3776" s="16">
        <v>14.790849639215265</v>
      </c>
      <c r="L3776" s="13">
        <v>2.14</v>
      </c>
      <c r="M3776" s="13"/>
      <c r="N3776" s="17">
        <f t="shared" si="125"/>
        <v>1264.74</v>
      </c>
      <c r="O3776" s="17">
        <f t="shared" si="125"/>
        <v>0</v>
      </c>
      <c r="P3776" s="17">
        <f t="shared" si="124"/>
        <v>1264.74</v>
      </c>
      <c r="Q3776" t="str">
        <f>A3776&amp;"-"&amp;B3776&amp;"-"&amp;D3776</f>
        <v>AGUSTUS-MJ2-L8</v>
      </c>
    </row>
    <row r="3777" spans="1:17" x14ac:dyDescent="0.25">
      <c r="A3777" t="s">
        <v>398</v>
      </c>
      <c r="B3777" s="13" t="s">
        <v>26</v>
      </c>
      <c r="C3777" s="13" t="s">
        <v>226</v>
      </c>
      <c r="D3777" s="14" t="s">
        <v>198</v>
      </c>
      <c r="E3777" s="13" t="s">
        <v>61</v>
      </c>
      <c r="F3777" s="13" t="s">
        <v>1374</v>
      </c>
      <c r="G3777" s="13">
        <v>0.79</v>
      </c>
      <c r="H3777" s="15">
        <v>507</v>
      </c>
      <c r="I3777" s="16">
        <v>400.53</v>
      </c>
      <c r="J3777" s="16">
        <v>352.17129735935703</v>
      </c>
      <c r="K3777" s="16">
        <v>48.358702640642946</v>
      </c>
      <c r="L3777" s="13">
        <v>2.14</v>
      </c>
      <c r="M3777" s="13"/>
      <c r="N3777" s="17">
        <f t="shared" si="125"/>
        <v>1084.98</v>
      </c>
      <c r="O3777" s="17">
        <f t="shared" si="125"/>
        <v>0</v>
      </c>
      <c r="P3777" s="17">
        <f t="shared" si="124"/>
        <v>1084.98</v>
      </c>
      <c r="Q3777" t="str">
        <f>A3777&amp;"-"&amp;B3777&amp;"-"&amp;D3777</f>
        <v>AGUSTUS-MJ2-L8</v>
      </c>
    </row>
    <row r="3778" spans="1:17" x14ac:dyDescent="0.25">
      <c r="A3778" t="s">
        <v>398</v>
      </c>
      <c r="B3778" s="13" t="s">
        <v>26</v>
      </c>
      <c r="C3778" s="13" t="s">
        <v>226</v>
      </c>
      <c r="D3778" s="14" t="s">
        <v>198</v>
      </c>
      <c r="E3778" s="13" t="s">
        <v>61</v>
      </c>
      <c r="F3778" s="13" t="s">
        <v>1193</v>
      </c>
      <c r="G3778" s="13">
        <v>0.72000000000000008</v>
      </c>
      <c r="H3778" s="15">
        <v>254</v>
      </c>
      <c r="I3778" s="16">
        <v>182.88</v>
      </c>
      <c r="J3778" s="16">
        <v>185.01396305670741</v>
      </c>
      <c r="K3778" s="16">
        <v>-2.1339630567074042</v>
      </c>
      <c r="L3778" s="13">
        <v>2.29</v>
      </c>
      <c r="M3778" s="13"/>
      <c r="N3778" s="17">
        <f t="shared" si="125"/>
        <v>581.66</v>
      </c>
      <c r="O3778" s="17">
        <f t="shared" si="125"/>
        <v>0</v>
      </c>
      <c r="P3778" s="17">
        <f t="shared" ref="P3778:P3841" si="126">N3778+O3778</f>
        <v>581.66</v>
      </c>
      <c r="Q3778" t="str">
        <f>A3778&amp;"-"&amp;B3778&amp;"-"&amp;D3778</f>
        <v>AGUSTUS-MJ2-L8</v>
      </c>
    </row>
    <row r="3779" spans="1:17" x14ac:dyDescent="0.25">
      <c r="A3779" t="s">
        <v>398</v>
      </c>
      <c r="B3779" s="13" t="s">
        <v>26</v>
      </c>
      <c r="C3779" s="13" t="s">
        <v>226</v>
      </c>
      <c r="D3779" s="14" t="s">
        <v>198</v>
      </c>
      <c r="E3779" s="13" t="s">
        <v>61</v>
      </c>
      <c r="F3779" s="13" t="s">
        <v>1375</v>
      </c>
      <c r="G3779" s="13">
        <v>0.79</v>
      </c>
      <c r="H3779" s="15">
        <v>2775</v>
      </c>
      <c r="I3779" s="16">
        <v>2192.25</v>
      </c>
      <c r="J3779" s="16">
        <v>2083.3614286295406</v>
      </c>
      <c r="K3779" s="16">
        <v>108.88857137045943</v>
      </c>
      <c r="L3779" s="13">
        <v>2.14</v>
      </c>
      <c r="M3779" s="13"/>
      <c r="N3779" s="17">
        <f t="shared" si="125"/>
        <v>5938.5</v>
      </c>
      <c r="O3779" s="17">
        <f t="shared" si="125"/>
        <v>0</v>
      </c>
      <c r="P3779" s="17">
        <f t="shared" si="126"/>
        <v>5938.5</v>
      </c>
      <c r="Q3779" t="str">
        <f>A3779&amp;"-"&amp;B3779&amp;"-"&amp;D3779</f>
        <v>AGUSTUS-MJ2-L8</v>
      </c>
    </row>
    <row r="3780" spans="1:17" x14ac:dyDescent="0.25">
      <c r="A3780" t="s">
        <v>398</v>
      </c>
      <c r="B3780" s="13" t="s">
        <v>26</v>
      </c>
      <c r="C3780" s="13" t="s">
        <v>226</v>
      </c>
      <c r="D3780" s="14" t="s">
        <v>198</v>
      </c>
      <c r="E3780" s="13" t="s">
        <v>61</v>
      </c>
      <c r="F3780" s="13" t="s">
        <v>1376</v>
      </c>
      <c r="G3780" s="13">
        <v>0.72</v>
      </c>
      <c r="H3780" s="15">
        <v>45</v>
      </c>
      <c r="I3780" s="16">
        <v>32.4</v>
      </c>
      <c r="J3780" s="16">
        <v>39.530769230769231</v>
      </c>
      <c r="K3780" s="16">
        <v>-7.1307692307692321</v>
      </c>
      <c r="L3780" s="13">
        <v>2.29</v>
      </c>
      <c r="M3780" s="13"/>
      <c r="N3780" s="17">
        <f t="shared" si="125"/>
        <v>103.05</v>
      </c>
      <c r="O3780" s="17">
        <f t="shared" si="125"/>
        <v>0</v>
      </c>
      <c r="P3780" s="17">
        <f t="shared" si="126"/>
        <v>103.05</v>
      </c>
      <c r="Q3780" t="str">
        <f>A3780&amp;"-"&amp;B3780&amp;"-"&amp;D3780</f>
        <v>AGUSTUS-MJ2-L8</v>
      </c>
    </row>
    <row r="3781" spans="1:17" x14ac:dyDescent="0.25">
      <c r="A3781" t="s">
        <v>398</v>
      </c>
      <c r="B3781" s="13" t="s">
        <v>26</v>
      </c>
      <c r="C3781" s="13" t="s">
        <v>226</v>
      </c>
      <c r="D3781" s="14" t="s">
        <v>198</v>
      </c>
      <c r="E3781" s="13" t="s">
        <v>61</v>
      </c>
      <c r="F3781" s="13" t="s">
        <v>1165</v>
      </c>
      <c r="G3781" s="13">
        <v>0.65000000000000013</v>
      </c>
      <c r="H3781" s="15">
        <v>11435</v>
      </c>
      <c r="I3781" s="16">
        <v>7432.7500000000009</v>
      </c>
      <c r="J3781" s="16">
        <v>6933.9224372521676</v>
      </c>
      <c r="K3781" s="16">
        <v>498.8275627478323</v>
      </c>
      <c r="L3781" s="13">
        <v>1.66</v>
      </c>
      <c r="M3781" s="13"/>
      <c r="N3781" s="17">
        <f t="shared" si="125"/>
        <v>18982.099999999999</v>
      </c>
      <c r="O3781" s="17">
        <f t="shared" si="125"/>
        <v>0</v>
      </c>
      <c r="P3781" s="17">
        <f t="shared" si="126"/>
        <v>18982.099999999999</v>
      </c>
      <c r="Q3781" t="str">
        <f>A3781&amp;"-"&amp;B3781&amp;"-"&amp;D3781</f>
        <v>AGUSTUS-MJ2-L8</v>
      </c>
    </row>
    <row r="3782" spans="1:17" x14ac:dyDescent="0.25">
      <c r="A3782" t="s">
        <v>398</v>
      </c>
      <c r="B3782" s="13" t="s">
        <v>26</v>
      </c>
      <c r="C3782" s="13" t="s">
        <v>226</v>
      </c>
      <c r="D3782" s="14" t="s">
        <v>198</v>
      </c>
      <c r="E3782" s="13" t="s">
        <v>61</v>
      </c>
      <c r="F3782" s="13" t="s">
        <v>1377</v>
      </c>
      <c r="G3782" s="13">
        <v>0.65</v>
      </c>
      <c r="H3782" s="15">
        <v>854</v>
      </c>
      <c r="I3782" s="16">
        <v>555.1</v>
      </c>
      <c r="J3782" s="16">
        <v>518.4837852206274</v>
      </c>
      <c r="K3782" s="16">
        <v>36.616214779372626</v>
      </c>
      <c r="L3782" s="13">
        <v>1.66</v>
      </c>
      <c r="M3782" s="13"/>
      <c r="N3782" s="17">
        <f t="shared" si="125"/>
        <v>1417.6399999999999</v>
      </c>
      <c r="O3782" s="17">
        <f t="shared" si="125"/>
        <v>0</v>
      </c>
      <c r="P3782" s="17">
        <f t="shared" si="126"/>
        <v>1417.6399999999999</v>
      </c>
      <c r="Q3782" t="str">
        <f>A3782&amp;"-"&amp;B3782&amp;"-"&amp;D3782</f>
        <v>AGUSTUS-MJ2-L8</v>
      </c>
    </row>
    <row r="3783" spans="1:17" x14ac:dyDescent="0.25">
      <c r="A3783" t="s">
        <v>398</v>
      </c>
      <c r="B3783" s="13" t="s">
        <v>26</v>
      </c>
      <c r="C3783" s="13" t="s">
        <v>226</v>
      </c>
      <c r="D3783" s="14" t="s">
        <v>199</v>
      </c>
      <c r="E3783" s="13" t="s">
        <v>61</v>
      </c>
      <c r="F3783" s="13" t="s">
        <v>1362</v>
      </c>
      <c r="G3783" s="13">
        <v>0.65</v>
      </c>
      <c r="H3783" s="15">
        <v>598</v>
      </c>
      <c r="I3783" s="16">
        <v>388.7</v>
      </c>
      <c r="J3783" s="16">
        <v>426.86996583567293</v>
      </c>
      <c r="K3783" s="16">
        <v>-38.169965835672947</v>
      </c>
      <c r="L3783" s="13">
        <v>1.91</v>
      </c>
      <c r="M3783" s="13"/>
      <c r="N3783" s="17">
        <f t="shared" si="125"/>
        <v>1142.18</v>
      </c>
      <c r="O3783" s="17">
        <f t="shared" si="125"/>
        <v>0</v>
      </c>
      <c r="P3783" s="17">
        <f t="shared" si="126"/>
        <v>1142.18</v>
      </c>
      <c r="Q3783" t="str">
        <f>A3783&amp;"-"&amp;B3783&amp;"-"&amp;D3783</f>
        <v>AGUSTUS-MJ2-L9</v>
      </c>
    </row>
    <row r="3784" spans="1:17" x14ac:dyDescent="0.25">
      <c r="A3784" t="s">
        <v>398</v>
      </c>
      <c r="B3784" s="13" t="s">
        <v>26</v>
      </c>
      <c r="C3784" s="13" t="s">
        <v>226</v>
      </c>
      <c r="D3784" s="14" t="s">
        <v>199</v>
      </c>
      <c r="E3784" s="13" t="s">
        <v>61</v>
      </c>
      <c r="F3784" s="13" t="s">
        <v>1412</v>
      </c>
      <c r="G3784" s="13">
        <v>0.68</v>
      </c>
      <c r="H3784" s="15">
        <v>1358</v>
      </c>
      <c r="I3784" s="16">
        <v>923.44</v>
      </c>
      <c r="J3784" s="16">
        <v>969.27250000000004</v>
      </c>
      <c r="K3784" s="16">
        <v>-45.832499999999982</v>
      </c>
      <c r="L3784" s="13">
        <v>1.82</v>
      </c>
      <c r="M3784" s="13"/>
      <c r="N3784" s="17">
        <f t="shared" si="125"/>
        <v>2471.56</v>
      </c>
      <c r="O3784" s="17">
        <f t="shared" si="125"/>
        <v>0</v>
      </c>
      <c r="P3784" s="17">
        <f t="shared" si="126"/>
        <v>2471.56</v>
      </c>
      <c r="Q3784" t="str">
        <f>A3784&amp;"-"&amp;B3784&amp;"-"&amp;D3784</f>
        <v>AGUSTUS-MJ2-L9</v>
      </c>
    </row>
    <row r="3785" spans="1:17" x14ac:dyDescent="0.25">
      <c r="A3785" t="s">
        <v>398</v>
      </c>
      <c r="B3785" s="13" t="s">
        <v>26</v>
      </c>
      <c r="C3785" s="13" t="s">
        <v>226</v>
      </c>
      <c r="D3785" s="14" t="s">
        <v>199</v>
      </c>
      <c r="E3785" s="13" t="s">
        <v>61</v>
      </c>
      <c r="F3785" s="13" t="s">
        <v>1363</v>
      </c>
      <c r="G3785" s="13">
        <v>0.66</v>
      </c>
      <c r="H3785" s="15">
        <v>4382</v>
      </c>
      <c r="I3785" s="16">
        <v>2892.12</v>
      </c>
      <c r="J3785" s="16">
        <v>2856.2002432565464</v>
      </c>
      <c r="K3785" s="16">
        <v>35.91975674345386</v>
      </c>
      <c r="L3785" s="13">
        <v>1.71</v>
      </c>
      <c r="M3785" s="13"/>
      <c r="N3785" s="17">
        <f t="shared" si="125"/>
        <v>7493.22</v>
      </c>
      <c r="O3785" s="17">
        <f t="shared" si="125"/>
        <v>0</v>
      </c>
      <c r="P3785" s="17">
        <f t="shared" si="126"/>
        <v>7493.22</v>
      </c>
      <c r="Q3785" t="str">
        <f>A3785&amp;"-"&amp;B3785&amp;"-"&amp;D3785</f>
        <v>AGUSTUS-MJ2-L9</v>
      </c>
    </row>
    <row r="3786" spans="1:17" x14ac:dyDescent="0.25">
      <c r="A3786" t="s">
        <v>398</v>
      </c>
      <c r="B3786" s="13" t="s">
        <v>26</v>
      </c>
      <c r="C3786" s="13" t="s">
        <v>226</v>
      </c>
      <c r="D3786" s="14" t="s">
        <v>199</v>
      </c>
      <c r="E3786" s="13" t="s">
        <v>61</v>
      </c>
      <c r="F3786" s="13" t="s">
        <v>1364</v>
      </c>
      <c r="G3786" s="13">
        <v>0.80000000000000016</v>
      </c>
      <c r="H3786" s="15">
        <v>3912</v>
      </c>
      <c r="I3786" s="16">
        <v>3129.6</v>
      </c>
      <c r="J3786" s="16">
        <v>2671.2781713102468</v>
      </c>
      <c r="K3786" s="16">
        <v>458.32182868975326</v>
      </c>
      <c r="L3786" s="13">
        <v>2.1</v>
      </c>
      <c r="M3786" s="13"/>
      <c r="N3786" s="17">
        <f t="shared" si="125"/>
        <v>8215.2000000000007</v>
      </c>
      <c r="O3786" s="17">
        <f t="shared" si="125"/>
        <v>0</v>
      </c>
      <c r="P3786" s="17">
        <f t="shared" si="126"/>
        <v>8215.2000000000007</v>
      </c>
      <c r="Q3786" t="str">
        <f>A3786&amp;"-"&amp;B3786&amp;"-"&amp;D3786</f>
        <v>AGUSTUS-MJ2-L9</v>
      </c>
    </row>
    <row r="3787" spans="1:17" x14ac:dyDescent="0.25">
      <c r="A3787" t="s">
        <v>398</v>
      </c>
      <c r="B3787" s="13" t="s">
        <v>26</v>
      </c>
      <c r="C3787" s="13" t="s">
        <v>226</v>
      </c>
      <c r="D3787" s="14" t="s">
        <v>199</v>
      </c>
      <c r="E3787" s="13" t="s">
        <v>61</v>
      </c>
      <c r="F3787" s="13" t="s">
        <v>1366</v>
      </c>
      <c r="G3787" s="13">
        <v>0.66</v>
      </c>
      <c r="H3787" s="15">
        <v>1070</v>
      </c>
      <c r="I3787" s="16">
        <v>706.19999999999993</v>
      </c>
      <c r="J3787" s="16">
        <v>697.47539768339777</v>
      </c>
      <c r="K3787" s="16">
        <v>8.7246023166022315</v>
      </c>
      <c r="L3787" s="13">
        <v>1.73</v>
      </c>
      <c r="M3787" s="13"/>
      <c r="N3787" s="17">
        <f t="shared" si="125"/>
        <v>1851.1</v>
      </c>
      <c r="O3787" s="17">
        <f t="shared" si="125"/>
        <v>0</v>
      </c>
      <c r="P3787" s="17">
        <f t="shared" si="126"/>
        <v>1851.1</v>
      </c>
      <c r="Q3787" t="str">
        <f>A3787&amp;"-"&amp;B3787&amp;"-"&amp;D3787</f>
        <v>AGUSTUS-MJ2-L9</v>
      </c>
    </row>
    <row r="3788" spans="1:17" x14ac:dyDescent="0.25">
      <c r="A3788" t="s">
        <v>398</v>
      </c>
      <c r="B3788" s="13" t="s">
        <v>26</v>
      </c>
      <c r="C3788" s="13" t="s">
        <v>226</v>
      </c>
      <c r="D3788" s="14" t="s">
        <v>199</v>
      </c>
      <c r="E3788" s="13" t="s">
        <v>61</v>
      </c>
      <c r="F3788" s="13" t="s">
        <v>1367</v>
      </c>
      <c r="G3788" s="13">
        <v>0.63</v>
      </c>
      <c r="H3788" s="15">
        <v>3</v>
      </c>
      <c r="I3788" s="16">
        <v>1.89</v>
      </c>
      <c r="J3788" s="16">
        <v>2.0212389380530973</v>
      </c>
      <c r="K3788" s="16">
        <v>-0.13123893805309739</v>
      </c>
      <c r="L3788" s="13">
        <v>1.87</v>
      </c>
      <c r="M3788" s="13"/>
      <c r="N3788" s="17">
        <f t="shared" si="125"/>
        <v>5.61</v>
      </c>
      <c r="O3788" s="17">
        <f t="shared" si="125"/>
        <v>0</v>
      </c>
      <c r="P3788" s="17">
        <f t="shared" si="126"/>
        <v>5.61</v>
      </c>
      <c r="Q3788" t="str">
        <f>A3788&amp;"-"&amp;B3788&amp;"-"&amp;D3788</f>
        <v>AGUSTUS-MJ2-L9</v>
      </c>
    </row>
    <row r="3789" spans="1:17" x14ac:dyDescent="0.25">
      <c r="A3789" t="s">
        <v>398</v>
      </c>
      <c r="B3789" s="13" t="s">
        <v>26</v>
      </c>
      <c r="C3789" s="13" t="s">
        <v>226</v>
      </c>
      <c r="D3789" s="14" t="s">
        <v>199</v>
      </c>
      <c r="E3789" s="13" t="s">
        <v>61</v>
      </c>
      <c r="F3789" s="13" t="s">
        <v>1187</v>
      </c>
      <c r="G3789" s="13">
        <v>0.79</v>
      </c>
      <c r="H3789" s="15">
        <v>1321</v>
      </c>
      <c r="I3789" s="16">
        <v>1043.5899999999999</v>
      </c>
      <c r="J3789" s="16">
        <v>988.11252357877333</v>
      </c>
      <c r="K3789" s="16">
        <v>55.47747642122691</v>
      </c>
      <c r="L3789" s="13">
        <v>2.14</v>
      </c>
      <c r="M3789" s="13"/>
      <c r="N3789" s="17">
        <f t="shared" si="125"/>
        <v>2826.94</v>
      </c>
      <c r="O3789" s="17">
        <f t="shared" si="125"/>
        <v>0</v>
      </c>
      <c r="P3789" s="17">
        <f t="shared" si="126"/>
        <v>2826.94</v>
      </c>
      <c r="Q3789" t="str">
        <f>A3789&amp;"-"&amp;B3789&amp;"-"&amp;D3789</f>
        <v>AGUSTUS-MJ2-L9</v>
      </c>
    </row>
    <row r="3790" spans="1:17" x14ac:dyDescent="0.25">
      <c r="A3790" t="s">
        <v>398</v>
      </c>
      <c r="B3790" s="13" t="s">
        <v>26</v>
      </c>
      <c r="C3790" s="13" t="s">
        <v>226</v>
      </c>
      <c r="D3790" s="14" t="s">
        <v>199</v>
      </c>
      <c r="E3790" s="13" t="s">
        <v>61</v>
      </c>
      <c r="F3790" s="13" t="s">
        <v>1368</v>
      </c>
      <c r="G3790" s="13">
        <v>0.79</v>
      </c>
      <c r="H3790" s="15">
        <v>317</v>
      </c>
      <c r="I3790" s="16">
        <v>250.43</v>
      </c>
      <c r="J3790" s="16">
        <v>216.12776119402986</v>
      </c>
      <c r="K3790" s="16">
        <v>34.302238805970148</v>
      </c>
      <c r="L3790" s="13">
        <v>2.14</v>
      </c>
      <c r="M3790" s="13"/>
      <c r="N3790" s="17">
        <f t="shared" si="125"/>
        <v>678.38</v>
      </c>
      <c r="O3790" s="17">
        <f t="shared" si="125"/>
        <v>0</v>
      </c>
      <c r="P3790" s="17">
        <f t="shared" si="126"/>
        <v>678.38</v>
      </c>
      <c r="Q3790" t="str">
        <f>A3790&amp;"-"&amp;B3790&amp;"-"&amp;D3790</f>
        <v>AGUSTUS-MJ2-L9</v>
      </c>
    </row>
    <row r="3791" spans="1:17" x14ac:dyDescent="0.25">
      <c r="A3791" t="s">
        <v>398</v>
      </c>
      <c r="B3791" s="13" t="s">
        <v>26</v>
      </c>
      <c r="C3791" s="13" t="s">
        <v>226</v>
      </c>
      <c r="D3791" s="14" t="s">
        <v>199</v>
      </c>
      <c r="E3791" s="13" t="s">
        <v>61</v>
      </c>
      <c r="F3791" s="13" t="s">
        <v>1188</v>
      </c>
      <c r="G3791" s="13">
        <v>0.72000000000000008</v>
      </c>
      <c r="H3791" s="15">
        <v>359</v>
      </c>
      <c r="I3791" s="16">
        <v>258.48</v>
      </c>
      <c r="J3791" s="16">
        <v>264.52609201480703</v>
      </c>
      <c r="K3791" s="16">
        <v>-6.0460920148070034</v>
      </c>
      <c r="L3791" s="13">
        <v>2.29</v>
      </c>
      <c r="M3791" s="13"/>
      <c r="N3791" s="17">
        <f t="shared" si="125"/>
        <v>822.11</v>
      </c>
      <c r="O3791" s="17">
        <f t="shared" si="125"/>
        <v>0</v>
      </c>
      <c r="P3791" s="17">
        <f t="shared" si="126"/>
        <v>822.11</v>
      </c>
      <c r="Q3791" t="str">
        <f>A3791&amp;"-"&amp;B3791&amp;"-"&amp;D3791</f>
        <v>AGUSTUS-MJ2-L9</v>
      </c>
    </row>
    <row r="3792" spans="1:17" x14ac:dyDescent="0.25">
      <c r="A3792" t="s">
        <v>398</v>
      </c>
      <c r="B3792" s="13" t="s">
        <v>26</v>
      </c>
      <c r="C3792" s="13" t="s">
        <v>226</v>
      </c>
      <c r="D3792" s="14" t="s">
        <v>199</v>
      </c>
      <c r="E3792" s="13" t="s">
        <v>61</v>
      </c>
      <c r="F3792" s="13" t="s">
        <v>1369</v>
      </c>
      <c r="G3792" s="13">
        <v>0.79</v>
      </c>
      <c r="H3792" s="15">
        <v>685</v>
      </c>
      <c r="I3792" s="16">
        <v>541.15</v>
      </c>
      <c r="J3792" s="16">
        <v>527.30636287857737</v>
      </c>
      <c r="K3792" s="16">
        <v>13.843637121422631</v>
      </c>
      <c r="L3792" s="13">
        <v>2.13</v>
      </c>
      <c r="M3792" s="13"/>
      <c r="N3792" s="17">
        <f t="shared" si="125"/>
        <v>1459.05</v>
      </c>
      <c r="O3792" s="17">
        <f t="shared" si="125"/>
        <v>0</v>
      </c>
      <c r="P3792" s="17">
        <f t="shared" si="126"/>
        <v>1459.05</v>
      </c>
      <c r="Q3792" t="str">
        <f>A3792&amp;"-"&amp;B3792&amp;"-"&amp;D3792</f>
        <v>AGUSTUS-MJ2-L9</v>
      </c>
    </row>
    <row r="3793" spans="1:17" x14ac:dyDescent="0.25">
      <c r="A3793" t="s">
        <v>398</v>
      </c>
      <c r="B3793" s="13" t="s">
        <v>26</v>
      </c>
      <c r="C3793" s="13" t="s">
        <v>226</v>
      </c>
      <c r="D3793" s="14" t="s">
        <v>199</v>
      </c>
      <c r="E3793" s="13" t="s">
        <v>61</v>
      </c>
      <c r="F3793" s="13" t="s">
        <v>1371</v>
      </c>
      <c r="G3793" s="13">
        <v>0.72</v>
      </c>
      <c r="H3793" s="15">
        <v>180</v>
      </c>
      <c r="I3793" s="16">
        <v>129.6</v>
      </c>
      <c r="J3793" s="16">
        <v>139.36271186440678</v>
      </c>
      <c r="K3793" s="16">
        <v>-9.7627118644067821</v>
      </c>
      <c r="L3793" s="13">
        <v>2.29</v>
      </c>
      <c r="M3793" s="13"/>
      <c r="N3793" s="17">
        <f t="shared" si="125"/>
        <v>412.2</v>
      </c>
      <c r="O3793" s="17">
        <f t="shared" si="125"/>
        <v>0</v>
      </c>
      <c r="P3793" s="17">
        <f t="shared" si="126"/>
        <v>412.2</v>
      </c>
      <c r="Q3793" t="str">
        <f>A3793&amp;"-"&amp;B3793&amp;"-"&amp;D3793</f>
        <v>AGUSTUS-MJ2-L9</v>
      </c>
    </row>
    <row r="3794" spans="1:17" x14ac:dyDescent="0.25">
      <c r="A3794" t="s">
        <v>398</v>
      </c>
      <c r="B3794" s="13" t="s">
        <v>26</v>
      </c>
      <c r="C3794" s="13" t="s">
        <v>226</v>
      </c>
      <c r="D3794" s="14" t="s">
        <v>199</v>
      </c>
      <c r="E3794" s="13" t="s">
        <v>61</v>
      </c>
      <c r="F3794" s="13" t="s">
        <v>1191</v>
      </c>
      <c r="G3794" s="13">
        <v>0.79</v>
      </c>
      <c r="H3794" s="15">
        <v>332</v>
      </c>
      <c r="I3794" s="16">
        <v>262.27999999999997</v>
      </c>
      <c r="J3794" s="16">
        <v>246.1803242572754</v>
      </c>
      <c r="K3794" s="16">
        <v>16.099675742724596</v>
      </c>
      <c r="L3794" s="13">
        <v>2.14</v>
      </c>
      <c r="M3794" s="13"/>
      <c r="N3794" s="17">
        <f t="shared" si="125"/>
        <v>710.48</v>
      </c>
      <c r="O3794" s="17">
        <f t="shared" si="125"/>
        <v>0</v>
      </c>
      <c r="P3794" s="17">
        <f t="shared" si="126"/>
        <v>710.48</v>
      </c>
      <c r="Q3794" t="str">
        <f>A3794&amp;"-"&amp;B3794&amp;"-"&amp;D3794</f>
        <v>AGUSTUS-MJ2-L9</v>
      </c>
    </row>
    <row r="3795" spans="1:17" x14ac:dyDescent="0.25">
      <c r="A3795" t="s">
        <v>398</v>
      </c>
      <c r="B3795" s="13" t="s">
        <v>26</v>
      </c>
      <c r="C3795" s="13" t="s">
        <v>226</v>
      </c>
      <c r="D3795" s="14" t="s">
        <v>199</v>
      </c>
      <c r="E3795" s="13" t="s">
        <v>61</v>
      </c>
      <c r="F3795" s="13" t="s">
        <v>1372</v>
      </c>
      <c r="G3795" s="13">
        <v>0.79</v>
      </c>
      <c r="H3795" s="15">
        <v>3407</v>
      </c>
      <c r="I3795" s="16">
        <v>2691.5299999999997</v>
      </c>
      <c r="J3795" s="16">
        <v>2387.4947034602023</v>
      </c>
      <c r="K3795" s="16">
        <v>304.03529653979751</v>
      </c>
      <c r="L3795" s="13">
        <v>2.14</v>
      </c>
      <c r="M3795" s="13"/>
      <c r="N3795" s="17">
        <f t="shared" si="125"/>
        <v>7290.9800000000005</v>
      </c>
      <c r="O3795" s="17">
        <f t="shared" si="125"/>
        <v>0</v>
      </c>
      <c r="P3795" s="17">
        <f t="shared" si="126"/>
        <v>7290.9800000000005</v>
      </c>
      <c r="Q3795" t="str">
        <f>A3795&amp;"-"&amp;B3795&amp;"-"&amp;D3795</f>
        <v>AGUSTUS-MJ2-L9</v>
      </c>
    </row>
    <row r="3796" spans="1:17" x14ac:dyDescent="0.25">
      <c r="A3796" t="s">
        <v>398</v>
      </c>
      <c r="B3796" s="13" t="s">
        <v>26</v>
      </c>
      <c r="C3796" s="13" t="s">
        <v>226</v>
      </c>
      <c r="D3796" s="14" t="s">
        <v>199</v>
      </c>
      <c r="E3796" s="13" t="s">
        <v>61</v>
      </c>
      <c r="F3796" s="13" t="s">
        <v>1232</v>
      </c>
      <c r="G3796" s="13">
        <v>0.71999999999999986</v>
      </c>
      <c r="H3796" s="15">
        <v>584</v>
      </c>
      <c r="I3796" s="16">
        <v>420.47999999999996</v>
      </c>
      <c r="J3796" s="16">
        <v>431.06128715103523</v>
      </c>
      <c r="K3796" s="16">
        <v>-10.581287151035205</v>
      </c>
      <c r="L3796" s="13">
        <v>2.29</v>
      </c>
      <c r="M3796" s="13"/>
      <c r="N3796" s="17">
        <f t="shared" si="125"/>
        <v>1337.3600000000001</v>
      </c>
      <c r="O3796" s="17">
        <f t="shared" si="125"/>
        <v>0</v>
      </c>
      <c r="P3796" s="17">
        <f t="shared" si="126"/>
        <v>1337.3600000000001</v>
      </c>
      <c r="Q3796" t="str">
        <f>A3796&amp;"-"&amp;B3796&amp;"-"&amp;D3796</f>
        <v>AGUSTUS-MJ2-L9</v>
      </c>
    </row>
    <row r="3797" spans="1:17" x14ac:dyDescent="0.25">
      <c r="A3797" t="s">
        <v>398</v>
      </c>
      <c r="B3797" s="13" t="s">
        <v>26</v>
      </c>
      <c r="C3797" s="13" t="s">
        <v>226</v>
      </c>
      <c r="D3797" s="14" t="s">
        <v>199</v>
      </c>
      <c r="E3797" s="13" t="s">
        <v>61</v>
      </c>
      <c r="F3797" s="13" t="s">
        <v>1373</v>
      </c>
      <c r="G3797" s="13">
        <v>0.79</v>
      </c>
      <c r="H3797" s="15">
        <v>2194</v>
      </c>
      <c r="I3797" s="16">
        <v>1733.26</v>
      </c>
      <c r="J3797" s="16">
        <v>1736.7155797619548</v>
      </c>
      <c r="K3797" s="16">
        <v>-3.4555797619547661</v>
      </c>
      <c r="L3797" s="13">
        <v>2.13</v>
      </c>
      <c r="M3797" s="13"/>
      <c r="N3797" s="17">
        <f t="shared" si="125"/>
        <v>4673.2199999999993</v>
      </c>
      <c r="O3797" s="17">
        <f t="shared" si="125"/>
        <v>0</v>
      </c>
      <c r="P3797" s="17">
        <f t="shared" si="126"/>
        <v>4673.2199999999993</v>
      </c>
      <c r="Q3797" t="str">
        <f>A3797&amp;"-"&amp;B3797&amp;"-"&amp;D3797</f>
        <v>AGUSTUS-MJ2-L9</v>
      </c>
    </row>
    <row r="3798" spans="1:17" x14ac:dyDescent="0.25">
      <c r="A3798" t="s">
        <v>398</v>
      </c>
      <c r="B3798" s="13" t="s">
        <v>26</v>
      </c>
      <c r="C3798" s="13" t="s">
        <v>226</v>
      </c>
      <c r="D3798" s="14" t="s">
        <v>199</v>
      </c>
      <c r="E3798" s="13" t="s">
        <v>61</v>
      </c>
      <c r="F3798" s="13" t="s">
        <v>1192</v>
      </c>
      <c r="G3798" s="13">
        <v>0.79</v>
      </c>
      <c r="H3798" s="15">
        <v>588</v>
      </c>
      <c r="I3798" s="16">
        <v>464.51999999999992</v>
      </c>
      <c r="J3798" s="16">
        <v>449.69983373215723</v>
      </c>
      <c r="K3798" s="16">
        <v>14.82016626784273</v>
      </c>
      <c r="L3798" s="13">
        <v>2.14</v>
      </c>
      <c r="M3798" s="13"/>
      <c r="N3798" s="17">
        <f t="shared" si="125"/>
        <v>1258.3200000000002</v>
      </c>
      <c r="O3798" s="17">
        <f t="shared" si="125"/>
        <v>0</v>
      </c>
      <c r="P3798" s="17">
        <f t="shared" si="126"/>
        <v>1258.3200000000002</v>
      </c>
      <c r="Q3798" t="str">
        <f>A3798&amp;"-"&amp;B3798&amp;"-"&amp;D3798</f>
        <v>AGUSTUS-MJ2-L9</v>
      </c>
    </row>
    <row r="3799" spans="1:17" x14ac:dyDescent="0.25">
      <c r="A3799" t="s">
        <v>398</v>
      </c>
      <c r="B3799" s="13" t="s">
        <v>26</v>
      </c>
      <c r="C3799" s="13" t="s">
        <v>226</v>
      </c>
      <c r="D3799" s="14" t="s">
        <v>199</v>
      </c>
      <c r="E3799" s="13" t="s">
        <v>61</v>
      </c>
      <c r="F3799" s="13" t="s">
        <v>1374</v>
      </c>
      <c r="G3799" s="13">
        <v>0.79</v>
      </c>
      <c r="H3799" s="15">
        <v>508</v>
      </c>
      <c r="I3799" s="16">
        <v>401.32</v>
      </c>
      <c r="J3799" s="16">
        <v>352.85308840413319</v>
      </c>
      <c r="K3799" s="16">
        <v>48.466911595866804</v>
      </c>
      <c r="L3799" s="13">
        <v>2.14</v>
      </c>
      <c r="M3799" s="13"/>
      <c r="N3799" s="17">
        <f t="shared" si="125"/>
        <v>1087.1200000000001</v>
      </c>
      <c r="O3799" s="17">
        <f t="shared" si="125"/>
        <v>0</v>
      </c>
      <c r="P3799" s="17">
        <f t="shared" si="126"/>
        <v>1087.1200000000001</v>
      </c>
      <c r="Q3799" t="str">
        <f>A3799&amp;"-"&amp;B3799&amp;"-"&amp;D3799</f>
        <v>AGUSTUS-MJ2-L9</v>
      </c>
    </row>
    <row r="3800" spans="1:17" x14ac:dyDescent="0.25">
      <c r="A3800" t="s">
        <v>398</v>
      </c>
      <c r="B3800" s="13" t="s">
        <v>26</v>
      </c>
      <c r="C3800" s="13" t="s">
        <v>226</v>
      </c>
      <c r="D3800" s="14" t="s">
        <v>199</v>
      </c>
      <c r="E3800" s="13" t="s">
        <v>61</v>
      </c>
      <c r="F3800" s="13" t="s">
        <v>1193</v>
      </c>
      <c r="G3800" s="13">
        <v>0.72000000000000008</v>
      </c>
      <c r="H3800" s="15">
        <v>254</v>
      </c>
      <c r="I3800" s="16">
        <v>182.88</v>
      </c>
      <c r="J3800" s="16">
        <v>184.91269248029869</v>
      </c>
      <c r="K3800" s="16">
        <v>-2.0326924802986945</v>
      </c>
      <c r="L3800" s="13">
        <v>2.29</v>
      </c>
      <c r="M3800" s="13"/>
      <c r="N3800" s="17">
        <f t="shared" si="125"/>
        <v>581.66</v>
      </c>
      <c r="O3800" s="17">
        <f t="shared" si="125"/>
        <v>0</v>
      </c>
      <c r="P3800" s="17">
        <f t="shared" si="126"/>
        <v>581.66</v>
      </c>
      <c r="Q3800" t="str">
        <f>A3800&amp;"-"&amp;B3800&amp;"-"&amp;D3800</f>
        <v>AGUSTUS-MJ2-L9</v>
      </c>
    </row>
    <row r="3801" spans="1:17" x14ac:dyDescent="0.25">
      <c r="A3801" t="s">
        <v>398</v>
      </c>
      <c r="B3801" s="13" t="s">
        <v>26</v>
      </c>
      <c r="C3801" s="13" t="s">
        <v>226</v>
      </c>
      <c r="D3801" s="14" t="s">
        <v>199</v>
      </c>
      <c r="E3801" s="13" t="s">
        <v>61</v>
      </c>
      <c r="F3801" s="13" t="s">
        <v>1375</v>
      </c>
      <c r="G3801" s="13">
        <v>0.79</v>
      </c>
      <c r="H3801" s="15">
        <v>2775</v>
      </c>
      <c r="I3801" s="16">
        <v>2192.25</v>
      </c>
      <c r="J3801" s="16">
        <v>2083.3614286295406</v>
      </c>
      <c r="K3801" s="16">
        <v>108.88857137045943</v>
      </c>
      <c r="L3801" s="13">
        <v>2.14</v>
      </c>
      <c r="M3801" s="13"/>
      <c r="N3801" s="17">
        <f t="shared" si="125"/>
        <v>5938.5</v>
      </c>
      <c r="O3801" s="17">
        <f t="shared" si="125"/>
        <v>0</v>
      </c>
      <c r="P3801" s="17">
        <f t="shared" si="126"/>
        <v>5938.5</v>
      </c>
      <c r="Q3801" t="str">
        <f>A3801&amp;"-"&amp;B3801&amp;"-"&amp;D3801</f>
        <v>AGUSTUS-MJ2-L9</v>
      </c>
    </row>
    <row r="3802" spans="1:17" x14ac:dyDescent="0.25">
      <c r="A3802" t="s">
        <v>398</v>
      </c>
      <c r="B3802" s="13" t="s">
        <v>26</v>
      </c>
      <c r="C3802" s="13" t="s">
        <v>226</v>
      </c>
      <c r="D3802" s="14" t="s">
        <v>199</v>
      </c>
      <c r="E3802" s="13" t="s">
        <v>61</v>
      </c>
      <c r="F3802" s="13" t="s">
        <v>1376</v>
      </c>
      <c r="G3802" s="13">
        <v>0.72</v>
      </c>
      <c r="H3802" s="15">
        <v>45</v>
      </c>
      <c r="I3802" s="16">
        <v>32.4</v>
      </c>
      <c r="J3802" s="16">
        <v>39.530769230769231</v>
      </c>
      <c r="K3802" s="16">
        <v>-7.1307692307692321</v>
      </c>
      <c r="L3802" s="13">
        <v>2.29</v>
      </c>
      <c r="M3802" s="13"/>
      <c r="N3802" s="17">
        <f t="shared" si="125"/>
        <v>103.05</v>
      </c>
      <c r="O3802" s="17">
        <f t="shared" si="125"/>
        <v>0</v>
      </c>
      <c r="P3802" s="17">
        <f t="shared" si="126"/>
        <v>103.05</v>
      </c>
      <c r="Q3802" t="str">
        <f>A3802&amp;"-"&amp;B3802&amp;"-"&amp;D3802</f>
        <v>AGUSTUS-MJ2-L9</v>
      </c>
    </row>
    <row r="3803" spans="1:17" x14ac:dyDescent="0.25">
      <c r="A3803" t="s">
        <v>398</v>
      </c>
      <c r="B3803" s="13" t="s">
        <v>26</v>
      </c>
      <c r="C3803" s="13" t="s">
        <v>226</v>
      </c>
      <c r="D3803" s="14" t="s">
        <v>199</v>
      </c>
      <c r="E3803" s="13" t="s">
        <v>61</v>
      </c>
      <c r="F3803" s="13" t="s">
        <v>1165</v>
      </c>
      <c r="G3803" s="13">
        <v>0.65000000000000013</v>
      </c>
      <c r="H3803" s="15">
        <v>11438</v>
      </c>
      <c r="I3803" s="16">
        <v>7434.7</v>
      </c>
      <c r="J3803" s="16">
        <v>6935.7606629877764</v>
      </c>
      <c r="K3803" s="16">
        <v>498.93933701222352</v>
      </c>
      <c r="L3803" s="13">
        <v>1.66</v>
      </c>
      <c r="M3803" s="13"/>
      <c r="N3803" s="17">
        <f t="shared" si="125"/>
        <v>18987.079999999998</v>
      </c>
      <c r="O3803" s="17">
        <f t="shared" si="125"/>
        <v>0</v>
      </c>
      <c r="P3803" s="17">
        <f t="shared" si="126"/>
        <v>18987.079999999998</v>
      </c>
      <c r="Q3803" t="str">
        <f>A3803&amp;"-"&amp;B3803&amp;"-"&amp;D3803</f>
        <v>AGUSTUS-MJ2-L9</v>
      </c>
    </row>
    <row r="3804" spans="1:17" x14ac:dyDescent="0.25">
      <c r="A3804" t="s">
        <v>398</v>
      </c>
      <c r="B3804" s="13" t="s">
        <v>26</v>
      </c>
      <c r="C3804" s="13" t="s">
        <v>226</v>
      </c>
      <c r="D3804" s="14" t="s">
        <v>199</v>
      </c>
      <c r="E3804" s="13" t="s">
        <v>61</v>
      </c>
      <c r="F3804" s="13" t="s">
        <v>1377</v>
      </c>
      <c r="G3804" s="13">
        <v>0.65</v>
      </c>
      <c r="H3804" s="15">
        <v>853</v>
      </c>
      <c r="I3804" s="16">
        <v>554.45000000000005</v>
      </c>
      <c r="J3804" s="16">
        <v>517.87666135034556</v>
      </c>
      <c r="K3804" s="16">
        <v>36.573338649654488</v>
      </c>
      <c r="L3804" s="13">
        <v>1.66</v>
      </c>
      <c r="M3804" s="13"/>
      <c r="N3804" s="17">
        <f t="shared" si="125"/>
        <v>1415.98</v>
      </c>
      <c r="O3804" s="17">
        <f t="shared" si="125"/>
        <v>0</v>
      </c>
      <c r="P3804" s="17">
        <f t="shared" si="126"/>
        <v>1415.98</v>
      </c>
      <c r="Q3804" t="str">
        <f>A3804&amp;"-"&amp;B3804&amp;"-"&amp;D3804</f>
        <v>AGUSTUS-MJ2-L9</v>
      </c>
    </row>
    <row r="3805" spans="1:17" x14ac:dyDescent="0.25">
      <c r="A3805" t="s">
        <v>399</v>
      </c>
      <c r="B3805" s="13" t="s">
        <v>18</v>
      </c>
      <c r="C3805" s="13" t="s">
        <v>43</v>
      </c>
      <c r="D3805" s="14" t="s">
        <v>44</v>
      </c>
      <c r="E3805" s="13" t="s">
        <v>71</v>
      </c>
      <c r="F3805" s="13" t="s">
        <v>1413</v>
      </c>
      <c r="G3805" s="13">
        <v>3.9600000000000004</v>
      </c>
      <c r="H3805" s="15">
        <v>2693</v>
      </c>
      <c r="I3805" s="16">
        <v>10664.279999999999</v>
      </c>
      <c r="J3805" s="16">
        <v>10537.720000000001</v>
      </c>
      <c r="K3805" s="16">
        <v>126.55999999999989</v>
      </c>
      <c r="L3805" s="13"/>
      <c r="M3805" s="13">
        <v>4.2300000000000004</v>
      </c>
      <c r="N3805" s="17">
        <f t="shared" si="125"/>
        <v>0</v>
      </c>
      <c r="O3805" s="17">
        <f t="shared" si="125"/>
        <v>11391.390000000001</v>
      </c>
      <c r="P3805" s="17">
        <f t="shared" si="126"/>
        <v>11391.390000000001</v>
      </c>
      <c r="Q3805" t="str">
        <f>A3805&amp;"-"&amp;B3805&amp;"-"&amp;D3805</f>
        <v>SEPTEMBER-CBA-L1</v>
      </c>
    </row>
    <row r="3806" spans="1:17" x14ac:dyDescent="0.25">
      <c r="A3806" t="s">
        <v>399</v>
      </c>
      <c r="B3806" s="13" t="s">
        <v>18</v>
      </c>
      <c r="C3806" s="13" t="s">
        <v>43</v>
      </c>
      <c r="D3806" s="14" t="s">
        <v>50</v>
      </c>
      <c r="E3806" s="13" t="s">
        <v>45</v>
      </c>
      <c r="F3806" s="13" t="s">
        <v>1233</v>
      </c>
      <c r="G3806" s="13">
        <v>3.31</v>
      </c>
      <c r="H3806" s="15">
        <v>34</v>
      </c>
      <c r="I3806" s="16">
        <v>112.54</v>
      </c>
      <c r="J3806" s="16">
        <v>92.888000000000005</v>
      </c>
      <c r="K3806" s="16">
        <v>19.652000000000001</v>
      </c>
      <c r="L3806" s="13"/>
      <c r="M3806" s="13">
        <v>3.8</v>
      </c>
      <c r="N3806" s="17">
        <f t="shared" ref="N3806:O3866" si="127">$H3806*L3806</f>
        <v>0</v>
      </c>
      <c r="O3806" s="17">
        <f t="shared" si="127"/>
        <v>129.19999999999999</v>
      </c>
      <c r="P3806" s="17">
        <f t="shared" si="126"/>
        <v>129.19999999999999</v>
      </c>
      <c r="Q3806" t="str">
        <f>A3806&amp;"-"&amp;B3806&amp;"-"&amp;D3806</f>
        <v>SEPTEMBER-CBA-L2</v>
      </c>
    </row>
    <row r="3807" spans="1:17" x14ac:dyDescent="0.25">
      <c r="A3807" t="s">
        <v>399</v>
      </c>
      <c r="B3807" s="13" t="s">
        <v>18</v>
      </c>
      <c r="C3807" s="13" t="s">
        <v>43</v>
      </c>
      <c r="D3807" s="14" t="s">
        <v>50</v>
      </c>
      <c r="E3807" s="13" t="s">
        <v>45</v>
      </c>
      <c r="F3807" s="13" t="s">
        <v>1234</v>
      </c>
      <c r="G3807" s="13">
        <v>2.9900000000000007</v>
      </c>
      <c r="H3807" s="15">
        <v>5836</v>
      </c>
      <c r="I3807" s="16">
        <v>17449.640000000003</v>
      </c>
      <c r="J3807" s="16">
        <v>16201.552</v>
      </c>
      <c r="K3807" s="16">
        <v>1248.0880000000006</v>
      </c>
      <c r="L3807" s="13"/>
      <c r="M3807" s="13">
        <v>3.23</v>
      </c>
      <c r="N3807" s="17">
        <f t="shared" si="127"/>
        <v>0</v>
      </c>
      <c r="O3807" s="17">
        <f t="shared" si="127"/>
        <v>18850.28</v>
      </c>
      <c r="P3807" s="17">
        <f t="shared" si="126"/>
        <v>18850.28</v>
      </c>
      <c r="Q3807" t="str">
        <f>A3807&amp;"-"&amp;B3807&amp;"-"&amp;D3807</f>
        <v>SEPTEMBER-CBA-L2</v>
      </c>
    </row>
    <row r="3808" spans="1:17" x14ac:dyDescent="0.25">
      <c r="A3808" t="s">
        <v>399</v>
      </c>
      <c r="B3808" s="13" t="s">
        <v>18</v>
      </c>
      <c r="C3808" s="13" t="s">
        <v>43</v>
      </c>
      <c r="D3808" s="14" t="s">
        <v>56</v>
      </c>
      <c r="E3808" s="13" t="s">
        <v>45</v>
      </c>
      <c r="F3808" s="13" t="s">
        <v>1234</v>
      </c>
      <c r="G3808" s="13">
        <v>2.9900000000000011</v>
      </c>
      <c r="H3808" s="15">
        <v>3038</v>
      </c>
      <c r="I3808" s="16">
        <v>9083.619999999999</v>
      </c>
      <c r="J3808" s="16">
        <v>12391.580000000002</v>
      </c>
      <c r="K3808" s="16">
        <v>-3307.9599999999996</v>
      </c>
      <c r="L3808" s="13"/>
      <c r="M3808" s="13">
        <v>3.23</v>
      </c>
      <c r="N3808" s="17">
        <f t="shared" si="127"/>
        <v>0</v>
      </c>
      <c r="O3808" s="17">
        <f t="shared" si="127"/>
        <v>9812.74</v>
      </c>
      <c r="P3808" s="17">
        <f t="shared" si="126"/>
        <v>9812.74</v>
      </c>
      <c r="Q3808" t="str">
        <f>A3808&amp;"-"&amp;B3808&amp;"-"&amp;D3808</f>
        <v>SEPTEMBER-CBA-L3</v>
      </c>
    </row>
    <row r="3809" spans="1:17" x14ac:dyDescent="0.25">
      <c r="A3809" t="s">
        <v>399</v>
      </c>
      <c r="B3809" s="13" t="s">
        <v>18</v>
      </c>
      <c r="C3809" s="13" t="s">
        <v>43</v>
      </c>
      <c r="D3809" s="14" t="s">
        <v>56</v>
      </c>
      <c r="E3809" s="13" t="s">
        <v>179</v>
      </c>
      <c r="F3809" s="13" t="s">
        <v>1414</v>
      </c>
      <c r="G3809" s="13">
        <v>1.54</v>
      </c>
      <c r="H3809" s="15">
        <v>838</v>
      </c>
      <c r="I3809" s="16">
        <v>1290.52</v>
      </c>
      <c r="J3809" s="16">
        <v>1530.9127377672833</v>
      </c>
      <c r="K3809" s="16">
        <v>-240.39273776728317</v>
      </c>
      <c r="L3809" s="13"/>
      <c r="M3809" s="13">
        <v>1.65</v>
      </c>
      <c r="N3809" s="17">
        <f t="shared" si="127"/>
        <v>0</v>
      </c>
      <c r="O3809" s="17">
        <f t="shared" si="127"/>
        <v>1382.6999999999998</v>
      </c>
      <c r="P3809" s="17">
        <f t="shared" si="126"/>
        <v>1382.6999999999998</v>
      </c>
      <c r="Q3809" t="str">
        <f>A3809&amp;"-"&amp;B3809&amp;"-"&amp;D3809</f>
        <v>SEPTEMBER-CBA-L3</v>
      </c>
    </row>
    <row r="3810" spans="1:17" x14ac:dyDescent="0.25">
      <c r="A3810" t="s">
        <v>399</v>
      </c>
      <c r="B3810" s="13" t="s">
        <v>18</v>
      </c>
      <c r="C3810" s="13" t="s">
        <v>43</v>
      </c>
      <c r="D3810" s="14" t="s">
        <v>56</v>
      </c>
      <c r="E3810" s="13" t="s">
        <v>179</v>
      </c>
      <c r="F3810" s="13" t="s">
        <v>1237</v>
      </c>
      <c r="G3810" s="13">
        <v>1.54</v>
      </c>
      <c r="H3810" s="15">
        <v>1119</v>
      </c>
      <c r="I3810" s="16">
        <v>1723.26</v>
      </c>
      <c r="J3810" s="16">
        <v>2371.9472622327166</v>
      </c>
      <c r="K3810" s="16">
        <v>-648.68726223271676</v>
      </c>
      <c r="L3810" s="13"/>
      <c r="M3810" s="13">
        <v>1.65</v>
      </c>
      <c r="N3810" s="17">
        <f t="shared" si="127"/>
        <v>0</v>
      </c>
      <c r="O3810" s="17">
        <f t="shared" si="127"/>
        <v>1846.35</v>
      </c>
      <c r="P3810" s="17">
        <f t="shared" si="126"/>
        <v>1846.35</v>
      </c>
      <c r="Q3810" t="str">
        <f>A3810&amp;"-"&amp;B3810&amp;"-"&amp;D3810</f>
        <v>SEPTEMBER-CBA-L3</v>
      </c>
    </row>
    <row r="3811" spans="1:17" x14ac:dyDescent="0.25">
      <c r="A3811" t="s">
        <v>399</v>
      </c>
      <c r="B3811" s="13" t="s">
        <v>18</v>
      </c>
      <c r="C3811" s="13" t="s">
        <v>955</v>
      </c>
      <c r="D3811" s="14" t="s">
        <v>44</v>
      </c>
      <c r="E3811" s="13" t="s">
        <v>71</v>
      </c>
      <c r="F3811" s="13" t="s">
        <v>1238</v>
      </c>
      <c r="G3811" s="13">
        <v>4.9800000000000004</v>
      </c>
      <c r="H3811" s="15">
        <v>1213</v>
      </c>
      <c r="I3811" s="16">
        <v>6040.74</v>
      </c>
      <c r="J3811" s="16">
        <v>5574.586666666667</v>
      </c>
      <c r="K3811" s="16">
        <v>466.15333333333308</v>
      </c>
      <c r="L3811" s="13"/>
      <c r="M3811" s="13">
        <v>6.34</v>
      </c>
      <c r="N3811" s="17">
        <f t="shared" si="127"/>
        <v>0</v>
      </c>
      <c r="O3811" s="17">
        <f t="shared" si="127"/>
        <v>7690.42</v>
      </c>
      <c r="P3811" s="17">
        <f t="shared" si="126"/>
        <v>7690.42</v>
      </c>
      <c r="Q3811" t="str">
        <f>A3811&amp;"-"&amp;B3811&amp;"-"&amp;D3811</f>
        <v>SEPTEMBER-CBA-L1</v>
      </c>
    </row>
    <row r="3812" spans="1:17" x14ac:dyDescent="0.25">
      <c r="A3812" t="s">
        <v>399</v>
      </c>
      <c r="B3812" s="13" t="s">
        <v>18</v>
      </c>
      <c r="C3812" s="13" t="s">
        <v>955</v>
      </c>
      <c r="D3812" s="14" t="s">
        <v>44</v>
      </c>
      <c r="E3812" s="13" t="s">
        <v>71</v>
      </c>
      <c r="F3812" s="13" t="s">
        <v>1415</v>
      </c>
      <c r="G3812" s="13">
        <v>5</v>
      </c>
      <c r="H3812" s="15">
        <v>12</v>
      </c>
      <c r="I3812" s="16">
        <v>60</v>
      </c>
      <c r="J3812" s="16">
        <v>182.13333333333333</v>
      </c>
      <c r="K3812" s="16">
        <v>-122.13333333333333</v>
      </c>
      <c r="L3812" s="13"/>
      <c r="M3812" s="13">
        <v>6.11</v>
      </c>
      <c r="N3812" s="17">
        <f t="shared" si="127"/>
        <v>0</v>
      </c>
      <c r="O3812" s="17">
        <f t="shared" si="127"/>
        <v>73.320000000000007</v>
      </c>
      <c r="P3812" s="17">
        <f t="shared" si="126"/>
        <v>73.320000000000007</v>
      </c>
      <c r="Q3812" t="str">
        <f>A3812&amp;"-"&amp;B3812&amp;"-"&amp;D3812</f>
        <v>SEPTEMBER-CBA-L1</v>
      </c>
    </row>
    <row r="3813" spans="1:17" x14ac:dyDescent="0.25">
      <c r="A3813" t="s">
        <v>399</v>
      </c>
      <c r="B3813" s="13" t="s">
        <v>19</v>
      </c>
      <c r="C3813" s="13" t="s">
        <v>70</v>
      </c>
      <c r="D3813" s="14" t="s">
        <v>44</v>
      </c>
      <c r="E3813" s="13" t="s">
        <v>77</v>
      </c>
      <c r="F3813" s="13" t="s">
        <v>1416</v>
      </c>
      <c r="G3813" s="13">
        <v>3.74</v>
      </c>
      <c r="H3813" s="15">
        <v>165</v>
      </c>
      <c r="I3813" s="16">
        <v>617.1</v>
      </c>
      <c r="J3813" s="16">
        <v>407.6875</v>
      </c>
      <c r="K3813" s="16">
        <v>209.41250000000002</v>
      </c>
      <c r="L3813" s="13">
        <v>7.17</v>
      </c>
      <c r="M3813" s="13"/>
      <c r="N3813" s="17">
        <f t="shared" si="127"/>
        <v>1183.05</v>
      </c>
      <c r="O3813" s="17">
        <f t="shared" si="127"/>
        <v>0</v>
      </c>
      <c r="P3813" s="17">
        <f t="shared" si="126"/>
        <v>1183.05</v>
      </c>
      <c r="Q3813" t="str">
        <f>A3813&amp;"-"&amp;B3813&amp;"-"&amp;D3813</f>
        <v>SEPTEMBER-CHW-L1</v>
      </c>
    </row>
    <row r="3814" spans="1:17" x14ac:dyDescent="0.25">
      <c r="A3814" t="s">
        <v>399</v>
      </c>
      <c r="B3814" s="13" t="s">
        <v>19</v>
      </c>
      <c r="C3814" s="13" t="s">
        <v>70</v>
      </c>
      <c r="D3814" s="14" t="s">
        <v>44</v>
      </c>
      <c r="E3814" s="13" t="s">
        <v>77</v>
      </c>
      <c r="F3814" s="13" t="s">
        <v>1240</v>
      </c>
      <c r="G3814" s="13">
        <v>3.7</v>
      </c>
      <c r="H3814" s="15">
        <v>88</v>
      </c>
      <c r="I3814" s="16">
        <v>325.60000000000002</v>
      </c>
      <c r="J3814" s="16">
        <v>217.43333333333331</v>
      </c>
      <c r="K3814" s="16">
        <v>108.16666666666671</v>
      </c>
      <c r="L3814" s="13">
        <v>8.06</v>
      </c>
      <c r="M3814" s="13"/>
      <c r="N3814" s="17">
        <f t="shared" si="127"/>
        <v>709.28000000000009</v>
      </c>
      <c r="O3814" s="17">
        <f t="shared" si="127"/>
        <v>0</v>
      </c>
      <c r="P3814" s="17">
        <f t="shared" si="126"/>
        <v>709.28000000000009</v>
      </c>
      <c r="Q3814" t="str">
        <f>A3814&amp;"-"&amp;B3814&amp;"-"&amp;D3814</f>
        <v>SEPTEMBER-CHW-L1</v>
      </c>
    </row>
    <row r="3815" spans="1:17" x14ac:dyDescent="0.25">
      <c r="A3815" t="s">
        <v>399</v>
      </c>
      <c r="B3815" s="13" t="s">
        <v>19</v>
      </c>
      <c r="C3815" s="13" t="s">
        <v>70</v>
      </c>
      <c r="D3815" s="14" t="s">
        <v>44</v>
      </c>
      <c r="E3815" s="13" t="s">
        <v>77</v>
      </c>
      <c r="F3815" s="13" t="s">
        <v>1417</v>
      </c>
      <c r="G3815" s="13">
        <v>3.7000000000000006</v>
      </c>
      <c r="H3815" s="15">
        <v>551</v>
      </c>
      <c r="I3815" s="16">
        <v>2038.7</v>
      </c>
      <c r="J3815" s="16">
        <v>1280.5334415584416</v>
      </c>
      <c r="K3815" s="16">
        <v>758.16655844155855</v>
      </c>
      <c r="L3815" s="13">
        <v>8.06</v>
      </c>
      <c r="M3815" s="13"/>
      <c r="N3815" s="17">
        <f t="shared" si="127"/>
        <v>4441.0600000000004</v>
      </c>
      <c r="O3815" s="17">
        <f t="shared" si="127"/>
        <v>0</v>
      </c>
      <c r="P3815" s="17">
        <f t="shared" si="126"/>
        <v>4441.0600000000004</v>
      </c>
      <c r="Q3815" t="str">
        <f>A3815&amp;"-"&amp;B3815&amp;"-"&amp;D3815</f>
        <v>SEPTEMBER-CHW-L1</v>
      </c>
    </row>
    <row r="3816" spans="1:17" x14ac:dyDescent="0.25">
      <c r="A3816" t="s">
        <v>399</v>
      </c>
      <c r="B3816" s="13" t="s">
        <v>19</v>
      </c>
      <c r="C3816" s="13" t="s">
        <v>70</v>
      </c>
      <c r="D3816" s="14" t="s">
        <v>44</v>
      </c>
      <c r="E3816" s="13" t="s">
        <v>77</v>
      </c>
      <c r="F3816" s="13" t="s">
        <v>1418</v>
      </c>
      <c r="G3816" s="13">
        <v>3.3</v>
      </c>
      <c r="H3816" s="15">
        <v>643</v>
      </c>
      <c r="I3816" s="16">
        <v>2121.9</v>
      </c>
      <c r="J3816" s="16">
        <v>1655.1053571428574</v>
      </c>
      <c r="K3816" s="16">
        <v>466.79464285714283</v>
      </c>
      <c r="L3816" s="13">
        <v>8.6300000000000008</v>
      </c>
      <c r="M3816" s="13"/>
      <c r="N3816" s="17">
        <f t="shared" si="127"/>
        <v>5549.09</v>
      </c>
      <c r="O3816" s="17">
        <f t="shared" si="127"/>
        <v>0</v>
      </c>
      <c r="P3816" s="17">
        <f t="shared" si="126"/>
        <v>5549.09</v>
      </c>
      <c r="Q3816" t="str">
        <f>A3816&amp;"-"&amp;B3816&amp;"-"&amp;D3816</f>
        <v>SEPTEMBER-CHW-L1</v>
      </c>
    </row>
    <row r="3817" spans="1:17" x14ac:dyDescent="0.25">
      <c r="A3817" t="s">
        <v>399</v>
      </c>
      <c r="B3817" s="13" t="s">
        <v>19</v>
      </c>
      <c r="C3817" s="13" t="s">
        <v>70</v>
      </c>
      <c r="D3817" s="14" t="s">
        <v>44</v>
      </c>
      <c r="E3817" s="13" t="s">
        <v>77</v>
      </c>
      <c r="F3817" s="13" t="s">
        <v>1419</v>
      </c>
      <c r="G3817" s="13">
        <v>2.75</v>
      </c>
      <c r="H3817" s="15">
        <v>205</v>
      </c>
      <c r="I3817" s="16">
        <v>563.75</v>
      </c>
      <c r="J3817" s="16">
        <v>506.52083333333331</v>
      </c>
      <c r="K3817" s="16">
        <v>57.229166666666686</v>
      </c>
      <c r="L3817" s="13">
        <v>5.65</v>
      </c>
      <c r="M3817" s="13"/>
      <c r="N3817" s="17">
        <f t="shared" si="127"/>
        <v>1158.25</v>
      </c>
      <c r="O3817" s="17">
        <f t="shared" si="127"/>
        <v>0</v>
      </c>
      <c r="P3817" s="17">
        <f t="shared" si="126"/>
        <v>1158.25</v>
      </c>
      <c r="Q3817" t="str">
        <f>A3817&amp;"-"&amp;B3817&amp;"-"&amp;D3817</f>
        <v>SEPTEMBER-CHW-L1</v>
      </c>
    </row>
    <row r="3818" spans="1:17" x14ac:dyDescent="0.25">
      <c r="A3818" t="s">
        <v>399</v>
      </c>
      <c r="B3818" s="13" t="s">
        <v>19</v>
      </c>
      <c r="C3818" s="13" t="s">
        <v>70</v>
      </c>
      <c r="D3818" s="14" t="s">
        <v>44</v>
      </c>
      <c r="E3818" s="13" t="s">
        <v>77</v>
      </c>
      <c r="F3818" s="13" t="s">
        <v>1420</v>
      </c>
      <c r="G3818" s="13">
        <v>2.75</v>
      </c>
      <c r="H3818" s="15">
        <v>189</v>
      </c>
      <c r="I3818" s="16">
        <v>519.75</v>
      </c>
      <c r="J3818" s="16">
        <v>492.68416666666667</v>
      </c>
      <c r="K3818" s="16">
        <v>27.06583333333333</v>
      </c>
      <c r="L3818" s="13">
        <v>6.02</v>
      </c>
      <c r="M3818" s="13"/>
      <c r="N3818" s="17">
        <f t="shared" si="127"/>
        <v>1137.78</v>
      </c>
      <c r="O3818" s="17">
        <f t="shared" si="127"/>
        <v>0</v>
      </c>
      <c r="P3818" s="17">
        <f t="shared" si="126"/>
        <v>1137.78</v>
      </c>
      <c r="Q3818" t="str">
        <f>A3818&amp;"-"&amp;B3818&amp;"-"&amp;D3818</f>
        <v>SEPTEMBER-CHW-L1</v>
      </c>
    </row>
    <row r="3819" spans="1:17" x14ac:dyDescent="0.25">
      <c r="A3819" t="s">
        <v>399</v>
      </c>
      <c r="B3819" s="13" t="s">
        <v>19</v>
      </c>
      <c r="C3819" s="13" t="s">
        <v>70</v>
      </c>
      <c r="D3819" s="14" t="s">
        <v>44</v>
      </c>
      <c r="E3819" s="13" t="s">
        <v>77</v>
      </c>
      <c r="F3819" s="13" t="s">
        <v>1421</v>
      </c>
      <c r="G3819" s="13">
        <v>2.75</v>
      </c>
      <c r="H3819" s="15">
        <v>101</v>
      </c>
      <c r="I3819" s="16">
        <v>277.75</v>
      </c>
      <c r="J3819" s="16">
        <v>272.2409090909091</v>
      </c>
      <c r="K3819" s="16">
        <v>5.5090909090909008</v>
      </c>
      <c r="L3819" s="13">
        <v>6.38</v>
      </c>
      <c r="M3819" s="13"/>
      <c r="N3819" s="17">
        <f t="shared" si="127"/>
        <v>644.38</v>
      </c>
      <c r="O3819" s="17">
        <f t="shared" si="127"/>
        <v>0</v>
      </c>
      <c r="P3819" s="17">
        <f t="shared" si="126"/>
        <v>644.38</v>
      </c>
      <c r="Q3819" t="str">
        <f>A3819&amp;"-"&amp;B3819&amp;"-"&amp;D3819</f>
        <v>SEPTEMBER-CHW-L1</v>
      </c>
    </row>
    <row r="3820" spans="1:17" x14ac:dyDescent="0.25">
      <c r="A3820" t="s">
        <v>399</v>
      </c>
      <c r="B3820" s="13" t="s">
        <v>19</v>
      </c>
      <c r="C3820" s="13" t="s">
        <v>70</v>
      </c>
      <c r="D3820" s="14" t="s">
        <v>44</v>
      </c>
      <c r="E3820" s="13" t="s">
        <v>77</v>
      </c>
      <c r="F3820" s="13" t="s">
        <v>821</v>
      </c>
      <c r="G3820" s="13">
        <v>3.7</v>
      </c>
      <c r="H3820" s="15">
        <v>13</v>
      </c>
      <c r="I3820" s="16">
        <v>48.1</v>
      </c>
      <c r="J3820" s="16">
        <v>32.120833333333337</v>
      </c>
      <c r="K3820" s="16">
        <v>15.979166666666664</v>
      </c>
      <c r="L3820" s="13">
        <v>8.25</v>
      </c>
      <c r="M3820" s="13"/>
      <c r="N3820" s="17">
        <f t="shared" si="127"/>
        <v>107.25</v>
      </c>
      <c r="O3820" s="17">
        <f t="shared" si="127"/>
        <v>0</v>
      </c>
      <c r="P3820" s="17">
        <f t="shared" si="126"/>
        <v>107.25</v>
      </c>
      <c r="Q3820" t="str">
        <f>A3820&amp;"-"&amp;B3820&amp;"-"&amp;D3820</f>
        <v>SEPTEMBER-CHW-L1</v>
      </c>
    </row>
    <row r="3821" spans="1:17" x14ac:dyDescent="0.25">
      <c r="A3821" t="s">
        <v>399</v>
      </c>
      <c r="B3821" s="13" t="s">
        <v>19</v>
      </c>
      <c r="C3821" s="13" t="s">
        <v>70</v>
      </c>
      <c r="D3821" s="14" t="s">
        <v>44</v>
      </c>
      <c r="E3821" s="13" t="s">
        <v>77</v>
      </c>
      <c r="F3821" s="13" t="s">
        <v>822</v>
      </c>
      <c r="G3821" s="13">
        <v>3.7</v>
      </c>
      <c r="H3821" s="15">
        <v>113</v>
      </c>
      <c r="I3821" s="16">
        <v>418.1</v>
      </c>
      <c r="J3821" s="16">
        <v>307.23190235690237</v>
      </c>
      <c r="K3821" s="16">
        <v>110.86809764309763</v>
      </c>
      <c r="L3821" s="13">
        <v>8.64</v>
      </c>
      <c r="M3821" s="13"/>
      <c r="N3821" s="17">
        <f t="shared" si="127"/>
        <v>976.32</v>
      </c>
      <c r="O3821" s="17">
        <f t="shared" si="127"/>
        <v>0</v>
      </c>
      <c r="P3821" s="17">
        <f t="shared" si="126"/>
        <v>976.32</v>
      </c>
      <c r="Q3821" t="str">
        <f>A3821&amp;"-"&amp;B3821&amp;"-"&amp;D3821</f>
        <v>SEPTEMBER-CHW-L1</v>
      </c>
    </row>
    <row r="3822" spans="1:17" x14ac:dyDescent="0.25">
      <c r="A3822" t="s">
        <v>399</v>
      </c>
      <c r="B3822" s="13" t="s">
        <v>19</v>
      </c>
      <c r="C3822" s="13" t="s">
        <v>70</v>
      </c>
      <c r="D3822" s="14" t="s">
        <v>44</v>
      </c>
      <c r="E3822" s="13" t="s">
        <v>77</v>
      </c>
      <c r="F3822" s="13" t="s">
        <v>1422</v>
      </c>
      <c r="G3822" s="13">
        <v>3.6999999999999997</v>
      </c>
      <c r="H3822" s="15">
        <v>1347</v>
      </c>
      <c r="I3822" s="16">
        <v>4983.9000000000005</v>
      </c>
      <c r="J3822" s="16">
        <v>3359.5097222222221</v>
      </c>
      <c r="K3822" s="16">
        <v>1624.3902777777778</v>
      </c>
      <c r="L3822" s="13">
        <v>8.5</v>
      </c>
      <c r="M3822" s="13"/>
      <c r="N3822" s="17">
        <f t="shared" si="127"/>
        <v>11449.5</v>
      </c>
      <c r="O3822" s="17">
        <f t="shared" si="127"/>
        <v>0</v>
      </c>
      <c r="P3822" s="17">
        <f t="shared" si="126"/>
        <v>11449.5</v>
      </c>
      <c r="Q3822" t="str">
        <f>A3822&amp;"-"&amp;B3822&amp;"-"&amp;D3822</f>
        <v>SEPTEMBER-CHW-L1</v>
      </c>
    </row>
    <row r="3823" spans="1:17" x14ac:dyDescent="0.25">
      <c r="A3823" t="s">
        <v>399</v>
      </c>
      <c r="B3823" s="13" t="s">
        <v>19</v>
      </c>
      <c r="C3823" s="13" t="s">
        <v>70</v>
      </c>
      <c r="D3823" s="14" t="s">
        <v>44</v>
      </c>
      <c r="E3823" s="13" t="s">
        <v>77</v>
      </c>
      <c r="F3823" s="13" t="s">
        <v>1245</v>
      </c>
      <c r="G3823" s="13">
        <v>3.7</v>
      </c>
      <c r="H3823" s="15">
        <v>6</v>
      </c>
      <c r="I3823" s="16">
        <v>22.2</v>
      </c>
      <c r="J3823" s="16">
        <v>16.172727272727272</v>
      </c>
      <c r="K3823" s="16">
        <v>6.0272727272727273</v>
      </c>
      <c r="L3823" s="13">
        <v>7.18</v>
      </c>
      <c r="M3823" s="13"/>
      <c r="N3823" s="17">
        <f t="shared" si="127"/>
        <v>43.08</v>
      </c>
      <c r="O3823" s="17">
        <f t="shared" si="127"/>
        <v>0</v>
      </c>
      <c r="P3823" s="17">
        <f t="shared" si="126"/>
        <v>43.08</v>
      </c>
      <c r="Q3823" t="str">
        <f>A3823&amp;"-"&amp;B3823&amp;"-"&amp;D3823</f>
        <v>SEPTEMBER-CHW-L1</v>
      </c>
    </row>
    <row r="3824" spans="1:17" x14ac:dyDescent="0.25">
      <c r="A3824" t="s">
        <v>399</v>
      </c>
      <c r="B3824" s="13" t="s">
        <v>19</v>
      </c>
      <c r="C3824" s="13" t="s">
        <v>70</v>
      </c>
      <c r="D3824" s="14" t="s">
        <v>44</v>
      </c>
      <c r="E3824" s="13" t="s">
        <v>77</v>
      </c>
      <c r="F3824" s="13" t="s">
        <v>824</v>
      </c>
      <c r="G3824" s="13">
        <v>3.7</v>
      </c>
      <c r="H3824" s="15">
        <v>19</v>
      </c>
      <c r="I3824" s="16">
        <v>70.3</v>
      </c>
      <c r="J3824" s="16">
        <v>46.945833333333333</v>
      </c>
      <c r="K3824" s="16">
        <v>23.354166666666664</v>
      </c>
      <c r="L3824" s="13">
        <v>7.16</v>
      </c>
      <c r="M3824" s="13"/>
      <c r="N3824" s="17">
        <f t="shared" si="127"/>
        <v>136.04</v>
      </c>
      <c r="O3824" s="17">
        <f t="shared" si="127"/>
        <v>0</v>
      </c>
      <c r="P3824" s="17">
        <f t="shared" si="126"/>
        <v>136.04</v>
      </c>
      <c r="Q3824" t="str">
        <f>A3824&amp;"-"&amp;B3824&amp;"-"&amp;D3824</f>
        <v>SEPTEMBER-CHW-L1</v>
      </c>
    </row>
    <row r="3825" spans="1:17" x14ac:dyDescent="0.25">
      <c r="A3825" t="s">
        <v>399</v>
      </c>
      <c r="B3825" s="13" t="s">
        <v>19</v>
      </c>
      <c r="C3825" s="13" t="s">
        <v>70</v>
      </c>
      <c r="D3825" s="14" t="s">
        <v>44</v>
      </c>
      <c r="E3825" s="13" t="s">
        <v>77</v>
      </c>
      <c r="F3825" s="13" t="s">
        <v>825</v>
      </c>
      <c r="G3825" s="13">
        <v>3.7</v>
      </c>
      <c r="H3825" s="15">
        <v>49</v>
      </c>
      <c r="I3825" s="16">
        <v>181.3</v>
      </c>
      <c r="J3825" s="16">
        <v>134.52314814814815</v>
      </c>
      <c r="K3825" s="16">
        <v>46.776851851851859</v>
      </c>
      <c r="L3825" s="13">
        <v>8.16</v>
      </c>
      <c r="M3825" s="13"/>
      <c r="N3825" s="17">
        <f t="shared" si="127"/>
        <v>399.84000000000003</v>
      </c>
      <c r="O3825" s="17">
        <f t="shared" si="127"/>
        <v>0</v>
      </c>
      <c r="P3825" s="17">
        <f t="shared" si="126"/>
        <v>399.84000000000003</v>
      </c>
      <c r="Q3825" t="str">
        <f>A3825&amp;"-"&amp;B3825&amp;"-"&amp;D3825</f>
        <v>SEPTEMBER-CHW-L1</v>
      </c>
    </row>
    <row r="3826" spans="1:17" x14ac:dyDescent="0.25">
      <c r="A3826" t="s">
        <v>399</v>
      </c>
      <c r="B3826" s="13" t="s">
        <v>19</v>
      </c>
      <c r="C3826" s="13" t="s">
        <v>70</v>
      </c>
      <c r="D3826" s="14" t="s">
        <v>44</v>
      </c>
      <c r="E3826" s="13" t="s">
        <v>77</v>
      </c>
      <c r="F3826" s="13" t="s">
        <v>1008</v>
      </c>
      <c r="G3826" s="13">
        <v>3.7</v>
      </c>
      <c r="H3826" s="15">
        <v>3</v>
      </c>
      <c r="I3826" s="16">
        <v>11.1</v>
      </c>
      <c r="J3826" s="16">
        <v>8.086363636363636</v>
      </c>
      <c r="K3826" s="16">
        <v>3.0136363636363637</v>
      </c>
      <c r="L3826" s="13">
        <v>8.1300000000000008</v>
      </c>
      <c r="M3826" s="13"/>
      <c r="N3826" s="17">
        <f t="shared" si="127"/>
        <v>24.39</v>
      </c>
      <c r="O3826" s="17">
        <f t="shared" si="127"/>
        <v>0</v>
      </c>
      <c r="P3826" s="17">
        <f t="shared" si="126"/>
        <v>24.39</v>
      </c>
      <c r="Q3826" t="str">
        <f>A3826&amp;"-"&amp;B3826&amp;"-"&amp;D3826</f>
        <v>SEPTEMBER-CHW-L1</v>
      </c>
    </row>
    <row r="3827" spans="1:17" x14ac:dyDescent="0.25">
      <c r="A3827" t="s">
        <v>399</v>
      </c>
      <c r="B3827" s="13" t="s">
        <v>19</v>
      </c>
      <c r="C3827" s="13" t="s">
        <v>70</v>
      </c>
      <c r="D3827" s="14" t="s">
        <v>44</v>
      </c>
      <c r="E3827" s="13" t="s">
        <v>77</v>
      </c>
      <c r="F3827" s="13" t="s">
        <v>1009</v>
      </c>
      <c r="G3827" s="13">
        <v>3.7</v>
      </c>
      <c r="H3827" s="15">
        <v>18</v>
      </c>
      <c r="I3827" s="16">
        <v>66.599999999999994</v>
      </c>
      <c r="J3827" s="16">
        <v>44.475000000000001</v>
      </c>
      <c r="K3827" s="16">
        <v>22.124999999999993</v>
      </c>
      <c r="L3827" s="13">
        <v>8.2200000000000006</v>
      </c>
      <c r="M3827" s="13"/>
      <c r="N3827" s="17">
        <f t="shared" si="127"/>
        <v>147.96</v>
      </c>
      <c r="O3827" s="17">
        <f t="shared" si="127"/>
        <v>0</v>
      </c>
      <c r="P3827" s="17">
        <f t="shared" si="126"/>
        <v>147.96</v>
      </c>
      <c r="Q3827" t="str">
        <f>A3827&amp;"-"&amp;B3827&amp;"-"&amp;D3827</f>
        <v>SEPTEMBER-CHW-L1</v>
      </c>
    </row>
    <row r="3828" spans="1:17" x14ac:dyDescent="0.25">
      <c r="A3828" t="s">
        <v>399</v>
      </c>
      <c r="B3828" s="13" t="s">
        <v>19</v>
      </c>
      <c r="C3828" s="13" t="s">
        <v>70</v>
      </c>
      <c r="D3828" s="14" t="s">
        <v>44</v>
      </c>
      <c r="E3828" s="13" t="s">
        <v>77</v>
      </c>
      <c r="F3828" s="13" t="s">
        <v>710</v>
      </c>
      <c r="G3828" s="13">
        <v>3.7</v>
      </c>
      <c r="H3828" s="15">
        <v>31</v>
      </c>
      <c r="I3828" s="16">
        <v>114.7</v>
      </c>
      <c r="J3828" s="16">
        <v>76.595833333333346</v>
      </c>
      <c r="K3828" s="16">
        <v>38.104166666666657</v>
      </c>
      <c r="L3828" s="13">
        <v>7.6</v>
      </c>
      <c r="M3828" s="13"/>
      <c r="N3828" s="17">
        <f t="shared" si="127"/>
        <v>235.6</v>
      </c>
      <c r="O3828" s="17">
        <f t="shared" si="127"/>
        <v>0</v>
      </c>
      <c r="P3828" s="17">
        <f t="shared" si="126"/>
        <v>235.6</v>
      </c>
      <c r="Q3828" t="str">
        <f>A3828&amp;"-"&amp;B3828&amp;"-"&amp;D3828</f>
        <v>SEPTEMBER-CHW-L1</v>
      </c>
    </row>
    <row r="3829" spans="1:17" x14ac:dyDescent="0.25">
      <c r="A3829" t="s">
        <v>399</v>
      </c>
      <c r="B3829" s="13" t="s">
        <v>19</v>
      </c>
      <c r="C3829" s="13" t="s">
        <v>70</v>
      </c>
      <c r="D3829" s="14" t="s">
        <v>44</v>
      </c>
      <c r="E3829" s="13" t="s">
        <v>77</v>
      </c>
      <c r="F3829" s="13" t="s">
        <v>1423</v>
      </c>
      <c r="G3829" s="13">
        <v>3.7</v>
      </c>
      <c r="H3829" s="15">
        <v>206</v>
      </c>
      <c r="I3829" s="16">
        <v>762.2</v>
      </c>
      <c r="J3829" s="16">
        <v>1101.9916666666666</v>
      </c>
      <c r="K3829" s="16">
        <v>-339.79166666666657</v>
      </c>
      <c r="L3829" s="13">
        <v>8.3699999999999992</v>
      </c>
      <c r="M3829" s="13"/>
      <c r="N3829" s="17">
        <f t="shared" si="127"/>
        <v>1724.2199999999998</v>
      </c>
      <c r="O3829" s="17">
        <f t="shared" si="127"/>
        <v>0</v>
      </c>
      <c r="P3829" s="17">
        <f t="shared" si="126"/>
        <v>1724.2199999999998</v>
      </c>
      <c r="Q3829" t="str">
        <f>A3829&amp;"-"&amp;B3829&amp;"-"&amp;D3829</f>
        <v>SEPTEMBER-CHW-L1</v>
      </c>
    </row>
    <row r="3830" spans="1:17" x14ac:dyDescent="0.25">
      <c r="A3830" t="s">
        <v>399</v>
      </c>
      <c r="B3830" s="13" t="s">
        <v>19</v>
      </c>
      <c r="C3830" s="13" t="s">
        <v>70</v>
      </c>
      <c r="D3830" s="14" t="s">
        <v>44</v>
      </c>
      <c r="E3830" s="13" t="s">
        <v>77</v>
      </c>
      <c r="F3830" s="13" t="s">
        <v>1424</v>
      </c>
      <c r="G3830" s="13">
        <v>3.7</v>
      </c>
      <c r="H3830" s="15">
        <v>287</v>
      </c>
      <c r="I3830" s="16">
        <v>1061.9000000000001</v>
      </c>
      <c r="J3830" s="16">
        <v>630.0625</v>
      </c>
      <c r="K3830" s="16">
        <v>431.83749999999998</v>
      </c>
      <c r="L3830" s="13">
        <v>8.34</v>
      </c>
      <c r="M3830" s="13"/>
      <c r="N3830" s="17">
        <f t="shared" si="127"/>
        <v>2393.58</v>
      </c>
      <c r="O3830" s="17">
        <f t="shared" si="127"/>
        <v>0</v>
      </c>
      <c r="P3830" s="17">
        <f t="shared" si="126"/>
        <v>2393.58</v>
      </c>
      <c r="Q3830" t="str">
        <f>A3830&amp;"-"&amp;B3830&amp;"-"&amp;D3830</f>
        <v>SEPTEMBER-CHW-L1</v>
      </c>
    </row>
    <row r="3831" spans="1:17" x14ac:dyDescent="0.25">
      <c r="A3831" t="s">
        <v>399</v>
      </c>
      <c r="B3831" s="13" t="s">
        <v>19</v>
      </c>
      <c r="C3831" s="13" t="s">
        <v>70</v>
      </c>
      <c r="D3831" s="14" t="s">
        <v>44</v>
      </c>
      <c r="E3831" s="13" t="s">
        <v>77</v>
      </c>
      <c r="F3831" s="13" t="s">
        <v>1425</v>
      </c>
      <c r="G3831" s="13">
        <v>3.7000000000000006</v>
      </c>
      <c r="H3831" s="15">
        <v>414</v>
      </c>
      <c r="I3831" s="16">
        <v>1531.8000000000002</v>
      </c>
      <c r="J3831" s="16">
        <v>1270.0789285714286</v>
      </c>
      <c r="K3831" s="16">
        <v>261.72107142857146</v>
      </c>
      <c r="L3831" s="13">
        <v>8.69</v>
      </c>
      <c r="M3831" s="13"/>
      <c r="N3831" s="17">
        <f t="shared" si="127"/>
        <v>3597.66</v>
      </c>
      <c r="O3831" s="17">
        <f t="shared" si="127"/>
        <v>0</v>
      </c>
      <c r="P3831" s="17">
        <f t="shared" si="126"/>
        <v>3597.66</v>
      </c>
      <c r="Q3831" t="str">
        <f>A3831&amp;"-"&amp;B3831&amp;"-"&amp;D3831</f>
        <v>SEPTEMBER-CHW-L1</v>
      </c>
    </row>
    <row r="3832" spans="1:17" x14ac:dyDescent="0.25">
      <c r="A3832" t="s">
        <v>399</v>
      </c>
      <c r="B3832" s="13" t="s">
        <v>19</v>
      </c>
      <c r="C3832" s="13" t="s">
        <v>70</v>
      </c>
      <c r="D3832" s="14" t="s">
        <v>50</v>
      </c>
      <c r="E3832" s="13" t="s">
        <v>73</v>
      </c>
      <c r="F3832" s="13" t="s">
        <v>1426</v>
      </c>
      <c r="G3832" s="13">
        <v>4.5</v>
      </c>
      <c r="H3832" s="15">
        <v>165</v>
      </c>
      <c r="I3832" s="16">
        <v>742.5</v>
      </c>
      <c r="J3832" s="16">
        <v>822.98196414964252</v>
      </c>
      <c r="K3832" s="16">
        <v>-80.481964149642621</v>
      </c>
      <c r="L3832" s="13">
        <v>9.5299999999999994</v>
      </c>
      <c r="M3832" s="13"/>
      <c r="N3832" s="17">
        <f t="shared" si="127"/>
        <v>1572.4499999999998</v>
      </c>
      <c r="O3832" s="17">
        <f t="shared" si="127"/>
        <v>0</v>
      </c>
      <c r="P3832" s="17">
        <f t="shared" si="126"/>
        <v>1572.4499999999998</v>
      </c>
      <c r="Q3832" t="str">
        <f>A3832&amp;"-"&amp;B3832&amp;"-"&amp;D3832</f>
        <v>SEPTEMBER-CHW-L2</v>
      </c>
    </row>
    <row r="3833" spans="1:17" x14ac:dyDescent="0.25">
      <c r="A3833" t="s">
        <v>399</v>
      </c>
      <c r="B3833" s="13" t="s">
        <v>19</v>
      </c>
      <c r="C3833" s="13" t="s">
        <v>70</v>
      </c>
      <c r="D3833" s="14" t="s">
        <v>50</v>
      </c>
      <c r="E3833" s="13" t="s">
        <v>73</v>
      </c>
      <c r="F3833" s="13" t="s">
        <v>1010</v>
      </c>
      <c r="G3833" s="13">
        <v>4.5</v>
      </c>
      <c r="H3833" s="15">
        <v>7</v>
      </c>
      <c r="I3833" s="16">
        <v>31.5</v>
      </c>
      <c r="J3833" s="16">
        <v>46.12222222222222</v>
      </c>
      <c r="K3833" s="16">
        <v>-14.62222222222222</v>
      </c>
      <c r="L3833" s="13">
        <v>11.08</v>
      </c>
      <c r="M3833" s="13"/>
      <c r="N3833" s="17">
        <f t="shared" si="127"/>
        <v>77.56</v>
      </c>
      <c r="O3833" s="17">
        <f t="shared" si="127"/>
        <v>0</v>
      </c>
      <c r="P3833" s="17">
        <f t="shared" si="126"/>
        <v>77.56</v>
      </c>
      <c r="Q3833" t="str">
        <f>A3833&amp;"-"&amp;B3833&amp;"-"&amp;D3833</f>
        <v>SEPTEMBER-CHW-L2</v>
      </c>
    </row>
    <row r="3834" spans="1:17" x14ac:dyDescent="0.25">
      <c r="A3834" t="s">
        <v>399</v>
      </c>
      <c r="B3834" s="13" t="s">
        <v>19</v>
      </c>
      <c r="C3834" s="13" t="s">
        <v>70</v>
      </c>
      <c r="D3834" s="14" t="s">
        <v>50</v>
      </c>
      <c r="E3834" s="13" t="s">
        <v>73</v>
      </c>
      <c r="F3834" s="13" t="s">
        <v>1427</v>
      </c>
      <c r="G3834" s="13">
        <v>4.5</v>
      </c>
      <c r="H3834" s="15">
        <v>595</v>
      </c>
      <c r="I3834" s="16">
        <v>2677.5</v>
      </c>
      <c r="J3834" s="16">
        <v>2233.1566765091861</v>
      </c>
      <c r="K3834" s="16">
        <v>444.3433234908137</v>
      </c>
      <c r="L3834" s="13">
        <v>12.01</v>
      </c>
      <c r="M3834" s="13"/>
      <c r="N3834" s="17">
        <f t="shared" si="127"/>
        <v>7145.95</v>
      </c>
      <c r="O3834" s="17">
        <f t="shared" si="127"/>
        <v>0</v>
      </c>
      <c r="P3834" s="17">
        <f t="shared" si="126"/>
        <v>7145.95</v>
      </c>
      <c r="Q3834" t="str">
        <f>A3834&amp;"-"&amp;B3834&amp;"-"&amp;D3834</f>
        <v>SEPTEMBER-CHW-L2</v>
      </c>
    </row>
    <row r="3835" spans="1:17" x14ac:dyDescent="0.25">
      <c r="A3835" t="s">
        <v>399</v>
      </c>
      <c r="B3835" s="13" t="s">
        <v>19</v>
      </c>
      <c r="C3835" s="13" t="s">
        <v>70</v>
      </c>
      <c r="D3835" s="14" t="s">
        <v>50</v>
      </c>
      <c r="E3835" s="13" t="s">
        <v>73</v>
      </c>
      <c r="F3835" s="13" t="s">
        <v>1428</v>
      </c>
      <c r="G3835" s="13">
        <v>4.5</v>
      </c>
      <c r="H3835" s="15">
        <v>109</v>
      </c>
      <c r="I3835" s="16">
        <v>490.5</v>
      </c>
      <c r="J3835" s="16">
        <v>951.80029761904757</v>
      </c>
      <c r="K3835" s="16">
        <v>-461.30029761904763</v>
      </c>
      <c r="L3835" s="13">
        <v>14.31</v>
      </c>
      <c r="M3835" s="13"/>
      <c r="N3835" s="17">
        <f t="shared" si="127"/>
        <v>1559.79</v>
      </c>
      <c r="O3835" s="17">
        <f t="shared" si="127"/>
        <v>0</v>
      </c>
      <c r="P3835" s="17">
        <f t="shared" si="126"/>
        <v>1559.79</v>
      </c>
      <c r="Q3835" t="str">
        <f>A3835&amp;"-"&amp;B3835&amp;"-"&amp;D3835</f>
        <v>SEPTEMBER-CHW-L2</v>
      </c>
    </row>
    <row r="3836" spans="1:17" x14ac:dyDescent="0.25">
      <c r="A3836" t="s">
        <v>399</v>
      </c>
      <c r="B3836" s="13" t="s">
        <v>19</v>
      </c>
      <c r="C3836" s="13" t="s">
        <v>70</v>
      </c>
      <c r="D3836" s="14" t="s">
        <v>50</v>
      </c>
      <c r="E3836" s="13" t="s">
        <v>73</v>
      </c>
      <c r="F3836" s="13" t="s">
        <v>1429</v>
      </c>
      <c r="G3836" s="13">
        <v>4.5</v>
      </c>
      <c r="H3836" s="15">
        <v>126</v>
      </c>
      <c r="I3836" s="16">
        <v>567</v>
      </c>
      <c r="J3836" s="16">
        <v>582.57362637362644</v>
      </c>
      <c r="K3836" s="16">
        <v>-15.573626373626396</v>
      </c>
      <c r="L3836" s="13">
        <v>12.08</v>
      </c>
      <c r="M3836" s="13"/>
      <c r="N3836" s="17">
        <f t="shared" si="127"/>
        <v>1522.08</v>
      </c>
      <c r="O3836" s="17">
        <f t="shared" si="127"/>
        <v>0</v>
      </c>
      <c r="P3836" s="17">
        <f t="shared" si="126"/>
        <v>1522.08</v>
      </c>
      <c r="Q3836" t="str">
        <f>A3836&amp;"-"&amp;B3836&amp;"-"&amp;D3836</f>
        <v>SEPTEMBER-CHW-L2</v>
      </c>
    </row>
    <row r="3837" spans="1:17" x14ac:dyDescent="0.25">
      <c r="A3837" t="s">
        <v>399</v>
      </c>
      <c r="B3837" s="13" t="s">
        <v>19</v>
      </c>
      <c r="C3837" s="13" t="s">
        <v>70</v>
      </c>
      <c r="D3837" s="14" t="s">
        <v>50</v>
      </c>
      <c r="E3837" s="13" t="s">
        <v>73</v>
      </c>
      <c r="F3837" s="13" t="s">
        <v>1430</v>
      </c>
      <c r="G3837" s="13">
        <v>4.5</v>
      </c>
      <c r="H3837" s="15">
        <v>413</v>
      </c>
      <c r="I3837" s="16">
        <v>1858.5</v>
      </c>
      <c r="J3837" s="16">
        <v>1991.6464658634536</v>
      </c>
      <c r="K3837" s="16">
        <v>-133.14646586345387</v>
      </c>
      <c r="L3837" s="13">
        <v>12.14</v>
      </c>
      <c r="M3837" s="13"/>
      <c r="N3837" s="17">
        <f t="shared" si="127"/>
        <v>5013.8200000000006</v>
      </c>
      <c r="O3837" s="17">
        <f t="shared" si="127"/>
        <v>0</v>
      </c>
      <c r="P3837" s="17">
        <f t="shared" si="126"/>
        <v>5013.8200000000006</v>
      </c>
      <c r="Q3837" t="str">
        <f>A3837&amp;"-"&amp;B3837&amp;"-"&amp;D3837</f>
        <v>SEPTEMBER-CHW-L2</v>
      </c>
    </row>
    <row r="3838" spans="1:17" x14ac:dyDescent="0.25">
      <c r="A3838" t="s">
        <v>399</v>
      </c>
      <c r="B3838" s="13" t="s">
        <v>19</v>
      </c>
      <c r="C3838" s="13" t="s">
        <v>70</v>
      </c>
      <c r="D3838" s="14" t="s">
        <v>50</v>
      </c>
      <c r="E3838" s="13" t="s">
        <v>73</v>
      </c>
      <c r="F3838" s="13" t="s">
        <v>1431</v>
      </c>
      <c r="G3838" s="13">
        <v>4.5</v>
      </c>
      <c r="H3838" s="15">
        <v>382</v>
      </c>
      <c r="I3838" s="16">
        <v>1719</v>
      </c>
      <c r="J3838" s="16">
        <v>1558.2606483357501</v>
      </c>
      <c r="K3838" s="16">
        <v>160.73935166424985</v>
      </c>
      <c r="L3838" s="13">
        <v>9.58</v>
      </c>
      <c r="M3838" s="13"/>
      <c r="N3838" s="17">
        <f t="shared" si="127"/>
        <v>3659.56</v>
      </c>
      <c r="O3838" s="17">
        <f t="shared" si="127"/>
        <v>0</v>
      </c>
      <c r="P3838" s="17">
        <f t="shared" si="126"/>
        <v>3659.56</v>
      </c>
      <c r="Q3838" t="str">
        <f>A3838&amp;"-"&amp;B3838&amp;"-"&amp;D3838</f>
        <v>SEPTEMBER-CHW-L2</v>
      </c>
    </row>
    <row r="3839" spans="1:17" x14ac:dyDescent="0.25">
      <c r="A3839" t="s">
        <v>399</v>
      </c>
      <c r="B3839" s="13" t="s">
        <v>19</v>
      </c>
      <c r="C3839" s="13" t="s">
        <v>70</v>
      </c>
      <c r="D3839" s="14" t="s">
        <v>50</v>
      </c>
      <c r="E3839" s="13" t="s">
        <v>73</v>
      </c>
      <c r="F3839" s="13" t="s">
        <v>1432</v>
      </c>
      <c r="G3839" s="13">
        <v>4.5</v>
      </c>
      <c r="H3839" s="15">
        <v>104</v>
      </c>
      <c r="I3839" s="16">
        <v>468</v>
      </c>
      <c r="J3839" s="16">
        <v>505.09035087719298</v>
      </c>
      <c r="K3839" s="16">
        <v>-37.090350877192989</v>
      </c>
      <c r="L3839" s="13">
        <v>9.83</v>
      </c>
      <c r="M3839" s="13"/>
      <c r="N3839" s="17">
        <f t="shared" si="127"/>
        <v>1022.32</v>
      </c>
      <c r="O3839" s="17">
        <f t="shared" si="127"/>
        <v>0</v>
      </c>
      <c r="P3839" s="17">
        <f t="shared" si="126"/>
        <v>1022.32</v>
      </c>
      <c r="Q3839" t="str">
        <f>A3839&amp;"-"&amp;B3839&amp;"-"&amp;D3839</f>
        <v>SEPTEMBER-CHW-L2</v>
      </c>
    </row>
    <row r="3840" spans="1:17" x14ac:dyDescent="0.25">
      <c r="A3840" t="s">
        <v>399</v>
      </c>
      <c r="B3840" s="13" t="s">
        <v>19</v>
      </c>
      <c r="C3840" s="13" t="s">
        <v>70</v>
      </c>
      <c r="D3840" s="14" t="s">
        <v>50</v>
      </c>
      <c r="E3840" s="13" t="s">
        <v>73</v>
      </c>
      <c r="F3840" s="13" t="s">
        <v>1433</v>
      </c>
      <c r="G3840" s="13">
        <v>4.5</v>
      </c>
      <c r="H3840" s="15">
        <v>3</v>
      </c>
      <c r="I3840" s="16">
        <v>13.5</v>
      </c>
      <c r="J3840" s="16">
        <v>15.605263157894736</v>
      </c>
      <c r="K3840" s="16">
        <v>-2.1052631578947363</v>
      </c>
      <c r="L3840" s="13">
        <v>10.28</v>
      </c>
      <c r="M3840" s="13"/>
      <c r="N3840" s="17">
        <f t="shared" si="127"/>
        <v>30.839999999999996</v>
      </c>
      <c r="O3840" s="17">
        <f t="shared" si="127"/>
        <v>0</v>
      </c>
      <c r="P3840" s="17">
        <f t="shared" si="126"/>
        <v>30.839999999999996</v>
      </c>
      <c r="Q3840" t="str">
        <f>A3840&amp;"-"&amp;B3840&amp;"-"&amp;D3840</f>
        <v>SEPTEMBER-CHW-L2</v>
      </c>
    </row>
    <row r="3841" spans="1:17" x14ac:dyDescent="0.25">
      <c r="A3841" t="s">
        <v>399</v>
      </c>
      <c r="B3841" s="13" t="s">
        <v>19</v>
      </c>
      <c r="C3841" s="13" t="s">
        <v>70</v>
      </c>
      <c r="D3841" s="14" t="s">
        <v>50</v>
      </c>
      <c r="E3841" s="13" t="s">
        <v>73</v>
      </c>
      <c r="F3841" s="13" t="s">
        <v>1011</v>
      </c>
      <c r="G3841" s="13">
        <v>4.5</v>
      </c>
      <c r="H3841" s="15">
        <v>2</v>
      </c>
      <c r="I3841" s="16">
        <v>9</v>
      </c>
      <c r="J3841" s="16">
        <v>13.177777777777779</v>
      </c>
      <c r="K3841" s="16">
        <v>-4.1777777777777789</v>
      </c>
      <c r="L3841" s="13">
        <v>11.62</v>
      </c>
      <c r="M3841" s="13"/>
      <c r="N3841" s="17">
        <f t="shared" si="127"/>
        <v>23.24</v>
      </c>
      <c r="O3841" s="17">
        <f t="shared" si="127"/>
        <v>0</v>
      </c>
      <c r="P3841" s="17">
        <f t="shared" si="126"/>
        <v>23.24</v>
      </c>
      <c r="Q3841" t="str">
        <f>A3841&amp;"-"&amp;B3841&amp;"-"&amp;D3841</f>
        <v>SEPTEMBER-CHW-L2</v>
      </c>
    </row>
    <row r="3842" spans="1:17" x14ac:dyDescent="0.25">
      <c r="A3842" t="s">
        <v>399</v>
      </c>
      <c r="B3842" s="13" t="s">
        <v>19</v>
      </c>
      <c r="C3842" s="13" t="s">
        <v>70</v>
      </c>
      <c r="D3842" s="14" t="s">
        <v>50</v>
      </c>
      <c r="E3842" s="13" t="s">
        <v>73</v>
      </c>
      <c r="F3842" s="13" t="s">
        <v>829</v>
      </c>
      <c r="G3842" s="13">
        <v>4.5</v>
      </c>
      <c r="H3842" s="15">
        <v>20</v>
      </c>
      <c r="I3842" s="16">
        <v>90</v>
      </c>
      <c r="J3842" s="16">
        <v>109.63911111111112</v>
      </c>
      <c r="K3842" s="16">
        <v>-19.63911111111112</v>
      </c>
      <c r="L3842" s="13">
        <v>10.94</v>
      </c>
      <c r="M3842" s="13"/>
      <c r="N3842" s="17">
        <f t="shared" si="127"/>
        <v>218.79999999999998</v>
      </c>
      <c r="O3842" s="17">
        <f t="shared" si="127"/>
        <v>0</v>
      </c>
      <c r="P3842" s="17">
        <f t="shared" ref="P3842:P3905" si="128">N3842+O3842</f>
        <v>218.79999999999998</v>
      </c>
      <c r="Q3842" t="str">
        <f>A3842&amp;"-"&amp;B3842&amp;"-"&amp;D3842</f>
        <v>SEPTEMBER-CHW-L2</v>
      </c>
    </row>
    <row r="3843" spans="1:17" x14ac:dyDescent="0.25">
      <c r="A3843" t="s">
        <v>399</v>
      </c>
      <c r="B3843" s="13" t="s">
        <v>19</v>
      </c>
      <c r="C3843" s="13" t="s">
        <v>70</v>
      </c>
      <c r="D3843" s="14" t="s">
        <v>50</v>
      </c>
      <c r="E3843" s="13" t="s">
        <v>73</v>
      </c>
      <c r="F3843" s="13" t="s">
        <v>1012</v>
      </c>
      <c r="G3843" s="13">
        <v>4.5</v>
      </c>
      <c r="H3843" s="15">
        <v>32</v>
      </c>
      <c r="I3843" s="16">
        <v>144</v>
      </c>
      <c r="J3843" s="16">
        <v>149.41732283464566</v>
      </c>
      <c r="K3843" s="16">
        <v>-5.4173228346456597</v>
      </c>
      <c r="L3843" s="13">
        <v>13.31</v>
      </c>
      <c r="M3843" s="13"/>
      <c r="N3843" s="17">
        <f t="shared" si="127"/>
        <v>425.92</v>
      </c>
      <c r="O3843" s="17">
        <f t="shared" si="127"/>
        <v>0</v>
      </c>
      <c r="P3843" s="17">
        <f t="shared" si="128"/>
        <v>425.92</v>
      </c>
      <c r="Q3843" t="str">
        <f>A3843&amp;"-"&amp;B3843&amp;"-"&amp;D3843</f>
        <v>SEPTEMBER-CHW-L2</v>
      </c>
    </row>
    <row r="3844" spans="1:17" x14ac:dyDescent="0.25">
      <c r="A3844" t="s">
        <v>399</v>
      </c>
      <c r="B3844" s="13" t="s">
        <v>19</v>
      </c>
      <c r="C3844" s="13" t="s">
        <v>70</v>
      </c>
      <c r="D3844" s="14" t="s">
        <v>50</v>
      </c>
      <c r="E3844" s="13" t="s">
        <v>73</v>
      </c>
      <c r="F3844" s="13" t="s">
        <v>1125</v>
      </c>
      <c r="G3844" s="13">
        <v>4.5</v>
      </c>
      <c r="H3844" s="15">
        <v>3</v>
      </c>
      <c r="I3844" s="16">
        <v>13.5</v>
      </c>
      <c r="J3844" s="16">
        <v>15.605263157894736</v>
      </c>
      <c r="K3844" s="16">
        <v>-2.1052631578947363</v>
      </c>
      <c r="L3844" s="13">
        <v>10.220000000000001</v>
      </c>
      <c r="M3844" s="13"/>
      <c r="N3844" s="17">
        <f t="shared" si="127"/>
        <v>30.660000000000004</v>
      </c>
      <c r="O3844" s="17">
        <f t="shared" si="127"/>
        <v>0</v>
      </c>
      <c r="P3844" s="17">
        <f t="shared" si="128"/>
        <v>30.660000000000004</v>
      </c>
      <c r="Q3844" t="str">
        <f>A3844&amp;"-"&amp;B3844&amp;"-"&amp;D3844</f>
        <v>SEPTEMBER-CHW-L2</v>
      </c>
    </row>
    <row r="3845" spans="1:17" x14ac:dyDescent="0.25">
      <c r="A3845" t="s">
        <v>399</v>
      </c>
      <c r="B3845" s="13" t="s">
        <v>19</v>
      </c>
      <c r="C3845" s="13" t="s">
        <v>70</v>
      </c>
      <c r="D3845" s="14" t="s">
        <v>50</v>
      </c>
      <c r="E3845" s="13" t="s">
        <v>73</v>
      </c>
      <c r="F3845" s="13" t="s">
        <v>1249</v>
      </c>
      <c r="G3845" s="13">
        <v>4.5</v>
      </c>
      <c r="H3845" s="15">
        <v>11</v>
      </c>
      <c r="I3845" s="16">
        <v>49.5</v>
      </c>
      <c r="J3845" s="16">
        <v>78.590361445783145</v>
      </c>
      <c r="K3845" s="16">
        <v>-29.090361445783145</v>
      </c>
      <c r="L3845" s="13">
        <v>9.92</v>
      </c>
      <c r="M3845" s="13"/>
      <c r="N3845" s="17">
        <f t="shared" si="127"/>
        <v>109.12</v>
      </c>
      <c r="O3845" s="17">
        <f t="shared" si="127"/>
        <v>0</v>
      </c>
      <c r="P3845" s="17">
        <f t="shared" si="128"/>
        <v>109.12</v>
      </c>
      <c r="Q3845" t="str">
        <f>A3845&amp;"-"&amp;B3845&amp;"-"&amp;D3845</f>
        <v>SEPTEMBER-CHW-L2</v>
      </c>
    </row>
    <row r="3846" spans="1:17" x14ac:dyDescent="0.25">
      <c r="A3846" t="s">
        <v>399</v>
      </c>
      <c r="B3846" s="13" t="s">
        <v>19</v>
      </c>
      <c r="C3846" s="13" t="s">
        <v>70</v>
      </c>
      <c r="D3846" s="14" t="s">
        <v>50</v>
      </c>
      <c r="E3846" s="13" t="s">
        <v>73</v>
      </c>
      <c r="F3846" s="13" t="s">
        <v>1126</v>
      </c>
      <c r="G3846" s="13">
        <v>4.5</v>
      </c>
      <c r="H3846" s="15">
        <v>82</v>
      </c>
      <c r="I3846" s="16">
        <v>369</v>
      </c>
      <c r="J3846" s="16">
        <v>465.86912280701756</v>
      </c>
      <c r="K3846" s="16">
        <v>-96.869122807017561</v>
      </c>
      <c r="L3846" s="13">
        <v>9.48</v>
      </c>
      <c r="M3846" s="13"/>
      <c r="N3846" s="17">
        <f t="shared" si="127"/>
        <v>777.36</v>
      </c>
      <c r="O3846" s="17">
        <f t="shared" si="127"/>
        <v>0</v>
      </c>
      <c r="P3846" s="17">
        <f t="shared" si="128"/>
        <v>777.36</v>
      </c>
      <c r="Q3846" t="str">
        <f>A3846&amp;"-"&amp;B3846&amp;"-"&amp;D3846</f>
        <v>SEPTEMBER-CHW-L2</v>
      </c>
    </row>
    <row r="3847" spans="1:17" x14ac:dyDescent="0.25">
      <c r="A3847" t="s">
        <v>399</v>
      </c>
      <c r="B3847" s="13" t="s">
        <v>19</v>
      </c>
      <c r="C3847" s="13" t="s">
        <v>70</v>
      </c>
      <c r="D3847" s="14" t="s">
        <v>50</v>
      </c>
      <c r="E3847" s="13" t="s">
        <v>73</v>
      </c>
      <c r="F3847" s="13" t="s">
        <v>1434</v>
      </c>
      <c r="G3847" s="13">
        <v>4.5</v>
      </c>
      <c r="H3847" s="15">
        <v>145</v>
      </c>
      <c r="I3847" s="16">
        <v>652.5</v>
      </c>
      <c r="J3847" s="16">
        <v>949.33054452715737</v>
      </c>
      <c r="K3847" s="16">
        <v>-296.83054452715737</v>
      </c>
      <c r="L3847" s="13">
        <v>9.4499999999999993</v>
      </c>
      <c r="M3847" s="13"/>
      <c r="N3847" s="17">
        <f t="shared" si="127"/>
        <v>1370.25</v>
      </c>
      <c r="O3847" s="17">
        <f t="shared" si="127"/>
        <v>0</v>
      </c>
      <c r="P3847" s="17">
        <f t="shared" si="128"/>
        <v>1370.25</v>
      </c>
      <c r="Q3847" t="str">
        <f>A3847&amp;"-"&amp;B3847&amp;"-"&amp;D3847</f>
        <v>SEPTEMBER-CHW-L2</v>
      </c>
    </row>
    <row r="3848" spans="1:17" x14ac:dyDescent="0.25">
      <c r="A3848" t="s">
        <v>399</v>
      </c>
      <c r="B3848" s="13" t="s">
        <v>19</v>
      </c>
      <c r="C3848" s="13" t="s">
        <v>70</v>
      </c>
      <c r="D3848" s="14" t="s">
        <v>50</v>
      </c>
      <c r="E3848" s="13" t="s">
        <v>73</v>
      </c>
      <c r="F3848" s="13" t="s">
        <v>1013</v>
      </c>
      <c r="G3848" s="13">
        <v>4.5</v>
      </c>
      <c r="H3848" s="15">
        <v>4</v>
      </c>
      <c r="I3848" s="16">
        <v>18</v>
      </c>
      <c r="J3848" s="16">
        <v>23.72</v>
      </c>
      <c r="K3848" s="16">
        <v>-5.7199999999999989</v>
      </c>
      <c r="L3848" s="13">
        <v>10</v>
      </c>
      <c r="M3848" s="13"/>
      <c r="N3848" s="17">
        <f t="shared" si="127"/>
        <v>40</v>
      </c>
      <c r="O3848" s="17">
        <f t="shared" si="127"/>
        <v>0</v>
      </c>
      <c r="P3848" s="17">
        <f t="shared" si="128"/>
        <v>40</v>
      </c>
      <c r="Q3848" t="str">
        <f>A3848&amp;"-"&amp;B3848&amp;"-"&amp;D3848</f>
        <v>SEPTEMBER-CHW-L2</v>
      </c>
    </row>
    <row r="3849" spans="1:17" x14ac:dyDescent="0.25">
      <c r="A3849" t="s">
        <v>399</v>
      </c>
      <c r="B3849" s="13" t="s">
        <v>19</v>
      </c>
      <c r="C3849" s="13" t="s">
        <v>70</v>
      </c>
      <c r="D3849" s="14" t="s">
        <v>50</v>
      </c>
      <c r="E3849" s="13" t="s">
        <v>73</v>
      </c>
      <c r="F3849" s="13" t="s">
        <v>1014</v>
      </c>
      <c r="G3849" s="13">
        <v>4.5</v>
      </c>
      <c r="H3849" s="15">
        <v>83</v>
      </c>
      <c r="I3849" s="16">
        <v>373.5</v>
      </c>
      <c r="J3849" s="16">
        <v>538.40748326639891</v>
      </c>
      <c r="K3849" s="16">
        <v>-164.90748326639891</v>
      </c>
      <c r="L3849" s="13">
        <v>11.05</v>
      </c>
      <c r="M3849" s="13"/>
      <c r="N3849" s="17">
        <f t="shared" si="127"/>
        <v>917.15000000000009</v>
      </c>
      <c r="O3849" s="17">
        <f t="shared" si="127"/>
        <v>0</v>
      </c>
      <c r="P3849" s="17">
        <f t="shared" si="128"/>
        <v>917.15000000000009</v>
      </c>
      <c r="Q3849" t="str">
        <f>A3849&amp;"-"&amp;B3849&amp;"-"&amp;D3849</f>
        <v>SEPTEMBER-CHW-L2</v>
      </c>
    </row>
    <row r="3850" spans="1:17" x14ac:dyDescent="0.25">
      <c r="A3850" t="s">
        <v>399</v>
      </c>
      <c r="B3850" s="13" t="s">
        <v>19</v>
      </c>
      <c r="C3850" s="13" t="s">
        <v>70</v>
      </c>
      <c r="D3850" s="14" t="s">
        <v>50</v>
      </c>
      <c r="E3850" s="13" t="s">
        <v>73</v>
      </c>
      <c r="F3850" s="13" t="s">
        <v>711</v>
      </c>
      <c r="G3850" s="13">
        <v>4.5</v>
      </c>
      <c r="H3850" s="15">
        <v>10</v>
      </c>
      <c r="I3850" s="16">
        <v>45</v>
      </c>
      <c r="J3850" s="16">
        <v>65.888888888888886</v>
      </c>
      <c r="K3850" s="16">
        <v>-20.888888888888886</v>
      </c>
      <c r="L3850" s="13">
        <v>10.82</v>
      </c>
      <c r="M3850" s="13"/>
      <c r="N3850" s="17">
        <f t="shared" si="127"/>
        <v>108.2</v>
      </c>
      <c r="O3850" s="17">
        <f t="shared" si="127"/>
        <v>0</v>
      </c>
      <c r="P3850" s="17">
        <f t="shared" si="128"/>
        <v>108.2</v>
      </c>
      <c r="Q3850" t="str">
        <f>A3850&amp;"-"&amp;B3850&amp;"-"&amp;D3850</f>
        <v>SEPTEMBER-CHW-L2</v>
      </c>
    </row>
    <row r="3851" spans="1:17" x14ac:dyDescent="0.25">
      <c r="A3851" t="s">
        <v>399</v>
      </c>
      <c r="B3851" s="13" t="s">
        <v>19</v>
      </c>
      <c r="C3851" s="13" t="s">
        <v>70</v>
      </c>
      <c r="D3851" s="14" t="s">
        <v>50</v>
      </c>
      <c r="E3851" s="13" t="s">
        <v>73</v>
      </c>
      <c r="F3851" s="13" t="s">
        <v>712</v>
      </c>
      <c r="G3851" s="13">
        <v>4.5</v>
      </c>
      <c r="H3851" s="15">
        <v>1</v>
      </c>
      <c r="I3851" s="16">
        <v>4.5</v>
      </c>
      <c r="J3851" s="16">
        <v>6.5888888888888895</v>
      </c>
      <c r="K3851" s="16">
        <v>-2.0888888888888895</v>
      </c>
      <c r="L3851" s="13">
        <v>10.42</v>
      </c>
      <c r="M3851" s="13"/>
      <c r="N3851" s="17">
        <f t="shared" si="127"/>
        <v>10.42</v>
      </c>
      <c r="O3851" s="17">
        <f t="shared" si="127"/>
        <v>0</v>
      </c>
      <c r="P3851" s="17">
        <f t="shared" si="128"/>
        <v>10.42</v>
      </c>
      <c r="Q3851" t="str">
        <f>A3851&amp;"-"&amp;B3851&amp;"-"&amp;D3851</f>
        <v>SEPTEMBER-CHW-L2</v>
      </c>
    </row>
    <row r="3852" spans="1:17" x14ac:dyDescent="0.25">
      <c r="A3852" t="s">
        <v>399</v>
      </c>
      <c r="B3852" s="13" t="s">
        <v>19</v>
      </c>
      <c r="C3852" s="13" t="s">
        <v>70</v>
      </c>
      <c r="D3852" s="14" t="s">
        <v>50</v>
      </c>
      <c r="E3852" s="13" t="s">
        <v>73</v>
      </c>
      <c r="F3852" s="13" t="s">
        <v>1250</v>
      </c>
      <c r="G3852" s="13">
        <v>4.5</v>
      </c>
      <c r="H3852" s="15">
        <v>110</v>
      </c>
      <c r="I3852" s="16">
        <v>495</v>
      </c>
      <c r="J3852" s="16">
        <v>581.35160470085475</v>
      </c>
      <c r="K3852" s="16">
        <v>-86.351604700854708</v>
      </c>
      <c r="L3852" s="13">
        <v>10.51</v>
      </c>
      <c r="M3852" s="13"/>
      <c r="N3852" s="17">
        <f t="shared" si="127"/>
        <v>1156.0999999999999</v>
      </c>
      <c r="O3852" s="17">
        <f t="shared" si="127"/>
        <v>0</v>
      </c>
      <c r="P3852" s="17">
        <f t="shared" si="128"/>
        <v>1156.0999999999999</v>
      </c>
      <c r="Q3852" t="str">
        <f>A3852&amp;"-"&amp;B3852&amp;"-"&amp;D3852</f>
        <v>SEPTEMBER-CHW-L2</v>
      </c>
    </row>
    <row r="3853" spans="1:17" x14ac:dyDescent="0.25">
      <c r="A3853" t="s">
        <v>399</v>
      </c>
      <c r="B3853" s="13" t="s">
        <v>19</v>
      </c>
      <c r="C3853" s="13" t="s">
        <v>70</v>
      </c>
      <c r="D3853" s="14" t="s">
        <v>50</v>
      </c>
      <c r="E3853" s="13" t="s">
        <v>73</v>
      </c>
      <c r="F3853" s="13" t="s">
        <v>830</v>
      </c>
      <c r="G3853" s="13">
        <v>4.5</v>
      </c>
      <c r="H3853" s="15">
        <v>32</v>
      </c>
      <c r="I3853" s="16">
        <v>144</v>
      </c>
      <c r="J3853" s="16">
        <v>155.17611548556431</v>
      </c>
      <c r="K3853" s="16">
        <v>-11.176115485564296</v>
      </c>
      <c r="L3853" s="13">
        <v>11.12</v>
      </c>
      <c r="M3853" s="13"/>
      <c r="N3853" s="17">
        <f t="shared" si="127"/>
        <v>355.84</v>
      </c>
      <c r="O3853" s="17">
        <f t="shared" si="127"/>
        <v>0</v>
      </c>
      <c r="P3853" s="17">
        <f t="shared" si="128"/>
        <v>355.84</v>
      </c>
      <c r="Q3853" t="str">
        <f>A3853&amp;"-"&amp;B3853&amp;"-"&amp;D3853</f>
        <v>SEPTEMBER-CHW-L2</v>
      </c>
    </row>
    <row r="3854" spans="1:17" x14ac:dyDescent="0.25">
      <c r="A3854" t="s">
        <v>399</v>
      </c>
      <c r="B3854" s="13" t="s">
        <v>19</v>
      </c>
      <c r="C3854" s="13" t="s">
        <v>70</v>
      </c>
      <c r="D3854" s="14" t="s">
        <v>56</v>
      </c>
      <c r="E3854" s="13" t="s">
        <v>71</v>
      </c>
      <c r="F3854" s="13" t="s">
        <v>1128</v>
      </c>
      <c r="G3854" s="13">
        <v>5</v>
      </c>
      <c r="H3854" s="15">
        <v>25</v>
      </c>
      <c r="I3854" s="16">
        <v>125</v>
      </c>
      <c r="J3854" s="16">
        <v>205.90277777777777</v>
      </c>
      <c r="K3854" s="16">
        <v>-80.902777777777771</v>
      </c>
      <c r="L3854" s="13">
        <v>11.96</v>
      </c>
      <c r="M3854" s="13"/>
      <c r="N3854" s="17">
        <f t="shared" si="127"/>
        <v>299</v>
      </c>
      <c r="O3854" s="17">
        <f t="shared" si="127"/>
        <v>0</v>
      </c>
      <c r="P3854" s="17">
        <f t="shared" si="128"/>
        <v>299</v>
      </c>
      <c r="Q3854" t="str">
        <f>A3854&amp;"-"&amp;B3854&amp;"-"&amp;D3854</f>
        <v>SEPTEMBER-CHW-L3</v>
      </c>
    </row>
    <row r="3855" spans="1:17" x14ac:dyDescent="0.25">
      <c r="A3855" t="s">
        <v>399</v>
      </c>
      <c r="B3855" s="13" t="s">
        <v>19</v>
      </c>
      <c r="C3855" s="13" t="s">
        <v>70</v>
      </c>
      <c r="D3855" s="14" t="s">
        <v>56</v>
      </c>
      <c r="E3855" s="13" t="s">
        <v>71</v>
      </c>
      <c r="F3855" s="13" t="s">
        <v>1435</v>
      </c>
      <c r="G3855" s="13">
        <v>5</v>
      </c>
      <c r="H3855" s="15">
        <v>95</v>
      </c>
      <c r="I3855" s="16">
        <v>475</v>
      </c>
      <c r="J3855" s="16">
        <v>926.5625</v>
      </c>
      <c r="K3855" s="16">
        <v>-451.5625</v>
      </c>
      <c r="L3855" s="13">
        <v>15.81</v>
      </c>
      <c r="M3855" s="13"/>
      <c r="N3855" s="17">
        <f t="shared" si="127"/>
        <v>1501.95</v>
      </c>
      <c r="O3855" s="17">
        <f t="shared" si="127"/>
        <v>0</v>
      </c>
      <c r="P3855" s="17">
        <f t="shared" si="128"/>
        <v>1501.95</v>
      </c>
      <c r="Q3855" t="str">
        <f>A3855&amp;"-"&amp;B3855&amp;"-"&amp;D3855</f>
        <v>SEPTEMBER-CHW-L3</v>
      </c>
    </row>
    <row r="3856" spans="1:17" x14ac:dyDescent="0.25">
      <c r="A3856" t="s">
        <v>399</v>
      </c>
      <c r="B3856" s="13" t="s">
        <v>19</v>
      </c>
      <c r="C3856" s="13" t="s">
        <v>70</v>
      </c>
      <c r="D3856" s="14" t="s">
        <v>56</v>
      </c>
      <c r="E3856" s="13" t="s">
        <v>71</v>
      </c>
      <c r="F3856" s="13" t="s">
        <v>1436</v>
      </c>
      <c r="G3856" s="13">
        <v>5</v>
      </c>
      <c r="H3856" s="15">
        <v>94</v>
      </c>
      <c r="I3856" s="16">
        <v>470</v>
      </c>
      <c r="J3856" s="16">
        <v>624.93076923076922</v>
      </c>
      <c r="K3856" s="16">
        <v>-154.93076923076924</v>
      </c>
      <c r="L3856" s="13">
        <v>15.48</v>
      </c>
      <c r="M3856" s="13"/>
      <c r="N3856" s="17">
        <f t="shared" si="127"/>
        <v>1455.1200000000001</v>
      </c>
      <c r="O3856" s="17">
        <f t="shared" si="127"/>
        <v>0</v>
      </c>
      <c r="P3856" s="17">
        <f t="shared" si="128"/>
        <v>1455.1200000000001</v>
      </c>
      <c r="Q3856" t="str">
        <f>A3856&amp;"-"&amp;B3856&amp;"-"&amp;D3856</f>
        <v>SEPTEMBER-CHW-L3</v>
      </c>
    </row>
    <row r="3857" spans="1:17" x14ac:dyDescent="0.25">
      <c r="A3857" t="s">
        <v>399</v>
      </c>
      <c r="B3857" s="13" t="s">
        <v>19</v>
      </c>
      <c r="C3857" s="13" t="s">
        <v>70</v>
      </c>
      <c r="D3857" s="14" t="s">
        <v>56</v>
      </c>
      <c r="E3857" s="13" t="s">
        <v>71</v>
      </c>
      <c r="F3857" s="13" t="s">
        <v>1437</v>
      </c>
      <c r="G3857" s="13">
        <v>5</v>
      </c>
      <c r="H3857" s="15">
        <v>11</v>
      </c>
      <c r="I3857" s="16">
        <v>55</v>
      </c>
      <c r="J3857" s="16">
        <v>593</v>
      </c>
      <c r="K3857" s="16">
        <v>-538</v>
      </c>
      <c r="L3857" s="13">
        <v>14.82</v>
      </c>
      <c r="M3857" s="13"/>
      <c r="N3857" s="17">
        <f t="shared" si="127"/>
        <v>163.02000000000001</v>
      </c>
      <c r="O3857" s="17">
        <f t="shared" si="127"/>
        <v>0</v>
      </c>
      <c r="P3857" s="17">
        <f t="shared" si="128"/>
        <v>163.02000000000001</v>
      </c>
      <c r="Q3857" t="str">
        <f>A3857&amp;"-"&amp;B3857&amp;"-"&amp;D3857</f>
        <v>SEPTEMBER-CHW-L3</v>
      </c>
    </row>
    <row r="3858" spans="1:17" x14ac:dyDescent="0.25">
      <c r="A3858" t="s">
        <v>399</v>
      </c>
      <c r="B3858" s="13" t="s">
        <v>19</v>
      </c>
      <c r="C3858" s="13" t="s">
        <v>70</v>
      </c>
      <c r="D3858" s="14" t="s">
        <v>56</v>
      </c>
      <c r="E3858" s="13" t="s">
        <v>71</v>
      </c>
      <c r="F3858" s="13" t="s">
        <v>1015</v>
      </c>
      <c r="G3858" s="13">
        <v>5</v>
      </c>
      <c r="H3858" s="15">
        <v>66</v>
      </c>
      <c r="I3858" s="16">
        <v>330</v>
      </c>
      <c r="J3858" s="16">
        <v>402.58381147540979</v>
      </c>
      <c r="K3858" s="16">
        <v>-72.583811475409817</v>
      </c>
      <c r="L3858" s="13">
        <v>12.74</v>
      </c>
      <c r="M3858" s="13"/>
      <c r="N3858" s="17">
        <f t="shared" si="127"/>
        <v>840.84</v>
      </c>
      <c r="O3858" s="17">
        <f t="shared" si="127"/>
        <v>0</v>
      </c>
      <c r="P3858" s="17">
        <f t="shared" si="128"/>
        <v>840.84</v>
      </c>
      <c r="Q3858" t="str">
        <f>A3858&amp;"-"&amp;B3858&amp;"-"&amp;D3858</f>
        <v>SEPTEMBER-CHW-L3</v>
      </c>
    </row>
    <row r="3859" spans="1:17" x14ac:dyDescent="0.25">
      <c r="A3859" t="s">
        <v>399</v>
      </c>
      <c r="B3859" s="13" t="s">
        <v>19</v>
      </c>
      <c r="C3859" s="13" t="s">
        <v>70</v>
      </c>
      <c r="D3859" s="14" t="s">
        <v>56</v>
      </c>
      <c r="E3859" s="13" t="s">
        <v>71</v>
      </c>
      <c r="F3859" s="13" t="s">
        <v>831</v>
      </c>
      <c r="G3859" s="13">
        <v>5</v>
      </c>
      <c r="H3859" s="15">
        <v>32</v>
      </c>
      <c r="I3859" s="16">
        <v>160</v>
      </c>
      <c r="J3859" s="16">
        <v>208.71655737704918</v>
      </c>
      <c r="K3859" s="16">
        <v>-48.716557377049178</v>
      </c>
      <c r="L3859" s="13">
        <v>12.82</v>
      </c>
      <c r="M3859" s="13"/>
      <c r="N3859" s="17">
        <f t="shared" si="127"/>
        <v>410.24</v>
      </c>
      <c r="O3859" s="17">
        <f t="shared" si="127"/>
        <v>0</v>
      </c>
      <c r="P3859" s="17">
        <f t="shared" si="128"/>
        <v>410.24</v>
      </c>
      <c r="Q3859" t="str">
        <f>A3859&amp;"-"&amp;B3859&amp;"-"&amp;D3859</f>
        <v>SEPTEMBER-CHW-L3</v>
      </c>
    </row>
    <row r="3860" spans="1:17" x14ac:dyDescent="0.25">
      <c r="A3860" t="s">
        <v>399</v>
      </c>
      <c r="B3860" s="13" t="s">
        <v>19</v>
      </c>
      <c r="C3860" s="13" t="s">
        <v>70</v>
      </c>
      <c r="D3860" s="14" t="s">
        <v>56</v>
      </c>
      <c r="E3860" s="13" t="s">
        <v>71</v>
      </c>
      <c r="F3860" s="13" t="s">
        <v>1438</v>
      </c>
      <c r="G3860" s="13">
        <v>5</v>
      </c>
      <c r="H3860" s="15">
        <v>230</v>
      </c>
      <c r="I3860" s="16">
        <v>1150</v>
      </c>
      <c r="J3860" s="16">
        <v>1445.4375</v>
      </c>
      <c r="K3860" s="16">
        <v>-295.4375</v>
      </c>
      <c r="L3860" s="13">
        <v>12.59</v>
      </c>
      <c r="M3860" s="13"/>
      <c r="N3860" s="17">
        <f t="shared" si="127"/>
        <v>2895.7</v>
      </c>
      <c r="O3860" s="17">
        <f t="shared" si="127"/>
        <v>0</v>
      </c>
      <c r="P3860" s="17">
        <f t="shared" si="128"/>
        <v>2895.7</v>
      </c>
      <c r="Q3860" t="str">
        <f>A3860&amp;"-"&amp;B3860&amp;"-"&amp;D3860</f>
        <v>SEPTEMBER-CHW-L3</v>
      </c>
    </row>
    <row r="3861" spans="1:17" x14ac:dyDescent="0.25">
      <c r="A3861" t="s">
        <v>399</v>
      </c>
      <c r="B3861" s="13" t="s">
        <v>19</v>
      </c>
      <c r="C3861" s="13" t="s">
        <v>70</v>
      </c>
      <c r="D3861" s="14" t="s">
        <v>56</v>
      </c>
      <c r="E3861" s="13" t="s">
        <v>71</v>
      </c>
      <c r="F3861" s="13" t="s">
        <v>832</v>
      </c>
      <c r="G3861" s="13">
        <v>4.8</v>
      </c>
      <c r="H3861" s="15">
        <v>21</v>
      </c>
      <c r="I3861" s="16">
        <v>100.8</v>
      </c>
      <c r="J3861" s="16">
        <v>183.13235294117649</v>
      </c>
      <c r="K3861" s="16">
        <v>-82.332352941176495</v>
      </c>
      <c r="L3861" s="13">
        <v>10.81</v>
      </c>
      <c r="M3861" s="13"/>
      <c r="N3861" s="17">
        <f t="shared" si="127"/>
        <v>227.01000000000002</v>
      </c>
      <c r="O3861" s="17">
        <f t="shared" si="127"/>
        <v>0</v>
      </c>
      <c r="P3861" s="17">
        <f t="shared" si="128"/>
        <v>227.01000000000002</v>
      </c>
      <c r="Q3861" t="str">
        <f>A3861&amp;"-"&amp;B3861&amp;"-"&amp;D3861</f>
        <v>SEPTEMBER-CHW-L3</v>
      </c>
    </row>
    <row r="3862" spans="1:17" x14ac:dyDescent="0.25">
      <c r="A3862" t="s">
        <v>399</v>
      </c>
      <c r="B3862" s="13" t="s">
        <v>19</v>
      </c>
      <c r="C3862" s="13" t="s">
        <v>70</v>
      </c>
      <c r="D3862" s="14" t="s">
        <v>56</v>
      </c>
      <c r="E3862" s="13" t="s">
        <v>71</v>
      </c>
      <c r="F3862" s="13" t="s">
        <v>1253</v>
      </c>
      <c r="G3862" s="13">
        <v>5</v>
      </c>
      <c r="H3862" s="15">
        <v>609</v>
      </c>
      <c r="I3862" s="16">
        <v>3045</v>
      </c>
      <c r="J3862" s="16">
        <v>3921.645511357548</v>
      </c>
      <c r="K3862" s="16">
        <v>-876.64551135754846</v>
      </c>
      <c r="L3862" s="13">
        <v>11.98</v>
      </c>
      <c r="M3862" s="13"/>
      <c r="N3862" s="17">
        <f t="shared" si="127"/>
        <v>7295.8200000000006</v>
      </c>
      <c r="O3862" s="17">
        <f t="shared" si="127"/>
        <v>0</v>
      </c>
      <c r="P3862" s="17">
        <f t="shared" si="128"/>
        <v>7295.8200000000006</v>
      </c>
      <c r="Q3862" t="str">
        <f>A3862&amp;"-"&amp;B3862&amp;"-"&amp;D3862</f>
        <v>SEPTEMBER-CHW-L3</v>
      </c>
    </row>
    <row r="3863" spans="1:17" x14ac:dyDescent="0.25">
      <c r="A3863" t="s">
        <v>399</v>
      </c>
      <c r="B3863" s="13" t="s">
        <v>19</v>
      </c>
      <c r="C3863" s="13" t="s">
        <v>70</v>
      </c>
      <c r="D3863" s="14" t="s">
        <v>56</v>
      </c>
      <c r="E3863" s="13" t="s">
        <v>71</v>
      </c>
      <c r="F3863" s="13" t="s">
        <v>1017</v>
      </c>
      <c r="G3863" s="13">
        <v>5</v>
      </c>
      <c r="H3863" s="15">
        <v>2</v>
      </c>
      <c r="I3863" s="16">
        <v>10</v>
      </c>
      <c r="J3863" s="16">
        <v>14.825000000000001</v>
      </c>
      <c r="K3863" s="16">
        <v>-4.8250000000000011</v>
      </c>
      <c r="L3863" s="13">
        <v>10.78</v>
      </c>
      <c r="M3863" s="13"/>
      <c r="N3863" s="17">
        <f t="shared" si="127"/>
        <v>21.56</v>
      </c>
      <c r="O3863" s="17">
        <f t="shared" si="127"/>
        <v>0</v>
      </c>
      <c r="P3863" s="17">
        <f t="shared" si="128"/>
        <v>21.56</v>
      </c>
      <c r="Q3863" t="str">
        <f>A3863&amp;"-"&amp;B3863&amp;"-"&amp;D3863</f>
        <v>SEPTEMBER-CHW-L3</v>
      </c>
    </row>
    <row r="3864" spans="1:17" x14ac:dyDescent="0.25">
      <c r="A3864" t="s">
        <v>399</v>
      </c>
      <c r="B3864" s="13" t="s">
        <v>19</v>
      </c>
      <c r="C3864" s="13" t="s">
        <v>70</v>
      </c>
      <c r="D3864" s="14" t="s">
        <v>56</v>
      </c>
      <c r="E3864" s="13" t="s">
        <v>71</v>
      </c>
      <c r="F3864" s="13" t="s">
        <v>1018</v>
      </c>
      <c r="G3864" s="13">
        <v>5</v>
      </c>
      <c r="H3864" s="15">
        <v>18</v>
      </c>
      <c r="I3864" s="16">
        <v>90</v>
      </c>
      <c r="J3864" s="16">
        <v>82.107692307692318</v>
      </c>
      <c r="K3864" s="16">
        <v>7.892307692307682</v>
      </c>
      <c r="L3864" s="13">
        <v>11.62</v>
      </c>
      <c r="M3864" s="13"/>
      <c r="N3864" s="17">
        <f t="shared" si="127"/>
        <v>209.16</v>
      </c>
      <c r="O3864" s="17">
        <f t="shared" si="127"/>
        <v>0</v>
      </c>
      <c r="P3864" s="17">
        <f t="shared" si="128"/>
        <v>209.16</v>
      </c>
      <c r="Q3864" t="str">
        <f>A3864&amp;"-"&amp;B3864&amp;"-"&amp;D3864</f>
        <v>SEPTEMBER-CHW-L3</v>
      </c>
    </row>
    <row r="3865" spans="1:17" x14ac:dyDescent="0.25">
      <c r="A3865" t="s">
        <v>399</v>
      </c>
      <c r="B3865" s="13" t="s">
        <v>19</v>
      </c>
      <c r="C3865" s="13" t="s">
        <v>70</v>
      </c>
      <c r="D3865" s="14" t="s">
        <v>56</v>
      </c>
      <c r="E3865" s="13" t="s">
        <v>71</v>
      </c>
      <c r="F3865" s="13" t="s">
        <v>1131</v>
      </c>
      <c r="G3865" s="13">
        <v>4.8</v>
      </c>
      <c r="H3865" s="15">
        <v>40</v>
      </c>
      <c r="I3865" s="16">
        <v>192</v>
      </c>
      <c r="J3865" s="16">
        <v>325.76987179487185</v>
      </c>
      <c r="K3865" s="16">
        <v>-133.76987179487179</v>
      </c>
      <c r="L3865" s="13">
        <v>13.1</v>
      </c>
      <c r="M3865" s="13"/>
      <c r="N3865" s="17">
        <f t="shared" si="127"/>
        <v>524</v>
      </c>
      <c r="O3865" s="17">
        <f t="shared" si="127"/>
        <v>0</v>
      </c>
      <c r="P3865" s="17">
        <f t="shared" si="128"/>
        <v>524</v>
      </c>
      <c r="Q3865" t="str">
        <f>A3865&amp;"-"&amp;B3865&amp;"-"&amp;D3865</f>
        <v>SEPTEMBER-CHW-L3</v>
      </c>
    </row>
    <row r="3866" spans="1:17" x14ac:dyDescent="0.25">
      <c r="A3866" t="s">
        <v>399</v>
      </c>
      <c r="B3866" s="13" t="s">
        <v>19</v>
      </c>
      <c r="C3866" s="13" t="s">
        <v>70</v>
      </c>
      <c r="D3866" s="14" t="s">
        <v>56</v>
      </c>
      <c r="E3866" s="13" t="s">
        <v>71</v>
      </c>
      <c r="F3866" s="13" t="s">
        <v>1255</v>
      </c>
      <c r="G3866" s="13">
        <v>4.8</v>
      </c>
      <c r="H3866" s="15">
        <v>6</v>
      </c>
      <c r="I3866" s="16">
        <v>28.8</v>
      </c>
      <c r="J3866" s="16">
        <v>27.668348045397227</v>
      </c>
      <c r="K3866" s="16">
        <v>1.1316519546027717</v>
      </c>
      <c r="L3866" s="13">
        <v>13.49</v>
      </c>
      <c r="M3866" s="13"/>
      <c r="N3866" s="17">
        <f t="shared" si="127"/>
        <v>80.94</v>
      </c>
      <c r="O3866" s="17">
        <f t="shared" si="127"/>
        <v>0</v>
      </c>
      <c r="P3866" s="17">
        <f t="shared" si="128"/>
        <v>80.94</v>
      </c>
      <c r="Q3866" t="str">
        <f>A3866&amp;"-"&amp;B3866&amp;"-"&amp;D3866</f>
        <v>SEPTEMBER-CHW-L3</v>
      </c>
    </row>
    <row r="3867" spans="1:17" x14ac:dyDescent="0.25">
      <c r="A3867" t="s">
        <v>399</v>
      </c>
      <c r="B3867" s="13" t="s">
        <v>19</v>
      </c>
      <c r="C3867" s="13" t="s">
        <v>70</v>
      </c>
      <c r="D3867" s="14" t="s">
        <v>56</v>
      </c>
      <c r="E3867" s="13" t="s">
        <v>71</v>
      </c>
      <c r="F3867" s="13" t="s">
        <v>1020</v>
      </c>
      <c r="G3867" s="13">
        <v>5</v>
      </c>
      <c r="H3867" s="15">
        <v>6</v>
      </c>
      <c r="I3867" s="16">
        <v>30</v>
      </c>
      <c r="J3867" s="16">
        <v>49.416666666666664</v>
      </c>
      <c r="K3867" s="16">
        <v>-19.416666666666664</v>
      </c>
      <c r="L3867" s="13">
        <v>11.98</v>
      </c>
      <c r="M3867" s="13"/>
      <c r="N3867" s="17">
        <f t="shared" ref="N3867:O3922" si="129">$H3867*L3867</f>
        <v>71.88</v>
      </c>
      <c r="O3867" s="17">
        <f t="shared" si="129"/>
        <v>0</v>
      </c>
      <c r="P3867" s="17">
        <f t="shared" si="128"/>
        <v>71.88</v>
      </c>
      <c r="Q3867" t="str">
        <f>A3867&amp;"-"&amp;B3867&amp;"-"&amp;D3867</f>
        <v>SEPTEMBER-CHW-L3</v>
      </c>
    </row>
    <row r="3868" spans="1:17" x14ac:dyDescent="0.25">
      <c r="A3868" t="s">
        <v>399</v>
      </c>
      <c r="B3868" s="13" t="s">
        <v>19</v>
      </c>
      <c r="C3868" s="13" t="s">
        <v>70</v>
      </c>
      <c r="D3868" s="14" t="s">
        <v>56</v>
      </c>
      <c r="E3868" s="13" t="s">
        <v>71</v>
      </c>
      <c r="F3868" s="13" t="s">
        <v>1439</v>
      </c>
      <c r="G3868" s="13">
        <v>5</v>
      </c>
      <c r="H3868" s="15">
        <v>638</v>
      </c>
      <c r="I3868" s="16">
        <v>3190</v>
      </c>
      <c r="J3868" s="16">
        <v>2848.3006410256412</v>
      </c>
      <c r="K3868" s="16">
        <v>341.69935897435903</v>
      </c>
      <c r="L3868" s="13">
        <v>11.73</v>
      </c>
      <c r="M3868" s="13"/>
      <c r="N3868" s="17">
        <f t="shared" si="129"/>
        <v>7483.7400000000007</v>
      </c>
      <c r="O3868" s="17">
        <f t="shared" si="129"/>
        <v>0</v>
      </c>
      <c r="P3868" s="17">
        <f t="shared" si="128"/>
        <v>7483.7400000000007</v>
      </c>
      <c r="Q3868" t="str">
        <f>A3868&amp;"-"&amp;B3868&amp;"-"&amp;D3868</f>
        <v>SEPTEMBER-CHW-L3</v>
      </c>
    </row>
    <row r="3869" spans="1:17" x14ac:dyDescent="0.25">
      <c r="A3869" t="s">
        <v>399</v>
      </c>
      <c r="B3869" s="13" t="s">
        <v>19</v>
      </c>
      <c r="C3869" s="13" t="s">
        <v>70</v>
      </c>
      <c r="D3869" s="14" t="s">
        <v>158</v>
      </c>
      <c r="E3869" s="13" t="s">
        <v>142</v>
      </c>
      <c r="F3869" s="13" t="s">
        <v>1440</v>
      </c>
      <c r="G3869" s="13">
        <v>1.5</v>
      </c>
      <c r="H3869" s="15">
        <v>1092</v>
      </c>
      <c r="I3869" s="16">
        <v>1638</v>
      </c>
      <c r="J3869" s="16">
        <v>2372</v>
      </c>
      <c r="K3869" s="16">
        <v>-734</v>
      </c>
      <c r="L3869" s="13">
        <v>4.49</v>
      </c>
      <c r="M3869" s="13"/>
      <c r="N3869" s="17">
        <f t="shared" si="129"/>
        <v>4903.08</v>
      </c>
      <c r="O3869" s="17">
        <f t="shared" si="129"/>
        <v>0</v>
      </c>
      <c r="P3869" s="17">
        <f t="shared" si="128"/>
        <v>4903.08</v>
      </c>
      <c r="Q3869" t="str">
        <f>A3869&amp;"-"&amp;B3869&amp;"-"&amp;D3869</f>
        <v>SEPTEMBER-CHW-L4</v>
      </c>
    </row>
    <row r="3870" spans="1:17" x14ac:dyDescent="0.25">
      <c r="A3870" t="s">
        <v>399</v>
      </c>
      <c r="B3870" s="13" t="s">
        <v>19</v>
      </c>
      <c r="C3870" s="13" t="s">
        <v>70</v>
      </c>
      <c r="D3870" s="14" t="s">
        <v>158</v>
      </c>
      <c r="E3870" s="13" t="s">
        <v>142</v>
      </c>
      <c r="F3870" s="13" t="s">
        <v>1441</v>
      </c>
      <c r="G3870" s="13">
        <v>1.8</v>
      </c>
      <c r="H3870" s="15">
        <v>655</v>
      </c>
      <c r="I3870" s="16">
        <v>1179</v>
      </c>
      <c r="J3870" s="16">
        <v>1019.6206325301205</v>
      </c>
      <c r="K3870" s="16">
        <v>159.3793674698795</v>
      </c>
      <c r="L3870" s="13">
        <v>4.49</v>
      </c>
      <c r="M3870" s="13"/>
      <c r="N3870" s="17">
        <f t="shared" si="129"/>
        <v>2940.9500000000003</v>
      </c>
      <c r="O3870" s="17">
        <f t="shared" si="129"/>
        <v>0</v>
      </c>
      <c r="P3870" s="17">
        <f t="shared" si="128"/>
        <v>2940.9500000000003</v>
      </c>
      <c r="Q3870" t="str">
        <f>A3870&amp;"-"&amp;B3870&amp;"-"&amp;D3870</f>
        <v>SEPTEMBER-CHW-L4</v>
      </c>
    </row>
    <row r="3871" spans="1:17" x14ac:dyDescent="0.25">
      <c r="A3871" t="s">
        <v>399</v>
      </c>
      <c r="B3871" s="13" t="s">
        <v>19</v>
      </c>
      <c r="C3871" s="13" t="s">
        <v>70</v>
      </c>
      <c r="D3871" s="14" t="s">
        <v>158</v>
      </c>
      <c r="E3871" s="13" t="s">
        <v>142</v>
      </c>
      <c r="F3871" s="13" t="s">
        <v>1021</v>
      </c>
      <c r="G3871" s="13">
        <v>1.6499999999999997</v>
      </c>
      <c r="H3871" s="15">
        <v>622</v>
      </c>
      <c r="I3871" s="16">
        <v>1026.3</v>
      </c>
      <c r="J3871" s="16">
        <v>1145.6072463768116</v>
      </c>
      <c r="K3871" s="16">
        <v>-119.30724637681155</v>
      </c>
      <c r="L3871" s="13">
        <v>5.88</v>
      </c>
      <c r="M3871" s="13"/>
      <c r="N3871" s="17">
        <f t="shared" si="129"/>
        <v>3657.36</v>
      </c>
      <c r="O3871" s="17">
        <f t="shared" si="129"/>
        <v>0</v>
      </c>
      <c r="P3871" s="17">
        <f t="shared" si="128"/>
        <v>3657.36</v>
      </c>
      <c r="Q3871" t="str">
        <f>A3871&amp;"-"&amp;B3871&amp;"-"&amp;D3871</f>
        <v>SEPTEMBER-CHW-L4</v>
      </c>
    </row>
    <row r="3872" spans="1:17" x14ac:dyDescent="0.25">
      <c r="A3872" t="s">
        <v>399</v>
      </c>
      <c r="B3872" s="13" t="s">
        <v>19</v>
      </c>
      <c r="C3872" s="13" t="s">
        <v>70</v>
      </c>
      <c r="D3872" s="14" t="s">
        <v>158</v>
      </c>
      <c r="E3872" s="13" t="s">
        <v>142</v>
      </c>
      <c r="F3872" s="13" t="s">
        <v>1257</v>
      </c>
      <c r="G3872" s="13">
        <v>1.65</v>
      </c>
      <c r="H3872" s="15">
        <v>1235</v>
      </c>
      <c r="I3872" s="16">
        <v>2037.75</v>
      </c>
      <c r="J3872" s="16">
        <v>2135.659420289855</v>
      </c>
      <c r="K3872" s="16">
        <v>-97.909420289855078</v>
      </c>
      <c r="L3872" s="13">
        <v>5.83</v>
      </c>
      <c r="M3872" s="13"/>
      <c r="N3872" s="17">
        <f t="shared" si="129"/>
        <v>7200.05</v>
      </c>
      <c r="O3872" s="17">
        <f t="shared" si="129"/>
        <v>0</v>
      </c>
      <c r="P3872" s="17">
        <f t="shared" si="128"/>
        <v>7200.05</v>
      </c>
      <c r="Q3872" t="str">
        <f>A3872&amp;"-"&amp;B3872&amp;"-"&amp;D3872</f>
        <v>SEPTEMBER-CHW-L4</v>
      </c>
    </row>
    <row r="3873" spans="1:17" x14ac:dyDescent="0.25">
      <c r="A3873" t="s">
        <v>399</v>
      </c>
      <c r="B3873" s="13" t="s">
        <v>19</v>
      </c>
      <c r="C3873" s="13" t="s">
        <v>70</v>
      </c>
      <c r="D3873" s="14" t="s">
        <v>158</v>
      </c>
      <c r="E3873" s="13" t="s">
        <v>142</v>
      </c>
      <c r="F3873" s="13" t="s">
        <v>1442</v>
      </c>
      <c r="G3873" s="13">
        <v>1.5</v>
      </c>
      <c r="H3873" s="15">
        <v>124</v>
      </c>
      <c r="I3873" s="16">
        <v>186</v>
      </c>
      <c r="J3873" s="16">
        <v>224.1829268292683</v>
      </c>
      <c r="K3873" s="16">
        <v>-38.182926829268297</v>
      </c>
      <c r="L3873" s="13">
        <v>5.22</v>
      </c>
      <c r="M3873" s="13"/>
      <c r="N3873" s="17">
        <f t="shared" si="129"/>
        <v>647.28</v>
      </c>
      <c r="O3873" s="17">
        <f t="shared" si="129"/>
        <v>0</v>
      </c>
      <c r="P3873" s="17">
        <f t="shared" si="128"/>
        <v>647.28</v>
      </c>
      <c r="Q3873" t="str">
        <f>A3873&amp;"-"&amp;B3873&amp;"-"&amp;D3873</f>
        <v>SEPTEMBER-CHW-L4</v>
      </c>
    </row>
    <row r="3874" spans="1:17" x14ac:dyDescent="0.25">
      <c r="A3874" t="s">
        <v>399</v>
      </c>
      <c r="B3874" s="13" t="s">
        <v>19</v>
      </c>
      <c r="C3874" s="13" t="s">
        <v>70</v>
      </c>
      <c r="D3874" s="14" t="s">
        <v>158</v>
      </c>
      <c r="E3874" s="13" t="s">
        <v>142</v>
      </c>
      <c r="F3874" s="13" t="s">
        <v>1022</v>
      </c>
      <c r="G3874" s="13">
        <v>1.5</v>
      </c>
      <c r="H3874" s="15">
        <v>192</v>
      </c>
      <c r="I3874" s="16">
        <v>288</v>
      </c>
      <c r="J3874" s="16">
        <v>333.12859756097561</v>
      </c>
      <c r="K3874" s="16">
        <v>-45.128597560975606</v>
      </c>
      <c r="L3874" s="13">
        <v>5.42</v>
      </c>
      <c r="M3874" s="13"/>
      <c r="N3874" s="17">
        <f t="shared" si="129"/>
        <v>1040.6399999999999</v>
      </c>
      <c r="O3874" s="17">
        <f t="shared" si="129"/>
        <v>0</v>
      </c>
      <c r="P3874" s="17">
        <f t="shared" si="128"/>
        <v>1040.6399999999999</v>
      </c>
      <c r="Q3874" t="str">
        <f>A3874&amp;"-"&amp;B3874&amp;"-"&amp;D3874</f>
        <v>SEPTEMBER-CHW-L4</v>
      </c>
    </row>
    <row r="3875" spans="1:17" x14ac:dyDescent="0.25">
      <c r="A3875" t="s">
        <v>399</v>
      </c>
      <c r="B3875" s="13" t="s">
        <v>19</v>
      </c>
      <c r="C3875" s="13" t="s">
        <v>70</v>
      </c>
      <c r="D3875" s="14" t="s">
        <v>158</v>
      </c>
      <c r="E3875" s="13" t="s">
        <v>142</v>
      </c>
      <c r="F3875" s="13" t="s">
        <v>1443</v>
      </c>
      <c r="G3875" s="13">
        <v>1.5</v>
      </c>
      <c r="H3875" s="15">
        <v>347</v>
      </c>
      <c r="I3875" s="16">
        <v>520.5</v>
      </c>
      <c r="J3875" s="16">
        <v>514.42750000000001</v>
      </c>
      <c r="K3875" s="16">
        <v>6.0725000000000193</v>
      </c>
      <c r="L3875" s="13">
        <v>5.98</v>
      </c>
      <c r="M3875" s="13"/>
      <c r="N3875" s="17">
        <f t="shared" si="129"/>
        <v>2075.06</v>
      </c>
      <c r="O3875" s="17">
        <f t="shared" si="129"/>
        <v>0</v>
      </c>
      <c r="P3875" s="17">
        <f t="shared" si="128"/>
        <v>2075.06</v>
      </c>
      <c r="Q3875" t="str">
        <f>A3875&amp;"-"&amp;B3875&amp;"-"&amp;D3875</f>
        <v>SEPTEMBER-CHW-L4</v>
      </c>
    </row>
    <row r="3876" spans="1:17" x14ac:dyDescent="0.25">
      <c r="A3876" t="s">
        <v>399</v>
      </c>
      <c r="B3876" s="13" t="s">
        <v>19</v>
      </c>
      <c r="C3876" s="13" t="s">
        <v>70</v>
      </c>
      <c r="D3876" s="14" t="s">
        <v>158</v>
      </c>
      <c r="E3876" s="13" t="s">
        <v>142</v>
      </c>
      <c r="F3876" s="13" t="s">
        <v>1444</v>
      </c>
      <c r="G3876" s="13">
        <v>1.5</v>
      </c>
      <c r="H3876" s="15">
        <v>1500</v>
      </c>
      <c r="I3876" s="16">
        <v>2250</v>
      </c>
      <c r="J3876" s="16">
        <v>2332.9608333333335</v>
      </c>
      <c r="K3876" s="16">
        <v>-82.960833333333369</v>
      </c>
      <c r="L3876" s="13">
        <v>5.94</v>
      </c>
      <c r="M3876" s="13"/>
      <c r="N3876" s="17">
        <f t="shared" si="129"/>
        <v>8910</v>
      </c>
      <c r="O3876" s="17">
        <f t="shared" si="129"/>
        <v>0</v>
      </c>
      <c r="P3876" s="17">
        <f t="shared" si="128"/>
        <v>8910</v>
      </c>
      <c r="Q3876" t="str">
        <f>A3876&amp;"-"&amp;B3876&amp;"-"&amp;D3876</f>
        <v>SEPTEMBER-CHW-L4</v>
      </c>
    </row>
    <row r="3877" spans="1:17" x14ac:dyDescent="0.25">
      <c r="A3877" t="s">
        <v>399</v>
      </c>
      <c r="B3877" s="13" t="s">
        <v>19</v>
      </c>
      <c r="C3877" s="13" t="s">
        <v>70</v>
      </c>
      <c r="D3877" s="14" t="s">
        <v>158</v>
      </c>
      <c r="E3877" s="13" t="s">
        <v>142</v>
      </c>
      <c r="F3877" s="13" t="s">
        <v>1445</v>
      </c>
      <c r="G3877" s="13">
        <v>1.5</v>
      </c>
      <c r="H3877" s="15">
        <v>285</v>
      </c>
      <c r="I3877" s="16">
        <v>427.5</v>
      </c>
      <c r="J3877" s="16">
        <v>692.43597560975604</v>
      </c>
      <c r="K3877" s="16">
        <v>-264.9359756097561</v>
      </c>
      <c r="L3877" s="13">
        <v>5.59</v>
      </c>
      <c r="M3877" s="13"/>
      <c r="N3877" s="17">
        <f t="shared" si="129"/>
        <v>1593.1499999999999</v>
      </c>
      <c r="O3877" s="17">
        <f t="shared" si="129"/>
        <v>0</v>
      </c>
      <c r="P3877" s="17">
        <f t="shared" si="128"/>
        <v>1593.1499999999999</v>
      </c>
      <c r="Q3877" t="str">
        <f>A3877&amp;"-"&amp;B3877&amp;"-"&amp;D3877</f>
        <v>SEPTEMBER-CHW-L4</v>
      </c>
    </row>
    <row r="3878" spans="1:17" x14ac:dyDescent="0.25">
      <c r="A3878" t="s">
        <v>399</v>
      </c>
      <c r="B3878" s="13" t="s">
        <v>19</v>
      </c>
      <c r="C3878" s="13" t="s">
        <v>70</v>
      </c>
      <c r="D3878" s="14" t="s">
        <v>158</v>
      </c>
      <c r="E3878" s="13" t="s">
        <v>142</v>
      </c>
      <c r="F3878" s="13" t="s">
        <v>1446</v>
      </c>
      <c r="G3878" s="13">
        <v>1.6</v>
      </c>
      <c r="H3878" s="15">
        <v>262</v>
      </c>
      <c r="I3878" s="16">
        <v>419.2</v>
      </c>
      <c r="J3878" s="16">
        <v>388.41500000000002</v>
      </c>
      <c r="K3878" s="16">
        <v>30.784999999999968</v>
      </c>
      <c r="L3878" s="13">
        <v>6.95</v>
      </c>
      <c r="M3878" s="13"/>
      <c r="N3878" s="17">
        <f t="shared" si="129"/>
        <v>1820.9</v>
      </c>
      <c r="O3878" s="17">
        <f t="shared" si="129"/>
        <v>0</v>
      </c>
      <c r="P3878" s="17">
        <f t="shared" si="128"/>
        <v>1820.9</v>
      </c>
      <c r="Q3878" t="str">
        <f>A3878&amp;"-"&amp;B3878&amp;"-"&amp;D3878</f>
        <v>SEPTEMBER-CHW-L4</v>
      </c>
    </row>
    <row r="3879" spans="1:17" x14ac:dyDescent="0.25">
      <c r="A3879" t="s">
        <v>399</v>
      </c>
      <c r="B3879" s="13" t="s">
        <v>19</v>
      </c>
      <c r="C3879" s="13" t="s">
        <v>70</v>
      </c>
      <c r="D3879" s="14" t="s">
        <v>158</v>
      </c>
      <c r="E3879" s="13" t="s">
        <v>142</v>
      </c>
      <c r="F3879" s="13" t="s">
        <v>1447</v>
      </c>
      <c r="G3879" s="13">
        <v>1.6</v>
      </c>
      <c r="H3879" s="15">
        <v>438</v>
      </c>
      <c r="I3879" s="16">
        <v>700.8</v>
      </c>
      <c r="J3879" s="16">
        <v>701.56186746987953</v>
      </c>
      <c r="K3879" s="16">
        <v>-0.76186746987951892</v>
      </c>
      <c r="L3879" s="13">
        <v>6.71</v>
      </c>
      <c r="M3879" s="13"/>
      <c r="N3879" s="17">
        <f t="shared" si="129"/>
        <v>2938.98</v>
      </c>
      <c r="O3879" s="17">
        <f t="shared" si="129"/>
        <v>0</v>
      </c>
      <c r="P3879" s="17">
        <f t="shared" si="128"/>
        <v>2938.98</v>
      </c>
      <c r="Q3879" t="str">
        <f>A3879&amp;"-"&amp;B3879&amp;"-"&amp;D3879</f>
        <v>SEPTEMBER-CHW-L4</v>
      </c>
    </row>
    <row r="3880" spans="1:17" x14ac:dyDescent="0.25">
      <c r="A3880" t="s">
        <v>399</v>
      </c>
      <c r="B3880" s="13" t="s">
        <v>20</v>
      </c>
      <c r="C3880" s="13" t="s">
        <v>60</v>
      </c>
      <c r="D3880" s="14" t="s">
        <v>56</v>
      </c>
      <c r="E3880" s="13" t="s">
        <v>61</v>
      </c>
      <c r="F3880" s="13" t="s">
        <v>1260</v>
      </c>
      <c r="G3880" s="13">
        <v>1.1000000000000001</v>
      </c>
      <c r="H3880" s="15">
        <v>1450</v>
      </c>
      <c r="I3880" s="16">
        <v>1595</v>
      </c>
      <c r="J3880" s="16">
        <v>2658.4824945494684</v>
      </c>
      <c r="K3880" s="16">
        <v>-1063.4824945494679</v>
      </c>
      <c r="L3880" s="13">
        <v>2.61</v>
      </c>
      <c r="M3880" s="13"/>
      <c r="N3880" s="17">
        <f t="shared" si="129"/>
        <v>3784.5</v>
      </c>
      <c r="O3880" s="17">
        <f t="shared" si="129"/>
        <v>0</v>
      </c>
      <c r="P3880" s="17">
        <f t="shared" si="128"/>
        <v>3784.5</v>
      </c>
      <c r="Q3880" t="str">
        <f>A3880&amp;"-"&amp;B3880&amp;"-"&amp;D3880</f>
        <v>SEPTEMBER-CJL-L3</v>
      </c>
    </row>
    <row r="3881" spans="1:17" x14ac:dyDescent="0.25">
      <c r="A3881" t="s">
        <v>399</v>
      </c>
      <c r="B3881" s="13" t="s">
        <v>20</v>
      </c>
      <c r="C3881" s="13" t="s">
        <v>1448</v>
      </c>
      <c r="D3881" s="14" t="s">
        <v>56</v>
      </c>
      <c r="E3881" s="13" t="s">
        <v>155</v>
      </c>
      <c r="F3881" s="13" t="s">
        <v>1449</v>
      </c>
      <c r="G3881" s="13">
        <v>0.42</v>
      </c>
      <c r="H3881" s="15">
        <v>4962</v>
      </c>
      <c r="I3881" s="16">
        <v>2084.04</v>
      </c>
      <c r="J3881" s="16">
        <v>6730.1273408239704</v>
      </c>
      <c r="K3881" s="16">
        <v>-4646.0873408239704</v>
      </c>
      <c r="L3881" s="13">
        <v>0</v>
      </c>
      <c r="M3881" s="13"/>
      <c r="N3881" s="17">
        <f t="shared" si="129"/>
        <v>0</v>
      </c>
      <c r="O3881" s="17">
        <f t="shared" si="129"/>
        <v>0</v>
      </c>
      <c r="P3881" s="17">
        <f t="shared" si="128"/>
        <v>0</v>
      </c>
      <c r="Q3881" t="str">
        <f>A3881&amp;"-"&amp;B3881&amp;"-"&amp;D3881</f>
        <v>SEPTEMBER-CJL-L3</v>
      </c>
    </row>
    <row r="3882" spans="1:17" x14ac:dyDescent="0.25">
      <c r="A3882" t="s">
        <v>399</v>
      </c>
      <c r="B3882" s="13" t="s">
        <v>20</v>
      </c>
      <c r="C3882" s="13" t="s">
        <v>70</v>
      </c>
      <c r="D3882" s="14" t="s">
        <v>56</v>
      </c>
      <c r="E3882" s="13" t="s">
        <v>71</v>
      </c>
      <c r="F3882" s="13" t="s">
        <v>1450</v>
      </c>
      <c r="G3882" s="13">
        <v>5</v>
      </c>
      <c r="H3882" s="15">
        <v>99</v>
      </c>
      <c r="I3882" s="16">
        <v>495</v>
      </c>
      <c r="J3882" s="16">
        <v>206.50596658711217</v>
      </c>
      <c r="K3882" s="16">
        <v>288.4940334128878</v>
      </c>
      <c r="L3882" s="13">
        <v>12.17</v>
      </c>
      <c r="M3882" s="13"/>
      <c r="N3882" s="17">
        <f t="shared" si="129"/>
        <v>1204.83</v>
      </c>
      <c r="O3882" s="17">
        <f t="shared" si="129"/>
        <v>0</v>
      </c>
      <c r="P3882" s="17">
        <f t="shared" si="128"/>
        <v>1204.83</v>
      </c>
      <c r="Q3882" t="str">
        <f>A3882&amp;"-"&amp;B3882&amp;"-"&amp;D3882</f>
        <v>SEPTEMBER-CJL-L3</v>
      </c>
    </row>
    <row r="3883" spans="1:17" x14ac:dyDescent="0.25">
      <c r="A3883" t="s">
        <v>399</v>
      </c>
      <c r="B3883" s="13" t="s">
        <v>20</v>
      </c>
      <c r="C3883" s="13" t="s">
        <v>70</v>
      </c>
      <c r="D3883" s="14" t="s">
        <v>56</v>
      </c>
      <c r="E3883" s="13" t="s">
        <v>71</v>
      </c>
      <c r="F3883" s="13" t="s">
        <v>1451</v>
      </c>
      <c r="G3883" s="13">
        <v>5</v>
      </c>
      <c r="H3883" s="15">
        <v>283</v>
      </c>
      <c r="I3883" s="16">
        <v>1415</v>
      </c>
      <c r="J3883" s="16">
        <v>1629.4006137061028</v>
      </c>
      <c r="K3883" s="16">
        <v>-214.40061370610294</v>
      </c>
      <c r="L3883" s="13">
        <v>12.09</v>
      </c>
      <c r="M3883" s="13"/>
      <c r="N3883" s="17">
        <f t="shared" si="129"/>
        <v>3421.47</v>
      </c>
      <c r="O3883" s="17">
        <f t="shared" si="129"/>
        <v>0</v>
      </c>
      <c r="P3883" s="17">
        <f t="shared" si="128"/>
        <v>3421.47</v>
      </c>
      <c r="Q3883" t="str">
        <f>A3883&amp;"-"&amp;B3883&amp;"-"&amp;D3883</f>
        <v>SEPTEMBER-CJL-L3</v>
      </c>
    </row>
    <row r="3884" spans="1:17" x14ac:dyDescent="0.25">
      <c r="A3884" t="s">
        <v>399</v>
      </c>
      <c r="B3884" s="13" t="s">
        <v>20</v>
      </c>
      <c r="C3884" s="13" t="s">
        <v>70</v>
      </c>
      <c r="D3884" s="14" t="s">
        <v>56</v>
      </c>
      <c r="E3884" s="13" t="s">
        <v>71</v>
      </c>
      <c r="F3884" s="13" t="s">
        <v>1452</v>
      </c>
      <c r="G3884" s="13">
        <v>5</v>
      </c>
      <c r="H3884" s="15">
        <v>120</v>
      </c>
      <c r="I3884" s="16">
        <v>600</v>
      </c>
      <c r="J3884" s="16">
        <v>441.81524969875488</v>
      </c>
      <c r="K3884" s="16">
        <v>158.18475030124512</v>
      </c>
      <c r="L3884" s="13">
        <v>13.55</v>
      </c>
      <c r="M3884" s="13"/>
      <c r="N3884" s="17">
        <f t="shared" si="129"/>
        <v>1626</v>
      </c>
      <c r="O3884" s="17">
        <f t="shared" si="129"/>
        <v>0</v>
      </c>
      <c r="P3884" s="17">
        <f t="shared" si="128"/>
        <v>1626</v>
      </c>
      <c r="Q3884" t="str">
        <f>A3884&amp;"-"&amp;B3884&amp;"-"&amp;D3884</f>
        <v>SEPTEMBER-CJL-L3</v>
      </c>
    </row>
    <row r="3885" spans="1:17" x14ac:dyDescent="0.25">
      <c r="A3885" t="s">
        <v>399</v>
      </c>
      <c r="B3885" s="13" t="s">
        <v>20</v>
      </c>
      <c r="C3885" s="13" t="s">
        <v>70</v>
      </c>
      <c r="D3885" s="14" t="s">
        <v>56</v>
      </c>
      <c r="E3885" s="13" t="s">
        <v>71</v>
      </c>
      <c r="F3885" s="13" t="s">
        <v>1453</v>
      </c>
      <c r="G3885" s="13">
        <v>5</v>
      </c>
      <c r="H3885" s="15">
        <v>118</v>
      </c>
      <c r="I3885" s="16">
        <v>590</v>
      </c>
      <c r="J3885" s="16">
        <v>251.00147275405004</v>
      </c>
      <c r="K3885" s="16">
        <v>338.99852724594996</v>
      </c>
      <c r="L3885" s="13">
        <v>13.95</v>
      </c>
      <c r="M3885" s="13"/>
      <c r="N3885" s="17">
        <f t="shared" si="129"/>
        <v>1646.1</v>
      </c>
      <c r="O3885" s="17">
        <f t="shared" si="129"/>
        <v>0</v>
      </c>
      <c r="P3885" s="17">
        <f t="shared" si="128"/>
        <v>1646.1</v>
      </c>
      <c r="Q3885" t="str">
        <f>A3885&amp;"-"&amp;B3885&amp;"-"&amp;D3885</f>
        <v>SEPTEMBER-CJL-L3</v>
      </c>
    </row>
    <row r="3886" spans="1:17" x14ac:dyDescent="0.25">
      <c r="A3886" t="s">
        <v>399</v>
      </c>
      <c r="B3886" s="13" t="s">
        <v>20</v>
      </c>
      <c r="C3886" s="13" t="s">
        <v>70</v>
      </c>
      <c r="D3886" s="14" t="s">
        <v>56</v>
      </c>
      <c r="E3886" s="13" t="s">
        <v>71</v>
      </c>
      <c r="F3886" s="13" t="s">
        <v>1454</v>
      </c>
      <c r="G3886" s="13">
        <v>5</v>
      </c>
      <c r="H3886" s="15">
        <v>97</v>
      </c>
      <c r="I3886" s="16">
        <v>485</v>
      </c>
      <c r="J3886" s="16">
        <v>318.66686188054194</v>
      </c>
      <c r="K3886" s="16">
        <v>166.33313811945806</v>
      </c>
      <c r="L3886" s="13">
        <v>13.55</v>
      </c>
      <c r="M3886" s="13"/>
      <c r="N3886" s="17">
        <f t="shared" si="129"/>
        <v>1314.3500000000001</v>
      </c>
      <c r="O3886" s="17">
        <f t="shared" si="129"/>
        <v>0</v>
      </c>
      <c r="P3886" s="17">
        <f t="shared" si="128"/>
        <v>1314.3500000000001</v>
      </c>
      <c r="Q3886" t="str">
        <f>A3886&amp;"-"&amp;B3886&amp;"-"&amp;D3886</f>
        <v>SEPTEMBER-CJL-L3</v>
      </c>
    </row>
    <row r="3887" spans="1:17" x14ac:dyDescent="0.25">
      <c r="A3887" t="s">
        <v>399</v>
      </c>
      <c r="B3887" s="13" t="s">
        <v>20</v>
      </c>
      <c r="C3887" s="13" t="s">
        <v>70</v>
      </c>
      <c r="D3887" s="14" t="s">
        <v>56</v>
      </c>
      <c r="E3887" s="13" t="s">
        <v>71</v>
      </c>
      <c r="F3887" s="13" t="s">
        <v>1455</v>
      </c>
      <c r="G3887" s="13">
        <v>4.8</v>
      </c>
      <c r="H3887" s="15">
        <v>157</v>
      </c>
      <c r="I3887" s="16">
        <v>753.6</v>
      </c>
      <c r="J3887" s="16">
        <v>874</v>
      </c>
      <c r="K3887" s="16">
        <v>-120.39999999999998</v>
      </c>
      <c r="L3887" s="13">
        <v>14.16</v>
      </c>
      <c r="M3887" s="13"/>
      <c r="N3887" s="17">
        <f t="shared" si="129"/>
        <v>2223.12</v>
      </c>
      <c r="O3887" s="17">
        <f t="shared" si="129"/>
        <v>0</v>
      </c>
      <c r="P3887" s="17">
        <f t="shared" si="128"/>
        <v>2223.12</v>
      </c>
      <c r="Q3887" t="str">
        <f>A3887&amp;"-"&amp;B3887&amp;"-"&amp;D3887</f>
        <v>SEPTEMBER-CJL-L3</v>
      </c>
    </row>
    <row r="3888" spans="1:17" x14ac:dyDescent="0.25">
      <c r="A3888" t="s">
        <v>399</v>
      </c>
      <c r="B3888" s="13" t="s">
        <v>20</v>
      </c>
      <c r="C3888" s="13" t="s">
        <v>70</v>
      </c>
      <c r="D3888" s="14" t="s">
        <v>56</v>
      </c>
      <c r="E3888" s="13" t="s">
        <v>71</v>
      </c>
      <c r="F3888" s="13" t="s">
        <v>1456</v>
      </c>
      <c r="G3888" s="13">
        <v>4.8</v>
      </c>
      <c r="H3888" s="15">
        <v>105</v>
      </c>
      <c r="I3888" s="16">
        <v>504</v>
      </c>
      <c r="J3888" s="16">
        <v>1748</v>
      </c>
      <c r="K3888" s="16">
        <v>-1244</v>
      </c>
      <c r="L3888" s="13">
        <v>12.52</v>
      </c>
      <c r="M3888" s="13"/>
      <c r="N3888" s="17">
        <f t="shared" si="129"/>
        <v>1314.6</v>
      </c>
      <c r="O3888" s="17">
        <f t="shared" si="129"/>
        <v>0</v>
      </c>
      <c r="P3888" s="17">
        <f t="shared" si="128"/>
        <v>1314.6</v>
      </c>
      <c r="Q3888" t="str">
        <f>A3888&amp;"-"&amp;B3888&amp;"-"&amp;D3888</f>
        <v>SEPTEMBER-CJL-L3</v>
      </c>
    </row>
    <row r="3889" spans="1:17" x14ac:dyDescent="0.25">
      <c r="A3889" t="s">
        <v>399</v>
      </c>
      <c r="B3889" s="13" t="s">
        <v>20</v>
      </c>
      <c r="C3889" s="13" t="s">
        <v>70</v>
      </c>
      <c r="D3889" s="14" t="s">
        <v>56</v>
      </c>
      <c r="E3889" s="13" t="s">
        <v>71</v>
      </c>
      <c r="F3889" s="13" t="s">
        <v>1457</v>
      </c>
      <c r="G3889" s="13">
        <v>5</v>
      </c>
      <c r="H3889" s="15">
        <v>203</v>
      </c>
      <c r="I3889" s="16">
        <v>1015</v>
      </c>
      <c r="J3889" s="16">
        <v>1748</v>
      </c>
      <c r="K3889" s="16">
        <v>-733</v>
      </c>
      <c r="L3889" s="13">
        <v>12.73</v>
      </c>
      <c r="M3889" s="13"/>
      <c r="N3889" s="17">
        <f t="shared" si="129"/>
        <v>2584.19</v>
      </c>
      <c r="O3889" s="17">
        <f t="shared" si="129"/>
        <v>0</v>
      </c>
      <c r="P3889" s="17">
        <f t="shared" si="128"/>
        <v>2584.19</v>
      </c>
      <c r="Q3889" t="str">
        <f>A3889&amp;"-"&amp;B3889&amp;"-"&amp;D3889</f>
        <v>SEPTEMBER-CJL-L3</v>
      </c>
    </row>
    <row r="3890" spans="1:17" x14ac:dyDescent="0.25">
      <c r="A3890" t="s">
        <v>399</v>
      </c>
      <c r="B3890" s="13" t="s">
        <v>22</v>
      </c>
      <c r="C3890" s="13" t="s">
        <v>1458</v>
      </c>
      <c r="D3890" s="14" t="s">
        <v>44</v>
      </c>
      <c r="E3890" s="13" t="s">
        <v>305</v>
      </c>
      <c r="F3890" s="13" t="s">
        <v>1459</v>
      </c>
      <c r="G3890" s="13">
        <v>2.89</v>
      </c>
      <c r="H3890" s="15">
        <v>2486</v>
      </c>
      <c r="I3890" s="16">
        <v>7184.54</v>
      </c>
      <c r="J3890" s="16">
        <v>7765.2459259259258</v>
      </c>
      <c r="K3890" s="16">
        <v>-580.70592592592607</v>
      </c>
      <c r="L3890" s="13">
        <v>6.68</v>
      </c>
      <c r="M3890" s="13"/>
      <c r="N3890" s="17">
        <f t="shared" si="129"/>
        <v>16606.48</v>
      </c>
      <c r="O3890" s="17">
        <f t="shared" si="129"/>
        <v>0</v>
      </c>
      <c r="P3890" s="17">
        <f t="shared" si="128"/>
        <v>16606.48</v>
      </c>
      <c r="Q3890" t="str">
        <f>A3890&amp;"-"&amp;B3890&amp;"-"&amp;D3890</f>
        <v>SEPTEMBER-CNJ2-L1</v>
      </c>
    </row>
    <row r="3891" spans="1:17" x14ac:dyDescent="0.25">
      <c r="A3891" t="s">
        <v>399</v>
      </c>
      <c r="B3891" s="13" t="s">
        <v>22</v>
      </c>
      <c r="C3891" s="13" t="s">
        <v>1458</v>
      </c>
      <c r="D3891" s="14" t="s">
        <v>158</v>
      </c>
      <c r="E3891" s="13" t="s">
        <v>305</v>
      </c>
      <c r="F3891" s="13" t="s">
        <v>1459</v>
      </c>
      <c r="G3891" s="13">
        <v>2.89</v>
      </c>
      <c r="H3891" s="15">
        <v>2481</v>
      </c>
      <c r="I3891" s="16">
        <v>7170.09</v>
      </c>
      <c r="J3891" s="16">
        <v>9854.7200000000012</v>
      </c>
      <c r="K3891" s="16">
        <v>-2684.6299999999997</v>
      </c>
      <c r="L3891" s="13">
        <v>6.68</v>
      </c>
      <c r="M3891" s="13"/>
      <c r="N3891" s="17">
        <f t="shared" si="129"/>
        <v>16573.079999999998</v>
      </c>
      <c r="O3891" s="17">
        <f t="shared" si="129"/>
        <v>0</v>
      </c>
      <c r="P3891" s="17">
        <f t="shared" si="128"/>
        <v>16573.079999999998</v>
      </c>
      <c r="Q3891" t="str">
        <f>A3891&amp;"-"&amp;B3891&amp;"-"&amp;D3891</f>
        <v>SEPTEMBER-CNJ2-L4</v>
      </c>
    </row>
    <row r="3892" spans="1:17" x14ac:dyDescent="0.25">
      <c r="A3892" t="s">
        <v>399</v>
      </c>
      <c r="B3892" s="13" t="s">
        <v>22</v>
      </c>
      <c r="C3892" s="13" t="s">
        <v>1448</v>
      </c>
      <c r="D3892" s="14" t="s">
        <v>160</v>
      </c>
      <c r="E3892" s="13" t="s">
        <v>305</v>
      </c>
      <c r="F3892" s="13" t="s">
        <v>1460</v>
      </c>
      <c r="G3892" s="13">
        <v>0.65</v>
      </c>
      <c r="H3892" s="15">
        <v>1830</v>
      </c>
      <c r="I3892" s="16">
        <v>1189.5</v>
      </c>
      <c r="J3892" s="16">
        <v>5951.8600000000006</v>
      </c>
      <c r="K3892" s="16">
        <v>-4762.3600000000006</v>
      </c>
      <c r="L3892" s="13">
        <v>0</v>
      </c>
      <c r="M3892" s="13"/>
      <c r="N3892" s="17">
        <f t="shared" si="129"/>
        <v>0</v>
      </c>
      <c r="O3892" s="17">
        <f t="shared" si="129"/>
        <v>0</v>
      </c>
      <c r="P3892" s="17">
        <f t="shared" si="128"/>
        <v>0</v>
      </c>
      <c r="Q3892" t="str">
        <f>A3892&amp;"-"&amp;B3892&amp;"-"&amp;D3892</f>
        <v>SEPTEMBER-CNJ2-L5</v>
      </c>
    </row>
    <row r="3893" spans="1:17" x14ac:dyDescent="0.25">
      <c r="A3893" t="s">
        <v>399</v>
      </c>
      <c r="B3893" s="13" t="s">
        <v>22</v>
      </c>
      <c r="C3893" s="13" t="s">
        <v>154</v>
      </c>
      <c r="D3893" s="14" t="s">
        <v>158</v>
      </c>
      <c r="E3893" s="13" t="s">
        <v>155</v>
      </c>
      <c r="F3893" s="13" t="s">
        <v>1262</v>
      </c>
      <c r="G3893" s="13">
        <v>0.51</v>
      </c>
      <c r="H3893" s="15">
        <v>558</v>
      </c>
      <c r="I3893" s="16">
        <v>284.58</v>
      </c>
      <c r="J3893" s="16">
        <v>262.83724137931034</v>
      </c>
      <c r="K3893" s="16">
        <v>21.742758620689642</v>
      </c>
      <c r="L3893" s="13">
        <v>1.47</v>
      </c>
      <c r="M3893" s="13"/>
      <c r="N3893" s="17">
        <f t="shared" si="129"/>
        <v>820.26</v>
      </c>
      <c r="O3893" s="17">
        <f t="shared" si="129"/>
        <v>0</v>
      </c>
      <c r="P3893" s="17">
        <f t="shared" si="128"/>
        <v>820.26</v>
      </c>
      <c r="Q3893" t="str">
        <f>A3893&amp;"-"&amp;B3893&amp;"-"&amp;D3893</f>
        <v>SEPTEMBER-CNJ2-L4</v>
      </c>
    </row>
    <row r="3894" spans="1:17" x14ac:dyDescent="0.25">
      <c r="A3894" t="s">
        <v>399</v>
      </c>
      <c r="B3894" s="13" t="s">
        <v>22</v>
      </c>
      <c r="C3894" s="13" t="s">
        <v>154</v>
      </c>
      <c r="D3894" s="14" t="s">
        <v>158</v>
      </c>
      <c r="E3894" s="13" t="s">
        <v>155</v>
      </c>
      <c r="F3894" s="13" t="s">
        <v>1264</v>
      </c>
      <c r="G3894" s="13">
        <v>0.51</v>
      </c>
      <c r="H3894" s="15">
        <v>212</v>
      </c>
      <c r="I3894" s="16">
        <v>108.12</v>
      </c>
      <c r="J3894" s="16">
        <v>99.859310344827591</v>
      </c>
      <c r="K3894" s="16">
        <v>8.2606896551724134</v>
      </c>
      <c r="L3894" s="13">
        <v>1.47</v>
      </c>
      <c r="M3894" s="13"/>
      <c r="N3894" s="17">
        <f t="shared" si="129"/>
        <v>311.64</v>
      </c>
      <c r="O3894" s="17">
        <f t="shared" si="129"/>
        <v>0</v>
      </c>
      <c r="P3894" s="17">
        <f t="shared" si="128"/>
        <v>311.64</v>
      </c>
      <c r="Q3894" t="str">
        <f>A3894&amp;"-"&amp;B3894&amp;"-"&amp;D3894</f>
        <v>SEPTEMBER-CNJ2-L4</v>
      </c>
    </row>
    <row r="3895" spans="1:17" x14ac:dyDescent="0.25">
      <c r="A3895" t="s">
        <v>399</v>
      </c>
      <c r="B3895" s="13" t="s">
        <v>22</v>
      </c>
      <c r="C3895" s="13" t="s">
        <v>154</v>
      </c>
      <c r="D3895" s="14" t="s">
        <v>158</v>
      </c>
      <c r="E3895" s="13" t="s">
        <v>155</v>
      </c>
      <c r="F3895" s="13" t="s">
        <v>1461</v>
      </c>
      <c r="G3895" s="13">
        <v>0.51</v>
      </c>
      <c r="H3895" s="15">
        <v>960</v>
      </c>
      <c r="I3895" s="16">
        <v>489.59999999999997</v>
      </c>
      <c r="J3895" s="16">
        <v>485.80173160919543</v>
      </c>
      <c r="K3895" s="16">
        <v>3.7982683908045818</v>
      </c>
      <c r="L3895" s="13">
        <v>1.47</v>
      </c>
      <c r="M3895" s="13"/>
      <c r="N3895" s="17">
        <f t="shared" si="129"/>
        <v>1411.2</v>
      </c>
      <c r="O3895" s="17">
        <f t="shared" si="129"/>
        <v>0</v>
      </c>
      <c r="P3895" s="17">
        <f t="shared" si="128"/>
        <v>1411.2</v>
      </c>
      <c r="Q3895" t="str">
        <f>A3895&amp;"-"&amp;B3895&amp;"-"&amp;D3895</f>
        <v>SEPTEMBER-CNJ2-L4</v>
      </c>
    </row>
    <row r="3896" spans="1:17" x14ac:dyDescent="0.25">
      <c r="A3896" t="s">
        <v>399</v>
      </c>
      <c r="B3896" s="13" t="s">
        <v>22</v>
      </c>
      <c r="C3896" s="13" t="s">
        <v>154</v>
      </c>
      <c r="D3896" s="14" t="s">
        <v>158</v>
      </c>
      <c r="E3896" s="13" t="s">
        <v>155</v>
      </c>
      <c r="F3896" s="13" t="s">
        <v>1462</v>
      </c>
      <c r="G3896" s="13">
        <v>0.5</v>
      </c>
      <c r="H3896" s="15">
        <v>998</v>
      </c>
      <c r="I3896" s="16">
        <v>499</v>
      </c>
      <c r="J3896" s="16">
        <v>530.12358333333339</v>
      </c>
      <c r="K3896" s="16">
        <v>-31.123583333333357</v>
      </c>
      <c r="L3896" s="13">
        <v>1.47</v>
      </c>
      <c r="M3896" s="13"/>
      <c r="N3896" s="17">
        <f t="shared" si="129"/>
        <v>1467.06</v>
      </c>
      <c r="O3896" s="17">
        <f t="shared" si="129"/>
        <v>0</v>
      </c>
      <c r="P3896" s="17">
        <f t="shared" si="128"/>
        <v>1467.06</v>
      </c>
      <c r="Q3896" t="str">
        <f>A3896&amp;"-"&amp;B3896&amp;"-"&amp;D3896</f>
        <v>SEPTEMBER-CNJ2-L4</v>
      </c>
    </row>
    <row r="3897" spans="1:17" x14ac:dyDescent="0.25">
      <c r="A3897" t="s">
        <v>399</v>
      </c>
      <c r="B3897" s="13" t="s">
        <v>22</v>
      </c>
      <c r="C3897" s="13" t="s">
        <v>154</v>
      </c>
      <c r="D3897" s="14" t="s">
        <v>158</v>
      </c>
      <c r="E3897" s="13" t="s">
        <v>155</v>
      </c>
      <c r="F3897" s="13" t="s">
        <v>1463</v>
      </c>
      <c r="G3897" s="13">
        <v>0.5</v>
      </c>
      <c r="H3897" s="15">
        <v>1070</v>
      </c>
      <c r="I3897" s="16">
        <v>535</v>
      </c>
      <c r="J3897" s="16">
        <v>1117.3476075268818</v>
      </c>
      <c r="K3897" s="16">
        <v>-582.34760752688169</v>
      </c>
      <c r="L3897" s="13">
        <v>1.47</v>
      </c>
      <c r="M3897" s="13"/>
      <c r="N3897" s="17">
        <f t="shared" si="129"/>
        <v>1572.8999999999999</v>
      </c>
      <c r="O3897" s="17">
        <f t="shared" si="129"/>
        <v>0</v>
      </c>
      <c r="P3897" s="17">
        <f t="shared" si="128"/>
        <v>1572.8999999999999</v>
      </c>
      <c r="Q3897" t="str">
        <f>A3897&amp;"-"&amp;B3897&amp;"-"&amp;D3897</f>
        <v>SEPTEMBER-CNJ2-L4</v>
      </c>
    </row>
    <row r="3898" spans="1:17" x14ac:dyDescent="0.25">
      <c r="A3898" t="s">
        <v>399</v>
      </c>
      <c r="B3898" s="13" t="s">
        <v>22</v>
      </c>
      <c r="C3898" s="13" t="s">
        <v>154</v>
      </c>
      <c r="D3898" s="14" t="s">
        <v>158</v>
      </c>
      <c r="E3898" s="13" t="s">
        <v>155</v>
      </c>
      <c r="F3898" s="13" t="s">
        <v>1464</v>
      </c>
      <c r="G3898" s="13">
        <v>0.5</v>
      </c>
      <c r="H3898" s="15">
        <v>2510</v>
      </c>
      <c r="I3898" s="16">
        <v>1255</v>
      </c>
      <c r="J3898" s="16">
        <v>1152.7741333333333</v>
      </c>
      <c r="K3898" s="16">
        <v>102.22586666666665</v>
      </c>
      <c r="L3898" s="13">
        <v>1.47</v>
      </c>
      <c r="M3898" s="13"/>
      <c r="N3898" s="17">
        <f t="shared" si="129"/>
        <v>3689.7</v>
      </c>
      <c r="O3898" s="17">
        <f t="shared" si="129"/>
        <v>0</v>
      </c>
      <c r="P3898" s="17">
        <f t="shared" si="128"/>
        <v>3689.7</v>
      </c>
      <c r="Q3898" t="str">
        <f>A3898&amp;"-"&amp;B3898&amp;"-"&amp;D3898</f>
        <v>SEPTEMBER-CNJ2-L4</v>
      </c>
    </row>
    <row r="3899" spans="1:17" x14ac:dyDescent="0.25">
      <c r="A3899" t="s">
        <v>399</v>
      </c>
      <c r="B3899" s="13" t="s">
        <v>22</v>
      </c>
      <c r="C3899" s="13" t="s">
        <v>154</v>
      </c>
      <c r="D3899" s="14" t="s">
        <v>158</v>
      </c>
      <c r="E3899" s="13" t="s">
        <v>155</v>
      </c>
      <c r="F3899" s="13" t="s">
        <v>1465</v>
      </c>
      <c r="G3899" s="13">
        <v>0.5</v>
      </c>
      <c r="H3899" s="15">
        <v>16</v>
      </c>
      <c r="I3899" s="16">
        <v>8</v>
      </c>
      <c r="J3899" s="16">
        <v>16.40179211469534</v>
      </c>
      <c r="K3899" s="16">
        <v>-8.4017921146953398</v>
      </c>
      <c r="L3899" s="13">
        <v>1.47</v>
      </c>
      <c r="M3899" s="13"/>
      <c r="N3899" s="17">
        <f t="shared" si="129"/>
        <v>23.52</v>
      </c>
      <c r="O3899" s="17">
        <f t="shared" si="129"/>
        <v>0</v>
      </c>
      <c r="P3899" s="17">
        <f t="shared" si="128"/>
        <v>23.52</v>
      </c>
      <c r="Q3899" t="str">
        <f>A3899&amp;"-"&amp;B3899&amp;"-"&amp;D3899</f>
        <v>SEPTEMBER-CNJ2-L4</v>
      </c>
    </row>
    <row r="3900" spans="1:17" x14ac:dyDescent="0.25">
      <c r="A3900" t="s">
        <v>399</v>
      </c>
      <c r="B3900" s="13" t="s">
        <v>22</v>
      </c>
      <c r="C3900" s="13" t="s">
        <v>154</v>
      </c>
      <c r="D3900" s="14" t="s">
        <v>158</v>
      </c>
      <c r="E3900" s="13" t="s">
        <v>155</v>
      </c>
      <c r="F3900" s="13" t="s">
        <v>1466</v>
      </c>
      <c r="G3900" s="13">
        <v>0.5</v>
      </c>
      <c r="H3900" s="15">
        <v>68</v>
      </c>
      <c r="I3900" s="16">
        <v>34</v>
      </c>
      <c r="J3900" s="16">
        <v>30.962666666666667</v>
      </c>
      <c r="K3900" s="16">
        <v>3.0373333333333328</v>
      </c>
      <c r="L3900" s="13">
        <v>1.47</v>
      </c>
      <c r="M3900" s="13"/>
      <c r="N3900" s="17">
        <f t="shared" si="129"/>
        <v>99.96</v>
      </c>
      <c r="O3900" s="17">
        <f t="shared" si="129"/>
        <v>0</v>
      </c>
      <c r="P3900" s="17">
        <f t="shared" si="128"/>
        <v>99.96</v>
      </c>
      <c r="Q3900" t="str">
        <f>A3900&amp;"-"&amp;B3900&amp;"-"&amp;D3900</f>
        <v>SEPTEMBER-CNJ2-L4</v>
      </c>
    </row>
    <row r="3901" spans="1:17" x14ac:dyDescent="0.25">
      <c r="A3901" t="s">
        <v>399</v>
      </c>
      <c r="B3901" s="13" t="s">
        <v>22</v>
      </c>
      <c r="C3901" s="13" t="s">
        <v>154</v>
      </c>
      <c r="D3901" s="14" t="s">
        <v>158</v>
      </c>
      <c r="E3901" s="13" t="s">
        <v>155</v>
      </c>
      <c r="F3901" s="13" t="s">
        <v>1467</v>
      </c>
      <c r="G3901" s="13">
        <v>0.5</v>
      </c>
      <c r="H3901" s="15">
        <v>2426</v>
      </c>
      <c r="I3901" s="16">
        <v>1213</v>
      </c>
      <c r="J3901" s="16">
        <v>1229.8705627362058</v>
      </c>
      <c r="K3901" s="16">
        <v>-16.870562736205645</v>
      </c>
      <c r="L3901" s="13">
        <v>1.47</v>
      </c>
      <c r="M3901" s="13"/>
      <c r="N3901" s="17">
        <f t="shared" si="129"/>
        <v>3566.22</v>
      </c>
      <c r="O3901" s="17">
        <f t="shared" si="129"/>
        <v>0</v>
      </c>
      <c r="P3901" s="17">
        <f t="shared" si="128"/>
        <v>3566.22</v>
      </c>
      <c r="Q3901" t="str">
        <f>A3901&amp;"-"&amp;B3901&amp;"-"&amp;D3901</f>
        <v>SEPTEMBER-CNJ2-L4</v>
      </c>
    </row>
    <row r="3902" spans="1:17" x14ac:dyDescent="0.25">
      <c r="A3902" t="s">
        <v>399</v>
      </c>
      <c r="B3902" s="13" t="s">
        <v>22</v>
      </c>
      <c r="C3902" s="13" t="s">
        <v>154</v>
      </c>
      <c r="D3902" s="14" t="s">
        <v>158</v>
      </c>
      <c r="E3902" s="13" t="s">
        <v>155</v>
      </c>
      <c r="F3902" s="13" t="s">
        <v>1468</v>
      </c>
      <c r="G3902" s="13">
        <v>0.5</v>
      </c>
      <c r="H3902" s="15">
        <v>1551</v>
      </c>
      <c r="I3902" s="16">
        <v>775.5</v>
      </c>
      <c r="J3902" s="16">
        <v>906.58403762221724</v>
      </c>
      <c r="K3902" s="16">
        <v>-131.08403762221729</v>
      </c>
      <c r="L3902" s="13">
        <v>1.47</v>
      </c>
      <c r="M3902" s="13"/>
      <c r="N3902" s="17">
        <f t="shared" si="129"/>
        <v>2279.9699999999998</v>
      </c>
      <c r="O3902" s="17">
        <f t="shared" si="129"/>
        <v>0</v>
      </c>
      <c r="P3902" s="17">
        <f t="shared" si="128"/>
        <v>2279.9699999999998</v>
      </c>
      <c r="Q3902" t="str">
        <f>A3902&amp;"-"&amp;B3902&amp;"-"&amp;D3902</f>
        <v>SEPTEMBER-CNJ2-L4</v>
      </c>
    </row>
    <row r="3903" spans="1:17" x14ac:dyDescent="0.25">
      <c r="A3903" t="s">
        <v>399</v>
      </c>
      <c r="B3903" s="13" t="s">
        <v>22</v>
      </c>
      <c r="C3903" s="13" t="s">
        <v>154</v>
      </c>
      <c r="D3903" s="14" t="s">
        <v>158</v>
      </c>
      <c r="E3903" s="13" t="s">
        <v>155</v>
      </c>
      <c r="F3903" s="13" t="s">
        <v>1469</v>
      </c>
      <c r="G3903" s="13">
        <v>0.5</v>
      </c>
      <c r="H3903" s="15">
        <v>262</v>
      </c>
      <c r="I3903" s="16">
        <v>131</v>
      </c>
      <c r="J3903" s="16">
        <v>119.29733333333333</v>
      </c>
      <c r="K3903" s="16">
        <v>11.702666666666673</v>
      </c>
      <c r="L3903" s="13">
        <v>1.47</v>
      </c>
      <c r="M3903" s="13"/>
      <c r="N3903" s="17">
        <f t="shared" si="129"/>
        <v>385.14</v>
      </c>
      <c r="O3903" s="17">
        <f t="shared" si="129"/>
        <v>0</v>
      </c>
      <c r="P3903" s="17">
        <f t="shared" si="128"/>
        <v>385.14</v>
      </c>
      <c r="Q3903" t="str">
        <f>A3903&amp;"-"&amp;B3903&amp;"-"&amp;D3903</f>
        <v>SEPTEMBER-CNJ2-L4</v>
      </c>
    </row>
    <row r="3904" spans="1:17" x14ac:dyDescent="0.25">
      <c r="A3904" t="s">
        <v>399</v>
      </c>
      <c r="B3904" s="13" t="s">
        <v>22</v>
      </c>
      <c r="C3904" s="13" t="s">
        <v>154</v>
      </c>
      <c r="D3904" s="14" t="s">
        <v>160</v>
      </c>
      <c r="E3904" s="13" t="s">
        <v>155</v>
      </c>
      <c r="F3904" s="13" t="s">
        <v>1470</v>
      </c>
      <c r="G3904" s="13">
        <v>0.52</v>
      </c>
      <c r="H3904" s="15">
        <v>92</v>
      </c>
      <c r="I3904" s="16">
        <v>47.84</v>
      </c>
      <c r="J3904" s="16">
        <v>43.33517241379311</v>
      </c>
      <c r="K3904" s="16">
        <v>4.5048275862068934</v>
      </c>
      <c r="L3904" s="13">
        <v>1.43</v>
      </c>
      <c r="M3904" s="13"/>
      <c r="N3904" s="17">
        <f t="shared" si="129"/>
        <v>131.56</v>
      </c>
      <c r="O3904" s="17">
        <f t="shared" si="129"/>
        <v>0</v>
      </c>
      <c r="P3904" s="17">
        <f t="shared" si="128"/>
        <v>131.56</v>
      </c>
      <c r="Q3904" t="str">
        <f>A3904&amp;"-"&amp;B3904&amp;"-"&amp;D3904</f>
        <v>SEPTEMBER-CNJ2-L5</v>
      </c>
    </row>
    <row r="3905" spans="1:17" x14ac:dyDescent="0.25">
      <c r="A3905" t="s">
        <v>399</v>
      </c>
      <c r="B3905" s="13" t="s">
        <v>22</v>
      </c>
      <c r="C3905" s="13" t="s">
        <v>154</v>
      </c>
      <c r="D3905" s="14" t="s">
        <v>160</v>
      </c>
      <c r="E3905" s="13" t="s">
        <v>155</v>
      </c>
      <c r="F3905" s="13" t="s">
        <v>1471</v>
      </c>
      <c r="G3905" s="13">
        <v>0.52</v>
      </c>
      <c r="H3905" s="15">
        <v>25</v>
      </c>
      <c r="I3905" s="16">
        <v>13</v>
      </c>
      <c r="J3905" s="16">
        <v>11.775862068965518</v>
      </c>
      <c r="K3905" s="16">
        <v>1.2241379310344822</v>
      </c>
      <c r="L3905" s="13">
        <v>1.42</v>
      </c>
      <c r="M3905" s="13"/>
      <c r="N3905" s="17">
        <f t="shared" si="129"/>
        <v>35.5</v>
      </c>
      <c r="O3905" s="17">
        <f t="shared" si="129"/>
        <v>0</v>
      </c>
      <c r="P3905" s="17">
        <f t="shared" si="128"/>
        <v>35.5</v>
      </c>
      <c r="Q3905" t="str">
        <f>A3905&amp;"-"&amp;B3905&amp;"-"&amp;D3905</f>
        <v>SEPTEMBER-CNJ2-L5</v>
      </c>
    </row>
    <row r="3906" spans="1:17" x14ac:dyDescent="0.25">
      <c r="A3906" t="s">
        <v>399</v>
      </c>
      <c r="B3906" s="13" t="s">
        <v>22</v>
      </c>
      <c r="C3906" s="13" t="s">
        <v>154</v>
      </c>
      <c r="D3906" s="14" t="s">
        <v>160</v>
      </c>
      <c r="E3906" s="13" t="s">
        <v>155</v>
      </c>
      <c r="F3906" s="13" t="s">
        <v>1472</v>
      </c>
      <c r="G3906" s="13">
        <v>0.52</v>
      </c>
      <c r="H3906" s="15">
        <v>10</v>
      </c>
      <c r="I3906" s="16">
        <v>5.2</v>
      </c>
      <c r="J3906" s="16">
        <v>4.7103448275862068</v>
      </c>
      <c r="K3906" s="16">
        <v>0.48965517241379342</v>
      </c>
      <c r="L3906" s="13">
        <v>1.42</v>
      </c>
      <c r="M3906" s="13"/>
      <c r="N3906" s="17">
        <f t="shared" si="129"/>
        <v>14.2</v>
      </c>
      <c r="O3906" s="17">
        <f t="shared" si="129"/>
        <v>0</v>
      </c>
      <c r="P3906" s="17">
        <f t="shared" ref="P3906:P3969" si="130">N3906+O3906</f>
        <v>14.2</v>
      </c>
      <c r="Q3906" t="str">
        <f>A3906&amp;"-"&amp;B3906&amp;"-"&amp;D3906</f>
        <v>SEPTEMBER-CNJ2-L5</v>
      </c>
    </row>
    <row r="3907" spans="1:17" x14ac:dyDescent="0.25">
      <c r="A3907" t="s">
        <v>399</v>
      </c>
      <c r="B3907" s="13" t="s">
        <v>22</v>
      </c>
      <c r="C3907" s="13" t="s">
        <v>154</v>
      </c>
      <c r="D3907" s="14" t="s">
        <v>160</v>
      </c>
      <c r="E3907" s="13" t="s">
        <v>155</v>
      </c>
      <c r="F3907" s="13" t="s">
        <v>1463</v>
      </c>
      <c r="G3907" s="13">
        <v>0.5</v>
      </c>
      <c r="H3907" s="15">
        <v>94</v>
      </c>
      <c r="I3907" s="16">
        <v>47</v>
      </c>
      <c r="J3907" s="16">
        <v>73.541809851088203</v>
      </c>
      <c r="K3907" s="16">
        <v>-26.541809851088203</v>
      </c>
      <c r="L3907" s="13">
        <v>1.47</v>
      </c>
      <c r="M3907" s="13"/>
      <c r="N3907" s="17">
        <f t="shared" si="129"/>
        <v>138.18</v>
      </c>
      <c r="O3907" s="17">
        <f t="shared" si="129"/>
        <v>0</v>
      </c>
      <c r="P3907" s="17">
        <f t="shared" si="130"/>
        <v>138.18</v>
      </c>
      <c r="Q3907" t="str">
        <f>A3907&amp;"-"&amp;B3907&amp;"-"&amp;D3907</f>
        <v>SEPTEMBER-CNJ2-L5</v>
      </c>
    </row>
    <row r="3908" spans="1:17" x14ac:dyDescent="0.25">
      <c r="A3908" t="s">
        <v>399</v>
      </c>
      <c r="B3908" s="13" t="s">
        <v>22</v>
      </c>
      <c r="C3908" s="13" t="s">
        <v>154</v>
      </c>
      <c r="D3908" s="14" t="s">
        <v>160</v>
      </c>
      <c r="E3908" s="13" t="s">
        <v>155</v>
      </c>
      <c r="F3908" s="13" t="s">
        <v>1464</v>
      </c>
      <c r="G3908" s="13">
        <v>0.5</v>
      </c>
      <c r="H3908" s="15">
        <v>152</v>
      </c>
      <c r="I3908" s="16">
        <v>76</v>
      </c>
      <c r="J3908" s="16">
        <v>170.19016393442624</v>
      </c>
      <c r="K3908" s="16">
        <v>-94.190163934426238</v>
      </c>
      <c r="L3908" s="13">
        <v>1.47</v>
      </c>
      <c r="M3908" s="13"/>
      <c r="N3908" s="17">
        <f t="shared" si="129"/>
        <v>223.44</v>
      </c>
      <c r="O3908" s="17">
        <f t="shared" si="129"/>
        <v>0</v>
      </c>
      <c r="P3908" s="17">
        <f t="shared" si="130"/>
        <v>223.44</v>
      </c>
      <c r="Q3908" t="str">
        <f>A3908&amp;"-"&amp;B3908&amp;"-"&amp;D3908</f>
        <v>SEPTEMBER-CNJ2-L5</v>
      </c>
    </row>
    <row r="3909" spans="1:17" x14ac:dyDescent="0.25">
      <c r="A3909" t="s">
        <v>399</v>
      </c>
      <c r="B3909" s="13" t="s">
        <v>22</v>
      </c>
      <c r="C3909" s="13" t="s">
        <v>154</v>
      </c>
      <c r="D3909" s="14" t="s">
        <v>160</v>
      </c>
      <c r="E3909" s="13" t="s">
        <v>155</v>
      </c>
      <c r="F3909" s="13" t="s">
        <v>1465</v>
      </c>
      <c r="G3909" s="13">
        <v>0.5</v>
      </c>
      <c r="H3909" s="15">
        <v>4</v>
      </c>
      <c r="I3909" s="16">
        <v>2</v>
      </c>
      <c r="J3909" s="16">
        <v>3.129438717067583</v>
      </c>
      <c r="K3909" s="16">
        <v>-1.129438717067583</v>
      </c>
      <c r="L3909" s="13">
        <v>1.47</v>
      </c>
      <c r="M3909" s="13"/>
      <c r="N3909" s="17">
        <f t="shared" si="129"/>
        <v>5.88</v>
      </c>
      <c r="O3909" s="17">
        <f t="shared" si="129"/>
        <v>0</v>
      </c>
      <c r="P3909" s="17">
        <f t="shared" si="130"/>
        <v>5.88</v>
      </c>
      <c r="Q3909" t="str">
        <f>A3909&amp;"-"&amp;B3909&amp;"-"&amp;D3909</f>
        <v>SEPTEMBER-CNJ2-L5</v>
      </c>
    </row>
    <row r="3910" spans="1:17" x14ac:dyDescent="0.25">
      <c r="A3910" t="s">
        <v>399</v>
      </c>
      <c r="B3910" s="13" t="s">
        <v>22</v>
      </c>
      <c r="C3910" s="13" t="s">
        <v>154</v>
      </c>
      <c r="D3910" s="14" t="s">
        <v>160</v>
      </c>
      <c r="E3910" s="13" t="s">
        <v>155</v>
      </c>
      <c r="F3910" s="13" t="s">
        <v>1467</v>
      </c>
      <c r="G3910" s="13">
        <v>0.5</v>
      </c>
      <c r="H3910" s="15">
        <v>229</v>
      </c>
      <c r="I3910" s="16">
        <v>114.5</v>
      </c>
      <c r="J3910" s="16">
        <v>256.4049180327869</v>
      </c>
      <c r="K3910" s="16">
        <v>-141.9049180327869</v>
      </c>
      <c r="L3910" s="13">
        <v>1.47</v>
      </c>
      <c r="M3910" s="13"/>
      <c r="N3910" s="17">
        <f t="shared" si="129"/>
        <v>336.63</v>
      </c>
      <c r="O3910" s="17">
        <f t="shared" si="129"/>
        <v>0</v>
      </c>
      <c r="P3910" s="17">
        <f t="shared" si="130"/>
        <v>336.63</v>
      </c>
      <c r="Q3910" t="str">
        <f>A3910&amp;"-"&amp;B3910&amp;"-"&amp;D3910</f>
        <v>SEPTEMBER-CNJ2-L5</v>
      </c>
    </row>
    <row r="3911" spans="1:17" x14ac:dyDescent="0.25">
      <c r="A3911" t="s">
        <v>399</v>
      </c>
      <c r="B3911" s="13" t="s">
        <v>22</v>
      </c>
      <c r="C3911" s="13" t="s">
        <v>154</v>
      </c>
      <c r="D3911" s="14" t="s">
        <v>160</v>
      </c>
      <c r="E3911" s="13" t="s">
        <v>155</v>
      </c>
      <c r="F3911" s="13" t="s">
        <v>1468</v>
      </c>
      <c r="G3911" s="13">
        <v>0.5</v>
      </c>
      <c r="H3911" s="15">
        <v>1004</v>
      </c>
      <c r="I3911" s="16">
        <v>502</v>
      </c>
      <c r="J3911" s="16">
        <v>862.73366946463113</v>
      </c>
      <c r="K3911" s="16">
        <v>-360.73366946463113</v>
      </c>
      <c r="L3911" s="13">
        <v>1.47</v>
      </c>
      <c r="M3911" s="13"/>
      <c r="N3911" s="17">
        <f t="shared" si="129"/>
        <v>1475.8799999999999</v>
      </c>
      <c r="O3911" s="17">
        <f t="shared" si="129"/>
        <v>0</v>
      </c>
      <c r="P3911" s="17">
        <f t="shared" si="130"/>
        <v>1475.8799999999999</v>
      </c>
      <c r="Q3911" t="str">
        <f>A3911&amp;"-"&amp;B3911&amp;"-"&amp;D3911</f>
        <v>SEPTEMBER-CNJ2-L5</v>
      </c>
    </row>
    <row r="3912" spans="1:17" x14ac:dyDescent="0.25">
      <c r="A3912" t="s">
        <v>399</v>
      </c>
      <c r="B3912" s="13" t="s">
        <v>22</v>
      </c>
      <c r="C3912" s="13" t="s">
        <v>154</v>
      </c>
      <c r="D3912" s="14" t="s">
        <v>160</v>
      </c>
      <c r="E3912" s="13" t="s">
        <v>155</v>
      </c>
      <c r="F3912" s="13" t="s">
        <v>1473</v>
      </c>
      <c r="G3912" s="13">
        <v>0.5</v>
      </c>
      <c r="H3912" s="15">
        <v>9376</v>
      </c>
      <c r="I3912" s="16">
        <v>4688</v>
      </c>
      <c r="J3912" s="16">
        <v>4366.9074712643678</v>
      </c>
      <c r="K3912" s="16">
        <v>321.09252873563219</v>
      </c>
      <c r="L3912" s="13">
        <v>1.47</v>
      </c>
      <c r="M3912" s="13"/>
      <c r="N3912" s="17">
        <f t="shared" si="129"/>
        <v>13782.72</v>
      </c>
      <c r="O3912" s="17">
        <f t="shared" si="129"/>
        <v>0</v>
      </c>
      <c r="P3912" s="17">
        <f t="shared" si="130"/>
        <v>13782.72</v>
      </c>
      <c r="Q3912" t="str">
        <f>A3912&amp;"-"&amp;B3912&amp;"-"&amp;D3912</f>
        <v>SEPTEMBER-CNJ2-L5</v>
      </c>
    </row>
    <row r="3913" spans="1:17" x14ac:dyDescent="0.25">
      <c r="A3913" t="s">
        <v>399</v>
      </c>
      <c r="B3913" s="13" t="s">
        <v>22</v>
      </c>
      <c r="C3913" s="13" t="s">
        <v>154</v>
      </c>
      <c r="D3913" s="14" t="s">
        <v>160</v>
      </c>
      <c r="E3913" s="13" t="s">
        <v>155</v>
      </c>
      <c r="F3913" s="13" t="s">
        <v>1474</v>
      </c>
      <c r="G3913" s="13">
        <v>0.5</v>
      </c>
      <c r="H3913" s="15">
        <v>347</v>
      </c>
      <c r="I3913" s="16">
        <v>173.5</v>
      </c>
      <c r="J3913" s="16">
        <v>159.13114942528736</v>
      </c>
      <c r="K3913" s="16">
        <v>14.368850574712646</v>
      </c>
      <c r="L3913" s="13">
        <v>1.47</v>
      </c>
      <c r="M3913" s="13"/>
      <c r="N3913" s="17">
        <f t="shared" si="129"/>
        <v>510.09</v>
      </c>
      <c r="O3913" s="17">
        <f t="shared" si="129"/>
        <v>0</v>
      </c>
      <c r="P3913" s="17">
        <f t="shared" si="130"/>
        <v>510.09</v>
      </c>
      <c r="Q3913" t="str">
        <f>A3913&amp;"-"&amp;B3913&amp;"-"&amp;D3913</f>
        <v>SEPTEMBER-CNJ2-L5</v>
      </c>
    </row>
    <row r="3914" spans="1:17" x14ac:dyDescent="0.25">
      <c r="A3914" t="s">
        <v>399</v>
      </c>
      <c r="B3914" s="13" t="s">
        <v>22</v>
      </c>
      <c r="C3914" s="13" t="s">
        <v>154</v>
      </c>
      <c r="D3914" s="14" t="s">
        <v>163</v>
      </c>
      <c r="E3914" s="13" t="s">
        <v>155</v>
      </c>
      <c r="F3914" s="13" t="s">
        <v>1262</v>
      </c>
      <c r="G3914" s="13">
        <v>0.51</v>
      </c>
      <c r="H3914" s="15">
        <v>301</v>
      </c>
      <c r="I3914" s="16">
        <v>153.51</v>
      </c>
      <c r="J3914" s="16">
        <v>173.78208284023668</v>
      </c>
      <c r="K3914" s="16">
        <v>-20.272082840236692</v>
      </c>
      <c r="L3914" s="13">
        <v>1.47</v>
      </c>
      <c r="M3914" s="13"/>
      <c r="N3914" s="17">
        <f t="shared" si="129"/>
        <v>442.46999999999997</v>
      </c>
      <c r="O3914" s="17">
        <f t="shared" si="129"/>
        <v>0</v>
      </c>
      <c r="P3914" s="17">
        <f t="shared" si="130"/>
        <v>442.46999999999997</v>
      </c>
      <c r="Q3914" t="str">
        <f>A3914&amp;"-"&amp;B3914&amp;"-"&amp;D3914</f>
        <v>SEPTEMBER-CNJ2-L6</v>
      </c>
    </row>
    <row r="3915" spans="1:17" x14ac:dyDescent="0.25">
      <c r="A3915" t="s">
        <v>399</v>
      </c>
      <c r="B3915" s="13" t="s">
        <v>22</v>
      </c>
      <c r="C3915" s="13" t="s">
        <v>154</v>
      </c>
      <c r="D3915" s="14" t="s">
        <v>163</v>
      </c>
      <c r="E3915" s="13" t="s">
        <v>155</v>
      </c>
      <c r="F3915" s="13" t="s">
        <v>1263</v>
      </c>
      <c r="G3915" s="13">
        <v>0.51</v>
      </c>
      <c r="H3915" s="15">
        <v>178</v>
      </c>
      <c r="I3915" s="16">
        <v>90.78</v>
      </c>
      <c r="J3915" s="16">
        <v>102.76814201183433</v>
      </c>
      <c r="K3915" s="16">
        <v>-11.988142011834327</v>
      </c>
      <c r="L3915" s="13">
        <v>1.47</v>
      </c>
      <c r="M3915" s="13"/>
      <c r="N3915" s="17">
        <f t="shared" si="129"/>
        <v>261.65999999999997</v>
      </c>
      <c r="O3915" s="17">
        <f t="shared" si="129"/>
        <v>0</v>
      </c>
      <c r="P3915" s="17">
        <f t="shared" si="130"/>
        <v>261.65999999999997</v>
      </c>
      <c r="Q3915" t="str">
        <f>A3915&amp;"-"&amp;B3915&amp;"-"&amp;D3915</f>
        <v>SEPTEMBER-CNJ2-L6</v>
      </c>
    </row>
    <row r="3916" spans="1:17" x14ac:dyDescent="0.25">
      <c r="A3916" t="s">
        <v>399</v>
      </c>
      <c r="B3916" s="13" t="s">
        <v>22</v>
      </c>
      <c r="C3916" s="13" t="s">
        <v>154</v>
      </c>
      <c r="D3916" s="14" t="s">
        <v>163</v>
      </c>
      <c r="E3916" s="13" t="s">
        <v>155</v>
      </c>
      <c r="F3916" s="13" t="s">
        <v>1264</v>
      </c>
      <c r="G3916" s="13">
        <v>0.51</v>
      </c>
      <c r="H3916" s="15">
        <v>1415</v>
      </c>
      <c r="I3916" s="16">
        <v>721.65</v>
      </c>
      <c r="J3916" s="16">
        <v>807.13005917159762</v>
      </c>
      <c r="K3916" s="16">
        <v>-85.480059171597645</v>
      </c>
      <c r="L3916" s="13">
        <v>1.47</v>
      </c>
      <c r="M3916" s="13"/>
      <c r="N3916" s="17">
        <f t="shared" si="129"/>
        <v>2080.0500000000002</v>
      </c>
      <c r="O3916" s="17">
        <f t="shared" si="129"/>
        <v>0</v>
      </c>
      <c r="P3916" s="17">
        <f t="shared" si="130"/>
        <v>2080.0500000000002</v>
      </c>
      <c r="Q3916" t="str">
        <f>A3916&amp;"-"&amp;B3916&amp;"-"&amp;D3916</f>
        <v>SEPTEMBER-CNJ2-L6</v>
      </c>
    </row>
    <row r="3917" spans="1:17" x14ac:dyDescent="0.25">
      <c r="A3917" t="s">
        <v>399</v>
      </c>
      <c r="B3917" s="13" t="s">
        <v>22</v>
      </c>
      <c r="C3917" s="13" t="s">
        <v>154</v>
      </c>
      <c r="D3917" s="14" t="s">
        <v>163</v>
      </c>
      <c r="E3917" s="13" t="s">
        <v>155</v>
      </c>
      <c r="F3917" s="13" t="s">
        <v>1265</v>
      </c>
      <c r="G3917" s="13">
        <v>0.51</v>
      </c>
      <c r="H3917" s="15">
        <v>58</v>
      </c>
      <c r="I3917" s="16">
        <v>29.58</v>
      </c>
      <c r="J3917" s="16">
        <v>33.486248520710056</v>
      </c>
      <c r="K3917" s="16">
        <v>-3.9062485207100579</v>
      </c>
      <c r="L3917" s="13">
        <v>1.47</v>
      </c>
      <c r="M3917" s="13"/>
      <c r="N3917" s="17">
        <f t="shared" si="129"/>
        <v>85.26</v>
      </c>
      <c r="O3917" s="17">
        <f t="shared" si="129"/>
        <v>0</v>
      </c>
      <c r="P3917" s="17">
        <f t="shared" si="130"/>
        <v>85.26</v>
      </c>
      <c r="Q3917" t="str">
        <f>A3917&amp;"-"&amp;B3917&amp;"-"&amp;D3917</f>
        <v>SEPTEMBER-CNJ2-L6</v>
      </c>
    </row>
    <row r="3918" spans="1:17" x14ac:dyDescent="0.25">
      <c r="A3918" t="s">
        <v>399</v>
      </c>
      <c r="B3918" s="13" t="s">
        <v>22</v>
      </c>
      <c r="C3918" s="13" t="s">
        <v>154</v>
      </c>
      <c r="D3918" s="14" t="s">
        <v>163</v>
      </c>
      <c r="E3918" s="13" t="s">
        <v>155</v>
      </c>
      <c r="F3918" s="13" t="s">
        <v>1461</v>
      </c>
      <c r="G3918" s="13">
        <v>0.51</v>
      </c>
      <c r="H3918" s="15">
        <v>512</v>
      </c>
      <c r="I3918" s="16">
        <v>261.12</v>
      </c>
      <c r="J3918" s="16">
        <v>262.75901690617076</v>
      </c>
      <c r="K3918" s="16">
        <v>-1.6390169061707667</v>
      </c>
      <c r="L3918" s="13">
        <v>1.47</v>
      </c>
      <c r="M3918" s="13"/>
      <c r="N3918" s="17">
        <f t="shared" si="129"/>
        <v>752.64</v>
      </c>
      <c r="O3918" s="17">
        <f t="shared" si="129"/>
        <v>0</v>
      </c>
      <c r="P3918" s="17">
        <f t="shared" si="130"/>
        <v>752.64</v>
      </c>
      <c r="Q3918" t="str">
        <f>A3918&amp;"-"&amp;B3918&amp;"-"&amp;D3918</f>
        <v>SEPTEMBER-CNJ2-L6</v>
      </c>
    </row>
    <row r="3919" spans="1:17" x14ac:dyDescent="0.25">
      <c r="A3919" t="s">
        <v>399</v>
      </c>
      <c r="B3919" s="13" t="s">
        <v>22</v>
      </c>
      <c r="C3919" s="13" t="s">
        <v>154</v>
      </c>
      <c r="D3919" s="14" t="s">
        <v>163</v>
      </c>
      <c r="E3919" s="13" t="s">
        <v>155</v>
      </c>
      <c r="F3919" s="13" t="s">
        <v>1470</v>
      </c>
      <c r="G3919" s="13">
        <v>0.52</v>
      </c>
      <c r="H3919" s="15">
        <v>1169</v>
      </c>
      <c r="I3919" s="16">
        <v>607.88</v>
      </c>
      <c r="J3919" s="16">
        <v>656.04843690288419</v>
      </c>
      <c r="K3919" s="16">
        <v>-48.168436902884267</v>
      </c>
      <c r="L3919" s="13">
        <v>1.43</v>
      </c>
      <c r="M3919" s="13"/>
      <c r="N3919" s="17">
        <f t="shared" si="129"/>
        <v>1671.6699999999998</v>
      </c>
      <c r="O3919" s="17">
        <f t="shared" si="129"/>
        <v>0</v>
      </c>
      <c r="P3919" s="17">
        <f t="shared" si="130"/>
        <v>1671.6699999999998</v>
      </c>
      <c r="Q3919" t="str">
        <f>A3919&amp;"-"&amp;B3919&amp;"-"&amp;D3919</f>
        <v>SEPTEMBER-CNJ2-L6</v>
      </c>
    </row>
    <row r="3920" spans="1:17" x14ac:dyDescent="0.25">
      <c r="A3920" t="s">
        <v>399</v>
      </c>
      <c r="B3920" s="13" t="s">
        <v>22</v>
      </c>
      <c r="C3920" s="13" t="s">
        <v>154</v>
      </c>
      <c r="D3920" s="14" t="s">
        <v>163</v>
      </c>
      <c r="E3920" s="13" t="s">
        <v>155</v>
      </c>
      <c r="F3920" s="13" t="s">
        <v>1471</v>
      </c>
      <c r="G3920" s="13">
        <v>0.52</v>
      </c>
      <c r="H3920" s="15">
        <v>260</v>
      </c>
      <c r="I3920" s="16">
        <v>135.19999999999999</v>
      </c>
      <c r="J3920" s="16">
        <v>148.44487001685974</v>
      </c>
      <c r="K3920" s="16">
        <v>-13.244870016859739</v>
      </c>
      <c r="L3920" s="13">
        <v>1.42</v>
      </c>
      <c r="M3920" s="13"/>
      <c r="N3920" s="17">
        <f t="shared" si="129"/>
        <v>369.2</v>
      </c>
      <c r="O3920" s="17">
        <f t="shared" si="129"/>
        <v>0</v>
      </c>
      <c r="P3920" s="17">
        <f t="shared" si="130"/>
        <v>369.2</v>
      </c>
      <c r="Q3920" t="str">
        <f>A3920&amp;"-"&amp;B3920&amp;"-"&amp;D3920</f>
        <v>SEPTEMBER-CNJ2-L6</v>
      </c>
    </row>
    <row r="3921" spans="1:17" x14ac:dyDescent="0.25">
      <c r="A3921" t="s">
        <v>399</v>
      </c>
      <c r="B3921" s="13" t="s">
        <v>22</v>
      </c>
      <c r="C3921" s="13" t="s">
        <v>154</v>
      </c>
      <c r="D3921" s="14" t="s">
        <v>163</v>
      </c>
      <c r="E3921" s="13" t="s">
        <v>155</v>
      </c>
      <c r="F3921" s="13" t="s">
        <v>1472</v>
      </c>
      <c r="G3921" s="13">
        <v>0.52</v>
      </c>
      <c r="H3921" s="15">
        <v>30</v>
      </c>
      <c r="I3921" s="16">
        <v>15.600000000000001</v>
      </c>
      <c r="J3921" s="16">
        <v>13.66</v>
      </c>
      <c r="K3921" s="16">
        <v>1.9399999999999995</v>
      </c>
      <c r="L3921" s="13">
        <v>1.42</v>
      </c>
      <c r="M3921" s="13"/>
      <c r="N3921" s="17">
        <f t="shared" si="129"/>
        <v>42.599999999999994</v>
      </c>
      <c r="O3921" s="17">
        <f t="shared" si="129"/>
        <v>0</v>
      </c>
      <c r="P3921" s="17">
        <f t="shared" si="130"/>
        <v>42.599999999999994</v>
      </c>
      <c r="Q3921" t="str">
        <f>A3921&amp;"-"&amp;B3921&amp;"-"&amp;D3921</f>
        <v>SEPTEMBER-CNJ2-L6</v>
      </c>
    </row>
    <row r="3922" spans="1:17" x14ac:dyDescent="0.25">
      <c r="A3922" t="s">
        <v>399</v>
      </c>
      <c r="B3922" s="13" t="s">
        <v>22</v>
      </c>
      <c r="C3922" s="13" t="s">
        <v>154</v>
      </c>
      <c r="D3922" s="14" t="s">
        <v>163</v>
      </c>
      <c r="E3922" s="13" t="s">
        <v>155</v>
      </c>
      <c r="F3922" s="13" t="s">
        <v>1475</v>
      </c>
      <c r="G3922" s="13">
        <v>0.52</v>
      </c>
      <c r="H3922" s="15">
        <v>45</v>
      </c>
      <c r="I3922" s="16">
        <v>23.4</v>
      </c>
      <c r="J3922" s="16">
        <v>25.475506254418882</v>
      </c>
      <c r="K3922" s="16">
        <v>-2.0755062544188827</v>
      </c>
      <c r="L3922" s="13">
        <v>1.42</v>
      </c>
      <c r="M3922" s="13"/>
      <c r="N3922" s="17">
        <f t="shared" si="129"/>
        <v>63.9</v>
      </c>
      <c r="O3922" s="17">
        <f t="shared" si="129"/>
        <v>0</v>
      </c>
      <c r="P3922" s="17">
        <f t="shared" si="130"/>
        <v>63.9</v>
      </c>
      <c r="Q3922" t="str">
        <f>A3922&amp;"-"&amp;B3922&amp;"-"&amp;D3922</f>
        <v>SEPTEMBER-CNJ2-L6</v>
      </c>
    </row>
    <row r="3923" spans="1:17" x14ac:dyDescent="0.25">
      <c r="A3923" t="s">
        <v>399</v>
      </c>
      <c r="B3923" s="13" t="s">
        <v>22</v>
      </c>
      <c r="C3923" s="13" t="s">
        <v>154</v>
      </c>
      <c r="D3923" s="14" t="s">
        <v>163</v>
      </c>
      <c r="E3923" s="13" t="s">
        <v>155</v>
      </c>
      <c r="F3923" s="13" t="s">
        <v>1462</v>
      </c>
      <c r="G3923" s="13">
        <v>0.5</v>
      </c>
      <c r="H3923" s="15">
        <v>508</v>
      </c>
      <c r="I3923" s="16">
        <v>254</v>
      </c>
      <c r="J3923" s="16">
        <v>255.31190476190477</v>
      </c>
      <c r="K3923" s="16">
        <v>-1.3119047619047635</v>
      </c>
      <c r="L3923" s="13">
        <v>1.47</v>
      </c>
      <c r="M3923" s="13"/>
      <c r="N3923" s="17">
        <f t="shared" ref="N3923:O3981" si="131">$H3923*L3923</f>
        <v>746.76</v>
      </c>
      <c r="O3923" s="17">
        <f t="shared" si="131"/>
        <v>0</v>
      </c>
      <c r="P3923" s="17">
        <f t="shared" si="130"/>
        <v>746.76</v>
      </c>
      <c r="Q3923" t="str">
        <f>A3923&amp;"-"&amp;B3923&amp;"-"&amp;D3923</f>
        <v>SEPTEMBER-CNJ2-L6</v>
      </c>
    </row>
    <row r="3924" spans="1:17" x14ac:dyDescent="0.25">
      <c r="A3924" t="s">
        <v>399</v>
      </c>
      <c r="B3924" s="13" t="s">
        <v>22</v>
      </c>
      <c r="C3924" s="13" t="s">
        <v>154</v>
      </c>
      <c r="D3924" s="14" t="s">
        <v>163</v>
      </c>
      <c r="E3924" s="13" t="s">
        <v>155</v>
      </c>
      <c r="F3924" s="13" t="s">
        <v>1463</v>
      </c>
      <c r="G3924" s="13">
        <v>0.5</v>
      </c>
      <c r="H3924" s="15">
        <v>1795</v>
      </c>
      <c r="I3924" s="16">
        <v>897.5</v>
      </c>
      <c r="J3924" s="16">
        <v>1031.6136401942861</v>
      </c>
      <c r="K3924" s="16">
        <v>-134.11364019428601</v>
      </c>
      <c r="L3924" s="13">
        <v>1.47</v>
      </c>
      <c r="M3924" s="13"/>
      <c r="N3924" s="17">
        <f t="shared" si="131"/>
        <v>2638.65</v>
      </c>
      <c r="O3924" s="17">
        <f t="shared" si="131"/>
        <v>0</v>
      </c>
      <c r="P3924" s="17">
        <f t="shared" si="130"/>
        <v>2638.65</v>
      </c>
      <c r="Q3924" t="str">
        <f>A3924&amp;"-"&amp;B3924&amp;"-"&amp;D3924</f>
        <v>SEPTEMBER-CNJ2-L6</v>
      </c>
    </row>
    <row r="3925" spans="1:17" x14ac:dyDescent="0.25">
      <c r="A3925" t="s">
        <v>399</v>
      </c>
      <c r="B3925" s="13" t="s">
        <v>22</v>
      </c>
      <c r="C3925" s="13" t="s">
        <v>154</v>
      </c>
      <c r="D3925" s="14" t="s">
        <v>163</v>
      </c>
      <c r="E3925" s="13" t="s">
        <v>155</v>
      </c>
      <c r="F3925" s="13" t="s">
        <v>1464</v>
      </c>
      <c r="G3925" s="13">
        <v>0.5</v>
      </c>
      <c r="H3925" s="15">
        <v>2784</v>
      </c>
      <c r="I3925" s="16">
        <v>1392</v>
      </c>
      <c r="J3925" s="16">
        <v>1418.6364499389501</v>
      </c>
      <c r="K3925" s="16">
        <v>-26.636449938949966</v>
      </c>
      <c r="L3925" s="13">
        <v>1.47</v>
      </c>
      <c r="M3925" s="13"/>
      <c r="N3925" s="17">
        <f t="shared" si="131"/>
        <v>4092.48</v>
      </c>
      <c r="O3925" s="17">
        <f t="shared" si="131"/>
        <v>0</v>
      </c>
      <c r="P3925" s="17">
        <f t="shared" si="130"/>
        <v>4092.48</v>
      </c>
      <c r="Q3925" t="str">
        <f>A3925&amp;"-"&amp;B3925&amp;"-"&amp;D3925</f>
        <v>SEPTEMBER-CNJ2-L6</v>
      </c>
    </row>
    <row r="3926" spans="1:17" x14ac:dyDescent="0.25">
      <c r="A3926" t="s">
        <v>399</v>
      </c>
      <c r="B3926" s="13" t="s">
        <v>22</v>
      </c>
      <c r="C3926" s="13" t="s">
        <v>154</v>
      </c>
      <c r="D3926" s="14" t="s">
        <v>163</v>
      </c>
      <c r="E3926" s="13" t="s">
        <v>155</v>
      </c>
      <c r="F3926" s="13" t="s">
        <v>1465</v>
      </c>
      <c r="G3926" s="13">
        <v>0.5</v>
      </c>
      <c r="H3926" s="15">
        <v>20</v>
      </c>
      <c r="I3926" s="16">
        <v>10</v>
      </c>
      <c r="J3926" s="16">
        <v>11.332453810948101</v>
      </c>
      <c r="K3926" s="16">
        <v>-1.3324538109480999</v>
      </c>
      <c r="L3926" s="13">
        <v>1.47</v>
      </c>
      <c r="M3926" s="13"/>
      <c r="N3926" s="17">
        <f t="shared" si="131"/>
        <v>29.4</v>
      </c>
      <c r="O3926" s="17">
        <f t="shared" si="131"/>
        <v>0</v>
      </c>
      <c r="P3926" s="17">
        <f t="shared" si="130"/>
        <v>29.4</v>
      </c>
      <c r="Q3926" t="str">
        <f>A3926&amp;"-"&amp;B3926&amp;"-"&amp;D3926</f>
        <v>SEPTEMBER-CNJ2-L6</v>
      </c>
    </row>
    <row r="3927" spans="1:17" x14ac:dyDescent="0.25">
      <c r="A3927" t="s">
        <v>399</v>
      </c>
      <c r="B3927" s="13" t="s">
        <v>22</v>
      </c>
      <c r="C3927" s="13" t="s">
        <v>154</v>
      </c>
      <c r="D3927" s="14" t="s">
        <v>163</v>
      </c>
      <c r="E3927" s="13" t="s">
        <v>155</v>
      </c>
      <c r="F3927" s="13" t="s">
        <v>1476</v>
      </c>
      <c r="G3927" s="13">
        <v>0.5</v>
      </c>
      <c r="H3927" s="15">
        <v>36</v>
      </c>
      <c r="I3927" s="16">
        <v>18</v>
      </c>
      <c r="J3927" s="16">
        <v>18.568816741213453</v>
      </c>
      <c r="K3927" s="16">
        <v>-0.56881674121345438</v>
      </c>
      <c r="L3927" s="13">
        <v>1.47</v>
      </c>
      <c r="M3927" s="13"/>
      <c r="N3927" s="17">
        <f t="shared" si="131"/>
        <v>52.92</v>
      </c>
      <c r="O3927" s="17">
        <f t="shared" si="131"/>
        <v>0</v>
      </c>
      <c r="P3927" s="17">
        <f t="shared" si="130"/>
        <v>52.92</v>
      </c>
      <c r="Q3927" t="str">
        <f>A3927&amp;"-"&amp;B3927&amp;"-"&amp;D3927</f>
        <v>SEPTEMBER-CNJ2-L6</v>
      </c>
    </row>
    <row r="3928" spans="1:17" x14ac:dyDescent="0.25">
      <c r="A3928" t="s">
        <v>399</v>
      </c>
      <c r="B3928" s="13" t="s">
        <v>22</v>
      </c>
      <c r="C3928" s="13" t="s">
        <v>154</v>
      </c>
      <c r="D3928" s="14" t="s">
        <v>163</v>
      </c>
      <c r="E3928" s="13" t="s">
        <v>155</v>
      </c>
      <c r="F3928" s="13" t="s">
        <v>1477</v>
      </c>
      <c r="G3928" s="13">
        <v>0.5</v>
      </c>
      <c r="H3928" s="15">
        <v>232</v>
      </c>
      <c r="I3928" s="16">
        <v>116</v>
      </c>
      <c r="J3928" s="16">
        <v>131.96691091456694</v>
      </c>
      <c r="K3928" s="16">
        <v>-15.966910914566945</v>
      </c>
      <c r="L3928" s="13">
        <v>1.46</v>
      </c>
      <c r="M3928" s="13"/>
      <c r="N3928" s="17">
        <f t="shared" si="131"/>
        <v>338.71999999999997</v>
      </c>
      <c r="O3928" s="17">
        <f t="shared" si="131"/>
        <v>0</v>
      </c>
      <c r="P3928" s="17">
        <f t="shared" si="130"/>
        <v>338.71999999999997</v>
      </c>
      <c r="Q3928" t="str">
        <f>A3928&amp;"-"&amp;B3928&amp;"-"&amp;D3928</f>
        <v>SEPTEMBER-CNJ2-L6</v>
      </c>
    </row>
    <row r="3929" spans="1:17" x14ac:dyDescent="0.25">
      <c r="A3929" t="s">
        <v>399</v>
      </c>
      <c r="B3929" s="13" t="s">
        <v>22</v>
      </c>
      <c r="C3929" s="13" t="s">
        <v>154</v>
      </c>
      <c r="D3929" s="14" t="s">
        <v>163</v>
      </c>
      <c r="E3929" s="13" t="s">
        <v>155</v>
      </c>
      <c r="F3929" s="13" t="s">
        <v>1478</v>
      </c>
      <c r="G3929" s="13">
        <v>0.5</v>
      </c>
      <c r="H3929" s="15">
        <v>1400</v>
      </c>
      <c r="I3929" s="16">
        <v>700</v>
      </c>
      <c r="J3929" s="16">
        <v>726.9436604618088</v>
      </c>
      <c r="K3929" s="16">
        <v>-26.94366046180869</v>
      </c>
      <c r="L3929" s="13">
        <v>1.47</v>
      </c>
      <c r="M3929" s="13"/>
      <c r="N3929" s="17">
        <f t="shared" si="131"/>
        <v>2058</v>
      </c>
      <c r="O3929" s="17">
        <f t="shared" si="131"/>
        <v>0</v>
      </c>
      <c r="P3929" s="17">
        <f t="shared" si="130"/>
        <v>2058</v>
      </c>
      <c r="Q3929" t="str">
        <f>A3929&amp;"-"&amp;B3929&amp;"-"&amp;D3929</f>
        <v>SEPTEMBER-CNJ2-L6</v>
      </c>
    </row>
    <row r="3930" spans="1:17" x14ac:dyDescent="0.25">
      <c r="A3930" t="s">
        <v>399</v>
      </c>
      <c r="B3930" s="13" t="s">
        <v>22</v>
      </c>
      <c r="C3930" s="13" t="s">
        <v>154</v>
      </c>
      <c r="D3930" s="14" t="s">
        <v>163</v>
      </c>
      <c r="E3930" s="13" t="s">
        <v>155</v>
      </c>
      <c r="F3930" s="13" t="s">
        <v>1466</v>
      </c>
      <c r="G3930" s="13">
        <v>0.5</v>
      </c>
      <c r="H3930" s="15">
        <v>68</v>
      </c>
      <c r="I3930" s="16">
        <v>34</v>
      </c>
      <c r="J3930" s="16">
        <v>34.095793650793652</v>
      </c>
      <c r="K3930" s="16">
        <v>-9.5793650793654095E-2</v>
      </c>
      <c r="L3930" s="13">
        <v>1.47</v>
      </c>
      <c r="M3930" s="13"/>
      <c r="N3930" s="17">
        <f t="shared" si="131"/>
        <v>99.96</v>
      </c>
      <c r="O3930" s="17">
        <f t="shared" si="131"/>
        <v>0</v>
      </c>
      <c r="P3930" s="17">
        <f t="shared" si="130"/>
        <v>99.96</v>
      </c>
      <c r="Q3930" t="str">
        <f>A3930&amp;"-"&amp;B3930&amp;"-"&amp;D3930</f>
        <v>SEPTEMBER-CNJ2-L6</v>
      </c>
    </row>
    <row r="3931" spans="1:17" x14ac:dyDescent="0.25">
      <c r="A3931" t="s">
        <v>399</v>
      </c>
      <c r="B3931" s="13" t="s">
        <v>22</v>
      </c>
      <c r="C3931" s="13" t="s">
        <v>154</v>
      </c>
      <c r="D3931" s="14" t="s">
        <v>163</v>
      </c>
      <c r="E3931" s="13" t="s">
        <v>155</v>
      </c>
      <c r="F3931" s="13" t="s">
        <v>1467</v>
      </c>
      <c r="G3931" s="13">
        <v>0.5</v>
      </c>
      <c r="H3931" s="15">
        <v>2413</v>
      </c>
      <c r="I3931" s="16">
        <v>1206.5</v>
      </c>
      <c r="J3931" s="16">
        <v>1286.6355729661286</v>
      </c>
      <c r="K3931" s="16">
        <v>-80.135572966128507</v>
      </c>
      <c r="L3931" s="13">
        <v>1.47</v>
      </c>
      <c r="M3931" s="13"/>
      <c r="N3931" s="17">
        <f t="shared" si="131"/>
        <v>3547.11</v>
      </c>
      <c r="O3931" s="17">
        <f t="shared" si="131"/>
        <v>0</v>
      </c>
      <c r="P3931" s="17">
        <f t="shared" si="130"/>
        <v>3547.11</v>
      </c>
      <c r="Q3931" t="str">
        <f>A3931&amp;"-"&amp;B3931&amp;"-"&amp;D3931</f>
        <v>SEPTEMBER-CNJ2-L6</v>
      </c>
    </row>
    <row r="3932" spans="1:17" x14ac:dyDescent="0.25">
      <c r="A3932" t="s">
        <v>399</v>
      </c>
      <c r="B3932" s="13" t="s">
        <v>22</v>
      </c>
      <c r="C3932" s="13" t="s">
        <v>154</v>
      </c>
      <c r="D3932" s="14" t="s">
        <v>163</v>
      </c>
      <c r="E3932" s="13" t="s">
        <v>155</v>
      </c>
      <c r="F3932" s="13" t="s">
        <v>1468</v>
      </c>
      <c r="G3932" s="13">
        <v>0.5</v>
      </c>
      <c r="H3932" s="15">
        <v>1626</v>
      </c>
      <c r="I3932" s="16">
        <v>813</v>
      </c>
      <c r="J3932" s="16">
        <v>912.46033256286148</v>
      </c>
      <c r="K3932" s="16">
        <v>-99.46033256286141</v>
      </c>
      <c r="L3932" s="13">
        <v>1.47</v>
      </c>
      <c r="M3932" s="13"/>
      <c r="N3932" s="17">
        <f t="shared" si="131"/>
        <v>2390.2199999999998</v>
      </c>
      <c r="O3932" s="17">
        <f t="shared" si="131"/>
        <v>0</v>
      </c>
      <c r="P3932" s="17">
        <f t="shared" si="130"/>
        <v>2390.2199999999998</v>
      </c>
      <c r="Q3932" t="str">
        <f>A3932&amp;"-"&amp;B3932&amp;"-"&amp;D3932</f>
        <v>SEPTEMBER-CNJ2-L6</v>
      </c>
    </row>
    <row r="3933" spans="1:17" x14ac:dyDescent="0.25">
      <c r="A3933" t="s">
        <v>399</v>
      </c>
      <c r="B3933" s="13" t="s">
        <v>22</v>
      </c>
      <c r="C3933" s="13" t="s">
        <v>154</v>
      </c>
      <c r="D3933" s="14" t="s">
        <v>163</v>
      </c>
      <c r="E3933" s="13" t="s">
        <v>155</v>
      </c>
      <c r="F3933" s="13" t="s">
        <v>1473</v>
      </c>
      <c r="G3933" s="13">
        <v>0.5</v>
      </c>
      <c r="H3933" s="15">
        <v>5037</v>
      </c>
      <c r="I3933" s="16">
        <v>2518.5</v>
      </c>
      <c r="J3933" s="16">
        <v>2367.8840725779964</v>
      </c>
      <c r="K3933" s="16">
        <v>150.61592742200327</v>
      </c>
      <c r="L3933" s="13">
        <v>1.47</v>
      </c>
      <c r="M3933" s="13"/>
      <c r="N3933" s="17">
        <f t="shared" si="131"/>
        <v>7404.3899999999994</v>
      </c>
      <c r="O3933" s="17">
        <f t="shared" si="131"/>
        <v>0</v>
      </c>
      <c r="P3933" s="17">
        <f t="shared" si="130"/>
        <v>7404.3899999999994</v>
      </c>
      <c r="Q3933" t="str">
        <f>A3933&amp;"-"&amp;B3933&amp;"-"&amp;D3933</f>
        <v>SEPTEMBER-CNJ2-L6</v>
      </c>
    </row>
    <row r="3934" spans="1:17" x14ac:dyDescent="0.25">
      <c r="A3934" t="s">
        <v>399</v>
      </c>
      <c r="B3934" s="13" t="s">
        <v>22</v>
      </c>
      <c r="C3934" s="13" t="s">
        <v>154</v>
      </c>
      <c r="D3934" s="14" t="s">
        <v>163</v>
      </c>
      <c r="E3934" s="13" t="s">
        <v>155</v>
      </c>
      <c r="F3934" s="13" t="s">
        <v>1469</v>
      </c>
      <c r="G3934" s="13">
        <v>0.5</v>
      </c>
      <c r="H3934" s="15">
        <v>262</v>
      </c>
      <c r="I3934" s="16">
        <v>131</v>
      </c>
      <c r="J3934" s="16">
        <v>131.23357142857142</v>
      </c>
      <c r="K3934" s="16">
        <v>-0.23357142857142321</v>
      </c>
      <c r="L3934" s="13">
        <v>1.47</v>
      </c>
      <c r="M3934" s="13"/>
      <c r="N3934" s="17">
        <f t="shared" si="131"/>
        <v>385.14</v>
      </c>
      <c r="O3934" s="17">
        <f t="shared" si="131"/>
        <v>0</v>
      </c>
      <c r="P3934" s="17">
        <f t="shared" si="130"/>
        <v>385.14</v>
      </c>
      <c r="Q3934" t="str">
        <f>A3934&amp;"-"&amp;B3934&amp;"-"&amp;D3934</f>
        <v>SEPTEMBER-CNJ2-L6</v>
      </c>
    </row>
    <row r="3935" spans="1:17" x14ac:dyDescent="0.25">
      <c r="A3935" t="s">
        <v>399</v>
      </c>
      <c r="B3935" s="13" t="s">
        <v>22</v>
      </c>
      <c r="C3935" s="13" t="s">
        <v>154</v>
      </c>
      <c r="D3935" s="14" t="s">
        <v>163</v>
      </c>
      <c r="E3935" s="13" t="s">
        <v>155</v>
      </c>
      <c r="F3935" s="13" t="s">
        <v>1479</v>
      </c>
      <c r="G3935" s="13">
        <v>0.5</v>
      </c>
      <c r="H3935" s="15">
        <v>276</v>
      </c>
      <c r="I3935" s="16">
        <v>138</v>
      </c>
      <c r="J3935" s="16">
        <v>143.76568053406112</v>
      </c>
      <c r="K3935" s="16">
        <v>-5.7656805340611292</v>
      </c>
      <c r="L3935" s="13">
        <v>1.47</v>
      </c>
      <c r="M3935" s="13"/>
      <c r="N3935" s="17">
        <f t="shared" si="131"/>
        <v>405.71999999999997</v>
      </c>
      <c r="O3935" s="17">
        <f t="shared" si="131"/>
        <v>0</v>
      </c>
      <c r="P3935" s="17">
        <f t="shared" si="130"/>
        <v>405.71999999999997</v>
      </c>
      <c r="Q3935" t="str">
        <f>A3935&amp;"-"&amp;B3935&amp;"-"&amp;D3935</f>
        <v>SEPTEMBER-CNJ2-L6</v>
      </c>
    </row>
    <row r="3936" spans="1:17" x14ac:dyDescent="0.25">
      <c r="A3936" t="s">
        <v>399</v>
      </c>
      <c r="B3936" s="13" t="s">
        <v>22</v>
      </c>
      <c r="C3936" s="13" t="s">
        <v>154</v>
      </c>
      <c r="D3936" s="14" t="s">
        <v>163</v>
      </c>
      <c r="E3936" s="13" t="s">
        <v>155</v>
      </c>
      <c r="F3936" s="13" t="s">
        <v>1474</v>
      </c>
      <c r="G3936" s="13">
        <v>0.5</v>
      </c>
      <c r="H3936" s="15">
        <v>10510</v>
      </c>
      <c r="I3936" s="16">
        <v>5255</v>
      </c>
      <c r="J3936" s="16">
        <v>5112.5767768311971</v>
      </c>
      <c r="K3936" s="16">
        <v>142.42322316880296</v>
      </c>
      <c r="L3936" s="13">
        <v>1.47</v>
      </c>
      <c r="M3936" s="13"/>
      <c r="N3936" s="17">
        <f t="shared" si="131"/>
        <v>15449.699999999999</v>
      </c>
      <c r="O3936" s="17">
        <f t="shared" si="131"/>
        <v>0</v>
      </c>
      <c r="P3936" s="17">
        <f t="shared" si="130"/>
        <v>15449.699999999999</v>
      </c>
      <c r="Q3936" t="str">
        <f>A3936&amp;"-"&amp;B3936&amp;"-"&amp;D3936</f>
        <v>SEPTEMBER-CNJ2-L6</v>
      </c>
    </row>
    <row r="3937" spans="1:17" x14ac:dyDescent="0.25">
      <c r="A3937" t="s">
        <v>399</v>
      </c>
      <c r="B3937" s="13" t="s">
        <v>22</v>
      </c>
      <c r="C3937" s="13" t="s">
        <v>154</v>
      </c>
      <c r="D3937" s="14" t="s">
        <v>164</v>
      </c>
      <c r="E3937" s="13" t="s">
        <v>155</v>
      </c>
      <c r="F3937" s="13" t="s">
        <v>1262</v>
      </c>
      <c r="G3937" s="13">
        <v>0.51</v>
      </c>
      <c r="H3937" s="15">
        <v>301</v>
      </c>
      <c r="I3937" s="16">
        <v>153.51000000000002</v>
      </c>
      <c r="J3937" s="16">
        <v>456.85111111111109</v>
      </c>
      <c r="K3937" s="16">
        <v>-303.3411111111111</v>
      </c>
      <c r="L3937" s="13">
        <v>1.47</v>
      </c>
      <c r="M3937" s="13"/>
      <c r="N3937" s="17">
        <f t="shared" si="131"/>
        <v>442.46999999999997</v>
      </c>
      <c r="O3937" s="17">
        <f t="shared" si="131"/>
        <v>0</v>
      </c>
      <c r="P3937" s="17">
        <f t="shared" si="130"/>
        <v>442.46999999999997</v>
      </c>
      <c r="Q3937" t="str">
        <f>A3937&amp;"-"&amp;B3937&amp;"-"&amp;D3937</f>
        <v>SEPTEMBER-CNJ2-L7</v>
      </c>
    </row>
    <row r="3938" spans="1:17" x14ac:dyDescent="0.25">
      <c r="A3938" t="s">
        <v>399</v>
      </c>
      <c r="B3938" s="13" t="s">
        <v>22</v>
      </c>
      <c r="C3938" s="13" t="s">
        <v>154</v>
      </c>
      <c r="D3938" s="14" t="s">
        <v>164</v>
      </c>
      <c r="E3938" s="13" t="s">
        <v>155</v>
      </c>
      <c r="F3938" s="13" t="s">
        <v>1263</v>
      </c>
      <c r="G3938" s="13">
        <v>0.51</v>
      </c>
      <c r="H3938" s="15">
        <v>396</v>
      </c>
      <c r="I3938" s="16">
        <v>201.95999999999998</v>
      </c>
      <c r="J3938" s="16">
        <v>1468.3444444444444</v>
      </c>
      <c r="K3938" s="16">
        <v>-1266.3844444444446</v>
      </c>
      <c r="L3938" s="13">
        <v>1.47</v>
      </c>
      <c r="M3938" s="13"/>
      <c r="N3938" s="17">
        <f t="shared" si="131"/>
        <v>582.12</v>
      </c>
      <c r="O3938" s="17">
        <f t="shared" si="131"/>
        <v>0</v>
      </c>
      <c r="P3938" s="17">
        <f t="shared" si="130"/>
        <v>582.12</v>
      </c>
      <c r="Q3938" t="str">
        <f>A3938&amp;"-"&amp;B3938&amp;"-"&amp;D3938</f>
        <v>SEPTEMBER-CNJ2-L7</v>
      </c>
    </row>
    <row r="3939" spans="1:17" x14ac:dyDescent="0.25">
      <c r="A3939" t="s">
        <v>399</v>
      </c>
      <c r="B3939" s="13" t="s">
        <v>22</v>
      </c>
      <c r="C3939" s="13" t="s">
        <v>154</v>
      </c>
      <c r="D3939" s="14" t="s">
        <v>164</v>
      </c>
      <c r="E3939" s="13" t="s">
        <v>155</v>
      </c>
      <c r="F3939" s="13" t="s">
        <v>1264</v>
      </c>
      <c r="G3939" s="13">
        <v>0.51</v>
      </c>
      <c r="H3939" s="15">
        <v>215</v>
      </c>
      <c r="I3939" s="16">
        <v>109.64999999999999</v>
      </c>
      <c r="J3939" s="16">
        <v>326.32222222222219</v>
      </c>
      <c r="K3939" s="16">
        <v>-216.67222222222222</v>
      </c>
      <c r="L3939" s="13">
        <v>1.47</v>
      </c>
      <c r="M3939" s="13"/>
      <c r="N3939" s="17">
        <f t="shared" si="131"/>
        <v>316.05</v>
      </c>
      <c r="O3939" s="17">
        <f t="shared" si="131"/>
        <v>0</v>
      </c>
      <c r="P3939" s="17">
        <f t="shared" si="130"/>
        <v>316.05</v>
      </c>
      <c r="Q3939" t="str">
        <f>A3939&amp;"-"&amp;B3939&amp;"-"&amp;D3939</f>
        <v>SEPTEMBER-CNJ2-L7</v>
      </c>
    </row>
    <row r="3940" spans="1:17" x14ac:dyDescent="0.25">
      <c r="A3940" t="s">
        <v>399</v>
      </c>
      <c r="B3940" s="13" t="s">
        <v>22</v>
      </c>
      <c r="C3940" s="13" t="s">
        <v>154</v>
      </c>
      <c r="D3940" s="14" t="s">
        <v>164</v>
      </c>
      <c r="E3940" s="13" t="s">
        <v>155</v>
      </c>
      <c r="F3940" s="13" t="s">
        <v>1265</v>
      </c>
      <c r="G3940" s="13">
        <v>0.51</v>
      </c>
      <c r="H3940" s="15">
        <v>58</v>
      </c>
      <c r="I3940" s="16">
        <v>29.58</v>
      </c>
      <c r="J3940" s="16">
        <v>88.031111111111116</v>
      </c>
      <c r="K3940" s="16">
        <v>-58.451111111111118</v>
      </c>
      <c r="L3940" s="13">
        <v>1.47</v>
      </c>
      <c r="M3940" s="13"/>
      <c r="N3940" s="17">
        <f t="shared" si="131"/>
        <v>85.26</v>
      </c>
      <c r="O3940" s="17">
        <f t="shared" si="131"/>
        <v>0</v>
      </c>
      <c r="P3940" s="17">
        <f t="shared" si="130"/>
        <v>85.26</v>
      </c>
      <c r="Q3940" t="str">
        <f>A3940&amp;"-"&amp;B3940&amp;"-"&amp;D3940</f>
        <v>SEPTEMBER-CNJ2-L7</v>
      </c>
    </row>
    <row r="3941" spans="1:17" x14ac:dyDescent="0.25">
      <c r="A3941" t="s">
        <v>399</v>
      </c>
      <c r="B3941" s="13" t="s">
        <v>22</v>
      </c>
      <c r="C3941" s="13" t="s">
        <v>154</v>
      </c>
      <c r="D3941" s="14" t="s">
        <v>164</v>
      </c>
      <c r="E3941" s="13" t="s">
        <v>155</v>
      </c>
      <c r="F3941" s="13" t="s">
        <v>1461</v>
      </c>
      <c r="G3941" s="13">
        <v>0.51</v>
      </c>
      <c r="H3941" s="15">
        <v>503</v>
      </c>
      <c r="I3941" s="16">
        <v>256.52999999999997</v>
      </c>
      <c r="J3941" s="16">
        <v>536.98977777777782</v>
      </c>
      <c r="K3941" s="16">
        <v>-280.45977777777784</v>
      </c>
      <c r="L3941" s="13">
        <v>1.47</v>
      </c>
      <c r="M3941" s="13"/>
      <c r="N3941" s="17">
        <f t="shared" si="131"/>
        <v>739.41</v>
      </c>
      <c r="O3941" s="17">
        <f t="shared" si="131"/>
        <v>0</v>
      </c>
      <c r="P3941" s="17">
        <f t="shared" si="130"/>
        <v>739.41</v>
      </c>
      <c r="Q3941" t="str">
        <f>A3941&amp;"-"&amp;B3941&amp;"-"&amp;D3941</f>
        <v>SEPTEMBER-CNJ2-L7</v>
      </c>
    </row>
    <row r="3942" spans="1:17" x14ac:dyDescent="0.25">
      <c r="A3942" t="s">
        <v>399</v>
      </c>
      <c r="B3942" s="13" t="s">
        <v>22</v>
      </c>
      <c r="C3942" s="13" t="s">
        <v>154</v>
      </c>
      <c r="D3942" s="14" t="s">
        <v>164</v>
      </c>
      <c r="E3942" s="13" t="s">
        <v>155</v>
      </c>
      <c r="F3942" s="13" t="s">
        <v>1470</v>
      </c>
      <c r="G3942" s="13">
        <v>0.52</v>
      </c>
      <c r="H3942" s="15">
        <v>163</v>
      </c>
      <c r="I3942" s="16">
        <v>84.759999999999991</v>
      </c>
      <c r="J3942" s="16">
        <v>135.99508529411764</v>
      </c>
      <c r="K3942" s="16">
        <v>-51.235085294117653</v>
      </c>
      <c r="L3942" s="13">
        <v>1.43</v>
      </c>
      <c r="M3942" s="13"/>
      <c r="N3942" s="17">
        <f t="shared" si="131"/>
        <v>233.09</v>
      </c>
      <c r="O3942" s="17">
        <f t="shared" si="131"/>
        <v>0</v>
      </c>
      <c r="P3942" s="17">
        <f t="shared" si="130"/>
        <v>233.09</v>
      </c>
      <c r="Q3942" t="str">
        <f>A3942&amp;"-"&amp;B3942&amp;"-"&amp;D3942</f>
        <v>SEPTEMBER-CNJ2-L7</v>
      </c>
    </row>
    <row r="3943" spans="1:17" x14ac:dyDescent="0.25">
      <c r="A3943" t="s">
        <v>399</v>
      </c>
      <c r="B3943" s="13" t="s">
        <v>22</v>
      </c>
      <c r="C3943" s="13" t="s">
        <v>154</v>
      </c>
      <c r="D3943" s="14" t="s">
        <v>164</v>
      </c>
      <c r="E3943" s="13" t="s">
        <v>155</v>
      </c>
      <c r="F3943" s="13" t="s">
        <v>1471</v>
      </c>
      <c r="G3943" s="13">
        <v>0.52</v>
      </c>
      <c r="H3943" s="15">
        <v>38</v>
      </c>
      <c r="I3943" s="16">
        <v>19.760000000000002</v>
      </c>
      <c r="J3943" s="16">
        <v>31.94029411764706</v>
      </c>
      <c r="K3943" s="16">
        <v>-12.180294117647058</v>
      </c>
      <c r="L3943" s="13">
        <v>1.42</v>
      </c>
      <c r="M3943" s="13"/>
      <c r="N3943" s="17">
        <f t="shared" si="131"/>
        <v>53.959999999999994</v>
      </c>
      <c r="O3943" s="17">
        <f t="shared" si="131"/>
        <v>0</v>
      </c>
      <c r="P3943" s="17">
        <f t="shared" si="130"/>
        <v>53.959999999999994</v>
      </c>
      <c r="Q3943" t="str">
        <f>A3943&amp;"-"&amp;B3943&amp;"-"&amp;D3943</f>
        <v>SEPTEMBER-CNJ2-L7</v>
      </c>
    </row>
    <row r="3944" spans="1:17" x14ac:dyDescent="0.25">
      <c r="A3944" t="s">
        <v>399</v>
      </c>
      <c r="B3944" s="13" t="s">
        <v>22</v>
      </c>
      <c r="C3944" s="13" t="s">
        <v>154</v>
      </c>
      <c r="D3944" s="14" t="s">
        <v>164</v>
      </c>
      <c r="E3944" s="13" t="s">
        <v>155</v>
      </c>
      <c r="F3944" s="13" t="s">
        <v>1472</v>
      </c>
      <c r="G3944" s="13">
        <v>0.52</v>
      </c>
      <c r="H3944" s="15">
        <v>10</v>
      </c>
      <c r="I3944" s="16">
        <v>5.2</v>
      </c>
      <c r="J3944" s="16">
        <v>8.5374999999999996</v>
      </c>
      <c r="K3944" s="16">
        <v>-3.3374999999999995</v>
      </c>
      <c r="L3944" s="13">
        <v>1.42</v>
      </c>
      <c r="M3944" s="13"/>
      <c r="N3944" s="17">
        <f t="shared" si="131"/>
        <v>14.2</v>
      </c>
      <c r="O3944" s="17">
        <f t="shared" si="131"/>
        <v>0</v>
      </c>
      <c r="P3944" s="17">
        <f t="shared" si="130"/>
        <v>14.2</v>
      </c>
      <c r="Q3944" t="str">
        <f>A3944&amp;"-"&amp;B3944&amp;"-"&amp;D3944</f>
        <v>SEPTEMBER-CNJ2-L7</v>
      </c>
    </row>
    <row r="3945" spans="1:17" x14ac:dyDescent="0.25">
      <c r="A3945" t="s">
        <v>399</v>
      </c>
      <c r="B3945" s="13" t="s">
        <v>22</v>
      </c>
      <c r="C3945" s="13" t="s">
        <v>154</v>
      </c>
      <c r="D3945" s="14" t="s">
        <v>164</v>
      </c>
      <c r="E3945" s="13" t="s">
        <v>155</v>
      </c>
      <c r="F3945" s="13" t="s">
        <v>1475</v>
      </c>
      <c r="G3945" s="13">
        <v>0.52</v>
      </c>
      <c r="H3945" s="15">
        <v>5</v>
      </c>
      <c r="I3945" s="16">
        <v>2.6</v>
      </c>
      <c r="J3945" s="16">
        <v>4.1683088235294115</v>
      </c>
      <c r="K3945" s="16">
        <v>-1.5683088235294114</v>
      </c>
      <c r="L3945" s="13">
        <v>1.42</v>
      </c>
      <c r="M3945" s="13"/>
      <c r="N3945" s="17">
        <f t="shared" si="131"/>
        <v>7.1</v>
      </c>
      <c r="O3945" s="17">
        <f t="shared" si="131"/>
        <v>0</v>
      </c>
      <c r="P3945" s="17">
        <f t="shared" si="130"/>
        <v>7.1</v>
      </c>
      <c r="Q3945" t="str">
        <f>A3945&amp;"-"&amp;B3945&amp;"-"&amp;D3945</f>
        <v>SEPTEMBER-CNJ2-L7</v>
      </c>
    </row>
    <row r="3946" spans="1:17" x14ac:dyDescent="0.25">
      <c r="A3946" t="s">
        <v>399</v>
      </c>
      <c r="B3946" s="13" t="s">
        <v>22</v>
      </c>
      <c r="C3946" s="13" t="s">
        <v>154</v>
      </c>
      <c r="D3946" s="14" t="s">
        <v>164</v>
      </c>
      <c r="E3946" s="13" t="s">
        <v>155</v>
      </c>
      <c r="F3946" s="13" t="s">
        <v>1462</v>
      </c>
      <c r="G3946" s="13">
        <v>0.5</v>
      </c>
      <c r="H3946" s="15">
        <v>254</v>
      </c>
      <c r="I3946" s="16">
        <v>127</v>
      </c>
      <c r="J3946" s="16">
        <v>222.20266666666666</v>
      </c>
      <c r="K3946" s="16">
        <v>-95.202666666666659</v>
      </c>
      <c r="L3946" s="13">
        <v>1.47</v>
      </c>
      <c r="M3946" s="13"/>
      <c r="N3946" s="17">
        <f t="shared" si="131"/>
        <v>373.38</v>
      </c>
      <c r="O3946" s="17">
        <f t="shared" si="131"/>
        <v>0</v>
      </c>
      <c r="P3946" s="17">
        <f t="shared" si="130"/>
        <v>373.38</v>
      </c>
      <c r="Q3946" t="str">
        <f>A3946&amp;"-"&amp;B3946&amp;"-"&amp;D3946</f>
        <v>SEPTEMBER-CNJ2-L7</v>
      </c>
    </row>
    <row r="3947" spans="1:17" x14ac:dyDescent="0.25">
      <c r="A3947" t="s">
        <v>399</v>
      </c>
      <c r="B3947" s="13" t="s">
        <v>22</v>
      </c>
      <c r="C3947" s="13" t="s">
        <v>154</v>
      </c>
      <c r="D3947" s="14" t="s">
        <v>164</v>
      </c>
      <c r="E3947" s="13" t="s">
        <v>155</v>
      </c>
      <c r="F3947" s="13" t="s">
        <v>1463</v>
      </c>
      <c r="G3947" s="13">
        <v>0.5</v>
      </c>
      <c r="H3947" s="15">
        <v>493</v>
      </c>
      <c r="I3947" s="16">
        <v>246.5</v>
      </c>
      <c r="J3947" s="16">
        <v>397.09419117647053</v>
      </c>
      <c r="K3947" s="16">
        <v>-150.59419117647056</v>
      </c>
      <c r="L3947" s="13">
        <v>1.47</v>
      </c>
      <c r="M3947" s="13"/>
      <c r="N3947" s="17">
        <f t="shared" si="131"/>
        <v>724.71</v>
      </c>
      <c r="O3947" s="17">
        <f t="shared" si="131"/>
        <v>0</v>
      </c>
      <c r="P3947" s="17">
        <f t="shared" si="130"/>
        <v>724.71</v>
      </c>
      <c r="Q3947" t="str">
        <f>A3947&amp;"-"&amp;B3947&amp;"-"&amp;D3947</f>
        <v>SEPTEMBER-CNJ2-L7</v>
      </c>
    </row>
    <row r="3948" spans="1:17" x14ac:dyDescent="0.25">
      <c r="A3948" t="s">
        <v>399</v>
      </c>
      <c r="B3948" s="13" t="s">
        <v>22</v>
      </c>
      <c r="C3948" s="13" t="s">
        <v>154</v>
      </c>
      <c r="D3948" s="14" t="s">
        <v>164</v>
      </c>
      <c r="E3948" s="13" t="s">
        <v>155</v>
      </c>
      <c r="F3948" s="13" t="s">
        <v>1464</v>
      </c>
      <c r="G3948" s="13">
        <v>0.5</v>
      </c>
      <c r="H3948" s="15">
        <v>1468</v>
      </c>
      <c r="I3948" s="16">
        <v>734</v>
      </c>
      <c r="J3948" s="16">
        <v>1306.9774166666668</v>
      </c>
      <c r="K3948" s="16">
        <v>-572.97741666666684</v>
      </c>
      <c r="L3948" s="13">
        <v>1.47</v>
      </c>
      <c r="M3948" s="13"/>
      <c r="N3948" s="17">
        <f t="shared" si="131"/>
        <v>2157.96</v>
      </c>
      <c r="O3948" s="17">
        <f t="shared" si="131"/>
        <v>0</v>
      </c>
      <c r="P3948" s="17">
        <f t="shared" si="130"/>
        <v>2157.96</v>
      </c>
      <c r="Q3948" t="str">
        <f>A3948&amp;"-"&amp;B3948&amp;"-"&amp;D3948</f>
        <v>SEPTEMBER-CNJ2-L7</v>
      </c>
    </row>
    <row r="3949" spans="1:17" x14ac:dyDescent="0.25">
      <c r="A3949" t="s">
        <v>399</v>
      </c>
      <c r="B3949" s="13" t="s">
        <v>22</v>
      </c>
      <c r="C3949" s="13" t="s">
        <v>154</v>
      </c>
      <c r="D3949" s="14" t="s">
        <v>164</v>
      </c>
      <c r="E3949" s="13" t="s">
        <v>155</v>
      </c>
      <c r="F3949" s="13" t="s">
        <v>1465</v>
      </c>
      <c r="G3949" s="13">
        <v>0.5</v>
      </c>
      <c r="H3949" s="15">
        <v>6</v>
      </c>
      <c r="I3949" s="16">
        <v>3</v>
      </c>
      <c r="J3949" s="16">
        <v>4.8211764705882354</v>
      </c>
      <c r="K3949" s="16">
        <v>-1.8211764705882354</v>
      </c>
      <c r="L3949" s="13">
        <v>1.47</v>
      </c>
      <c r="M3949" s="13"/>
      <c r="N3949" s="17">
        <f t="shared" si="131"/>
        <v>8.82</v>
      </c>
      <c r="O3949" s="17">
        <f t="shared" si="131"/>
        <v>0</v>
      </c>
      <c r="P3949" s="17">
        <f t="shared" si="130"/>
        <v>8.82</v>
      </c>
      <c r="Q3949" t="str">
        <f>A3949&amp;"-"&amp;B3949&amp;"-"&amp;D3949</f>
        <v>SEPTEMBER-CNJ2-L7</v>
      </c>
    </row>
    <row r="3950" spans="1:17" x14ac:dyDescent="0.25">
      <c r="A3950" t="s">
        <v>399</v>
      </c>
      <c r="B3950" s="13" t="s">
        <v>22</v>
      </c>
      <c r="C3950" s="13" t="s">
        <v>154</v>
      </c>
      <c r="D3950" s="14" t="s">
        <v>164</v>
      </c>
      <c r="E3950" s="13" t="s">
        <v>155</v>
      </c>
      <c r="F3950" s="13" t="s">
        <v>1476</v>
      </c>
      <c r="G3950" s="13">
        <v>0.5</v>
      </c>
      <c r="H3950" s="15">
        <v>10</v>
      </c>
      <c r="I3950" s="16">
        <v>5</v>
      </c>
      <c r="J3950" s="16">
        <v>7.5161449197860968</v>
      </c>
      <c r="K3950" s="16">
        <v>-2.5161449197860963</v>
      </c>
      <c r="L3950" s="13">
        <v>1.47</v>
      </c>
      <c r="M3950" s="13"/>
      <c r="N3950" s="17">
        <f t="shared" si="131"/>
        <v>14.7</v>
      </c>
      <c r="O3950" s="17">
        <f t="shared" si="131"/>
        <v>0</v>
      </c>
      <c r="P3950" s="17">
        <f t="shared" si="130"/>
        <v>14.7</v>
      </c>
      <c r="Q3950" t="str">
        <f>A3950&amp;"-"&amp;B3950&amp;"-"&amp;D3950</f>
        <v>SEPTEMBER-CNJ2-L7</v>
      </c>
    </row>
    <row r="3951" spans="1:17" x14ac:dyDescent="0.25">
      <c r="A3951" t="s">
        <v>399</v>
      </c>
      <c r="B3951" s="13" t="s">
        <v>22</v>
      </c>
      <c r="C3951" s="13" t="s">
        <v>154</v>
      </c>
      <c r="D3951" s="14" t="s">
        <v>164</v>
      </c>
      <c r="E3951" s="13" t="s">
        <v>155</v>
      </c>
      <c r="F3951" s="13" t="s">
        <v>1477</v>
      </c>
      <c r="G3951" s="13">
        <v>0.5</v>
      </c>
      <c r="H3951" s="15">
        <v>58</v>
      </c>
      <c r="I3951" s="16">
        <v>29</v>
      </c>
      <c r="J3951" s="16">
        <v>46.604705882352945</v>
      </c>
      <c r="K3951" s="16">
        <v>-17.604705882352945</v>
      </c>
      <c r="L3951" s="13">
        <v>1.46</v>
      </c>
      <c r="M3951" s="13"/>
      <c r="N3951" s="17">
        <f t="shared" si="131"/>
        <v>84.679999999999993</v>
      </c>
      <c r="O3951" s="17">
        <f t="shared" si="131"/>
        <v>0</v>
      </c>
      <c r="P3951" s="17">
        <f t="shared" si="130"/>
        <v>84.679999999999993</v>
      </c>
      <c r="Q3951" t="str">
        <f>A3951&amp;"-"&amp;B3951&amp;"-"&amp;D3951</f>
        <v>SEPTEMBER-CNJ2-L7</v>
      </c>
    </row>
    <row r="3952" spans="1:17" x14ac:dyDescent="0.25">
      <c r="A3952" t="s">
        <v>399</v>
      </c>
      <c r="B3952" s="13" t="s">
        <v>22</v>
      </c>
      <c r="C3952" s="13" t="s">
        <v>154</v>
      </c>
      <c r="D3952" s="14" t="s">
        <v>164</v>
      </c>
      <c r="E3952" s="13" t="s">
        <v>155</v>
      </c>
      <c r="F3952" s="13" t="s">
        <v>1478</v>
      </c>
      <c r="G3952" s="13">
        <v>0.5</v>
      </c>
      <c r="H3952" s="15">
        <v>341</v>
      </c>
      <c r="I3952" s="16">
        <v>170.5</v>
      </c>
      <c r="J3952" s="16">
        <v>265.946320855615</v>
      </c>
      <c r="K3952" s="16">
        <v>-95.446320855614971</v>
      </c>
      <c r="L3952" s="13">
        <v>1.47</v>
      </c>
      <c r="M3952" s="13"/>
      <c r="N3952" s="17">
        <f t="shared" si="131"/>
        <v>501.27</v>
      </c>
      <c r="O3952" s="17">
        <f t="shared" si="131"/>
        <v>0</v>
      </c>
      <c r="P3952" s="17">
        <f t="shared" si="130"/>
        <v>501.27</v>
      </c>
      <c r="Q3952" t="str">
        <f>A3952&amp;"-"&amp;B3952&amp;"-"&amp;D3952</f>
        <v>SEPTEMBER-CNJ2-L7</v>
      </c>
    </row>
    <row r="3953" spans="1:17" x14ac:dyDescent="0.25">
      <c r="A3953" t="s">
        <v>399</v>
      </c>
      <c r="B3953" s="13" t="s">
        <v>22</v>
      </c>
      <c r="C3953" s="13" t="s">
        <v>154</v>
      </c>
      <c r="D3953" s="14" t="s">
        <v>164</v>
      </c>
      <c r="E3953" s="13" t="s">
        <v>155</v>
      </c>
      <c r="F3953" s="13" t="s">
        <v>1466</v>
      </c>
      <c r="G3953" s="13">
        <v>0.5</v>
      </c>
      <c r="H3953" s="15">
        <v>34</v>
      </c>
      <c r="I3953" s="16">
        <v>17</v>
      </c>
      <c r="J3953" s="16">
        <v>29.995083333333334</v>
      </c>
      <c r="K3953" s="16">
        <v>-12.995083333333335</v>
      </c>
      <c r="L3953" s="13">
        <v>1.47</v>
      </c>
      <c r="M3953" s="13"/>
      <c r="N3953" s="17">
        <f t="shared" si="131"/>
        <v>49.98</v>
      </c>
      <c r="O3953" s="17">
        <f t="shared" si="131"/>
        <v>0</v>
      </c>
      <c r="P3953" s="17">
        <f t="shared" si="130"/>
        <v>49.98</v>
      </c>
      <c r="Q3953" t="str">
        <f>A3953&amp;"-"&amp;B3953&amp;"-"&amp;D3953</f>
        <v>SEPTEMBER-CNJ2-L7</v>
      </c>
    </row>
    <row r="3954" spans="1:17" x14ac:dyDescent="0.25">
      <c r="A3954" t="s">
        <v>399</v>
      </c>
      <c r="B3954" s="13" t="s">
        <v>22</v>
      </c>
      <c r="C3954" s="13" t="s">
        <v>154</v>
      </c>
      <c r="D3954" s="14" t="s">
        <v>164</v>
      </c>
      <c r="E3954" s="13" t="s">
        <v>155</v>
      </c>
      <c r="F3954" s="13" t="s">
        <v>1467</v>
      </c>
      <c r="G3954" s="13">
        <v>0.5</v>
      </c>
      <c r="H3954" s="15">
        <v>1261</v>
      </c>
      <c r="I3954" s="16">
        <v>630.5</v>
      </c>
      <c r="J3954" s="16">
        <v>963.03</v>
      </c>
      <c r="K3954" s="16">
        <v>-332.53000000000003</v>
      </c>
      <c r="L3954" s="13">
        <v>1.47</v>
      </c>
      <c r="M3954" s="13"/>
      <c r="N3954" s="17">
        <f t="shared" si="131"/>
        <v>1853.67</v>
      </c>
      <c r="O3954" s="17">
        <f t="shared" si="131"/>
        <v>0</v>
      </c>
      <c r="P3954" s="17">
        <f t="shared" si="130"/>
        <v>1853.67</v>
      </c>
      <c r="Q3954" t="str">
        <f>A3954&amp;"-"&amp;B3954&amp;"-"&amp;D3954</f>
        <v>SEPTEMBER-CNJ2-L7</v>
      </c>
    </row>
    <row r="3955" spans="1:17" x14ac:dyDescent="0.25">
      <c r="A3955" t="s">
        <v>399</v>
      </c>
      <c r="B3955" s="13" t="s">
        <v>22</v>
      </c>
      <c r="C3955" s="13" t="s">
        <v>154</v>
      </c>
      <c r="D3955" s="14" t="s">
        <v>164</v>
      </c>
      <c r="E3955" s="13" t="s">
        <v>155</v>
      </c>
      <c r="F3955" s="13" t="s">
        <v>1468</v>
      </c>
      <c r="G3955" s="13">
        <v>0.5</v>
      </c>
      <c r="H3955" s="15">
        <v>1296</v>
      </c>
      <c r="I3955" s="16">
        <v>648</v>
      </c>
      <c r="J3955" s="16">
        <v>1052.4728676470588</v>
      </c>
      <c r="K3955" s="16">
        <v>-404.47286764705882</v>
      </c>
      <c r="L3955" s="13">
        <v>1.47</v>
      </c>
      <c r="M3955" s="13"/>
      <c r="N3955" s="17">
        <f t="shared" si="131"/>
        <v>1905.12</v>
      </c>
      <c r="O3955" s="17">
        <f t="shared" si="131"/>
        <v>0</v>
      </c>
      <c r="P3955" s="17">
        <f t="shared" si="130"/>
        <v>1905.12</v>
      </c>
      <c r="Q3955" t="str">
        <f>A3955&amp;"-"&amp;B3955&amp;"-"&amp;D3955</f>
        <v>SEPTEMBER-CNJ2-L7</v>
      </c>
    </row>
    <row r="3956" spans="1:17" x14ac:dyDescent="0.25">
      <c r="A3956" t="s">
        <v>399</v>
      </c>
      <c r="B3956" s="13" t="s">
        <v>22</v>
      </c>
      <c r="C3956" s="13" t="s">
        <v>154</v>
      </c>
      <c r="D3956" s="14" t="s">
        <v>164</v>
      </c>
      <c r="E3956" s="13" t="s">
        <v>155</v>
      </c>
      <c r="F3956" s="13" t="s">
        <v>1473</v>
      </c>
      <c r="G3956" s="13">
        <v>0.5</v>
      </c>
      <c r="H3956" s="15">
        <v>9764</v>
      </c>
      <c r="I3956" s="16">
        <v>4882</v>
      </c>
      <c r="J3956" s="16">
        <v>6226.9859000988145</v>
      </c>
      <c r="K3956" s="16">
        <v>-1344.9859000988142</v>
      </c>
      <c r="L3956" s="13">
        <v>1.47</v>
      </c>
      <c r="M3956" s="13"/>
      <c r="N3956" s="17">
        <f t="shared" si="131"/>
        <v>14353.08</v>
      </c>
      <c r="O3956" s="17">
        <f t="shared" si="131"/>
        <v>0</v>
      </c>
      <c r="P3956" s="17">
        <f t="shared" si="130"/>
        <v>14353.08</v>
      </c>
      <c r="Q3956" t="str">
        <f>A3956&amp;"-"&amp;B3956&amp;"-"&amp;D3956</f>
        <v>SEPTEMBER-CNJ2-L7</v>
      </c>
    </row>
    <row r="3957" spans="1:17" x14ac:dyDescent="0.25">
      <c r="A3957" t="s">
        <v>399</v>
      </c>
      <c r="B3957" s="13" t="s">
        <v>22</v>
      </c>
      <c r="C3957" s="13" t="s">
        <v>154</v>
      </c>
      <c r="D3957" s="14" t="s">
        <v>164</v>
      </c>
      <c r="E3957" s="13" t="s">
        <v>155</v>
      </c>
      <c r="F3957" s="13" t="s">
        <v>1469</v>
      </c>
      <c r="G3957" s="13">
        <v>0.5</v>
      </c>
      <c r="H3957" s="15">
        <v>131</v>
      </c>
      <c r="I3957" s="16">
        <v>65.5</v>
      </c>
      <c r="J3957" s="16">
        <v>115.99616666666667</v>
      </c>
      <c r="K3957" s="16">
        <v>-50.496166666666667</v>
      </c>
      <c r="L3957" s="13">
        <v>1.47</v>
      </c>
      <c r="M3957" s="13"/>
      <c r="N3957" s="17">
        <f t="shared" si="131"/>
        <v>192.57</v>
      </c>
      <c r="O3957" s="17">
        <f t="shared" si="131"/>
        <v>0</v>
      </c>
      <c r="P3957" s="17">
        <f t="shared" si="130"/>
        <v>192.57</v>
      </c>
      <c r="Q3957" t="str">
        <f>A3957&amp;"-"&amp;B3957&amp;"-"&amp;D3957</f>
        <v>SEPTEMBER-CNJ2-L7</v>
      </c>
    </row>
    <row r="3958" spans="1:17" x14ac:dyDescent="0.25">
      <c r="A3958" t="s">
        <v>399</v>
      </c>
      <c r="B3958" s="13" t="s">
        <v>22</v>
      </c>
      <c r="C3958" s="13" t="s">
        <v>154</v>
      </c>
      <c r="D3958" s="14" t="s">
        <v>164</v>
      </c>
      <c r="E3958" s="13" t="s">
        <v>155</v>
      </c>
      <c r="F3958" s="13" t="s">
        <v>1479</v>
      </c>
      <c r="G3958" s="13">
        <v>0.5</v>
      </c>
      <c r="H3958" s="15">
        <v>77</v>
      </c>
      <c r="I3958" s="16">
        <v>38.5</v>
      </c>
      <c r="J3958" s="16">
        <v>59.227386631016046</v>
      </c>
      <c r="K3958" s="16">
        <v>-20.727386631016039</v>
      </c>
      <c r="L3958" s="13">
        <v>1.47</v>
      </c>
      <c r="M3958" s="13"/>
      <c r="N3958" s="17">
        <f t="shared" si="131"/>
        <v>113.19</v>
      </c>
      <c r="O3958" s="17">
        <f t="shared" si="131"/>
        <v>0</v>
      </c>
      <c r="P3958" s="17">
        <f t="shared" si="130"/>
        <v>113.19</v>
      </c>
      <c r="Q3958" t="str">
        <f>A3958&amp;"-"&amp;B3958&amp;"-"&amp;D3958</f>
        <v>SEPTEMBER-CNJ2-L7</v>
      </c>
    </row>
    <row r="3959" spans="1:17" x14ac:dyDescent="0.25">
      <c r="A3959" t="s">
        <v>399</v>
      </c>
      <c r="B3959" s="13" t="s">
        <v>22</v>
      </c>
      <c r="C3959" s="13" t="s">
        <v>154</v>
      </c>
      <c r="D3959" s="14" t="s">
        <v>164</v>
      </c>
      <c r="E3959" s="13" t="s">
        <v>155</v>
      </c>
      <c r="F3959" s="13" t="s">
        <v>1474</v>
      </c>
      <c r="G3959" s="13">
        <v>0.5</v>
      </c>
      <c r="H3959" s="15">
        <v>1918</v>
      </c>
      <c r="I3959" s="16">
        <v>959</v>
      </c>
      <c r="J3959" s="16">
        <v>1367.530118083004</v>
      </c>
      <c r="K3959" s="16">
        <v>-408.53011808300397</v>
      </c>
      <c r="L3959" s="13">
        <v>1.47</v>
      </c>
      <c r="M3959" s="13"/>
      <c r="N3959" s="17">
        <f t="shared" si="131"/>
        <v>2819.46</v>
      </c>
      <c r="O3959" s="17">
        <f t="shared" si="131"/>
        <v>0</v>
      </c>
      <c r="P3959" s="17">
        <f t="shared" si="130"/>
        <v>2819.46</v>
      </c>
      <c r="Q3959" t="str">
        <f>A3959&amp;"-"&amp;B3959&amp;"-"&amp;D3959</f>
        <v>SEPTEMBER-CNJ2-L7</v>
      </c>
    </row>
    <row r="3960" spans="1:17" x14ac:dyDescent="0.25">
      <c r="A3960" t="s">
        <v>399</v>
      </c>
      <c r="B3960" s="13" t="s">
        <v>22</v>
      </c>
      <c r="C3960" s="13" t="s">
        <v>43</v>
      </c>
      <c r="D3960" s="14" t="s">
        <v>44</v>
      </c>
      <c r="E3960" s="13" t="s">
        <v>1267</v>
      </c>
      <c r="F3960" s="13" t="s">
        <v>1268</v>
      </c>
      <c r="G3960" s="13">
        <v>2.85</v>
      </c>
      <c r="H3960" s="15">
        <v>285</v>
      </c>
      <c r="I3960" s="16">
        <v>812.25</v>
      </c>
      <c r="J3960" s="16">
        <v>1366</v>
      </c>
      <c r="K3960" s="16">
        <v>-553.75</v>
      </c>
      <c r="L3960" s="13"/>
      <c r="M3960" s="13">
        <v>3</v>
      </c>
      <c r="N3960" s="17">
        <f t="shared" si="131"/>
        <v>0</v>
      </c>
      <c r="O3960" s="17">
        <f t="shared" si="131"/>
        <v>855</v>
      </c>
      <c r="P3960" s="17">
        <f t="shared" si="130"/>
        <v>855</v>
      </c>
      <c r="Q3960" t="str">
        <f>A3960&amp;"-"&amp;B3960&amp;"-"&amp;D3960</f>
        <v>SEPTEMBER-CNJ2-L1</v>
      </c>
    </row>
    <row r="3961" spans="1:17" x14ac:dyDescent="0.25">
      <c r="A3961" t="s">
        <v>399</v>
      </c>
      <c r="B3961" s="13" t="s">
        <v>22</v>
      </c>
      <c r="C3961" s="13" t="s">
        <v>43</v>
      </c>
      <c r="D3961" s="14" t="s">
        <v>50</v>
      </c>
      <c r="E3961" s="13" t="s">
        <v>550</v>
      </c>
      <c r="F3961" s="13" t="s">
        <v>1480</v>
      </c>
      <c r="G3961" s="13">
        <v>0.37000000000000005</v>
      </c>
      <c r="H3961" s="15">
        <v>7653</v>
      </c>
      <c r="I3961" s="16">
        <v>2831.61</v>
      </c>
      <c r="J3961" s="16">
        <v>3605.328125</v>
      </c>
      <c r="K3961" s="16">
        <v>-773.7181250000001</v>
      </c>
      <c r="L3961" s="13"/>
      <c r="M3961" s="13">
        <v>0.38</v>
      </c>
      <c r="N3961" s="17">
        <f t="shared" si="131"/>
        <v>0</v>
      </c>
      <c r="O3961" s="17">
        <f t="shared" si="131"/>
        <v>2908.14</v>
      </c>
      <c r="P3961" s="17">
        <f t="shared" si="130"/>
        <v>2908.14</v>
      </c>
      <c r="Q3961" t="str">
        <f>A3961&amp;"-"&amp;B3961&amp;"-"&amp;D3961</f>
        <v>SEPTEMBER-CNJ2-L2</v>
      </c>
    </row>
    <row r="3962" spans="1:17" x14ac:dyDescent="0.25">
      <c r="A3962" t="s">
        <v>399</v>
      </c>
      <c r="B3962" s="13" t="s">
        <v>22</v>
      </c>
      <c r="C3962" s="13" t="s">
        <v>43</v>
      </c>
      <c r="D3962" s="14" t="s">
        <v>50</v>
      </c>
      <c r="E3962" s="13" t="s">
        <v>550</v>
      </c>
      <c r="F3962" s="13" t="s">
        <v>1481</v>
      </c>
      <c r="G3962" s="13">
        <v>0.37</v>
      </c>
      <c r="H3962" s="15">
        <v>1350</v>
      </c>
      <c r="I3962" s="16">
        <v>499.5</v>
      </c>
      <c r="J3962" s="16">
        <v>522.39215991692629</v>
      </c>
      <c r="K3962" s="16">
        <v>-22.892159916926261</v>
      </c>
      <c r="L3962" s="13"/>
      <c r="M3962" s="13">
        <v>0.38</v>
      </c>
      <c r="N3962" s="17">
        <f t="shared" si="131"/>
        <v>0</v>
      </c>
      <c r="O3962" s="17">
        <f t="shared" si="131"/>
        <v>513</v>
      </c>
      <c r="P3962" s="17">
        <f t="shared" si="130"/>
        <v>513</v>
      </c>
      <c r="Q3962" t="str">
        <f>A3962&amp;"-"&amp;B3962&amp;"-"&amp;D3962</f>
        <v>SEPTEMBER-CNJ2-L2</v>
      </c>
    </row>
    <row r="3963" spans="1:17" x14ac:dyDescent="0.25">
      <c r="A3963" t="s">
        <v>399</v>
      </c>
      <c r="B3963" s="13" t="s">
        <v>22</v>
      </c>
      <c r="C3963" s="13" t="s">
        <v>43</v>
      </c>
      <c r="D3963" s="14" t="s">
        <v>50</v>
      </c>
      <c r="E3963" s="13" t="s">
        <v>550</v>
      </c>
      <c r="F3963" s="13" t="s">
        <v>1482</v>
      </c>
      <c r="G3963" s="13">
        <v>0.28999999999999998</v>
      </c>
      <c r="H3963" s="15">
        <v>4599</v>
      </c>
      <c r="I3963" s="16">
        <v>1333.71</v>
      </c>
      <c r="J3963" s="16">
        <v>1618.8676145021645</v>
      </c>
      <c r="K3963" s="16">
        <v>-285.15761450216456</v>
      </c>
      <c r="L3963" s="13"/>
      <c r="M3963" s="13">
        <v>0.3</v>
      </c>
      <c r="N3963" s="17">
        <f t="shared" si="131"/>
        <v>0</v>
      </c>
      <c r="O3963" s="17">
        <f t="shared" si="131"/>
        <v>1379.7</v>
      </c>
      <c r="P3963" s="17">
        <f t="shared" si="130"/>
        <v>1379.7</v>
      </c>
      <c r="Q3963" t="str">
        <f>A3963&amp;"-"&amp;B3963&amp;"-"&amp;D3963</f>
        <v>SEPTEMBER-CNJ2-L2</v>
      </c>
    </row>
    <row r="3964" spans="1:17" x14ac:dyDescent="0.25">
      <c r="A3964" t="s">
        <v>399</v>
      </c>
      <c r="B3964" s="13" t="s">
        <v>22</v>
      </c>
      <c r="C3964" s="13" t="s">
        <v>43</v>
      </c>
      <c r="D3964" s="14" t="s">
        <v>50</v>
      </c>
      <c r="E3964" s="13" t="s">
        <v>550</v>
      </c>
      <c r="F3964" s="13" t="s">
        <v>1483</v>
      </c>
      <c r="G3964" s="13">
        <v>0.28999999999999998</v>
      </c>
      <c r="H3964" s="15">
        <v>612</v>
      </c>
      <c r="I3964" s="16">
        <v>177.48000000000002</v>
      </c>
      <c r="J3964" s="16">
        <v>232.21999999999997</v>
      </c>
      <c r="K3964" s="16">
        <v>-54.739999999999981</v>
      </c>
      <c r="L3964" s="13"/>
      <c r="M3964" s="13">
        <v>0.3</v>
      </c>
      <c r="N3964" s="17">
        <f t="shared" si="131"/>
        <v>0</v>
      </c>
      <c r="O3964" s="17">
        <f t="shared" si="131"/>
        <v>183.6</v>
      </c>
      <c r="P3964" s="17">
        <f t="shared" si="130"/>
        <v>183.6</v>
      </c>
      <c r="Q3964" t="str">
        <f>A3964&amp;"-"&amp;B3964&amp;"-"&amp;D3964</f>
        <v>SEPTEMBER-CNJ2-L2</v>
      </c>
    </row>
    <row r="3965" spans="1:17" x14ac:dyDescent="0.25">
      <c r="A3965" t="s">
        <v>399</v>
      </c>
      <c r="B3965" s="13" t="s">
        <v>22</v>
      </c>
      <c r="C3965" s="13" t="s">
        <v>43</v>
      </c>
      <c r="D3965" s="14" t="s">
        <v>50</v>
      </c>
      <c r="E3965" s="13" t="s">
        <v>550</v>
      </c>
      <c r="F3965" s="13" t="s">
        <v>1484</v>
      </c>
      <c r="G3965" s="13">
        <v>0.28999999999999998</v>
      </c>
      <c r="H3965" s="15">
        <v>918</v>
      </c>
      <c r="I3965" s="16">
        <v>266.22000000000003</v>
      </c>
      <c r="J3965" s="16">
        <v>318.66628611111111</v>
      </c>
      <c r="K3965" s="16">
        <v>-52.446286111111093</v>
      </c>
      <c r="L3965" s="13"/>
      <c r="M3965" s="13">
        <v>0.3</v>
      </c>
      <c r="N3965" s="17">
        <f t="shared" si="131"/>
        <v>0</v>
      </c>
      <c r="O3965" s="17">
        <f t="shared" si="131"/>
        <v>275.39999999999998</v>
      </c>
      <c r="P3965" s="17">
        <f t="shared" si="130"/>
        <v>275.39999999999998</v>
      </c>
      <c r="Q3965" t="str">
        <f>A3965&amp;"-"&amp;B3965&amp;"-"&amp;D3965</f>
        <v>SEPTEMBER-CNJ2-L2</v>
      </c>
    </row>
    <row r="3966" spans="1:17" x14ac:dyDescent="0.25">
      <c r="A3966" t="s">
        <v>399</v>
      </c>
      <c r="B3966" s="13" t="s">
        <v>22</v>
      </c>
      <c r="C3966" s="13" t="s">
        <v>43</v>
      </c>
      <c r="D3966" s="14" t="s">
        <v>50</v>
      </c>
      <c r="E3966" s="13" t="s">
        <v>555</v>
      </c>
      <c r="F3966" s="13" t="s">
        <v>1485</v>
      </c>
      <c r="G3966" s="13">
        <v>0.23000000000000004</v>
      </c>
      <c r="H3966" s="15">
        <v>970</v>
      </c>
      <c r="I3966" s="16">
        <v>223.1</v>
      </c>
      <c r="J3966" s="16">
        <v>340.62939985637422</v>
      </c>
      <c r="K3966" s="16">
        <v>-117.52939985637414</v>
      </c>
      <c r="L3966" s="13"/>
      <c r="M3966" s="13">
        <v>0.24</v>
      </c>
      <c r="N3966" s="17">
        <f t="shared" si="131"/>
        <v>0</v>
      </c>
      <c r="O3966" s="17">
        <f t="shared" si="131"/>
        <v>232.79999999999998</v>
      </c>
      <c r="P3966" s="17">
        <f t="shared" si="130"/>
        <v>232.79999999999998</v>
      </c>
      <c r="Q3966" t="str">
        <f>A3966&amp;"-"&amp;B3966&amp;"-"&amp;D3966</f>
        <v>SEPTEMBER-CNJ2-L2</v>
      </c>
    </row>
    <row r="3967" spans="1:17" x14ac:dyDescent="0.25">
      <c r="A3967" t="s">
        <v>399</v>
      </c>
      <c r="B3967" s="13" t="s">
        <v>22</v>
      </c>
      <c r="C3967" s="13" t="s">
        <v>43</v>
      </c>
      <c r="D3967" s="14" t="s">
        <v>50</v>
      </c>
      <c r="E3967" s="13" t="s">
        <v>177</v>
      </c>
      <c r="F3967" s="13" t="s">
        <v>1274</v>
      </c>
      <c r="G3967" s="13">
        <v>0.24</v>
      </c>
      <c r="H3967" s="15">
        <v>1050</v>
      </c>
      <c r="I3967" s="16">
        <v>252</v>
      </c>
      <c r="J3967" s="16">
        <v>379.14914188615126</v>
      </c>
      <c r="K3967" s="16">
        <v>-127.14914188615124</v>
      </c>
      <c r="L3967" s="13"/>
      <c r="M3967" s="13">
        <v>0.25</v>
      </c>
      <c r="N3967" s="17">
        <f t="shared" si="131"/>
        <v>0</v>
      </c>
      <c r="O3967" s="17">
        <f t="shared" si="131"/>
        <v>262.5</v>
      </c>
      <c r="P3967" s="17">
        <f t="shared" si="130"/>
        <v>262.5</v>
      </c>
      <c r="Q3967" t="str">
        <f>A3967&amp;"-"&amp;B3967&amp;"-"&amp;D3967</f>
        <v>SEPTEMBER-CNJ2-L2</v>
      </c>
    </row>
    <row r="3968" spans="1:17" x14ac:dyDescent="0.25">
      <c r="A3968" t="s">
        <v>399</v>
      </c>
      <c r="B3968" s="13" t="s">
        <v>22</v>
      </c>
      <c r="C3968" s="13" t="s">
        <v>43</v>
      </c>
      <c r="D3968" s="14" t="s">
        <v>50</v>
      </c>
      <c r="E3968" s="13" t="s">
        <v>177</v>
      </c>
      <c r="F3968" s="13" t="s">
        <v>1486</v>
      </c>
      <c r="G3968" s="13">
        <v>0.24</v>
      </c>
      <c r="H3968" s="15">
        <v>1576</v>
      </c>
      <c r="I3968" s="16">
        <v>378.24</v>
      </c>
      <c r="J3968" s="16">
        <v>819.51272727272726</v>
      </c>
      <c r="K3968" s="16">
        <v>-441.27272727272725</v>
      </c>
      <c r="L3968" s="13"/>
      <c r="M3968" s="13">
        <v>0.25</v>
      </c>
      <c r="N3968" s="17">
        <f t="shared" si="131"/>
        <v>0</v>
      </c>
      <c r="O3968" s="17">
        <f t="shared" si="131"/>
        <v>394</v>
      </c>
      <c r="P3968" s="17">
        <f t="shared" si="130"/>
        <v>394</v>
      </c>
      <c r="Q3968" t="str">
        <f>A3968&amp;"-"&amp;B3968&amp;"-"&amp;D3968</f>
        <v>SEPTEMBER-CNJ2-L2</v>
      </c>
    </row>
    <row r="3969" spans="1:17" x14ac:dyDescent="0.25">
      <c r="A3969" t="s">
        <v>399</v>
      </c>
      <c r="B3969" s="13" t="s">
        <v>22</v>
      </c>
      <c r="C3969" s="13" t="s">
        <v>43</v>
      </c>
      <c r="D3969" s="14" t="s">
        <v>50</v>
      </c>
      <c r="E3969" s="13" t="s">
        <v>177</v>
      </c>
      <c r="F3969" s="13" t="s">
        <v>1487</v>
      </c>
      <c r="G3969" s="13">
        <v>0.24</v>
      </c>
      <c r="H3969" s="15">
        <v>1000</v>
      </c>
      <c r="I3969" s="16">
        <v>240</v>
      </c>
      <c r="J3969" s="16">
        <v>310.45454545454544</v>
      </c>
      <c r="K3969" s="16">
        <v>-70.454545454545439</v>
      </c>
      <c r="L3969" s="13"/>
      <c r="M3969" s="13">
        <v>0.25</v>
      </c>
      <c r="N3969" s="17">
        <f t="shared" si="131"/>
        <v>0</v>
      </c>
      <c r="O3969" s="17">
        <f t="shared" si="131"/>
        <v>250</v>
      </c>
      <c r="P3969" s="17">
        <f t="shared" si="130"/>
        <v>250</v>
      </c>
      <c r="Q3969" t="str">
        <f>A3969&amp;"-"&amp;B3969&amp;"-"&amp;D3969</f>
        <v>SEPTEMBER-CNJ2-L2</v>
      </c>
    </row>
    <row r="3970" spans="1:17" x14ac:dyDescent="0.25">
      <c r="A3970" t="s">
        <v>399</v>
      </c>
      <c r="B3970" s="13" t="s">
        <v>22</v>
      </c>
      <c r="C3970" s="13" t="s">
        <v>43</v>
      </c>
      <c r="D3970" s="14" t="s">
        <v>56</v>
      </c>
      <c r="E3970" s="13" t="s">
        <v>179</v>
      </c>
      <c r="F3970" s="13" t="s">
        <v>1282</v>
      </c>
      <c r="G3970" s="13">
        <v>1.5400000000000003</v>
      </c>
      <c r="H3970" s="15">
        <v>2530</v>
      </c>
      <c r="I3970" s="16">
        <v>3896.2</v>
      </c>
      <c r="J3970" s="16">
        <v>4114.2647619047621</v>
      </c>
      <c r="K3970" s="16">
        <v>-218.06476190476215</v>
      </c>
      <c r="L3970" s="13"/>
      <c r="M3970" s="13">
        <v>1.65</v>
      </c>
      <c r="N3970" s="17">
        <f t="shared" si="131"/>
        <v>0</v>
      </c>
      <c r="O3970" s="17">
        <f t="shared" si="131"/>
        <v>4174.5</v>
      </c>
      <c r="P3970" s="17">
        <f t="shared" ref="P3970:P4033" si="132">N3970+O3970</f>
        <v>4174.5</v>
      </c>
      <c r="Q3970" t="str">
        <f>A3970&amp;"-"&amp;B3970&amp;"-"&amp;D3970</f>
        <v>SEPTEMBER-CNJ2-L3</v>
      </c>
    </row>
    <row r="3971" spans="1:17" x14ac:dyDescent="0.25">
      <c r="A3971" t="s">
        <v>399</v>
      </c>
      <c r="B3971" s="13" t="s">
        <v>22</v>
      </c>
      <c r="C3971" s="13" t="s">
        <v>43</v>
      </c>
      <c r="D3971" s="14" t="s">
        <v>56</v>
      </c>
      <c r="E3971" s="13" t="s">
        <v>179</v>
      </c>
      <c r="F3971" s="13" t="s">
        <v>1488</v>
      </c>
      <c r="G3971" s="13">
        <v>1.54</v>
      </c>
      <c r="H3971" s="15">
        <v>1676</v>
      </c>
      <c r="I3971" s="16">
        <v>2581.04</v>
      </c>
      <c r="J3971" s="16">
        <v>2724.0186545454544</v>
      </c>
      <c r="K3971" s="16">
        <v>-142.9786545454545</v>
      </c>
      <c r="L3971" s="13"/>
      <c r="M3971" s="13">
        <v>1.65</v>
      </c>
      <c r="N3971" s="17">
        <f t="shared" si="131"/>
        <v>0</v>
      </c>
      <c r="O3971" s="17">
        <f t="shared" si="131"/>
        <v>2765.3999999999996</v>
      </c>
      <c r="P3971" s="17">
        <f t="shared" si="132"/>
        <v>2765.3999999999996</v>
      </c>
      <c r="Q3971" t="str">
        <f>A3971&amp;"-"&amp;B3971&amp;"-"&amp;D3971</f>
        <v>SEPTEMBER-CNJ2-L3</v>
      </c>
    </row>
    <row r="3972" spans="1:17" x14ac:dyDescent="0.25">
      <c r="A3972" t="s">
        <v>399</v>
      </c>
      <c r="B3972" s="13" t="s">
        <v>22</v>
      </c>
      <c r="C3972" s="13" t="s">
        <v>43</v>
      </c>
      <c r="D3972" s="14" t="s">
        <v>56</v>
      </c>
      <c r="E3972" s="13" t="s">
        <v>179</v>
      </c>
      <c r="F3972" s="13" t="s">
        <v>1489</v>
      </c>
      <c r="G3972" s="13">
        <v>1.5399999999999996</v>
      </c>
      <c r="H3972" s="15">
        <v>5934</v>
      </c>
      <c r="I3972" s="16">
        <v>9138.36</v>
      </c>
      <c r="J3972" s="16">
        <v>9456.1565835497822</v>
      </c>
      <c r="K3972" s="16">
        <v>-317.79658354978358</v>
      </c>
      <c r="L3972" s="13"/>
      <c r="M3972" s="13">
        <v>1.65</v>
      </c>
      <c r="N3972" s="17">
        <f t="shared" si="131"/>
        <v>0</v>
      </c>
      <c r="O3972" s="17">
        <f t="shared" si="131"/>
        <v>9791.1</v>
      </c>
      <c r="P3972" s="17">
        <f t="shared" si="132"/>
        <v>9791.1</v>
      </c>
      <c r="Q3972" t="str">
        <f>A3972&amp;"-"&amp;B3972&amp;"-"&amp;D3972</f>
        <v>SEPTEMBER-CNJ2-L3</v>
      </c>
    </row>
    <row r="3973" spans="1:17" x14ac:dyDescent="0.25">
      <c r="A3973" t="s">
        <v>399</v>
      </c>
      <c r="B3973" s="13" t="s">
        <v>22</v>
      </c>
      <c r="C3973" s="13" t="s">
        <v>43</v>
      </c>
      <c r="D3973" s="14" t="s">
        <v>164</v>
      </c>
      <c r="E3973" s="13" t="s">
        <v>58</v>
      </c>
      <c r="F3973" s="13" t="s">
        <v>1290</v>
      </c>
      <c r="G3973" s="13">
        <v>1.49</v>
      </c>
      <c r="H3973" s="15">
        <v>55</v>
      </c>
      <c r="I3973" s="16">
        <v>81.95</v>
      </c>
      <c r="J3973" s="16">
        <v>683</v>
      </c>
      <c r="K3973" s="16">
        <v>-601.04999999999995</v>
      </c>
      <c r="L3973" s="13"/>
      <c r="M3973" s="13">
        <v>1.6</v>
      </c>
      <c r="N3973" s="17">
        <f t="shared" si="131"/>
        <v>0</v>
      </c>
      <c r="O3973" s="17">
        <f t="shared" si="131"/>
        <v>88</v>
      </c>
      <c r="P3973" s="17">
        <f t="shared" si="132"/>
        <v>88</v>
      </c>
      <c r="Q3973" t="str">
        <f>A3973&amp;"-"&amp;B3973&amp;"-"&amp;D3973</f>
        <v>SEPTEMBER-CNJ2-L7</v>
      </c>
    </row>
    <row r="3974" spans="1:17" x14ac:dyDescent="0.25">
      <c r="A3974" t="s">
        <v>399</v>
      </c>
      <c r="B3974" s="13" t="s">
        <v>22</v>
      </c>
      <c r="C3974" s="13" t="s">
        <v>1490</v>
      </c>
      <c r="D3974" s="14" t="s">
        <v>44</v>
      </c>
      <c r="E3974" s="13" t="s">
        <v>58</v>
      </c>
      <c r="F3974" s="13" t="s">
        <v>1491</v>
      </c>
      <c r="G3974" s="13">
        <v>1.8799999999999997</v>
      </c>
      <c r="H3974" s="15">
        <v>915</v>
      </c>
      <c r="I3974" s="16">
        <v>1720.1999999999998</v>
      </c>
      <c r="J3974" s="16">
        <v>3219.86</v>
      </c>
      <c r="K3974" s="16">
        <v>-1499.66</v>
      </c>
      <c r="L3974" s="13"/>
      <c r="M3974" s="13">
        <v>2.1800000000000002</v>
      </c>
      <c r="N3974" s="17">
        <f t="shared" si="131"/>
        <v>0</v>
      </c>
      <c r="O3974" s="17">
        <f t="shared" si="131"/>
        <v>1994.7</v>
      </c>
      <c r="P3974" s="17">
        <f t="shared" si="132"/>
        <v>1994.7</v>
      </c>
      <c r="Q3974" t="str">
        <f>A3974&amp;"-"&amp;B3974&amp;"-"&amp;D3974</f>
        <v>SEPTEMBER-CNJ2-L1</v>
      </c>
    </row>
    <row r="3975" spans="1:17" x14ac:dyDescent="0.25">
      <c r="A3975" t="s">
        <v>399</v>
      </c>
      <c r="B3975" s="13" t="s">
        <v>22</v>
      </c>
      <c r="C3975" s="13" t="s">
        <v>1490</v>
      </c>
      <c r="D3975" s="14" t="s">
        <v>44</v>
      </c>
      <c r="E3975" s="13" t="s">
        <v>58</v>
      </c>
      <c r="F3975" s="13" t="s">
        <v>1492</v>
      </c>
      <c r="G3975" s="13">
        <v>2.3700000000000006</v>
      </c>
      <c r="H3975" s="15">
        <v>919</v>
      </c>
      <c r="I3975" s="16">
        <v>2178.0299999999997</v>
      </c>
      <c r="J3975" s="16">
        <v>3943.3340740740741</v>
      </c>
      <c r="K3975" s="16">
        <v>-1765.3040740740744</v>
      </c>
      <c r="L3975" s="13"/>
      <c r="M3975" s="13">
        <v>2.5099999999999998</v>
      </c>
      <c r="N3975" s="17">
        <f t="shared" si="131"/>
        <v>0</v>
      </c>
      <c r="O3975" s="17">
        <f t="shared" si="131"/>
        <v>2306.6899999999996</v>
      </c>
      <c r="P3975" s="17">
        <f t="shared" si="132"/>
        <v>2306.6899999999996</v>
      </c>
      <c r="Q3975" t="str">
        <f>A3975&amp;"-"&amp;B3975&amp;"-"&amp;D3975</f>
        <v>SEPTEMBER-CNJ2-L1</v>
      </c>
    </row>
    <row r="3976" spans="1:17" x14ac:dyDescent="0.25">
      <c r="A3976" t="s">
        <v>399</v>
      </c>
      <c r="B3976" s="13" t="s">
        <v>22</v>
      </c>
      <c r="C3976" s="13" t="s">
        <v>413</v>
      </c>
      <c r="D3976" s="14" t="s">
        <v>160</v>
      </c>
      <c r="E3976" s="13" t="s">
        <v>73</v>
      </c>
      <c r="F3976" s="13" t="s">
        <v>1294</v>
      </c>
      <c r="G3976" s="13">
        <v>0.71</v>
      </c>
      <c r="H3976" s="15">
        <v>612</v>
      </c>
      <c r="I3976" s="16">
        <v>434.52</v>
      </c>
      <c r="J3976" s="16">
        <v>3902.86</v>
      </c>
      <c r="K3976" s="16">
        <v>-3468.34</v>
      </c>
      <c r="L3976" s="13"/>
      <c r="M3976" s="13">
        <v>3.23</v>
      </c>
      <c r="N3976" s="17">
        <f t="shared" si="131"/>
        <v>0</v>
      </c>
      <c r="O3976" s="17">
        <f t="shared" si="131"/>
        <v>1976.76</v>
      </c>
      <c r="P3976" s="17">
        <f t="shared" si="132"/>
        <v>1976.76</v>
      </c>
      <c r="Q3976" t="str">
        <f>A3976&amp;"-"&amp;B3976&amp;"-"&amp;D3976</f>
        <v>SEPTEMBER-CNJ2-L5</v>
      </c>
    </row>
    <row r="3977" spans="1:17" x14ac:dyDescent="0.25">
      <c r="A3977" t="s">
        <v>399</v>
      </c>
      <c r="B3977" s="13" t="s">
        <v>23</v>
      </c>
      <c r="C3977" s="13" t="s">
        <v>60</v>
      </c>
      <c r="D3977" s="14" t="s">
        <v>44</v>
      </c>
      <c r="E3977" s="13" t="s">
        <v>152</v>
      </c>
      <c r="F3977" s="13" t="s">
        <v>1493</v>
      </c>
      <c r="G3977" s="13">
        <v>1.9399999999999997</v>
      </c>
      <c r="H3977" s="15">
        <v>1117</v>
      </c>
      <c r="I3977" s="16">
        <v>2166.98</v>
      </c>
      <c r="J3977" s="16">
        <v>2015.0419867940775</v>
      </c>
      <c r="K3977" s="16">
        <v>151.9380132059224</v>
      </c>
      <c r="L3977" s="13">
        <v>5.55</v>
      </c>
      <c r="M3977" s="13"/>
      <c r="N3977" s="17">
        <f t="shared" si="131"/>
        <v>6199.3499999999995</v>
      </c>
      <c r="O3977" s="17">
        <f t="shared" si="131"/>
        <v>0</v>
      </c>
      <c r="P3977" s="17">
        <f t="shared" si="132"/>
        <v>6199.3499999999995</v>
      </c>
      <c r="Q3977" t="str">
        <f>A3977&amp;"-"&amp;B3977&amp;"-"&amp;D3977</f>
        <v>SEPTEMBER-CVA-L1</v>
      </c>
    </row>
    <row r="3978" spans="1:17" x14ac:dyDescent="0.25">
      <c r="A3978" t="s">
        <v>399</v>
      </c>
      <c r="B3978" s="13" t="s">
        <v>23</v>
      </c>
      <c r="C3978" s="13" t="s">
        <v>60</v>
      </c>
      <c r="D3978" s="14" t="s">
        <v>44</v>
      </c>
      <c r="E3978" s="13" t="s">
        <v>58</v>
      </c>
      <c r="F3978" s="13" t="s">
        <v>1494</v>
      </c>
      <c r="G3978" s="13">
        <v>2.33</v>
      </c>
      <c r="H3978" s="15">
        <v>1191</v>
      </c>
      <c r="I3978" s="16">
        <v>2775.0299999999997</v>
      </c>
      <c r="J3978" s="16">
        <v>3080</v>
      </c>
      <c r="K3978" s="16">
        <v>-304.96999999999991</v>
      </c>
      <c r="L3978" s="13">
        <v>5.33</v>
      </c>
      <c r="M3978" s="13"/>
      <c r="N3978" s="17">
        <f t="shared" si="131"/>
        <v>6348.03</v>
      </c>
      <c r="O3978" s="17">
        <f t="shared" si="131"/>
        <v>0</v>
      </c>
      <c r="P3978" s="17">
        <f t="shared" si="132"/>
        <v>6348.03</v>
      </c>
      <c r="Q3978" t="str">
        <f>A3978&amp;"-"&amp;B3978&amp;"-"&amp;D3978</f>
        <v>SEPTEMBER-CVA-L1</v>
      </c>
    </row>
    <row r="3979" spans="1:17" x14ac:dyDescent="0.25">
      <c r="A3979" t="s">
        <v>399</v>
      </c>
      <c r="B3979" s="13" t="s">
        <v>23</v>
      </c>
      <c r="C3979" s="13" t="s">
        <v>60</v>
      </c>
      <c r="D3979" s="14" t="s">
        <v>44</v>
      </c>
      <c r="E3979" s="13" t="s">
        <v>58</v>
      </c>
      <c r="F3979" s="13" t="s">
        <v>1297</v>
      </c>
      <c r="G3979" s="13">
        <v>5.8699999999999992</v>
      </c>
      <c r="H3979" s="15">
        <v>832</v>
      </c>
      <c r="I3979" s="16">
        <v>4883.84</v>
      </c>
      <c r="J3979" s="16">
        <v>3636.3870967741937</v>
      </c>
      <c r="K3979" s="16">
        <v>1247.4529032258065</v>
      </c>
      <c r="L3979" s="13">
        <v>15.27</v>
      </c>
      <c r="M3979" s="13"/>
      <c r="N3979" s="17">
        <f t="shared" si="131"/>
        <v>12704.64</v>
      </c>
      <c r="O3979" s="17">
        <f t="shared" si="131"/>
        <v>0</v>
      </c>
      <c r="P3979" s="17">
        <f t="shared" si="132"/>
        <v>12704.64</v>
      </c>
      <c r="Q3979" t="str">
        <f>A3979&amp;"-"&amp;B3979&amp;"-"&amp;D3979</f>
        <v>SEPTEMBER-CVA-L1</v>
      </c>
    </row>
    <row r="3980" spans="1:17" x14ac:dyDescent="0.25">
      <c r="A3980" t="s">
        <v>399</v>
      </c>
      <c r="B3980" s="13" t="s">
        <v>23</v>
      </c>
      <c r="C3980" s="13" t="s">
        <v>60</v>
      </c>
      <c r="D3980" s="14" t="s">
        <v>44</v>
      </c>
      <c r="E3980" s="13" t="s">
        <v>63</v>
      </c>
      <c r="F3980" s="13" t="s">
        <v>1495</v>
      </c>
      <c r="G3980" s="13">
        <v>1.9</v>
      </c>
      <c r="H3980" s="15">
        <v>300</v>
      </c>
      <c r="I3980" s="16">
        <v>570</v>
      </c>
      <c r="J3980" s="16">
        <v>539</v>
      </c>
      <c r="K3980" s="16">
        <v>31</v>
      </c>
      <c r="L3980" s="13">
        <v>3.96</v>
      </c>
      <c r="M3980" s="13"/>
      <c r="N3980" s="17">
        <f t="shared" si="131"/>
        <v>1188</v>
      </c>
      <c r="O3980" s="17">
        <f t="shared" si="131"/>
        <v>0</v>
      </c>
      <c r="P3980" s="17">
        <f t="shared" si="132"/>
        <v>1188</v>
      </c>
      <c r="Q3980" t="str">
        <f>A3980&amp;"-"&amp;B3980&amp;"-"&amp;D3980</f>
        <v>SEPTEMBER-CVA-L1</v>
      </c>
    </row>
    <row r="3981" spans="1:17" x14ac:dyDescent="0.25">
      <c r="A3981" t="s">
        <v>399</v>
      </c>
      <c r="B3981" s="13" t="s">
        <v>23</v>
      </c>
      <c r="C3981" s="13" t="s">
        <v>60</v>
      </c>
      <c r="D3981" s="14" t="s">
        <v>44</v>
      </c>
      <c r="E3981" s="13" t="s">
        <v>63</v>
      </c>
      <c r="F3981" s="13" t="s">
        <v>1496</v>
      </c>
      <c r="G3981" s="13">
        <v>1.9</v>
      </c>
      <c r="H3981" s="15">
        <v>600</v>
      </c>
      <c r="I3981" s="16">
        <v>1140</v>
      </c>
      <c r="J3981" s="16">
        <v>900.4371584699453</v>
      </c>
      <c r="K3981" s="16">
        <v>239.5628415300547</v>
      </c>
      <c r="L3981" s="13">
        <v>3.96</v>
      </c>
      <c r="M3981" s="13"/>
      <c r="N3981" s="17">
        <f t="shared" si="131"/>
        <v>2376</v>
      </c>
      <c r="O3981" s="17">
        <f t="shared" si="131"/>
        <v>0</v>
      </c>
      <c r="P3981" s="17">
        <f t="shared" si="132"/>
        <v>2376</v>
      </c>
      <c r="Q3981" t="str">
        <f>A3981&amp;"-"&amp;B3981&amp;"-"&amp;D3981</f>
        <v>SEPTEMBER-CVA-L1</v>
      </c>
    </row>
    <row r="3982" spans="1:17" x14ac:dyDescent="0.25">
      <c r="A3982" t="s">
        <v>399</v>
      </c>
      <c r="B3982" s="13" t="s">
        <v>23</v>
      </c>
      <c r="C3982" s="13" t="s">
        <v>60</v>
      </c>
      <c r="D3982" s="14" t="s">
        <v>50</v>
      </c>
      <c r="E3982" s="13" t="s">
        <v>152</v>
      </c>
      <c r="F3982" s="13" t="s">
        <v>1493</v>
      </c>
      <c r="G3982" s="13">
        <v>1.9399999999999997</v>
      </c>
      <c r="H3982" s="15">
        <v>1483</v>
      </c>
      <c r="I3982" s="16">
        <v>2877.02</v>
      </c>
      <c r="J3982" s="16">
        <v>3027.6616664525245</v>
      </c>
      <c r="K3982" s="16">
        <v>-150.64166645252476</v>
      </c>
      <c r="L3982" s="13">
        <v>5.55</v>
      </c>
      <c r="M3982" s="13"/>
      <c r="N3982" s="17">
        <f t="shared" ref="N3982:O4043" si="133">$H3982*L3982</f>
        <v>8230.65</v>
      </c>
      <c r="O3982" s="17">
        <f t="shared" si="133"/>
        <v>0</v>
      </c>
      <c r="P3982" s="17">
        <f t="shared" si="132"/>
        <v>8230.65</v>
      </c>
      <c r="Q3982" t="str">
        <f>A3982&amp;"-"&amp;B3982&amp;"-"&amp;D3982</f>
        <v>SEPTEMBER-CVA-L2</v>
      </c>
    </row>
    <row r="3983" spans="1:17" x14ac:dyDescent="0.25">
      <c r="A3983" t="s">
        <v>399</v>
      </c>
      <c r="B3983" s="13" t="s">
        <v>23</v>
      </c>
      <c r="C3983" s="13" t="s">
        <v>60</v>
      </c>
      <c r="D3983" s="14" t="s">
        <v>50</v>
      </c>
      <c r="E3983" s="13" t="s">
        <v>58</v>
      </c>
      <c r="F3983" s="13" t="s">
        <v>1494</v>
      </c>
      <c r="G3983" s="13">
        <v>2.3300000000000005</v>
      </c>
      <c r="H3983" s="15">
        <v>1126</v>
      </c>
      <c r="I3983" s="16">
        <v>2623.58</v>
      </c>
      <c r="J3983" s="16">
        <v>3123.4677419354839</v>
      </c>
      <c r="K3983" s="16">
        <v>-499.88774193548386</v>
      </c>
      <c r="L3983" s="13">
        <v>5.33</v>
      </c>
      <c r="M3983" s="13"/>
      <c r="N3983" s="17">
        <f t="shared" si="133"/>
        <v>6001.58</v>
      </c>
      <c r="O3983" s="17">
        <f t="shared" si="133"/>
        <v>0</v>
      </c>
      <c r="P3983" s="17">
        <f t="shared" si="132"/>
        <v>6001.58</v>
      </c>
      <c r="Q3983" t="str">
        <f>A3983&amp;"-"&amp;B3983&amp;"-"&amp;D3983</f>
        <v>SEPTEMBER-CVA-L2</v>
      </c>
    </row>
    <row r="3984" spans="1:17" x14ac:dyDescent="0.25">
      <c r="A3984" t="s">
        <v>399</v>
      </c>
      <c r="B3984" s="13" t="s">
        <v>23</v>
      </c>
      <c r="C3984" s="13" t="s">
        <v>60</v>
      </c>
      <c r="D3984" s="14" t="s">
        <v>50</v>
      </c>
      <c r="E3984" s="13" t="s">
        <v>58</v>
      </c>
      <c r="F3984" s="13" t="s">
        <v>1297</v>
      </c>
      <c r="G3984" s="13">
        <v>5.8699999999999992</v>
      </c>
      <c r="H3984" s="15">
        <v>744</v>
      </c>
      <c r="I3984" s="16">
        <v>4367.28</v>
      </c>
      <c r="J3984" s="16">
        <v>3105.3883335474757</v>
      </c>
      <c r="K3984" s="16">
        <v>1261.8916664525245</v>
      </c>
      <c r="L3984" s="13">
        <v>15.27</v>
      </c>
      <c r="M3984" s="13"/>
      <c r="N3984" s="17">
        <f t="shared" si="133"/>
        <v>11360.88</v>
      </c>
      <c r="O3984" s="17">
        <f t="shared" si="133"/>
        <v>0</v>
      </c>
      <c r="P3984" s="17">
        <f t="shared" si="132"/>
        <v>11360.88</v>
      </c>
      <c r="Q3984" t="str">
        <f>A3984&amp;"-"&amp;B3984&amp;"-"&amp;D3984</f>
        <v>SEPTEMBER-CVA-L2</v>
      </c>
    </row>
    <row r="3985" spans="1:17" x14ac:dyDescent="0.25">
      <c r="A3985" t="s">
        <v>399</v>
      </c>
      <c r="B3985" s="13" t="s">
        <v>23</v>
      </c>
      <c r="C3985" s="13" t="s">
        <v>60</v>
      </c>
      <c r="D3985" s="14" t="s">
        <v>50</v>
      </c>
      <c r="E3985" s="13" t="s">
        <v>77</v>
      </c>
      <c r="F3985" s="13" t="s">
        <v>1299</v>
      </c>
      <c r="G3985" s="13">
        <v>4.5</v>
      </c>
      <c r="H3985" s="15">
        <v>7</v>
      </c>
      <c r="I3985" s="16">
        <v>31.5</v>
      </c>
      <c r="J3985" s="16">
        <v>26.950000000000003</v>
      </c>
      <c r="K3985" s="16">
        <v>4.5499999999999972</v>
      </c>
      <c r="L3985" s="13">
        <v>10.67</v>
      </c>
      <c r="M3985" s="13"/>
      <c r="N3985" s="17">
        <f t="shared" si="133"/>
        <v>74.69</v>
      </c>
      <c r="O3985" s="17">
        <f t="shared" si="133"/>
        <v>0</v>
      </c>
      <c r="P3985" s="17">
        <f t="shared" si="132"/>
        <v>74.69</v>
      </c>
      <c r="Q3985" t="str">
        <f>A3985&amp;"-"&amp;B3985&amp;"-"&amp;D3985</f>
        <v>SEPTEMBER-CVA-L2</v>
      </c>
    </row>
    <row r="3986" spans="1:17" x14ac:dyDescent="0.25">
      <c r="A3986" t="s">
        <v>399</v>
      </c>
      <c r="B3986" s="13" t="s">
        <v>23</v>
      </c>
      <c r="C3986" s="13" t="s">
        <v>60</v>
      </c>
      <c r="D3986" s="14" t="s">
        <v>50</v>
      </c>
      <c r="E3986" s="13" t="s">
        <v>63</v>
      </c>
      <c r="F3986" s="13" t="s">
        <v>1495</v>
      </c>
      <c r="G3986" s="13">
        <v>1.9</v>
      </c>
      <c r="H3986" s="15">
        <v>670</v>
      </c>
      <c r="I3986" s="16">
        <v>1273</v>
      </c>
      <c r="J3986" s="16">
        <v>1400.2849326210326</v>
      </c>
      <c r="K3986" s="16">
        <v>-127.28493262103257</v>
      </c>
      <c r="L3986" s="13">
        <v>3.96</v>
      </c>
      <c r="M3986" s="13"/>
      <c r="N3986" s="17">
        <f t="shared" si="133"/>
        <v>2653.2</v>
      </c>
      <c r="O3986" s="17">
        <f t="shared" si="133"/>
        <v>0</v>
      </c>
      <c r="P3986" s="17">
        <f t="shared" si="132"/>
        <v>2653.2</v>
      </c>
      <c r="Q3986" t="str">
        <f>A3986&amp;"-"&amp;B3986&amp;"-"&amp;D3986</f>
        <v>SEPTEMBER-CVA-L2</v>
      </c>
    </row>
    <row r="3987" spans="1:17" x14ac:dyDescent="0.25">
      <c r="A3987" t="s">
        <v>399</v>
      </c>
      <c r="B3987" s="13" t="s">
        <v>23</v>
      </c>
      <c r="C3987" s="13" t="s">
        <v>185</v>
      </c>
      <c r="D3987" s="14" t="s">
        <v>44</v>
      </c>
      <c r="E3987" s="13" t="s">
        <v>191</v>
      </c>
      <c r="F3987" s="13" t="s">
        <v>1497</v>
      </c>
      <c r="G3987" s="13">
        <v>1.4</v>
      </c>
      <c r="H3987" s="15">
        <v>1375</v>
      </c>
      <c r="I3987" s="16">
        <v>1925</v>
      </c>
      <c r="J3987" s="16">
        <v>539</v>
      </c>
      <c r="K3987" s="16">
        <v>1386</v>
      </c>
      <c r="L3987" s="13">
        <v>3.03</v>
      </c>
      <c r="M3987" s="13"/>
      <c r="N3987" s="17">
        <f t="shared" si="133"/>
        <v>4166.25</v>
      </c>
      <c r="O3987" s="17">
        <f t="shared" si="133"/>
        <v>0</v>
      </c>
      <c r="P3987" s="17">
        <f t="shared" si="132"/>
        <v>4166.25</v>
      </c>
      <c r="Q3987" t="str">
        <f>A3987&amp;"-"&amp;B3987&amp;"-"&amp;D3987</f>
        <v>SEPTEMBER-CVA-L1</v>
      </c>
    </row>
    <row r="3988" spans="1:17" x14ac:dyDescent="0.25">
      <c r="A3988" t="s">
        <v>399</v>
      </c>
      <c r="B3988" s="13" t="s">
        <v>23</v>
      </c>
      <c r="C3988" s="13" t="s">
        <v>185</v>
      </c>
      <c r="D3988" s="14" t="s">
        <v>44</v>
      </c>
      <c r="E3988" s="13" t="s">
        <v>1498</v>
      </c>
      <c r="F3988" s="13" t="s">
        <v>1499</v>
      </c>
      <c r="G3988" s="13">
        <v>1.64</v>
      </c>
      <c r="H3988" s="15">
        <v>465</v>
      </c>
      <c r="I3988" s="16">
        <v>762.6</v>
      </c>
      <c r="J3988" s="16">
        <v>532.13375796178343</v>
      </c>
      <c r="K3988" s="16">
        <v>230.46624203821659</v>
      </c>
      <c r="L3988" s="13">
        <v>3.29</v>
      </c>
      <c r="M3988" s="13"/>
      <c r="N3988" s="17">
        <f t="shared" si="133"/>
        <v>1529.85</v>
      </c>
      <c r="O3988" s="17">
        <f t="shared" si="133"/>
        <v>0</v>
      </c>
      <c r="P3988" s="17">
        <f t="shared" si="132"/>
        <v>1529.85</v>
      </c>
      <c r="Q3988" t="str">
        <f>A3988&amp;"-"&amp;B3988&amp;"-"&amp;D3988</f>
        <v>SEPTEMBER-CVA-L1</v>
      </c>
    </row>
    <row r="3989" spans="1:17" x14ac:dyDescent="0.25">
      <c r="A3989" t="s">
        <v>399</v>
      </c>
      <c r="B3989" s="13" t="s">
        <v>23</v>
      </c>
      <c r="C3989" s="13" t="s">
        <v>185</v>
      </c>
      <c r="D3989" s="14" t="s">
        <v>44</v>
      </c>
      <c r="E3989" s="13" t="s">
        <v>941</v>
      </c>
      <c r="F3989" s="13" t="s">
        <v>1500</v>
      </c>
      <c r="G3989" s="13">
        <v>1.64</v>
      </c>
      <c r="H3989" s="15">
        <v>490</v>
      </c>
      <c r="I3989" s="16">
        <v>803.6</v>
      </c>
      <c r="J3989" s="16">
        <v>539</v>
      </c>
      <c r="K3989" s="16">
        <v>264.60000000000002</v>
      </c>
      <c r="L3989" s="13">
        <v>3.29</v>
      </c>
      <c r="M3989" s="13"/>
      <c r="N3989" s="17">
        <f t="shared" si="133"/>
        <v>1612.1</v>
      </c>
      <c r="O3989" s="17">
        <f t="shared" si="133"/>
        <v>0</v>
      </c>
      <c r="P3989" s="17">
        <f t="shared" si="132"/>
        <v>1612.1</v>
      </c>
      <c r="Q3989" t="str">
        <f>A3989&amp;"-"&amp;B3989&amp;"-"&amp;D3989</f>
        <v>SEPTEMBER-CVA-L1</v>
      </c>
    </row>
    <row r="3990" spans="1:17" x14ac:dyDescent="0.25">
      <c r="A3990" t="s">
        <v>399</v>
      </c>
      <c r="B3990" s="13" t="s">
        <v>23</v>
      </c>
      <c r="C3990" s="13" t="s">
        <v>185</v>
      </c>
      <c r="D3990" s="14" t="s">
        <v>50</v>
      </c>
      <c r="E3990" s="13" t="s">
        <v>191</v>
      </c>
      <c r="F3990" s="13" t="s">
        <v>1497</v>
      </c>
      <c r="G3990" s="13">
        <v>1.4</v>
      </c>
      <c r="H3990" s="15">
        <v>821</v>
      </c>
      <c r="I3990" s="16">
        <v>1149.4000000000001</v>
      </c>
      <c r="J3990" s="16">
        <v>442.96528458140011</v>
      </c>
      <c r="K3990" s="16">
        <v>706.43471541860004</v>
      </c>
      <c r="L3990" s="13">
        <v>3.03</v>
      </c>
      <c r="M3990" s="13"/>
      <c r="N3990" s="17">
        <f t="shared" si="133"/>
        <v>2487.6299999999997</v>
      </c>
      <c r="O3990" s="17">
        <f t="shared" si="133"/>
        <v>0</v>
      </c>
      <c r="P3990" s="17">
        <f t="shared" si="132"/>
        <v>2487.6299999999997</v>
      </c>
      <c r="Q3990" t="str">
        <f>A3990&amp;"-"&amp;B3990&amp;"-"&amp;D3990</f>
        <v>SEPTEMBER-CVA-L2</v>
      </c>
    </row>
    <row r="3991" spans="1:17" x14ac:dyDescent="0.25">
      <c r="A3991" t="s">
        <v>399</v>
      </c>
      <c r="B3991" s="13" t="s">
        <v>23</v>
      </c>
      <c r="C3991" s="13" t="s">
        <v>185</v>
      </c>
      <c r="D3991" s="14" t="s">
        <v>50</v>
      </c>
      <c r="E3991" s="13" t="s">
        <v>1498</v>
      </c>
      <c r="F3991" s="13" t="s">
        <v>1499</v>
      </c>
      <c r="G3991" s="13">
        <v>1.64</v>
      </c>
      <c r="H3991" s="15">
        <v>339</v>
      </c>
      <c r="I3991" s="16">
        <v>555.96</v>
      </c>
      <c r="J3991" s="16">
        <v>158.74978279756732</v>
      </c>
      <c r="K3991" s="16">
        <v>397.21021720243272</v>
      </c>
      <c r="L3991" s="13">
        <v>3.29</v>
      </c>
      <c r="M3991" s="13"/>
      <c r="N3991" s="17">
        <f t="shared" si="133"/>
        <v>1115.31</v>
      </c>
      <c r="O3991" s="17">
        <f t="shared" si="133"/>
        <v>0</v>
      </c>
      <c r="P3991" s="17">
        <f t="shared" si="132"/>
        <v>1115.31</v>
      </c>
      <c r="Q3991" t="str">
        <f>A3991&amp;"-"&amp;B3991&amp;"-"&amp;D3991</f>
        <v>SEPTEMBER-CVA-L2</v>
      </c>
    </row>
    <row r="3992" spans="1:17" x14ac:dyDescent="0.25">
      <c r="A3992" t="s">
        <v>399</v>
      </c>
      <c r="B3992" s="13" t="s">
        <v>23</v>
      </c>
      <c r="C3992" s="13" t="s">
        <v>185</v>
      </c>
      <c r="D3992" s="14" t="s">
        <v>50</v>
      </c>
      <c r="E3992" s="13" t="s">
        <v>941</v>
      </c>
      <c r="F3992" s="13" t="s">
        <v>1500</v>
      </c>
      <c r="G3992" s="13">
        <v>1.64</v>
      </c>
      <c r="H3992" s="15">
        <v>412</v>
      </c>
      <c r="I3992" s="16">
        <v>675.68000000000006</v>
      </c>
      <c r="J3992" s="16">
        <v>1034.5322580645161</v>
      </c>
      <c r="K3992" s="16">
        <v>-358.85225806451604</v>
      </c>
      <c r="L3992" s="13">
        <v>3.29</v>
      </c>
      <c r="M3992" s="13"/>
      <c r="N3992" s="17">
        <f t="shared" si="133"/>
        <v>1355.48</v>
      </c>
      <c r="O3992" s="17">
        <f t="shared" si="133"/>
        <v>0</v>
      </c>
      <c r="P3992" s="17">
        <f t="shared" si="132"/>
        <v>1355.48</v>
      </c>
      <c r="Q3992" t="str">
        <f>A3992&amp;"-"&amp;B3992&amp;"-"&amp;D3992</f>
        <v>SEPTEMBER-CVA-L2</v>
      </c>
    </row>
    <row r="3993" spans="1:17" x14ac:dyDescent="0.25">
      <c r="A3993" t="s">
        <v>399</v>
      </c>
      <c r="B3993" s="13" t="s">
        <v>23</v>
      </c>
      <c r="C3993" s="13" t="s">
        <v>185</v>
      </c>
      <c r="D3993" s="14" t="s">
        <v>56</v>
      </c>
      <c r="E3993" s="13" t="s">
        <v>1498</v>
      </c>
      <c r="F3993" s="13" t="s">
        <v>1499</v>
      </c>
      <c r="G3993" s="13">
        <v>1.64</v>
      </c>
      <c r="H3993" s="15">
        <v>315</v>
      </c>
      <c r="I3993" s="16">
        <v>516.6</v>
      </c>
      <c r="J3993" s="16">
        <v>385</v>
      </c>
      <c r="K3993" s="16">
        <v>131.60000000000002</v>
      </c>
      <c r="L3993" s="13">
        <v>3.29</v>
      </c>
      <c r="M3993" s="13"/>
      <c r="N3993" s="17">
        <f t="shared" si="133"/>
        <v>1036.3499999999999</v>
      </c>
      <c r="O3993" s="17">
        <f t="shared" si="133"/>
        <v>0</v>
      </c>
      <c r="P3993" s="17">
        <f t="shared" si="132"/>
        <v>1036.3499999999999</v>
      </c>
      <c r="Q3993" t="str">
        <f>A3993&amp;"-"&amp;B3993&amp;"-"&amp;D3993</f>
        <v>SEPTEMBER-CVA-L3</v>
      </c>
    </row>
    <row r="3994" spans="1:17" x14ac:dyDescent="0.25">
      <c r="A3994" t="s">
        <v>399</v>
      </c>
      <c r="B3994" s="13" t="s">
        <v>23</v>
      </c>
      <c r="C3994" s="13" t="s">
        <v>185</v>
      </c>
      <c r="D3994" s="14" t="s">
        <v>56</v>
      </c>
      <c r="E3994" s="13" t="s">
        <v>382</v>
      </c>
      <c r="F3994" s="13" t="s">
        <v>1501</v>
      </c>
      <c r="G3994" s="13">
        <v>1.64</v>
      </c>
      <c r="H3994" s="15">
        <v>1032</v>
      </c>
      <c r="I3994" s="16">
        <v>1692.48</v>
      </c>
      <c r="J3994" s="16">
        <v>601.40061162079508</v>
      </c>
      <c r="K3994" s="16">
        <v>1091.0793883792048</v>
      </c>
      <c r="L3994" s="13">
        <v>3.42</v>
      </c>
      <c r="M3994" s="13"/>
      <c r="N3994" s="17">
        <f t="shared" si="133"/>
        <v>3529.44</v>
      </c>
      <c r="O3994" s="17">
        <f t="shared" si="133"/>
        <v>0</v>
      </c>
      <c r="P3994" s="17">
        <f t="shared" si="132"/>
        <v>3529.44</v>
      </c>
      <c r="Q3994" t="str">
        <f>A3994&amp;"-"&amp;B3994&amp;"-"&amp;D3994</f>
        <v>SEPTEMBER-CVA-L3</v>
      </c>
    </row>
    <row r="3995" spans="1:17" x14ac:dyDescent="0.25">
      <c r="A3995" t="s">
        <v>399</v>
      </c>
      <c r="B3995" s="13" t="s">
        <v>23</v>
      </c>
      <c r="C3995" s="13" t="s">
        <v>185</v>
      </c>
      <c r="D3995" s="14" t="s">
        <v>56</v>
      </c>
      <c r="E3995" s="13" t="s">
        <v>382</v>
      </c>
      <c r="F3995" s="13" t="s">
        <v>1502</v>
      </c>
      <c r="G3995" s="13">
        <v>1.73</v>
      </c>
      <c r="H3995" s="15">
        <v>290</v>
      </c>
      <c r="I3995" s="16">
        <v>501.7</v>
      </c>
      <c r="J3995" s="16">
        <v>400.79487179487182</v>
      </c>
      <c r="K3995" s="16">
        <v>100.90512820512816</v>
      </c>
      <c r="L3995" s="13">
        <v>3.45</v>
      </c>
      <c r="M3995" s="13"/>
      <c r="N3995" s="17">
        <f t="shared" si="133"/>
        <v>1000.5</v>
      </c>
      <c r="O3995" s="17">
        <f t="shared" si="133"/>
        <v>0</v>
      </c>
      <c r="P3995" s="17">
        <f t="shared" si="132"/>
        <v>1000.5</v>
      </c>
      <c r="Q3995" t="str">
        <f>A3995&amp;"-"&amp;B3995&amp;"-"&amp;D3995</f>
        <v>SEPTEMBER-CVA-L3</v>
      </c>
    </row>
    <row r="3996" spans="1:17" x14ac:dyDescent="0.25">
      <c r="A3996" t="s">
        <v>399</v>
      </c>
      <c r="B3996" s="13" t="s">
        <v>23</v>
      </c>
      <c r="C3996" s="13" t="s">
        <v>185</v>
      </c>
      <c r="D3996" s="14" t="s">
        <v>56</v>
      </c>
      <c r="E3996" s="13" t="s">
        <v>382</v>
      </c>
      <c r="F3996" s="13" t="s">
        <v>1503</v>
      </c>
      <c r="G3996" s="13">
        <v>1.65</v>
      </c>
      <c r="H3996" s="15">
        <v>1370</v>
      </c>
      <c r="I3996" s="16">
        <v>2260.5</v>
      </c>
      <c r="J3996" s="16">
        <v>1078</v>
      </c>
      <c r="K3996" s="16">
        <v>1182.5</v>
      </c>
      <c r="L3996" s="13">
        <v>3.42</v>
      </c>
      <c r="M3996" s="13"/>
      <c r="N3996" s="17">
        <f t="shared" si="133"/>
        <v>4685.3999999999996</v>
      </c>
      <c r="O3996" s="17">
        <f t="shared" si="133"/>
        <v>0</v>
      </c>
      <c r="P3996" s="17">
        <f t="shared" si="132"/>
        <v>4685.3999999999996</v>
      </c>
      <c r="Q3996" t="str">
        <f>A3996&amp;"-"&amp;B3996&amp;"-"&amp;D3996</f>
        <v>SEPTEMBER-CVA-L3</v>
      </c>
    </row>
    <row r="3997" spans="1:17" x14ac:dyDescent="0.25">
      <c r="A3997" t="s">
        <v>399</v>
      </c>
      <c r="B3997" s="13" t="s">
        <v>23</v>
      </c>
      <c r="C3997" s="13" t="s">
        <v>185</v>
      </c>
      <c r="D3997" s="14" t="s">
        <v>56</v>
      </c>
      <c r="E3997" s="13" t="s">
        <v>382</v>
      </c>
      <c r="F3997" s="13" t="s">
        <v>1504</v>
      </c>
      <c r="G3997" s="13">
        <v>1.67</v>
      </c>
      <c r="H3997" s="15">
        <v>485</v>
      </c>
      <c r="I3997" s="16">
        <v>809.95</v>
      </c>
      <c r="J3997" s="16">
        <v>376.67867435158502</v>
      </c>
      <c r="K3997" s="16">
        <v>433.27132564841503</v>
      </c>
      <c r="L3997" s="13">
        <v>3.29</v>
      </c>
      <c r="M3997" s="13"/>
      <c r="N3997" s="17">
        <f t="shared" si="133"/>
        <v>1595.65</v>
      </c>
      <c r="O3997" s="17">
        <f t="shared" si="133"/>
        <v>0</v>
      </c>
      <c r="P3997" s="17">
        <f t="shared" si="132"/>
        <v>1595.65</v>
      </c>
      <c r="Q3997" t="str">
        <f>A3997&amp;"-"&amp;B3997&amp;"-"&amp;D3997</f>
        <v>SEPTEMBER-CVA-L3</v>
      </c>
    </row>
    <row r="3998" spans="1:17" x14ac:dyDescent="0.25">
      <c r="A3998" t="s">
        <v>399</v>
      </c>
      <c r="B3998" s="13" t="s">
        <v>23</v>
      </c>
      <c r="C3998" s="13" t="s">
        <v>185</v>
      </c>
      <c r="D3998" s="14" t="s">
        <v>56</v>
      </c>
      <c r="E3998" s="13" t="s">
        <v>382</v>
      </c>
      <c r="F3998" s="13" t="s">
        <v>1505</v>
      </c>
      <c r="G3998" s="13">
        <v>1.6900000000000002</v>
      </c>
      <c r="H3998" s="15">
        <v>975</v>
      </c>
      <c r="I3998" s="16">
        <v>1647.75</v>
      </c>
      <c r="J3998" s="16">
        <v>494.51637089503777</v>
      </c>
      <c r="K3998" s="16">
        <v>1153.2336291049621</v>
      </c>
      <c r="L3998" s="13">
        <v>3.18</v>
      </c>
      <c r="M3998" s="13"/>
      <c r="N3998" s="17">
        <f t="shared" si="133"/>
        <v>3100.5</v>
      </c>
      <c r="O3998" s="17">
        <f t="shared" si="133"/>
        <v>0</v>
      </c>
      <c r="P3998" s="17">
        <f t="shared" si="132"/>
        <v>3100.5</v>
      </c>
      <c r="Q3998" t="str">
        <f>A3998&amp;"-"&amp;B3998&amp;"-"&amp;D3998</f>
        <v>SEPTEMBER-CVA-L3</v>
      </c>
    </row>
    <row r="3999" spans="1:17" x14ac:dyDescent="0.25">
      <c r="A3999" t="s">
        <v>399</v>
      </c>
      <c r="B3999" s="13" t="s">
        <v>23</v>
      </c>
      <c r="C3999" s="13" t="s">
        <v>185</v>
      </c>
      <c r="D3999" s="14" t="s">
        <v>56</v>
      </c>
      <c r="E3999" s="13" t="s">
        <v>382</v>
      </c>
      <c r="F3999" s="13" t="s">
        <v>1506</v>
      </c>
      <c r="G3999" s="13">
        <v>1.84</v>
      </c>
      <c r="H3999" s="15">
        <v>566</v>
      </c>
      <c r="I3999" s="16">
        <v>1041.44</v>
      </c>
      <c r="J3999" s="16">
        <v>430.28772919605075</v>
      </c>
      <c r="K3999" s="16">
        <v>611.15227080394925</v>
      </c>
      <c r="L3999" s="13">
        <v>3.45</v>
      </c>
      <c r="M3999" s="13"/>
      <c r="N3999" s="17">
        <f t="shared" si="133"/>
        <v>1952.7</v>
      </c>
      <c r="O3999" s="17">
        <f t="shared" si="133"/>
        <v>0</v>
      </c>
      <c r="P3999" s="17">
        <f t="shared" si="132"/>
        <v>1952.7</v>
      </c>
      <c r="Q3999" t="str">
        <f>A3999&amp;"-"&amp;B3999&amp;"-"&amp;D3999</f>
        <v>SEPTEMBER-CVA-L3</v>
      </c>
    </row>
    <row r="4000" spans="1:17" x14ac:dyDescent="0.25">
      <c r="A4000" t="s">
        <v>399</v>
      </c>
      <c r="B4000" s="13" t="s">
        <v>23</v>
      </c>
      <c r="C4000" s="13" t="s">
        <v>185</v>
      </c>
      <c r="D4000" s="14" t="s">
        <v>56</v>
      </c>
      <c r="E4000" s="13" t="s">
        <v>941</v>
      </c>
      <c r="F4000" s="13" t="s">
        <v>1306</v>
      </c>
      <c r="G4000" s="13">
        <v>1.61</v>
      </c>
      <c r="H4000" s="15">
        <v>907</v>
      </c>
      <c r="I4000" s="16">
        <v>1460.2700000000002</v>
      </c>
      <c r="J4000" s="16">
        <v>449.22741573317251</v>
      </c>
      <c r="K4000" s="16">
        <v>1011.0425842668275</v>
      </c>
      <c r="L4000" s="13">
        <v>3.46</v>
      </c>
      <c r="M4000" s="13"/>
      <c r="N4000" s="17">
        <f t="shared" si="133"/>
        <v>3138.22</v>
      </c>
      <c r="O4000" s="17">
        <f t="shared" si="133"/>
        <v>0</v>
      </c>
      <c r="P4000" s="17">
        <f t="shared" si="132"/>
        <v>3138.22</v>
      </c>
      <c r="Q4000" t="str">
        <f>A4000&amp;"-"&amp;B4000&amp;"-"&amp;D4000</f>
        <v>SEPTEMBER-CVA-L3</v>
      </c>
    </row>
    <row r="4001" spans="1:17" x14ac:dyDescent="0.25">
      <c r="A4001" t="s">
        <v>399</v>
      </c>
      <c r="B4001" s="13" t="s">
        <v>23</v>
      </c>
      <c r="C4001" s="13" t="s">
        <v>185</v>
      </c>
      <c r="D4001" s="14" t="s">
        <v>56</v>
      </c>
      <c r="E4001" s="13" t="s">
        <v>142</v>
      </c>
      <c r="F4001" s="13" t="s">
        <v>1507</v>
      </c>
      <c r="G4001" s="13">
        <v>1.49</v>
      </c>
      <c r="H4001" s="15">
        <v>166</v>
      </c>
      <c r="I4001" s="16">
        <v>247.34</v>
      </c>
      <c r="J4001" s="16">
        <v>48.86085626911315</v>
      </c>
      <c r="K4001" s="16">
        <v>198.47914373088685</v>
      </c>
      <c r="L4001" s="13">
        <v>3.13</v>
      </c>
      <c r="M4001" s="13"/>
      <c r="N4001" s="17">
        <f t="shared" si="133"/>
        <v>519.57999999999993</v>
      </c>
      <c r="O4001" s="17">
        <f t="shared" si="133"/>
        <v>0</v>
      </c>
      <c r="P4001" s="17">
        <f t="shared" si="132"/>
        <v>519.57999999999993</v>
      </c>
      <c r="Q4001" t="str">
        <f>A4001&amp;"-"&amp;B4001&amp;"-"&amp;D4001</f>
        <v>SEPTEMBER-CVA-L3</v>
      </c>
    </row>
    <row r="4002" spans="1:17" x14ac:dyDescent="0.25">
      <c r="A4002" t="s">
        <v>399</v>
      </c>
      <c r="B4002" s="13" t="s">
        <v>23</v>
      </c>
      <c r="C4002" s="13" t="s">
        <v>185</v>
      </c>
      <c r="D4002" s="14" t="s">
        <v>56</v>
      </c>
      <c r="E4002" s="13" t="s">
        <v>142</v>
      </c>
      <c r="F4002" s="13" t="s">
        <v>1307</v>
      </c>
      <c r="G4002" s="13">
        <v>1.41</v>
      </c>
      <c r="H4002" s="15">
        <v>194</v>
      </c>
      <c r="I4002" s="16">
        <v>273.53999999999996</v>
      </c>
      <c r="J4002" s="16">
        <v>123.72373869385748</v>
      </c>
      <c r="K4002" s="16">
        <v>149.81626130614251</v>
      </c>
      <c r="L4002" s="13">
        <v>3.06</v>
      </c>
      <c r="M4002" s="13"/>
      <c r="N4002" s="17">
        <f t="shared" si="133"/>
        <v>593.64</v>
      </c>
      <c r="O4002" s="17">
        <f t="shared" si="133"/>
        <v>0</v>
      </c>
      <c r="P4002" s="17">
        <f t="shared" si="132"/>
        <v>593.64</v>
      </c>
      <c r="Q4002" t="str">
        <f>A4002&amp;"-"&amp;B4002&amp;"-"&amp;D4002</f>
        <v>SEPTEMBER-CVA-L3</v>
      </c>
    </row>
    <row r="4003" spans="1:17" x14ac:dyDescent="0.25">
      <c r="A4003" t="s">
        <v>399</v>
      </c>
      <c r="B4003" s="13" t="s">
        <v>23</v>
      </c>
      <c r="C4003" s="13" t="s">
        <v>185</v>
      </c>
      <c r="D4003" s="14" t="s">
        <v>56</v>
      </c>
      <c r="E4003" s="13" t="s">
        <v>142</v>
      </c>
      <c r="F4003" s="13" t="s">
        <v>1508</v>
      </c>
      <c r="G4003" s="13">
        <v>1.75</v>
      </c>
      <c r="H4003" s="15">
        <v>1041</v>
      </c>
      <c r="I4003" s="16">
        <v>1821.75</v>
      </c>
      <c r="J4003" s="16">
        <v>2148.1884057971015</v>
      </c>
      <c r="K4003" s="16">
        <v>-326.4384057971015</v>
      </c>
      <c r="L4003" s="13">
        <v>3.68</v>
      </c>
      <c r="M4003" s="13"/>
      <c r="N4003" s="17">
        <f t="shared" si="133"/>
        <v>3830.88</v>
      </c>
      <c r="O4003" s="17">
        <f t="shared" si="133"/>
        <v>0</v>
      </c>
      <c r="P4003" s="17">
        <f t="shared" si="132"/>
        <v>3830.88</v>
      </c>
      <c r="Q4003" t="str">
        <f>A4003&amp;"-"&amp;B4003&amp;"-"&amp;D4003</f>
        <v>SEPTEMBER-CVA-L3</v>
      </c>
    </row>
    <row r="4004" spans="1:17" x14ac:dyDescent="0.25">
      <c r="A4004" t="s">
        <v>399</v>
      </c>
      <c r="B4004" s="13" t="s">
        <v>23</v>
      </c>
      <c r="C4004" s="13" t="s">
        <v>185</v>
      </c>
      <c r="D4004" s="14" t="s">
        <v>56</v>
      </c>
      <c r="E4004" s="13" t="s">
        <v>142</v>
      </c>
      <c r="F4004" s="13" t="s">
        <v>1509</v>
      </c>
      <c r="G4004" s="13">
        <v>1.63</v>
      </c>
      <c r="H4004" s="15">
        <v>1118</v>
      </c>
      <c r="I4004" s="16">
        <v>1822.3400000000001</v>
      </c>
      <c r="J4004" s="16">
        <v>1240.321325648415</v>
      </c>
      <c r="K4004" s="16">
        <v>582.0186743515851</v>
      </c>
      <c r="L4004" s="13">
        <v>3.25</v>
      </c>
      <c r="M4004" s="13"/>
      <c r="N4004" s="17">
        <f t="shared" si="133"/>
        <v>3633.5</v>
      </c>
      <c r="O4004" s="17">
        <f t="shared" si="133"/>
        <v>0</v>
      </c>
      <c r="P4004" s="17">
        <f t="shared" si="132"/>
        <v>3633.5</v>
      </c>
      <c r="Q4004" t="str">
        <f>A4004&amp;"-"&amp;B4004&amp;"-"&amp;D4004</f>
        <v>SEPTEMBER-CVA-L3</v>
      </c>
    </row>
    <row r="4005" spans="1:17" x14ac:dyDescent="0.25">
      <c r="A4005" t="s">
        <v>399</v>
      </c>
      <c r="B4005" s="13" t="s">
        <v>23</v>
      </c>
      <c r="C4005" s="13" t="s">
        <v>185</v>
      </c>
      <c r="D4005" s="14" t="s">
        <v>158</v>
      </c>
      <c r="E4005" s="13" t="s">
        <v>1498</v>
      </c>
      <c r="F4005" s="13" t="s">
        <v>1499</v>
      </c>
      <c r="G4005" s="13">
        <v>1.64</v>
      </c>
      <c r="H4005" s="15">
        <v>493</v>
      </c>
      <c r="I4005" s="16">
        <v>808.52</v>
      </c>
      <c r="J4005" s="16">
        <v>924</v>
      </c>
      <c r="K4005" s="16">
        <v>-115.48000000000002</v>
      </c>
      <c r="L4005" s="13">
        <v>3.29</v>
      </c>
      <c r="M4005" s="13"/>
      <c r="N4005" s="17">
        <f t="shared" si="133"/>
        <v>1621.97</v>
      </c>
      <c r="O4005" s="17">
        <f t="shared" si="133"/>
        <v>0</v>
      </c>
      <c r="P4005" s="17">
        <f t="shared" si="132"/>
        <v>1621.97</v>
      </c>
      <c r="Q4005" t="str">
        <f>A4005&amp;"-"&amp;B4005&amp;"-"&amp;D4005</f>
        <v>SEPTEMBER-CVA-L4</v>
      </c>
    </row>
    <row r="4006" spans="1:17" x14ac:dyDescent="0.25">
      <c r="A4006" t="s">
        <v>399</v>
      </c>
      <c r="B4006" s="13" t="s">
        <v>23</v>
      </c>
      <c r="C4006" s="13" t="s">
        <v>185</v>
      </c>
      <c r="D4006" s="14" t="s">
        <v>158</v>
      </c>
      <c r="E4006" s="13" t="s">
        <v>382</v>
      </c>
      <c r="F4006" s="13" t="s">
        <v>1501</v>
      </c>
      <c r="G4006" s="13">
        <v>1.64</v>
      </c>
      <c r="H4006" s="15">
        <v>725</v>
      </c>
      <c r="I4006" s="16">
        <v>1189</v>
      </c>
      <c r="J4006" s="16">
        <v>294.12812252169675</v>
      </c>
      <c r="K4006" s="16">
        <v>894.87187747830319</v>
      </c>
      <c r="L4006" s="13">
        <v>3.42</v>
      </c>
      <c r="M4006" s="13"/>
      <c r="N4006" s="17">
        <f t="shared" si="133"/>
        <v>2479.5</v>
      </c>
      <c r="O4006" s="17">
        <f t="shared" si="133"/>
        <v>0</v>
      </c>
      <c r="P4006" s="17">
        <f t="shared" si="132"/>
        <v>2479.5</v>
      </c>
      <c r="Q4006" t="str">
        <f>A4006&amp;"-"&amp;B4006&amp;"-"&amp;D4006</f>
        <v>SEPTEMBER-CVA-L4</v>
      </c>
    </row>
    <row r="4007" spans="1:17" x14ac:dyDescent="0.25">
      <c r="A4007" t="s">
        <v>399</v>
      </c>
      <c r="B4007" s="13" t="s">
        <v>23</v>
      </c>
      <c r="C4007" s="13" t="s">
        <v>185</v>
      </c>
      <c r="D4007" s="14" t="s">
        <v>158</v>
      </c>
      <c r="E4007" s="13" t="s">
        <v>382</v>
      </c>
      <c r="F4007" s="13" t="s">
        <v>1502</v>
      </c>
      <c r="G4007" s="13">
        <v>1.73</v>
      </c>
      <c r="H4007" s="15">
        <v>60</v>
      </c>
      <c r="I4007" s="16">
        <v>103.8</v>
      </c>
      <c r="J4007" s="16">
        <v>78.305084745762713</v>
      </c>
      <c r="K4007" s="16">
        <v>25.494915254237284</v>
      </c>
      <c r="L4007" s="13">
        <v>3.45</v>
      </c>
      <c r="M4007" s="13"/>
      <c r="N4007" s="17">
        <f t="shared" si="133"/>
        <v>207</v>
      </c>
      <c r="O4007" s="17">
        <f t="shared" si="133"/>
        <v>0</v>
      </c>
      <c r="P4007" s="17">
        <f t="shared" si="132"/>
        <v>207</v>
      </c>
      <c r="Q4007" t="str">
        <f>A4007&amp;"-"&amp;B4007&amp;"-"&amp;D4007</f>
        <v>SEPTEMBER-CVA-L4</v>
      </c>
    </row>
    <row r="4008" spans="1:17" x14ac:dyDescent="0.25">
      <c r="A4008" t="s">
        <v>399</v>
      </c>
      <c r="B4008" s="13" t="s">
        <v>23</v>
      </c>
      <c r="C4008" s="13" t="s">
        <v>185</v>
      </c>
      <c r="D4008" s="14" t="s">
        <v>158</v>
      </c>
      <c r="E4008" s="13" t="s">
        <v>382</v>
      </c>
      <c r="F4008" s="13" t="s">
        <v>1503</v>
      </c>
      <c r="G4008" s="13">
        <v>1.6499999999999997</v>
      </c>
      <c r="H4008" s="15">
        <v>867</v>
      </c>
      <c r="I4008" s="16">
        <v>1430.55</v>
      </c>
      <c r="J4008" s="16">
        <v>910.32819480807052</v>
      </c>
      <c r="K4008" s="16">
        <v>520.22180519192943</v>
      </c>
      <c r="L4008" s="13">
        <v>3.42</v>
      </c>
      <c r="M4008" s="13"/>
      <c r="N4008" s="17">
        <f t="shared" si="133"/>
        <v>2965.14</v>
      </c>
      <c r="O4008" s="17">
        <f t="shared" si="133"/>
        <v>0</v>
      </c>
      <c r="P4008" s="17">
        <f t="shared" si="132"/>
        <v>2965.14</v>
      </c>
      <c r="Q4008" t="str">
        <f>A4008&amp;"-"&amp;B4008&amp;"-"&amp;D4008</f>
        <v>SEPTEMBER-CVA-L4</v>
      </c>
    </row>
    <row r="4009" spans="1:17" x14ac:dyDescent="0.25">
      <c r="A4009" t="s">
        <v>399</v>
      </c>
      <c r="B4009" s="13" t="s">
        <v>23</v>
      </c>
      <c r="C4009" s="13" t="s">
        <v>185</v>
      </c>
      <c r="D4009" s="14" t="s">
        <v>158</v>
      </c>
      <c r="E4009" s="13" t="s">
        <v>382</v>
      </c>
      <c r="F4009" s="13" t="s">
        <v>1504</v>
      </c>
      <c r="G4009" s="13">
        <v>1.67</v>
      </c>
      <c r="H4009" s="15">
        <v>353</v>
      </c>
      <c r="I4009" s="16">
        <v>589.51</v>
      </c>
      <c r="J4009" s="16">
        <v>460.69491525423729</v>
      </c>
      <c r="K4009" s="16">
        <v>128.8150847457627</v>
      </c>
      <c r="L4009" s="13">
        <v>3.29</v>
      </c>
      <c r="M4009" s="13"/>
      <c r="N4009" s="17">
        <f t="shared" si="133"/>
        <v>1161.3700000000001</v>
      </c>
      <c r="O4009" s="17">
        <f t="shared" si="133"/>
        <v>0</v>
      </c>
      <c r="P4009" s="17">
        <f t="shared" si="132"/>
        <v>1161.3700000000001</v>
      </c>
      <c r="Q4009" t="str">
        <f>A4009&amp;"-"&amp;B4009&amp;"-"&amp;D4009</f>
        <v>SEPTEMBER-CVA-L4</v>
      </c>
    </row>
    <row r="4010" spans="1:17" x14ac:dyDescent="0.25">
      <c r="A4010" t="s">
        <v>399</v>
      </c>
      <c r="B4010" s="13" t="s">
        <v>23</v>
      </c>
      <c r="C4010" s="13" t="s">
        <v>185</v>
      </c>
      <c r="D4010" s="14" t="s">
        <v>158</v>
      </c>
      <c r="E4010" s="13" t="s">
        <v>382</v>
      </c>
      <c r="F4010" s="13" t="s">
        <v>1505</v>
      </c>
      <c r="G4010" s="13">
        <v>1.69</v>
      </c>
      <c r="H4010" s="15">
        <v>1350</v>
      </c>
      <c r="I4010" s="16">
        <v>2281.5</v>
      </c>
      <c r="J4010" s="16">
        <v>961.54016620498612</v>
      </c>
      <c r="K4010" s="16">
        <v>1319.9598337950138</v>
      </c>
      <c r="L4010" s="13">
        <v>3.18</v>
      </c>
      <c r="M4010" s="13"/>
      <c r="N4010" s="17">
        <f t="shared" si="133"/>
        <v>4293</v>
      </c>
      <c r="O4010" s="17">
        <f t="shared" si="133"/>
        <v>0</v>
      </c>
      <c r="P4010" s="17">
        <f t="shared" si="132"/>
        <v>4293</v>
      </c>
      <c r="Q4010" t="str">
        <f>A4010&amp;"-"&amp;B4010&amp;"-"&amp;D4010</f>
        <v>SEPTEMBER-CVA-L4</v>
      </c>
    </row>
    <row r="4011" spans="1:17" x14ac:dyDescent="0.25">
      <c r="A4011" t="s">
        <v>399</v>
      </c>
      <c r="B4011" s="13" t="s">
        <v>23</v>
      </c>
      <c r="C4011" s="13" t="s">
        <v>185</v>
      </c>
      <c r="D4011" s="14" t="s">
        <v>158</v>
      </c>
      <c r="E4011" s="13" t="s">
        <v>382</v>
      </c>
      <c r="F4011" s="13" t="s">
        <v>1506</v>
      </c>
      <c r="G4011" s="13">
        <v>1.84</v>
      </c>
      <c r="H4011" s="15">
        <v>510</v>
      </c>
      <c r="I4011" s="16">
        <v>938.4</v>
      </c>
      <c r="J4011" s="16">
        <v>437.72292993630577</v>
      </c>
      <c r="K4011" s="16">
        <v>500.6770700636942</v>
      </c>
      <c r="L4011" s="13">
        <v>3.45</v>
      </c>
      <c r="M4011" s="13"/>
      <c r="N4011" s="17">
        <f t="shared" si="133"/>
        <v>1759.5</v>
      </c>
      <c r="O4011" s="17">
        <f t="shared" si="133"/>
        <v>0</v>
      </c>
      <c r="P4011" s="17">
        <f t="shared" si="132"/>
        <v>1759.5</v>
      </c>
      <c r="Q4011" t="str">
        <f>A4011&amp;"-"&amp;B4011&amp;"-"&amp;D4011</f>
        <v>SEPTEMBER-CVA-L4</v>
      </c>
    </row>
    <row r="4012" spans="1:17" x14ac:dyDescent="0.25">
      <c r="A4012" t="s">
        <v>399</v>
      </c>
      <c r="B4012" s="13" t="s">
        <v>23</v>
      </c>
      <c r="C4012" s="13" t="s">
        <v>185</v>
      </c>
      <c r="D4012" s="14" t="s">
        <v>158</v>
      </c>
      <c r="E4012" s="13" t="s">
        <v>142</v>
      </c>
      <c r="F4012" s="13" t="s">
        <v>1309</v>
      </c>
      <c r="G4012" s="13">
        <v>0.77999999999999992</v>
      </c>
      <c r="H4012" s="15">
        <v>568</v>
      </c>
      <c r="I4012" s="16">
        <v>443.04</v>
      </c>
      <c r="J4012" s="16">
        <v>1192.9488752556238</v>
      </c>
      <c r="K4012" s="16">
        <v>-749.9088752556238</v>
      </c>
      <c r="L4012" s="13">
        <v>3.13</v>
      </c>
      <c r="M4012" s="13"/>
      <c r="N4012" s="17">
        <f t="shared" si="133"/>
        <v>1777.84</v>
      </c>
      <c r="O4012" s="17">
        <f t="shared" si="133"/>
        <v>0</v>
      </c>
      <c r="P4012" s="17">
        <f t="shared" si="132"/>
        <v>1777.84</v>
      </c>
      <c r="Q4012" t="str">
        <f>A4012&amp;"-"&amp;B4012&amp;"-"&amp;D4012</f>
        <v>SEPTEMBER-CVA-L4</v>
      </c>
    </row>
    <row r="4013" spans="1:17" x14ac:dyDescent="0.25">
      <c r="A4013" t="s">
        <v>399</v>
      </c>
      <c r="B4013" s="13" t="s">
        <v>23</v>
      </c>
      <c r="C4013" s="13" t="s">
        <v>185</v>
      </c>
      <c r="D4013" s="14" t="s">
        <v>158</v>
      </c>
      <c r="E4013" s="13" t="s">
        <v>142</v>
      </c>
      <c r="F4013" s="13" t="s">
        <v>1507</v>
      </c>
      <c r="G4013" s="13">
        <v>1.49</v>
      </c>
      <c r="H4013" s="15">
        <v>664</v>
      </c>
      <c r="I4013" s="16">
        <v>989.36</v>
      </c>
      <c r="J4013" s="16">
        <v>207.33171127331713</v>
      </c>
      <c r="K4013" s="16">
        <v>782.02828872668283</v>
      </c>
      <c r="L4013" s="13">
        <v>3.13</v>
      </c>
      <c r="M4013" s="13"/>
      <c r="N4013" s="17">
        <f t="shared" si="133"/>
        <v>2078.3199999999997</v>
      </c>
      <c r="O4013" s="17">
        <f t="shared" si="133"/>
        <v>0</v>
      </c>
      <c r="P4013" s="17">
        <f t="shared" si="132"/>
        <v>2078.3199999999997</v>
      </c>
      <c r="Q4013" t="str">
        <f>A4013&amp;"-"&amp;B4013&amp;"-"&amp;D4013</f>
        <v>SEPTEMBER-CVA-L4</v>
      </c>
    </row>
    <row r="4014" spans="1:17" x14ac:dyDescent="0.25">
      <c r="A4014" t="s">
        <v>399</v>
      </c>
      <c r="B4014" s="13" t="s">
        <v>23</v>
      </c>
      <c r="C4014" s="13" t="s">
        <v>185</v>
      </c>
      <c r="D4014" s="14" t="s">
        <v>158</v>
      </c>
      <c r="E4014" s="13" t="s">
        <v>142</v>
      </c>
      <c r="F4014" s="13" t="s">
        <v>1508</v>
      </c>
      <c r="G4014" s="13">
        <v>1.75</v>
      </c>
      <c r="H4014" s="15">
        <v>1074</v>
      </c>
      <c r="I4014" s="16">
        <v>1879.5</v>
      </c>
      <c r="J4014" s="16">
        <v>1617</v>
      </c>
      <c r="K4014" s="16">
        <v>262.5</v>
      </c>
      <c r="L4014" s="13">
        <v>3.68</v>
      </c>
      <c r="M4014" s="13"/>
      <c r="N4014" s="17">
        <f t="shared" si="133"/>
        <v>3952.32</v>
      </c>
      <c r="O4014" s="17">
        <f t="shared" si="133"/>
        <v>0</v>
      </c>
      <c r="P4014" s="17">
        <f t="shared" si="132"/>
        <v>3952.32</v>
      </c>
      <c r="Q4014" t="str">
        <f>A4014&amp;"-"&amp;B4014&amp;"-"&amp;D4014</f>
        <v>SEPTEMBER-CVA-L4</v>
      </c>
    </row>
    <row r="4015" spans="1:17" x14ac:dyDescent="0.25">
      <c r="A4015" t="s">
        <v>399</v>
      </c>
      <c r="B4015" s="13" t="s">
        <v>23</v>
      </c>
      <c r="C4015" s="13" t="s">
        <v>185</v>
      </c>
      <c r="D4015" s="14" t="s">
        <v>158</v>
      </c>
      <c r="E4015" s="13" t="s">
        <v>142</v>
      </c>
      <c r="F4015" s="13" t="s">
        <v>1509</v>
      </c>
      <c r="G4015" s="13">
        <v>1.63</v>
      </c>
      <c r="H4015" s="15">
        <v>700</v>
      </c>
      <c r="I4015" s="16">
        <v>1141</v>
      </c>
      <c r="J4015" s="16">
        <v>539</v>
      </c>
      <c r="K4015" s="16">
        <v>602</v>
      </c>
      <c r="L4015" s="13">
        <v>3.25</v>
      </c>
      <c r="M4015" s="13"/>
      <c r="N4015" s="17">
        <f t="shared" si="133"/>
        <v>2275</v>
      </c>
      <c r="O4015" s="17">
        <f t="shared" si="133"/>
        <v>0</v>
      </c>
      <c r="P4015" s="17">
        <f t="shared" si="132"/>
        <v>2275</v>
      </c>
      <c r="Q4015" t="str">
        <f>A4015&amp;"-"&amp;B4015&amp;"-"&amp;D4015</f>
        <v>SEPTEMBER-CVA-L4</v>
      </c>
    </row>
    <row r="4016" spans="1:17" x14ac:dyDescent="0.25">
      <c r="A4016" t="s">
        <v>399</v>
      </c>
      <c r="B4016" s="13" t="s">
        <v>23</v>
      </c>
      <c r="C4016" s="13" t="s">
        <v>185</v>
      </c>
      <c r="D4016" s="14" t="s">
        <v>164</v>
      </c>
      <c r="E4016" s="13" t="s">
        <v>1300</v>
      </c>
      <c r="F4016" s="13" t="s">
        <v>1510</v>
      </c>
      <c r="G4016" s="13">
        <v>2.46</v>
      </c>
      <c r="H4016" s="15">
        <v>923</v>
      </c>
      <c r="I4016" s="16">
        <v>2270.58</v>
      </c>
      <c r="J4016" s="16">
        <v>1417.7707736389684</v>
      </c>
      <c r="K4016" s="16">
        <v>852.80922636103151</v>
      </c>
      <c r="L4016" s="13">
        <v>4.9400000000000004</v>
      </c>
      <c r="M4016" s="13"/>
      <c r="N4016" s="17">
        <f t="shared" si="133"/>
        <v>4559.6200000000008</v>
      </c>
      <c r="O4016" s="17">
        <f t="shared" si="133"/>
        <v>0</v>
      </c>
      <c r="P4016" s="17">
        <f t="shared" si="132"/>
        <v>4559.6200000000008</v>
      </c>
      <c r="Q4016" t="str">
        <f>A4016&amp;"-"&amp;B4016&amp;"-"&amp;D4016</f>
        <v>SEPTEMBER-CVA-L7</v>
      </c>
    </row>
    <row r="4017" spans="1:17" x14ac:dyDescent="0.25">
      <c r="A4017" t="s">
        <v>399</v>
      </c>
      <c r="B4017" s="13" t="s">
        <v>23</v>
      </c>
      <c r="C4017" s="13" t="s">
        <v>185</v>
      </c>
      <c r="D4017" s="14" t="s">
        <v>164</v>
      </c>
      <c r="E4017" s="13" t="s">
        <v>77</v>
      </c>
      <c r="F4017" s="13" t="s">
        <v>1511</v>
      </c>
      <c r="G4017" s="13">
        <v>1.58</v>
      </c>
      <c r="H4017" s="15">
        <v>1336</v>
      </c>
      <c r="I4017" s="16">
        <v>2110.88</v>
      </c>
      <c r="J4017" s="16">
        <v>2392.0121589885471</v>
      </c>
      <c r="K4017" s="16">
        <v>-281.13215898854713</v>
      </c>
      <c r="L4017" s="13">
        <v>3.62</v>
      </c>
      <c r="M4017" s="13"/>
      <c r="N4017" s="17">
        <f t="shared" si="133"/>
        <v>4836.32</v>
      </c>
      <c r="O4017" s="17">
        <f t="shared" si="133"/>
        <v>0</v>
      </c>
      <c r="P4017" s="17">
        <f t="shared" si="132"/>
        <v>4836.32</v>
      </c>
      <c r="Q4017" t="str">
        <f>A4017&amp;"-"&amp;B4017&amp;"-"&amp;D4017</f>
        <v>SEPTEMBER-CVA-L7</v>
      </c>
    </row>
    <row r="4018" spans="1:17" x14ac:dyDescent="0.25">
      <c r="A4018" t="s">
        <v>399</v>
      </c>
      <c r="B4018" s="13" t="s">
        <v>23</v>
      </c>
      <c r="C4018" s="13" t="s">
        <v>185</v>
      </c>
      <c r="D4018" s="14" t="s">
        <v>164</v>
      </c>
      <c r="E4018" s="13" t="s">
        <v>77</v>
      </c>
      <c r="F4018" s="13" t="s">
        <v>1512</v>
      </c>
      <c r="G4018" s="13">
        <v>1.83</v>
      </c>
      <c r="H4018" s="15">
        <v>1012</v>
      </c>
      <c r="I4018" s="16">
        <v>1851.96</v>
      </c>
      <c r="J4018" s="16">
        <v>1372.6667088287377</v>
      </c>
      <c r="K4018" s="16">
        <v>479.29329117126224</v>
      </c>
      <c r="L4018" s="13">
        <v>3.62</v>
      </c>
      <c r="M4018" s="13"/>
      <c r="N4018" s="17">
        <f t="shared" si="133"/>
        <v>3663.44</v>
      </c>
      <c r="O4018" s="17">
        <f t="shared" si="133"/>
        <v>0</v>
      </c>
      <c r="P4018" s="17">
        <f t="shared" si="132"/>
        <v>3663.44</v>
      </c>
      <c r="Q4018" t="str">
        <f>A4018&amp;"-"&amp;B4018&amp;"-"&amp;D4018</f>
        <v>SEPTEMBER-CVA-L7</v>
      </c>
    </row>
    <row r="4019" spans="1:17" x14ac:dyDescent="0.25">
      <c r="A4019" t="s">
        <v>399</v>
      </c>
      <c r="B4019" s="13" t="s">
        <v>23</v>
      </c>
      <c r="C4019" s="13" t="s">
        <v>185</v>
      </c>
      <c r="D4019" s="14" t="s">
        <v>164</v>
      </c>
      <c r="E4019" s="13" t="s">
        <v>77</v>
      </c>
      <c r="F4019" s="13" t="s">
        <v>1303</v>
      </c>
      <c r="G4019" s="13">
        <v>1.77</v>
      </c>
      <c r="H4019" s="15">
        <v>294</v>
      </c>
      <c r="I4019" s="16">
        <v>520.38</v>
      </c>
      <c r="J4019" s="16">
        <v>450.45803992035354</v>
      </c>
      <c r="K4019" s="16">
        <v>69.921960079646482</v>
      </c>
      <c r="L4019" s="13">
        <v>3.4</v>
      </c>
      <c r="M4019" s="13"/>
      <c r="N4019" s="17">
        <f t="shared" si="133"/>
        <v>999.6</v>
      </c>
      <c r="O4019" s="17">
        <f t="shared" si="133"/>
        <v>0</v>
      </c>
      <c r="P4019" s="17">
        <f t="shared" si="132"/>
        <v>999.6</v>
      </c>
      <c r="Q4019" t="str">
        <f>A4019&amp;"-"&amp;B4019&amp;"-"&amp;D4019</f>
        <v>SEPTEMBER-CVA-L7</v>
      </c>
    </row>
    <row r="4020" spans="1:17" x14ac:dyDescent="0.25">
      <c r="A4020" t="s">
        <v>399</v>
      </c>
      <c r="B4020" s="13" t="s">
        <v>23</v>
      </c>
      <c r="C4020" s="13" t="s">
        <v>185</v>
      </c>
      <c r="D4020" s="14" t="s">
        <v>164</v>
      </c>
      <c r="E4020" s="13" t="s">
        <v>77</v>
      </c>
      <c r="F4020" s="13" t="s">
        <v>1513</v>
      </c>
      <c r="G4020" s="13">
        <v>1.8500000000000003</v>
      </c>
      <c r="H4020" s="15">
        <v>755</v>
      </c>
      <c r="I4020" s="16">
        <v>1396.75</v>
      </c>
      <c r="J4020" s="16">
        <v>1007.8834249803614</v>
      </c>
      <c r="K4020" s="16">
        <v>388.86657501963867</v>
      </c>
      <c r="L4020" s="13">
        <v>3.49</v>
      </c>
      <c r="M4020" s="13"/>
      <c r="N4020" s="17">
        <f t="shared" si="133"/>
        <v>2634.9500000000003</v>
      </c>
      <c r="O4020" s="17">
        <f t="shared" si="133"/>
        <v>0</v>
      </c>
      <c r="P4020" s="17">
        <f t="shared" si="132"/>
        <v>2634.9500000000003</v>
      </c>
      <c r="Q4020" t="str">
        <f>A4020&amp;"-"&amp;B4020&amp;"-"&amp;D4020</f>
        <v>SEPTEMBER-CVA-L7</v>
      </c>
    </row>
    <row r="4021" spans="1:17" x14ac:dyDescent="0.25">
      <c r="A4021" t="s">
        <v>399</v>
      </c>
      <c r="B4021" s="13" t="s">
        <v>23</v>
      </c>
      <c r="C4021" s="13" t="s">
        <v>185</v>
      </c>
      <c r="D4021" s="14" t="s">
        <v>164</v>
      </c>
      <c r="E4021" s="13" t="s">
        <v>382</v>
      </c>
      <c r="F4021" s="13" t="s">
        <v>1305</v>
      </c>
      <c r="G4021" s="13">
        <v>1.94</v>
      </c>
      <c r="H4021" s="15">
        <v>1512</v>
      </c>
      <c r="I4021" s="16">
        <v>2933.2799999999997</v>
      </c>
      <c r="J4021" s="16">
        <v>2103.64</v>
      </c>
      <c r="K4021" s="16">
        <v>829.63999999999987</v>
      </c>
      <c r="L4021" s="13">
        <v>3.25</v>
      </c>
      <c r="M4021" s="13"/>
      <c r="N4021" s="17">
        <f t="shared" si="133"/>
        <v>4914</v>
      </c>
      <c r="O4021" s="17">
        <f t="shared" si="133"/>
        <v>0</v>
      </c>
      <c r="P4021" s="17">
        <f t="shared" si="132"/>
        <v>4914</v>
      </c>
      <c r="Q4021" t="str">
        <f>A4021&amp;"-"&amp;B4021&amp;"-"&amp;D4021</f>
        <v>SEPTEMBER-CVA-L7</v>
      </c>
    </row>
    <row r="4022" spans="1:17" x14ac:dyDescent="0.25">
      <c r="A4022" t="s">
        <v>399</v>
      </c>
      <c r="B4022" s="13" t="s">
        <v>23</v>
      </c>
      <c r="C4022" s="13" t="s">
        <v>185</v>
      </c>
      <c r="D4022" s="14" t="s">
        <v>164</v>
      </c>
      <c r="E4022" s="13" t="s">
        <v>941</v>
      </c>
      <c r="F4022" s="13" t="s">
        <v>1308</v>
      </c>
      <c r="G4022" s="13">
        <v>1.34</v>
      </c>
      <c r="H4022" s="15">
        <v>668</v>
      </c>
      <c r="I4022" s="16">
        <v>895.12</v>
      </c>
      <c r="J4022" s="16">
        <v>847.11282622730141</v>
      </c>
      <c r="K4022" s="16">
        <v>48.00717377269855</v>
      </c>
      <c r="L4022" s="13">
        <v>2.83</v>
      </c>
      <c r="M4022" s="13"/>
      <c r="N4022" s="17">
        <f t="shared" si="133"/>
        <v>1890.44</v>
      </c>
      <c r="O4022" s="17">
        <f t="shared" si="133"/>
        <v>0</v>
      </c>
      <c r="P4022" s="17">
        <f t="shared" si="132"/>
        <v>1890.44</v>
      </c>
      <c r="Q4022" t="str">
        <f>A4022&amp;"-"&amp;B4022&amp;"-"&amp;D4022</f>
        <v>SEPTEMBER-CVA-L7</v>
      </c>
    </row>
    <row r="4023" spans="1:17" x14ac:dyDescent="0.25">
      <c r="A4023" t="s">
        <v>399</v>
      </c>
      <c r="B4023" s="13" t="s">
        <v>23</v>
      </c>
      <c r="C4023" s="13" t="s">
        <v>185</v>
      </c>
      <c r="D4023" s="14" t="s">
        <v>164</v>
      </c>
      <c r="E4023" s="13" t="s">
        <v>142</v>
      </c>
      <c r="F4023" s="13" t="s">
        <v>1514</v>
      </c>
      <c r="G4023" s="13">
        <v>1.21</v>
      </c>
      <c r="H4023" s="15">
        <v>421</v>
      </c>
      <c r="I4023" s="16">
        <v>509.41</v>
      </c>
      <c r="J4023" s="16">
        <v>1078</v>
      </c>
      <c r="K4023" s="16">
        <v>-568.58999999999992</v>
      </c>
      <c r="L4023" s="13">
        <v>3.19</v>
      </c>
      <c r="M4023" s="13"/>
      <c r="N4023" s="17">
        <f t="shared" si="133"/>
        <v>1342.99</v>
      </c>
      <c r="O4023" s="17">
        <f t="shared" si="133"/>
        <v>0</v>
      </c>
      <c r="P4023" s="17">
        <f t="shared" si="132"/>
        <v>1342.99</v>
      </c>
      <c r="Q4023" t="str">
        <f>A4023&amp;"-"&amp;B4023&amp;"-"&amp;D4023</f>
        <v>SEPTEMBER-CVA-L7</v>
      </c>
    </row>
    <row r="4024" spans="1:17" x14ac:dyDescent="0.25">
      <c r="A4024" t="s">
        <v>399</v>
      </c>
      <c r="B4024" s="13" t="s">
        <v>23</v>
      </c>
      <c r="C4024" s="13" t="s">
        <v>185</v>
      </c>
      <c r="D4024" s="14" t="s">
        <v>164</v>
      </c>
      <c r="E4024" s="13" t="s">
        <v>142</v>
      </c>
      <c r="F4024" s="13" t="s">
        <v>1307</v>
      </c>
      <c r="G4024" s="13">
        <v>1.41</v>
      </c>
      <c r="H4024" s="15">
        <v>1485</v>
      </c>
      <c r="I4024" s="16">
        <v>2093.85</v>
      </c>
      <c r="J4024" s="16">
        <v>2189.4560674157301</v>
      </c>
      <c r="K4024" s="16">
        <v>-95.606067415730379</v>
      </c>
      <c r="L4024" s="13">
        <v>3.06</v>
      </c>
      <c r="M4024" s="13"/>
      <c r="N4024" s="17">
        <f t="shared" si="133"/>
        <v>4544.1000000000004</v>
      </c>
      <c r="O4024" s="17">
        <f t="shared" si="133"/>
        <v>0</v>
      </c>
      <c r="P4024" s="17">
        <f t="shared" si="132"/>
        <v>4544.1000000000004</v>
      </c>
      <c r="Q4024" t="str">
        <f>A4024&amp;"-"&amp;B4024&amp;"-"&amp;D4024</f>
        <v>SEPTEMBER-CVA-L7</v>
      </c>
    </row>
    <row r="4025" spans="1:17" x14ac:dyDescent="0.25">
      <c r="A4025" t="s">
        <v>399</v>
      </c>
      <c r="B4025" s="13" t="s">
        <v>23</v>
      </c>
      <c r="C4025" s="13" t="s">
        <v>185</v>
      </c>
      <c r="D4025" s="14" t="s">
        <v>198</v>
      </c>
      <c r="E4025" s="13" t="s">
        <v>1300</v>
      </c>
      <c r="F4025" s="13" t="s">
        <v>1510</v>
      </c>
      <c r="G4025" s="13">
        <v>2.46</v>
      </c>
      <c r="H4025" s="15">
        <v>331</v>
      </c>
      <c r="I4025" s="16">
        <v>814.26</v>
      </c>
      <c r="J4025" s="16">
        <v>539</v>
      </c>
      <c r="K4025" s="16">
        <v>275.26</v>
      </c>
      <c r="L4025" s="13">
        <v>4.9400000000000004</v>
      </c>
      <c r="M4025" s="13"/>
      <c r="N4025" s="17">
        <f t="shared" si="133"/>
        <v>1635.14</v>
      </c>
      <c r="O4025" s="17">
        <f t="shared" si="133"/>
        <v>0</v>
      </c>
      <c r="P4025" s="17">
        <f t="shared" si="132"/>
        <v>1635.14</v>
      </c>
      <c r="Q4025" t="str">
        <f>A4025&amp;"-"&amp;B4025&amp;"-"&amp;D4025</f>
        <v>SEPTEMBER-CVA-L8</v>
      </c>
    </row>
    <row r="4026" spans="1:17" x14ac:dyDescent="0.25">
      <c r="A4026" t="s">
        <v>399</v>
      </c>
      <c r="B4026" s="13" t="s">
        <v>23</v>
      </c>
      <c r="C4026" s="13" t="s">
        <v>185</v>
      </c>
      <c r="D4026" s="14" t="s">
        <v>198</v>
      </c>
      <c r="E4026" s="13" t="s">
        <v>77</v>
      </c>
      <c r="F4026" s="13" t="s">
        <v>1511</v>
      </c>
      <c r="G4026" s="13">
        <v>1.58</v>
      </c>
      <c r="H4026" s="15">
        <v>1134</v>
      </c>
      <c r="I4026" s="16">
        <v>1791.7200000000003</v>
      </c>
      <c r="J4026" s="16">
        <v>2002</v>
      </c>
      <c r="K4026" s="16">
        <v>-210.27999999999992</v>
      </c>
      <c r="L4026" s="13">
        <v>3.62</v>
      </c>
      <c r="M4026" s="13"/>
      <c r="N4026" s="17">
        <f t="shared" si="133"/>
        <v>4105.08</v>
      </c>
      <c r="O4026" s="17">
        <f t="shared" si="133"/>
        <v>0</v>
      </c>
      <c r="P4026" s="17">
        <f t="shared" si="132"/>
        <v>4105.08</v>
      </c>
      <c r="Q4026" t="str">
        <f>A4026&amp;"-"&amp;B4026&amp;"-"&amp;D4026</f>
        <v>SEPTEMBER-CVA-L8</v>
      </c>
    </row>
    <row r="4027" spans="1:17" x14ac:dyDescent="0.25">
      <c r="A4027" t="s">
        <v>399</v>
      </c>
      <c r="B4027" s="13" t="s">
        <v>23</v>
      </c>
      <c r="C4027" s="13" t="s">
        <v>185</v>
      </c>
      <c r="D4027" s="14" t="s">
        <v>198</v>
      </c>
      <c r="E4027" s="13" t="s">
        <v>77</v>
      </c>
      <c r="F4027" s="13" t="s">
        <v>1512</v>
      </c>
      <c r="G4027" s="13">
        <v>1.83</v>
      </c>
      <c r="H4027" s="15">
        <v>1140</v>
      </c>
      <c r="I4027" s="16">
        <v>2086.1999999999998</v>
      </c>
      <c r="J4027" s="16">
        <v>1463</v>
      </c>
      <c r="K4027" s="16">
        <v>623.20000000000005</v>
      </c>
      <c r="L4027" s="13">
        <v>3.62</v>
      </c>
      <c r="M4027" s="13"/>
      <c r="N4027" s="17">
        <f t="shared" si="133"/>
        <v>4126.8</v>
      </c>
      <c r="O4027" s="17">
        <f t="shared" si="133"/>
        <v>0</v>
      </c>
      <c r="P4027" s="17">
        <f t="shared" si="132"/>
        <v>4126.8</v>
      </c>
      <c r="Q4027" t="str">
        <f>A4027&amp;"-"&amp;B4027&amp;"-"&amp;D4027</f>
        <v>SEPTEMBER-CVA-L8</v>
      </c>
    </row>
    <row r="4028" spans="1:17" x14ac:dyDescent="0.25">
      <c r="A4028" t="s">
        <v>399</v>
      </c>
      <c r="B4028" s="13" t="s">
        <v>23</v>
      </c>
      <c r="C4028" s="13" t="s">
        <v>185</v>
      </c>
      <c r="D4028" s="14" t="s">
        <v>198</v>
      </c>
      <c r="E4028" s="13" t="s">
        <v>77</v>
      </c>
      <c r="F4028" s="13" t="s">
        <v>1303</v>
      </c>
      <c r="G4028" s="13">
        <v>1.77</v>
      </c>
      <c r="H4028" s="15">
        <v>620</v>
      </c>
      <c r="I4028" s="16">
        <v>1097.4000000000001</v>
      </c>
      <c r="J4028" s="16">
        <v>866.25</v>
      </c>
      <c r="K4028" s="16">
        <v>231.14999999999998</v>
      </c>
      <c r="L4028" s="13">
        <v>3.4</v>
      </c>
      <c r="M4028" s="13"/>
      <c r="N4028" s="17">
        <f t="shared" si="133"/>
        <v>2108</v>
      </c>
      <c r="O4028" s="17">
        <f t="shared" si="133"/>
        <v>0</v>
      </c>
      <c r="P4028" s="17">
        <f t="shared" si="132"/>
        <v>2108</v>
      </c>
      <c r="Q4028" t="str">
        <f>A4028&amp;"-"&amp;B4028&amp;"-"&amp;D4028</f>
        <v>SEPTEMBER-CVA-L8</v>
      </c>
    </row>
    <row r="4029" spans="1:17" x14ac:dyDescent="0.25">
      <c r="A4029" t="s">
        <v>399</v>
      </c>
      <c r="B4029" s="13" t="s">
        <v>23</v>
      </c>
      <c r="C4029" s="13" t="s">
        <v>185</v>
      </c>
      <c r="D4029" s="14" t="s">
        <v>198</v>
      </c>
      <c r="E4029" s="13" t="s">
        <v>77</v>
      </c>
      <c r="F4029" s="13" t="s">
        <v>1513</v>
      </c>
      <c r="G4029" s="13">
        <v>1.85</v>
      </c>
      <c r="H4029" s="15">
        <v>775</v>
      </c>
      <c r="I4029" s="16">
        <v>1433.75</v>
      </c>
      <c r="J4029" s="16">
        <v>1065.1666666666665</v>
      </c>
      <c r="K4029" s="16">
        <v>368.58333333333337</v>
      </c>
      <c r="L4029" s="13">
        <v>3.49</v>
      </c>
      <c r="M4029" s="13"/>
      <c r="N4029" s="17">
        <f t="shared" si="133"/>
        <v>2704.75</v>
      </c>
      <c r="O4029" s="17">
        <f t="shared" si="133"/>
        <v>0</v>
      </c>
      <c r="P4029" s="17">
        <f t="shared" si="132"/>
        <v>2704.75</v>
      </c>
      <c r="Q4029" t="str">
        <f>A4029&amp;"-"&amp;B4029&amp;"-"&amp;D4029</f>
        <v>SEPTEMBER-CVA-L8</v>
      </c>
    </row>
    <row r="4030" spans="1:17" x14ac:dyDescent="0.25">
      <c r="A4030" t="s">
        <v>399</v>
      </c>
      <c r="B4030" s="13" t="s">
        <v>23</v>
      </c>
      <c r="C4030" s="13" t="s">
        <v>185</v>
      </c>
      <c r="D4030" s="14" t="s">
        <v>198</v>
      </c>
      <c r="E4030" s="13" t="s">
        <v>382</v>
      </c>
      <c r="F4030" s="13" t="s">
        <v>1305</v>
      </c>
      <c r="G4030" s="13">
        <v>1.94</v>
      </c>
      <c r="H4030" s="15">
        <v>1370</v>
      </c>
      <c r="I4030" s="16">
        <v>2657.8</v>
      </c>
      <c r="J4030" s="16">
        <v>2541</v>
      </c>
      <c r="K4030" s="16">
        <v>116.7999999999999</v>
      </c>
      <c r="L4030" s="13">
        <v>3.25</v>
      </c>
      <c r="M4030" s="13"/>
      <c r="N4030" s="17">
        <f t="shared" si="133"/>
        <v>4452.5</v>
      </c>
      <c r="O4030" s="17">
        <f t="shared" si="133"/>
        <v>0</v>
      </c>
      <c r="P4030" s="17">
        <f t="shared" si="132"/>
        <v>4452.5</v>
      </c>
      <c r="Q4030" t="str">
        <f>A4030&amp;"-"&amp;B4030&amp;"-"&amp;D4030</f>
        <v>SEPTEMBER-CVA-L8</v>
      </c>
    </row>
    <row r="4031" spans="1:17" x14ac:dyDescent="0.25">
      <c r="A4031" t="s">
        <v>399</v>
      </c>
      <c r="B4031" s="13" t="s">
        <v>23</v>
      </c>
      <c r="C4031" s="13" t="s">
        <v>185</v>
      </c>
      <c r="D4031" s="14" t="s">
        <v>198</v>
      </c>
      <c r="E4031" s="13" t="s">
        <v>941</v>
      </c>
      <c r="F4031" s="13" t="s">
        <v>1308</v>
      </c>
      <c r="G4031" s="13">
        <v>1.34</v>
      </c>
      <c r="H4031" s="15">
        <v>310</v>
      </c>
      <c r="I4031" s="16">
        <v>415.4</v>
      </c>
      <c r="J4031" s="16">
        <v>539</v>
      </c>
      <c r="K4031" s="16">
        <v>-123.60000000000002</v>
      </c>
      <c r="L4031" s="13">
        <v>2.83</v>
      </c>
      <c r="M4031" s="13"/>
      <c r="N4031" s="17">
        <f t="shared" si="133"/>
        <v>877.30000000000007</v>
      </c>
      <c r="O4031" s="17">
        <f t="shared" si="133"/>
        <v>0</v>
      </c>
      <c r="P4031" s="17">
        <f t="shared" si="132"/>
        <v>877.30000000000007</v>
      </c>
      <c r="Q4031" t="str">
        <f>A4031&amp;"-"&amp;B4031&amp;"-"&amp;D4031</f>
        <v>SEPTEMBER-CVA-L8</v>
      </c>
    </row>
    <row r="4032" spans="1:17" x14ac:dyDescent="0.25">
      <c r="A4032" t="s">
        <v>399</v>
      </c>
      <c r="B4032" s="13" t="s">
        <v>23</v>
      </c>
      <c r="C4032" s="13" t="s">
        <v>185</v>
      </c>
      <c r="D4032" s="14" t="s">
        <v>198</v>
      </c>
      <c r="E4032" s="13" t="s">
        <v>941</v>
      </c>
      <c r="F4032" s="13" t="s">
        <v>1306</v>
      </c>
      <c r="G4032" s="13">
        <v>1.61</v>
      </c>
      <c r="H4032" s="15">
        <v>10</v>
      </c>
      <c r="I4032" s="16">
        <v>16.100000000000001</v>
      </c>
      <c r="J4032" s="16">
        <v>12.833333333333332</v>
      </c>
      <c r="K4032" s="16">
        <v>3.2666666666666693</v>
      </c>
      <c r="L4032" s="13">
        <v>3.46</v>
      </c>
      <c r="M4032" s="13"/>
      <c r="N4032" s="17">
        <f t="shared" si="133"/>
        <v>34.6</v>
      </c>
      <c r="O4032" s="17">
        <f t="shared" si="133"/>
        <v>0</v>
      </c>
      <c r="P4032" s="17">
        <f t="shared" si="132"/>
        <v>34.6</v>
      </c>
      <c r="Q4032" t="str">
        <f>A4032&amp;"-"&amp;B4032&amp;"-"&amp;D4032</f>
        <v>SEPTEMBER-CVA-L8</v>
      </c>
    </row>
    <row r="4033" spans="1:17" x14ac:dyDescent="0.25">
      <c r="A4033" t="s">
        <v>399</v>
      </c>
      <c r="B4033" s="13" t="s">
        <v>23</v>
      </c>
      <c r="C4033" s="13" t="s">
        <v>185</v>
      </c>
      <c r="D4033" s="14" t="s">
        <v>198</v>
      </c>
      <c r="E4033" s="13" t="s">
        <v>142</v>
      </c>
      <c r="F4033" s="13" t="s">
        <v>1309</v>
      </c>
      <c r="G4033" s="13">
        <v>0.78</v>
      </c>
      <c r="H4033" s="15">
        <v>110</v>
      </c>
      <c r="I4033" s="16">
        <v>85.8</v>
      </c>
      <c r="J4033" s="16">
        <v>211.75</v>
      </c>
      <c r="K4033" s="16">
        <v>-125.95</v>
      </c>
      <c r="L4033" s="13">
        <v>3.13</v>
      </c>
      <c r="M4033" s="13"/>
      <c r="N4033" s="17">
        <f t="shared" si="133"/>
        <v>344.3</v>
      </c>
      <c r="O4033" s="17">
        <f t="shared" si="133"/>
        <v>0</v>
      </c>
      <c r="P4033" s="17">
        <f t="shared" si="132"/>
        <v>344.3</v>
      </c>
      <c r="Q4033" t="str">
        <f>A4033&amp;"-"&amp;B4033&amp;"-"&amp;D4033</f>
        <v>SEPTEMBER-CVA-L8</v>
      </c>
    </row>
    <row r="4034" spans="1:17" x14ac:dyDescent="0.25">
      <c r="A4034" t="s">
        <v>399</v>
      </c>
      <c r="B4034" s="13" t="s">
        <v>23</v>
      </c>
      <c r="C4034" s="13" t="s">
        <v>185</v>
      </c>
      <c r="D4034" s="14" t="s">
        <v>198</v>
      </c>
      <c r="E4034" s="13" t="s">
        <v>142</v>
      </c>
      <c r="F4034" s="13" t="s">
        <v>1514</v>
      </c>
      <c r="G4034" s="13">
        <v>1.21</v>
      </c>
      <c r="H4034" s="15">
        <v>394</v>
      </c>
      <c r="I4034" s="16">
        <v>476.74</v>
      </c>
      <c r="J4034" s="16">
        <v>1422.0425531914893</v>
      </c>
      <c r="K4034" s="16">
        <v>-945.30255319148932</v>
      </c>
      <c r="L4034" s="13">
        <v>3.19</v>
      </c>
      <c r="M4034" s="13"/>
      <c r="N4034" s="17">
        <f t="shared" si="133"/>
        <v>1256.8599999999999</v>
      </c>
      <c r="O4034" s="17">
        <f t="shared" si="133"/>
        <v>0</v>
      </c>
      <c r="P4034" s="17">
        <f t="shared" ref="P4034:P4097" si="134">N4034+O4034</f>
        <v>1256.8599999999999</v>
      </c>
      <c r="Q4034" t="str">
        <f>A4034&amp;"-"&amp;B4034&amp;"-"&amp;D4034</f>
        <v>SEPTEMBER-CVA-L8</v>
      </c>
    </row>
    <row r="4035" spans="1:17" x14ac:dyDescent="0.25">
      <c r="A4035" t="s">
        <v>399</v>
      </c>
      <c r="B4035" s="13" t="s">
        <v>23</v>
      </c>
      <c r="C4035" s="13" t="s">
        <v>185</v>
      </c>
      <c r="D4035" s="14" t="s">
        <v>198</v>
      </c>
      <c r="E4035" s="13" t="s">
        <v>142</v>
      </c>
      <c r="F4035" s="13" t="s">
        <v>1307</v>
      </c>
      <c r="G4035" s="13">
        <v>1.41</v>
      </c>
      <c r="H4035" s="15">
        <v>835</v>
      </c>
      <c r="I4035" s="16">
        <v>1177.3499999999999</v>
      </c>
      <c r="J4035" s="16">
        <v>1657.9574468085107</v>
      </c>
      <c r="K4035" s="16">
        <v>-480.60744680851064</v>
      </c>
      <c r="L4035" s="13">
        <v>3.06</v>
      </c>
      <c r="M4035" s="13"/>
      <c r="N4035" s="17">
        <f t="shared" si="133"/>
        <v>2555.1</v>
      </c>
      <c r="O4035" s="17">
        <f t="shared" si="133"/>
        <v>0</v>
      </c>
      <c r="P4035" s="17">
        <f t="shared" si="134"/>
        <v>2555.1</v>
      </c>
      <c r="Q4035" t="str">
        <f>A4035&amp;"-"&amp;B4035&amp;"-"&amp;D4035</f>
        <v>SEPTEMBER-CVA-L8</v>
      </c>
    </row>
    <row r="4036" spans="1:17" x14ac:dyDescent="0.25">
      <c r="A4036" t="s">
        <v>399</v>
      </c>
      <c r="B4036" s="13" t="s">
        <v>23</v>
      </c>
      <c r="C4036" s="13" t="s">
        <v>201</v>
      </c>
      <c r="D4036" s="14" t="s">
        <v>44</v>
      </c>
      <c r="E4036" s="13" t="s">
        <v>77</v>
      </c>
      <c r="F4036" s="13" t="s">
        <v>1515</v>
      </c>
      <c r="G4036" s="13">
        <v>0.51</v>
      </c>
      <c r="H4036" s="15">
        <v>375</v>
      </c>
      <c r="I4036" s="16">
        <v>191.25</v>
      </c>
      <c r="J4036" s="16">
        <v>539</v>
      </c>
      <c r="K4036" s="16">
        <v>-347.75</v>
      </c>
      <c r="L4036" s="13">
        <v>1.2</v>
      </c>
      <c r="M4036" s="13"/>
      <c r="N4036" s="17">
        <f t="shared" si="133"/>
        <v>450</v>
      </c>
      <c r="O4036" s="17">
        <f t="shared" si="133"/>
        <v>0</v>
      </c>
      <c r="P4036" s="17">
        <f t="shared" si="134"/>
        <v>450</v>
      </c>
      <c r="Q4036" t="str">
        <f>A4036&amp;"-"&amp;B4036&amp;"-"&amp;D4036</f>
        <v>SEPTEMBER-CVA-L1</v>
      </c>
    </row>
    <row r="4037" spans="1:17" x14ac:dyDescent="0.25">
      <c r="A4037" t="s">
        <v>399</v>
      </c>
      <c r="B4037" s="13" t="s">
        <v>23</v>
      </c>
      <c r="C4037" s="13" t="s">
        <v>201</v>
      </c>
      <c r="D4037" s="14" t="s">
        <v>301</v>
      </c>
      <c r="E4037" s="13" t="s">
        <v>191</v>
      </c>
      <c r="F4037" s="13" t="s">
        <v>1516</v>
      </c>
      <c r="G4037" s="13">
        <v>0.39</v>
      </c>
      <c r="H4037" s="15">
        <v>1400</v>
      </c>
      <c r="I4037" s="16">
        <v>546</v>
      </c>
      <c r="J4037" s="16">
        <v>539</v>
      </c>
      <c r="K4037" s="16">
        <v>7</v>
      </c>
      <c r="L4037" s="13">
        <v>1.1000000000000001</v>
      </c>
      <c r="M4037" s="13"/>
      <c r="N4037" s="17">
        <f t="shared" si="133"/>
        <v>1540.0000000000002</v>
      </c>
      <c r="O4037" s="17">
        <f t="shared" si="133"/>
        <v>0</v>
      </c>
      <c r="P4037" s="17">
        <f t="shared" si="134"/>
        <v>1540.0000000000002</v>
      </c>
      <c r="Q4037" t="str">
        <f>A4037&amp;"-"&amp;B4037&amp;"-"&amp;D4037</f>
        <v>SEPTEMBER-CVA-L10</v>
      </c>
    </row>
    <row r="4038" spans="1:17" x14ac:dyDescent="0.25">
      <c r="A4038" t="s">
        <v>399</v>
      </c>
      <c r="B4038" s="13" t="s">
        <v>23</v>
      </c>
      <c r="C4038" s="13" t="s">
        <v>201</v>
      </c>
      <c r="D4038" s="14" t="s">
        <v>301</v>
      </c>
      <c r="E4038" s="13" t="s">
        <v>191</v>
      </c>
      <c r="F4038" s="13" t="s">
        <v>1517</v>
      </c>
      <c r="G4038" s="13">
        <v>0.35</v>
      </c>
      <c r="H4038" s="15">
        <v>4344</v>
      </c>
      <c r="I4038" s="16">
        <v>1520.4</v>
      </c>
      <c r="J4038" s="16">
        <v>2541</v>
      </c>
      <c r="K4038" s="16">
        <v>-1020.6</v>
      </c>
      <c r="L4038" s="13">
        <v>1.18</v>
      </c>
      <c r="M4038" s="13"/>
      <c r="N4038" s="17">
        <f t="shared" si="133"/>
        <v>5125.92</v>
      </c>
      <c r="O4038" s="17">
        <f t="shared" si="133"/>
        <v>0</v>
      </c>
      <c r="P4038" s="17">
        <f t="shared" si="134"/>
        <v>5125.92</v>
      </c>
      <c r="Q4038" t="str">
        <f>A4038&amp;"-"&amp;B4038&amp;"-"&amp;D4038</f>
        <v>SEPTEMBER-CVA-L10</v>
      </c>
    </row>
    <row r="4039" spans="1:17" x14ac:dyDescent="0.25">
      <c r="A4039" t="s">
        <v>399</v>
      </c>
      <c r="B4039" s="13" t="s">
        <v>23</v>
      </c>
      <c r="C4039" s="13" t="s">
        <v>201</v>
      </c>
      <c r="D4039" s="14" t="s">
        <v>301</v>
      </c>
      <c r="E4039" s="13" t="s">
        <v>191</v>
      </c>
      <c r="F4039" s="13" t="s">
        <v>1155</v>
      </c>
      <c r="G4039" s="13">
        <v>0.33</v>
      </c>
      <c r="H4039" s="15">
        <v>6047</v>
      </c>
      <c r="I4039" s="16">
        <v>1995.5099999999998</v>
      </c>
      <c r="J4039" s="16">
        <v>2336.5517241379312</v>
      </c>
      <c r="K4039" s="16">
        <v>-341.04172413793106</v>
      </c>
      <c r="L4039" s="13">
        <v>1.1499999999999999</v>
      </c>
      <c r="M4039" s="13"/>
      <c r="N4039" s="17">
        <f t="shared" si="133"/>
        <v>6954.0499999999993</v>
      </c>
      <c r="O4039" s="17">
        <f t="shared" si="133"/>
        <v>0</v>
      </c>
      <c r="P4039" s="17">
        <f t="shared" si="134"/>
        <v>6954.0499999999993</v>
      </c>
      <c r="Q4039" t="str">
        <f>A4039&amp;"-"&amp;B4039&amp;"-"&amp;D4039</f>
        <v>SEPTEMBER-CVA-L10</v>
      </c>
    </row>
    <row r="4040" spans="1:17" x14ac:dyDescent="0.25">
      <c r="A4040" t="s">
        <v>399</v>
      </c>
      <c r="B4040" s="13" t="s">
        <v>23</v>
      </c>
      <c r="C4040" s="13" t="s">
        <v>201</v>
      </c>
      <c r="D4040" s="14" t="s">
        <v>301</v>
      </c>
      <c r="E4040" s="13" t="s">
        <v>191</v>
      </c>
      <c r="F4040" s="13" t="s">
        <v>1518</v>
      </c>
      <c r="G4040" s="13">
        <v>0.35</v>
      </c>
      <c r="H4040" s="15">
        <v>10855</v>
      </c>
      <c r="I4040" s="16">
        <v>3799.25</v>
      </c>
      <c r="J4040" s="16">
        <v>6699</v>
      </c>
      <c r="K4040" s="16">
        <v>-2899.75</v>
      </c>
      <c r="L4040" s="13">
        <v>1.08</v>
      </c>
      <c r="M4040" s="13"/>
      <c r="N4040" s="17">
        <f t="shared" si="133"/>
        <v>11723.400000000001</v>
      </c>
      <c r="O4040" s="17">
        <f t="shared" si="133"/>
        <v>0</v>
      </c>
      <c r="P4040" s="17">
        <f t="shared" si="134"/>
        <v>11723.400000000001</v>
      </c>
      <c r="Q4040" t="str">
        <f>A4040&amp;"-"&amp;B4040&amp;"-"&amp;D4040</f>
        <v>SEPTEMBER-CVA-L10</v>
      </c>
    </row>
    <row r="4041" spans="1:17" x14ac:dyDescent="0.25">
      <c r="A4041" t="s">
        <v>399</v>
      </c>
      <c r="B4041" s="13" t="s">
        <v>23</v>
      </c>
      <c r="C4041" s="13" t="s">
        <v>201</v>
      </c>
      <c r="D4041" s="14" t="s">
        <v>301</v>
      </c>
      <c r="E4041" s="13" t="s">
        <v>191</v>
      </c>
      <c r="F4041" s="13" t="s">
        <v>1156</v>
      </c>
      <c r="G4041" s="13">
        <v>0.33</v>
      </c>
      <c r="H4041" s="15">
        <v>550</v>
      </c>
      <c r="I4041" s="16">
        <v>181.5</v>
      </c>
      <c r="J4041" s="16">
        <v>204.44827586206895</v>
      </c>
      <c r="K4041" s="16">
        <v>-22.948275862068954</v>
      </c>
      <c r="L4041" s="13">
        <v>1.1000000000000001</v>
      </c>
      <c r="M4041" s="13"/>
      <c r="N4041" s="17">
        <f t="shared" si="133"/>
        <v>605</v>
      </c>
      <c r="O4041" s="17">
        <f t="shared" si="133"/>
        <v>0</v>
      </c>
      <c r="P4041" s="17">
        <f t="shared" si="134"/>
        <v>605</v>
      </c>
      <c r="Q4041" t="str">
        <f>A4041&amp;"-"&amp;B4041&amp;"-"&amp;D4041</f>
        <v>SEPTEMBER-CVA-L10</v>
      </c>
    </row>
    <row r="4042" spans="1:17" x14ac:dyDescent="0.25">
      <c r="A4042" t="s">
        <v>399</v>
      </c>
      <c r="B4042" s="13" t="s">
        <v>23</v>
      </c>
      <c r="C4042" s="13" t="s">
        <v>201</v>
      </c>
      <c r="D4042" s="14" t="s">
        <v>56</v>
      </c>
      <c r="E4042" s="13" t="s">
        <v>191</v>
      </c>
      <c r="F4042" s="13" t="s">
        <v>1312</v>
      </c>
      <c r="G4042" s="13">
        <v>0.69000000000000006</v>
      </c>
      <c r="H4042" s="15">
        <v>5260</v>
      </c>
      <c r="I4042" s="16">
        <v>3629.4</v>
      </c>
      <c r="J4042" s="16">
        <v>3619</v>
      </c>
      <c r="K4042" s="16">
        <v>10.399999999999977</v>
      </c>
      <c r="L4042" s="13">
        <v>1.57</v>
      </c>
      <c r="M4042" s="13"/>
      <c r="N4042" s="17">
        <f t="shared" si="133"/>
        <v>8258.2000000000007</v>
      </c>
      <c r="O4042" s="17">
        <f t="shared" si="133"/>
        <v>0</v>
      </c>
      <c r="P4042" s="17">
        <f t="shared" si="134"/>
        <v>8258.2000000000007</v>
      </c>
      <c r="Q4042" t="str">
        <f>A4042&amp;"-"&amp;B4042&amp;"-"&amp;D4042</f>
        <v>SEPTEMBER-CVA-L3</v>
      </c>
    </row>
    <row r="4043" spans="1:17" x14ac:dyDescent="0.25">
      <c r="A4043" t="s">
        <v>399</v>
      </c>
      <c r="B4043" s="13" t="s">
        <v>23</v>
      </c>
      <c r="C4043" s="13" t="s">
        <v>201</v>
      </c>
      <c r="D4043" s="14" t="s">
        <v>158</v>
      </c>
      <c r="E4043" s="13" t="s">
        <v>191</v>
      </c>
      <c r="F4043" s="13" t="s">
        <v>1312</v>
      </c>
      <c r="G4043" s="13">
        <v>0.69000000000000006</v>
      </c>
      <c r="H4043" s="15">
        <v>5103</v>
      </c>
      <c r="I4043" s="16">
        <v>3521.0699999999997</v>
      </c>
      <c r="J4043" s="16">
        <v>3619</v>
      </c>
      <c r="K4043" s="16">
        <v>-97.930000000000064</v>
      </c>
      <c r="L4043" s="13">
        <v>1.57</v>
      </c>
      <c r="M4043" s="13"/>
      <c r="N4043" s="17">
        <f t="shared" si="133"/>
        <v>8011.71</v>
      </c>
      <c r="O4043" s="17">
        <f t="shared" si="133"/>
        <v>0</v>
      </c>
      <c r="P4043" s="17">
        <f t="shared" si="134"/>
        <v>8011.71</v>
      </c>
      <c r="Q4043" t="str">
        <f>A4043&amp;"-"&amp;B4043&amp;"-"&amp;D4043</f>
        <v>SEPTEMBER-CVA-L4</v>
      </c>
    </row>
    <row r="4044" spans="1:17" x14ac:dyDescent="0.25">
      <c r="A4044" t="s">
        <v>399</v>
      </c>
      <c r="B4044" s="13" t="s">
        <v>23</v>
      </c>
      <c r="C4044" s="13" t="s">
        <v>201</v>
      </c>
      <c r="D4044" s="14" t="s">
        <v>160</v>
      </c>
      <c r="E4044" s="13" t="s">
        <v>191</v>
      </c>
      <c r="F4044" s="13" t="s">
        <v>1517</v>
      </c>
      <c r="G4044" s="13">
        <v>0.35000000000000003</v>
      </c>
      <c r="H4044" s="15">
        <v>10065</v>
      </c>
      <c r="I4044" s="16">
        <v>3522.75</v>
      </c>
      <c r="J4044" s="16">
        <v>5236</v>
      </c>
      <c r="K4044" s="16">
        <v>-1713.25</v>
      </c>
      <c r="L4044" s="13">
        <v>1.18</v>
      </c>
      <c r="M4044" s="13"/>
      <c r="N4044" s="17">
        <f t="shared" ref="N4044:O4105" si="135">$H4044*L4044</f>
        <v>11876.699999999999</v>
      </c>
      <c r="O4044" s="17">
        <f t="shared" si="135"/>
        <v>0</v>
      </c>
      <c r="P4044" s="17">
        <f t="shared" si="134"/>
        <v>11876.699999999999</v>
      </c>
      <c r="Q4044" t="str">
        <f>A4044&amp;"-"&amp;B4044&amp;"-"&amp;D4044</f>
        <v>SEPTEMBER-CVA-L5</v>
      </c>
    </row>
    <row r="4045" spans="1:17" x14ac:dyDescent="0.25">
      <c r="A4045" t="s">
        <v>399</v>
      </c>
      <c r="B4045" s="13" t="s">
        <v>23</v>
      </c>
      <c r="C4045" s="13" t="s">
        <v>201</v>
      </c>
      <c r="D4045" s="14" t="s">
        <v>160</v>
      </c>
      <c r="E4045" s="13" t="s">
        <v>191</v>
      </c>
      <c r="F4045" s="13" t="s">
        <v>1312</v>
      </c>
      <c r="G4045" s="13">
        <v>0.69</v>
      </c>
      <c r="H4045" s="15">
        <v>3530</v>
      </c>
      <c r="I4045" s="16">
        <v>2435.6999999999998</v>
      </c>
      <c r="J4045" s="16">
        <v>2037</v>
      </c>
      <c r="K4045" s="16">
        <v>398.70000000000005</v>
      </c>
      <c r="L4045" s="13">
        <v>1.57</v>
      </c>
      <c r="M4045" s="13"/>
      <c r="N4045" s="17">
        <f t="shared" si="135"/>
        <v>5542.1</v>
      </c>
      <c r="O4045" s="17">
        <f t="shared" si="135"/>
        <v>0</v>
      </c>
      <c r="P4045" s="17">
        <f t="shared" si="134"/>
        <v>5542.1</v>
      </c>
      <c r="Q4045" t="str">
        <f>A4045&amp;"-"&amp;B4045&amp;"-"&amp;D4045</f>
        <v>SEPTEMBER-CVA-L5</v>
      </c>
    </row>
    <row r="4046" spans="1:17" x14ac:dyDescent="0.25">
      <c r="A4046" t="s">
        <v>399</v>
      </c>
      <c r="B4046" s="13" t="s">
        <v>23</v>
      </c>
      <c r="C4046" s="13" t="s">
        <v>201</v>
      </c>
      <c r="D4046" s="14" t="s">
        <v>160</v>
      </c>
      <c r="E4046" s="13" t="s">
        <v>191</v>
      </c>
      <c r="F4046" s="13" t="s">
        <v>1519</v>
      </c>
      <c r="G4046" s="13">
        <v>0.39</v>
      </c>
      <c r="H4046" s="15">
        <v>10833</v>
      </c>
      <c r="I4046" s="16">
        <v>4224.87</v>
      </c>
      <c r="J4046" s="16">
        <v>2541</v>
      </c>
      <c r="K4046" s="16">
        <v>1683.87</v>
      </c>
      <c r="L4046" s="13">
        <v>1</v>
      </c>
      <c r="M4046" s="13"/>
      <c r="N4046" s="17">
        <f t="shared" si="135"/>
        <v>10833</v>
      </c>
      <c r="O4046" s="17">
        <f t="shared" si="135"/>
        <v>0</v>
      </c>
      <c r="P4046" s="17">
        <f t="shared" si="134"/>
        <v>10833</v>
      </c>
      <c r="Q4046" t="str">
        <f>A4046&amp;"-"&amp;B4046&amp;"-"&amp;D4046</f>
        <v>SEPTEMBER-CVA-L5</v>
      </c>
    </row>
    <row r="4047" spans="1:17" x14ac:dyDescent="0.25">
      <c r="A4047" t="s">
        <v>399</v>
      </c>
      <c r="B4047" s="13" t="s">
        <v>23</v>
      </c>
      <c r="C4047" s="13" t="s">
        <v>201</v>
      </c>
      <c r="D4047" s="14" t="s">
        <v>160</v>
      </c>
      <c r="E4047" s="13" t="s">
        <v>191</v>
      </c>
      <c r="F4047" s="13" t="s">
        <v>1314</v>
      </c>
      <c r="G4047" s="13">
        <v>0.69</v>
      </c>
      <c r="H4047" s="15">
        <v>2290</v>
      </c>
      <c r="I4047" s="16">
        <v>1580.1</v>
      </c>
      <c r="J4047" s="16">
        <v>1582</v>
      </c>
      <c r="K4047" s="16">
        <v>-1.9000000000000483</v>
      </c>
      <c r="L4047" s="13">
        <v>1.32</v>
      </c>
      <c r="M4047" s="13"/>
      <c r="N4047" s="17">
        <f t="shared" si="135"/>
        <v>3022.8</v>
      </c>
      <c r="O4047" s="17">
        <f t="shared" si="135"/>
        <v>0</v>
      </c>
      <c r="P4047" s="17">
        <f t="shared" si="134"/>
        <v>3022.8</v>
      </c>
      <c r="Q4047" t="str">
        <f>A4047&amp;"-"&amp;B4047&amp;"-"&amp;D4047</f>
        <v>SEPTEMBER-CVA-L5</v>
      </c>
    </row>
    <row r="4048" spans="1:17" x14ac:dyDescent="0.25">
      <c r="A4048" t="s">
        <v>399</v>
      </c>
      <c r="B4048" s="13" t="s">
        <v>23</v>
      </c>
      <c r="C4048" s="13" t="s">
        <v>201</v>
      </c>
      <c r="D4048" s="14" t="s">
        <v>163</v>
      </c>
      <c r="E4048" s="13" t="s">
        <v>191</v>
      </c>
      <c r="F4048" s="13" t="s">
        <v>1517</v>
      </c>
      <c r="G4048" s="13">
        <v>0.35000000000000003</v>
      </c>
      <c r="H4048" s="15">
        <v>9411</v>
      </c>
      <c r="I4048" s="16">
        <v>3293.85</v>
      </c>
      <c r="J4048" s="16">
        <v>5775</v>
      </c>
      <c r="K4048" s="16">
        <v>-2481.15</v>
      </c>
      <c r="L4048" s="13">
        <v>1.18</v>
      </c>
      <c r="M4048" s="13"/>
      <c r="N4048" s="17">
        <f t="shared" si="135"/>
        <v>11104.98</v>
      </c>
      <c r="O4048" s="17">
        <f t="shared" si="135"/>
        <v>0</v>
      </c>
      <c r="P4048" s="17">
        <f t="shared" si="134"/>
        <v>11104.98</v>
      </c>
      <c r="Q4048" t="str">
        <f>A4048&amp;"-"&amp;B4048&amp;"-"&amp;D4048</f>
        <v>SEPTEMBER-CVA-L6</v>
      </c>
    </row>
    <row r="4049" spans="1:17" x14ac:dyDescent="0.25">
      <c r="A4049" t="s">
        <v>399</v>
      </c>
      <c r="B4049" s="13" t="s">
        <v>23</v>
      </c>
      <c r="C4049" s="13" t="s">
        <v>201</v>
      </c>
      <c r="D4049" s="14" t="s">
        <v>163</v>
      </c>
      <c r="E4049" s="13" t="s">
        <v>191</v>
      </c>
      <c r="F4049" s="13" t="s">
        <v>1312</v>
      </c>
      <c r="G4049" s="13">
        <v>0.69</v>
      </c>
      <c r="H4049" s="15">
        <v>3122</v>
      </c>
      <c r="I4049" s="16">
        <v>2154.1800000000003</v>
      </c>
      <c r="J4049" s="16">
        <v>2011.5986301369862</v>
      </c>
      <c r="K4049" s="16">
        <v>142.58136986301372</v>
      </c>
      <c r="L4049" s="13">
        <v>1.57</v>
      </c>
      <c r="M4049" s="13"/>
      <c r="N4049" s="17">
        <f t="shared" si="135"/>
        <v>4901.54</v>
      </c>
      <c r="O4049" s="17">
        <f t="shared" si="135"/>
        <v>0</v>
      </c>
      <c r="P4049" s="17">
        <f t="shared" si="134"/>
        <v>4901.54</v>
      </c>
      <c r="Q4049" t="str">
        <f>A4049&amp;"-"&amp;B4049&amp;"-"&amp;D4049</f>
        <v>SEPTEMBER-CVA-L6</v>
      </c>
    </row>
    <row r="4050" spans="1:17" x14ac:dyDescent="0.25">
      <c r="A4050" t="s">
        <v>399</v>
      </c>
      <c r="B4050" s="13" t="s">
        <v>23</v>
      </c>
      <c r="C4050" s="13" t="s">
        <v>201</v>
      </c>
      <c r="D4050" s="14" t="s">
        <v>163</v>
      </c>
      <c r="E4050" s="13" t="s">
        <v>191</v>
      </c>
      <c r="F4050" s="13" t="s">
        <v>1519</v>
      </c>
      <c r="G4050" s="13">
        <v>0.39000000000000007</v>
      </c>
      <c r="H4050" s="15">
        <v>10283</v>
      </c>
      <c r="I4050" s="16">
        <v>4010.3700000000003</v>
      </c>
      <c r="J4050" s="16">
        <v>3080</v>
      </c>
      <c r="K4050" s="16">
        <v>930.37</v>
      </c>
      <c r="L4050" s="13">
        <v>1</v>
      </c>
      <c r="M4050" s="13"/>
      <c r="N4050" s="17">
        <f t="shared" si="135"/>
        <v>10283</v>
      </c>
      <c r="O4050" s="17">
        <f t="shared" si="135"/>
        <v>0</v>
      </c>
      <c r="P4050" s="17">
        <f t="shared" si="134"/>
        <v>10283</v>
      </c>
      <c r="Q4050" t="str">
        <f>A4050&amp;"-"&amp;B4050&amp;"-"&amp;D4050</f>
        <v>SEPTEMBER-CVA-L6</v>
      </c>
    </row>
    <row r="4051" spans="1:17" x14ac:dyDescent="0.25">
      <c r="A4051" t="s">
        <v>399</v>
      </c>
      <c r="B4051" s="13" t="s">
        <v>23</v>
      </c>
      <c r="C4051" s="13" t="s">
        <v>201</v>
      </c>
      <c r="D4051" s="14" t="s">
        <v>163</v>
      </c>
      <c r="E4051" s="13" t="s">
        <v>191</v>
      </c>
      <c r="F4051" s="13" t="s">
        <v>1314</v>
      </c>
      <c r="G4051" s="13">
        <v>0.69</v>
      </c>
      <c r="H4051" s="15">
        <v>2577</v>
      </c>
      <c r="I4051" s="16">
        <v>1778.13</v>
      </c>
      <c r="J4051" s="16">
        <v>1992.4013698630138</v>
      </c>
      <c r="K4051" s="16">
        <v>-214.27136986301366</v>
      </c>
      <c r="L4051" s="13">
        <v>1.32</v>
      </c>
      <c r="M4051" s="13"/>
      <c r="N4051" s="17">
        <f t="shared" si="135"/>
        <v>3401.6400000000003</v>
      </c>
      <c r="O4051" s="17">
        <f t="shared" si="135"/>
        <v>0</v>
      </c>
      <c r="P4051" s="17">
        <f t="shared" si="134"/>
        <v>3401.6400000000003</v>
      </c>
      <c r="Q4051" t="str">
        <f>A4051&amp;"-"&amp;B4051&amp;"-"&amp;D4051</f>
        <v>SEPTEMBER-CVA-L6</v>
      </c>
    </row>
    <row r="4052" spans="1:17" x14ac:dyDescent="0.25">
      <c r="A4052" t="s">
        <v>399</v>
      </c>
      <c r="B4052" s="13" t="s">
        <v>23</v>
      </c>
      <c r="C4052" s="13" t="s">
        <v>201</v>
      </c>
      <c r="D4052" s="14" t="s">
        <v>199</v>
      </c>
      <c r="E4052" s="13" t="s">
        <v>191</v>
      </c>
      <c r="F4052" s="13" t="s">
        <v>1516</v>
      </c>
      <c r="G4052" s="13">
        <v>0.39</v>
      </c>
      <c r="H4052" s="15">
        <v>1370</v>
      </c>
      <c r="I4052" s="16">
        <v>534.29999999999995</v>
      </c>
      <c r="J4052" s="16">
        <v>920.50471043928542</v>
      </c>
      <c r="K4052" s="16">
        <v>-386.20471043928541</v>
      </c>
      <c r="L4052" s="13">
        <v>1.1000000000000001</v>
      </c>
      <c r="M4052" s="13"/>
      <c r="N4052" s="17">
        <f t="shared" si="135"/>
        <v>1507.0000000000002</v>
      </c>
      <c r="O4052" s="17">
        <f t="shared" si="135"/>
        <v>0</v>
      </c>
      <c r="P4052" s="17">
        <f t="shared" si="134"/>
        <v>1507.0000000000002</v>
      </c>
      <c r="Q4052" t="str">
        <f>A4052&amp;"-"&amp;B4052&amp;"-"&amp;D4052</f>
        <v>SEPTEMBER-CVA-L9</v>
      </c>
    </row>
    <row r="4053" spans="1:17" x14ac:dyDescent="0.25">
      <c r="A4053" t="s">
        <v>399</v>
      </c>
      <c r="B4053" s="13" t="s">
        <v>23</v>
      </c>
      <c r="C4053" s="13" t="s">
        <v>201</v>
      </c>
      <c r="D4053" s="14" t="s">
        <v>199</v>
      </c>
      <c r="E4053" s="13" t="s">
        <v>191</v>
      </c>
      <c r="F4053" s="13" t="s">
        <v>1517</v>
      </c>
      <c r="G4053" s="13">
        <v>0.35000000000000003</v>
      </c>
      <c r="H4053" s="15">
        <v>4221</v>
      </c>
      <c r="I4053" s="16">
        <v>1477.35</v>
      </c>
      <c r="J4053" s="16">
        <v>2672.4745999055422</v>
      </c>
      <c r="K4053" s="16">
        <v>-1195.124599905542</v>
      </c>
      <c r="L4053" s="13">
        <v>1.18</v>
      </c>
      <c r="M4053" s="13"/>
      <c r="N4053" s="17">
        <f t="shared" si="135"/>
        <v>4980.78</v>
      </c>
      <c r="O4053" s="17">
        <f t="shared" si="135"/>
        <v>0</v>
      </c>
      <c r="P4053" s="17">
        <f t="shared" si="134"/>
        <v>4980.78</v>
      </c>
      <c r="Q4053" t="str">
        <f>A4053&amp;"-"&amp;B4053&amp;"-"&amp;D4053</f>
        <v>SEPTEMBER-CVA-L9</v>
      </c>
    </row>
    <row r="4054" spans="1:17" x14ac:dyDescent="0.25">
      <c r="A4054" t="s">
        <v>399</v>
      </c>
      <c r="B4054" s="13" t="s">
        <v>23</v>
      </c>
      <c r="C4054" s="13" t="s">
        <v>201</v>
      </c>
      <c r="D4054" s="14" t="s">
        <v>199</v>
      </c>
      <c r="E4054" s="13" t="s">
        <v>191</v>
      </c>
      <c r="F4054" s="13" t="s">
        <v>1155</v>
      </c>
      <c r="G4054" s="13">
        <v>0.33</v>
      </c>
      <c r="H4054" s="15">
        <v>6268</v>
      </c>
      <c r="I4054" s="16">
        <v>2068.44</v>
      </c>
      <c r="J4054" s="16">
        <v>2541</v>
      </c>
      <c r="K4054" s="16">
        <v>-472.56</v>
      </c>
      <c r="L4054" s="13">
        <v>1.1499999999999999</v>
      </c>
      <c r="M4054" s="13"/>
      <c r="N4054" s="17">
        <f t="shared" si="135"/>
        <v>7208.2</v>
      </c>
      <c r="O4054" s="17">
        <f t="shared" si="135"/>
        <v>0</v>
      </c>
      <c r="P4054" s="17">
        <f t="shared" si="134"/>
        <v>7208.2</v>
      </c>
      <c r="Q4054" t="str">
        <f>A4054&amp;"-"&amp;B4054&amp;"-"&amp;D4054</f>
        <v>SEPTEMBER-CVA-L9</v>
      </c>
    </row>
    <row r="4055" spans="1:17" x14ac:dyDescent="0.25">
      <c r="A4055" t="s">
        <v>399</v>
      </c>
      <c r="B4055" s="13" t="s">
        <v>23</v>
      </c>
      <c r="C4055" s="13" t="s">
        <v>201</v>
      </c>
      <c r="D4055" s="14" t="s">
        <v>199</v>
      </c>
      <c r="E4055" s="13" t="s">
        <v>191</v>
      </c>
      <c r="F4055" s="13" t="s">
        <v>1518</v>
      </c>
      <c r="G4055" s="13">
        <v>0.35</v>
      </c>
      <c r="H4055" s="15">
        <v>9123</v>
      </c>
      <c r="I4055" s="16">
        <v>3193.05</v>
      </c>
      <c r="J4055" s="16">
        <v>6186.0206896551726</v>
      </c>
      <c r="K4055" s="16">
        <v>-2992.9706896551725</v>
      </c>
      <c r="L4055" s="13">
        <v>1.08</v>
      </c>
      <c r="M4055" s="13"/>
      <c r="N4055" s="17">
        <f t="shared" si="135"/>
        <v>9852.84</v>
      </c>
      <c r="O4055" s="17">
        <f t="shared" si="135"/>
        <v>0</v>
      </c>
      <c r="P4055" s="17">
        <f t="shared" si="134"/>
        <v>9852.84</v>
      </c>
      <c r="Q4055" t="str">
        <f>A4055&amp;"-"&amp;B4055&amp;"-"&amp;D4055</f>
        <v>SEPTEMBER-CVA-L9</v>
      </c>
    </row>
    <row r="4056" spans="1:17" x14ac:dyDescent="0.25">
      <c r="A4056" t="s">
        <v>399</v>
      </c>
      <c r="B4056" s="13" t="s">
        <v>23</v>
      </c>
      <c r="C4056" s="13" t="s">
        <v>201</v>
      </c>
      <c r="D4056" s="14" t="s">
        <v>199</v>
      </c>
      <c r="E4056" s="13" t="s">
        <v>191</v>
      </c>
      <c r="F4056" s="13" t="s">
        <v>1156</v>
      </c>
      <c r="G4056" s="13">
        <v>0.33</v>
      </c>
      <c r="H4056" s="15">
        <v>71</v>
      </c>
      <c r="I4056" s="16">
        <v>23.43</v>
      </c>
      <c r="J4056" s="16">
        <v>539</v>
      </c>
      <c r="K4056" s="16">
        <v>-515.57000000000005</v>
      </c>
      <c r="L4056" s="13">
        <v>1.1000000000000001</v>
      </c>
      <c r="M4056" s="13"/>
      <c r="N4056" s="17">
        <f t="shared" si="135"/>
        <v>78.100000000000009</v>
      </c>
      <c r="O4056" s="17">
        <f t="shared" si="135"/>
        <v>0</v>
      </c>
      <c r="P4056" s="17">
        <f t="shared" si="134"/>
        <v>78.100000000000009</v>
      </c>
      <c r="Q4056" t="str">
        <f>A4056&amp;"-"&amp;B4056&amp;"-"&amp;D4056</f>
        <v>SEPTEMBER-CVA-L9</v>
      </c>
    </row>
    <row r="4057" spans="1:17" x14ac:dyDescent="0.25">
      <c r="A4057" t="s">
        <v>399</v>
      </c>
      <c r="B4057" s="13" t="s">
        <v>24</v>
      </c>
      <c r="C4057" s="13" t="s">
        <v>226</v>
      </c>
      <c r="D4057" s="14" t="s">
        <v>219</v>
      </c>
      <c r="E4057" s="13" t="s">
        <v>61</v>
      </c>
      <c r="F4057" s="13" t="s">
        <v>1520</v>
      </c>
      <c r="G4057" s="13">
        <v>0.68</v>
      </c>
      <c r="H4057" s="15">
        <v>8690</v>
      </c>
      <c r="I4057" s="16">
        <v>5909.2</v>
      </c>
      <c r="J4057" s="16">
        <v>3574.5966338517187</v>
      </c>
      <c r="K4057" s="16">
        <v>2334.6033661482811</v>
      </c>
      <c r="L4057" s="13">
        <v>1.82</v>
      </c>
      <c r="M4057" s="13"/>
      <c r="N4057" s="17">
        <f t="shared" si="135"/>
        <v>15815.800000000001</v>
      </c>
      <c r="O4057" s="17">
        <f t="shared" si="135"/>
        <v>0</v>
      </c>
      <c r="P4057" s="17">
        <f t="shared" si="134"/>
        <v>15815.800000000001</v>
      </c>
      <c r="Q4057" t="str">
        <f>A4057&amp;"-"&amp;B4057&amp;"-"&amp;D4057</f>
        <v>SEPTEMBER-KLB-L1A</v>
      </c>
    </row>
    <row r="4058" spans="1:17" x14ac:dyDescent="0.25">
      <c r="A4058" t="s">
        <v>399</v>
      </c>
      <c r="B4058" s="13" t="s">
        <v>24</v>
      </c>
      <c r="C4058" s="13" t="s">
        <v>226</v>
      </c>
      <c r="D4058" s="14" t="s">
        <v>219</v>
      </c>
      <c r="E4058" s="13" t="s">
        <v>61</v>
      </c>
      <c r="F4058" s="13" t="s">
        <v>1521</v>
      </c>
      <c r="G4058" s="13">
        <v>0.68</v>
      </c>
      <c r="H4058" s="15">
        <v>2670</v>
      </c>
      <c r="I4058" s="16">
        <v>1815.6</v>
      </c>
      <c r="J4058" s="16">
        <v>1277.6858587770778</v>
      </c>
      <c r="K4058" s="16">
        <v>537.91414122292235</v>
      </c>
      <c r="L4058" s="13">
        <v>1.69</v>
      </c>
      <c r="M4058" s="13"/>
      <c r="N4058" s="17">
        <f t="shared" si="135"/>
        <v>4512.3</v>
      </c>
      <c r="O4058" s="17">
        <f t="shared" si="135"/>
        <v>0</v>
      </c>
      <c r="P4058" s="17">
        <f t="shared" si="134"/>
        <v>4512.3</v>
      </c>
      <c r="Q4058" t="str">
        <f>A4058&amp;"-"&amp;B4058&amp;"-"&amp;D4058</f>
        <v>SEPTEMBER-KLB-L1A</v>
      </c>
    </row>
    <row r="4059" spans="1:17" x14ac:dyDescent="0.25">
      <c r="A4059" t="s">
        <v>399</v>
      </c>
      <c r="B4059" s="13" t="s">
        <v>24</v>
      </c>
      <c r="C4059" s="13" t="s">
        <v>226</v>
      </c>
      <c r="D4059" s="14" t="s">
        <v>219</v>
      </c>
      <c r="E4059" s="13" t="s">
        <v>61</v>
      </c>
      <c r="F4059" s="13" t="s">
        <v>1522</v>
      </c>
      <c r="G4059" s="13">
        <v>0.66</v>
      </c>
      <c r="H4059" s="15">
        <v>15</v>
      </c>
      <c r="I4059" s="16">
        <v>9.9</v>
      </c>
      <c r="J4059" s="16">
        <v>5.762312633832976</v>
      </c>
      <c r="K4059" s="16">
        <v>4.1376873661670244</v>
      </c>
      <c r="L4059" s="13">
        <v>1.97</v>
      </c>
      <c r="M4059" s="13"/>
      <c r="N4059" s="17">
        <f t="shared" si="135"/>
        <v>29.55</v>
      </c>
      <c r="O4059" s="17">
        <f t="shared" si="135"/>
        <v>0</v>
      </c>
      <c r="P4059" s="17">
        <f t="shared" si="134"/>
        <v>29.55</v>
      </c>
      <c r="Q4059" t="str">
        <f>A4059&amp;"-"&amp;B4059&amp;"-"&amp;D4059</f>
        <v>SEPTEMBER-KLB-L1A</v>
      </c>
    </row>
    <row r="4060" spans="1:17" x14ac:dyDescent="0.25">
      <c r="A4060" t="s">
        <v>399</v>
      </c>
      <c r="B4060" s="13" t="s">
        <v>24</v>
      </c>
      <c r="C4060" s="13" t="s">
        <v>226</v>
      </c>
      <c r="D4060" s="14" t="s">
        <v>219</v>
      </c>
      <c r="E4060" s="13" t="s">
        <v>61</v>
      </c>
      <c r="F4060" s="13" t="s">
        <v>1523</v>
      </c>
      <c r="G4060" s="13">
        <v>0.65</v>
      </c>
      <c r="H4060" s="15">
        <v>340</v>
      </c>
      <c r="I4060" s="16">
        <v>221</v>
      </c>
      <c r="J4060" s="16">
        <v>148.04854368932041</v>
      </c>
      <c r="K4060" s="16">
        <v>72.951456310679589</v>
      </c>
      <c r="L4060" s="13">
        <v>1.81</v>
      </c>
      <c r="M4060" s="13"/>
      <c r="N4060" s="17">
        <f t="shared" si="135"/>
        <v>615.4</v>
      </c>
      <c r="O4060" s="17">
        <f t="shared" si="135"/>
        <v>0</v>
      </c>
      <c r="P4060" s="17">
        <f t="shared" si="134"/>
        <v>615.4</v>
      </c>
      <c r="Q4060" t="str">
        <f>A4060&amp;"-"&amp;B4060&amp;"-"&amp;D4060</f>
        <v>SEPTEMBER-KLB-L1A</v>
      </c>
    </row>
    <row r="4061" spans="1:17" x14ac:dyDescent="0.25">
      <c r="A4061" t="s">
        <v>399</v>
      </c>
      <c r="B4061" s="13" t="s">
        <v>24</v>
      </c>
      <c r="C4061" s="13" t="s">
        <v>226</v>
      </c>
      <c r="D4061" s="14" t="s">
        <v>219</v>
      </c>
      <c r="E4061" s="13" t="s">
        <v>61</v>
      </c>
      <c r="F4061" s="13" t="s">
        <v>1524</v>
      </c>
      <c r="G4061" s="13">
        <v>0.68</v>
      </c>
      <c r="H4061" s="15">
        <v>4285</v>
      </c>
      <c r="I4061" s="16">
        <v>2913.8000000000006</v>
      </c>
      <c r="J4061" s="16">
        <v>1794.4379620850752</v>
      </c>
      <c r="K4061" s="16">
        <v>1119.3620379149249</v>
      </c>
      <c r="L4061" s="13">
        <v>1.82</v>
      </c>
      <c r="M4061" s="13"/>
      <c r="N4061" s="17">
        <f t="shared" si="135"/>
        <v>7798.7</v>
      </c>
      <c r="O4061" s="17">
        <f t="shared" si="135"/>
        <v>0</v>
      </c>
      <c r="P4061" s="17">
        <f t="shared" si="134"/>
        <v>7798.7</v>
      </c>
      <c r="Q4061" t="str">
        <f>A4061&amp;"-"&amp;B4061&amp;"-"&amp;D4061</f>
        <v>SEPTEMBER-KLB-L1A</v>
      </c>
    </row>
    <row r="4062" spans="1:17" x14ac:dyDescent="0.25">
      <c r="A4062" t="s">
        <v>399</v>
      </c>
      <c r="B4062" s="13" t="s">
        <v>24</v>
      </c>
      <c r="C4062" s="13" t="s">
        <v>226</v>
      </c>
      <c r="D4062" s="14" t="s">
        <v>219</v>
      </c>
      <c r="E4062" s="13" t="s">
        <v>61</v>
      </c>
      <c r="F4062" s="13" t="s">
        <v>1525</v>
      </c>
      <c r="G4062" s="13">
        <v>0.66</v>
      </c>
      <c r="H4062" s="15">
        <v>10</v>
      </c>
      <c r="I4062" s="16">
        <v>6.6</v>
      </c>
      <c r="J4062" s="16">
        <v>4.4850000000000003</v>
      </c>
      <c r="K4062" s="16">
        <v>2.1149999999999993</v>
      </c>
      <c r="L4062" s="13">
        <v>1.97</v>
      </c>
      <c r="M4062" s="13"/>
      <c r="N4062" s="17">
        <f t="shared" si="135"/>
        <v>19.7</v>
      </c>
      <c r="O4062" s="17">
        <f t="shared" si="135"/>
        <v>0</v>
      </c>
      <c r="P4062" s="17">
        <f t="shared" si="134"/>
        <v>19.7</v>
      </c>
      <c r="Q4062" t="str">
        <f>A4062&amp;"-"&amp;B4062&amp;"-"&amp;D4062</f>
        <v>SEPTEMBER-KLB-L1A</v>
      </c>
    </row>
    <row r="4063" spans="1:17" x14ac:dyDescent="0.25">
      <c r="A4063" t="s">
        <v>399</v>
      </c>
      <c r="B4063" s="13" t="s">
        <v>24</v>
      </c>
      <c r="C4063" s="13" t="s">
        <v>226</v>
      </c>
      <c r="D4063" s="14" t="s">
        <v>219</v>
      </c>
      <c r="E4063" s="13" t="s">
        <v>61</v>
      </c>
      <c r="F4063" s="13" t="s">
        <v>1526</v>
      </c>
      <c r="G4063" s="13">
        <v>0.68</v>
      </c>
      <c r="H4063" s="15">
        <v>4100</v>
      </c>
      <c r="I4063" s="16">
        <v>2788.0000000000005</v>
      </c>
      <c r="J4063" s="16">
        <v>1995.2794138144086</v>
      </c>
      <c r="K4063" s="16">
        <v>792.72058618559129</v>
      </c>
      <c r="L4063" s="13">
        <v>1.69</v>
      </c>
      <c r="M4063" s="13"/>
      <c r="N4063" s="17">
        <f t="shared" si="135"/>
        <v>6929</v>
      </c>
      <c r="O4063" s="17">
        <f t="shared" si="135"/>
        <v>0</v>
      </c>
      <c r="P4063" s="17">
        <f t="shared" si="134"/>
        <v>6929</v>
      </c>
      <c r="Q4063" t="str">
        <f>A4063&amp;"-"&amp;B4063&amp;"-"&amp;D4063</f>
        <v>SEPTEMBER-KLB-L1A</v>
      </c>
    </row>
    <row r="4064" spans="1:17" x14ac:dyDescent="0.25">
      <c r="A4064" t="s">
        <v>399</v>
      </c>
      <c r="B4064" s="13" t="s">
        <v>24</v>
      </c>
      <c r="C4064" s="13" t="s">
        <v>226</v>
      </c>
      <c r="D4064" s="14" t="s">
        <v>219</v>
      </c>
      <c r="E4064" s="13" t="s">
        <v>61</v>
      </c>
      <c r="F4064" s="13" t="s">
        <v>1527</v>
      </c>
      <c r="G4064" s="13">
        <v>0.65</v>
      </c>
      <c r="H4064" s="15">
        <v>150</v>
      </c>
      <c r="I4064" s="16">
        <v>97.5</v>
      </c>
      <c r="J4064" s="16">
        <v>79.615384615384613</v>
      </c>
      <c r="K4064" s="16">
        <v>17.884615384615387</v>
      </c>
      <c r="L4064" s="13">
        <v>1.81</v>
      </c>
      <c r="M4064" s="13"/>
      <c r="N4064" s="17">
        <f t="shared" si="135"/>
        <v>271.5</v>
      </c>
      <c r="O4064" s="17">
        <f t="shared" si="135"/>
        <v>0</v>
      </c>
      <c r="P4064" s="17">
        <f t="shared" si="134"/>
        <v>271.5</v>
      </c>
      <c r="Q4064" t="str">
        <f>A4064&amp;"-"&amp;B4064&amp;"-"&amp;D4064</f>
        <v>SEPTEMBER-KLB-L1A</v>
      </c>
    </row>
    <row r="4065" spans="1:17" x14ac:dyDescent="0.25">
      <c r="A4065" t="s">
        <v>399</v>
      </c>
      <c r="B4065" s="13" t="s">
        <v>24</v>
      </c>
      <c r="C4065" s="13" t="s">
        <v>226</v>
      </c>
      <c r="D4065" s="14" t="s">
        <v>219</v>
      </c>
      <c r="E4065" s="13" t="s">
        <v>61</v>
      </c>
      <c r="F4065" s="13" t="s">
        <v>1320</v>
      </c>
      <c r="G4065" s="13">
        <v>0.68</v>
      </c>
      <c r="H4065" s="15">
        <v>8685</v>
      </c>
      <c r="I4065" s="16">
        <v>5905.8</v>
      </c>
      <c r="J4065" s="16">
        <v>3584.1</v>
      </c>
      <c r="K4065" s="16">
        <v>2321.6999999999998</v>
      </c>
      <c r="L4065" s="13">
        <v>1.82</v>
      </c>
      <c r="M4065" s="13"/>
      <c r="N4065" s="17">
        <f t="shared" si="135"/>
        <v>15806.7</v>
      </c>
      <c r="O4065" s="17">
        <f t="shared" si="135"/>
        <v>0</v>
      </c>
      <c r="P4065" s="17">
        <f t="shared" si="134"/>
        <v>15806.7</v>
      </c>
      <c r="Q4065" t="str">
        <f>A4065&amp;"-"&amp;B4065&amp;"-"&amp;D4065</f>
        <v>SEPTEMBER-KLB-L1A</v>
      </c>
    </row>
    <row r="4066" spans="1:17" x14ac:dyDescent="0.25">
      <c r="A4066" t="s">
        <v>399</v>
      </c>
      <c r="B4066" s="13" t="s">
        <v>24</v>
      </c>
      <c r="C4066" s="13" t="s">
        <v>226</v>
      </c>
      <c r="D4066" s="14" t="s">
        <v>219</v>
      </c>
      <c r="E4066" s="13" t="s">
        <v>61</v>
      </c>
      <c r="F4066" s="13" t="s">
        <v>1528</v>
      </c>
      <c r="G4066" s="13">
        <v>0.68</v>
      </c>
      <c r="H4066" s="15">
        <v>4220</v>
      </c>
      <c r="I4066" s="16">
        <v>2869.6</v>
      </c>
      <c r="J4066" s="16">
        <v>1803.6038543897216</v>
      </c>
      <c r="K4066" s="16">
        <v>1065.9961456102783</v>
      </c>
      <c r="L4066" s="13">
        <v>1.82</v>
      </c>
      <c r="M4066" s="13"/>
      <c r="N4066" s="17">
        <f t="shared" si="135"/>
        <v>7680.4000000000005</v>
      </c>
      <c r="O4066" s="17">
        <f t="shared" si="135"/>
        <v>0</v>
      </c>
      <c r="P4066" s="17">
        <f t="shared" si="134"/>
        <v>7680.4000000000005</v>
      </c>
      <c r="Q4066" t="str">
        <f>A4066&amp;"-"&amp;B4066&amp;"-"&amp;D4066</f>
        <v>SEPTEMBER-KLB-L1A</v>
      </c>
    </row>
    <row r="4067" spans="1:17" x14ac:dyDescent="0.25">
      <c r="A4067" t="s">
        <v>399</v>
      </c>
      <c r="B4067" s="13" t="s">
        <v>24</v>
      </c>
      <c r="C4067" s="13" t="s">
        <v>226</v>
      </c>
      <c r="D4067" s="14" t="s">
        <v>219</v>
      </c>
      <c r="E4067" s="13" t="s">
        <v>61</v>
      </c>
      <c r="F4067" s="13" t="s">
        <v>1529</v>
      </c>
      <c r="G4067" s="13">
        <v>0.68</v>
      </c>
      <c r="H4067" s="15">
        <v>15</v>
      </c>
      <c r="I4067" s="16">
        <v>10.199999999999999</v>
      </c>
      <c r="J4067" s="16">
        <v>6.5315533980582527</v>
      </c>
      <c r="K4067" s="16">
        <v>3.6684466019417465</v>
      </c>
      <c r="L4067" s="13">
        <v>1.69</v>
      </c>
      <c r="M4067" s="13"/>
      <c r="N4067" s="17">
        <f t="shared" si="135"/>
        <v>25.349999999999998</v>
      </c>
      <c r="O4067" s="17">
        <f t="shared" si="135"/>
        <v>0</v>
      </c>
      <c r="P4067" s="17">
        <f t="shared" si="134"/>
        <v>25.349999999999998</v>
      </c>
      <c r="Q4067" t="str">
        <f>A4067&amp;"-"&amp;B4067&amp;"-"&amp;D4067</f>
        <v>SEPTEMBER-KLB-L1A</v>
      </c>
    </row>
    <row r="4068" spans="1:17" x14ac:dyDescent="0.25">
      <c r="A4068" t="s">
        <v>399</v>
      </c>
      <c r="B4068" s="13" t="s">
        <v>24</v>
      </c>
      <c r="C4068" s="13" t="s">
        <v>226</v>
      </c>
      <c r="D4068" s="14" t="s">
        <v>219</v>
      </c>
      <c r="E4068" s="13" t="s">
        <v>61</v>
      </c>
      <c r="F4068" s="13" t="s">
        <v>1530</v>
      </c>
      <c r="G4068" s="13">
        <v>0.66</v>
      </c>
      <c r="H4068" s="15">
        <v>10</v>
      </c>
      <c r="I4068" s="16">
        <v>6.6</v>
      </c>
      <c r="J4068" s="16">
        <v>3.9</v>
      </c>
      <c r="K4068" s="16">
        <v>2.6999999999999997</v>
      </c>
      <c r="L4068" s="13">
        <v>1.97</v>
      </c>
      <c r="M4068" s="13"/>
      <c r="N4068" s="17">
        <f t="shared" si="135"/>
        <v>19.7</v>
      </c>
      <c r="O4068" s="17">
        <f t="shared" si="135"/>
        <v>0</v>
      </c>
      <c r="P4068" s="17">
        <f t="shared" si="134"/>
        <v>19.7</v>
      </c>
      <c r="Q4068" t="str">
        <f>A4068&amp;"-"&amp;B4068&amp;"-"&amp;D4068</f>
        <v>SEPTEMBER-KLB-L1A</v>
      </c>
    </row>
    <row r="4069" spans="1:17" x14ac:dyDescent="0.25">
      <c r="A4069" t="s">
        <v>399</v>
      </c>
      <c r="B4069" s="13" t="s">
        <v>24</v>
      </c>
      <c r="C4069" s="13" t="s">
        <v>226</v>
      </c>
      <c r="D4069" s="14" t="s">
        <v>219</v>
      </c>
      <c r="E4069" s="13" t="s">
        <v>61</v>
      </c>
      <c r="F4069" s="13" t="s">
        <v>1531</v>
      </c>
      <c r="G4069" s="13">
        <v>0.79999999999999993</v>
      </c>
      <c r="H4069" s="15">
        <v>7970</v>
      </c>
      <c r="I4069" s="16">
        <v>6376</v>
      </c>
      <c r="J4069" s="16">
        <v>3661.9534827454022</v>
      </c>
      <c r="K4069" s="16">
        <v>2714.0465172545978</v>
      </c>
      <c r="L4069" s="13">
        <v>2.1</v>
      </c>
      <c r="M4069" s="13"/>
      <c r="N4069" s="17">
        <f t="shared" si="135"/>
        <v>16737</v>
      </c>
      <c r="O4069" s="17">
        <f t="shared" si="135"/>
        <v>0</v>
      </c>
      <c r="P4069" s="17">
        <f t="shared" si="134"/>
        <v>16737</v>
      </c>
      <c r="Q4069" t="str">
        <f>A4069&amp;"-"&amp;B4069&amp;"-"&amp;D4069</f>
        <v>SEPTEMBER-KLB-L1A</v>
      </c>
    </row>
    <row r="4070" spans="1:17" x14ac:dyDescent="0.25">
      <c r="A4070" t="s">
        <v>399</v>
      </c>
      <c r="B4070" s="13" t="s">
        <v>24</v>
      </c>
      <c r="C4070" s="13" t="s">
        <v>226</v>
      </c>
      <c r="D4070" s="14" t="s">
        <v>221</v>
      </c>
      <c r="E4070" s="13" t="s">
        <v>61</v>
      </c>
      <c r="F4070" s="13" t="s">
        <v>1520</v>
      </c>
      <c r="G4070" s="13">
        <v>0.68</v>
      </c>
      <c r="H4070" s="15">
        <v>10680</v>
      </c>
      <c r="I4070" s="16">
        <v>7262.4000000000005</v>
      </c>
      <c r="J4070" s="16">
        <v>4136.3639855142146</v>
      </c>
      <c r="K4070" s="16">
        <v>3126.036014485785</v>
      </c>
      <c r="L4070" s="13">
        <v>1.82</v>
      </c>
      <c r="M4070" s="13"/>
      <c r="N4070" s="17">
        <f t="shared" si="135"/>
        <v>19437.600000000002</v>
      </c>
      <c r="O4070" s="17">
        <f t="shared" si="135"/>
        <v>0</v>
      </c>
      <c r="P4070" s="17">
        <f t="shared" si="134"/>
        <v>19437.600000000002</v>
      </c>
      <c r="Q4070" t="str">
        <f>A4070&amp;"-"&amp;B4070&amp;"-"&amp;D4070</f>
        <v>SEPTEMBER-KLB-L1B</v>
      </c>
    </row>
    <row r="4071" spans="1:17" x14ac:dyDescent="0.25">
      <c r="A4071" t="s">
        <v>399</v>
      </c>
      <c r="B4071" s="13" t="s">
        <v>24</v>
      </c>
      <c r="C4071" s="13" t="s">
        <v>226</v>
      </c>
      <c r="D4071" s="14" t="s">
        <v>221</v>
      </c>
      <c r="E4071" s="13" t="s">
        <v>61</v>
      </c>
      <c r="F4071" s="13" t="s">
        <v>1521</v>
      </c>
      <c r="G4071" s="13">
        <v>0.68</v>
      </c>
      <c r="H4071" s="15">
        <v>1985</v>
      </c>
      <c r="I4071" s="16">
        <v>1349.8</v>
      </c>
      <c r="J4071" s="16">
        <v>883.64516129032256</v>
      </c>
      <c r="K4071" s="16">
        <v>466.15483870967739</v>
      </c>
      <c r="L4071" s="13">
        <v>1.69</v>
      </c>
      <c r="M4071" s="13"/>
      <c r="N4071" s="17">
        <f t="shared" si="135"/>
        <v>3354.65</v>
      </c>
      <c r="O4071" s="17">
        <f t="shared" si="135"/>
        <v>0</v>
      </c>
      <c r="P4071" s="17">
        <f t="shared" si="134"/>
        <v>3354.65</v>
      </c>
      <c r="Q4071" t="str">
        <f>A4071&amp;"-"&amp;B4071&amp;"-"&amp;D4071</f>
        <v>SEPTEMBER-KLB-L1B</v>
      </c>
    </row>
    <row r="4072" spans="1:17" x14ac:dyDescent="0.25">
      <c r="A4072" t="s">
        <v>399</v>
      </c>
      <c r="B4072" s="13" t="s">
        <v>24</v>
      </c>
      <c r="C4072" s="13" t="s">
        <v>226</v>
      </c>
      <c r="D4072" s="14" t="s">
        <v>221</v>
      </c>
      <c r="E4072" s="13" t="s">
        <v>61</v>
      </c>
      <c r="F4072" s="13" t="s">
        <v>1522</v>
      </c>
      <c r="G4072" s="13">
        <v>0.66</v>
      </c>
      <c r="H4072" s="15">
        <v>1105</v>
      </c>
      <c r="I4072" s="16">
        <v>729.3</v>
      </c>
      <c r="J4072" s="16">
        <v>439.43258921634646</v>
      </c>
      <c r="K4072" s="16">
        <v>289.86741078365355</v>
      </c>
      <c r="L4072" s="13">
        <v>1.97</v>
      </c>
      <c r="M4072" s="13"/>
      <c r="N4072" s="17">
        <f t="shared" si="135"/>
        <v>2176.85</v>
      </c>
      <c r="O4072" s="17">
        <f t="shared" si="135"/>
        <v>0</v>
      </c>
      <c r="P4072" s="17">
        <f t="shared" si="134"/>
        <v>2176.85</v>
      </c>
      <c r="Q4072" t="str">
        <f>A4072&amp;"-"&amp;B4072&amp;"-"&amp;D4072</f>
        <v>SEPTEMBER-KLB-L1B</v>
      </c>
    </row>
    <row r="4073" spans="1:17" x14ac:dyDescent="0.25">
      <c r="A4073" t="s">
        <v>399</v>
      </c>
      <c r="B4073" s="13" t="s">
        <v>24</v>
      </c>
      <c r="C4073" s="13" t="s">
        <v>226</v>
      </c>
      <c r="D4073" s="14" t="s">
        <v>221</v>
      </c>
      <c r="E4073" s="13" t="s">
        <v>61</v>
      </c>
      <c r="F4073" s="13" t="s">
        <v>1523</v>
      </c>
      <c r="G4073" s="13">
        <v>0.65</v>
      </c>
      <c r="H4073" s="15">
        <v>25</v>
      </c>
      <c r="I4073" s="16">
        <v>16.25</v>
      </c>
      <c r="J4073" s="16">
        <v>11.129032258064516</v>
      </c>
      <c r="K4073" s="16">
        <v>5.120967741935484</v>
      </c>
      <c r="L4073" s="13">
        <v>1.81</v>
      </c>
      <c r="M4073" s="13"/>
      <c r="N4073" s="17">
        <f t="shared" si="135"/>
        <v>45.25</v>
      </c>
      <c r="O4073" s="17">
        <f t="shared" si="135"/>
        <v>0</v>
      </c>
      <c r="P4073" s="17">
        <f t="shared" si="134"/>
        <v>45.25</v>
      </c>
      <c r="Q4073" t="str">
        <f>A4073&amp;"-"&amp;B4073&amp;"-"&amp;D4073</f>
        <v>SEPTEMBER-KLB-L1B</v>
      </c>
    </row>
    <row r="4074" spans="1:17" x14ac:dyDescent="0.25">
      <c r="A4074" t="s">
        <v>399</v>
      </c>
      <c r="B4074" s="13" t="s">
        <v>24</v>
      </c>
      <c r="C4074" s="13" t="s">
        <v>226</v>
      </c>
      <c r="D4074" s="14" t="s">
        <v>221</v>
      </c>
      <c r="E4074" s="13" t="s">
        <v>61</v>
      </c>
      <c r="F4074" s="13" t="s">
        <v>1524</v>
      </c>
      <c r="G4074" s="13">
        <v>0.68</v>
      </c>
      <c r="H4074" s="15">
        <v>2365</v>
      </c>
      <c r="I4074" s="16">
        <v>1608.2</v>
      </c>
      <c r="J4074" s="16">
        <v>1092.7051886792453</v>
      </c>
      <c r="K4074" s="16">
        <v>515.49481132075471</v>
      </c>
      <c r="L4074" s="13">
        <v>1.82</v>
      </c>
      <c r="M4074" s="13"/>
      <c r="N4074" s="17">
        <f t="shared" si="135"/>
        <v>4304.3</v>
      </c>
      <c r="O4074" s="17">
        <f t="shared" si="135"/>
        <v>0</v>
      </c>
      <c r="P4074" s="17">
        <f t="shared" si="134"/>
        <v>4304.3</v>
      </c>
      <c r="Q4074" t="str">
        <f>A4074&amp;"-"&amp;B4074&amp;"-"&amp;D4074</f>
        <v>SEPTEMBER-KLB-L1B</v>
      </c>
    </row>
    <row r="4075" spans="1:17" x14ac:dyDescent="0.25">
      <c r="A4075" t="s">
        <v>399</v>
      </c>
      <c r="B4075" s="13" t="s">
        <v>24</v>
      </c>
      <c r="C4075" s="13" t="s">
        <v>226</v>
      </c>
      <c r="D4075" s="14" t="s">
        <v>221</v>
      </c>
      <c r="E4075" s="13" t="s">
        <v>61</v>
      </c>
      <c r="F4075" s="13" t="s">
        <v>1525</v>
      </c>
      <c r="G4075" s="13">
        <v>0.66</v>
      </c>
      <c r="H4075" s="15">
        <v>350</v>
      </c>
      <c r="I4075" s="16">
        <v>231</v>
      </c>
      <c r="J4075" s="16">
        <v>148.57405660377358</v>
      </c>
      <c r="K4075" s="16">
        <v>82.425943396226401</v>
      </c>
      <c r="L4075" s="13">
        <v>1.97</v>
      </c>
      <c r="M4075" s="13"/>
      <c r="N4075" s="17">
        <f t="shared" si="135"/>
        <v>689.5</v>
      </c>
      <c r="O4075" s="17">
        <f t="shared" si="135"/>
        <v>0</v>
      </c>
      <c r="P4075" s="17">
        <f t="shared" si="134"/>
        <v>689.5</v>
      </c>
      <c r="Q4075" t="str">
        <f>A4075&amp;"-"&amp;B4075&amp;"-"&amp;D4075</f>
        <v>SEPTEMBER-KLB-L1B</v>
      </c>
    </row>
    <row r="4076" spans="1:17" x14ac:dyDescent="0.25">
      <c r="A4076" t="s">
        <v>399</v>
      </c>
      <c r="B4076" s="13" t="s">
        <v>24</v>
      </c>
      <c r="C4076" s="13" t="s">
        <v>226</v>
      </c>
      <c r="D4076" s="14" t="s">
        <v>221</v>
      </c>
      <c r="E4076" s="13" t="s">
        <v>61</v>
      </c>
      <c r="F4076" s="13" t="s">
        <v>1526</v>
      </c>
      <c r="G4076" s="13">
        <v>0.68</v>
      </c>
      <c r="H4076" s="15">
        <v>4130</v>
      </c>
      <c r="I4076" s="16">
        <v>2808.4</v>
      </c>
      <c r="J4076" s="16">
        <v>1761.0944302453036</v>
      </c>
      <c r="K4076" s="16">
        <v>1047.3055697546965</v>
      </c>
      <c r="L4076" s="13">
        <v>1.69</v>
      </c>
      <c r="M4076" s="13"/>
      <c r="N4076" s="17">
        <f t="shared" si="135"/>
        <v>6979.7</v>
      </c>
      <c r="O4076" s="17">
        <f t="shared" si="135"/>
        <v>0</v>
      </c>
      <c r="P4076" s="17">
        <f t="shared" si="134"/>
        <v>6979.7</v>
      </c>
      <c r="Q4076" t="str">
        <f>A4076&amp;"-"&amp;B4076&amp;"-"&amp;D4076</f>
        <v>SEPTEMBER-KLB-L1B</v>
      </c>
    </row>
    <row r="4077" spans="1:17" x14ac:dyDescent="0.25">
      <c r="A4077" t="s">
        <v>399</v>
      </c>
      <c r="B4077" s="13" t="s">
        <v>24</v>
      </c>
      <c r="C4077" s="13" t="s">
        <v>226</v>
      </c>
      <c r="D4077" s="14" t="s">
        <v>221</v>
      </c>
      <c r="E4077" s="13" t="s">
        <v>61</v>
      </c>
      <c r="F4077" s="13" t="s">
        <v>1527</v>
      </c>
      <c r="G4077" s="13">
        <v>0.65</v>
      </c>
      <c r="H4077" s="15">
        <v>220</v>
      </c>
      <c r="I4077" s="16">
        <v>143</v>
      </c>
      <c r="J4077" s="16">
        <v>98.760082023239917</v>
      </c>
      <c r="K4077" s="16">
        <v>44.239917976760083</v>
      </c>
      <c r="L4077" s="13">
        <v>1.81</v>
      </c>
      <c r="M4077" s="13"/>
      <c r="N4077" s="17">
        <f t="shared" si="135"/>
        <v>398.2</v>
      </c>
      <c r="O4077" s="17">
        <f t="shared" si="135"/>
        <v>0</v>
      </c>
      <c r="P4077" s="17">
        <f t="shared" si="134"/>
        <v>398.2</v>
      </c>
      <c r="Q4077" t="str">
        <f>A4077&amp;"-"&amp;B4077&amp;"-"&amp;D4077</f>
        <v>SEPTEMBER-KLB-L1B</v>
      </c>
    </row>
    <row r="4078" spans="1:17" x14ac:dyDescent="0.25">
      <c r="A4078" t="s">
        <v>399</v>
      </c>
      <c r="B4078" s="13" t="s">
        <v>24</v>
      </c>
      <c r="C4078" s="13" t="s">
        <v>226</v>
      </c>
      <c r="D4078" s="14" t="s">
        <v>221</v>
      </c>
      <c r="E4078" s="13" t="s">
        <v>61</v>
      </c>
      <c r="F4078" s="13" t="s">
        <v>1320</v>
      </c>
      <c r="G4078" s="13">
        <v>0.68</v>
      </c>
      <c r="H4078" s="15">
        <v>7785</v>
      </c>
      <c r="I4078" s="16">
        <v>5293.7999999999993</v>
      </c>
      <c r="J4078" s="16">
        <v>2982.9116379310344</v>
      </c>
      <c r="K4078" s="16">
        <v>2310.8883620689653</v>
      </c>
      <c r="L4078" s="13">
        <v>1.82</v>
      </c>
      <c r="M4078" s="13"/>
      <c r="N4078" s="17">
        <f t="shared" si="135"/>
        <v>14168.7</v>
      </c>
      <c r="O4078" s="17">
        <f t="shared" si="135"/>
        <v>0</v>
      </c>
      <c r="P4078" s="17">
        <f t="shared" si="134"/>
        <v>14168.7</v>
      </c>
      <c r="Q4078" t="str">
        <f>A4078&amp;"-"&amp;B4078&amp;"-"&amp;D4078</f>
        <v>SEPTEMBER-KLB-L1B</v>
      </c>
    </row>
    <row r="4079" spans="1:17" x14ac:dyDescent="0.25">
      <c r="A4079" t="s">
        <v>399</v>
      </c>
      <c r="B4079" s="13" t="s">
        <v>24</v>
      </c>
      <c r="C4079" s="13" t="s">
        <v>226</v>
      </c>
      <c r="D4079" s="14" t="s">
        <v>221</v>
      </c>
      <c r="E4079" s="13" t="s">
        <v>61</v>
      </c>
      <c r="F4079" s="13" t="s">
        <v>1528</v>
      </c>
      <c r="G4079" s="13">
        <v>0.68</v>
      </c>
      <c r="H4079" s="15">
        <v>3825</v>
      </c>
      <c r="I4079" s="16">
        <v>2601</v>
      </c>
      <c r="J4079" s="16">
        <v>1403.1578006760751</v>
      </c>
      <c r="K4079" s="16">
        <v>1197.8421993239249</v>
      </c>
      <c r="L4079" s="13">
        <v>1.82</v>
      </c>
      <c r="M4079" s="13"/>
      <c r="N4079" s="17">
        <f t="shared" si="135"/>
        <v>6961.5</v>
      </c>
      <c r="O4079" s="17">
        <f t="shared" si="135"/>
        <v>0</v>
      </c>
      <c r="P4079" s="17">
        <f t="shared" si="134"/>
        <v>6961.5</v>
      </c>
      <c r="Q4079" t="str">
        <f>A4079&amp;"-"&amp;B4079&amp;"-"&amp;D4079</f>
        <v>SEPTEMBER-KLB-L1B</v>
      </c>
    </row>
    <row r="4080" spans="1:17" x14ac:dyDescent="0.25">
      <c r="A4080" t="s">
        <v>399</v>
      </c>
      <c r="B4080" s="13" t="s">
        <v>24</v>
      </c>
      <c r="C4080" s="13" t="s">
        <v>226</v>
      </c>
      <c r="D4080" s="14" t="s">
        <v>221</v>
      </c>
      <c r="E4080" s="13" t="s">
        <v>61</v>
      </c>
      <c r="F4080" s="13" t="s">
        <v>1529</v>
      </c>
      <c r="G4080" s="13">
        <v>0.68</v>
      </c>
      <c r="H4080" s="15">
        <v>2100</v>
      </c>
      <c r="I4080" s="16">
        <v>1428</v>
      </c>
      <c r="J4080" s="16">
        <v>1011.7583678943146</v>
      </c>
      <c r="K4080" s="16">
        <v>416.24163210568554</v>
      </c>
      <c r="L4080" s="13">
        <v>1.69</v>
      </c>
      <c r="M4080" s="13"/>
      <c r="N4080" s="17">
        <f t="shared" si="135"/>
        <v>3549</v>
      </c>
      <c r="O4080" s="17">
        <f t="shared" si="135"/>
        <v>0</v>
      </c>
      <c r="P4080" s="17">
        <f t="shared" si="134"/>
        <v>3549</v>
      </c>
      <c r="Q4080" t="str">
        <f>A4080&amp;"-"&amp;B4080&amp;"-"&amp;D4080</f>
        <v>SEPTEMBER-KLB-L1B</v>
      </c>
    </row>
    <row r="4081" spans="1:17" x14ac:dyDescent="0.25">
      <c r="A4081" t="s">
        <v>399</v>
      </c>
      <c r="B4081" s="13" t="s">
        <v>24</v>
      </c>
      <c r="C4081" s="13" t="s">
        <v>226</v>
      </c>
      <c r="D4081" s="14" t="s">
        <v>221</v>
      </c>
      <c r="E4081" s="13" t="s">
        <v>61</v>
      </c>
      <c r="F4081" s="13" t="s">
        <v>1530</v>
      </c>
      <c r="G4081" s="13">
        <v>0.66</v>
      </c>
      <c r="H4081" s="15">
        <v>415</v>
      </c>
      <c r="I4081" s="16">
        <v>273.89999999999998</v>
      </c>
      <c r="J4081" s="16">
        <v>160.45474137931035</v>
      </c>
      <c r="K4081" s="16">
        <v>113.44525862068963</v>
      </c>
      <c r="L4081" s="13">
        <v>1.97</v>
      </c>
      <c r="M4081" s="13"/>
      <c r="N4081" s="17">
        <f t="shared" si="135"/>
        <v>817.55</v>
      </c>
      <c r="O4081" s="17">
        <f t="shared" si="135"/>
        <v>0</v>
      </c>
      <c r="P4081" s="17">
        <f t="shared" si="134"/>
        <v>817.55</v>
      </c>
      <c r="Q4081" t="str">
        <f>A4081&amp;"-"&amp;B4081&amp;"-"&amp;D4081</f>
        <v>SEPTEMBER-KLB-L1B</v>
      </c>
    </row>
    <row r="4082" spans="1:17" x14ac:dyDescent="0.25">
      <c r="A4082" t="s">
        <v>399</v>
      </c>
      <c r="B4082" s="13" t="s">
        <v>24</v>
      </c>
      <c r="C4082" s="13" t="s">
        <v>226</v>
      </c>
      <c r="D4082" s="14" t="s">
        <v>221</v>
      </c>
      <c r="E4082" s="13" t="s">
        <v>61</v>
      </c>
      <c r="F4082" s="13" t="s">
        <v>1531</v>
      </c>
      <c r="G4082" s="13">
        <v>0.79999999999999993</v>
      </c>
      <c r="H4082" s="15">
        <v>8375</v>
      </c>
      <c r="I4082" s="16">
        <v>6700</v>
      </c>
      <c r="J4082" s="16">
        <v>3810.0129262887549</v>
      </c>
      <c r="K4082" s="16">
        <v>2889.9870737112451</v>
      </c>
      <c r="L4082" s="13">
        <v>2.1</v>
      </c>
      <c r="M4082" s="13"/>
      <c r="N4082" s="17">
        <f t="shared" si="135"/>
        <v>17587.5</v>
      </c>
      <c r="O4082" s="17">
        <f t="shared" si="135"/>
        <v>0</v>
      </c>
      <c r="P4082" s="17">
        <f t="shared" si="134"/>
        <v>17587.5</v>
      </c>
      <c r="Q4082" t="str">
        <f>A4082&amp;"-"&amp;B4082&amp;"-"&amp;D4082</f>
        <v>SEPTEMBER-KLB-L1B</v>
      </c>
    </row>
    <row r="4083" spans="1:17" x14ac:dyDescent="0.25">
      <c r="A4083" t="s">
        <v>399</v>
      </c>
      <c r="B4083" s="13" t="s">
        <v>24</v>
      </c>
      <c r="C4083" s="13" t="s">
        <v>226</v>
      </c>
      <c r="D4083" s="14" t="s">
        <v>222</v>
      </c>
      <c r="E4083" s="13" t="s">
        <v>61</v>
      </c>
      <c r="F4083" s="13" t="s">
        <v>1520</v>
      </c>
      <c r="G4083" s="13">
        <v>0.67999999999999994</v>
      </c>
      <c r="H4083" s="15">
        <v>10626</v>
      </c>
      <c r="I4083" s="16">
        <v>7225.68</v>
      </c>
      <c r="J4083" s="16">
        <v>4454.108058994746</v>
      </c>
      <c r="K4083" s="16">
        <v>2771.5719410052543</v>
      </c>
      <c r="L4083" s="13">
        <v>1.82</v>
      </c>
      <c r="M4083" s="13"/>
      <c r="N4083" s="17">
        <f t="shared" si="135"/>
        <v>19339.32</v>
      </c>
      <c r="O4083" s="17">
        <f t="shared" si="135"/>
        <v>0</v>
      </c>
      <c r="P4083" s="17">
        <f t="shared" si="134"/>
        <v>19339.32</v>
      </c>
      <c r="Q4083" t="str">
        <f>A4083&amp;"-"&amp;B4083&amp;"-"&amp;D4083</f>
        <v>SEPTEMBER-KLB-L2A</v>
      </c>
    </row>
    <row r="4084" spans="1:17" x14ac:dyDescent="0.25">
      <c r="A4084" t="s">
        <v>399</v>
      </c>
      <c r="B4084" s="13" t="s">
        <v>24</v>
      </c>
      <c r="C4084" s="13" t="s">
        <v>226</v>
      </c>
      <c r="D4084" s="14" t="s">
        <v>222</v>
      </c>
      <c r="E4084" s="13" t="s">
        <v>61</v>
      </c>
      <c r="F4084" s="13" t="s">
        <v>1521</v>
      </c>
      <c r="G4084" s="13">
        <v>0.68</v>
      </c>
      <c r="H4084" s="15">
        <v>3475</v>
      </c>
      <c r="I4084" s="16">
        <v>2363</v>
      </c>
      <c r="J4084" s="16">
        <v>1721.2839670178655</v>
      </c>
      <c r="K4084" s="16">
        <v>641.71603298213461</v>
      </c>
      <c r="L4084" s="13">
        <v>1.69</v>
      </c>
      <c r="M4084" s="13"/>
      <c r="N4084" s="17">
        <f t="shared" si="135"/>
        <v>5872.75</v>
      </c>
      <c r="O4084" s="17">
        <f t="shared" si="135"/>
        <v>0</v>
      </c>
      <c r="P4084" s="17">
        <f t="shared" si="134"/>
        <v>5872.75</v>
      </c>
      <c r="Q4084" t="str">
        <f>A4084&amp;"-"&amp;B4084&amp;"-"&amp;D4084</f>
        <v>SEPTEMBER-KLB-L2A</v>
      </c>
    </row>
    <row r="4085" spans="1:17" x14ac:dyDescent="0.25">
      <c r="A4085" t="s">
        <v>399</v>
      </c>
      <c r="B4085" s="13" t="s">
        <v>24</v>
      </c>
      <c r="C4085" s="13" t="s">
        <v>226</v>
      </c>
      <c r="D4085" s="14" t="s">
        <v>222</v>
      </c>
      <c r="E4085" s="13" t="s">
        <v>61</v>
      </c>
      <c r="F4085" s="13" t="s">
        <v>1522</v>
      </c>
      <c r="G4085" s="13">
        <v>0.66</v>
      </c>
      <c r="H4085" s="15">
        <v>69</v>
      </c>
      <c r="I4085" s="16">
        <v>45.54</v>
      </c>
      <c r="J4085" s="16">
        <v>29.675915431560593</v>
      </c>
      <c r="K4085" s="16">
        <v>15.864084568439409</v>
      </c>
      <c r="L4085" s="13">
        <v>1.97</v>
      </c>
      <c r="M4085" s="13"/>
      <c r="N4085" s="17">
        <f t="shared" si="135"/>
        <v>135.93</v>
      </c>
      <c r="O4085" s="17">
        <f t="shared" si="135"/>
        <v>0</v>
      </c>
      <c r="P4085" s="17">
        <f t="shared" si="134"/>
        <v>135.93</v>
      </c>
      <c r="Q4085" t="str">
        <f>A4085&amp;"-"&amp;B4085&amp;"-"&amp;D4085</f>
        <v>SEPTEMBER-KLB-L2A</v>
      </c>
    </row>
    <row r="4086" spans="1:17" x14ac:dyDescent="0.25">
      <c r="A4086" t="s">
        <v>399</v>
      </c>
      <c r="B4086" s="13" t="s">
        <v>24</v>
      </c>
      <c r="C4086" s="13" t="s">
        <v>226</v>
      </c>
      <c r="D4086" s="14" t="s">
        <v>222</v>
      </c>
      <c r="E4086" s="13" t="s">
        <v>61</v>
      </c>
      <c r="F4086" s="13" t="s">
        <v>1523</v>
      </c>
      <c r="G4086" s="13">
        <v>0.65</v>
      </c>
      <c r="H4086" s="15">
        <v>5</v>
      </c>
      <c r="I4086" s="16">
        <v>3.25</v>
      </c>
      <c r="J4086" s="16">
        <v>2.5338983050847457</v>
      </c>
      <c r="K4086" s="16">
        <v>0.71610169491525433</v>
      </c>
      <c r="L4086" s="13">
        <v>1.81</v>
      </c>
      <c r="M4086" s="13"/>
      <c r="N4086" s="17">
        <f t="shared" si="135"/>
        <v>9.0500000000000007</v>
      </c>
      <c r="O4086" s="17">
        <f t="shared" si="135"/>
        <v>0</v>
      </c>
      <c r="P4086" s="17">
        <f t="shared" si="134"/>
        <v>9.0500000000000007</v>
      </c>
      <c r="Q4086" t="str">
        <f>A4086&amp;"-"&amp;B4086&amp;"-"&amp;D4086</f>
        <v>SEPTEMBER-KLB-L2A</v>
      </c>
    </row>
    <row r="4087" spans="1:17" x14ac:dyDescent="0.25">
      <c r="A4087" t="s">
        <v>399</v>
      </c>
      <c r="B4087" s="13" t="s">
        <v>24</v>
      </c>
      <c r="C4087" s="13" t="s">
        <v>226</v>
      </c>
      <c r="D4087" s="14" t="s">
        <v>222</v>
      </c>
      <c r="E4087" s="13" t="s">
        <v>61</v>
      </c>
      <c r="F4087" s="13" t="s">
        <v>1524</v>
      </c>
      <c r="G4087" s="13">
        <v>0.68</v>
      </c>
      <c r="H4087" s="15">
        <v>4130</v>
      </c>
      <c r="I4087" s="16">
        <v>2808.4000000000005</v>
      </c>
      <c r="J4087" s="16">
        <v>1655.4253639632902</v>
      </c>
      <c r="K4087" s="16">
        <v>1152.9746360367101</v>
      </c>
      <c r="L4087" s="13">
        <v>1.82</v>
      </c>
      <c r="M4087" s="13"/>
      <c r="N4087" s="17">
        <f t="shared" si="135"/>
        <v>7516.6</v>
      </c>
      <c r="O4087" s="17">
        <f t="shared" si="135"/>
        <v>0</v>
      </c>
      <c r="P4087" s="17">
        <f t="shared" si="134"/>
        <v>7516.6</v>
      </c>
      <c r="Q4087" t="str">
        <f>A4087&amp;"-"&amp;B4087&amp;"-"&amp;D4087</f>
        <v>SEPTEMBER-KLB-L2A</v>
      </c>
    </row>
    <row r="4088" spans="1:17" x14ac:dyDescent="0.25">
      <c r="A4088" t="s">
        <v>399</v>
      </c>
      <c r="B4088" s="13" t="s">
        <v>24</v>
      </c>
      <c r="C4088" s="13" t="s">
        <v>226</v>
      </c>
      <c r="D4088" s="14" t="s">
        <v>222</v>
      </c>
      <c r="E4088" s="13" t="s">
        <v>61</v>
      </c>
      <c r="F4088" s="13" t="s">
        <v>1525</v>
      </c>
      <c r="G4088" s="13">
        <v>0.66</v>
      </c>
      <c r="H4088" s="15">
        <v>345</v>
      </c>
      <c r="I4088" s="16">
        <v>227.7</v>
      </c>
      <c r="J4088" s="16">
        <v>144.73771208039031</v>
      </c>
      <c r="K4088" s="16">
        <v>82.962287919609679</v>
      </c>
      <c r="L4088" s="13">
        <v>1.97</v>
      </c>
      <c r="M4088" s="13"/>
      <c r="N4088" s="17">
        <f t="shared" si="135"/>
        <v>679.65</v>
      </c>
      <c r="O4088" s="17">
        <f t="shared" si="135"/>
        <v>0</v>
      </c>
      <c r="P4088" s="17">
        <f t="shared" si="134"/>
        <v>679.65</v>
      </c>
      <c r="Q4088" t="str">
        <f>A4088&amp;"-"&amp;B4088&amp;"-"&amp;D4088</f>
        <v>SEPTEMBER-KLB-L2A</v>
      </c>
    </row>
    <row r="4089" spans="1:17" x14ac:dyDescent="0.25">
      <c r="A4089" t="s">
        <v>399</v>
      </c>
      <c r="B4089" s="13" t="s">
        <v>24</v>
      </c>
      <c r="C4089" s="13" t="s">
        <v>226</v>
      </c>
      <c r="D4089" s="14" t="s">
        <v>222</v>
      </c>
      <c r="E4089" s="13" t="s">
        <v>61</v>
      </c>
      <c r="F4089" s="13" t="s">
        <v>1532</v>
      </c>
      <c r="G4089" s="13">
        <v>0.8</v>
      </c>
      <c r="H4089" s="15">
        <v>5755</v>
      </c>
      <c r="I4089" s="16">
        <v>4604</v>
      </c>
      <c r="J4089" s="16">
        <v>2705.1743131663775</v>
      </c>
      <c r="K4089" s="16">
        <v>1898.8256868336225</v>
      </c>
      <c r="L4089" s="13">
        <v>2.1</v>
      </c>
      <c r="M4089" s="13"/>
      <c r="N4089" s="17">
        <f t="shared" si="135"/>
        <v>12085.5</v>
      </c>
      <c r="O4089" s="17">
        <f t="shared" si="135"/>
        <v>0</v>
      </c>
      <c r="P4089" s="17">
        <f t="shared" si="134"/>
        <v>12085.5</v>
      </c>
      <c r="Q4089" t="str">
        <f>A4089&amp;"-"&amp;B4089&amp;"-"&amp;D4089</f>
        <v>SEPTEMBER-KLB-L2A</v>
      </c>
    </row>
    <row r="4090" spans="1:17" x14ac:dyDescent="0.25">
      <c r="A4090" t="s">
        <v>399</v>
      </c>
      <c r="B4090" s="13" t="s">
        <v>24</v>
      </c>
      <c r="C4090" s="13" t="s">
        <v>226</v>
      </c>
      <c r="D4090" s="14" t="s">
        <v>222</v>
      </c>
      <c r="E4090" s="13" t="s">
        <v>61</v>
      </c>
      <c r="F4090" s="13" t="s">
        <v>1526</v>
      </c>
      <c r="G4090" s="13">
        <v>0.68</v>
      </c>
      <c r="H4090" s="15">
        <v>4225</v>
      </c>
      <c r="I4090" s="16">
        <v>2873.0000000000005</v>
      </c>
      <c r="J4090" s="16">
        <v>1838.7880437679589</v>
      </c>
      <c r="K4090" s="16">
        <v>1034.2119562320408</v>
      </c>
      <c r="L4090" s="13">
        <v>1.69</v>
      </c>
      <c r="M4090" s="13"/>
      <c r="N4090" s="17">
        <f t="shared" si="135"/>
        <v>7140.25</v>
      </c>
      <c r="O4090" s="17">
        <f t="shared" si="135"/>
        <v>0</v>
      </c>
      <c r="P4090" s="17">
        <f t="shared" si="134"/>
        <v>7140.25</v>
      </c>
      <c r="Q4090" t="str">
        <f>A4090&amp;"-"&amp;B4090&amp;"-"&amp;D4090</f>
        <v>SEPTEMBER-KLB-L2A</v>
      </c>
    </row>
    <row r="4091" spans="1:17" x14ac:dyDescent="0.25">
      <c r="A4091" t="s">
        <v>399</v>
      </c>
      <c r="B4091" s="13" t="s">
        <v>24</v>
      </c>
      <c r="C4091" s="13" t="s">
        <v>226</v>
      </c>
      <c r="D4091" s="14" t="s">
        <v>222</v>
      </c>
      <c r="E4091" s="13" t="s">
        <v>61</v>
      </c>
      <c r="F4091" s="13" t="s">
        <v>1527</v>
      </c>
      <c r="G4091" s="13">
        <v>0.65</v>
      </c>
      <c r="H4091" s="15">
        <v>10</v>
      </c>
      <c r="I4091" s="16">
        <v>6.5</v>
      </c>
      <c r="J4091" s="16">
        <v>4.1818181818181817</v>
      </c>
      <c r="K4091" s="16">
        <v>2.3181818181818183</v>
      </c>
      <c r="L4091" s="13">
        <v>1.81</v>
      </c>
      <c r="M4091" s="13"/>
      <c r="N4091" s="17">
        <f t="shared" si="135"/>
        <v>18.100000000000001</v>
      </c>
      <c r="O4091" s="17">
        <f t="shared" si="135"/>
        <v>0</v>
      </c>
      <c r="P4091" s="17">
        <f t="shared" si="134"/>
        <v>18.100000000000001</v>
      </c>
      <c r="Q4091" t="str">
        <f>A4091&amp;"-"&amp;B4091&amp;"-"&amp;D4091</f>
        <v>SEPTEMBER-KLB-L2A</v>
      </c>
    </row>
    <row r="4092" spans="1:17" x14ac:dyDescent="0.25">
      <c r="A4092" t="s">
        <v>399</v>
      </c>
      <c r="B4092" s="13" t="s">
        <v>24</v>
      </c>
      <c r="C4092" s="13" t="s">
        <v>226</v>
      </c>
      <c r="D4092" s="14" t="s">
        <v>222</v>
      </c>
      <c r="E4092" s="13" t="s">
        <v>61</v>
      </c>
      <c r="F4092" s="13" t="s">
        <v>1320</v>
      </c>
      <c r="G4092" s="13">
        <v>0.68</v>
      </c>
      <c r="H4092" s="15">
        <v>9185</v>
      </c>
      <c r="I4092" s="16">
        <v>6245.8</v>
      </c>
      <c r="J4092" s="16">
        <v>3588</v>
      </c>
      <c r="K4092" s="16">
        <v>2657.8</v>
      </c>
      <c r="L4092" s="13">
        <v>1.82</v>
      </c>
      <c r="M4092" s="13"/>
      <c r="N4092" s="17">
        <f t="shared" si="135"/>
        <v>16716.7</v>
      </c>
      <c r="O4092" s="17">
        <f t="shared" si="135"/>
        <v>0</v>
      </c>
      <c r="P4092" s="17">
        <f t="shared" si="134"/>
        <v>16716.7</v>
      </c>
      <c r="Q4092" t="str">
        <f>A4092&amp;"-"&amp;B4092&amp;"-"&amp;D4092</f>
        <v>SEPTEMBER-KLB-L2A</v>
      </c>
    </row>
    <row r="4093" spans="1:17" x14ac:dyDescent="0.25">
      <c r="A4093" t="s">
        <v>399</v>
      </c>
      <c r="B4093" s="13" t="s">
        <v>24</v>
      </c>
      <c r="C4093" s="13" t="s">
        <v>226</v>
      </c>
      <c r="D4093" s="14" t="s">
        <v>222</v>
      </c>
      <c r="E4093" s="13" t="s">
        <v>61</v>
      </c>
      <c r="F4093" s="13" t="s">
        <v>1528</v>
      </c>
      <c r="G4093" s="13">
        <v>0.68</v>
      </c>
      <c r="H4093" s="15">
        <v>4120</v>
      </c>
      <c r="I4093" s="16">
        <v>2801.6</v>
      </c>
      <c r="J4093" s="16">
        <v>1705.8853365910388</v>
      </c>
      <c r="K4093" s="16">
        <v>1095.7146634089611</v>
      </c>
      <c r="L4093" s="13">
        <v>1.82</v>
      </c>
      <c r="M4093" s="13"/>
      <c r="N4093" s="17">
        <f t="shared" si="135"/>
        <v>7498.4000000000005</v>
      </c>
      <c r="O4093" s="17">
        <f t="shared" si="135"/>
        <v>0</v>
      </c>
      <c r="P4093" s="17">
        <f t="shared" si="134"/>
        <v>7498.4000000000005</v>
      </c>
      <c r="Q4093" t="str">
        <f>A4093&amp;"-"&amp;B4093&amp;"-"&amp;D4093</f>
        <v>SEPTEMBER-KLB-L2A</v>
      </c>
    </row>
    <row r="4094" spans="1:17" x14ac:dyDescent="0.25">
      <c r="A4094" t="s">
        <v>399</v>
      </c>
      <c r="B4094" s="13" t="s">
        <v>24</v>
      </c>
      <c r="C4094" s="13" t="s">
        <v>226</v>
      </c>
      <c r="D4094" s="14" t="s">
        <v>222</v>
      </c>
      <c r="E4094" s="13" t="s">
        <v>61</v>
      </c>
      <c r="F4094" s="13" t="s">
        <v>1529</v>
      </c>
      <c r="G4094" s="13">
        <v>0.68</v>
      </c>
      <c r="H4094" s="15">
        <v>5</v>
      </c>
      <c r="I4094" s="16">
        <v>3.4</v>
      </c>
      <c r="J4094" s="16">
        <v>2.0909090909090908</v>
      </c>
      <c r="K4094" s="16">
        <v>1.3090909090909091</v>
      </c>
      <c r="L4094" s="13">
        <v>1.69</v>
      </c>
      <c r="M4094" s="13"/>
      <c r="N4094" s="17">
        <f t="shared" si="135"/>
        <v>8.4499999999999993</v>
      </c>
      <c r="O4094" s="17">
        <f t="shared" si="135"/>
        <v>0</v>
      </c>
      <c r="P4094" s="17">
        <f t="shared" si="134"/>
        <v>8.4499999999999993</v>
      </c>
      <c r="Q4094" t="str">
        <f>A4094&amp;"-"&amp;B4094&amp;"-"&amp;D4094</f>
        <v>SEPTEMBER-KLB-L2A</v>
      </c>
    </row>
    <row r="4095" spans="1:17" x14ac:dyDescent="0.25">
      <c r="A4095" t="s">
        <v>399</v>
      </c>
      <c r="B4095" s="13" t="s">
        <v>24</v>
      </c>
      <c r="C4095" s="13" t="s">
        <v>226</v>
      </c>
      <c r="D4095" s="14" t="s">
        <v>222</v>
      </c>
      <c r="E4095" s="13" t="s">
        <v>61</v>
      </c>
      <c r="F4095" s="13" t="s">
        <v>1530</v>
      </c>
      <c r="G4095" s="13">
        <v>0.66</v>
      </c>
      <c r="H4095" s="15">
        <v>210</v>
      </c>
      <c r="I4095" s="16">
        <v>138.6</v>
      </c>
      <c r="J4095" s="16">
        <v>88.114663408961178</v>
      </c>
      <c r="K4095" s="16">
        <v>50.485336591038816</v>
      </c>
      <c r="L4095" s="13">
        <v>1.97</v>
      </c>
      <c r="M4095" s="13"/>
      <c r="N4095" s="17">
        <f t="shared" si="135"/>
        <v>413.7</v>
      </c>
      <c r="O4095" s="17">
        <f t="shared" si="135"/>
        <v>0</v>
      </c>
      <c r="P4095" s="17">
        <f t="shared" si="134"/>
        <v>413.7</v>
      </c>
      <c r="Q4095" t="str">
        <f>A4095&amp;"-"&amp;B4095&amp;"-"&amp;D4095</f>
        <v>SEPTEMBER-KLB-L2A</v>
      </c>
    </row>
    <row r="4096" spans="1:17" x14ac:dyDescent="0.25">
      <c r="A4096" t="s">
        <v>399</v>
      </c>
      <c r="B4096" s="13" t="s">
        <v>24</v>
      </c>
      <c r="C4096" s="13" t="s">
        <v>226</v>
      </c>
      <c r="D4096" s="14" t="s">
        <v>223</v>
      </c>
      <c r="E4096" s="13" t="s">
        <v>61</v>
      </c>
      <c r="F4096" s="13" t="s">
        <v>1520</v>
      </c>
      <c r="G4096" s="13">
        <v>0.67999999999999994</v>
      </c>
      <c r="H4096" s="15">
        <v>8805</v>
      </c>
      <c r="I4096" s="16">
        <v>5987.4</v>
      </c>
      <c r="J4096" s="16">
        <v>3985.5270484076063</v>
      </c>
      <c r="K4096" s="16">
        <v>2001.8729515923933</v>
      </c>
      <c r="L4096" s="13">
        <v>1.82</v>
      </c>
      <c r="M4096" s="13"/>
      <c r="N4096" s="17">
        <f t="shared" si="135"/>
        <v>16025.1</v>
      </c>
      <c r="O4096" s="17">
        <f t="shared" si="135"/>
        <v>0</v>
      </c>
      <c r="P4096" s="17">
        <f t="shared" si="134"/>
        <v>16025.1</v>
      </c>
      <c r="Q4096" t="str">
        <f>A4096&amp;"-"&amp;B4096&amp;"-"&amp;D4096</f>
        <v>SEPTEMBER-KLB-L2B</v>
      </c>
    </row>
    <row r="4097" spans="1:17" x14ac:dyDescent="0.25">
      <c r="A4097" t="s">
        <v>399</v>
      </c>
      <c r="B4097" s="13" t="s">
        <v>24</v>
      </c>
      <c r="C4097" s="13" t="s">
        <v>226</v>
      </c>
      <c r="D4097" s="14" t="s">
        <v>223</v>
      </c>
      <c r="E4097" s="13" t="s">
        <v>61</v>
      </c>
      <c r="F4097" s="13" t="s">
        <v>1521</v>
      </c>
      <c r="G4097" s="13">
        <v>0.68</v>
      </c>
      <c r="H4097" s="15">
        <v>2010</v>
      </c>
      <c r="I4097" s="16">
        <v>1366.8</v>
      </c>
      <c r="J4097" s="16">
        <v>1047.422263001718</v>
      </c>
      <c r="K4097" s="16">
        <v>319.37773699828199</v>
      </c>
      <c r="L4097" s="13">
        <v>1.69</v>
      </c>
      <c r="M4097" s="13"/>
      <c r="N4097" s="17">
        <f t="shared" si="135"/>
        <v>3396.9</v>
      </c>
      <c r="O4097" s="17">
        <f t="shared" si="135"/>
        <v>0</v>
      </c>
      <c r="P4097" s="17">
        <f t="shared" si="134"/>
        <v>3396.9</v>
      </c>
      <c r="Q4097" t="str">
        <f>A4097&amp;"-"&amp;B4097&amp;"-"&amp;D4097</f>
        <v>SEPTEMBER-KLB-L2B</v>
      </c>
    </row>
    <row r="4098" spans="1:17" x14ac:dyDescent="0.25">
      <c r="A4098" t="s">
        <v>399</v>
      </c>
      <c r="B4098" s="13" t="s">
        <v>24</v>
      </c>
      <c r="C4098" s="13" t="s">
        <v>226</v>
      </c>
      <c r="D4098" s="14" t="s">
        <v>223</v>
      </c>
      <c r="E4098" s="13" t="s">
        <v>61</v>
      </c>
      <c r="F4098" s="13" t="s">
        <v>1522</v>
      </c>
      <c r="G4098" s="13">
        <v>0.66</v>
      </c>
      <c r="H4098" s="15">
        <v>1040</v>
      </c>
      <c r="I4098" s="16">
        <v>686.40000000000009</v>
      </c>
      <c r="J4098" s="16">
        <v>522.0899772000148</v>
      </c>
      <c r="K4098" s="16">
        <v>164.31002279998529</v>
      </c>
      <c r="L4098" s="13">
        <v>1.97</v>
      </c>
      <c r="M4098" s="13"/>
      <c r="N4098" s="17">
        <f t="shared" si="135"/>
        <v>2048.8000000000002</v>
      </c>
      <c r="O4098" s="17">
        <f t="shared" si="135"/>
        <v>0</v>
      </c>
      <c r="P4098" s="17">
        <f t="shared" ref="P4098:P4161" si="136">N4098+O4098</f>
        <v>2048.8000000000002</v>
      </c>
      <c r="Q4098" t="str">
        <f>A4098&amp;"-"&amp;B4098&amp;"-"&amp;D4098</f>
        <v>SEPTEMBER-KLB-L2B</v>
      </c>
    </row>
    <row r="4099" spans="1:17" x14ac:dyDescent="0.25">
      <c r="A4099" t="s">
        <v>399</v>
      </c>
      <c r="B4099" s="13" t="s">
        <v>24</v>
      </c>
      <c r="C4099" s="13" t="s">
        <v>226</v>
      </c>
      <c r="D4099" s="14" t="s">
        <v>223</v>
      </c>
      <c r="E4099" s="13" t="s">
        <v>61</v>
      </c>
      <c r="F4099" s="13" t="s">
        <v>1523</v>
      </c>
      <c r="G4099" s="13">
        <v>0.65</v>
      </c>
      <c r="H4099" s="15">
        <v>360</v>
      </c>
      <c r="I4099" s="16">
        <v>234</v>
      </c>
      <c r="J4099" s="16">
        <v>170.56028424176168</v>
      </c>
      <c r="K4099" s="16">
        <v>63.439715758238336</v>
      </c>
      <c r="L4099" s="13">
        <v>1.81</v>
      </c>
      <c r="M4099" s="13"/>
      <c r="N4099" s="17">
        <f t="shared" si="135"/>
        <v>651.6</v>
      </c>
      <c r="O4099" s="17">
        <f t="shared" si="135"/>
        <v>0</v>
      </c>
      <c r="P4099" s="17">
        <f t="shared" si="136"/>
        <v>651.6</v>
      </c>
      <c r="Q4099" t="str">
        <f>A4099&amp;"-"&amp;B4099&amp;"-"&amp;D4099</f>
        <v>SEPTEMBER-KLB-L2B</v>
      </c>
    </row>
    <row r="4100" spans="1:17" x14ac:dyDescent="0.25">
      <c r="A4100" t="s">
        <v>399</v>
      </c>
      <c r="B4100" s="13" t="s">
        <v>24</v>
      </c>
      <c r="C4100" s="13" t="s">
        <v>226</v>
      </c>
      <c r="D4100" s="14" t="s">
        <v>223</v>
      </c>
      <c r="E4100" s="13" t="s">
        <v>61</v>
      </c>
      <c r="F4100" s="13" t="s">
        <v>1524</v>
      </c>
      <c r="G4100" s="13">
        <v>0.68</v>
      </c>
      <c r="H4100" s="15">
        <v>2590</v>
      </c>
      <c r="I4100" s="16">
        <v>1761.2</v>
      </c>
      <c r="J4100" s="16">
        <v>1175.6586147864673</v>
      </c>
      <c r="K4100" s="16">
        <v>585.54138521353264</v>
      </c>
      <c r="L4100" s="13">
        <v>1.82</v>
      </c>
      <c r="M4100" s="13"/>
      <c r="N4100" s="17">
        <f t="shared" si="135"/>
        <v>4713.8</v>
      </c>
      <c r="O4100" s="17">
        <f t="shared" si="135"/>
        <v>0</v>
      </c>
      <c r="P4100" s="17">
        <f t="shared" si="136"/>
        <v>4713.8</v>
      </c>
      <c r="Q4100" t="str">
        <f>A4100&amp;"-"&amp;B4100&amp;"-"&amp;D4100</f>
        <v>SEPTEMBER-KLB-L2B</v>
      </c>
    </row>
    <row r="4101" spans="1:17" x14ac:dyDescent="0.25">
      <c r="A4101" t="s">
        <v>399</v>
      </c>
      <c r="B4101" s="13" t="s">
        <v>24</v>
      </c>
      <c r="C4101" s="13" t="s">
        <v>226</v>
      </c>
      <c r="D4101" s="14" t="s">
        <v>223</v>
      </c>
      <c r="E4101" s="13" t="s">
        <v>61</v>
      </c>
      <c r="F4101" s="13" t="s">
        <v>1525</v>
      </c>
      <c r="G4101" s="13">
        <v>0.66</v>
      </c>
      <c r="H4101" s="15">
        <v>5</v>
      </c>
      <c r="I4101" s="16">
        <v>3.3</v>
      </c>
      <c r="J4101" s="16">
        <v>2.2093596059113301</v>
      </c>
      <c r="K4101" s="16">
        <v>1.0906403940886698</v>
      </c>
      <c r="L4101" s="13">
        <v>1.97</v>
      </c>
      <c r="M4101" s="13"/>
      <c r="N4101" s="17">
        <f t="shared" si="135"/>
        <v>9.85</v>
      </c>
      <c r="O4101" s="17">
        <f t="shared" si="135"/>
        <v>0</v>
      </c>
      <c r="P4101" s="17">
        <f t="shared" si="136"/>
        <v>9.85</v>
      </c>
      <c r="Q4101" t="str">
        <f>A4101&amp;"-"&amp;B4101&amp;"-"&amp;D4101</f>
        <v>SEPTEMBER-KLB-L2B</v>
      </c>
    </row>
    <row r="4102" spans="1:17" x14ac:dyDescent="0.25">
      <c r="A4102" t="s">
        <v>399</v>
      </c>
      <c r="B4102" s="13" t="s">
        <v>24</v>
      </c>
      <c r="C4102" s="13" t="s">
        <v>226</v>
      </c>
      <c r="D4102" s="14" t="s">
        <v>223</v>
      </c>
      <c r="E4102" s="13" t="s">
        <v>61</v>
      </c>
      <c r="F4102" s="13" t="s">
        <v>1532</v>
      </c>
      <c r="G4102" s="13">
        <v>0.79999999999999993</v>
      </c>
      <c r="H4102" s="15">
        <v>6435</v>
      </c>
      <c r="I4102" s="16">
        <v>5148</v>
      </c>
      <c r="J4102" s="16">
        <v>3111.2576277850585</v>
      </c>
      <c r="K4102" s="16">
        <v>2036.7423722149413</v>
      </c>
      <c r="L4102" s="13">
        <v>2.1</v>
      </c>
      <c r="M4102" s="13"/>
      <c r="N4102" s="17">
        <f t="shared" si="135"/>
        <v>13513.5</v>
      </c>
      <c r="O4102" s="17">
        <f t="shared" si="135"/>
        <v>0</v>
      </c>
      <c r="P4102" s="17">
        <f t="shared" si="136"/>
        <v>13513.5</v>
      </c>
      <c r="Q4102" t="str">
        <f>A4102&amp;"-"&amp;B4102&amp;"-"&amp;D4102</f>
        <v>SEPTEMBER-KLB-L2B</v>
      </c>
    </row>
    <row r="4103" spans="1:17" x14ac:dyDescent="0.25">
      <c r="A4103" t="s">
        <v>399</v>
      </c>
      <c r="B4103" s="13" t="s">
        <v>24</v>
      </c>
      <c r="C4103" s="13" t="s">
        <v>226</v>
      </c>
      <c r="D4103" s="14" t="s">
        <v>223</v>
      </c>
      <c r="E4103" s="13" t="s">
        <v>61</v>
      </c>
      <c r="F4103" s="13" t="s">
        <v>1526</v>
      </c>
      <c r="G4103" s="13">
        <v>0.68</v>
      </c>
      <c r="H4103" s="15">
        <v>4180</v>
      </c>
      <c r="I4103" s="16">
        <v>2842.3999999999996</v>
      </c>
      <c r="J4103" s="16">
        <v>1906.5674527565204</v>
      </c>
      <c r="K4103" s="16">
        <v>935.83254724347967</v>
      </c>
      <c r="L4103" s="13">
        <v>1.69</v>
      </c>
      <c r="M4103" s="13"/>
      <c r="N4103" s="17">
        <f t="shared" si="135"/>
        <v>7064.2</v>
      </c>
      <c r="O4103" s="17">
        <f t="shared" si="135"/>
        <v>0</v>
      </c>
      <c r="P4103" s="17">
        <f t="shared" si="136"/>
        <v>7064.2</v>
      </c>
      <c r="Q4103" t="str">
        <f>A4103&amp;"-"&amp;B4103&amp;"-"&amp;D4103</f>
        <v>SEPTEMBER-KLB-L2B</v>
      </c>
    </row>
    <row r="4104" spans="1:17" x14ac:dyDescent="0.25">
      <c r="A4104" t="s">
        <v>399</v>
      </c>
      <c r="B4104" s="13" t="s">
        <v>24</v>
      </c>
      <c r="C4104" s="13" t="s">
        <v>226</v>
      </c>
      <c r="D4104" s="14" t="s">
        <v>223</v>
      </c>
      <c r="E4104" s="13" t="s">
        <v>61</v>
      </c>
      <c r="F4104" s="13" t="s">
        <v>1527</v>
      </c>
      <c r="G4104" s="13">
        <v>0.65</v>
      </c>
      <c r="H4104" s="15">
        <v>360</v>
      </c>
      <c r="I4104" s="16">
        <v>234</v>
      </c>
      <c r="J4104" s="16">
        <v>178.33214285714286</v>
      </c>
      <c r="K4104" s="16">
        <v>55.66785714285713</v>
      </c>
      <c r="L4104" s="13">
        <v>1.81</v>
      </c>
      <c r="M4104" s="13"/>
      <c r="N4104" s="17">
        <f t="shared" si="135"/>
        <v>651.6</v>
      </c>
      <c r="O4104" s="17">
        <f t="shared" si="135"/>
        <v>0</v>
      </c>
      <c r="P4104" s="17">
        <f t="shared" si="136"/>
        <v>651.6</v>
      </c>
      <c r="Q4104" t="str">
        <f>A4104&amp;"-"&amp;B4104&amp;"-"&amp;D4104</f>
        <v>SEPTEMBER-KLB-L2B</v>
      </c>
    </row>
    <row r="4105" spans="1:17" x14ac:dyDescent="0.25">
      <c r="A4105" t="s">
        <v>399</v>
      </c>
      <c r="B4105" s="13" t="s">
        <v>24</v>
      </c>
      <c r="C4105" s="13" t="s">
        <v>226</v>
      </c>
      <c r="D4105" s="14" t="s">
        <v>223</v>
      </c>
      <c r="E4105" s="13" t="s">
        <v>61</v>
      </c>
      <c r="F4105" s="13" t="s">
        <v>1320</v>
      </c>
      <c r="G4105" s="13">
        <v>0.68</v>
      </c>
      <c r="H4105" s="15">
        <v>8190</v>
      </c>
      <c r="I4105" s="16">
        <v>5569.2000000000007</v>
      </c>
      <c r="J4105" s="16">
        <v>3508.4931818181817</v>
      </c>
      <c r="K4105" s="16">
        <v>2060.7068181818186</v>
      </c>
      <c r="L4105" s="13">
        <v>1.82</v>
      </c>
      <c r="M4105" s="13"/>
      <c r="N4105" s="17">
        <f t="shared" si="135"/>
        <v>14905.800000000001</v>
      </c>
      <c r="O4105" s="17">
        <f t="shared" si="135"/>
        <v>0</v>
      </c>
      <c r="P4105" s="17">
        <f t="shared" si="136"/>
        <v>14905.800000000001</v>
      </c>
      <c r="Q4105" t="str">
        <f>A4105&amp;"-"&amp;B4105&amp;"-"&amp;D4105</f>
        <v>SEPTEMBER-KLB-L2B</v>
      </c>
    </row>
    <row r="4106" spans="1:17" x14ac:dyDescent="0.25">
      <c r="A4106" t="s">
        <v>399</v>
      </c>
      <c r="B4106" s="13" t="s">
        <v>24</v>
      </c>
      <c r="C4106" s="13" t="s">
        <v>226</v>
      </c>
      <c r="D4106" s="14" t="s">
        <v>223</v>
      </c>
      <c r="E4106" s="13" t="s">
        <v>61</v>
      </c>
      <c r="F4106" s="13" t="s">
        <v>1528</v>
      </c>
      <c r="G4106" s="13">
        <v>0.68</v>
      </c>
      <c r="H4106" s="15">
        <v>4020</v>
      </c>
      <c r="I4106" s="16">
        <v>2733.6</v>
      </c>
      <c r="J4106" s="16">
        <v>1785.4465909090909</v>
      </c>
      <c r="K4106" s="16">
        <v>948.15340909090901</v>
      </c>
      <c r="L4106" s="13">
        <v>1.82</v>
      </c>
      <c r="M4106" s="13"/>
      <c r="N4106" s="17">
        <f t="shared" ref="N4106:O4167" si="137">$H4106*L4106</f>
        <v>7316.4000000000005</v>
      </c>
      <c r="O4106" s="17">
        <f t="shared" si="137"/>
        <v>0</v>
      </c>
      <c r="P4106" s="17">
        <f t="shared" si="136"/>
        <v>7316.4000000000005</v>
      </c>
      <c r="Q4106" t="str">
        <f>A4106&amp;"-"&amp;B4106&amp;"-"&amp;D4106</f>
        <v>SEPTEMBER-KLB-L2B</v>
      </c>
    </row>
    <row r="4107" spans="1:17" x14ac:dyDescent="0.25">
      <c r="A4107" t="s">
        <v>399</v>
      </c>
      <c r="B4107" s="13" t="s">
        <v>24</v>
      </c>
      <c r="C4107" s="13" t="s">
        <v>226</v>
      </c>
      <c r="D4107" s="14" t="s">
        <v>223</v>
      </c>
      <c r="E4107" s="13" t="s">
        <v>61</v>
      </c>
      <c r="F4107" s="13" t="s">
        <v>1529</v>
      </c>
      <c r="G4107" s="13">
        <v>0.68</v>
      </c>
      <c r="H4107" s="15">
        <v>885</v>
      </c>
      <c r="I4107" s="16">
        <v>601.79999999999995</v>
      </c>
      <c r="J4107" s="16">
        <v>458.37522935779816</v>
      </c>
      <c r="K4107" s="16">
        <v>143.42477064220185</v>
      </c>
      <c r="L4107" s="13">
        <v>1.69</v>
      </c>
      <c r="M4107" s="13"/>
      <c r="N4107" s="17">
        <f t="shared" si="137"/>
        <v>1495.6499999999999</v>
      </c>
      <c r="O4107" s="17">
        <f t="shared" si="137"/>
        <v>0</v>
      </c>
      <c r="P4107" s="17">
        <f t="shared" si="136"/>
        <v>1495.6499999999999</v>
      </c>
      <c r="Q4107" t="str">
        <f>A4107&amp;"-"&amp;B4107&amp;"-"&amp;D4107</f>
        <v>SEPTEMBER-KLB-L2B</v>
      </c>
    </row>
    <row r="4108" spans="1:17" x14ac:dyDescent="0.25">
      <c r="A4108" t="s">
        <v>399</v>
      </c>
      <c r="B4108" s="13" t="s">
        <v>24</v>
      </c>
      <c r="C4108" s="13" t="s">
        <v>226</v>
      </c>
      <c r="D4108" s="14" t="s">
        <v>223</v>
      </c>
      <c r="E4108" s="13" t="s">
        <v>61</v>
      </c>
      <c r="F4108" s="13" t="s">
        <v>1530</v>
      </c>
      <c r="G4108" s="13">
        <v>0.66</v>
      </c>
      <c r="H4108" s="15">
        <v>215</v>
      </c>
      <c r="I4108" s="16">
        <v>141.9</v>
      </c>
      <c r="J4108" s="16">
        <v>88.060227272727275</v>
      </c>
      <c r="K4108" s="16">
        <v>53.839772727272702</v>
      </c>
      <c r="L4108" s="13">
        <v>1.97</v>
      </c>
      <c r="M4108" s="13"/>
      <c r="N4108" s="17">
        <f t="shared" si="137"/>
        <v>423.55</v>
      </c>
      <c r="O4108" s="17">
        <f t="shared" si="137"/>
        <v>0</v>
      </c>
      <c r="P4108" s="17">
        <f t="shared" si="136"/>
        <v>423.55</v>
      </c>
      <c r="Q4108" t="str">
        <f>A4108&amp;"-"&amp;B4108&amp;"-"&amp;D4108</f>
        <v>SEPTEMBER-KLB-L2B</v>
      </c>
    </row>
    <row r="4109" spans="1:17" x14ac:dyDescent="0.25">
      <c r="A4109" t="s">
        <v>399</v>
      </c>
      <c r="B4109" s="13" t="s">
        <v>24</v>
      </c>
      <c r="C4109" s="13" t="s">
        <v>226</v>
      </c>
      <c r="D4109" s="14" t="s">
        <v>224</v>
      </c>
      <c r="E4109" s="13" t="s">
        <v>61</v>
      </c>
      <c r="F4109" s="13" t="s">
        <v>1520</v>
      </c>
      <c r="G4109" s="13">
        <v>0.68</v>
      </c>
      <c r="H4109" s="15">
        <v>9273</v>
      </c>
      <c r="I4109" s="16">
        <v>6305.6399999999985</v>
      </c>
      <c r="J4109" s="16">
        <v>3377.1675160615282</v>
      </c>
      <c r="K4109" s="16">
        <v>2928.4724839384721</v>
      </c>
      <c r="L4109" s="13">
        <v>1.82</v>
      </c>
      <c r="M4109" s="13"/>
      <c r="N4109" s="17">
        <f t="shared" si="137"/>
        <v>16876.86</v>
      </c>
      <c r="O4109" s="17">
        <f t="shared" si="137"/>
        <v>0</v>
      </c>
      <c r="P4109" s="17">
        <f t="shared" si="136"/>
        <v>16876.86</v>
      </c>
      <c r="Q4109" t="str">
        <f>A4109&amp;"-"&amp;B4109&amp;"-"&amp;D4109</f>
        <v>SEPTEMBER-KLB-L3A</v>
      </c>
    </row>
    <row r="4110" spans="1:17" x14ac:dyDescent="0.25">
      <c r="A4110" t="s">
        <v>399</v>
      </c>
      <c r="B4110" s="13" t="s">
        <v>24</v>
      </c>
      <c r="C4110" s="13" t="s">
        <v>226</v>
      </c>
      <c r="D4110" s="14" t="s">
        <v>224</v>
      </c>
      <c r="E4110" s="13" t="s">
        <v>61</v>
      </c>
      <c r="F4110" s="13" t="s">
        <v>1521</v>
      </c>
      <c r="G4110" s="13">
        <v>0.68</v>
      </c>
      <c r="H4110" s="15">
        <v>3620</v>
      </c>
      <c r="I4110" s="16">
        <v>2461.6</v>
      </c>
      <c r="J4110" s="16">
        <v>1484.8986486486488</v>
      </c>
      <c r="K4110" s="16">
        <v>976.70135135135138</v>
      </c>
      <c r="L4110" s="13">
        <v>1.69</v>
      </c>
      <c r="M4110" s="13"/>
      <c r="N4110" s="17">
        <f t="shared" si="137"/>
        <v>6117.8</v>
      </c>
      <c r="O4110" s="17">
        <f t="shared" si="137"/>
        <v>0</v>
      </c>
      <c r="P4110" s="17">
        <f t="shared" si="136"/>
        <v>6117.8</v>
      </c>
      <c r="Q4110" t="str">
        <f>A4110&amp;"-"&amp;B4110&amp;"-"&amp;D4110</f>
        <v>SEPTEMBER-KLB-L3A</v>
      </c>
    </row>
    <row r="4111" spans="1:17" x14ac:dyDescent="0.25">
      <c r="A4111" t="s">
        <v>399</v>
      </c>
      <c r="B4111" s="13" t="s">
        <v>24</v>
      </c>
      <c r="C4111" s="13" t="s">
        <v>226</v>
      </c>
      <c r="D4111" s="14" t="s">
        <v>224</v>
      </c>
      <c r="E4111" s="13" t="s">
        <v>61</v>
      </c>
      <c r="F4111" s="13" t="s">
        <v>1522</v>
      </c>
      <c r="G4111" s="13">
        <v>0.66</v>
      </c>
      <c r="H4111" s="15">
        <v>28</v>
      </c>
      <c r="I4111" s="16">
        <v>18.48</v>
      </c>
      <c r="J4111" s="16">
        <v>10.652980407285311</v>
      </c>
      <c r="K4111" s="16">
        <v>7.8270195927146897</v>
      </c>
      <c r="L4111" s="13">
        <v>1.97</v>
      </c>
      <c r="M4111" s="13"/>
      <c r="N4111" s="17">
        <f t="shared" si="137"/>
        <v>55.16</v>
      </c>
      <c r="O4111" s="17">
        <f t="shared" si="137"/>
        <v>0</v>
      </c>
      <c r="P4111" s="17">
        <f t="shared" si="136"/>
        <v>55.16</v>
      </c>
      <c r="Q4111" t="str">
        <f>A4111&amp;"-"&amp;B4111&amp;"-"&amp;D4111</f>
        <v>SEPTEMBER-KLB-L3A</v>
      </c>
    </row>
    <row r="4112" spans="1:17" x14ac:dyDescent="0.25">
      <c r="A4112" t="s">
        <v>399</v>
      </c>
      <c r="B4112" s="13" t="s">
        <v>24</v>
      </c>
      <c r="C4112" s="13" t="s">
        <v>226</v>
      </c>
      <c r="D4112" s="14" t="s">
        <v>224</v>
      </c>
      <c r="E4112" s="13" t="s">
        <v>61</v>
      </c>
      <c r="F4112" s="13" t="s">
        <v>1523</v>
      </c>
      <c r="G4112" s="13">
        <v>0.65</v>
      </c>
      <c r="H4112" s="15">
        <v>355</v>
      </c>
      <c r="I4112" s="16">
        <v>230.75</v>
      </c>
      <c r="J4112" s="16">
        <v>143.43918918918919</v>
      </c>
      <c r="K4112" s="16">
        <v>87.310810810810807</v>
      </c>
      <c r="L4112" s="13">
        <v>1.81</v>
      </c>
      <c r="M4112" s="13"/>
      <c r="N4112" s="17">
        <f t="shared" si="137"/>
        <v>642.55000000000007</v>
      </c>
      <c r="O4112" s="17">
        <f t="shared" si="137"/>
        <v>0</v>
      </c>
      <c r="P4112" s="17">
        <f t="shared" si="136"/>
        <v>642.55000000000007</v>
      </c>
      <c r="Q4112" t="str">
        <f>A4112&amp;"-"&amp;B4112&amp;"-"&amp;D4112</f>
        <v>SEPTEMBER-KLB-L3A</v>
      </c>
    </row>
    <row r="4113" spans="1:17" x14ac:dyDescent="0.25">
      <c r="A4113" t="s">
        <v>399</v>
      </c>
      <c r="B4113" s="13" t="s">
        <v>24</v>
      </c>
      <c r="C4113" s="13" t="s">
        <v>226</v>
      </c>
      <c r="D4113" s="14" t="s">
        <v>224</v>
      </c>
      <c r="E4113" s="13" t="s">
        <v>61</v>
      </c>
      <c r="F4113" s="13" t="s">
        <v>1524</v>
      </c>
      <c r="G4113" s="13">
        <v>0.68</v>
      </c>
      <c r="H4113" s="15">
        <v>4434</v>
      </c>
      <c r="I4113" s="16">
        <v>3015.12</v>
      </c>
      <c r="J4113" s="16">
        <v>1672.1489152759593</v>
      </c>
      <c r="K4113" s="16">
        <v>1342.9710847240403</v>
      </c>
      <c r="L4113" s="13">
        <v>1.82</v>
      </c>
      <c r="M4113" s="13"/>
      <c r="N4113" s="17">
        <f t="shared" si="137"/>
        <v>8069.88</v>
      </c>
      <c r="O4113" s="17">
        <f t="shared" si="137"/>
        <v>0</v>
      </c>
      <c r="P4113" s="17">
        <f t="shared" si="136"/>
        <v>8069.88</v>
      </c>
      <c r="Q4113" t="str">
        <f>A4113&amp;"-"&amp;B4113&amp;"-"&amp;D4113</f>
        <v>SEPTEMBER-KLB-L3A</v>
      </c>
    </row>
    <row r="4114" spans="1:17" x14ac:dyDescent="0.25">
      <c r="A4114" t="s">
        <v>399</v>
      </c>
      <c r="B4114" s="13" t="s">
        <v>24</v>
      </c>
      <c r="C4114" s="13" t="s">
        <v>226</v>
      </c>
      <c r="D4114" s="14" t="s">
        <v>224</v>
      </c>
      <c r="E4114" s="13" t="s">
        <v>61</v>
      </c>
      <c r="F4114" s="13" t="s">
        <v>1525</v>
      </c>
      <c r="G4114" s="13">
        <v>0.66</v>
      </c>
      <c r="H4114" s="15">
        <v>292</v>
      </c>
      <c r="I4114" s="16">
        <v>192.72</v>
      </c>
      <c r="J4114" s="16">
        <v>110.5176764692042</v>
      </c>
      <c r="K4114" s="16">
        <v>82.20232353079578</v>
      </c>
      <c r="L4114" s="13">
        <v>1.97</v>
      </c>
      <c r="M4114" s="13"/>
      <c r="N4114" s="17">
        <f t="shared" si="137"/>
        <v>575.24</v>
      </c>
      <c r="O4114" s="17">
        <f t="shared" si="137"/>
        <v>0</v>
      </c>
      <c r="P4114" s="17">
        <f t="shared" si="136"/>
        <v>575.24</v>
      </c>
      <c r="Q4114" t="str">
        <f>A4114&amp;"-"&amp;B4114&amp;"-"&amp;D4114</f>
        <v>SEPTEMBER-KLB-L3A</v>
      </c>
    </row>
    <row r="4115" spans="1:17" x14ac:dyDescent="0.25">
      <c r="A4115" t="s">
        <v>399</v>
      </c>
      <c r="B4115" s="13" t="s">
        <v>24</v>
      </c>
      <c r="C4115" s="13" t="s">
        <v>226</v>
      </c>
      <c r="D4115" s="14" t="s">
        <v>224</v>
      </c>
      <c r="E4115" s="13" t="s">
        <v>61</v>
      </c>
      <c r="F4115" s="13" t="s">
        <v>1526</v>
      </c>
      <c r="G4115" s="13">
        <v>0.68</v>
      </c>
      <c r="H4115" s="15">
        <v>3465</v>
      </c>
      <c r="I4115" s="16">
        <v>2356.2000000000003</v>
      </c>
      <c r="J4115" s="16">
        <v>1233.9719302616452</v>
      </c>
      <c r="K4115" s="16">
        <v>1122.2280697383546</v>
      </c>
      <c r="L4115" s="13">
        <v>1.69</v>
      </c>
      <c r="M4115" s="13"/>
      <c r="N4115" s="17">
        <f t="shared" si="137"/>
        <v>5855.8499999999995</v>
      </c>
      <c r="O4115" s="17">
        <f t="shared" si="137"/>
        <v>0</v>
      </c>
      <c r="P4115" s="17">
        <f t="shared" si="136"/>
        <v>5855.8499999999995</v>
      </c>
      <c r="Q4115" t="str">
        <f>A4115&amp;"-"&amp;B4115&amp;"-"&amp;D4115</f>
        <v>SEPTEMBER-KLB-L3A</v>
      </c>
    </row>
    <row r="4116" spans="1:17" x14ac:dyDescent="0.25">
      <c r="A4116" t="s">
        <v>399</v>
      </c>
      <c r="B4116" s="13" t="s">
        <v>24</v>
      </c>
      <c r="C4116" s="13" t="s">
        <v>226</v>
      </c>
      <c r="D4116" s="14" t="s">
        <v>224</v>
      </c>
      <c r="E4116" s="13" t="s">
        <v>61</v>
      </c>
      <c r="F4116" s="13" t="s">
        <v>1527</v>
      </c>
      <c r="G4116" s="13">
        <v>0.65</v>
      </c>
      <c r="H4116" s="15">
        <v>265</v>
      </c>
      <c r="I4116" s="16">
        <v>172.25</v>
      </c>
      <c r="J4116" s="16">
        <v>95.655935613682104</v>
      </c>
      <c r="K4116" s="16">
        <v>76.594064386317896</v>
      </c>
      <c r="L4116" s="13">
        <v>1.81</v>
      </c>
      <c r="M4116" s="13"/>
      <c r="N4116" s="17">
        <f t="shared" si="137"/>
        <v>479.65000000000003</v>
      </c>
      <c r="O4116" s="17">
        <f t="shared" si="137"/>
        <v>0</v>
      </c>
      <c r="P4116" s="17">
        <f t="shared" si="136"/>
        <v>479.65000000000003</v>
      </c>
      <c r="Q4116" t="str">
        <f>A4116&amp;"-"&amp;B4116&amp;"-"&amp;D4116</f>
        <v>SEPTEMBER-KLB-L3A</v>
      </c>
    </row>
    <row r="4117" spans="1:17" x14ac:dyDescent="0.25">
      <c r="A4117" t="s">
        <v>399</v>
      </c>
      <c r="B4117" s="13" t="s">
        <v>24</v>
      </c>
      <c r="C4117" s="13" t="s">
        <v>226</v>
      </c>
      <c r="D4117" s="14" t="s">
        <v>224</v>
      </c>
      <c r="E4117" s="13" t="s">
        <v>61</v>
      </c>
      <c r="F4117" s="13" t="s">
        <v>1320</v>
      </c>
      <c r="G4117" s="13">
        <v>0.68</v>
      </c>
      <c r="H4117" s="15">
        <v>8080</v>
      </c>
      <c r="I4117" s="16">
        <v>5494.4</v>
      </c>
      <c r="J4117" s="16">
        <v>2866.8047364184208</v>
      </c>
      <c r="K4117" s="16">
        <v>2627.5952635815793</v>
      </c>
      <c r="L4117" s="13">
        <v>1.82</v>
      </c>
      <c r="M4117" s="13"/>
      <c r="N4117" s="17">
        <f t="shared" si="137"/>
        <v>14705.6</v>
      </c>
      <c r="O4117" s="17">
        <f t="shared" si="137"/>
        <v>0</v>
      </c>
      <c r="P4117" s="17">
        <f t="shared" si="136"/>
        <v>14705.6</v>
      </c>
      <c r="Q4117" t="str">
        <f>A4117&amp;"-"&amp;B4117&amp;"-"&amp;D4117</f>
        <v>SEPTEMBER-KLB-L3A</v>
      </c>
    </row>
    <row r="4118" spans="1:17" x14ac:dyDescent="0.25">
      <c r="A4118" t="s">
        <v>399</v>
      </c>
      <c r="B4118" s="13" t="s">
        <v>24</v>
      </c>
      <c r="C4118" s="13" t="s">
        <v>226</v>
      </c>
      <c r="D4118" s="14" t="s">
        <v>224</v>
      </c>
      <c r="E4118" s="13" t="s">
        <v>61</v>
      </c>
      <c r="F4118" s="13" t="s">
        <v>1533</v>
      </c>
      <c r="G4118" s="13">
        <v>0.66</v>
      </c>
      <c r="H4118" s="15">
        <v>2015</v>
      </c>
      <c r="I4118" s="16">
        <v>1329.8999999999999</v>
      </c>
      <c r="J4118" s="16">
        <v>721.19526358157918</v>
      </c>
      <c r="K4118" s="16">
        <v>608.70473641842068</v>
      </c>
      <c r="L4118" s="13">
        <v>1.97</v>
      </c>
      <c r="M4118" s="13"/>
      <c r="N4118" s="17">
        <f t="shared" si="137"/>
        <v>3969.5499999999997</v>
      </c>
      <c r="O4118" s="17">
        <f t="shared" si="137"/>
        <v>0</v>
      </c>
      <c r="P4118" s="17">
        <f t="shared" si="136"/>
        <v>3969.5499999999997</v>
      </c>
      <c r="Q4118" t="str">
        <f>A4118&amp;"-"&amp;B4118&amp;"-"&amp;D4118</f>
        <v>SEPTEMBER-KLB-L3A</v>
      </c>
    </row>
    <row r="4119" spans="1:17" x14ac:dyDescent="0.25">
      <c r="A4119" t="s">
        <v>399</v>
      </c>
      <c r="B4119" s="13" t="s">
        <v>24</v>
      </c>
      <c r="C4119" s="13" t="s">
        <v>226</v>
      </c>
      <c r="D4119" s="14" t="s">
        <v>224</v>
      </c>
      <c r="E4119" s="13" t="s">
        <v>61</v>
      </c>
      <c r="F4119" s="13" t="s">
        <v>1528</v>
      </c>
      <c r="G4119" s="13">
        <v>0.68</v>
      </c>
      <c r="H4119" s="15">
        <v>4855</v>
      </c>
      <c r="I4119" s="16">
        <v>3301.3999999999996</v>
      </c>
      <c r="J4119" s="16">
        <v>1782.8034842767297</v>
      </c>
      <c r="K4119" s="16">
        <v>1518.5965157232704</v>
      </c>
      <c r="L4119" s="13">
        <v>1.82</v>
      </c>
      <c r="M4119" s="13"/>
      <c r="N4119" s="17">
        <f t="shared" si="137"/>
        <v>8836.1</v>
      </c>
      <c r="O4119" s="17">
        <f t="shared" si="137"/>
        <v>0</v>
      </c>
      <c r="P4119" s="17">
        <f t="shared" si="136"/>
        <v>8836.1</v>
      </c>
      <c r="Q4119" t="str">
        <f>A4119&amp;"-"&amp;B4119&amp;"-"&amp;D4119</f>
        <v>SEPTEMBER-KLB-L3A</v>
      </c>
    </row>
    <row r="4120" spans="1:17" x14ac:dyDescent="0.25">
      <c r="A4120" t="s">
        <v>399</v>
      </c>
      <c r="B4120" s="13" t="s">
        <v>24</v>
      </c>
      <c r="C4120" s="13" t="s">
        <v>226</v>
      </c>
      <c r="D4120" s="14" t="s">
        <v>224</v>
      </c>
      <c r="E4120" s="13" t="s">
        <v>61</v>
      </c>
      <c r="F4120" s="13" t="s">
        <v>1529</v>
      </c>
      <c r="G4120" s="13">
        <v>0.68</v>
      </c>
      <c r="H4120" s="15">
        <v>1740</v>
      </c>
      <c r="I4120" s="16">
        <v>1183.2000000000003</v>
      </c>
      <c r="J4120" s="16">
        <v>628.2294673129918</v>
      </c>
      <c r="K4120" s="16">
        <v>554.97053268700836</v>
      </c>
      <c r="L4120" s="13">
        <v>1.69</v>
      </c>
      <c r="M4120" s="13"/>
      <c r="N4120" s="17">
        <f t="shared" si="137"/>
        <v>2940.6</v>
      </c>
      <c r="O4120" s="17">
        <f t="shared" si="137"/>
        <v>0</v>
      </c>
      <c r="P4120" s="17">
        <f t="shared" si="136"/>
        <v>2940.6</v>
      </c>
      <c r="Q4120" t="str">
        <f>A4120&amp;"-"&amp;B4120&amp;"-"&amp;D4120</f>
        <v>SEPTEMBER-KLB-L3A</v>
      </c>
    </row>
    <row r="4121" spans="1:17" x14ac:dyDescent="0.25">
      <c r="A4121" t="s">
        <v>399</v>
      </c>
      <c r="B4121" s="13" t="s">
        <v>24</v>
      </c>
      <c r="C4121" s="13" t="s">
        <v>226</v>
      </c>
      <c r="D4121" s="14" t="s">
        <v>224</v>
      </c>
      <c r="E4121" s="13" t="s">
        <v>61</v>
      </c>
      <c r="F4121" s="13" t="s">
        <v>1530</v>
      </c>
      <c r="G4121" s="13">
        <v>0.66</v>
      </c>
      <c r="H4121" s="15">
        <v>5</v>
      </c>
      <c r="I4121" s="16">
        <v>3.3</v>
      </c>
      <c r="J4121" s="16">
        <v>1.794</v>
      </c>
      <c r="K4121" s="16">
        <v>1.5059999999999998</v>
      </c>
      <c r="L4121" s="13">
        <v>1.97</v>
      </c>
      <c r="M4121" s="13"/>
      <c r="N4121" s="17">
        <f t="shared" si="137"/>
        <v>9.85</v>
      </c>
      <c r="O4121" s="17">
        <f t="shared" si="137"/>
        <v>0</v>
      </c>
      <c r="P4121" s="17">
        <f t="shared" si="136"/>
        <v>9.85</v>
      </c>
      <c r="Q4121" t="str">
        <f>A4121&amp;"-"&amp;B4121&amp;"-"&amp;D4121</f>
        <v>SEPTEMBER-KLB-L3A</v>
      </c>
    </row>
    <row r="4122" spans="1:17" x14ac:dyDescent="0.25">
      <c r="A4122" t="s">
        <v>399</v>
      </c>
      <c r="B4122" s="13" t="s">
        <v>24</v>
      </c>
      <c r="C4122" s="13" t="s">
        <v>226</v>
      </c>
      <c r="D4122" s="14" t="s">
        <v>224</v>
      </c>
      <c r="E4122" s="13" t="s">
        <v>61</v>
      </c>
      <c r="F4122" s="13" t="s">
        <v>1534</v>
      </c>
      <c r="G4122" s="13">
        <v>0.71999999999999986</v>
      </c>
      <c r="H4122" s="15">
        <v>10219</v>
      </c>
      <c r="I4122" s="16">
        <v>7357.68</v>
      </c>
      <c r="J4122" s="16">
        <v>3810.7202564831368</v>
      </c>
      <c r="K4122" s="16">
        <v>3546.9597435168635</v>
      </c>
      <c r="L4122" s="13">
        <v>1.34</v>
      </c>
      <c r="M4122" s="13"/>
      <c r="N4122" s="17">
        <f t="shared" si="137"/>
        <v>13693.460000000001</v>
      </c>
      <c r="O4122" s="17">
        <f t="shared" si="137"/>
        <v>0</v>
      </c>
      <c r="P4122" s="17">
        <f t="shared" si="136"/>
        <v>13693.460000000001</v>
      </c>
      <c r="Q4122" t="str">
        <f>A4122&amp;"-"&amp;B4122&amp;"-"&amp;D4122</f>
        <v>SEPTEMBER-KLB-L3A</v>
      </c>
    </row>
    <row r="4123" spans="1:17" x14ac:dyDescent="0.25">
      <c r="A4123" t="s">
        <v>399</v>
      </c>
      <c r="B4123" s="13" t="s">
        <v>24</v>
      </c>
      <c r="C4123" s="13" t="s">
        <v>226</v>
      </c>
      <c r="D4123" s="14" t="s">
        <v>225</v>
      </c>
      <c r="E4123" s="13" t="s">
        <v>61</v>
      </c>
      <c r="F4123" s="13" t="s">
        <v>1520</v>
      </c>
      <c r="G4123" s="13">
        <v>0.68</v>
      </c>
      <c r="H4123" s="15">
        <v>10186</v>
      </c>
      <c r="I4123" s="16">
        <v>6926.48</v>
      </c>
      <c r="J4123" s="16">
        <v>4031.5243119609349</v>
      </c>
      <c r="K4123" s="16">
        <v>2894.9556880390646</v>
      </c>
      <c r="L4123" s="13">
        <v>1.82</v>
      </c>
      <c r="M4123" s="13"/>
      <c r="N4123" s="17">
        <f t="shared" si="137"/>
        <v>18538.52</v>
      </c>
      <c r="O4123" s="17">
        <f t="shared" si="137"/>
        <v>0</v>
      </c>
      <c r="P4123" s="17">
        <f t="shared" si="136"/>
        <v>18538.52</v>
      </c>
      <c r="Q4123" t="str">
        <f>A4123&amp;"-"&amp;B4123&amp;"-"&amp;D4123</f>
        <v>SEPTEMBER-KLB-L3B</v>
      </c>
    </row>
    <row r="4124" spans="1:17" x14ac:dyDescent="0.25">
      <c r="A4124" t="s">
        <v>399</v>
      </c>
      <c r="B4124" s="13" t="s">
        <v>24</v>
      </c>
      <c r="C4124" s="13" t="s">
        <v>226</v>
      </c>
      <c r="D4124" s="14" t="s">
        <v>225</v>
      </c>
      <c r="E4124" s="13" t="s">
        <v>61</v>
      </c>
      <c r="F4124" s="13" t="s">
        <v>1521</v>
      </c>
      <c r="G4124" s="13">
        <v>0.68</v>
      </c>
      <c r="H4124" s="15">
        <v>1955</v>
      </c>
      <c r="I4124" s="16">
        <v>1329.4</v>
      </c>
      <c r="J4124" s="16">
        <v>819.45560747663546</v>
      </c>
      <c r="K4124" s="16">
        <v>509.94439252336463</v>
      </c>
      <c r="L4124" s="13">
        <v>1.69</v>
      </c>
      <c r="M4124" s="13"/>
      <c r="N4124" s="17">
        <f t="shared" si="137"/>
        <v>3303.95</v>
      </c>
      <c r="O4124" s="17">
        <f t="shared" si="137"/>
        <v>0</v>
      </c>
      <c r="P4124" s="17">
        <f t="shared" si="136"/>
        <v>3303.95</v>
      </c>
      <c r="Q4124" t="str">
        <f>A4124&amp;"-"&amp;B4124&amp;"-"&amp;D4124</f>
        <v>SEPTEMBER-KLB-L3B</v>
      </c>
    </row>
    <row r="4125" spans="1:17" x14ac:dyDescent="0.25">
      <c r="A4125" t="s">
        <v>399</v>
      </c>
      <c r="B4125" s="13" t="s">
        <v>24</v>
      </c>
      <c r="C4125" s="13" t="s">
        <v>226</v>
      </c>
      <c r="D4125" s="14" t="s">
        <v>225</v>
      </c>
      <c r="E4125" s="13" t="s">
        <v>61</v>
      </c>
      <c r="F4125" s="13" t="s">
        <v>1522</v>
      </c>
      <c r="G4125" s="13">
        <v>0.66</v>
      </c>
      <c r="H4125" s="15">
        <v>1068</v>
      </c>
      <c r="I4125" s="16">
        <v>704.88</v>
      </c>
      <c r="J4125" s="16">
        <v>453.17328601630931</v>
      </c>
      <c r="K4125" s="16">
        <v>251.70671398369063</v>
      </c>
      <c r="L4125" s="13">
        <v>1.97</v>
      </c>
      <c r="M4125" s="13"/>
      <c r="N4125" s="17">
        <f t="shared" si="137"/>
        <v>2103.96</v>
      </c>
      <c r="O4125" s="17">
        <f t="shared" si="137"/>
        <v>0</v>
      </c>
      <c r="P4125" s="17">
        <f t="shared" si="136"/>
        <v>2103.96</v>
      </c>
      <c r="Q4125" t="str">
        <f>A4125&amp;"-"&amp;B4125&amp;"-"&amp;D4125</f>
        <v>SEPTEMBER-KLB-L3B</v>
      </c>
    </row>
    <row r="4126" spans="1:17" x14ac:dyDescent="0.25">
      <c r="A4126" t="s">
        <v>399</v>
      </c>
      <c r="B4126" s="13" t="s">
        <v>24</v>
      </c>
      <c r="C4126" s="13" t="s">
        <v>226</v>
      </c>
      <c r="D4126" s="14" t="s">
        <v>225</v>
      </c>
      <c r="E4126" s="13" t="s">
        <v>61</v>
      </c>
      <c r="F4126" s="13" t="s">
        <v>1523</v>
      </c>
      <c r="G4126" s="13">
        <v>0.65</v>
      </c>
      <c r="H4126" s="15">
        <v>5</v>
      </c>
      <c r="I4126" s="16">
        <v>3.25</v>
      </c>
      <c r="J4126" s="16">
        <v>2.0957943925233642</v>
      </c>
      <c r="K4126" s="16">
        <v>1.1542056074766358</v>
      </c>
      <c r="L4126" s="13">
        <v>1.81</v>
      </c>
      <c r="M4126" s="13"/>
      <c r="N4126" s="17">
        <f t="shared" si="137"/>
        <v>9.0500000000000007</v>
      </c>
      <c r="O4126" s="17">
        <f t="shared" si="137"/>
        <v>0</v>
      </c>
      <c r="P4126" s="17">
        <f t="shared" si="136"/>
        <v>9.0500000000000007</v>
      </c>
      <c r="Q4126" t="str">
        <f>A4126&amp;"-"&amp;B4126&amp;"-"&amp;D4126</f>
        <v>SEPTEMBER-KLB-L3B</v>
      </c>
    </row>
    <row r="4127" spans="1:17" x14ac:dyDescent="0.25">
      <c r="A4127" t="s">
        <v>399</v>
      </c>
      <c r="B4127" s="13" t="s">
        <v>24</v>
      </c>
      <c r="C4127" s="13" t="s">
        <v>226</v>
      </c>
      <c r="D4127" s="14" t="s">
        <v>225</v>
      </c>
      <c r="E4127" s="13" t="s">
        <v>61</v>
      </c>
      <c r="F4127" s="13" t="s">
        <v>1524</v>
      </c>
      <c r="G4127" s="13">
        <v>0.68</v>
      </c>
      <c r="H4127" s="15">
        <v>2150</v>
      </c>
      <c r="I4127" s="16">
        <v>1462</v>
      </c>
      <c r="J4127" s="16">
        <v>919.8124525916561</v>
      </c>
      <c r="K4127" s="16">
        <v>542.18754740834379</v>
      </c>
      <c r="L4127" s="13">
        <v>1.82</v>
      </c>
      <c r="M4127" s="13"/>
      <c r="N4127" s="17">
        <f t="shared" si="137"/>
        <v>3913</v>
      </c>
      <c r="O4127" s="17">
        <f t="shared" si="137"/>
        <v>0</v>
      </c>
      <c r="P4127" s="17">
        <f t="shared" si="136"/>
        <v>3913</v>
      </c>
      <c r="Q4127" t="str">
        <f>A4127&amp;"-"&amp;B4127&amp;"-"&amp;D4127</f>
        <v>SEPTEMBER-KLB-L3B</v>
      </c>
    </row>
    <row r="4128" spans="1:17" x14ac:dyDescent="0.25">
      <c r="A4128" t="s">
        <v>399</v>
      </c>
      <c r="B4128" s="13" t="s">
        <v>24</v>
      </c>
      <c r="C4128" s="13" t="s">
        <v>226</v>
      </c>
      <c r="D4128" s="14" t="s">
        <v>225</v>
      </c>
      <c r="E4128" s="13" t="s">
        <v>61</v>
      </c>
      <c r="F4128" s="13" t="s">
        <v>1525</v>
      </c>
      <c r="G4128" s="13">
        <v>0.66</v>
      </c>
      <c r="H4128" s="15">
        <v>55</v>
      </c>
      <c r="I4128" s="16">
        <v>36.299999999999997</v>
      </c>
      <c r="J4128" s="16">
        <v>23.492857142857144</v>
      </c>
      <c r="K4128" s="16">
        <v>12.807142857142853</v>
      </c>
      <c r="L4128" s="13">
        <v>1.97</v>
      </c>
      <c r="M4128" s="13"/>
      <c r="N4128" s="17">
        <f t="shared" si="137"/>
        <v>108.35</v>
      </c>
      <c r="O4128" s="17">
        <f t="shared" si="137"/>
        <v>0</v>
      </c>
      <c r="P4128" s="17">
        <f t="shared" si="136"/>
        <v>108.35</v>
      </c>
      <c r="Q4128" t="str">
        <f>A4128&amp;"-"&amp;B4128&amp;"-"&amp;D4128</f>
        <v>SEPTEMBER-KLB-L3B</v>
      </c>
    </row>
    <row r="4129" spans="1:17" x14ac:dyDescent="0.25">
      <c r="A4129" t="s">
        <v>399</v>
      </c>
      <c r="B4129" s="13" t="s">
        <v>24</v>
      </c>
      <c r="C4129" s="13" t="s">
        <v>226</v>
      </c>
      <c r="D4129" s="14" t="s">
        <v>225</v>
      </c>
      <c r="E4129" s="13" t="s">
        <v>61</v>
      </c>
      <c r="F4129" s="13" t="s">
        <v>1526</v>
      </c>
      <c r="G4129" s="13">
        <v>0.68</v>
      </c>
      <c r="H4129" s="15">
        <v>4878</v>
      </c>
      <c r="I4129" s="16">
        <v>3317.04</v>
      </c>
      <c r="J4129" s="16">
        <v>1822.2241866743896</v>
      </c>
      <c r="K4129" s="16">
        <v>1494.8158133256106</v>
      </c>
      <c r="L4129" s="13">
        <v>1.69</v>
      </c>
      <c r="M4129" s="13"/>
      <c r="N4129" s="17">
        <f t="shared" si="137"/>
        <v>8243.82</v>
      </c>
      <c r="O4129" s="17">
        <f t="shared" si="137"/>
        <v>0</v>
      </c>
      <c r="P4129" s="17">
        <f t="shared" si="136"/>
        <v>8243.82</v>
      </c>
      <c r="Q4129" t="str">
        <f>A4129&amp;"-"&amp;B4129&amp;"-"&amp;D4129</f>
        <v>SEPTEMBER-KLB-L3B</v>
      </c>
    </row>
    <row r="4130" spans="1:17" x14ac:dyDescent="0.25">
      <c r="A4130" t="s">
        <v>399</v>
      </c>
      <c r="B4130" s="13" t="s">
        <v>24</v>
      </c>
      <c r="C4130" s="13" t="s">
        <v>226</v>
      </c>
      <c r="D4130" s="14" t="s">
        <v>225</v>
      </c>
      <c r="E4130" s="13" t="s">
        <v>61</v>
      </c>
      <c r="F4130" s="13" t="s">
        <v>1527</v>
      </c>
      <c r="G4130" s="13">
        <v>0.65</v>
      </c>
      <c r="H4130" s="15">
        <v>102</v>
      </c>
      <c r="I4130" s="16">
        <v>66.3</v>
      </c>
      <c r="J4130" s="16">
        <v>39.463467880653376</v>
      </c>
      <c r="K4130" s="16">
        <v>26.836532119346622</v>
      </c>
      <c r="L4130" s="13">
        <v>1.81</v>
      </c>
      <c r="M4130" s="13"/>
      <c r="N4130" s="17">
        <f t="shared" si="137"/>
        <v>184.62</v>
      </c>
      <c r="O4130" s="17">
        <f t="shared" si="137"/>
        <v>0</v>
      </c>
      <c r="P4130" s="17">
        <f t="shared" si="136"/>
        <v>184.62</v>
      </c>
      <c r="Q4130" t="str">
        <f>A4130&amp;"-"&amp;B4130&amp;"-"&amp;D4130</f>
        <v>SEPTEMBER-KLB-L3B</v>
      </c>
    </row>
    <row r="4131" spans="1:17" x14ac:dyDescent="0.25">
      <c r="A4131" t="s">
        <v>399</v>
      </c>
      <c r="B4131" s="13" t="s">
        <v>24</v>
      </c>
      <c r="C4131" s="13" t="s">
        <v>226</v>
      </c>
      <c r="D4131" s="14" t="s">
        <v>225</v>
      </c>
      <c r="E4131" s="13" t="s">
        <v>61</v>
      </c>
      <c r="F4131" s="13" t="s">
        <v>1320</v>
      </c>
      <c r="G4131" s="13">
        <v>0.68</v>
      </c>
      <c r="H4131" s="15">
        <v>6395</v>
      </c>
      <c r="I4131" s="16">
        <v>4348.6000000000004</v>
      </c>
      <c r="J4131" s="16">
        <v>2434.8745391896191</v>
      </c>
      <c r="K4131" s="16">
        <v>1913.7254608103808</v>
      </c>
      <c r="L4131" s="13">
        <v>1.82</v>
      </c>
      <c r="M4131" s="13"/>
      <c r="N4131" s="17">
        <f t="shared" si="137"/>
        <v>11638.9</v>
      </c>
      <c r="O4131" s="17">
        <f t="shared" si="137"/>
        <v>0</v>
      </c>
      <c r="P4131" s="17">
        <f t="shared" si="136"/>
        <v>11638.9</v>
      </c>
      <c r="Q4131" t="str">
        <f>A4131&amp;"-"&amp;B4131&amp;"-"&amp;D4131</f>
        <v>SEPTEMBER-KLB-L3B</v>
      </c>
    </row>
    <row r="4132" spans="1:17" x14ac:dyDescent="0.25">
      <c r="A4132" t="s">
        <v>399</v>
      </c>
      <c r="B4132" s="13" t="s">
        <v>24</v>
      </c>
      <c r="C4132" s="13" t="s">
        <v>226</v>
      </c>
      <c r="D4132" s="14" t="s">
        <v>225</v>
      </c>
      <c r="E4132" s="13" t="s">
        <v>61</v>
      </c>
      <c r="F4132" s="13" t="s">
        <v>1533</v>
      </c>
      <c r="G4132" s="13">
        <v>0.66</v>
      </c>
      <c r="H4132" s="15">
        <v>1560</v>
      </c>
      <c r="I4132" s="16">
        <v>1029.5999999999999</v>
      </c>
      <c r="J4132" s="16">
        <v>595.86680030229763</v>
      </c>
      <c r="K4132" s="16">
        <v>433.73319969770239</v>
      </c>
      <c r="L4132" s="13">
        <v>1.97</v>
      </c>
      <c r="M4132" s="13"/>
      <c r="N4132" s="17">
        <f t="shared" si="137"/>
        <v>3073.2</v>
      </c>
      <c r="O4132" s="17">
        <f t="shared" si="137"/>
        <v>0</v>
      </c>
      <c r="P4132" s="17">
        <f t="shared" si="136"/>
        <v>3073.2</v>
      </c>
      <c r="Q4132" t="str">
        <f>A4132&amp;"-"&amp;B4132&amp;"-"&amp;D4132</f>
        <v>SEPTEMBER-KLB-L3B</v>
      </c>
    </row>
    <row r="4133" spans="1:17" x14ac:dyDescent="0.25">
      <c r="A4133" t="s">
        <v>399</v>
      </c>
      <c r="B4133" s="13" t="s">
        <v>24</v>
      </c>
      <c r="C4133" s="13" t="s">
        <v>226</v>
      </c>
      <c r="D4133" s="14" t="s">
        <v>225</v>
      </c>
      <c r="E4133" s="13" t="s">
        <v>61</v>
      </c>
      <c r="F4133" s="13" t="s">
        <v>1528</v>
      </c>
      <c r="G4133" s="13">
        <v>0.68</v>
      </c>
      <c r="H4133" s="15">
        <v>3330</v>
      </c>
      <c r="I4133" s="16">
        <v>2264.4</v>
      </c>
      <c r="J4133" s="16">
        <v>1282.4446387330913</v>
      </c>
      <c r="K4133" s="16">
        <v>981.95536126690865</v>
      </c>
      <c r="L4133" s="13">
        <v>1.82</v>
      </c>
      <c r="M4133" s="13"/>
      <c r="N4133" s="17">
        <f t="shared" si="137"/>
        <v>6060.6</v>
      </c>
      <c r="O4133" s="17">
        <f t="shared" si="137"/>
        <v>0</v>
      </c>
      <c r="P4133" s="17">
        <f t="shared" si="136"/>
        <v>6060.6</v>
      </c>
      <c r="Q4133" t="str">
        <f>A4133&amp;"-"&amp;B4133&amp;"-"&amp;D4133</f>
        <v>SEPTEMBER-KLB-L3B</v>
      </c>
    </row>
    <row r="4134" spans="1:17" x14ac:dyDescent="0.25">
      <c r="A4134" t="s">
        <v>399</v>
      </c>
      <c r="B4134" s="13" t="s">
        <v>24</v>
      </c>
      <c r="C4134" s="13" t="s">
        <v>226</v>
      </c>
      <c r="D4134" s="14" t="s">
        <v>225</v>
      </c>
      <c r="E4134" s="13" t="s">
        <v>61</v>
      </c>
      <c r="F4134" s="13" t="s">
        <v>1529</v>
      </c>
      <c r="G4134" s="13">
        <v>0.68</v>
      </c>
      <c r="H4134" s="15">
        <v>410</v>
      </c>
      <c r="I4134" s="16">
        <v>278.8</v>
      </c>
      <c r="J4134" s="16">
        <v>153.37473002159828</v>
      </c>
      <c r="K4134" s="16">
        <v>125.42526997840173</v>
      </c>
      <c r="L4134" s="13">
        <v>1.69</v>
      </c>
      <c r="M4134" s="13"/>
      <c r="N4134" s="17">
        <f t="shared" si="137"/>
        <v>692.9</v>
      </c>
      <c r="O4134" s="17">
        <f t="shared" si="137"/>
        <v>0</v>
      </c>
      <c r="P4134" s="17">
        <f t="shared" si="136"/>
        <v>692.9</v>
      </c>
      <c r="Q4134" t="str">
        <f>A4134&amp;"-"&amp;B4134&amp;"-"&amp;D4134</f>
        <v>SEPTEMBER-KLB-L3B</v>
      </c>
    </row>
    <row r="4135" spans="1:17" x14ac:dyDescent="0.25">
      <c r="A4135" t="s">
        <v>399</v>
      </c>
      <c r="B4135" s="13" t="s">
        <v>24</v>
      </c>
      <c r="C4135" s="13" t="s">
        <v>226</v>
      </c>
      <c r="D4135" s="14" t="s">
        <v>225</v>
      </c>
      <c r="E4135" s="13" t="s">
        <v>61</v>
      </c>
      <c r="F4135" s="13" t="s">
        <v>1530</v>
      </c>
      <c r="G4135" s="13">
        <v>0.66</v>
      </c>
      <c r="H4135" s="15">
        <v>425</v>
      </c>
      <c r="I4135" s="16">
        <v>280.5</v>
      </c>
      <c r="J4135" s="16">
        <v>176.08545034642032</v>
      </c>
      <c r="K4135" s="16">
        <v>104.41454965357968</v>
      </c>
      <c r="L4135" s="13">
        <v>1.97</v>
      </c>
      <c r="M4135" s="13"/>
      <c r="N4135" s="17">
        <f t="shared" si="137"/>
        <v>837.25</v>
      </c>
      <c r="O4135" s="17">
        <f t="shared" si="137"/>
        <v>0</v>
      </c>
      <c r="P4135" s="17">
        <f t="shared" si="136"/>
        <v>837.25</v>
      </c>
      <c r="Q4135" t="str">
        <f>A4135&amp;"-"&amp;B4135&amp;"-"&amp;D4135</f>
        <v>SEPTEMBER-KLB-L3B</v>
      </c>
    </row>
    <row r="4136" spans="1:17" x14ac:dyDescent="0.25">
      <c r="A4136" t="s">
        <v>399</v>
      </c>
      <c r="B4136" s="13" t="s">
        <v>24</v>
      </c>
      <c r="C4136" s="13" t="s">
        <v>226</v>
      </c>
      <c r="D4136" s="14" t="s">
        <v>225</v>
      </c>
      <c r="E4136" s="13" t="s">
        <v>61</v>
      </c>
      <c r="F4136" s="13" t="s">
        <v>1534</v>
      </c>
      <c r="G4136" s="13">
        <v>0.71999999999999986</v>
      </c>
      <c r="H4136" s="15">
        <v>13325</v>
      </c>
      <c r="I4136" s="16">
        <v>9594</v>
      </c>
      <c r="J4136" s="16">
        <v>5186.1118772710133</v>
      </c>
      <c r="K4136" s="16">
        <v>4407.8881227289849</v>
      </c>
      <c r="L4136" s="13">
        <v>1.34</v>
      </c>
      <c r="M4136" s="13"/>
      <c r="N4136" s="17">
        <f t="shared" si="137"/>
        <v>17855.5</v>
      </c>
      <c r="O4136" s="17">
        <f t="shared" si="137"/>
        <v>0</v>
      </c>
      <c r="P4136" s="17">
        <f t="shared" si="136"/>
        <v>17855.5</v>
      </c>
      <c r="Q4136" t="str">
        <f>A4136&amp;"-"&amp;B4136&amp;"-"&amp;D4136</f>
        <v>SEPTEMBER-KLB-L3B</v>
      </c>
    </row>
    <row r="4137" spans="1:17" x14ac:dyDescent="0.25">
      <c r="A4137" t="s">
        <v>399</v>
      </c>
      <c r="B4137" s="13" t="s">
        <v>25</v>
      </c>
      <c r="C4137" s="13" t="s">
        <v>226</v>
      </c>
      <c r="D4137" s="14" t="s">
        <v>44</v>
      </c>
      <c r="E4137" s="13" t="s">
        <v>61</v>
      </c>
      <c r="F4137" s="13" t="s">
        <v>1535</v>
      </c>
      <c r="G4137" s="13">
        <v>0.76</v>
      </c>
      <c r="H4137" s="15">
        <v>1511</v>
      </c>
      <c r="I4137" s="16">
        <v>1148.3600000000001</v>
      </c>
      <c r="J4137" s="16">
        <v>1019.1087543150959</v>
      </c>
      <c r="K4137" s="16">
        <v>129.25124568490418</v>
      </c>
      <c r="L4137" s="13">
        <v>2</v>
      </c>
      <c r="M4137" s="13"/>
      <c r="N4137" s="17">
        <f t="shared" si="137"/>
        <v>3022</v>
      </c>
      <c r="O4137" s="17">
        <f t="shared" si="137"/>
        <v>0</v>
      </c>
      <c r="P4137" s="17">
        <f t="shared" si="136"/>
        <v>3022</v>
      </c>
      <c r="Q4137" t="str">
        <f>A4137&amp;"-"&amp;B4137&amp;"-"&amp;D4137</f>
        <v>SEPTEMBER-MJ1-L1</v>
      </c>
    </row>
    <row r="4138" spans="1:17" x14ac:dyDescent="0.25">
      <c r="A4138" t="s">
        <v>399</v>
      </c>
      <c r="B4138" s="13" t="s">
        <v>25</v>
      </c>
      <c r="C4138" s="13" t="s">
        <v>226</v>
      </c>
      <c r="D4138" s="14" t="s">
        <v>44</v>
      </c>
      <c r="E4138" s="13" t="s">
        <v>61</v>
      </c>
      <c r="F4138" s="13" t="s">
        <v>1536</v>
      </c>
      <c r="G4138" s="13">
        <v>0.79</v>
      </c>
      <c r="H4138" s="15">
        <v>1149</v>
      </c>
      <c r="I4138" s="16">
        <v>907.70999999999992</v>
      </c>
      <c r="J4138" s="16">
        <v>729.79929261656821</v>
      </c>
      <c r="K4138" s="16">
        <v>177.91070738343171</v>
      </c>
      <c r="L4138" s="13">
        <v>1.86</v>
      </c>
      <c r="M4138" s="13"/>
      <c r="N4138" s="17">
        <f t="shared" si="137"/>
        <v>2137.1400000000003</v>
      </c>
      <c r="O4138" s="17">
        <f t="shared" si="137"/>
        <v>0</v>
      </c>
      <c r="P4138" s="17">
        <f t="shared" si="136"/>
        <v>2137.1400000000003</v>
      </c>
      <c r="Q4138" t="str">
        <f>A4138&amp;"-"&amp;B4138&amp;"-"&amp;D4138</f>
        <v>SEPTEMBER-MJ1-L1</v>
      </c>
    </row>
    <row r="4139" spans="1:17" x14ac:dyDescent="0.25">
      <c r="A4139" t="s">
        <v>399</v>
      </c>
      <c r="B4139" s="13" t="s">
        <v>25</v>
      </c>
      <c r="C4139" s="13" t="s">
        <v>226</v>
      </c>
      <c r="D4139" s="14" t="s">
        <v>44</v>
      </c>
      <c r="E4139" s="13" t="s">
        <v>61</v>
      </c>
      <c r="F4139" s="13" t="s">
        <v>1537</v>
      </c>
      <c r="G4139" s="13">
        <v>0.74</v>
      </c>
      <c r="H4139" s="15">
        <v>468</v>
      </c>
      <c r="I4139" s="16">
        <v>346.32000000000005</v>
      </c>
      <c r="J4139" s="16">
        <v>339.27940616970307</v>
      </c>
      <c r="K4139" s="16">
        <v>7.0405938302969489</v>
      </c>
      <c r="L4139" s="13">
        <v>2.17</v>
      </c>
      <c r="M4139" s="13"/>
      <c r="N4139" s="17">
        <f t="shared" si="137"/>
        <v>1015.56</v>
      </c>
      <c r="O4139" s="17">
        <f t="shared" si="137"/>
        <v>0</v>
      </c>
      <c r="P4139" s="17">
        <f t="shared" si="136"/>
        <v>1015.56</v>
      </c>
      <c r="Q4139" t="str">
        <f>A4139&amp;"-"&amp;B4139&amp;"-"&amp;D4139</f>
        <v>SEPTEMBER-MJ1-L1</v>
      </c>
    </row>
    <row r="4140" spans="1:17" x14ac:dyDescent="0.25">
      <c r="A4140" t="s">
        <v>399</v>
      </c>
      <c r="B4140" s="13" t="s">
        <v>25</v>
      </c>
      <c r="C4140" s="13" t="s">
        <v>226</v>
      </c>
      <c r="D4140" s="14" t="s">
        <v>44</v>
      </c>
      <c r="E4140" s="13" t="s">
        <v>61</v>
      </c>
      <c r="F4140" s="13" t="s">
        <v>1538</v>
      </c>
      <c r="G4140" s="13">
        <v>0.76</v>
      </c>
      <c r="H4140" s="15">
        <v>190</v>
      </c>
      <c r="I4140" s="16">
        <v>144.4</v>
      </c>
      <c r="J4140" s="16">
        <v>119.64242424242425</v>
      </c>
      <c r="K4140" s="16">
        <v>24.757575757575751</v>
      </c>
      <c r="L4140" s="13">
        <v>1.99</v>
      </c>
      <c r="M4140" s="13"/>
      <c r="N4140" s="17">
        <f t="shared" si="137"/>
        <v>378.1</v>
      </c>
      <c r="O4140" s="17">
        <f t="shared" si="137"/>
        <v>0</v>
      </c>
      <c r="P4140" s="17">
        <f t="shared" si="136"/>
        <v>378.1</v>
      </c>
      <c r="Q4140" t="str">
        <f>A4140&amp;"-"&amp;B4140&amp;"-"&amp;D4140</f>
        <v>SEPTEMBER-MJ1-L1</v>
      </c>
    </row>
    <row r="4141" spans="1:17" x14ac:dyDescent="0.25">
      <c r="A4141" t="s">
        <v>399</v>
      </c>
      <c r="B4141" s="13" t="s">
        <v>25</v>
      </c>
      <c r="C4141" s="13" t="s">
        <v>226</v>
      </c>
      <c r="D4141" s="14" t="s">
        <v>44</v>
      </c>
      <c r="E4141" s="13" t="s">
        <v>61</v>
      </c>
      <c r="F4141" s="13" t="s">
        <v>1539</v>
      </c>
      <c r="G4141" s="13">
        <v>0.7599999999999999</v>
      </c>
      <c r="H4141" s="15">
        <v>10896</v>
      </c>
      <c r="I4141" s="16">
        <v>8280.9599999999991</v>
      </c>
      <c r="J4141" s="16">
        <v>6438.3401544447615</v>
      </c>
      <c r="K4141" s="16">
        <v>1842.6198455552376</v>
      </c>
      <c r="L4141" s="13">
        <v>2</v>
      </c>
      <c r="M4141" s="13"/>
      <c r="N4141" s="17">
        <f t="shared" si="137"/>
        <v>21792</v>
      </c>
      <c r="O4141" s="17">
        <f t="shared" si="137"/>
        <v>0</v>
      </c>
      <c r="P4141" s="17">
        <f t="shared" si="136"/>
        <v>21792</v>
      </c>
      <c r="Q4141" t="str">
        <f>A4141&amp;"-"&amp;B4141&amp;"-"&amp;D4141</f>
        <v>SEPTEMBER-MJ1-L1</v>
      </c>
    </row>
    <row r="4142" spans="1:17" x14ac:dyDescent="0.25">
      <c r="A4142" t="s">
        <v>399</v>
      </c>
      <c r="B4142" s="13" t="s">
        <v>25</v>
      </c>
      <c r="C4142" s="13" t="s">
        <v>226</v>
      </c>
      <c r="D4142" s="14" t="s">
        <v>44</v>
      </c>
      <c r="E4142" s="13" t="s">
        <v>61</v>
      </c>
      <c r="F4142" s="13" t="s">
        <v>1540</v>
      </c>
      <c r="G4142" s="13">
        <v>0.79</v>
      </c>
      <c r="H4142" s="15">
        <v>2086</v>
      </c>
      <c r="I4142" s="16">
        <v>1647.94</v>
      </c>
      <c r="J4142" s="16">
        <v>1288.445306472815</v>
      </c>
      <c r="K4142" s="16">
        <v>359.49469352718506</v>
      </c>
      <c r="L4142" s="13">
        <v>1.86</v>
      </c>
      <c r="M4142" s="13"/>
      <c r="N4142" s="17">
        <f t="shared" si="137"/>
        <v>3879.96</v>
      </c>
      <c r="O4142" s="17">
        <f t="shared" si="137"/>
        <v>0</v>
      </c>
      <c r="P4142" s="17">
        <f t="shared" si="136"/>
        <v>3879.96</v>
      </c>
      <c r="Q4142" t="str">
        <f>A4142&amp;"-"&amp;B4142&amp;"-"&amp;D4142</f>
        <v>SEPTEMBER-MJ1-L1</v>
      </c>
    </row>
    <row r="4143" spans="1:17" x14ac:dyDescent="0.25">
      <c r="A4143" t="s">
        <v>399</v>
      </c>
      <c r="B4143" s="13" t="s">
        <v>25</v>
      </c>
      <c r="C4143" s="13" t="s">
        <v>226</v>
      </c>
      <c r="D4143" s="14" t="s">
        <v>44</v>
      </c>
      <c r="E4143" s="13" t="s">
        <v>61</v>
      </c>
      <c r="F4143" s="13" t="s">
        <v>1541</v>
      </c>
      <c r="G4143" s="13">
        <v>0.74</v>
      </c>
      <c r="H4143" s="15">
        <v>1633</v>
      </c>
      <c r="I4143" s="16">
        <v>1208.42</v>
      </c>
      <c r="J4143" s="16">
        <v>892.99315789473678</v>
      </c>
      <c r="K4143" s="16">
        <v>315.42684210526329</v>
      </c>
      <c r="L4143" s="13">
        <v>2.17</v>
      </c>
      <c r="M4143" s="13"/>
      <c r="N4143" s="17">
        <f t="shared" si="137"/>
        <v>3543.6099999999997</v>
      </c>
      <c r="O4143" s="17">
        <f t="shared" si="137"/>
        <v>0</v>
      </c>
      <c r="P4143" s="17">
        <f t="shared" si="136"/>
        <v>3543.6099999999997</v>
      </c>
      <c r="Q4143" t="str">
        <f>A4143&amp;"-"&amp;B4143&amp;"-"&amp;D4143</f>
        <v>SEPTEMBER-MJ1-L1</v>
      </c>
    </row>
    <row r="4144" spans="1:17" x14ac:dyDescent="0.25">
      <c r="A4144" t="s">
        <v>399</v>
      </c>
      <c r="B4144" s="13" t="s">
        <v>25</v>
      </c>
      <c r="C4144" s="13" t="s">
        <v>226</v>
      </c>
      <c r="D4144" s="14" t="s">
        <v>44</v>
      </c>
      <c r="E4144" s="13" t="s">
        <v>61</v>
      </c>
      <c r="F4144" s="13" t="s">
        <v>1542</v>
      </c>
      <c r="G4144" s="13">
        <v>0.76</v>
      </c>
      <c r="H4144" s="15">
        <v>793</v>
      </c>
      <c r="I4144" s="16">
        <v>602.68000000000006</v>
      </c>
      <c r="J4144" s="16">
        <v>493.61661303182893</v>
      </c>
      <c r="K4144" s="16">
        <v>109.0633869681711</v>
      </c>
      <c r="L4144" s="13">
        <v>1.99</v>
      </c>
      <c r="M4144" s="13"/>
      <c r="N4144" s="17">
        <f t="shared" si="137"/>
        <v>1578.07</v>
      </c>
      <c r="O4144" s="17">
        <f t="shared" si="137"/>
        <v>0</v>
      </c>
      <c r="P4144" s="17">
        <f t="shared" si="136"/>
        <v>1578.07</v>
      </c>
      <c r="Q4144" t="str">
        <f>A4144&amp;"-"&amp;B4144&amp;"-"&amp;D4144</f>
        <v>SEPTEMBER-MJ1-L1</v>
      </c>
    </row>
    <row r="4145" spans="1:17" x14ac:dyDescent="0.25">
      <c r="A4145" t="s">
        <v>399</v>
      </c>
      <c r="B4145" s="13" t="s">
        <v>25</v>
      </c>
      <c r="C4145" s="13" t="s">
        <v>226</v>
      </c>
      <c r="D4145" s="14" t="s">
        <v>44</v>
      </c>
      <c r="E4145" s="13" t="s">
        <v>61</v>
      </c>
      <c r="F4145" s="13" t="s">
        <v>1334</v>
      </c>
      <c r="G4145" s="13">
        <v>0.7599999999999999</v>
      </c>
      <c r="H4145" s="15">
        <v>5333</v>
      </c>
      <c r="I4145" s="16">
        <v>4053.0800000000008</v>
      </c>
      <c r="J4145" s="16">
        <v>3595.318708591039</v>
      </c>
      <c r="K4145" s="16">
        <v>457.76129140896086</v>
      </c>
      <c r="L4145" s="13">
        <v>2</v>
      </c>
      <c r="M4145" s="13"/>
      <c r="N4145" s="17">
        <f t="shared" si="137"/>
        <v>10666</v>
      </c>
      <c r="O4145" s="17">
        <f t="shared" si="137"/>
        <v>0</v>
      </c>
      <c r="P4145" s="17">
        <f t="shared" si="136"/>
        <v>10666</v>
      </c>
      <c r="Q4145" t="str">
        <f>A4145&amp;"-"&amp;B4145&amp;"-"&amp;D4145</f>
        <v>SEPTEMBER-MJ1-L1</v>
      </c>
    </row>
    <row r="4146" spans="1:17" x14ac:dyDescent="0.25">
      <c r="A4146" t="s">
        <v>399</v>
      </c>
      <c r="B4146" s="13" t="s">
        <v>25</v>
      </c>
      <c r="C4146" s="13" t="s">
        <v>226</v>
      </c>
      <c r="D4146" s="14" t="s">
        <v>44</v>
      </c>
      <c r="E4146" s="13" t="s">
        <v>61</v>
      </c>
      <c r="F4146" s="13" t="s">
        <v>1543</v>
      </c>
      <c r="G4146" s="13">
        <v>0.74</v>
      </c>
      <c r="H4146" s="15">
        <v>647</v>
      </c>
      <c r="I4146" s="16">
        <v>478.78</v>
      </c>
      <c r="J4146" s="16">
        <v>417.8418240124397</v>
      </c>
      <c r="K4146" s="16">
        <v>60.938175987560314</v>
      </c>
      <c r="L4146" s="13">
        <v>2.17</v>
      </c>
      <c r="M4146" s="13"/>
      <c r="N4146" s="17">
        <f t="shared" si="137"/>
        <v>1403.99</v>
      </c>
      <c r="O4146" s="17">
        <f t="shared" si="137"/>
        <v>0</v>
      </c>
      <c r="P4146" s="17">
        <f t="shared" si="136"/>
        <v>1403.99</v>
      </c>
      <c r="Q4146" t="str">
        <f>A4146&amp;"-"&amp;B4146&amp;"-"&amp;D4146</f>
        <v>SEPTEMBER-MJ1-L1</v>
      </c>
    </row>
    <row r="4147" spans="1:17" x14ac:dyDescent="0.25">
      <c r="A4147" t="s">
        <v>399</v>
      </c>
      <c r="B4147" s="13" t="s">
        <v>25</v>
      </c>
      <c r="C4147" s="13" t="s">
        <v>226</v>
      </c>
      <c r="D4147" s="14" t="s">
        <v>44</v>
      </c>
      <c r="E4147" s="13" t="s">
        <v>61</v>
      </c>
      <c r="F4147" s="13" t="s">
        <v>1544</v>
      </c>
      <c r="G4147" s="13">
        <v>0.74</v>
      </c>
      <c r="H4147" s="15">
        <v>232</v>
      </c>
      <c r="I4147" s="16">
        <v>171.68</v>
      </c>
      <c r="J4147" s="16">
        <v>168.44723969252271</v>
      </c>
      <c r="K4147" s="16">
        <v>3.2327603074772924</v>
      </c>
      <c r="L4147" s="13">
        <v>2.17</v>
      </c>
      <c r="M4147" s="13"/>
      <c r="N4147" s="17">
        <f t="shared" si="137"/>
        <v>503.44</v>
      </c>
      <c r="O4147" s="17">
        <f t="shared" si="137"/>
        <v>0</v>
      </c>
      <c r="P4147" s="17">
        <f t="shared" si="136"/>
        <v>503.44</v>
      </c>
      <c r="Q4147" t="str">
        <f>A4147&amp;"-"&amp;B4147&amp;"-"&amp;D4147</f>
        <v>SEPTEMBER-MJ1-L1</v>
      </c>
    </row>
    <row r="4148" spans="1:17" x14ac:dyDescent="0.25">
      <c r="A4148" t="s">
        <v>399</v>
      </c>
      <c r="B4148" s="13" t="s">
        <v>25</v>
      </c>
      <c r="C4148" s="13" t="s">
        <v>226</v>
      </c>
      <c r="D4148" s="14" t="s">
        <v>44</v>
      </c>
      <c r="E4148" s="13" t="s">
        <v>61</v>
      </c>
      <c r="F4148" s="13" t="s">
        <v>1545</v>
      </c>
      <c r="G4148" s="13">
        <v>0.68</v>
      </c>
      <c r="H4148" s="15">
        <v>1699</v>
      </c>
      <c r="I4148" s="16">
        <v>1155.32</v>
      </c>
      <c r="J4148" s="16">
        <v>1005.727626524343</v>
      </c>
      <c r="K4148" s="16">
        <v>149.59237347565693</v>
      </c>
      <c r="L4148" s="13">
        <v>1.61</v>
      </c>
      <c r="M4148" s="13"/>
      <c r="N4148" s="17">
        <f t="shared" si="137"/>
        <v>2735.3900000000003</v>
      </c>
      <c r="O4148" s="17">
        <f t="shared" si="137"/>
        <v>0</v>
      </c>
      <c r="P4148" s="17">
        <f t="shared" si="136"/>
        <v>2735.3900000000003</v>
      </c>
      <c r="Q4148" t="str">
        <f>A4148&amp;"-"&amp;B4148&amp;"-"&amp;D4148</f>
        <v>SEPTEMBER-MJ1-L1</v>
      </c>
    </row>
    <row r="4149" spans="1:17" x14ac:dyDescent="0.25">
      <c r="A4149" t="s">
        <v>399</v>
      </c>
      <c r="B4149" s="13" t="s">
        <v>25</v>
      </c>
      <c r="C4149" s="13" t="s">
        <v>226</v>
      </c>
      <c r="D4149" s="14" t="s">
        <v>44</v>
      </c>
      <c r="E4149" s="13" t="s">
        <v>61</v>
      </c>
      <c r="F4149" s="13" t="s">
        <v>1546</v>
      </c>
      <c r="G4149" s="13">
        <v>0.68</v>
      </c>
      <c r="H4149" s="15">
        <v>4061</v>
      </c>
      <c r="I4149" s="16">
        <v>2761.48</v>
      </c>
      <c r="J4149" s="16">
        <v>2316.0343114568395</v>
      </c>
      <c r="K4149" s="16">
        <v>445.4456885431606</v>
      </c>
      <c r="L4149" s="13">
        <v>1.61</v>
      </c>
      <c r="M4149" s="13"/>
      <c r="N4149" s="17">
        <f t="shared" si="137"/>
        <v>6538.21</v>
      </c>
      <c r="O4149" s="17">
        <f t="shared" si="137"/>
        <v>0</v>
      </c>
      <c r="P4149" s="17">
        <f t="shared" si="136"/>
        <v>6538.21</v>
      </c>
      <c r="Q4149" t="str">
        <f>A4149&amp;"-"&amp;B4149&amp;"-"&amp;D4149</f>
        <v>SEPTEMBER-MJ1-L1</v>
      </c>
    </row>
    <row r="4150" spans="1:17" x14ac:dyDescent="0.25">
      <c r="A4150" t="s">
        <v>399</v>
      </c>
      <c r="B4150" s="13" t="s">
        <v>25</v>
      </c>
      <c r="C4150" s="13" t="s">
        <v>226</v>
      </c>
      <c r="D4150" s="14" t="s">
        <v>44</v>
      </c>
      <c r="E4150" s="13" t="s">
        <v>61</v>
      </c>
      <c r="F4150" s="13" t="s">
        <v>1547</v>
      </c>
      <c r="G4150" s="13">
        <v>0.64</v>
      </c>
      <c r="H4150" s="15">
        <v>311</v>
      </c>
      <c r="I4150" s="16">
        <v>199.04</v>
      </c>
      <c r="J4150" s="16">
        <v>175.25625159028141</v>
      </c>
      <c r="K4150" s="16">
        <v>23.783748409718584</v>
      </c>
      <c r="L4150" s="13">
        <v>1.72</v>
      </c>
      <c r="M4150" s="13"/>
      <c r="N4150" s="17">
        <f t="shared" si="137"/>
        <v>534.91999999999996</v>
      </c>
      <c r="O4150" s="17">
        <f t="shared" si="137"/>
        <v>0</v>
      </c>
      <c r="P4150" s="17">
        <f t="shared" si="136"/>
        <v>534.91999999999996</v>
      </c>
      <c r="Q4150" t="str">
        <f>A4150&amp;"-"&amp;B4150&amp;"-"&amp;D4150</f>
        <v>SEPTEMBER-MJ1-L1</v>
      </c>
    </row>
    <row r="4151" spans="1:17" x14ac:dyDescent="0.25">
      <c r="A4151" t="s">
        <v>399</v>
      </c>
      <c r="B4151" s="13" t="s">
        <v>25</v>
      </c>
      <c r="C4151" s="13" t="s">
        <v>226</v>
      </c>
      <c r="D4151" s="14" t="s">
        <v>44</v>
      </c>
      <c r="E4151" s="13" t="s">
        <v>61</v>
      </c>
      <c r="F4151" s="13" t="s">
        <v>1335</v>
      </c>
      <c r="G4151" s="13">
        <v>0.68</v>
      </c>
      <c r="H4151" s="15">
        <v>62</v>
      </c>
      <c r="I4151" s="16">
        <v>42.16</v>
      </c>
      <c r="J4151" s="16">
        <v>37.33288700150775</v>
      </c>
      <c r="K4151" s="16">
        <v>4.8271129984922476</v>
      </c>
      <c r="L4151" s="13">
        <v>1.83</v>
      </c>
      <c r="M4151" s="13"/>
      <c r="N4151" s="17">
        <f t="shared" si="137"/>
        <v>113.46000000000001</v>
      </c>
      <c r="O4151" s="17">
        <f t="shared" si="137"/>
        <v>0</v>
      </c>
      <c r="P4151" s="17">
        <f t="shared" si="136"/>
        <v>113.46000000000001</v>
      </c>
      <c r="Q4151" t="str">
        <f>A4151&amp;"-"&amp;B4151&amp;"-"&amp;D4151</f>
        <v>SEPTEMBER-MJ1-L1</v>
      </c>
    </row>
    <row r="4152" spans="1:17" x14ac:dyDescent="0.25">
      <c r="A4152" t="s">
        <v>399</v>
      </c>
      <c r="B4152" s="13" t="s">
        <v>25</v>
      </c>
      <c r="C4152" s="13" t="s">
        <v>226</v>
      </c>
      <c r="D4152" s="14" t="s">
        <v>44</v>
      </c>
      <c r="E4152" s="13" t="s">
        <v>61</v>
      </c>
      <c r="F4152" s="13" t="s">
        <v>1336</v>
      </c>
      <c r="G4152" s="13">
        <v>0.68</v>
      </c>
      <c r="H4152" s="15">
        <v>502</v>
      </c>
      <c r="I4152" s="16">
        <v>341.35999999999996</v>
      </c>
      <c r="J4152" s="16">
        <v>439.94098370927321</v>
      </c>
      <c r="K4152" s="16">
        <v>-98.58098370927317</v>
      </c>
      <c r="L4152" s="13">
        <v>1.83</v>
      </c>
      <c r="M4152" s="13"/>
      <c r="N4152" s="17">
        <f t="shared" si="137"/>
        <v>918.66000000000008</v>
      </c>
      <c r="O4152" s="17">
        <f t="shared" si="137"/>
        <v>0</v>
      </c>
      <c r="P4152" s="17">
        <f t="shared" si="136"/>
        <v>918.66000000000008</v>
      </c>
      <c r="Q4152" t="str">
        <f>A4152&amp;"-"&amp;B4152&amp;"-"&amp;D4152</f>
        <v>SEPTEMBER-MJ1-L1</v>
      </c>
    </row>
    <row r="4153" spans="1:17" x14ac:dyDescent="0.25">
      <c r="A4153" t="s">
        <v>399</v>
      </c>
      <c r="B4153" s="13" t="s">
        <v>25</v>
      </c>
      <c r="C4153" s="13" t="s">
        <v>226</v>
      </c>
      <c r="D4153" s="14" t="s">
        <v>44</v>
      </c>
      <c r="E4153" s="13" t="s">
        <v>61</v>
      </c>
      <c r="F4153" s="13" t="s">
        <v>1337</v>
      </c>
      <c r="G4153" s="13">
        <v>0.66</v>
      </c>
      <c r="H4153" s="15">
        <v>363</v>
      </c>
      <c r="I4153" s="16">
        <v>239.57999999999998</v>
      </c>
      <c r="J4153" s="16">
        <v>263.87505823381986</v>
      </c>
      <c r="K4153" s="16">
        <v>-24.295058233819844</v>
      </c>
      <c r="L4153" s="13">
        <v>1.98</v>
      </c>
      <c r="M4153" s="13"/>
      <c r="N4153" s="17">
        <f t="shared" si="137"/>
        <v>718.74</v>
      </c>
      <c r="O4153" s="17">
        <f t="shared" si="137"/>
        <v>0</v>
      </c>
      <c r="P4153" s="17">
        <f t="shared" si="136"/>
        <v>718.74</v>
      </c>
      <c r="Q4153" t="str">
        <f>A4153&amp;"-"&amp;B4153&amp;"-"&amp;D4153</f>
        <v>SEPTEMBER-MJ1-L1</v>
      </c>
    </row>
    <row r="4154" spans="1:17" x14ac:dyDescent="0.25">
      <c r="A4154" t="s">
        <v>399</v>
      </c>
      <c r="B4154" s="13" t="s">
        <v>25</v>
      </c>
      <c r="C4154" s="13" t="s">
        <v>226</v>
      </c>
      <c r="D4154" s="14" t="s">
        <v>44</v>
      </c>
      <c r="E4154" s="13" t="s">
        <v>61</v>
      </c>
      <c r="F4154" s="13" t="s">
        <v>1548</v>
      </c>
      <c r="G4154" s="13">
        <v>0.79</v>
      </c>
      <c r="H4154" s="15">
        <v>400</v>
      </c>
      <c r="I4154" s="16">
        <v>316</v>
      </c>
      <c r="J4154" s="16">
        <v>1039</v>
      </c>
      <c r="K4154" s="16">
        <v>-723</v>
      </c>
      <c r="L4154" s="13">
        <v>2</v>
      </c>
      <c r="M4154" s="13"/>
      <c r="N4154" s="17">
        <f t="shared" si="137"/>
        <v>800</v>
      </c>
      <c r="O4154" s="17">
        <f t="shared" si="137"/>
        <v>0</v>
      </c>
      <c r="P4154" s="17">
        <f t="shared" si="136"/>
        <v>800</v>
      </c>
      <c r="Q4154" t="str">
        <f>A4154&amp;"-"&amp;B4154&amp;"-"&amp;D4154</f>
        <v>SEPTEMBER-MJ1-L1</v>
      </c>
    </row>
    <row r="4155" spans="1:17" x14ac:dyDescent="0.25">
      <c r="A4155" t="s">
        <v>399</v>
      </c>
      <c r="B4155" s="13" t="s">
        <v>25</v>
      </c>
      <c r="C4155" s="13" t="s">
        <v>226</v>
      </c>
      <c r="D4155" s="14" t="s">
        <v>287</v>
      </c>
      <c r="E4155" s="13" t="s">
        <v>61</v>
      </c>
      <c r="F4155" s="13" t="s">
        <v>1549</v>
      </c>
      <c r="G4155" s="13">
        <v>1.24</v>
      </c>
      <c r="H4155" s="15">
        <v>32</v>
      </c>
      <c r="I4155" s="16">
        <v>39.68</v>
      </c>
      <c r="J4155" s="16">
        <v>1039</v>
      </c>
      <c r="K4155" s="16">
        <v>-999.32</v>
      </c>
      <c r="L4155" s="13">
        <v>3.18</v>
      </c>
      <c r="M4155" s="13"/>
      <c r="N4155" s="17">
        <f t="shared" si="137"/>
        <v>101.76</v>
      </c>
      <c r="O4155" s="17">
        <f t="shared" si="137"/>
        <v>0</v>
      </c>
      <c r="P4155" s="17">
        <f t="shared" si="136"/>
        <v>101.76</v>
      </c>
      <c r="Q4155" t="str">
        <f>A4155&amp;"-"&amp;B4155&amp;"-"&amp;D4155</f>
        <v>SEPTEMBER-MJ1-L11</v>
      </c>
    </row>
    <row r="4156" spans="1:17" x14ac:dyDescent="0.25">
      <c r="A4156" t="s">
        <v>399</v>
      </c>
      <c r="B4156" s="13" t="s">
        <v>25</v>
      </c>
      <c r="C4156" s="13" t="s">
        <v>226</v>
      </c>
      <c r="D4156" s="14" t="s">
        <v>310</v>
      </c>
      <c r="E4156" s="13" t="s">
        <v>61</v>
      </c>
      <c r="F4156" s="13" t="s">
        <v>1535</v>
      </c>
      <c r="G4156" s="13">
        <v>0.76</v>
      </c>
      <c r="H4156" s="15">
        <v>1862</v>
      </c>
      <c r="I4156" s="16">
        <v>1415.12</v>
      </c>
      <c r="J4156" s="16">
        <v>1236.0753651667314</v>
      </c>
      <c r="K4156" s="16">
        <v>179.04463483326845</v>
      </c>
      <c r="L4156" s="13">
        <v>2</v>
      </c>
      <c r="M4156" s="13"/>
      <c r="N4156" s="17">
        <f t="shared" si="137"/>
        <v>3724</v>
      </c>
      <c r="O4156" s="17">
        <f t="shared" si="137"/>
        <v>0</v>
      </c>
      <c r="P4156" s="17">
        <f t="shared" si="136"/>
        <v>3724</v>
      </c>
      <c r="Q4156" t="str">
        <f>A4156&amp;"-"&amp;B4156&amp;"-"&amp;D4156</f>
        <v>SEPTEMBER-MJ1-L12</v>
      </c>
    </row>
    <row r="4157" spans="1:17" x14ac:dyDescent="0.25">
      <c r="A4157" t="s">
        <v>399</v>
      </c>
      <c r="B4157" s="13" t="s">
        <v>25</v>
      </c>
      <c r="C4157" s="13" t="s">
        <v>226</v>
      </c>
      <c r="D4157" s="14" t="s">
        <v>310</v>
      </c>
      <c r="E4157" s="13" t="s">
        <v>61</v>
      </c>
      <c r="F4157" s="13" t="s">
        <v>1536</v>
      </c>
      <c r="G4157" s="13">
        <v>0.79</v>
      </c>
      <c r="H4157" s="15">
        <v>1150</v>
      </c>
      <c r="I4157" s="16">
        <v>908.5</v>
      </c>
      <c r="J4157" s="16">
        <v>704.35251017497478</v>
      </c>
      <c r="K4157" s="16">
        <v>204.14748982502516</v>
      </c>
      <c r="L4157" s="13">
        <v>1.86</v>
      </c>
      <c r="M4157" s="13"/>
      <c r="N4157" s="17">
        <f t="shared" si="137"/>
        <v>2139</v>
      </c>
      <c r="O4157" s="17">
        <f t="shared" si="137"/>
        <v>0</v>
      </c>
      <c r="P4157" s="17">
        <f t="shared" si="136"/>
        <v>2139</v>
      </c>
      <c r="Q4157" t="str">
        <f>A4157&amp;"-"&amp;B4157&amp;"-"&amp;D4157</f>
        <v>SEPTEMBER-MJ1-L12</v>
      </c>
    </row>
    <row r="4158" spans="1:17" x14ac:dyDescent="0.25">
      <c r="A4158" t="s">
        <v>399</v>
      </c>
      <c r="B4158" s="13" t="s">
        <v>25</v>
      </c>
      <c r="C4158" s="13" t="s">
        <v>226</v>
      </c>
      <c r="D4158" s="14" t="s">
        <v>310</v>
      </c>
      <c r="E4158" s="13" t="s">
        <v>61</v>
      </c>
      <c r="F4158" s="13" t="s">
        <v>1537</v>
      </c>
      <c r="G4158" s="13">
        <v>0.74</v>
      </c>
      <c r="H4158" s="15">
        <v>593</v>
      </c>
      <c r="I4158" s="16">
        <v>438.82</v>
      </c>
      <c r="J4158" s="16">
        <v>353.9114228160276</v>
      </c>
      <c r="K4158" s="16">
        <v>84.908577183972383</v>
      </c>
      <c r="L4158" s="13">
        <v>2.17</v>
      </c>
      <c r="M4158" s="13"/>
      <c r="N4158" s="17">
        <f t="shared" si="137"/>
        <v>1286.81</v>
      </c>
      <c r="O4158" s="17">
        <f t="shared" si="137"/>
        <v>0</v>
      </c>
      <c r="P4158" s="17">
        <f t="shared" si="136"/>
        <v>1286.81</v>
      </c>
      <c r="Q4158" t="str">
        <f>A4158&amp;"-"&amp;B4158&amp;"-"&amp;D4158</f>
        <v>SEPTEMBER-MJ1-L12</v>
      </c>
    </row>
    <row r="4159" spans="1:17" x14ac:dyDescent="0.25">
      <c r="A4159" t="s">
        <v>399</v>
      </c>
      <c r="B4159" s="13" t="s">
        <v>25</v>
      </c>
      <c r="C4159" s="13" t="s">
        <v>226</v>
      </c>
      <c r="D4159" s="14" t="s">
        <v>310</v>
      </c>
      <c r="E4159" s="13" t="s">
        <v>61</v>
      </c>
      <c r="F4159" s="13" t="s">
        <v>1538</v>
      </c>
      <c r="G4159" s="13">
        <v>0.76</v>
      </c>
      <c r="H4159" s="15">
        <v>193</v>
      </c>
      <c r="I4159" s="16">
        <v>146.68</v>
      </c>
      <c r="J4159" s="16">
        <v>117.96356454586565</v>
      </c>
      <c r="K4159" s="16">
        <v>28.716435454134341</v>
      </c>
      <c r="L4159" s="13">
        <v>1.99</v>
      </c>
      <c r="M4159" s="13"/>
      <c r="N4159" s="17">
        <f t="shared" si="137"/>
        <v>384.07</v>
      </c>
      <c r="O4159" s="17">
        <f t="shared" si="137"/>
        <v>0</v>
      </c>
      <c r="P4159" s="17">
        <f t="shared" si="136"/>
        <v>384.07</v>
      </c>
      <c r="Q4159" t="str">
        <f>A4159&amp;"-"&amp;B4159&amp;"-"&amp;D4159</f>
        <v>SEPTEMBER-MJ1-L12</v>
      </c>
    </row>
    <row r="4160" spans="1:17" x14ac:dyDescent="0.25">
      <c r="A4160" t="s">
        <v>399</v>
      </c>
      <c r="B4160" s="13" t="s">
        <v>25</v>
      </c>
      <c r="C4160" s="13" t="s">
        <v>226</v>
      </c>
      <c r="D4160" s="14" t="s">
        <v>310</v>
      </c>
      <c r="E4160" s="13" t="s">
        <v>61</v>
      </c>
      <c r="F4160" s="13" t="s">
        <v>1539</v>
      </c>
      <c r="G4160" s="13">
        <v>0.7599999999999999</v>
      </c>
      <c r="H4160" s="15">
        <v>11166</v>
      </c>
      <c r="I4160" s="16">
        <v>8486.159999999998</v>
      </c>
      <c r="J4160" s="16">
        <v>6360.7641426293067</v>
      </c>
      <c r="K4160" s="16">
        <v>2125.3958573706923</v>
      </c>
      <c r="L4160" s="13">
        <v>2</v>
      </c>
      <c r="M4160" s="13"/>
      <c r="N4160" s="17">
        <f t="shared" si="137"/>
        <v>22332</v>
      </c>
      <c r="O4160" s="17">
        <f t="shared" si="137"/>
        <v>0</v>
      </c>
      <c r="P4160" s="17">
        <f t="shared" si="136"/>
        <v>22332</v>
      </c>
      <c r="Q4160" t="str">
        <f>A4160&amp;"-"&amp;B4160&amp;"-"&amp;D4160</f>
        <v>SEPTEMBER-MJ1-L12</v>
      </c>
    </row>
    <row r="4161" spans="1:17" x14ac:dyDescent="0.25">
      <c r="A4161" t="s">
        <v>399</v>
      </c>
      <c r="B4161" s="13" t="s">
        <v>25</v>
      </c>
      <c r="C4161" s="13" t="s">
        <v>226</v>
      </c>
      <c r="D4161" s="14" t="s">
        <v>310</v>
      </c>
      <c r="E4161" s="13" t="s">
        <v>61</v>
      </c>
      <c r="F4161" s="13" t="s">
        <v>1540</v>
      </c>
      <c r="G4161" s="13">
        <v>0.79</v>
      </c>
      <c r="H4161" s="15">
        <v>2556</v>
      </c>
      <c r="I4161" s="16">
        <v>2019.24</v>
      </c>
      <c r="J4161" s="16">
        <v>1569.6151843886303</v>
      </c>
      <c r="K4161" s="16">
        <v>449.62481561136968</v>
      </c>
      <c r="L4161" s="13">
        <v>1.86</v>
      </c>
      <c r="M4161" s="13"/>
      <c r="N4161" s="17">
        <f t="shared" si="137"/>
        <v>4754.16</v>
      </c>
      <c r="O4161" s="17">
        <f t="shared" si="137"/>
        <v>0</v>
      </c>
      <c r="P4161" s="17">
        <f t="shared" si="136"/>
        <v>4754.16</v>
      </c>
      <c r="Q4161" t="str">
        <f>A4161&amp;"-"&amp;B4161&amp;"-"&amp;D4161</f>
        <v>SEPTEMBER-MJ1-L12</v>
      </c>
    </row>
    <row r="4162" spans="1:17" x14ac:dyDescent="0.25">
      <c r="A4162" t="s">
        <v>399</v>
      </c>
      <c r="B4162" s="13" t="s">
        <v>25</v>
      </c>
      <c r="C4162" s="13" t="s">
        <v>226</v>
      </c>
      <c r="D4162" s="14" t="s">
        <v>310</v>
      </c>
      <c r="E4162" s="13" t="s">
        <v>61</v>
      </c>
      <c r="F4162" s="13" t="s">
        <v>1541</v>
      </c>
      <c r="G4162" s="13">
        <v>0.73999999999999988</v>
      </c>
      <c r="H4162" s="15">
        <v>1297</v>
      </c>
      <c r="I4162" s="16">
        <v>959.78</v>
      </c>
      <c r="J4162" s="16">
        <v>725.36369852956909</v>
      </c>
      <c r="K4162" s="16">
        <v>234.41630147043085</v>
      </c>
      <c r="L4162" s="13">
        <v>2.17</v>
      </c>
      <c r="M4162" s="13"/>
      <c r="N4162" s="17">
        <f t="shared" si="137"/>
        <v>2814.49</v>
      </c>
      <c r="O4162" s="17">
        <f t="shared" si="137"/>
        <v>0</v>
      </c>
      <c r="P4162" s="17">
        <f t="shared" ref="P4162:P4225" si="138">N4162+O4162</f>
        <v>2814.49</v>
      </c>
      <c r="Q4162" t="str">
        <f>A4162&amp;"-"&amp;B4162&amp;"-"&amp;D4162</f>
        <v>SEPTEMBER-MJ1-L12</v>
      </c>
    </row>
    <row r="4163" spans="1:17" x14ac:dyDescent="0.25">
      <c r="A4163" t="s">
        <v>399</v>
      </c>
      <c r="B4163" s="13" t="s">
        <v>25</v>
      </c>
      <c r="C4163" s="13" t="s">
        <v>226</v>
      </c>
      <c r="D4163" s="14" t="s">
        <v>310</v>
      </c>
      <c r="E4163" s="13" t="s">
        <v>61</v>
      </c>
      <c r="F4163" s="13" t="s">
        <v>1542</v>
      </c>
      <c r="G4163" s="13">
        <v>0.76</v>
      </c>
      <c r="H4163" s="15">
        <v>503</v>
      </c>
      <c r="I4163" s="16">
        <v>382.28</v>
      </c>
      <c r="J4163" s="16">
        <v>295.2986587314569</v>
      </c>
      <c r="K4163" s="16">
        <v>86.98134126854309</v>
      </c>
      <c r="L4163" s="13">
        <v>1.99</v>
      </c>
      <c r="M4163" s="13"/>
      <c r="N4163" s="17">
        <f t="shared" si="137"/>
        <v>1000.97</v>
      </c>
      <c r="O4163" s="17">
        <f t="shared" si="137"/>
        <v>0</v>
      </c>
      <c r="P4163" s="17">
        <f t="shared" si="138"/>
        <v>1000.97</v>
      </c>
      <c r="Q4163" t="str">
        <f>A4163&amp;"-"&amp;B4163&amp;"-"&amp;D4163</f>
        <v>SEPTEMBER-MJ1-L12</v>
      </c>
    </row>
    <row r="4164" spans="1:17" x14ac:dyDescent="0.25">
      <c r="A4164" t="s">
        <v>399</v>
      </c>
      <c r="B4164" s="13" t="s">
        <v>25</v>
      </c>
      <c r="C4164" s="13" t="s">
        <v>226</v>
      </c>
      <c r="D4164" s="14" t="s">
        <v>310</v>
      </c>
      <c r="E4164" s="13" t="s">
        <v>61</v>
      </c>
      <c r="F4164" s="13" t="s">
        <v>1334</v>
      </c>
      <c r="G4164" s="13">
        <v>0.76</v>
      </c>
      <c r="H4164" s="15">
        <v>5517</v>
      </c>
      <c r="I4164" s="16">
        <v>4192.9199999999992</v>
      </c>
      <c r="J4164" s="16">
        <v>3503.8693891793455</v>
      </c>
      <c r="K4164" s="16">
        <v>689.05061082065481</v>
      </c>
      <c r="L4164" s="13">
        <v>2</v>
      </c>
      <c r="M4164" s="13"/>
      <c r="N4164" s="17">
        <f t="shared" si="137"/>
        <v>11034</v>
      </c>
      <c r="O4164" s="17">
        <f t="shared" si="137"/>
        <v>0</v>
      </c>
      <c r="P4164" s="17">
        <f t="shared" si="138"/>
        <v>11034</v>
      </c>
      <c r="Q4164" t="str">
        <f>A4164&amp;"-"&amp;B4164&amp;"-"&amp;D4164</f>
        <v>SEPTEMBER-MJ1-L12</v>
      </c>
    </row>
    <row r="4165" spans="1:17" x14ac:dyDescent="0.25">
      <c r="A4165" t="s">
        <v>399</v>
      </c>
      <c r="B4165" s="13" t="s">
        <v>25</v>
      </c>
      <c r="C4165" s="13" t="s">
        <v>226</v>
      </c>
      <c r="D4165" s="14" t="s">
        <v>310</v>
      </c>
      <c r="E4165" s="13" t="s">
        <v>61</v>
      </c>
      <c r="F4165" s="13" t="s">
        <v>1543</v>
      </c>
      <c r="G4165" s="13">
        <v>0.7400000000000001</v>
      </c>
      <c r="H4165" s="15">
        <v>842</v>
      </c>
      <c r="I4165" s="16">
        <v>623.08000000000004</v>
      </c>
      <c r="J4165" s="16">
        <v>513.96602367330763</v>
      </c>
      <c r="K4165" s="16">
        <v>109.11397632669242</v>
      </c>
      <c r="L4165" s="13">
        <v>2.17</v>
      </c>
      <c r="M4165" s="13"/>
      <c r="N4165" s="17">
        <f t="shared" si="137"/>
        <v>1827.1399999999999</v>
      </c>
      <c r="O4165" s="17">
        <f t="shared" si="137"/>
        <v>0</v>
      </c>
      <c r="P4165" s="17">
        <f t="shared" si="138"/>
        <v>1827.1399999999999</v>
      </c>
      <c r="Q4165" t="str">
        <f>A4165&amp;"-"&amp;B4165&amp;"-"&amp;D4165</f>
        <v>SEPTEMBER-MJ1-L12</v>
      </c>
    </row>
    <row r="4166" spans="1:17" x14ac:dyDescent="0.25">
      <c r="A4166" t="s">
        <v>399</v>
      </c>
      <c r="B4166" s="13" t="s">
        <v>25</v>
      </c>
      <c r="C4166" s="13" t="s">
        <v>226</v>
      </c>
      <c r="D4166" s="14" t="s">
        <v>310</v>
      </c>
      <c r="E4166" s="13" t="s">
        <v>61</v>
      </c>
      <c r="F4166" s="13" t="s">
        <v>1544</v>
      </c>
      <c r="G4166" s="13">
        <v>0.74</v>
      </c>
      <c r="H4166" s="15">
        <v>128</v>
      </c>
      <c r="I4166" s="16">
        <v>94.72</v>
      </c>
      <c r="J4166" s="16">
        <v>78.575391519115044</v>
      </c>
      <c r="K4166" s="16">
        <v>16.144608480884962</v>
      </c>
      <c r="L4166" s="13">
        <v>2.17</v>
      </c>
      <c r="M4166" s="13"/>
      <c r="N4166" s="17">
        <f t="shared" si="137"/>
        <v>277.76</v>
      </c>
      <c r="O4166" s="17">
        <f t="shared" si="137"/>
        <v>0</v>
      </c>
      <c r="P4166" s="17">
        <f t="shared" si="138"/>
        <v>277.76</v>
      </c>
      <c r="Q4166" t="str">
        <f>A4166&amp;"-"&amp;B4166&amp;"-"&amp;D4166</f>
        <v>SEPTEMBER-MJ1-L12</v>
      </c>
    </row>
    <row r="4167" spans="1:17" x14ac:dyDescent="0.25">
      <c r="A4167" t="s">
        <v>399</v>
      </c>
      <c r="B4167" s="13" t="s">
        <v>25</v>
      </c>
      <c r="C4167" s="13" t="s">
        <v>226</v>
      </c>
      <c r="D4167" s="14" t="s">
        <v>310</v>
      </c>
      <c r="E4167" s="13" t="s">
        <v>61</v>
      </c>
      <c r="F4167" s="13" t="s">
        <v>1545</v>
      </c>
      <c r="G4167" s="13">
        <v>0.68</v>
      </c>
      <c r="H4167" s="15">
        <v>1955</v>
      </c>
      <c r="I4167" s="16">
        <v>1329.4</v>
      </c>
      <c r="J4167" s="16">
        <v>1209.1804065503968</v>
      </c>
      <c r="K4167" s="16">
        <v>120.21959344960314</v>
      </c>
      <c r="L4167" s="13">
        <v>1.61</v>
      </c>
      <c r="M4167" s="13"/>
      <c r="N4167" s="17">
        <f t="shared" si="137"/>
        <v>3147.55</v>
      </c>
      <c r="O4167" s="17">
        <f t="shared" si="137"/>
        <v>0</v>
      </c>
      <c r="P4167" s="17">
        <f t="shared" si="138"/>
        <v>3147.55</v>
      </c>
      <c r="Q4167" t="str">
        <f>A4167&amp;"-"&amp;B4167&amp;"-"&amp;D4167</f>
        <v>SEPTEMBER-MJ1-L12</v>
      </c>
    </row>
    <row r="4168" spans="1:17" x14ac:dyDescent="0.25">
      <c r="A4168" t="s">
        <v>399</v>
      </c>
      <c r="B4168" s="13" t="s">
        <v>25</v>
      </c>
      <c r="C4168" s="13" t="s">
        <v>226</v>
      </c>
      <c r="D4168" s="14" t="s">
        <v>310</v>
      </c>
      <c r="E4168" s="13" t="s">
        <v>61</v>
      </c>
      <c r="F4168" s="13" t="s">
        <v>1546</v>
      </c>
      <c r="G4168" s="13">
        <v>0.68</v>
      </c>
      <c r="H4168" s="15">
        <v>4302</v>
      </c>
      <c r="I4168" s="16">
        <v>2925.3599999999997</v>
      </c>
      <c r="J4168" s="16">
        <v>2516.0791510517083</v>
      </c>
      <c r="K4168" s="16">
        <v>409.28084894829215</v>
      </c>
      <c r="L4168" s="13">
        <v>1.61</v>
      </c>
      <c r="M4168" s="13"/>
      <c r="N4168" s="17">
        <f t="shared" ref="N4168:O4222" si="139">$H4168*L4168</f>
        <v>6926.22</v>
      </c>
      <c r="O4168" s="17">
        <f t="shared" si="139"/>
        <v>0</v>
      </c>
      <c r="P4168" s="17">
        <f t="shared" si="138"/>
        <v>6926.22</v>
      </c>
      <c r="Q4168" t="str">
        <f>A4168&amp;"-"&amp;B4168&amp;"-"&amp;D4168</f>
        <v>SEPTEMBER-MJ1-L12</v>
      </c>
    </row>
    <row r="4169" spans="1:17" x14ac:dyDescent="0.25">
      <c r="A4169" t="s">
        <v>399</v>
      </c>
      <c r="B4169" s="13" t="s">
        <v>25</v>
      </c>
      <c r="C4169" s="13" t="s">
        <v>226</v>
      </c>
      <c r="D4169" s="14" t="s">
        <v>310</v>
      </c>
      <c r="E4169" s="13" t="s">
        <v>61</v>
      </c>
      <c r="F4169" s="13" t="s">
        <v>1547</v>
      </c>
      <c r="G4169" s="13">
        <v>0.64</v>
      </c>
      <c r="H4169" s="15">
        <v>315</v>
      </c>
      <c r="I4169" s="16">
        <v>201.6</v>
      </c>
      <c r="J4169" s="16">
        <v>169.52294595815144</v>
      </c>
      <c r="K4169" s="16">
        <v>32.077054041848562</v>
      </c>
      <c r="L4169" s="13">
        <v>1.72</v>
      </c>
      <c r="M4169" s="13"/>
      <c r="N4169" s="17">
        <f t="shared" si="139"/>
        <v>541.79999999999995</v>
      </c>
      <c r="O4169" s="17">
        <f t="shared" si="139"/>
        <v>0</v>
      </c>
      <c r="P4169" s="17">
        <f t="shared" si="138"/>
        <v>541.79999999999995</v>
      </c>
      <c r="Q4169" t="str">
        <f>A4169&amp;"-"&amp;B4169&amp;"-"&amp;D4169</f>
        <v>SEPTEMBER-MJ1-L12</v>
      </c>
    </row>
    <row r="4170" spans="1:17" x14ac:dyDescent="0.25">
      <c r="A4170" t="s">
        <v>399</v>
      </c>
      <c r="B4170" s="13" t="s">
        <v>25</v>
      </c>
      <c r="C4170" s="13" t="s">
        <v>226</v>
      </c>
      <c r="D4170" s="14" t="s">
        <v>310</v>
      </c>
      <c r="E4170" s="13" t="s">
        <v>61</v>
      </c>
      <c r="F4170" s="13" t="s">
        <v>1335</v>
      </c>
      <c r="G4170" s="13">
        <v>0.68</v>
      </c>
      <c r="H4170" s="15">
        <v>144</v>
      </c>
      <c r="I4170" s="16">
        <v>97.92</v>
      </c>
      <c r="J4170" s="16">
        <v>127.20438055095588</v>
      </c>
      <c r="K4170" s="16">
        <v>-29.284380550955881</v>
      </c>
      <c r="L4170" s="13">
        <v>1.83</v>
      </c>
      <c r="M4170" s="13"/>
      <c r="N4170" s="17">
        <f t="shared" si="139"/>
        <v>263.52</v>
      </c>
      <c r="O4170" s="17">
        <f t="shared" si="139"/>
        <v>0</v>
      </c>
      <c r="P4170" s="17">
        <f t="shared" si="138"/>
        <v>263.52</v>
      </c>
      <c r="Q4170" t="str">
        <f>A4170&amp;"-"&amp;B4170&amp;"-"&amp;D4170</f>
        <v>SEPTEMBER-MJ1-L12</v>
      </c>
    </row>
    <row r="4171" spans="1:17" x14ac:dyDescent="0.25">
      <c r="A4171" t="s">
        <v>399</v>
      </c>
      <c r="B4171" s="13" t="s">
        <v>25</v>
      </c>
      <c r="C4171" s="13" t="s">
        <v>226</v>
      </c>
      <c r="D4171" s="14" t="s">
        <v>310</v>
      </c>
      <c r="E4171" s="13" t="s">
        <v>61</v>
      </c>
      <c r="F4171" s="13" t="s">
        <v>1336</v>
      </c>
      <c r="G4171" s="13">
        <v>0.68</v>
      </c>
      <c r="H4171" s="15">
        <v>465</v>
      </c>
      <c r="I4171" s="16">
        <v>316.2</v>
      </c>
      <c r="J4171" s="16">
        <v>376.02481962943932</v>
      </c>
      <c r="K4171" s="16">
        <v>-59.824819629439354</v>
      </c>
      <c r="L4171" s="13">
        <v>1.83</v>
      </c>
      <c r="M4171" s="13"/>
      <c r="N4171" s="17">
        <f t="shared" si="139"/>
        <v>850.95</v>
      </c>
      <c r="O4171" s="17">
        <f t="shared" si="139"/>
        <v>0</v>
      </c>
      <c r="P4171" s="17">
        <f t="shared" si="138"/>
        <v>850.95</v>
      </c>
      <c r="Q4171" t="str">
        <f>A4171&amp;"-"&amp;B4171&amp;"-"&amp;D4171</f>
        <v>SEPTEMBER-MJ1-L12</v>
      </c>
    </row>
    <row r="4172" spans="1:17" x14ac:dyDescent="0.25">
      <c r="A4172" t="s">
        <v>399</v>
      </c>
      <c r="B4172" s="13" t="s">
        <v>25</v>
      </c>
      <c r="C4172" s="13" t="s">
        <v>226</v>
      </c>
      <c r="D4172" s="14" t="s">
        <v>310</v>
      </c>
      <c r="E4172" s="13" t="s">
        <v>61</v>
      </c>
      <c r="F4172" s="13" t="s">
        <v>1337</v>
      </c>
      <c r="G4172" s="13">
        <v>0.66</v>
      </c>
      <c r="H4172" s="15">
        <v>492</v>
      </c>
      <c r="I4172" s="16">
        <v>324.72000000000003</v>
      </c>
      <c r="J4172" s="16">
        <v>370.76371413578664</v>
      </c>
      <c r="K4172" s="16">
        <v>-46.043714135786573</v>
      </c>
      <c r="L4172" s="13">
        <v>1.98</v>
      </c>
      <c r="M4172" s="13"/>
      <c r="N4172" s="17">
        <f t="shared" si="139"/>
        <v>974.16</v>
      </c>
      <c r="O4172" s="17">
        <f t="shared" si="139"/>
        <v>0</v>
      </c>
      <c r="P4172" s="17">
        <f t="shared" si="138"/>
        <v>974.16</v>
      </c>
      <c r="Q4172" t="str">
        <f>A4172&amp;"-"&amp;B4172&amp;"-"&amp;D4172</f>
        <v>SEPTEMBER-MJ1-L12</v>
      </c>
    </row>
    <row r="4173" spans="1:17" x14ac:dyDescent="0.25">
      <c r="A4173" t="s">
        <v>399</v>
      </c>
      <c r="B4173" s="13" t="s">
        <v>25</v>
      </c>
      <c r="C4173" s="13" t="s">
        <v>226</v>
      </c>
      <c r="D4173" s="14" t="s">
        <v>310</v>
      </c>
      <c r="E4173" s="13" t="s">
        <v>61</v>
      </c>
      <c r="F4173" s="13" t="s">
        <v>1548</v>
      </c>
      <c r="G4173" s="13">
        <v>0.79</v>
      </c>
      <c r="H4173" s="15">
        <v>483</v>
      </c>
      <c r="I4173" s="16">
        <v>381.57</v>
      </c>
      <c r="J4173" s="16">
        <v>551.46923076923076</v>
      </c>
      <c r="K4173" s="16">
        <v>-169.89923076923077</v>
      </c>
      <c r="L4173" s="13">
        <v>2</v>
      </c>
      <c r="M4173" s="13"/>
      <c r="N4173" s="17">
        <f t="shared" si="139"/>
        <v>966</v>
      </c>
      <c r="O4173" s="17">
        <f t="shared" si="139"/>
        <v>0</v>
      </c>
      <c r="P4173" s="17">
        <f t="shared" si="138"/>
        <v>966</v>
      </c>
      <c r="Q4173" t="str">
        <f>A4173&amp;"-"&amp;B4173&amp;"-"&amp;D4173</f>
        <v>SEPTEMBER-MJ1-L12</v>
      </c>
    </row>
    <row r="4174" spans="1:17" x14ac:dyDescent="0.25">
      <c r="A4174" t="s">
        <v>399</v>
      </c>
      <c r="B4174" s="13" t="s">
        <v>25</v>
      </c>
      <c r="C4174" s="13" t="s">
        <v>226</v>
      </c>
      <c r="D4174" s="14" t="s">
        <v>50</v>
      </c>
      <c r="E4174" s="13" t="s">
        <v>61</v>
      </c>
      <c r="F4174" s="13" t="s">
        <v>1536</v>
      </c>
      <c r="G4174" s="13">
        <v>0.79</v>
      </c>
      <c r="H4174" s="15">
        <v>2026</v>
      </c>
      <c r="I4174" s="16">
        <v>1600.5399999999997</v>
      </c>
      <c r="J4174" s="16">
        <v>1716.6655776905441</v>
      </c>
      <c r="K4174" s="16">
        <v>-116.12557769054408</v>
      </c>
      <c r="L4174" s="13">
        <v>1.86</v>
      </c>
      <c r="M4174" s="13"/>
      <c r="N4174" s="17">
        <f t="shared" si="139"/>
        <v>3768.36</v>
      </c>
      <c r="O4174" s="17">
        <f t="shared" si="139"/>
        <v>0</v>
      </c>
      <c r="P4174" s="17">
        <f t="shared" si="138"/>
        <v>3768.36</v>
      </c>
      <c r="Q4174" t="str">
        <f>A4174&amp;"-"&amp;B4174&amp;"-"&amp;D4174</f>
        <v>SEPTEMBER-MJ1-L2</v>
      </c>
    </row>
    <row r="4175" spans="1:17" x14ac:dyDescent="0.25">
      <c r="A4175" t="s">
        <v>399</v>
      </c>
      <c r="B4175" s="13" t="s">
        <v>25</v>
      </c>
      <c r="C4175" s="13" t="s">
        <v>226</v>
      </c>
      <c r="D4175" s="14" t="s">
        <v>50</v>
      </c>
      <c r="E4175" s="13" t="s">
        <v>61</v>
      </c>
      <c r="F4175" s="13" t="s">
        <v>1538</v>
      </c>
      <c r="G4175" s="13">
        <v>0.76</v>
      </c>
      <c r="H4175" s="15">
        <v>400</v>
      </c>
      <c r="I4175" s="16">
        <v>304</v>
      </c>
      <c r="J4175" s="16">
        <v>332.48</v>
      </c>
      <c r="K4175" s="16">
        <v>-28.480000000000018</v>
      </c>
      <c r="L4175" s="13">
        <v>1.99</v>
      </c>
      <c r="M4175" s="13"/>
      <c r="N4175" s="17">
        <f t="shared" si="139"/>
        <v>796</v>
      </c>
      <c r="O4175" s="17">
        <f t="shared" si="139"/>
        <v>0</v>
      </c>
      <c r="P4175" s="17">
        <f t="shared" si="138"/>
        <v>796</v>
      </c>
      <c r="Q4175" t="str">
        <f>A4175&amp;"-"&amp;B4175&amp;"-"&amp;D4175</f>
        <v>SEPTEMBER-MJ1-L2</v>
      </c>
    </row>
    <row r="4176" spans="1:17" x14ac:dyDescent="0.25">
      <c r="A4176" t="s">
        <v>399</v>
      </c>
      <c r="B4176" s="13" t="s">
        <v>25</v>
      </c>
      <c r="C4176" s="13" t="s">
        <v>226</v>
      </c>
      <c r="D4176" s="14" t="s">
        <v>50</v>
      </c>
      <c r="E4176" s="13" t="s">
        <v>61</v>
      </c>
      <c r="F4176" s="13" t="s">
        <v>1550</v>
      </c>
      <c r="G4176" s="13">
        <v>0.7599999999999999</v>
      </c>
      <c r="H4176" s="15">
        <v>7357</v>
      </c>
      <c r="I4176" s="16">
        <v>5591.3199999999988</v>
      </c>
      <c r="J4176" s="16">
        <v>11716.720411566228</v>
      </c>
      <c r="K4176" s="16">
        <v>-6125.4004115662265</v>
      </c>
      <c r="L4176" s="13">
        <v>2</v>
      </c>
      <c r="M4176" s="13"/>
      <c r="N4176" s="17">
        <f t="shared" si="139"/>
        <v>14714</v>
      </c>
      <c r="O4176" s="17">
        <f t="shared" si="139"/>
        <v>0</v>
      </c>
      <c r="P4176" s="17">
        <f t="shared" si="138"/>
        <v>14714</v>
      </c>
      <c r="Q4176" t="str">
        <f>A4176&amp;"-"&amp;B4176&amp;"-"&amp;D4176</f>
        <v>SEPTEMBER-MJ1-L2</v>
      </c>
    </row>
    <row r="4177" spans="1:17" x14ac:dyDescent="0.25">
      <c r="A4177" t="s">
        <v>399</v>
      </c>
      <c r="B4177" s="13" t="s">
        <v>25</v>
      </c>
      <c r="C4177" s="13" t="s">
        <v>226</v>
      </c>
      <c r="D4177" s="14" t="s">
        <v>50</v>
      </c>
      <c r="E4177" s="13" t="s">
        <v>61</v>
      </c>
      <c r="F4177" s="13" t="s">
        <v>1544</v>
      </c>
      <c r="G4177" s="13">
        <v>0.73999999999999988</v>
      </c>
      <c r="H4177" s="15">
        <v>224</v>
      </c>
      <c r="I4177" s="16">
        <v>165.76</v>
      </c>
      <c r="J4177" s="16">
        <v>222.03896343377275</v>
      </c>
      <c r="K4177" s="16">
        <v>-56.278963433772745</v>
      </c>
      <c r="L4177" s="13">
        <v>2.17</v>
      </c>
      <c r="M4177" s="13"/>
      <c r="N4177" s="17">
        <f t="shared" si="139"/>
        <v>486.08</v>
      </c>
      <c r="O4177" s="17">
        <f t="shared" si="139"/>
        <v>0</v>
      </c>
      <c r="P4177" s="17">
        <f t="shared" si="138"/>
        <v>486.08</v>
      </c>
      <c r="Q4177" t="str">
        <f>A4177&amp;"-"&amp;B4177&amp;"-"&amp;D4177</f>
        <v>SEPTEMBER-MJ1-L2</v>
      </c>
    </row>
    <row r="4178" spans="1:17" x14ac:dyDescent="0.25">
      <c r="A4178" t="s">
        <v>399</v>
      </c>
      <c r="B4178" s="13" t="s">
        <v>25</v>
      </c>
      <c r="C4178" s="13" t="s">
        <v>226</v>
      </c>
      <c r="D4178" s="14" t="s">
        <v>50</v>
      </c>
      <c r="E4178" s="13" t="s">
        <v>61</v>
      </c>
      <c r="F4178" s="13" t="s">
        <v>1545</v>
      </c>
      <c r="G4178" s="13">
        <v>0.68</v>
      </c>
      <c r="H4178" s="15">
        <v>864</v>
      </c>
      <c r="I4178" s="16">
        <v>587.52</v>
      </c>
      <c r="J4178" s="16">
        <v>801.51428571428573</v>
      </c>
      <c r="K4178" s="16">
        <v>-213.99428571428575</v>
      </c>
      <c r="L4178" s="13">
        <v>1.61</v>
      </c>
      <c r="M4178" s="13"/>
      <c r="N4178" s="17">
        <f t="shared" si="139"/>
        <v>1391.0400000000002</v>
      </c>
      <c r="O4178" s="17">
        <f t="shared" si="139"/>
        <v>0</v>
      </c>
      <c r="P4178" s="17">
        <f t="shared" si="138"/>
        <v>1391.0400000000002</v>
      </c>
      <c r="Q4178" t="str">
        <f>A4178&amp;"-"&amp;B4178&amp;"-"&amp;D4178</f>
        <v>SEPTEMBER-MJ1-L2</v>
      </c>
    </row>
    <row r="4179" spans="1:17" x14ac:dyDescent="0.25">
      <c r="A4179" t="s">
        <v>399</v>
      </c>
      <c r="B4179" s="13" t="s">
        <v>25</v>
      </c>
      <c r="C4179" s="13" t="s">
        <v>226</v>
      </c>
      <c r="D4179" s="14" t="s">
        <v>50</v>
      </c>
      <c r="E4179" s="13" t="s">
        <v>61</v>
      </c>
      <c r="F4179" s="13" t="s">
        <v>1546</v>
      </c>
      <c r="G4179" s="13">
        <v>0.68</v>
      </c>
      <c r="H4179" s="15">
        <v>2070</v>
      </c>
      <c r="I4179" s="16">
        <v>1407.6</v>
      </c>
      <c r="J4179" s="16">
        <v>1700.4142398560398</v>
      </c>
      <c r="K4179" s="16">
        <v>-292.81423985603993</v>
      </c>
      <c r="L4179" s="13">
        <v>1.61</v>
      </c>
      <c r="M4179" s="13"/>
      <c r="N4179" s="17">
        <f t="shared" si="139"/>
        <v>3332.7000000000003</v>
      </c>
      <c r="O4179" s="17">
        <f t="shared" si="139"/>
        <v>0</v>
      </c>
      <c r="P4179" s="17">
        <f t="shared" si="138"/>
        <v>3332.7000000000003</v>
      </c>
      <c r="Q4179" t="str">
        <f>A4179&amp;"-"&amp;B4179&amp;"-"&amp;D4179</f>
        <v>SEPTEMBER-MJ1-L2</v>
      </c>
    </row>
    <row r="4180" spans="1:17" x14ac:dyDescent="0.25">
      <c r="A4180" t="s">
        <v>399</v>
      </c>
      <c r="B4180" s="13" t="s">
        <v>25</v>
      </c>
      <c r="C4180" s="13" t="s">
        <v>226</v>
      </c>
      <c r="D4180" s="14" t="s">
        <v>50</v>
      </c>
      <c r="E4180" s="13" t="s">
        <v>61</v>
      </c>
      <c r="F4180" s="13" t="s">
        <v>1547</v>
      </c>
      <c r="G4180" s="13">
        <v>0.64</v>
      </c>
      <c r="H4180" s="15">
        <v>147</v>
      </c>
      <c r="I4180" s="16">
        <v>94.080000000000013</v>
      </c>
      <c r="J4180" s="16">
        <v>134.16652173913045</v>
      </c>
      <c r="K4180" s="16">
        <v>-40.08652173913044</v>
      </c>
      <c r="L4180" s="13">
        <v>1.72</v>
      </c>
      <c r="M4180" s="13"/>
      <c r="N4180" s="17">
        <f t="shared" si="139"/>
        <v>252.84</v>
      </c>
      <c r="O4180" s="17">
        <f t="shared" si="139"/>
        <v>0</v>
      </c>
      <c r="P4180" s="17">
        <f t="shared" si="138"/>
        <v>252.84</v>
      </c>
      <c r="Q4180" t="str">
        <f>A4180&amp;"-"&amp;B4180&amp;"-"&amp;D4180</f>
        <v>SEPTEMBER-MJ1-L2</v>
      </c>
    </row>
    <row r="4181" spans="1:17" x14ac:dyDescent="0.25">
      <c r="A4181" t="s">
        <v>399</v>
      </c>
      <c r="B4181" s="13" t="s">
        <v>25</v>
      </c>
      <c r="C4181" s="13" t="s">
        <v>226</v>
      </c>
      <c r="D4181" s="14" t="s">
        <v>56</v>
      </c>
      <c r="E4181" s="13" t="s">
        <v>61</v>
      </c>
      <c r="F4181" s="13" t="s">
        <v>1536</v>
      </c>
      <c r="G4181" s="13">
        <v>0.79</v>
      </c>
      <c r="H4181" s="15">
        <v>2520</v>
      </c>
      <c r="I4181" s="16">
        <v>1990.7999999999997</v>
      </c>
      <c r="J4181" s="16">
        <v>2257.9772106640557</v>
      </c>
      <c r="K4181" s="16">
        <v>-267.17721066405562</v>
      </c>
      <c r="L4181" s="13">
        <v>1.86</v>
      </c>
      <c r="M4181" s="13"/>
      <c r="N4181" s="17">
        <f t="shared" si="139"/>
        <v>4687.2</v>
      </c>
      <c r="O4181" s="17">
        <f t="shared" si="139"/>
        <v>0</v>
      </c>
      <c r="P4181" s="17">
        <f t="shared" si="138"/>
        <v>4687.2</v>
      </c>
      <c r="Q4181" t="str">
        <f>A4181&amp;"-"&amp;B4181&amp;"-"&amp;D4181</f>
        <v>SEPTEMBER-MJ1-L3</v>
      </c>
    </row>
    <row r="4182" spans="1:17" x14ac:dyDescent="0.25">
      <c r="A4182" t="s">
        <v>399</v>
      </c>
      <c r="B4182" s="13" t="s">
        <v>25</v>
      </c>
      <c r="C4182" s="13" t="s">
        <v>226</v>
      </c>
      <c r="D4182" s="14" t="s">
        <v>56</v>
      </c>
      <c r="E4182" s="13" t="s">
        <v>61</v>
      </c>
      <c r="F4182" s="13" t="s">
        <v>1538</v>
      </c>
      <c r="G4182" s="13">
        <v>0.76000000000000012</v>
      </c>
      <c r="H4182" s="15">
        <v>347</v>
      </c>
      <c r="I4182" s="16">
        <v>263.72000000000003</v>
      </c>
      <c r="J4182" s="16">
        <v>338.23857630680322</v>
      </c>
      <c r="K4182" s="16">
        <v>-74.518576306803254</v>
      </c>
      <c r="L4182" s="13">
        <v>1.99</v>
      </c>
      <c r="M4182" s="13"/>
      <c r="N4182" s="17">
        <f t="shared" si="139"/>
        <v>690.53</v>
      </c>
      <c r="O4182" s="17">
        <f t="shared" si="139"/>
        <v>0</v>
      </c>
      <c r="P4182" s="17">
        <f t="shared" si="138"/>
        <v>690.53</v>
      </c>
      <c r="Q4182" t="str">
        <f>A4182&amp;"-"&amp;B4182&amp;"-"&amp;D4182</f>
        <v>SEPTEMBER-MJ1-L3</v>
      </c>
    </row>
    <row r="4183" spans="1:17" x14ac:dyDescent="0.25">
      <c r="A4183" t="s">
        <v>399</v>
      </c>
      <c r="B4183" s="13" t="s">
        <v>25</v>
      </c>
      <c r="C4183" s="13" t="s">
        <v>226</v>
      </c>
      <c r="D4183" s="14" t="s">
        <v>56</v>
      </c>
      <c r="E4183" s="13" t="s">
        <v>61</v>
      </c>
      <c r="F4183" s="13" t="s">
        <v>1550</v>
      </c>
      <c r="G4183" s="13">
        <v>0.7599999999999999</v>
      </c>
      <c r="H4183" s="15">
        <v>7232</v>
      </c>
      <c r="I4183" s="16">
        <v>5496.3200000000006</v>
      </c>
      <c r="J4183" s="16">
        <v>11706.92830688908</v>
      </c>
      <c r="K4183" s="16">
        <v>-6210.6083068890794</v>
      </c>
      <c r="L4183" s="13">
        <v>2</v>
      </c>
      <c r="M4183" s="13"/>
      <c r="N4183" s="17">
        <f t="shared" si="139"/>
        <v>14464</v>
      </c>
      <c r="O4183" s="17">
        <f t="shared" si="139"/>
        <v>0</v>
      </c>
      <c r="P4183" s="17">
        <f t="shared" si="138"/>
        <v>14464</v>
      </c>
      <c r="Q4183" t="str">
        <f>A4183&amp;"-"&amp;B4183&amp;"-"&amp;D4183</f>
        <v>SEPTEMBER-MJ1-L3</v>
      </c>
    </row>
    <row r="4184" spans="1:17" x14ac:dyDescent="0.25">
      <c r="A4184" t="s">
        <v>399</v>
      </c>
      <c r="B4184" s="13" t="s">
        <v>25</v>
      </c>
      <c r="C4184" s="13" t="s">
        <v>226</v>
      </c>
      <c r="D4184" s="14" t="s">
        <v>56</v>
      </c>
      <c r="E4184" s="13" t="s">
        <v>61</v>
      </c>
      <c r="F4184" s="13" t="s">
        <v>1544</v>
      </c>
      <c r="G4184" s="13">
        <v>0.74</v>
      </c>
      <c r="H4184" s="15">
        <v>297</v>
      </c>
      <c r="I4184" s="16">
        <v>219.78</v>
      </c>
      <c r="J4184" s="16">
        <v>277.32585884440311</v>
      </c>
      <c r="K4184" s="16">
        <v>-57.545858844403078</v>
      </c>
      <c r="L4184" s="13">
        <v>2.17</v>
      </c>
      <c r="M4184" s="13"/>
      <c r="N4184" s="17">
        <f t="shared" si="139"/>
        <v>644.49</v>
      </c>
      <c r="O4184" s="17">
        <f t="shared" si="139"/>
        <v>0</v>
      </c>
      <c r="P4184" s="17">
        <f t="shared" si="138"/>
        <v>644.49</v>
      </c>
      <c r="Q4184" t="str">
        <f>A4184&amp;"-"&amp;B4184&amp;"-"&amp;D4184</f>
        <v>SEPTEMBER-MJ1-L3</v>
      </c>
    </row>
    <row r="4185" spans="1:17" x14ac:dyDescent="0.25">
      <c r="A4185" t="s">
        <v>399</v>
      </c>
      <c r="B4185" s="13" t="s">
        <v>25</v>
      </c>
      <c r="C4185" s="13" t="s">
        <v>226</v>
      </c>
      <c r="D4185" s="14" t="s">
        <v>56</v>
      </c>
      <c r="E4185" s="13" t="s">
        <v>61</v>
      </c>
      <c r="F4185" s="13" t="s">
        <v>1545</v>
      </c>
      <c r="G4185" s="13">
        <v>0.68</v>
      </c>
      <c r="H4185" s="15">
        <v>863</v>
      </c>
      <c r="I4185" s="16">
        <v>586.84</v>
      </c>
      <c r="J4185" s="16">
        <v>674.17819548872183</v>
      </c>
      <c r="K4185" s="16">
        <v>-87.338195488721794</v>
      </c>
      <c r="L4185" s="13">
        <v>1.61</v>
      </c>
      <c r="M4185" s="13"/>
      <c r="N4185" s="17">
        <f t="shared" si="139"/>
        <v>1389.43</v>
      </c>
      <c r="O4185" s="17">
        <f t="shared" si="139"/>
        <v>0</v>
      </c>
      <c r="P4185" s="17">
        <f t="shared" si="138"/>
        <v>1389.43</v>
      </c>
      <c r="Q4185" t="str">
        <f>A4185&amp;"-"&amp;B4185&amp;"-"&amp;D4185</f>
        <v>SEPTEMBER-MJ1-L3</v>
      </c>
    </row>
    <row r="4186" spans="1:17" x14ac:dyDescent="0.25">
      <c r="A4186" t="s">
        <v>399</v>
      </c>
      <c r="B4186" s="13" t="s">
        <v>25</v>
      </c>
      <c r="C4186" s="13" t="s">
        <v>226</v>
      </c>
      <c r="D4186" s="14" t="s">
        <v>56</v>
      </c>
      <c r="E4186" s="13" t="s">
        <v>61</v>
      </c>
      <c r="F4186" s="13" t="s">
        <v>1546</v>
      </c>
      <c r="G4186" s="13">
        <v>0.68</v>
      </c>
      <c r="H4186" s="15">
        <v>2048</v>
      </c>
      <c r="I4186" s="16">
        <v>1392.64</v>
      </c>
      <c r="J4186" s="16">
        <v>1630.1098556876061</v>
      </c>
      <c r="K4186" s="16">
        <v>-237.46985568760618</v>
      </c>
      <c r="L4186" s="13">
        <v>1.61</v>
      </c>
      <c r="M4186" s="13"/>
      <c r="N4186" s="17">
        <f t="shared" si="139"/>
        <v>3297.28</v>
      </c>
      <c r="O4186" s="17">
        <f t="shared" si="139"/>
        <v>0</v>
      </c>
      <c r="P4186" s="17">
        <f t="shared" si="138"/>
        <v>3297.28</v>
      </c>
      <c r="Q4186" t="str">
        <f>A4186&amp;"-"&amp;B4186&amp;"-"&amp;D4186</f>
        <v>SEPTEMBER-MJ1-L3</v>
      </c>
    </row>
    <row r="4187" spans="1:17" x14ac:dyDescent="0.25">
      <c r="A4187" t="s">
        <v>399</v>
      </c>
      <c r="B4187" s="13" t="s">
        <v>25</v>
      </c>
      <c r="C4187" s="13" t="s">
        <v>226</v>
      </c>
      <c r="D4187" s="14" t="s">
        <v>56</v>
      </c>
      <c r="E4187" s="13" t="s">
        <v>61</v>
      </c>
      <c r="F4187" s="13" t="s">
        <v>1547</v>
      </c>
      <c r="G4187" s="13">
        <v>0.64</v>
      </c>
      <c r="H4187" s="15">
        <v>184</v>
      </c>
      <c r="I4187" s="16">
        <v>117.76</v>
      </c>
      <c r="J4187" s="16">
        <v>154.06079311181176</v>
      </c>
      <c r="K4187" s="16">
        <v>-36.300793111811757</v>
      </c>
      <c r="L4187" s="13">
        <v>1.72</v>
      </c>
      <c r="M4187" s="13"/>
      <c r="N4187" s="17">
        <f t="shared" si="139"/>
        <v>316.48</v>
      </c>
      <c r="O4187" s="17">
        <f t="shared" si="139"/>
        <v>0</v>
      </c>
      <c r="P4187" s="17">
        <f t="shared" si="138"/>
        <v>316.48</v>
      </c>
      <c r="Q4187" t="str">
        <f>A4187&amp;"-"&amp;B4187&amp;"-"&amp;D4187</f>
        <v>SEPTEMBER-MJ1-L3</v>
      </c>
    </row>
    <row r="4188" spans="1:17" x14ac:dyDescent="0.25">
      <c r="A4188" t="s">
        <v>399</v>
      </c>
      <c r="B4188" s="13" t="s">
        <v>25</v>
      </c>
      <c r="C4188" s="13" t="s">
        <v>226</v>
      </c>
      <c r="D4188" s="14" t="s">
        <v>56</v>
      </c>
      <c r="E4188" s="13" t="s">
        <v>61</v>
      </c>
      <c r="F4188" s="13" t="s">
        <v>1551</v>
      </c>
      <c r="G4188" s="13">
        <v>0.79</v>
      </c>
      <c r="H4188" s="15">
        <v>169</v>
      </c>
      <c r="I4188" s="16">
        <v>133.51</v>
      </c>
      <c r="J4188" s="16">
        <v>132.02330827067669</v>
      </c>
      <c r="K4188" s="16">
        <v>1.4866917293232973</v>
      </c>
      <c r="L4188" s="13">
        <v>2</v>
      </c>
      <c r="M4188" s="13"/>
      <c r="N4188" s="17">
        <f t="shared" si="139"/>
        <v>338</v>
      </c>
      <c r="O4188" s="17">
        <f t="shared" si="139"/>
        <v>0</v>
      </c>
      <c r="P4188" s="17">
        <f t="shared" si="138"/>
        <v>338</v>
      </c>
      <c r="Q4188" t="str">
        <f>A4188&amp;"-"&amp;B4188&amp;"-"&amp;D4188</f>
        <v>SEPTEMBER-MJ1-L3</v>
      </c>
    </row>
    <row r="4189" spans="1:17" x14ac:dyDescent="0.25">
      <c r="A4189" t="s">
        <v>399</v>
      </c>
      <c r="B4189" s="13" t="s">
        <v>25</v>
      </c>
      <c r="C4189" s="13" t="s">
        <v>60</v>
      </c>
      <c r="D4189" s="14" t="s">
        <v>287</v>
      </c>
      <c r="E4189" s="13" t="s">
        <v>58</v>
      </c>
      <c r="F4189" s="13" t="s">
        <v>1552</v>
      </c>
      <c r="G4189" s="13">
        <v>3.63</v>
      </c>
      <c r="H4189" s="15">
        <v>577</v>
      </c>
      <c r="I4189" s="16">
        <v>2094.5099999999998</v>
      </c>
      <c r="J4189" s="16">
        <v>3134.9137931034484</v>
      </c>
      <c r="K4189" s="16">
        <v>-1040.4037931034482</v>
      </c>
      <c r="L4189" s="13">
        <v>8.9</v>
      </c>
      <c r="M4189" s="13"/>
      <c r="N4189" s="17">
        <f t="shared" si="139"/>
        <v>5135.3</v>
      </c>
      <c r="O4189" s="17">
        <f t="shared" si="139"/>
        <v>0</v>
      </c>
      <c r="P4189" s="17">
        <f t="shared" si="138"/>
        <v>5135.3</v>
      </c>
      <c r="Q4189" t="str">
        <f>A4189&amp;"-"&amp;B4189&amp;"-"&amp;D4189</f>
        <v>SEPTEMBER-MJ1-L11</v>
      </c>
    </row>
    <row r="4190" spans="1:17" x14ac:dyDescent="0.25">
      <c r="A4190" t="s">
        <v>399</v>
      </c>
      <c r="B4190" s="13" t="s">
        <v>25</v>
      </c>
      <c r="C4190" s="13" t="s">
        <v>60</v>
      </c>
      <c r="D4190" s="14" t="s">
        <v>287</v>
      </c>
      <c r="E4190" s="13" t="s">
        <v>63</v>
      </c>
      <c r="F4190" s="13" t="s">
        <v>1340</v>
      </c>
      <c r="G4190" s="13">
        <v>2.0399999999999996</v>
      </c>
      <c r="H4190" s="15">
        <v>1452</v>
      </c>
      <c r="I4190" s="16">
        <v>2962.08</v>
      </c>
      <c r="J4190" s="16">
        <v>4974.603213359861</v>
      </c>
      <c r="K4190" s="16">
        <v>-2012.5232133598602</v>
      </c>
      <c r="L4190" s="13">
        <v>4.79</v>
      </c>
      <c r="M4190" s="13"/>
      <c r="N4190" s="17">
        <f t="shared" si="139"/>
        <v>6955.08</v>
      </c>
      <c r="O4190" s="17">
        <f t="shared" si="139"/>
        <v>0</v>
      </c>
      <c r="P4190" s="17">
        <f t="shared" si="138"/>
        <v>6955.08</v>
      </c>
      <c r="Q4190" t="str">
        <f>A4190&amp;"-"&amp;B4190&amp;"-"&amp;D4190</f>
        <v>SEPTEMBER-MJ1-L11</v>
      </c>
    </row>
    <row r="4191" spans="1:17" x14ac:dyDescent="0.25">
      <c r="A4191" t="s">
        <v>399</v>
      </c>
      <c r="B4191" s="13" t="s">
        <v>25</v>
      </c>
      <c r="C4191" s="13" t="s">
        <v>60</v>
      </c>
      <c r="D4191" s="14" t="s">
        <v>287</v>
      </c>
      <c r="E4191" s="13" t="s">
        <v>68</v>
      </c>
      <c r="F4191" s="13" t="s">
        <v>1341</v>
      </c>
      <c r="G4191" s="13">
        <v>3.79</v>
      </c>
      <c r="H4191" s="15">
        <v>463</v>
      </c>
      <c r="I4191" s="16">
        <v>1754.77</v>
      </c>
      <c r="J4191" s="16">
        <v>2478.2470790378006</v>
      </c>
      <c r="K4191" s="16">
        <v>-723.47707903780065</v>
      </c>
      <c r="L4191" s="13">
        <v>9.7200000000000006</v>
      </c>
      <c r="M4191" s="13"/>
      <c r="N4191" s="17">
        <f t="shared" si="139"/>
        <v>4500.3600000000006</v>
      </c>
      <c r="O4191" s="17">
        <f t="shared" si="139"/>
        <v>0</v>
      </c>
      <c r="P4191" s="17">
        <f t="shared" si="138"/>
        <v>4500.3600000000006</v>
      </c>
      <c r="Q4191" t="str">
        <f>A4191&amp;"-"&amp;B4191&amp;"-"&amp;D4191</f>
        <v>SEPTEMBER-MJ1-L11</v>
      </c>
    </row>
    <row r="4192" spans="1:17" x14ac:dyDescent="0.25">
      <c r="A4192" t="s">
        <v>399</v>
      </c>
      <c r="B4192" s="13" t="s">
        <v>25</v>
      </c>
      <c r="C4192" s="13" t="s">
        <v>60</v>
      </c>
      <c r="D4192" s="14" t="s">
        <v>287</v>
      </c>
      <c r="E4192" s="13" t="s">
        <v>68</v>
      </c>
      <c r="F4192" s="13" t="s">
        <v>1553</v>
      </c>
      <c r="G4192" s="13">
        <v>3.79</v>
      </c>
      <c r="H4192" s="15">
        <v>1985</v>
      </c>
      <c r="I4192" s="16">
        <v>7523.1499999999987</v>
      </c>
      <c r="J4192" s="16">
        <v>9153.2359144988914</v>
      </c>
      <c r="K4192" s="16">
        <v>-1630.0859144988908</v>
      </c>
      <c r="L4192" s="13">
        <v>9.4</v>
      </c>
      <c r="M4192" s="13"/>
      <c r="N4192" s="17">
        <f t="shared" si="139"/>
        <v>18659</v>
      </c>
      <c r="O4192" s="17">
        <f t="shared" si="139"/>
        <v>0</v>
      </c>
      <c r="P4192" s="17">
        <f t="shared" si="138"/>
        <v>18659</v>
      </c>
      <c r="Q4192" t="str">
        <f>A4192&amp;"-"&amp;B4192&amp;"-"&amp;D4192</f>
        <v>SEPTEMBER-MJ1-L11</v>
      </c>
    </row>
    <row r="4193" spans="1:17" x14ac:dyDescent="0.25">
      <c r="A4193" t="s">
        <v>399</v>
      </c>
      <c r="B4193" s="13" t="s">
        <v>25</v>
      </c>
      <c r="C4193" s="13" t="s">
        <v>60</v>
      </c>
      <c r="D4193" s="14" t="s">
        <v>158</v>
      </c>
      <c r="E4193" s="13" t="s">
        <v>58</v>
      </c>
      <c r="F4193" s="13" t="s">
        <v>1552</v>
      </c>
      <c r="G4193" s="13">
        <v>3.63</v>
      </c>
      <c r="H4193" s="15">
        <v>377</v>
      </c>
      <c r="I4193" s="16">
        <v>1368.51</v>
      </c>
      <c r="J4193" s="16">
        <v>3225.7291919959475</v>
      </c>
      <c r="K4193" s="16">
        <v>-1857.2191919959473</v>
      </c>
      <c r="L4193" s="13">
        <v>8.9</v>
      </c>
      <c r="M4193" s="13"/>
      <c r="N4193" s="17">
        <f t="shared" si="139"/>
        <v>3355.3</v>
      </c>
      <c r="O4193" s="17">
        <f t="shared" si="139"/>
        <v>0</v>
      </c>
      <c r="P4193" s="17">
        <f t="shared" si="138"/>
        <v>3355.3</v>
      </c>
      <c r="Q4193" t="str">
        <f>A4193&amp;"-"&amp;B4193&amp;"-"&amp;D4193</f>
        <v>SEPTEMBER-MJ1-L4</v>
      </c>
    </row>
    <row r="4194" spans="1:17" x14ac:dyDescent="0.25">
      <c r="A4194" t="s">
        <v>399</v>
      </c>
      <c r="B4194" s="13" t="s">
        <v>25</v>
      </c>
      <c r="C4194" s="13" t="s">
        <v>60</v>
      </c>
      <c r="D4194" s="14" t="s">
        <v>158</v>
      </c>
      <c r="E4194" s="13" t="s">
        <v>58</v>
      </c>
      <c r="F4194" s="13" t="s">
        <v>1339</v>
      </c>
      <c r="G4194" s="13">
        <v>3.63</v>
      </c>
      <c r="H4194" s="15">
        <v>68</v>
      </c>
      <c r="I4194" s="16">
        <v>246.83999999999997</v>
      </c>
      <c r="J4194" s="16">
        <v>718.66494719819184</v>
      </c>
      <c r="K4194" s="16">
        <v>-471.82494719819186</v>
      </c>
      <c r="L4194" s="13">
        <v>8.9</v>
      </c>
      <c r="M4194" s="13"/>
      <c r="N4194" s="17">
        <f t="shared" si="139"/>
        <v>605.20000000000005</v>
      </c>
      <c r="O4194" s="17">
        <f t="shared" si="139"/>
        <v>0</v>
      </c>
      <c r="P4194" s="17">
        <f t="shared" si="138"/>
        <v>605.20000000000005</v>
      </c>
      <c r="Q4194" t="str">
        <f>A4194&amp;"-"&amp;B4194&amp;"-"&amp;D4194</f>
        <v>SEPTEMBER-MJ1-L4</v>
      </c>
    </row>
    <row r="4195" spans="1:17" x14ac:dyDescent="0.25">
      <c r="A4195" t="s">
        <v>399</v>
      </c>
      <c r="B4195" s="13" t="s">
        <v>25</v>
      </c>
      <c r="C4195" s="13" t="s">
        <v>154</v>
      </c>
      <c r="D4195" s="14" t="s">
        <v>160</v>
      </c>
      <c r="E4195" s="13" t="s">
        <v>953</v>
      </c>
      <c r="F4195" s="13" t="s">
        <v>1554</v>
      </c>
      <c r="G4195" s="13">
        <v>12.47</v>
      </c>
      <c r="H4195" s="15">
        <v>252</v>
      </c>
      <c r="I4195" s="16">
        <v>3142.44</v>
      </c>
      <c r="J4195" s="16">
        <v>2600.0970811159491</v>
      </c>
      <c r="K4195" s="16">
        <v>542.34291888405085</v>
      </c>
      <c r="L4195" s="13"/>
      <c r="M4195" s="13">
        <v>20.239999999999998</v>
      </c>
      <c r="N4195" s="17">
        <f t="shared" si="139"/>
        <v>0</v>
      </c>
      <c r="O4195" s="17">
        <f t="shared" si="139"/>
        <v>5100.4799999999996</v>
      </c>
      <c r="P4195" s="17">
        <f t="shared" si="138"/>
        <v>5100.4799999999996</v>
      </c>
      <c r="Q4195" t="str">
        <f>A4195&amp;"-"&amp;B4195&amp;"-"&amp;D4195</f>
        <v>SEPTEMBER-MJ1-L5</v>
      </c>
    </row>
    <row r="4196" spans="1:17" x14ac:dyDescent="0.25">
      <c r="A4196" t="s">
        <v>399</v>
      </c>
      <c r="B4196" s="13" t="s">
        <v>25</v>
      </c>
      <c r="C4196" s="13" t="s">
        <v>154</v>
      </c>
      <c r="D4196" s="14" t="s">
        <v>160</v>
      </c>
      <c r="E4196" s="13" t="s">
        <v>953</v>
      </c>
      <c r="F4196" s="13" t="s">
        <v>1555</v>
      </c>
      <c r="G4196" s="13">
        <v>12.47</v>
      </c>
      <c r="H4196" s="15">
        <v>753</v>
      </c>
      <c r="I4196" s="16">
        <v>9389.91</v>
      </c>
      <c r="J4196" s="16">
        <v>7742.7668699108472</v>
      </c>
      <c r="K4196" s="16">
        <v>1647.143130089152</v>
      </c>
      <c r="L4196" s="13"/>
      <c r="M4196" s="13">
        <v>20.239999999999998</v>
      </c>
      <c r="N4196" s="17">
        <f t="shared" si="139"/>
        <v>0</v>
      </c>
      <c r="O4196" s="17">
        <f t="shared" si="139"/>
        <v>15240.72</v>
      </c>
      <c r="P4196" s="17">
        <f t="shared" si="138"/>
        <v>15240.72</v>
      </c>
      <c r="Q4196" t="str">
        <f>A4196&amp;"-"&amp;B4196&amp;"-"&amp;D4196</f>
        <v>SEPTEMBER-MJ1-L5</v>
      </c>
    </row>
    <row r="4197" spans="1:17" x14ac:dyDescent="0.25">
      <c r="A4197" t="s">
        <v>399</v>
      </c>
      <c r="B4197" s="13" t="s">
        <v>25</v>
      </c>
      <c r="C4197" s="13" t="s">
        <v>154</v>
      </c>
      <c r="D4197" s="14" t="s">
        <v>163</v>
      </c>
      <c r="E4197" s="13" t="s">
        <v>953</v>
      </c>
      <c r="F4197" s="13" t="s">
        <v>1554</v>
      </c>
      <c r="G4197" s="13">
        <v>12.47</v>
      </c>
      <c r="H4197" s="15">
        <v>253</v>
      </c>
      <c r="I4197" s="16">
        <v>3154.91</v>
      </c>
      <c r="J4197" s="16">
        <v>2604.2610939372157</v>
      </c>
      <c r="K4197" s="16">
        <v>550.64890606278459</v>
      </c>
      <c r="L4197" s="13"/>
      <c r="M4197" s="13">
        <v>20.239999999999998</v>
      </c>
      <c r="N4197" s="17">
        <f t="shared" si="139"/>
        <v>0</v>
      </c>
      <c r="O4197" s="17">
        <f t="shared" si="139"/>
        <v>5120.7199999999993</v>
      </c>
      <c r="P4197" s="17">
        <f t="shared" si="138"/>
        <v>5120.7199999999993</v>
      </c>
      <c r="Q4197" t="str">
        <f>A4197&amp;"-"&amp;B4197&amp;"-"&amp;D4197</f>
        <v>SEPTEMBER-MJ1-L6</v>
      </c>
    </row>
    <row r="4198" spans="1:17" x14ac:dyDescent="0.25">
      <c r="A4198" t="s">
        <v>399</v>
      </c>
      <c r="B4198" s="13" t="s">
        <v>25</v>
      </c>
      <c r="C4198" s="13" t="s">
        <v>154</v>
      </c>
      <c r="D4198" s="14" t="s">
        <v>163</v>
      </c>
      <c r="E4198" s="13" t="s">
        <v>953</v>
      </c>
      <c r="F4198" s="13" t="s">
        <v>1555</v>
      </c>
      <c r="G4198" s="13">
        <v>12.47</v>
      </c>
      <c r="H4198" s="15">
        <v>753</v>
      </c>
      <c r="I4198" s="16">
        <v>9389.91</v>
      </c>
      <c r="J4198" s="16">
        <v>7490.0428262792193</v>
      </c>
      <c r="K4198" s="16">
        <v>1899.8671737207801</v>
      </c>
      <c r="L4198" s="13"/>
      <c r="M4198" s="13">
        <v>20.239999999999998</v>
      </c>
      <c r="N4198" s="17">
        <f t="shared" si="139"/>
        <v>0</v>
      </c>
      <c r="O4198" s="17">
        <f t="shared" si="139"/>
        <v>15240.72</v>
      </c>
      <c r="P4198" s="17">
        <f t="shared" si="138"/>
        <v>15240.72</v>
      </c>
      <c r="Q4198" t="str">
        <f>A4198&amp;"-"&amp;B4198&amp;"-"&amp;D4198</f>
        <v>SEPTEMBER-MJ1-L6</v>
      </c>
    </row>
    <row r="4199" spans="1:17" x14ac:dyDescent="0.25">
      <c r="A4199" t="s">
        <v>399</v>
      </c>
      <c r="B4199" s="13" t="s">
        <v>25</v>
      </c>
      <c r="C4199" s="13" t="s">
        <v>1043</v>
      </c>
      <c r="D4199" s="14" t="s">
        <v>158</v>
      </c>
      <c r="E4199" s="13" t="s">
        <v>534</v>
      </c>
      <c r="F4199" s="13" t="s">
        <v>1044</v>
      </c>
      <c r="G4199" s="13">
        <v>0.79999999999999993</v>
      </c>
      <c r="H4199" s="15">
        <v>1231</v>
      </c>
      <c r="I4199" s="16">
        <v>984.80000000000007</v>
      </c>
      <c r="J4199" s="16">
        <v>4179.5571308925573</v>
      </c>
      <c r="K4199" s="16">
        <v>-3194.7571308925581</v>
      </c>
      <c r="L4199" s="13"/>
      <c r="M4199" s="13">
        <v>0.8</v>
      </c>
      <c r="N4199" s="17">
        <f t="shared" si="139"/>
        <v>0</v>
      </c>
      <c r="O4199" s="17">
        <f t="shared" si="139"/>
        <v>984.80000000000007</v>
      </c>
      <c r="P4199" s="17">
        <f t="shared" si="138"/>
        <v>984.80000000000007</v>
      </c>
      <c r="Q4199" t="str">
        <f>A4199&amp;"-"&amp;B4199&amp;"-"&amp;D4199</f>
        <v>SEPTEMBER-MJ1-L4</v>
      </c>
    </row>
    <row r="4200" spans="1:17" x14ac:dyDescent="0.25">
      <c r="A4200" t="s">
        <v>399</v>
      </c>
      <c r="B4200" s="13" t="s">
        <v>25</v>
      </c>
      <c r="C4200" s="13" t="s">
        <v>1043</v>
      </c>
      <c r="D4200" s="14" t="s">
        <v>158</v>
      </c>
      <c r="E4200" s="13" t="s">
        <v>534</v>
      </c>
      <c r="F4200" s="13" t="s">
        <v>1171</v>
      </c>
      <c r="G4200" s="13">
        <v>0.9</v>
      </c>
      <c r="H4200" s="15">
        <v>45</v>
      </c>
      <c r="I4200" s="16">
        <v>40.5</v>
      </c>
      <c r="J4200" s="16">
        <v>117.4748743718593</v>
      </c>
      <c r="K4200" s="16">
        <v>-76.9748743718593</v>
      </c>
      <c r="L4200" s="13"/>
      <c r="M4200" s="13">
        <v>0.9</v>
      </c>
      <c r="N4200" s="17">
        <f t="shared" si="139"/>
        <v>0</v>
      </c>
      <c r="O4200" s="17">
        <f t="shared" si="139"/>
        <v>40.5</v>
      </c>
      <c r="P4200" s="17">
        <f t="shared" si="138"/>
        <v>40.5</v>
      </c>
      <c r="Q4200" t="str">
        <f>A4200&amp;"-"&amp;B4200&amp;"-"&amp;D4200</f>
        <v>SEPTEMBER-MJ1-L4</v>
      </c>
    </row>
    <row r="4201" spans="1:17" x14ac:dyDescent="0.25">
      <c r="A4201" t="s">
        <v>399</v>
      </c>
      <c r="B4201" s="13" t="s">
        <v>25</v>
      </c>
      <c r="C4201" s="13" t="s">
        <v>1043</v>
      </c>
      <c r="D4201" s="14" t="s">
        <v>158</v>
      </c>
      <c r="E4201" s="13" t="s">
        <v>534</v>
      </c>
      <c r="F4201" s="13" t="s">
        <v>1153</v>
      </c>
      <c r="G4201" s="13">
        <v>0.8</v>
      </c>
      <c r="H4201" s="15">
        <v>485</v>
      </c>
      <c r="I4201" s="16">
        <v>388</v>
      </c>
      <c r="J4201" s="16">
        <v>969.14906676238343</v>
      </c>
      <c r="K4201" s="16">
        <v>-581.14906676238343</v>
      </c>
      <c r="L4201" s="13"/>
      <c r="M4201" s="13">
        <v>0.8</v>
      </c>
      <c r="N4201" s="17">
        <f t="shared" si="139"/>
        <v>0</v>
      </c>
      <c r="O4201" s="17">
        <f t="shared" si="139"/>
        <v>388</v>
      </c>
      <c r="P4201" s="17">
        <f t="shared" si="138"/>
        <v>388</v>
      </c>
      <c r="Q4201" t="str">
        <f>A4201&amp;"-"&amp;B4201&amp;"-"&amp;D4201</f>
        <v>SEPTEMBER-MJ1-L4</v>
      </c>
    </row>
    <row r="4202" spans="1:17" x14ac:dyDescent="0.25">
      <c r="A4202" t="s">
        <v>399</v>
      </c>
      <c r="B4202" s="13" t="s">
        <v>25</v>
      </c>
      <c r="C4202" s="13" t="s">
        <v>43</v>
      </c>
      <c r="D4202" s="14" t="s">
        <v>158</v>
      </c>
      <c r="E4202" s="13" t="s">
        <v>1267</v>
      </c>
      <c r="F4202" s="13" t="s">
        <v>1344</v>
      </c>
      <c r="G4202" s="13">
        <v>2.85</v>
      </c>
      <c r="H4202" s="15">
        <v>1354</v>
      </c>
      <c r="I4202" s="16">
        <v>3858.9</v>
      </c>
      <c r="J4202" s="16">
        <v>5335.4247887790607</v>
      </c>
      <c r="K4202" s="16">
        <v>-1476.5247887790601</v>
      </c>
      <c r="L4202" s="13"/>
      <c r="M4202" s="13">
        <v>3</v>
      </c>
      <c r="N4202" s="17">
        <f t="shared" si="139"/>
        <v>0</v>
      </c>
      <c r="O4202" s="17">
        <f t="shared" si="139"/>
        <v>4062</v>
      </c>
      <c r="P4202" s="17">
        <f t="shared" si="138"/>
        <v>4062</v>
      </c>
      <c r="Q4202" t="str">
        <f>A4202&amp;"-"&amp;B4202&amp;"-"&amp;D4202</f>
        <v>SEPTEMBER-MJ1-L4</v>
      </c>
    </row>
    <row r="4203" spans="1:17" x14ac:dyDescent="0.25">
      <c r="A4203" t="s">
        <v>399</v>
      </c>
      <c r="B4203" s="13" t="s">
        <v>25</v>
      </c>
      <c r="C4203" s="13" t="s">
        <v>947</v>
      </c>
      <c r="D4203" s="14" t="s">
        <v>50</v>
      </c>
      <c r="E4203" s="13" t="s">
        <v>65</v>
      </c>
      <c r="F4203" s="13" t="s">
        <v>1348</v>
      </c>
      <c r="G4203" s="13">
        <v>3.11</v>
      </c>
      <c r="H4203" s="15">
        <v>957</v>
      </c>
      <c r="I4203" s="16">
        <v>2976.27</v>
      </c>
      <c r="J4203" s="16">
        <v>3805.0303615569082</v>
      </c>
      <c r="K4203" s="16">
        <v>-828.76036155690838</v>
      </c>
      <c r="L4203" s="13"/>
      <c r="M4203" s="13">
        <v>4.03</v>
      </c>
      <c r="N4203" s="17">
        <f t="shared" si="139"/>
        <v>0</v>
      </c>
      <c r="O4203" s="17">
        <f t="shared" si="139"/>
        <v>3856.71</v>
      </c>
      <c r="P4203" s="17">
        <f t="shared" si="138"/>
        <v>3856.71</v>
      </c>
      <c r="Q4203" t="str">
        <f>A4203&amp;"-"&amp;B4203&amp;"-"&amp;D4203</f>
        <v>SEPTEMBER-MJ1-L2</v>
      </c>
    </row>
    <row r="4204" spans="1:17" x14ac:dyDescent="0.25">
      <c r="A4204" t="s">
        <v>399</v>
      </c>
      <c r="B4204" s="13" t="s">
        <v>25</v>
      </c>
      <c r="C4204" s="13" t="s">
        <v>947</v>
      </c>
      <c r="D4204" s="14" t="s">
        <v>50</v>
      </c>
      <c r="E4204" s="13" t="s">
        <v>65</v>
      </c>
      <c r="F4204" s="13" t="s">
        <v>1349</v>
      </c>
      <c r="G4204" s="13">
        <v>3.11</v>
      </c>
      <c r="H4204" s="15">
        <v>94</v>
      </c>
      <c r="I4204" s="16">
        <v>292.33999999999997</v>
      </c>
      <c r="J4204" s="16">
        <v>350.9696384430917</v>
      </c>
      <c r="K4204" s="16">
        <v>-58.629638443091693</v>
      </c>
      <c r="L4204" s="13"/>
      <c r="M4204" s="13">
        <v>3.99</v>
      </c>
      <c r="N4204" s="17">
        <f t="shared" si="139"/>
        <v>0</v>
      </c>
      <c r="O4204" s="17">
        <f t="shared" si="139"/>
        <v>375.06</v>
      </c>
      <c r="P4204" s="17">
        <f t="shared" si="138"/>
        <v>375.06</v>
      </c>
      <c r="Q4204" t="str">
        <f>A4204&amp;"-"&amp;B4204&amp;"-"&amp;D4204</f>
        <v>SEPTEMBER-MJ1-L2</v>
      </c>
    </row>
    <row r="4205" spans="1:17" x14ac:dyDescent="0.25">
      <c r="A4205" t="s">
        <v>399</v>
      </c>
      <c r="B4205" s="13" t="s">
        <v>25</v>
      </c>
      <c r="C4205" s="13" t="s">
        <v>947</v>
      </c>
      <c r="D4205" s="14" t="s">
        <v>56</v>
      </c>
      <c r="E4205" s="13" t="s">
        <v>65</v>
      </c>
      <c r="F4205" s="13" t="s">
        <v>1350</v>
      </c>
      <c r="G4205" s="13">
        <v>2.2599999999999998</v>
      </c>
      <c r="H4205" s="15">
        <v>51</v>
      </c>
      <c r="I4205" s="16">
        <v>115.26</v>
      </c>
      <c r="J4205" s="16">
        <v>518.48765452958241</v>
      </c>
      <c r="K4205" s="16">
        <v>-403.22765452958237</v>
      </c>
      <c r="L4205" s="13"/>
      <c r="M4205" s="13">
        <v>3.12</v>
      </c>
      <c r="N4205" s="17">
        <f t="shared" si="139"/>
        <v>0</v>
      </c>
      <c r="O4205" s="17">
        <f t="shared" si="139"/>
        <v>159.12</v>
      </c>
      <c r="P4205" s="17">
        <f t="shared" si="138"/>
        <v>159.12</v>
      </c>
      <c r="Q4205" t="str">
        <f>A4205&amp;"-"&amp;B4205&amp;"-"&amp;D4205</f>
        <v>SEPTEMBER-MJ1-L3</v>
      </c>
    </row>
    <row r="4206" spans="1:17" x14ac:dyDescent="0.25">
      <c r="A4206" t="s">
        <v>399</v>
      </c>
      <c r="B4206" s="13" t="s">
        <v>25</v>
      </c>
      <c r="C4206" s="13" t="s">
        <v>947</v>
      </c>
      <c r="D4206" s="14" t="s">
        <v>56</v>
      </c>
      <c r="E4206" s="13" t="s">
        <v>65</v>
      </c>
      <c r="F4206" s="13" t="s">
        <v>1348</v>
      </c>
      <c r="G4206" s="13">
        <v>3.11</v>
      </c>
      <c r="H4206" s="15">
        <v>289</v>
      </c>
      <c r="I4206" s="16">
        <v>898.79</v>
      </c>
      <c r="J4206" s="16">
        <v>1851.8168595646418</v>
      </c>
      <c r="K4206" s="16">
        <v>-953.02685956464188</v>
      </c>
      <c r="L4206" s="13"/>
      <c r="M4206" s="13">
        <v>4.03</v>
      </c>
      <c r="N4206" s="17">
        <f t="shared" si="139"/>
        <v>0</v>
      </c>
      <c r="O4206" s="17">
        <f t="shared" si="139"/>
        <v>1164.67</v>
      </c>
      <c r="P4206" s="17">
        <f t="shared" si="138"/>
        <v>1164.67</v>
      </c>
      <c r="Q4206" t="str">
        <f>A4206&amp;"-"&amp;B4206&amp;"-"&amp;D4206</f>
        <v>SEPTEMBER-MJ1-L3</v>
      </c>
    </row>
    <row r="4207" spans="1:17" x14ac:dyDescent="0.25">
      <c r="A4207" t="s">
        <v>399</v>
      </c>
      <c r="B4207" s="13" t="s">
        <v>25</v>
      </c>
      <c r="C4207" s="13" t="s">
        <v>947</v>
      </c>
      <c r="D4207" s="14" t="s">
        <v>56</v>
      </c>
      <c r="E4207" s="13" t="s">
        <v>65</v>
      </c>
      <c r="F4207" s="13" t="s">
        <v>1349</v>
      </c>
      <c r="G4207" s="13">
        <v>3.11</v>
      </c>
      <c r="H4207" s="15">
        <v>57</v>
      </c>
      <c r="I4207" s="16">
        <v>177.26999999999998</v>
      </c>
      <c r="J4207" s="16">
        <v>1238.8533806426178</v>
      </c>
      <c r="K4207" s="16">
        <v>-1061.5833806426176</v>
      </c>
      <c r="L4207" s="13"/>
      <c r="M4207" s="13">
        <v>3.99</v>
      </c>
      <c r="N4207" s="17">
        <f t="shared" si="139"/>
        <v>0</v>
      </c>
      <c r="O4207" s="17">
        <f t="shared" si="139"/>
        <v>227.43</v>
      </c>
      <c r="P4207" s="17">
        <f t="shared" si="138"/>
        <v>227.43</v>
      </c>
      <c r="Q4207" t="str">
        <f>A4207&amp;"-"&amp;B4207&amp;"-"&amp;D4207</f>
        <v>SEPTEMBER-MJ1-L3</v>
      </c>
    </row>
    <row r="4208" spans="1:17" x14ac:dyDescent="0.25">
      <c r="A4208" t="s">
        <v>399</v>
      </c>
      <c r="B4208" s="13" t="s">
        <v>25</v>
      </c>
      <c r="C4208" s="13" t="s">
        <v>1556</v>
      </c>
      <c r="D4208" s="14" t="s">
        <v>158</v>
      </c>
      <c r="E4208" s="13" t="s">
        <v>65</v>
      </c>
      <c r="F4208" s="13" t="s">
        <v>1557</v>
      </c>
      <c r="G4208" s="13">
        <v>4.8499999999999996</v>
      </c>
      <c r="H4208" s="15">
        <v>334</v>
      </c>
      <c r="I4208" s="16">
        <v>1619.9</v>
      </c>
      <c r="J4208" s="16">
        <v>1059.176357768257</v>
      </c>
      <c r="K4208" s="16">
        <v>560.72364223174293</v>
      </c>
      <c r="L4208" s="13">
        <v>13.95</v>
      </c>
      <c r="M4208" s="13"/>
      <c r="N4208" s="17">
        <f t="shared" si="139"/>
        <v>4659.3</v>
      </c>
      <c r="O4208" s="17">
        <f t="shared" si="139"/>
        <v>0</v>
      </c>
      <c r="P4208" s="17">
        <f t="shared" si="138"/>
        <v>4659.3</v>
      </c>
      <c r="Q4208" t="str">
        <f>A4208&amp;"-"&amp;B4208&amp;"-"&amp;D4208</f>
        <v>SEPTEMBER-MJ1-L4</v>
      </c>
    </row>
    <row r="4209" spans="1:17" x14ac:dyDescent="0.25">
      <c r="A4209" t="s">
        <v>399</v>
      </c>
      <c r="B4209" s="13" t="s">
        <v>25</v>
      </c>
      <c r="C4209" s="13" t="s">
        <v>1556</v>
      </c>
      <c r="D4209" s="14" t="s">
        <v>158</v>
      </c>
      <c r="E4209" s="13" t="s">
        <v>65</v>
      </c>
      <c r="F4209" s="13" t="s">
        <v>1558</v>
      </c>
      <c r="G4209" s="13">
        <v>4.8499999999999996</v>
      </c>
      <c r="H4209" s="15">
        <v>201</v>
      </c>
      <c r="I4209" s="16">
        <v>974.84999999999991</v>
      </c>
      <c r="J4209" s="16">
        <v>621.89285245180497</v>
      </c>
      <c r="K4209" s="16">
        <v>352.957147548195</v>
      </c>
      <c r="L4209" s="13">
        <v>13.71</v>
      </c>
      <c r="M4209" s="13"/>
      <c r="N4209" s="17">
        <f t="shared" si="139"/>
        <v>2755.71</v>
      </c>
      <c r="O4209" s="17">
        <f t="shared" si="139"/>
        <v>0</v>
      </c>
      <c r="P4209" s="17">
        <f t="shared" si="138"/>
        <v>2755.71</v>
      </c>
      <c r="Q4209" t="str">
        <f>A4209&amp;"-"&amp;B4209&amp;"-"&amp;D4209</f>
        <v>SEPTEMBER-MJ1-L4</v>
      </c>
    </row>
    <row r="4210" spans="1:17" x14ac:dyDescent="0.25">
      <c r="A4210" t="s">
        <v>399</v>
      </c>
      <c r="B4210" s="13" t="s">
        <v>25</v>
      </c>
      <c r="C4210" s="13" t="s">
        <v>1556</v>
      </c>
      <c r="D4210" s="14" t="s">
        <v>158</v>
      </c>
      <c r="E4210" s="13" t="s">
        <v>65</v>
      </c>
      <c r="F4210" s="13" t="s">
        <v>1559</v>
      </c>
      <c r="G4210" s="13">
        <v>4.8500000000000005</v>
      </c>
      <c r="H4210" s="15">
        <v>737</v>
      </c>
      <c r="I4210" s="16">
        <v>3574.45</v>
      </c>
      <c r="J4210" s="16">
        <v>4552.9307897799372</v>
      </c>
      <c r="K4210" s="16">
        <v>-978.48078977993794</v>
      </c>
      <c r="L4210" s="13">
        <v>13.71</v>
      </c>
      <c r="M4210" s="13"/>
      <c r="N4210" s="17">
        <f t="shared" si="139"/>
        <v>10104.27</v>
      </c>
      <c r="O4210" s="17">
        <f t="shared" si="139"/>
        <v>0</v>
      </c>
      <c r="P4210" s="17">
        <f t="shared" si="138"/>
        <v>10104.27</v>
      </c>
      <c r="Q4210" t="str">
        <f>A4210&amp;"-"&amp;B4210&amp;"-"&amp;D4210</f>
        <v>SEPTEMBER-MJ1-L4</v>
      </c>
    </row>
    <row r="4211" spans="1:17" x14ac:dyDescent="0.25">
      <c r="A4211" t="s">
        <v>399</v>
      </c>
      <c r="B4211" s="13" t="s">
        <v>25</v>
      </c>
      <c r="C4211" s="13" t="s">
        <v>952</v>
      </c>
      <c r="D4211" s="14" t="s">
        <v>160</v>
      </c>
      <c r="E4211" s="13" t="s">
        <v>953</v>
      </c>
      <c r="F4211" s="13" t="s">
        <v>1352</v>
      </c>
      <c r="G4211" s="13">
        <v>12.47</v>
      </c>
      <c r="H4211" s="15">
        <v>9</v>
      </c>
      <c r="I4211" s="16">
        <v>112.23</v>
      </c>
      <c r="J4211" s="16">
        <v>92.390285605483626</v>
      </c>
      <c r="K4211" s="16">
        <v>19.839714394516378</v>
      </c>
      <c r="L4211" s="13"/>
      <c r="M4211" s="13">
        <v>20.239999999999998</v>
      </c>
      <c r="N4211" s="17">
        <f t="shared" si="139"/>
        <v>0</v>
      </c>
      <c r="O4211" s="17">
        <f t="shared" si="139"/>
        <v>182.16</v>
      </c>
      <c r="P4211" s="17">
        <f t="shared" si="138"/>
        <v>182.16</v>
      </c>
      <c r="Q4211" t="str">
        <f>A4211&amp;"-"&amp;B4211&amp;"-"&amp;D4211</f>
        <v>SEPTEMBER-MJ1-L5</v>
      </c>
    </row>
    <row r="4212" spans="1:17" x14ac:dyDescent="0.25">
      <c r="A4212" t="s">
        <v>399</v>
      </c>
      <c r="B4212" s="13" t="s">
        <v>25</v>
      </c>
      <c r="C4212" s="13" t="s">
        <v>952</v>
      </c>
      <c r="D4212" s="14" t="s">
        <v>160</v>
      </c>
      <c r="E4212" s="13" t="s">
        <v>953</v>
      </c>
      <c r="F4212" s="13" t="s">
        <v>1353</v>
      </c>
      <c r="G4212" s="13">
        <v>12.47</v>
      </c>
      <c r="H4212" s="15">
        <v>238</v>
      </c>
      <c r="I4212" s="16">
        <v>2967.86</v>
      </c>
      <c r="J4212" s="16">
        <v>2948.4004836116005</v>
      </c>
      <c r="K4212" s="16">
        <v>19.45951638840015</v>
      </c>
      <c r="L4212" s="13"/>
      <c r="M4212" s="13">
        <v>20.239999999999998</v>
      </c>
      <c r="N4212" s="17">
        <f t="shared" si="139"/>
        <v>0</v>
      </c>
      <c r="O4212" s="17">
        <f t="shared" si="139"/>
        <v>4817.12</v>
      </c>
      <c r="P4212" s="17">
        <f t="shared" si="138"/>
        <v>4817.12</v>
      </c>
      <c r="Q4212" t="str">
        <f>A4212&amp;"-"&amp;B4212&amp;"-"&amp;D4212</f>
        <v>SEPTEMBER-MJ1-L5</v>
      </c>
    </row>
    <row r="4213" spans="1:17" x14ac:dyDescent="0.25">
      <c r="A4213" t="s">
        <v>399</v>
      </c>
      <c r="B4213" s="13" t="s">
        <v>25</v>
      </c>
      <c r="C4213" s="13" t="s">
        <v>952</v>
      </c>
      <c r="D4213" s="14" t="s">
        <v>160</v>
      </c>
      <c r="E4213" s="13" t="s">
        <v>953</v>
      </c>
      <c r="F4213" s="13" t="s">
        <v>1356</v>
      </c>
      <c r="G4213" s="13">
        <v>12.47</v>
      </c>
      <c r="H4213" s="15">
        <v>22</v>
      </c>
      <c r="I4213" s="16">
        <v>274.33999999999997</v>
      </c>
      <c r="J4213" s="16">
        <v>285.35515322960867</v>
      </c>
      <c r="K4213" s="16">
        <v>-11.015153229608678</v>
      </c>
      <c r="L4213" s="13"/>
      <c r="M4213" s="13">
        <v>20.239999999999998</v>
      </c>
      <c r="N4213" s="17">
        <f t="shared" si="139"/>
        <v>0</v>
      </c>
      <c r="O4213" s="17">
        <f t="shared" si="139"/>
        <v>445.28</v>
      </c>
      <c r="P4213" s="17">
        <f t="shared" si="138"/>
        <v>445.28</v>
      </c>
      <c r="Q4213" t="str">
        <f>A4213&amp;"-"&amp;B4213&amp;"-"&amp;D4213</f>
        <v>SEPTEMBER-MJ1-L5</v>
      </c>
    </row>
    <row r="4214" spans="1:17" x14ac:dyDescent="0.25">
      <c r="A4214" t="s">
        <v>399</v>
      </c>
      <c r="B4214" s="13" t="s">
        <v>25</v>
      </c>
      <c r="C4214" s="13" t="s">
        <v>952</v>
      </c>
      <c r="D4214" s="14" t="s">
        <v>160</v>
      </c>
      <c r="E4214" s="13" t="s">
        <v>953</v>
      </c>
      <c r="F4214" s="13" t="s">
        <v>1357</v>
      </c>
      <c r="G4214" s="13">
        <v>12.47</v>
      </c>
      <c r="H4214" s="15">
        <v>96</v>
      </c>
      <c r="I4214" s="16">
        <v>1197.1199999999999</v>
      </c>
      <c r="J4214" s="16">
        <v>984.26144088180331</v>
      </c>
      <c r="K4214" s="16">
        <v>212.85855911819675</v>
      </c>
      <c r="L4214" s="13"/>
      <c r="M4214" s="13">
        <v>20.239999999999998</v>
      </c>
      <c r="N4214" s="17">
        <f t="shared" si="139"/>
        <v>0</v>
      </c>
      <c r="O4214" s="17">
        <f t="shared" si="139"/>
        <v>1943.04</v>
      </c>
      <c r="P4214" s="17">
        <f t="shared" si="138"/>
        <v>1943.04</v>
      </c>
      <c r="Q4214" t="str">
        <f>A4214&amp;"-"&amp;B4214&amp;"-"&amp;D4214</f>
        <v>SEPTEMBER-MJ1-L5</v>
      </c>
    </row>
    <row r="4215" spans="1:17" x14ac:dyDescent="0.25">
      <c r="A4215" t="s">
        <v>399</v>
      </c>
      <c r="B4215" s="13" t="s">
        <v>25</v>
      </c>
      <c r="C4215" s="13" t="s">
        <v>952</v>
      </c>
      <c r="D4215" s="14" t="s">
        <v>160</v>
      </c>
      <c r="E4215" s="13" t="s">
        <v>953</v>
      </c>
      <c r="F4215" s="13" t="s">
        <v>1560</v>
      </c>
      <c r="G4215" s="13">
        <v>12.47</v>
      </c>
      <c r="H4215" s="15">
        <v>514</v>
      </c>
      <c r="I4215" s="16">
        <v>6409.5800000000008</v>
      </c>
      <c r="J4215" s="16">
        <v>6126.7286856447081</v>
      </c>
      <c r="K4215" s="16">
        <v>282.85131435529229</v>
      </c>
      <c r="L4215" s="13"/>
      <c r="M4215" s="13">
        <v>20.239999999999998</v>
      </c>
      <c r="N4215" s="17">
        <f t="shared" si="139"/>
        <v>0</v>
      </c>
      <c r="O4215" s="17">
        <f t="shared" si="139"/>
        <v>10403.359999999999</v>
      </c>
      <c r="P4215" s="17">
        <f t="shared" si="138"/>
        <v>10403.359999999999</v>
      </c>
      <c r="Q4215" t="str">
        <f>A4215&amp;"-"&amp;B4215&amp;"-"&amp;D4215</f>
        <v>SEPTEMBER-MJ1-L5</v>
      </c>
    </row>
    <row r="4216" spans="1:17" x14ac:dyDescent="0.25">
      <c r="A4216" t="s">
        <v>399</v>
      </c>
      <c r="B4216" s="13" t="s">
        <v>25</v>
      </c>
      <c r="C4216" s="13" t="s">
        <v>952</v>
      </c>
      <c r="D4216" s="14" t="s">
        <v>163</v>
      </c>
      <c r="E4216" s="13" t="s">
        <v>953</v>
      </c>
      <c r="F4216" s="13" t="s">
        <v>1352</v>
      </c>
      <c r="G4216" s="13">
        <v>12.47</v>
      </c>
      <c r="H4216" s="15">
        <v>8</v>
      </c>
      <c r="I4216" s="16">
        <v>99.76</v>
      </c>
      <c r="J4216" s="16">
        <v>83.854646464646464</v>
      </c>
      <c r="K4216" s="16">
        <v>15.905353535353543</v>
      </c>
      <c r="L4216" s="13"/>
      <c r="M4216" s="13">
        <v>20.239999999999998</v>
      </c>
      <c r="N4216" s="17">
        <f t="shared" si="139"/>
        <v>0</v>
      </c>
      <c r="O4216" s="17">
        <f t="shared" si="139"/>
        <v>161.91999999999999</v>
      </c>
      <c r="P4216" s="17">
        <f t="shared" si="138"/>
        <v>161.91999999999999</v>
      </c>
      <c r="Q4216" t="str">
        <f>A4216&amp;"-"&amp;B4216&amp;"-"&amp;D4216</f>
        <v>SEPTEMBER-MJ1-L6</v>
      </c>
    </row>
    <row r="4217" spans="1:17" x14ac:dyDescent="0.25">
      <c r="A4217" t="s">
        <v>399</v>
      </c>
      <c r="B4217" s="13" t="s">
        <v>25</v>
      </c>
      <c r="C4217" s="13" t="s">
        <v>952</v>
      </c>
      <c r="D4217" s="14" t="s">
        <v>163</v>
      </c>
      <c r="E4217" s="13" t="s">
        <v>953</v>
      </c>
      <c r="F4217" s="13" t="s">
        <v>1353</v>
      </c>
      <c r="G4217" s="13">
        <v>12.47</v>
      </c>
      <c r="H4217" s="15">
        <v>236</v>
      </c>
      <c r="I4217" s="16">
        <v>2942.9199999999996</v>
      </c>
      <c r="J4217" s="16">
        <v>2320.1298438870526</v>
      </c>
      <c r="K4217" s="16">
        <v>622.79015611294744</v>
      </c>
      <c r="L4217" s="13"/>
      <c r="M4217" s="13">
        <v>20.239999999999998</v>
      </c>
      <c r="N4217" s="17">
        <f t="shared" si="139"/>
        <v>0</v>
      </c>
      <c r="O4217" s="17">
        <f t="shared" si="139"/>
        <v>4776.6399999999994</v>
      </c>
      <c r="P4217" s="17">
        <f t="shared" si="138"/>
        <v>4776.6399999999994</v>
      </c>
      <c r="Q4217" t="str">
        <f>A4217&amp;"-"&amp;B4217&amp;"-"&amp;D4217</f>
        <v>SEPTEMBER-MJ1-L6</v>
      </c>
    </row>
    <row r="4218" spans="1:17" x14ac:dyDescent="0.25">
      <c r="A4218" t="s">
        <v>399</v>
      </c>
      <c r="B4218" s="13" t="s">
        <v>25</v>
      </c>
      <c r="C4218" s="13" t="s">
        <v>952</v>
      </c>
      <c r="D4218" s="14" t="s">
        <v>163</v>
      </c>
      <c r="E4218" s="13" t="s">
        <v>953</v>
      </c>
      <c r="F4218" s="13" t="s">
        <v>1356</v>
      </c>
      <c r="G4218" s="13">
        <v>12.47</v>
      </c>
      <c r="H4218" s="15">
        <v>21</v>
      </c>
      <c r="I4218" s="16">
        <v>261.87</v>
      </c>
      <c r="J4218" s="16">
        <v>290.56017316017312</v>
      </c>
      <c r="K4218" s="16">
        <v>-28.690173160173167</v>
      </c>
      <c r="L4218" s="13"/>
      <c r="M4218" s="13">
        <v>20.239999999999998</v>
      </c>
      <c r="N4218" s="17">
        <f t="shared" si="139"/>
        <v>0</v>
      </c>
      <c r="O4218" s="17">
        <f t="shared" si="139"/>
        <v>425.03999999999996</v>
      </c>
      <c r="P4218" s="17">
        <f t="shared" si="138"/>
        <v>425.03999999999996</v>
      </c>
      <c r="Q4218" t="str">
        <f>A4218&amp;"-"&amp;B4218&amp;"-"&amp;D4218</f>
        <v>SEPTEMBER-MJ1-L6</v>
      </c>
    </row>
    <row r="4219" spans="1:17" x14ac:dyDescent="0.25">
      <c r="A4219" t="s">
        <v>399</v>
      </c>
      <c r="B4219" s="13" t="s">
        <v>25</v>
      </c>
      <c r="C4219" s="13" t="s">
        <v>952</v>
      </c>
      <c r="D4219" s="14" t="s">
        <v>163</v>
      </c>
      <c r="E4219" s="13" t="s">
        <v>953</v>
      </c>
      <c r="F4219" s="13" t="s">
        <v>1357</v>
      </c>
      <c r="G4219" s="13">
        <v>12.47</v>
      </c>
      <c r="H4219" s="15">
        <v>131</v>
      </c>
      <c r="I4219" s="16">
        <v>1633.57</v>
      </c>
      <c r="J4219" s="16">
        <v>1863.1852951824915</v>
      </c>
      <c r="K4219" s="16">
        <v>-229.61529518249137</v>
      </c>
      <c r="L4219" s="13"/>
      <c r="M4219" s="13">
        <v>20.239999999999998</v>
      </c>
      <c r="N4219" s="17">
        <f t="shared" si="139"/>
        <v>0</v>
      </c>
      <c r="O4219" s="17">
        <f t="shared" si="139"/>
        <v>2651.4399999999996</v>
      </c>
      <c r="P4219" s="17">
        <f t="shared" si="138"/>
        <v>2651.4399999999996</v>
      </c>
      <c r="Q4219" t="str">
        <f>A4219&amp;"-"&amp;B4219&amp;"-"&amp;D4219</f>
        <v>SEPTEMBER-MJ1-L6</v>
      </c>
    </row>
    <row r="4220" spans="1:17" x14ac:dyDescent="0.25">
      <c r="A4220" t="s">
        <v>399</v>
      </c>
      <c r="B4220" s="13" t="s">
        <v>25</v>
      </c>
      <c r="C4220" s="13" t="s">
        <v>952</v>
      </c>
      <c r="D4220" s="14" t="s">
        <v>163</v>
      </c>
      <c r="E4220" s="13" t="s">
        <v>953</v>
      </c>
      <c r="F4220" s="13" t="s">
        <v>1560</v>
      </c>
      <c r="G4220" s="13">
        <v>12.47</v>
      </c>
      <c r="H4220" s="15">
        <v>513</v>
      </c>
      <c r="I4220" s="16">
        <v>6397.1100000000006</v>
      </c>
      <c r="J4220" s="16">
        <v>6127.9661210892009</v>
      </c>
      <c r="K4220" s="16">
        <v>269.14387891079878</v>
      </c>
      <c r="L4220" s="13"/>
      <c r="M4220" s="13">
        <v>20.239999999999998</v>
      </c>
      <c r="N4220" s="17">
        <f t="shared" si="139"/>
        <v>0</v>
      </c>
      <c r="O4220" s="17">
        <f t="shared" si="139"/>
        <v>10383.119999999999</v>
      </c>
      <c r="P4220" s="17">
        <f t="shared" si="138"/>
        <v>10383.119999999999</v>
      </c>
      <c r="Q4220" t="str">
        <f>A4220&amp;"-"&amp;B4220&amp;"-"&amp;D4220</f>
        <v>SEPTEMBER-MJ1-L6</v>
      </c>
    </row>
    <row r="4221" spans="1:17" x14ac:dyDescent="0.25">
      <c r="A4221" t="s">
        <v>399</v>
      </c>
      <c r="B4221" s="13" t="s">
        <v>26</v>
      </c>
      <c r="C4221" s="13" t="s">
        <v>226</v>
      </c>
      <c r="D4221" s="14" t="s">
        <v>44</v>
      </c>
      <c r="E4221" s="13" t="s">
        <v>61</v>
      </c>
      <c r="F4221" s="13" t="s">
        <v>1561</v>
      </c>
      <c r="G4221" s="13">
        <v>0.68</v>
      </c>
      <c r="H4221" s="15">
        <v>2480</v>
      </c>
      <c r="I4221" s="16">
        <v>1686.4</v>
      </c>
      <c r="J4221" s="16">
        <v>2142.4625528028314</v>
      </c>
      <c r="K4221" s="16">
        <v>-456.06255280283142</v>
      </c>
      <c r="L4221" s="13">
        <v>1.69</v>
      </c>
      <c r="M4221" s="13"/>
      <c r="N4221" s="17">
        <f t="shared" si="139"/>
        <v>4191.2</v>
      </c>
      <c r="O4221" s="17">
        <f t="shared" si="139"/>
        <v>0</v>
      </c>
      <c r="P4221" s="17">
        <f t="shared" si="138"/>
        <v>4191.2</v>
      </c>
      <c r="Q4221" t="str">
        <f>A4221&amp;"-"&amp;B4221&amp;"-"&amp;D4221</f>
        <v>SEPTEMBER-MJ2-L1</v>
      </c>
    </row>
    <row r="4222" spans="1:17" x14ac:dyDescent="0.25">
      <c r="A4222" t="s">
        <v>399</v>
      </c>
      <c r="B4222" s="13" t="s">
        <v>26</v>
      </c>
      <c r="C4222" s="13" t="s">
        <v>226</v>
      </c>
      <c r="D4222" s="14" t="s">
        <v>44</v>
      </c>
      <c r="E4222" s="13" t="s">
        <v>61</v>
      </c>
      <c r="F4222" s="13" t="s">
        <v>1562</v>
      </c>
      <c r="G4222" s="13">
        <v>0.66</v>
      </c>
      <c r="H4222" s="15">
        <v>3750</v>
      </c>
      <c r="I4222" s="16">
        <v>2475</v>
      </c>
      <c r="J4222" s="16">
        <v>2597.5804854007815</v>
      </c>
      <c r="K4222" s="16">
        <v>-122.58048540078101</v>
      </c>
      <c r="L4222" s="13">
        <v>1.71</v>
      </c>
      <c r="M4222" s="13"/>
      <c r="N4222" s="17">
        <f t="shared" si="139"/>
        <v>6412.5</v>
      </c>
      <c r="O4222" s="17">
        <f t="shared" si="139"/>
        <v>0</v>
      </c>
      <c r="P4222" s="17">
        <f t="shared" si="138"/>
        <v>6412.5</v>
      </c>
      <c r="Q4222" t="str">
        <f>A4222&amp;"-"&amp;B4222&amp;"-"&amp;D4222</f>
        <v>SEPTEMBER-MJ2-L1</v>
      </c>
    </row>
    <row r="4223" spans="1:17" x14ac:dyDescent="0.25">
      <c r="A4223" t="s">
        <v>399</v>
      </c>
      <c r="B4223" s="13" t="s">
        <v>26</v>
      </c>
      <c r="C4223" s="13" t="s">
        <v>226</v>
      </c>
      <c r="D4223" s="14" t="s">
        <v>44</v>
      </c>
      <c r="E4223" s="13" t="s">
        <v>61</v>
      </c>
      <c r="F4223" s="13" t="s">
        <v>1361</v>
      </c>
      <c r="G4223" s="13">
        <v>0.70000000000000007</v>
      </c>
      <c r="H4223" s="15">
        <v>3647</v>
      </c>
      <c r="I4223" s="16">
        <v>2552.9</v>
      </c>
      <c r="J4223" s="16">
        <v>3594.7059227276891</v>
      </c>
      <c r="K4223" s="16">
        <v>-1041.8059227276892</v>
      </c>
      <c r="L4223" s="13">
        <v>1.3</v>
      </c>
      <c r="M4223" s="13"/>
      <c r="N4223" s="17">
        <f t="shared" ref="N4223:O4286" si="140">$H4223*L4223</f>
        <v>4741.1000000000004</v>
      </c>
      <c r="O4223" s="17">
        <f t="shared" si="140"/>
        <v>0</v>
      </c>
      <c r="P4223" s="17">
        <f t="shared" si="138"/>
        <v>4741.1000000000004</v>
      </c>
      <c r="Q4223" t="str">
        <f>A4223&amp;"-"&amp;B4223&amp;"-"&amp;D4223</f>
        <v>SEPTEMBER-MJ2-L1</v>
      </c>
    </row>
    <row r="4224" spans="1:17" x14ac:dyDescent="0.25">
      <c r="A4224" t="s">
        <v>399</v>
      </c>
      <c r="B4224" s="13" t="s">
        <v>26</v>
      </c>
      <c r="C4224" s="13" t="s">
        <v>226</v>
      </c>
      <c r="D4224" s="14" t="s">
        <v>44</v>
      </c>
      <c r="E4224" s="13" t="s">
        <v>61</v>
      </c>
      <c r="F4224" s="13" t="s">
        <v>1563</v>
      </c>
      <c r="G4224" s="13">
        <v>0.71</v>
      </c>
      <c r="H4224" s="15">
        <v>395</v>
      </c>
      <c r="I4224" s="16">
        <v>280.45</v>
      </c>
      <c r="J4224" s="16">
        <v>307.25357142857143</v>
      </c>
      <c r="K4224" s="16">
        <v>-26.803571428571445</v>
      </c>
      <c r="L4224" s="13">
        <v>1.29</v>
      </c>
      <c r="M4224" s="13"/>
      <c r="N4224" s="17">
        <f t="shared" si="140"/>
        <v>509.55</v>
      </c>
      <c r="O4224" s="17">
        <f t="shared" si="140"/>
        <v>0</v>
      </c>
      <c r="P4224" s="17">
        <f t="shared" si="138"/>
        <v>509.55</v>
      </c>
      <c r="Q4224" t="str">
        <f>A4224&amp;"-"&amp;B4224&amp;"-"&amp;D4224</f>
        <v>SEPTEMBER-MJ2-L1</v>
      </c>
    </row>
    <row r="4225" spans="1:17" x14ac:dyDescent="0.25">
      <c r="A4225" t="s">
        <v>399</v>
      </c>
      <c r="B4225" s="13" t="s">
        <v>26</v>
      </c>
      <c r="C4225" s="13" t="s">
        <v>226</v>
      </c>
      <c r="D4225" s="14" t="s">
        <v>44</v>
      </c>
      <c r="E4225" s="13" t="s">
        <v>61</v>
      </c>
      <c r="F4225" s="13" t="s">
        <v>1564</v>
      </c>
      <c r="G4225" s="13">
        <v>0.70000000000000007</v>
      </c>
      <c r="H4225" s="15">
        <v>3531</v>
      </c>
      <c r="I4225" s="16">
        <v>2471.6999999999998</v>
      </c>
      <c r="J4225" s="16">
        <v>2622.6903022147039</v>
      </c>
      <c r="K4225" s="16">
        <v>-150.9903022147042</v>
      </c>
      <c r="L4225" s="13">
        <v>1.3</v>
      </c>
      <c r="M4225" s="13"/>
      <c r="N4225" s="17">
        <f t="shared" si="140"/>
        <v>4590.3</v>
      </c>
      <c r="O4225" s="17">
        <f t="shared" si="140"/>
        <v>0</v>
      </c>
      <c r="P4225" s="17">
        <f t="shared" si="138"/>
        <v>4590.3</v>
      </c>
      <c r="Q4225" t="str">
        <f>A4225&amp;"-"&amp;B4225&amp;"-"&amp;D4225</f>
        <v>SEPTEMBER-MJ2-L1</v>
      </c>
    </row>
    <row r="4226" spans="1:17" x14ac:dyDescent="0.25">
      <c r="A4226" t="s">
        <v>399</v>
      </c>
      <c r="B4226" s="13" t="s">
        <v>26</v>
      </c>
      <c r="C4226" s="13" t="s">
        <v>226</v>
      </c>
      <c r="D4226" s="14" t="s">
        <v>44</v>
      </c>
      <c r="E4226" s="13" t="s">
        <v>61</v>
      </c>
      <c r="F4226" s="13" t="s">
        <v>1565</v>
      </c>
      <c r="G4226" s="13">
        <v>0.83</v>
      </c>
      <c r="H4226" s="15">
        <v>2325</v>
      </c>
      <c r="I4226" s="16">
        <v>1929.7499999999998</v>
      </c>
      <c r="J4226" s="16">
        <v>1799.489872871224</v>
      </c>
      <c r="K4226" s="16">
        <v>130.26012712877591</v>
      </c>
      <c r="L4226" s="13">
        <v>2.13</v>
      </c>
      <c r="M4226" s="13"/>
      <c r="N4226" s="17">
        <f t="shared" si="140"/>
        <v>4952.25</v>
      </c>
      <c r="O4226" s="17">
        <f t="shared" si="140"/>
        <v>0</v>
      </c>
      <c r="P4226" s="17">
        <f t="shared" ref="P4226:P4289" si="141">N4226+O4226</f>
        <v>4952.25</v>
      </c>
      <c r="Q4226" t="str">
        <f>A4226&amp;"-"&amp;B4226&amp;"-"&amp;D4226</f>
        <v>SEPTEMBER-MJ2-L1</v>
      </c>
    </row>
    <row r="4227" spans="1:17" x14ac:dyDescent="0.25">
      <c r="A4227" t="s">
        <v>399</v>
      </c>
      <c r="B4227" s="13" t="s">
        <v>26</v>
      </c>
      <c r="C4227" s="13" t="s">
        <v>226</v>
      </c>
      <c r="D4227" s="14" t="s">
        <v>44</v>
      </c>
      <c r="E4227" s="13" t="s">
        <v>61</v>
      </c>
      <c r="F4227" s="13" t="s">
        <v>1196</v>
      </c>
      <c r="G4227" s="13">
        <v>0.65</v>
      </c>
      <c r="H4227" s="15">
        <v>7000</v>
      </c>
      <c r="I4227" s="16">
        <v>4550</v>
      </c>
      <c r="J4227" s="16">
        <v>4493.4655415538873</v>
      </c>
      <c r="K4227" s="16">
        <v>56.534458446112254</v>
      </c>
      <c r="L4227" s="13">
        <v>1.66</v>
      </c>
      <c r="M4227" s="13"/>
      <c r="N4227" s="17">
        <f t="shared" si="140"/>
        <v>11620</v>
      </c>
      <c r="O4227" s="17">
        <f t="shared" si="140"/>
        <v>0</v>
      </c>
      <c r="P4227" s="17">
        <f t="shared" si="141"/>
        <v>11620</v>
      </c>
      <c r="Q4227" t="str">
        <f>A4227&amp;"-"&amp;B4227&amp;"-"&amp;D4227</f>
        <v>SEPTEMBER-MJ2-L1</v>
      </c>
    </row>
    <row r="4228" spans="1:17" x14ac:dyDescent="0.25">
      <c r="A4228" t="s">
        <v>399</v>
      </c>
      <c r="B4228" s="13" t="s">
        <v>26</v>
      </c>
      <c r="C4228" s="13" t="s">
        <v>226</v>
      </c>
      <c r="D4228" s="14" t="s">
        <v>44</v>
      </c>
      <c r="E4228" s="13" t="s">
        <v>61</v>
      </c>
      <c r="F4228" s="13" t="s">
        <v>1197</v>
      </c>
      <c r="G4228" s="13">
        <v>0.65</v>
      </c>
      <c r="H4228" s="15">
        <v>985</v>
      </c>
      <c r="I4228" s="16">
        <v>640.25</v>
      </c>
      <c r="J4228" s="16">
        <v>626.9352432769798</v>
      </c>
      <c r="K4228" s="16">
        <v>13.314756723020217</v>
      </c>
      <c r="L4228" s="13">
        <v>1.79</v>
      </c>
      <c r="M4228" s="13"/>
      <c r="N4228" s="17">
        <f t="shared" si="140"/>
        <v>1763.15</v>
      </c>
      <c r="O4228" s="17">
        <f t="shared" si="140"/>
        <v>0</v>
      </c>
      <c r="P4228" s="17">
        <f t="shared" si="141"/>
        <v>1763.15</v>
      </c>
      <c r="Q4228" t="str">
        <f>A4228&amp;"-"&amp;B4228&amp;"-"&amp;D4228</f>
        <v>SEPTEMBER-MJ2-L1</v>
      </c>
    </row>
    <row r="4229" spans="1:17" x14ac:dyDescent="0.25">
      <c r="A4229" t="s">
        <v>399</v>
      </c>
      <c r="B4229" s="13" t="s">
        <v>26</v>
      </c>
      <c r="C4229" s="13" t="s">
        <v>226</v>
      </c>
      <c r="D4229" s="14" t="s">
        <v>44</v>
      </c>
      <c r="E4229" s="13" t="s">
        <v>61</v>
      </c>
      <c r="F4229" s="13" t="s">
        <v>1180</v>
      </c>
      <c r="G4229" s="13">
        <v>0.65</v>
      </c>
      <c r="H4229" s="15">
        <v>826</v>
      </c>
      <c r="I4229" s="16">
        <v>536.9</v>
      </c>
      <c r="J4229" s="16">
        <v>673.81840575638671</v>
      </c>
      <c r="K4229" s="16">
        <v>-136.91840575638676</v>
      </c>
      <c r="L4229" s="13">
        <v>1.64</v>
      </c>
      <c r="M4229" s="13"/>
      <c r="N4229" s="17">
        <f t="shared" si="140"/>
        <v>1354.6399999999999</v>
      </c>
      <c r="O4229" s="17">
        <f t="shared" si="140"/>
        <v>0</v>
      </c>
      <c r="P4229" s="17">
        <f t="shared" si="141"/>
        <v>1354.6399999999999</v>
      </c>
      <c r="Q4229" t="str">
        <f>A4229&amp;"-"&amp;B4229&amp;"-"&amp;D4229</f>
        <v>SEPTEMBER-MJ2-L1</v>
      </c>
    </row>
    <row r="4230" spans="1:17" x14ac:dyDescent="0.25">
      <c r="A4230" t="s">
        <v>399</v>
      </c>
      <c r="B4230" s="13" t="s">
        <v>26</v>
      </c>
      <c r="C4230" s="13" t="s">
        <v>226</v>
      </c>
      <c r="D4230" s="14" t="s">
        <v>44</v>
      </c>
      <c r="E4230" s="13" t="s">
        <v>61</v>
      </c>
      <c r="F4230" s="13" t="s">
        <v>1181</v>
      </c>
      <c r="G4230" s="13">
        <v>0.65</v>
      </c>
      <c r="H4230" s="15">
        <v>312</v>
      </c>
      <c r="I4230" s="16">
        <v>202.8</v>
      </c>
      <c r="J4230" s="16">
        <v>256.17460683335088</v>
      </c>
      <c r="K4230" s="16">
        <v>-53.374606833350882</v>
      </c>
      <c r="L4230" s="13">
        <v>1.76</v>
      </c>
      <c r="M4230" s="13"/>
      <c r="N4230" s="17">
        <f t="shared" si="140"/>
        <v>549.12</v>
      </c>
      <c r="O4230" s="17">
        <f t="shared" si="140"/>
        <v>0</v>
      </c>
      <c r="P4230" s="17">
        <f t="shared" si="141"/>
        <v>549.12</v>
      </c>
      <c r="Q4230" t="str">
        <f>A4230&amp;"-"&amp;B4230&amp;"-"&amp;D4230</f>
        <v>SEPTEMBER-MJ2-L1</v>
      </c>
    </row>
    <row r="4231" spans="1:17" x14ac:dyDescent="0.25">
      <c r="A4231" t="s">
        <v>399</v>
      </c>
      <c r="B4231" s="13" t="s">
        <v>26</v>
      </c>
      <c r="C4231" s="13" t="s">
        <v>226</v>
      </c>
      <c r="D4231" s="14" t="s">
        <v>44</v>
      </c>
      <c r="E4231" s="13" t="s">
        <v>61</v>
      </c>
      <c r="F4231" s="13" t="s">
        <v>1198</v>
      </c>
      <c r="G4231" s="13">
        <v>0.65</v>
      </c>
      <c r="H4231" s="15">
        <v>3990</v>
      </c>
      <c r="I4231" s="16">
        <v>2593.5</v>
      </c>
      <c r="J4231" s="16">
        <v>2418.6471793441201</v>
      </c>
      <c r="K4231" s="16">
        <v>174.85282065588001</v>
      </c>
      <c r="L4231" s="13">
        <v>1.66</v>
      </c>
      <c r="M4231" s="13"/>
      <c r="N4231" s="17">
        <f t="shared" si="140"/>
        <v>6623.4</v>
      </c>
      <c r="O4231" s="17">
        <f t="shared" si="140"/>
        <v>0</v>
      </c>
      <c r="P4231" s="17">
        <f t="shared" si="141"/>
        <v>6623.4</v>
      </c>
      <c r="Q4231" t="str">
        <f>A4231&amp;"-"&amp;B4231&amp;"-"&amp;D4231</f>
        <v>SEPTEMBER-MJ2-L1</v>
      </c>
    </row>
    <row r="4232" spans="1:17" x14ac:dyDescent="0.25">
      <c r="A4232" t="s">
        <v>399</v>
      </c>
      <c r="B4232" s="13" t="s">
        <v>26</v>
      </c>
      <c r="C4232" s="13" t="s">
        <v>226</v>
      </c>
      <c r="D4232" s="14" t="s">
        <v>44</v>
      </c>
      <c r="E4232" s="13" t="s">
        <v>61</v>
      </c>
      <c r="F4232" s="13" t="s">
        <v>1199</v>
      </c>
      <c r="G4232" s="13">
        <v>0.65</v>
      </c>
      <c r="H4232" s="15">
        <v>400</v>
      </c>
      <c r="I4232" s="16">
        <v>260</v>
      </c>
      <c r="J4232" s="16">
        <v>246.7763157894737</v>
      </c>
      <c r="K4232" s="16">
        <v>13.223684210526315</v>
      </c>
      <c r="L4232" s="13">
        <v>1.79</v>
      </c>
      <c r="M4232" s="13"/>
      <c r="N4232" s="17">
        <f t="shared" si="140"/>
        <v>716</v>
      </c>
      <c r="O4232" s="17">
        <f t="shared" si="140"/>
        <v>0</v>
      </c>
      <c r="P4232" s="17">
        <f t="shared" si="141"/>
        <v>716</v>
      </c>
      <c r="Q4232" t="str">
        <f>A4232&amp;"-"&amp;B4232&amp;"-"&amp;D4232</f>
        <v>SEPTEMBER-MJ2-L1</v>
      </c>
    </row>
    <row r="4233" spans="1:17" x14ac:dyDescent="0.25">
      <c r="A4233" t="s">
        <v>399</v>
      </c>
      <c r="B4233" s="13" t="s">
        <v>26</v>
      </c>
      <c r="C4233" s="13" t="s">
        <v>226</v>
      </c>
      <c r="D4233" s="14" t="s">
        <v>301</v>
      </c>
      <c r="E4233" s="13" t="s">
        <v>61</v>
      </c>
      <c r="F4233" s="13" t="s">
        <v>1412</v>
      </c>
      <c r="G4233" s="13">
        <v>0.68</v>
      </c>
      <c r="H4233" s="15">
        <v>1686</v>
      </c>
      <c r="I4233" s="16">
        <v>1146.48</v>
      </c>
      <c r="J4233" s="16">
        <v>1070.7980250390494</v>
      </c>
      <c r="K4233" s="16">
        <v>75.681974960950569</v>
      </c>
      <c r="L4233" s="13">
        <v>1.82</v>
      </c>
      <c r="M4233" s="13"/>
      <c r="N4233" s="17">
        <f t="shared" si="140"/>
        <v>3068.52</v>
      </c>
      <c r="O4233" s="17">
        <f t="shared" si="140"/>
        <v>0</v>
      </c>
      <c r="P4233" s="17">
        <f t="shared" si="141"/>
        <v>3068.52</v>
      </c>
      <c r="Q4233" t="str">
        <f>A4233&amp;"-"&amp;B4233&amp;"-"&amp;D4233</f>
        <v>SEPTEMBER-MJ2-L10</v>
      </c>
    </row>
    <row r="4234" spans="1:17" x14ac:dyDescent="0.25">
      <c r="A4234" t="s">
        <v>399</v>
      </c>
      <c r="B4234" s="13" t="s">
        <v>26</v>
      </c>
      <c r="C4234" s="13" t="s">
        <v>226</v>
      </c>
      <c r="D4234" s="14" t="s">
        <v>301</v>
      </c>
      <c r="E4234" s="13" t="s">
        <v>61</v>
      </c>
      <c r="F4234" s="13" t="s">
        <v>1566</v>
      </c>
      <c r="G4234" s="13">
        <v>0.68</v>
      </c>
      <c r="H4234" s="15">
        <v>3713</v>
      </c>
      <c r="I4234" s="16">
        <v>2524.8400000000006</v>
      </c>
      <c r="J4234" s="16">
        <v>2168.0468158143299</v>
      </c>
      <c r="K4234" s="16">
        <v>356.79318418567038</v>
      </c>
      <c r="L4234" s="13">
        <v>1.82</v>
      </c>
      <c r="M4234" s="13"/>
      <c r="N4234" s="17">
        <f t="shared" si="140"/>
        <v>6757.66</v>
      </c>
      <c r="O4234" s="17">
        <f t="shared" si="140"/>
        <v>0</v>
      </c>
      <c r="P4234" s="17">
        <f t="shared" si="141"/>
        <v>6757.66</v>
      </c>
      <c r="Q4234" t="str">
        <f>A4234&amp;"-"&amp;B4234&amp;"-"&amp;D4234</f>
        <v>SEPTEMBER-MJ2-L10</v>
      </c>
    </row>
    <row r="4235" spans="1:17" x14ac:dyDescent="0.25">
      <c r="A4235" t="s">
        <v>399</v>
      </c>
      <c r="B4235" s="13" t="s">
        <v>26</v>
      </c>
      <c r="C4235" s="13" t="s">
        <v>226</v>
      </c>
      <c r="D4235" s="14" t="s">
        <v>301</v>
      </c>
      <c r="E4235" s="13" t="s">
        <v>61</v>
      </c>
      <c r="F4235" s="13" t="s">
        <v>1567</v>
      </c>
      <c r="G4235" s="13">
        <v>0.66</v>
      </c>
      <c r="H4235" s="15">
        <v>39</v>
      </c>
      <c r="I4235" s="16">
        <v>25.74</v>
      </c>
      <c r="J4235" s="16">
        <v>23.913851351351354</v>
      </c>
      <c r="K4235" s="16">
        <v>1.826148648648644</v>
      </c>
      <c r="L4235" s="13">
        <v>1.97</v>
      </c>
      <c r="M4235" s="13"/>
      <c r="N4235" s="17">
        <f t="shared" si="140"/>
        <v>76.83</v>
      </c>
      <c r="O4235" s="17">
        <f t="shared" si="140"/>
        <v>0</v>
      </c>
      <c r="P4235" s="17">
        <f t="shared" si="141"/>
        <v>76.83</v>
      </c>
      <c r="Q4235" t="str">
        <f>A4235&amp;"-"&amp;B4235&amp;"-"&amp;D4235</f>
        <v>SEPTEMBER-MJ2-L10</v>
      </c>
    </row>
    <row r="4236" spans="1:17" x14ac:dyDescent="0.25">
      <c r="A4236" t="s">
        <v>399</v>
      </c>
      <c r="B4236" s="13" t="s">
        <v>26</v>
      </c>
      <c r="C4236" s="13" t="s">
        <v>226</v>
      </c>
      <c r="D4236" s="14" t="s">
        <v>301</v>
      </c>
      <c r="E4236" s="13" t="s">
        <v>61</v>
      </c>
      <c r="F4236" s="13" t="s">
        <v>1562</v>
      </c>
      <c r="G4236" s="13">
        <v>0.66</v>
      </c>
      <c r="H4236" s="15">
        <v>2262</v>
      </c>
      <c r="I4236" s="16">
        <v>1492.92</v>
      </c>
      <c r="J4236" s="16">
        <v>1377.2130940481597</v>
      </c>
      <c r="K4236" s="16">
        <v>115.7069059518401</v>
      </c>
      <c r="L4236" s="13">
        <v>1.71</v>
      </c>
      <c r="M4236" s="13"/>
      <c r="N4236" s="17">
        <f t="shared" si="140"/>
        <v>3868.02</v>
      </c>
      <c r="O4236" s="17">
        <f t="shared" si="140"/>
        <v>0</v>
      </c>
      <c r="P4236" s="17">
        <f t="shared" si="141"/>
        <v>3868.02</v>
      </c>
      <c r="Q4236" t="str">
        <f>A4236&amp;"-"&amp;B4236&amp;"-"&amp;D4236</f>
        <v>SEPTEMBER-MJ2-L10</v>
      </c>
    </row>
    <row r="4237" spans="1:17" x14ac:dyDescent="0.25">
      <c r="A4237" t="s">
        <v>399</v>
      </c>
      <c r="B4237" s="13" t="s">
        <v>26</v>
      </c>
      <c r="C4237" s="13" t="s">
        <v>226</v>
      </c>
      <c r="D4237" s="14" t="s">
        <v>301</v>
      </c>
      <c r="E4237" s="13" t="s">
        <v>61</v>
      </c>
      <c r="F4237" s="13" t="s">
        <v>1568</v>
      </c>
      <c r="G4237" s="13">
        <v>0.68</v>
      </c>
      <c r="H4237" s="15">
        <v>1781</v>
      </c>
      <c r="I4237" s="16">
        <v>1211.08</v>
      </c>
      <c r="J4237" s="16">
        <v>1027.0556635329044</v>
      </c>
      <c r="K4237" s="16">
        <v>184.02433646709551</v>
      </c>
      <c r="L4237" s="13">
        <v>1.82</v>
      </c>
      <c r="M4237" s="13"/>
      <c r="N4237" s="17">
        <f t="shared" si="140"/>
        <v>3241.42</v>
      </c>
      <c r="O4237" s="17">
        <f t="shared" si="140"/>
        <v>0</v>
      </c>
      <c r="P4237" s="17">
        <f t="shared" si="141"/>
        <v>3241.42</v>
      </c>
      <c r="Q4237" t="str">
        <f>A4237&amp;"-"&amp;B4237&amp;"-"&amp;D4237</f>
        <v>SEPTEMBER-MJ2-L10</v>
      </c>
    </row>
    <row r="4238" spans="1:17" x14ac:dyDescent="0.25">
      <c r="A4238" t="s">
        <v>399</v>
      </c>
      <c r="B4238" s="13" t="s">
        <v>26</v>
      </c>
      <c r="C4238" s="13" t="s">
        <v>226</v>
      </c>
      <c r="D4238" s="14" t="s">
        <v>301</v>
      </c>
      <c r="E4238" s="13" t="s">
        <v>61</v>
      </c>
      <c r="F4238" s="13" t="s">
        <v>1569</v>
      </c>
      <c r="G4238" s="13">
        <v>0.66</v>
      </c>
      <c r="H4238" s="15">
        <v>6235</v>
      </c>
      <c r="I4238" s="16">
        <v>4115.1000000000004</v>
      </c>
      <c r="J4238" s="16">
        <v>3903.5065482299051</v>
      </c>
      <c r="K4238" s="16">
        <v>211.59345177009516</v>
      </c>
      <c r="L4238" s="13">
        <v>1.71</v>
      </c>
      <c r="M4238" s="13"/>
      <c r="N4238" s="17">
        <f t="shared" si="140"/>
        <v>10661.85</v>
      </c>
      <c r="O4238" s="17">
        <f t="shared" si="140"/>
        <v>0</v>
      </c>
      <c r="P4238" s="17">
        <f t="shared" si="141"/>
        <v>10661.85</v>
      </c>
      <c r="Q4238" t="str">
        <f>A4238&amp;"-"&amp;B4238&amp;"-"&amp;D4238</f>
        <v>SEPTEMBER-MJ2-L10</v>
      </c>
    </row>
    <row r="4239" spans="1:17" x14ac:dyDescent="0.25">
      <c r="A4239" t="s">
        <v>399</v>
      </c>
      <c r="B4239" s="13" t="s">
        <v>26</v>
      </c>
      <c r="C4239" s="13" t="s">
        <v>226</v>
      </c>
      <c r="D4239" s="14" t="s">
        <v>301</v>
      </c>
      <c r="E4239" s="13" t="s">
        <v>61</v>
      </c>
      <c r="F4239" s="13" t="s">
        <v>1570</v>
      </c>
      <c r="G4239" s="13">
        <v>0.63</v>
      </c>
      <c r="H4239" s="15">
        <v>502</v>
      </c>
      <c r="I4239" s="16">
        <v>316.26</v>
      </c>
      <c r="J4239" s="16">
        <v>330.71869328493648</v>
      </c>
      <c r="K4239" s="16">
        <v>-14.458693284936487</v>
      </c>
      <c r="L4239" s="13">
        <v>1.85</v>
      </c>
      <c r="M4239" s="13"/>
      <c r="N4239" s="17">
        <f t="shared" si="140"/>
        <v>928.7</v>
      </c>
      <c r="O4239" s="17">
        <f t="shared" si="140"/>
        <v>0</v>
      </c>
      <c r="P4239" s="17">
        <f t="shared" si="141"/>
        <v>928.7</v>
      </c>
      <c r="Q4239" t="str">
        <f>A4239&amp;"-"&amp;B4239&amp;"-"&amp;D4239</f>
        <v>SEPTEMBER-MJ2-L10</v>
      </c>
    </row>
    <row r="4240" spans="1:17" x14ac:dyDescent="0.25">
      <c r="A4240" t="s">
        <v>399</v>
      </c>
      <c r="B4240" s="13" t="s">
        <v>26</v>
      </c>
      <c r="C4240" s="13" t="s">
        <v>226</v>
      </c>
      <c r="D4240" s="14" t="s">
        <v>301</v>
      </c>
      <c r="E4240" s="13" t="s">
        <v>61</v>
      </c>
      <c r="F4240" s="13" t="s">
        <v>1571</v>
      </c>
      <c r="G4240" s="13">
        <v>0.70000000000000007</v>
      </c>
      <c r="H4240" s="15">
        <v>5503</v>
      </c>
      <c r="I4240" s="16">
        <v>3852.1000000000004</v>
      </c>
      <c r="J4240" s="16">
        <v>3319.235277319855</v>
      </c>
      <c r="K4240" s="16">
        <v>532.86472268014529</v>
      </c>
      <c r="L4240" s="13">
        <v>1.3</v>
      </c>
      <c r="M4240" s="13"/>
      <c r="N4240" s="17">
        <f t="shared" si="140"/>
        <v>7153.9000000000005</v>
      </c>
      <c r="O4240" s="17">
        <f t="shared" si="140"/>
        <v>0</v>
      </c>
      <c r="P4240" s="17">
        <f t="shared" si="141"/>
        <v>7153.9000000000005</v>
      </c>
      <c r="Q4240" t="str">
        <f>A4240&amp;"-"&amp;B4240&amp;"-"&amp;D4240</f>
        <v>SEPTEMBER-MJ2-L10</v>
      </c>
    </row>
    <row r="4241" spans="1:17" x14ac:dyDescent="0.25">
      <c r="A4241" t="s">
        <v>399</v>
      </c>
      <c r="B4241" s="13" t="s">
        <v>26</v>
      </c>
      <c r="C4241" s="13" t="s">
        <v>226</v>
      </c>
      <c r="D4241" s="14" t="s">
        <v>301</v>
      </c>
      <c r="E4241" s="13" t="s">
        <v>61</v>
      </c>
      <c r="F4241" s="13" t="s">
        <v>1364</v>
      </c>
      <c r="G4241" s="13">
        <v>0.8</v>
      </c>
      <c r="H4241" s="15">
        <v>171</v>
      </c>
      <c r="I4241" s="16">
        <v>136.80000000000001</v>
      </c>
      <c r="J4241" s="16">
        <v>95.500889480778511</v>
      </c>
      <c r="K4241" s="16">
        <v>41.2991105192215</v>
      </c>
      <c r="L4241" s="13">
        <v>2.1</v>
      </c>
      <c r="M4241" s="13"/>
      <c r="N4241" s="17">
        <f t="shared" si="140"/>
        <v>359.1</v>
      </c>
      <c r="O4241" s="17">
        <f t="shared" si="140"/>
        <v>0</v>
      </c>
      <c r="P4241" s="17">
        <f t="shared" si="141"/>
        <v>359.1</v>
      </c>
      <c r="Q4241" t="str">
        <f>A4241&amp;"-"&amp;B4241&amp;"-"&amp;D4241</f>
        <v>SEPTEMBER-MJ2-L10</v>
      </c>
    </row>
    <row r="4242" spans="1:17" x14ac:dyDescent="0.25">
      <c r="A4242" t="s">
        <v>399</v>
      </c>
      <c r="B4242" s="13" t="s">
        <v>26</v>
      </c>
      <c r="C4242" s="13" t="s">
        <v>226</v>
      </c>
      <c r="D4242" s="14" t="s">
        <v>301</v>
      </c>
      <c r="E4242" s="13" t="s">
        <v>61</v>
      </c>
      <c r="F4242" s="13" t="s">
        <v>1365</v>
      </c>
      <c r="G4242" s="13">
        <v>0.8</v>
      </c>
      <c r="H4242" s="15">
        <v>68</v>
      </c>
      <c r="I4242" s="16">
        <v>54.4</v>
      </c>
      <c r="J4242" s="16">
        <v>44.798548094373864</v>
      </c>
      <c r="K4242" s="16">
        <v>9.6014519056261349</v>
      </c>
      <c r="L4242" s="13">
        <v>2.2599999999999998</v>
      </c>
      <c r="M4242" s="13"/>
      <c r="N4242" s="17">
        <f t="shared" si="140"/>
        <v>153.67999999999998</v>
      </c>
      <c r="O4242" s="17">
        <f t="shared" si="140"/>
        <v>0</v>
      </c>
      <c r="P4242" s="17">
        <f t="shared" si="141"/>
        <v>153.67999999999998</v>
      </c>
      <c r="Q4242" t="str">
        <f>A4242&amp;"-"&amp;B4242&amp;"-"&amp;D4242</f>
        <v>SEPTEMBER-MJ2-L10</v>
      </c>
    </row>
    <row r="4243" spans="1:17" x14ac:dyDescent="0.25">
      <c r="A4243" t="s">
        <v>399</v>
      </c>
      <c r="B4243" s="13" t="s">
        <v>26</v>
      </c>
      <c r="C4243" s="13" t="s">
        <v>226</v>
      </c>
      <c r="D4243" s="14" t="s">
        <v>301</v>
      </c>
      <c r="E4243" s="13" t="s">
        <v>61</v>
      </c>
      <c r="F4243" s="13" t="s">
        <v>1572</v>
      </c>
      <c r="G4243" s="13">
        <v>0.93</v>
      </c>
      <c r="H4243" s="15">
        <v>1726</v>
      </c>
      <c r="I4243" s="16">
        <v>1605.1799999999998</v>
      </c>
      <c r="J4243" s="16">
        <v>1170.165442676474</v>
      </c>
      <c r="K4243" s="16">
        <v>435.01455732352611</v>
      </c>
      <c r="L4243" s="13">
        <v>2.2400000000000002</v>
      </c>
      <c r="M4243" s="13"/>
      <c r="N4243" s="17">
        <f t="shared" si="140"/>
        <v>3866.2400000000002</v>
      </c>
      <c r="O4243" s="17">
        <f t="shared" si="140"/>
        <v>0</v>
      </c>
      <c r="P4243" s="17">
        <f t="shared" si="141"/>
        <v>3866.2400000000002</v>
      </c>
      <c r="Q4243" t="str">
        <f>A4243&amp;"-"&amp;B4243&amp;"-"&amp;D4243</f>
        <v>SEPTEMBER-MJ2-L10</v>
      </c>
    </row>
    <row r="4244" spans="1:17" x14ac:dyDescent="0.25">
      <c r="A4244" t="s">
        <v>399</v>
      </c>
      <c r="B4244" s="13" t="s">
        <v>26</v>
      </c>
      <c r="C4244" s="13" t="s">
        <v>226</v>
      </c>
      <c r="D4244" s="14" t="s">
        <v>301</v>
      </c>
      <c r="E4244" s="13" t="s">
        <v>61</v>
      </c>
      <c r="F4244" s="13" t="s">
        <v>1368</v>
      </c>
      <c r="G4244" s="13">
        <v>0.79</v>
      </c>
      <c r="H4244" s="15">
        <v>117</v>
      </c>
      <c r="I4244" s="16">
        <v>92.429999999999993</v>
      </c>
      <c r="J4244" s="16">
        <v>72.778819758111254</v>
      </c>
      <c r="K4244" s="16">
        <v>19.651180241888735</v>
      </c>
      <c r="L4244" s="13">
        <v>2.14</v>
      </c>
      <c r="M4244" s="13"/>
      <c r="N4244" s="17">
        <f t="shared" si="140"/>
        <v>250.38000000000002</v>
      </c>
      <c r="O4244" s="17">
        <f t="shared" si="140"/>
        <v>0</v>
      </c>
      <c r="P4244" s="17">
        <f t="shared" si="141"/>
        <v>250.38000000000002</v>
      </c>
      <c r="Q4244" t="str">
        <f>A4244&amp;"-"&amp;B4244&amp;"-"&amp;D4244</f>
        <v>SEPTEMBER-MJ2-L10</v>
      </c>
    </row>
    <row r="4245" spans="1:17" x14ac:dyDescent="0.25">
      <c r="A4245" t="s">
        <v>399</v>
      </c>
      <c r="B4245" s="13" t="s">
        <v>26</v>
      </c>
      <c r="C4245" s="13" t="s">
        <v>226</v>
      </c>
      <c r="D4245" s="14" t="s">
        <v>301</v>
      </c>
      <c r="E4245" s="13" t="s">
        <v>61</v>
      </c>
      <c r="F4245" s="13" t="s">
        <v>1370</v>
      </c>
      <c r="G4245" s="13">
        <v>0.79</v>
      </c>
      <c r="H4245" s="15">
        <v>750</v>
      </c>
      <c r="I4245" s="16">
        <v>592.49999999999989</v>
      </c>
      <c r="J4245" s="16">
        <v>455.11275354860794</v>
      </c>
      <c r="K4245" s="16">
        <v>137.38724645139206</v>
      </c>
      <c r="L4245" s="13">
        <v>2.13</v>
      </c>
      <c r="M4245" s="13"/>
      <c r="N4245" s="17">
        <f t="shared" si="140"/>
        <v>1597.5</v>
      </c>
      <c r="O4245" s="17">
        <f t="shared" si="140"/>
        <v>0</v>
      </c>
      <c r="P4245" s="17">
        <f t="shared" si="141"/>
        <v>1597.5</v>
      </c>
      <c r="Q4245" t="str">
        <f>A4245&amp;"-"&amp;B4245&amp;"-"&amp;D4245</f>
        <v>SEPTEMBER-MJ2-L10</v>
      </c>
    </row>
    <row r="4246" spans="1:17" x14ac:dyDescent="0.25">
      <c r="A4246" t="s">
        <v>399</v>
      </c>
      <c r="B4246" s="13" t="s">
        <v>26</v>
      </c>
      <c r="C4246" s="13" t="s">
        <v>226</v>
      </c>
      <c r="D4246" s="14" t="s">
        <v>301</v>
      </c>
      <c r="E4246" s="13" t="s">
        <v>61</v>
      </c>
      <c r="F4246" s="13" t="s">
        <v>1573</v>
      </c>
      <c r="G4246" s="13">
        <v>0.72</v>
      </c>
      <c r="H4246" s="15">
        <v>10</v>
      </c>
      <c r="I4246" s="16">
        <v>7.2</v>
      </c>
      <c r="J4246" s="16">
        <v>6.1317567567567561</v>
      </c>
      <c r="K4246" s="16">
        <v>1.068243243243244</v>
      </c>
      <c r="L4246" s="13">
        <v>1.34</v>
      </c>
      <c r="M4246" s="13"/>
      <c r="N4246" s="17">
        <f t="shared" si="140"/>
        <v>13.4</v>
      </c>
      <c r="O4246" s="17">
        <f t="shared" si="140"/>
        <v>0</v>
      </c>
      <c r="P4246" s="17">
        <f t="shared" si="141"/>
        <v>13.4</v>
      </c>
      <c r="Q4246" t="str">
        <f>A4246&amp;"-"&amp;B4246&amp;"-"&amp;D4246</f>
        <v>SEPTEMBER-MJ2-L10</v>
      </c>
    </row>
    <row r="4247" spans="1:17" x14ac:dyDescent="0.25">
      <c r="A4247" t="s">
        <v>399</v>
      </c>
      <c r="B4247" s="13" t="s">
        <v>26</v>
      </c>
      <c r="C4247" s="13" t="s">
        <v>226</v>
      </c>
      <c r="D4247" s="14" t="s">
        <v>301</v>
      </c>
      <c r="E4247" s="13" t="s">
        <v>61</v>
      </c>
      <c r="F4247" s="13" t="s">
        <v>1372</v>
      </c>
      <c r="G4247" s="13">
        <v>0.79</v>
      </c>
      <c r="H4247" s="15">
        <v>497</v>
      </c>
      <c r="I4247" s="16">
        <v>392.63</v>
      </c>
      <c r="J4247" s="16">
        <v>308.58382141343088</v>
      </c>
      <c r="K4247" s="16">
        <v>84.046178586569084</v>
      </c>
      <c r="L4247" s="13">
        <v>2.14</v>
      </c>
      <c r="M4247" s="13"/>
      <c r="N4247" s="17">
        <f t="shared" si="140"/>
        <v>1063.5800000000002</v>
      </c>
      <c r="O4247" s="17">
        <f t="shared" si="140"/>
        <v>0</v>
      </c>
      <c r="P4247" s="17">
        <f t="shared" si="141"/>
        <v>1063.5800000000002</v>
      </c>
      <c r="Q4247" t="str">
        <f>A4247&amp;"-"&amp;B4247&amp;"-"&amp;D4247</f>
        <v>SEPTEMBER-MJ2-L10</v>
      </c>
    </row>
    <row r="4248" spans="1:17" x14ac:dyDescent="0.25">
      <c r="A4248" t="s">
        <v>399</v>
      </c>
      <c r="B4248" s="13" t="s">
        <v>26</v>
      </c>
      <c r="C4248" s="13" t="s">
        <v>226</v>
      </c>
      <c r="D4248" s="14" t="s">
        <v>301</v>
      </c>
      <c r="E4248" s="13" t="s">
        <v>61</v>
      </c>
      <c r="F4248" s="13" t="s">
        <v>1374</v>
      </c>
      <c r="G4248" s="13">
        <v>0.79</v>
      </c>
      <c r="H4248" s="15">
        <v>1234</v>
      </c>
      <c r="I4248" s="16">
        <v>974.86000000000013</v>
      </c>
      <c r="J4248" s="16">
        <v>754.94460182145508</v>
      </c>
      <c r="K4248" s="16">
        <v>219.91539817854499</v>
      </c>
      <c r="L4248" s="13">
        <v>2.14</v>
      </c>
      <c r="M4248" s="13"/>
      <c r="N4248" s="17">
        <f t="shared" si="140"/>
        <v>2640.76</v>
      </c>
      <c r="O4248" s="17">
        <f t="shared" si="140"/>
        <v>0</v>
      </c>
      <c r="P4248" s="17">
        <f t="shared" si="141"/>
        <v>2640.76</v>
      </c>
      <c r="Q4248" t="str">
        <f>A4248&amp;"-"&amp;B4248&amp;"-"&amp;D4248</f>
        <v>SEPTEMBER-MJ2-L10</v>
      </c>
    </row>
    <row r="4249" spans="1:17" x14ac:dyDescent="0.25">
      <c r="A4249" t="s">
        <v>399</v>
      </c>
      <c r="B4249" s="13" t="s">
        <v>26</v>
      </c>
      <c r="C4249" s="13" t="s">
        <v>226</v>
      </c>
      <c r="D4249" s="14" t="s">
        <v>301</v>
      </c>
      <c r="E4249" s="13" t="s">
        <v>61</v>
      </c>
      <c r="F4249" s="13" t="s">
        <v>1574</v>
      </c>
      <c r="G4249" s="13">
        <v>0.81</v>
      </c>
      <c r="H4249" s="15">
        <v>1239</v>
      </c>
      <c r="I4249" s="16">
        <v>1003.59</v>
      </c>
      <c r="J4249" s="16">
        <v>792.69529605500202</v>
      </c>
      <c r="K4249" s="16">
        <v>210.89470394499807</v>
      </c>
      <c r="L4249" s="13">
        <v>2.21</v>
      </c>
      <c r="M4249" s="13"/>
      <c r="N4249" s="17">
        <f t="shared" si="140"/>
        <v>2738.19</v>
      </c>
      <c r="O4249" s="17">
        <f t="shared" si="140"/>
        <v>0</v>
      </c>
      <c r="P4249" s="17">
        <f t="shared" si="141"/>
        <v>2738.19</v>
      </c>
      <c r="Q4249" t="str">
        <f>A4249&amp;"-"&amp;B4249&amp;"-"&amp;D4249</f>
        <v>SEPTEMBER-MJ2-L10</v>
      </c>
    </row>
    <row r="4250" spans="1:17" x14ac:dyDescent="0.25">
      <c r="A4250" t="s">
        <v>399</v>
      </c>
      <c r="B4250" s="13" t="s">
        <v>26</v>
      </c>
      <c r="C4250" s="13" t="s">
        <v>226</v>
      </c>
      <c r="D4250" s="14" t="s">
        <v>301</v>
      </c>
      <c r="E4250" s="13" t="s">
        <v>61</v>
      </c>
      <c r="F4250" s="13" t="s">
        <v>1575</v>
      </c>
      <c r="G4250" s="13">
        <v>0.81</v>
      </c>
      <c r="H4250" s="15">
        <v>710</v>
      </c>
      <c r="I4250" s="16">
        <v>575.1</v>
      </c>
      <c r="J4250" s="16">
        <v>488.82043879907621</v>
      </c>
      <c r="K4250" s="16">
        <v>86.279561200923808</v>
      </c>
      <c r="L4250" s="13">
        <v>2.21</v>
      </c>
      <c r="M4250" s="13"/>
      <c r="N4250" s="17">
        <f t="shared" si="140"/>
        <v>1569.1</v>
      </c>
      <c r="O4250" s="17">
        <f t="shared" si="140"/>
        <v>0</v>
      </c>
      <c r="P4250" s="17">
        <f t="shared" si="141"/>
        <v>1569.1</v>
      </c>
      <c r="Q4250" t="str">
        <f>A4250&amp;"-"&amp;B4250&amp;"-"&amp;D4250</f>
        <v>SEPTEMBER-MJ2-L10</v>
      </c>
    </row>
    <row r="4251" spans="1:17" x14ac:dyDescent="0.25">
      <c r="A4251" t="s">
        <v>399</v>
      </c>
      <c r="B4251" s="13" t="s">
        <v>26</v>
      </c>
      <c r="C4251" s="13" t="s">
        <v>226</v>
      </c>
      <c r="D4251" s="14" t="s">
        <v>301</v>
      </c>
      <c r="E4251" s="13" t="s">
        <v>61</v>
      </c>
      <c r="F4251" s="13" t="s">
        <v>1576</v>
      </c>
      <c r="G4251" s="13">
        <v>0.8</v>
      </c>
      <c r="H4251" s="15">
        <v>1554</v>
      </c>
      <c r="I4251" s="16">
        <v>1243.2</v>
      </c>
      <c r="J4251" s="16">
        <v>1133.6459574468086</v>
      </c>
      <c r="K4251" s="16">
        <v>109.55404255319149</v>
      </c>
      <c r="L4251" s="13">
        <v>2.0699999999999998</v>
      </c>
      <c r="M4251" s="13"/>
      <c r="N4251" s="17">
        <f t="shared" si="140"/>
        <v>3216.7799999999997</v>
      </c>
      <c r="O4251" s="17">
        <f t="shared" si="140"/>
        <v>0</v>
      </c>
      <c r="P4251" s="17">
        <f t="shared" si="141"/>
        <v>3216.7799999999997</v>
      </c>
      <c r="Q4251" t="str">
        <f>A4251&amp;"-"&amp;B4251&amp;"-"&amp;D4251</f>
        <v>SEPTEMBER-MJ2-L10</v>
      </c>
    </row>
    <row r="4252" spans="1:17" x14ac:dyDescent="0.25">
      <c r="A4252" t="s">
        <v>399</v>
      </c>
      <c r="B4252" s="13" t="s">
        <v>26</v>
      </c>
      <c r="C4252" s="13" t="s">
        <v>226</v>
      </c>
      <c r="D4252" s="14" t="s">
        <v>301</v>
      </c>
      <c r="E4252" s="13" t="s">
        <v>61</v>
      </c>
      <c r="F4252" s="13" t="s">
        <v>1577</v>
      </c>
      <c r="G4252" s="13">
        <v>0.81</v>
      </c>
      <c r="H4252" s="15">
        <v>8</v>
      </c>
      <c r="I4252" s="16">
        <v>6.48</v>
      </c>
      <c r="J4252" s="16">
        <v>7.7440000000000007</v>
      </c>
      <c r="K4252" s="16">
        <v>-1.2640000000000002</v>
      </c>
      <c r="L4252" s="13">
        <v>2.21</v>
      </c>
      <c r="M4252" s="13"/>
      <c r="N4252" s="17">
        <f t="shared" si="140"/>
        <v>17.68</v>
      </c>
      <c r="O4252" s="17">
        <f t="shared" si="140"/>
        <v>0</v>
      </c>
      <c r="P4252" s="17">
        <f t="shared" si="141"/>
        <v>17.68</v>
      </c>
      <c r="Q4252" t="str">
        <f>A4252&amp;"-"&amp;B4252&amp;"-"&amp;D4252</f>
        <v>SEPTEMBER-MJ2-L10</v>
      </c>
    </row>
    <row r="4253" spans="1:17" x14ac:dyDescent="0.25">
      <c r="A4253" t="s">
        <v>399</v>
      </c>
      <c r="B4253" s="13" t="s">
        <v>26</v>
      </c>
      <c r="C4253" s="13" t="s">
        <v>226</v>
      </c>
      <c r="D4253" s="14" t="s">
        <v>301</v>
      </c>
      <c r="E4253" s="13" t="s">
        <v>61</v>
      </c>
      <c r="F4253" s="13" t="s">
        <v>1565</v>
      </c>
      <c r="G4253" s="13">
        <v>0.83</v>
      </c>
      <c r="H4253" s="15">
        <v>4604</v>
      </c>
      <c r="I4253" s="16">
        <v>3821.3199999999997</v>
      </c>
      <c r="J4253" s="16">
        <v>3085.0617832912235</v>
      </c>
      <c r="K4253" s="16">
        <v>736.25821670877633</v>
      </c>
      <c r="L4253" s="13">
        <v>2.13</v>
      </c>
      <c r="M4253" s="13"/>
      <c r="N4253" s="17">
        <f t="shared" si="140"/>
        <v>9806.5199999999986</v>
      </c>
      <c r="O4253" s="17">
        <f t="shared" si="140"/>
        <v>0</v>
      </c>
      <c r="P4253" s="17">
        <f t="shared" si="141"/>
        <v>9806.5199999999986</v>
      </c>
      <c r="Q4253" t="str">
        <f>A4253&amp;"-"&amp;B4253&amp;"-"&amp;D4253</f>
        <v>SEPTEMBER-MJ2-L10</v>
      </c>
    </row>
    <row r="4254" spans="1:17" x14ac:dyDescent="0.25">
      <c r="A4254" t="s">
        <v>399</v>
      </c>
      <c r="B4254" s="13" t="s">
        <v>26</v>
      </c>
      <c r="C4254" s="13" t="s">
        <v>226</v>
      </c>
      <c r="D4254" s="14" t="s">
        <v>301</v>
      </c>
      <c r="E4254" s="13" t="s">
        <v>61</v>
      </c>
      <c r="F4254" s="13" t="s">
        <v>1165</v>
      </c>
      <c r="G4254" s="13">
        <v>0.65</v>
      </c>
      <c r="H4254" s="15">
        <v>63</v>
      </c>
      <c r="I4254" s="16">
        <v>40.950000000000003</v>
      </c>
      <c r="J4254" s="16">
        <v>40.050788091068299</v>
      </c>
      <c r="K4254" s="16">
        <v>0.89921190893170433</v>
      </c>
      <c r="L4254" s="13">
        <v>1.66</v>
      </c>
      <c r="M4254" s="13"/>
      <c r="N4254" s="17">
        <f t="shared" si="140"/>
        <v>104.58</v>
      </c>
      <c r="O4254" s="17">
        <f t="shared" si="140"/>
        <v>0</v>
      </c>
      <c r="P4254" s="17">
        <f t="shared" si="141"/>
        <v>104.58</v>
      </c>
      <c r="Q4254" t="str">
        <f>A4254&amp;"-"&amp;B4254&amp;"-"&amp;D4254</f>
        <v>SEPTEMBER-MJ2-L10</v>
      </c>
    </row>
    <row r="4255" spans="1:17" x14ac:dyDescent="0.25">
      <c r="A4255" t="s">
        <v>399</v>
      </c>
      <c r="B4255" s="13" t="s">
        <v>26</v>
      </c>
      <c r="C4255" s="13" t="s">
        <v>226</v>
      </c>
      <c r="D4255" s="14" t="s">
        <v>301</v>
      </c>
      <c r="E4255" s="13" t="s">
        <v>61</v>
      </c>
      <c r="F4255" s="13" t="s">
        <v>1377</v>
      </c>
      <c r="G4255" s="13">
        <v>0.65</v>
      </c>
      <c r="H4255" s="15">
        <v>187</v>
      </c>
      <c r="I4255" s="16">
        <v>121.55</v>
      </c>
      <c r="J4255" s="16">
        <v>103.47713414634146</v>
      </c>
      <c r="K4255" s="16">
        <v>18.072865853658541</v>
      </c>
      <c r="L4255" s="13">
        <v>1.66</v>
      </c>
      <c r="M4255" s="13"/>
      <c r="N4255" s="17">
        <f t="shared" si="140"/>
        <v>310.41999999999996</v>
      </c>
      <c r="O4255" s="17">
        <f t="shared" si="140"/>
        <v>0</v>
      </c>
      <c r="P4255" s="17">
        <f t="shared" si="141"/>
        <v>310.41999999999996</v>
      </c>
      <c r="Q4255" t="str">
        <f>A4255&amp;"-"&amp;B4255&amp;"-"&amp;D4255</f>
        <v>SEPTEMBER-MJ2-L10</v>
      </c>
    </row>
    <row r="4256" spans="1:17" x14ac:dyDescent="0.25">
      <c r="A4256" t="s">
        <v>399</v>
      </c>
      <c r="B4256" s="13" t="s">
        <v>26</v>
      </c>
      <c r="C4256" s="13" t="s">
        <v>226</v>
      </c>
      <c r="D4256" s="14" t="s">
        <v>287</v>
      </c>
      <c r="E4256" s="13" t="s">
        <v>61</v>
      </c>
      <c r="F4256" s="13" t="s">
        <v>1412</v>
      </c>
      <c r="G4256" s="13">
        <v>0.68</v>
      </c>
      <c r="H4256" s="15">
        <v>1686</v>
      </c>
      <c r="I4256" s="16">
        <v>1146.48</v>
      </c>
      <c r="J4256" s="16">
        <v>1071.4070156605203</v>
      </c>
      <c r="K4256" s="16">
        <v>75.072984339479703</v>
      </c>
      <c r="L4256" s="13">
        <v>1.82</v>
      </c>
      <c r="M4256" s="13"/>
      <c r="N4256" s="17">
        <f t="shared" si="140"/>
        <v>3068.52</v>
      </c>
      <c r="O4256" s="17">
        <f t="shared" si="140"/>
        <v>0</v>
      </c>
      <c r="P4256" s="17">
        <f t="shared" si="141"/>
        <v>3068.52</v>
      </c>
      <c r="Q4256" t="str">
        <f>A4256&amp;"-"&amp;B4256&amp;"-"&amp;D4256</f>
        <v>SEPTEMBER-MJ2-L11</v>
      </c>
    </row>
    <row r="4257" spans="1:17" x14ac:dyDescent="0.25">
      <c r="A4257" t="s">
        <v>399</v>
      </c>
      <c r="B4257" s="13" t="s">
        <v>26</v>
      </c>
      <c r="C4257" s="13" t="s">
        <v>226</v>
      </c>
      <c r="D4257" s="14" t="s">
        <v>287</v>
      </c>
      <c r="E4257" s="13" t="s">
        <v>61</v>
      </c>
      <c r="F4257" s="13" t="s">
        <v>1566</v>
      </c>
      <c r="G4257" s="13">
        <v>0.68</v>
      </c>
      <c r="H4257" s="15">
        <v>3714</v>
      </c>
      <c r="I4257" s="16">
        <v>2525.52</v>
      </c>
      <c r="J4257" s="16">
        <v>2169.1756625538528</v>
      </c>
      <c r="K4257" s="16">
        <v>356.34433744614694</v>
      </c>
      <c r="L4257" s="13">
        <v>1.82</v>
      </c>
      <c r="M4257" s="13"/>
      <c r="N4257" s="17">
        <f t="shared" si="140"/>
        <v>6759.4800000000005</v>
      </c>
      <c r="O4257" s="17">
        <f t="shared" si="140"/>
        <v>0</v>
      </c>
      <c r="P4257" s="17">
        <f t="shared" si="141"/>
        <v>6759.4800000000005</v>
      </c>
      <c r="Q4257" t="str">
        <f>A4257&amp;"-"&amp;B4257&amp;"-"&amp;D4257</f>
        <v>SEPTEMBER-MJ2-L11</v>
      </c>
    </row>
    <row r="4258" spans="1:17" x14ac:dyDescent="0.25">
      <c r="A4258" t="s">
        <v>399</v>
      </c>
      <c r="B4258" s="13" t="s">
        <v>26</v>
      </c>
      <c r="C4258" s="13" t="s">
        <v>226</v>
      </c>
      <c r="D4258" s="14" t="s">
        <v>287</v>
      </c>
      <c r="E4258" s="13" t="s">
        <v>61</v>
      </c>
      <c r="F4258" s="13" t="s">
        <v>1567</v>
      </c>
      <c r="G4258" s="13">
        <v>0.66</v>
      </c>
      <c r="H4258" s="15">
        <v>39</v>
      </c>
      <c r="I4258" s="16">
        <v>25.74</v>
      </c>
      <c r="J4258" s="16">
        <v>23.913851351351354</v>
      </c>
      <c r="K4258" s="16">
        <v>1.826148648648644</v>
      </c>
      <c r="L4258" s="13">
        <v>1.97</v>
      </c>
      <c r="M4258" s="13"/>
      <c r="N4258" s="17">
        <f t="shared" si="140"/>
        <v>76.83</v>
      </c>
      <c r="O4258" s="17">
        <f t="shared" si="140"/>
        <v>0</v>
      </c>
      <c r="P4258" s="17">
        <f t="shared" si="141"/>
        <v>76.83</v>
      </c>
      <c r="Q4258" t="str">
        <f>A4258&amp;"-"&amp;B4258&amp;"-"&amp;D4258</f>
        <v>SEPTEMBER-MJ2-L11</v>
      </c>
    </row>
    <row r="4259" spans="1:17" x14ac:dyDescent="0.25">
      <c r="A4259" t="s">
        <v>399</v>
      </c>
      <c r="B4259" s="13" t="s">
        <v>26</v>
      </c>
      <c r="C4259" s="13" t="s">
        <v>226</v>
      </c>
      <c r="D4259" s="14" t="s">
        <v>287</v>
      </c>
      <c r="E4259" s="13" t="s">
        <v>61</v>
      </c>
      <c r="F4259" s="13" t="s">
        <v>1562</v>
      </c>
      <c r="G4259" s="13">
        <v>0.66</v>
      </c>
      <c r="H4259" s="15">
        <v>2263</v>
      </c>
      <c r="I4259" s="16">
        <v>1493.58</v>
      </c>
      <c r="J4259" s="16">
        <v>1377.7290345297592</v>
      </c>
      <c r="K4259" s="16">
        <v>115.85096547024084</v>
      </c>
      <c r="L4259" s="13">
        <v>1.71</v>
      </c>
      <c r="M4259" s="13"/>
      <c r="N4259" s="17">
        <f t="shared" si="140"/>
        <v>3869.73</v>
      </c>
      <c r="O4259" s="17">
        <f t="shared" si="140"/>
        <v>0</v>
      </c>
      <c r="P4259" s="17">
        <f t="shared" si="141"/>
        <v>3869.73</v>
      </c>
      <c r="Q4259" t="str">
        <f>A4259&amp;"-"&amp;B4259&amp;"-"&amp;D4259</f>
        <v>SEPTEMBER-MJ2-L11</v>
      </c>
    </row>
    <row r="4260" spans="1:17" x14ac:dyDescent="0.25">
      <c r="A4260" t="s">
        <v>399</v>
      </c>
      <c r="B4260" s="13" t="s">
        <v>26</v>
      </c>
      <c r="C4260" s="13" t="s">
        <v>226</v>
      </c>
      <c r="D4260" s="14" t="s">
        <v>287</v>
      </c>
      <c r="E4260" s="13" t="s">
        <v>61</v>
      </c>
      <c r="F4260" s="13" t="s">
        <v>1568</v>
      </c>
      <c r="G4260" s="13">
        <v>0.68</v>
      </c>
      <c r="H4260" s="15">
        <v>1781</v>
      </c>
      <c r="I4260" s="16">
        <v>1211.0800000000002</v>
      </c>
      <c r="J4260" s="16">
        <v>1027.0523086053413</v>
      </c>
      <c r="K4260" s="16">
        <v>184.02769139465886</v>
      </c>
      <c r="L4260" s="13">
        <v>1.82</v>
      </c>
      <c r="M4260" s="13"/>
      <c r="N4260" s="17">
        <f t="shared" si="140"/>
        <v>3241.42</v>
      </c>
      <c r="O4260" s="17">
        <f t="shared" si="140"/>
        <v>0</v>
      </c>
      <c r="P4260" s="17">
        <f t="shared" si="141"/>
        <v>3241.42</v>
      </c>
      <c r="Q4260" t="str">
        <f>A4260&amp;"-"&amp;B4260&amp;"-"&amp;D4260</f>
        <v>SEPTEMBER-MJ2-L11</v>
      </c>
    </row>
    <row r="4261" spans="1:17" x14ac:dyDescent="0.25">
      <c r="A4261" t="s">
        <v>399</v>
      </c>
      <c r="B4261" s="13" t="s">
        <v>26</v>
      </c>
      <c r="C4261" s="13" t="s">
        <v>226</v>
      </c>
      <c r="D4261" s="14" t="s">
        <v>287</v>
      </c>
      <c r="E4261" s="13" t="s">
        <v>61</v>
      </c>
      <c r="F4261" s="13" t="s">
        <v>1569</v>
      </c>
      <c r="G4261" s="13">
        <v>0.66</v>
      </c>
      <c r="H4261" s="15">
        <v>6235</v>
      </c>
      <c r="I4261" s="16">
        <v>4115.1000000000004</v>
      </c>
      <c r="J4261" s="16">
        <v>3903.4438427269079</v>
      </c>
      <c r="K4261" s="16">
        <v>211.65615727309267</v>
      </c>
      <c r="L4261" s="13">
        <v>1.71</v>
      </c>
      <c r="M4261" s="13"/>
      <c r="N4261" s="17">
        <f t="shared" si="140"/>
        <v>10661.85</v>
      </c>
      <c r="O4261" s="17">
        <f t="shared" si="140"/>
        <v>0</v>
      </c>
      <c r="P4261" s="17">
        <f t="shared" si="141"/>
        <v>10661.85</v>
      </c>
      <c r="Q4261" t="str">
        <f>A4261&amp;"-"&amp;B4261&amp;"-"&amp;D4261</f>
        <v>SEPTEMBER-MJ2-L11</v>
      </c>
    </row>
    <row r="4262" spans="1:17" x14ac:dyDescent="0.25">
      <c r="A4262" t="s">
        <v>399</v>
      </c>
      <c r="B4262" s="13" t="s">
        <v>26</v>
      </c>
      <c r="C4262" s="13" t="s">
        <v>226</v>
      </c>
      <c r="D4262" s="14" t="s">
        <v>287</v>
      </c>
      <c r="E4262" s="13" t="s">
        <v>61</v>
      </c>
      <c r="F4262" s="13" t="s">
        <v>1570</v>
      </c>
      <c r="G4262" s="13">
        <v>0.63</v>
      </c>
      <c r="H4262" s="15">
        <v>503</v>
      </c>
      <c r="I4262" s="16">
        <v>316.89</v>
      </c>
      <c r="J4262" s="16">
        <v>331.57808716707024</v>
      </c>
      <c r="K4262" s="16">
        <v>-14.68808716707025</v>
      </c>
      <c r="L4262" s="13">
        <v>1.85</v>
      </c>
      <c r="M4262" s="13"/>
      <c r="N4262" s="17">
        <f t="shared" si="140"/>
        <v>930.55000000000007</v>
      </c>
      <c r="O4262" s="17">
        <f t="shared" si="140"/>
        <v>0</v>
      </c>
      <c r="P4262" s="17">
        <f t="shared" si="141"/>
        <v>930.55000000000007</v>
      </c>
      <c r="Q4262" t="str">
        <f>A4262&amp;"-"&amp;B4262&amp;"-"&amp;D4262</f>
        <v>SEPTEMBER-MJ2-L11</v>
      </c>
    </row>
    <row r="4263" spans="1:17" x14ac:dyDescent="0.25">
      <c r="A4263" t="s">
        <v>399</v>
      </c>
      <c r="B4263" s="13" t="s">
        <v>26</v>
      </c>
      <c r="C4263" s="13" t="s">
        <v>226</v>
      </c>
      <c r="D4263" s="14" t="s">
        <v>287</v>
      </c>
      <c r="E4263" s="13" t="s">
        <v>61</v>
      </c>
      <c r="F4263" s="13" t="s">
        <v>1571</v>
      </c>
      <c r="G4263" s="13">
        <v>0.70000000000000007</v>
      </c>
      <c r="H4263" s="15">
        <v>5505</v>
      </c>
      <c r="I4263" s="16">
        <v>3853.5</v>
      </c>
      <c r="J4263" s="16">
        <v>3319.9085678086149</v>
      </c>
      <c r="K4263" s="16">
        <v>533.59143219138446</v>
      </c>
      <c r="L4263" s="13">
        <v>1.3</v>
      </c>
      <c r="M4263" s="13"/>
      <c r="N4263" s="17">
        <f t="shared" si="140"/>
        <v>7156.5</v>
      </c>
      <c r="O4263" s="17">
        <f t="shared" si="140"/>
        <v>0</v>
      </c>
      <c r="P4263" s="17">
        <f t="shared" si="141"/>
        <v>7156.5</v>
      </c>
      <c r="Q4263" t="str">
        <f>A4263&amp;"-"&amp;B4263&amp;"-"&amp;D4263</f>
        <v>SEPTEMBER-MJ2-L11</v>
      </c>
    </row>
    <row r="4264" spans="1:17" x14ac:dyDescent="0.25">
      <c r="A4264" t="s">
        <v>399</v>
      </c>
      <c r="B4264" s="13" t="s">
        <v>26</v>
      </c>
      <c r="C4264" s="13" t="s">
        <v>226</v>
      </c>
      <c r="D4264" s="14" t="s">
        <v>287</v>
      </c>
      <c r="E4264" s="13" t="s">
        <v>61</v>
      </c>
      <c r="F4264" s="13" t="s">
        <v>1364</v>
      </c>
      <c r="G4264" s="13">
        <v>0.8</v>
      </c>
      <c r="H4264" s="15">
        <v>170</v>
      </c>
      <c r="I4264" s="16">
        <v>136</v>
      </c>
      <c r="J4264" s="16">
        <v>94.814746624898532</v>
      </c>
      <c r="K4264" s="16">
        <v>41.185253375101482</v>
      </c>
      <c r="L4264" s="13">
        <v>2.1</v>
      </c>
      <c r="M4264" s="13"/>
      <c r="N4264" s="17">
        <f t="shared" si="140"/>
        <v>357</v>
      </c>
      <c r="O4264" s="17">
        <f t="shared" si="140"/>
        <v>0</v>
      </c>
      <c r="P4264" s="17">
        <f t="shared" si="141"/>
        <v>357</v>
      </c>
      <c r="Q4264" t="str">
        <f>A4264&amp;"-"&amp;B4264&amp;"-"&amp;D4264</f>
        <v>SEPTEMBER-MJ2-L11</v>
      </c>
    </row>
    <row r="4265" spans="1:17" x14ac:dyDescent="0.25">
      <c r="A4265" t="s">
        <v>399</v>
      </c>
      <c r="B4265" s="13" t="s">
        <v>26</v>
      </c>
      <c r="C4265" s="13" t="s">
        <v>226</v>
      </c>
      <c r="D4265" s="14" t="s">
        <v>287</v>
      </c>
      <c r="E4265" s="13" t="s">
        <v>61</v>
      </c>
      <c r="F4265" s="13" t="s">
        <v>1365</v>
      </c>
      <c r="G4265" s="13">
        <v>0.8</v>
      </c>
      <c r="H4265" s="15">
        <v>67</v>
      </c>
      <c r="I4265" s="16">
        <v>53.6</v>
      </c>
      <c r="J4265" s="16">
        <v>44.166464891041166</v>
      </c>
      <c r="K4265" s="16">
        <v>9.4335351089588357</v>
      </c>
      <c r="L4265" s="13">
        <v>2.2599999999999998</v>
      </c>
      <c r="M4265" s="13"/>
      <c r="N4265" s="17">
        <f t="shared" si="140"/>
        <v>151.41999999999999</v>
      </c>
      <c r="O4265" s="17">
        <f t="shared" si="140"/>
        <v>0</v>
      </c>
      <c r="P4265" s="17">
        <f t="shared" si="141"/>
        <v>151.41999999999999</v>
      </c>
      <c r="Q4265" t="str">
        <f>A4265&amp;"-"&amp;B4265&amp;"-"&amp;D4265</f>
        <v>SEPTEMBER-MJ2-L11</v>
      </c>
    </row>
    <row r="4266" spans="1:17" x14ac:dyDescent="0.25">
      <c r="A4266" t="s">
        <v>399</v>
      </c>
      <c r="B4266" s="13" t="s">
        <v>26</v>
      </c>
      <c r="C4266" s="13" t="s">
        <v>226</v>
      </c>
      <c r="D4266" s="14" t="s">
        <v>287</v>
      </c>
      <c r="E4266" s="13" t="s">
        <v>61</v>
      </c>
      <c r="F4266" s="13" t="s">
        <v>1572</v>
      </c>
      <c r="G4266" s="13">
        <v>0.93</v>
      </c>
      <c r="H4266" s="15">
        <v>1724</v>
      </c>
      <c r="I4266" s="16">
        <v>1603.32</v>
      </c>
      <c r="J4266" s="16">
        <v>1168.8345621300634</v>
      </c>
      <c r="K4266" s="16">
        <v>434.48543786993662</v>
      </c>
      <c r="L4266" s="13">
        <v>2.2400000000000002</v>
      </c>
      <c r="M4266" s="13"/>
      <c r="N4266" s="17">
        <f t="shared" si="140"/>
        <v>3861.76</v>
      </c>
      <c r="O4266" s="17">
        <f t="shared" si="140"/>
        <v>0</v>
      </c>
      <c r="P4266" s="17">
        <f t="shared" si="141"/>
        <v>3861.76</v>
      </c>
      <c r="Q4266" t="str">
        <f>A4266&amp;"-"&amp;B4266&amp;"-"&amp;D4266</f>
        <v>SEPTEMBER-MJ2-L11</v>
      </c>
    </row>
    <row r="4267" spans="1:17" x14ac:dyDescent="0.25">
      <c r="A4267" t="s">
        <v>399</v>
      </c>
      <c r="B4267" s="13" t="s">
        <v>26</v>
      </c>
      <c r="C4267" s="13" t="s">
        <v>226</v>
      </c>
      <c r="D4267" s="14" t="s">
        <v>287</v>
      </c>
      <c r="E4267" s="13" t="s">
        <v>61</v>
      </c>
      <c r="F4267" s="13" t="s">
        <v>1368</v>
      </c>
      <c r="G4267" s="13">
        <v>0.79</v>
      </c>
      <c r="H4267" s="15">
        <v>116</v>
      </c>
      <c r="I4267" s="16">
        <v>91.64</v>
      </c>
      <c r="J4267" s="16">
        <v>72.074341513078892</v>
      </c>
      <c r="K4267" s="16">
        <v>19.565658486921116</v>
      </c>
      <c r="L4267" s="13">
        <v>2.14</v>
      </c>
      <c r="M4267" s="13"/>
      <c r="N4267" s="17">
        <f t="shared" si="140"/>
        <v>248.24</v>
      </c>
      <c r="O4267" s="17">
        <f t="shared" si="140"/>
        <v>0</v>
      </c>
      <c r="P4267" s="17">
        <f t="shared" si="141"/>
        <v>248.24</v>
      </c>
      <c r="Q4267" t="str">
        <f>A4267&amp;"-"&amp;B4267&amp;"-"&amp;D4267</f>
        <v>SEPTEMBER-MJ2-L11</v>
      </c>
    </row>
    <row r="4268" spans="1:17" x14ac:dyDescent="0.25">
      <c r="A4268" t="s">
        <v>399</v>
      </c>
      <c r="B4268" s="13" t="s">
        <v>26</v>
      </c>
      <c r="C4268" s="13" t="s">
        <v>226</v>
      </c>
      <c r="D4268" s="14" t="s">
        <v>287</v>
      </c>
      <c r="E4268" s="13" t="s">
        <v>61</v>
      </c>
      <c r="F4268" s="13" t="s">
        <v>1370</v>
      </c>
      <c r="G4268" s="13">
        <v>0.79</v>
      </c>
      <c r="H4268" s="15">
        <v>751</v>
      </c>
      <c r="I4268" s="16">
        <v>593.29</v>
      </c>
      <c r="J4268" s="16">
        <v>455.68401769786379</v>
      </c>
      <c r="K4268" s="16">
        <v>137.60598230213617</v>
      </c>
      <c r="L4268" s="13">
        <v>2.13</v>
      </c>
      <c r="M4268" s="13"/>
      <c r="N4268" s="17">
        <f t="shared" si="140"/>
        <v>1599.6299999999999</v>
      </c>
      <c r="O4268" s="17">
        <f t="shared" si="140"/>
        <v>0</v>
      </c>
      <c r="P4268" s="17">
        <f t="shared" si="141"/>
        <v>1599.6299999999999</v>
      </c>
      <c r="Q4268" t="str">
        <f>A4268&amp;"-"&amp;B4268&amp;"-"&amp;D4268</f>
        <v>SEPTEMBER-MJ2-L11</v>
      </c>
    </row>
    <row r="4269" spans="1:17" x14ac:dyDescent="0.25">
      <c r="A4269" t="s">
        <v>399</v>
      </c>
      <c r="B4269" s="13" t="s">
        <v>26</v>
      </c>
      <c r="C4269" s="13" t="s">
        <v>226</v>
      </c>
      <c r="D4269" s="14" t="s">
        <v>287</v>
      </c>
      <c r="E4269" s="13" t="s">
        <v>61</v>
      </c>
      <c r="F4269" s="13" t="s">
        <v>1573</v>
      </c>
      <c r="G4269" s="13">
        <v>0.72</v>
      </c>
      <c r="H4269" s="15">
        <v>10</v>
      </c>
      <c r="I4269" s="16">
        <v>7.2</v>
      </c>
      <c r="J4269" s="16">
        <v>6.1317567567567561</v>
      </c>
      <c r="K4269" s="16">
        <v>1.068243243243244</v>
      </c>
      <c r="L4269" s="13">
        <v>1.34</v>
      </c>
      <c r="M4269" s="13"/>
      <c r="N4269" s="17">
        <f t="shared" si="140"/>
        <v>13.4</v>
      </c>
      <c r="O4269" s="17">
        <f t="shared" si="140"/>
        <v>0</v>
      </c>
      <c r="P4269" s="17">
        <f t="shared" si="141"/>
        <v>13.4</v>
      </c>
      <c r="Q4269" t="str">
        <f>A4269&amp;"-"&amp;B4269&amp;"-"&amp;D4269</f>
        <v>SEPTEMBER-MJ2-L11</v>
      </c>
    </row>
    <row r="4270" spans="1:17" x14ac:dyDescent="0.25">
      <c r="A4270" t="s">
        <v>399</v>
      </c>
      <c r="B4270" s="13" t="s">
        <v>26</v>
      </c>
      <c r="C4270" s="13" t="s">
        <v>226</v>
      </c>
      <c r="D4270" s="14" t="s">
        <v>287</v>
      </c>
      <c r="E4270" s="13" t="s">
        <v>61</v>
      </c>
      <c r="F4270" s="13" t="s">
        <v>1372</v>
      </c>
      <c r="G4270" s="13">
        <v>0.79</v>
      </c>
      <c r="H4270" s="15">
        <v>498</v>
      </c>
      <c r="I4270" s="16">
        <v>393.41999999999996</v>
      </c>
      <c r="J4270" s="16">
        <v>309.35008496618605</v>
      </c>
      <c r="K4270" s="16">
        <v>84.069915033813913</v>
      </c>
      <c r="L4270" s="13">
        <v>2.14</v>
      </c>
      <c r="M4270" s="13"/>
      <c r="N4270" s="17">
        <f t="shared" si="140"/>
        <v>1065.72</v>
      </c>
      <c r="O4270" s="17">
        <f t="shared" si="140"/>
        <v>0</v>
      </c>
      <c r="P4270" s="17">
        <f t="shared" si="141"/>
        <v>1065.72</v>
      </c>
      <c r="Q4270" t="str">
        <f>A4270&amp;"-"&amp;B4270&amp;"-"&amp;D4270</f>
        <v>SEPTEMBER-MJ2-L11</v>
      </c>
    </row>
    <row r="4271" spans="1:17" x14ac:dyDescent="0.25">
      <c r="A4271" t="s">
        <v>399</v>
      </c>
      <c r="B4271" s="13" t="s">
        <v>26</v>
      </c>
      <c r="C4271" s="13" t="s">
        <v>226</v>
      </c>
      <c r="D4271" s="14" t="s">
        <v>287</v>
      </c>
      <c r="E4271" s="13" t="s">
        <v>61</v>
      </c>
      <c r="F4271" s="13" t="s">
        <v>1374</v>
      </c>
      <c r="G4271" s="13">
        <v>0.79</v>
      </c>
      <c r="H4271" s="15">
        <v>1230</v>
      </c>
      <c r="I4271" s="16">
        <v>971.69999999999993</v>
      </c>
      <c r="J4271" s="16">
        <v>752.5746337604362</v>
      </c>
      <c r="K4271" s="16">
        <v>219.12536623956373</v>
      </c>
      <c r="L4271" s="13">
        <v>2.14</v>
      </c>
      <c r="M4271" s="13"/>
      <c r="N4271" s="17">
        <f t="shared" si="140"/>
        <v>2632.2000000000003</v>
      </c>
      <c r="O4271" s="17">
        <f t="shared" si="140"/>
        <v>0</v>
      </c>
      <c r="P4271" s="17">
        <f t="shared" si="141"/>
        <v>2632.2000000000003</v>
      </c>
      <c r="Q4271" t="str">
        <f>A4271&amp;"-"&amp;B4271&amp;"-"&amp;D4271</f>
        <v>SEPTEMBER-MJ2-L11</v>
      </c>
    </row>
    <row r="4272" spans="1:17" x14ac:dyDescent="0.25">
      <c r="A4272" t="s">
        <v>399</v>
      </c>
      <c r="B4272" s="13" t="s">
        <v>26</v>
      </c>
      <c r="C4272" s="13" t="s">
        <v>226</v>
      </c>
      <c r="D4272" s="14" t="s">
        <v>287</v>
      </c>
      <c r="E4272" s="13" t="s">
        <v>61</v>
      </c>
      <c r="F4272" s="13" t="s">
        <v>1574</v>
      </c>
      <c r="G4272" s="13">
        <v>0.81</v>
      </c>
      <c r="H4272" s="15">
        <v>1241</v>
      </c>
      <c r="I4272" s="16">
        <v>1005.2099999999999</v>
      </c>
      <c r="J4272" s="16">
        <v>794.29204894183806</v>
      </c>
      <c r="K4272" s="16">
        <v>210.91795105816206</v>
      </c>
      <c r="L4272" s="13">
        <v>2.21</v>
      </c>
      <c r="M4272" s="13"/>
      <c r="N4272" s="17">
        <f t="shared" si="140"/>
        <v>2742.61</v>
      </c>
      <c r="O4272" s="17">
        <f t="shared" si="140"/>
        <v>0</v>
      </c>
      <c r="P4272" s="17">
        <f t="shared" si="141"/>
        <v>2742.61</v>
      </c>
      <c r="Q4272" t="str">
        <f>A4272&amp;"-"&amp;B4272&amp;"-"&amp;D4272</f>
        <v>SEPTEMBER-MJ2-L11</v>
      </c>
    </row>
    <row r="4273" spans="1:17" x14ac:dyDescent="0.25">
      <c r="A4273" t="s">
        <v>399</v>
      </c>
      <c r="B4273" s="13" t="s">
        <v>26</v>
      </c>
      <c r="C4273" s="13" t="s">
        <v>226</v>
      </c>
      <c r="D4273" s="14" t="s">
        <v>287</v>
      </c>
      <c r="E4273" s="13" t="s">
        <v>61</v>
      </c>
      <c r="F4273" s="13" t="s">
        <v>1575</v>
      </c>
      <c r="G4273" s="13">
        <v>0.81</v>
      </c>
      <c r="H4273" s="15">
        <v>710</v>
      </c>
      <c r="I4273" s="16">
        <v>575.1</v>
      </c>
      <c r="J4273" s="16">
        <v>488.82043879907621</v>
      </c>
      <c r="K4273" s="16">
        <v>86.279561200923808</v>
      </c>
      <c r="L4273" s="13">
        <v>2.21</v>
      </c>
      <c r="M4273" s="13"/>
      <c r="N4273" s="17">
        <f t="shared" si="140"/>
        <v>1569.1</v>
      </c>
      <c r="O4273" s="17">
        <f t="shared" si="140"/>
        <v>0</v>
      </c>
      <c r="P4273" s="17">
        <f t="shared" si="141"/>
        <v>1569.1</v>
      </c>
      <c r="Q4273" t="str">
        <f>A4273&amp;"-"&amp;B4273&amp;"-"&amp;D4273</f>
        <v>SEPTEMBER-MJ2-L11</v>
      </c>
    </row>
    <row r="4274" spans="1:17" x14ac:dyDescent="0.25">
      <c r="A4274" t="s">
        <v>399</v>
      </c>
      <c r="B4274" s="13" t="s">
        <v>26</v>
      </c>
      <c r="C4274" s="13" t="s">
        <v>226</v>
      </c>
      <c r="D4274" s="14" t="s">
        <v>287</v>
      </c>
      <c r="E4274" s="13" t="s">
        <v>61</v>
      </c>
      <c r="F4274" s="13" t="s">
        <v>1576</v>
      </c>
      <c r="G4274" s="13">
        <v>0.8</v>
      </c>
      <c r="H4274" s="15">
        <v>1555</v>
      </c>
      <c r="I4274" s="16">
        <v>1244</v>
      </c>
      <c r="J4274" s="16">
        <v>1134.348085106383</v>
      </c>
      <c r="K4274" s="16">
        <v>109.651914893617</v>
      </c>
      <c r="L4274" s="13">
        <v>2.0699999999999998</v>
      </c>
      <c r="M4274" s="13"/>
      <c r="N4274" s="17">
        <f t="shared" si="140"/>
        <v>3218.85</v>
      </c>
      <c r="O4274" s="17">
        <f t="shared" si="140"/>
        <v>0</v>
      </c>
      <c r="P4274" s="17">
        <f t="shared" si="141"/>
        <v>3218.85</v>
      </c>
      <c r="Q4274" t="str">
        <f>A4274&amp;"-"&amp;B4274&amp;"-"&amp;D4274</f>
        <v>SEPTEMBER-MJ2-L11</v>
      </c>
    </row>
    <row r="4275" spans="1:17" x14ac:dyDescent="0.25">
      <c r="A4275" t="s">
        <v>399</v>
      </c>
      <c r="B4275" s="13" t="s">
        <v>26</v>
      </c>
      <c r="C4275" s="13" t="s">
        <v>226</v>
      </c>
      <c r="D4275" s="14" t="s">
        <v>287</v>
      </c>
      <c r="E4275" s="13" t="s">
        <v>61</v>
      </c>
      <c r="F4275" s="13" t="s">
        <v>1577</v>
      </c>
      <c r="G4275" s="13">
        <v>0.81</v>
      </c>
      <c r="H4275" s="15">
        <v>7</v>
      </c>
      <c r="I4275" s="16">
        <v>5.67</v>
      </c>
      <c r="J4275" s="16">
        <v>6.7759999999999998</v>
      </c>
      <c r="K4275" s="16">
        <v>-1.1059999999999999</v>
      </c>
      <c r="L4275" s="13">
        <v>2.21</v>
      </c>
      <c r="M4275" s="13"/>
      <c r="N4275" s="17">
        <f t="shared" si="140"/>
        <v>15.469999999999999</v>
      </c>
      <c r="O4275" s="17">
        <f t="shared" si="140"/>
        <v>0</v>
      </c>
      <c r="P4275" s="17">
        <f t="shared" si="141"/>
        <v>15.469999999999999</v>
      </c>
      <c r="Q4275" t="str">
        <f>A4275&amp;"-"&amp;B4275&amp;"-"&amp;D4275</f>
        <v>SEPTEMBER-MJ2-L11</v>
      </c>
    </row>
    <row r="4276" spans="1:17" x14ac:dyDescent="0.25">
      <c r="A4276" t="s">
        <v>399</v>
      </c>
      <c r="B4276" s="13" t="s">
        <v>26</v>
      </c>
      <c r="C4276" s="13" t="s">
        <v>226</v>
      </c>
      <c r="D4276" s="14" t="s">
        <v>287</v>
      </c>
      <c r="E4276" s="13" t="s">
        <v>61</v>
      </c>
      <c r="F4276" s="13" t="s">
        <v>1565</v>
      </c>
      <c r="G4276" s="13">
        <v>0.83</v>
      </c>
      <c r="H4276" s="15">
        <v>4604</v>
      </c>
      <c r="I4276" s="16">
        <v>3821.3199999999997</v>
      </c>
      <c r="J4276" s="16">
        <v>3085.0617832912235</v>
      </c>
      <c r="K4276" s="16">
        <v>736.25821670877633</v>
      </c>
      <c r="L4276" s="13">
        <v>2.13</v>
      </c>
      <c r="M4276" s="13"/>
      <c r="N4276" s="17">
        <f t="shared" si="140"/>
        <v>9806.5199999999986</v>
      </c>
      <c r="O4276" s="17">
        <f t="shared" si="140"/>
        <v>0</v>
      </c>
      <c r="P4276" s="17">
        <f t="shared" si="141"/>
        <v>9806.5199999999986</v>
      </c>
      <c r="Q4276" t="str">
        <f>A4276&amp;"-"&amp;B4276&amp;"-"&amp;D4276</f>
        <v>SEPTEMBER-MJ2-L11</v>
      </c>
    </row>
    <row r="4277" spans="1:17" x14ac:dyDescent="0.25">
      <c r="A4277" t="s">
        <v>399</v>
      </c>
      <c r="B4277" s="13" t="s">
        <v>26</v>
      </c>
      <c r="C4277" s="13" t="s">
        <v>226</v>
      </c>
      <c r="D4277" s="14" t="s">
        <v>287</v>
      </c>
      <c r="E4277" s="13" t="s">
        <v>61</v>
      </c>
      <c r="F4277" s="13" t="s">
        <v>1165</v>
      </c>
      <c r="G4277" s="13">
        <v>0.65</v>
      </c>
      <c r="H4277" s="15">
        <v>62</v>
      </c>
      <c r="I4277" s="16">
        <v>40.299999999999997</v>
      </c>
      <c r="J4277" s="16">
        <v>39.438084112149532</v>
      </c>
      <c r="K4277" s="16">
        <v>0.86191588785046491</v>
      </c>
      <c r="L4277" s="13">
        <v>1.66</v>
      </c>
      <c r="M4277" s="13"/>
      <c r="N4277" s="17">
        <f t="shared" si="140"/>
        <v>102.92</v>
      </c>
      <c r="O4277" s="17">
        <f t="shared" si="140"/>
        <v>0</v>
      </c>
      <c r="P4277" s="17">
        <f t="shared" si="141"/>
        <v>102.92</v>
      </c>
      <c r="Q4277" t="str">
        <f>A4277&amp;"-"&amp;B4277&amp;"-"&amp;D4277</f>
        <v>SEPTEMBER-MJ2-L11</v>
      </c>
    </row>
    <row r="4278" spans="1:17" x14ac:dyDescent="0.25">
      <c r="A4278" t="s">
        <v>399</v>
      </c>
      <c r="B4278" s="13" t="s">
        <v>26</v>
      </c>
      <c r="C4278" s="13" t="s">
        <v>226</v>
      </c>
      <c r="D4278" s="14" t="s">
        <v>287</v>
      </c>
      <c r="E4278" s="13" t="s">
        <v>61</v>
      </c>
      <c r="F4278" s="13" t="s">
        <v>1377</v>
      </c>
      <c r="G4278" s="13">
        <v>0.65</v>
      </c>
      <c r="H4278" s="15">
        <v>187</v>
      </c>
      <c r="I4278" s="16">
        <v>121.55</v>
      </c>
      <c r="J4278" s="16">
        <v>103.42458100558659</v>
      </c>
      <c r="K4278" s="16">
        <v>18.125418994413408</v>
      </c>
      <c r="L4278" s="13">
        <v>1.66</v>
      </c>
      <c r="M4278" s="13"/>
      <c r="N4278" s="17">
        <f t="shared" si="140"/>
        <v>310.41999999999996</v>
      </c>
      <c r="O4278" s="17">
        <f t="shared" si="140"/>
        <v>0</v>
      </c>
      <c r="P4278" s="17">
        <f t="shared" si="141"/>
        <v>310.41999999999996</v>
      </c>
      <c r="Q4278" t="str">
        <f>A4278&amp;"-"&amp;B4278&amp;"-"&amp;D4278</f>
        <v>SEPTEMBER-MJ2-L11</v>
      </c>
    </row>
    <row r="4279" spans="1:17" x14ac:dyDescent="0.25">
      <c r="A4279" t="s">
        <v>399</v>
      </c>
      <c r="B4279" s="13" t="s">
        <v>26</v>
      </c>
      <c r="C4279" s="13" t="s">
        <v>226</v>
      </c>
      <c r="D4279" s="14" t="s">
        <v>310</v>
      </c>
      <c r="E4279" s="13" t="s">
        <v>61</v>
      </c>
      <c r="F4279" s="13" t="s">
        <v>1412</v>
      </c>
      <c r="G4279" s="13">
        <v>0.67999999999999983</v>
      </c>
      <c r="H4279" s="15">
        <v>11911</v>
      </c>
      <c r="I4279" s="16">
        <v>8099.4800000000005</v>
      </c>
      <c r="J4279" s="16">
        <v>5787.2312296021682</v>
      </c>
      <c r="K4279" s="16">
        <v>2312.2487703978318</v>
      </c>
      <c r="L4279" s="13">
        <v>1.82</v>
      </c>
      <c r="M4279" s="13"/>
      <c r="N4279" s="17">
        <f t="shared" si="140"/>
        <v>21678.02</v>
      </c>
      <c r="O4279" s="17">
        <f t="shared" si="140"/>
        <v>0</v>
      </c>
      <c r="P4279" s="17">
        <f t="shared" si="141"/>
        <v>21678.02</v>
      </c>
      <c r="Q4279" t="str">
        <f>A4279&amp;"-"&amp;B4279&amp;"-"&amp;D4279</f>
        <v>SEPTEMBER-MJ2-L12</v>
      </c>
    </row>
    <row r="4280" spans="1:17" x14ac:dyDescent="0.25">
      <c r="A4280" t="s">
        <v>399</v>
      </c>
      <c r="B4280" s="13" t="s">
        <v>26</v>
      </c>
      <c r="C4280" s="13" t="s">
        <v>226</v>
      </c>
      <c r="D4280" s="14" t="s">
        <v>310</v>
      </c>
      <c r="E4280" s="13" t="s">
        <v>61</v>
      </c>
      <c r="F4280" s="13" t="s">
        <v>1567</v>
      </c>
      <c r="G4280" s="13">
        <v>0.66</v>
      </c>
      <c r="H4280" s="15">
        <v>469</v>
      </c>
      <c r="I4280" s="16">
        <v>309.54000000000002</v>
      </c>
      <c r="J4280" s="16">
        <v>319.32174204196752</v>
      </c>
      <c r="K4280" s="16">
        <v>-9.781742041967572</v>
      </c>
      <c r="L4280" s="13">
        <v>1.97</v>
      </c>
      <c r="M4280" s="13"/>
      <c r="N4280" s="17">
        <f t="shared" si="140"/>
        <v>923.93</v>
      </c>
      <c r="O4280" s="17">
        <f t="shared" si="140"/>
        <v>0</v>
      </c>
      <c r="P4280" s="17">
        <f t="shared" si="141"/>
        <v>923.93</v>
      </c>
      <c r="Q4280" t="str">
        <f>A4280&amp;"-"&amp;B4280&amp;"-"&amp;D4280</f>
        <v>SEPTEMBER-MJ2-L12</v>
      </c>
    </row>
    <row r="4281" spans="1:17" x14ac:dyDescent="0.25">
      <c r="A4281" t="s">
        <v>399</v>
      </c>
      <c r="B4281" s="13" t="s">
        <v>26</v>
      </c>
      <c r="C4281" s="13" t="s">
        <v>226</v>
      </c>
      <c r="D4281" s="14" t="s">
        <v>310</v>
      </c>
      <c r="E4281" s="13" t="s">
        <v>61</v>
      </c>
      <c r="F4281" s="13" t="s">
        <v>1379</v>
      </c>
      <c r="G4281" s="13">
        <v>0.78</v>
      </c>
      <c r="H4281" s="15">
        <v>98</v>
      </c>
      <c r="I4281" s="16">
        <v>76.44</v>
      </c>
      <c r="J4281" s="16">
        <v>68.082484472049686</v>
      </c>
      <c r="K4281" s="16">
        <v>8.3575155279503051</v>
      </c>
      <c r="L4281" s="13">
        <v>2</v>
      </c>
      <c r="M4281" s="13"/>
      <c r="N4281" s="17">
        <f t="shared" si="140"/>
        <v>196</v>
      </c>
      <c r="O4281" s="17">
        <f t="shared" si="140"/>
        <v>0</v>
      </c>
      <c r="P4281" s="17">
        <f t="shared" si="141"/>
        <v>196</v>
      </c>
      <c r="Q4281" t="str">
        <f>A4281&amp;"-"&amp;B4281&amp;"-"&amp;D4281</f>
        <v>SEPTEMBER-MJ2-L12</v>
      </c>
    </row>
    <row r="4282" spans="1:17" x14ac:dyDescent="0.25">
      <c r="A4282" t="s">
        <v>399</v>
      </c>
      <c r="B4282" s="13" t="s">
        <v>26</v>
      </c>
      <c r="C4282" s="13" t="s">
        <v>226</v>
      </c>
      <c r="D4282" s="14" t="s">
        <v>310</v>
      </c>
      <c r="E4282" s="13" t="s">
        <v>61</v>
      </c>
      <c r="F4282" s="13" t="s">
        <v>1380</v>
      </c>
      <c r="G4282" s="13">
        <v>0.78</v>
      </c>
      <c r="H4282" s="15">
        <v>175</v>
      </c>
      <c r="I4282" s="16">
        <v>136.5</v>
      </c>
      <c r="J4282" s="16">
        <v>104.2014979269577</v>
      </c>
      <c r="K4282" s="16">
        <v>32.2985020730423</v>
      </c>
      <c r="L4282" s="13">
        <v>2</v>
      </c>
      <c r="M4282" s="13"/>
      <c r="N4282" s="17">
        <f t="shared" si="140"/>
        <v>350</v>
      </c>
      <c r="O4282" s="17">
        <f t="shared" si="140"/>
        <v>0</v>
      </c>
      <c r="P4282" s="17">
        <f t="shared" si="141"/>
        <v>350</v>
      </c>
      <c r="Q4282" t="str">
        <f>A4282&amp;"-"&amp;B4282&amp;"-"&amp;D4282</f>
        <v>SEPTEMBER-MJ2-L12</v>
      </c>
    </row>
    <row r="4283" spans="1:17" x14ac:dyDescent="0.25">
      <c r="A4283" t="s">
        <v>399</v>
      </c>
      <c r="B4283" s="13" t="s">
        <v>26</v>
      </c>
      <c r="C4283" s="13" t="s">
        <v>226</v>
      </c>
      <c r="D4283" s="14" t="s">
        <v>310</v>
      </c>
      <c r="E4283" s="13" t="s">
        <v>61</v>
      </c>
      <c r="F4283" s="13" t="s">
        <v>1381</v>
      </c>
      <c r="G4283" s="13">
        <v>0.78</v>
      </c>
      <c r="H4283" s="15">
        <v>231</v>
      </c>
      <c r="I4283" s="16">
        <v>180.18</v>
      </c>
      <c r="J4283" s="16">
        <v>171.19218711896195</v>
      </c>
      <c r="K4283" s="16">
        <v>8.9878128810380566</v>
      </c>
      <c r="L4283" s="13">
        <v>2</v>
      </c>
      <c r="M4283" s="13"/>
      <c r="N4283" s="17">
        <f t="shared" si="140"/>
        <v>462</v>
      </c>
      <c r="O4283" s="17">
        <f t="shared" si="140"/>
        <v>0</v>
      </c>
      <c r="P4283" s="17">
        <f t="shared" si="141"/>
        <v>462</v>
      </c>
      <c r="Q4283" t="str">
        <f>A4283&amp;"-"&amp;B4283&amp;"-"&amp;D4283</f>
        <v>SEPTEMBER-MJ2-L12</v>
      </c>
    </row>
    <row r="4284" spans="1:17" x14ac:dyDescent="0.25">
      <c r="A4284" t="s">
        <v>399</v>
      </c>
      <c r="B4284" s="13" t="s">
        <v>26</v>
      </c>
      <c r="C4284" s="13" t="s">
        <v>226</v>
      </c>
      <c r="D4284" s="14" t="s">
        <v>310</v>
      </c>
      <c r="E4284" s="13" t="s">
        <v>61</v>
      </c>
      <c r="F4284" s="13" t="s">
        <v>1384</v>
      </c>
      <c r="G4284" s="13">
        <v>0.79</v>
      </c>
      <c r="H4284" s="15">
        <v>560</v>
      </c>
      <c r="I4284" s="16">
        <v>442.40000000000003</v>
      </c>
      <c r="J4284" s="16">
        <v>356.44426536949692</v>
      </c>
      <c r="K4284" s="16">
        <v>85.955734630503059</v>
      </c>
      <c r="L4284" s="13">
        <v>2.08</v>
      </c>
      <c r="M4284" s="13"/>
      <c r="N4284" s="17">
        <f t="shared" si="140"/>
        <v>1164.8</v>
      </c>
      <c r="O4284" s="17">
        <f t="shared" si="140"/>
        <v>0</v>
      </c>
      <c r="P4284" s="17">
        <f t="shared" si="141"/>
        <v>1164.8</v>
      </c>
      <c r="Q4284" t="str">
        <f>A4284&amp;"-"&amp;B4284&amp;"-"&amp;D4284</f>
        <v>SEPTEMBER-MJ2-L12</v>
      </c>
    </row>
    <row r="4285" spans="1:17" x14ac:dyDescent="0.25">
      <c r="A4285" t="s">
        <v>399</v>
      </c>
      <c r="B4285" s="13" t="s">
        <v>26</v>
      </c>
      <c r="C4285" s="13" t="s">
        <v>226</v>
      </c>
      <c r="D4285" s="14" t="s">
        <v>310</v>
      </c>
      <c r="E4285" s="13" t="s">
        <v>61</v>
      </c>
      <c r="F4285" s="13" t="s">
        <v>1385</v>
      </c>
      <c r="G4285" s="13">
        <v>0.79</v>
      </c>
      <c r="H4285" s="15">
        <v>150</v>
      </c>
      <c r="I4285" s="16">
        <v>118.5</v>
      </c>
      <c r="J4285" s="16">
        <v>90.83205023713785</v>
      </c>
      <c r="K4285" s="16">
        <v>27.667949762862154</v>
      </c>
      <c r="L4285" s="13">
        <v>2.08</v>
      </c>
      <c r="M4285" s="13"/>
      <c r="N4285" s="17">
        <f t="shared" si="140"/>
        <v>312</v>
      </c>
      <c r="O4285" s="17">
        <f t="shared" si="140"/>
        <v>0</v>
      </c>
      <c r="P4285" s="17">
        <f t="shared" si="141"/>
        <v>312</v>
      </c>
      <c r="Q4285" t="str">
        <f>A4285&amp;"-"&amp;B4285&amp;"-"&amp;D4285</f>
        <v>SEPTEMBER-MJ2-L12</v>
      </c>
    </row>
    <row r="4286" spans="1:17" x14ac:dyDescent="0.25">
      <c r="A4286" t="s">
        <v>399</v>
      </c>
      <c r="B4286" s="13" t="s">
        <v>26</v>
      </c>
      <c r="C4286" s="13" t="s">
        <v>226</v>
      </c>
      <c r="D4286" s="14" t="s">
        <v>310</v>
      </c>
      <c r="E4286" s="13" t="s">
        <v>61</v>
      </c>
      <c r="F4286" s="13" t="s">
        <v>1386</v>
      </c>
      <c r="G4286" s="13">
        <v>0.79</v>
      </c>
      <c r="H4286" s="15">
        <v>65</v>
      </c>
      <c r="I4286" s="16">
        <v>51.35</v>
      </c>
      <c r="J4286" s="16">
        <v>34.671999650369969</v>
      </c>
      <c r="K4286" s="16">
        <v>16.678000349630032</v>
      </c>
      <c r="L4286" s="13">
        <v>2.08</v>
      </c>
      <c r="M4286" s="13"/>
      <c r="N4286" s="17">
        <f t="shared" si="140"/>
        <v>135.20000000000002</v>
      </c>
      <c r="O4286" s="17">
        <f t="shared" si="140"/>
        <v>0</v>
      </c>
      <c r="P4286" s="17">
        <f t="shared" si="141"/>
        <v>135.20000000000002</v>
      </c>
      <c r="Q4286" t="str">
        <f>A4286&amp;"-"&amp;B4286&amp;"-"&amp;D4286</f>
        <v>SEPTEMBER-MJ2-L12</v>
      </c>
    </row>
    <row r="4287" spans="1:17" x14ac:dyDescent="0.25">
      <c r="A4287" t="s">
        <v>399</v>
      </c>
      <c r="B4287" s="13" t="s">
        <v>26</v>
      </c>
      <c r="C4287" s="13" t="s">
        <v>226</v>
      </c>
      <c r="D4287" s="14" t="s">
        <v>310</v>
      </c>
      <c r="E4287" s="13" t="s">
        <v>61</v>
      </c>
      <c r="F4287" s="13" t="s">
        <v>1387</v>
      </c>
      <c r="G4287" s="13">
        <v>0.77</v>
      </c>
      <c r="H4287" s="15">
        <v>39</v>
      </c>
      <c r="I4287" s="16">
        <v>30.03</v>
      </c>
      <c r="J4287" s="16">
        <v>21.547560381950944</v>
      </c>
      <c r="K4287" s="16">
        <v>8.4824396180490531</v>
      </c>
      <c r="L4287" s="13">
        <v>2.2400000000000002</v>
      </c>
      <c r="M4287" s="13"/>
      <c r="N4287" s="17">
        <f t="shared" ref="N4287:O4350" si="142">$H4287*L4287</f>
        <v>87.360000000000014</v>
      </c>
      <c r="O4287" s="17">
        <f t="shared" si="142"/>
        <v>0</v>
      </c>
      <c r="P4287" s="17">
        <f t="shared" si="141"/>
        <v>87.360000000000014</v>
      </c>
      <c r="Q4287" t="str">
        <f>A4287&amp;"-"&amp;B4287&amp;"-"&amp;D4287</f>
        <v>SEPTEMBER-MJ2-L12</v>
      </c>
    </row>
    <row r="4288" spans="1:17" x14ac:dyDescent="0.25">
      <c r="A4288" t="s">
        <v>399</v>
      </c>
      <c r="B4288" s="13" t="s">
        <v>26</v>
      </c>
      <c r="C4288" s="13" t="s">
        <v>226</v>
      </c>
      <c r="D4288" s="14" t="s">
        <v>310</v>
      </c>
      <c r="E4288" s="13" t="s">
        <v>61</v>
      </c>
      <c r="F4288" s="13" t="s">
        <v>1573</v>
      </c>
      <c r="G4288" s="13">
        <v>0.72</v>
      </c>
      <c r="H4288" s="15">
        <v>1820</v>
      </c>
      <c r="I4288" s="16">
        <v>1310.4000000000001</v>
      </c>
      <c r="J4288" s="16">
        <v>1289.8721827776783</v>
      </c>
      <c r="K4288" s="16">
        <v>20.527817222321655</v>
      </c>
      <c r="L4288" s="13">
        <v>1.34</v>
      </c>
      <c r="M4288" s="13"/>
      <c r="N4288" s="17">
        <f t="shared" si="142"/>
        <v>2438.8000000000002</v>
      </c>
      <c r="O4288" s="17">
        <f t="shared" si="142"/>
        <v>0</v>
      </c>
      <c r="P4288" s="17">
        <f t="shared" si="141"/>
        <v>2438.8000000000002</v>
      </c>
      <c r="Q4288" t="str">
        <f>A4288&amp;"-"&amp;B4288&amp;"-"&amp;D4288</f>
        <v>SEPTEMBER-MJ2-L12</v>
      </c>
    </row>
    <row r="4289" spans="1:17" x14ac:dyDescent="0.25">
      <c r="A4289" t="s">
        <v>399</v>
      </c>
      <c r="B4289" s="13" t="s">
        <v>26</v>
      </c>
      <c r="C4289" s="13" t="s">
        <v>226</v>
      </c>
      <c r="D4289" s="14" t="s">
        <v>310</v>
      </c>
      <c r="E4289" s="13" t="s">
        <v>61</v>
      </c>
      <c r="F4289" s="13" t="s">
        <v>1578</v>
      </c>
      <c r="G4289" s="13">
        <v>0.79</v>
      </c>
      <c r="H4289" s="15">
        <v>2591</v>
      </c>
      <c r="I4289" s="16">
        <v>2046.8899999999999</v>
      </c>
      <c r="J4289" s="16">
        <v>1429.9884798087335</v>
      </c>
      <c r="K4289" s="16">
        <v>616.90152019126663</v>
      </c>
      <c r="L4289" s="13">
        <v>2.13</v>
      </c>
      <c r="M4289" s="13"/>
      <c r="N4289" s="17">
        <f t="shared" si="142"/>
        <v>5518.83</v>
      </c>
      <c r="O4289" s="17">
        <f t="shared" si="142"/>
        <v>0</v>
      </c>
      <c r="P4289" s="17">
        <f t="shared" si="141"/>
        <v>5518.83</v>
      </c>
      <c r="Q4289" t="str">
        <f>A4289&amp;"-"&amp;B4289&amp;"-"&amp;D4289</f>
        <v>SEPTEMBER-MJ2-L12</v>
      </c>
    </row>
    <row r="4290" spans="1:17" x14ac:dyDescent="0.25">
      <c r="A4290" t="s">
        <v>399</v>
      </c>
      <c r="B4290" s="13" t="s">
        <v>26</v>
      </c>
      <c r="C4290" s="13" t="s">
        <v>226</v>
      </c>
      <c r="D4290" s="14" t="s">
        <v>310</v>
      </c>
      <c r="E4290" s="13" t="s">
        <v>61</v>
      </c>
      <c r="F4290" s="13" t="s">
        <v>1579</v>
      </c>
      <c r="G4290" s="13">
        <v>0.71999999999999986</v>
      </c>
      <c r="H4290" s="15">
        <v>704</v>
      </c>
      <c r="I4290" s="16">
        <v>506.88000000000005</v>
      </c>
      <c r="J4290" s="16">
        <v>375.3701852017731</v>
      </c>
      <c r="K4290" s="16">
        <v>131.50981479822687</v>
      </c>
      <c r="L4290" s="13">
        <v>2.29</v>
      </c>
      <c r="M4290" s="13"/>
      <c r="N4290" s="17">
        <f t="shared" si="142"/>
        <v>1612.16</v>
      </c>
      <c r="O4290" s="17">
        <f t="shared" si="142"/>
        <v>0</v>
      </c>
      <c r="P4290" s="17">
        <f t="shared" ref="P4290:P4353" si="143">N4290+O4290</f>
        <v>1612.16</v>
      </c>
      <c r="Q4290" t="str">
        <f>A4290&amp;"-"&amp;B4290&amp;"-"&amp;D4290</f>
        <v>SEPTEMBER-MJ2-L12</v>
      </c>
    </row>
    <row r="4291" spans="1:17" x14ac:dyDescent="0.25">
      <c r="A4291" t="s">
        <v>399</v>
      </c>
      <c r="B4291" s="13" t="s">
        <v>26</v>
      </c>
      <c r="C4291" s="13" t="s">
        <v>226</v>
      </c>
      <c r="D4291" s="14" t="s">
        <v>310</v>
      </c>
      <c r="E4291" s="13" t="s">
        <v>61</v>
      </c>
      <c r="F4291" s="13" t="s">
        <v>1580</v>
      </c>
      <c r="G4291" s="13">
        <v>0.7599999999999999</v>
      </c>
      <c r="H4291" s="15">
        <v>2447</v>
      </c>
      <c r="I4291" s="16">
        <v>1859.7200000000003</v>
      </c>
      <c r="J4291" s="16">
        <v>1693.7651299468162</v>
      </c>
      <c r="K4291" s="16">
        <v>165.95487005318395</v>
      </c>
      <c r="L4291" s="13">
        <v>2</v>
      </c>
      <c r="M4291" s="13"/>
      <c r="N4291" s="17">
        <f t="shared" si="142"/>
        <v>4894</v>
      </c>
      <c r="O4291" s="17">
        <f t="shared" si="142"/>
        <v>0</v>
      </c>
      <c r="P4291" s="17">
        <f t="shared" si="143"/>
        <v>4894</v>
      </c>
      <c r="Q4291" t="str">
        <f>A4291&amp;"-"&amp;B4291&amp;"-"&amp;D4291</f>
        <v>SEPTEMBER-MJ2-L12</v>
      </c>
    </row>
    <row r="4292" spans="1:17" x14ac:dyDescent="0.25">
      <c r="A4292" t="s">
        <v>399</v>
      </c>
      <c r="B4292" s="13" t="s">
        <v>26</v>
      </c>
      <c r="C4292" s="13" t="s">
        <v>226</v>
      </c>
      <c r="D4292" s="14" t="s">
        <v>310</v>
      </c>
      <c r="E4292" s="13" t="s">
        <v>61</v>
      </c>
      <c r="F4292" s="13" t="s">
        <v>1581</v>
      </c>
      <c r="G4292" s="13">
        <v>0.72999999999999987</v>
      </c>
      <c r="H4292" s="15">
        <v>721</v>
      </c>
      <c r="I4292" s="16">
        <v>526.33000000000015</v>
      </c>
      <c r="J4292" s="16">
        <v>497.23153088159432</v>
      </c>
      <c r="K4292" s="16">
        <v>29.098469118405774</v>
      </c>
      <c r="L4292" s="13">
        <v>2.14</v>
      </c>
      <c r="M4292" s="13"/>
      <c r="N4292" s="17">
        <f t="shared" si="142"/>
        <v>1542.94</v>
      </c>
      <c r="O4292" s="17">
        <f t="shared" si="142"/>
        <v>0</v>
      </c>
      <c r="P4292" s="17">
        <f t="shared" si="143"/>
        <v>1542.94</v>
      </c>
      <c r="Q4292" t="str">
        <f>A4292&amp;"-"&amp;B4292&amp;"-"&amp;D4292</f>
        <v>SEPTEMBER-MJ2-L12</v>
      </c>
    </row>
    <row r="4293" spans="1:17" x14ac:dyDescent="0.25">
      <c r="A4293" t="s">
        <v>399</v>
      </c>
      <c r="B4293" s="13" t="s">
        <v>26</v>
      </c>
      <c r="C4293" s="13" t="s">
        <v>226</v>
      </c>
      <c r="D4293" s="14" t="s">
        <v>310</v>
      </c>
      <c r="E4293" s="13" t="s">
        <v>61</v>
      </c>
      <c r="F4293" s="13" t="s">
        <v>1389</v>
      </c>
      <c r="G4293" s="13">
        <v>0.79</v>
      </c>
      <c r="H4293" s="15">
        <v>3715</v>
      </c>
      <c r="I4293" s="16">
        <v>2934.8500000000004</v>
      </c>
      <c r="J4293" s="16">
        <v>2252.7164093593346</v>
      </c>
      <c r="K4293" s="16">
        <v>682.13359064066526</v>
      </c>
      <c r="L4293" s="13">
        <v>2.14</v>
      </c>
      <c r="M4293" s="13"/>
      <c r="N4293" s="17">
        <f t="shared" si="142"/>
        <v>7950.1</v>
      </c>
      <c r="O4293" s="17">
        <f t="shared" si="142"/>
        <v>0</v>
      </c>
      <c r="P4293" s="17">
        <f t="shared" si="143"/>
        <v>7950.1</v>
      </c>
      <c r="Q4293" t="str">
        <f>A4293&amp;"-"&amp;B4293&amp;"-"&amp;D4293</f>
        <v>SEPTEMBER-MJ2-L12</v>
      </c>
    </row>
    <row r="4294" spans="1:17" x14ac:dyDescent="0.25">
      <c r="A4294" t="s">
        <v>399</v>
      </c>
      <c r="B4294" s="13" t="s">
        <v>26</v>
      </c>
      <c r="C4294" s="13" t="s">
        <v>226</v>
      </c>
      <c r="D4294" s="14" t="s">
        <v>310</v>
      </c>
      <c r="E4294" s="13" t="s">
        <v>61</v>
      </c>
      <c r="F4294" s="13" t="s">
        <v>1582</v>
      </c>
      <c r="G4294" s="13">
        <v>0.7599999999999999</v>
      </c>
      <c r="H4294" s="15">
        <v>3361</v>
      </c>
      <c r="I4294" s="16">
        <v>2554.3599999999997</v>
      </c>
      <c r="J4294" s="16">
        <v>2474.8247856571102</v>
      </c>
      <c r="K4294" s="16">
        <v>79.53521434288993</v>
      </c>
      <c r="L4294" s="13">
        <v>2</v>
      </c>
      <c r="M4294" s="13"/>
      <c r="N4294" s="17">
        <f t="shared" si="142"/>
        <v>6722</v>
      </c>
      <c r="O4294" s="17">
        <f t="shared" si="142"/>
        <v>0</v>
      </c>
      <c r="P4294" s="17">
        <f t="shared" si="143"/>
        <v>6722</v>
      </c>
      <c r="Q4294" t="str">
        <f>A4294&amp;"-"&amp;B4294&amp;"-"&amp;D4294</f>
        <v>SEPTEMBER-MJ2-L12</v>
      </c>
    </row>
    <row r="4295" spans="1:17" x14ac:dyDescent="0.25">
      <c r="A4295" t="s">
        <v>399</v>
      </c>
      <c r="B4295" s="13" t="s">
        <v>26</v>
      </c>
      <c r="C4295" s="13" t="s">
        <v>226</v>
      </c>
      <c r="D4295" s="14" t="s">
        <v>310</v>
      </c>
      <c r="E4295" s="13" t="s">
        <v>61</v>
      </c>
      <c r="F4295" s="13" t="s">
        <v>1583</v>
      </c>
      <c r="G4295" s="13">
        <v>0.73</v>
      </c>
      <c r="H4295" s="15">
        <v>720</v>
      </c>
      <c r="I4295" s="16">
        <v>525.59999999999991</v>
      </c>
      <c r="J4295" s="16">
        <v>525.72438707408651</v>
      </c>
      <c r="K4295" s="16">
        <v>-0.12438707408649119</v>
      </c>
      <c r="L4295" s="13">
        <v>2.14</v>
      </c>
      <c r="M4295" s="13"/>
      <c r="N4295" s="17">
        <f t="shared" si="142"/>
        <v>1540.8000000000002</v>
      </c>
      <c r="O4295" s="17">
        <f t="shared" si="142"/>
        <v>0</v>
      </c>
      <c r="P4295" s="17">
        <f t="shared" si="143"/>
        <v>1540.8000000000002</v>
      </c>
      <c r="Q4295" t="str">
        <f>A4295&amp;"-"&amp;B4295&amp;"-"&amp;D4295</f>
        <v>SEPTEMBER-MJ2-L12</v>
      </c>
    </row>
    <row r="4296" spans="1:17" x14ac:dyDescent="0.25">
      <c r="A4296" t="s">
        <v>399</v>
      </c>
      <c r="B4296" s="13" t="s">
        <v>26</v>
      </c>
      <c r="C4296" s="13" t="s">
        <v>226</v>
      </c>
      <c r="D4296" s="14" t="s">
        <v>310</v>
      </c>
      <c r="E4296" s="13" t="s">
        <v>61</v>
      </c>
      <c r="F4296" s="13" t="s">
        <v>1584</v>
      </c>
      <c r="G4296" s="13">
        <v>0.76</v>
      </c>
      <c r="H4296" s="15">
        <v>6633</v>
      </c>
      <c r="I4296" s="16">
        <v>5041.08</v>
      </c>
      <c r="J4296" s="16">
        <v>4158.9519603125946</v>
      </c>
      <c r="K4296" s="16">
        <v>882.12803968740593</v>
      </c>
      <c r="L4296" s="13">
        <v>1.94</v>
      </c>
      <c r="M4296" s="13"/>
      <c r="N4296" s="17">
        <f t="shared" si="142"/>
        <v>12868.02</v>
      </c>
      <c r="O4296" s="17">
        <f t="shared" si="142"/>
        <v>0</v>
      </c>
      <c r="P4296" s="17">
        <f t="shared" si="143"/>
        <v>12868.02</v>
      </c>
      <c r="Q4296" t="str">
        <f>A4296&amp;"-"&amp;B4296&amp;"-"&amp;D4296</f>
        <v>SEPTEMBER-MJ2-L12</v>
      </c>
    </row>
    <row r="4297" spans="1:17" x14ac:dyDescent="0.25">
      <c r="A4297" t="s">
        <v>399</v>
      </c>
      <c r="B4297" s="13" t="s">
        <v>26</v>
      </c>
      <c r="C4297" s="13" t="s">
        <v>226</v>
      </c>
      <c r="D4297" s="14" t="s">
        <v>310</v>
      </c>
      <c r="E4297" s="13" t="s">
        <v>61</v>
      </c>
      <c r="F4297" s="13" t="s">
        <v>1585</v>
      </c>
      <c r="G4297" s="13">
        <v>0.69</v>
      </c>
      <c r="H4297" s="15">
        <v>157</v>
      </c>
      <c r="I4297" s="16">
        <v>108.33</v>
      </c>
      <c r="J4297" s="16">
        <v>96.214406302757467</v>
      </c>
      <c r="K4297" s="16">
        <v>12.115593697242531</v>
      </c>
      <c r="L4297" s="13">
        <v>2.0699999999999998</v>
      </c>
      <c r="M4297" s="13"/>
      <c r="N4297" s="17">
        <f t="shared" si="142"/>
        <v>324.98999999999995</v>
      </c>
      <c r="O4297" s="17">
        <f t="shared" si="142"/>
        <v>0</v>
      </c>
      <c r="P4297" s="17">
        <f t="shared" si="143"/>
        <v>324.98999999999995</v>
      </c>
      <c r="Q4297" t="str">
        <f>A4297&amp;"-"&amp;B4297&amp;"-"&amp;D4297</f>
        <v>SEPTEMBER-MJ2-L12</v>
      </c>
    </row>
    <row r="4298" spans="1:17" x14ac:dyDescent="0.25">
      <c r="A4298" t="s">
        <v>399</v>
      </c>
      <c r="B4298" s="13" t="s">
        <v>26</v>
      </c>
      <c r="C4298" s="13" t="s">
        <v>226</v>
      </c>
      <c r="D4298" s="14" t="s">
        <v>310</v>
      </c>
      <c r="E4298" s="13" t="s">
        <v>61</v>
      </c>
      <c r="F4298" s="13" t="s">
        <v>1165</v>
      </c>
      <c r="G4298" s="13">
        <v>0.65</v>
      </c>
      <c r="H4298" s="15">
        <v>63</v>
      </c>
      <c r="I4298" s="16">
        <v>40.950000000000003</v>
      </c>
      <c r="J4298" s="16">
        <v>28.633973288814691</v>
      </c>
      <c r="K4298" s="16">
        <v>12.316026711185312</v>
      </c>
      <c r="L4298" s="13">
        <v>1.66</v>
      </c>
      <c r="M4298" s="13"/>
      <c r="N4298" s="17">
        <f t="shared" si="142"/>
        <v>104.58</v>
      </c>
      <c r="O4298" s="17">
        <f t="shared" si="142"/>
        <v>0</v>
      </c>
      <c r="P4298" s="17">
        <f t="shared" si="143"/>
        <v>104.58</v>
      </c>
      <c r="Q4298" t="str">
        <f>A4298&amp;"-"&amp;B4298&amp;"-"&amp;D4298</f>
        <v>SEPTEMBER-MJ2-L12</v>
      </c>
    </row>
    <row r="4299" spans="1:17" x14ac:dyDescent="0.25">
      <c r="A4299" t="s">
        <v>399</v>
      </c>
      <c r="B4299" s="13" t="s">
        <v>26</v>
      </c>
      <c r="C4299" s="13" t="s">
        <v>226</v>
      </c>
      <c r="D4299" s="14" t="s">
        <v>310</v>
      </c>
      <c r="E4299" s="13" t="s">
        <v>61</v>
      </c>
      <c r="F4299" s="13" t="s">
        <v>1390</v>
      </c>
      <c r="G4299" s="13">
        <v>0.65</v>
      </c>
      <c r="H4299" s="15">
        <v>7</v>
      </c>
      <c r="I4299" s="16">
        <v>4.55</v>
      </c>
      <c r="J4299" s="16">
        <v>3.1815525876460766</v>
      </c>
      <c r="K4299" s="16">
        <v>1.3684474123539232</v>
      </c>
      <c r="L4299" s="13">
        <v>1.66</v>
      </c>
      <c r="M4299" s="13"/>
      <c r="N4299" s="17">
        <f t="shared" si="142"/>
        <v>11.62</v>
      </c>
      <c r="O4299" s="17">
        <f t="shared" si="142"/>
        <v>0</v>
      </c>
      <c r="P4299" s="17">
        <f t="shared" si="143"/>
        <v>11.62</v>
      </c>
      <c r="Q4299" t="str">
        <f>A4299&amp;"-"&amp;B4299&amp;"-"&amp;D4299</f>
        <v>SEPTEMBER-MJ2-L12</v>
      </c>
    </row>
    <row r="4300" spans="1:17" x14ac:dyDescent="0.25">
      <c r="A4300" t="s">
        <v>399</v>
      </c>
      <c r="B4300" s="13" t="s">
        <v>26</v>
      </c>
      <c r="C4300" s="13" t="s">
        <v>226</v>
      </c>
      <c r="D4300" s="14" t="s">
        <v>320</v>
      </c>
      <c r="E4300" s="13" t="s">
        <v>61</v>
      </c>
      <c r="F4300" s="13" t="s">
        <v>1412</v>
      </c>
      <c r="G4300" s="13">
        <v>0.67999999999999983</v>
      </c>
      <c r="H4300" s="15">
        <v>11919</v>
      </c>
      <c r="I4300" s="16">
        <v>8104.92</v>
      </c>
      <c r="J4300" s="16">
        <v>5791.8994023370815</v>
      </c>
      <c r="K4300" s="16">
        <v>2313.0205976629177</v>
      </c>
      <c r="L4300" s="13">
        <v>1.82</v>
      </c>
      <c r="M4300" s="13"/>
      <c r="N4300" s="17">
        <f t="shared" si="142"/>
        <v>21692.58</v>
      </c>
      <c r="O4300" s="17">
        <f t="shared" si="142"/>
        <v>0</v>
      </c>
      <c r="P4300" s="17">
        <f t="shared" si="143"/>
        <v>21692.58</v>
      </c>
      <c r="Q4300" t="str">
        <f>A4300&amp;"-"&amp;B4300&amp;"-"&amp;D4300</f>
        <v>SEPTEMBER-MJ2-L13</v>
      </c>
    </row>
    <row r="4301" spans="1:17" x14ac:dyDescent="0.25">
      <c r="A4301" t="s">
        <v>399</v>
      </c>
      <c r="B4301" s="13" t="s">
        <v>26</v>
      </c>
      <c r="C4301" s="13" t="s">
        <v>226</v>
      </c>
      <c r="D4301" s="14" t="s">
        <v>320</v>
      </c>
      <c r="E4301" s="13" t="s">
        <v>61</v>
      </c>
      <c r="F4301" s="13" t="s">
        <v>1567</v>
      </c>
      <c r="G4301" s="13">
        <v>0.66</v>
      </c>
      <c r="H4301" s="15">
        <v>467</v>
      </c>
      <c r="I4301" s="16">
        <v>308.22000000000003</v>
      </c>
      <c r="J4301" s="16">
        <v>318.15414467632809</v>
      </c>
      <c r="K4301" s="16">
        <v>-9.9341446763280885</v>
      </c>
      <c r="L4301" s="13">
        <v>1.97</v>
      </c>
      <c r="M4301" s="13"/>
      <c r="N4301" s="17">
        <f t="shared" si="142"/>
        <v>919.99</v>
      </c>
      <c r="O4301" s="17">
        <f t="shared" si="142"/>
        <v>0</v>
      </c>
      <c r="P4301" s="17">
        <f t="shared" si="143"/>
        <v>919.99</v>
      </c>
      <c r="Q4301" t="str">
        <f>A4301&amp;"-"&amp;B4301&amp;"-"&amp;D4301</f>
        <v>SEPTEMBER-MJ2-L13</v>
      </c>
    </row>
    <row r="4302" spans="1:17" x14ac:dyDescent="0.25">
      <c r="A4302" t="s">
        <v>399</v>
      </c>
      <c r="B4302" s="13" t="s">
        <v>26</v>
      </c>
      <c r="C4302" s="13" t="s">
        <v>226</v>
      </c>
      <c r="D4302" s="14" t="s">
        <v>320</v>
      </c>
      <c r="E4302" s="13" t="s">
        <v>61</v>
      </c>
      <c r="F4302" s="13" t="s">
        <v>1379</v>
      </c>
      <c r="G4302" s="13">
        <v>0.78</v>
      </c>
      <c r="H4302" s="15">
        <v>97</v>
      </c>
      <c r="I4302" s="16">
        <v>75.66</v>
      </c>
      <c r="J4302" s="16">
        <v>67.304627329192556</v>
      </c>
      <c r="K4302" s="16">
        <v>8.3553726708074478</v>
      </c>
      <c r="L4302" s="13">
        <v>2</v>
      </c>
      <c r="M4302" s="13"/>
      <c r="N4302" s="17">
        <f t="shared" si="142"/>
        <v>194</v>
      </c>
      <c r="O4302" s="17">
        <f t="shared" si="142"/>
        <v>0</v>
      </c>
      <c r="P4302" s="17">
        <f t="shared" si="143"/>
        <v>194</v>
      </c>
      <c r="Q4302" t="str">
        <f>A4302&amp;"-"&amp;B4302&amp;"-"&amp;D4302</f>
        <v>SEPTEMBER-MJ2-L13</v>
      </c>
    </row>
    <row r="4303" spans="1:17" x14ac:dyDescent="0.25">
      <c r="A4303" t="s">
        <v>399</v>
      </c>
      <c r="B4303" s="13" t="s">
        <v>26</v>
      </c>
      <c r="C4303" s="13" t="s">
        <v>226</v>
      </c>
      <c r="D4303" s="14" t="s">
        <v>320</v>
      </c>
      <c r="E4303" s="13" t="s">
        <v>61</v>
      </c>
      <c r="F4303" s="13" t="s">
        <v>1380</v>
      </c>
      <c r="G4303" s="13">
        <v>0.78</v>
      </c>
      <c r="H4303" s="15">
        <v>175</v>
      </c>
      <c r="I4303" s="16">
        <v>136.5</v>
      </c>
      <c r="J4303" s="16">
        <v>104.26824605575167</v>
      </c>
      <c r="K4303" s="16">
        <v>32.231753944248311</v>
      </c>
      <c r="L4303" s="13">
        <v>2</v>
      </c>
      <c r="M4303" s="13"/>
      <c r="N4303" s="17">
        <f t="shared" si="142"/>
        <v>350</v>
      </c>
      <c r="O4303" s="17">
        <f t="shared" si="142"/>
        <v>0</v>
      </c>
      <c r="P4303" s="17">
        <f t="shared" si="143"/>
        <v>350</v>
      </c>
      <c r="Q4303" t="str">
        <f>A4303&amp;"-"&amp;B4303&amp;"-"&amp;D4303</f>
        <v>SEPTEMBER-MJ2-L13</v>
      </c>
    </row>
    <row r="4304" spans="1:17" x14ac:dyDescent="0.25">
      <c r="A4304" t="s">
        <v>399</v>
      </c>
      <c r="B4304" s="13" t="s">
        <v>26</v>
      </c>
      <c r="C4304" s="13" t="s">
        <v>226</v>
      </c>
      <c r="D4304" s="14" t="s">
        <v>320</v>
      </c>
      <c r="E4304" s="13" t="s">
        <v>61</v>
      </c>
      <c r="F4304" s="13" t="s">
        <v>1381</v>
      </c>
      <c r="G4304" s="13">
        <v>0.78</v>
      </c>
      <c r="H4304" s="15">
        <v>231</v>
      </c>
      <c r="I4304" s="16">
        <v>180.18</v>
      </c>
      <c r="J4304" s="16">
        <v>171.32655985476936</v>
      </c>
      <c r="K4304" s="16">
        <v>8.8534401452306319</v>
      </c>
      <c r="L4304" s="13">
        <v>2</v>
      </c>
      <c r="M4304" s="13"/>
      <c r="N4304" s="17">
        <f t="shared" si="142"/>
        <v>462</v>
      </c>
      <c r="O4304" s="17">
        <f t="shared" si="142"/>
        <v>0</v>
      </c>
      <c r="P4304" s="17">
        <f t="shared" si="143"/>
        <v>462</v>
      </c>
      <c r="Q4304" t="str">
        <f>A4304&amp;"-"&amp;B4304&amp;"-"&amp;D4304</f>
        <v>SEPTEMBER-MJ2-L13</v>
      </c>
    </row>
    <row r="4305" spans="1:17" x14ac:dyDescent="0.25">
      <c r="A4305" t="s">
        <v>399</v>
      </c>
      <c r="B4305" s="13" t="s">
        <v>26</v>
      </c>
      <c r="C4305" s="13" t="s">
        <v>226</v>
      </c>
      <c r="D4305" s="14" t="s">
        <v>320</v>
      </c>
      <c r="E4305" s="13" t="s">
        <v>61</v>
      </c>
      <c r="F4305" s="13" t="s">
        <v>1384</v>
      </c>
      <c r="G4305" s="13">
        <v>0.79</v>
      </c>
      <c r="H4305" s="15">
        <v>560</v>
      </c>
      <c r="I4305" s="16">
        <v>442.40000000000003</v>
      </c>
      <c r="J4305" s="16">
        <v>356.43986375783896</v>
      </c>
      <c r="K4305" s="16">
        <v>85.960136242161013</v>
      </c>
      <c r="L4305" s="13">
        <v>2.08</v>
      </c>
      <c r="M4305" s="13"/>
      <c r="N4305" s="17">
        <f t="shared" si="142"/>
        <v>1164.8</v>
      </c>
      <c r="O4305" s="17">
        <f t="shared" si="142"/>
        <v>0</v>
      </c>
      <c r="P4305" s="17">
        <f t="shared" si="143"/>
        <v>1164.8</v>
      </c>
      <c r="Q4305" t="str">
        <f>A4305&amp;"-"&amp;B4305&amp;"-"&amp;D4305</f>
        <v>SEPTEMBER-MJ2-L13</v>
      </c>
    </row>
    <row r="4306" spans="1:17" x14ac:dyDescent="0.25">
      <c r="A4306" t="s">
        <v>399</v>
      </c>
      <c r="B4306" s="13" t="s">
        <v>26</v>
      </c>
      <c r="C4306" s="13" t="s">
        <v>226</v>
      </c>
      <c r="D4306" s="14" t="s">
        <v>320</v>
      </c>
      <c r="E4306" s="13" t="s">
        <v>61</v>
      </c>
      <c r="F4306" s="13" t="s">
        <v>1385</v>
      </c>
      <c r="G4306" s="13">
        <v>0.79</v>
      </c>
      <c r="H4306" s="15">
        <v>149</v>
      </c>
      <c r="I4306" s="16">
        <v>117.71000000000001</v>
      </c>
      <c r="J4306" s="16">
        <v>90.355842745712835</v>
      </c>
      <c r="K4306" s="16">
        <v>27.354157254287156</v>
      </c>
      <c r="L4306" s="13">
        <v>2.08</v>
      </c>
      <c r="M4306" s="13"/>
      <c r="N4306" s="17">
        <f t="shared" si="142"/>
        <v>309.92</v>
      </c>
      <c r="O4306" s="17">
        <f t="shared" si="142"/>
        <v>0</v>
      </c>
      <c r="P4306" s="17">
        <f t="shared" si="143"/>
        <v>309.92</v>
      </c>
      <c r="Q4306" t="str">
        <f>A4306&amp;"-"&amp;B4306&amp;"-"&amp;D4306</f>
        <v>SEPTEMBER-MJ2-L13</v>
      </c>
    </row>
    <row r="4307" spans="1:17" x14ac:dyDescent="0.25">
      <c r="A4307" t="s">
        <v>399</v>
      </c>
      <c r="B4307" s="13" t="s">
        <v>26</v>
      </c>
      <c r="C4307" s="13" t="s">
        <v>226</v>
      </c>
      <c r="D4307" s="14" t="s">
        <v>320</v>
      </c>
      <c r="E4307" s="13" t="s">
        <v>61</v>
      </c>
      <c r="F4307" s="13" t="s">
        <v>1386</v>
      </c>
      <c r="G4307" s="13">
        <v>0.79</v>
      </c>
      <c r="H4307" s="15">
        <v>63</v>
      </c>
      <c r="I4307" s="16">
        <v>49.77</v>
      </c>
      <c r="J4307" s="16">
        <v>33.468345699059739</v>
      </c>
      <c r="K4307" s="16">
        <v>16.301654300940264</v>
      </c>
      <c r="L4307" s="13">
        <v>2.08</v>
      </c>
      <c r="M4307" s="13"/>
      <c r="N4307" s="17">
        <f t="shared" si="142"/>
        <v>131.04</v>
      </c>
      <c r="O4307" s="17">
        <f t="shared" si="142"/>
        <v>0</v>
      </c>
      <c r="P4307" s="17">
        <f t="shared" si="143"/>
        <v>131.04</v>
      </c>
      <c r="Q4307" t="str">
        <f>A4307&amp;"-"&amp;B4307&amp;"-"&amp;D4307</f>
        <v>SEPTEMBER-MJ2-L13</v>
      </c>
    </row>
    <row r="4308" spans="1:17" x14ac:dyDescent="0.25">
      <c r="A4308" t="s">
        <v>399</v>
      </c>
      <c r="B4308" s="13" t="s">
        <v>26</v>
      </c>
      <c r="C4308" s="13" t="s">
        <v>226</v>
      </c>
      <c r="D4308" s="14" t="s">
        <v>320</v>
      </c>
      <c r="E4308" s="13" t="s">
        <v>61</v>
      </c>
      <c r="F4308" s="13" t="s">
        <v>1387</v>
      </c>
      <c r="G4308" s="13">
        <v>0.77</v>
      </c>
      <c r="H4308" s="15">
        <v>39</v>
      </c>
      <c r="I4308" s="16">
        <v>30.03</v>
      </c>
      <c r="J4308" s="16">
        <v>21.540514665668809</v>
      </c>
      <c r="K4308" s="16">
        <v>8.4894853343311922</v>
      </c>
      <c r="L4308" s="13">
        <v>2.2400000000000002</v>
      </c>
      <c r="M4308" s="13"/>
      <c r="N4308" s="17">
        <f t="shared" si="142"/>
        <v>87.360000000000014</v>
      </c>
      <c r="O4308" s="17">
        <f t="shared" si="142"/>
        <v>0</v>
      </c>
      <c r="P4308" s="17">
        <f t="shared" si="143"/>
        <v>87.360000000000014</v>
      </c>
      <c r="Q4308" t="str">
        <f>A4308&amp;"-"&amp;B4308&amp;"-"&amp;D4308</f>
        <v>SEPTEMBER-MJ2-L13</v>
      </c>
    </row>
    <row r="4309" spans="1:17" x14ac:dyDescent="0.25">
      <c r="A4309" t="s">
        <v>399</v>
      </c>
      <c r="B4309" s="13" t="s">
        <v>26</v>
      </c>
      <c r="C4309" s="13" t="s">
        <v>226</v>
      </c>
      <c r="D4309" s="14" t="s">
        <v>320</v>
      </c>
      <c r="E4309" s="13" t="s">
        <v>61</v>
      </c>
      <c r="F4309" s="13" t="s">
        <v>1573</v>
      </c>
      <c r="G4309" s="13">
        <v>0.72</v>
      </c>
      <c r="H4309" s="15">
        <v>1820</v>
      </c>
      <c r="I4309" s="16">
        <v>1310.4000000000001</v>
      </c>
      <c r="J4309" s="16">
        <v>1289.813843491964</v>
      </c>
      <c r="K4309" s="16">
        <v>20.586156508035931</v>
      </c>
      <c r="L4309" s="13">
        <v>1.34</v>
      </c>
      <c r="M4309" s="13"/>
      <c r="N4309" s="17">
        <f t="shared" si="142"/>
        <v>2438.8000000000002</v>
      </c>
      <c r="O4309" s="17">
        <f t="shared" si="142"/>
        <v>0</v>
      </c>
      <c r="P4309" s="17">
        <f t="shared" si="143"/>
        <v>2438.8000000000002</v>
      </c>
      <c r="Q4309" t="str">
        <f>A4309&amp;"-"&amp;B4309&amp;"-"&amp;D4309</f>
        <v>SEPTEMBER-MJ2-L13</v>
      </c>
    </row>
    <row r="4310" spans="1:17" x14ac:dyDescent="0.25">
      <c r="A4310" t="s">
        <v>399</v>
      </c>
      <c r="B4310" s="13" t="s">
        <v>26</v>
      </c>
      <c r="C4310" s="13" t="s">
        <v>226</v>
      </c>
      <c r="D4310" s="14" t="s">
        <v>320</v>
      </c>
      <c r="E4310" s="13" t="s">
        <v>61</v>
      </c>
      <c r="F4310" s="13" t="s">
        <v>1578</v>
      </c>
      <c r="G4310" s="13">
        <v>0.79</v>
      </c>
      <c r="H4310" s="15">
        <v>2593</v>
      </c>
      <c r="I4310" s="16">
        <v>2048.4699999999998</v>
      </c>
      <c r="J4310" s="16">
        <v>1431.1745385388735</v>
      </c>
      <c r="K4310" s="16">
        <v>617.29546146112648</v>
      </c>
      <c r="L4310" s="13">
        <v>2.13</v>
      </c>
      <c r="M4310" s="13"/>
      <c r="N4310" s="17">
        <f t="shared" si="142"/>
        <v>5523.09</v>
      </c>
      <c r="O4310" s="17">
        <f t="shared" si="142"/>
        <v>0</v>
      </c>
      <c r="P4310" s="17">
        <f t="shared" si="143"/>
        <v>5523.09</v>
      </c>
      <c r="Q4310" t="str">
        <f>A4310&amp;"-"&amp;B4310&amp;"-"&amp;D4310</f>
        <v>SEPTEMBER-MJ2-L13</v>
      </c>
    </row>
    <row r="4311" spans="1:17" x14ac:dyDescent="0.25">
      <c r="A4311" t="s">
        <v>399</v>
      </c>
      <c r="B4311" s="13" t="s">
        <v>26</v>
      </c>
      <c r="C4311" s="13" t="s">
        <v>226</v>
      </c>
      <c r="D4311" s="14" t="s">
        <v>320</v>
      </c>
      <c r="E4311" s="13" t="s">
        <v>61</v>
      </c>
      <c r="F4311" s="13" t="s">
        <v>1579</v>
      </c>
      <c r="G4311" s="13">
        <v>0.71999999999999986</v>
      </c>
      <c r="H4311" s="15">
        <v>704</v>
      </c>
      <c r="I4311" s="16">
        <v>506.88000000000011</v>
      </c>
      <c r="J4311" s="16">
        <v>376.02516235575575</v>
      </c>
      <c r="K4311" s="16">
        <v>130.8548376442443</v>
      </c>
      <c r="L4311" s="13">
        <v>2.29</v>
      </c>
      <c r="M4311" s="13"/>
      <c r="N4311" s="17">
        <f t="shared" si="142"/>
        <v>1612.16</v>
      </c>
      <c r="O4311" s="17">
        <f t="shared" si="142"/>
        <v>0</v>
      </c>
      <c r="P4311" s="17">
        <f t="shared" si="143"/>
        <v>1612.16</v>
      </c>
      <c r="Q4311" t="str">
        <f>A4311&amp;"-"&amp;B4311&amp;"-"&amp;D4311</f>
        <v>SEPTEMBER-MJ2-L13</v>
      </c>
    </row>
    <row r="4312" spans="1:17" x14ac:dyDescent="0.25">
      <c r="A4312" t="s">
        <v>399</v>
      </c>
      <c r="B4312" s="13" t="s">
        <v>26</v>
      </c>
      <c r="C4312" s="13" t="s">
        <v>226</v>
      </c>
      <c r="D4312" s="14" t="s">
        <v>320</v>
      </c>
      <c r="E4312" s="13" t="s">
        <v>61</v>
      </c>
      <c r="F4312" s="13" t="s">
        <v>1580</v>
      </c>
      <c r="G4312" s="13">
        <v>0.7599999999999999</v>
      </c>
      <c r="H4312" s="15">
        <v>2449</v>
      </c>
      <c r="I4312" s="16">
        <v>1861.2399999999998</v>
      </c>
      <c r="J4312" s="16">
        <v>1695.0353499622286</v>
      </c>
      <c r="K4312" s="16">
        <v>166.20465003777127</v>
      </c>
      <c r="L4312" s="13">
        <v>2</v>
      </c>
      <c r="M4312" s="13"/>
      <c r="N4312" s="17">
        <f t="shared" si="142"/>
        <v>4898</v>
      </c>
      <c r="O4312" s="17">
        <f t="shared" si="142"/>
        <v>0</v>
      </c>
      <c r="P4312" s="17">
        <f t="shared" si="143"/>
        <v>4898</v>
      </c>
      <c r="Q4312" t="str">
        <f>A4312&amp;"-"&amp;B4312&amp;"-"&amp;D4312</f>
        <v>SEPTEMBER-MJ2-L13</v>
      </c>
    </row>
    <row r="4313" spans="1:17" x14ac:dyDescent="0.25">
      <c r="A4313" t="s">
        <v>399</v>
      </c>
      <c r="B4313" s="13" t="s">
        <v>26</v>
      </c>
      <c r="C4313" s="13" t="s">
        <v>226</v>
      </c>
      <c r="D4313" s="14" t="s">
        <v>320</v>
      </c>
      <c r="E4313" s="13" t="s">
        <v>61</v>
      </c>
      <c r="F4313" s="13" t="s">
        <v>1581</v>
      </c>
      <c r="G4313" s="13">
        <v>0.72999999999999987</v>
      </c>
      <c r="H4313" s="15">
        <v>719</v>
      </c>
      <c r="I4313" s="16">
        <v>524.87</v>
      </c>
      <c r="J4313" s="16">
        <v>496.09005963465444</v>
      </c>
      <c r="K4313" s="16">
        <v>28.779940365345535</v>
      </c>
      <c r="L4313" s="13">
        <v>2.14</v>
      </c>
      <c r="M4313" s="13"/>
      <c r="N4313" s="17">
        <f t="shared" si="142"/>
        <v>1538.66</v>
      </c>
      <c r="O4313" s="17">
        <f t="shared" si="142"/>
        <v>0</v>
      </c>
      <c r="P4313" s="17">
        <f t="shared" si="143"/>
        <v>1538.66</v>
      </c>
      <c r="Q4313" t="str">
        <f>A4313&amp;"-"&amp;B4313&amp;"-"&amp;D4313</f>
        <v>SEPTEMBER-MJ2-L13</v>
      </c>
    </row>
    <row r="4314" spans="1:17" x14ac:dyDescent="0.25">
      <c r="A4314" t="s">
        <v>399</v>
      </c>
      <c r="B4314" s="13" t="s">
        <v>26</v>
      </c>
      <c r="C4314" s="13" t="s">
        <v>226</v>
      </c>
      <c r="D4314" s="14" t="s">
        <v>320</v>
      </c>
      <c r="E4314" s="13" t="s">
        <v>61</v>
      </c>
      <c r="F4314" s="13" t="s">
        <v>1389</v>
      </c>
      <c r="G4314" s="13">
        <v>0.79</v>
      </c>
      <c r="H4314" s="15">
        <v>3713</v>
      </c>
      <c r="I4314" s="16">
        <v>2933.2700000000004</v>
      </c>
      <c r="J4314" s="16">
        <v>2251.9937090879257</v>
      </c>
      <c r="K4314" s="16">
        <v>681.27629091207405</v>
      </c>
      <c r="L4314" s="13">
        <v>2.14</v>
      </c>
      <c r="M4314" s="13"/>
      <c r="N4314" s="17">
        <f t="shared" si="142"/>
        <v>7945.8200000000006</v>
      </c>
      <c r="O4314" s="17">
        <f t="shared" si="142"/>
        <v>0</v>
      </c>
      <c r="P4314" s="17">
        <f t="shared" si="143"/>
        <v>7945.8200000000006</v>
      </c>
      <c r="Q4314" t="str">
        <f>A4314&amp;"-"&amp;B4314&amp;"-"&amp;D4314</f>
        <v>SEPTEMBER-MJ2-L13</v>
      </c>
    </row>
    <row r="4315" spans="1:17" x14ac:dyDescent="0.25">
      <c r="A4315" t="s">
        <v>399</v>
      </c>
      <c r="B4315" s="13" t="s">
        <v>26</v>
      </c>
      <c r="C4315" s="13" t="s">
        <v>226</v>
      </c>
      <c r="D4315" s="14" t="s">
        <v>320</v>
      </c>
      <c r="E4315" s="13" t="s">
        <v>61</v>
      </c>
      <c r="F4315" s="13" t="s">
        <v>1582</v>
      </c>
      <c r="G4315" s="13">
        <v>0.7599999999999999</v>
      </c>
      <c r="H4315" s="15">
        <v>3358</v>
      </c>
      <c r="I4315" s="16">
        <v>2552.08</v>
      </c>
      <c r="J4315" s="16">
        <v>2472.0168255371977</v>
      </c>
      <c r="K4315" s="16">
        <v>80.063174462801825</v>
      </c>
      <c r="L4315" s="13">
        <v>2</v>
      </c>
      <c r="M4315" s="13"/>
      <c r="N4315" s="17">
        <f t="shared" si="142"/>
        <v>6716</v>
      </c>
      <c r="O4315" s="17">
        <f t="shared" si="142"/>
        <v>0</v>
      </c>
      <c r="P4315" s="17">
        <f t="shared" si="143"/>
        <v>6716</v>
      </c>
      <c r="Q4315" t="str">
        <f>A4315&amp;"-"&amp;B4315&amp;"-"&amp;D4315</f>
        <v>SEPTEMBER-MJ2-L13</v>
      </c>
    </row>
    <row r="4316" spans="1:17" x14ac:dyDescent="0.25">
      <c r="A4316" t="s">
        <v>399</v>
      </c>
      <c r="B4316" s="13" t="s">
        <v>26</v>
      </c>
      <c r="C4316" s="13" t="s">
        <v>226</v>
      </c>
      <c r="D4316" s="14" t="s">
        <v>320</v>
      </c>
      <c r="E4316" s="13" t="s">
        <v>61</v>
      </c>
      <c r="F4316" s="13" t="s">
        <v>1583</v>
      </c>
      <c r="G4316" s="13">
        <v>0.73</v>
      </c>
      <c r="H4316" s="15">
        <v>720</v>
      </c>
      <c r="I4316" s="16">
        <v>525.59999999999991</v>
      </c>
      <c r="J4316" s="16">
        <v>525.64309034775408</v>
      </c>
      <c r="K4316" s="16">
        <v>-4.3090347754108471E-2</v>
      </c>
      <c r="L4316" s="13">
        <v>2.14</v>
      </c>
      <c r="M4316" s="13"/>
      <c r="N4316" s="17">
        <f t="shared" si="142"/>
        <v>1540.8000000000002</v>
      </c>
      <c r="O4316" s="17">
        <f t="shared" si="142"/>
        <v>0</v>
      </c>
      <c r="P4316" s="17">
        <f t="shared" si="143"/>
        <v>1540.8000000000002</v>
      </c>
      <c r="Q4316" t="str">
        <f>A4316&amp;"-"&amp;B4316&amp;"-"&amp;D4316</f>
        <v>SEPTEMBER-MJ2-L13</v>
      </c>
    </row>
    <row r="4317" spans="1:17" x14ac:dyDescent="0.25">
      <c r="A4317" t="s">
        <v>399</v>
      </c>
      <c r="B4317" s="13" t="s">
        <v>26</v>
      </c>
      <c r="C4317" s="13" t="s">
        <v>226</v>
      </c>
      <c r="D4317" s="14" t="s">
        <v>320</v>
      </c>
      <c r="E4317" s="13" t="s">
        <v>61</v>
      </c>
      <c r="F4317" s="13" t="s">
        <v>1584</v>
      </c>
      <c r="G4317" s="13">
        <v>0.76</v>
      </c>
      <c r="H4317" s="15">
        <v>6632</v>
      </c>
      <c r="I4317" s="16">
        <v>5040.32</v>
      </c>
      <c r="J4317" s="16">
        <v>4158.3391296992013</v>
      </c>
      <c r="K4317" s="16">
        <v>881.98087030079932</v>
      </c>
      <c r="L4317" s="13">
        <v>1.94</v>
      </c>
      <c r="M4317" s="13"/>
      <c r="N4317" s="17">
        <f t="shared" si="142"/>
        <v>12866.08</v>
      </c>
      <c r="O4317" s="17">
        <f t="shared" si="142"/>
        <v>0</v>
      </c>
      <c r="P4317" s="17">
        <f t="shared" si="143"/>
        <v>12866.08</v>
      </c>
      <c r="Q4317" t="str">
        <f>A4317&amp;"-"&amp;B4317&amp;"-"&amp;D4317</f>
        <v>SEPTEMBER-MJ2-L13</v>
      </c>
    </row>
    <row r="4318" spans="1:17" x14ac:dyDescent="0.25">
      <c r="A4318" t="s">
        <v>399</v>
      </c>
      <c r="B4318" s="13" t="s">
        <v>26</v>
      </c>
      <c r="C4318" s="13" t="s">
        <v>226</v>
      </c>
      <c r="D4318" s="14" t="s">
        <v>320</v>
      </c>
      <c r="E4318" s="13" t="s">
        <v>61</v>
      </c>
      <c r="F4318" s="13" t="s">
        <v>1585</v>
      </c>
      <c r="G4318" s="13">
        <v>0.69</v>
      </c>
      <c r="H4318" s="15">
        <v>158</v>
      </c>
      <c r="I4318" s="16">
        <v>109.02</v>
      </c>
      <c r="J4318" s="16">
        <v>96.827236916150824</v>
      </c>
      <c r="K4318" s="16">
        <v>12.192763083849172</v>
      </c>
      <c r="L4318" s="13">
        <v>2.0699999999999998</v>
      </c>
      <c r="M4318" s="13"/>
      <c r="N4318" s="17">
        <f t="shared" si="142"/>
        <v>327.06</v>
      </c>
      <c r="O4318" s="17">
        <f t="shared" si="142"/>
        <v>0</v>
      </c>
      <c r="P4318" s="17">
        <f t="shared" si="143"/>
        <v>327.06</v>
      </c>
      <c r="Q4318" t="str">
        <f>A4318&amp;"-"&amp;B4318&amp;"-"&amp;D4318</f>
        <v>SEPTEMBER-MJ2-L13</v>
      </c>
    </row>
    <row r="4319" spans="1:17" x14ac:dyDescent="0.25">
      <c r="A4319" t="s">
        <v>399</v>
      </c>
      <c r="B4319" s="13" t="s">
        <v>26</v>
      </c>
      <c r="C4319" s="13" t="s">
        <v>226</v>
      </c>
      <c r="D4319" s="14" t="s">
        <v>320</v>
      </c>
      <c r="E4319" s="13" t="s">
        <v>61</v>
      </c>
      <c r="F4319" s="13" t="s">
        <v>1165</v>
      </c>
      <c r="G4319" s="13">
        <v>0.65</v>
      </c>
      <c r="H4319" s="15">
        <v>64</v>
      </c>
      <c r="I4319" s="16">
        <v>41.6</v>
      </c>
      <c r="J4319" s="16">
        <v>29.100626304801672</v>
      </c>
      <c r="K4319" s="16">
        <v>12.499373695198329</v>
      </c>
      <c r="L4319" s="13">
        <v>1.66</v>
      </c>
      <c r="M4319" s="13"/>
      <c r="N4319" s="17">
        <f t="shared" si="142"/>
        <v>106.24</v>
      </c>
      <c r="O4319" s="17">
        <f t="shared" si="142"/>
        <v>0</v>
      </c>
      <c r="P4319" s="17">
        <f t="shared" si="143"/>
        <v>106.24</v>
      </c>
      <c r="Q4319" t="str">
        <f>A4319&amp;"-"&amp;B4319&amp;"-"&amp;D4319</f>
        <v>SEPTEMBER-MJ2-L13</v>
      </c>
    </row>
    <row r="4320" spans="1:17" x14ac:dyDescent="0.25">
      <c r="A4320" t="s">
        <v>399</v>
      </c>
      <c r="B4320" s="13" t="s">
        <v>26</v>
      </c>
      <c r="C4320" s="13" t="s">
        <v>226</v>
      </c>
      <c r="D4320" s="14" t="s">
        <v>320</v>
      </c>
      <c r="E4320" s="13" t="s">
        <v>61</v>
      </c>
      <c r="F4320" s="13" t="s">
        <v>1390</v>
      </c>
      <c r="G4320" s="13">
        <v>0.65</v>
      </c>
      <c r="H4320" s="15">
        <v>7</v>
      </c>
      <c r="I4320" s="16">
        <v>4.55</v>
      </c>
      <c r="J4320" s="16">
        <v>3.1828810020876825</v>
      </c>
      <c r="K4320" s="16">
        <v>1.3671189979123173</v>
      </c>
      <c r="L4320" s="13">
        <v>1.66</v>
      </c>
      <c r="M4320" s="13"/>
      <c r="N4320" s="17">
        <f t="shared" si="142"/>
        <v>11.62</v>
      </c>
      <c r="O4320" s="17">
        <f t="shared" si="142"/>
        <v>0</v>
      </c>
      <c r="P4320" s="17">
        <f t="shared" si="143"/>
        <v>11.62</v>
      </c>
      <c r="Q4320" t="str">
        <f>A4320&amp;"-"&amp;B4320&amp;"-"&amp;D4320</f>
        <v>SEPTEMBER-MJ2-L13</v>
      </c>
    </row>
    <row r="4321" spans="1:17" x14ac:dyDescent="0.25">
      <c r="A4321" t="s">
        <v>399</v>
      </c>
      <c r="B4321" s="13" t="s">
        <v>26</v>
      </c>
      <c r="C4321" s="13" t="s">
        <v>226</v>
      </c>
      <c r="D4321" s="14" t="s">
        <v>1079</v>
      </c>
      <c r="E4321" s="13" t="s">
        <v>61</v>
      </c>
      <c r="F4321" s="13" t="s">
        <v>1561</v>
      </c>
      <c r="G4321" s="13">
        <v>0.68</v>
      </c>
      <c r="H4321" s="15">
        <v>1370</v>
      </c>
      <c r="I4321" s="16">
        <v>931.6</v>
      </c>
      <c r="J4321" s="16">
        <v>1063.3856022808268</v>
      </c>
      <c r="K4321" s="16">
        <v>-131.78560228082677</v>
      </c>
      <c r="L4321" s="13">
        <v>1.69</v>
      </c>
      <c r="M4321" s="13"/>
      <c r="N4321" s="17">
        <f t="shared" si="142"/>
        <v>2315.2999999999997</v>
      </c>
      <c r="O4321" s="17">
        <f t="shared" si="142"/>
        <v>0</v>
      </c>
      <c r="P4321" s="17">
        <f t="shared" si="143"/>
        <v>2315.2999999999997</v>
      </c>
      <c r="Q4321" t="str">
        <f>A4321&amp;"-"&amp;B4321&amp;"-"&amp;D4321</f>
        <v>SEPTEMBER-MJ2-L14</v>
      </c>
    </row>
    <row r="4322" spans="1:17" x14ac:dyDescent="0.25">
      <c r="A4322" t="s">
        <v>399</v>
      </c>
      <c r="B4322" s="13" t="s">
        <v>26</v>
      </c>
      <c r="C4322" s="13" t="s">
        <v>226</v>
      </c>
      <c r="D4322" s="14" t="s">
        <v>1079</v>
      </c>
      <c r="E4322" s="13" t="s">
        <v>61</v>
      </c>
      <c r="F4322" s="13" t="s">
        <v>1562</v>
      </c>
      <c r="G4322" s="13">
        <v>0.66</v>
      </c>
      <c r="H4322" s="15">
        <v>3374</v>
      </c>
      <c r="I4322" s="16">
        <v>2226.8399999999997</v>
      </c>
      <c r="J4322" s="16">
        <v>2383.030935020915</v>
      </c>
      <c r="K4322" s="16">
        <v>-156.19093502091485</v>
      </c>
      <c r="L4322" s="13">
        <v>1.71</v>
      </c>
      <c r="M4322" s="13"/>
      <c r="N4322" s="17">
        <f t="shared" si="142"/>
        <v>5769.54</v>
      </c>
      <c r="O4322" s="17">
        <f t="shared" si="142"/>
        <v>0</v>
      </c>
      <c r="P4322" s="17">
        <f t="shared" si="143"/>
        <v>5769.54</v>
      </c>
      <c r="Q4322" t="str">
        <f>A4322&amp;"-"&amp;B4322&amp;"-"&amp;D4322</f>
        <v>SEPTEMBER-MJ2-L14</v>
      </c>
    </row>
    <row r="4323" spans="1:17" x14ac:dyDescent="0.25">
      <c r="A4323" t="s">
        <v>399</v>
      </c>
      <c r="B4323" s="13" t="s">
        <v>26</v>
      </c>
      <c r="C4323" s="13" t="s">
        <v>226</v>
      </c>
      <c r="D4323" s="14" t="s">
        <v>1079</v>
      </c>
      <c r="E4323" s="13" t="s">
        <v>61</v>
      </c>
      <c r="F4323" s="13" t="s">
        <v>1361</v>
      </c>
      <c r="G4323" s="13">
        <v>0.7</v>
      </c>
      <c r="H4323" s="15">
        <v>230</v>
      </c>
      <c r="I4323" s="16">
        <v>161</v>
      </c>
      <c r="J4323" s="16">
        <v>166.98</v>
      </c>
      <c r="K4323" s="16">
        <v>-5.9799999999999898</v>
      </c>
      <c r="L4323" s="13">
        <v>1.3</v>
      </c>
      <c r="M4323" s="13"/>
      <c r="N4323" s="17">
        <f t="shared" si="142"/>
        <v>299</v>
      </c>
      <c r="O4323" s="17">
        <f t="shared" si="142"/>
        <v>0</v>
      </c>
      <c r="P4323" s="17">
        <f t="shared" si="143"/>
        <v>299</v>
      </c>
      <c r="Q4323" t="str">
        <f>A4323&amp;"-"&amp;B4323&amp;"-"&amp;D4323</f>
        <v>SEPTEMBER-MJ2-L14</v>
      </c>
    </row>
    <row r="4324" spans="1:17" x14ac:dyDescent="0.25">
      <c r="A4324" t="s">
        <v>399</v>
      </c>
      <c r="B4324" s="13" t="s">
        <v>26</v>
      </c>
      <c r="C4324" s="13" t="s">
        <v>226</v>
      </c>
      <c r="D4324" s="14" t="s">
        <v>1079</v>
      </c>
      <c r="E4324" s="13" t="s">
        <v>61</v>
      </c>
      <c r="F4324" s="13" t="s">
        <v>1563</v>
      </c>
      <c r="G4324" s="13">
        <v>0.71</v>
      </c>
      <c r="H4324" s="15">
        <v>1990</v>
      </c>
      <c r="I4324" s="16">
        <v>1412.8999999999999</v>
      </c>
      <c r="J4324" s="16">
        <v>1389.5779275100242</v>
      </c>
      <c r="K4324" s="16">
        <v>23.322072489975689</v>
      </c>
      <c r="L4324" s="13">
        <v>1.29</v>
      </c>
      <c r="M4324" s="13"/>
      <c r="N4324" s="17">
        <f t="shared" si="142"/>
        <v>2567.1</v>
      </c>
      <c r="O4324" s="17">
        <f t="shared" si="142"/>
        <v>0</v>
      </c>
      <c r="P4324" s="17">
        <f t="shared" si="143"/>
        <v>2567.1</v>
      </c>
      <c r="Q4324" t="str">
        <f>A4324&amp;"-"&amp;B4324&amp;"-"&amp;D4324</f>
        <v>SEPTEMBER-MJ2-L14</v>
      </c>
    </row>
    <row r="4325" spans="1:17" x14ac:dyDescent="0.25">
      <c r="A4325" t="s">
        <v>399</v>
      </c>
      <c r="B4325" s="13" t="s">
        <v>26</v>
      </c>
      <c r="C4325" s="13" t="s">
        <v>226</v>
      </c>
      <c r="D4325" s="14" t="s">
        <v>1079</v>
      </c>
      <c r="E4325" s="13" t="s">
        <v>61</v>
      </c>
      <c r="F4325" s="13" t="s">
        <v>1564</v>
      </c>
      <c r="G4325" s="13">
        <v>0.69999999999999984</v>
      </c>
      <c r="H4325" s="15">
        <v>1013</v>
      </c>
      <c r="I4325" s="16">
        <v>709.1</v>
      </c>
      <c r="J4325" s="16">
        <v>942.63487457751819</v>
      </c>
      <c r="K4325" s="16">
        <v>-233.53487457751817</v>
      </c>
      <c r="L4325" s="13">
        <v>1.3</v>
      </c>
      <c r="M4325" s="13"/>
      <c r="N4325" s="17">
        <f t="shared" si="142"/>
        <v>1316.9</v>
      </c>
      <c r="O4325" s="17">
        <f t="shared" si="142"/>
        <v>0</v>
      </c>
      <c r="P4325" s="17">
        <f t="shared" si="143"/>
        <v>1316.9</v>
      </c>
      <c r="Q4325" t="str">
        <f>A4325&amp;"-"&amp;B4325&amp;"-"&amp;D4325</f>
        <v>SEPTEMBER-MJ2-L14</v>
      </c>
    </row>
    <row r="4326" spans="1:17" x14ac:dyDescent="0.25">
      <c r="A4326" t="s">
        <v>399</v>
      </c>
      <c r="B4326" s="13" t="s">
        <v>26</v>
      </c>
      <c r="C4326" s="13" t="s">
        <v>226</v>
      </c>
      <c r="D4326" s="14" t="s">
        <v>1079</v>
      </c>
      <c r="E4326" s="13" t="s">
        <v>61</v>
      </c>
      <c r="F4326" s="13" t="s">
        <v>1565</v>
      </c>
      <c r="G4326" s="13">
        <v>0.83</v>
      </c>
      <c r="H4326" s="15">
        <v>3090</v>
      </c>
      <c r="I4326" s="16">
        <v>2564.6999999999998</v>
      </c>
      <c r="J4326" s="16">
        <v>2590.8450742982941</v>
      </c>
      <c r="K4326" s="16">
        <v>-26.145074298293821</v>
      </c>
      <c r="L4326" s="13">
        <v>2.13</v>
      </c>
      <c r="M4326" s="13"/>
      <c r="N4326" s="17">
        <f t="shared" si="142"/>
        <v>6581.7</v>
      </c>
      <c r="O4326" s="17">
        <f t="shared" si="142"/>
        <v>0</v>
      </c>
      <c r="P4326" s="17">
        <f t="shared" si="143"/>
        <v>6581.7</v>
      </c>
      <c r="Q4326" t="str">
        <f>A4326&amp;"-"&amp;B4326&amp;"-"&amp;D4326</f>
        <v>SEPTEMBER-MJ2-L14</v>
      </c>
    </row>
    <row r="4327" spans="1:17" x14ac:dyDescent="0.25">
      <c r="A4327" t="s">
        <v>399</v>
      </c>
      <c r="B4327" s="13" t="s">
        <v>26</v>
      </c>
      <c r="C4327" s="13" t="s">
        <v>226</v>
      </c>
      <c r="D4327" s="14" t="s">
        <v>1079</v>
      </c>
      <c r="E4327" s="13" t="s">
        <v>61</v>
      </c>
      <c r="F4327" s="13" t="s">
        <v>1196</v>
      </c>
      <c r="G4327" s="13">
        <v>0.65</v>
      </c>
      <c r="H4327" s="15">
        <v>5346</v>
      </c>
      <c r="I4327" s="16">
        <v>3474.9</v>
      </c>
      <c r="J4327" s="16">
        <v>3367.158226262583</v>
      </c>
      <c r="K4327" s="16">
        <v>107.74177373741743</v>
      </c>
      <c r="L4327" s="13">
        <v>1.66</v>
      </c>
      <c r="M4327" s="13"/>
      <c r="N4327" s="17">
        <f t="shared" si="142"/>
        <v>8874.3599999999988</v>
      </c>
      <c r="O4327" s="17">
        <f t="shared" si="142"/>
        <v>0</v>
      </c>
      <c r="P4327" s="17">
        <f t="shared" si="143"/>
        <v>8874.3599999999988</v>
      </c>
      <c r="Q4327" t="str">
        <f>A4327&amp;"-"&amp;B4327&amp;"-"&amp;D4327</f>
        <v>SEPTEMBER-MJ2-L14</v>
      </c>
    </row>
    <row r="4328" spans="1:17" x14ac:dyDescent="0.25">
      <c r="A4328" t="s">
        <v>399</v>
      </c>
      <c r="B4328" s="13" t="s">
        <v>26</v>
      </c>
      <c r="C4328" s="13" t="s">
        <v>226</v>
      </c>
      <c r="D4328" s="14" t="s">
        <v>1079</v>
      </c>
      <c r="E4328" s="13" t="s">
        <v>61</v>
      </c>
      <c r="F4328" s="13" t="s">
        <v>1197</v>
      </c>
      <c r="G4328" s="13">
        <v>0.65</v>
      </c>
      <c r="H4328" s="15">
        <v>805</v>
      </c>
      <c r="I4328" s="16">
        <v>523.25</v>
      </c>
      <c r="J4328" s="16">
        <v>511.38130183778088</v>
      </c>
      <c r="K4328" s="16">
        <v>11.86869816221914</v>
      </c>
      <c r="L4328" s="13">
        <v>1.79</v>
      </c>
      <c r="M4328" s="13"/>
      <c r="N4328" s="17">
        <f t="shared" si="142"/>
        <v>1440.95</v>
      </c>
      <c r="O4328" s="17">
        <f t="shared" si="142"/>
        <v>0</v>
      </c>
      <c r="P4328" s="17">
        <f t="shared" si="143"/>
        <v>1440.95</v>
      </c>
      <c r="Q4328" t="str">
        <f>A4328&amp;"-"&amp;B4328&amp;"-"&amp;D4328</f>
        <v>SEPTEMBER-MJ2-L14</v>
      </c>
    </row>
    <row r="4329" spans="1:17" x14ac:dyDescent="0.25">
      <c r="A4329" t="s">
        <v>399</v>
      </c>
      <c r="B4329" s="13" t="s">
        <v>26</v>
      </c>
      <c r="C4329" s="13" t="s">
        <v>226</v>
      </c>
      <c r="D4329" s="14" t="s">
        <v>1079</v>
      </c>
      <c r="E4329" s="13" t="s">
        <v>61</v>
      </c>
      <c r="F4329" s="13" t="s">
        <v>1198</v>
      </c>
      <c r="G4329" s="13">
        <v>0.65</v>
      </c>
      <c r="H4329" s="15">
        <v>4055</v>
      </c>
      <c r="I4329" s="16">
        <v>2635.75</v>
      </c>
      <c r="J4329" s="16">
        <v>2352.9060959067519</v>
      </c>
      <c r="K4329" s="16">
        <v>282.84390409324828</v>
      </c>
      <c r="L4329" s="13">
        <v>1.66</v>
      </c>
      <c r="M4329" s="13"/>
      <c r="N4329" s="17">
        <f t="shared" si="142"/>
        <v>6731.2999999999993</v>
      </c>
      <c r="O4329" s="17">
        <f t="shared" si="142"/>
        <v>0</v>
      </c>
      <c r="P4329" s="17">
        <f t="shared" si="143"/>
        <v>6731.2999999999993</v>
      </c>
      <c r="Q4329" t="str">
        <f>A4329&amp;"-"&amp;B4329&amp;"-"&amp;D4329</f>
        <v>SEPTEMBER-MJ2-L14</v>
      </c>
    </row>
    <row r="4330" spans="1:17" x14ac:dyDescent="0.25">
      <c r="A4330" t="s">
        <v>399</v>
      </c>
      <c r="B4330" s="13" t="s">
        <v>26</v>
      </c>
      <c r="C4330" s="13" t="s">
        <v>226</v>
      </c>
      <c r="D4330" s="14" t="s">
        <v>1079</v>
      </c>
      <c r="E4330" s="13" t="s">
        <v>61</v>
      </c>
      <c r="F4330" s="13" t="s">
        <v>1199</v>
      </c>
      <c r="G4330" s="13">
        <v>0.65</v>
      </c>
      <c r="H4330" s="15">
        <v>824</v>
      </c>
      <c r="I4330" s="16">
        <v>535.6</v>
      </c>
      <c r="J4330" s="16">
        <v>478.09996230530652</v>
      </c>
      <c r="K4330" s="16">
        <v>57.500037694693447</v>
      </c>
      <c r="L4330" s="13">
        <v>1.79</v>
      </c>
      <c r="M4330" s="13"/>
      <c r="N4330" s="17">
        <f t="shared" si="142"/>
        <v>1474.96</v>
      </c>
      <c r="O4330" s="17">
        <f t="shared" si="142"/>
        <v>0</v>
      </c>
      <c r="P4330" s="17">
        <f t="shared" si="143"/>
        <v>1474.96</v>
      </c>
      <c r="Q4330" t="str">
        <f>A4330&amp;"-"&amp;B4330&amp;"-"&amp;D4330</f>
        <v>SEPTEMBER-MJ2-L14</v>
      </c>
    </row>
    <row r="4331" spans="1:17" x14ac:dyDescent="0.25">
      <c r="A4331" t="s">
        <v>399</v>
      </c>
      <c r="B4331" s="13" t="s">
        <v>26</v>
      </c>
      <c r="C4331" s="13" t="s">
        <v>226</v>
      </c>
      <c r="D4331" s="14" t="s">
        <v>50</v>
      </c>
      <c r="E4331" s="13" t="s">
        <v>61</v>
      </c>
      <c r="F4331" s="13" t="s">
        <v>1392</v>
      </c>
      <c r="G4331" s="13">
        <v>0.65</v>
      </c>
      <c r="H4331" s="15">
        <v>5561</v>
      </c>
      <c r="I4331" s="16">
        <v>3614.65</v>
      </c>
      <c r="J4331" s="16">
        <v>3883.5276427356703</v>
      </c>
      <c r="K4331" s="16">
        <v>-268.87764273567069</v>
      </c>
      <c r="L4331" s="13">
        <v>1.72</v>
      </c>
      <c r="M4331" s="13"/>
      <c r="N4331" s="17">
        <f t="shared" si="142"/>
        <v>9564.92</v>
      </c>
      <c r="O4331" s="17">
        <f t="shared" si="142"/>
        <v>0</v>
      </c>
      <c r="P4331" s="17">
        <f t="shared" si="143"/>
        <v>9564.92</v>
      </c>
      <c r="Q4331" t="str">
        <f>A4331&amp;"-"&amp;B4331&amp;"-"&amp;D4331</f>
        <v>SEPTEMBER-MJ2-L2</v>
      </c>
    </row>
    <row r="4332" spans="1:17" x14ac:dyDescent="0.25">
      <c r="A4332" t="s">
        <v>399</v>
      </c>
      <c r="B4332" s="13" t="s">
        <v>26</v>
      </c>
      <c r="C4332" s="13" t="s">
        <v>226</v>
      </c>
      <c r="D4332" s="14" t="s">
        <v>50</v>
      </c>
      <c r="E4332" s="13" t="s">
        <v>61</v>
      </c>
      <c r="F4332" s="13" t="s">
        <v>1586</v>
      </c>
      <c r="G4332" s="13">
        <v>0.65</v>
      </c>
      <c r="H4332" s="15">
        <v>2270</v>
      </c>
      <c r="I4332" s="16">
        <v>1475.5</v>
      </c>
      <c r="J4332" s="16">
        <v>1718.2753595405327</v>
      </c>
      <c r="K4332" s="16">
        <v>-242.77535954053266</v>
      </c>
      <c r="L4332" s="13">
        <v>1.72</v>
      </c>
      <c r="M4332" s="13"/>
      <c r="N4332" s="17">
        <f t="shared" si="142"/>
        <v>3904.4</v>
      </c>
      <c r="O4332" s="17">
        <f t="shared" si="142"/>
        <v>0</v>
      </c>
      <c r="P4332" s="17">
        <f t="shared" si="143"/>
        <v>3904.4</v>
      </c>
      <c r="Q4332" t="str">
        <f>A4332&amp;"-"&amp;B4332&amp;"-"&amp;D4332</f>
        <v>SEPTEMBER-MJ2-L2</v>
      </c>
    </row>
    <row r="4333" spans="1:17" x14ac:dyDescent="0.25">
      <c r="A4333" t="s">
        <v>399</v>
      </c>
      <c r="B4333" s="13" t="s">
        <v>26</v>
      </c>
      <c r="C4333" s="13" t="s">
        <v>226</v>
      </c>
      <c r="D4333" s="14" t="s">
        <v>50</v>
      </c>
      <c r="E4333" s="13" t="s">
        <v>61</v>
      </c>
      <c r="F4333" s="13" t="s">
        <v>1587</v>
      </c>
      <c r="G4333" s="13">
        <v>0.64</v>
      </c>
      <c r="H4333" s="15">
        <v>594</v>
      </c>
      <c r="I4333" s="16">
        <v>380.15999999999997</v>
      </c>
      <c r="J4333" s="16">
        <v>468.42019658755157</v>
      </c>
      <c r="K4333" s="16">
        <v>-88.260196587551576</v>
      </c>
      <c r="L4333" s="13">
        <v>1.85</v>
      </c>
      <c r="M4333" s="13"/>
      <c r="N4333" s="17">
        <f t="shared" si="142"/>
        <v>1098.9000000000001</v>
      </c>
      <c r="O4333" s="17">
        <f t="shared" si="142"/>
        <v>0</v>
      </c>
      <c r="P4333" s="17">
        <f t="shared" si="143"/>
        <v>1098.9000000000001</v>
      </c>
      <c r="Q4333" t="str">
        <f>A4333&amp;"-"&amp;B4333&amp;"-"&amp;D4333</f>
        <v>SEPTEMBER-MJ2-L2</v>
      </c>
    </row>
    <row r="4334" spans="1:17" x14ac:dyDescent="0.25">
      <c r="A4334" t="s">
        <v>399</v>
      </c>
      <c r="B4334" s="13" t="s">
        <v>26</v>
      </c>
      <c r="C4334" s="13" t="s">
        <v>226</v>
      </c>
      <c r="D4334" s="14" t="s">
        <v>50</v>
      </c>
      <c r="E4334" s="13" t="s">
        <v>61</v>
      </c>
      <c r="F4334" s="13" t="s">
        <v>1588</v>
      </c>
      <c r="G4334" s="13">
        <v>0.65</v>
      </c>
      <c r="H4334" s="15">
        <v>3193</v>
      </c>
      <c r="I4334" s="16">
        <v>2075.4500000000003</v>
      </c>
      <c r="J4334" s="16">
        <v>1961.5707945052889</v>
      </c>
      <c r="K4334" s="16">
        <v>113.87920549471119</v>
      </c>
      <c r="L4334" s="13">
        <v>1.91</v>
      </c>
      <c r="M4334" s="13"/>
      <c r="N4334" s="17">
        <f t="shared" si="142"/>
        <v>6098.63</v>
      </c>
      <c r="O4334" s="17">
        <f t="shared" si="142"/>
        <v>0</v>
      </c>
      <c r="P4334" s="17">
        <f t="shared" si="143"/>
        <v>6098.63</v>
      </c>
      <c r="Q4334" t="str">
        <f>A4334&amp;"-"&amp;B4334&amp;"-"&amp;D4334</f>
        <v>SEPTEMBER-MJ2-L2</v>
      </c>
    </row>
    <row r="4335" spans="1:17" x14ac:dyDescent="0.25">
      <c r="A4335" t="s">
        <v>399</v>
      </c>
      <c r="B4335" s="13" t="s">
        <v>26</v>
      </c>
      <c r="C4335" s="13" t="s">
        <v>226</v>
      </c>
      <c r="D4335" s="14" t="s">
        <v>50</v>
      </c>
      <c r="E4335" s="13" t="s">
        <v>61</v>
      </c>
      <c r="F4335" s="13" t="s">
        <v>1568</v>
      </c>
      <c r="G4335" s="13">
        <v>0.68</v>
      </c>
      <c r="H4335" s="15">
        <v>5139</v>
      </c>
      <c r="I4335" s="16">
        <v>3494.52</v>
      </c>
      <c r="J4335" s="16">
        <v>3229.0657306834141</v>
      </c>
      <c r="K4335" s="16">
        <v>265.45426931658591</v>
      </c>
      <c r="L4335" s="13">
        <v>1.82</v>
      </c>
      <c r="M4335" s="13"/>
      <c r="N4335" s="17">
        <f t="shared" si="142"/>
        <v>9352.98</v>
      </c>
      <c r="O4335" s="17">
        <f t="shared" si="142"/>
        <v>0</v>
      </c>
      <c r="P4335" s="17">
        <f t="shared" si="143"/>
        <v>9352.98</v>
      </c>
      <c r="Q4335" t="str">
        <f>A4335&amp;"-"&amp;B4335&amp;"-"&amp;D4335</f>
        <v>SEPTEMBER-MJ2-L2</v>
      </c>
    </row>
    <row r="4336" spans="1:17" x14ac:dyDescent="0.25">
      <c r="A4336" t="s">
        <v>399</v>
      </c>
      <c r="B4336" s="13" t="s">
        <v>26</v>
      </c>
      <c r="C4336" s="13" t="s">
        <v>226</v>
      </c>
      <c r="D4336" s="14" t="s">
        <v>50</v>
      </c>
      <c r="E4336" s="13" t="s">
        <v>61</v>
      </c>
      <c r="F4336" s="13" t="s">
        <v>1589</v>
      </c>
      <c r="G4336" s="13">
        <v>0.65</v>
      </c>
      <c r="H4336" s="15">
        <v>1944</v>
      </c>
      <c r="I4336" s="16">
        <v>1263.5999999999999</v>
      </c>
      <c r="J4336" s="16">
        <v>1226.739692228999</v>
      </c>
      <c r="K4336" s="16">
        <v>36.860307771000763</v>
      </c>
      <c r="L4336" s="13">
        <v>1.91</v>
      </c>
      <c r="M4336" s="13"/>
      <c r="N4336" s="17">
        <f t="shared" si="142"/>
        <v>3713.04</v>
      </c>
      <c r="O4336" s="17">
        <f t="shared" si="142"/>
        <v>0</v>
      </c>
      <c r="P4336" s="17">
        <f t="shared" si="143"/>
        <v>3713.04</v>
      </c>
      <c r="Q4336" t="str">
        <f>A4336&amp;"-"&amp;B4336&amp;"-"&amp;D4336</f>
        <v>SEPTEMBER-MJ2-L2</v>
      </c>
    </row>
    <row r="4337" spans="1:17" x14ac:dyDescent="0.25">
      <c r="A4337" t="s">
        <v>399</v>
      </c>
      <c r="B4337" s="13" t="s">
        <v>26</v>
      </c>
      <c r="C4337" s="13" t="s">
        <v>226</v>
      </c>
      <c r="D4337" s="14" t="s">
        <v>50</v>
      </c>
      <c r="E4337" s="13" t="s">
        <v>61</v>
      </c>
      <c r="F4337" s="13" t="s">
        <v>1590</v>
      </c>
      <c r="G4337" s="13">
        <v>0.65</v>
      </c>
      <c r="H4337" s="15">
        <v>2137</v>
      </c>
      <c r="I4337" s="16">
        <v>1389.0500000000002</v>
      </c>
      <c r="J4337" s="16">
        <v>1811.8348801593784</v>
      </c>
      <c r="K4337" s="16">
        <v>-422.78488015937819</v>
      </c>
      <c r="L4337" s="13">
        <v>1.72</v>
      </c>
      <c r="M4337" s="13"/>
      <c r="N4337" s="17">
        <f t="shared" si="142"/>
        <v>3675.64</v>
      </c>
      <c r="O4337" s="17">
        <f t="shared" si="142"/>
        <v>0</v>
      </c>
      <c r="P4337" s="17">
        <f t="shared" si="143"/>
        <v>3675.64</v>
      </c>
      <c r="Q4337" t="str">
        <f>A4337&amp;"-"&amp;B4337&amp;"-"&amp;D4337</f>
        <v>SEPTEMBER-MJ2-L2</v>
      </c>
    </row>
    <row r="4338" spans="1:17" x14ac:dyDescent="0.25">
      <c r="A4338" t="s">
        <v>399</v>
      </c>
      <c r="B4338" s="13" t="s">
        <v>26</v>
      </c>
      <c r="C4338" s="13" t="s">
        <v>226</v>
      </c>
      <c r="D4338" s="14" t="s">
        <v>50</v>
      </c>
      <c r="E4338" s="13" t="s">
        <v>61</v>
      </c>
      <c r="F4338" s="13" t="s">
        <v>1591</v>
      </c>
      <c r="G4338" s="13">
        <v>0.64</v>
      </c>
      <c r="H4338" s="15">
        <v>539</v>
      </c>
      <c r="I4338" s="16">
        <v>344.96</v>
      </c>
      <c r="J4338" s="16">
        <v>533.62264674426501</v>
      </c>
      <c r="K4338" s="16">
        <v>-188.66264674426506</v>
      </c>
      <c r="L4338" s="13">
        <v>1.85</v>
      </c>
      <c r="M4338" s="13"/>
      <c r="N4338" s="17">
        <f t="shared" si="142"/>
        <v>997.15000000000009</v>
      </c>
      <c r="O4338" s="17">
        <f t="shared" si="142"/>
        <v>0</v>
      </c>
      <c r="P4338" s="17">
        <f t="shared" si="143"/>
        <v>997.15000000000009</v>
      </c>
      <c r="Q4338" t="str">
        <f>A4338&amp;"-"&amp;B4338&amp;"-"&amp;D4338</f>
        <v>SEPTEMBER-MJ2-L2</v>
      </c>
    </row>
    <row r="4339" spans="1:17" x14ac:dyDescent="0.25">
      <c r="A4339" t="s">
        <v>399</v>
      </c>
      <c r="B4339" s="13" t="s">
        <v>26</v>
      </c>
      <c r="C4339" s="13" t="s">
        <v>226</v>
      </c>
      <c r="D4339" s="14" t="s">
        <v>50</v>
      </c>
      <c r="E4339" s="13" t="s">
        <v>61</v>
      </c>
      <c r="F4339" s="13" t="s">
        <v>1394</v>
      </c>
      <c r="G4339" s="13">
        <v>0.67999999999999994</v>
      </c>
      <c r="H4339" s="15">
        <v>1755</v>
      </c>
      <c r="I4339" s="16">
        <v>1193.3999999999999</v>
      </c>
      <c r="J4339" s="16">
        <v>1191.9616455181292</v>
      </c>
      <c r="K4339" s="16">
        <v>1.4383544818706024</v>
      </c>
      <c r="L4339" s="13">
        <v>1.83</v>
      </c>
      <c r="M4339" s="13"/>
      <c r="N4339" s="17">
        <f t="shared" si="142"/>
        <v>3211.65</v>
      </c>
      <c r="O4339" s="17">
        <f t="shared" si="142"/>
        <v>0</v>
      </c>
      <c r="P4339" s="17">
        <f t="shared" si="143"/>
        <v>3211.65</v>
      </c>
      <c r="Q4339" t="str">
        <f>A4339&amp;"-"&amp;B4339&amp;"-"&amp;D4339</f>
        <v>SEPTEMBER-MJ2-L2</v>
      </c>
    </row>
    <row r="4340" spans="1:17" x14ac:dyDescent="0.25">
      <c r="A4340" t="s">
        <v>399</v>
      </c>
      <c r="B4340" s="13" t="s">
        <v>26</v>
      </c>
      <c r="C4340" s="13" t="s">
        <v>226</v>
      </c>
      <c r="D4340" s="14" t="s">
        <v>50</v>
      </c>
      <c r="E4340" s="13" t="s">
        <v>61</v>
      </c>
      <c r="F4340" s="13" t="s">
        <v>1395</v>
      </c>
      <c r="G4340" s="13">
        <v>0.66</v>
      </c>
      <c r="H4340" s="15">
        <v>401</v>
      </c>
      <c r="I4340" s="16">
        <v>264.66000000000003</v>
      </c>
      <c r="J4340" s="16">
        <v>277.59135499396785</v>
      </c>
      <c r="K4340" s="16">
        <v>-12.931354993967817</v>
      </c>
      <c r="L4340" s="13">
        <v>1.98</v>
      </c>
      <c r="M4340" s="13"/>
      <c r="N4340" s="17">
        <f t="shared" si="142"/>
        <v>793.98</v>
      </c>
      <c r="O4340" s="17">
        <f t="shared" si="142"/>
        <v>0</v>
      </c>
      <c r="P4340" s="17">
        <f t="shared" si="143"/>
        <v>793.98</v>
      </c>
      <c r="Q4340" t="str">
        <f>A4340&amp;"-"&amp;B4340&amp;"-"&amp;D4340</f>
        <v>SEPTEMBER-MJ2-L2</v>
      </c>
    </row>
    <row r="4341" spans="1:17" x14ac:dyDescent="0.25">
      <c r="A4341" t="s">
        <v>399</v>
      </c>
      <c r="B4341" s="13" t="s">
        <v>26</v>
      </c>
      <c r="C4341" s="13" t="s">
        <v>226</v>
      </c>
      <c r="D4341" s="14" t="s">
        <v>50</v>
      </c>
      <c r="E4341" s="13" t="s">
        <v>61</v>
      </c>
      <c r="F4341" s="13" t="s">
        <v>1396</v>
      </c>
      <c r="G4341" s="13">
        <v>0.68</v>
      </c>
      <c r="H4341" s="15">
        <v>365</v>
      </c>
      <c r="I4341" s="16">
        <v>248.2</v>
      </c>
      <c r="J4341" s="16">
        <v>259.04406733872531</v>
      </c>
      <c r="K4341" s="16">
        <v>-10.844067338725317</v>
      </c>
      <c r="L4341" s="13">
        <v>1.83</v>
      </c>
      <c r="M4341" s="13"/>
      <c r="N4341" s="17">
        <f t="shared" si="142"/>
        <v>667.95</v>
      </c>
      <c r="O4341" s="17">
        <f t="shared" si="142"/>
        <v>0</v>
      </c>
      <c r="P4341" s="17">
        <f t="shared" si="143"/>
        <v>667.95</v>
      </c>
      <c r="Q4341" t="str">
        <f>A4341&amp;"-"&amp;B4341&amp;"-"&amp;D4341</f>
        <v>SEPTEMBER-MJ2-L2</v>
      </c>
    </row>
    <row r="4342" spans="1:17" x14ac:dyDescent="0.25">
      <c r="A4342" t="s">
        <v>399</v>
      </c>
      <c r="B4342" s="13" t="s">
        <v>26</v>
      </c>
      <c r="C4342" s="13" t="s">
        <v>226</v>
      </c>
      <c r="D4342" s="14" t="s">
        <v>50</v>
      </c>
      <c r="E4342" s="13" t="s">
        <v>61</v>
      </c>
      <c r="F4342" s="13" t="s">
        <v>1397</v>
      </c>
      <c r="G4342" s="13">
        <v>0.66</v>
      </c>
      <c r="H4342" s="15">
        <v>37</v>
      </c>
      <c r="I4342" s="16">
        <v>24.42</v>
      </c>
      <c r="J4342" s="16">
        <v>22.614371718515464</v>
      </c>
      <c r="K4342" s="16">
        <v>1.8056282814845364</v>
      </c>
      <c r="L4342" s="13">
        <v>1.98</v>
      </c>
      <c r="M4342" s="13"/>
      <c r="N4342" s="17">
        <f t="shared" si="142"/>
        <v>73.260000000000005</v>
      </c>
      <c r="O4342" s="17">
        <f t="shared" si="142"/>
        <v>0</v>
      </c>
      <c r="P4342" s="17">
        <f t="shared" si="143"/>
        <v>73.260000000000005</v>
      </c>
      <c r="Q4342" t="str">
        <f>A4342&amp;"-"&amp;B4342&amp;"-"&amp;D4342</f>
        <v>SEPTEMBER-MJ2-L2</v>
      </c>
    </row>
    <row r="4343" spans="1:17" x14ac:dyDescent="0.25">
      <c r="A4343" t="s">
        <v>399</v>
      </c>
      <c r="B4343" s="13" t="s">
        <v>26</v>
      </c>
      <c r="C4343" s="13" t="s">
        <v>226</v>
      </c>
      <c r="D4343" s="14" t="s">
        <v>50</v>
      </c>
      <c r="E4343" s="13" t="s">
        <v>61</v>
      </c>
      <c r="F4343" s="13" t="s">
        <v>1592</v>
      </c>
      <c r="G4343" s="13">
        <v>0.70000000000000007</v>
      </c>
      <c r="H4343" s="15">
        <v>7849</v>
      </c>
      <c r="I4343" s="16">
        <v>5494.2999999999993</v>
      </c>
      <c r="J4343" s="16">
        <v>5155.898828218782</v>
      </c>
      <c r="K4343" s="16">
        <v>338.40117178121778</v>
      </c>
      <c r="L4343" s="13">
        <v>1.76</v>
      </c>
      <c r="M4343" s="13"/>
      <c r="N4343" s="17">
        <f t="shared" si="142"/>
        <v>13814.24</v>
      </c>
      <c r="O4343" s="17">
        <f t="shared" si="142"/>
        <v>0</v>
      </c>
      <c r="P4343" s="17">
        <f t="shared" si="143"/>
        <v>13814.24</v>
      </c>
      <c r="Q4343" t="str">
        <f>A4343&amp;"-"&amp;B4343&amp;"-"&amp;D4343</f>
        <v>SEPTEMBER-MJ2-L2</v>
      </c>
    </row>
    <row r="4344" spans="1:17" x14ac:dyDescent="0.25">
      <c r="A4344" t="s">
        <v>399</v>
      </c>
      <c r="B4344" s="13" t="s">
        <v>26</v>
      </c>
      <c r="C4344" s="13" t="s">
        <v>226</v>
      </c>
      <c r="D4344" s="14" t="s">
        <v>50</v>
      </c>
      <c r="E4344" s="13" t="s">
        <v>61</v>
      </c>
      <c r="F4344" s="13" t="s">
        <v>1390</v>
      </c>
      <c r="G4344" s="13">
        <v>0.65</v>
      </c>
      <c r="H4344" s="15">
        <v>56</v>
      </c>
      <c r="I4344" s="16">
        <v>36.4</v>
      </c>
      <c r="J4344" s="16">
        <v>39.832789026779878</v>
      </c>
      <c r="K4344" s="16">
        <v>-3.4327890267798793</v>
      </c>
      <c r="L4344" s="13">
        <v>1.66</v>
      </c>
      <c r="M4344" s="13"/>
      <c r="N4344" s="17">
        <f t="shared" si="142"/>
        <v>92.96</v>
      </c>
      <c r="O4344" s="17">
        <f t="shared" si="142"/>
        <v>0</v>
      </c>
      <c r="P4344" s="17">
        <f t="shared" si="143"/>
        <v>92.96</v>
      </c>
      <c r="Q4344" t="str">
        <f>A4344&amp;"-"&amp;B4344&amp;"-"&amp;D4344</f>
        <v>SEPTEMBER-MJ2-L2</v>
      </c>
    </row>
    <row r="4345" spans="1:17" x14ac:dyDescent="0.25">
      <c r="A4345" t="s">
        <v>399</v>
      </c>
      <c r="B4345" s="13" t="s">
        <v>26</v>
      </c>
      <c r="C4345" s="13" t="s">
        <v>226</v>
      </c>
      <c r="D4345" s="14" t="s">
        <v>56</v>
      </c>
      <c r="E4345" s="13" t="s">
        <v>61</v>
      </c>
      <c r="F4345" s="13" t="s">
        <v>1392</v>
      </c>
      <c r="G4345" s="13">
        <v>0.65</v>
      </c>
      <c r="H4345" s="15">
        <v>5563</v>
      </c>
      <c r="I4345" s="16">
        <v>3615.95</v>
      </c>
      <c r="J4345" s="16">
        <v>3884.929580587178</v>
      </c>
      <c r="K4345" s="16">
        <v>-268.97958058717785</v>
      </c>
      <c r="L4345" s="13">
        <v>1.72</v>
      </c>
      <c r="M4345" s="13"/>
      <c r="N4345" s="17">
        <f t="shared" si="142"/>
        <v>9568.36</v>
      </c>
      <c r="O4345" s="17">
        <f t="shared" si="142"/>
        <v>0</v>
      </c>
      <c r="P4345" s="17">
        <f t="shared" si="143"/>
        <v>9568.36</v>
      </c>
      <c r="Q4345" t="str">
        <f>A4345&amp;"-"&amp;B4345&amp;"-"&amp;D4345</f>
        <v>SEPTEMBER-MJ2-L3</v>
      </c>
    </row>
    <row r="4346" spans="1:17" x14ac:dyDescent="0.25">
      <c r="A4346" t="s">
        <v>399</v>
      </c>
      <c r="B4346" s="13" t="s">
        <v>26</v>
      </c>
      <c r="C4346" s="13" t="s">
        <v>226</v>
      </c>
      <c r="D4346" s="14" t="s">
        <v>56</v>
      </c>
      <c r="E4346" s="13" t="s">
        <v>61</v>
      </c>
      <c r="F4346" s="13" t="s">
        <v>1586</v>
      </c>
      <c r="G4346" s="13">
        <v>0.65</v>
      </c>
      <c r="H4346" s="15">
        <v>2267</v>
      </c>
      <c r="I4346" s="16">
        <v>1473.55</v>
      </c>
      <c r="J4346" s="16">
        <v>1716.0877546639897</v>
      </c>
      <c r="K4346" s="16">
        <v>-242.53775466398977</v>
      </c>
      <c r="L4346" s="13">
        <v>1.72</v>
      </c>
      <c r="M4346" s="13"/>
      <c r="N4346" s="17">
        <f t="shared" si="142"/>
        <v>3899.24</v>
      </c>
      <c r="O4346" s="17">
        <f t="shared" si="142"/>
        <v>0</v>
      </c>
      <c r="P4346" s="17">
        <f t="shared" si="143"/>
        <v>3899.24</v>
      </c>
      <c r="Q4346" t="str">
        <f>A4346&amp;"-"&amp;B4346&amp;"-"&amp;D4346</f>
        <v>SEPTEMBER-MJ2-L3</v>
      </c>
    </row>
    <row r="4347" spans="1:17" x14ac:dyDescent="0.25">
      <c r="A4347" t="s">
        <v>399</v>
      </c>
      <c r="B4347" s="13" t="s">
        <v>26</v>
      </c>
      <c r="C4347" s="13" t="s">
        <v>226</v>
      </c>
      <c r="D4347" s="14" t="s">
        <v>56</v>
      </c>
      <c r="E4347" s="13" t="s">
        <v>61</v>
      </c>
      <c r="F4347" s="13" t="s">
        <v>1587</v>
      </c>
      <c r="G4347" s="13">
        <v>0.64</v>
      </c>
      <c r="H4347" s="15">
        <v>594</v>
      </c>
      <c r="I4347" s="16">
        <v>380.15999999999997</v>
      </c>
      <c r="J4347" s="16">
        <v>468.39690850144814</v>
      </c>
      <c r="K4347" s="16">
        <v>-88.236908501448141</v>
      </c>
      <c r="L4347" s="13">
        <v>1.85</v>
      </c>
      <c r="M4347" s="13"/>
      <c r="N4347" s="17">
        <f t="shared" si="142"/>
        <v>1098.9000000000001</v>
      </c>
      <c r="O4347" s="17">
        <f t="shared" si="142"/>
        <v>0</v>
      </c>
      <c r="P4347" s="17">
        <f t="shared" si="143"/>
        <v>1098.9000000000001</v>
      </c>
      <c r="Q4347" t="str">
        <f>A4347&amp;"-"&amp;B4347&amp;"-"&amp;D4347</f>
        <v>SEPTEMBER-MJ2-L3</v>
      </c>
    </row>
    <row r="4348" spans="1:17" x14ac:dyDescent="0.25">
      <c r="A4348" t="s">
        <v>399</v>
      </c>
      <c r="B4348" s="13" t="s">
        <v>26</v>
      </c>
      <c r="C4348" s="13" t="s">
        <v>226</v>
      </c>
      <c r="D4348" s="14" t="s">
        <v>56</v>
      </c>
      <c r="E4348" s="13" t="s">
        <v>61</v>
      </c>
      <c r="F4348" s="13" t="s">
        <v>1588</v>
      </c>
      <c r="G4348" s="13">
        <v>0.65</v>
      </c>
      <c r="H4348" s="15">
        <v>3190</v>
      </c>
      <c r="I4348" s="16">
        <v>2073.5</v>
      </c>
      <c r="J4348" s="16">
        <v>1959.8388461418122</v>
      </c>
      <c r="K4348" s="16">
        <v>113.66115385818782</v>
      </c>
      <c r="L4348" s="13">
        <v>1.91</v>
      </c>
      <c r="M4348" s="13"/>
      <c r="N4348" s="17">
        <f t="shared" si="142"/>
        <v>6092.9</v>
      </c>
      <c r="O4348" s="17">
        <f t="shared" si="142"/>
        <v>0</v>
      </c>
      <c r="P4348" s="17">
        <f t="shared" si="143"/>
        <v>6092.9</v>
      </c>
      <c r="Q4348" t="str">
        <f>A4348&amp;"-"&amp;B4348&amp;"-"&amp;D4348</f>
        <v>SEPTEMBER-MJ2-L3</v>
      </c>
    </row>
    <row r="4349" spans="1:17" x14ac:dyDescent="0.25">
      <c r="A4349" t="s">
        <v>399</v>
      </c>
      <c r="B4349" s="13" t="s">
        <v>26</v>
      </c>
      <c r="C4349" s="13" t="s">
        <v>226</v>
      </c>
      <c r="D4349" s="14" t="s">
        <v>56</v>
      </c>
      <c r="E4349" s="13" t="s">
        <v>61</v>
      </c>
      <c r="F4349" s="13" t="s">
        <v>1568</v>
      </c>
      <c r="G4349" s="13">
        <v>0.68</v>
      </c>
      <c r="H4349" s="15">
        <v>5143</v>
      </c>
      <c r="I4349" s="16">
        <v>3497.2400000000002</v>
      </c>
      <c r="J4349" s="16">
        <v>3231.8737108212749</v>
      </c>
      <c r="K4349" s="16">
        <v>265.36628917872559</v>
      </c>
      <c r="L4349" s="13">
        <v>1.82</v>
      </c>
      <c r="M4349" s="13"/>
      <c r="N4349" s="17">
        <f t="shared" si="142"/>
        <v>9360.26</v>
      </c>
      <c r="O4349" s="17">
        <f t="shared" si="142"/>
        <v>0</v>
      </c>
      <c r="P4349" s="17">
        <f t="shared" si="143"/>
        <v>9360.26</v>
      </c>
      <c r="Q4349" t="str">
        <f>A4349&amp;"-"&amp;B4349&amp;"-"&amp;D4349</f>
        <v>SEPTEMBER-MJ2-L3</v>
      </c>
    </row>
    <row r="4350" spans="1:17" x14ac:dyDescent="0.25">
      <c r="A4350" t="s">
        <v>399</v>
      </c>
      <c r="B4350" s="13" t="s">
        <v>26</v>
      </c>
      <c r="C4350" s="13" t="s">
        <v>226</v>
      </c>
      <c r="D4350" s="14" t="s">
        <v>56</v>
      </c>
      <c r="E4350" s="13" t="s">
        <v>61</v>
      </c>
      <c r="F4350" s="13" t="s">
        <v>1589</v>
      </c>
      <c r="G4350" s="13">
        <v>0.65</v>
      </c>
      <c r="H4350" s="15">
        <v>1944</v>
      </c>
      <c r="I4350" s="16">
        <v>1263.5999999999999</v>
      </c>
      <c r="J4350" s="16">
        <v>1225.6977874583395</v>
      </c>
      <c r="K4350" s="16">
        <v>37.902212541660312</v>
      </c>
      <c r="L4350" s="13">
        <v>1.91</v>
      </c>
      <c r="M4350" s="13"/>
      <c r="N4350" s="17">
        <f t="shared" si="142"/>
        <v>3713.04</v>
      </c>
      <c r="O4350" s="17">
        <f t="shared" si="142"/>
        <v>0</v>
      </c>
      <c r="P4350" s="17">
        <f t="shared" si="143"/>
        <v>3713.04</v>
      </c>
      <c r="Q4350" t="str">
        <f>A4350&amp;"-"&amp;B4350&amp;"-"&amp;D4350</f>
        <v>SEPTEMBER-MJ2-L3</v>
      </c>
    </row>
    <row r="4351" spans="1:17" x14ac:dyDescent="0.25">
      <c r="A4351" t="s">
        <v>399</v>
      </c>
      <c r="B4351" s="13" t="s">
        <v>26</v>
      </c>
      <c r="C4351" s="13" t="s">
        <v>226</v>
      </c>
      <c r="D4351" s="14" t="s">
        <v>56</v>
      </c>
      <c r="E4351" s="13" t="s">
        <v>61</v>
      </c>
      <c r="F4351" s="13" t="s">
        <v>1590</v>
      </c>
      <c r="G4351" s="13">
        <v>0.65</v>
      </c>
      <c r="H4351" s="15">
        <v>2136</v>
      </c>
      <c r="I4351" s="16">
        <v>1388.3999999999999</v>
      </c>
      <c r="J4351" s="16">
        <v>1811.2734301074988</v>
      </c>
      <c r="K4351" s="16">
        <v>-422.87343010749896</v>
      </c>
      <c r="L4351" s="13">
        <v>1.72</v>
      </c>
      <c r="M4351" s="13"/>
      <c r="N4351" s="17">
        <f t="shared" ref="N4351:O4414" si="144">$H4351*L4351</f>
        <v>3673.92</v>
      </c>
      <c r="O4351" s="17">
        <f t="shared" si="144"/>
        <v>0</v>
      </c>
      <c r="P4351" s="17">
        <f t="shared" si="143"/>
        <v>3673.92</v>
      </c>
      <c r="Q4351" t="str">
        <f>A4351&amp;"-"&amp;B4351&amp;"-"&amp;D4351</f>
        <v>SEPTEMBER-MJ2-L3</v>
      </c>
    </row>
    <row r="4352" spans="1:17" x14ac:dyDescent="0.25">
      <c r="A4352" t="s">
        <v>399</v>
      </c>
      <c r="B4352" s="13" t="s">
        <v>26</v>
      </c>
      <c r="C4352" s="13" t="s">
        <v>226</v>
      </c>
      <c r="D4352" s="14" t="s">
        <v>56</v>
      </c>
      <c r="E4352" s="13" t="s">
        <v>61</v>
      </c>
      <c r="F4352" s="13" t="s">
        <v>1591</v>
      </c>
      <c r="G4352" s="13">
        <v>0.64</v>
      </c>
      <c r="H4352" s="15">
        <v>541</v>
      </c>
      <c r="I4352" s="16">
        <v>346.24000000000007</v>
      </c>
      <c r="J4352" s="16">
        <v>535.91607064089749</v>
      </c>
      <c r="K4352" s="16">
        <v>-189.67607064089751</v>
      </c>
      <c r="L4352" s="13">
        <v>1.85</v>
      </c>
      <c r="M4352" s="13"/>
      <c r="N4352" s="17">
        <f t="shared" si="144"/>
        <v>1000.85</v>
      </c>
      <c r="O4352" s="17">
        <f t="shared" si="144"/>
        <v>0</v>
      </c>
      <c r="P4352" s="17">
        <f t="shared" si="143"/>
        <v>1000.85</v>
      </c>
      <c r="Q4352" t="str">
        <f>A4352&amp;"-"&amp;B4352&amp;"-"&amp;D4352</f>
        <v>SEPTEMBER-MJ2-L3</v>
      </c>
    </row>
    <row r="4353" spans="1:17" x14ac:dyDescent="0.25">
      <c r="A4353" t="s">
        <v>399</v>
      </c>
      <c r="B4353" s="13" t="s">
        <v>26</v>
      </c>
      <c r="C4353" s="13" t="s">
        <v>226</v>
      </c>
      <c r="D4353" s="14" t="s">
        <v>56</v>
      </c>
      <c r="E4353" s="13" t="s">
        <v>61</v>
      </c>
      <c r="F4353" s="13" t="s">
        <v>1394</v>
      </c>
      <c r="G4353" s="13">
        <v>0.67999999999999994</v>
      </c>
      <c r="H4353" s="15">
        <v>1757</v>
      </c>
      <c r="I4353" s="16">
        <v>1194.76</v>
      </c>
      <c r="J4353" s="16">
        <v>1193.3090934649792</v>
      </c>
      <c r="K4353" s="16">
        <v>1.4509065350206569</v>
      </c>
      <c r="L4353" s="13">
        <v>1.83</v>
      </c>
      <c r="M4353" s="13"/>
      <c r="N4353" s="17">
        <f t="shared" si="144"/>
        <v>3215.31</v>
      </c>
      <c r="O4353" s="17">
        <f t="shared" si="144"/>
        <v>0</v>
      </c>
      <c r="P4353" s="17">
        <f t="shared" si="143"/>
        <v>3215.31</v>
      </c>
      <c r="Q4353" t="str">
        <f>A4353&amp;"-"&amp;B4353&amp;"-"&amp;D4353</f>
        <v>SEPTEMBER-MJ2-L3</v>
      </c>
    </row>
    <row r="4354" spans="1:17" x14ac:dyDescent="0.25">
      <c r="A4354" t="s">
        <v>399</v>
      </c>
      <c r="B4354" s="13" t="s">
        <v>26</v>
      </c>
      <c r="C4354" s="13" t="s">
        <v>226</v>
      </c>
      <c r="D4354" s="14" t="s">
        <v>56</v>
      </c>
      <c r="E4354" s="13" t="s">
        <v>61</v>
      </c>
      <c r="F4354" s="13" t="s">
        <v>1395</v>
      </c>
      <c r="G4354" s="13">
        <v>0.66</v>
      </c>
      <c r="H4354" s="15">
        <v>401</v>
      </c>
      <c r="I4354" s="16">
        <v>264.65999999999997</v>
      </c>
      <c r="J4354" s="16">
        <v>277.5913549939678</v>
      </c>
      <c r="K4354" s="16">
        <v>-12.931354993967803</v>
      </c>
      <c r="L4354" s="13">
        <v>1.98</v>
      </c>
      <c r="M4354" s="13"/>
      <c r="N4354" s="17">
        <f t="shared" si="144"/>
        <v>793.98</v>
      </c>
      <c r="O4354" s="17">
        <f t="shared" si="144"/>
        <v>0</v>
      </c>
      <c r="P4354" s="17">
        <f t="shared" ref="P4354:P4417" si="145">N4354+O4354</f>
        <v>793.98</v>
      </c>
      <c r="Q4354" t="str">
        <f>A4354&amp;"-"&amp;B4354&amp;"-"&amp;D4354</f>
        <v>SEPTEMBER-MJ2-L3</v>
      </c>
    </row>
    <row r="4355" spans="1:17" x14ac:dyDescent="0.25">
      <c r="A4355" t="s">
        <v>399</v>
      </c>
      <c r="B4355" s="13" t="s">
        <v>26</v>
      </c>
      <c r="C4355" s="13" t="s">
        <v>226</v>
      </c>
      <c r="D4355" s="14" t="s">
        <v>56</v>
      </c>
      <c r="E4355" s="13" t="s">
        <v>61</v>
      </c>
      <c r="F4355" s="13" t="s">
        <v>1396</v>
      </c>
      <c r="G4355" s="13">
        <v>0.68</v>
      </c>
      <c r="H4355" s="15">
        <v>364</v>
      </c>
      <c r="I4355" s="16">
        <v>247.52</v>
      </c>
      <c r="J4355" s="16">
        <v>258.29795325084729</v>
      </c>
      <c r="K4355" s="16">
        <v>-10.777953250847251</v>
      </c>
      <c r="L4355" s="13">
        <v>1.83</v>
      </c>
      <c r="M4355" s="13"/>
      <c r="N4355" s="17">
        <f t="shared" si="144"/>
        <v>666.12</v>
      </c>
      <c r="O4355" s="17">
        <f t="shared" si="144"/>
        <v>0</v>
      </c>
      <c r="P4355" s="17">
        <f t="shared" si="145"/>
        <v>666.12</v>
      </c>
      <c r="Q4355" t="str">
        <f>A4355&amp;"-"&amp;B4355&amp;"-"&amp;D4355</f>
        <v>SEPTEMBER-MJ2-L3</v>
      </c>
    </row>
    <row r="4356" spans="1:17" x14ac:dyDescent="0.25">
      <c r="A4356" t="s">
        <v>399</v>
      </c>
      <c r="B4356" s="13" t="s">
        <v>26</v>
      </c>
      <c r="C4356" s="13" t="s">
        <v>226</v>
      </c>
      <c r="D4356" s="14" t="s">
        <v>56</v>
      </c>
      <c r="E4356" s="13" t="s">
        <v>61</v>
      </c>
      <c r="F4356" s="13" t="s">
        <v>1397</v>
      </c>
      <c r="G4356" s="13">
        <v>0.66</v>
      </c>
      <c r="H4356" s="15">
        <v>37</v>
      </c>
      <c r="I4356" s="16">
        <v>24.42</v>
      </c>
      <c r="J4356" s="16">
        <v>22.614371718515464</v>
      </c>
      <c r="K4356" s="16">
        <v>1.8056282814845364</v>
      </c>
      <c r="L4356" s="13">
        <v>1.98</v>
      </c>
      <c r="M4356" s="13"/>
      <c r="N4356" s="17">
        <f t="shared" si="144"/>
        <v>73.260000000000005</v>
      </c>
      <c r="O4356" s="17">
        <f t="shared" si="144"/>
        <v>0</v>
      </c>
      <c r="P4356" s="17">
        <f t="shared" si="145"/>
        <v>73.260000000000005</v>
      </c>
      <c r="Q4356" t="str">
        <f>A4356&amp;"-"&amp;B4356&amp;"-"&amp;D4356</f>
        <v>SEPTEMBER-MJ2-L3</v>
      </c>
    </row>
    <row r="4357" spans="1:17" x14ac:dyDescent="0.25">
      <c r="A4357" t="s">
        <v>399</v>
      </c>
      <c r="B4357" s="13" t="s">
        <v>26</v>
      </c>
      <c r="C4357" s="13" t="s">
        <v>226</v>
      </c>
      <c r="D4357" s="14" t="s">
        <v>56</v>
      </c>
      <c r="E4357" s="13" t="s">
        <v>61</v>
      </c>
      <c r="F4357" s="13" t="s">
        <v>1592</v>
      </c>
      <c r="G4357" s="13">
        <v>0.70000000000000007</v>
      </c>
      <c r="H4357" s="15">
        <v>7846</v>
      </c>
      <c r="I4357" s="16">
        <v>5492.2000000000007</v>
      </c>
      <c r="J4357" s="16">
        <v>5154.3403486224715</v>
      </c>
      <c r="K4357" s="16">
        <v>337.85965137752817</v>
      </c>
      <c r="L4357" s="13">
        <v>1.76</v>
      </c>
      <c r="M4357" s="13"/>
      <c r="N4357" s="17">
        <f t="shared" si="144"/>
        <v>13808.960000000001</v>
      </c>
      <c r="O4357" s="17">
        <f t="shared" si="144"/>
        <v>0</v>
      </c>
      <c r="P4357" s="17">
        <f t="shared" si="145"/>
        <v>13808.960000000001</v>
      </c>
      <c r="Q4357" t="str">
        <f>A4357&amp;"-"&amp;B4357&amp;"-"&amp;D4357</f>
        <v>SEPTEMBER-MJ2-L3</v>
      </c>
    </row>
    <row r="4358" spans="1:17" x14ac:dyDescent="0.25">
      <c r="A4358" t="s">
        <v>399</v>
      </c>
      <c r="B4358" s="13" t="s">
        <v>26</v>
      </c>
      <c r="C4358" s="13" t="s">
        <v>226</v>
      </c>
      <c r="D4358" s="14" t="s">
        <v>56</v>
      </c>
      <c r="E4358" s="13" t="s">
        <v>61</v>
      </c>
      <c r="F4358" s="13" t="s">
        <v>1390</v>
      </c>
      <c r="G4358" s="13">
        <v>0.65</v>
      </c>
      <c r="H4358" s="15">
        <v>56</v>
      </c>
      <c r="I4358" s="16">
        <v>36.4</v>
      </c>
      <c r="J4358" s="16">
        <v>39.832789026779878</v>
      </c>
      <c r="K4358" s="16">
        <v>-3.4327890267798793</v>
      </c>
      <c r="L4358" s="13">
        <v>1.66</v>
      </c>
      <c r="M4358" s="13"/>
      <c r="N4358" s="17">
        <f t="shared" si="144"/>
        <v>92.96</v>
      </c>
      <c r="O4358" s="17">
        <f t="shared" si="144"/>
        <v>0</v>
      </c>
      <c r="P4358" s="17">
        <f t="shared" si="145"/>
        <v>92.96</v>
      </c>
      <c r="Q4358" t="str">
        <f>A4358&amp;"-"&amp;B4358&amp;"-"&amp;D4358</f>
        <v>SEPTEMBER-MJ2-L3</v>
      </c>
    </row>
    <row r="4359" spans="1:17" x14ac:dyDescent="0.25">
      <c r="A4359" t="s">
        <v>399</v>
      </c>
      <c r="B4359" s="13" t="s">
        <v>26</v>
      </c>
      <c r="C4359" s="13" t="s">
        <v>226</v>
      </c>
      <c r="D4359" s="14" t="s">
        <v>158</v>
      </c>
      <c r="E4359" s="13" t="s">
        <v>61</v>
      </c>
      <c r="F4359" s="13" t="s">
        <v>1593</v>
      </c>
      <c r="G4359" s="13">
        <v>0.67999999999999983</v>
      </c>
      <c r="H4359" s="15">
        <v>8357</v>
      </c>
      <c r="I4359" s="16">
        <v>5682.76</v>
      </c>
      <c r="J4359" s="16">
        <v>5320.0186048624164</v>
      </c>
      <c r="K4359" s="16">
        <v>362.7413951375832</v>
      </c>
      <c r="L4359" s="13">
        <v>1.82</v>
      </c>
      <c r="M4359" s="13"/>
      <c r="N4359" s="17">
        <f t="shared" si="144"/>
        <v>15209.74</v>
      </c>
      <c r="O4359" s="17">
        <f t="shared" si="144"/>
        <v>0</v>
      </c>
      <c r="P4359" s="17">
        <f t="shared" si="145"/>
        <v>15209.74</v>
      </c>
      <c r="Q4359" t="str">
        <f>A4359&amp;"-"&amp;B4359&amp;"-"&amp;D4359</f>
        <v>SEPTEMBER-MJ2-L4</v>
      </c>
    </row>
    <row r="4360" spans="1:17" x14ac:dyDescent="0.25">
      <c r="A4360" t="s">
        <v>399</v>
      </c>
      <c r="B4360" s="13" t="s">
        <v>26</v>
      </c>
      <c r="C4360" s="13" t="s">
        <v>226</v>
      </c>
      <c r="D4360" s="14" t="s">
        <v>158</v>
      </c>
      <c r="E4360" s="13" t="s">
        <v>61</v>
      </c>
      <c r="F4360" s="13" t="s">
        <v>1594</v>
      </c>
      <c r="G4360" s="13">
        <v>0.67999999999999994</v>
      </c>
      <c r="H4360" s="15">
        <v>3251</v>
      </c>
      <c r="I4360" s="16">
        <v>2210.6800000000003</v>
      </c>
      <c r="J4360" s="16">
        <v>2063.7214211291125</v>
      </c>
      <c r="K4360" s="16">
        <v>146.95857887088764</v>
      </c>
      <c r="L4360" s="13">
        <v>1.82</v>
      </c>
      <c r="M4360" s="13"/>
      <c r="N4360" s="17">
        <f t="shared" si="144"/>
        <v>5916.8200000000006</v>
      </c>
      <c r="O4360" s="17">
        <f t="shared" si="144"/>
        <v>0</v>
      </c>
      <c r="P4360" s="17">
        <f t="shared" si="145"/>
        <v>5916.8200000000006</v>
      </c>
      <c r="Q4360" t="str">
        <f>A4360&amp;"-"&amp;B4360&amp;"-"&amp;D4360</f>
        <v>SEPTEMBER-MJ2-L4</v>
      </c>
    </row>
    <row r="4361" spans="1:17" x14ac:dyDescent="0.25">
      <c r="A4361" t="s">
        <v>399</v>
      </c>
      <c r="B4361" s="13" t="s">
        <v>26</v>
      </c>
      <c r="C4361" s="13" t="s">
        <v>226</v>
      </c>
      <c r="D4361" s="14" t="s">
        <v>158</v>
      </c>
      <c r="E4361" s="13" t="s">
        <v>61</v>
      </c>
      <c r="F4361" s="13" t="s">
        <v>1411</v>
      </c>
      <c r="G4361" s="13">
        <v>0.80000000000000016</v>
      </c>
      <c r="H4361" s="15">
        <v>296</v>
      </c>
      <c r="I4361" s="16">
        <v>236.8</v>
      </c>
      <c r="J4361" s="16">
        <v>186.22624272205928</v>
      </c>
      <c r="K4361" s="16">
        <v>50.573757277940729</v>
      </c>
      <c r="L4361" s="13">
        <v>2.1</v>
      </c>
      <c r="M4361" s="13"/>
      <c r="N4361" s="17">
        <f t="shared" si="144"/>
        <v>621.6</v>
      </c>
      <c r="O4361" s="17">
        <f t="shared" si="144"/>
        <v>0</v>
      </c>
      <c r="P4361" s="17">
        <f t="shared" si="145"/>
        <v>621.6</v>
      </c>
      <c r="Q4361" t="str">
        <f>A4361&amp;"-"&amp;B4361&amp;"-"&amp;D4361</f>
        <v>SEPTEMBER-MJ2-L4</v>
      </c>
    </row>
    <row r="4362" spans="1:17" x14ac:dyDescent="0.25">
      <c r="A4362" t="s">
        <v>399</v>
      </c>
      <c r="B4362" s="13" t="s">
        <v>26</v>
      </c>
      <c r="C4362" s="13" t="s">
        <v>226</v>
      </c>
      <c r="D4362" s="14" t="s">
        <v>158</v>
      </c>
      <c r="E4362" s="13" t="s">
        <v>61</v>
      </c>
      <c r="F4362" s="13" t="s">
        <v>1405</v>
      </c>
      <c r="G4362" s="13">
        <v>0.8</v>
      </c>
      <c r="H4362" s="15">
        <v>371</v>
      </c>
      <c r="I4362" s="16">
        <v>296.8</v>
      </c>
      <c r="J4362" s="16">
        <v>233.53521096994197</v>
      </c>
      <c r="K4362" s="16">
        <v>63.264789030058026</v>
      </c>
      <c r="L4362" s="13">
        <v>2.1</v>
      </c>
      <c r="M4362" s="13"/>
      <c r="N4362" s="17">
        <f t="shared" si="144"/>
        <v>779.1</v>
      </c>
      <c r="O4362" s="17">
        <f t="shared" si="144"/>
        <v>0</v>
      </c>
      <c r="P4362" s="17">
        <f t="shared" si="145"/>
        <v>779.1</v>
      </c>
      <c r="Q4362" t="str">
        <f>A4362&amp;"-"&amp;B4362&amp;"-"&amp;D4362</f>
        <v>SEPTEMBER-MJ2-L4</v>
      </c>
    </row>
    <row r="4363" spans="1:17" x14ac:dyDescent="0.25">
      <c r="A4363" t="s">
        <v>399</v>
      </c>
      <c r="B4363" s="13" t="s">
        <v>26</v>
      </c>
      <c r="C4363" s="13" t="s">
        <v>226</v>
      </c>
      <c r="D4363" s="14" t="s">
        <v>158</v>
      </c>
      <c r="E4363" s="13" t="s">
        <v>61</v>
      </c>
      <c r="F4363" s="13" t="s">
        <v>1562</v>
      </c>
      <c r="G4363" s="13">
        <v>0.66</v>
      </c>
      <c r="H4363" s="15">
        <v>3214</v>
      </c>
      <c r="I4363" s="16">
        <v>2121.2399999999998</v>
      </c>
      <c r="J4363" s="16">
        <v>2003.011677398764</v>
      </c>
      <c r="K4363" s="16">
        <v>118.22832260123616</v>
      </c>
      <c r="L4363" s="13">
        <v>1.71</v>
      </c>
      <c r="M4363" s="13"/>
      <c r="N4363" s="17">
        <f t="shared" si="144"/>
        <v>5495.94</v>
      </c>
      <c r="O4363" s="17">
        <f t="shared" si="144"/>
        <v>0</v>
      </c>
      <c r="P4363" s="17">
        <f t="shared" si="145"/>
        <v>5495.94</v>
      </c>
      <c r="Q4363" t="str">
        <f>A4363&amp;"-"&amp;B4363&amp;"-"&amp;D4363</f>
        <v>SEPTEMBER-MJ2-L4</v>
      </c>
    </row>
    <row r="4364" spans="1:17" x14ac:dyDescent="0.25">
      <c r="A4364" t="s">
        <v>399</v>
      </c>
      <c r="B4364" s="13" t="s">
        <v>26</v>
      </c>
      <c r="C4364" s="13" t="s">
        <v>226</v>
      </c>
      <c r="D4364" s="14" t="s">
        <v>158</v>
      </c>
      <c r="E4364" s="13" t="s">
        <v>61</v>
      </c>
      <c r="F4364" s="13" t="s">
        <v>1406</v>
      </c>
      <c r="G4364" s="13">
        <v>0.8</v>
      </c>
      <c r="H4364" s="15">
        <v>220</v>
      </c>
      <c r="I4364" s="16">
        <v>176</v>
      </c>
      <c r="J4364" s="16">
        <v>137.97697954862502</v>
      </c>
      <c r="K4364" s="16">
        <v>38.023020451374968</v>
      </c>
      <c r="L4364" s="13">
        <v>2.1</v>
      </c>
      <c r="M4364" s="13"/>
      <c r="N4364" s="17">
        <f t="shared" si="144"/>
        <v>462</v>
      </c>
      <c r="O4364" s="17">
        <f t="shared" si="144"/>
        <v>0</v>
      </c>
      <c r="P4364" s="17">
        <f t="shared" si="145"/>
        <v>462</v>
      </c>
      <c r="Q4364" t="str">
        <f>A4364&amp;"-"&amp;B4364&amp;"-"&amp;D4364</f>
        <v>SEPTEMBER-MJ2-L4</v>
      </c>
    </row>
    <row r="4365" spans="1:17" x14ac:dyDescent="0.25">
      <c r="A4365" t="s">
        <v>399</v>
      </c>
      <c r="B4365" s="13" t="s">
        <v>26</v>
      </c>
      <c r="C4365" s="13" t="s">
        <v>226</v>
      </c>
      <c r="D4365" s="14" t="s">
        <v>158</v>
      </c>
      <c r="E4365" s="13" t="s">
        <v>61</v>
      </c>
      <c r="F4365" s="13" t="s">
        <v>1595</v>
      </c>
      <c r="G4365" s="13">
        <v>0.72</v>
      </c>
      <c r="H4365" s="15">
        <v>1372</v>
      </c>
      <c r="I4365" s="16">
        <v>987.83999999999992</v>
      </c>
      <c r="J4365" s="16">
        <v>814.59953091132434</v>
      </c>
      <c r="K4365" s="16">
        <v>173.24046908867572</v>
      </c>
      <c r="L4365" s="13">
        <v>1.36</v>
      </c>
      <c r="M4365" s="13"/>
      <c r="N4365" s="17">
        <f t="shared" si="144"/>
        <v>1865.92</v>
      </c>
      <c r="O4365" s="17">
        <f t="shared" si="144"/>
        <v>0</v>
      </c>
      <c r="P4365" s="17">
        <f t="shared" si="145"/>
        <v>1865.92</v>
      </c>
      <c r="Q4365" t="str">
        <f>A4365&amp;"-"&amp;B4365&amp;"-"&amp;D4365</f>
        <v>SEPTEMBER-MJ2-L4</v>
      </c>
    </row>
    <row r="4366" spans="1:17" x14ac:dyDescent="0.25">
      <c r="A4366" t="s">
        <v>399</v>
      </c>
      <c r="B4366" s="13" t="s">
        <v>26</v>
      </c>
      <c r="C4366" s="13" t="s">
        <v>226</v>
      </c>
      <c r="D4366" s="14" t="s">
        <v>158</v>
      </c>
      <c r="E4366" s="13" t="s">
        <v>61</v>
      </c>
      <c r="F4366" s="13" t="s">
        <v>1596</v>
      </c>
      <c r="G4366" s="13">
        <v>0.72</v>
      </c>
      <c r="H4366" s="15">
        <v>1992</v>
      </c>
      <c r="I4366" s="16">
        <v>1434.24</v>
      </c>
      <c r="J4366" s="16">
        <v>1212.9122780238231</v>
      </c>
      <c r="K4366" s="16">
        <v>221.32772197617695</v>
      </c>
      <c r="L4366" s="13">
        <v>1.36</v>
      </c>
      <c r="M4366" s="13"/>
      <c r="N4366" s="17">
        <f t="shared" si="144"/>
        <v>2709.1200000000003</v>
      </c>
      <c r="O4366" s="17">
        <f t="shared" si="144"/>
        <v>0</v>
      </c>
      <c r="P4366" s="17">
        <f t="shared" si="145"/>
        <v>2709.1200000000003</v>
      </c>
      <c r="Q4366" t="str">
        <f>A4366&amp;"-"&amp;B4366&amp;"-"&amp;D4366</f>
        <v>SEPTEMBER-MJ2-L4</v>
      </c>
    </row>
    <row r="4367" spans="1:17" x14ac:dyDescent="0.25">
      <c r="A4367" t="s">
        <v>399</v>
      </c>
      <c r="B4367" s="13" t="s">
        <v>26</v>
      </c>
      <c r="C4367" s="13" t="s">
        <v>226</v>
      </c>
      <c r="D4367" s="14" t="s">
        <v>158</v>
      </c>
      <c r="E4367" s="13" t="s">
        <v>61</v>
      </c>
      <c r="F4367" s="13" t="s">
        <v>1597</v>
      </c>
      <c r="G4367" s="13">
        <v>0.68</v>
      </c>
      <c r="H4367" s="15">
        <v>477</v>
      </c>
      <c r="I4367" s="16">
        <v>324.36</v>
      </c>
      <c r="J4367" s="16">
        <v>296.83028571428571</v>
      </c>
      <c r="K4367" s="16">
        <v>27.529714285714306</v>
      </c>
      <c r="L4367" s="13">
        <v>1.7</v>
      </c>
      <c r="M4367" s="13"/>
      <c r="N4367" s="17">
        <f t="shared" si="144"/>
        <v>810.9</v>
      </c>
      <c r="O4367" s="17">
        <f t="shared" si="144"/>
        <v>0</v>
      </c>
      <c r="P4367" s="17">
        <f t="shared" si="145"/>
        <v>810.9</v>
      </c>
      <c r="Q4367" t="str">
        <f>A4367&amp;"-"&amp;B4367&amp;"-"&amp;D4367</f>
        <v>SEPTEMBER-MJ2-L4</v>
      </c>
    </row>
    <row r="4368" spans="1:17" x14ac:dyDescent="0.25">
      <c r="A4368" t="s">
        <v>399</v>
      </c>
      <c r="B4368" s="13" t="s">
        <v>26</v>
      </c>
      <c r="C4368" s="13" t="s">
        <v>226</v>
      </c>
      <c r="D4368" s="14" t="s">
        <v>158</v>
      </c>
      <c r="E4368" s="13" t="s">
        <v>61</v>
      </c>
      <c r="F4368" s="13" t="s">
        <v>1598</v>
      </c>
      <c r="G4368" s="13">
        <v>0.71999999999999986</v>
      </c>
      <c r="H4368" s="15">
        <v>2998</v>
      </c>
      <c r="I4368" s="16">
        <v>2158.56</v>
      </c>
      <c r="J4368" s="16">
        <v>1866.7818473347454</v>
      </c>
      <c r="K4368" s="16">
        <v>291.7781526652542</v>
      </c>
      <c r="L4368" s="13">
        <v>1.34</v>
      </c>
      <c r="M4368" s="13"/>
      <c r="N4368" s="17">
        <f t="shared" si="144"/>
        <v>4017.32</v>
      </c>
      <c r="O4368" s="17">
        <f t="shared" si="144"/>
        <v>0</v>
      </c>
      <c r="P4368" s="17">
        <f t="shared" si="145"/>
        <v>4017.32</v>
      </c>
      <c r="Q4368" t="str">
        <f>A4368&amp;"-"&amp;B4368&amp;"-"&amp;D4368</f>
        <v>SEPTEMBER-MJ2-L4</v>
      </c>
    </row>
    <row r="4369" spans="1:17" x14ac:dyDescent="0.25">
      <c r="A4369" t="s">
        <v>399</v>
      </c>
      <c r="B4369" s="13" t="s">
        <v>26</v>
      </c>
      <c r="C4369" s="13" t="s">
        <v>226</v>
      </c>
      <c r="D4369" s="14" t="s">
        <v>158</v>
      </c>
      <c r="E4369" s="13" t="s">
        <v>61</v>
      </c>
      <c r="F4369" s="13" t="s">
        <v>1573</v>
      </c>
      <c r="G4369" s="13">
        <v>0.72000000000000008</v>
      </c>
      <c r="H4369" s="15">
        <v>416</v>
      </c>
      <c r="I4369" s="16">
        <v>299.52</v>
      </c>
      <c r="J4369" s="16">
        <v>213.04355599738855</v>
      </c>
      <c r="K4369" s="16">
        <v>86.47644400261143</v>
      </c>
      <c r="L4369" s="13">
        <v>1.34</v>
      </c>
      <c r="M4369" s="13"/>
      <c r="N4369" s="17">
        <f t="shared" si="144"/>
        <v>557.44000000000005</v>
      </c>
      <c r="O4369" s="17">
        <f t="shared" si="144"/>
        <v>0</v>
      </c>
      <c r="P4369" s="17">
        <f t="shared" si="145"/>
        <v>557.44000000000005</v>
      </c>
      <c r="Q4369" t="str">
        <f>A4369&amp;"-"&amp;B4369&amp;"-"&amp;D4369</f>
        <v>SEPTEMBER-MJ2-L4</v>
      </c>
    </row>
    <row r="4370" spans="1:17" x14ac:dyDescent="0.25">
      <c r="A4370" t="s">
        <v>399</v>
      </c>
      <c r="B4370" s="13" t="s">
        <v>26</v>
      </c>
      <c r="C4370" s="13" t="s">
        <v>226</v>
      </c>
      <c r="D4370" s="14" t="s">
        <v>158</v>
      </c>
      <c r="E4370" s="13" t="s">
        <v>61</v>
      </c>
      <c r="F4370" s="13" t="s">
        <v>1599</v>
      </c>
      <c r="G4370" s="13">
        <v>0.71999999999999986</v>
      </c>
      <c r="H4370" s="15">
        <v>2133</v>
      </c>
      <c r="I4370" s="16">
        <v>1535.7599999999998</v>
      </c>
      <c r="J4370" s="16">
        <v>1421.5345290277332</v>
      </c>
      <c r="K4370" s="16">
        <v>114.22547097226713</v>
      </c>
      <c r="L4370" s="13">
        <v>1.34</v>
      </c>
      <c r="M4370" s="13"/>
      <c r="N4370" s="17">
        <f t="shared" si="144"/>
        <v>2858.2200000000003</v>
      </c>
      <c r="O4370" s="17">
        <f t="shared" si="144"/>
        <v>0</v>
      </c>
      <c r="P4370" s="17">
        <f t="shared" si="145"/>
        <v>2858.2200000000003</v>
      </c>
      <c r="Q4370" t="str">
        <f>A4370&amp;"-"&amp;B4370&amp;"-"&amp;D4370</f>
        <v>SEPTEMBER-MJ2-L4</v>
      </c>
    </row>
    <row r="4371" spans="1:17" x14ac:dyDescent="0.25">
      <c r="A4371" t="s">
        <v>399</v>
      </c>
      <c r="B4371" s="13" t="s">
        <v>26</v>
      </c>
      <c r="C4371" s="13" t="s">
        <v>226</v>
      </c>
      <c r="D4371" s="14" t="s">
        <v>158</v>
      </c>
      <c r="E4371" s="13" t="s">
        <v>61</v>
      </c>
      <c r="F4371" s="13" t="s">
        <v>1600</v>
      </c>
      <c r="G4371" s="13">
        <v>0.76</v>
      </c>
      <c r="H4371" s="15">
        <v>1800</v>
      </c>
      <c r="I4371" s="16">
        <v>1368</v>
      </c>
      <c r="J4371" s="16">
        <v>1002.6598465473145</v>
      </c>
      <c r="K4371" s="16">
        <v>365.34015345268551</v>
      </c>
      <c r="L4371" s="13">
        <v>1.94</v>
      </c>
      <c r="M4371" s="13"/>
      <c r="N4371" s="17">
        <f t="shared" si="144"/>
        <v>3492</v>
      </c>
      <c r="O4371" s="17">
        <f t="shared" si="144"/>
        <v>0</v>
      </c>
      <c r="P4371" s="17">
        <f t="shared" si="145"/>
        <v>3492</v>
      </c>
      <c r="Q4371" t="str">
        <f>A4371&amp;"-"&amp;B4371&amp;"-"&amp;D4371</f>
        <v>SEPTEMBER-MJ2-L4</v>
      </c>
    </row>
    <row r="4372" spans="1:17" x14ac:dyDescent="0.25">
      <c r="A4372" t="s">
        <v>399</v>
      </c>
      <c r="B4372" s="13" t="s">
        <v>26</v>
      </c>
      <c r="C4372" s="13" t="s">
        <v>226</v>
      </c>
      <c r="D4372" s="14" t="s">
        <v>158</v>
      </c>
      <c r="E4372" s="13" t="s">
        <v>61</v>
      </c>
      <c r="F4372" s="13" t="s">
        <v>1601</v>
      </c>
      <c r="G4372" s="13">
        <v>1.19</v>
      </c>
      <c r="H4372" s="15">
        <v>1392</v>
      </c>
      <c r="I4372" s="16">
        <v>1656.48</v>
      </c>
      <c r="J4372" s="16">
        <v>902.22785714285715</v>
      </c>
      <c r="K4372" s="16">
        <v>754.25214285714299</v>
      </c>
      <c r="L4372" s="13">
        <v>2.87</v>
      </c>
      <c r="M4372" s="13"/>
      <c r="N4372" s="17">
        <f t="shared" si="144"/>
        <v>3995.04</v>
      </c>
      <c r="O4372" s="17">
        <f t="shared" si="144"/>
        <v>0</v>
      </c>
      <c r="P4372" s="17">
        <f t="shared" si="145"/>
        <v>3995.04</v>
      </c>
      <c r="Q4372" t="str">
        <f>A4372&amp;"-"&amp;B4372&amp;"-"&amp;D4372</f>
        <v>SEPTEMBER-MJ2-L4</v>
      </c>
    </row>
    <row r="4373" spans="1:17" x14ac:dyDescent="0.25">
      <c r="A4373" t="s">
        <v>399</v>
      </c>
      <c r="B4373" s="13" t="s">
        <v>26</v>
      </c>
      <c r="C4373" s="13" t="s">
        <v>226</v>
      </c>
      <c r="D4373" s="14" t="s">
        <v>158</v>
      </c>
      <c r="E4373" s="13" t="s">
        <v>61</v>
      </c>
      <c r="F4373" s="13" t="s">
        <v>1565</v>
      </c>
      <c r="G4373" s="13">
        <v>0.83</v>
      </c>
      <c r="H4373" s="15">
        <v>2145</v>
      </c>
      <c r="I4373" s="16">
        <v>1780.35</v>
      </c>
      <c r="J4373" s="16">
        <v>1322.5995283018867</v>
      </c>
      <c r="K4373" s="16">
        <v>457.75047169811313</v>
      </c>
      <c r="L4373" s="13">
        <v>2.13</v>
      </c>
      <c r="M4373" s="13"/>
      <c r="N4373" s="17">
        <f t="shared" si="144"/>
        <v>4568.8499999999995</v>
      </c>
      <c r="O4373" s="17">
        <f t="shared" si="144"/>
        <v>0</v>
      </c>
      <c r="P4373" s="17">
        <f t="shared" si="145"/>
        <v>4568.8499999999995</v>
      </c>
      <c r="Q4373" t="str">
        <f>A4373&amp;"-"&amp;B4373&amp;"-"&amp;D4373</f>
        <v>SEPTEMBER-MJ2-L4</v>
      </c>
    </row>
    <row r="4374" spans="1:17" x14ac:dyDescent="0.25">
      <c r="A4374" t="s">
        <v>399</v>
      </c>
      <c r="B4374" s="13" t="s">
        <v>26</v>
      </c>
      <c r="C4374" s="13" t="s">
        <v>226</v>
      </c>
      <c r="D4374" s="14" t="s">
        <v>158</v>
      </c>
      <c r="E4374" s="13" t="s">
        <v>61</v>
      </c>
      <c r="F4374" s="13" t="s">
        <v>1602</v>
      </c>
      <c r="G4374" s="13">
        <v>0.78</v>
      </c>
      <c r="H4374" s="15">
        <v>782</v>
      </c>
      <c r="I4374" s="16">
        <v>609.96</v>
      </c>
      <c r="J4374" s="16">
        <v>473.11</v>
      </c>
      <c r="K4374" s="16">
        <v>136.85000000000002</v>
      </c>
      <c r="L4374" s="13">
        <v>2.29</v>
      </c>
      <c r="M4374" s="13"/>
      <c r="N4374" s="17">
        <f t="shared" si="144"/>
        <v>1790.78</v>
      </c>
      <c r="O4374" s="17">
        <f t="shared" si="144"/>
        <v>0</v>
      </c>
      <c r="P4374" s="17">
        <f t="shared" si="145"/>
        <v>1790.78</v>
      </c>
      <c r="Q4374" t="str">
        <f>A4374&amp;"-"&amp;B4374&amp;"-"&amp;D4374</f>
        <v>SEPTEMBER-MJ2-L4</v>
      </c>
    </row>
    <row r="4375" spans="1:17" x14ac:dyDescent="0.25">
      <c r="A4375" t="s">
        <v>399</v>
      </c>
      <c r="B4375" s="13" t="s">
        <v>26</v>
      </c>
      <c r="C4375" s="13" t="s">
        <v>226</v>
      </c>
      <c r="D4375" s="14" t="s">
        <v>158</v>
      </c>
      <c r="E4375" s="13" t="s">
        <v>61</v>
      </c>
      <c r="F4375" s="13" t="s">
        <v>1603</v>
      </c>
      <c r="G4375" s="13">
        <v>0.83</v>
      </c>
      <c r="H4375" s="15">
        <v>1185</v>
      </c>
      <c r="I4375" s="16">
        <v>983.55</v>
      </c>
      <c r="J4375" s="16">
        <v>737.40857142857146</v>
      </c>
      <c r="K4375" s="16">
        <v>246.14142857142849</v>
      </c>
      <c r="L4375" s="13">
        <v>2.13</v>
      </c>
      <c r="M4375" s="13"/>
      <c r="N4375" s="17">
        <f t="shared" si="144"/>
        <v>2524.0499999999997</v>
      </c>
      <c r="O4375" s="17">
        <f t="shared" si="144"/>
        <v>0</v>
      </c>
      <c r="P4375" s="17">
        <f t="shared" si="145"/>
        <v>2524.0499999999997</v>
      </c>
      <c r="Q4375" t="str">
        <f>A4375&amp;"-"&amp;B4375&amp;"-"&amp;D4375</f>
        <v>SEPTEMBER-MJ2-L4</v>
      </c>
    </row>
    <row r="4376" spans="1:17" x14ac:dyDescent="0.25">
      <c r="A4376" t="s">
        <v>399</v>
      </c>
      <c r="B4376" s="13" t="s">
        <v>26</v>
      </c>
      <c r="C4376" s="13" t="s">
        <v>226</v>
      </c>
      <c r="D4376" s="14" t="s">
        <v>158</v>
      </c>
      <c r="E4376" s="13" t="s">
        <v>61</v>
      </c>
      <c r="F4376" s="13" t="s">
        <v>1408</v>
      </c>
      <c r="G4376" s="13">
        <v>0.65</v>
      </c>
      <c r="H4376" s="15">
        <v>25</v>
      </c>
      <c r="I4376" s="16">
        <v>16.25</v>
      </c>
      <c r="J4376" s="16">
        <v>15.391320598006644</v>
      </c>
      <c r="K4376" s="16">
        <v>0.85867940199335546</v>
      </c>
      <c r="L4376" s="13">
        <v>1.64</v>
      </c>
      <c r="M4376" s="13"/>
      <c r="N4376" s="17">
        <f t="shared" si="144"/>
        <v>41</v>
      </c>
      <c r="O4376" s="17">
        <f t="shared" si="144"/>
        <v>0</v>
      </c>
      <c r="P4376" s="17">
        <f t="shared" si="145"/>
        <v>41</v>
      </c>
      <c r="Q4376" t="str">
        <f>A4376&amp;"-"&amp;B4376&amp;"-"&amp;D4376</f>
        <v>SEPTEMBER-MJ2-L4</v>
      </c>
    </row>
    <row r="4377" spans="1:17" x14ac:dyDescent="0.25">
      <c r="A4377" t="s">
        <v>399</v>
      </c>
      <c r="B4377" s="13" t="s">
        <v>26</v>
      </c>
      <c r="C4377" s="13" t="s">
        <v>226</v>
      </c>
      <c r="D4377" s="14" t="s">
        <v>158</v>
      </c>
      <c r="E4377" s="13" t="s">
        <v>61</v>
      </c>
      <c r="F4377" s="13" t="s">
        <v>1409</v>
      </c>
      <c r="G4377" s="13">
        <v>0.65</v>
      </c>
      <c r="H4377" s="15">
        <v>2</v>
      </c>
      <c r="I4377" s="16">
        <v>1.3</v>
      </c>
      <c r="J4377" s="16">
        <v>1.2964285714285715</v>
      </c>
      <c r="K4377" s="16">
        <v>3.5714285714285587E-3</v>
      </c>
      <c r="L4377" s="13">
        <v>1.64</v>
      </c>
      <c r="M4377" s="13"/>
      <c r="N4377" s="17">
        <f t="shared" si="144"/>
        <v>3.28</v>
      </c>
      <c r="O4377" s="17">
        <f t="shared" si="144"/>
        <v>0</v>
      </c>
      <c r="P4377" s="17">
        <f t="shared" si="145"/>
        <v>3.28</v>
      </c>
      <c r="Q4377" t="str">
        <f>A4377&amp;"-"&amp;B4377&amp;"-"&amp;D4377</f>
        <v>SEPTEMBER-MJ2-L4</v>
      </c>
    </row>
    <row r="4378" spans="1:17" x14ac:dyDescent="0.25">
      <c r="A4378" t="s">
        <v>399</v>
      </c>
      <c r="B4378" s="13" t="s">
        <v>26</v>
      </c>
      <c r="C4378" s="13" t="s">
        <v>226</v>
      </c>
      <c r="D4378" s="14" t="s">
        <v>158</v>
      </c>
      <c r="E4378" s="13" t="s">
        <v>61</v>
      </c>
      <c r="F4378" s="13" t="s">
        <v>1198</v>
      </c>
      <c r="G4378" s="13">
        <v>0.65</v>
      </c>
      <c r="H4378" s="15">
        <v>2013</v>
      </c>
      <c r="I4378" s="16">
        <v>1308.45</v>
      </c>
      <c r="J4378" s="16">
        <v>1228.6505673367326</v>
      </c>
      <c r="K4378" s="16">
        <v>79.799432663267638</v>
      </c>
      <c r="L4378" s="13">
        <v>1.66</v>
      </c>
      <c r="M4378" s="13"/>
      <c r="N4378" s="17">
        <f t="shared" si="144"/>
        <v>3341.58</v>
      </c>
      <c r="O4378" s="17">
        <f t="shared" si="144"/>
        <v>0</v>
      </c>
      <c r="P4378" s="17">
        <f t="shared" si="145"/>
        <v>3341.58</v>
      </c>
      <c r="Q4378" t="str">
        <f>A4378&amp;"-"&amp;B4378&amp;"-"&amp;D4378</f>
        <v>SEPTEMBER-MJ2-L4</v>
      </c>
    </row>
    <row r="4379" spans="1:17" x14ac:dyDescent="0.25">
      <c r="A4379" t="s">
        <v>399</v>
      </c>
      <c r="B4379" s="13" t="s">
        <v>26</v>
      </c>
      <c r="C4379" s="13" t="s">
        <v>226</v>
      </c>
      <c r="D4379" s="14" t="s">
        <v>158</v>
      </c>
      <c r="E4379" s="13" t="s">
        <v>61</v>
      </c>
      <c r="F4379" s="13" t="s">
        <v>1199</v>
      </c>
      <c r="G4379" s="13">
        <v>0.65</v>
      </c>
      <c r="H4379" s="15">
        <v>304</v>
      </c>
      <c r="I4379" s="16">
        <v>197.6</v>
      </c>
      <c r="J4379" s="16">
        <v>208.85027847238007</v>
      </c>
      <c r="K4379" s="16">
        <v>-11.250278472380085</v>
      </c>
      <c r="L4379" s="13">
        <v>1.79</v>
      </c>
      <c r="M4379" s="13"/>
      <c r="N4379" s="17">
        <f t="shared" si="144"/>
        <v>544.16</v>
      </c>
      <c r="O4379" s="17">
        <f t="shared" si="144"/>
        <v>0</v>
      </c>
      <c r="P4379" s="17">
        <f t="shared" si="145"/>
        <v>544.16</v>
      </c>
      <c r="Q4379" t="str">
        <f>A4379&amp;"-"&amp;B4379&amp;"-"&amp;D4379</f>
        <v>SEPTEMBER-MJ2-L4</v>
      </c>
    </row>
    <row r="4380" spans="1:17" x14ac:dyDescent="0.25">
      <c r="A4380" t="s">
        <v>399</v>
      </c>
      <c r="B4380" s="13" t="s">
        <v>26</v>
      </c>
      <c r="C4380" s="13" t="s">
        <v>226</v>
      </c>
      <c r="D4380" s="14" t="s">
        <v>158</v>
      </c>
      <c r="E4380" s="13" t="s">
        <v>61</v>
      </c>
      <c r="F4380" s="13" t="s">
        <v>1410</v>
      </c>
      <c r="G4380" s="13">
        <v>0.65</v>
      </c>
      <c r="H4380" s="15">
        <v>177</v>
      </c>
      <c r="I4380" s="16">
        <v>115.05</v>
      </c>
      <c r="J4380" s="16">
        <v>116.29742587601076</v>
      </c>
      <c r="K4380" s="16">
        <v>-1.2474258760107717</v>
      </c>
      <c r="L4380" s="13">
        <v>1.64</v>
      </c>
      <c r="M4380" s="13"/>
      <c r="N4380" s="17">
        <f t="shared" si="144"/>
        <v>290.27999999999997</v>
      </c>
      <c r="O4380" s="17">
        <f t="shared" si="144"/>
        <v>0</v>
      </c>
      <c r="P4380" s="17">
        <f t="shared" si="145"/>
        <v>290.27999999999997</v>
      </c>
      <c r="Q4380" t="str">
        <f>A4380&amp;"-"&amp;B4380&amp;"-"&amp;D4380</f>
        <v>SEPTEMBER-MJ2-L4</v>
      </c>
    </row>
    <row r="4381" spans="1:17" x14ac:dyDescent="0.25">
      <c r="A4381" t="s">
        <v>399</v>
      </c>
      <c r="B4381" s="13" t="s">
        <v>26</v>
      </c>
      <c r="C4381" s="13" t="s">
        <v>226</v>
      </c>
      <c r="D4381" s="14" t="s">
        <v>158</v>
      </c>
      <c r="E4381" s="13" t="s">
        <v>61</v>
      </c>
      <c r="F4381" s="13" t="s">
        <v>1604</v>
      </c>
      <c r="G4381" s="13">
        <v>0.88</v>
      </c>
      <c r="H4381" s="15">
        <v>2</v>
      </c>
      <c r="I4381" s="16">
        <v>1.76</v>
      </c>
      <c r="J4381" s="16">
        <v>1.316012084592145</v>
      </c>
      <c r="K4381" s="16">
        <v>0.44398791540785498</v>
      </c>
      <c r="L4381" s="13">
        <v>2.65</v>
      </c>
      <c r="M4381" s="13"/>
      <c r="N4381" s="17">
        <f t="shared" si="144"/>
        <v>5.3</v>
      </c>
      <c r="O4381" s="17">
        <f t="shared" si="144"/>
        <v>0</v>
      </c>
      <c r="P4381" s="17">
        <f t="shared" si="145"/>
        <v>5.3</v>
      </c>
      <c r="Q4381" t="str">
        <f>A4381&amp;"-"&amp;B4381&amp;"-"&amp;D4381</f>
        <v>SEPTEMBER-MJ2-L4</v>
      </c>
    </row>
    <row r="4382" spans="1:17" x14ac:dyDescent="0.25">
      <c r="A4382" t="s">
        <v>399</v>
      </c>
      <c r="B4382" s="13" t="s">
        <v>26</v>
      </c>
      <c r="C4382" s="13" t="s">
        <v>226</v>
      </c>
      <c r="D4382" s="14" t="s">
        <v>160</v>
      </c>
      <c r="E4382" s="13" t="s">
        <v>61</v>
      </c>
      <c r="F4382" s="13" t="s">
        <v>1593</v>
      </c>
      <c r="G4382" s="13">
        <v>0.67999999999999983</v>
      </c>
      <c r="H4382" s="15">
        <v>8358</v>
      </c>
      <c r="I4382" s="16">
        <v>5683.4400000000005</v>
      </c>
      <c r="J4382" s="16">
        <v>5320.0390626398612</v>
      </c>
      <c r="K4382" s="16">
        <v>363.40093736013887</v>
      </c>
      <c r="L4382" s="13">
        <v>1.82</v>
      </c>
      <c r="M4382" s="13"/>
      <c r="N4382" s="17">
        <f t="shared" si="144"/>
        <v>15211.560000000001</v>
      </c>
      <c r="O4382" s="17">
        <f t="shared" si="144"/>
        <v>0</v>
      </c>
      <c r="P4382" s="17">
        <f t="shared" si="145"/>
        <v>15211.560000000001</v>
      </c>
      <c r="Q4382" t="str">
        <f>A4382&amp;"-"&amp;B4382&amp;"-"&amp;D4382</f>
        <v>SEPTEMBER-MJ2-L5</v>
      </c>
    </row>
    <row r="4383" spans="1:17" x14ac:dyDescent="0.25">
      <c r="A4383" t="s">
        <v>399</v>
      </c>
      <c r="B4383" s="13" t="s">
        <v>26</v>
      </c>
      <c r="C4383" s="13" t="s">
        <v>226</v>
      </c>
      <c r="D4383" s="14" t="s">
        <v>160</v>
      </c>
      <c r="E4383" s="13" t="s">
        <v>61</v>
      </c>
      <c r="F4383" s="13" t="s">
        <v>1594</v>
      </c>
      <c r="G4383" s="13">
        <v>0.67999999999999994</v>
      </c>
      <c r="H4383" s="15">
        <v>3253</v>
      </c>
      <c r="I4383" s="16">
        <v>2212.0400000000004</v>
      </c>
      <c r="J4383" s="16">
        <v>2064.8637054160858</v>
      </c>
      <c r="K4383" s="16">
        <v>147.17629458391409</v>
      </c>
      <c r="L4383" s="13">
        <v>1.82</v>
      </c>
      <c r="M4383" s="13"/>
      <c r="N4383" s="17">
        <f t="shared" si="144"/>
        <v>5920.46</v>
      </c>
      <c r="O4383" s="17">
        <f t="shared" si="144"/>
        <v>0</v>
      </c>
      <c r="P4383" s="17">
        <f t="shared" si="145"/>
        <v>5920.46</v>
      </c>
      <c r="Q4383" t="str">
        <f>A4383&amp;"-"&amp;B4383&amp;"-"&amp;D4383</f>
        <v>SEPTEMBER-MJ2-L5</v>
      </c>
    </row>
    <row r="4384" spans="1:17" x14ac:dyDescent="0.25">
      <c r="A4384" t="s">
        <v>399</v>
      </c>
      <c r="B4384" s="13" t="s">
        <v>26</v>
      </c>
      <c r="C4384" s="13" t="s">
        <v>226</v>
      </c>
      <c r="D4384" s="14" t="s">
        <v>160</v>
      </c>
      <c r="E4384" s="13" t="s">
        <v>61</v>
      </c>
      <c r="F4384" s="13" t="s">
        <v>1411</v>
      </c>
      <c r="G4384" s="13">
        <v>0.80000000000000016</v>
      </c>
      <c r="H4384" s="15">
        <v>297</v>
      </c>
      <c r="I4384" s="16">
        <v>237.60000000000002</v>
      </c>
      <c r="J4384" s="16">
        <v>186.84888423149323</v>
      </c>
      <c r="K4384" s="16">
        <v>50.751115768506764</v>
      </c>
      <c r="L4384" s="13">
        <v>2.1</v>
      </c>
      <c r="M4384" s="13"/>
      <c r="N4384" s="17">
        <f t="shared" si="144"/>
        <v>623.70000000000005</v>
      </c>
      <c r="O4384" s="17">
        <f t="shared" si="144"/>
        <v>0</v>
      </c>
      <c r="P4384" s="17">
        <f t="shared" si="145"/>
        <v>623.70000000000005</v>
      </c>
      <c r="Q4384" t="str">
        <f>A4384&amp;"-"&amp;B4384&amp;"-"&amp;D4384</f>
        <v>SEPTEMBER-MJ2-L5</v>
      </c>
    </row>
    <row r="4385" spans="1:17" x14ac:dyDescent="0.25">
      <c r="A4385" t="s">
        <v>399</v>
      </c>
      <c r="B4385" s="13" t="s">
        <v>26</v>
      </c>
      <c r="C4385" s="13" t="s">
        <v>226</v>
      </c>
      <c r="D4385" s="14" t="s">
        <v>160</v>
      </c>
      <c r="E4385" s="13" t="s">
        <v>61</v>
      </c>
      <c r="F4385" s="13" t="s">
        <v>1405</v>
      </c>
      <c r="G4385" s="13">
        <v>0.8</v>
      </c>
      <c r="H4385" s="15">
        <v>372</v>
      </c>
      <c r="I4385" s="16">
        <v>297.59999999999997</v>
      </c>
      <c r="J4385" s="16">
        <v>234.18342525565623</v>
      </c>
      <c r="K4385" s="16">
        <v>63.416574744343741</v>
      </c>
      <c r="L4385" s="13">
        <v>2.1</v>
      </c>
      <c r="M4385" s="13"/>
      <c r="N4385" s="17">
        <f t="shared" si="144"/>
        <v>781.2</v>
      </c>
      <c r="O4385" s="17">
        <f t="shared" si="144"/>
        <v>0</v>
      </c>
      <c r="P4385" s="17">
        <f t="shared" si="145"/>
        <v>781.2</v>
      </c>
      <c r="Q4385" t="str">
        <f>A4385&amp;"-"&amp;B4385&amp;"-"&amp;D4385</f>
        <v>SEPTEMBER-MJ2-L5</v>
      </c>
    </row>
    <row r="4386" spans="1:17" x14ac:dyDescent="0.25">
      <c r="A4386" t="s">
        <v>399</v>
      </c>
      <c r="B4386" s="13" t="s">
        <v>26</v>
      </c>
      <c r="C4386" s="13" t="s">
        <v>226</v>
      </c>
      <c r="D4386" s="14" t="s">
        <v>160</v>
      </c>
      <c r="E4386" s="13" t="s">
        <v>61</v>
      </c>
      <c r="F4386" s="13" t="s">
        <v>1562</v>
      </c>
      <c r="G4386" s="13">
        <v>0.66</v>
      </c>
      <c r="H4386" s="15">
        <v>3215</v>
      </c>
      <c r="I4386" s="16">
        <v>2121.8999999999996</v>
      </c>
      <c r="J4386" s="16">
        <v>2003.9060024281862</v>
      </c>
      <c r="K4386" s="16">
        <v>117.99399757181398</v>
      </c>
      <c r="L4386" s="13">
        <v>1.71</v>
      </c>
      <c r="M4386" s="13"/>
      <c r="N4386" s="17">
        <f t="shared" si="144"/>
        <v>5497.65</v>
      </c>
      <c r="O4386" s="17">
        <f t="shared" si="144"/>
        <v>0</v>
      </c>
      <c r="P4386" s="17">
        <f t="shared" si="145"/>
        <v>5497.65</v>
      </c>
      <c r="Q4386" t="str">
        <f>A4386&amp;"-"&amp;B4386&amp;"-"&amp;D4386</f>
        <v>SEPTEMBER-MJ2-L5</v>
      </c>
    </row>
    <row r="4387" spans="1:17" x14ac:dyDescent="0.25">
      <c r="A4387" t="s">
        <v>399</v>
      </c>
      <c r="B4387" s="13" t="s">
        <v>26</v>
      </c>
      <c r="C4387" s="13" t="s">
        <v>226</v>
      </c>
      <c r="D4387" s="14" t="s">
        <v>160</v>
      </c>
      <c r="E4387" s="13" t="s">
        <v>61</v>
      </c>
      <c r="F4387" s="13" t="s">
        <v>1406</v>
      </c>
      <c r="G4387" s="13">
        <v>0.8</v>
      </c>
      <c r="H4387" s="15">
        <v>218</v>
      </c>
      <c r="I4387" s="16">
        <v>174.39999999999998</v>
      </c>
      <c r="J4387" s="16">
        <v>136.70612375347679</v>
      </c>
      <c r="K4387" s="16">
        <v>37.693876246523217</v>
      </c>
      <c r="L4387" s="13">
        <v>2.1</v>
      </c>
      <c r="M4387" s="13"/>
      <c r="N4387" s="17">
        <f t="shared" si="144"/>
        <v>457.8</v>
      </c>
      <c r="O4387" s="17">
        <f t="shared" si="144"/>
        <v>0</v>
      </c>
      <c r="P4387" s="17">
        <f t="shared" si="145"/>
        <v>457.8</v>
      </c>
      <c r="Q4387" t="str">
        <f>A4387&amp;"-"&amp;B4387&amp;"-"&amp;D4387</f>
        <v>SEPTEMBER-MJ2-L5</v>
      </c>
    </row>
    <row r="4388" spans="1:17" x14ac:dyDescent="0.25">
      <c r="A4388" t="s">
        <v>399</v>
      </c>
      <c r="B4388" s="13" t="s">
        <v>26</v>
      </c>
      <c r="C4388" s="13" t="s">
        <v>226</v>
      </c>
      <c r="D4388" s="14" t="s">
        <v>160</v>
      </c>
      <c r="E4388" s="13" t="s">
        <v>61</v>
      </c>
      <c r="F4388" s="13" t="s">
        <v>1595</v>
      </c>
      <c r="G4388" s="13">
        <v>0.72</v>
      </c>
      <c r="H4388" s="15">
        <v>1371</v>
      </c>
      <c r="I4388" s="16">
        <v>987.12000000000012</v>
      </c>
      <c r="J4388" s="16">
        <v>814.0066079964588</v>
      </c>
      <c r="K4388" s="16">
        <v>173.11339200354121</v>
      </c>
      <c r="L4388" s="13">
        <v>1.36</v>
      </c>
      <c r="M4388" s="13"/>
      <c r="N4388" s="17">
        <f t="shared" si="144"/>
        <v>1864.5600000000002</v>
      </c>
      <c r="O4388" s="17">
        <f t="shared" si="144"/>
        <v>0</v>
      </c>
      <c r="P4388" s="17">
        <f t="shared" si="145"/>
        <v>1864.5600000000002</v>
      </c>
      <c r="Q4388" t="str">
        <f>A4388&amp;"-"&amp;B4388&amp;"-"&amp;D4388</f>
        <v>SEPTEMBER-MJ2-L5</v>
      </c>
    </row>
    <row r="4389" spans="1:17" x14ac:dyDescent="0.25">
      <c r="A4389" t="s">
        <v>399</v>
      </c>
      <c r="B4389" s="13" t="s">
        <v>26</v>
      </c>
      <c r="C4389" s="13" t="s">
        <v>226</v>
      </c>
      <c r="D4389" s="14" t="s">
        <v>160</v>
      </c>
      <c r="E4389" s="13" t="s">
        <v>61</v>
      </c>
      <c r="F4389" s="13" t="s">
        <v>1596</v>
      </c>
      <c r="G4389" s="13">
        <v>0.72</v>
      </c>
      <c r="H4389" s="15">
        <v>1989</v>
      </c>
      <c r="I4389" s="16">
        <v>1432.08</v>
      </c>
      <c r="J4389" s="16">
        <v>1210.9229039024704</v>
      </c>
      <c r="K4389" s="16">
        <v>221.15709609752957</v>
      </c>
      <c r="L4389" s="13">
        <v>1.36</v>
      </c>
      <c r="M4389" s="13"/>
      <c r="N4389" s="17">
        <f t="shared" si="144"/>
        <v>2705.0400000000004</v>
      </c>
      <c r="O4389" s="17">
        <f t="shared" si="144"/>
        <v>0</v>
      </c>
      <c r="P4389" s="17">
        <f t="shared" si="145"/>
        <v>2705.0400000000004</v>
      </c>
      <c r="Q4389" t="str">
        <f>A4389&amp;"-"&amp;B4389&amp;"-"&amp;D4389</f>
        <v>SEPTEMBER-MJ2-L5</v>
      </c>
    </row>
    <row r="4390" spans="1:17" x14ac:dyDescent="0.25">
      <c r="A4390" t="s">
        <v>399</v>
      </c>
      <c r="B4390" s="13" t="s">
        <v>26</v>
      </c>
      <c r="C4390" s="13" t="s">
        <v>226</v>
      </c>
      <c r="D4390" s="14" t="s">
        <v>160</v>
      </c>
      <c r="E4390" s="13" t="s">
        <v>61</v>
      </c>
      <c r="F4390" s="13" t="s">
        <v>1597</v>
      </c>
      <c r="G4390" s="13">
        <v>0.68</v>
      </c>
      <c r="H4390" s="15">
        <v>478</v>
      </c>
      <c r="I4390" s="16">
        <v>325.04000000000002</v>
      </c>
      <c r="J4390" s="16">
        <v>297.45257142857139</v>
      </c>
      <c r="K4390" s="16">
        <v>27.587428571428632</v>
      </c>
      <c r="L4390" s="13">
        <v>1.7</v>
      </c>
      <c r="M4390" s="13"/>
      <c r="N4390" s="17">
        <f t="shared" si="144"/>
        <v>812.6</v>
      </c>
      <c r="O4390" s="17">
        <f t="shared" si="144"/>
        <v>0</v>
      </c>
      <c r="P4390" s="17">
        <f t="shared" si="145"/>
        <v>812.6</v>
      </c>
      <c r="Q4390" t="str">
        <f>A4390&amp;"-"&amp;B4390&amp;"-"&amp;D4390</f>
        <v>SEPTEMBER-MJ2-L5</v>
      </c>
    </row>
    <row r="4391" spans="1:17" x14ac:dyDescent="0.25">
      <c r="A4391" t="s">
        <v>399</v>
      </c>
      <c r="B4391" s="13" t="s">
        <v>26</v>
      </c>
      <c r="C4391" s="13" t="s">
        <v>226</v>
      </c>
      <c r="D4391" s="14" t="s">
        <v>160</v>
      </c>
      <c r="E4391" s="13" t="s">
        <v>61</v>
      </c>
      <c r="F4391" s="13" t="s">
        <v>1598</v>
      </c>
      <c r="G4391" s="13">
        <v>0.71999999999999986</v>
      </c>
      <c r="H4391" s="15">
        <v>2999</v>
      </c>
      <c r="I4391" s="16">
        <v>2159.2799999999997</v>
      </c>
      <c r="J4391" s="16">
        <v>1867.638253512162</v>
      </c>
      <c r="K4391" s="16">
        <v>291.64174648783785</v>
      </c>
      <c r="L4391" s="13">
        <v>1.34</v>
      </c>
      <c r="M4391" s="13"/>
      <c r="N4391" s="17">
        <f t="shared" si="144"/>
        <v>4018.6600000000003</v>
      </c>
      <c r="O4391" s="17">
        <f t="shared" si="144"/>
        <v>0</v>
      </c>
      <c r="P4391" s="17">
        <f t="shared" si="145"/>
        <v>4018.6600000000003</v>
      </c>
      <c r="Q4391" t="str">
        <f>A4391&amp;"-"&amp;B4391&amp;"-"&amp;D4391</f>
        <v>SEPTEMBER-MJ2-L5</v>
      </c>
    </row>
    <row r="4392" spans="1:17" x14ac:dyDescent="0.25">
      <c r="A4392" t="s">
        <v>399</v>
      </c>
      <c r="B4392" s="13" t="s">
        <v>26</v>
      </c>
      <c r="C4392" s="13" t="s">
        <v>226</v>
      </c>
      <c r="D4392" s="14" t="s">
        <v>160</v>
      </c>
      <c r="E4392" s="13" t="s">
        <v>61</v>
      </c>
      <c r="F4392" s="13" t="s">
        <v>1573</v>
      </c>
      <c r="G4392" s="13">
        <v>0.72000000000000008</v>
      </c>
      <c r="H4392" s="15">
        <v>415</v>
      </c>
      <c r="I4392" s="16">
        <v>298.8</v>
      </c>
      <c r="J4392" s="16">
        <v>212.31389257817816</v>
      </c>
      <c r="K4392" s="16">
        <v>86.486107421821856</v>
      </c>
      <c r="L4392" s="13">
        <v>1.34</v>
      </c>
      <c r="M4392" s="13"/>
      <c r="N4392" s="17">
        <f t="shared" si="144"/>
        <v>556.1</v>
      </c>
      <c r="O4392" s="17">
        <f t="shared" si="144"/>
        <v>0</v>
      </c>
      <c r="P4392" s="17">
        <f t="shared" si="145"/>
        <v>556.1</v>
      </c>
      <c r="Q4392" t="str">
        <f>A4392&amp;"-"&amp;B4392&amp;"-"&amp;D4392</f>
        <v>SEPTEMBER-MJ2-L5</v>
      </c>
    </row>
    <row r="4393" spans="1:17" x14ac:dyDescent="0.25">
      <c r="A4393" t="s">
        <v>399</v>
      </c>
      <c r="B4393" s="13" t="s">
        <v>26</v>
      </c>
      <c r="C4393" s="13" t="s">
        <v>226</v>
      </c>
      <c r="D4393" s="14" t="s">
        <v>160</v>
      </c>
      <c r="E4393" s="13" t="s">
        <v>61</v>
      </c>
      <c r="F4393" s="13" t="s">
        <v>1599</v>
      </c>
      <c r="G4393" s="13">
        <v>0.71999999999999986</v>
      </c>
      <c r="H4393" s="15">
        <v>2131</v>
      </c>
      <c r="I4393" s="16">
        <v>1534.3199999999997</v>
      </c>
      <c r="J4393" s="16">
        <v>1420.6802899095439</v>
      </c>
      <c r="K4393" s="16">
        <v>113.63971009045605</v>
      </c>
      <c r="L4393" s="13">
        <v>1.34</v>
      </c>
      <c r="M4393" s="13"/>
      <c r="N4393" s="17">
        <f t="shared" si="144"/>
        <v>2855.54</v>
      </c>
      <c r="O4393" s="17">
        <f t="shared" si="144"/>
        <v>0</v>
      </c>
      <c r="P4393" s="17">
        <f t="shared" si="145"/>
        <v>2855.54</v>
      </c>
      <c r="Q4393" t="str">
        <f>A4393&amp;"-"&amp;B4393&amp;"-"&amp;D4393</f>
        <v>SEPTEMBER-MJ2-L5</v>
      </c>
    </row>
    <row r="4394" spans="1:17" x14ac:dyDescent="0.25">
      <c r="A4394" t="s">
        <v>399</v>
      </c>
      <c r="B4394" s="13" t="s">
        <v>26</v>
      </c>
      <c r="C4394" s="13" t="s">
        <v>226</v>
      </c>
      <c r="D4394" s="14" t="s">
        <v>160</v>
      </c>
      <c r="E4394" s="13" t="s">
        <v>61</v>
      </c>
      <c r="F4394" s="13" t="s">
        <v>1600</v>
      </c>
      <c r="G4394" s="13">
        <v>0.76</v>
      </c>
      <c r="H4394" s="15">
        <v>1800</v>
      </c>
      <c r="I4394" s="16">
        <v>1368</v>
      </c>
      <c r="J4394" s="16">
        <v>1002.6598465473145</v>
      </c>
      <c r="K4394" s="16">
        <v>365.34015345268551</v>
      </c>
      <c r="L4394" s="13">
        <v>1.94</v>
      </c>
      <c r="M4394" s="13"/>
      <c r="N4394" s="17">
        <f t="shared" si="144"/>
        <v>3492</v>
      </c>
      <c r="O4394" s="17">
        <f t="shared" si="144"/>
        <v>0</v>
      </c>
      <c r="P4394" s="17">
        <f t="shared" si="145"/>
        <v>3492</v>
      </c>
      <c r="Q4394" t="str">
        <f>A4394&amp;"-"&amp;B4394&amp;"-"&amp;D4394</f>
        <v>SEPTEMBER-MJ2-L5</v>
      </c>
    </row>
    <row r="4395" spans="1:17" x14ac:dyDescent="0.25">
      <c r="A4395" t="s">
        <v>399</v>
      </c>
      <c r="B4395" s="13" t="s">
        <v>26</v>
      </c>
      <c r="C4395" s="13" t="s">
        <v>226</v>
      </c>
      <c r="D4395" s="14" t="s">
        <v>160</v>
      </c>
      <c r="E4395" s="13" t="s">
        <v>61</v>
      </c>
      <c r="F4395" s="13" t="s">
        <v>1601</v>
      </c>
      <c r="G4395" s="13">
        <v>1.19</v>
      </c>
      <c r="H4395" s="15">
        <v>1393</v>
      </c>
      <c r="I4395" s="16">
        <v>1657.6699999999998</v>
      </c>
      <c r="J4395" s="16">
        <v>902.43779981032844</v>
      </c>
      <c r="K4395" s="16">
        <v>755.23220018967152</v>
      </c>
      <c r="L4395" s="13">
        <v>2.87</v>
      </c>
      <c r="M4395" s="13"/>
      <c r="N4395" s="17">
        <f t="shared" si="144"/>
        <v>3997.9100000000003</v>
      </c>
      <c r="O4395" s="17">
        <f t="shared" si="144"/>
        <v>0</v>
      </c>
      <c r="P4395" s="17">
        <f t="shared" si="145"/>
        <v>3997.9100000000003</v>
      </c>
      <c r="Q4395" t="str">
        <f>A4395&amp;"-"&amp;B4395&amp;"-"&amp;D4395</f>
        <v>SEPTEMBER-MJ2-L5</v>
      </c>
    </row>
    <row r="4396" spans="1:17" x14ac:dyDescent="0.25">
      <c r="A4396" t="s">
        <v>399</v>
      </c>
      <c r="B4396" s="13" t="s">
        <v>26</v>
      </c>
      <c r="C4396" s="13" t="s">
        <v>226</v>
      </c>
      <c r="D4396" s="14" t="s">
        <v>160</v>
      </c>
      <c r="E4396" s="13" t="s">
        <v>61</v>
      </c>
      <c r="F4396" s="13" t="s">
        <v>1565</v>
      </c>
      <c r="G4396" s="13">
        <v>0.83</v>
      </c>
      <c r="H4396" s="15">
        <v>2145</v>
      </c>
      <c r="I4396" s="16">
        <v>1780.35</v>
      </c>
      <c r="J4396" s="16">
        <v>1323.1017734553775</v>
      </c>
      <c r="K4396" s="16">
        <v>457.24822654462236</v>
      </c>
      <c r="L4396" s="13">
        <v>2.13</v>
      </c>
      <c r="M4396" s="13"/>
      <c r="N4396" s="17">
        <f t="shared" si="144"/>
        <v>4568.8499999999995</v>
      </c>
      <c r="O4396" s="17">
        <f t="shared" si="144"/>
        <v>0</v>
      </c>
      <c r="P4396" s="17">
        <f t="shared" si="145"/>
        <v>4568.8499999999995</v>
      </c>
      <c r="Q4396" t="str">
        <f>A4396&amp;"-"&amp;B4396&amp;"-"&amp;D4396</f>
        <v>SEPTEMBER-MJ2-L5</v>
      </c>
    </row>
    <row r="4397" spans="1:17" x14ac:dyDescent="0.25">
      <c r="A4397" t="s">
        <v>399</v>
      </c>
      <c r="B4397" s="13" t="s">
        <v>26</v>
      </c>
      <c r="C4397" s="13" t="s">
        <v>226</v>
      </c>
      <c r="D4397" s="14" t="s">
        <v>160</v>
      </c>
      <c r="E4397" s="13" t="s">
        <v>61</v>
      </c>
      <c r="F4397" s="13" t="s">
        <v>1602</v>
      </c>
      <c r="G4397" s="13">
        <v>0.78</v>
      </c>
      <c r="H4397" s="15">
        <v>783</v>
      </c>
      <c r="I4397" s="16">
        <v>610.74</v>
      </c>
      <c r="J4397" s="16">
        <v>473.71499999999997</v>
      </c>
      <c r="K4397" s="16">
        <v>137.02500000000003</v>
      </c>
      <c r="L4397" s="13">
        <v>2.29</v>
      </c>
      <c r="M4397" s="13"/>
      <c r="N4397" s="17">
        <f t="shared" si="144"/>
        <v>1793.07</v>
      </c>
      <c r="O4397" s="17">
        <f t="shared" si="144"/>
        <v>0</v>
      </c>
      <c r="P4397" s="17">
        <f t="shared" si="145"/>
        <v>1793.07</v>
      </c>
      <c r="Q4397" t="str">
        <f>A4397&amp;"-"&amp;B4397&amp;"-"&amp;D4397</f>
        <v>SEPTEMBER-MJ2-L5</v>
      </c>
    </row>
    <row r="4398" spans="1:17" x14ac:dyDescent="0.25">
      <c r="A4398" t="s">
        <v>399</v>
      </c>
      <c r="B4398" s="13" t="s">
        <v>26</v>
      </c>
      <c r="C4398" s="13" t="s">
        <v>226</v>
      </c>
      <c r="D4398" s="14" t="s">
        <v>160</v>
      </c>
      <c r="E4398" s="13" t="s">
        <v>61</v>
      </c>
      <c r="F4398" s="13" t="s">
        <v>1603</v>
      </c>
      <c r="G4398" s="13">
        <v>0.83</v>
      </c>
      <c r="H4398" s="15">
        <v>1185</v>
      </c>
      <c r="I4398" s="16">
        <v>983.55</v>
      </c>
      <c r="J4398" s="16">
        <v>737.40857142857146</v>
      </c>
      <c r="K4398" s="16">
        <v>246.14142857142849</v>
      </c>
      <c r="L4398" s="13">
        <v>2.13</v>
      </c>
      <c r="M4398" s="13"/>
      <c r="N4398" s="17">
        <f t="shared" si="144"/>
        <v>2524.0499999999997</v>
      </c>
      <c r="O4398" s="17">
        <f t="shared" si="144"/>
        <v>0</v>
      </c>
      <c r="P4398" s="17">
        <f t="shared" si="145"/>
        <v>2524.0499999999997</v>
      </c>
      <c r="Q4398" t="str">
        <f>A4398&amp;"-"&amp;B4398&amp;"-"&amp;D4398</f>
        <v>SEPTEMBER-MJ2-L5</v>
      </c>
    </row>
    <row r="4399" spans="1:17" x14ac:dyDescent="0.25">
      <c r="A4399" t="s">
        <v>399</v>
      </c>
      <c r="B4399" s="13" t="s">
        <v>26</v>
      </c>
      <c r="C4399" s="13" t="s">
        <v>226</v>
      </c>
      <c r="D4399" s="14" t="s">
        <v>160</v>
      </c>
      <c r="E4399" s="13" t="s">
        <v>61</v>
      </c>
      <c r="F4399" s="13" t="s">
        <v>1408</v>
      </c>
      <c r="G4399" s="13">
        <v>0.65</v>
      </c>
      <c r="H4399" s="15">
        <v>24</v>
      </c>
      <c r="I4399" s="16">
        <v>15.600000000000001</v>
      </c>
      <c r="J4399" s="16">
        <v>14.788330564784053</v>
      </c>
      <c r="K4399" s="16">
        <v>0.81166943521594792</v>
      </c>
      <c r="L4399" s="13">
        <v>1.64</v>
      </c>
      <c r="M4399" s="13"/>
      <c r="N4399" s="17">
        <f t="shared" si="144"/>
        <v>39.36</v>
      </c>
      <c r="O4399" s="17">
        <f t="shared" si="144"/>
        <v>0</v>
      </c>
      <c r="P4399" s="17">
        <f t="shared" si="145"/>
        <v>39.36</v>
      </c>
      <c r="Q4399" t="str">
        <f>A4399&amp;"-"&amp;B4399&amp;"-"&amp;D4399</f>
        <v>SEPTEMBER-MJ2-L5</v>
      </c>
    </row>
    <row r="4400" spans="1:17" x14ac:dyDescent="0.25">
      <c r="A4400" t="s">
        <v>399</v>
      </c>
      <c r="B4400" s="13" t="s">
        <v>26</v>
      </c>
      <c r="C4400" s="13" t="s">
        <v>226</v>
      </c>
      <c r="D4400" s="14" t="s">
        <v>160</v>
      </c>
      <c r="E4400" s="13" t="s">
        <v>61</v>
      </c>
      <c r="F4400" s="13" t="s">
        <v>1409</v>
      </c>
      <c r="G4400" s="13">
        <v>0.65</v>
      </c>
      <c r="H4400" s="15">
        <v>3</v>
      </c>
      <c r="I4400" s="16">
        <v>1.95</v>
      </c>
      <c r="J4400" s="16">
        <v>1.9446428571428571</v>
      </c>
      <c r="K4400" s="16">
        <v>5.3571428571428381E-3</v>
      </c>
      <c r="L4400" s="13">
        <v>1.64</v>
      </c>
      <c r="M4400" s="13"/>
      <c r="N4400" s="17">
        <f t="shared" si="144"/>
        <v>4.92</v>
      </c>
      <c r="O4400" s="17">
        <f t="shared" si="144"/>
        <v>0</v>
      </c>
      <c r="P4400" s="17">
        <f t="shared" si="145"/>
        <v>4.92</v>
      </c>
      <c r="Q4400" t="str">
        <f>A4400&amp;"-"&amp;B4400&amp;"-"&amp;D4400</f>
        <v>SEPTEMBER-MJ2-L5</v>
      </c>
    </row>
    <row r="4401" spans="1:17" x14ac:dyDescent="0.25">
      <c r="A4401" t="s">
        <v>399</v>
      </c>
      <c r="B4401" s="13" t="s">
        <v>26</v>
      </c>
      <c r="C4401" s="13" t="s">
        <v>226</v>
      </c>
      <c r="D4401" s="14" t="s">
        <v>160</v>
      </c>
      <c r="E4401" s="13" t="s">
        <v>61</v>
      </c>
      <c r="F4401" s="13" t="s">
        <v>1198</v>
      </c>
      <c r="G4401" s="13">
        <v>0.65</v>
      </c>
      <c r="H4401" s="15">
        <v>2012</v>
      </c>
      <c r="I4401" s="16">
        <v>1307.8</v>
      </c>
      <c r="J4401" s="16">
        <v>1228.4566555531276</v>
      </c>
      <c r="K4401" s="16">
        <v>79.343344446872663</v>
      </c>
      <c r="L4401" s="13">
        <v>1.66</v>
      </c>
      <c r="M4401" s="13"/>
      <c r="N4401" s="17">
        <f t="shared" si="144"/>
        <v>3339.9199999999996</v>
      </c>
      <c r="O4401" s="17">
        <f t="shared" si="144"/>
        <v>0</v>
      </c>
      <c r="P4401" s="17">
        <f t="shared" si="145"/>
        <v>3339.9199999999996</v>
      </c>
      <c r="Q4401" t="str">
        <f>A4401&amp;"-"&amp;B4401&amp;"-"&amp;D4401</f>
        <v>SEPTEMBER-MJ2-L5</v>
      </c>
    </row>
    <row r="4402" spans="1:17" x14ac:dyDescent="0.25">
      <c r="A4402" t="s">
        <v>399</v>
      </c>
      <c r="B4402" s="13" t="s">
        <v>26</v>
      </c>
      <c r="C4402" s="13" t="s">
        <v>226</v>
      </c>
      <c r="D4402" s="14" t="s">
        <v>160</v>
      </c>
      <c r="E4402" s="13" t="s">
        <v>61</v>
      </c>
      <c r="F4402" s="13" t="s">
        <v>1199</v>
      </c>
      <c r="G4402" s="13">
        <v>0.65</v>
      </c>
      <c r="H4402" s="15">
        <v>303</v>
      </c>
      <c r="I4402" s="16">
        <v>196.95</v>
      </c>
      <c r="J4402" s="16">
        <v>208.26506852345855</v>
      </c>
      <c r="K4402" s="16">
        <v>-11.315068523458539</v>
      </c>
      <c r="L4402" s="13">
        <v>1.79</v>
      </c>
      <c r="M4402" s="13"/>
      <c r="N4402" s="17">
        <f t="shared" si="144"/>
        <v>542.37</v>
      </c>
      <c r="O4402" s="17">
        <f t="shared" si="144"/>
        <v>0</v>
      </c>
      <c r="P4402" s="17">
        <f t="shared" si="145"/>
        <v>542.37</v>
      </c>
      <c r="Q4402" t="str">
        <f>A4402&amp;"-"&amp;B4402&amp;"-"&amp;D4402</f>
        <v>SEPTEMBER-MJ2-L5</v>
      </c>
    </row>
    <row r="4403" spans="1:17" x14ac:dyDescent="0.25">
      <c r="A4403" t="s">
        <v>399</v>
      </c>
      <c r="B4403" s="13" t="s">
        <v>26</v>
      </c>
      <c r="C4403" s="13" t="s">
        <v>226</v>
      </c>
      <c r="D4403" s="14" t="s">
        <v>160</v>
      </c>
      <c r="E4403" s="13" t="s">
        <v>61</v>
      </c>
      <c r="F4403" s="13" t="s">
        <v>1410</v>
      </c>
      <c r="G4403" s="13">
        <v>0.65</v>
      </c>
      <c r="H4403" s="15">
        <v>176</v>
      </c>
      <c r="I4403" s="16">
        <v>114.4</v>
      </c>
      <c r="J4403" s="16">
        <v>115.68657008086254</v>
      </c>
      <c r="K4403" s="16">
        <v>-1.2865700808625313</v>
      </c>
      <c r="L4403" s="13">
        <v>1.64</v>
      </c>
      <c r="M4403" s="13"/>
      <c r="N4403" s="17">
        <f t="shared" si="144"/>
        <v>288.64</v>
      </c>
      <c r="O4403" s="17">
        <f t="shared" si="144"/>
        <v>0</v>
      </c>
      <c r="P4403" s="17">
        <f t="shared" si="145"/>
        <v>288.64</v>
      </c>
      <c r="Q4403" t="str">
        <f>A4403&amp;"-"&amp;B4403&amp;"-"&amp;D4403</f>
        <v>SEPTEMBER-MJ2-L5</v>
      </c>
    </row>
    <row r="4404" spans="1:17" x14ac:dyDescent="0.25">
      <c r="A4404" t="s">
        <v>399</v>
      </c>
      <c r="B4404" s="13" t="s">
        <v>26</v>
      </c>
      <c r="C4404" s="13" t="s">
        <v>226</v>
      </c>
      <c r="D4404" s="14" t="s">
        <v>160</v>
      </c>
      <c r="E4404" s="13" t="s">
        <v>61</v>
      </c>
      <c r="F4404" s="13" t="s">
        <v>1604</v>
      </c>
      <c r="G4404" s="13">
        <v>0.88</v>
      </c>
      <c r="H4404" s="15">
        <v>3</v>
      </c>
      <c r="I4404" s="16">
        <v>2.64</v>
      </c>
      <c r="J4404" s="16">
        <v>1.9740181268882175</v>
      </c>
      <c r="K4404" s="16">
        <v>0.66598187311178259</v>
      </c>
      <c r="L4404" s="13">
        <v>2.65</v>
      </c>
      <c r="M4404" s="13"/>
      <c r="N4404" s="17">
        <f t="shared" si="144"/>
        <v>7.9499999999999993</v>
      </c>
      <c r="O4404" s="17">
        <f t="shared" si="144"/>
        <v>0</v>
      </c>
      <c r="P4404" s="17">
        <f t="shared" si="145"/>
        <v>7.9499999999999993</v>
      </c>
      <c r="Q4404" t="str">
        <f>A4404&amp;"-"&amp;B4404&amp;"-"&amp;D4404</f>
        <v>SEPTEMBER-MJ2-L5</v>
      </c>
    </row>
    <row r="4405" spans="1:17" x14ac:dyDescent="0.25">
      <c r="A4405" t="s">
        <v>399</v>
      </c>
      <c r="B4405" s="13" t="s">
        <v>26</v>
      </c>
      <c r="C4405" s="13" t="s">
        <v>226</v>
      </c>
      <c r="D4405" s="14" t="s">
        <v>163</v>
      </c>
      <c r="E4405" s="13" t="s">
        <v>61</v>
      </c>
      <c r="F4405" s="13" t="s">
        <v>1593</v>
      </c>
      <c r="G4405" s="13">
        <v>0.67999999999999994</v>
      </c>
      <c r="H4405" s="15">
        <v>11905</v>
      </c>
      <c r="I4405" s="16">
        <v>8095.4000000000005</v>
      </c>
      <c r="J4405" s="16">
        <v>6778.8564337497482</v>
      </c>
      <c r="K4405" s="16">
        <v>1316.5435662502521</v>
      </c>
      <c r="L4405" s="13">
        <v>1.82</v>
      </c>
      <c r="M4405" s="13"/>
      <c r="N4405" s="17">
        <f t="shared" si="144"/>
        <v>21667.100000000002</v>
      </c>
      <c r="O4405" s="17">
        <f t="shared" si="144"/>
        <v>0</v>
      </c>
      <c r="P4405" s="17">
        <f t="shared" si="145"/>
        <v>21667.100000000002</v>
      </c>
      <c r="Q4405" t="str">
        <f>A4405&amp;"-"&amp;B4405&amp;"-"&amp;D4405</f>
        <v>SEPTEMBER-MJ2-L6</v>
      </c>
    </row>
    <row r="4406" spans="1:17" x14ac:dyDescent="0.25">
      <c r="A4406" t="s">
        <v>399</v>
      </c>
      <c r="B4406" s="13" t="s">
        <v>26</v>
      </c>
      <c r="C4406" s="13" t="s">
        <v>226</v>
      </c>
      <c r="D4406" s="14" t="s">
        <v>163</v>
      </c>
      <c r="E4406" s="13" t="s">
        <v>61</v>
      </c>
      <c r="F4406" s="13" t="s">
        <v>1594</v>
      </c>
      <c r="G4406" s="13">
        <v>0.68</v>
      </c>
      <c r="H4406" s="15">
        <v>3656</v>
      </c>
      <c r="I4406" s="16">
        <v>2486.08</v>
      </c>
      <c r="J4406" s="16">
        <v>2084.143310860723</v>
      </c>
      <c r="K4406" s="16">
        <v>401.93668913927718</v>
      </c>
      <c r="L4406" s="13">
        <v>1.82</v>
      </c>
      <c r="M4406" s="13"/>
      <c r="N4406" s="17">
        <f t="shared" si="144"/>
        <v>6653.92</v>
      </c>
      <c r="O4406" s="17">
        <f t="shared" si="144"/>
        <v>0</v>
      </c>
      <c r="P4406" s="17">
        <f t="shared" si="145"/>
        <v>6653.92</v>
      </c>
      <c r="Q4406" t="str">
        <f>A4406&amp;"-"&amp;B4406&amp;"-"&amp;D4406</f>
        <v>SEPTEMBER-MJ2-L6</v>
      </c>
    </row>
    <row r="4407" spans="1:17" x14ac:dyDescent="0.25">
      <c r="A4407" t="s">
        <v>399</v>
      </c>
      <c r="B4407" s="13" t="s">
        <v>26</v>
      </c>
      <c r="C4407" s="13" t="s">
        <v>226</v>
      </c>
      <c r="D4407" s="14" t="s">
        <v>163</v>
      </c>
      <c r="E4407" s="13" t="s">
        <v>61</v>
      </c>
      <c r="F4407" s="13" t="s">
        <v>1561</v>
      </c>
      <c r="G4407" s="13">
        <v>0.68</v>
      </c>
      <c r="H4407" s="15">
        <v>672</v>
      </c>
      <c r="I4407" s="16">
        <v>456.96</v>
      </c>
      <c r="J4407" s="16">
        <v>359.78761061946904</v>
      </c>
      <c r="K4407" s="16">
        <v>97.172389380530944</v>
      </c>
      <c r="L4407" s="13">
        <v>1.69</v>
      </c>
      <c r="M4407" s="13"/>
      <c r="N4407" s="17">
        <f t="shared" si="144"/>
        <v>1135.68</v>
      </c>
      <c r="O4407" s="17">
        <f t="shared" si="144"/>
        <v>0</v>
      </c>
      <c r="P4407" s="17">
        <f t="shared" si="145"/>
        <v>1135.68</v>
      </c>
      <c r="Q4407" t="str">
        <f>A4407&amp;"-"&amp;B4407&amp;"-"&amp;D4407</f>
        <v>SEPTEMBER-MJ2-L6</v>
      </c>
    </row>
    <row r="4408" spans="1:17" x14ac:dyDescent="0.25">
      <c r="A4408" t="s">
        <v>399</v>
      </c>
      <c r="B4408" s="13" t="s">
        <v>26</v>
      </c>
      <c r="C4408" s="13" t="s">
        <v>226</v>
      </c>
      <c r="D4408" s="14" t="s">
        <v>163</v>
      </c>
      <c r="E4408" s="13" t="s">
        <v>61</v>
      </c>
      <c r="F4408" s="13" t="s">
        <v>1411</v>
      </c>
      <c r="G4408" s="13">
        <v>0.79999999999999993</v>
      </c>
      <c r="H4408" s="15">
        <v>1856</v>
      </c>
      <c r="I4408" s="16">
        <v>1484.8</v>
      </c>
      <c r="J4408" s="16">
        <v>1176.7370920302294</v>
      </c>
      <c r="K4408" s="16">
        <v>308.06290796977066</v>
      </c>
      <c r="L4408" s="13">
        <v>2.1</v>
      </c>
      <c r="M4408" s="13"/>
      <c r="N4408" s="17">
        <f t="shared" si="144"/>
        <v>3897.6000000000004</v>
      </c>
      <c r="O4408" s="17">
        <f t="shared" si="144"/>
        <v>0</v>
      </c>
      <c r="P4408" s="17">
        <f t="shared" si="145"/>
        <v>3897.6000000000004</v>
      </c>
      <c r="Q4408" t="str">
        <f>A4408&amp;"-"&amp;B4408&amp;"-"&amp;D4408</f>
        <v>SEPTEMBER-MJ2-L6</v>
      </c>
    </row>
    <row r="4409" spans="1:17" x14ac:dyDescent="0.25">
      <c r="A4409" t="s">
        <v>399</v>
      </c>
      <c r="B4409" s="13" t="s">
        <v>26</v>
      </c>
      <c r="C4409" s="13" t="s">
        <v>226</v>
      </c>
      <c r="D4409" s="14" t="s">
        <v>163</v>
      </c>
      <c r="E4409" s="13" t="s">
        <v>61</v>
      </c>
      <c r="F4409" s="13" t="s">
        <v>1405</v>
      </c>
      <c r="G4409" s="13">
        <v>0.8</v>
      </c>
      <c r="H4409" s="15">
        <v>5</v>
      </c>
      <c r="I4409" s="16">
        <v>4</v>
      </c>
      <c r="J4409" s="16">
        <v>2.8999389778794811</v>
      </c>
      <c r="K4409" s="16">
        <v>1.1000610221205187</v>
      </c>
      <c r="L4409" s="13">
        <v>2.1</v>
      </c>
      <c r="M4409" s="13"/>
      <c r="N4409" s="17">
        <f t="shared" si="144"/>
        <v>10.5</v>
      </c>
      <c r="O4409" s="17">
        <f t="shared" si="144"/>
        <v>0</v>
      </c>
      <c r="P4409" s="17">
        <f t="shared" si="145"/>
        <v>10.5</v>
      </c>
      <c r="Q4409" t="str">
        <f>A4409&amp;"-"&amp;B4409&amp;"-"&amp;D4409</f>
        <v>SEPTEMBER-MJ2-L6</v>
      </c>
    </row>
    <row r="4410" spans="1:17" x14ac:dyDescent="0.25">
      <c r="A4410" t="s">
        <v>399</v>
      </c>
      <c r="B4410" s="13" t="s">
        <v>26</v>
      </c>
      <c r="C4410" s="13" t="s">
        <v>226</v>
      </c>
      <c r="D4410" s="14" t="s">
        <v>163</v>
      </c>
      <c r="E4410" s="13" t="s">
        <v>61</v>
      </c>
      <c r="F4410" s="13" t="s">
        <v>1562</v>
      </c>
      <c r="G4410" s="13">
        <v>0.66</v>
      </c>
      <c r="H4410" s="15">
        <v>370</v>
      </c>
      <c r="I4410" s="16">
        <v>244.2</v>
      </c>
      <c r="J4410" s="16">
        <v>210.24955172211463</v>
      </c>
      <c r="K4410" s="16">
        <v>33.950448277885357</v>
      </c>
      <c r="L4410" s="13">
        <v>1.71</v>
      </c>
      <c r="M4410" s="13"/>
      <c r="N4410" s="17">
        <f t="shared" si="144"/>
        <v>632.69999999999993</v>
      </c>
      <c r="O4410" s="17">
        <f t="shared" si="144"/>
        <v>0</v>
      </c>
      <c r="P4410" s="17">
        <f t="shared" si="145"/>
        <v>632.69999999999993</v>
      </c>
      <c r="Q4410" t="str">
        <f>A4410&amp;"-"&amp;B4410&amp;"-"&amp;D4410</f>
        <v>SEPTEMBER-MJ2-L6</v>
      </c>
    </row>
    <row r="4411" spans="1:17" x14ac:dyDescent="0.25">
      <c r="A4411" t="s">
        <v>399</v>
      </c>
      <c r="B4411" s="13" t="s">
        <v>26</v>
      </c>
      <c r="C4411" s="13" t="s">
        <v>226</v>
      </c>
      <c r="D4411" s="14" t="s">
        <v>163</v>
      </c>
      <c r="E4411" s="13" t="s">
        <v>61</v>
      </c>
      <c r="F4411" s="13" t="s">
        <v>1406</v>
      </c>
      <c r="G4411" s="13">
        <v>0.8</v>
      </c>
      <c r="H4411" s="15">
        <v>28</v>
      </c>
      <c r="I4411" s="16">
        <v>22.4</v>
      </c>
      <c r="J4411" s="16">
        <v>17.0134127843987</v>
      </c>
      <c r="K4411" s="16">
        <v>5.3865872156013008</v>
      </c>
      <c r="L4411" s="13">
        <v>2.1</v>
      </c>
      <c r="M4411" s="13"/>
      <c r="N4411" s="17">
        <f t="shared" si="144"/>
        <v>58.800000000000004</v>
      </c>
      <c r="O4411" s="17">
        <f t="shared" si="144"/>
        <v>0</v>
      </c>
      <c r="P4411" s="17">
        <f t="shared" si="145"/>
        <v>58.800000000000004</v>
      </c>
      <c r="Q4411" t="str">
        <f>A4411&amp;"-"&amp;B4411&amp;"-"&amp;D4411</f>
        <v>SEPTEMBER-MJ2-L6</v>
      </c>
    </row>
    <row r="4412" spans="1:17" x14ac:dyDescent="0.25">
      <c r="A4412" t="s">
        <v>399</v>
      </c>
      <c r="B4412" s="13" t="s">
        <v>26</v>
      </c>
      <c r="C4412" s="13" t="s">
        <v>226</v>
      </c>
      <c r="D4412" s="14" t="s">
        <v>163</v>
      </c>
      <c r="E4412" s="13" t="s">
        <v>61</v>
      </c>
      <c r="F4412" s="13" t="s">
        <v>1595</v>
      </c>
      <c r="G4412" s="13">
        <v>0.72</v>
      </c>
      <c r="H4412" s="15">
        <v>1974</v>
      </c>
      <c r="I4412" s="16">
        <v>1421.28</v>
      </c>
      <c r="J4412" s="16">
        <v>1151.0802154532284</v>
      </c>
      <c r="K4412" s="16">
        <v>270.1997845467717</v>
      </c>
      <c r="L4412" s="13">
        <v>1.36</v>
      </c>
      <c r="M4412" s="13"/>
      <c r="N4412" s="17">
        <f t="shared" si="144"/>
        <v>2684.6400000000003</v>
      </c>
      <c r="O4412" s="17">
        <f t="shared" si="144"/>
        <v>0</v>
      </c>
      <c r="P4412" s="17">
        <f t="shared" si="145"/>
        <v>2684.6400000000003</v>
      </c>
      <c r="Q4412" t="str">
        <f>A4412&amp;"-"&amp;B4412&amp;"-"&amp;D4412</f>
        <v>SEPTEMBER-MJ2-L6</v>
      </c>
    </row>
    <row r="4413" spans="1:17" x14ac:dyDescent="0.25">
      <c r="A4413" t="s">
        <v>399</v>
      </c>
      <c r="B4413" s="13" t="s">
        <v>26</v>
      </c>
      <c r="C4413" s="13" t="s">
        <v>226</v>
      </c>
      <c r="D4413" s="14" t="s">
        <v>163</v>
      </c>
      <c r="E4413" s="13" t="s">
        <v>61</v>
      </c>
      <c r="F4413" s="13" t="s">
        <v>1596</v>
      </c>
      <c r="G4413" s="13">
        <v>0.72</v>
      </c>
      <c r="H4413" s="15">
        <v>4882</v>
      </c>
      <c r="I4413" s="16">
        <v>3515.0400000000004</v>
      </c>
      <c r="J4413" s="16">
        <v>2570.9072622785243</v>
      </c>
      <c r="K4413" s="16">
        <v>944.13273772147591</v>
      </c>
      <c r="L4413" s="13">
        <v>1.36</v>
      </c>
      <c r="M4413" s="13"/>
      <c r="N4413" s="17">
        <f t="shared" si="144"/>
        <v>6639.52</v>
      </c>
      <c r="O4413" s="17">
        <f t="shared" si="144"/>
        <v>0</v>
      </c>
      <c r="P4413" s="17">
        <f t="shared" si="145"/>
        <v>6639.52</v>
      </c>
      <c r="Q4413" t="str">
        <f>A4413&amp;"-"&amp;B4413&amp;"-"&amp;D4413</f>
        <v>SEPTEMBER-MJ2-L6</v>
      </c>
    </row>
    <row r="4414" spans="1:17" x14ac:dyDescent="0.25">
      <c r="A4414" t="s">
        <v>399</v>
      </c>
      <c r="B4414" s="13" t="s">
        <v>26</v>
      </c>
      <c r="C4414" s="13" t="s">
        <v>226</v>
      </c>
      <c r="D4414" s="14" t="s">
        <v>163</v>
      </c>
      <c r="E4414" s="13" t="s">
        <v>61</v>
      </c>
      <c r="F4414" s="13" t="s">
        <v>1597</v>
      </c>
      <c r="G4414" s="13">
        <v>0.68</v>
      </c>
      <c r="H4414" s="15">
        <v>383</v>
      </c>
      <c r="I4414" s="16">
        <v>260.44</v>
      </c>
      <c r="J4414" s="16">
        <v>205.05752212389382</v>
      </c>
      <c r="K4414" s="16">
        <v>55.382477876106179</v>
      </c>
      <c r="L4414" s="13">
        <v>1.7</v>
      </c>
      <c r="M4414" s="13"/>
      <c r="N4414" s="17">
        <f t="shared" si="144"/>
        <v>651.1</v>
      </c>
      <c r="O4414" s="17">
        <f t="shared" si="144"/>
        <v>0</v>
      </c>
      <c r="P4414" s="17">
        <f t="shared" si="145"/>
        <v>651.1</v>
      </c>
      <c r="Q4414" t="str">
        <f>A4414&amp;"-"&amp;B4414&amp;"-"&amp;D4414</f>
        <v>SEPTEMBER-MJ2-L6</v>
      </c>
    </row>
    <row r="4415" spans="1:17" x14ac:dyDescent="0.25">
      <c r="A4415" t="s">
        <v>399</v>
      </c>
      <c r="B4415" s="13" t="s">
        <v>26</v>
      </c>
      <c r="C4415" s="13" t="s">
        <v>226</v>
      </c>
      <c r="D4415" s="14" t="s">
        <v>163</v>
      </c>
      <c r="E4415" s="13" t="s">
        <v>61</v>
      </c>
      <c r="F4415" s="13" t="s">
        <v>1598</v>
      </c>
      <c r="G4415" s="13">
        <v>0.72</v>
      </c>
      <c r="H4415" s="15">
        <v>657</v>
      </c>
      <c r="I4415" s="16">
        <v>473.03999999999996</v>
      </c>
      <c r="J4415" s="16">
        <v>372.27406166464664</v>
      </c>
      <c r="K4415" s="16">
        <v>100.76593833535341</v>
      </c>
      <c r="L4415" s="13">
        <v>1.34</v>
      </c>
      <c r="M4415" s="13"/>
      <c r="N4415" s="17">
        <f t="shared" ref="N4415:O4478" si="146">$H4415*L4415</f>
        <v>880.38000000000011</v>
      </c>
      <c r="O4415" s="17">
        <f t="shared" si="146"/>
        <v>0</v>
      </c>
      <c r="P4415" s="17">
        <f t="shared" si="145"/>
        <v>880.38000000000011</v>
      </c>
      <c r="Q4415" t="str">
        <f>A4415&amp;"-"&amp;B4415&amp;"-"&amp;D4415</f>
        <v>SEPTEMBER-MJ2-L6</v>
      </c>
    </row>
    <row r="4416" spans="1:17" x14ac:dyDescent="0.25">
      <c r="A4416" t="s">
        <v>399</v>
      </c>
      <c r="B4416" s="13" t="s">
        <v>26</v>
      </c>
      <c r="C4416" s="13" t="s">
        <v>226</v>
      </c>
      <c r="D4416" s="14" t="s">
        <v>163</v>
      </c>
      <c r="E4416" s="13" t="s">
        <v>61</v>
      </c>
      <c r="F4416" s="13" t="s">
        <v>1573</v>
      </c>
      <c r="G4416" s="13">
        <v>0.72</v>
      </c>
      <c r="H4416" s="15">
        <v>535</v>
      </c>
      <c r="I4416" s="16">
        <v>385.20000000000005</v>
      </c>
      <c r="J4416" s="16">
        <v>284.22333261385711</v>
      </c>
      <c r="K4416" s="16">
        <v>100.97666738614289</v>
      </c>
      <c r="L4416" s="13">
        <v>1.34</v>
      </c>
      <c r="M4416" s="13"/>
      <c r="N4416" s="17">
        <f t="shared" si="146"/>
        <v>716.90000000000009</v>
      </c>
      <c r="O4416" s="17">
        <f t="shared" si="146"/>
        <v>0</v>
      </c>
      <c r="P4416" s="17">
        <f t="shared" si="145"/>
        <v>716.90000000000009</v>
      </c>
      <c r="Q4416" t="str">
        <f>A4416&amp;"-"&amp;B4416&amp;"-"&amp;D4416</f>
        <v>SEPTEMBER-MJ2-L6</v>
      </c>
    </row>
    <row r="4417" spans="1:17" x14ac:dyDescent="0.25">
      <c r="A4417" t="s">
        <v>399</v>
      </c>
      <c r="B4417" s="13" t="s">
        <v>26</v>
      </c>
      <c r="C4417" s="13" t="s">
        <v>226</v>
      </c>
      <c r="D4417" s="14" t="s">
        <v>163</v>
      </c>
      <c r="E4417" s="13" t="s">
        <v>61</v>
      </c>
      <c r="F4417" s="13" t="s">
        <v>1599</v>
      </c>
      <c r="G4417" s="13">
        <v>0.72000000000000008</v>
      </c>
      <c r="H4417" s="15">
        <v>1261</v>
      </c>
      <c r="I4417" s="16">
        <v>907.92000000000007</v>
      </c>
      <c r="J4417" s="16">
        <v>699.63249099271115</v>
      </c>
      <c r="K4417" s="16">
        <v>208.28750900728892</v>
      </c>
      <c r="L4417" s="13">
        <v>1.34</v>
      </c>
      <c r="M4417" s="13"/>
      <c r="N4417" s="17">
        <f t="shared" si="146"/>
        <v>1689.74</v>
      </c>
      <c r="O4417" s="17">
        <f t="shared" si="146"/>
        <v>0</v>
      </c>
      <c r="P4417" s="17">
        <f t="shared" si="145"/>
        <v>1689.74</v>
      </c>
      <c r="Q4417" t="str">
        <f>A4417&amp;"-"&amp;B4417&amp;"-"&amp;D4417</f>
        <v>SEPTEMBER-MJ2-L6</v>
      </c>
    </row>
    <row r="4418" spans="1:17" x14ac:dyDescent="0.25">
      <c r="A4418" t="s">
        <v>399</v>
      </c>
      <c r="B4418" s="13" t="s">
        <v>26</v>
      </c>
      <c r="C4418" s="13" t="s">
        <v>226</v>
      </c>
      <c r="D4418" s="14" t="s">
        <v>163</v>
      </c>
      <c r="E4418" s="13" t="s">
        <v>61</v>
      </c>
      <c r="F4418" s="13" t="s">
        <v>1600</v>
      </c>
      <c r="G4418" s="13">
        <v>0.76</v>
      </c>
      <c r="H4418" s="15">
        <v>182</v>
      </c>
      <c r="I4418" s="16">
        <v>138.32</v>
      </c>
      <c r="J4418" s="16">
        <v>97.442477876106196</v>
      </c>
      <c r="K4418" s="16">
        <v>40.877522123893797</v>
      </c>
      <c r="L4418" s="13">
        <v>1.94</v>
      </c>
      <c r="M4418" s="13"/>
      <c r="N4418" s="17">
        <f t="shared" si="146"/>
        <v>353.08</v>
      </c>
      <c r="O4418" s="17">
        <f t="shared" si="146"/>
        <v>0</v>
      </c>
      <c r="P4418" s="17">
        <f t="shared" ref="P4418:P4481" si="147">N4418+O4418</f>
        <v>353.08</v>
      </c>
      <c r="Q4418" t="str">
        <f>A4418&amp;"-"&amp;B4418&amp;"-"&amp;D4418</f>
        <v>SEPTEMBER-MJ2-L6</v>
      </c>
    </row>
    <row r="4419" spans="1:17" x14ac:dyDescent="0.25">
      <c r="A4419" t="s">
        <v>399</v>
      </c>
      <c r="B4419" s="13" t="s">
        <v>26</v>
      </c>
      <c r="C4419" s="13" t="s">
        <v>226</v>
      </c>
      <c r="D4419" s="14" t="s">
        <v>163</v>
      </c>
      <c r="E4419" s="13" t="s">
        <v>61</v>
      </c>
      <c r="F4419" s="13" t="s">
        <v>1601</v>
      </c>
      <c r="G4419" s="13">
        <v>1.19</v>
      </c>
      <c r="H4419" s="15">
        <v>1924</v>
      </c>
      <c r="I4419" s="16">
        <v>2289.56</v>
      </c>
      <c r="J4419" s="16">
        <v>1359.6889458598728</v>
      </c>
      <c r="K4419" s="16">
        <v>929.87105414012717</v>
      </c>
      <c r="L4419" s="13">
        <v>2.87</v>
      </c>
      <c r="M4419" s="13"/>
      <c r="N4419" s="17">
        <f t="shared" si="146"/>
        <v>5521.88</v>
      </c>
      <c r="O4419" s="17">
        <f t="shared" si="146"/>
        <v>0</v>
      </c>
      <c r="P4419" s="17">
        <f t="shared" si="147"/>
        <v>5521.88</v>
      </c>
      <c r="Q4419" t="str">
        <f>A4419&amp;"-"&amp;B4419&amp;"-"&amp;D4419</f>
        <v>SEPTEMBER-MJ2-L6</v>
      </c>
    </row>
    <row r="4420" spans="1:17" x14ac:dyDescent="0.25">
      <c r="A4420" t="s">
        <v>399</v>
      </c>
      <c r="B4420" s="13" t="s">
        <v>26</v>
      </c>
      <c r="C4420" s="13" t="s">
        <v>226</v>
      </c>
      <c r="D4420" s="14" t="s">
        <v>163</v>
      </c>
      <c r="E4420" s="13" t="s">
        <v>61</v>
      </c>
      <c r="F4420" s="13" t="s">
        <v>1565</v>
      </c>
      <c r="G4420" s="13">
        <v>0.82999999999999985</v>
      </c>
      <c r="H4420" s="15">
        <v>5962</v>
      </c>
      <c r="I4420" s="16">
        <v>4948.46</v>
      </c>
      <c r="J4420" s="16">
        <v>3384.0974823008851</v>
      </c>
      <c r="K4420" s="16">
        <v>1564.362517699115</v>
      </c>
      <c r="L4420" s="13">
        <v>2.13</v>
      </c>
      <c r="M4420" s="13"/>
      <c r="N4420" s="17">
        <f t="shared" si="146"/>
        <v>12699.06</v>
      </c>
      <c r="O4420" s="17">
        <f t="shared" si="146"/>
        <v>0</v>
      </c>
      <c r="P4420" s="17">
        <f t="shared" si="147"/>
        <v>12699.06</v>
      </c>
      <c r="Q4420" t="str">
        <f>A4420&amp;"-"&amp;B4420&amp;"-"&amp;D4420</f>
        <v>SEPTEMBER-MJ2-L6</v>
      </c>
    </row>
    <row r="4421" spans="1:17" x14ac:dyDescent="0.25">
      <c r="A4421" t="s">
        <v>399</v>
      </c>
      <c r="B4421" s="13" t="s">
        <v>26</v>
      </c>
      <c r="C4421" s="13" t="s">
        <v>226</v>
      </c>
      <c r="D4421" s="14" t="s">
        <v>163</v>
      </c>
      <c r="E4421" s="13" t="s">
        <v>61</v>
      </c>
      <c r="F4421" s="13" t="s">
        <v>1602</v>
      </c>
      <c r="G4421" s="13">
        <v>0.78</v>
      </c>
      <c r="H4421" s="15">
        <v>1045</v>
      </c>
      <c r="I4421" s="16">
        <v>815.1</v>
      </c>
      <c r="J4421" s="16">
        <v>606.93600000000004</v>
      </c>
      <c r="K4421" s="16">
        <v>208.16399999999999</v>
      </c>
      <c r="L4421" s="13">
        <v>2.29</v>
      </c>
      <c r="M4421" s="13"/>
      <c r="N4421" s="17">
        <f t="shared" si="146"/>
        <v>2393.0500000000002</v>
      </c>
      <c r="O4421" s="17">
        <f t="shared" si="146"/>
        <v>0</v>
      </c>
      <c r="P4421" s="17">
        <f t="shared" si="147"/>
        <v>2393.0500000000002</v>
      </c>
      <c r="Q4421" t="str">
        <f>A4421&amp;"-"&amp;B4421&amp;"-"&amp;D4421</f>
        <v>SEPTEMBER-MJ2-L6</v>
      </c>
    </row>
    <row r="4422" spans="1:17" x14ac:dyDescent="0.25">
      <c r="A4422" t="s">
        <v>399</v>
      </c>
      <c r="B4422" s="13" t="s">
        <v>26</v>
      </c>
      <c r="C4422" s="13" t="s">
        <v>226</v>
      </c>
      <c r="D4422" s="14" t="s">
        <v>163</v>
      </c>
      <c r="E4422" s="13" t="s">
        <v>61</v>
      </c>
      <c r="F4422" s="13" t="s">
        <v>1603</v>
      </c>
      <c r="G4422" s="13">
        <v>0.83</v>
      </c>
      <c r="H4422" s="15">
        <v>488</v>
      </c>
      <c r="I4422" s="16">
        <v>405.03999999999996</v>
      </c>
      <c r="J4422" s="16">
        <v>261.63755044247785</v>
      </c>
      <c r="K4422" s="16">
        <v>143.40244955752209</v>
      </c>
      <c r="L4422" s="13">
        <v>2.13</v>
      </c>
      <c r="M4422" s="13"/>
      <c r="N4422" s="17">
        <f t="shared" si="146"/>
        <v>1039.44</v>
      </c>
      <c r="O4422" s="17">
        <f t="shared" si="146"/>
        <v>0</v>
      </c>
      <c r="P4422" s="17">
        <f t="shared" si="147"/>
        <v>1039.44</v>
      </c>
      <c r="Q4422" t="str">
        <f>A4422&amp;"-"&amp;B4422&amp;"-"&amp;D4422</f>
        <v>SEPTEMBER-MJ2-L6</v>
      </c>
    </row>
    <row r="4423" spans="1:17" x14ac:dyDescent="0.25">
      <c r="A4423" t="s">
        <v>399</v>
      </c>
      <c r="B4423" s="13" t="s">
        <v>26</v>
      </c>
      <c r="C4423" s="13" t="s">
        <v>226</v>
      </c>
      <c r="D4423" s="14" t="s">
        <v>163</v>
      </c>
      <c r="E4423" s="13" t="s">
        <v>61</v>
      </c>
      <c r="F4423" s="13" t="s">
        <v>1166</v>
      </c>
      <c r="G4423" s="13">
        <v>0.65</v>
      </c>
      <c r="H4423" s="15">
        <v>13</v>
      </c>
      <c r="I4423" s="16">
        <v>8.4499999999999993</v>
      </c>
      <c r="J4423" s="16">
        <v>7.5990338164251208</v>
      </c>
      <c r="K4423" s="16">
        <v>0.85096618357487852</v>
      </c>
      <c r="L4423" s="13">
        <v>1.66</v>
      </c>
      <c r="M4423" s="13"/>
      <c r="N4423" s="17">
        <f t="shared" si="146"/>
        <v>21.58</v>
      </c>
      <c r="O4423" s="17">
        <f t="shared" si="146"/>
        <v>0</v>
      </c>
      <c r="P4423" s="17">
        <f t="shared" si="147"/>
        <v>21.58</v>
      </c>
      <c r="Q4423" t="str">
        <f>A4423&amp;"-"&amp;B4423&amp;"-"&amp;D4423</f>
        <v>SEPTEMBER-MJ2-L6</v>
      </c>
    </row>
    <row r="4424" spans="1:17" x14ac:dyDescent="0.25">
      <c r="A4424" t="s">
        <v>399</v>
      </c>
      <c r="B4424" s="13" t="s">
        <v>26</v>
      </c>
      <c r="C4424" s="13" t="s">
        <v>226</v>
      </c>
      <c r="D4424" s="14" t="s">
        <v>163</v>
      </c>
      <c r="E4424" s="13" t="s">
        <v>61</v>
      </c>
      <c r="F4424" s="13" t="s">
        <v>1198</v>
      </c>
      <c r="G4424" s="13">
        <v>0.65</v>
      </c>
      <c r="H4424" s="15">
        <v>47</v>
      </c>
      <c r="I4424" s="16">
        <v>30.55</v>
      </c>
      <c r="J4424" s="16">
        <v>28.265599999999999</v>
      </c>
      <c r="K4424" s="16">
        <v>2.2844000000000007</v>
      </c>
      <c r="L4424" s="13">
        <v>1.66</v>
      </c>
      <c r="M4424" s="13"/>
      <c r="N4424" s="17">
        <f t="shared" si="146"/>
        <v>78.02</v>
      </c>
      <c r="O4424" s="17">
        <f t="shared" si="146"/>
        <v>0</v>
      </c>
      <c r="P4424" s="17">
        <f t="shared" si="147"/>
        <v>78.02</v>
      </c>
      <c r="Q4424" t="str">
        <f>A4424&amp;"-"&amp;B4424&amp;"-"&amp;D4424</f>
        <v>SEPTEMBER-MJ2-L6</v>
      </c>
    </row>
    <row r="4425" spans="1:17" x14ac:dyDescent="0.25">
      <c r="A4425" t="s">
        <v>399</v>
      </c>
      <c r="B4425" s="13" t="s">
        <v>26</v>
      </c>
      <c r="C4425" s="13" t="s">
        <v>226</v>
      </c>
      <c r="D4425" s="14" t="s">
        <v>163</v>
      </c>
      <c r="E4425" s="13" t="s">
        <v>61</v>
      </c>
      <c r="F4425" s="13" t="s">
        <v>1199</v>
      </c>
      <c r="G4425" s="13">
        <v>0.65</v>
      </c>
      <c r="H4425" s="15">
        <v>2</v>
      </c>
      <c r="I4425" s="16">
        <v>1.3</v>
      </c>
      <c r="J4425" s="16">
        <v>1.21</v>
      </c>
      <c r="K4425" s="16">
        <v>9.000000000000008E-2</v>
      </c>
      <c r="L4425" s="13">
        <v>1.79</v>
      </c>
      <c r="M4425" s="13"/>
      <c r="N4425" s="17">
        <f t="shared" si="146"/>
        <v>3.58</v>
      </c>
      <c r="O4425" s="17">
        <f t="shared" si="146"/>
        <v>0</v>
      </c>
      <c r="P4425" s="17">
        <f t="shared" si="147"/>
        <v>3.58</v>
      </c>
      <c r="Q4425" t="str">
        <f>A4425&amp;"-"&amp;B4425&amp;"-"&amp;D4425</f>
        <v>SEPTEMBER-MJ2-L6</v>
      </c>
    </row>
    <row r="4426" spans="1:17" x14ac:dyDescent="0.25">
      <c r="A4426" t="s">
        <v>399</v>
      </c>
      <c r="B4426" s="13" t="s">
        <v>26</v>
      </c>
      <c r="C4426" s="13" t="s">
        <v>226</v>
      </c>
      <c r="D4426" s="14" t="s">
        <v>163</v>
      </c>
      <c r="E4426" s="13" t="s">
        <v>61</v>
      </c>
      <c r="F4426" s="13" t="s">
        <v>1410</v>
      </c>
      <c r="G4426" s="13">
        <v>0.65</v>
      </c>
      <c r="H4426" s="15">
        <v>32</v>
      </c>
      <c r="I4426" s="16">
        <v>20.8</v>
      </c>
      <c r="J4426" s="16">
        <v>17.539705204974666</v>
      </c>
      <c r="K4426" s="16">
        <v>3.2602947950253345</v>
      </c>
      <c r="L4426" s="13">
        <v>1.64</v>
      </c>
      <c r="M4426" s="13"/>
      <c r="N4426" s="17">
        <f t="shared" si="146"/>
        <v>52.48</v>
      </c>
      <c r="O4426" s="17">
        <f t="shared" si="146"/>
        <v>0</v>
      </c>
      <c r="P4426" s="17">
        <f t="shared" si="147"/>
        <v>52.48</v>
      </c>
      <c r="Q4426" t="str">
        <f>A4426&amp;"-"&amp;B4426&amp;"-"&amp;D4426</f>
        <v>SEPTEMBER-MJ2-L6</v>
      </c>
    </row>
    <row r="4427" spans="1:17" x14ac:dyDescent="0.25">
      <c r="A4427" t="s">
        <v>399</v>
      </c>
      <c r="B4427" s="13" t="s">
        <v>26</v>
      </c>
      <c r="C4427" s="13" t="s">
        <v>226</v>
      </c>
      <c r="D4427" s="14" t="s">
        <v>163</v>
      </c>
      <c r="E4427" s="13" t="s">
        <v>61</v>
      </c>
      <c r="F4427" s="13" t="s">
        <v>1604</v>
      </c>
      <c r="G4427" s="13">
        <v>0.88</v>
      </c>
      <c r="H4427" s="15">
        <v>172</v>
      </c>
      <c r="I4427" s="16">
        <v>151.35999999999999</v>
      </c>
      <c r="J4427" s="16">
        <v>102.72096862783529</v>
      </c>
      <c r="K4427" s="16">
        <v>48.639031372164716</v>
      </c>
      <c r="L4427" s="13">
        <v>2.65</v>
      </c>
      <c r="M4427" s="13"/>
      <c r="N4427" s="17">
        <f t="shared" si="146"/>
        <v>455.8</v>
      </c>
      <c r="O4427" s="17">
        <f t="shared" si="146"/>
        <v>0</v>
      </c>
      <c r="P4427" s="17">
        <f t="shared" si="147"/>
        <v>455.8</v>
      </c>
      <c r="Q4427" t="str">
        <f>A4427&amp;"-"&amp;B4427&amp;"-"&amp;D4427</f>
        <v>SEPTEMBER-MJ2-L6</v>
      </c>
    </row>
    <row r="4428" spans="1:17" x14ac:dyDescent="0.25">
      <c r="A4428" t="s">
        <v>399</v>
      </c>
      <c r="B4428" s="13" t="s">
        <v>26</v>
      </c>
      <c r="C4428" s="13" t="s">
        <v>226</v>
      </c>
      <c r="D4428" s="14" t="s">
        <v>164</v>
      </c>
      <c r="E4428" s="13" t="s">
        <v>61</v>
      </c>
      <c r="F4428" s="13" t="s">
        <v>1593</v>
      </c>
      <c r="G4428" s="13">
        <v>0.67999999999999994</v>
      </c>
      <c r="H4428" s="15">
        <v>11908</v>
      </c>
      <c r="I4428" s="16">
        <v>8097.44</v>
      </c>
      <c r="J4428" s="16">
        <v>6781.1836855401643</v>
      </c>
      <c r="K4428" s="16">
        <v>1316.2563144598362</v>
      </c>
      <c r="L4428" s="13">
        <v>1.82</v>
      </c>
      <c r="M4428" s="13"/>
      <c r="N4428" s="17">
        <f t="shared" si="146"/>
        <v>21672.560000000001</v>
      </c>
      <c r="O4428" s="17">
        <f t="shared" si="146"/>
        <v>0</v>
      </c>
      <c r="P4428" s="17">
        <f t="shared" si="147"/>
        <v>21672.560000000001</v>
      </c>
      <c r="Q4428" t="str">
        <f>A4428&amp;"-"&amp;B4428&amp;"-"&amp;D4428</f>
        <v>SEPTEMBER-MJ2-L7</v>
      </c>
    </row>
    <row r="4429" spans="1:17" x14ac:dyDescent="0.25">
      <c r="A4429" t="s">
        <v>399</v>
      </c>
      <c r="B4429" s="13" t="s">
        <v>26</v>
      </c>
      <c r="C4429" s="13" t="s">
        <v>226</v>
      </c>
      <c r="D4429" s="14" t="s">
        <v>164</v>
      </c>
      <c r="E4429" s="13" t="s">
        <v>61</v>
      </c>
      <c r="F4429" s="13" t="s">
        <v>1594</v>
      </c>
      <c r="G4429" s="13">
        <v>0.68</v>
      </c>
      <c r="H4429" s="15">
        <v>3657</v>
      </c>
      <c r="I4429" s="16">
        <v>2486.7599999999998</v>
      </c>
      <c r="J4429" s="16">
        <v>2084.5698348859564</v>
      </c>
      <c r="K4429" s="16">
        <v>402.19016511404351</v>
      </c>
      <c r="L4429" s="13">
        <v>1.82</v>
      </c>
      <c r="M4429" s="13"/>
      <c r="N4429" s="17">
        <f t="shared" si="146"/>
        <v>6655.74</v>
      </c>
      <c r="O4429" s="17">
        <f t="shared" si="146"/>
        <v>0</v>
      </c>
      <c r="P4429" s="17">
        <f t="shared" si="147"/>
        <v>6655.74</v>
      </c>
      <c r="Q4429" t="str">
        <f>A4429&amp;"-"&amp;B4429&amp;"-"&amp;D4429</f>
        <v>SEPTEMBER-MJ2-L7</v>
      </c>
    </row>
    <row r="4430" spans="1:17" x14ac:dyDescent="0.25">
      <c r="A4430" t="s">
        <v>399</v>
      </c>
      <c r="B4430" s="13" t="s">
        <v>26</v>
      </c>
      <c r="C4430" s="13" t="s">
        <v>226</v>
      </c>
      <c r="D4430" s="14" t="s">
        <v>164</v>
      </c>
      <c r="E4430" s="13" t="s">
        <v>61</v>
      </c>
      <c r="F4430" s="13" t="s">
        <v>1561</v>
      </c>
      <c r="G4430" s="13">
        <v>0.68</v>
      </c>
      <c r="H4430" s="15">
        <v>673</v>
      </c>
      <c r="I4430" s="16">
        <v>457.64</v>
      </c>
      <c r="J4430" s="16">
        <v>360.14594594594593</v>
      </c>
      <c r="K4430" s="16">
        <v>97.494054054054061</v>
      </c>
      <c r="L4430" s="13">
        <v>1.69</v>
      </c>
      <c r="M4430" s="13"/>
      <c r="N4430" s="17">
        <f t="shared" si="146"/>
        <v>1137.3699999999999</v>
      </c>
      <c r="O4430" s="17">
        <f t="shared" si="146"/>
        <v>0</v>
      </c>
      <c r="P4430" s="17">
        <f t="shared" si="147"/>
        <v>1137.3699999999999</v>
      </c>
      <c r="Q4430" t="str">
        <f>A4430&amp;"-"&amp;B4430&amp;"-"&amp;D4430</f>
        <v>SEPTEMBER-MJ2-L7</v>
      </c>
    </row>
    <row r="4431" spans="1:17" x14ac:dyDescent="0.25">
      <c r="A4431" t="s">
        <v>399</v>
      </c>
      <c r="B4431" s="13" t="s">
        <v>26</v>
      </c>
      <c r="C4431" s="13" t="s">
        <v>226</v>
      </c>
      <c r="D4431" s="14" t="s">
        <v>164</v>
      </c>
      <c r="E4431" s="13" t="s">
        <v>61</v>
      </c>
      <c r="F4431" s="13" t="s">
        <v>1411</v>
      </c>
      <c r="G4431" s="13">
        <v>0.79999999999999993</v>
      </c>
      <c r="H4431" s="15">
        <v>1856</v>
      </c>
      <c r="I4431" s="16">
        <v>1484.8</v>
      </c>
      <c r="J4431" s="16">
        <v>1176.8071999833373</v>
      </c>
      <c r="K4431" s="16">
        <v>307.99280001666278</v>
      </c>
      <c r="L4431" s="13">
        <v>2.1</v>
      </c>
      <c r="M4431" s="13"/>
      <c r="N4431" s="17">
        <f t="shared" si="146"/>
        <v>3897.6000000000004</v>
      </c>
      <c r="O4431" s="17">
        <f t="shared" si="146"/>
        <v>0</v>
      </c>
      <c r="P4431" s="17">
        <f t="shared" si="147"/>
        <v>3897.6000000000004</v>
      </c>
      <c r="Q4431" t="str">
        <f>A4431&amp;"-"&amp;B4431&amp;"-"&amp;D4431</f>
        <v>SEPTEMBER-MJ2-L7</v>
      </c>
    </row>
    <row r="4432" spans="1:17" x14ac:dyDescent="0.25">
      <c r="A4432" t="s">
        <v>399</v>
      </c>
      <c r="B4432" s="13" t="s">
        <v>26</v>
      </c>
      <c r="C4432" s="13" t="s">
        <v>226</v>
      </c>
      <c r="D4432" s="14" t="s">
        <v>164</v>
      </c>
      <c r="E4432" s="13" t="s">
        <v>61</v>
      </c>
      <c r="F4432" s="13" t="s">
        <v>1405</v>
      </c>
      <c r="G4432" s="13">
        <v>0.8</v>
      </c>
      <c r="H4432" s="15">
        <v>5</v>
      </c>
      <c r="I4432" s="16">
        <v>4</v>
      </c>
      <c r="J4432" s="16">
        <v>2.8891836734693879</v>
      </c>
      <c r="K4432" s="16">
        <v>1.1108163265306124</v>
      </c>
      <c r="L4432" s="13">
        <v>2.1</v>
      </c>
      <c r="M4432" s="13"/>
      <c r="N4432" s="17">
        <f t="shared" si="146"/>
        <v>10.5</v>
      </c>
      <c r="O4432" s="17">
        <f t="shared" si="146"/>
        <v>0</v>
      </c>
      <c r="P4432" s="17">
        <f t="shared" si="147"/>
        <v>10.5</v>
      </c>
      <c r="Q4432" t="str">
        <f>A4432&amp;"-"&amp;B4432&amp;"-"&amp;D4432</f>
        <v>SEPTEMBER-MJ2-L7</v>
      </c>
    </row>
    <row r="4433" spans="1:17" x14ac:dyDescent="0.25">
      <c r="A4433" t="s">
        <v>399</v>
      </c>
      <c r="B4433" s="13" t="s">
        <v>26</v>
      </c>
      <c r="C4433" s="13" t="s">
        <v>226</v>
      </c>
      <c r="D4433" s="14" t="s">
        <v>164</v>
      </c>
      <c r="E4433" s="13" t="s">
        <v>61</v>
      </c>
      <c r="F4433" s="13" t="s">
        <v>1562</v>
      </c>
      <c r="G4433" s="13">
        <v>0.66</v>
      </c>
      <c r="H4433" s="15">
        <v>370</v>
      </c>
      <c r="I4433" s="16">
        <v>244.2</v>
      </c>
      <c r="J4433" s="16">
        <v>210.24427332066426</v>
      </c>
      <c r="K4433" s="16">
        <v>33.955726679335712</v>
      </c>
      <c r="L4433" s="13">
        <v>1.71</v>
      </c>
      <c r="M4433" s="13"/>
      <c r="N4433" s="17">
        <f t="shared" si="146"/>
        <v>632.69999999999993</v>
      </c>
      <c r="O4433" s="17">
        <f t="shared" si="146"/>
        <v>0</v>
      </c>
      <c r="P4433" s="17">
        <f t="shared" si="147"/>
        <v>632.69999999999993</v>
      </c>
      <c r="Q4433" t="str">
        <f>A4433&amp;"-"&amp;B4433&amp;"-"&amp;D4433</f>
        <v>SEPTEMBER-MJ2-L7</v>
      </c>
    </row>
    <row r="4434" spans="1:17" x14ac:dyDescent="0.25">
      <c r="A4434" t="s">
        <v>399</v>
      </c>
      <c r="B4434" s="13" t="s">
        <v>26</v>
      </c>
      <c r="C4434" s="13" t="s">
        <v>226</v>
      </c>
      <c r="D4434" s="14" t="s">
        <v>164</v>
      </c>
      <c r="E4434" s="13" t="s">
        <v>61</v>
      </c>
      <c r="F4434" s="13" t="s">
        <v>1406</v>
      </c>
      <c r="G4434" s="13">
        <v>0.8</v>
      </c>
      <c r="H4434" s="15">
        <v>26</v>
      </c>
      <c r="I4434" s="16">
        <v>20.8</v>
      </c>
      <c r="J4434" s="16">
        <v>15.8414301191766</v>
      </c>
      <c r="K4434" s="16">
        <v>4.9585698808233998</v>
      </c>
      <c r="L4434" s="13">
        <v>2.1</v>
      </c>
      <c r="M4434" s="13"/>
      <c r="N4434" s="17">
        <f t="shared" si="146"/>
        <v>54.6</v>
      </c>
      <c r="O4434" s="17">
        <f t="shared" si="146"/>
        <v>0</v>
      </c>
      <c r="P4434" s="17">
        <f t="shared" si="147"/>
        <v>54.6</v>
      </c>
      <c r="Q4434" t="str">
        <f>A4434&amp;"-"&amp;B4434&amp;"-"&amp;D4434</f>
        <v>SEPTEMBER-MJ2-L7</v>
      </c>
    </row>
    <row r="4435" spans="1:17" x14ac:dyDescent="0.25">
      <c r="A4435" t="s">
        <v>399</v>
      </c>
      <c r="B4435" s="13" t="s">
        <v>26</v>
      </c>
      <c r="C4435" s="13" t="s">
        <v>226</v>
      </c>
      <c r="D4435" s="14" t="s">
        <v>164</v>
      </c>
      <c r="E4435" s="13" t="s">
        <v>61</v>
      </c>
      <c r="F4435" s="13" t="s">
        <v>1595</v>
      </c>
      <c r="G4435" s="13">
        <v>0.72</v>
      </c>
      <c r="H4435" s="15">
        <v>1973</v>
      </c>
      <c r="I4435" s="16">
        <v>1420.56</v>
      </c>
      <c r="J4435" s="16">
        <v>1150.6288126897787</v>
      </c>
      <c r="K4435" s="16">
        <v>269.93118731022122</v>
      </c>
      <c r="L4435" s="13">
        <v>1.36</v>
      </c>
      <c r="M4435" s="13"/>
      <c r="N4435" s="17">
        <f t="shared" si="146"/>
        <v>2683.28</v>
      </c>
      <c r="O4435" s="17">
        <f t="shared" si="146"/>
        <v>0</v>
      </c>
      <c r="P4435" s="17">
        <f t="shared" si="147"/>
        <v>2683.28</v>
      </c>
      <c r="Q4435" t="str">
        <f>A4435&amp;"-"&amp;B4435&amp;"-"&amp;D4435</f>
        <v>SEPTEMBER-MJ2-L7</v>
      </c>
    </row>
    <row r="4436" spans="1:17" x14ac:dyDescent="0.25">
      <c r="A4436" t="s">
        <v>399</v>
      </c>
      <c r="B4436" s="13" t="s">
        <v>26</v>
      </c>
      <c r="C4436" s="13" t="s">
        <v>226</v>
      </c>
      <c r="D4436" s="14" t="s">
        <v>164</v>
      </c>
      <c r="E4436" s="13" t="s">
        <v>61</v>
      </c>
      <c r="F4436" s="13" t="s">
        <v>1596</v>
      </c>
      <c r="G4436" s="13">
        <v>0.72</v>
      </c>
      <c r="H4436" s="15">
        <v>4883</v>
      </c>
      <c r="I4436" s="16">
        <v>3515.76</v>
      </c>
      <c r="J4436" s="16">
        <v>2571.6324704327099</v>
      </c>
      <c r="K4436" s="16">
        <v>944.12752956729037</v>
      </c>
      <c r="L4436" s="13">
        <v>1.36</v>
      </c>
      <c r="M4436" s="13"/>
      <c r="N4436" s="17">
        <f t="shared" si="146"/>
        <v>6640.88</v>
      </c>
      <c r="O4436" s="17">
        <f t="shared" si="146"/>
        <v>0</v>
      </c>
      <c r="P4436" s="17">
        <f t="shared" si="147"/>
        <v>6640.88</v>
      </c>
      <c r="Q4436" t="str">
        <f>A4436&amp;"-"&amp;B4436&amp;"-"&amp;D4436</f>
        <v>SEPTEMBER-MJ2-L7</v>
      </c>
    </row>
    <row r="4437" spans="1:17" x14ac:dyDescent="0.25">
      <c r="A4437" t="s">
        <v>399</v>
      </c>
      <c r="B4437" s="13" t="s">
        <v>26</v>
      </c>
      <c r="C4437" s="13" t="s">
        <v>226</v>
      </c>
      <c r="D4437" s="14" t="s">
        <v>164</v>
      </c>
      <c r="E4437" s="13" t="s">
        <v>61</v>
      </c>
      <c r="F4437" s="13" t="s">
        <v>1597</v>
      </c>
      <c r="G4437" s="13">
        <v>0.68</v>
      </c>
      <c r="H4437" s="15">
        <v>382</v>
      </c>
      <c r="I4437" s="16">
        <v>259.76</v>
      </c>
      <c r="J4437" s="16">
        <v>204.42162162162163</v>
      </c>
      <c r="K4437" s="16">
        <v>55.338378378378366</v>
      </c>
      <c r="L4437" s="13">
        <v>1.7</v>
      </c>
      <c r="M4437" s="13"/>
      <c r="N4437" s="17">
        <f t="shared" si="146"/>
        <v>649.4</v>
      </c>
      <c r="O4437" s="17">
        <f t="shared" si="146"/>
        <v>0</v>
      </c>
      <c r="P4437" s="17">
        <f t="shared" si="147"/>
        <v>649.4</v>
      </c>
      <c r="Q4437" t="str">
        <f>A4437&amp;"-"&amp;B4437&amp;"-"&amp;D4437</f>
        <v>SEPTEMBER-MJ2-L7</v>
      </c>
    </row>
    <row r="4438" spans="1:17" x14ac:dyDescent="0.25">
      <c r="A4438" t="s">
        <v>399</v>
      </c>
      <c r="B4438" s="13" t="s">
        <v>26</v>
      </c>
      <c r="C4438" s="13" t="s">
        <v>226</v>
      </c>
      <c r="D4438" s="14" t="s">
        <v>164</v>
      </c>
      <c r="E4438" s="13" t="s">
        <v>61</v>
      </c>
      <c r="F4438" s="13" t="s">
        <v>1598</v>
      </c>
      <c r="G4438" s="13">
        <v>0.72</v>
      </c>
      <c r="H4438" s="15">
        <v>657</v>
      </c>
      <c r="I4438" s="16">
        <v>473.03999999999996</v>
      </c>
      <c r="J4438" s="16">
        <v>372.19056944374017</v>
      </c>
      <c r="K4438" s="16">
        <v>100.8494305562598</v>
      </c>
      <c r="L4438" s="13">
        <v>1.34</v>
      </c>
      <c r="M4438" s="13"/>
      <c r="N4438" s="17">
        <f t="shared" si="146"/>
        <v>880.38000000000011</v>
      </c>
      <c r="O4438" s="17">
        <f t="shared" si="146"/>
        <v>0</v>
      </c>
      <c r="P4438" s="17">
        <f t="shared" si="147"/>
        <v>880.38000000000011</v>
      </c>
      <c r="Q4438" t="str">
        <f>A4438&amp;"-"&amp;B4438&amp;"-"&amp;D4438</f>
        <v>SEPTEMBER-MJ2-L7</v>
      </c>
    </row>
    <row r="4439" spans="1:17" x14ac:dyDescent="0.25">
      <c r="A4439" t="s">
        <v>399</v>
      </c>
      <c r="B4439" s="13" t="s">
        <v>26</v>
      </c>
      <c r="C4439" s="13" t="s">
        <v>226</v>
      </c>
      <c r="D4439" s="14" t="s">
        <v>164</v>
      </c>
      <c r="E4439" s="13" t="s">
        <v>61</v>
      </c>
      <c r="F4439" s="13" t="s">
        <v>1573</v>
      </c>
      <c r="G4439" s="13">
        <v>0.72</v>
      </c>
      <c r="H4439" s="15">
        <v>536</v>
      </c>
      <c r="I4439" s="16">
        <v>385.92</v>
      </c>
      <c r="J4439" s="16">
        <v>284.75715227422546</v>
      </c>
      <c r="K4439" s="16">
        <v>101.16284772577457</v>
      </c>
      <c r="L4439" s="13">
        <v>1.34</v>
      </c>
      <c r="M4439" s="13"/>
      <c r="N4439" s="17">
        <f t="shared" si="146"/>
        <v>718.24</v>
      </c>
      <c r="O4439" s="17">
        <f t="shared" si="146"/>
        <v>0</v>
      </c>
      <c r="P4439" s="17">
        <f t="shared" si="147"/>
        <v>718.24</v>
      </c>
      <c r="Q4439" t="str">
        <f>A4439&amp;"-"&amp;B4439&amp;"-"&amp;D4439</f>
        <v>SEPTEMBER-MJ2-L7</v>
      </c>
    </row>
    <row r="4440" spans="1:17" x14ac:dyDescent="0.25">
      <c r="A4440" t="s">
        <v>399</v>
      </c>
      <c r="B4440" s="13" t="s">
        <v>26</v>
      </c>
      <c r="C4440" s="13" t="s">
        <v>226</v>
      </c>
      <c r="D4440" s="14" t="s">
        <v>164</v>
      </c>
      <c r="E4440" s="13" t="s">
        <v>61</v>
      </c>
      <c r="F4440" s="13" t="s">
        <v>1599</v>
      </c>
      <c r="G4440" s="13">
        <v>0.72000000000000008</v>
      </c>
      <c r="H4440" s="15">
        <v>1258</v>
      </c>
      <c r="I4440" s="16">
        <v>905.76</v>
      </c>
      <c r="J4440" s="16">
        <v>697.99978195831841</v>
      </c>
      <c r="K4440" s="16">
        <v>207.76021804168147</v>
      </c>
      <c r="L4440" s="13">
        <v>1.34</v>
      </c>
      <c r="M4440" s="13"/>
      <c r="N4440" s="17">
        <f t="shared" si="146"/>
        <v>1685.72</v>
      </c>
      <c r="O4440" s="17">
        <f t="shared" si="146"/>
        <v>0</v>
      </c>
      <c r="P4440" s="17">
        <f t="shared" si="147"/>
        <v>1685.72</v>
      </c>
      <c r="Q4440" t="str">
        <f>A4440&amp;"-"&amp;B4440&amp;"-"&amp;D4440</f>
        <v>SEPTEMBER-MJ2-L7</v>
      </c>
    </row>
    <row r="4441" spans="1:17" x14ac:dyDescent="0.25">
      <c r="A4441" t="s">
        <v>399</v>
      </c>
      <c r="B4441" s="13" t="s">
        <v>26</v>
      </c>
      <c r="C4441" s="13" t="s">
        <v>226</v>
      </c>
      <c r="D4441" s="14" t="s">
        <v>164</v>
      </c>
      <c r="E4441" s="13" t="s">
        <v>61</v>
      </c>
      <c r="F4441" s="13" t="s">
        <v>1600</v>
      </c>
      <c r="G4441" s="13">
        <v>0.76</v>
      </c>
      <c r="H4441" s="15">
        <v>183</v>
      </c>
      <c r="I4441" s="16">
        <v>139.08000000000001</v>
      </c>
      <c r="J4441" s="16">
        <v>97.929729729729729</v>
      </c>
      <c r="K4441" s="16">
        <v>41.150270270270283</v>
      </c>
      <c r="L4441" s="13">
        <v>1.94</v>
      </c>
      <c r="M4441" s="13"/>
      <c r="N4441" s="17">
        <f t="shared" si="146"/>
        <v>355.02</v>
      </c>
      <c r="O4441" s="17">
        <f t="shared" si="146"/>
        <v>0</v>
      </c>
      <c r="P4441" s="17">
        <f t="shared" si="147"/>
        <v>355.02</v>
      </c>
      <c r="Q4441" t="str">
        <f>A4441&amp;"-"&amp;B4441&amp;"-"&amp;D4441</f>
        <v>SEPTEMBER-MJ2-L7</v>
      </c>
    </row>
    <row r="4442" spans="1:17" x14ac:dyDescent="0.25">
      <c r="A4442" t="s">
        <v>399</v>
      </c>
      <c r="B4442" s="13" t="s">
        <v>26</v>
      </c>
      <c r="C4442" s="13" t="s">
        <v>226</v>
      </c>
      <c r="D4442" s="14" t="s">
        <v>164</v>
      </c>
      <c r="E4442" s="13" t="s">
        <v>61</v>
      </c>
      <c r="F4442" s="13" t="s">
        <v>1601</v>
      </c>
      <c r="G4442" s="13">
        <v>1.19</v>
      </c>
      <c r="H4442" s="15">
        <v>1921</v>
      </c>
      <c r="I4442" s="16">
        <v>2285.9900000000002</v>
      </c>
      <c r="J4442" s="16">
        <v>1357.7687452229297</v>
      </c>
      <c r="K4442" s="16">
        <v>928.22125477707016</v>
      </c>
      <c r="L4442" s="13">
        <v>2.87</v>
      </c>
      <c r="M4442" s="13"/>
      <c r="N4442" s="17">
        <f t="shared" si="146"/>
        <v>5513.27</v>
      </c>
      <c r="O4442" s="17">
        <f t="shared" si="146"/>
        <v>0</v>
      </c>
      <c r="P4442" s="17">
        <f t="shared" si="147"/>
        <v>5513.27</v>
      </c>
      <c r="Q4442" t="str">
        <f>A4442&amp;"-"&amp;B4442&amp;"-"&amp;D4442</f>
        <v>SEPTEMBER-MJ2-L7</v>
      </c>
    </row>
    <row r="4443" spans="1:17" x14ac:dyDescent="0.25">
      <c r="A4443" t="s">
        <v>399</v>
      </c>
      <c r="B4443" s="13" t="s">
        <v>26</v>
      </c>
      <c r="C4443" s="13" t="s">
        <v>226</v>
      </c>
      <c r="D4443" s="14" t="s">
        <v>164</v>
      </c>
      <c r="E4443" s="13" t="s">
        <v>61</v>
      </c>
      <c r="F4443" s="13" t="s">
        <v>1565</v>
      </c>
      <c r="G4443" s="13">
        <v>0.82999999999999985</v>
      </c>
      <c r="H4443" s="15">
        <v>5963</v>
      </c>
      <c r="I4443" s="16">
        <v>4949.29</v>
      </c>
      <c r="J4443" s="16">
        <v>3384.6393513513513</v>
      </c>
      <c r="K4443" s="16">
        <v>1564.6506486486485</v>
      </c>
      <c r="L4443" s="13">
        <v>2.13</v>
      </c>
      <c r="M4443" s="13"/>
      <c r="N4443" s="17">
        <f t="shared" si="146"/>
        <v>12701.189999999999</v>
      </c>
      <c r="O4443" s="17">
        <f t="shared" si="146"/>
        <v>0</v>
      </c>
      <c r="P4443" s="17">
        <f t="shared" si="147"/>
        <v>12701.189999999999</v>
      </c>
      <c r="Q4443" t="str">
        <f>A4443&amp;"-"&amp;B4443&amp;"-"&amp;D4443</f>
        <v>SEPTEMBER-MJ2-L7</v>
      </c>
    </row>
    <row r="4444" spans="1:17" x14ac:dyDescent="0.25">
      <c r="A4444" t="s">
        <v>399</v>
      </c>
      <c r="B4444" s="13" t="s">
        <v>26</v>
      </c>
      <c r="C4444" s="13" t="s">
        <v>226</v>
      </c>
      <c r="D4444" s="14" t="s">
        <v>164</v>
      </c>
      <c r="E4444" s="13" t="s">
        <v>61</v>
      </c>
      <c r="F4444" s="13" t="s">
        <v>1602</v>
      </c>
      <c r="G4444" s="13">
        <v>0.78</v>
      </c>
      <c r="H4444" s="15">
        <v>1045</v>
      </c>
      <c r="I4444" s="16">
        <v>815.1</v>
      </c>
      <c r="J4444" s="16">
        <v>606.93600000000004</v>
      </c>
      <c r="K4444" s="16">
        <v>208.16399999999999</v>
      </c>
      <c r="L4444" s="13">
        <v>2.29</v>
      </c>
      <c r="M4444" s="13"/>
      <c r="N4444" s="17">
        <f t="shared" si="146"/>
        <v>2393.0500000000002</v>
      </c>
      <c r="O4444" s="17">
        <f t="shared" si="146"/>
        <v>0</v>
      </c>
      <c r="P4444" s="17">
        <f t="shared" si="147"/>
        <v>2393.0500000000002</v>
      </c>
      <c r="Q4444" t="str">
        <f>A4444&amp;"-"&amp;B4444&amp;"-"&amp;D4444</f>
        <v>SEPTEMBER-MJ2-L7</v>
      </c>
    </row>
    <row r="4445" spans="1:17" x14ac:dyDescent="0.25">
      <c r="A4445" t="s">
        <v>399</v>
      </c>
      <c r="B4445" s="13" t="s">
        <v>26</v>
      </c>
      <c r="C4445" s="13" t="s">
        <v>226</v>
      </c>
      <c r="D4445" s="14" t="s">
        <v>164</v>
      </c>
      <c r="E4445" s="13" t="s">
        <v>61</v>
      </c>
      <c r="F4445" s="13" t="s">
        <v>1603</v>
      </c>
      <c r="G4445" s="13">
        <v>0.83</v>
      </c>
      <c r="H4445" s="15">
        <v>487</v>
      </c>
      <c r="I4445" s="16">
        <v>404.21</v>
      </c>
      <c r="J4445" s="16">
        <v>260.93046486486492</v>
      </c>
      <c r="K4445" s="16">
        <v>143.27953513513509</v>
      </c>
      <c r="L4445" s="13">
        <v>2.13</v>
      </c>
      <c r="M4445" s="13"/>
      <c r="N4445" s="17">
        <f t="shared" si="146"/>
        <v>1037.31</v>
      </c>
      <c r="O4445" s="17">
        <f t="shared" si="146"/>
        <v>0</v>
      </c>
      <c r="P4445" s="17">
        <f t="shared" si="147"/>
        <v>1037.31</v>
      </c>
      <c r="Q4445" t="str">
        <f>A4445&amp;"-"&amp;B4445&amp;"-"&amp;D4445</f>
        <v>SEPTEMBER-MJ2-L7</v>
      </c>
    </row>
    <row r="4446" spans="1:17" x14ac:dyDescent="0.25">
      <c r="A4446" t="s">
        <v>399</v>
      </c>
      <c r="B4446" s="13" t="s">
        <v>26</v>
      </c>
      <c r="C4446" s="13" t="s">
        <v>226</v>
      </c>
      <c r="D4446" s="14" t="s">
        <v>164</v>
      </c>
      <c r="E4446" s="13" t="s">
        <v>61</v>
      </c>
      <c r="F4446" s="13" t="s">
        <v>1166</v>
      </c>
      <c r="G4446" s="13">
        <v>0.65</v>
      </c>
      <c r="H4446" s="15">
        <v>12</v>
      </c>
      <c r="I4446" s="16">
        <v>7.8</v>
      </c>
      <c r="J4446" s="16">
        <v>7.0182599355531687</v>
      </c>
      <c r="K4446" s="16">
        <v>0.78174006444683108</v>
      </c>
      <c r="L4446" s="13">
        <v>1.66</v>
      </c>
      <c r="M4446" s="13"/>
      <c r="N4446" s="17">
        <f t="shared" si="146"/>
        <v>19.919999999999998</v>
      </c>
      <c r="O4446" s="17">
        <f t="shared" si="146"/>
        <v>0</v>
      </c>
      <c r="P4446" s="17">
        <f t="shared" si="147"/>
        <v>19.919999999999998</v>
      </c>
      <c r="Q4446" t="str">
        <f>A4446&amp;"-"&amp;B4446&amp;"-"&amp;D4446</f>
        <v>SEPTEMBER-MJ2-L7</v>
      </c>
    </row>
    <row r="4447" spans="1:17" x14ac:dyDescent="0.25">
      <c r="A4447" t="s">
        <v>399</v>
      </c>
      <c r="B4447" s="13" t="s">
        <v>26</v>
      </c>
      <c r="C4447" s="13" t="s">
        <v>226</v>
      </c>
      <c r="D4447" s="14" t="s">
        <v>164</v>
      </c>
      <c r="E4447" s="13" t="s">
        <v>61</v>
      </c>
      <c r="F4447" s="13" t="s">
        <v>1198</v>
      </c>
      <c r="G4447" s="13">
        <v>0.65</v>
      </c>
      <c r="H4447" s="15">
        <v>48</v>
      </c>
      <c r="I4447" s="16">
        <v>31.2</v>
      </c>
      <c r="J4447" s="16">
        <v>28.846399999999999</v>
      </c>
      <c r="K4447" s="16">
        <v>2.353600000000001</v>
      </c>
      <c r="L4447" s="13">
        <v>1.66</v>
      </c>
      <c r="M4447" s="13"/>
      <c r="N4447" s="17">
        <f t="shared" si="146"/>
        <v>79.679999999999993</v>
      </c>
      <c r="O4447" s="17">
        <f t="shared" si="146"/>
        <v>0</v>
      </c>
      <c r="P4447" s="17">
        <f t="shared" si="147"/>
        <v>79.679999999999993</v>
      </c>
      <c r="Q4447" t="str">
        <f>A4447&amp;"-"&amp;B4447&amp;"-"&amp;D4447</f>
        <v>SEPTEMBER-MJ2-L7</v>
      </c>
    </row>
    <row r="4448" spans="1:17" x14ac:dyDescent="0.25">
      <c r="A4448" t="s">
        <v>399</v>
      </c>
      <c r="B4448" s="13" t="s">
        <v>26</v>
      </c>
      <c r="C4448" s="13" t="s">
        <v>226</v>
      </c>
      <c r="D4448" s="14" t="s">
        <v>164</v>
      </c>
      <c r="E4448" s="13" t="s">
        <v>61</v>
      </c>
      <c r="F4448" s="13" t="s">
        <v>1199</v>
      </c>
      <c r="G4448" s="13">
        <v>0.65</v>
      </c>
      <c r="H4448" s="15">
        <v>3</v>
      </c>
      <c r="I4448" s="16">
        <v>1.95</v>
      </c>
      <c r="J4448" s="16">
        <v>1.8150000000000002</v>
      </c>
      <c r="K4448" s="16">
        <v>0.13499999999999979</v>
      </c>
      <c r="L4448" s="13">
        <v>1.79</v>
      </c>
      <c r="M4448" s="13"/>
      <c r="N4448" s="17">
        <f t="shared" si="146"/>
        <v>5.37</v>
      </c>
      <c r="O4448" s="17">
        <f t="shared" si="146"/>
        <v>0</v>
      </c>
      <c r="P4448" s="17">
        <f t="shared" si="147"/>
        <v>5.37</v>
      </c>
      <c r="Q4448" t="str">
        <f>A4448&amp;"-"&amp;B4448&amp;"-"&amp;D4448</f>
        <v>SEPTEMBER-MJ2-L7</v>
      </c>
    </row>
    <row r="4449" spans="1:17" x14ac:dyDescent="0.25">
      <c r="A4449" t="s">
        <v>399</v>
      </c>
      <c r="B4449" s="13" t="s">
        <v>26</v>
      </c>
      <c r="C4449" s="13" t="s">
        <v>226</v>
      </c>
      <c r="D4449" s="14" t="s">
        <v>164</v>
      </c>
      <c r="E4449" s="13" t="s">
        <v>61</v>
      </c>
      <c r="F4449" s="13" t="s">
        <v>1410</v>
      </c>
      <c r="G4449" s="13">
        <v>0.65</v>
      </c>
      <c r="H4449" s="15">
        <v>32</v>
      </c>
      <c r="I4449" s="16">
        <v>20.8</v>
      </c>
      <c r="J4449" s="16">
        <v>17.539705204974666</v>
      </c>
      <c r="K4449" s="16">
        <v>3.2602947950253345</v>
      </c>
      <c r="L4449" s="13">
        <v>1.64</v>
      </c>
      <c r="M4449" s="13"/>
      <c r="N4449" s="17">
        <f t="shared" si="146"/>
        <v>52.48</v>
      </c>
      <c r="O4449" s="17">
        <f t="shared" si="146"/>
        <v>0</v>
      </c>
      <c r="P4449" s="17">
        <f t="shared" si="147"/>
        <v>52.48</v>
      </c>
      <c r="Q4449" t="str">
        <f>A4449&amp;"-"&amp;B4449&amp;"-"&amp;D4449</f>
        <v>SEPTEMBER-MJ2-L7</v>
      </c>
    </row>
    <row r="4450" spans="1:17" x14ac:dyDescent="0.25">
      <c r="A4450" t="s">
        <v>399</v>
      </c>
      <c r="B4450" s="13" t="s">
        <v>26</v>
      </c>
      <c r="C4450" s="13" t="s">
        <v>226</v>
      </c>
      <c r="D4450" s="14" t="s">
        <v>164</v>
      </c>
      <c r="E4450" s="13" t="s">
        <v>61</v>
      </c>
      <c r="F4450" s="13" t="s">
        <v>1604</v>
      </c>
      <c r="G4450" s="13">
        <v>0.88</v>
      </c>
      <c r="H4450" s="15">
        <v>173</v>
      </c>
      <c r="I4450" s="16">
        <v>152.23999999999998</v>
      </c>
      <c r="J4450" s="16">
        <v>103.26438180148799</v>
      </c>
      <c r="K4450" s="16">
        <v>48.975618198512016</v>
      </c>
      <c r="L4450" s="13">
        <v>2.65</v>
      </c>
      <c r="M4450" s="13"/>
      <c r="N4450" s="17">
        <f t="shared" si="146"/>
        <v>458.45</v>
      </c>
      <c r="O4450" s="17">
        <f t="shared" si="146"/>
        <v>0</v>
      </c>
      <c r="P4450" s="17">
        <f t="shared" si="147"/>
        <v>458.45</v>
      </c>
      <c r="Q4450" t="str">
        <f>A4450&amp;"-"&amp;B4450&amp;"-"&amp;D4450</f>
        <v>SEPTEMBER-MJ2-L7</v>
      </c>
    </row>
    <row r="4451" spans="1:17" x14ac:dyDescent="0.25">
      <c r="A4451" t="s">
        <v>399</v>
      </c>
      <c r="B4451" s="13" t="s">
        <v>26</v>
      </c>
      <c r="C4451" s="13" t="s">
        <v>226</v>
      </c>
      <c r="D4451" s="14" t="s">
        <v>198</v>
      </c>
      <c r="E4451" s="13" t="s">
        <v>61</v>
      </c>
      <c r="F4451" s="13" t="s">
        <v>1412</v>
      </c>
      <c r="G4451" s="13">
        <v>0.68</v>
      </c>
      <c r="H4451" s="15">
        <v>2935</v>
      </c>
      <c r="I4451" s="16">
        <v>1995.8</v>
      </c>
      <c r="J4451" s="16">
        <v>1879.5189516228002</v>
      </c>
      <c r="K4451" s="16">
        <v>116.28104837719961</v>
      </c>
      <c r="L4451" s="13">
        <v>1.82</v>
      </c>
      <c r="M4451" s="13"/>
      <c r="N4451" s="17">
        <f t="shared" si="146"/>
        <v>5341.7</v>
      </c>
      <c r="O4451" s="17">
        <f t="shared" si="146"/>
        <v>0</v>
      </c>
      <c r="P4451" s="17">
        <f t="shared" si="147"/>
        <v>5341.7</v>
      </c>
      <c r="Q4451" t="str">
        <f>A4451&amp;"-"&amp;B4451&amp;"-"&amp;D4451</f>
        <v>SEPTEMBER-MJ2-L8</v>
      </c>
    </row>
    <row r="4452" spans="1:17" x14ac:dyDescent="0.25">
      <c r="A4452" t="s">
        <v>399</v>
      </c>
      <c r="B4452" s="13" t="s">
        <v>26</v>
      </c>
      <c r="C4452" s="13" t="s">
        <v>226</v>
      </c>
      <c r="D4452" s="14" t="s">
        <v>198</v>
      </c>
      <c r="E4452" s="13" t="s">
        <v>61</v>
      </c>
      <c r="F4452" s="13" t="s">
        <v>1566</v>
      </c>
      <c r="G4452" s="13">
        <v>0.67999999999999994</v>
      </c>
      <c r="H4452" s="15">
        <v>4021</v>
      </c>
      <c r="I4452" s="16">
        <v>2734.28</v>
      </c>
      <c r="J4452" s="16">
        <v>2318.9141807650553</v>
      </c>
      <c r="K4452" s="16">
        <v>415.36581923494504</v>
      </c>
      <c r="L4452" s="13">
        <v>1.82</v>
      </c>
      <c r="M4452" s="13"/>
      <c r="N4452" s="17">
        <f t="shared" si="146"/>
        <v>7318.22</v>
      </c>
      <c r="O4452" s="17">
        <f t="shared" si="146"/>
        <v>0</v>
      </c>
      <c r="P4452" s="17">
        <f t="shared" si="147"/>
        <v>7318.22</v>
      </c>
      <c r="Q4452" t="str">
        <f>A4452&amp;"-"&amp;B4452&amp;"-"&amp;D4452</f>
        <v>SEPTEMBER-MJ2-L8</v>
      </c>
    </row>
    <row r="4453" spans="1:17" x14ac:dyDescent="0.25">
      <c r="A4453" t="s">
        <v>399</v>
      </c>
      <c r="B4453" s="13" t="s">
        <v>26</v>
      </c>
      <c r="C4453" s="13" t="s">
        <v>226</v>
      </c>
      <c r="D4453" s="14" t="s">
        <v>198</v>
      </c>
      <c r="E4453" s="13" t="s">
        <v>61</v>
      </c>
      <c r="F4453" s="13" t="s">
        <v>1567</v>
      </c>
      <c r="G4453" s="13">
        <v>0.66</v>
      </c>
      <c r="H4453" s="15">
        <v>195</v>
      </c>
      <c r="I4453" s="16">
        <v>128.69999999999999</v>
      </c>
      <c r="J4453" s="16">
        <v>143.96949152542373</v>
      </c>
      <c r="K4453" s="16">
        <v>-15.269491525423746</v>
      </c>
      <c r="L4453" s="13">
        <v>1.97</v>
      </c>
      <c r="M4453" s="13"/>
      <c r="N4453" s="17">
        <f t="shared" si="146"/>
        <v>384.15</v>
      </c>
      <c r="O4453" s="17">
        <f t="shared" si="146"/>
        <v>0</v>
      </c>
      <c r="P4453" s="17">
        <f t="shared" si="147"/>
        <v>384.15</v>
      </c>
      <c r="Q4453" t="str">
        <f>A4453&amp;"-"&amp;B4453&amp;"-"&amp;D4453</f>
        <v>SEPTEMBER-MJ2-L8</v>
      </c>
    </row>
    <row r="4454" spans="1:17" x14ac:dyDescent="0.25">
      <c r="A4454" t="s">
        <v>399</v>
      </c>
      <c r="B4454" s="13" t="s">
        <v>26</v>
      </c>
      <c r="C4454" s="13" t="s">
        <v>226</v>
      </c>
      <c r="D4454" s="14" t="s">
        <v>198</v>
      </c>
      <c r="E4454" s="13" t="s">
        <v>61</v>
      </c>
      <c r="F4454" s="13" t="s">
        <v>1562</v>
      </c>
      <c r="G4454" s="13">
        <v>0.66</v>
      </c>
      <c r="H4454" s="15">
        <v>1311</v>
      </c>
      <c r="I4454" s="16">
        <v>865.26</v>
      </c>
      <c r="J4454" s="16">
        <v>790.53064875712664</v>
      </c>
      <c r="K4454" s="16">
        <v>74.729351242873335</v>
      </c>
      <c r="L4454" s="13">
        <v>1.71</v>
      </c>
      <c r="M4454" s="13"/>
      <c r="N4454" s="17">
        <f t="shared" si="146"/>
        <v>2241.81</v>
      </c>
      <c r="O4454" s="17">
        <f t="shared" si="146"/>
        <v>0</v>
      </c>
      <c r="P4454" s="17">
        <f t="shared" si="147"/>
        <v>2241.81</v>
      </c>
      <c r="Q4454" t="str">
        <f>A4454&amp;"-"&amp;B4454&amp;"-"&amp;D4454</f>
        <v>SEPTEMBER-MJ2-L8</v>
      </c>
    </row>
    <row r="4455" spans="1:17" x14ac:dyDescent="0.25">
      <c r="A4455" t="s">
        <v>399</v>
      </c>
      <c r="B4455" s="13" t="s">
        <v>26</v>
      </c>
      <c r="C4455" s="13" t="s">
        <v>226</v>
      </c>
      <c r="D4455" s="14" t="s">
        <v>198</v>
      </c>
      <c r="E4455" s="13" t="s">
        <v>61</v>
      </c>
      <c r="F4455" s="13" t="s">
        <v>1568</v>
      </c>
      <c r="G4455" s="13">
        <v>0.67999999999999994</v>
      </c>
      <c r="H4455" s="15">
        <v>3339</v>
      </c>
      <c r="I4455" s="16">
        <v>2270.52</v>
      </c>
      <c r="J4455" s="16">
        <v>1811.0317717386881</v>
      </c>
      <c r="K4455" s="16">
        <v>459.48822826131209</v>
      </c>
      <c r="L4455" s="13">
        <v>1.82</v>
      </c>
      <c r="M4455" s="13"/>
      <c r="N4455" s="17">
        <f t="shared" si="146"/>
        <v>6076.9800000000005</v>
      </c>
      <c r="O4455" s="17">
        <f t="shared" si="146"/>
        <v>0</v>
      </c>
      <c r="P4455" s="17">
        <f t="shared" si="147"/>
        <v>6076.9800000000005</v>
      </c>
      <c r="Q4455" t="str">
        <f>A4455&amp;"-"&amp;B4455&amp;"-"&amp;D4455</f>
        <v>SEPTEMBER-MJ2-L8</v>
      </c>
    </row>
    <row r="4456" spans="1:17" x14ac:dyDescent="0.25">
      <c r="A4456" t="s">
        <v>399</v>
      </c>
      <c r="B4456" s="13" t="s">
        <v>26</v>
      </c>
      <c r="C4456" s="13" t="s">
        <v>226</v>
      </c>
      <c r="D4456" s="14" t="s">
        <v>198</v>
      </c>
      <c r="E4456" s="13" t="s">
        <v>61</v>
      </c>
      <c r="F4456" s="13" t="s">
        <v>1569</v>
      </c>
      <c r="G4456" s="13">
        <v>0.66</v>
      </c>
      <c r="H4456" s="15">
        <v>5204</v>
      </c>
      <c r="I4456" s="16">
        <v>3434.6399999999994</v>
      </c>
      <c r="J4456" s="16">
        <v>3256.5994101573601</v>
      </c>
      <c r="K4456" s="16">
        <v>178.04058984263975</v>
      </c>
      <c r="L4456" s="13">
        <v>1.71</v>
      </c>
      <c r="M4456" s="13"/>
      <c r="N4456" s="17">
        <f t="shared" si="146"/>
        <v>8898.84</v>
      </c>
      <c r="O4456" s="17">
        <f t="shared" si="146"/>
        <v>0</v>
      </c>
      <c r="P4456" s="17">
        <f t="shared" si="147"/>
        <v>8898.84</v>
      </c>
      <c r="Q4456" t="str">
        <f>A4456&amp;"-"&amp;B4456&amp;"-"&amp;D4456</f>
        <v>SEPTEMBER-MJ2-L8</v>
      </c>
    </row>
    <row r="4457" spans="1:17" x14ac:dyDescent="0.25">
      <c r="A4457" t="s">
        <v>399</v>
      </c>
      <c r="B4457" s="13" t="s">
        <v>26</v>
      </c>
      <c r="C4457" s="13" t="s">
        <v>226</v>
      </c>
      <c r="D4457" s="14" t="s">
        <v>198</v>
      </c>
      <c r="E4457" s="13" t="s">
        <v>61</v>
      </c>
      <c r="F4457" s="13" t="s">
        <v>1570</v>
      </c>
      <c r="G4457" s="13">
        <v>0.63</v>
      </c>
      <c r="H4457" s="15">
        <v>38</v>
      </c>
      <c r="I4457" s="16">
        <v>23.94</v>
      </c>
      <c r="J4457" s="16">
        <v>22.070399999999999</v>
      </c>
      <c r="K4457" s="16">
        <v>1.8696000000000019</v>
      </c>
      <c r="L4457" s="13">
        <v>1.85</v>
      </c>
      <c r="M4457" s="13"/>
      <c r="N4457" s="17">
        <f t="shared" si="146"/>
        <v>70.3</v>
      </c>
      <c r="O4457" s="17">
        <f t="shared" si="146"/>
        <v>0</v>
      </c>
      <c r="P4457" s="17">
        <f t="shared" si="147"/>
        <v>70.3</v>
      </c>
      <c r="Q4457" t="str">
        <f>A4457&amp;"-"&amp;B4457&amp;"-"&amp;D4457</f>
        <v>SEPTEMBER-MJ2-L8</v>
      </c>
    </row>
    <row r="4458" spans="1:17" x14ac:dyDescent="0.25">
      <c r="A4458" t="s">
        <v>399</v>
      </c>
      <c r="B4458" s="13" t="s">
        <v>26</v>
      </c>
      <c r="C4458" s="13" t="s">
        <v>226</v>
      </c>
      <c r="D4458" s="14" t="s">
        <v>198</v>
      </c>
      <c r="E4458" s="13" t="s">
        <v>61</v>
      </c>
      <c r="F4458" s="13" t="s">
        <v>1571</v>
      </c>
      <c r="G4458" s="13">
        <v>0.70000000000000007</v>
      </c>
      <c r="H4458" s="15">
        <v>4970</v>
      </c>
      <c r="I4458" s="16">
        <v>3479</v>
      </c>
      <c r="J4458" s="16">
        <v>2962.2398686246479</v>
      </c>
      <c r="K4458" s="16">
        <v>516.76013137535222</v>
      </c>
      <c r="L4458" s="13">
        <v>1.3</v>
      </c>
      <c r="M4458" s="13"/>
      <c r="N4458" s="17">
        <f t="shared" si="146"/>
        <v>6461</v>
      </c>
      <c r="O4458" s="17">
        <f t="shared" si="146"/>
        <v>0</v>
      </c>
      <c r="P4458" s="17">
        <f t="shared" si="147"/>
        <v>6461</v>
      </c>
      <c r="Q4458" t="str">
        <f>A4458&amp;"-"&amp;B4458&amp;"-"&amp;D4458</f>
        <v>SEPTEMBER-MJ2-L8</v>
      </c>
    </row>
    <row r="4459" spans="1:17" x14ac:dyDescent="0.25">
      <c r="A4459" t="s">
        <v>399</v>
      </c>
      <c r="B4459" s="13" t="s">
        <v>26</v>
      </c>
      <c r="C4459" s="13" t="s">
        <v>226</v>
      </c>
      <c r="D4459" s="14" t="s">
        <v>198</v>
      </c>
      <c r="E4459" s="13" t="s">
        <v>61</v>
      </c>
      <c r="F4459" s="13" t="s">
        <v>1364</v>
      </c>
      <c r="G4459" s="13">
        <v>0.8</v>
      </c>
      <c r="H4459" s="15">
        <v>52</v>
      </c>
      <c r="I4459" s="16">
        <v>41.6</v>
      </c>
      <c r="J4459" s="16">
        <v>29.804210526315792</v>
      </c>
      <c r="K4459" s="16">
        <v>11.795789473684209</v>
      </c>
      <c r="L4459" s="13">
        <v>2.1</v>
      </c>
      <c r="M4459" s="13"/>
      <c r="N4459" s="17">
        <f t="shared" si="146"/>
        <v>109.2</v>
      </c>
      <c r="O4459" s="17">
        <f t="shared" si="146"/>
        <v>0</v>
      </c>
      <c r="P4459" s="17">
        <f t="shared" si="147"/>
        <v>109.2</v>
      </c>
      <c r="Q4459" t="str">
        <f>A4459&amp;"-"&amp;B4459&amp;"-"&amp;D4459</f>
        <v>SEPTEMBER-MJ2-L8</v>
      </c>
    </row>
    <row r="4460" spans="1:17" x14ac:dyDescent="0.25">
      <c r="A4460" t="s">
        <v>399</v>
      </c>
      <c r="B4460" s="13" t="s">
        <v>26</v>
      </c>
      <c r="C4460" s="13" t="s">
        <v>226</v>
      </c>
      <c r="D4460" s="14" t="s">
        <v>198</v>
      </c>
      <c r="E4460" s="13" t="s">
        <v>61</v>
      </c>
      <c r="F4460" s="13" t="s">
        <v>1572</v>
      </c>
      <c r="G4460" s="13">
        <v>0.93</v>
      </c>
      <c r="H4460" s="15">
        <v>238</v>
      </c>
      <c r="I4460" s="16">
        <v>221.34</v>
      </c>
      <c r="J4460" s="16">
        <v>157.29420423352553</v>
      </c>
      <c r="K4460" s="16">
        <v>64.045795766474455</v>
      </c>
      <c r="L4460" s="13">
        <v>2.2400000000000002</v>
      </c>
      <c r="M4460" s="13"/>
      <c r="N4460" s="17">
        <f t="shared" si="146"/>
        <v>533.12</v>
      </c>
      <c r="O4460" s="17">
        <f t="shared" si="146"/>
        <v>0</v>
      </c>
      <c r="P4460" s="17">
        <f t="shared" si="147"/>
        <v>533.12</v>
      </c>
      <c r="Q4460" t="str">
        <f>A4460&amp;"-"&amp;B4460&amp;"-"&amp;D4460</f>
        <v>SEPTEMBER-MJ2-L8</v>
      </c>
    </row>
    <row r="4461" spans="1:17" x14ac:dyDescent="0.25">
      <c r="A4461" t="s">
        <v>399</v>
      </c>
      <c r="B4461" s="13" t="s">
        <v>26</v>
      </c>
      <c r="C4461" s="13" t="s">
        <v>226</v>
      </c>
      <c r="D4461" s="14" t="s">
        <v>198</v>
      </c>
      <c r="E4461" s="13" t="s">
        <v>61</v>
      </c>
      <c r="F4461" s="13" t="s">
        <v>1368</v>
      </c>
      <c r="G4461" s="13">
        <v>0.79</v>
      </c>
      <c r="H4461" s="15">
        <v>2070</v>
      </c>
      <c r="I4461" s="16">
        <v>1635.3</v>
      </c>
      <c r="J4461" s="16">
        <v>1249.2053588273836</v>
      </c>
      <c r="K4461" s="16">
        <v>386.09464117261638</v>
      </c>
      <c r="L4461" s="13">
        <v>2.14</v>
      </c>
      <c r="M4461" s="13"/>
      <c r="N4461" s="17">
        <f t="shared" si="146"/>
        <v>4429.8</v>
      </c>
      <c r="O4461" s="17">
        <f t="shared" si="146"/>
        <v>0</v>
      </c>
      <c r="P4461" s="17">
        <f t="shared" si="147"/>
        <v>4429.8</v>
      </c>
      <c r="Q4461" t="str">
        <f>A4461&amp;"-"&amp;B4461&amp;"-"&amp;D4461</f>
        <v>SEPTEMBER-MJ2-L8</v>
      </c>
    </row>
    <row r="4462" spans="1:17" x14ac:dyDescent="0.25">
      <c r="A4462" t="s">
        <v>399</v>
      </c>
      <c r="B4462" s="13" t="s">
        <v>26</v>
      </c>
      <c r="C4462" s="13" t="s">
        <v>226</v>
      </c>
      <c r="D4462" s="14" t="s">
        <v>198</v>
      </c>
      <c r="E4462" s="13" t="s">
        <v>61</v>
      </c>
      <c r="F4462" s="13" t="s">
        <v>1370</v>
      </c>
      <c r="G4462" s="13">
        <v>0.79</v>
      </c>
      <c r="H4462" s="15">
        <v>766</v>
      </c>
      <c r="I4462" s="16">
        <v>605.14</v>
      </c>
      <c r="J4462" s="16">
        <v>478.48198720682302</v>
      </c>
      <c r="K4462" s="16">
        <v>126.65801279317695</v>
      </c>
      <c r="L4462" s="13">
        <v>2.13</v>
      </c>
      <c r="M4462" s="13"/>
      <c r="N4462" s="17">
        <f t="shared" si="146"/>
        <v>1631.58</v>
      </c>
      <c r="O4462" s="17">
        <f t="shared" si="146"/>
        <v>0</v>
      </c>
      <c r="P4462" s="17">
        <f t="shared" si="147"/>
        <v>1631.58</v>
      </c>
      <c r="Q4462" t="str">
        <f>A4462&amp;"-"&amp;B4462&amp;"-"&amp;D4462</f>
        <v>SEPTEMBER-MJ2-L8</v>
      </c>
    </row>
    <row r="4463" spans="1:17" x14ac:dyDescent="0.25">
      <c r="A4463" t="s">
        <v>399</v>
      </c>
      <c r="B4463" s="13" t="s">
        <v>26</v>
      </c>
      <c r="C4463" s="13" t="s">
        <v>226</v>
      </c>
      <c r="D4463" s="14" t="s">
        <v>198</v>
      </c>
      <c r="E4463" s="13" t="s">
        <v>61</v>
      </c>
      <c r="F4463" s="13" t="s">
        <v>1573</v>
      </c>
      <c r="G4463" s="13">
        <v>0.72</v>
      </c>
      <c r="H4463" s="15">
        <v>765</v>
      </c>
      <c r="I4463" s="16">
        <v>550.79999999999995</v>
      </c>
      <c r="J4463" s="16">
        <v>537.47419354838712</v>
      </c>
      <c r="K4463" s="16">
        <v>13.325806451612834</v>
      </c>
      <c r="L4463" s="13">
        <v>1.34</v>
      </c>
      <c r="M4463" s="13"/>
      <c r="N4463" s="17">
        <f t="shared" si="146"/>
        <v>1025.1000000000001</v>
      </c>
      <c r="O4463" s="17">
        <f t="shared" si="146"/>
        <v>0</v>
      </c>
      <c r="P4463" s="17">
        <f t="shared" si="147"/>
        <v>1025.1000000000001</v>
      </c>
      <c r="Q4463" t="str">
        <f>A4463&amp;"-"&amp;B4463&amp;"-"&amp;D4463</f>
        <v>SEPTEMBER-MJ2-L8</v>
      </c>
    </row>
    <row r="4464" spans="1:17" x14ac:dyDescent="0.25">
      <c r="A4464" t="s">
        <v>399</v>
      </c>
      <c r="B4464" s="13" t="s">
        <v>26</v>
      </c>
      <c r="C4464" s="13" t="s">
        <v>226</v>
      </c>
      <c r="D4464" s="14" t="s">
        <v>198</v>
      </c>
      <c r="E4464" s="13" t="s">
        <v>61</v>
      </c>
      <c r="F4464" s="13" t="s">
        <v>1372</v>
      </c>
      <c r="G4464" s="13">
        <v>0.79</v>
      </c>
      <c r="H4464" s="15">
        <v>170</v>
      </c>
      <c r="I4464" s="16">
        <v>134.30000000000001</v>
      </c>
      <c r="J4464" s="16">
        <v>100.21943751130527</v>
      </c>
      <c r="K4464" s="16">
        <v>34.080562488694731</v>
      </c>
      <c r="L4464" s="13">
        <v>2.14</v>
      </c>
      <c r="M4464" s="13"/>
      <c r="N4464" s="17">
        <f t="shared" si="146"/>
        <v>363.8</v>
      </c>
      <c r="O4464" s="17">
        <f t="shared" si="146"/>
        <v>0</v>
      </c>
      <c r="P4464" s="17">
        <f t="shared" si="147"/>
        <v>363.8</v>
      </c>
      <c r="Q4464" t="str">
        <f>A4464&amp;"-"&amp;B4464&amp;"-"&amp;D4464</f>
        <v>SEPTEMBER-MJ2-L8</v>
      </c>
    </row>
    <row r="4465" spans="1:17" x14ac:dyDescent="0.25">
      <c r="A4465" t="s">
        <v>399</v>
      </c>
      <c r="B4465" s="13" t="s">
        <v>26</v>
      </c>
      <c r="C4465" s="13" t="s">
        <v>226</v>
      </c>
      <c r="D4465" s="14" t="s">
        <v>198</v>
      </c>
      <c r="E4465" s="13" t="s">
        <v>61</v>
      </c>
      <c r="F4465" s="13" t="s">
        <v>1374</v>
      </c>
      <c r="G4465" s="13">
        <v>0.79</v>
      </c>
      <c r="H4465" s="15">
        <v>1139</v>
      </c>
      <c r="I4465" s="16">
        <v>899.81</v>
      </c>
      <c r="J4465" s="16">
        <v>710.3279736263737</v>
      </c>
      <c r="K4465" s="16">
        <v>189.4820263736263</v>
      </c>
      <c r="L4465" s="13">
        <v>2.14</v>
      </c>
      <c r="M4465" s="13"/>
      <c r="N4465" s="17">
        <f t="shared" si="146"/>
        <v>2437.46</v>
      </c>
      <c r="O4465" s="17">
        <f t="shared" si="146"/>
        <v>0</v>
      </c>
      <c r="P4465" s="17">
        <f t="shared" si="147"/>
        <v>2437.46</v>
      </c>
      <c r="Q4465" t="str">
        <f>A4465&amp;"-"&amp;B4465&amp;"-"&amp;D4465</f>
        <v>SEPTEMBER-MJ2-L8</v>
      </c>
    </row>
    <row r="4466" spans="1:17" x14ac:dyDescent="0.25">
      <c r="A4466" t="s">
        <v>399</v>
      </c>
      <c r="B4466" s="13" t="s">
        <v>26</v>
      </c>
      <c r="C4466" s="13" t="s">
        <v>226</v>
      </c>
      <c r="D4466" s="14" t="s">
        <v>198</v>
      </c>
      <c r="E4466" s="13" t="s">
        <v>61</v>
      </c>
      <c r="F4466" s="13" t="s">
        <v>1574</v>
      </c>
      <c r="G4466" s="13">
        <v>0.81</v>
      </c>
      <c r="H4466" s="15">
        <v>987</v>
      </c>
      <c r="I4466" s="16">
        <v>799.47</v>
      </c>
      <c r="J4466" s="16">
        <v>613.84523129640206</v>
      </c>
      <c r="K4466" s="16">
        <v>185.62476870359797</v>
      </c>
      <c r="L4466" s="13">
        <v>2.21</v>
      </c>
      <c r="M4466" s="13"/>
      <c r="N4466" s="17">
        <f t="shared" si="146"/>
        <v>2181.27</v>
      </c>
      <c r="O4466" s="17">
        <f t="shared" si="146"/>
        <v>0</v>
      </c>
      <c r="P4466" s="17">
        <f t="shared" si="147"/>
        <v>2181.27</v>
      </c>
      <c r="Q4466" t="str">
        <f>A4466&amp;"-"&amp;B4466&amp;"-"&amp;D4466</f>
        <v>SEPTEMBER-MJ2-L8</v>
      </c>
    </row>
    <row r="4467" spans="1:17" x14ac:dyDescent="0.25">
      <c r="A4467" t="s">
        <v>399</v>
      </c>
      <c r="B4467" s="13" t="s">
        <v>26</v>
      </c>
      <c r="C4467" s="13" t="s">
        <v>226</v>
      </c>
      <c r="D4467" s="14" t="s">
        <v>198</v>
      </c>
      <c r="E4467" s="13" t="s">
        <v>61</v>
      </c>
      <c r="F4467" s="13" t="s">
        <v>1575</v>
      </c>
      <c r="G4467" s="13">
        <v>0.81</v>
      </c>
      <c r="H4467" s="15">
        <v>837</v>
      </c>
      <c r="I4467" s="16">
        <v>677.97</v>
      </c>
      <c r="J4467" s="16">
        <v>1097.5635648754915</v>
      </c>
      <c r="K4467" s="16">
        <v>-419.5935648754915</v>
      </c>
      <c r="L4467" s="13">
        <v>2.21</v>
      </c>
      <c r="M4467" s="13"/>
      <c r="N4467" s="17">
        <f t="shared" si="146"/>
        <v>1849.77</v>
      </c>
      <c r="O4467" s="17">
        <f t="shared" si="146"/>
        <v>0</v>
      </c>
      <c r="P4467" s="17">
        <f t="shared" si="147"/>
        <v>1849.77</v>
      </c>
      <c r="Q4467" t="str">
        <f>A4467&amp;"-"&amp;B4467&amp;"-"&amp;D4467</f>
        <v>SEPTEMBER-MJ2-L8</v>
      </c>
    </row>
    <row r="4468" spans="1:17" x14ac:dyDescent="0.25">
      <c r="A4468" t="s">
        <v>399</v>
      </c>
      <c r="B4468" s="13" t="s">
        <v>26</v>
      </c>
      <c r="C4468" s="13" t="s">
        <v>226</v>
      </c>
      <c r="D4468" s="14" t="s">
        <v>198</v>
      </c>
      <c r="E4468" s="13" t="s">
        <v>61</v>
      </c>
      <c r="F4468" s="13" t="s">
        <v>1576</v>
      </c>
      <c r="G4468" s="13">
        <v>0.8</v>
      </c>
      <c r="H4468" s="15">
        <v>706</v>
      </c>
      <c r="I4468" s="16">
        <v>564.79999999999995</v>
      </c>
      <c r="J4468" s="16">
        <v>503.82306684141543</v>
      </c>
      <c r="K4468" s="16">
        <v>60.976933158584529</v>
      </c>
      <c r="L4468" s="13">
        <v>2.0699999999999998</v>
      </c>
      <c r="M4468" s="13"/>
      <c r="N4468" s="17">
        <f t="shared" si="146"/>
        <v>1461.4199999999998</v>
      </c>
      <c r="O4468" s="17">
        <f t="shared" si="146"/>
        <v>0</v>
      </c>
      <c r="P4468" s="17">
        <f t="shared" si="147"/>
        <v>1461.4199999999998</v>
      </c>
      <c r="Q4468" t="str">
        <f>A4468&amp;"-"&amp;B4468&amp;"-"&amp;D4468</f>
        <v>SEPTEMBER-MJ2-L8</v>
      </c>
    </row>
    <row r="4469" spans="1:17" x14ac:dyDescent="0.25">
      <c r="A4469" t="s">
        <v>399</v>
      </c>
      <c r="B4469" s="13" t="s">
        <v>26</v>
      </c>
      <c r="C4469" s="13" t="s">
        <v>226</v>
      </c>
      <c r="D4469" s="14" t="s">
        <v>198</v>
      </c>
      <c r="E4469" s="13" t="s">
        <v>61</v>
      </c>
      <c r="F4469" s="13" t="s">
        <v>1577</v>
      </c>
      <c r="G4469" s="13">
        <v>0.81</v>
      </c>
      <c r="H4469" s="15">
        <v>2030</v>
      </c>
      <c r="I4469" s="16">
        <v>1644.3000000000002</v>
      </c>
      <c r="J4469" s="16">
        <v>1241.4834115805945</v>
      </c>
      <c r="K4469" s="16">
        <v>402.81658841940543</v>
      </c>
      <c r="L4469" s="13">
        <v>2.21</v>
      </c>
      <c r="M4469" s="13"/>
      <c r="N4469" s="17">
        <f t="shared" si="146"/>
        <v>4486.3</v>
      </c>
      <c r="O4469" s="17">
        <f t="shared" si="146"/>
        <v>0</v>
      </c>
      <c r="P4469" s="17">
        <f t="shared" si="147"/>
        <v>4486.3</v>
      </c>
      <c r="Q4469" t="str">
        <f>A4469&amp;"-"&amp;B4469&amp;"-"&amp;D4469</f>
        <v>SEPTEMBER-MJ2-L8</v>
      </c>
    </row>
    <row r="4470" spans="1:17" x14ac:dyDescent="0.25">
      <c r="A4470" t="s">
        <v>399</v>
      </c>
      <c r="B4470" s="13" t="s">
        <v>26</v>
      </c>
      <c r="C4470" s="13" t="s">
        <v>226</v>
      </c>
      <c r="D4470" s="14" t="s">
        <v>198</v>
      </c>
      <c r="E4470" s="13" t="s">
        <v>61</v>
      </c>
      <c r="F4470" s="13" t="s">
        <v>1565</v>
      </c>
      <c r="G4470" s="13">
        <v>0.83</v>
      </c>
      <c r="H4470" s="15">
        <v>2870</v>
      </c>
      <c r="I4470" s="16">
        <v>2382.1</v>
      </c>
      <c r="J4470" s="16">
        <v>1842.7448781141911</v>
      </c>
      <c r="K4470" s="16">
        <v>539.35512188580879</v>
      </c>
      <c r="L4470" s="13">
        <v>2.13</v>
      </c>
      <c r="M4470" s="13"/>
      <c r="N4470" s="17">
        <f t="shared" si="146"/>
        <v>6113.0999999999995</v>
      </c>
      <c r="O4470" s="17">
        <f t="shared" si="146"/>
        <v>0</v>
      </c>
      <c r="P4470" s="17">
        <f t="shared" si="147"/>
        <v>6113.0999999999995</v>
      </c>
      <c r="Q4470" t="str">
        <f>A4470&amp;"-"&amp;B4470&amp;"-"&amp;D4470</f>
        <v>SEPTEMBER-MJ2-L8</v>
      </c>
    </row>
    <row r="4471" spans="1:17" x14ac:dyDescent="0.25">
      <c r="A4471" t="s">
        <v>399</v>
      </c>
      <c r="B4471" s="13" t="s">
        <v>26</v>
      </c>
      <c r="C4471" s="13" t="s">
        <v>226</v>
      </c>
      <c r="D4471" s="14" t="s">
        <v>198</v>
      </c>
      <c r="E4471" s="13" t="s">
        <v>61</v>
      </c>
      <c r="F4471" s="13" t="s">
        <v>1165</v>
      </c>
      <c r="G4471" s="13">
        <v>0.65</v>
      </c>
      <c r="H4471" s="15">
        <v>56</v>
      </c>
      <c r="I4471" s="16">
        <v>36.4</v>
      </c>
      <c r="J4471" s="16">
        <v>32.857758620689658</v>
      </c>
      <c r="K4471" s="16">
        <v>3.5422413793103402</v>
      </c>
      <c r="L4471" s="13">
        <v>1.66</v>
      </c>
      <c r="M4471" s="13"/>
      <c r="N4471" s="17">
        <f t="shared" si="146"/>
        <v>92.96</v>
      </c>
      <c r="O4471" s="17">
        <f t="shared" si="146"/>
        <v>0</v>
      </c>
      <c r="P4471" s="17">
        <f t="shared" si="147"/>
        <v>92.96</v>
      </c>
      <c r="Q4471" t="str">
        <f>A4471&amp;"-"&amp;B4471&amp;"-"&amp;D4471</f>
        <v>SEPTEMBER-MJ2-L8</v>
      </c>
    </row>
    <row r="4472" spans="1:17" x14ac:dyDescent="0.25">
      <c r="A4472" t="s">
        <v>399</v>
      </c>
      <c r="B4472" s="13" t="s">
        <v>26</v>
      </c>
      <c r="C4472" s="13" t="s">
        <v>226</v>
      </c>
      <c r="D4472" s="14" t="s">
        <v>199</v>
      </c>
      <c r="E4472" s="13" t="s">
        <v>61</v>
      </c>
      <c r="F4472" s="13" t="s">
        <v>1412</v>
      </c>
      <c r="G4472" s="13">
        <v>0.68</v>
      </c>
      <c r="H4472" s="15">
        <v>2935</v>
      </c>
      <c r="I4472" s="16">
        <v>1995.8</v>
      </c>
      <c r="J4472" s="16">
        <v>1879.6686080588975</v>
      </c>
      <c r="K4472" s="16">
        <v>116.13139194110268</v>
      </c>
      <c r="L4472" s="13">
        <v>1.82</v>
      </c>
      <c r="M4472" s="13"/>
      <c r="N4472" s="17">
        <f t="shared" si="146"/>
        <v>5341.7</v>
      </c>
      <c r="O4472" s="17">
        <f t="shared" si="146"/>
        <v>0</v>
      </c>
      <c r="P4472" s="17">
        <f t="shared" si="147"/>
        <v>5341.7</v>
      </c>
      <c r="Q4472" t="str">
        <f>A4472&amp;"-"&amp;B4472&amp;"-"&amp;D4472</f>
        <v>SEPTEMBER-MJ2-L9</v>
      </c>
    </row>
    <row r="4473" spans="1:17" x14ac:dyDescent="0.25">
      <c r="A4473" t="s">
        <v>399</v>
      </c>
      <c r="B4473" s="13" t="s">
        <v>26</v>
      </c>
      <c r="C4473" s="13" t="s">
        <v>226</v>
      </c>
      <c r="D4473" s="14" t="s">
        <v>199</v>
      </c>
      <c r="E4473" s="13" t="s">
        <v>61</v>
      </c>
      <c r="F4473" s="13" t="s">
        <v>1566</v>
      </c>
      <c r="G4473" s="13">
        <v>0.67999999999999994</v>
      </c>
      <c r="H4473" s="15">
        <v>4020</v>
      </c>
      <c r="I4473" s="16">
        <v>2733.6</v>
      </c>
      <c r="J4473" s="16">
        <v>2318.3051618368522</v>
      </c>
      <c r="K4473" s="16">
        <v>415.29483816314792</v>
      </c>
      <c r="L4473" s="13">
        <v>1.82</v>
      </c>
      <c r="M4473" s="13"/>
      <c r="N4473" s="17">
        <f t="shared" si="146"/>
        <v>7316.4000000000005</v>
      </c>
      <c r="O4473" s="17">
        <f t="shared" si="146"/>
        <v>0</v>
      </c>
      <c r="P4473" s="17">
        <f t="shared" si="147"/>
        <v>7316.4000000000005</v>
      </c>
      <c r="Q4473" t="str">
        <f>A4473&amp;"-"&amp;B4473&amp;"-"&amp;D4473</f>
        <v>SEPTEMBER-MJ2-L9</v>
      </c>
    </row>
    <row r="4474" spans="1:17" x14ac:dyDescent="0.25">
      <c r="A4474" t="s">
        <v>399</v>
      </c>
      <c r="B4474" s="13" t="s">
        <v>26</v>
      </c>
      <c r="C4474" s="13" t="s">
        <v>226</v>
      </c>
      <c r="D4474" s="14" t="s">
        <v>199</v>
      </c>
      <c r="E4474" s="13" t="s">
        <v>61</v>
      </c>
      <c r="F4474" s="13" t="s">
        <v>1567</v>
      </c>
      <c r="G4474" s="13">
        <v>0.66</v>
      </c>
      <c r="H4474" s="15">
        <v>195</v>
      </c>
      <c r="I4474" s="16">
        <v>128.69999999999999</v>
      </c>
      <c r="J4474" s="16">
        <v>143.96949152542373</v>
      </c>
      <c r="K4474" s="16">
        <v>-15.269491525423746</v>
      </c>
      <c r="L4474" s="13">
        <v>1.97</v>
      </c>
      <c r="M4474" s="13"/>
      <c r="N4474" s="17">
        <f t="shared" si="146"/>
        <v>384.15</v>
      </c>
      <c r="O4474" s="17">
        <f t="shared" si="146"/>
        <v>0</v>
      </c>
      <c r="P4474" s="17">
        <f t="shared" si="147"/>
        <v>384.15</v>
      </c>
      <c r="Q4474" t="str">
        <f>A4474&amp;"-"&amp;B4474&amp;"-"&amp;D4474</f>
        <v>SEPTEMBER-MJ2-L9</v>
      </c>
    </row>
    <row r="4475" spans="1:17" x14ac:dyDescent="0.25">
      <c r="A4475" t="s">
        <v>399</v>
      </c>
      <c r="B4475" s="13" t="s">
        <v>26</v>
      </c>
      <c r="C4475" s="13" t="s">
        <v>226</v>
      </c>
      <c r="D4475" s="14" t="s">
        <v>199</v>
      </c>
      <c r="E4475" s="13" t="s">
        <v>61</v>
      </c>
      <c r="F4475" s="13" t="s">
        <v>1562</v>
      </c>
      <c r="G4475" s="13">
        <v>0.66</v>
      </c>
      <c r="H4475" s="15">
        <v>1314</v>
      </c>
      <c r="I4475" s="16">
        <v>867.24000000000012</v>
      </c>
      <c r="J4475" s="16">
        <v>792.39137698503487</v>
      </c>
      <c r="K4475" s="16">
        <v>74.848623014965213</v>
      </c>
      <c r="L4475" s="13">
        <v>1.71</v>
      </c>
      <c r="M4475" s="13"/>
      <c r="N4475" s="17">
        <f t="shared" si="146"/>
        <v>2246.94</v>
      </c>
      <c r="O4475" s="17">
        <f t="shared" si="146"/>
        <v>0</v>
      </c>
      <c r="P4475" s="17">
        <f t="shared" si="147"/>
        <v>2246.94</v>
      </c>
      <c r="Q4475" t="str">
        <f>A4475&amp;"-"&amp;B4475&amp;"-"&amp;D4475</f>
        <v>SEPTEMBER-MJ2-L9</v>
      </c>
    </row>
    <row r="4476" spans="1:17" x14ac:dyDescent="0.25">
      <c r="A4476" t="s">
        <v>399</v>
      </c>
      <c r="B4476" s="13" t="s">
        <v>26</v>
      </c>
      <c r="C4476" s="13" t="s">
        <v>226</v>
      </c>
      <c r="D4476" s="14" t="s">
        <v>199</v>
      </c>
      <c r="E4476" s="13" t="s">
        <v>61</v>
      </c>
      <c r="F4476" s="13" t="s">
        <v>1568</v>
      </c>
      <c r="G4476" s="13">
        <v>0.67999999999999994</v>
      </c>
      <c r="H4476" s="15">
        <v>3339</v>
      </c>
      <c r="I4476" s="16">
        <v>2270.52</v>
      </c>
      <c r="J4476" s="16">
        <v>1810.4726649558436</v>
      </c>
      <c r="K4476" s="16">
        <v>460.04733504415685</v>
      </c>
      <c r="L4476" s="13">
        <v>1.82</v>
      </c>
      <c r="M4476" s="13"/>
      <c r="N4476" s="17">
        <f t="shared" si="146"/>
        <v>6076.9800000000005</v>
      </c>
      <c r="O4476" s="17">
        <f t="shared" si="146"/>
        <v>0</v>
      </c>
      <c r="P4476" s="17">
        <f t="shared" si="147"/>
        <v>6076.9800000000005</v>
      </c>
      <c r="Q4476" t="str">
        <f>A4476&amp;"-"&amp;B4476&amp;"-"&amp;D4476</f>
        <v>SEPTEMBER-MJ2-L9</v>
      </c>
    </row>
    <row r="4477" spans="1:17" x14ac:dyDescent="0.25">
      <c r="A4477" t="s">
        <v>399</v>
      </c>
      <c r="B4477" s="13" t="s">
        <v>26</v>
      </c>
      <c r="C4477" s="13" t="s">
        <v>226</v>
      </c>
      <c r="D4477" s="14" t="s">
        <v>199</v>
      </c>
      <c r="E4477" s="13" t="s">
        <v>61</v>
      </c>
      <c r="F4477" s="13" t="s">
        <v>1569</v>
      </c>
      <c r="G4477" s="13">
        <v>0.66</v>
      </c>
      <c r="H4477" s="15">
        <v>5202</v>
      </c>
      <c r="I4477" s="16">
        <v>3433.32</v>
      </c>
      <c r="J4477" s="16">
        <v>3255.841193444382</v>
      </c>
      <c r="K4477" s="16">
        <v>177.47880655561812</v>
      </c>
      <c r="L4477" s="13">
        <v>1.71</v>
      </c>
      <c r="M4477" s="13"/>
      <c r="N4477" s="17">
        <f t="shared" si="146"/>
        <v>8895.42</v>
      </c>
      <c r="O4477" s="17">
        <f t="shared" si="146"/>
        <v>0</v>
      </c>
      <c r="P4477" s="17">
        <f t="shared" si="147"/>
        <v>8895.42</v>
      </c>
      <c r="Q4477" t="str">
        <f>A4477&amp;"-"&amp;B4477&amp;"-"&amp;D4477</f>
        <v>SEPTEMBER-MJ2-L9</v>
      </c>
    </row>
    <row r="4478" spans="1:17" x14ac:dyDescent="0.25">
      <c r="A4478" t="s">
        <v>399</v>
      </c>
      <c r="B4478" s="13" t="s">
        <v>26</v>
      </c>
      <c r="C4478" s="13" t="s">
        <v>226</v>
      </c>
      <c r="D4478" s="14" t="s">
        <v>199</v>
      </c>
      <c r="E4478" s="13" t="s">
        <v>61</v>
      </c>
      <c r="F4478" s="13" t="s">
        <v>1570</v>
      </c>
      <c r="G4478" s="13">
        <v>0.63</v>
      </c>
      <c r="H4478" s="15">
        <v>37</v>
      </c>
      <c r="I4478" s="16">
        <v>23.31</v>
      </c>
      <c r="J4478" s="16">
        <v>21.489599999999999</v>
      </c>
      <c r="K4478" s="16">
        <v>1.8203999999999994</v>
      </c>
      <c r="L4478" s="13">
        <v>1.85</v>
      </c>
      <c r="M4478" s="13"/>
      <c r="N4478" s="17">
        <f t="shared" si="146"/>
        <v>68.45</v>
      </c>
      <c r="O4478" s="17">
        <f t="shared" si="146"/>
        <v>0</v>
      </c>
      <c r="P4478" s="17">
        <f t="shared" si="147"/>
        <v>68.45</v>
      </c>
      <c r="Q4478" t="str">
        <f>A4478&amp;"-"&amp;B4478&amp;"-"&amp;D4478</f>
        <v>SEPTEMBER-MJ2-L9</v>
      </c>
    </row>
    <row r="4479" spans="1:17" x14ac:dyDescent="0.25">
      <c r="A4479" t="s">
        <v>399</v>
      </c>
      <c r="B4479" s="13" t="s">
        <v>26</v>
      </c>
      <c r="C4479" s="13" t="s">
        <v>226</v>
      </c>
      <c r="D4479" s="14" t="s">
        <v>199</v>
      </c>
      <c r="E4479" s="13" t="s">
        <v>61</v>
      </c>
      <c r="F4479" s="13" t="s">
        <v>1571</v>
      </c>
      <c r="G4479" s="13">
        <v>0.70000000000000007</v>
      </c>
      <c r="H4479" s="15">
        <v>4970</v>
      </c>
      <c r="I4479" s="16">
        <v>3479</v>
      </c>
      <c r="J4479" s="16">
        <v>2961.9631900367172</v>
      </c>
      <c r="K4479" s="16">
        <v>517.03680996328319</v>
      </c>
      <c r="L4479" s="13">
        <v>1.3</v>
      </c>
      <c r="M4479" s="13"/>
      <c r="N4479" s="17">
        <f t="shared" ref="N4479:O4494" si="148">$H4479*L4479</f>
        <v>6461</v>
      </c>
      <c r="O4479" s="17">
        <f t="shared" si="148"/>
        <v>0</v>
      </c>
      <c r="P4479" s="17">
        <f t="shared" si="147"/>
        <v>6461</v>
      </c>
      <c r="Q4479" t="str">
        <f>A4479&amp;"-"&amp;B4479&amp;"-"&amp;D4479</f>
        <v>SEPTEMBER-MJ2-L9</v>
      </c>
    </row>
    <row r="4480" spans="1:17" x14ac:dyDescent="0.25">
      <c r="A4480" t="s">
        <v>399</v>
      </c>
      <c r="B4480" s="13" t="s">
        <v>26</v>
      </c>
      <c r="C4480" s="13" t="s">
        <v>226</v>
      </c>
      <c r="D4480" s="14" t="s">
        <v>199</v>
      </c>
      <c r="E4480" s="13" t="s">
        <v>61</v>
      </c>
      <c r="F4480" s="13" t="s">
        <v>1364</v>
      </c>
      <c r="G4480" s="13">
        <v>0.8</v>
      </c>
      <c r="H4480" s="15">
        <v>53</v>
      </c>
      <c r="I4480" s="16">
        <v>42.4</v>
      </c>
      <c r="J4480" s="16">
        <v>30.377368421052633</v>
      </c>
      <c r="K4480" s="16">
        <v>12.022631578947365</v>
      </c>
      <c r="L4480" s="13">
        <v>2.1</v>
      </c>
      <c r="M4480" s="13"/>
      <c r="N4480" s="17">
        <f t="shared" si="148"/>
        <v>111.30000000000001</v>
      </c>
      <c r="O4480" s="17">
        <f t="shared" si="148"/>
        <v>0</v>
      </c>
      <c r="P4480" s="17">
        <f t="shared" si="147"/>
        <v>111.30000000000001</v>
      </c>
      <c r="Q4480" t="str">
        <f>A4480&amp;"-"&amp;B4480&amp;"-"&amp;D4480</f>
        <v>SEPTEMBER-MJ2-L9</v>
      </c>
    </row>
    <row r="4481" spans="1:17" x14ac:dyDescent="0.25">
      <c r="A4481" t="s">
        <v>399</v>
      </c>
      <c r="B4481" s="13" t="s">
        <v>26</v>
      </c>
      <c r="C4481" s="13" t="s">
        <v>226</v>
      </c>
      <c r="D4481" s="14" t="s">
        <v>199</v>
      </c>
      <c r="E4481" s="13" t="s">
        <v>61</v>
      </c>
      <c r="F4481" s="13" t="s">
        <v>1572</v>
      </c>
      <c r="G4481" s="13">
        <v>0.93</v>
      </c>
      <c r="H4481" s="15">
        <v>237</v>
      </c>
      <c r="I4481" s="16">
        <v>220.41</v>
      </c>
      <c r="J4481" s="16">
        <v>156.67227390799729</v>
      </c>
      <c r="K4481" s="16">
        <v>63.737726092002717</v>
      </c>
      <c r="L4481" s="13">
        <v>2.2400000000000002</v>
      </c>
      <c r="M4481" s="13"/>
      <c r="N4481" s="17">
        <f t="shared" si="148"/>
        <v>530.88</v>
      </c>
      <c r="O4481" s="17">
        <f t="shared" si="148"/>
        <v>0</v>
      </c>
      <c r="P4481" s="17">
        <f t="shared" si="147"/>
        <v>530.88</v>
      </c>
      <c r="Q4481" t="str">
        <f>A4481&amp;"-"&amp;B4481&amp;"-"&amp;D4481</f>
        <v>SEPTEMBER-MJ2-L9</v>
      </c>
    </row>
    <row r="4482" spans="1:17" x14ac:dyDescent="0.25">
      <c r="A4482" t="s">
        <v>399</v>
      </c>
      <c r="B4482" s="13" t="s">
        <v>26</v>
      </c>
      <c r="C4482" s="13" t="s">
        <v>226</v>
      </c>
      <c r="D4482" s="14" t="s">
        <v>199</v>
      </c>
      <c r="E4482" s="13" t="s">
        <v>61</v>
      </c>
      <c r="F4482" s="13" t="s">
        <v>1368</v>
      </c>
      <c r="G4482" s="13">
        <v>0.79</v>
      </c>
      <c r="H4482" s="15">
        <v>2068</v>
      </c>
      <c r="I4482" s="16">
        <v>1633.7199999999998</v>
      </c>
      <c r="J4482" s="16">
        <v>1247.9596826916697</v>
      </c>
      <c r="K4482" s="16">
        <v>385.76031730833029</v>
      </c>
      <c r="L4482" s="13">
        <v>2.14</v>
      </c>
      <c r="M4482" s="13"/>
      <c r="N4482" s="17">
        <f t="shared" si="148"/>
        <v>4425.5200000000004</v>
      </c>
      <c r="O4482" s="17">
        <f t="shared" si="148"/>
        <v>0</v>
      </c>
      <c r="P4482" s="17">
        <f t="shared" ref="P4482:P4545" si="149">N4482+O4482</f>
        <v>4425.5200000000004</v>
      </c>
      <c r="Q4482" t="str">
        <f>A4482&amp;"-"&amp;B4482&amp;"-"&amp;D4482</f>
        <v>SEPTEMBER-MJ2-L9</v>
      </c>
    </row>
    <row r="4483" spans="1:17" x14ac:dyDescent="0.25">
      <c r="A4483" t="s">
        <v>399</v>
      </c>
      <c r="B4483" s="13" t="s">
        <v>26</v>
      </c>
      <c r="C4483" s="13" t="s">
        <v>226</v>
      </c>
      <c r="D4483" s="14" t="s">
        <v>199</v>
      </c>
      <c r="E4483" s="13" t="s">
        <v>61</v>
      </c>
      <c r="F4483" s="13" t="s">
        <v>1370</v>
      </c>
      <c r="G4483" s="13">
        <v>0.79</v>
      </c>
      <c r="H4483" s="15">
        <v>765</v>
      </c>
      <c r="I4483" s="16">
        <v>604.35</v>
      </c>
      <c r="J4483" s="16">
        <v>477.85970149253734</v>
      </c>
      <c r="K4483" s="16">
        <v>126.49029850746267</v>
      </c>
      <c r="L4483" s="13">
        <v>2.13</v>
      </c>
      <c r="M4483" s="13"/>
      <c r="N4483" s="17">
        <f t="shared" si="148"/>
        <v>1629.4499999999998</v>
      </c>
      <c r="O4483" s="17">
        <f t="shared" si="148"/>
        <v>0</v>
      </c>
      <c r="P4483" s="17">
        <f t="shared" si="149"/>
        <v>1629.4499999999998</v>
      </c>
      <c r="Q4483" t="str">
        <f>A4483&amp;"-"&amp;B4483&amp;"-"&amp;D4483</f>
        <v>SEPTEMBER-MJ2-L9</v>
      </c>
    </row>
    <row r="4484" spans="1:17" x14ac:dyDescent="0.25">
      <c r="A4484" t="s">
        <v>399</v>
      </c>
      <c r="B4484" s="13" t="s">
        <v>26</v>
      </c>
      <c r="C4484" s="13" t="s">
        <v>226</v>
      </c>
      <c r="D4484" s="14" t="s">
        <v>199</v>
      </c>
      <c r="E4484" s="13" t="s">
        <v>61</v>
      </c>
      <c r="F4484" s="13" t="s">
        <v>1573</v>
      </c>
      <c r="G4484" s="13">
        <v>0.72</v>
      </c>
      <c r="H4484" s="15">
        <v>765</v>
      </c>
      <c r="I4484" s="16">
        <v>550.79999999999995</v>
      </c>
      <c r="J4484" s="16">
        <v>537.47419354838712</v>
      </c>
      <c r="K4484" s="16">
        <v>13.325806451612834</v>
      </c>
      <c r="L4484" s="13">
        <v>1.34</v>
      </c>
      <c r="M4484" s="13"/>
      <c r="N4484" s="17">
        <f t="shared" si="148"/>
        <v>1025.1000000000001</v>
      </c>
      <c r="O4484" s="17">
        <f t="shared" si="148"/>
        <v>0</v>
      </c>
      <c r="P4484" s="17">
        <f t="shared" si="149"/>
        <v>1025.1000000000001</v>
      </c>
      <c r="Q4484" t="str">
        <f>A4484&amp;"-"&amp;B4484&amp;"-"&amp;D4484</f>
        <v>SEPTEMBER-MJ2-L9</v>
      </c>
    </row>
    <row r="4485" spans="1:17" x14ac:dyDescent="0.25">
      <c r="A4485" t="s">
        <v>399</v>
      </c>
      <c r="B4485" s="13" t="s">
        <v>26</v>
      </c>
      <c r="C4485" s="13" t="s">
        <v>226</v>
      </c>
      <c r="D4485" s="14" t="s">
        <v>199</v>
      </c>
      <c r="E4485" s="13" t="s">
        <v>61</v>
      </c>
      <c r="F4485" s="13" t="s">
        <v>1372</v>
      </c>
      <c r="G4485" s="13">
        <v>0.79</v>
      </c>
      <c r="H4485" s="15">
        <v>171</v>
      </c>
      <c r="I4485" s="16">
        <v>135.09</v>
      </c>
      <c r="J4485" s="16">
        <v>101.0086899022666</v>
      </c>
      <c r="K4485" s="16">
        <v>34.081310097733407</v>
      </c>
      <c r="L4485" s="13">
        <v>2.14</v>
      </c>
      <c r="M4485" s="13"/>
      <c r="N4485" s="17">
        <f t="shared" si="148"/>
        <v>365.94</v>
      </c>
      <c r="O4485" s="17">
        <f t="shared" si="148"/>
        <v>0</v>
      </c>
      <c r="P4485" s="17">
        <f t="shared" si="149"/>
        <v>365.94</v>
      </c>
      <c r="Q4485" t="str">
        <f>A4485&amp;"-"&amp;B4485&amp;"-"&amp;D4485</f>
        <v>SEPTEMBER-MJ2-L9</v>
      </c>
    </row>
    <row r="4486" spans="1:17" x14ac:dyDescent="0.25">
      <c r="A4486" t="s">
        <v>399</v>
      </c>
      <c r="B4486" s="13" t="s">
        <v>26</v>
      </c>
      <c r="C4486" s="13" t="s">
        <v>226</v>
      </c>
      <c r="D4486" s="14" t="s">
        <v>199</v>
      </c>
      <c r="E4486" s="13" t="s">
        <v>61</v>
      </c>
      <c r="F4486" s="13" t="s">
        <v>1374</v>
      </c>
      <c r="G4486" s="13">
        <v>0.79</v>
      </c>
      <c r="H4486" s="15">
        <v>1140</v>
      </c>
      <c r="I4486" s="16">
        <v>900.6</v>
      </c>
      <c r="J4486" s="16">
        <v>710.90877362637366</v>
      </c>
      <c r="K4486" s="16">
        <v>189.69122637362631</v>
      </c>
      <c r="L4486" s="13">
        <v>2.14</v>
      </c>
      <c r="M4486" s="13"/>
      <c r="N4486" s="17">
        <f t="shared" si="148"/>
        <v>2439.6000000000004</v>
      </c>
      <c r="O4486" s="17">
        <f t="shared" si="148"/>
        <v>0</v>
      </c>
      <c r="P4486" s="17">
        <f t="shared" si="149"/>
        <v>2439.6000000000004</v>
      </c>
      <c r="Q4486" t="str">
        <f>A4486&amp;"-"&amp;B4486&amp;"-"&amp;D4486</f>
        <v>SEPTEMBER-MJ2-L9</v>
      </c>
    </row>
    <row r="4487" spans="1:17" x14ac:dyDescent="0.25">
      <c r="A4487" t="s">
        <v>399</v>
      </c>
      <c r="B4487" s="13" t="s">
        <v>26</v>
      </c>
      <c r="C4487" s="13" t="s">
        <v>226</v>
      </c>
      <c r="D4487" s="14" t="s">
        <v>199</v>
      </c>
      <c r="E4487" s="13" t="s">
        <v>61</v>
      </c>
      <c r="F4487" s="13" t="s">
        <v>1574</v>
      </c>
      <c r="G4487" s="13">
        <v>0.81</v>
      </c>
      <c r="H4487" s="15">
        <v>988</v>
      </c>
      <c r="I4487" s="16">
        <v>800.28</v>
      </c>
      <c r="J4487" s="16">
        <v>614.46716162193036</v>
      </c>
      <c r="K4487" s="16">
        <v>185.81283837806961</v>
      </c>
      <c r="L4487" s="13">
        <v>2.21</v>
      </c>
      <c r="M4487" s="13"/>
      <c r="N4487" s="17">
        <f t="shared" si="148"/>
        <v>2183.48</v>
      </c>
      <c r="O4487" s="17">
        <f t="shared" si="148"/>
        <v>0</v>
      </c>
      <c r="P4487" s="17">
        <f t="shared" si="149"/>
        <v>2183.48</v>
      </c>
      <c r="Q4487" t="str">
        <f>A4487&amp;"-"&amp;B4487&amp;"-"&amp;D4487</f>
        <v>SEPTEMBER-MJ2-L9</v>
      </c>
    </row>
    <row r="4488" spans="1:17" x14ac:dyDescent="0.25">
      <c r="A4488" t="s">
        <v>399</v>
      </c>
      <c r="B4488" s="13" t="s">
        <v>26</v>
      </c>
      <c r="C4488" s="13" t="s">
        <v>226</v>
      </c>
      <c r="D4488" s="14" t="s">
        <v>199</v>
      </c>
      <c r="E4488" s="13" t="s">
        <v>61</v>
      </c>
      <c r="F4488" s="13" t="s">
        <v>1575</v>
      </c>
      <c r="G4488" s="13">
        <v>0.81</v>
      </c>
      <c r="H4488" s="15">
        <v>838</v>
      </c>
      <c r="I4488" s="16">
        <v>678.78</v>
      </c>
      <c r="J4488" s="16">
        <v>1098.2832786885247</v>
      </c>
      <c r="K4488" s="16">
        <v>-419.50327868852457</v>
      </c>
      <c r="L4488" s="13">
        <v>2.21</v>
      </c>
      <c r="M4488" s="13"/>
      <c r="N4488" s="17">
        <f t="shared" si="148"/>
        <v>1851.98</v>
      </c>
      <c r="O4488" s="17">
        <f t="shared" si="148"/>
        <v>0</v>
      </c>
      <c r="P4488" s="17">
        <f t="shared" si="149"/>
        <v>1851.98</v>
      </c>
      <c r="Q4488" t="str">
        <f>A4488&amp;"-"&amp;B4488&amp;"-"&amp;D4488</f>
        <v>SEPTEMBER-MJ2-L9</v>
      </c>
    </row>
    <row r="4489" spans="1:17" x14ac:dyDescent="0.25">
      <c r="A4489" t="s">
        <v>399</v>
      </c>
      <c r="B4489" s="13" t="s">
        <v>26</v>
      </c>
      <c r="C4489" s="13" t="s">
        <v>226</v>
      </c>
      <c r="D4489" s="14" t="s">
        <v>199</v>
      </c>
      <c r="E4489" s="13" t="s">
        <v>61</v>
      </c>
      <c r="F4489" s="13" t="s">
        <v>1576</v>
      </c>
      <c r="G4489" s="13">
        <v>0.8</v>
      </c>
      <c r="H4489" s="15">
        <v>705</v>
      </c>
      <c r="I4489" s="16">
        <v>564</v>
      </c>
      <c r="J4489" s="16">
        <v>503.43934426229509</v>
      </c>
      <c r="K4489" s="16">
        <v>60.560655737704906</v>
      </c>
      <c r="L4489" s="13">
        <v>2.0699999999999998</v>
      </c>
      <c r="M4489" s="13"/>
      <c r="N4489" s="17">
        <f t="shared" si="148"/>
        <v>1459.35</v>
      </c>
      <c r="O4489" s="17">
        <f t="shared" si="148"/>
        <v>0</v>
      </c>
      <c r="P4489" s="17">
        <f t="shared" si="149"/>
        <v>1459.35</v>
      </c>
      <c r="Q4489" t="str">
        <f>A4489&amp;"-"&amp;B4489&amp;"-"&amp;D4489</f>
        <v>SEPTEMBER-MJ2-L9</v>
      </c>
    </row>
    <row r="4490" spans="1:17" x14ac:dyDescent="0.25">
      <c r="A4490" t="s">
        <v>399</v>
      </c>
      <c r="B4490" s="13" t="s">
        <v>26</v>
      </c>
      <c r="C4490" s="13" t="s">
        <v>226</v>
      </c>
      <c r="D4490" s="14" t="s">
        <v>199</v>
      </c>
      <c r="E4490" s="13" t="s">
        <v>61</v>
      </c>
      <c r="F4490" s="13" t="s">
        <v>1577</v>
      </c>
      <c r="G4490" s="13">
        <v>0.81</v>
      </c>
      <c r="H4490" s="15">
        <v>2030</v>
      </c>
      <c r="I4490" s="16">
        <v>1644.3000000000002</v>
      </c>
      <c r="J4490" s="16">
        <v>1241.4834115805945</v>
      </c>
      <c r="K4490" s="16">
        <v>402.81658841940543</v>
      </c>
      <c r="L4490" s="13">
        <v>2.21</v>
      </c>
      <c r="M4490" s="13"/>
      <c r="N4490" s="17">
        <f t="shared" si="148"/>
        <v>4486.3</v>
      </c>
      <c r="O4490" s="17">
        <f t="shared" si="148"/>
        <v>0</v>
      </c>
      <c r="P4490" s="17">
        <f t="shared" si="149"/>
        <v>4486.3</v>
      </c>
      <c r="Q4490" t="str">
        <f>A4490&amp;"-"&amp;B4490&amp;"-"&amp;D4490</f>
        <v>SEPTEMBER-MJ2-L9</v>
      </c>
    </row>
    <row r="4491" spans="1:17" x14ac:dyDescent="0.25">
      <c r="A4491" t="s">
        <v>399</v>
      </c>
      <c r="B4491" s="13" t="s">
        <v>26</v>
      </c>
      <c r="C4491" s="13" t="s">
        <v>226</v>
      </c>
      <c r="D4491" s="14" t="s">
        <v>199</v>
      </c>
      <c r="E4491" s="13" t="s">
        <v>61</v>
      </c>
      <c r="F4491" s="13" t="s">
        <v>1565</v>
      </c>
      <c r="G4491" s="13">
        <v>0.83</v>
      </c>
      <c r="H4491" s="15">
        <v>2870</v>
      </c>
      <c r="I4491" s="16">
        <v>2382.1</v>
      </c>
      <c r="J4491" s="16">
        <v>1843.1070747925319</v>
      </c>
      <c r="K4491" s="16">
        <v>538.99292520746826</v>
      </c>
      <c r="L4491" s="13">
        <v>2.13</v>
      </c>
      <c r="M4491" s="13"/>
      <c r="N4491" s="17">
        <f t="shared" si="148"/>
        <v>6113.0999999999995</v>
      </c>
      <c r="O4491" s="17">
        <f t="shared" si="148"/>
        <v>0</v>
      </c>
      <c r="P4491" s="17">
        <f t="shared" si="149"/>
        <v>6113.0999999999995</v>
      </c>
      <c r="Q4491" t="str">
        <f>A4491&amp;"-"&amp;B4491&amp;"-"&amp;D4491</f>
        <v>SEPTEMBER-MJ2-L9</v>
      </c>
    </row>
    <row r="4492" spans="1:17" x14ac:dyDescent="0.25">
      <c r="A4492" t="s">
        <v>399</v>
      </c>
      <c r="B4492" s="13" t="s">
        <v>26</v>
      </c>
      <c r="C4492" s="13" t="s">
        <v>226</v>
      </c>
      <c r="D4492" s="14" t="s">
        <v>199</v>
      </c>
      <c r="E4492" s="13" t="s">
        <v>61</v>
      </c>
      <c r="F4492" s="13" t="s">
        <v>1165</v>
      </c>
      <c r="G4492" s="13">
        <v>0.65</v>
      </c>
      <c r="H4492" s="15">
        <v>56</v>
      </c>
      <c r="I4492" s="16">
        <v>36.4</v>
      </c>
      <c r="J4492" s="16">
        <v>32.857758620689658</v>
      </c>
      <c r="K4492" s="16">
        <v>3.5422413793103402</v>
      </c>
      <c r="L4492" s="13">
        <v>1.66</v>
      </c>
      <c r="M4492" s="13"/>
      <c r="N4492" s="17">
        <f t="shared" si="148"/>
        <v>92.96</v>
      </c>
      <c r="O4492" s="17">
        <f t="shared" si="148"/>
        <v>0</v>
      </c>
      <c r="P4492" s="17">
        <f t="shared" si="149"/>
        <v>92.96</v>
      </c>
      <c r="Q4492" t="str">
        <f>A4492&amp;"-"&amp;B4492&amp;"-"&amp;D4492</f>
        <v>SEPTEMBER-MJ2-L9</v>
      </c>
    </row>
    <row r="4493" spans="1:17" x14ac:dyDescent="0.25">
      <c r="A4493" t="s">
        <v>400</v>
      </c>
      <c r="B4493" s="13" t="s">
        <v>18</v>
      </c>
      <c r="C4493" s="13" t="s">
        <v>154</v>
      </c>
      <c r="D4493" s="14" t="s">
        <v>56</v>
      </c>
      <c r="E4493" s="13" t="s">
        <v>155</v>
      </c>
      <c r="F4493" s="13" t="s">
        <v>1605</v>
      </c>
      <c r="G4493" s="13">
        <v>0.52</v>
      </c>
      <c r="H4493" s="15">
        <v>878</v>
      </c>
      <c r="I4493" s="16">
        <v>456.55999999999995</v>
      </c>
      <c r="J4493" s="16">
        <v>349.30181818181819</v>
      </c>
      <c r="K4493" s="16">
        <v>107.25818181818178</v>
      </c>
      <c r="L4493" s="13">
        <v>1.42</v>
      </c>
      <c r="M4493" s="13"/>
      <c r="N4493" s="17">
        <f t="shared" si="148"/>
        <v>1246.76</v>
      </c>
      <c r="O4493" s="17">
        <f t="shared" si="148"/>
        <v>0</v>
      </c>
      <c r="P4493" s="17">
        <f t="shared" si="149"/>
        <v>1246.76</v>
      </c>
      <c r="Q4493" t="str">
        <f>A4493&amp;"-"&amp;B4493&amp;"-"&amp;D4493</f>
        <v>OKTOBER-CBA-L3</v>
      </c>
    </row>
    <row r="4494" spans="1:17" x14ac:dyDescent="0.25">
      <c r="A4494" t="s">
        <v>400</v>
      </c>
      <c r="B4494" s="13" t="s">
        <v>18</v>
      </c>
      <c r="C4494" s="13" t="s">
        <v>154</v>
      </c>
      <c r="D4494" s="14" t="s">
        <v>56</v>
      </c>
      <c r="E4494" s="13" t="s">
        <v>155</v>
      </c>
      <c r="F4494" s="13" t="s">
        <v>1606</v>
      </c>
      <c r="G4494" s="13">
        <v>0.52</v>
      </c>
      <c r="H4494" s="15">
        <v>10</v>
      </c>
      <c r="I4494" s="16">
        <v>5.2</v>
      </c>
      <c r="J4494" s="16">
        <v>4.05</v>
      </c>
      <c r="K4494" s="16">
        <v>1.1500000000000004</v>
      </c>
      <c r="L4494" s="13">
        <v>1.42</v>
      </c>
      <c r="M4494" s="13"/>
      <c r="N4494" s="17">
        <f t="shared" si="148"/>
        <v>14.2</v>
      </c>
      <c r="O4494" s="17">
        <f t="shared" si="148"/>
        <v>0</v>
      </c>
      <c r="P4494" s="17">
        <f t="shared" si="149"/>
        <v>14.2</v>
      </c>
      <c r="Q4494" t="str">
        <f>A4494&amp;"-"&amp;B4494&amp;"-"&amp;D4494</f>
        <v>OKTOBER-CBA-L3</v>
      </c>
    </row>
    <row r="4495" spans="1:17" x14ac:dyDescent="0.25">
      <c r="A4495" t="s">
        <v>400</v>
      </c>
      <c r="B4495" s="13" t="s">
        <v>18</v>
      </c>
      <c r="C4495" s="13" t="s">
        <v>154</v>
      </c>
      <c r="D4495" s="14" t="s">
        <v>56</v>
      </c>
      <c r="E4495" s="13" t="s">
        <v>155</v>
      </c>
      <c r="F4495" s="13" t="s">
        <v>1607</v>
      </c>
      <c r="G4495" s="13">
        <v>0.52</v>
      </c>
      <c r="H4495" s="15">
        <v>4238</v>
      </c>
      <c r="I4495" s="16">
        <v>2203.7599999999998</v>
      </c>
      <c r="J4495" s="16">
        <v>1665.0833241669366</v>
      </c>
      <c r="K4495" s="16">
        <v>538.67667583306377</v>
      </c>
      <c r="L4495" s="13">
        <v>1.42</v>
      </c>
      <c r="M4495" s="13"/>
      <c r="N4495" s="17">
        <f t="shared" ref="N4495:O4554" si="150">$H4495*L4495</f>
        <v>6017.96</v>
      </c>
      <c r="O4495" s="17">
        <f t="shared" si="150"/>
        <v>0</v>
      </c>
      <c r="P4495" s="17">
        <f t="shared" si="149"/>
        <v>6017.96</v>
      </c>
      <c r="Q4495" t="str">
        <f>A4495&amp;"-"&amp;B4495&amp;"-"&amp;D4495</f>
        <v>OKTOBER-CBA-L3</v>
      </c>
    </row>
    <row r="4496" spans="1:17" x14ac:dyDescent="0.25">
      <c r="A4496" t="s">
        <v>400</v>
      </c>
      <c r="B4496" s="13" t="s">
        <v>18</v>
      </c>
      <c r="C4496" s="13" t="s">
        <v>154</v>
      </c>
      <c r="D4496" s="14" t="s">
        <v>56</v>
      </c>
      <c r="E4496" s="13" t="s">
        <v>155</v>
      </c>
      <c r="F4496" s="13" t="s">
        <v>1608</v>
      </c>
      <c r="G4496" s="13">
        <v>0.52</v>
      </c>
      <c r="H4496" s="15">
        <v>10</v>
      </c>
      <c r="I4496" s="16">
        <v>5.2</v>
      </c>
      <c r="J4496" s="16">
        <v>4</v>
      </c>
      <c r="K4496" s="16">
        <v>1.2000000000000002</v>
      </c>
      <c r="L4496" s="13">
        <v>1.42</v>
      </c>
      <c r="M4496" s="13"/>
      <c r="N4496" s="17">
        <f t="shared" si="150"/>
        <v>14.2</v>
      </c>
      <c r="O4496" s="17">
        <f t="shared" si="150"/>
        <v>0</v>
      </c>
      <c r="P4496" s="17">
        <f t="shared" si="149"/>
        <v>14.2</v>
      </c>
      <c r="Q4496" t="str">
        <f>A4496&amp;"-"&amp;B4496&amp;"-"&amp;D4496</f>
        <v>OKTOBER-CBA-L3</v>
      </c>
    </row>
    <row r="4497" spans="1:17" x14ac:dyDescent="0.25">
      <c r="A4497" t="s">
        <v>400</v>
      </c>
      <c r="B4497" s="13" t="s">
        <v>18</v>
      </c>
      <c r="C4497" s="13" t="s">
        <v>154</v>
      </c>
      <c r="D4497" s="14" t="s">
        <v>56</v>
      </c>
      <c r="E4497" s="13" t="s">
        <v>155</v>
      </c>
      <c r="F4497" s="13" t="s">
        <v>1609</v>
      </c>
      <c r="G4497" s="13">
        <v>0.52</v>
      </c>
      <c r="H4497" s="15">
        <v>215</v>
      </c>
      <c r="I4497" s="16">
        <v>111.8</v>
      </c>
      <c r="J4497" s="16">
        <v>87.075000000000003</v>
      </c>
      <c r="K4497" s="16">
        <v>24.724999999999994</v>
      </c>
      <c r="L4497" s="13">
        <v>1.42</v>
      </c>
      <c r="M4497" s="13"/>
      <c r="N4497" s="17">
        <f t="shared" si="150"/>
        <v>305.3</v>
      </c>
      <c r="O4497" s="17">
        <f t="shared" si="150"/>
        <v>0</v>
      </c>
      <c r="P4497" s="17">
        <f t="shared" si="149"/>
        <v>305.3</v>
      </c>
      <c r="Q4497" t="str">
        <f>A4497&amp;"-"&amp;B4497&amp;"-"&amp;D4497</f>
        <v>OKTOBER-CBA-L3</v>
      </c>
    </row>
    <row r="4498" spans="1:17" x14ac:dyDescent="0.25">
      <c r="A4498" t="s">
        <v>400</v>
      </c>
      <c r="B4498" s="13" t="s">
        <v>18</v>
      </c>
      <c r="C4498" s="13" t="s">
        <v>154</v>
      </c>
      <c r="D4498" s="14" t="s">
        <v>56</v>
      </c>
      <c r="E4498" s="13" t="s">
        <v>155</v>
      </c>
      <c r="F4498" s="13" t="s">
        <v>1610</v>
      </c>
      <c r="G4498" s="13">
        <v>0.5</v>
      </c>
      <c r="H4498" s="15">
        <v>6167</v>
      </c>
      <c r="I4498" s="16">
        <v>3083.5</v>
      </c>
      <c r="J4498" s="16">
        <v>3028.1554128440371</v>
      </c>
      <c r="K4498" s="16">
        <v>55.344587155963225</v>
      </c>
      <c r="L4498" s="13">
        <v>1.47</v>
      </c>
      <c r="M4498" s="13"/>
      <c r="N4498" s="17">
        <f t="shared" si="150"/>
        <v>9065.49</v>
      </c>
      <c r="O4498" s="17">
        <f t="shared" si="150"/>
        <v>0</v>
      </c>
      <c r="P4498" s="17">
        <f t="shared" si="149"/>
        <v>9065.49</v>
      </c>
      <c r="Q4498" t="str">
        <f>A4498&amp;"-"&amp;B4498&amp;"-"&amp;D4498</f>
        <v>OKTOBER-CBA-L3</v>
      </c>
    </row>
    <row r="4499" spans="1:17" x14ac:dyDescent="0.25">
      <c r="A4499" t="s">
        <v>400</v>
      </c>
      <c r="B4499" s="13" t="s">
        <v>18</v>
      </c>
      <c r="C4499" s="13" t="s">
        <v>154</v>
      </c>
      <c r="D4499" s="14" t="s">
        <v>56</v>
      </c>
      <c r="E4499" s="13" t="s">
        <v>155</v>
      </c>
      <c r="F4499" s="13" t="s">
        <v>1611</v>
      </c>
      <c r="G4499" s="13">
        <v>0.5</v>
      </c>
      <c r="H4499" s="15">
        <v>10</v>
      </c>
      <c r="I4499" s="16">
        <v>5</v>
      </c>
      <c r="J4499" s="16">
        <v>4.05</v>
      </c>
      <c r="K4499" s="16">
        <v>0.95000000000000018</v>
      </c>
      <c r="L4499" s="13">
        <v>1.47</v>
      </c>
      <c r="M4499" s="13"/>
      <c r="N4499" s="17">
        <f t="shared" si="150"/>
        <v>14.7</v>
      </c>
      <c r="O4499" s="17">
        <f t="shared" si="150"/>
        <v>0</v>
      </c>
      <c r="P4499" s="17">
        <f t="shared" si="149"/>
        <v>14.7</v>
      </c>
      <c r="Q4499" t="str">
        <f>A4499&amp;"-"&amp;B4499&amp;"-"&amp;D4499</f>
        <v>OKTOBER-CBA-L3</v>
      </c>
    </row>
    <row r="4500" spans="1:17" x14ac:dyDescent="0.25">
      <c r="A4500" t="s">
        <v>400</v>
      </c>
      <c r="B4500" s="13" t="s">
        <v>18</v>
      </c>
      <c r="C4500" s="13" t="s">
        <v>154</v>
      </c>
      <c r="D4500" s="14" t="s">
        <v>56</v>
      </c>
      <c r="E4500" s="13" t="s">
        <v>155</v>
      </c>
      <c r="F4500" s="13" t="s">
        <v>1612</v>
      </c>
      <c r="G4500" s="13">
        <v>0.5</v>
      </c>
      <c r="H4500" s="15">
        <v>10</v>
      </c>
      <c r="I4500" s="16">
        <v>5</v>
      </c>
      <c r="J4500" s="16">
        <v>4.05</v>
      </c>
      <c r="K4500" s="16">
        <v>0.95000000000000018</v>
      </c>
      <c r="L4500" s="13">
        <v>1.47</v>
      </c>
      <c r="M4500" s="13"/>
      <c r="N4500" s="17">
        <f t="shared" si="150"/>
        <v>14.7</v>
      </c>
      <c r="O4500" s="17">
        <f t="shared" si="150"/>
        <v>0</v>
      </c>
      <c r="P4500" s="17">
        <f t="shared" si="149"/>
        <v>14.7</v>
      </c>
      <c r="Q4500" t="str">
        <f>A4500&amp;"-"&amp;B4500&amp;"-"&amp;D4500</f>
        <v>OKTOBER-CBA-L3</v>
      </c>
    </row>
    <row r="4501" spans="1:17" x14ac:dyDescent="0.25">
      <c r="A4501" t="s">
        <v>400</v>
      </c>
      <c r="B4501" s="13" t="s">
        <v>18</v>
      </c>
      <c r="C4501" s="13" t="s">
        <v>154</v>
      </c>
      <c r="D4501" s="14" t="s">
        <v>56</v>
      </c>
      <c r="E4501" s="13" t="s">
        <v>155</v>
      </c>
      <c r="F4501" s="13" t="s">
        <v>1613</v>
      </c>
      <c r="G4501" s="13">
        <v>0.5</v>
      </c>
      <c r="H4501" s="15">
        <v>1352</v>
      </c>
      <c r="I4501" s="16">
        <v>676</v>
      </c>
      <c r="J4501" s="16">
        <v>520.0430604982206</v>
      </c>
      <c r="K4501" s="16">
        <v>155.95693950177937</v>
      </c>
      <c r="L4501" s="13">
        <v>1.47</v>
      </c>
      <c r="M4501" s="13"/>
      <c r="N4501" s="17">
        <f t="shared" si="150"/>
        <v>1987.44</v>
      </c>
      <c r="O4501" s="17">
        <f t="shared" si="150"/>
        <v>0</v>
      </c>
      <c r="P4501" s="17">
        <f t="shared" si="149"/>
        <v>1987.44</v>
      </c>
      <c r="Q4501" t="str">
        <f>A4501&amp;"-"&amp;B4501&amp;"-"&amp;D4501</f>
        <v>OKTOBER-CBA-L3</v>
      </c>
    </row>
    <row r="4502" spans="1:17" x14ac:dyDescent="0.25">
      <c r="A4502" t="s">
        <v>400</v>
      </c>
      <c r="B4502" s="13" t="s">
        <v>18</v>
      </c>
      <c r="C4502" s="13" t="s">
        <v>154</v>
      </c>
      <c r="D4502" s="14" t="s">
        <v>56</v>
      </c>
      <c r="E4502" s="13" t="s">
        <v>155</v>
      </c>
      <c r="F4502" s="13" t="s">
        <v>1614</v>
      </c>
      <c r="G4502" s="13">
        <v>0.5</v>
      </c>
      <c r="H4502" s="15">
        <v>14</v>
      </c>
      <c r="I4502" s="16">
        <v>7</v>
      </c>
      <c r="J4502" s="16">
        <v>5.6700000000000008</v>
      </c>
      <c r="K4502" s="16">
        <v>1.3299999999999992</v>
      </c>
      <c r="L4502" s="13">
        <v>1.47</v>
      </c>
      <c r="M4502" s="13"/>
      <c r="N4502" s="17">
        <f t="shared" si="150"/>
        <v>20.58</v>
      </c>
      <c r="O4502" s="17">
        <f t="shared" si="150"/>
        <v>0</v>
      </c>
      <c r="P4502" s="17">
        <f t="shared" si="149"/>
        <v>20.58</v>
      </c>
      <c r="Q4502" t="str">
        <f>A4502&amp;"-"&amp;B4502&amp;"-"&amp;D4502</f>
        <v>OKTOBER-CBA-L3</v>
      </c>
    </row>
    <row r="4503" spans="1:17" x14ac:dyDescent="0.25">
      <c r="A4503" t="s">
        <v>400</v>
      </c>
      <c r="B4503" s="13" t="s">
        <v>18</v>
      </c>
      <c r="C4503" s="13" t="s">
        <v>154</v>
      </c>
      <c r="D4503" s="14" t="s">
        <v>56</v>
      </c>
      <c r="E4503" s="13" t="s">
        <v>155</v>
      </c>
      <c r="F4503" s="13" t="s">
        <v>1615</v>
      </c>
      <c r="G4503" s="13">
        <v>0.5</v>
      </c>
      <c r="H4503" s="15">
        <v>8720</v>
      </c>
      <c r="I4503" s="16">
        <v>4360</v>
      </c>
      <c r="J4503" s="16">
        <v>3314.06</v>
      </c>
      <c r="K4503" s="16">
        <v>1045.94</v>
      </c>
      <c r="L4503" s="13">
        <v>1.47</v>
      </c>
      <c r="M4503" s="13"/>
      <c r="N4503" s="17">
        <f t="shared" si="150"/>
        <v>12818.4</v>
      </c>
      <c r="O4503" s="17">
        <f t="shared" si="150"/>
        <v>0</v>
      </c>
      <c r="P4503" s="17">
        <f t="shared" si="149"/>
        <v>12818.4</v>
      </c>
      <c r="Q4503" t="str">
        <f>A4503&amp;"-"&amp;B4503&amp;"-"&amp;D4503</f>
        <v>OKTOBER-CBA-L3</v>
      </c>
    </row>
    <row r="4504" spans="1:17" x14ac:dyDescent="0.25">
      <c r="A4504" t="s">
        <v>400</v>
      </c>
      <c r="B4504" s="13" t="s">
        <v>18</v>
      </c>
      <c r="C4504" s="13" t="s">
        <v>154</v>
      </c>
      <c r="D4504" s="14" t="s">
        <v>56</v>
      </c>
      <c r="E4504" s="13" t="s">
        <v>155</v>
      </c>
      <c r="F4504" s="13" t="s">
        <v>1616</v>
      </c>
      <c r="G4504" s="13">
        <v>0.5</v>
      </c>
      <c r="H4504" s="15">
        <v>10</v>
      </c>
      <c r="I4504" s="16">
        <v>5</v>
      </c>
      <c r="J4504" s="16">
        <v>4.05</v>
      </c>
      <c r="K4504" s="16">
        <v>0.95000000000000018</v>
      </c>
      <c r="L4504" s="13">
        <v>1.47</v>
      </c>
      <c r="M4504" s="13"/>
      <c r="N4504" s="17">
        <f t="shared" si="150"/>
        <v>14.7</v>
      </c>
      <c r="O4504" s="17">
        <f t="shared" si="150"/>
        <v>0</v>
      </c>
      <c r="P4504" s="17">
        <f t="shared" si="149"/>
        <v>14.7</v>
      </c>
      <c r="Q4504" t="str">
        <f>A4504&amp;"-"&amp;B4504&amp;"-"&amp;D4504</f>
        <v>OKTOBER-CBA-L3</v>
      </c>
    </row>
    <row r="4505" spans="1:17" x14ac:dyDescent="0.25">
      <c r="A4505" t="s">
        <v>400</v>
      </c>
      <c r="B4505" s="13" t="s">
        <v>18</v>
      </c>
      <c r="C4505" s="13" t="s">
        <v>154</v>
      </c>
      <c r="D4505" s="14" t="s">
        <v>56</v>
      </c>
      <c r="E4505" s="13" t="s">
        <v>155</v>
      </c>
      <c r="F4505" s="13" t="s">
        <v>1617</v>
      </c>
      <c r="G4505" s="13">
        <v>0.5</v>
      </c>
      <c r="H4505" s="15">
        <v>90</v>
      </c>
      <c r="I4505" s="16">
        <v>45</v>
      </c>
      <c r="J4505" s="16">
        <v>34.590747330960852</v>
      </c>
      <c r="K4505" s="16">
        <v>10.409252669039148</v>
      </c>
      <c r="L4505" s="13">
        <v>1.47</v>
      </c>
      <c r="M4505" s="13"/>
      <c r="N4505" s="17">
        <f t="shared" si="150"/>
        <v>132.30000000000001</v>
      </c>
      <c r="O4505" s="17">
        <f t="shared" si="150"/>
        <v>0</v>
      </c>
      <c r="P4505" s="17">
        <f t="shared" si="149"/>
        <v>132.30000000000001</v>
      </c>
      <c r="Q4505" t="str">
        <f>A4505&amp;"-"&amp;B4505&amp;"-"&amp;D4505</f>
        <v>OKTOBER-CBA-L3</v>
      </c>
    </row>
    <row r="4506" spans="1:17" x14ac:dyDescent="0.25">
      <c r="A4506" t="s">
        <v>400</v>
      </c>
      <c r="B4506" s="13" t="s">
        <v>18</v>
      </c>
      <c r="C4506" s="13" t="s">
        <v>154</v>
      </c>
      <c r="D4506" s="14" t="s">
        <v>56</v>
      </c>
      <c r="E4506" s="13" t="s">
        <v>155</v>
      </c>
      <c r="F4506" s="13" t="s">
        <v>1618</v>
      </c>
      <c r="G4506" s="13">
        <v>0.5</v>
      </c>
      <c r="H4506" s="15">
        <v>10</v>
      </c>
      <c r="I4506" s="16">
        <v>5</v>
      </c>
      <c r="J4506" s="16">
        <v>3.922542372881356</v>
      </c>
      <c r="K4506" s="16">
        <v>1.077457627118644</v>
      </c>
      <c r="L4506" s="13">
        <v>1.47</v>
      </c>
      <c r="M4506" s="13"/>
      <c r="N4506" s="17">
        <f t="shared" si="150"/>
        <v>14.7</v>
      </c>
      <c r="O4506" s="17">
        <f t="shared" si="150"/>
        <v>0</v>
      </c>
      <c r="P4506" s="17">
        <f t="shared" si="149"/>
        <v>14.7</v>
      </c>
      <c r="Q4506" t="str">
        <f>A4506&amp;"-"&amp;B4506&amp;"-"&amp;D4506</f>
        <v>OKTOBER-CBA-L3</v>
      </c>
    </row>
    <row r="4507" spans="1:17" x14ac:dyDescent="0.25">
      <c r="A4507" t="s">
        <v>400</v>
      </c>
      <c r="B4507" s="13" t="s">
        <v>18</v>
      </c>
      <c r="C4507" s="13" t="s">
        <v>154</v>
      </c>
      <c r="D4507" s="14" t="s">
        <v>56</v>
      </c>
      <c r="E4507" s="13" t="s">
        <v>155</v>
      </c>
      <c r="F4507" s="13" t="s">
        <v>1619</v>
      </c>
      <c r="G4507" s="13">
        <v>0.5</v>
      </c>
      <c r="H4507" s="15">
        <v>967</v>
      </c>
      <c r="I4507" s="16">
        <v>483.5</v>
      </c>
      <c r="J4507" s="16">
        <v>391.63499999999999</v>
      </c>
      <c r="K4507" s="16">
        <v>91.865000000000009</v>
      </c>
      <c r="L4507" s="13">
        <v>1.47</v>
      </c>
      <c r="M4507" s="13"/>
      <c r="N4507" s="17">
        <f t="shared" si="150"/>
        <v>1421.49</v>
      </c>
      <c r="O4507" s="17">
        <f t="shared" si="150"/>
        <v>0</v>
      </c>
      <c r="P4507" s="17">
        <f t="shared" si="149"/>
        <v>1421.49</v>
      </c>
      <c r="Q4507" t="str">
        <f>A4507&amp;"-"&amp;B4507&amp;"-"&amp;D4507</f>
        <v>OKTOBER-CBA-L3</v>
      </c>
    </row>
    <row r="4508" spans="1:17" x14ac:dyDescent="0.25">
      <c r="A4508" t="s">
        <v>400</v>
      </c>
      <c r="B4508" s="13" t="s">
        <v>18</v>
      </c>
      <c r="C4508" s="13" t="s">
        <v>154</v>
      </c>
      <c r="D4508" s="14" t="s">
        <v>56</v>
      </c>
      <c r="E4508" s="13" t="s">
        <v>155</v>
      </c>
      <c r="F4508" s="13" t="s">
        <v>1620</v>
      </c>
      <c r="G4508" s="13">
        <v>0.5</v>
      </c>
      <c r="H4508" s="15">
        <v>18</v>
      </c>
      <c r="I4508" s="16">
        <v>9</v>
      </c>
      <c r="J4508" s="16">
        <v>7.29</v>
      </c>
      <c r="K4508" s="16">
        <v>1.71</v>
      </c>
      <c r="L4508" s="13">
        <v>1.47</v>
      </c>
      <c r="M4508" s="13"/>
      <c r="N4508" s="17">
        <f t="shared" si="150"/>
        <v>26.46</v>
      </c>
      <c r="O4508" s="17">
        <f t="shared" si="150"/>
        <v>0</v>
      </c>
      <c r="P4508" s="17">
        <f t="shared" si="149"/>
        <v>26.46</v>
      </c>
      <c r="Q4508" t="str">
        <f>A4508&amp;"-"&amp;B4508&amp;"-"&amp;D4508</f>
        <v>OKTOBER-CBA-L3</v>
      </c>
    </row>
    <row r="4509" spans="1:17" x14ac:dyDescent="0.25">
      <c r="A4509" t="s">
        <v>400</v>
      </c>
      <c r="B4509" s="13" t="s">
        <v>18</v>
      </c>
      <c r="C4509" s="13" t="s">
        <v>154</v>
      </c>
      <c r="D4509" s="14" t="s">
        <v>56</v>
      </c>
      <c r="E4509" s="13" t="s">
        <v>155</v>
      </c>
      <c r="F4509" s="13" t="s">
        <v>1621</v>
      </c>
      <c r="G4509" s="13">
        <v>0.5</v>
      </c>
      <c r="H4509" s="15">
        <v>2103</v>
      </c>
      <c r="I4509" s="16">
        <v>1051.5</v>
      </c>
      <c r="J4509" s="16">
        <v>839.12218644067798</v>
      </c>
      <c r="K4509" s="16">
        <v>212.37781355932202</v>
      </c>
      <c r="L4509" s="13">
        <v>1.47</v>
      </c>
      <c r="M4509" s="13"/>
      <c r="N4509" s="17">
        <f t="shared" si="150"/>
        <v>3091.41</v>
      </c>
      <c r="O4509" s="17">
        <f t="shared" si="150"/>
        <v>0</v>
      </c>
      <c r="P4509" s="17">
        <f t="shared" si="149"/>
        <v>3091.41</v>
      </c>
      <c r="Q4509" t="str">
        <f>A4509&amp;"-"&amp;B4509&amp;"-"&amp;D4509</f>
        <v>OKTOBER-CBA-L3</v>
      </c>
    </row>
    <row r="4510" spans="1:17" x14ac:dyDescent="0.25">
      <c r="A4510" t="s">
        <v>400</v>
      </c>
      <c r="B4510" s="13" t="s">
        <v>18</v>
      </c>
      <c r="C4510" s="13" t="s">
        <v>154</v>
      </c>
      <c r="D4510" s="14" t="s">
        <v>56</v>
      </c>
      <c r="E4510" s="13" t="s">
        <v>155</v>
      </c>
      <c r="F4510" s="13" t="s">
        <v>1622</v>
      </c>
      <c r="G4510" s="13">
        <v>0.5</v>
      </c>
      <c r="H4510" s="15">
        <v>1582</v>
      </c>
      <c r="I4510" s="16">
        <v>791</v>
      </c>
      <c r="J4510" s="16">
        <v>640.37647058823529</v>
      </c>
      <c r="K4510" s="16">
        <v>150.62352941176471</v>
      </c>
      <c r="L4510" s="13">
        <v>1.47</v>
      </c>
      <c r="M4510" s="13"/>
      <c r="N4510" s="17">
        <f t="shared" si="150"/>
        <v>2325.54</v>
      </c>
      <c r="O4510" s="17">
        <f t="shared" si="150"/>
        <v>0</v>
      </c>
      <c r="P4510" s="17">
        <f t="shared" si="149"/>
        <v>2325.54</v>
      </c>
      <c r="Q4510" t="str">
        <f>A4510&amp;"-"&amp;B4510&amp;"-"&amp;D4510</f>
        <v>OKTOBER-CBA-L3</v>
      </c>
    </row>
    <row r="4511" spans="1:17" x14ac:dyDescent="0.25">
      <c r="A4511" t="s">
        <v>400</v>
      </c>
      <c r="B4511" s="13" t="s">
        <v>18</v>
      </c>
      <c r="C4511" s="13" t="s">
        <v>154</v>
      </c>
      <c r="D4511" s="14" t="s">
        <v>56</v>
      </c>
      <c r="E4511" s="13" t="s">
        <v>155</v>
      </c>
      <c r="F4511" s="13" t="s">
        <v>1623</v>
      </c>
      <c r="G4511" s="13">
        <v>0.5</v>
      </c>
      <c r="H4511" s="15">
        <v>10</v>
      </c>
      <c r="I4511" s="16">
        <v>5</v>
      </c>
      <c r="J4511" s="16">
        <v>3.922542372881356</v>
      </c>
      <c r="K4511" s="16">
        <v>1.077457627118644</v>
      </c>
      <c r="L4511" s="13">
        <v>1.47</v>
      </c>
      <c r="M4511" s="13"/>
      <c r="N4511" s="17">
        <f t="shared" si="150"/>
        <v>14.7</v>
      </c>
      <c r="O4511" s="17">
        <f t="shared" si="150"/>
        <v>0</v>
      </c>
      <c r="P4511" s="17">
        <f t="shared" si="149"/>
        <v>14.7</v>
      </c>
      <c r="Q4511" t="str">
        <f>A4511&amp;"-"&amp;B4511&amp;"-"&amp;D4511</f>
        <v>OKTOBER-CBA-L3</v>
      </c>
    </row>
    <row r="4512" spans="1:17" x14ac:dyDescent="0.25">
      <c r="A4512" t="s">
        <v>400</v>
      </c>
      <c r="B4512" s="13" t="s">
        <v>18</v>
      </c>
      <c r="C4512" s="13" t="s">
        <v>154</v>
      </c>
      <c r="D4512" s="14" t="s">
        <v>56</v>
      </c>
      <c r="E4512" s="13" t="s">
        <v>155</v>
      </c>
      <c r="F4512" s="13" t="s">
        <v>1624</v>
      </c>
      <c r="G4512" s="13">
        <v>0.5</v>
      </c>
      <c r="H4512" s="15">
        <v>493</v>
      </c>
      <c r="I4512" s="16">
        <v>246.5</v>
      </c>
      <c r="J4512" s="16">
        <v>197.47272881355934</v>
      </c>
      <c r="K4512" s="16">
        <v>49.027271186440672</v>
      </c>
      <c r="L4512" s="13">
        <v>1.47</v>
      </c>
      <c r="M4512" s="13"/>
      <c r="N4512" s="17">
        <f t="shared" si="150"/>
        <v>724.71</v>
      </c>
      <c r="O4512" s="17">
        <f t="shared" si="150"/>
        <v>0</v>
      </c>
      <c r="P4512" s="17">
        <f t="shared" si="149"/>
        <v>724.71</v>
      </c>
      <c r="Q4512" t="str">
        <f>A4512&amp;"-"&amp;B4512&amp;"-"&amp;D4512</f>
        <v>OKTOBER-CBA-L3</v>
      </c>
    </row>
    <row r="4513" spans="1:17" x14ac:dyDescent="0.25">
      <c r="A4513" t="s">
        <v>400</v>
      </c>
      <c r="B4513" s="13" t="s">
        <v>18</v>
      </c>
      <c r="C4513" s="13" t="s">
        <v>154</v>
      </c>
      <c r="D4513" s="14" t="s">
        <v>56</v>
      </c>
      <c r="E4513" s="13" t="s">
        <v>155</v>
      </c>
      <c r="F4513" s="13" t="s">
        <v>1625</v>
      </c>
      <c r="G4513" s="13">
        <v>0.5</v>
      </c>
      <c r="H4513" s="15">
        <v>1523</v>
      </c>
      <c r="I4513" s="16">
        <v>761.5</v>
      </c>
      <c r="J4513" s="16">
        <v>592.84852941176473</v>
      </c>
      <c r="K4513" s="16">
        <v>168.65147058823527</v>
      </c>
      <c r="L4513" s="13">
        <v>1.47</v>
      </c>
      <c r="M4513" s="13"/>
      <c r="N4513" s="17">
        <f t="shared" si="150"/>
        <v>2238.81</v>
      </c>
      <c r="O4513" s="17">
        <f t="shared" si="150"/>
        <v>0</v>
      </c>
      <c r="P4513" s="17">
        <f t="shared" si="149"/>
        <v>2238.81</v>
      </c>
      <c r="Q4513" t="str">
        <f>A4513&amp;"-"&amp;B4513&amp;"-"&amp;D4513</f>
        <v>OKTOBER-CBA-L3</v>
      </c>
    </row>
    <row r="4514" spans="1:17" x14ac:dyDescent="0.25">
      <c r="A4514" t="s">
        <v>400</v>
      </c>
      <c r="B4514" s="13" t="s">
        <v>18</v>
      </c>
      <c r="C4514" s="13" t="s">
        <v>43</v>
      </c>
      <c r="D4514" s="14" t="s">
        <v>44</v>
      </c>
      <c r="E4514" s="13" t="s">
        <v>45</v>
      </c>
      <c r="F4514" s="13" t="s">
        <v>1626</v>
      </c>
      <c r="G4514" s="13">
        <v>3.31</v>
      </c>
      <c r="H4514" s="15">
        <v>0</v>
      </c>
      <c r="I4514" s="16">
        <v>0</v>
      </c>
      <c r="J4514" s="16">
        <v>648</v>
      </c>
      <c r="K4514" s="16">
        <v>-648</v>
      </c>
      <c r="L4514" s="13"/>
      <c r="M4514" s="13">
        <v>3.8</v>
      </c>
      <c r="N4514" s="17">
        <f t="shared" si="150"/>
        <v>0</v>
      </c>
      <c r="O4514" s="17">
        <f t="shared" si="150"/>
        <v>0</v>
      </c>
      <c r="P4514" s="17">
        <f t="shared" si="149"/>
        <v>0</v>
      </c>
      <c r="Q4514" t="str">
        <f>A4514&amp;"-"&amp;B4514&amp;"-"&amp;D4514</f>
        <v>OKTOBER-CBA-L1</v>
      </c>
    </row>
    <row r="4515" spans="1:17" x14ac:dyDescent="0.25">
      <c r="A4515" t="s">
        <v>400</v>
      </c>
      <c r="B4515" s="13" t="s">
        <v>18</v>
      </c>
      <c r="C4515" s="13" t="s">
        <v>43</v>
      </c>
      <c r="D4515" s="14" t="s">
        <v>44</v>
      </c>
      <c r="E4515" s="13" t="s">
        <v>71</v>
      </c>
      <c r="F4515" s="13" t="s">
        <v>1413</v>
      </c>
      <c r="G4515" s="13">
        <v>3.96</v>
      </c>
      <c r="H4515" s="15">
        <v>871</v>
      </c>
      <c r="I4515" s="16">
        <v>3449.16</v>
      </c>
      <c r="J4515" s="16">
        <v>3197.9675675675676</v>
      </c>
      <c r="K4515" s="16">
        <v>251.1924324324325</v>
      </c>
      <c r="L4515" s="13"/>
      <c r="M4515" s="13">
        <v>4.2300000000000004</v>
      </c>
      <c r="N4515" s="17">
        <f t="shared" si="150"/>
        <v>0</v>
      </c>
      <c r="O4515" s="17">
        <f t="shared" si="150"/>
        <v>3684.3300000000004</v>
      </c>
      <c r="P4515" s="17">
        <f t="shared" si="149"/>
        <v>3684.3300000000004</v>
      </c>
      <c r="Q4515" t="str">
        <f>A4515&amp;"-"&amp;B4515&amp;"-"&amp;D4515</f>
        <v>OKTOBER-CBA-L1</v>
      </c>
    </row>
    <row r="4516" spans="1:17" x14ac:dyDescent="0.25">
      <c r="A4516" t="s">
        <v>400</v>
      </c>
      <c r="B4516" s="13" t="s">
        <v>18</v>
      </c>
      <c r="C4516" s="13" t="s">
        <v>43</v>
      </c>
      <c r="D4516" s="14" t="s">
        <v>44</v>
      </c>
      <c r="E4516" s="13" t="s">
        <v>950</v>
      </c>
      <c r="F4516" s="13" t="s">
        <v>1627</v>
      </c>
      <c r="G4516" s="13">
        <v>3.96</v>
      </c>
      <c r="H4516" s="15">
        <v>12</v>
      </c>
      <c r="I4516" s="16">
        <v>47.52</v>
      </c>
      <c r="J4516" s="16">
        <v>42.032432432432437</v>
      </c>
      <c r="K4516" s="16">
        <v>5.4875675675675666</v>
      </c>
      <c r="L4516" s="13"/>
      <c r="M4516" s="13">
        <v>3.25</v>
      </c>
      <c r="N4516" s="17">
        <f t="shared" si="150"/>
        <v>0</v>
      </c>
      <c r="O4516" s="17">
        <f t="shared" si="150"/>
        <v>39</v>
      </c>
      <c r="P4516" s="17">
        <f t="shared" si="149"/>
        <v>39</v>
      </c>
      <c r="Q4516" t="str">
        <f>A4516&amp;"-"&amp;B4516&amp;"-"&amp;D4516</f>
        <v>OKTOBER-CBA-L1</v>
      </c>
    </row>
    <row r="4517" spans="1:17" x14ac:dyDescent="0.25">
      <c r="A4517" t="s">
        <v>400</v>
      </c>
      <c r="B4517" s="13" t="s">
        <v>18</v>
      </c>
      <c r="C4517" s="13" t="s">
        <v>43</v>
      </c>
      <c r="D4517" s="14" t="s">
        <v>50</v>
      </c>
      <c r="E4517" s="13" t="s">
        <v>45</v>
      </c>
      <c r="F4517" s="13" t="s">
        <v>1234</v>
      </c>
      <c r="G4517" s="13">
        <v>2.9900000000000011</v>
      </c>
      <c r="H4517" s="15">
        <v>3408</v>
      </c>
      <c r="I4517" s="16">
        <v>10189.920000000002</v>
      </c>
      <c r="J4517" s="16">
        <v>8432.1745718432503</v>
      </c>
      <c r="K4517" s="16">
        <v>1757.7454281567489</v>
      </c>
      <c r="L4517" s="13"/>
      <c r="M4517" s="13">
        <v>3.23</v>
      </c>
      <c r="N4517" s="17">
        <f t="shared" si="150"/>
        <v>0</v>
      </c>
      <c r="O4517" s="17">
        <f t="shared" si="150"/>
        <v>11007.84</v>
      </c>
      <c r="P4517" s="17">
        <f t="shared" si="149"/>
        <v>11007.84</v>
      </c>
      <c r="Q4517" t="str">
        <f>A4517&amp;"-"&amp;B4517&amp;"-"&amp;D4517</f>
        <v>OKTOBER-CBA-L2</v>
      </c>
    </row>
    <row r="4518" spans="1:17" x14ac:dyDescent="0.25">
      <c r="A4518" t="s">
        <v>400</v>
      </c>
      <c r="B4518" s="13" t="s">
        <v>18</v>
      </c>
      <c r="C4518" s="13" t="s">
        <v>43</v>
      </c>
      <c r="D4518" s="14" t="s">
        <v>50</v>
      </c>
      <c r="E4518" s="13" t="s">
        <v>950</v>
      </c>
      <c r="F4518" s="13" t="s">
        <v>1627</v>
      </c>
      <c r="G4518" s="13">
        <v>3.06</v>
      </c>
      <c r="H4518" s="15">
        <v>12</v>
      </c>
      <c r="I4518" s="16">
        <v>36.72</v>
      </c>
      <c r="J4518" s="16">
        <v>29.907692307692308</v>
      </c>
      <c r="K4518" s="16">
        <v>6.8123076923076908</v>
      </c>
      <c r="L4518" s="13"/>
      <c r="M4518" s="13">
        <v>3.25</v>
      </c>
      <c r="N4518" s="17">
        <f t="shared" si="150"/>
        <v>0</v>
      </c>
      <c r="O4518" s="17">
        <f t="shared" si="150"/>
        <v>39</v>
      </c>
      <c r="P4518" s="17">
        <f t="shared" si="149"/>
        <v>39</v>
      </c>
      <c r="Q4518" t="str">
        <f>A4518&amp;"-"&amp;B4518&amp;"-"&amp;D4518</f>
        <v>OKTOBER-CBA-L2</v>
      </c>
    </row>
    <row r="4519" spans="1:17" x14ac:dyDescent="0.25">
      <c r="A4519" t="s">
        <v>400</v>
      </c>
      <c r="B4519" s="13" t="s">
        <v>18</v>
      </c>
      <c r="C4519" s="13" t="s">
        <v>43</v>
      </c>
      <c r="D4519" s="14" t="s">
        <v>56</v>
      </c>
      <c r="E4519" s="13" t="s">
        <v>45</v>
      </c>
      <c r="F4519" s="13" t="s">
        <v>1234</v>
      </c>
      <c r="G4519" s="13">
        <v>2.99</v>
      </c>
      <c r="H4519" s="15">
        <v>1462</v>
      </c>
      <c r="I4519" s="16">
        <v>4371.38</v>
      </c>
      <c r="J4519" s="16">
        <v>4369.6420655494558</v>
      </c>
      <c r="K4519" s="16">
        <v>1.7379344505440457</v>
      </c>
      <c r="L4519" s="13"/>
      <c r="M4519" s="13">
        <v>3.23</v>
      </c>
      <c r="N4519" s="17">
        <f t="shared" si="150"/>
        <v>0</v>
      </c>
      <c r="O4519" s="17">
        <f t="shared" si="150"/>
        <v>4722.26</v>
      </c>
      <c r="P4519" s="17">
        <f t="shared" si="149"/>
        <v>4722.26</v>
      </c>
      <c r="Q4519" t="str">
        <f>A4519&amp;"-"&amp;B4519&amp;"-"&amp;D4519</f>
        <v>OKTOBER-CBA-L3</v>
      </c>
    </row>
    <row r="4520" spans="1:17" x14ac:dyDescent="0.25">
      <c r="A4520" t="s">
        <v>400</v>
      </c>
      <c r="B4520" s="13" t="s">
        <v>18</v>
      </c>
      <c r="C4520" s="13" t="s">
        <v>43</v>
      </c>
      <c r="D4520" s="14" t="s">
        <v>56</v>
      </c>
      <c r="E4520" s="13" t="s">
        <v>950</v>
      </c>
      <c r="F4520" s="13" t="s">
        <v>1627</v>
      </c>
      <c r="G4520" s="13">
        <v>2.95</v>
      </c>
      <c r="H4520" s="15">
        <v>12</v>
      </c>
      <c r="I4520" s="16">
        <v>35.4</v>
      </c>
      <c r="J4520" s="16">
        <v>37.028571428571425</v>
      </c>
      <c r="K4520" s="16">
        <v>-1.6285714285714263</v>
      </c>
      <c r="L4520" s="13"/>
      <c r="M4520" s="13">
        <v>3.25</v>
      </c>
      <c r="N4520" s="17">
        <f t="shared" si="150"/>
        <v>0</v>
      </c>
      <c r="O4520" s="17">
        <f t="shared" si="150"/>
        <v>39</v>
      </c>
      <c r="P4520" s="17">
        <f t="shared" si="149"/>
        <v>39</v>
      </c>
      <c r="Q4520" t="str">
        <f>A4520&amp;"-"&amp;B4520&amp;"-"&amp;D4520</f>
        <v>OKTOBER-CBA-L3</v>
      </c>
    </row>
    <row r="4521" spans="1:17" x14ac:dyDescent="0.25">
      <c r="A4521" t="s">
        <v>400</v>
      </c>
      <c r="B4521" s="13" t="s">
        <v>18</v>
      </c>
      <c r="C4521" s="13" t="s">
        <v>955</v>
      </c>
      <c r="D4521" s="14" t="s">
        <v>44</v>
      </c>
      <c r="E4521" s="13" t="s">
        <v>956</v>
      </c>
      <c r="F4521" s="13" t="s">
        <v>1628</v>
      </c>
      <c r="G4521" s="13">
        <v>4.9800000000000022</v>
      </c>
      <c r="H4521" s="15">
        <v>3059</v>
      </c>
      <c r="I4521" s="16">
        <v>15233.82</v>
      </c>
      <c r="J4521" s="16">
        <v>12219.44</v>
      </c>
      <c r="K4521" s="16">
        <v>3014.3799999999997</v>
      </c>
      <c r="L4521" s="13"/>
      <c r="M4521" s="13">
        <v>6.34</v>
      </c>
      <c r="N4521" s="17">
        <f t="shared" si="150"/>
        <v>0</v>
      </c>
      <c r="O4521" s="17">
        <f t="shared" si="150"/>
        <v>19394.060000000001</v>
      </c>
      <c r="P4521" s="17">
        <f t="shared" si="149"/>
        <v>19394.060000000001</v>
      </c>
      <c r="Q4521" t="str">
        <f>A4521&amp;"-"&amp;B4521&amp;"-"&amp;D4521</f>
        <v>OKTOBER-CBA-L1</v>
      </c>
    </row>
    <row r="4522" spans="1:17" x14ac:dyDescent="0.25">
      <c r="A4522" t="s">
        <v>400</v>
      </c>
      <c r="B4522" s="13" t="s">
        <v>18</v>
      </c>
      <c r="C4522" s="13" t="s">
        <v>955</v>
      </c>
      <c r="D4522" s="14" t="s">
        <v>50</v>
      </c>
      <c r="E4522" s="13" t="s">
        <v>58</v>
      </c>
      <c r="F4522" s="13" t="s">
        <v>1629</v>
      </c>
      <c r="G4522" s="13">
        <v>2.66</v>
      </c>
      <c r="H4522" s="15">
        <v>2010</v>
      </c>
      <c r="I4522" s="16">
        <v>5346.6</v>
      </c>
      <c r="J4522" s="16">
        <v>5104.0071698113197</v>
      </c>
      <c r="K4522" s="16">
        <v>242.59283018867916</v>
      </c>
      <c r="L4522" s="13"/>
      <c r="M4522" s="13">
        <v>3.2</v>
      </c>
      <c r="N4522" s="17">
        <f t="shared" si="150"/>
        <v>0</v>
      </c>
      <c r="O4522" s="17">
        <f t="shared" si="150"/>
        <v>6432</v>
      </c>
      <c r="P4522" s="17">
        <f t="shared" si="149"/>
        <v>6432</v>
      </c>
      <c r="Q4522" t="str">
        <f>A4522&amp;"-"&amp;B4522&amp;"-"&amp;D4522</f>
        <v>OKTOBER-CBA-L2</v>
      </c>
    </row>
    <row r="4523" spans="1:17" x14ac:dyDescent="0.25">
      <c r="A4523" t="s">
        <v>400</v>
      </c>
      <c r="B4523" s="13" t="s">
        <v>18</v>
      </c>
      <c r="C4523" s="13" t="s">
        <v>955</v>
      </c>
      <c r="D4523" s="14" t="s">
        <v>50</v>
      </c>
      <c r="E4523" s="13" t="s">
        <v>58</v>
      </c>
      <c r="F4523" s="13" t="s">
        <v>1630</v>
      </c>
      <c r="G4523" s="13">
        <v>2.66</v>
      </c>
      <c r="H4523" s="15">
        <v>1040</v>
      </c>
      <c r="I4523" s="16">
        <v>2766.4</v>
      </c>
      <c r="J4523" s="16">
        <v>2541.3505660377359</v>
      </c>
      <c r="K4523" s="16">
        <v>225.04943396226409</v>
      </c>
      <c r="L4523" s="13"/>
      <c r="M4523" s="13">
        <v>3.2</v>
      </c>
      <c r="N4523" s="17">
        <f t="shared" si="150"/>
        <v>0</v>
      </c>
      <c r="O4523" s="17">
        <f t="shared" si="150"/>
        <v>3328</v>
      </c>
      <c r="P4523" s="17">
        <f t="shared" si="149"/>
        <v>3328</v>
      </c>
      <c r="Q4523" t="str">
        <f>A4523&amp;"-"&amp;B4523&amp;"-"&amp;D4523</f>
        <v>OKTOBER-CBA-L2</v>
      </c>
    </row>
    <row r="4524" spans="1:17" x14ac:dyDescent="0.25">
      <c r="A4524" t="s">
        <v>400</v>
      </c>
      <c r="B4524" s="13" t="s">
        <v>19</v>
      </c>
      <c r="C4524" s="13" t="s">
        <v>70</v>
      </c>
      <c r="D4524" s="14" t="s">
        <v>44</v>
      </c>
      <c r="E4524" s="13" t="s">
        <v>73</v>
      </c>
      <c r="F4524" s="13" t="s">
        <v>1631</v>
      </c>
      <c r="G4524" s="13">
        <v>4.5</v>
      </c>
      <c r="H4524" s="15">
        <v>212</v>
      </c>
      <c r="I4524" s="16">
        <v>954</v>
      </c>
      <c r="J4524" s="16">
        <v>562.86000000000013</v>
      </c>
      <c r="K4524" s="16">
        <v>391.14</v>
      </c>
      <c r="L4524" s="13">
        <v>12.14</v>
      </c>
      <c r="M4524" s="13"/>
      <c r="N4524" s="17">
        <f t="shared" si="150"/>
        <v>2573.6800000000003</v>
      </c>
      <c r="O4524" s="17">
        <f t="shared" si="150"/>
        <v>0</v>
      </c>
      <c r="P4524" s="17">
        <f t="shared" si="149"/>
        <v>2573.6800000000003</v>
      </c>
      <c r="Q4524" t="str">
        <f>A4524&amp;"-"&amp;B4524&amp;"-"&amp;D4524</f>
        <v>OKTOBER-CHW-L1</v>
      </c>
    </row>
    <row r="4525" spans="1:17" x14ac:dyDescent="0.25">
      <c r="A4525" t="s">
        <v>400</v>
      </c>
      <c r="B4525" s="13" t="s">
        <v>19</v>
      </c>
      <c r="C4525" s="13" t="s">
        <v>70</v>
      </c>
      <c r="D4525" s="14" t="s">
        <v>44</v>
      </c>
      <c r="E4525" s="13" t="s">
        <v>73</v>
      </c>
      <c r="F4525" s="13" t="s">
        <v>1632</v>
      </c>
      <c r="G4525" s="13">
        <v>4.5</v>
      </c>
      <c r="H4525" s="15">
        <v>403</v>
      </c>
      <c r="I4525" s="16">
        <v>1813.5</v>
      </c>
      <c r="J4525" s="16">
        <v>1016.1842307692307</v>
      </c>
      <c r="K4525" s="16">
        <v>797.31576923076932</v>
      </c>
      <c r="L4525" s="13">
        <v>10.95</v>
      </c>
      <c r="M4525" s="13"/>
      <c r="N4525" s="17">
        <f t="shared" si="150"/>
        <v>4412.8499999999995</v>
      </c>
      <c r="O4525" s="17">
        <f t="shared" si="150"/>
        <v>0</v>
      </c>
      <c r="P4525" s="17">
        <f t="shared" si="149"/>
        <v>4412.8499999999995</v>
      </c>
      <c r="Q4525" t="str">
        <f>A4525&amp;"-"&amp;B4525&amp;"-"&amp;D4525</f>
        <v>OKTOBER-CHW-L1</v>
      </c>
    </row>
    <row r="4526" spans="1:17" x14ac:dyDescent="0.25">
      <c r="A4526" t="s">
        <v>400</v>
      </c>
      <c r="B4526" s="13" t="s">
        <v>19</v>
      </c>
      <c r="C4526" s="13" t="s">
        <v>70</v>
      </c>
      <c r="D4526" s="14" t="s">
        <v>44</v>
      </c>
      <c r="E4526" s="13" t="s">
        <v>73</v>
      </c>
      <c r="F4526" s="13" t="s">
        <v>1633</v>
      </c>
      <c r="G4526" s="13">
        <v>4.5</v>
      </c>
      <c r="H4526" s="15">
        <v>495</v>
      </c>
      <c r="I4526" s="16">
        <v>2227.5</v>
      </c>
      <c r="J4526" s="16">
        <v>1314.2249999999999</v>
      </c>
      <c r="K4526" s="16">
        <v>913.27499999999998</v>
      </c>
      <c r="L4526" s="13">
        <v>11.67</v>
      </c>
      <c r="M4526" s="13"/>
      <c r="N4526" s="17">
        <f t="shared" si="150"/>
        <v>5776.65</v>
      </c>
      <c r="O4526" s="17">
        <f t="shared" si="150"/>
        <v>0</v>
      </c>
      <c r="P4526" s="17">
        <f t="shared" si="149"/>
        <v>5776.65</v>
      </c>
      <c r="Q4526" t="str">
        <f>A4526&amp;"-"&amp;B4526&amp;"-"&amp;D4526</f>
        <v>OKTOBER-CHW-L1</v>
      </c>
    </row>
    <row r="4527" spans="1:17" x14ac:dyDescent="0.25">
      <c r="A4527" t="s">
        <v>400</v>
      </c>
      <c r="B4527" s="13" t="s">
        <v>19</v>
      </c>
      <c r="C4527" s="13" t="s">
        <v>70</v>
      </c>
      <c r="D4527" s="14" t="s">
        <v>44</v>
      </c>
      <c r="E4527" s="13" t="s">
        <v>77</v>
      </c>
      <c r="F4527" s="13" t="s">
        <v>1634</v>
      </c>
      <c r="G4527" s="13">
        <v>3.7</v>
      </c>
      <c r="H4527" s="15">
        <v>99</v>
      </c>
      <c r="I4527" s="16">
        <v>366.3</v>
      </c>
      <c r="J4527" s="16">
        <v>219.03749999999999</v>
      </c>
      <c r="K4527" s="16">
        <v>147.26250000000002</v>
      </c>
      <c r="L4527" s="13">
        <v>7.81</v>
      </c>
      <c r="M4527" s="13"/>
      <c r="N4527" s="17">
        <f t="shared" si="150"/>
        <v>773.18999999999994</v>
      </c>
      <c r="O4527" s="17">
        <f t="shared" si="150"/>
        <v>0</v>
      </c>
      <c r="P4527" s="17">
        <f t="shared" si="149"/>
        <v>773.18999999999994</v>
      </c>
      <c r="Q4527" t="str">
        <f>A4527&amp;"-"&amp;B4527&amp;"-"&amp;D4527</f>
        <v>OKTOBER-CHW-L1</v>
      </c>
    </row>
    <row r="4528" spans="1:17" x14ac:dyDescent="0.25">
      <c r="A4528" t="s">
        <v>400</v>
      </c>
      <c r="B4528" s="13" t="s">
        <v>19</v>
      </c>
      <c r="C4528" s="13" t="s">
        <v>70</v>
      </c>
      <c r="D4528" s="14" t="s">
        <v>44</v>
      </c>
      <c r="E4528" s="13" t="s">
        <v>77</v>
      </c>
      <c r="F4528" s="13" t="s">
        <v>1635</v>
      </c>
      <c r="G4528" s="13">
        <v>3.6999999999999997</v>
      </c>
      <c r="H4528" s="15">
        <v>1750</v>
      </c>
      <c r="I4528" s="16">
        <v>6475</v>
      </c>
      <c r="J4528" s="16">
        <v>3859.2807692307692</v>
      </c>
      <c r="K4528" s="16">
        <v>2615.7192307692308</v>
      </c>
      <c r="L4528" s="13">
        <v>8.69</v>
      </c>
      <c r="M4528" s="13"/>
      <c r="N4528" s="17">
        <f t="shared" si="150"/>
        <v>15207.5</v>
      </c>
      <c r="O4528" s="17">
        <f t="shared" si="150"/>
        <v>0</v>
      </c>
      <c r="P4528" s="17">
        <f t="shared" si="149"/>
        <v>15207.5</v>
      </c>
      <c r="Q4528" t="str">
        <f>A4528&amp;"-"&amp;B4528&amp;"-"&amp;D4528</f>
        <v>OKTOBER-CHW-L1</v>
      </c>
    </row>
    <row r="4529" spans="1:17" x14ac:dyDescent="0.25">
      <c r="A4529" t="s">
        <v>400</v>
      </c>
      <c r="B4529" s="13" t="s">
        <v>19</v>
      </c>
      <c r="C4529" s="13" t="s">
        <v>70</v>
      </c>
      <c r="D4529" s="14" t="s">
        <v>44</v>
      </c>
      <c r="E4529" s="13" t="s">
        <v>77</v>
      </c>
      <c r="F4529" s="13" t="s">
        <v>1636</v>
      </c>
      <c r="G4529" s="13">
        <v>3</v>
      </c>
      <c r="H4529" s="15">
        <v>104</v>
      </c>
      <c r="I4529" s="16">
        <v>312</v>
      </c>
      <c r="J4529" s="16">
        <v>230.1</v>
      </c>
      <c r="K4529" s="16">
        <v>81.900000000000006</v>
      </c>
      <c r="L4529" s="13">
        <v>6.3</v>
      </c>
      <c r="M4529" s="13"/>
      <c r="N4529" s="17">
        <f t="shared" si="150"/>
        <v>655.19999999999993</v>
      </c>
      <c r="O4529" s="17">
        <f t="shared" si="150"/>
        <v>0</v>
      </c>
      <c r="P4529" s="17">
        <f t="shared" si="149"/>
        <v>655.19999999999993</v>
      </c>
      <c r="Q4529" t="str">
        <f>A4529&amp;"-"&amp;B4529&amp;"-"&amp;D4529</f>
        <v>OKTOBER-CHW-L1</v>
      </c>
    </row>
    <row r="4530" spans="1:17" x14ac:dyDescent="0.25">
      <c r="A4530" t="s">
        <v>400</v>
      </c>
      <c r="B4530" s="13" t="s">
        <v>19</v>
      </c>
      <c r="C4530" s="13" t="s">
        <v>70</v>
      </c>
      <c r="D4530" s="14" t="s">
        <v>44</v>
      </c>
      <c r="E4530" s="13" t="s">
        <v>77</v>
      </c>
      <c r="F4530" s="13" t="s">
        <v>1637</v>
      </c>
      <c r="G4530" s="13">
        <v>3.7000000000000006</v>
      </c>
      <c r="H4530" s="15">
        <v>447</v>
      </c>
      <c r="I4530" s="16">
        <v>1653.9</v>
      </c>
      <c r="J4530" s="16">
        <v>988.98749999999995</v>
      </c>
      <c r="K4530" s="16">
        <v>664.91250000000002</v>
      </c>
      <c r="L4530" s="13">
        <v>7.96</v>
      </c>
      <c r="M4530" s="13"/>
      <c r="N4530" s="17">
        <f t="shared" si="150"/>
        <v>3558.12</v>
      </c>
      <c r="O4530" s="17">
        <f t="shared" si="150"/>
        <v>0</v>
      </c>
      <c r="P4530" s="17">
        <f t="shared" si="149"/>
        <v>3558.12</v>
      </c>
      <c r="Q4530" t="str">
        <f>A4530&amp;"-"&amp;B4530&amp;"-"&amp;D4530</f>
        <v>OKTOBER-CHW-L1</v>
      </c>
    </row>
    <row r="4531" spans="1:17" x14ac:dyDescent="0.25">
      <c r="A4531" t="s">
        <v>400</v>
      </c>
      <c r="B4531" s="13" t="s">
        <v>19</v>
      </c>
      <c r="C4531" s="13" t="s">
        <v>70</v>
      </c>
      <c r="D4531" s="14" t="s">
        <v>44</v>
      </c>
      <c r="E4531" s="13" t="s">
        <v>77</v>
      </c>
      <c r="F4531" s="13" t="s">
        <v>1422</v>
      </c>
      <c r="G4531" s="13">
        <v>3.7</v>
      </c>
      <c r="H4531" s="15">
        <v>319</v>
      </c>
      <c r="I4531" s="16">
        <v>1180.2999999999997</v>
      </c>
      <c r="J4531" s="16">
        <v>705.78750000000002</v>
      </c>
      <c r="K4531" s="16">
        <v>474.51249999999999</v>
      </c>
      <c r="L4531" s="13">
        <v>8.5</v>
      </c>
      <c r="M4531" s="13"/>
      <c r="N4531" s="17">
        <f t="shared" si="150"/>
        <v>2711.5</v>
      </c>
      <c r="O4531" s="17">
        <f t="shared" si="150"/>
        <v>0</v>
      </c>
      <c r="P4531" s="17">
        <f t="shared" si="149"/>
        <v>2711.5</v>
      </c>
      <c r="Q4531" t="str">
        <f>A4531&amp;"-"&amp;B4531&amp;"-"&amp;D4531</f>
        <v>OKTOBER-CHW-L1</v>
      </c>
    </row>
    <row r="4532" spans="1:17" x14ac:dyDescent="0.25">
      <c r="A4532" t="s">
        <v>400</v>
      </c>
      <c r="B4532" s="13" t="s">
        <v>19</v>
      </c>
      <c r="C4532" s="13" t="s">
        <v>70</v>
      </c>
      <c r="D4532" s="14" t="s">
        <v>44</v>
      </c>
      <c r="E4532" s="13" t="s">
        <v>77</v>
      </c>
      <c r="F4532" s="13" t="s">
        <v>1006</v>
      </c>
      <c r="G4532" s="13">
        <v>3.7</v>
      </c>
      <c r="H4532" s="15">
        <v>52</v>
      </c>
      <c r="I4532" s="16">
        <v>192.4</v>
      </c>
      <c r="J4532" s="16">
        <v>115.05</v>
      </c>
      <c r="K4532" s="16">
        <v>77.349999999999994</v>
      </c>
      <c r="L4532" s="13">
        <v>7.63</v>
      </c>
      <c r="M4532" s="13"/>
      <c r="N4532" s="17">
        <f t="shared" si="150"/>
        <v>396.76</v>
      </c>
      <c r="O4532" s="17">
        <f t="shared" si="150"/>
        <v>0</v>
      </c>
      <c r="P4532" s="17">
        <f t="shared" si="149"/>
        <v>396.76</v>
      </c>
      <c r="Q4532" t="str">
        <f>A4532&amp;"-"&amp;B4532&amp;"-"&amp;D4532</f>
        <v>OKTOBER-CHW-L1</v>
      </c>
    </row>
    <row r="4533" spans="1:17" x14ac:dyDescent="0.25">
      <c r="A4533" t="s">
        <v>400</v>
      </c>
      <c r="B4533" s="13" t="s">
        <v>19</v>
      </c>
      <c r="C4533" s="13" t="s">
        <v>70</v>
      </c>
      <c r="D4533" s="14" t="s">
        <v>44</v>
      </c>
      <c r="E4533" s="13" t="s">
        <v>77</v>
      </c>
      <c r="F4533" s="13" t="s">
        <v>1244</v>
      </c>
      <c r="G4533" s="13">
        <v>3.7</v>
      </c>
      <c r="H4533" s="15">
        <v>69</v>
      </c>
      <c r="I4533" s="16">
        <v>255.3</v>
      </c>
      <c r="J4533" s="16">
        <v>152.02904564315352</v>
      </c>
      <c r="K4533" s="16">
        <v>103.27095435684649</v>
      </c>
      <c r="L4533" s="13">
        <v>7.52</v>
      </c>
      <c r="M4533" s="13"/>
      <c r="N4533" s="17">
        <f t="shared" si="150"/>
        <v>518.88</v>
      </c>
      <c r="O4533" s="17">
        <f t="shared" si="150"/>
        <v>0</v>
      </c>
      <c r="P4533" s="17">
        <f t="shared" si="149"/>
        <v>518.88</v>
      </c>
      <c r="Q4533" t="str">
        <f>A4533&amp;"-"&amp;B4533&amp;"-"&amp;D4533</f>
        <v>OKTOBER-CHW-L1</v>
      </c>
    </row>
    <row r="4534" spans="1:17" x14ac:dyDescent="0.25">
      <c r="A4534" t="s">
        <v>400</v>
      </c>
      <c r="B4534" s="13" t="s">
        <v>19</v>
      </c>
      <c r="C4534" s="13" t="s">
        <v>70</v>
      </c>
      <c r="D4534" s="14" t="s">
        <v>44</v>
      </c>
      <c r="E4534" s="13" t="s">
        <v>77</v>
      </c>
      <c r="F4534" s="13" t="s">
        <v>823</v>
      </c>
      <c r="G4534" s="13">
        <v>3.7</v>
      </c>
      <c r="H4534" s="15">
        <v>20</v>
      </c>
      <c r="I4534" s="16">
        <v>74</v>
      </c>
      <c r="J4534" s="16">
        <v>53.1</v>
      </c>
      <c r="K4534" s="16">
        <v>20.9</v>
      </c>
      <c r="L4534" s="13">
        <v>7.48</v>
      </c>
      <c r="M4534" s="13"/>
      <c r="N4534" s="17">
        <f t="shared" si="150"/>
        <v>149.60000000000002</v>
      </c>
      <c r="O4534" s="17">
        <f t="shared" si="150"/>
        <v>0</v>
      </c>
      <c r="P4534" s="17">
        <f t="shared" si="149"/>
        <v>149.60000000000002</v>
      </c>
      <c r="Q4534" t="str">
        <f>A4534&amp;"-"&amp;B4534&amp;"-"&amp;D4534</f>
        <v>OKTOBER-CHW-L1</v>
      </c>
    </row>
    <row r="4535" spans="1:17" x14ac:dyDescent="0.25">
      <c r="A4535" t="s">
        <v>400</v>
      </c>
      <c r="B4535" s="13" t="s">
        <v>19</v>
      </c>
      <c r="C4535" s="13" t="s">
        <v>70</v>
      </c>
      <c r="D4535" s="14" t="s">
        <v>44</v>
      </c>
      <c r="E4535" s="13" t="s">
        <v>77</v>
      </c>
      <c r="F4535" s="13" t="s">
        <v>824</v>
      </c>
      <c r="G4535" s="13">
        <v>3.7</v>
      </c>
      <c r="H4535" s="15">
        <v>44</v>
      </c>
      <c r="I4535" s="16">
        <v>162.80000000000001</v>
      </c>
      <c r="J4535" s="16">
        <v>97.35</v>
      </c>
      <c r="K4535" s="16">
        <v>65.450000000000017</v>
      </c>
      <c r="L4535" s="13">
        <v>7.16</v>
      </c>
      <c r="M4535" s="13"/>
      <c r="N4535" s="17">
        <f t="shared" si="150"/>
        <v>315.04000000000002</v>
      </c>
      <c r="O4535" s="17">
        <f t="shared" si="150"/>
        <v>0</v>
      </c>
      <c r="P4535" s="17">
        <f t="shared" si="149"/>
        <v>315.04000000000002</v>
      </c>
      <c r="Q4535" t="str">
        <f>A4535&amp;"-"&amp;B4535&amp;"-"&amp;D4535</f>
        <v>OKTOBER-CHW-L1</v>
      </c>
    </row>
    <row r="4536" spans="1:17" x14ac:dyDescent="0.25">
      <c r="A4536" t="s">
        <v>400</v>
      </c>
      <c r="B4536" s="13" t="s">
        <v>19</v>
      </c>
      <c r="C4536" s="13" t="s">
        <v>70</v>
      </c>
      <c r="D4536" s="14" t="s">
        <v>44</v>
      </c>
      <c r="E4536" s="13" t="s">
        <v>77</v>
      </c>
      <c r="F4536" s="13" t="s">
        <v>1008</v>
      </c>
      <c r="G4536" s="13">
        <v>3.7</v>
      </c>
      <c r="H4536" s="15">
        <v>20</v>
      </c>
      <c r="I4536" s="16">
        <v>74</v>
      </c>
      <c r="J4536" s="16">
        <v>44.25</v>
      </c>
      <c r="K4536" s="16">
        <v>29.75</v>
      </c>
      <c r="L4536" s="13">
        <v>8.1300000000000008</v>
      </c>
      <c r="M4536" s="13"/>
      <c r="N4536" s="17">
        <f t="shared" si="150"/>
        <v>162.60000000000002</v>
      </c>
      <c r="O4536" s="17">
        <f t="shared" si="150"/>
        <v>0</v>
      </c>
      <c r="P4536" s="17">
        <f t="shared" si="149"/>
        <v>162.60000000000002</v>
      </c>
      <c r="Q4536" t="str">
        <f>A4536&amp;"-"&amp;B4536&amp;"-"&amp;D4536</f>
        <v>OKTOBER-CHW-L1</v>
      </c>
    </row>
    <row r="4537" spans="1:17" x14ac:dyDescent="0.25">
      <c r="A4537" t="s">
        <v>400</v>
      </c>
      <c r="B4537" s="13" t="s">
        <v>19</v>
      </c>
      <c r="C4537" s="13" t="s">
        <v>70</v>
      </c>
      <c r="D4537" s="14" t="s">
        <v>44</v>
      </c>
      <c r="E4537" s="13" t="s">
        <v>77</v>
      </c>
      <c r="F4537" s="13" t="s">
        <v>1638</v>
      </c>
      <c r="G4537" s="13">
        <v>3.7000000000000006</v>
      </c>
      <c r="H4537" s="15">
        <v>299</v>
      </c>
      <c r="I4537" s="16">
        <v>1106.3</v>
      </c>
      <c r="J4537" s="16">
        <v>661.37225103734443</v>
      </c>
      <c r="K4537" s="16">
        <v>444.92774896265553</v>
      </c>
      <c r="L4537" s="13">
        <v>8.6999999999999993</v>
      </c>
      <c r="M4537" s="13"/>
      <c r="N4537" s="17">
        <f t="shared" si="150"/>
        <v>2601.2999999999997</v>
      </c>
      <c r="O4537" s="17">
        <f t="shared" si="150"/>
        <v>0</v>
      </c>
      <c r="P4537" s="17">
        <f t="shared" si="149"/>
        <v>2601.2999999999997</v>
      </c>
      <c r="Q4537" t="str">
        <f>A4537&amp;"-"&amp;B4537&amp;"-"&amp;D4537</f>
        <v>OKTOBER-CHW-L1</v>
      </c>
    </row>
    <row r="4538" spans="1:17" x14ac:dyDescent="0.25">
      <c r="A4538" t="s">
        <v>400</v>
      </c>
      <c r="B4538" s="13" t="s">
        <v>19</v>
      </c>
      <c r="C4538" s="13" t="s">
        <v>70</v>
      </c>
      <c r="D4538" s="14" t="s">
        <v>44</v>
      </c>
      <c r="E4538" s="13" t="s">
        <v>77</v>
      </c>
      <c r="F4538" s="13" t="s">
        <v>1423</v>
      </c>
      <c r="G4538" s="13">
        <v>3.7</v>
      </c>
      <c r="H4538" s="15">
        <v>38</v>
      </c>
      <c r="I4538" s="16">
        <v>140.6</v>
      </c>
      <c r="J4538" s="16">
        <v>84.075000000000003</v>
      </c>
      <c r="K4538" s="16">
        <v>56.524999999999991</v>
      </c>
      <c r="L4538" s="13">
        <v>8.3699999999999992</v>
      </c>
      <c r="M4538" s="13"/>
      <c r="N4538" s="17">
        <f t="shared" si="150"/>
        <v>318.05999999999995</v>
      </c>
      <c r="O4538" s="17">
        <f t="shared" si="150"/>
        <v>0</v>
      </c>
      <c r="P4538" s="17">
        <f t="shared" si="149"/>
        <v>318.05999999999995</v>
      </c>
      <c r="Q4538" t="str">
        <f>A4538&amp;"-"&amp;B4538&amp;"-"&amp;D4538</f>
        <v>OKTOBER-CHW-L1</v>
      </c>
    </row>
    <row r="4539" spans="1:17" x14ac:dyDescent="0.25">
      <c r="A4539" t="s">
        <v>400</v>
      </c>
      <c r="B4539" s="13" t="s">
        <v>19</v>
      </c>
      <c r="C4539" s="13" t="s">
        <v>70</v>
      </c>
      <c r="D4539" s="14" t="s">
        <v>44</v>
      </c>
      <c r="E4539" s="13" t="s">
        <v>77</v>
      </c>
      <c r="F4539" s="13" t="s">
        <v>1424</v>
      </c>
      <c r="G4539" s="13">
        <v>3.7000000000000006</v>
      </c>
      <c r="H4539" s="15">
        <v>232</v>
      </c>
      <c r="I4539" s="16">
        <v>858.40000000000009</v>
      </c>
      <c r="J4539" s="16">
        <v>513.29999999999995</v>
      </c>
      <c r="K4539" s="16">
        <v>345.10000000000008</v>
      </c>
      <c r="L4539" s="13">
        <v>8.34</v>
      </c>
      <c r="M4539" s="13"/>
      <c r="N4539" s="17">
        <f t="shared" si="150"/>
        <v>1934.8799999999999</v>
      </c>
      <c r="O4539" s="17">
        <f t="shared" si="150"/>
        <v>0</v>
      </c>
      <c r="P4539" s="17">
        <f t="shared" si="149"/>
        <v>1934.8799999999999</v>
      </c>
      <c r="Q4539" t="str">
        <f>A4539&amp;"-"&amp;B4539&amp;"-"&amp;D4539</f>
        <v>OKTOBER-CHW-L1</v>
      </c>
    </row>
    <row r="4540" spans="1:17" x14ac:dyDescent="0.25">
      <c r="A4540" t="s">
        <v>400</v>
      </c>
      <c r="B4540" s="13" t="s">
        <v>19</v>
      </c>
      <c r="C4540" s="13" t="s">
        <v>70</v>
      </c>
      <c r="D4540" s="14" t="s">
        <v>44</v>
      </c>
      <c r="E4540" s="13" t="s">
        <v>77</v>
      </c>
      <c r="F4540" s="13" t="s">
        <v>1639</v>
      </c>
      <c r="G4540" s="13">
        <v>3.7</v>
      </c>
      <c r="H4540" s="15">
        <v>383</v>
      </c>
      <c r="I4540" s="16">
        <v>1417.1</v>
      </c>
      <c r="J4540" s="16">
        <v>846.69896265560169</v>
      </c>
      <c r="K4540" s="16">
        <v>570.40103734439833</v>
      </c>
      <c r="L4540" s="13">
        <v>8.36</v>
      </c>
      <c r="M4540" s="13"/>
      <c r="N4540" s="17">
        <f t="shared" si="150"/>
        <v>3201.8799999999997</v>
      </c>
      <c r="O4540" s="17">
        <f t="shared" si="150"/>
        <v>0</v>
      </c>
      <c r="P4540" s="17">
        <f t="shared" si="149"/>
        <v>3201.8799999999997</v>
      </c>
      <c r="Q4540" t="str">
        <f>A4540&amp;"-"&amp;B4540&amp;"-"&amp;D4540</f>
        <v>OKTOBER-CHW-L1</v>
      </c>
    </row>
    <row r="4541" spans="1:17" x14ac:dyDescent="0.25">
      <c r="A4541" t="s">
        <v>400</v>
      </c>
      <c r="B4541" s="13" t="s">
        <v>19</v>
      </c>
      <c r="C4541" s="13" t="s">
        <v>70</v>
      </c>
      <c r="D4541" s="14" t="s">
        <v>44</v>
      </c>
      <c r="E4541" s="13" t="s">
        <v>77</v>
      </c>
      <c r="F4541" s="13" t="s">
        <v>826</v>
      </c>
      <c r="G4541" s="13">
        <v>3.7</v>
      </c>
      <c r="H4541" s="15">
        <v>20</v>
      </c>
      <c r="I4541" s="16">
        <v>74</v>
      </c>
      <c r="J4541" s="16">
        <v>44.25</v>
      </c>
      <c r="K4541" s="16">
        <v>29.75</v>
      </c>
      <c r="L4541" s="13">
        <v>9.69</v>
      </c>
      <c r="M4541" s="13"/>
      <c r="N4541" s="17">
        <f t="shared" si="150"/>
        <v>193.79999999999998</v>
      </c>
      <c r="O4541" s="17">
        <f t="shared" si="150"/>
        <v>0</v>
      </c>
      <c r="P4541" s="17">
        <f t="shared" si="149"/>
        <v>193.79999999999998</v>
      </c>
      <c r="Q4541" t="str">
        <f>A4541&amp;"-"&amp;B4541&amp;"-"&amp;D4541</f>
        <v>OKTOBER-CHW-L1</v>
      </c>
    </row>
    <row r="4542" spans="1:17" x14ac:dyDescent="0.25">
      <c r="A4542" t="s">
        <v>400</v>
      </c>
      <c r="B4542" s="13" t="s">
        <v>19</v>
      </c>
      <c r="C4542" s="13" t="s">
        <v>70</v>
      </c>
      <c r="D4542" s="14" t="s">
        <v>44</v>
      </c>
      <c r="E4542" s="13" t="s">
        <v>77</v>
      </c>
      <c r="F4542" s="13" t="s">
        <v>1122</v>
      </c>
      <c r="G4542" s="13">
        <v>2.75</v>
      </c>
      <c r="H4542" s="15">
        <v>41</v>
      </c>
      <c r="I4542" s="16">
        <v>112.75</v>
      </c>
      <c r="J4542" s="16">
        <v>90.336099585062243</v>
      </c>
      <c r="K4542" s="16">
        <v>22.413900414937757</v>
      </c>
      <c r="L4542" s="13">
        <v>6.9</v>
      </c>
      <c r="M4542" s="13"/>
      <c r="N4542" s="17">
        <f t="shared" si="150"/>
        <v>282.90000000000003</v>
      </c>
      <c r="O4542" s="17">
        <f t="shared" si="150"/>
        <v>0</v>
      </c>
      <c r="P4542" s="17">
        <f t="shared" si="149"/>
        <v>282.90000000000003</v>
      </c>
      <c r="Q4542" t="str">
        <f>A4542&amp;"-"&amp;B4542&amp;"-"&amp;D4542</f>
        <v>OKTOBER-CHW-L1</v>
      </c>
    </row>
    <row r="4543" spans="1:17" x14ac:dyDescent="0.25">
      <c r="A4543" t="s">
        <v>400</v>
      </c>
      <c r="B4543" s="13" t="s">
        <v>19</v>
      </c>
      <c r="C4543" s="13" t="s">
        <v>70</v>
      </c>
      <c r="D4543" s="14" t="s">
        <v>44</v>
      </c>
      <c r="E4543" s="13" t="s">
        <v>77</v>
      </c>
      <c r="F4543" s="13" t="s">
        <v>1123</v>
      </c>
      <c r="G4543" s="13">
        <v>2.75</v>
      </c>
      <c r="H4543" s="15">
        <v>38</v>
      </c>
      <c r="I4543" s="16">
        <v>104.5</v>
      </c>
      <c r="J4543" s="16">
        <v>83.726141078838168</v>
      </c>
      <c r="K4543" s="16">
        <v>20.773858921161832</v>
      </c>
      <c r="L4543" s="13">
        <v>7.3</v>
      </c>
      <c r="M4543" s="13"/>
      <c r="N4543" s="17">
        <f t="shared" si="150"/>
        <v>277.39999999999998</v>
      </c>
      <c r="O4543" s="17">
        <f t="shared" si="150"/>
        <v>0</v>
      </c>
      <c r="P4543" s="17">
        <f t="shared" si="149"/>
        <v>277.39999999999998</v>
      </c>
      <c r="Q4543" t="str">
        <f>A4543&amp;"-"&amp;B4543&amp;"-"&amp;D4543</f>
        <v>OKTOBER-CHW-L1</v>
      </c>
    </row>
    <row r="4544" spans="1:17" x14ac:dyDescent="0.25">
      <c r="A4544" t="s">
        <v>400</v>
      </c>
      <c r="B4544" s="13" t="s">
        <v>19</v>
      </c>
      <c r="C4544" s="13" t="s">
        <v>70</v>
      </c>
      <c r="D4544" s="14" t="s">
        <v>50</v>
      </c>
      <c r="E4544" s="13" t="s">
        <v>73</v>
      </c>
      <c r="F4544" s="13" t="s">
        <v>1426</v>
      </c>
      <c r="G4544" s="13">
        <v>4.5</v>
      </c>
      <c r="H4544" s="15">
        <v>71</v>
      </c>
      <c r="I4544" s="16">
        <v>319.5</v>
      </c>
      <c r="J4544" s="16">
        <v>314.17500000000001</v>
      </c>
      <c r="K4544" s="16">
        <v>5.3249999999999886</v>
      </c>
      <c r="L4544" s="13">
        <v>9.5299999999999994</v>
      </c>
      <c r="M4544" s="13"/>
      <c r="N4544" s="17">
        <f t="shared" si="150"/>
        <v>676.63</v>
      </c>
      <c r="O4544" s="17">
        <f t="shared" si="150"/>
        <v>0</v>
      </c>
      <c r="P4544" s="17">
        <f t="shared" si="149"/>
        <v>676.63</v>
      </c>
      <c r="Q4544" t="str">
        <f>A4544&amp;"-"&amp;B4544&amp;"-"&amp;D4544</f>
        <v>OKTOBER-CHW-L2</v>
      </c>
    </row>
    <row r="4545" spans="1:17" x14ac:dyDescent="0.25">
      <c r="A4545" t="s">
        <v>400</v>
      </c>
      <c r="B4545" s="13" t="s">
        <v>19</v>
      </c>
      <c r="C4545" s="13" t="s">
        <v>70</v>
      </c>
      <c r="D4545" s="14" t="s">
        <v>50</v>
      </c>
      <c r="E4545" s="13" t="s">
        <v>73</v>
      </c>
      <c r="F4545" s="13" t="s">
        <v>1640</v>
      </c>
      <c r="G4545" s="13">
        <v>4.5</v>
      </c>
      <c r="H4545" s="15">
        <v>270</v>
      </c>
      <c r="I4545" s="16">
        <v>1215</v>
      </c>
      <c r="J4545" s="16">
        <v>427.92352941176466</v>
      </c>
      <c r="K4545" s="16">
        <v>787.07647058823522</v>
      </c>
      <c r="L4545" s="13">
        <v>11.08</v>
      </c>
      <c r="M4545" s="13"/>
      <c r="N4545" s="17">
        <f t="shared" si="150"/>
        <v>2991.6</v>
      </c>
      <c r="O4545" s="17">
        <f t="shared" si="150"/>
        <v>0</v>
      </c>
      <c r="P4545" s="17">
        <f t="shared" si="149"/>
        <v>2991.6</v>
      </c>
      <c r="Q4545" t="str">
        <f>A4545&amp;"-"&amp;B4545&amp;"-"&amp;D4545</f>
        <v>OKTOBER-CHW-L2</v>
      </c>
    </row>
    <row r="4546" spans="1:17" x14ac:dyDescent="0.25">
      <c r="A4546" t="s">
        <v>400</v>
      </c>
      <c r="B4546" s="13" t="s">
        <v>19</v>
      </c>
      <c r="C4546" s="13" t="s">
        <v>70</v>
      </c>
      <c r="D4546" s="14" t="s">
        <v>50</v>
      </c>
      <c r="E4546" s="13" t="s">
        <v>73</v>
      </c>
      <c r="F4546" s="13" t="s">
        <v>1427</v>
      </c>
      <c r="G4546" s="13">
        <v>4.5</v>
      </c>
      <c r="H4546" s="15">
        <v>130</v>
      </c>
      <c r="I4546" s="16">
        <v>585</v>
      </c>
      <c r="J4546" s="16">
        <v>448.22647058823532</v>
      </c>
      <c r="K4546" s="16">
        <v>136.77352941176468</v>
      </c>
      <c r="L4546" s="13">
        <v>12.01</v>
      </c>
      <c r="M4546" s="13"/>
      <c r="N4546" s="17">
        <f t="shared" si="150"/>
        <v>1561.3</v>
      </c>
      <c r="O4546" s="17">
        <f t="shared" si="150"/>
        <v>0</v>
      </c>
      <c r="P4546" s="17">
        <f t="shared" ref="P4546:P4609" si="151">N4546+O4546</f>
        <v>1561.3</v>
      </c>
      <c r="Q4546" t="str">
        <f>A4546&amp;"-"&amp;B4546&amp;"-"&amp;D4546</f>
        <v>OKTOBER-CHW-L2</v>
      </c>
    </row>
    <row r="4547" spans="1:17" x14ac:dyDescent="0.25">
      <c r="A4547" t="s">
        <v>400</v>
      </c>
      <c r="B4547" s="13" t="s">
        <v>19</v>
      </c>
      <c r="C4547" s="13" t="s">
        <v>70</v>
      </c>
      <c r="D4547" s="14" t="s">
        <v>50</v>
      </c>
      <c r="E4547" s="13" t="s">
        <v>73</v>
      </c>
      <c r="F4547" s="13" t="s">
        <v>1247</v>
      </c>
      <c r="G4547" s="13">
        <v>4.5</v>
      </c>
      <c r="H4547" s="15">
        <v>20</v>
      </c>
      <c r="I4547" s="16">
        <v>90</v>
      </c>
      <c r="J4547" s="16">
        <v>21.240000000000002</v>
      </c>
      <c r="K4547" s="16">
        <v>68.759999999999991</v>
      </c>
      <c r="L4547" s="13">
        <v>13.1</v>
      </c>
      <c r="M4547" s="13"/>
      <c r="N4547" s="17">
        <f t="shared" si="150"/>
        <v>262</v>
      </c>
      <c r="O4547" s="17">
        <f t="shared" si="150"/>
        <v>0</v>
      </c>
      <c r="P4547" s="17">
        <f t="shared" si="151"/>
        <v>262</v>
      </c>
      <c r="Q4547" t="str">
        <f>A4547&amp;"-"&amp;B4547&amp;"-"&amp;D4547</f>
        <v>OKTOBER-CHW-L2</v>
      </c>
    </row>
    <row r="4548" spans="1:17" x14ac:dyDescent="0.25">
      <c r="A4548" t="s">
        <v>400</v>
      </c>
      <c r="B4548" s="13" t="s">
        <v>19</v>
      </c>
      <c r="C4548" s="13" t="s">
        <v>70</v>
      </c>
      <c r="D4548" s="14" t="s">
        <v>50</v>
      </c>
      <c r="E4548" s="13" t="s">
        <v>73</v>
      </c>
      <c r="F4548" s="13" t="s">
        <v>1431</v>
      </c>
      <c r="G4548" s="13">
        <v>4.5</v>
      </c>
      <c r="H4548" s="15">
        <v>28</v>
      </c>
      <c r="I4548" s="16">
        <v>126</v>
      </c>
      <c r="J4548" s="16">
        <v>91.363235294117658</v>
      </c>
      <c r="K4548" s="16">
        <v>34.636764705882349</v>
      </c>
      <c r="L4548" s="13">
        <v>9.58</v>
      </c>
      <c r="M4548" s="13"/>
      <c r="N4548" s="17">
        <f t="shared" si="150"/>
        <v>268.24</v>
      </c>
      <c r="O4548" s="17">
        <f t="shared" si="150"/>
        <v>0</v>
      </c>
      <c r="P4548" s="17">
        <f t="shared" si="151"/>
        <v>268.24</v>
      </c>
      <c r="Q4548" t="str">
        <f>A4548&amp;"-"&amp;B4548&amp;"-"&amp;D4548</f>
        <v>OKTOBER-CHW-L2</v>
      </c>
    </row>
    <row r="4549" spans="1:17" x14ac:dyDescent="0.25">
      <c r="A4549" t="s">
        <v>400</v>
      </c>
      <c r="B4549" s="13" t="s">
        <v>19</v>
      </c>
      <c r="C4549" s="13" t="s">
        <v>70</v>
      </c>
      <c r="D4549" s="14" t="s">
        <v>50</v>
      </c>
      <c r="E4549" s="13" t="s">
        <v>73</v>
      </c>
      <c r="F4549" s="13" t="s">
        <v>1433</v>
      </c>
      <c r="G4549" s="13">
        <v>4.5</v>
      </c>
      <c r="H4549" s="15">
        <v>390</v>
      </c>
      <c r="I4549" s="16">
        <v>1755</v>
      </c>
      <c r="J4549" s="16">
        <v>1268.3760504201682</v>
      </c>
      <c r="K4549" s="16">
        <v>486.62394957983196</v>
      </c>
      <c r="L4549" s="13">
        <v>10.28</v>
      </c>
      <c r="M4549" s="13"/>
      <c r="N4549" s="17">
        <f t="shared" si="150"/>
        <v>4009.2</v>
      </c>
      <c r="O4549" s="17">
        <f t="shared" si="150"/>
        <v>0</v>
      </c>
      <c r="P4549" s="17">
        <f t="shared" si="151"/>
        <v>4009.2</v>
      </c>
      <c r="Q4549" t="str">
        <f>A4549&amp;"-"&amp;B4549&amp;"-"&amp;D4549</f>
        <v>OKTOBER-CHW-L2</v>
      </c>
    </row>
    <row r="4550" spans="1:17" x14ac:dyDescent="0.25">
      <c r="A4550" t="s">
        <v>400</v>
      </c>
      <c r="B4550" s="13" t="s">
        <v>19</v>
      </c>
      <c r="C4550" s="13" t="s">
        <v>70</v>
      </c>
      <c r="D4550" s="14" t="s">
        <v>50</v>
      </c>
      <c r="E4550" s="13" t="s">
        <v>73</v>
      </c>
      <c r="F4550" s="13" t="s">
        <v>1641</v>
      </c>
      <c r="G4550" s="13">
        <v>4.5</v>
      </c>
      <c r="H4550" s="15">
        <v>2</v>
      </c>
      <c r="I4550" s="16">
        <v>9</v>
      </c>
      <c r="J4550" s="16">
        <v>7.5857142857142854</v>
      </c>
      <c r="K4550" s="16">
        <v>1.4142857142857146</v>
      </c>
      <c r="L4550" s="13">
        <v>10.85</v>
      </c>
      <c r="M4550" s="13"/>
      <c r="N4550" s="17">
        <f t="shared" si="150"/>
        <v>21.7</v>
      </c>
      <c r="O4550" s="17">
        <f t="shared" si="150"/>
        <v>0</v>
      </c>
      <c r="P4550" s="17">
        <f t="shared" si="151"/>
        <v>21.7</v>
      </c>
      <c r="Q4550" t="str">
        <f>A4550&amp;"-"&amp;B4550&amp;"-"&amp;D4550</f>
        <v>OKTOBER-CHW-L2</v>
      </c>
    </row>
    <row r="4551" spans="1:17" x14ac:dyDescent="0.25">
      <c r="A4551" t="s">
        <v>400</v>
      </c>
      <c r="B4551" s="13" t="s">
        <v>19</v>
      </c>
      <c r="C4551" s="13" t="s">
        <v>70</v>
      </c>
      <c r="D4551" s="14" t="s">
        <v>50</v>
      </c>
      <c r="E4551" s="13" t="s">
        <v>73</v>
      </c>
      <c r="F4551" s="13" t="s">
        <v>1248</v>
      </c>
      <c r="G4551" s="13">
        <v>4.5</v>
      </c>
      <c r="H4551" s="15">
        <v>237</v>
      </c>
      <c r="I4551" s="16">
        <v>1066.5</v>
      </c>
      <c r="J4551" s="16">
        <v>649.14750000000004</v>
      </c>
      <c r="K4551" s="16">
        <v>417.35250000000002</v>
      </c>
      <c r="L4551" s="13">
        <v>10.72</v>
      </c>
      <c r="M4551" s="13"/>
      <c r="N4551" s="17">
        <f t="shared" si="150"/>
        <v>2540.6400000000003</v>
      </c>
      <c r="O4551" s="17">
        <f t="shared" si="150"/>
        <v>0</v>
      </c>
      <c r="P4551" s="17">
        <f t="shared" si="151"/>
        <v>2540.6400000000003</v>
      </c>
      <c r="Q4551" t="str">
        <f>A4551&amp;"-"&amp;B4551&amp;"-"&amp;D4551</f>
        <v>OKTOBER-CHW-L2</v>
      </c>
    </row>
    <row r="4552" spans="1:17" x14ac:dyDescent="0.25">
      <c r="A4552" t="s">
        <v>400</v>
      </c>
      <c r="B4552" s="13" t="s">
        <v>19</v>
      </c>
      <c r="C4552" s="13" t="s">
        <v>70</v>
      </c>
      <c r="D4552" s="14" t="s">
        <v>50</v>
      </c>
      <c r="E4552" s="13" t="s">
        <v>73</v>
      </c>
      <c r="F4552" s="13" t="s">
        <v>1642</v>
      </c>
      <c r="G4552" s="13">
        <v>4.5</v>
      </c>
      <c r="H4552" s="15">
        <v>233</v>
      </c>
      <c r="I4552" s="16">
        <v>1048.5</v>
      </c>
      <c r="J4552" s="16">
        <v>921.66428571428571</v>
      </c>
      <c r="K4552" s="16">
        <v>126.83571428571426</v>
      </c>
      <c r="L4552" s="13">
        <v>10.56</v>
      </c>
      <c r="M4552" s="13"/>
      <c r="N4552" s="17">
        <f t="shared" si="150"/>
        <v>2460.48</v>
      </c>
      <c r="O4552" s="17">
        <f t="shared" si="150"/>
        <v>0</v>
      </c>
      <c r="P4552" s="17">
        <f t="shared" si="151"/>
        <v>2460.48</v>
      </c>
      <c r="Q4552" t="str">
        <f>A4552&amp;"-"&amp;B4552&amp;"-"&amp;D4552</f>
        <v>OKTOBER-CHW-L2</v>
      </c>
    </row>
    <row r="4553" spans="1:17" x14ac:dyDescent="0.25">
      <c r="A4553" t="s">
        <v>400</v>
      </c>
      <c r="B4553" s="13" t="s">
        <v>19</v>
      </c>
      <c r="C4553" s="13" t="s">
        <v>70</v>
      </c>
      <c r="D4553" s="14" t="s">
        <v>50</v>
      </c>
      <c r="E4553" s="13" t="s">
        <v>73</v>
      </c>
      <c r="F4553" s="13" t="s">
        <v>1643</v>
      </c>
      <c r="G4553" s="13">
        <v>4.5</v>
      </c>
      <c r="H4553" s="15">
        <v>2</v>
      </c>
      <c r="I4553" s="16">
        <v>9</v>
      </c>
      <c r="J4553" s="16">
        <v>0</v>
      </c>
      <c r="K4553" s="16">
        <v>9</v>
      </c>
      <c r="L4553" s="13">
        <v>10.73</v>
      </c>
      <c r="M4553" s="13"/>
      <c r="N4553" s="17">
        <f t="shared" si="150"/>
        <v>21.46</v>
      </c>
      <c r="O4553" s="17">
        <f t="shared" si="150"/>
        <v>0</v>
      </c>
      <c r="P4553" s="17">
        <f t="shared" si="151"/>
        <v>21.46</v>
      </c>
      <c r="Q4553" t="str">
        <f>A4553&amp;"-"&amp;B4553&amp;"-"&amp;D4553</f>
        <v>OKTOBER-CHW-L2</v>
      </c>
    </row>
    <row r="4554" spans="1:17" x14ac:dyDescent="0.25">
      <c r="A4554" t="s">
        <v>400</v>
      </c>
      <c r="B4554" s="13" t="s">
        <v>19</v>
      </c>
      <c r="C4554" s="13" t="s">
        <v>70</v>
      </c>
      <c r="D4554" s="14" t="s">
        <v>50</v>
      </c>
      <c r="E4554" s="13" t="s">
        <v>73</v>
      </c>
      <c r="F4554" s="13" t="s">
        <v>1011</v>
      </c>
      <c r="G4554" s="13">
        <v>4.5</v>
      </c>
      <c r="H4554" s="15">
        <v>35</v>
      </c>
      <c r="I4554" s="16">
        <v>157.5</v>
      </c>
      <c r="J4554" s="16">
        <v>105.59659090909091</v>
      </c>
      <c r="K4554" s="16">
        <v>51.903409090909093</v>
      </c>
      <c r="L4554" s="13">
        <v>11.62</v>
      </c>
      <c r="M4554" s="13"/>
      <c r="N4554" s="17">
        <f t="shared" si="150"/>
        <v>406.7</v>
      </c>
      <c r="O4554" s="17">
        <f t="shared" si="150"/>
        <v>0</v>
      </c>
      <c r="P4554" s="17">
        <f t="shared" si="151"/>
        <v>406.7</v>
      </c>
      <c r="Q4554" t="str">
        <f>A4554&amp;"-"&amp;B4554&amp;"-"&amp;D4554</f>
        <v>OKTOBER-CHW-L2</v>
      </c>
    </row>
    <row r="4555" spans="1:17" x14ac:dyDescent="0.25">
      <c r="A4555" t="s">
        <v>400</v>
      </c>
      <c r="B4555" s="13" t="s">
        <v>19</v>
      </c>
      <c r="C4555" s="13" t="s">
        <v>70</v>
      </c>
      <c r="D4555" s="14" t="s">
        <v>50</v>
      </c>
      <c r="E4555" s="13" t="s">
        <v>73</v>
      </c>
      <c r="F4555" s="13" t="s">
        <v>829</v>
      </c>
      <c r="G4555" s="13">
        <v>4.5</v>
      </c>
      <c r="H4555" s="15">
        <v>73</v>
      </c>
      <c r="I4555" s="16">
        <v>328.5</v>
      </c>
      <c r="J4555" s="16">
        <v>220.24431818181819</v>
      </c>
      <c r="K4555" s="16">
        <v>108.25568181818183</v>
      </c>
      <c r="L4555" s="13">
        <v>10.94</v>
      </c>
      <c r="M4555" s="13"/>
      <c r="N4555" s="17">
        <f t="shared" ref="N4555:O4614" si="152">$H4555*L4555</f>
        <v>798.62</v>
      </c>
      <c r="O4555" s="17">
        <f t="shared" si="152"/>
        <v>0</v>
      </c>
      <c r="P4555" s="17">
        <f t="shared" si="151"/>
        <v>798.62</v>
      </c>
      <c r="Q4555" t="str">
        <f>A4555&amp;"-"&amp;B4555&amp;"-"&amp;D4555</f>
        <v>OKTOBER-CHW-L2</v>
      </c>
    </row>
    <row r="4556" spans="1:17" x14ac:dyDescent="0.25">
      <c r="A4556" t="s">
        <v>400</v>
      </c>
      <c r="B4556" s="13" t="s">
        <v>19</v>
      </c>
      <c r="C4556" s="13" t="s">
        <v>70</v>
      </c>
      <c r="D4556" s="14" t="s">
        <v>50</v>
      </c>
      <c r="E4556" s="13" t="s">
        <v>73</v>
      </c>
      <c r="F4556" s="13" t="s">
        <v>1644</v>
      </c>
      <c r="G4556" s="13">
        <v>4.5</v>
      </c>
      <c r="H4556" s="15">
        <v>1245</v>
      </c>
      <c r="I4556" s="16">
        <v>5602.5</v>
      </c>
      <c r="J4556" s="16">
        <v>4266.9412987012993</v>
      </c>
      <c r="K4556" s="16">
        <v>1335.5587012987014</v>
      </c>
      <c r="L4556" s="13">
        <v>11.44</v>
      </c>
      <c r="M4556" s="13"/>
      <c r="N4556" s="17">
        <f t="shared" si="152"/>
        <v>14242.8</v>
      </c>
      <c r="O4556" s="17">
        <f t="shared" si="152"/>
        <v>0</v>
      </c>
      <c r="P4556" s="17">
        <f t="shared" si="151"/>
        <v>14242.8</v>
      </c>
      <c r="Q4556" t="str">
        <f>A4556&amp;"-"&amp;B4556&amp;"-"&amp;D4556</f>
        <v>OKTOBER-CHW-L2</v>
      </c>
    </row>
    <row r="4557" spans="1:17" x14ac:dyDescent="0.25">
      <c r="A4557" t="s">
        <v>400</v>
      </c>
      <c r="B4557" s="13" t="s">
        <v>19</v>
      </c>
      <c r="C4557" s="13" t="s">
        <v>70</v>
      </c>
      <c r="D4557" s="14" t="s">
        <v>50</v>
      </c>
      <c r="E4557" s="13" t="s">
        <v>73</v>
      </c>
      <c r="F4557" s="13" t="s">
        <v>1012</v>
      </c>
      <c r="G4557" s="13">
        <v>4.5</v>
      </c>
      <c r="H4557" s="15">
        <v>45</v>
      </c>
      <c r="I4557" s="16">
        <v>202.5</v>
      </c>
      <c r="J4557" s="16">
        <v>156.16227272727272</v>
      </c>
      <c r="K4557" s="16">
        <v>46.337727272727271</v>
      </c>
      <c r="L4557" s="13">
        <v>13.31</v>
      </c>
      <c r="M4557" s="13"/>
      <c r="N4557" s="17">
        <f t="shared" si="152"/>
        <v>598.95000000000005</v>
      </c>
      <c r="O4557" s="17">
        <f t="shared" si="152"/>
        <v>0</v>
      </c>
      <c r="P4557" s="17">
        <f t="shared" si="151"/>
        <v>598.95000000000005</v>
      </c>
      <c r="Q4557" t="str">
        <f>A4557&amp;"-"&amp;B4557&amp;"-"&amp;D4557</f>
        <v>OKTOBER-CHW-L2</v>
      </c>
    </row>
    <row r="4558" spans="1:17" x14ac:dyDescent="0.25">
      <c r="A4558" t="s">
        <v>400</v>
      </c>
      <c r="B4558" s="13" t="s">
        <v>19</v>
      </c>
      <c r="C4558" s="13" t="s">
        <v>70</v>
      </c>
      <c r="D4558" s="14" t="s">
        <v>50</v>
      </c>
      <c r="E4558" s="13" t="s">
        <v>73</v>
      </c>
      <c r="F4558" s="13" t="s">
        <v>830</v>
      </c>
      <c r="G4558" s="13">
        <v>4.5</v>
      </c>
      <c r="H4558" s="15">
        <v>98</v>
      </c>
      <c r="I4558" s="16">
        <v>441</v>
      </c>
      <c r="J4558" s="16">
        <v>466.91795454545456</v>
      </c>
      <c r="K4558" s="16">
        <v>-25.917954545454549</v>
      </c>
      <c r="L4558" s="13">
        <v>11.12</v>
      </c>
      <c r="M4558" s="13"/>
      <c r="N4558" s="17">
        <f t="shared" si="152"/>
        <v>1089.76</v>
      </c>
      <c r="O4558" s="17">
        <f t="shared" si="152"/>
        <v>0</v>
      </c>
      <c r="P4558" s="17">
        <f t="shared" si="151"/>
        <v>1089.76</v>
      </c>
      <c r="Q4558" t="str">
        <f>A4558&amp;"-"&amp;B4558&amp;"-"&amp;D4558</f>
        <v>OKTOBER-CHW-L2</v>
      </c>
    </row>
    <row r="4559" spans="1:17" x14ac:dyDescent="0.25">
      <c r="A4559" t="s">
        <v>400</v>
      </c>
      <c r="B4559" s="13" t="s">
        <v>19</v>
      </c>
      <c r="C4559" s="13" t="s">
        <v>70</v>
      </c>
      <c r="D4559" s="14" t="s">
        <v>50</v>
      </c>
      <c r="E4559" s="13" t="s">
        <v>73</v>
      </c>
      <c r="F4559" s="13" t="s">
        <v>1645</v>
      </c>
      <c r="G4559" s="13">
        <v>4.5</v>
      </c>
      <c r="H4559" s="15">
        <v>228</v>
      </c>
      <c r="I4559" s="16">
        <v>1026</v>
      </c>
      <c r="J4559" s="16">
        <v>605.33999999999992</v>
      </c>
      <c r="K4559" s="16">
        <v>420.65999999999997</v>
      </c>
      <c r="L4559" s="13">
        <v>11.42</v>
      </c>
      <c r="M4559" s="13"/>
      <c r="N4559" s="17">
        <f t="shared" si="152"/>
        <v>2603.7599999999998</v>
      </c>
      <c r="O4559" s="17">
        <f t="shared" si="152"/>
        <v>0</v>
      </c>
      <c r="P4559" s="17">
        <f t="shared" si="151"/>
        <v>2603.7599999999998</v>
      </c>
      <c r="Q4559" t="str">
        <f>A4559&amp;"-"&amp;B4559&amp;"-"&amp;D4559</f>
        <v>OKTOBER-CHW-L2</v>
      </c>
    </row>
    <row r="4560" spans="1:17" x14ac:dyDescent="0.25">
      <c r="A4560" t="s">
        <v>400</v>
      </c>
      <c r="B4560" s="13" t="s">
        <v>19</v>
      </c>
      <c r="C4560" s="13" t="s">
        <v>70</v>
      </c>
      <c r="D4560" s="14" t="s">
        <v>50</v>
      </c>
      <c r="E4560" s="13" t="s">
        <v>73</v>
      </c>
      <c r="F4560" s="13" t="s">
        <v>1646</v>
      </c>
      <c r="G4560" s="13">
        <v>4.5</v>
      </c>
      <c r="H4560" s="15">
        <v>242</v>
      </c>
      <c r="I4560" s="16">
        <v>1089</v>
      </c>
      <c r="J4560" s="16">
        <v>752.64077922077911</v>
      </c>
      <c r="K4560" s="16">
        <v>336.35922077922089</v>
      </c>
      <c r="L4560" s="13">
        <v>12.27</v>
      </c>
      <c r="M4560" s="13"/>
      <c r="N4560" s="17">
        <f t="shared" si="152"/>
        <v>2969.3399999999997</v>
      </c>
      <c r="O4560" s="17">
        <f t="shared" si="152"/>
        <v>0</v>
      </c>
      <c r="P4560" s="17">
        <f t="shared" si="151"/>
        <v>2969.3399999999997</v>
      </c>
      <c r="Q4560" t="str">
        <f>A4560&amp;"-"&amp;B4560&amp;"-"&amp;D4560</f>
        <v>OKTOBER-CHW-L2</v>
      </c>
    </row>
    <row r="4561" spans="1:17" x14ac:dyDescent="0.25">
      <c r="A4561" t="s">
        <v>400</v>
      </c>
      <c r="B4561" s="13" t="s">
        <v>19</v>
      </c>
      <c r="C4561" s="13" t="s">
        <v>70</v>
      </c>
      <c r="D4561" s="14" t="s">
        <v>50</v>
      </c>
      <c r="E4561" s="13" t="s">
        <v>73</v>
      </c>
      <c r="F4561" s="13" t="s">
        <v>1647</v>
      </c>
      <c r="G4561" s="13">
        <v>4.5</v>
      </c>
      <c r="H4561" s="15">
        <v>161</v>
      </c>
      <c r="I4561" s="16">
        <v>724.5</v>
      </c>
      <c r="J4561" s="16">
        <v>427.45500000000004</v>
      </c>
      <c r="K4561" s="16">
        <v>297.04499999999996</v>
      </c>
      <c r="L4561" s="13">
        <v>11.43</v>
      </c>
      <c r="M4561" s="13"/>
      <c r="N4561" s="17">
        <f t="shared" si="152"/>
        <v>1840.23</v>
      </c>
      <c r="O4561" s="17">
        <f t="shared" si="152"/>
        <v>0</v>
      </c>
      <c r="P4561" s="17">
        <f t="shared" si="151"/>
        <v>1840.23</v>
      </c>
      <c r="Q4561" t="str">
        <f>A4561&amp;"-"&amp;B4561&amp;"-"&amp;D4561</f>
        <v>OKTOBER-CHW-L2</v>
      </c>
    </row>
    <row r="4562" spans="1:17" x14ac:dyDescent="0.25">
      <c r="A4562" t="s">
        <v>400</v>
      </c>
      <c r="B4562" s="13" t="s">
        <v>19</v>
      </c>
      <c r="C4562" s="13" t="s">
        <v>70</v>
      </c>
      <c r="D4562" s="14" t="s">
        <v>56</v>
      </c>
      <c r="E4562" s="13" t="s">
        <v>71</v>
      </c>
      <c r="F4562" s="13" t="s">
        <v>1648</v>
      </c>
      <c r="G4562" s="13">
        <v>4.8</v>
      </c>
      <c r="H4562" s="15">
        <v>136</v>
      </c>
      <c r="I4562" s="16">
        <v>652.80000000000007</v>
      </c>
      <c r="J4562" s="16">
        <v>677.86785714285713</v>
      </c>
      <c r="K4562" s="16">
        <v>-25.067857142857136</v>
      </c>
      <c r="L4562" s="13">
        <v>12.75</v>
      </c>
      <c r="M4562" s="13"/>
      <c r="N4562" s="17">
        <f t="shared" si="152"/>
        <v>1734</v>
      </c>
      <c r="O4562" s="17">
        <f t="shared" si="152"/>
        <v>0</v>
      </c>
      <c r="P4562" s="17">
        <f t="shared" si="151"/>
        <v>1734</v>
      </c>
      <c r="Q4562" t="str">
        <f>A4562&amp;"-"&amp;B4562&amp;"-"&amp;D4562</f>
        <v>OKTOBER-CHW-L3</v>
      </c>
    </row>
    <row r="4563" spans="1:17" x14ac:dyDescent="0.25">
      <c r="A4563" t="s">
        <v>400</v>
      </c>
      <c r="B4563" s="13" t="s">
        <v>19</v>
      </c>
      <c r="C4563" s="13" t="s">
        <v>70</v>
      </c>
      <c r="D4563" s="14" t="s">
        <v>56</v>
      </c>
      <c r="E4563" s="13" t="s">
        <v>71</v>
      </c>
      <c r="F4563" s="13" t="s">
        <v>1649</v>
      </c>
      <c r="G4563" s="13">
        <v>4.8</v>
      </c>
      <c r="H4563" s="15">
        <v>69</v>
      </c>
      <c r="I4563" s="16">
        <v>331.2</v>
      </c>
      <c r="J4563" s="16">
        <v>382.18026315789473</v>
      </c>
      <c r="K4563" s="16">
        <v>-50.98026315789474</v>
      </c>
      <c r="L4563" s="13">
        <v>14.68</v>
      </c>
      <c r="M4563" s="13"/>
      <c r="N4563" s="17">
        <f t="shared" si="152"/>
        <v>1012.92</v>
      </c>
      <c r="O4563" s="17">
        <f t="shared" si="152"/>
        <v>0</v>
      </c>
      <c r="P4563" s="17">
        <f t="shared" si="151"/>
        <v>1012.92</v>
      </c>
      <c r="Q4563" t="str">
        <f>A4563&amp;"-"&amp;B4563&amp;"-"&amp;D4563</f>
        <v>OKTOBER-CHW-L3</v>
      </c>
    </row>
    <row r="4564" spans="1:17" x14ac:dyDescent="0.25">
      <c r="A4564" t="s">
        <v>400</v>
      </c>
      <c r="B4564" s="13" t="s">
        <v>19</v>
      </c>
      <c r="C4564" s="13" t="s">
        <v>70</v>
      </c>
      <c r="D4564" s="14" t="s">
        <v>56</v>
      </c>
      <c r="E4564" s="13" t="s">
        <v>71</v>
      </c>
      <c r="F4564" s="13" t="s">
        <v>1437</v>
      </c>
      <c r="G4564" s="13">
        <v>5</v>
      </c>
      <c r="H4564" s="15">
        <v>419</v>
      </c>
      <c r="I4564" s="16">
        <v>2095</v>
      </c>
      <c r="J4564" s="16">
        <v>2150.5500000000002</v>
      </c>
      <c r="K4564" s="16">
        <v>-55.550000000000026</v>
      </c>
      <c r="L4564" s="13">
        <v>14.82</v>
      </c>
      <c r="M4564" s="13"/>
      <c r="N4564" s="17">
        <f t="shared" si="152"/>
        <v>6209.58</v>
      </c>
      <c r="O4564" s="17">
        <f t="shared" si="152"/>
        <v>0</v>
      </c>
      <c r="P4564" s="17">
        <f t="shared" si="151"/>
        <v>6209.58</v>
      </c>
      <c r="Q4564" t="str">
        <f>A4564&amp;"-"&amp;B4564&amp;"-"&amp;D4564</f>
        <v>OKTOBER-CHW-L3</v>
      </c>
    </row>
    <row r="4565" spans="1:17" x14ac:dyDescent="0.25">
      <c r="A4565" t="s">
        <v>400</v>
      </c>
      <c r="B4565" s="13" t="s">
        <v>19</v>
      </c>
      <c r="C4565" s="13" t="s">
        <v>70</v>
      </c>
      <c r="D4565" s="14" t="s">
        <v>56</v>
      </c>
      <c r="E4565" s="13" t="s">
        <v>71</v>
      </c>
      <c r="F4565" s="13" t="s">
        <v>1650</v>
      </c>
      <c r="G4565" s="13">
        <v>5</v>
      </c>
      <c r="H4565" s="15">
        <v>97</v>
      </c>
      <c r="I4565" s="16">
        <v>485</v>
      </c>
      <c r="J4565" s="16">
        <v>429.22500000000002</v>
      </c>
      <c r="K4565" s="16">
        <v>55.774999999999991</v>
      </c>
      <c r="L4565" s="13">
        <v>10.44</v>
      </c>
      <c r="M4565" s="13"/>
      <c r="N4565" s="17">
        <f t="shared" si="152"/>
        <v>1012.68</v>
      </c>
      <c r="O4565" s="17">
        <f t="shared" si="152"/>
        <v>0</v>
      </c>
      <c r="P4565" s="17">
        <f t="shared" si="151"/>
        <v>1012.68</v>
      </c>
      <c r="Q4565" t="str">
        <f>A4565&amp;"-"&amp;B4565&amp;"-"&amp;D4565</f>
        <v>OKTOBER-CHW-L3</v>
      </c>
    </row>
    <row r="4566" spans="1:17" x14ac:dyDescent="0.25">
      <c r="A4566" t="s">
        <v>400</v>
      </c>
      <c r="B4566" s="13" t="s">
        <v>19</v>
      </c>
      <c r="C4566" s="13" t="s">
        <v>70</v>
      </c>
      <c r="D4566" s="14" t="s">
        <v>56</v>
      </c>
      <c r="E4566" s="13" t="s">
        <v>71</v>
      </c>
      <c r="F4566" s="13" t="s">
        <v>1651</v>
      </c>
      <c r="G4566" s="13">
        <v>5</v>
      </c>
      <c r="H4566" s="15">
        <v>181</v>
      </c>
      <c r="I4566" s="16">
        <v>905</v>
      </c>
      <c r="J4566" s="16">
        <v>809.55</v>
      </c>
      <c r="K4566" s="16">
        <v>95.449999999999989</v>
      </c>
      <c r="L4566" s="13">
        <v>10.56</v>
      </c>
      <c r="M4566" s="13"/>
      <c r="N4566" s="17">
        <f t="shared" si="152"/>
        <v>1911.3600000000001</v>
      </c>
      <c r="O4566" s="17">
        <f t="shared" si="152"/>
        <v>0</v>
      </c>
      <c r="P4566" s="17">
        <f t="shared" si="151"/>
        <v>1911.3600000000001</v>
      </c>
      <c r="Q4566" t="str">
        <f>A4566&amp;"-"&amp;B4566&amp;"-"&amp;D4566</f>
        <v>OKTOBER-CHW-L3</v>
      </c>
    </row>
    <row r="4567" spans="1:17" x14ac:dyDescent="0.25">
      <c r="A4567" t="s">
        <v>400</v>
      </c>
      <c r="B4567" s="13" t="s">
        <v>19</v>
      </c>
      <c r="C4567" s="13" t="s">
        <v>70</v>
      </c>
      <c r="D4567" s="14" t="s">
        <v>56</v>
      </c>
      <c r="E4567" s="13" t="s">
        <v>71</v>
      </c>
      <c r="F4567" s="13" t="s">
        <v>1652</v>
      </c>
      <c r="G4567" s="13">
        <v>5</v>
      </c>
      <c r="H4567" s="15">
        <v>113</v>
      </c>
      <c r="I4567" s="16">
        <v>565</v>
      </c>
      <c r="J4567" s="16">
        <v>780.36557017543862</v>
      </c>
      <c r="K4567" s="16">
        <v>-215.36557017543862</v>
      </c>
      <c r="L4567" s="13">
        <v>12.34</v>
      </c>
      <c r="M4567" s="13"/>
      <c r="N4567" s="17">
        <f t="shared" si="152"/>
        <v>1394.42</v>
      </c>
      <c r="O4567" s="17">
        <f t="shared" si="152"/>
        <v>0</v>
      </c>
      <c r="P4567" s="17">
        <f t="shared" si="151"/>
        <v>1394.42</v>
      </c>
      <c r="Q4567" t="str">
        <f>A4567&amp;"-"&amp;B4567&amp;"-"&amp;D4567</f>
        <v>OKTOBER-CHW-L3</v>
      </c>
    </row>
    <row r="4568" spans="1:17" x14ac:dyDescent="0.25">
      <c r="A4568" t="s">
        <v>400</v>
      </c>
      <c r="B4568" s="13" t="s">
        <v>19</v>
      </c>
      <c r="C4568" s="13" t="s">
        <v>70</v>
      </c>
      <c r="D4568" s="14" t="s">
        <v>56</v>
      </c>
      <c r="E4568" s="13" t="s">
        <v>71</v>
      </c>
      <c r="F4568" s="13" t="s">
        <v>1653</v>
      </c>
      <c r="G4568" s="13">
        <v>4.8</v>
      </c>
      <c r="H4568" s="15">
        <v>123</v>
      </c>
      <c r="I4568" s="16">
        <v>590.4</v>
      </c>
      <c r="J4568" s="16">
        <v>537.32142857142856</v>
      </c>
      <c r="K4568" s="16">
        <v>53.078571428571429</v>
      </c>
      <c r="L4568" s="13">
        <v>13.72</v>
      </c>
      <c r="M4568" s="13"/>
      <c r="N4568" s="17">
        <f t="shared" si="152"/>
        <v>1687.5600000000002</v>
      </c>
      <c r="O4568" s="17">
        <f t="shared" si="152"/>
        <v>0</v>
      </c>
      <c r="P4568" s="17">
        <f t="shared" si="151"/>
        <v>1687.5600000000002</v>
      </c>
      <c r="Q4568" t="str">
        <f>A4568&amp;"-"&amp;B4568&amp;"-"&amp;D4568</f>
        <v>OKTOBER-CHW-L3</v>
      </c>
    </row>
    <row r="4569" spans="1:17" x14ac:dyDescent="0.25">
      <c r="A4569" t="s">
        <v>400</v>
      </c>
      <c r="B4569" s="13" t="s">
        <v>19</v>
      </c>
      <c r="C4569" s="13" t="s">
        <v>70</v>
      </c>
      <c r="D4569" s="14" t="s">
        <v>56</v>
      </c>
      <c r="E4569" s="13" t="s">
        <v>71</v>
      </c>
      <c r="F4569" s="13" t="s">
        <v>831</v>
      </c>
      <c r="G4569" s="13">
        <v>5</v>
      </c>
      <c r="H4569" s="15">
        <v>28</v>
      </c>
      <c r="I4569" s="16">
        <v>140</v>
      </c>
      <c r="J4569" s="16">
        <v>106.2</v>
      </c>
      <c r="K4569" s="16">
        <v>33.799999999999997</v>
      </c>
      <c r="L4569" s="13">
        <v>12.82</v>
      </c>
      <c r="M4569" s="13"/>
      <c r="N4569" s="17">
        <f t="shared" si="152"/>
        <v>358.96000000000004</v>
      </c>
      <c r="O4569" s="17">
        <f t="shared" si="152"/>
        <v>0</v>
      </c>
      <c r="P4569" s="17">
        <f t="shared" si="151"/>
        <v>358.96000000000004</v>
      </c>
      <c r="Q4569" t="str">
        <f>A4569&amp;"-"&amp;B4569&amp;"-"&amp;D4569</f>
        <v>OKTOBER-CHW-L3</v>
      </c>
    </row>
    <row r="4570" spans="1:17" x14ac:dyDescent="0.25">
      <c r="A4570" t="s">
        <v>400</v>
      </c>
      <c r="B4570" s="13" t="s">
        <v>19</v>
      </c>
      <c r="C4570" s="13" t="s">
        <v>70</v>
      </c>
      <c r="D4570" s="14" t="s">
        <v>56</v>
      </c>
      <c r="E4570" s="13" t="s">
        <v>71</v>
      </c>
      <c r="F4570" s="13" t="s">
        <v>1129</v>
      </c>
      <c r="G4570" s="13">
        <v>5</v>
      </c>
      <c r="H4570" s="15">
        <v>18</v>
      </c>
      <c r="I4570" s="16">
        <v>90</v>
      </c>
      <c r="J4570" s="16">
        <v>132.25833333333333</v>
      </c>
      <c r="K4570" s="16">
        <v>-42.258333333333326</v>
      </c>
      <c r="L4570" s="13">
        <v>14.26</v>
      </c>
      <c r="M4570" s="13"/>
      <c r="N4570" s="17">
        <f t="shared" si="152"/>
        <v>256.68</v>
      </c>
      <c r="O4570" s="17">
        <f t="shared" si="152"/>
        <v>0</v>
      </c>
      <c r="P4570" s="17">
        <f t="shared" si="151"/>
        <v>256.68</v>
      </c>
      <c r="Q4570" t="str">
        <f>A4570&amp;"-"&amp;B4570&amp;"-"&amp;D4570</f>
        <v>OKTOBER-CHW-L3</v>
      </c>
    </row>
    <row r="4571" spans="1:17" x14ac:dyDescent="0.25">
      <c r="A4571" t="s">
        <v>400</v>
      </c>
      <c r="B4571" s="13" t="s">
        <v>19</v>
      </c>
      <c r="C4571" s="13" t="s">
        <v>70</v>
      </c>
      <c r="D4571" s="14" t="s">
        <v>56</v>
      </c>
      <c r="E4571" s="13" t="s">
        <v>71</v>
      </c>
      <c r="F4571" s="13" t="s">
        <v>1438</v>
      </c>
      <c r="G4571" s="13">
        <v>5</v>
      </c>
      <c r="H4571" s="15">
        <v>53</v>
      </c>
      <c r="I4571" s="16">
        <v>265</v>
      </c>
      <c r="J4571" s="16">
        <v>234.52500000000001</v>
      </c>
      <c r="K4571" s="16">
        <v>30.474999999999994</v>
      </c>
      <c r="L4571" s="13">
        <v>12.59</v>
      </c>
      <c r="M4571" s="13"/>
      <c r="N4571" s="17">
        <f t="shared" si="152"/>
        <v>667.27</v>
      </c>
      <c r="O4571" s="17">
        <f t="shared" si="152"/>
        <v>0</v>
      </c>
      <c r="P4571" s="17">
        <f t="shared" si="151"/>
        <v>667.27</v>
      </c>
      <c r="Q4571" t="str">
        <f>A4571&amp;"-"&amp;B4571&amp;"-"&amp;D4571</f>
        <v>OKTOBER-CHW-L3</v>
      </c>
    </row>
    <row r="4572" spans="1:17" x14ac:dyDescent="0.25">
      <c r="A4572" t="s">
        <v>400</v>
      </c>
      <c r="B4572" s="13" t="s">
        <v>19</v>
      </c>
      <c r="C4572" s="13" t="s">
        <v>70</v>
      </c>
      <c r="D4572" s="14" t="s">
        <v>56</v>
      </c>
      <c r="E4572" s="13" t="s">
        <v>71</v>
      </c>
      <c r="F4572" s="13" t="s">
        <v>1252</v>
      </c>
      <c r="G4572" s="13">
        <v>4.8</v>
      </c>
      <c r="H4572" s="15">
        <v>9</v>
      </c>
      <c r="I4572" s="16">
        <v>43.199999999999996</v>
      </c>
      <c r="J4572" s="16">
        <v>42.037500000000001</v>
      </c>
      <c r="K4572" s="16">
        <v>1.1624999999999996</v>
      </c>
      <c r="L4572" s="13">
        <v>12.19</v>
      </c>
      <c r="M4572" s="13"/>
      <c r="N4572" s="17">
        <f t="shared" si="152"/>
        <v>109.71</v>
      </c>
      <c r="O4572" s="17">
        <f t="shared" si="152"/>
        <v>0</v>
      </c>
      <c r="P4572" s="17">
        <f t="shared" si="151"/>
        <v>109.71</v>
      </c>
      <c r="Q4572" t="str">
        <f>A4572&amp;"-"&amp;B4572&amp;"-"&amp;D4572</f>
        <v>OKTOBER-CHW-L3</v>
      </c>
    </row>
    <row r="4573" spans="1:17" x14ac:dyDescent="0.25">
      <c r="A4573" t="s">
        <v>400</v>
      </c>
      <c r="B4573" s="13" t="s">
        <v>19</v>
      </c>
      <c r="C4573" s="13" t="s">
        <v>70</v>
      </c>
      <c r="D4573" s="14" t="s">
        <v>56</v>
      </c>
      <c r="E4573" s="13" t="s">
        <v>71</v>
      </c>
      <c r="F4573" s="13" t="s">
        <v>833</v>
      </c>
      <c r="G4573" s="13">
        <v>5</v>
      </c>
      <c r="H4573" s="15">
        <v>56</v>
      </c>
      <c r="I4573" s="16">
        <v>280</v>
      </c>
      <c r="J4573" s="16">
        <v>371.7</v>
      </c>
      <c r="K4573" s="16">
        <v>-91.699999999999989</v>
      </c>
      <c r="L4573" s="13">
        <v>10.72</v>
      </c>
      <c r="M4573" s="13"/>
      <c r="N4573" s="17">
        <f t="shared" si="152"/>
        <v>600.32000000000005</v>
      </c>
      <c r="O4573" s="17">
        <f t="shared" si="152"/>
        <v>0</v>
      </c>
      <c r="P4573" s="17">
        <f t="shared" si="151"/>
        <v>600.32000000000005</v>
      </c>
      <c r="Q4573" t="str">
        <f>A4573&amp;"-"&amp;B4573&amp;"-"&amp;D4573</f>
        <v>OKTOBER-CHW-L3</v>
      </c>
    </row>
    <row r="4574" spans="1:17" x14ac:dyDescent="0.25">
      <c r="A4574" t="s">
        <v>400</v>
      </c>
      <c r="B4574" s="13" t="s">
        <v>19</v>
      </c>
      <c r="C4574" s="13" t="s">
        <v>70</v>
      </c>
      <c r="D4574" s="14" t="s">
        <v>56</v>
      </c>
      <c r="E4574" s="13" t="s">
        <v>71</v>
      </c>
      <c r="F4574" s="13" t="s">
        <v>1654</v>
      </c>
      <c r="G4574" s="13">
        <v>5</v>
      </c>
      <c r="H4574" s="15">
        <v>175</v>
      </c>
      <c r="I4574" s="16">
        <v>875</v>
      </c>
      <c r="J4574" s="16">
        <v>663.75</v>
      </c>
      <c r="K4574" s="16">
        <v>211.24999999999997</v>
      </c>
      <c r="L4574" s="13">
        <v>10.32</v>
      </c>
      <c r="M4574" s="13"/>
      <c r="N4574" s="17">
        <f t="shared" si="152"/>
        <v>1806</v>
      </c>
      <c r="O4574" s="17">
        <f t="shared" si="152"/>
        <v>0</v>
      </c>
      <c r="P4574" s="17">
        <f t="shared" si="151"/>
        <v>1806</v>
      </c>
      <c r="Q4574" t="str">
        <f>A4574&amp;"-"&amp;B4574&amp;"-"&amp;D4574</f>
        <v>OKTOBER-CHW-L3</v>
      </c>
    </row>
    <row r="4575" spans="1:17" x14ac:dyDescent="0.25">
      <c r="A4575" t="s">
        <v>400</v>
      </c>
      <c r="B4575" s="13" t="s">
        <v>19</v>
      </c>
      <c r="C4575" s="13" t="s">
        <v>70</v>
      </c>
      <c r="D4575" s="14" t="s">
        <v>56</v>
      </c>
      <c r="E4575" s="13" t="s">
        <v>71</v>
      </c>
      <c r="F4575" s="13" t="s">
        <v>1655</v>
      </c>
      <c r="G4575" s="13">
        <v>5</v>
      </c>
      <c r="H4575" s="15">
        <v>100</v>
      </c>
      <c r="I4575" s="16">
        <v>500</v>
      </c>
      <c r="J4575" s="16">
        <v>531</v>
      </c>
      <c r="K4575" s="16">
        <v>-31</v>
      </c>
      <c r="L4575" s="13">
        <v>12.02</v>
      </c>
      <c r="M4575" s="13"/>
      <c r="N4575" s="17">
        <f t="shared" si="152"/>
        <v>1202</v>
      </c>
      <c r="O4575" s="17">
        <f t="shared" si="152"/>
        <v>0</v>
      </c>
      <c r="P4575" s="17">
        <f t="shared" si="151"/>
        <v>1202</v>
      </c>
      <c r="Q4575" t="str">
        <f>A4575&amp;"-"&amp;B4575&amp;"-"&amp;D4575</f>
        <v>OKTOBER-CHW-L3</v>
      </c>
    </row>
    <row r="4576" spans="1:17" x14ac:dyDescent="0.25">
      <c r="A4576" t="s">
        <v>400</v>
      </c>
      <c r="B4576" s="13" t="s">
        <v>19</v>
      </c>
      <c r="C4576" s="13" t="s">
        <v>70</v>
      </c>
      <c r="D4576" s="14" t="s">
        <v>56</v>
      </c>
      <c r="E4576" s="13" t="s">
        <v>71</v>
      </c>
      <c r="F4576" s="13" t="s">
        <v>1130</v>
      </c>
      <c r="G4576" s="13">
        <v>5</v>
      </c>
      <c r="H4576" s="15">
        <v>16</v>
      </c>
      <c r="I4576" s="16">
        <v>80</v>
      </c>
      <c r="J4576" s="16">
        <v>157.33333333333331</v>
      </c>
      <c r="K4576" s="16">
        <v>-77.333333333333314</v>
      </c>
      <c r="L4576" s="13">
        <v>13.11</v>
      </c>
      <c r="M4576" s="13"/>
      <c r="N4576" s="17">
        <f t="shared" si="152"/>
        <v>209.76</v>
      </c>
      <c r="O4576" s="17">
        <f t="shared" si="152"/>
        <v>0</v>
      </c>
      <c r="P4576" s="17">
        <f t="shared" si="151"/>
        <v>209.76</v>
      </c>
      <c r="Q4576" t="str">
        <f>A4576&amp;"-"&amp;B4576&amp;"-"&amp;D4576</f>
        <v>OKTOBER-CHW-L3</v>
      </c>
    </row>
    <row r="4577" spans="1:17" x14ac:dyDescent="0.25">
      <c r="A4577" t="s">
        <v>400</v>
      </c>
      <c r="B4577" s="13" t="s">
        <v>19</v>
      </c>
      <c r="C4577" s="13" t="s">
        <v>70</v>
      </c>
      <c r="D4577" s="14" t="s">
        <v>56</v>
      </c>
      <c r="E4577" s="13" t="s">
        <v>71</v>
      </c>
      <c r="F4577" s="13" t="s">
        <v>1256</v>
      </c>
      <c r="G4577" s="13">
        <v>4.8</v>
      </c>
      <c r="H4577" s="15">
        <v>21</v>
      </c>
      <c r="I4577" s="16">
        <v>100.80000000000001</v>
      </c>
      <c r="J4577" s="16">
        <v>122.65</v>
      </c>
      <c r="K4577" s="16">
        <v>-21.849999999999998</v>
      </c>
      <c r="L4577" s="13">
        <v>12.7</v>
      </c>
      <c r="M4577" s="13"/>
      <c r="N4577" s="17">
        <f t="shared" si="152"/>
        <v>266.7</v>
      </c>
      <c r="O4577" s="17">
        <f t="shared" si="152"/>
        <v>0</v>
      </c>
      <c r="P4577" s="17">
        <f t="shared" si="151"/>
        <v>266.7</v>
      </c>
      <c r="Q4577" t="str">
        <f>A4577&amp;"-"&amp;B4577&amp;"-"&amp;D4577</f>
        <v>OKTOBER-CHW-L3</v>
      </c>
    </row>
    <row r="4578" spans="1:17" x14ac:dyDescent="0.25">
      <c r="A4578" t="s">
        <v>400</v>
      </c>
      <c r="B4578" s="13" t="s">
        <v>19</v>
      </c>
      <c r="C4578" s="13" t="s">
        <v>70</v>
      </c>
      <c r="D4578" s="14" t="s">
        <v>56</v>
      </c>
      <c r="E4578" s="13" t="s">
        <v>71</v>
      </c>
      <c r="F4578" s="13" t="s">
        <v>1439</v>
      </c>
      <c r="G4578" s="13">
        <v>5</v>
      </c>
      <c r="H4578" s="15">
        <v>206</v>
      </c>
      <c r="I4578" s="16">
        <v>1030</v>
      </c>
      <c r="J4578" s="16">
        <v>781.32857142857142</v>
      </c>
      <c r="K4578" s="16">
        <v>248.67142857142858</v>
      </c>
      <c r="L4578" s="13">
        <v>11.73</v>
      </c>
      <c r="M4578" s="13"/>
      <c r="N4578" s="17">
        <f t="shared" si="152"/>
        <v>2416.38</v>
      </c>
      <c r="O4578" s="17">
        <f t="shared" si="152"/>
        <v>0</v>
      </c>
      <c r="P4578" s="17">
        <f t="shared" si="151"/>
        <v>2416.38</v>
      </c>
      <c r="Q4578" t="str">
        <f>A4578&amp;"-"&amp;B4578&amp;"-"&amp;D4578</f>
        <v>OKTOBER-CHW-L3</v>
      </c>
    </row>
    <row r="4579" spans="1:17" x14ac:dyDescent="0.25">
      <c r="A4579" t="s">
        <v>400</v>
      </c>
      <c r="B4579" s="13" t="s">
        <v>19</v>
      </c>
      <c r="C4579" s="13" t="s">
        <v>70</v>
      </c>
      <c r="D4579" s="14" t="s">
        <v>56</v>
      </c>
      <c r="E4579" s="13" t="s">
        <v>71</v>
      </c>
      <c r="F4579" s="13" t="s">
        <v>1656</v>
      </c>
      <c r="G4579" s="13">
        <v>5</v>
      </c>
      <c r="H4579" s="15">
        <v>444</v>
      </c>
      <c r="I4579" s="16">
        <v>2220</v>
      </c>
      <c r="J4579" s="16">
        <v>2772.1571428571428</v>
      </c>
      <c r="K4579" s="16">
        <v>-552.15714285714284</v>
      </c>
      <c r="L4579" s="13">
        <v>13</v>
      </c>
      <c r="M4579" s="13"/>
      <c r="N4579" s="17">
        <f t="shared" si="152"/>
        <v>5772</v>
      </c>
      <c r="O4579" s="17">
        <f t="shared" si="152"/>
        <v>0</v>
      </c>
      <c r="P4579" s="17">
        <f t="shared" si="151"/>
        <v>5772</v>
      </c>
      <c r="Q4579" t="str">
        <f>A4579&amp;"-"&amp;B4579&amp;"-"&amp;D4579</f>
        <v>OKTOBER-CHW-L3</v>
      </c>
    </row>
    <row r="4580" spans="1:17" x14ac:dyDescent="0.25">
      <c r="A4580" t="s">
        <v>400</v>
      </c>
      <c r="B4580" s="13" t="s">
        <v>19</v>
      </c>
      <c r="C4580" s="13" t="s">
        <v>70</v>
      </c>
      <c r="D4580" s="14" t="s">
        <v>158</v>
      </c>
      <c r="E4580" s="13" t="s">
        <v>142</v>
      </c>
      <c r="F4580" s="13" t="s">
        <v>1657</v>
      </c>
      <c r="G4580" s="13">
        <v>1.5</v>
      </c>
      <c r="H4580" s="15">
        <v>664</v>
      </c>
      <c r="I4580" s="16">
        <v>996</v>
      </c>
      <c r="J4580" s="16">
        <v>893.40750000000003</v>
      </c>
      <c r="K4580" s="16">
        <v>102.59250000000002</v>
      </c>
      <c r="L4580" s="13">
        <v>5.73</v>
      </c>
      <c r="M4580" s="13"/>
      <c r="N4580" s="17">
        <f t="shared" si="152"/>
        <v>3804.7200000000003</v>
      </c>
      <c r="O4580" s="17">
        <f t="shared" si="152"/>
        <v>0</v>
      </c>
      <c r="P4580" s="17">
        <f t="shared" si="151"/>
        <v>3804.7200000000003</v>
      </c>
      <c r="Q4580" t="str">
        <f>A4580&amp;"-"&amp;B4580&amp;"-"&amp;D4580</f>
        <v>OKTOBER-CHW-L4</v>
      </c>
    </row>
    <row r="4581" spans="1:17" x14ac:dyDescent="0.25">
      <c r="A4581" t="s">
        <v>400</v>
      </c>
      <c r="B4581" s="13" t="s">
        <v>19</v>
      </c>
      <c r="C4581" s="13" t="s">
        <v>70</v>
      </c>
      <c r="D4581" s="14" t="s">
        <v>158</v>
      </c>
      <c r="E4581" s="13" t="s">
        <v>142</v>
      </c>
      <c r="F4581" s="13" t="s">
        <v>1658</v>
      </c>
      <c r="G4581" s="13">
        <v>1.5</v>
      </c>
      <c r="H4581" s="15">
        <v>96</v>
      </c>
      <c r="I4581" s="16">
        <v>144</v>
      </c>
      <c r="J4581" s="16">
        <v>254.88</v>
      </c>
      <c r="K4581" s="16">
        <v>-110.88</v>
      </c>
      <c r="L4581" s="13">
        <v>4.87</v>
      </c>
      <c r="M4581" s="13"/>
      <c r="N4581" s="17">
        <f t="shared" si="152"/>
        <v>467.52</v>
      </c>
      <c r="O4581" s="17">
        <f t="shared" si="152"/>
        <v>0</v>
      </c>
      <c r="P4581" s="17">
        <f t="shared" si="151"/>
        <v>467.52</v>
      </c>
      <c r="Q4581" t="str">
        <f>A4581&amp;"-"&amp;B4581&amp;"-"&amp;D4581</f>
        <v>OKTOBER-CHW-L4</v>
      </c>
    </row>
    <row r="4582" spans="1:17" x14ac:dyDescent="0.25">
      <c r="A4582" t="s">
        <v>400</v>
      </c>
      <c r="B4582" s="13" t="s">
        <v>19</v>
      </c>
      <c r="C4582" s="13" t="s">
        <v>70</v>
      </c>
      <c r="D4582" s="14" t="s">
        <v>158</v>
      </c>
      <c r="E4582" s="13" t="s">
        <v>142</v>
      </c>
      <c r="F4582" s="13" t="s">
        <v>1440</v>
      </c>
      <c r="G4582" s="13">
        <v>1.5</v>
      </c>
      <c r="H4582" s="15">
        <v>671</v>
      </c>
      <c r="I4582" s="16">
        <v>1006.5</v>
      </c>
      <c r="J4582" s="16">
        <v>1062</v>
      </c>
      <c r="K4582" s="16">
        <v>-55.5</v>
      </c>
      <c r="L4582" s="13">
        <v>4.49</v>
      </c>
      <c r="M4582" s="13"/>
      <c r="N4582" s="17">
        <f t="shared" si="152"/>
        <v>3012.79</v>
      </c>
      <c r="O4582" s="17">
        <f t="shared" si="152"/>
        <v>0</v>
      </c>
      <c r="P4582" s="17">
        <f t="shared" si="151"/>
        <v>3012.79</v>
      </c>
      <c r="Q4582" t="str">
        <f>A4582&amp;"-"&amp;B4582&amp;"-"&amp;D4582</f>
        <v>OKTOBER-CHW-L4</v>
      </c>
    </row>
    <row r="4583" spans="1:17" x14ac:dyDescent="0.25">
      <c r="A4583" t="s">
        <v>400</v>
      </c>
      <c r="B4583" s="13" t="s">
        <v>19</v>
      </c>
      <c r="C4583" s="13" t="s">
        <v>70</v>
      </c>
      <c r="D4583" s="14" t="s">
        <v>158</v>
      </c>
      <c r="E4583" s="13" t="s">
        <v>142</v>
      </c>
      <c r="F4583" s="13" t="s">
        <v>834</v>
      </c>
      <c r="G4583" s="13">
        <v>1.5</v>
      </c>
      <c r="H4583" s="15">
        <v>114</v>
      </c>
      <c r="I4583" s="16">
        <v>171</v>
      </c>
      <c r="J4583" s="16">
        <v>201.78</v>
      </c>
      <c r="K4583" s="16">
        <v>-30.78</v>
      </c>
      <c r="L4583" s="13">
        <v>4.42</v>
      </c>
      <c r="M4583" s="13"/>
      <c r="N4583" s="17">
        <f t="shared" si="152"/>
        <v>503.88</v>
      </c>
      <c r="O4583" s="17">
        <f t="shared" si="152"/>
        <v>0</v>
      </c>
      <c r="P4583" s="17">
        <f t="shared" si="151"/>
        <v>503.88</v>
      </c>
      <c r="Q4583" t="str">
        <f>A4583&amp;"-"&amp;B4583&amp;"-"&amp;D4583</f>
        <v>OKTOBER-CHW-L4</v>
      </c>
    </row>
    <row r="4584" spans="1:17" x14ac:dyDescent="0.25">
      <c r="A4584" t="s">
        <v>400</v>
      </c>
      <c r="B4584" s="13" t="s">
        <v>19</v>
      </c>
      <c r="C4584" s="13" t="s">
        <v>70</v>
      </c>
      <c r="D4584" s="14" t="s">
        <v>158</v>
      </c>
      <c r="E4584" s="13" t="s">
        <v>142</v>
      </c>
      <c r="F4584" s="13" t="s">
        <v>1659</v>
      </c>
      <c r="G4584" s="13">
        <v>1.8</v>
      </c>
      <c r="H4584" s="15">
        <v>280</v>
      </c>
      <c r="I4584" s="16">
        <v>504</v>
      </c>
      <c r="J4584" s="16">
        <v>467.23258928571425</v>
      </c>
      <c r="K4584" s="16">
        <v>36.767410714285717</v>
      </c>
      <c r="L4584" s="13">
        <v>4.71</v>
      </c>
      <c r="M4584" s="13"/>
      <c r="N4584" s="17">
        <f t="shared" si="152"/>
        <v>1318.8</v>
      </c>
      <c r="O4584" s="17">
        <f t="shared" si="152"/>
        <v>0</v>
      </c>
      <c r="P4584" s="17">
        <f t="shared" si="151"/>
        <v>1318.8</v>
      </c>
      <c r="Q4584" t="str">
        <f>A4584&amp;"-"&amp;B4584&amp;"-"&amp;D4584</f>
        <v>OKTOBER-CHW-L4</v>
      </c>
    </row>
    <row r="4585" spans="1:17" x14ac:dyDescent="0.25">
      <c r="A4585" t="s">
        <v>400</v>
      </c>
      <c r="B4585" s="13" t="s">
        <v>19</v>
      </c>
      <c r="C4585" s="13" t="s">
        <v>70</v>
      </c>
      <c r="D4585" s="14" t="s">
        <v>158</v>
      </c>
      <c r="E4585" s="13" t="s">
        <v>142</v>
      </c>
      <c r="F4585" s="13" t="s">
        <v>1660</v>
      </c>
      <c r="G4585" s="13">
        <v>1.5</v>
      </c>
      <c r="H4585" s="15">
        <v>242</v>
      </c>
      <c r="I4585" s="16">
        <v>363</v>
      </c>
      <c r="J4585" s="16">
        <v>367.14857142857142</v>
      </c>
      <c r="K4585" s="16">
        <v>-4.1485714285714153</v>
      </c>
      <c r="L4585" s="13">
        <v>4.47</v>
      </c>
      <c r="M4585" s="13"/>
      <c r="N4585" s="17">
        <f t="shared" si="152"/>
        <v>1081.74</v>
      </c>
      <c r="O4585" s="17">
        <f t="shared" si="152"/>
        <v>0</v>
      </c>
      <c r="P4585" s="17">
        <f t="shared" si="151"/>
        <v>1081.74</v>
      </c>
      <c r="Q4585" t="str">
        <f>A4585&amp;"-"&amp;B4585&amp;"-"&amp;D4585</f>
        <v>OKTOBER-CHW-L4</v>
      </c>
    </row>
    <row r="4586" spans="1:17" x14ac:dyDescent="0.25">
      <c r="A4586" t="s">
        <v>400</v>
      </c>
      <c r="B4586" s="13" t="s">
        <v>19</v>
      </c>
      <c r="C4586" s="13" t="s">
        <v>70</v>
      </c>
      <c r="D4586" s="14" t="s">
        <v>158</v>
      </c>
      <c r="E4586" s="13" t="s">
        <v>142</v>
      </c>
      <c r="F4586" s="13" t="s">
        <v>1661</v>
      </c>
      <c r="G4586" s="13">
        <v>1.5</v>
      </c>
      <c r="H4586" s="15">
        <v>242</v>
      </c>
      <c r="I4586" s="16">
        <v>363</v>
      </c>
      <c r="J4586" s="16">
        <v>458.93571428571431</v>
      </c>
      <c r="K4586" s="16">
        <v>-95.935714285714312</v>
      </c>
      <c r="L4586" s="13">
        <v>5.03</v>
      </c>
      <c r="M4586" s="13"/>
      <c r="N4586" s="17">
        <f t="shared" si="152"/>
        <v>1217.26</v>
      </c>
      <c r="O4586" s="17">
        <f t="shared" si="152"/>
        <v>0</v>
      </c>
      <c r="P4586" s="17">
        <f t="shared" si="151"/>
        <v>1217.26</v>
      </c>
      <c r="Q4586" t="str">
        <f>A4586&amp;"-"&amp;B4586&amp;"-"&amp;D4586</f>
        <v>OKTOBER-CHW-L4</v>
      </c>
    </row>
    <row r="4587" spans="1:17" x14ac:dyDescent="0.25">
      <c r="A4587" t="s">
        <v>400</v>
      </c>
      <c r="B4587" s="13" t="s">
        <v>19</v>
      </c>
      <c r="C4587" s="13" t="s">
        <v>70</v>
      </c>
      <c r="D4587" s="14" t="s">
        <v>158</v>
      </c>
      <c r="E4587" s="13" t="s">
        <v>142</v>
      </c>
      <c r="F4587" s="13" t="s">
        <v>1662</v>
      </c>
      <c r="G4587" s="13">
        <v>1.5</v>
      </c>
      <c r="H4587" s="15">
        <v>345</v>
      </c>
      <c r="I4587" s="16">
        <v>517.5</v>
      </c>
      <c r="J4587" s="16">
        <v>464.05607142857144</v>
      </c>
      <c r="K4587" s="16">
        <v>53.443928571428579</v>
      </c>
      <c r="L4587" s="13">
        <v>5.0599999999999996</v>
      </c>
      <c r="M4587" s="13"/>
      <c r="N4587" s="17">
        <f t="shared" si="152"/>
        <v>1745.6999999999998</v>
      </c>
      <c r="O4587" s="17">
        <f t="shared" si="152"/>
        <v>0</v>
      </c>
      <c r="P4587" s="17">
        <f t="shared" si="151"/>
        <v>1745.6999999999998</v>
      </c>
      <c r="Q4587" t="str">
        <f>A4587&amp;"-"&amp;B4587&amp;"-"&amp;D4587</f>
        <v>OKTOBER-CHW-L4</v>
      </c>
    </row>
    <row r="4588" spans="1:17" x14ac:dyDescent="0.25">
      <c r="A4588" t="s">
        <v>400</v>
      </c>
      <c r="B4588" s="13" t="s">
        <v>19</v>
      </c>
      <c r="C4588" s="13" t="s">
        <v>70</v>
      </c>
      <c r="D4588" s="14" t="s">
        <v>158</v>
      </c>
      <c r="E4588" s="13" t="s">
        <v>142</v>
      </c>
      <c r="F4588" s="13" t="s">
        <v>1663</v>
      </c>
      <c r="G4588" s="13">
        <v>1.5</v>
      </c>
      <c r="H4588" s="15">
        <v>591</v>
      </c>
      <c r="I4588" s="16">
        <v>886.5</v>
      </c>
      <c r="J4588" s="16">
        <v>903.35807692307685</v>
      </c>
      <c r="K4588" s="16">
        <v>-16.858076923076908</v>
      </c>
      <c r="L4588" s="13">
        <v>5.61</v>
      </c>
      <c r="M4588" s="13"/>
      <c r="N4588" s="17">
        <f t="shared" si="152"/>
        <v>3315.51</v>
      </c>
      <c r="O4588" s="17">
        <f t="shared" si="152"/>
        <v>0</v>
      </c>
      <c r="P4588" s="17">
        <f t="shared" si="151"/>
        <v>3315.51</v>
      </c>
      <c r="Q4588" t="str">
        <f>A4588&amp;"-"&amp;B4588&amp;"-"&amp;D4588</f>
        <v>OKTOBER-CHW-L4</v>
      </c>
    </row>
    <row r="4589" spans="1:17" x14ac:dyDescent="0.25">
      <c r="A4589" t="s">
        <v>400</v>
      </c>
      <c r="B4589" s="13" t="s">
        <v>19</v>
      </c>
      <c r="C4589" s="13" t="s">
        <v>70</v>
      </c>
      <c r="D4589" s="14" t="s">
        <v>158</v>
      </c>
      <c r="E4589" s="13" t="s">
        <v>142</v>
      </c>
      <c r="F4589" s="13" t="s">
        <v>1664</v>
      </c>
      <c r="G4589" s="13">
        <v>1.5</v>
      </c>
      <c r="H4589" s="15">
        <v>1975</v>
      </c>
      <c r="I4589" s="16">
        <v>2962.5</v>
      </c>
      <c r="J4589" s="16">
        <v>3791.3399999999997</v>
      </c>
      <c r="K4589" s="16">
        <v>-828.83999999999992</v>
      </c>
      <c r="L4589" s="13">
        <v>6.61</v>
      </c>
      <c r="M4589" s="13"/>
      <c r="N4589" s="17">
        <f t="shared" si="152"/>
        <v>13054.75</v>
      </c>
      <c r="O4589" s="17">
        <f t="shared" si="152"/>
        <v>0</v>
      </c>
      <c r="P4589" s="17">
        <f t="shared" si="151"/>
        <v>13054.75</v>
      </c>
      <c r="Q4589" t="str">
        <f>A4589&amp;"-"&amp;B4589&amp;"-"&amp;D4589</f>
        <v>OKTOBER-CHW-L4</v>
      </c>
    </row>
    <row r="4590" spans="1:17" x14ac:dyDescent="0.25">
      <c r="A4590" t="s">
        <v>400</v>
      </c>
      <c r="B4590" s="13" t="s">
        <v>19</v>
      </c>
      <c r="C4590" s="13" t="s">
        <v>70</v>
      </c>
      <c r="D4590" s="14" t="s">
        <v>158</v>
      </c>
      <c r="E4590" s="13" t="s">
        <v>142</v>
      </c>
      <c r="F4590" s="13" t="s">
        <v>1665</v>
      </c>
      <c r="G4590" s="13">
        <v>1.5</v>
      </c>
      <c r="H4590" s="15">
        <v>80</v>
      </c>
      <c r="I4590" s="16">
        <v>120</v>
      </c>
      <c r="J4590" s="16">
        <v>363.07692307692309</v>
      </c>
      <c r="K4590" s="16">
        <v>-243.07692307692309</v>
      </c>
      <c r="L4590" s="13">
        <v>6.5</v>
      </c>
      <c r="M4590" s="13"/>
      <c r="N4590" s="17">
        <f t="shared" si="152"/>
        <v>520</v>
      </c>
      <c r="O4590" s="17">
        <f t="shared" si="152"/>
        <v>0</v>
      </c>
      <c r="P4590" s="17">
        <f t="shared" si="151"/>
        <v>520</v>
      </c>
      <c r="Q4590" t="str">
        <f>A4590&amp;"-"&amp;B4590&amp;"-"&amp;D4590</f>
        <v>OKTOBER-CHW-L4</v>
      </c>
    </row>
    <row r="4591" spans="1:17" x14ac:dyDescent="0.25">
      <c r="A4591" t="s">
        <v>400</v>
      </c>
      <c r="B4591" s="13" t="s">
        <v>19</v>
      </c>
      <c r="C4591" s="13" t="s">
        <v>70</v>
      </c>
      <c r="D4591" s="14" t="s">
        <v>158</v>
      </c>
      <c r="E4591" s="13" t="s">
        <v>142</v>
      </c>
      <c r="F4591" s="13" t="s">
        <v>1666</v>
      </c>
      <c r="G4591" s="13">
        <v>1.5</v>
      </c>
      <c r="H4591" s="15">
        <v>333</v>
      </c>
      <c r="I4591" s="16">
        <v>499.5</v>
      </c>
      <c r="J4591" s="16">
        <v>442.0575</v>
      </c>
      <c r="K4591" s="16">
        <v>57.44250000000001</v>
      </c>
      <c r="L4591" s="13">
        <v>5.67</v>
      </c>
      <c r="M4591" s="13"/>
      <c r="N4591" s="17">
        <f t="shared" si="152"/>
        <v>1888.11</v>
      </c>
      <c r="O4591" s="17">
        <f t="shared" si="152"/>
        <v>0</v>
      </c>
      <c r="P4591" s="17">
        <f t="shared" si="151"/>
        <v>1888.11</v>
      </c>
      <c r="Q4591" t="str">
        <f>A4591&amp;"-"&amp;B4591&amp;"-"&amp;D4591</f>
        <v>OKTOBER-CHW-L4</v>
      </c>
    </row>
    <row r="4592" spans="1:17" x14ac:dyDescent="0.25">
      <c r="A4592" t="s">
        <v>400</v>
      </c>
      <c r="B4592" s="13" t="s">
        <v>19</v>
      </c>
      <c r="C4592" s="13" t="s">
        <v>70</v>
      </c>
      <c r="D4592" s="14" t="s">
        <v>158</v>
      </c>
      <c r="E4592" s="13" t="s">
        <v>142</v>
      </c>
      <c r="F4592" s="13" t="s">
        <v>1667</v>
      </c>
      <c r="G4592" s="13">
        <v>1.8</v>
      </c>
      <c r="H4592" s="15">
        <v>134</v>
      </c>
      <c r="I4592" s="16">
        <v>241.2</v>
      </c>
      <c r="J4592" s="16">
        <v>728.79750000000001</v>
      </c>
      <c r="K4592" s="16">
        <v>-487.59749999999997</v>
      </c>
      <c r="L4592" s="13">
        <v>5.44</v>
      </c>
      <c r="M4592" s="13"/>
      <c r="N4592" s="17">
        <f t="shared" si="152"/>
        <v>728.96</v>
      </c>
      <c r="O4592" s="17">
        <f t="shared" si="152"/>
        <v>0</v>
      </c>
      <c r="P4592" s="17">
        <f t="shared" si="151"/>
        <v>728.96</v>
      </c>
      <c r="Q4592" t="str">
        <f>A4592&amp;"-"&amp;B4592&amp;"-"&amp;D4592</f>
        <v>OKTOBER-CHW-L4</v>
      </c>
    </row>
    <row r="4593" spans="1:17" x14ac:dyDescent="0.25">
      <c r="A4593" t="s">
        <v>400</v>
      </c>
      <c r="B4593" s="13" t="s">
        <v>19</v>
      </c>
      <c r="C4593" s="13" t="s">
        <v>70</v>
      </c>
      <c r="D4593" s="14" t="s">
        <v>158</v>
      </c>
      <c r="E4593" s="13" t="s">
        <v>142</v>
      </c>
      <c r="F4593" s="13" t="s">
        <v>1668</v>
      </c>
      <c r="G4593" s="13">
        <v>1.5</v>
      </c>
      <c r="H4593" s="15">
        <v>113</v>
      </c>
      <c r="I4593" s="16">
        <v>169.5</v>
      </c>
      <c r="J4593" s="16">
        <v>152.47285714285715</v>
      </c>
      <c r="K4593" s="16">
        <v>17.027142857142856</v>
      </c>
      <c r="L4593" s="13">
        <v>6.39</v>
      </c>
      <c r="M4593" s="13"/>
      <c r="N4593" s="17">
        <f t="shared" si="152"/>
        <v>722.06999999999994</v>
      </c>
      <c r="O4593" s="17">
        <f t="shared" si="152"/>
        <v>0</v>
      </c>
      <c r="P4593" s="17">
        <f t="shared" si="151"/>
        <v>722.06999999999994</v>
      </c>
      <c r="Q4593" t="str">
        <f>A4593&amp;"-"&amp;B4593&amp;"-"&amp;D4593</f>
        <v>OKTOBER-CHW-L4</v>
      </c>
    </row>
    <row r="4594" spans="1:17" x14ac:dyDescent="0.25">
      <c r="A4594" t="s">
        <v>400</v>
      </c>
      <c r="B4594" s="13" t="s">
        <v>19</v>
      </c>
      <c r="C4594" s="13" t="s">
        <v>70</v>
      </c>
      <c r="D4594" s="14" t="s">
        <v>158</v>
      </c>
      <c r="E4594" s="13" t="s">
        <v>142</v>
      </c>
      <c r="F4594" s="13" t="s">
        <v>1669</v>
      </c>
      <c r="G4594" s="13">
        <v>1.5</v>
      </c>
      <c r="H4594" s="15">
        <v>408</v>
      </c>
      <c r="I4594" s="16">
        <v>612</v>
      </c>
      <c r="J4594" s="16">
        <v>687.69241071428564</v>
      </c>
      <c r="K4594" s="16">
        <v>-75.6924107142857</v>
      </c>
      <c r="L4594" s="13">
        <v>5.23</v>
      </c>
      <c r="M4594" s="13"/>
      <c r="N4594" s="17">
        <f t="shared" si="152"/>
        <v>2133.84</v>
      </c>
      <c r="O4594" s="17">
        <f t="shared" si="152"/>
        <v>0</v>
      </c>
      <c r="P4594" s="17">
        <f t="shared" si="151"/>
        <v>2133.84</v>
      </c>
      <c r="Q4594" t="str">
        <f>A4594&amp;"-"&amp;B4594&amp;"-"&amp;D4594</f>
        <v>OKTOBER-CHW-L4</v>
      </c>
    </row>
    <row r="4595" spans="1:17" x14ac:dyDescent="0.25">
      <c r="A4595" t="s">
        <v>400</v>
      </c>
      <c r="B4595" s="13" t="s">
        <v>19</v>
      </c>
      <c r="C4595" s="13" t="s">
        <v>70</v>
      </c>
      <c r="D4595" s="14" t="s">
        <v>158</v>
      </c>
      <c r="E4595" s="13" t="s">
        <v>142</v>
      </c>
      <c r="F4595" s="13" t="s">
        <v>1670</v>
      </c>
      <c r="G4595" s="13">
        <v>1.5</v>
      </c>
      <c r="H4595" s="15">
        <v>234</v>
      </c>
      <c r="I4595" s="16">
        <v>351</v>
      </c>
      <c r="J4595" s="16">
        <v>443.76428571428573</v>
      </c>
      <c r="K4595" s="16">
        <v>-92.764285714285734</v>
      </c>
      <c r="L4595" s="13">
        <v>7.67</v>
      </c>
      <c r="M4595" s="13"/>
      <c r="N4595" s="17">
        <f t="shared" si="152"/>
        <v>1794.78</v>
      </c>
      <c r="O4595" s="17">
        <f t="shared" si="152"/>
        <v>0</v>
      </c>
      <c r="P4595" s="17">
        <f t="shared" si="151"/>
        <v>1794.78</v>
      </c>
      <c r="Q4595" t="str">
        <f>A4595&amp;"-"&amp;B4595&amp;"-"&amp;D4595</f>
        <v>OKTOBER-CHW-L4</v>
      </c>
    </row>
    <row r="4596" spans="1:17" x14ac:dyDescent="0.25">
      <c r="A4596" t="s">
        <v>400</v>
      </c>
      <c r="B4596" s="13" t="s">
        <v>20</v>
      </c>
      <c r="C4596" s="13" t="s">
        <v>70</v>
      </c>
      <c r="D4596" s="14" t="s">
        <v>56</v>
      </c>
      <c r="E4596" s="13" t="s">
        <v>71</v>
      </c>
      <c r="F4596" s="13" t="s">
        <v>1671</v>
      </c>
      <c r="G4596" s="13">
        <v>5</v>
      </c>
      <c r="H4596" s="15">
        <v>146</v>
      </c>
      <c r="I4596" s="16">
        <v>730</v>
      </c>
      <c r="J4596" s="16">
        <v>1008.9558823529412</v>
      </c>
      <c r="K4596" s="16">
        <v>-278.95588235294122</v>
      </c>
      <c r="L4596" s="13">
        <v>10</v>
      </c>
      <c r="M4596" s="13"/>
      <c r="N4596" s="17">
        <f t="shared" si="152"/>
        <v>1460</v>
      </c>
      <c r="O4596" s="17">
        <f t="shared" si="152"/>
        <v>0</v>
      </c>
      <c r="P4596" s="17">
        <f t="shared" si="151"/>
        <v>1460</v>
      </c>
      <c r="Q4596" t="str">
        <f>A4596&amp;"-"&amp;B4596&amp;"-"&amp;D4596</f>
        <v>OKTOBER-CJL-L3</v>
      </c>
    </row>
    <row r="4597" spans="1:17" x14ac:dyDescent="0.25">
      <c r="A4597" t="s">
        <v>400</v>
      </c>
      <c r="B4597" s="13" t="s">
        <v>20</v>
      </c>
      <c r="C4597" s="13" t="s">
        <v>70</v>
      </c>
      <c r="D4597" s="14" t="s">
        <v>56</v>
      </c>
      <c r="E4597" s="13" t="s">
        <v>71</v>
      </c>
      <c r="F4597" s="13" t="s">
        <v>1672</v>
      </c>
      <c r="G4597" s="13">
        <v>5</v>
      </c>
      <c r="H4597" s="15">
        <v>353</v>
      </c>
      <c r="I4597" s="16">
        <v>1765</v>
      </c>
      <c r="J4597" s="16">
        <v>1546.8086274509803</v>
      </c>
      <c r="K4597" s="16">
        <v>218.1913725490196</v>
      </c>
      <c r="L4597" s="13">
        <v>14.2</v>
      </c>
      <c r="M4597" s="13"/>
      <c r="N4597" s="17">
        <f t="shared" si="152"/>
        <v>5012.5999999999995</v>
      </c>
      <c r="O4597" s="17">
        <f t="shared" si="152"/>
        <v>0</v>
      </c>
      <c r="P4597" s="17">
        <f t="shared" si="151"/>
        <v>5012.5999999999995</v>
      </c>
      <c r="Q4597" t="str">
        <f>A4597&amp;"-"&amp;B4597&amp;"-"&amp;D4597</f>
        <v>OKTOBER-CJL-L3</v>
      </c>
    </row>
    <row r="4598" spans="1:17" x14ac:dyDescent="0.25">
      <c r="A4598" t="s">
        <v>400</v>
      </c>
      <c r="B4598" s="13" t="s">
        <v>20</v>
      </c>
      <c r="C4598" s="13" t="s">
        <v>70</v>
      </c>
      <c r="D4598" s="14" t="s">
        <v>56</v>
      </c>
      <c r="E4598" s="13" t="s">
        <v>71</v>
      </c>
      <c r="F4598" s="13" t="s">
        <v>1673</v>
      </c>
      <c r="G4598" s="13">
        <v>4.8</v>
      </c>
      <c r="H4598" s="15">
        <v>100</v>
      </c>
      <c r="I4598" s="16">
        <v>480</v>
      </c>
      <c r="J4598" s="16">
        <v>640.61200980392152</v>
      </c>
      <c r="K4598" s="16">
        <v>-160.61200980392158</v>
      </c>
      <c r="L4598" s="13">
        <v>14.35</v>
      </c>
      <c r="M4598" s="13"/>
      <c r="N4598" s="17">
        <f t="shared" si="152"/>
        <v>1435</v>
      </c>
      <c r="O4598" s="17">
        <f t="shared" si="152"/>
        <v>0</v>
      </c>
      <c r="P4598" s="17">
        <f t="shared" si="151"/>
        <v>1435</v>
      </c>
      <c r="Q4598" t="str">
        <f>A4598&amp;"-"&amp;B4598&amp;"-"&amp;D4598</f>
        <v>OKTOBER-CJL-L3</v>
      </c>
    </row>
    <row r="4599" spans="1:17" x14ac:dyDescent="0.25">
      <c r="A4599" t="s">
        <v>400</v>
      </c>
      <c r="B4599" s="13" t="s">
        <v>20</v>
      </c>
      <c r="C4599" s="13" t="s">
        <v>70</v>
      </c>
      <c r="D4599" s="14" t="s">
        <v>56</v>
      </c>
      <c r="E4599" s="13" t="s">
        <v>71</v>
      </c>
      <c r="F4599" s="13" t="s">
        <v>1674</v>
      </c>
      <c r="G4599" s="13">
        <v>5</v>
      </c>
      <c r="H4599" s="15">
        <v>233</v>
      </c>
      <c r="I4599" s="16">
        <v>1165</v>
      </c>
      <c r="J4599" s="16">
        <v>1227.777205882353</v>
      </c>
      <c r="K4599" s="16">
        <v>-62.777205882352973</v>
      </c>
      <c r="L4599" s="13">
        <v>12.74</v>
      </c>
      <c r="M4599" s="13"/>
      <c r="N4599" s="17">
        <f t="shared" si="152"/>
        <v>2968.42</v>
      </c>
      <c r="O4599" s="17">
        <f t="shared" si="152"/>
        <v>0</v>
      </c>
      <c r="P4599" s="17">
        <f t="shared" si="151"/>
        <v>2968.42</v>
      </c>
      <c r="Q4599" t="str">
        <f>A4599&amp;"-"&amp;B4599&amp;"-"&amp;D4599</f>
        <v>OKTOBER-CJL-L3</v>
      </c>
    </row>
    <row r="4600" spans="1:17" x14ac:dyDescent="0.25">
      <c r="A4600" t="s">
        <v>400</v>
      </c>
      <c r="B4600" s="13" t="s">
        <v>20</v>
      </c>
      <c r="C4600" s="13" t="s">
        <v>70</v>
      </c>
      <c r="D4600" s="14" t="s">
        <v>56</v>
      </c>
      <c r="E4600" s="13" t="s">
        <v>71</v>
      </c>
      <c r="F4600" s="13" t="s">
        <v>1675</v>
      </c>
      <c r="G4600" s="13">
        <v>5</v>
      </c>
      <c r="H4600" s="15">
        <v>80</v>
      </c>
      <c r="I4600" s="16">
        <v>400</v>
      </c>
      <c r="J4600" s="16">
        <v>454.84416666666664</v>
      </c>
      <c r="K4600" s="16">
        <v>-54.844166666666666</v>
      </c>
      <c r="L4600" s="13">
        <v>12.98</v>
      </c>
      <c r="M4600" s="13"/>
      <c r="N4600" s="17">
        <f t="shared" si="152"/>
        <v>1038.4000000000001</v>
      </c>
      <c r="O4600" s="17">
        <f t="shared" si="152"/>
        <v>0</v>
      </c>
      <c r="P4600" s="17">
        <f t="shared" si="151"/>
        <v>1038.4000000000001</v>
      </c>
      <c r="Q4600" t="str">
        <f>A4600&amp;"-"&amp;B4600&amp;"-"&amp;D4600</f>
        <v>OKTOBER-CJL-L3</v>
      </c>
    </row>
    <row r="4601" spans="1:17" x14ac:dyDescent="0.25">
      <c r="A4601" t="s">
        <v>400</v>
      </c>
      <c r="B4601" s="13" t="s">
        <v>20</v>
      </c>
      <c r="C4601" s="13" t="s">
        <v>70</v>
      </c>
      <c r="D4601" s="14" t="s">
        <v>56</v>
      </c>
      <c r="E4601" s="13" t="s">
        <v>71</v>
      </c>
      <c r="F4601" s="13" t="s">
        <v>1676</v>
      </c>
      <c r="G4601" s="13">
        <v>5</v>
      </c>
      <c r="H4601" s="15">
        <v>409</v>
      </c>
      <c r="I4601" s="16">
        <v>2045</v>
      </c>
      <c r="J4601" s="16">
        <v>2824.8928571428569</v>
      </c>
      <c r="K4601" s="16">
        <v>-779.89285714285711</v>
      </c>
      <c r="L4601" s="13">
        <v>12.78</v>
      </c>
      <c r="M4601" s="13"/>
      <c r="N4601" s="17">
        <f t="shared" si="152"/>
        <v>5227.0199999999995</v>
      </c>
      <c r="O4601" s="17">
        <f t="shared" si="152"/>
        <v>0</v>
      </c>
      <c r="P4601" s="17">
        <f t="shared" si="151"/>
        <v>5227.0199999999995</v>
      </c>
      <c r="Q4601" t="str">
        <f>A4601&amp;"-"&amp;B4601&amp;"-"&amp;D4601</f>
        <v>OKTOBER-CJL-L3</v>
      </c>
    </row>
    <row r="4602" spans="1:17" x14ac:dyDescent="0.25">
      <c r="A4602" t="s">
        <v>400</v>
      </c>
      <c r="B4602" s="13" t="s">
        <v>20</v>
      </c>
      <c r="C4602" s="13" t="s">
        <v>70</v>
      </c>
      <c r="D4602" s="14" t="s">
        <v>56</v>
      </c>
      <c r="E4602" s="13" t="s">
        <v>71</v>
      </c>
      <c r="F4602" s="13" t="s">
        <v>1677</v>
      </c>
      <c r="G4602" s="13">
        <v>5</v>
      </c>
      <c r="H4602" s="15">
        <v>504</v>
      </c>
      <c r="I4602" s="16">
        <v>2520</v>
      </c>
      <c r="J4602" s="16">
        <v>3257.9390476190474</v>
      </c>
      <c r="K4602" s="16">
        <v>-737.93904761904764</v>
      </c>
      <c r="L4602" s="13">
        <v>13.82</v>
      </c>
      <c r="M4602" s="13"/>
      <c r="N4602" s="17">
        <f t="shared" si="152"/>
        <v>6965.28</v>
      </c>
      <c r="O4602" s="17">
        <f t="shared" si="152"/>
        <v>0</v>
      </c>
      <c r="P4602" s="17">
        <f t="shared" si="151"/>
        <v>6965.28</v>
      </c>
      <c r="Q4602" t="str">
        <f>A4602&amp;"-"&amp;B4602&amp;"-"&amp;D4602</f>
        <v>OKTOBER-CJL-L3</v>
      </c>
    </row>
    <row r="4603" spans="1:17" x14ac:dyDescent="0.25">
      <c r="A4603" t="s">
        <v>400</v>
      </c>
      <c r="B4603" s="13" t="s">
        <v>20</v>
      </c>
      <c r="C4603" s="13" t="s">
        <v>70</v>
      </c>
      <c r="D4603" s="14" t="s">
        <v>56</v>
      </c>
      <c r="E4603" s="13" t="s">
        <v>71</v>
      </c>
      <c r="F4603" s="13" t="s">
        <v>1455</v>
      </c>
      <c r="G4603" s="13">
        <v>4.8</v>
      </c>
      <c r="H4603" s="15">
        <v>32</v>
      </c>
      <c r="I4603" s="16">
        <v>153.6</v>
      </c>
      <c r="J4603" s="16">
        <v>279.68</v>
      </c>
      <c r="K4603" s="16">
        <v>-126.08000000000001</v>
      </c>
      <c r="L4603" s="13">
        <v>14.16</v>
      </c>
      <c r="M4603" s="13"/>
      <c r="N4603" s="17">
        <f t="shared" si="152"/>
        <v>453.12</v>
      </c>
      <c r="O4603" s="17">
        <f t="shared" si="152"/>
        <v>0</v>
      </c>
      <c r="P4603" s="17">
        <f t="shared" si="151"/>
        <v>453.12</v>
      </c>
      <c r="Q4603" t="str">
        <f>A4603&amp;"-"&amp;B4603&amp;"-"&amp;D4603</f>
        <v>OKTOBER-CJL-L3</v>
      </c>
    </row>
    <row r="4604" spans="1:17" x14ac:dyDescent="0.25">
      <c r="A4604" t="s">
        <v>400</v>
      </c>
      <c r="B4604" s="13" t="s">
        <v>20</v>
      </c>
      <c r="C4604" s="13" t="s">
        <v>70</v>
      </c>
      <c r="D4604" s="14" t="s">
        <v>56</v>
      </c>
      <c r="E4604" s="13" t="s">
        <v>71</v>
      </c>
      <c r="F4604" s="13" t="s">
        <v>1456</v>
      </c>
      <c r="G4604" s="13">
        <v>4.8</v>
      </c>
      <c r="H4604" s="15">
        <v>105</v>
      </c>
      <c r="I4604" s="16">
        <v>504</v>
      </c>
      <c r="J4604" s="16">
        <v>764.95809523809532</v>
      </c>
      <c r="K4604" s="16">
        <v>-260.95809523809527</v>
      </c>
      <c r="L4604" s="13">
        <v>12.52</v>
      </c>
      <c r="M4604" s="13"/>
      <c r="N4604" s="17">
        <f t="shared" si="152"/>
        <v>1314.6</v>
      </c>
      <c r="O4604" s="17">
        <f t="shared" si="152"/>
        <v>0</v>
      </c>
      <c r="P4604" s="17">
        <f t="shared" si="151"/>
        <v>1314.6</v>
      </c>
      <c r="Q4604" t="str">
        <f>A4604&amp;"-"&amp;B4604&amp;"-"&amp;D4604</f>
        <v>OKTOBER-CJL-L3</v>
      </c>
    </row>
    <row r="4605" spans="1:17" x14ac:dyDescent="0.25">
      <c r="A4605" t="s">
        <v>400</v>
      </c>
      <c r="B4605" s="13" t="s">
        <v>20</v>
      </c>
      <c r="C4605" s="13" t="s">
        <v>70</v>
      </c>
      <c r="D4605" s="14" t="s">
        <v>56</v>
      </c>
      <c r="E4605" s="13" t="s">
        <v>71</v>
      </c>
      <c r="F4605" s="13" t="s">
        <v>1678</v>
      </c>
      <c r="G4605" s="13">
        <v>5</v>
      </c>
      <c r="H4605" s="15">
        <v>112</v>
      </c>
      <c r="I4605" s="16">
        <v>560</v>
      </c>
      <c r="J4605" s="16">
        <v>895.85</v>
      </c>
      <c r="K4605" s="16">
        <v>-335.85000000000008</v>
      </c>
      <c r="L4605" s="13">
        <v>13.04</v>
      </c>
      <c r="M4605" s="13"/>
      <c r="N4605" s="17">
        <f t="shared" si="152"/>
        <v>1460.48</v>
      </c>
      <c r="O4605" s="17">
        <f t="shared" si="152"/>
        <v>0</v>
      </c>
      <c r="P4605" s="17">
        <f t="shared" si="151"/>
        <v>1460.48</v>
      </c>
      <c r="Q4605" t="str">
        <f>A4605&amp;"-"&amp;B4605&amp;"-"&amp;D4605</f>
        <v>OKTOBER-CJL-L3</v>
      </c>
    </row>
    <row r="4606" spans="1:17" x14ac:dyDescent="0.25">
      <c r="A4606" t="s">
        <v>400</v>
      </c>
      <c r="B4606" s="13" t="s">
        <v>20</v>
      </c>
      <c r="C4606" s="13" t="s">
        <v>70</v>
      </c>
      <c r="D4606" s="14" t="s">
        <v>56</v>
      </c>
      <c r="E4606" s="13" t="s">
        <v>71</v>
      </c>
      <c r="F4606" s="13" t="s">
        <v>1679</v>
      </c>
      <c r="G4606" s="13">
        <v>5</v>
      </c>
      <c r="H4606" s="15">
        <v>1088</v>
      </c>
      <c r="I4606" s="16">
        <v>5440</v>
      </c>
      <c r="J4606" s="16">
        <v>6325.6821078431376</v>
      </c>
      <c r="K4606" s="16">
        <v>-885.68210784313715</v>
      </c>
      <c r="L4606" s="13">
        <v>12.93</v>
      </c>
      <c r="M4606" s="13"/>
      <c r="N4606" s="17">
        <f t="shared" si="152"/>
        <v>14067.84</v>
      </c>
      <c r="O4606" s="17">
        <f t="shared" si="152"/>
        <v>0</v>
      </c>
      <c r="P4606" s="17">
        <f t="shared" si="151"/>
        <v>14067.84</v>
      </c>
      <c r="Q4606" t="str">
        <f>A4606&amp;"-"&amp;B4606&amp;"-"&amp;D4606</f>
        <v>OKTOBER-CJL-L3</v>
      </c>
    </row>
    <row r="4607" spans="1:17" x14ac:dyDescent="0.25">
      <c r="A4607" t="s">
        <v>400</v>
      </c>
      <c r="B4607" s="13" t="s">
        <v>22</v>
      </c>
      <c r="C4607" s="13" t="s">
        <v>154</v>
      </c>
      <c r="D4607" s="14" t="s">
        <v>50</v>
      </c>
      <c r="E4607" s="13" t="s">
        <v>155</v>
      </c>
      <c r="F4607" s="13" t="s">
        <v>1606</v>
      </c>
      <c r="G4607" s="13">
        <v>0.52</v>
      </c>
      <c r="H4607" s="15">
        <v>10</v>
      </c>
      <c r="I4607" s="16">
        <v>5.2</v>
      </c>
      <c r="J4607" s="16">
        <v>3.6</v>
      </c>
      <c r="K4607" s="16">
        <v>1.6</v>
      </c>
      <c r="L4607" s="13">
        <v>1.42</v>
      </c>
      <c r="M4607" s="13"/>
      <c r="N4607" s="17">
        <f t="shared" si="152"/>
        <v>14.2</v>
      </c>
      <c r="O4607" s="17">
        <f t="shared" si="152"/>
        <v>0</v>
      </c>
      <c r="P4607" s="17">
        <f t="shared" si="151"/>
        <v>14.2</v>
      </c>
      <c r="Q4607" t="str">
        <f>A4607&amp;"-"&amp;B4607&amp;"-"&amp;D4607</f>
        <v>OKTOBER-CNJ2-L2</v>
      </c>
    </row>
    <row r="4608" spans="1:17" x14ac:dyDescent="0.25">
      <c r="A4608" t="s">
        <v>400</v>
      </c>
      <c r="B4608" s="13" t="s">
        <v>22</v>
      </c>
      <c r="C4608" s="13" t="s">
        <v>154</v>
      </c>
      <c r="D4608" s="14" t="s">
        <v>50</v>
      </c>
      <c r="E4608" s="13" t="s">
        <v>155</v>
      </c>
      <c r="F4608" s="13" t="s">
        <v>1607</v>
      </c>
      <c r="G4608" s="13">
        <v>0.52</v>
      </c>
      <c r="H4608" s="15">
        <v>1780</v>
      </c>
      <c r="I4608" s="16">
        <v>925.59999999999991</v>
      </c>
      <c r="J4608" s="16">
        <v>631.84688732394375</v>
      </c>
      <c r="K4608" s="16">
        <v>293.75311267605628</v>
      </c>
      <c r="L4608" s="13">
        <v>1.42</v>
      </c>
      <c r="M4608" s="13"/>
      <c r="N4608" s="17">
        <f t="shared" si="152"/>
        <v>2527.6</v>
      </c>
      <c r="O4608" s="17">
        <f t="shared" si="152"/>
        <v>0</v>
      </c>
      <c r="P4608" s="17">
        <f t="shared" si="151"/>
        <v>2527.6</v>
      </c>
      <c r="Q4608" t="str">
        <f>A4608&amp;"-"&amp;B4608&amp;"-"&amp;D4608</f>
        <v>OKTOBER-CNJ2-L2</v>
      </c>
    </row>
    <row r="4609" spans="1:17" x14ac:dyDescent="0.25">
      <c r="A4609" t="s">
        <v>400</v>
      </c>
      <c r="B4609" s="13" t="s">
        <v>22</v>
      </c>
      <c r="C4609" s="13" t="s">
        <v>154</v>
      </c>
      <c r="D4609" s="14" t="s">
        <v>50</v>
      </c>
      <c r="E4609" s="13" t="s">
        <v>155</v>
      </c>
      <c r="F4609" s="13" t="s">
        <v>1609</v>
      </c>
      <c r="G4609" s="13">
        <v>0.52</v>
      </c>
      <c r="H4609" s="15">
        <v>200</v>
      </c>
      <c r="I4609" s="16">
        <v>104</v>
      </c>
      <c r="J4609" s="16">
        <v>72</v>
      </c>
      <c r="K4609" s="16">
        <v>32</v>
      </c>
      <c r="L4609" s="13">
        <v>1.42</v>
      </c>
      <c r="M4609" s="13"/>
      <c r="N4609" s="17">
        <f t="shared" si="152"/>
        <v>284</v>
      </c>
      <c r="O4609" s="17">
        <f t="shared" si="152"/>
        <v>0</v>
      </c>
      <c r="P4609" s="17">
        <f t="shared" si="151"/>
        <v>284</v>
      </c>
      <c r="Q4609" t="str">
        <f>A4609&amp;"-"&amp;B4609&amp;"-"&amp;D4609</f>
        <v>OKTOBER-CNJ2-L2</v>
      </c>
    </row>
    <row r="4610" spans="1:17" x14ac:dyDescent="0.25">
      <c r="A4610" t="s">
        <v>400</v>
      </c>
      <c r="B4610" s="13" t="s">
        <v>22</v>
      </c>
      <c r="C4610" s="13" t="s">
        <v>154</v>
      </c>
      <c r="D4610" s="14" t="s">
        <v>50</v>
      </c>
      <c r="E4610" s="13" t="s">
        <v>155</v>
      </c>
      <c r="F4610" s="13" t="s">
        <v>1610</v>
      </c>
      <c r="G4610" s="13">
        <v>0.5</v>
      </c>
      <c r="H4610" s="15">
        <v>3197</v>
      </c>
      <c r="I4610" s="16">
        <v>1598.5</v>
      </c>
      <c r="J4610" s="16">
        <v>1765.7031126760564</v>
      </c>
      <c r="K4610" s="16">
        <v>-167.20311267605635</v>
      </c>
      <c r="L4610" s="13">
        <v>1.47</v>
      </c>
      <c r="M4610" s="13"/>
      <c r="N4610" s="17">
        <f t="shared" si="152"/>
        <v>4699.59</v>
      </c>
      <c r="O4610" s="17">
        <f t="shared" si="152"/>
        <v>0</v>
      </c>
      <c r="P4610" s="17">
        <f t="shared" ref="P4610:P4673" si="153">N4610+O4610</f>
        <v>4699.59</v>
      </c>
      <c r="Q4610" t="str">
        <f>A4610&amp;"-"&amp;B4610&amp;"-"&amp;D4610</f>
        <v>OKTOBER-CNJ2-L2</v>
      </c>
    </row>
    <row r="4611" spans="1:17" x14ac:dyDescent="0.25">
      <c r="A4611" t="s">
        <v>400</v>
      </c>
      <c r="B4611" s="13" t="s">
        <v>22</v>
      </c>
      <c r="C4611" s="13" t="s">
        <v>154</v>
      </c>
      <c r="D4611" s="14" t="s">
        <v>50</v>
      </c>
      <c r="E4611" s="13" t="s">
        <v>155</v>
      </c>
      <c r="F4611" s="13" t="s">
        <v>1611</v>
      </c>
      <c r="G4611" s="13">
        <v>0.5</v>
      </c>
      <c r="H4611" s="15">
        <v>10</v>
      </c>
      <c r="I4611" s="16">
        <v>5</v>
      </c>
      <c r="J4611" s="16">
        <v>3.6</v>
      </c>
      <c r="K4611" s="16">
        <v>1.4</v>
      </c>
      <c r="L4611" s="13">
        <v>1.47</v>
      </c>
      <c r="M4611" s="13"/>
      <c r="N4611" s="17">
        <f t="shared" si="152"/>
        <v>14.7</v>
      </c>
      <c r="O4611" s="17">
        <f t="shared" si="152"/>
        <v>0</v>
      </c>
      <c r="P4611" s="17">
        <f t="shared" si="153"/>
        <v>14.7</v>
      </c>
      <c r="Q4611" t="str">
        <f>A4611&amp;"-"&amp;B4611&amp;"-"&amp;D4611</f>
        <v>OKTOBER-CNJ2-L2</v>
      </c>
    </row>
    <row r="4612" spans="1:17" x14ac:dyDescent="0.25">
      <c r="A4612" t="s">
        <v>400</v>
      </c>
      <c r="B4612" s="13" t="s">
        <v>22</v>
      </c>
      <c r="C4612" s="13" t="s">
        <v>154</v>
      </c>
      <c r="D4612" s="14" t="s">
        <v>50</v>
      </c>
      <c r="E4612" s="13" t="s">
        <v>155</v>
      </c>
      <c r="F4612" s="13" t="s">
        <v>1612</v>
      </c>
      <c r="G4612" s="13">
        <v>0.5</v>
      </c>
      <c r="H4612" s="15">
        <v>10</v>
      </c>
      <c r="I4612" s="16">
        <v>5</v>
      </c>
      <c r="J4612" s="16">
        <v>3.6</v>
      </c>
      <c r="K4612" s="16">
        <v>1.4</v>
      </c>
      <c r="L4612" s="13">
        <v>1.47</v>
      </c>
      <c r="M4612" s="13"/>
      <c r="N4612" s="17">
        <f t="shared" si="152"/>
        <v>14.7</v>
      </c>
      <c r="O4612" s="17">
        <f t="shared" si="152"/>
        <v>0</v>
      </c>
      <c r="P4612" s="17">
        <f t="shared" si="153"/>
        <v>14.7</v>
      </c>
      <c r="Q4612" t="str">
        <f>A4612&amp;"-"&amp;B4612&amp;"-"&amp;D4612</f>
        <v>OKTOBER-CNJ2-L2</v>
      </c>
    </row>
    <row r="4613" spans="1:17" x14ac:dyDescent="0.25">
      <c r="A4613" t="s">
        <v>400</v>
      </c>
      <c r="B4613" s="13" t="s">
        <v>22</v>
      </c>
      <c r="C4613" s="13" t="s">
        <v>154</v>
      </c>
      <c r="D4613" s="14" t="s">
        <v>50</v>
      </c>
      <c r="E4613" s="13" t="s">
        <v>155</v>
      </c>
      <c r="F4613" s="13" t="s">
        <v>1613</v>
      </c>
      <c r="G4613" s="13">
        <v>0.5</v>
      </c>
      <c r="H4613" s="15">
        <v>1352</v>
      </c>
      <c r="I4613" s="16">
        <v>676</v>
      </c>
      <c r="J4613" s="16">
        <v>486.71999999999997</v>
      </c>
      <c r="K4613" s="16">
        <v>189.28</v>
      </c>
      <c r="L4613" s="13">
        <v>1.47</v>
      </c>
      <c r="M4613" s="13"/>
      <c r="N4613" s="17">
        <f t="shared" si="152"/>
        <v>1987.44</v>
      </c>
      <c r="O4613" s="17">
        <f t="shared" si="152"/>
        <v>0</v>
      </c>
      <c r="P4613" s="17">
        <f t="shared" si="153"/>
        <v>1987.44</v>
      </c>
      <c r="Q4613" t="str">
        <f>A4613&amp;"-"&amp;B4613&amp;"-"&amp;D4613</f>
        <v>OKTOBER-CNJ2-L2</v>
      </c>
    </row>
    <row r="4614" spans="1:17" x14ac:dyDescent="0.25">
      <c r="A4614" t="s">
        <v>400</v>
      </c>
      <c r="B4614" s="13" t="s">
        <v>22</v>
      </c>
      <c r="C4614" s="13" t="s">
        <v>154</v>
      </c>
      <c r="D4614" s="14" t="s">
        <v>50</v>
      </c>
      <c r="E4614" s="13" t="s">
        <v>155</v>
      </c>
      <c r="F4614" s="13" t="s">
        <v>1615</v>
      </c>
      <c r="G4614" s="13">
        <v>0.5</v>
      </c>
      <c r="H4614" s="15">
        <v>3895</v>
      </c>
      <c r="I4614" s="16">
        <v>1947.5</v>
      </c>
      <c r="J4614" s="16">
        <v>1626.7900000000002</v>
      </c>
      <c r="K4614" s="16">
        <v>320.71000000000004</v>
      </c>
      <c r="L4614" s="13">
        <v>1.47</v>
      </c>
      <c r="M4614" s="13"/>
      <c r="N4614" s="17">
        <f t="shared" si="152"/>
        <v>5725.65</v>
      </c>
      <c r="O4614" s="17">
        <f t="shared" si="152"/>
        <v>0</v>
      </c>
      <c r="P4614" s="17">
        <f t="shared" si="153"/>
        <v>5725.65</v>
      </c>
      <c r="Q4614" t="str">
        <f>A4614&amp;"-"&amp;B4614&amp;"-"&amp;D4614</f>
        <v>OKTOBER-CNJ2-L2</v>
      </c>
    </row>
    <row r="4615" spans="1:17" x14ac:dyDescent="0.25">
      <c r="A4615" t="s">
        <v>400</v>
      </c>
      <c r="B4615" s="13" t="s">
        <v>22</v>
      </c>
      <c r="C4615" s="13" t="s">
        <v>154</v>
      </c>
      <c r="D4615" s="14" t="s">
        <v>50</v>
      </c>
      <c r="E4615" s="13" t="s">
        <v>155</v>
      </c>
      <c r="F4615" s="13" t="s">
        <v>1619</v>
      </c>
      <c r="G4615" s="13">
        <v>0.5</v>
      </c>
      <c r="H4615" s="15">
        <v>1401</v>
      </c>
      <c r="I4615" s="16">
        <v>700.5</v>
      </c>
      <c r="J4615" s="16">
        <v>504.36</v>
      </c>
      <c r="K4615" s="16">
        <v>196.14000000000001</v>
      </c>
      <c r="L4615" s="13">
        <v>1.47</v>
      </c>
      <c r="M4615" s="13"/>
      <c r="N4615" s="17">
        <f t="shared" ref="N4615:O4678" si="154">$H4615*L4615</f>
        <v>2059.4699999999998</v>
      </c>
      <c r="O4615" s="17">
        <f t="shared" si="154"/>
        <v>0</v>
      </c>
      <c r="P4615" s="17">
        <f t="shared" si="153"/>
        <v>2059.4699999999998</v>
      </c>
      <c r="Q4615" t="str">
        <f>A4615&amp;"-"&amp;B4615&amp;"-"&amp;D4615</f>
        <v>OKTOBER-CNJ2-L2</v>
      </c>
    </row>
    <row r="4616" spans="1:17" x14ac:dyDescent="0.25">
      <c r="A4616" t="s">
        <v>400</v>
      </c>
      <c r="B4616" s="13" t="s">
        <v>22</v>
      </c>
      <c r="C4616" s="13" t="s">
        <v>154</v>
      </c>
      <c r="D4616" s="14" t="s">
        <v>50</v>
      </c>
      <c r="E4616" s="13" t="s">
        <v>155</v>
      </c>
      <c r="F4616" s="13" t="s">
        <v>1621</v>
      </c>
      <c r="G4616" s="13">
        <v>0.5</v>
      </c>
      <c r="H4616" s="15">
        <v>652</v>
      </c>
      <c r="I4616" s="16">
        <v>326</v>
      </c>
      <c r="J4616" s="16">
        <v>212.55849295774649</v>
      </c>
      <c r="K4616" s="16">
        <v>113.44150704225352</v>
      </c>
      <c r="L4616" s="13">
        <v>1.47</v>
      </c>
      <c r="M4616" s="13"/>
      <c r="N4616" s="17">
        <f t="shared" si="154"/>
        <v>958.43999999999994</v>
      </c>
      <c r="O4616" s="17">
        <f t="shared" si="154"/>
        <v>0</v>
      </c>
      <c r="P4616" s="17">
        <f t="shared" si="153"/>
        <v>958.43999999999994</v>
      </c>
      <c r="Q4616" t="str">
        <f>A4616&amp;"-"&amp;B4616&amp;"-"&amp;D4616</f>
        <v>OKTOBER-CNJ2-L2</v>
      </c>
    </row>
    <row r="4617" spans="1:17" x14ac:dyDescent="0.25">
      <c r="A4617" t="s">
        <v>400</v>
      </c>
      <c r="B4617" s="13" t="s">
        <v>22</v>
      </c>
      <c r="C4617" s="13" t="s">
        <v>154</v>
      </c>
      <c r="D4617" s="14" t="s">
        <v>50</v>
      </c>
      <c r="E4617" s="13" t="s">
        <v>155</v>
      </c>
      <c r="F4617" s="13" t="s">
        <v>1624</v>
      </c>
      <c r="G4617" s="13">
        <v>0.5</v>
      </c>
      <c r="H4617" s="15">
        <v>59</v>
      </c>
      <c r="I4617" s="16">
        <v>29.5</v>
      </c>
      <c r="J4617" s="16">
        <v>19.231507042253522</v>
      </c>
      <c r="K4617" s="16">
        <v>10.268492957746478</v>
      </c>
      <c r="L4617" s="13">
        <v>1.47</v>
      </c>
      <c r="M4617" s="13"/>
      <c r="N4617" s="17">
        <f t="shared" si="154"/>
        <v>86.73</v>
      </c>
      <c r="O4617" s="17">
        <f t="shared" si="154"/>
        <v>0</v>
      </c>
      <c r="P4617" s="17">
        <f t="shared" si="153"/>
        <v>86.73</v>
      </c>
      <c r="Q4617" t="str">
        <f>A4617&amp;"-"&amp;B4617&amp;"-"&amp;D4617</f>
        <v>OKTOBER-CNJ2-L2</v>
      </c>
    </row>
    <row r="4618" spans="1:17" x14ac:dyDescent="0.25">
      <c r="A4618" t="s">
        <v>400</v>
      </c>
      <c r="B4618" s="13" t="s">
        <v>22</v>
      </c>
      <c r="C4618" s="13" t="s">
        <v>154</v>
      </c>
      <c r="D4618" s="14" t="s">
        <v>50</v>
      </c>
      <c r="E4618" s="13" t="s">
        <v>155</v>
      </c>
      <c r="F4618" s="13" t="s">
        <v>1625</v>
      </c>
      <c r="G4618" s="13">
        <v>0.5</v>
      </c>
      <c r="H4618" s="15">
        <v>1523</v>
      </c>
      <c r="I4618" s="16">
        <v>761.5</v>
      </c>
      <c r="J4618" s="16">
        <v>548.28000000000009</v>
      </c>
      <c r="K4618" s="16">
        <v>213.21999999999994</v>
      </c>
      <c r="L4618" s="13">
        <v>1.47</v>
      </c>
      <c r="M4618" s="13"/>
      <c r="N4618" s="17">
        <f t="shared" si="154"/>
        <v>2238.81</v>
      </c>
      <c r="O4618" s="17">
        <f t="shared" si="154"/>
        <v>0</v>
      </c>
      <c r="P4618" s="17">
        <f t="shared" si="153"/>
        <v>2238.81</v>
      </c>
      <c r="Q4618" t="str">
        <f>A4618&amp;"-"&amp;B4618&amp;"-"&amp;D4618</f>
        <v>OKTOBER-CNJ2-L2</v>
      </c>
    </row>
    <row r="4619" spans="1:17" x14ac:dyDescent="0.25">
      <c r="A4619" t="s">
        <v>400</v>
      </c>
      <c r="B4619" s="13" t="s">
        <v>22</v>
      </c>
      <c r="C4619" s="13" t="s">
        <v>154</v>
      </c>
      <c r="D4619" s="14" t="s">
        <v>158</v>
      </c>
      <c r="E4619" s="13" t="s">
        <v>155</v>
      </c>
      <c r="F4619" s="13" t="s">
        <v>1606</v>
      </c>
      <c r="G4619" s="13">
        <v>0.52</v>
      </c>
      <c r="H4619" s="15">
        <v>10</v>
      </c>
      <c r="I4619" s="16">
        <v>5.2</v>
      </c>
      <c r="J4619" s="16">
        <v>4.6285714285714281</v>
      </c>
      <c r="K4619" s="16">
        <v>0.57142857142857206</v>
      </c>
      <c r="L4619" s="13">
        <v>1.42</v>
      </c>
      <c r="M4619" s="13"/>
      <c r="N4619" s="17">
        <f t="shared" si="154"/>
        <v>14.2</v>
      </c>
      <c r="O4619" s="17">
        <f t="shared" si="154"/>
        <v>0</v>
      </c>
      <c r="P4619" s="17">
        <f t="shared" si="153"/>
        <v>14.2</v>
      </c>
      <c r="Q4619" t="str">
        <f>A4619&amp;"-"&amp;B4619&amp;"-"&amp;D4619</f>
        <v>OKTOBER-CNJ2-L4</v>
      </c>
    </row>
    <row r="4620" spans="1:17" x14ac:dyDescent="0.25">
      <c r="A4620" t="s">
        <v>400</v>
      </c>
      <c r="B4620" s="13" t="s">
        <v>22</v>
      </c>
      <c r="C4620" s="13" t="s">
        <v>154</v>
      </c>
      <c r="D4620" s="14" t="s">
        <v>158</v>
      </c>
      <c r="E4620" s="13" t="s">
        <v>155</v>
      </c>
      <c r="F4620" s="13" t="s">
        <v>1607</v>
      </c>
      <c r="G4620" s="13">
        <v>0.52</v>
      </c>
      <c r="H4620" s="15">
        <v>3964</v>
      </c>
      <c r="I4620" s="16">
        <v>2061.2800000000002</v>
      </c>
      <c r="J4620" s="16">
        <v>1707.6584236453202</v>
      </c>
      <c r="K4620" s="16">
        <v>353.6215763546798</v>
      </c>
      <c r="L4620" s="13">
        <v>1.42</v>
      </c>
      <c r="M4620" s="13"/>
      <c r="N4620" s="17">
        <f t="shared" si="154"/>
        <v>5628.88</v>
      </c>
      <c r="O4620" s="17">
        <f t="shared" si="154"/>
        <v>0</v>
      </c>
      <c r="P4620" s="17">
        <f t="shared" si="153"/>
        <v>5628.88</v>
      </c>
      <c r="Q4620" t="str">
        <f>A4620&amp;"-"&amp;B4620&amp;"-"&amp;D4620</f>
        <v>OKTOBER-CNJ2-L4</v>
      </c>
    </row>
    <row r="4621" spans="1:17" x14ac:dyDescent="0.25">
      <c r="A4621" t="s">
        <v>400</v>
      </c>
      <c r="B4621" s="13" t="s">
        <v>22</v>
      </c>
      <c r="C4621" s="13" t="s">
        <v>154</v>
      </c>
      <c r="D4621" s="14" t="s">
        <v>158</v>
      </c>
      <c r="E4621" s="13" t="s">
        <v>155</v>
      </c>
      <c r="F4621" s="13" t="s">
        <v>1680</v>
      </c>
      <c r="G4621" s="13">
        <v>0.52</v>
      </c>
      <c r="H4621" s="15">
        <v>10</v>
      </c>
      <c r="I4621" s="16">
        <v>5.2</v>
      </c>
      <c r="J4621" s="16">
        <v>5.289828571428572</v>
      </c>
      <c r="K4621" s="16">
        <v>-8.9828571428571813E-2</v>
      </c>
      <c r="L4621" s="13">
        <v>1.42</v>
      </c>
      <c r="M4621" s="13"/>
      <c r="N4621" s="17">
        <f t="shared" si="154"/>
        <v>14.2</v>
      </c>
      <c r="O4621" s="17">
        <f t="shared" si="154"/>
        <v>0</v>
      </c>
      <c r="P4621" s="17">
        <f t="shared" si="153"/>
        <v>14.2</v>
      </c>
      <c r="Q4621" t="str">
        <f>A4621&amp;"-"&amp;B4621&amp;"-"&amp;D4621</f>
        <v>OKTOBER-CNJ2-L4</v>
      </c>
    </row>
    <row r="4622" spans="1:17" x14ac:dyDescent="0.25">
      <c r="A4622" t="s">
        <v>400</v>
      </c>
      <c r="B4622" s="13" t="s">
        <v>22</v>
      </c>
      <c r="C4622" s="13" t="s">
        <v>154</v>
      </c>
      <c r="D4622" s="14" t="s">
        <v>158</v>
      </c>
      <c r="E4622" s="13" t="s">
        <v>155</v>
      </c>
      <c r="F4622" s="13" t="s">
        <v>1609</v>
      </c>
      <c r="G4622" s="13">
        <v>0.52</v>
      </c>
      <c r="H4622" s="15">
        <v>215</v>
      </c>
      <c r="I4622" s="16">
        <v>111.8</v>
      </c>
      <c r="J4622" s="16">
        <v>99.51428571428572</v>
      </c>
      <c r="K4622" s="16">
        <v>12.285714285714278</v>
      </c>
      <c r="L4622" s="13">
        <v>1.42</v>
      </c>
      <c r="M4622" s="13"/>
      <c r="N4622" s="17">
        <f t="shared" si="154"/>
        <v>305.3</v>
      </c>
      <c r="O4622" s="17">
        <f t="shared" si="154"/>
        <v>0</v>
      </c>
      <c r="P4622" s="17">
        <f t="shared" si="153"/>
        <v>305.3</v>
      </c>
      <c r="Q4622" t="str">
        <f>A4622&amp;"-"&amp;B4622&amp;"-"&amp;D4622</f>
        <v>OKTOBER-CNJ2-L4</v>
      </c>
    </row>
    <row r="4623" spans="1:17" x14ac:dyDescent="0.25">
      <c r="A4623" t="s">
        <v>400</v>
      </c>
      <c r="B4623" s="13" t="s">
        <v>22</v>
      </c>
      <c r="C4623" s="13" t="s">
        <v>154</v>
      </c>
      <c r="D4623" s="14" t="s">
        <v>158</v>
      </c>
      <c r="E4623" s="13" t="s">
        <v>155</v>
      </c>
      <c r="F4623" s="13" t="s">
        <v>1681</v>
      </c>
      <c r="G4623" s="13">
        <v>0.52</v>
      </c>
      <c r="H4623" s="15">
        <v>133</v>
      </c>
      <c r="I4623" s="16">
        <v>69.16</v>
      </c>
      <c r="J4623" s="16">
        <v>70.35472</v>
      </c>
      <c r="K4623" s="16">
        <v>-1.1947200000000038</v>
      </c>
      <c r="L4623" s="13">
        <v>1.42</v>
      </c>
      <c r="M4623" s="13"/>
      <c r="N4623" s="17">
        <f t="shared" si="154"/>
        <v>188.85999999999999</v>
      </c>
      <c r="O4623" s="17">
        <f t="shared" si="154"/>
        <v>0</v>
      </c>
      <c r="P4623" s="17">
        <f t="shared" si="153"/>
        <v>188.85999999999999</v>
      </c>
      <c r="Q4623" t="str">
        <f>A4623&amp;"-"&amp;B4623&amp;"-"&amp;D4623</f>
        <v>OKTOBER-CNJ2-L4</v>
      </c>
    </row>
    <row r="4624" spans="1:17" x14ac:dyDescent="0.25">
      <c r="A4624" t="s">
        <v>400</v>
      </c>
      <c r="B4624" s="13" t="s">
        <v>22</v>
      </c>
      <c r="C4624" s="13" t="s">
        <v>154</v>
      </c>
      <c r="D4624" s="14" t="s">
        <v>158</v>
      </c>
      <c r="E4624" s="13" t="s">
        <v>155</v>
      </c>
      <c r="F4624" s="13" t="s">
        <v>1682</v>
      </c>
      <c r="G4624" s="13">
        <v>0.52</v>
      </c>
      <c r="H4624" s="15">
        <v>48</v>
      </c>
      <c r="I4624" s="16">
        <v>24.96</v>
      </c>
      <c r="J4624" s="16">
        <v>25.391177142857142</v>
      </c>
      <c r="K4624" s="16">
        <v>-0.43117714285714115</v>
      </c>
      <c r="L4624" s="13">
        <v>1.42</v>
      </c>
      <c r="M4624" s="13"/>
      <c r="N4624" s="17">
        <f t="shared" si="154"/>
        <v>68.16</v>
      </c>
      <c r="O4624" s="17">
        <f t="shared" si="154"/>
        <v>0</v>
      </c>
      <c r="P4624" s="17">
        <f t="shared" si="153"/>
        <v>68.16</v>
      </c>
      <c r="Q4624" t="str">
        <f>A4624&amp;"-"&amp;B4624&amp;"-"&amp;D4624</f>
        <v>OKTOBER-CNJ2-L4</v>
      </c>
    </row>
    <row r="4625" spans="1:17" x14ac:dyDescent="0.25">
      <c r="A4625" t="s">
        <v>400</v>
      </c>
      <c r="B4625" s="13" t="s">
        <v>22</v>
      </c>
      <c r="C4625" s="13" t="s">
        <v>154</v>
      </c>
      <c r="D4625" s="14" t="s">
        <v>158</v>
      </c>
      <c r="E4625" s="13" t="s">
        <v>155</v>
      </c>
      <c r="F4625" s="13" t="s">
        <v>1610</v>
      </c>
      <c r="G4625" s="13">
        <v>0.5</v>
      </c>
      <c r="H4625" s="15">
        <v>7044</v>
      </c>
      <c r="I4625" s="16">
        <v>3522</v>
      </c>
      <c r="J4625" s="16">
        <v>3601.8242742857142</v>
      </c>
      <c r="K4625" s="16">
        <v>-79.824274285714296</v>
      </c>
      <c r="L4625" s="13">
        <v>1.47</v>
      </c>
      <c r="M4625" s="13"/>
      <c r="N4625" s="17">
        <f t="shared" si="154"/>
        <v>10354.68</v>
      </c>
      <c r="O4625" s="17">
        <f t="shared" si="154"/>
        <v>0</v>
      </c>
      <c r="P4625" s="17">
        <f t="shared" si="153"/>
        <v>10354.68</v>
      </c>
      <c r="Q4625" t="str">
        <f>A4625&amp;"-"&amp;B4625&amp;"-"&amp;D4625</f>
        <v>OKTOBER-CNJ2-L4</v>
      </c>
    </row>
    <row r="4626" spans="1:17" x14ac:dyDescent="0.25">
      <c r="A4626" t="s">
        <v>400</v>
      </c>
      <c r="B4626" s="13" t="s">
        <v>22</v>
      </c>
      <c r="C4626" s="13" t="s">
        <v>154</v>
      </c>
      <c r="D4626" s="14" t="s">
        <v>158</v>
      </c>
      <c r="E4626" s="13" t="s">
        <v>155</v>
      </c>
      <c r="F4626" s="13" t="s">
        <v>1683</v>
      </c>
      <c r="G4626" s="13">
        <v>0.5</v>
      </c>
      <c r="H4626" s="15">
        <v>3229</v>
      </c>
      <c r="I4626" s="16">
        <v>1614.5</v>
      </c>
      <c r="J4626" s="16">
        <v>1486.5932307692308</v>
      </c>
      <c r="K4626" s="16">
        <v>127.90676923076929</v>
      </c>
      <c r="L4626" s="13">
        <v>1.47</v>
      </c>
      <c r="M4626" s="13"/>
      <c r="N4626" s="17">
        <f t="shared" si="154"/>
        <v>4746.63</v>
      </c>
      <c r="O4626" s="17">
        <f t="shared" si="154"/>
        <v>0</v>
      </c>
      <c r="P4626" s="17">
        <f t="shared" si="153"/>
        <v>4746.63</v>
      </c>
      <c r="Q4626" t="str">
        <f>A4626&amp;"-"&amp;B4626&amp;"-"&amp;D4626</f>
        <v>OKTOBER-CNJ2-L4</v>
      </c>
    </row>
    <row r="4627" spans="1:17" x14ac:dyDescent="0.25">
      <c r="A4627" t="s">
        <v>400</v>
      </c>
      <c r="B4627" s="13" t="s">
        <v>22</v>
      </c>
      <c r="C4627" s="13" t="s">
        <v>154</v>
      </c>
      <c r="D4627" s="14" t="s">
        <v>158</v>
      </c>
      <c r="E4627" s="13" t="s">
        <v>155</v>
      </c>
      <c r="F4627" s="13" t="s">
        <v>1684</v>
      </c>
      <c r="G4627" s="13">
        <v>0.5</v>
      </c>
      <c r="H4627" s="15">
        <v>2144</v>
      </c>
      <c r="I4627" s="16">
        <v>1072</v>
      </c>
      <c r="J4627" s="16">
        <v>1017.12</v>
      </c>
      <c r="K4627" s="16">
        <v>54.879999999999995</v>
      </c>
      <c r="L4627" s="13">
        <v>1.47</v>
      </c>
      <c r="M4627" s="13"/>
      <c r="N4627" s="17">
        <f t="shared" si="154"/>
        <v>3151.68</v>
      </c>
      <c r="O4627" s="17">
        <f t="shared" si="154"/>
        <v>0</v>
      </c>
      <c r="P4627" s="17">
        <f t="shared" si="153"/>
        <v>3151.68</v>
      </c>
      <c r="Q4627" t="str">
        <f>A4627&amp;"-"&amp;B4627&amp;"-"&amp;D4627</f>
        <v>OKTOBER-CNJ2-L4</v>
      </c>
    </row>
    <row r="4628" spans="1:17" x14ac:dyDescent="0.25">
      <c r="A4628" t="s">
        <v>400</v>
      </c>
      <c r="B4628" s="13" t="s">
        <v>22</v>
      </c>
      <c r="C4628" s="13" t="s">
        <v>154</v>
      </c>
      <c r="D4628" s="14" t="s">
        <v>158</v>
      </c>
      <c r="E4628" s="13" t="s">
        <v>155</v>
      </c>
      <c r="F4628" s="13" t="s">
        <v>1611</v>
      </c>
      <c r="G4628" s="13">
        <v>0.5</v>
      </c>
      <c r="H4628" s="15">
        <v>10</v>
      </c>
      <c r="I4628" s="16">
        <v>5</v>
      </c>
      <c r="J4628" s="16">
        <v>4.6285714285714281</v>
      </c>
      <c r="K4628" s="16">
        <v>0.37142857142857189</v>
      </c>
      <c r="L4628" s="13">
        <v>1.47</v>
      </c>
      <c r="M4628" s="13"/>
      <c r="N4628" s="17">
        <f t="shared" si="154"/>
        <v>14.7</v>
      </c>
      <c r="O4628" s="17">
        <f t="shared" si="154"/>
        <v>0</v>
      </c>
      <c r="P4628" s="17">
        <f t="shared" si="153"/>
        <v>14.7</v>
      </c>
      <c r="Q4628" t="str">
        <f>A4628&amp;"-"&amp;B4628&amp;"-"&amp;D4628</f>
        <v>OKTOBER-CNJ2-L4</v>
      </c>
    </row>
    <row r="4629" spans="1:17" x14ac:dyDescent="0.25">
      <c r="A4629" t="s">
        <v>400</v>
      </c>
      <c r="B4629" s="13" t="s">
        <v>22</v>
      </c>
      <c r="C4629" s="13" t="s">
        <v>154</v>
      </c>
      <c r="D4629" s="14" t="s">
        <v>158</v>
      </c>
      <c r="E4629" s="13" t="s">
        <v>155</v>
      </c>
      <c r="F4629" s="13" t="s">
        <v>1685</v>
      </c>
      <c r="G4629" s="13">
        <v>0.5</v>
      </c>
      <c r="H4629" s="15">
        <v>1502</v>
      </c>
      <c r="I4629" s="16">
        <v>751</v>
      </c>
      <c r="J4629" s="16">
        <v>736.28676923076921</v>
      </c>
      <c r="K4629" s="16">
        <v>14.713230769230805</v>
      </c>
      <c r="L4629" s="13">
        <v>1.47</v>
      </c>
      <c r="M4629" s="13"/>
      <c r="N4629" s="17">
        <f t="shared" si="154"/>
        <v>2207.94</v>
      </c>
      <c r="O4629" s="17">
        <f t="shared" si="154"/>
        <v>0</v>
      </c>
      <c r="P4629" s="17">
        <f t="shared" si="153"/>
        <v>2207.94</v>
      </c>
      <c r="Q4629" t="str">
        <f>A4629&amp;"-"&amp;B4629&amp;"-"&amp;D4629</f>
        <v>OKTOBER-CNJ2-L4</v>
      </c>
    </row>
    <row r="4630" spans="1:17" x14ac:dyDescent="0.25">
      <c r="A4630" t="s">
        <v>400</v>
      </c>
      <c r="B4630" s="13" t="s">
        <v>22</v>
      </c>
      <c r="C4630" s="13" t="s">
        <v>154</v>
      </c>
      <c r="D4630" s="14" t="s">
        <v>158</v>
      </c>
      <c r="E4630" s="13" t="s">
        <v>155</v>
      </c>
      <c r="F4630" s="13" t="s">
        <v>1612</v>
      </c>
      <c r="G4630" s="13">
        <v>0.5</v>
      </c>
      <c r="H4630" s="15">
        <v>10</v>
      </c>
      <c r="I4630" s="16">
        <v>5</v>
      </c>
      <c r="J4630" s="16">
        <v>4.6285714285714281</v>
      </c>
      <c r="K4630" s="16">
        <v>0.37142857142857189</v>
      </c>
      <c r="L4630" s="13">
        <v>1.47</v>
      </c>
      <c r="M4630" s="13"/>
      <c r="N4630" s="17">
        <f t="shared" si="154"/>
        <v>14.7</v>
      </c>
      <c r="O4630" s="17">
        <f t="shared" si="154"/>
        <v>0</v>
      </c>
      <c r="P4630" s="17">
        <f t="shared" si="153"/>
        <v>14.7</v>
      </c>
      <c r="Q4630" t="str">
        <f>A4630&amp;"-"&amp;B4630&amp;"-"&amp;D4630</f>
        <v>OKTOBER-CNJ2-L4</v>
      </c>
    </row>
    <row r="4631" spans="1:17" x14ac:dyDescent="0.25">
      <c r="A4631" t="s">
        <v>400</v>
      </c>
      <c r="B4631" s="13" t="s">
        <v>22</v>
      </c>
      <c r="C4631" s="13" t="s">
        <v>154</v>
      </c>
      <c r="D4631" s="14" t="s">
        <v>158</v>
      </c>
      <c r="E4631" s="13" t="s">
        <v>155</v>
      </c>
      <c r="F4631" s="13" t="s">
        <v>1613</v>
      </c>
      <c r="G4631" s="13">
        <v>0.5</v>
      </c>
      <c r="H4631" s="15">
        <v>1352</v>
      </c>
      <c r="I4631" s="16">
        <v>676</v>
      </c>
      <c r="J4631" s="16">
        <v>604.20413793103444</v>
      </c>
      <c r="K4631" s="16">
        <v>71.795862068965562</v>
      </c>
      <c r="L4631" s="13">
        <v>1.47</v>
      </c>
      <c r="M4631" s="13"/>
      <c r="N4631" s="17">
        <f t="shared" si="154"/>
        <v>1987.44</v>
      </c>
      <c r="O4631" s="17">
        <f t="shared" si="154"/>
        <v>0</v>
      </c>
      <c r="P4631" s="17">
        <f t="shared" si="153"/>
        <v>1987.44</v>
      </c>
      <c r="Q4631" t="str">
        <f>A4631&amp;"-"&amp;B4631&amp;"-"&amp;D4631</f>
        <v>OKTOBER-CNJ2-L4</v>
      </c>
    </row>
    <row r="4632" spans="1:17" x14ac:dyDescent="0.25">
      <c r="A4632" t="s">
        <v>400</v>
      </c>
      <c r="B4632" s="13" t="s">
        <v>22</v>
      </c>
      <c r="C4632" s="13" t="s">
        <v>154</v>
      </c>
      <c r="D4632" s="14" t="s">
        <v>158</v>
      </c>
      <c r="E4632" s="13" t="s">
        <v>155</v>
      </c>
      <c r="F4632" s="13" t="s">
        <v>1614</v>
      </c>
      <c r="G4632" s="13">
        <v>0.5</v>
      </c>
      <c r="H4632" s="15">
        <v>14</v>
      </c>
      <c r="I4632" s="16">
        <v>7</v>
      </c>
      <c r="J4632" s="16">
        <v>6.2565517241379318</v>
      </c>
      <c r="K4632" s="16">
        <v>0.74344827586206819</v>
      </c>
      <c r="L4632" s="13">
        <v>1.47</v>
      </c>
      <c r="M4632" s="13"/>
      <c r="N4632" s="17">
        <f t="shared" si="154"/>
        <v>20.58</v>
      </c>
      <c r="O4632" s="17">
        <f t="shared" si="154"/>
        <v>0</v>
      </c>
      <c r="P4632" s="17">
        <f t="shared" si="153"/>
        <v>20.58</v>
      </c>
      <c r="Q4632" t="str">
        <f>A4632&amp;"-"&amp;B4632&amp;"-"&amp;D4632</f>
        <v>OKTOBER-CNJ2-L4</v>
      </c>
    </row>
    <row r="4633" spans="1:17" x14ac:dyDescent="0.25">
      <c r="A4633" t="s">
        <v>400</v>
      </c>
      <c r="B4633" s="13" t="s">
        <v>22</v>
      </c>
      <c r="C4633" s="13" t="s">
        <v>154</v>
      </c>
      <c r="D4633" s="14" t="s">
        <v>158</v>
      </c>
      <c r="E4633" s="13" t="s">
        <v>155</v>
      </c>
      <c r="F4633" s="13" t="s">
        <v>1615</v>
      </c>
      <c r="G4633" s="13">
        <v>0.5</v>
      </c>
      <c r="H4633" s="15">
        <v>8409</v>
      </c>
      <c r="I4633" s="16">
        <v>4204.5</v>
      </c>
      <c r="J4633" s="16">
        <v>3694.7360591133006</v>
      </c>
      <c r="K4633" s="16">
        <v>509.76394088669952</v>
      </c>
      <c r="L4633" s="13">
        <v>1.47</v>
      </c>
      <c r="M4633" s="13"/>
      <c r="N4633" s="17">
        <f t="shared" si="154"/>
        <v>12361.23</v>
      </c>
      <c r="O4633" s="17">
        <f t="shared" si="154"/>
        <v>0</v>
      </c>
      <c r="P4633" s="17">
        <f t="shared" si="153"/>
        <v>12361.23</v>
      </c>
      <c r="Q4633" t="str">
        <f>A4633&amp;"-"&amp;B4633&amp;"-"&amp;D4633</f>
        <v>OKTOBER-CNJ2-L4</v>
      </c>
    </row>
    <row r="4634" spans="1:17" x14ac:dyDescent="0.25">
      <c r="A4634" t="s">
        <v>400</v>
      </c>
      <c r="B4634" s="13" t="s">
        <v>22</v>
      </c>
      <c r="C4634" s="13" t="s">
        <v>154</v>
      </c>
      <c r="D4634" s="14" t="s">
        <v>158</v>
      </c>
      <c r="E4634" s="13" t="s">
        <v>155</v>
      </c>
      <c r="F4634" s="13" t="s">
        <v>1616</v>
      </c>
      <c r="G4634" s="13">
        <v>0.5</v>
      </c>
      <c r="H4634" s="15">
        <v>10</v>
      </c>
      <c r="I4634" s="16">
        <v>5</v>
      </c>
      <c r="J4634" s="16">
        <v>4.4689655172413794</v>
      </c>
      <c r="K4634" s="16">
        <v>0.53103448275862064</v>
      </c>
      <c r="L4634" s="13">
        <v>1.47</v>
      </c>
      <c r="M4634" s="13"/>
      <c r="N4634" s="17">
        <f t="shared" si="154"/>
        <v>14.7</v>
      </c>
      <c r="O4634" s="17">
        <f t="shared" si="154"/>
        <v>0</v>
      </c>
      <c r="P4634" s="17">
        <f t="shared" si="153"/>
        <v>14.7</v>
      </c>
      <c r="Q4634" t="str">
        <f>A4634&amp;"-"&amp;B4634&amp;"-"&amp;D4634</f>
        <v>OKTOBER-CNJ2-L4</v>
      </c>
    </row>
    <row r="4635" spans="1:17" x14ac:dyDescent="0.25">
      <c r="A4635" t="s">
        <v>400</v>
      </c>
      <c r="B4635" s="13" t="s">
        <v>22</v>
      </c>
      <c r="C4635" s="13" t="s">
        <v>154</v>
      </c>
      <c r="D4635" s="14" t="s">
        <v>158</v>
      </c>
      <c r="E4635" s="13" t="s">
        <v>155</v>
      </c>
      <c r="F4635" s="13" t="s">
        <v>1617</v>
      </c>
      <c r="G4635" s="13">
        <v>0.5</v>
      </c>
      <c r="H4635" s="15">
        <v>90</v>
      </c>
      <c r="I4635" s="16">
        <v>45</v>
      </c>
      <c r="J4635" s="16">
        <v>40.220689655172414</v>
      </c>
      <c r="K4635" s="16">
        <v>4.7793103448275858</v>
      </c>
      <c r="L4635" s="13">
        <v>1.47</v>
      </c>
      <c r="M4635" s="13"/>
      <c r="N4635" s="17">
        <f t="shared" si="154"/>
        <v>132.30000000000001</v>
      </c>
      <c r="O4635" s="17">
        <f t="shared" si="154"/>
        <v>0</v>
      </c>
      <c r="P4635" s="17">
        <f t="shared" si="153"/>
        <v>132.30000000000001</v>
      </c>
      <c r="Q4635" t="str">
        <f>A4635&amp;"-"&amp;B4635&amp;"-"&amp;D4635</f>
        <v>OKTOBER-CNJ2-L4</v>
      </c>
    </row>
    <row r="4636" spans="1:17" x14ac:dyDescent="0.25">
      <c r="A4636" t="s">
        <v>400</v>
      </c>
      <c r="B4636" s="13" t="s">
        <v>22</v>
      </c>
      <c r="C4636" s="13" t="s">
        <v>154</v>
      </c>
      <c r="D4636" s="14" t="s">
        <v>158</v>
      </c>
      <c r="E4636" s="13" t="s">
        <v>155</v>
      </c>
      <c r="F4636" s="13" t="s">
        <v>1618</v>
      </c>
      <c r="G4636" s="13">
        <v>0.5</v>
      </c>
      <c r="H4636" s="15">
        <v>10</v>
      </c>
      <c r="I4636" s="16">
        <v>5</v>
      </c>
      <c r="J4636" s="16">
        <v>4.4689655172413794</v>
      </c>
      <c r="K4636" s="16">
        <v>0.53103448275862064</v>
      </c>
      <c r="L4636" s="13">
        <v>1.47</v>
      </c>
      <c r="M4636" s="13"/>
      <c r="N4636" s="17">
        <f t="shared" si="154"/>
        <v>14.7</v>
      </c>
      <c r="O4636" s="17">
        <f t="shared" si="154"/>
        <v>0</v>
      </c>
      <c r="P4636" s="17">
        <f t="shared" si="153"/>
        <v>14.7</v>
      </c>
      <c r="Q4636" t="str">
        <f>A4636&amp;"-"&amp;B4636&amp;"-"&amp;D4636</f>
        <v>OKTOBER-CNJ2-L4</v>
      </c>
    </row>
    <row r="4637" spans="1:17" x14ac:dyDescent="0.25">
      <c r="A4637" t="s">
        <v>400</v>
      </c>
      <c r="B4637" s="13" t="s">
        <v>22</v>
      </c>
      <c r="C4637" s="13" t="s">
        <v>154</v>
      </c>
      <c r="D4637" s="14" t="s">
        <v>158</v>
      </c>
      <c r="E4637" s="13" t="s">
        <v>155</v>
      </c>
      <c r="F4637" s="13" t="s">
        <v>1619</v>
      </c>
      <c r="G4637" s="13">
        <v>0.5</v>
      </c>
      <c r="H4637" s="15">
        <v>967</v>
      </c>
      <c r="I4637" s="16">
        <v>483.5</v>
      </c>
      <c r="J4637" s="16">
        <v>445.95487684729062</v>
      </c>
      <c r="K4637" s="16">
        <v>37.545123152709358</v>
      </c>
      <c r="L4637" s="13">
        <v>1.47</v>
      </c>
      <c r="M4637" s="13"/>
      <c r="N4637" s="17">
        <f t="shared" si="154"/>
        <v>1421.49</v>
      </c>
      <c r="O4637" s="17">
        <f t="shared" si="154"/>
        <v>0</v>
      </c>
      <c r="P4637" s="17">
        <f t="shared" si="153"/>
        <v>1421.49</v>
      </c>
      <c r="Q4637" t="str">
        <f>A4637&amp;"-"&amp;B4637&amp;"-"&amp;D4637</f>
        <v>OKTOBER-CNJ2-L4</v>
      </c>
    </row>
    <row r="4638" spans="1:17" x14ac:dyDescent="0.25">
      <c r="A4638" t="s">
        <v>400</v>
      </c>
      <c r="B4638" s="13" t="s">
        <v>22</v>
      </c>
      <c r="C4638" s="13" t="s">
        <v>154</v>
      </c>
      <c r="D4638" s="14" t="s">
        <v>158</v>
      </c>
      <c r="E4638" s="13" t="s">
        <v>155</v>
      </c>
      <c r="F4638" s="13" t="s">
        <v>1620</v>
      </c>
      <c r="G4638" s="13">
        <v>0.5</v>
      </c>
      <c r="H4638" s="15">
        <v>18</v>
      </c>
      <c r="I4638" s="16">
        <v>9</v>
      </c>
      <c r="J4638" s="16">
        <v>8.0441379310344825</v>
      </c>
      <c r="K4638" s="16">
        <v>0.95586206896551751</v>
      </c>
      <c r="L4638" s="13">
        <v>1.47</v>
      </c>
      <c r="M4638" s="13"/>
      <c r="N4638" s="17">
        <f t="shared" si="154"/>
        <v>26.46</v>
      </c>
      <c r="O4638" s="17">
        <f t="shared" si="154"/>
        <v>0</v>
      </c>
      <c r="P4638" s="17">
        <f t="shared" si="153"/>
        <v>26.46</v>
      </c>
      <c r="Q4638" t="str">
        <f>A4638&amp;"-"&amp;B4638&amp;"-"&amp;D4638</f>
        <v>OKTOBER-CNJ2-L4</v>
      </c>
    </row>
    <row r="4639" spans="1:17" x14ac:dyDescent="0.25">
      <c r="A4639" t="s">
        <v>400</v>
      </c>
      <c r="B4639" s="13" t="s">
        <v>22</v>
      </c>
      <c r="C4639" s="13" t="s">
        <v>154</v>
      </c>
      <c r="D4639" s="14" t="s">
        <v>158</v>
      </c>
      <c r="E4639" s="13" t="s">
        <v>155</v>
      </c>
      <c r="F4639" s="13" t="s">
        <v>1621</v>
      </c>
      <c r="G4639" s="13">
        <v>0.5</v>
      </c>
      <c r="H4639" s="15">
        <v>896</v>
      </c>
      <c r="I4639" s="16">
        <v>448</v>
      </c>
      <c r="J4639" s="16">
        <v>351.45979661016952</v>
      </c>
      <c r="K4639" s="16">
        <v>96.540203389830481</v>
      </c>
      <c r="L4639" s="13">
        <v>1.47</v>
      </c>
      <c r="M4639" s="13"/>
      <c r="N4639" s="17">
        <f t="shared" si="154"/>
        <v>1317.12</v>
      </c>
      <c r="O4639" s="17">
        <f t="shared" si="154"/>
        <v>0</v>
      </c>
      <c r="P4639" s="17">
        <f t="shared" si="153"/>
        <v>1317.12</v>
      </c>
      <c r="Q4639" t="str">
        <f>A4639&amp;"-"&amp;B4639&amp;"-"&amp;D4639</f>
        <v>OKTOBER-CNJ2-L4</v>
      </c>
    </row>
    <row r="4640" spans="1:17" x14ac:dyDescent="0.25">
      <c r="A4640" t="s">
        <v>400</v>
      </c>
      <c r="B4640" s="13" t="s">
        <v>22</v>
      </c>
      <c r="C4640" s="13" t="s">
        <v>154</v>
      </c>
      <c r="D4640" s="14" t="s">
        <v>158</v>
      </c>
      <c r="E4640" s="13" t="s">
        <v>155</v>
      </c>
      <c r="F4640" s="13" t="s">
        <v>1622</v>
      </c>
      <c r="G4640" s="13">
        <v>0.5</v>
      </c>
      <c r="H4640" s="15">
        <v>1582</v>
      </c>
      <c r="I4640" s="16">
        <v>791</v>
      </c>
      <c r="J4640" s="16">
        <v>712.18877481840195</v>
      </c>
      <c r="K4640" s="16">
        <v>78.811225181598033</v>
      </c>
      <c r="L4640" s="13">
        <v>1.47</v>
      </c>
      <c r="M4640" s="13"/>
      <c r="N4640" s="17">
        <f t="shared" si="154"/>
        <v>2325.54</v>
      </c>
      <c r="O4640" s="17">
        <f t="shared" si="154"/>
        <v>0</v>
      </c>
      <c r="P4640" s="17">
        <f t="shared" si="153"/>
        <v>2325.54</v>
      </c>
      <c r="Q4640" t="str">
        <f>A4640&amp;"-"&amp;B4640&amp;"-"&amp;D4640</f>
        <v>OKTOBER-CNJ2-L4</v>
      </c>
    </row>
    <row r="4641" spans="1:17" x14ac:dyDescent="0.25">
      <c r="A4641" t="s">
        <v>400</v>
      </c>
      <c r="B4641" s="13" t="s">
        <v>22</v>
      </c>
      <c r="C4641" s="13" t="s">
        <v>154</v>
      </c>
      <c r="D4641" s="14" t="s">
        <v>158</v>
      </c>
      <c r="E4641" s="13" t="s">
        <v>155</v>
      </c>
      <c r="F4641" s="13" t="s">
        <v>1623</v>
      </c>
      <c r="G4641" s="13">
        <v>0.5</v>
      </c>
      <c r="H4641" s="15">
        <v>10</v>
      </c>
      <c r="I4641" s="16">
        <v>5</v>
      </c>
      <c r="J4641" s="16">
        <v>4.4689655172413794</v>
      </c>
      <c r="K4641" s="16">
        <v>0.53103448275862064</v>
      </c>
      <c r="L4641" s="13">
        <v>1.47</v>
      </c>
      <c r="M4641" s="13"/>
      <c r="N4641" s="17">
        <f t="shared" si="154"/>
        <v>14.7</v>
      </c>
      <c r="O4641" s="17">
        <f t="shared" si="154"/>
        <v>0</v>
      </c>
      <c r="P4641" s="17">
        <f t="shared" si="153"/>
        <v>14.7</v>
      </c>
      <c r="Q4641" t="str">
        <f>A4641&amp;"-"&amp;B4641&amp;"-"&amp;D4641</f>
        <v>OKTOBER-CNJ2-L4</v>
      </c>
    </row>
    <row r="4642" spans="1:17" x14ac:dyDescent="0.25">
      <c r="A4642" t="s">
        <v>400</v>
      </c>
      <c r="B4642" s="13" t="s">
        <v>22</v>
      </c>
      <c r="C4642" s="13" t="s">
        <v>154</v>
      </c>
      <c r="D4642" s="14" t="s">
        <v>158</v>
      </c>
      <c r="E4642" s="13" t="s">
        <v>155</v>
      </c>
      <c r="F4642" s="13" t="s">
        <v>1624</v>
      </c>
      <c r="G4642" s="13">
        <v>0.5</v>
      </c>
      <c r="H4642" s="15">
        <v>1700</v>
      </c>
      <c r="I4642" s="16">
        <v>850</v>
      </c>
      <c r="J4642" s="16">
        <v>763.71428571428578</v>
      </c>
      <c r="K4642" s="16">
        <v>86.285714285714278</v>
      </c>
      <c r="L4642" s="13">
        <v>1.47</v>
      </c>
      <c r="M4642" s="13"/>
      <c r="N4642" s="17">
        <f t="shared" si="154"/>
        <v>2499</v>
      </c>
      <c r="O4642" s="17">
        <f t="shared" si="154"/>
        <v>0</v>
      </c>
      <c r="P4642" s="17">
        <f t="shared" si="153"/>
        <v>2499</v>
      </c>
      <c r="Q4642" t="str">
        <f>A4642&amp;"-"&amp;B4642&amp;"-"&amp;D4642</f>
        <v>OKTOBER-CNJ2-L4</v>
      </c>
    </row>
    <row r="4643" spans="1:17" x14ac:dyDescent="0.25">
      <c r="A4643" t="s">
        <v>400</v>
      </c>
      <c r="B4643" s="13" t="s">
        <v>22</v>
      </c>
      <c r="C4643" s="13" t="s">
        <v>154</v>
      </c>
      <c r="D4643" s="14" t="s">
        <v>158</v>
      </c>
      <c r="E4643" s="13" t="s">
        <v>155</v>
      </c>
      <c r="F4643" s="13" t="s">
        <v>1625</v>
      </c>
      <c r="G4643" s="13">
        <v>0.5</v>
      </c>
      <c r="H4643" s="15">
        <v>1523</v>
      </c>
      <c r="I4643" s="16">
        <v>761.5</v>
      </c>
      <c r="J4643" s="16">
        <v>703.33536945812807</v>
      </c>
      <c r="K4643" s="16">
        <v>58.164630541871944</v>
      </c>
      <c r="L4643" s="13">
        <v>1.47</v>
      </c>
      <c r="M4643" s="13"/>
      <c r="N4643" s="17">
        <f t="shared" si="154"/>
        <v>2238.81</v>
      </c>
      <c r="O4643" s="17">
        <f t="shared" si="154"/>
        <v>0</v>
      </c>
      <c r="P4643" s="17">
        <f t="shared" si="153"/>
        <v>2238.81</v>
      </c>
      <c r="Q4643" t="str">
        <f>A4643&amp;"-"&amp;B4643&amp;"-"&amp;D4643</f>
        <v>OKTOBER-CNJ2-L4</v>
      </c>
    </row>
    <row r="4644" spans="1:17" x14ac:dyDescent="0.25">
      <c r="A4644" t="s">
        <v>400</v>
      </c>
      <c r="B4644" s="13" t="s">
        <v>22</v>
      </c>
      <c r="C4644" s="13" t="s">
        <v>154</v>
      </c>
      <c r="D4644" s="14" t="s">
        <v>160</v>
      </c>
      <c r="E4644" s="13" t="s">
        <v>155</v>
      </c>
      <c r="F4644" s="13" t="s">
        <v>1470</v>
      </c>
      <c r="G4644" s="13">
        <v>0.52</v>
      </c>
      <c r="H4644" s="15">
        <v>18</v>
      </c>
      <c r="I4644" s="16">
        <v>9.36</v>
      </c>
      <c r="J4644" s="16">
        <v>7.7759999999999998</v>
      </c>
      <c r="K4644" s="16">
        <v>1.5839999999999996</v>
      </c>
      <c r="L4644" s="13">
        <v>1.43</v>
      </c>
      <c r="M4644" s="13"/>
      <c r="N4644" s="17">
        <f t="shared" si="154"/>
        <v>25.74</v>
      </c>
      <c r="O4644" s="17">
        <f t="shared" si="154"/>
        <v>0</v>
      </c>
      <c r="P4644" s="17">
        <f t="shared" si="153"/>
        <v>25.74</v>
      </c>
      <c r="Q4644" t="str">
        <f>A4644&amp;"-"&amp;B4644&amp;"-"&amp;D4644</f>
        <v>OKTOBER-CNJ2-L5</v>
      </c>
    </row>
    <row r="4645" spans="1:17" x14ac:dyDescent="0.25">
      <c r="A4645" t="s">
        <v>400</v>
      </c>
      <c r="B4645" s="13" t="s">
        <v>22</v>
      </c>
      <c r="C4645" s="13" t="s">
        <v>154</v>
      </c>
      <c r="D4645" s="14" t="s">
        <v>160</v>
      </c>
      <c r="E4645" s="13" t="s">
        <v>155</v>
      </c>
      <c r="F4645" s="13" t="s">
        <v>1605</v>
      </c>
      <c r="G4645" s="13">
        <v>0.52</v>
      </c>
      <c r="H4645" s="15">
        <v>878</v>
      </c>
      <c r="I4645" s="16">
        <v>456.56000000000006</v>
      </c>
      <c r="J4645" s="16">
        <v>358.98591525423728</v>
      </c>
      <c r="K4645" s="16">
        <v>97.574084745762718</v>
      </c>
      <c r="L4645" s="13">
        <v>1.42</v>
      </c>
      <c r="M4645" s="13"/>
      <c r="N4645" s="17">
        <f t="shared" si="154"/>
        <v>1246.76</v>
      </c>
      <c r="O4645" s="17">
        <f t="shared" si="154"/>
        <v>0</v>
      </c>
      <c r="P4645" s="17">
        <f t="shared" si="153"/>
        <v>1246.76</v>
      </c>
      <c r="Q4645" t="str">
        <f>A4645&amp;"-"&amp;B4645&amp;"-"&amp;D4645</f>
        <v>OKTOBER-CNJ2-L5</v>
      </c>
    </row>
    <row r="4646" spans="1:17" x14ac:dyDescent="0.25">
      <c r="A4646" t="s">
        <v>400</v>
      </c>
      <c r="B4646" s="13" t="s">
        <v>22</v>
      </c>
      <c r="C4646" s="13" t="s">
        <v>154</v>
      </c>
      <c r="D4646" s="14" t="s">
        <v>160</v>
      </c>
      <c r="E4646" s="13" t="s">
        <v>155</v>
      </c>
      <c r="F4646" s="13" t="s">
        <v>1607</v>
      </c>
      <c r="G4646" s="13">
        <v>0.52</v>
      </c>
      <c r="H4646" s="15">
        <v>4238</v>
      </c>
      <c r="I4646" s="16">
        <v>2203.7600000000002</v>
      </c>
      <c r="J4646" s="16">
        <v>1830.8159999999998</v>
      </c>
      <c r="K4646" s="16">
        <v>372.94399999999996</v>
      </c>
      <c r="L4646" s="13">
        <v>1.42</v>
      </c>
      <c r="M4646" s="13"/>
      <c r="N4646" s="17">
        <f t="shared" si="154"/>
        <v>6017.96</v>
      </c>
      <c r="O4646" s="17">
        <f t="shared" si="154"/>
        <v>0</v>
      </c>
      <c r="P4646" s="17">
        <f t="shared" si="153"/>
        <v>6017.96</v>
      </c>
      <c r="Q4646" t="str">
        <f>A4646&amp;"-"&amp;B4646&amp;"-"&amp;D4646</f>
        <v>OKTOBER-CNJ2-L5</v>
      </c>
    </row>
    <row r="4647" spans="1:17" x14ac:dyDescent="0.25">
      <c r="A4647" t="s">
        <v>400</v>
      </c>
      <c r="B4647" s="13" t="s">
        <v>22</v>
      </c>
      <c r="C4647" s="13" t="s">
        <v>154</v>
      </c>
      <c r="D4647" s="14" t="s">
        <v>160</v>
      </c>
      <c r="E4647" s="13" t="s">
        <v>155</v>
      </c>
      <c r="F4647" s="13" t="s">
        <v>1680</v>
      </c>
      <c r="G4647" s="13">
        <v>0.52</v>
      </c>
      <c r="H4647" s="15">
        <v>20</v>
      </c>
      <c r="I4647" s="16">
        <v>10.4</v>
      </c>
      <c r="J4647" s="16">
        <v>8.8163809523809533</v>
      </c>
      <c r="K4647" s="16">
        <v>1.583619047619047</v>
      </c>
      <c r="L4647" s="13">
        <v>1.42</v>
      </c>
      <c r="M4647" s="13"/>
      <c r="N4647" s="17">
        <f t="shared" si="154"/>
        <v>28.4</v>
      </c>
      <c r="O4647" s="17">
        <f t="shared" si="154"/>
        <v>0</v>
      </c>
      <c r="P4647" s="17">
        <f t="shared" si="153"/>
        <v>28.4</v>
      </c>
      <c r="Q4647" t="str">
        <f>A4647&amp;"-"&amp;B4647&amp;"-"&amp;D4647</f>
        <v>OKTOBER-CNJ2-L5</v>
      </c>
    </row>
    <row r="4648" spans="1:17" x14ac:dyDescent="0.25">
      <c r="A4648" t="s">
        <v>400</v>
      </c>
      <c r="B4648" s="13" t="s">
        <v>22</v>
      </c>
      <c r="C4648" s="13" t="s">
        <v>154</v>
      </c>
      <c r="D4648" s="14" t="s">
        <v>160</v>
      </c>
      <c r="E4648" s="13" t="s">
        <v>155</v>
      </c>
      <c r="F4648" s="13" t="s">
        <v>1608</v>
      </c>
      <c r="G4648" s="13">
        <v>0.52</v>
      </c>
      <c r="H4648" s="15">
        <v>10</v>
      </c>
      <c r="I4648" s="16">
        <v>5.2</v>
      </c>
      <c r="J4648" s="16">
        <v>3.922542372881356</v>
      </c>
      <c r="K4648" s="16">
        <v>1.2774576271186442</v>
      </c>
      <c r="L4648" s="13">
        <v>1.42</v>
      </c>
      <c r="M4648" s="13"/>
      <c r="N4648" s="17">
        <f t="shared" si="154"/>
        <v>14.2</v>
      </c>
      <c r="O4648" s="17">
        <f t="shared" si="154"/>
        <v>0</v>
      </c>
      <c r="P4648" s="17">
        <f t="shared" si="153"/>
        <v>14.2</v>
      </c>
      <c r="Q4648" t="str">
        <f>A4648&amp;"-"&amp;B4648&amp;"-"&amp;D4648</f>
        <v>OKTOBER-CNJ2-L5</v>
      </c>
    </row>
    <row r="4649" spans="1:17" x14ac:dyDescent="0.25">
      <c r="A4649" t="s">
        <v>400</v>
      </c>
      <c r="B4649" s="13" t="s">
        <v>22</v>
      </c>
      <c r="C4649" s="13" t="s">
        <v>154</v>
      </c>
      <c r="D4649" s="14" t="s">
        <v>160</v>
      </c>
      <c r="E4649" s="13" t="s">
        <v>155</v>
      </c>
      <c r="F4649" s="13" t="s">
        <v>1609</v>
      </c>
      <c r="G4649" s="13">
        <v>0.52</v>
      </c>
      <c r="H4649" s="15">
        <v>215</v>
      </c>
      <c r="I4649" s="16">
        <v>111.8</v>
      </c>
      <c r="J4649" s="16">
        <v>92.88000000000001</v>
      </c>
      <c r="K4649" s="16">
        <v>18.919999999999987</v>
      </c>
      <c r="L4649" s="13">
        <v>1.42</v>
      </c>
      <c r="M4649" s="13"/>
      <c r="N4649" s="17">
        <f t="shared" si="154"/>
        <v>305.3</v>
      </c>
      <c r="O4649" s="17">
        <f t="shared" si="154"/>
        <v>0</v>
      </c>
      <c r="P4649" s="17">
        <f t="shared" si="153"/>
        <v>305.3</v>
      </c>
      <c r="Q4649" t="str">
        <f>A4649&amp;"-"&amp;B4649&amp;"-"&amp;D4649</f>
        <v>OKTOBER-CNJ2-L5</v>
      </c>
    </row>
    <row r="4650" spans="1:17" x14ac:dyDescent="0.25">
      <c r="A4650" t="s">
        <v>400</v>
      </c>
      <c r="B4650" s="13" t="s">
        <v>22</v>
      </c>
      <c r="C4650" s="13" t="s">
        <v>154</v>
      </c>
      <c r="D4650" s="14" t="s">
        <v>160</v>
      </c>
      <c r="E4650" s="13" t="s">
        <v>155</v>
      </c>
      <c r="F4650" s="13" t="s">
        <v>1681</v>
      </c>
      <c r="G4650" s="13">
        <v>0.52</v>
      </c>
      <c r="H4650" s="15">
        <v>266</v>
      </c>
      <c r="I4650" s="16">
        <v>138.32</v>
      </c>
      <c r="J4650" s="16">
        <v>117.25786666666669</v>
      </c>
      <c r="K4650" s="16">
        <v>21.062133333333307</v>
      </c>
      <c r="L4650" s="13">
        <v>1.42</v>
      </c>
      <c r="M4650" s="13"/>
      <c r="N4650" s="17">
        <f t="shared" si="154"/>
        <v>377.71999999999997</v>
      </c>
      <c r="O4650" s="17">
        <f t="shared" si="154"/>
        <v>0</v>
      </c>
      <c r="P4650" s="17">
        <f t="shared" si="153"/>
        <v>377.71999999999997</v>
      </c>
      <c r="Q4650" t="str">
        <f>A4650&amp;"-"&amp;B4650&amp;"-"&amp;D4650</f>
        <v>OKTOBER-CNJ2-L5</v>
      </c>
    </row>
    <row r="4651" spans="1:17" x14ac:dyDescent="0.25">
      <c r="A4651" t="s">
        <v>400</v>
      </c>
      <c r="B4651" s="13" t="s">
        <v>22</v>
      </c>
      <c r="C4651" s="13" t="s">
        <v>154</v>
      </c>
      <c r="D4651" s="14" t="s">
        <v>160</v>
      </c>
      <c r="E4651" s="13" t="s">
        <v>155</v>
      </c>
      <c r="F4651" s="13" t="s">
        <v>1682</v>
      </c>
      <c r="G4651" s="13">
        <v>0.52</v>
      </c>
      <c r="H4651" s="15">
        <v>96</v>
      </c>
      <c r="I4651" s="16">
        <v>49.92</v>
      </c>
      <c r="J4651" s="16">
        <v>42.318628571428576</v>
      </c>
      <c r="K4651" s="16">
        <v>7.6013714285714258</v>
      </c>
      <c r="L4651" s="13">
        <v>1.42</v>
      </c>
      <c r="M4651" s="13"/>
      <c r="N4651" s="17">
        <f t="shared" si="154"/>
        <v>136.32</v>
      </c>
      <c r="O4651" s="17">
        <f t="shared" si="154"/>
        <v>0</v>
      </c>
      <c r="P4651" s="17">
        <f t="shared" si="153"/>
        <v>136.32</v>
      </c>
      <c r="Q4651" t="str">
        <f>A4651&amp;"-"&amp;B4651&amp;"-"&amp;D4651</f>
        <v>OKTOBER-CNJ2-L5</v>
      </c>
    </row>
    <row r="4652" spans="1:17" x14ac:dyDescent="0.25">
      <c r="A4652" t="s">
        <v>400</v>
      </c>
      <c r="B4652" s="13" t="s">
        <v>22</v>
      </c>
      <c r="C4652" s="13" t="s">
        <v>154</v>
      </c>
      <c r="D4652" s="14" t="s">
        <v>160</v>
      </c>
      <c r="E4652" s="13" t="s">
        <v>155</v>
      </c>
      <c r="F4652" s="13" t="s">
        <v>1610</v>
      </c>
      <c r="G4652" s="13">
        <v>0.5</v>
      </c>
      <c r="H4652" s="15">
        <v>7539</v>
      </c>
      <c r="I4652" s="16">
        <v>3769.5</v>
      </c>
      <c r="J4652" s="16">
        <v>3232.7620677966102</v>
      </c>
      <c r="K4652" s="16">
        <v>536.73793220338985</v>
      </c>
      <c r="L4652" s="13">
        <v>1.47</v>
      </c>
      <c r="M4652" s="13"/>
      <c r="N4652" s="17">
        <f t="shared" si="154"/>
        <v>11082.33</v>
      </c>
      <c r="O4652" s="17">
        <f t="shared" si="154"/>
        <v>0</v>
      </c>
      <c r="P4652" s="17">
        <f t="shared" si="153"/>
        <v>11082.33</v>
      </c>
      <c r="Q4652" t="str">
        <f>A4652&amp;"-"&amp;B4652&amp;"-"&amp;D4652</f>
        <v>OKTOBER-CNJ2-L5</v>
      </c>
    </row>
    <row r="4653" spans="1:17" x14ac:dyDescent="0.25">
      <c r="A4653" t="s">
        <v>400</v>
      </c>
      <c r="B4653" s="13" t="s">
        <v>22</v>
      </c>
      <c r="C4653" s="13" t="s">
        <v>154</v>
      </c>
      <c r="D4653" s="14" t="s">
        <v>160</v>
      </c>
      <c r="E4653" s="13" t="s">
        <v>155</v>
      </c>
      <c r="F4653" s="13" t="s">
        <v>1683</v>
      </c>
      <c r="G4653" s="13">
        <v>0.5</v>
      </c>
      <c r="H4653" s="15">
        <v>5005</v>
      </c>
      <c r="I4653" s="16">
        <v>2502.5</v>
      </c>
      <c r="J4653" s="16">
        <v>2162.16</v>
      </c>
      <c r="K4653" s="16">
        <v>340.34000000000009</v>
      </c>
      <c r="L4653" s="13">
        <v>1.47</v>
      </c>
      <c r="M4653" s="13"/>
      <c r="N4653" s="17">
        <f t="shared" si="154"/>
        <v>7357.3499999999995</v>
      </c>
      <c r="O4653" s="17">
        <f t="shared" si="154"/>
        <v>0</v>
      </c>
      <c r="P4653" s="17">
        <f t="shared" si="153"/>
        <v>7357.3499999999995</v>
      </c>
      <c r="Q4653" t="str">
        <f>A4653&amp;"-"&amp;B4653&amp;"-"&amp;D4653</f>
        <v>OKTOBER-CNJ2-L5</v>
      </c>
    </row>
    <row r="4654" spans="1:17" x14ac:dyDescent="0.25">
      <c r="A4654" t="s">
        <v>400</v>
      </c>
      <c r="B4654" s="13" t="s">
        <v>22</v>
      </c>
      <c r="C4654" s="13" t="s">
        <v>154</v>
      </c>
      <c r="D4654" s="14" t="s">
        <v>160</v>
      </c>
      <c r="E4654" s="13" t="s">
        <v>155</v>
      </c>
      <c r="F4654" s="13" t="s">
        <v>1684</v>
      </c>
      <c r="G4654" s="13">
        <v>0.5</v>
      </c>
      <c r="H4654" s="15">
        <v>855</v>
      </c>
      <c r="I4654" s="16">
        <v>427.5</v>
      </c>
      <c r="J4654" s="16">
        <v>371.89988571428569</v>
      </c>
      <c r="K4654" s="16">
        <v>55.600114285714284</v>
      </c>
      <c r="L4654" s="13">
        <v>1.47</v>
      </c>
      <c r="M4654" s="13"/>
      <c r="N4654" s="17">
        <f t="shared" si="154"/>
        <v>1256.8499999999999</v>
      </c>
      <c r="O4654" s="17">
        <f t="shared" si="154"/>
        <v>0</v>
      </c>
      <c r="P4654" s="17">
        <f t="shared" si="153"/>
        <v>1256.8499999999999</v>
      </c>
      <c r="Q4654" t="str">
        <f>A4654&amp;"-"&amp;B4654&amp;"-"&amp;D4654</f>
        <v>OKTOBER-CNJ2-L5</v>
      </c>
    </row>
    <row r="4655" spans="1:17" x14ac:dyDescent="0.25">
      <c r="A4655" t="s">
        <v>400</v>
      </c>
      <c r="B4655" s="13" t="s">
        <v>22</v>
      </c>
      <c r="C4655" s="13" t="s">
        <v>154</v>
      </c>
      <c r="D4655" s="14" t="s">
        <v>160</v>
      </c>
      <c r="E4655" s="13" t="s">
        <v>155</v>
      </c>
      <c r="F4655" s="13" t="s">
        <v>1473</v>
      </c>
      <c r="G4655" s="13">
        <v>0.5</v>
      </c>
      <c r="H4655" s="15">
        <v>514</v>
      </c>
      <c r="I4655" s="16">
        <v>257</v>
      </c>
      <c r="J4655" s="16">
        <v>222.048</v>
      </c>
      <c r="K4655" s="16">
        <v>34.951999999999998</v>
      </c>
      <c r="L4655" s="13">
        <v>1.47</v>
      </c>
      <c r="M4655" s="13"/>
      <c r="N4655" s="17">
        <f t="shared" si="154"/>
        <v>755.58</v>
      </c>
      <c r="O4655" s="17">
        <f t="shared" si="154"/>
        <v>0</v>
      </c>
      <c r="P4655" s="17">
        <f t="shared" si="153"/>
        <v>755.58</v>
      </c>
      <c r="Q4655" t="str">
        <f>A4655&amp;"-"&amp;B4655&amp;"-"&amp;D4655</f>
        <v>OKTOBER-CNJ2-L5</v>
      </c>
    </row>
    <row r="4656" spans="1:17" x14ac:dyDescent="0.25">
      <c r="A4656" t="s">
        <v>400</v>
      </c>
      <c r="B4656" s="13" t="s">
        <v>22</v>
      </c>
      <c r="C4656" s="13" t="s">
        <v>154</v>
      </c>
      <c r="D4656" s="14" t="s">
        <v>160</v>
      </c>
      <c r="E4656" s="13" t="s">
        <v>155</v>
      </c>
      <c r="F4656" s="13" t="s">
        <v>1611</v>
      </c>
      <c r="G4656" s="13">
        <v>0.5</v>
      </c>
      <c r="H4656" s="15">
        <v>20</v>
      </c>
      <c r="I4656" s="16">
        <v>10</v>
      </c>
      <c r="J4656" s="16">
        <v>8.64</v>
      </c>
      <c r="K4656" s="16">
        <v>1.3599999999999994</v>
      </c>
      <c r="L4656" s="13">
        <v>1.47</v>
      </c>
      <c r="M4656" s="13"/>
      <c r="N4656" s="17">
        <f t="shared" si="154"/>
        <v>29.4</v>
      </c>
      <c r="O4656" s="17">
        <f t="shared" si="154"/>
        <v>0</v>
      </c>
      <c r="P4656" s="17">
        <f t="shared" si="153"/>
        <v>29.4</v>
      </c>
      <c r="Q4656" t="str">
        <f>A4656&amp;"-"&amp;B4656&amp;"-"&amp;D4656</f>
        <v>OKTOBER-CNJ2-L5</v>
      </c>
    </row>
    <row r="4657" spans="1:17" x14ac:dyDescent="0.25">
      <c r="A4657" t="s">
        <v>400</v>
      </c>
      <c r="B4657" s="13" t="s">
        <v>22</v>
      </c>
      <c r="C4657" s="13" t="s">
        <v>154</v>
      </c>
      <c r="D4657" s="14" t="s">
        <v>160</v>
      </c>
      <c r="E4657" s="13" t="s">
        <v>155</v>
      </c>
      <c r="F4657" s="13" t="s">
        <v>1685</v>
      </c>
      <c r="G4657" s="13">
        <v>0.5</v>
      </c>
      <c r="H4657" s="15">
        <v>2343</v>
      </c>
      <c r="I4657" s="16">
        <v>1171.5</v>
      </c>
      <c r="J4657" s="16">
        <v>1015.5272380952382</v>
      </c>
      <c r="K4657" s="16">
        <v>155.97276190476188</v>
      </c>
      <c r="L4657" s="13">
        <v>1.47</v>
      </c>
      <c r="M4657" s="13"/>
      <c r="N4657" s="17">
        <f t="shared" si="154"/>
        <v>3444.21</v>
      </c>
      <c r="O4657" s="17">
        <f t="shared" si="154"/>
        <v>0</v>
      </c>
      <c r="P4657" s="17">
        <f t="shared" si="153"/>
        <v>3444.21</v>
      </c>
      <c r="Q4657" t="str">
        <f>A4657&amp;"-"&amp;B4657&amp;"-"&amp;D4657</f>
        <v>OKTOBER-CNJ2-L5</v>
      </c>
    </row>
    <row r="4658" spans="1:17" x14ac:dyDescent="0.25">
      <c r="A4658" t="s">
        <v>400</v>
      </c>
      <c r="B4658" s="13" t="s">
        <v>22</v>
      </c>
      <c r="C4658" s="13" t="s">
        <v>154</v>
      </c>
      <c r="D4658" s="14" t="s">
        <v>160</v>
      </c>
      <c r="E4658" s="13" t="s">
        <v>155</v>
      </c>
      <c r="F4658" s="13" t="s">
        <v>1612</v>
      </c>
      <c r="G4658" s="13">
        <v>0.5</v>
      </c>
      <c r="H4658" s="15">
        <v>10</v>
      </c>
      <c r="I4658" s="16">
        <v>5</v>
      </c>
      <c r="J4658" s="16">
        <v>4.32</v>
      </c>
      <c r="K4658" s="16">
        <v>0.67999999999999972</v>
      </c>
      <c r="L4658" s="13">
        <v>1.47</v>
      </c>
      <c r="M4658" s="13"/>
      <c r="N4658" s="17">
        <f t="shared" si="154"/>
        <v>14.7</v>
      </c>
      <c r="O4658" s="17">
        <f t="shared" si="154"/>
        <v>0</v>
      </c>
      <c r="P4658" s="17">
        <f t="shared" si="153"/>
        <v>14.7</v>
      </c>
      <c r="Q4658" t="str">
        <f>A4658&amp;"-"&amp;B4658&amp;"-"&amp;D4658</f>
        <v>OKTOBER-CNJ2-L5</v>
      </c>
    </row>
    <row r="4659" spans="1:17" x14ac:dyDescent="0.25">
      <c r="A4659" t="s">
        <v>400</v>
      </c>
      <c r="B4659" s="13" t="s">
        <v>22</v>
      </c>
      <c r="C4659" s="13" t="s">
        <v>154</v>
      </c>
      <c r="D4659" s="14" t="s">
        <v>160</v>
      </c>
      <c r="E4659" s="13" t="s">
        <v>155</v>
      </c>
      <c r="F4659" s="13" t="s">
        <v>1686</v>
      </c>
      <c r="G4659" s="13">
        <v>0.52</v>
      </c>
      <c r="H4659" s="15">
        <v>53</v>
      </c>
      <c r="I4659" s="16">
        <v>27.56</v>
      </c>
      <c r="J4659" s="16">
        <v>20.789474576271186</v>
      </c>
      <c r="K4659" s="16">
        <v>6.7705254237288131</v>
      </c>
      <c r="L4659" s="13">
        <v>1.42</v>
      </c>
      <c r="M4659" s="13"/>
      <c r="N4659" s="17">
        <f t="shared" si="154"/>
        <v>75.259999999999991</v>
      </c>
      <c r="O4659" s="17">
        <f t="shared" si="154"/>
        <v>0</v>
      </c>
      <c r="P4659" s="17">
        <f t="shared" si="153"/>
        <v>75.259999999999991</v>
      </c>
      <c r="Q4659" t="str">
        <f>A4659&amp;"-"&amp;B4659&amp;"-"&amp;D4659</f>
        <v>OKTOBER-CNJ2-L5</v>
      </c>
    </row>
    <row r="4660" spans="1:17" x14ac:dyDescent="0.25">
      <c r="A4660" t="s">
        <v>400</v>
      </c>
      <c r="B4660" s="13" t="s">
        <v>22</v>
      </c>
      <c r="C4660" s="13" t="s">
        <v>154</v>
      </c>
      <c r="D4660" s="14" t="s">
        <v>160</v>
      </c>
      <c r="E4660" s="13" t="s">
        <v>155</v>
      </c>
      <c r="F4660" s="13" t="s">
        <v>1613</v>
      </c>
      <c r="G4660" s="13">
        <v>0.5</v>
      </c>
      <c r="H4660" s="15">
        <v>1352</v>
      </c>
      <c r="I4660" s="16">
        <v>676</v>
      </c>
      <c r="J4660" s="16">
        <v>584.06399999999996</v>
      </c>
      <c r="K4660" s="16">
        <v>91.936000000000035</v>
      </c>
      <c r="L4660" s="13">
        <v>1.47</v>
      </c>
      <c r="M4660" s="13"/>
      <c r="N4660" s="17">
        <f t="shared" si="154"/>
        <v>1987.44</v>
      </c>
      <c r="O4660" s="17">
        <f t="shared" si="154"/>
        <v>0</v>
      </c>
      <c r="P4660" s="17">
        <f t="shared" si="153"/>
        <v>1987.44</v>
      </c>
      <c r="Q4660" t="str">
        <f>A4660&amp;"-"&amp;B4660&amp;"-"&amp;D4660</f>
        <v>OKTOBER-CNJ2-L5</v>
      </c>
    </row>
    <row r="4661" spans="1:17" x14ac:dyDescent="0.25">
      <c r="A4661" t="s">
        <v>400</v>
      </c>
      <c r="B4661" s="13" t="s">
        <v>22</v>
      </c>
      <c r="C4661" s="13" t="s">
        <v>154</v>
      </c>
      <c r="D4661" s="14" t="s">
        <v>160</v>
      </c>
      <c r="E4661" s="13" t="s">
        <v>155</v>
      </c>
      <c r="F4661" s="13" t="s">
        <v>1614</v>
      </c>
      <c r="G4661" s="13">
        <v>0.5</v>
      </c>
      <c r="H4661" s="15">
        <v>14</v>
      </c>
      <c r="I4661" s="16">
        <v>7</v>
      </c>
      <c r="J4661" s="16">
        <v>6.0480000000000009</v>
      </c>
      <c r="K4661" s="16">
        <v>0.95199999999999907</v>
      </c>
      <c r="L4661" s="13">
        <v>1.47</v>
      </c>
      <c r="M4661" s="13"/>
      <c r="N4661" s="17">
        <f t="shared" si="154"/>
        <v>20.58</v>
      </c>
      <c r="O4661" s="17">
        <f t="shared" si="154"/>
        <v>0</v>
      </c>
      <c r="P4661" s="17">
        <f t="shared" si="153"/>
        <v>20.58</v>
      </c>
      <c r="Q4661" t="str">
        <f>A4661&amp;"-"&amp;B4661&amp;"-"&amp;D4661</f>
        <v>OKTOBER-CNJ2-L5</v>
      </c>
    </row>
    <row r="4662" spans="1:17" x14ac:dyDescent="0.25">
      <c r="A4662" t="s">
        <v>400</v>
      </c>
      <c r="B4662" s="13" t="s">
        <v>22</v>
      </c>
      <c r="C4662" s="13" t="s">
        <v>154</v>
      </c>
      <c r="D4662" s="14" t="s">
        <v>160</v>
      </c>
      <c r="E4662" s="13" t="s">
        <v>155</v>
      </c>
      <c r="F4662" s="13" t="s">
        <v>1615</v>
      </c>
      <c r="G4662" s="13">
        <v>0.5</v>
      </c>
      <c r="H4662" s="15">
        <v>9450</v>
      </c>
      <c r="I4662" s="16">
        <v>4725</v>
      </c>
      <c r="J4662" s="16">
        <v>4035.5</v>
      </c>
      <c r="K4662" s="16">
        <v>689.5</v>
      </c>
      <c r="L4662" s="13">
        <v>1.47</v>
      </c>
      <c r="M4662" s="13"/>
      <c r="N4662" s="17">
        <f t="shared" si="154"/>
        <v>13891.5</v>
      </c>
      <c r="O4662" s="17">
        <f t="shared" si="154"/>
        <v>0</v>
      </c>
      <c r="P4662" s="17">
        <f t="shared" si="153"/>
        <v>13891.5</v>
      </c>
      <c r="Q4662" t="str">
        <f>A4662&amp;"-"&amp;B4662&amp;"-"&amp;D4662</f>
        <v>OKTOBER-CNJ2-L5</v>
      </c>
    </row>
    <row r="4663" spans="1:17" x14ac:dyDescent="0.25">
      <c r="A4663" t="s">
        <v>400</v>
      </c>
      <c r="B4663" s="13" t="s">
        <v>22</v>
      </c>
      <c r="C4663" s="13" t="s">
        <v>154</v>
      </c>
      <c r="D4663" s="14" t="s">
        <v>160</v>
      </c>
      <c r="E4663" s="13" t="s">
        <v>155</v>
      </c>
      <c r="F4663" s="13" t="s">
        <v>1616</v>
      </c>
      <c r="G4663" s="13">
        <v>0.5</v>
      </c>
      <c r="H4663" s="15">
        <v>10</v>
      </c>
      <c r="I4663" s="16">
        <v>5</v>
      </c>
      <c r="J4663" s="16">
        <v>4.32</v>
      </c>
      <c r="K4663" s="16">
        <v>0.67999999999999972</v>
      </c>
      <c r="L4663" s="13">
        <v>1.47</v>
      </c>
      <c r="M4663" s="13"/>
      <c r="N4663" s="17">
        <f t="shared" si="154"/>
        <v>14.7</v>
      </c>
      <c r="O4663" s="17">
        <f t="shared" si="154"/>
        <v>0</v>
      </c>
      <c r="P4663" s="17">
        <f t="shared" si="153"/>
        <v>14.7</v>
      </c>
      <c r="Q4663" t="str">
        <f>A4663&amp;"-"&amp;B4663&amp;"-"&amp;D4663</f>
        <v>OKTOBER-CNJ2-L5</v>
      </c>
    </row>
    <row r="4664" spans="1:17" x14ac:dyDescent="0.25">
      <c r="A4664" t="s">
        <v>400</v>
      </c>
      <c r="B4664" s="13" t="s">
        <v>22</v>
      </c>
      <c r="C4664" s="13" t="s">
        <v>154</v>
      </c>
      <c r="D4664" s="14" t="s">
        <v>160</v>
      </c>
      <c r="E4664" s="13" t="s">
        <v>155</v>
      </c>
      <c r="F4664" s="13" t="s">
        <v>1617</v>
      </c>
      <c r="G4664" s="13">
        <v>0.5</v>
      </c>
      <c r="H4664" s="15">
        <v>90</v>
      </c>
      <c r="I4664" s="16">
        <v>45</v>
      </c>
      <c r="J4664" s="16">
        <v>38.880000000000003</v>
      </c>
      <c r="K4664" s="16">
        <v>6.1199999999999992</v>
      </c>
      <c r="L4664" s="13">
        <v>1.47</v>
      </c>
      <c r="M4664" s="13"/>
      <c r="N4664" s="17">
        <f t="shared" si="154"/>
        <v>132.30000000000001</v>
      </c>
      <c r="O4664" s="17">
        <f t="shared" si="154"/>
        <v>0</v>
      </c>
      <c r="P4664" s="17">
        <f t="shared" si="153"/>
        <v>132.30000000000001</v>
      </c>
      <c r="Q4664" t="str">
        <f>A4664&amp;"-"&amp;B4664&amp;"-"&amp;D4664</f>
        <v>OKTOBER-CNJ2-L5</v>
      </c>
    </row>
    <row r="4665" spans="1:17" x14ac:dyDescent="0.25">
      <c r="A4665" t="s">
        <v>400</v>
      </c>
      <c r="B4665" s="13" t="s">
        <v>22</v>
      </c>
      <c r="C4665" s="13" t="s">
        <v>154</v>
      </c>
      <c r="D4665" s="14" t="s">
        <v>160</v>
      </c>
      <c r="E4665" s="13" t="s">
        <v>155</v>
      </c>
      <c r="F4665" s="13" t="s">
        <v>1618</v>
      </c>
      <c r="G4665" s="13">
        <v>0.5</v>
      </c>
      <c r="H4665" s="15">
        <v>10</v>
      </c>
      <c r="I4665" s="16">
        <v>5</v>
      </c>
      <c r="J4665" s="16">
        <v>4.32</v>
      </c>
      <c r="K4665" s="16">
        <v>0.67999999999999972</v>
      </c>
      <c r="L4665" s="13">
        <v>1.47</v>
      </c>
      <c r="M4665" s="13"/>
      <c r="N4665" s="17">
        <f t="shared" si="154"/>
        <v>14.7</v>
      </c>
      <c r="O4665" s="17">
        <f t="shared" si="154"/>
        <v>0</v>
      </c>
      <c r="P4665" s="17">
        <f t="shared" si="153"/>
        <v>14.7</v>
      </c>
      <c r="Q4665" t="str">
        <f>A4665&amp;"-"&amp;B4665&amp;"-"&amp;D4665</f>
        <v>OKTOBER-CNJ2-L5</v>
      </c>
    </row>
    <row r="4666" spans="1:17" x14ac:dyDescent="0.25">
      <c r="A4666" t="s">
        <v>400</v>
      </c>
      <c r="B4666" s="13" t="s">
        <v>22</v>
      </c>
      <c r="C4666" s="13" t="s">
        <v>154</v>
      </c>
      <c r="D4666" s="14" t="s">
        <v>160</v>
      </c>
      <c r="E4666" s="13" t="s">
        <v>155</v>
      </c>
      <c r="F4666" s="13" t="s">
        <v>1620</v>
      </c>
      <c r="G4666" s="13">
        <v>0.5</v>
      </c>
      <c r="H4666" s="15">
        <v>18</v>
      </c>
      <c r="I4666" s="16">
        <v>9</v>
      </c>
      <c r="J4666" s="16">
        <v>7.7759999999999998</v>
      </c>
      <c r="K4666" s="16">
        <v>1.2240000000000002</v>
      </c>
      <c r="L4666" s="13">
        <v>1.47</v>
      </c>
      <c r="M4666" s="13"/>
      <c r="N4666" s="17">
        <f t="shared" si="154"/>
        <v>26.46</v>
      </c>
      <c r="O4666" s="17">
        <f t="shared" si="154"/>
        <v>0</v>
      </c>
      <c r="P4666" s="17">
        <f t="shared" si="153"/>
        <v>26.46</v>
      </c>
      <c r="Q4666" t="str">
        <f>A4666&amp;"-"&amp;B4666&amp;"-"&amp;D4666</f>
        <v>OKTOBER-CNJ2-L5</v>
      </c>
    </row>
    <row r="4667" spans="1:17" x14ac:dyDescent="0.25">
      <c r="A4667" t="s">
        <v>400</v>
      </c>
      <c r="B4667" s="13" t="s">
        <v>22</v>
      </c>
      <c r="C4667" s="13" t="s">
        <v>154</v>
      </c>
      <c r="D4667" s="14" t="s">
        <v>160</v>
      </c>
      <c r="E4667" s="13" t="s">
        <v>155</v>
      </c>
      <c r="F4667" s="13" t="s">
        <v>1621</v>
      </c>
      <c r="G4667" s="13">
        <v>0.5</v>
      </c>
      <c r="H4667" s="15">
        <v>1451</v>
      </c>
      <c r="I4667" s="16">
        <v>725.5</v>
      </c>
      <c r="J4667" s="16">
        <v>616.37886440677971</v>
      </c>
      <c r="K4667" s="16">
        <v>109.12113559322032</v>
      </c>
      <c r="L4667" s="13">
        <v>1.47</v>
      </c>
      <c r="M4667" s="13"/>
      <c r="N4667" s="17">
        <f t="shared" si="154"/>
        <v>2132.9699999999998</v>
      </c>
      <c r="O4667" s="17">
        <f t="shared" si="154"/>
        <v>0</v>
      </c>
      <c r="P4667" s="17">
        <f t="shared" si="153"/>
        <v>2132.9699999999998</v>
      </c>
      <c r="Q4667" t="str">
        <f>A4667&amp;"-"&amp;B4667&amp;"-"&amp;D4667</f>
        <v>OKTOBER-CNJ2-L5</v>
      </c>
    </row>
    <row r="4668" spans="1:17" x14ac:dyDescent="0.25">
      <c r="A4668" t="s">
        <v>400</v>
      </c>
      <c r="B4668" s="13" t="s">
        <v>22</v>
      </c>
      <c r="C4668" s="13" t="s">
        <v>154</v>
      </c>
      <c r="D4668" s="14" t="s">
        <v>160</v>
      </c>
      <c r="E4668" s="13" t="s">
        <v>155</v>
      </c>
      <c r="F4668" s="13" t="s">
        <v>1622</v>
      </c>
      <c r="G4668" s="13">
        <v>0.5</v>
      </c>
      <c r="H4668" s="15">
        <v>1582</v>
      </c>
      <c r="I4668" s="16">
        <v>791</v>
      </c>
      <c r="J4668" s="16">
        <v>646.9771355932204</v>
      </c>
      <c r="K4668" s="16">
        <v>144.0228644067796</v>
      </c>
      <c r="L4668" s="13">
        <v>1.47</v>
      </c>
      <c r="M4668" s="13"/>
      <c r="N4668" s="17">
        <f t="shared" si="154"/>
        <v>2325.54</v>
      </c>
      <c r="O4668" s="17">
        <f t="shared" si="154"/>
        <v>0</v>
      </c>
      <c r="P4668" s="17">
        <f t="shared" si="153"/>
        <v>2325.54</v>
      </c>
      <c r="Q4668" t="str">
        <f>A4668&amp;"-"&amp;B4668&amp;"-"&amp;D4668</f>
        <v>OKTOBER-CNJ2-L5</v>
      </c>
    </row>
    <row r="4669" spans="1:17" x14ac:dyDescent="0.25">
      <c r="A4669" t="s">
        <v>400</v>
      </c>
      <c r="B4669" s="13" t="s">
        <v>22</v>
      </c>
      <c r="C4669" s="13" t="s">
        <v>154</v>
      </c>
      <c r="D4669" s="14" t="s">
        <v>160</v>
      </c>
      <c r="E4669" s="13" t="s">
        <v>155</v>
      </c>
      <c r="F4669" s="13" t="s">
        <v>1623</v>
      </c>
      <c r="G4669" s="13">
        <v>0.5</v>
      </c>
      <c r="H4669" s="15">
        <v>10</v>
      </c>
      <c r="I4669" s="16">
        <v>5</v>
      </c>
      <c r="J4669" s="16">
        <v>4.32</v>
      </c>
      <c r="K4669" s="16">
        <v>0.67999999999999972</v>
      </c>
      <c r="L4669" s="13">
        <v>1.47</v>
      </c>
      <c r="M4669" s="13"/>
      <c r="N4669" s="17">
        <f t="shared" si="154"/>
        <v>14.7</v>
      </c>
      <c r="O4669" s="17">
        <f t="shared" si="154"/>
        <v>0</v>
      </c>
      <c r="P4669" s="17">
        <f t="shared" si="153"/>
        <v>14.7</v>
      </c>
      <c r="Q4669" t="str">
        <f>A4669&amp;"-"&amp;B4669&amp;"-"&amp;D4669</f>
        <v>OKTOBER-CNJ2-L5</v>
      </c>
    </row>
    <row r="4670" spans="1:17" x14ac:dyDescent="0.25">
      <c r="A4670" t="s">
        <v>400</v>
      </c>
      <c r="B4670" s="13" t="s">
        <v>22</v>
      </c>
      <c r="C4670" s="13" t="s">
        <v>154</v>
      </c>
      <c r="D4670" s="14" t="s">
        <v>160</v>
      </c>
      <c r="E4670" s="13" t="s">
        <v>155</v>
      </c>
      <c r="F4670" s="13" t="s">
        <v>1625</v>
      </c>
      <c r="G4670" s="13">
        <v>0.5</v>
      </c>
      <c r="H4670" s="15">
        <v>1523</v>
      </c>
      <c r="I4670" s="16">
        <v>761.5</v>
      </c>
      <c r="J4670" s="16">
        <v>657.93599999999992</v>
      </c>
      <c r="K4670" s="16">
        <v>103.56400000000002</v>
      </c>
      <c r="L4670" s="13">
        <v>1.47</v>
      </c>
      <c r="M4670" s="13"/>
      <c r="N4670" s="17">
        <f t="shared" si="154"/>
        <v>2238.81</v>
      </c>
      <c r="O4670" s="17">
        <f t="shared" si="154"/>
        <v>0</v>
      </c>
      <c r="P4670" s="17">
        <f t="shared" si="153"/>
        <v>2238.81</v>
      </c>
      <c r="Q4670" t="str">
        <f>A4670&amp;"-"&amp;B4670&amp;"-"&amp;D4670</f>
        <v>OKTOBER-CNJ2-L5</v>
      </c>
    </row>
    <row r="4671" spans="1:17" x14ac:dyDescent="0.25">
      <c r="A4671" t="s">
        <v>400</v>
      </c>
      <c r="B4671" s="13" t="s">
        <v>22</v>
      </c>
      <c r="C4671" s="13" t="s">
        <v>154</v>
      </c>
      <c r="D4671" s="14" t="s">
        <v>163</v>
      </c>
      <c r="E4671" s="13" t="s">
        <v>155</v>
      </c>
      <c r="F4671" s="13" t="s">
        <v>1470</v>
      </c>
      <c r="G4671" s="13">
        <v>0.52</v>
      </c>
      <c r="H4671" s="15">
        <v>17</v>
      </c>
      <c r="I4671" s="16">
        <v>8.84</v>
      </c>
      <c r="J4671" s="16">
        <v>7.3440000000000003</v>
      </c>
      <c r="K4671" s="16">
        <v>1.4959999999999996</v>
      </c>
      <c r="L4671" s="13">
        <v>1.43</v>
      </c>
      <c r="M4671" s="13"/>
      <c r="N4671" s="17">
        <f t="shared" si="154"/>
        <v>24.31</v>
      </c>
      <c r="O4671" s="17">
        <f t="shared" si="154"/>
        <v>0</v>
      </c>
      <c r="P4671" s="17">
        <f t="shared" si="153"/>
        <v>24.31</v>
      </c>
      <c r="Q4671" t="str">
        <f>A4671&amp;"-"&amp;B4671&amp;"-"&amp;D4671</f>
        <v>OKTOBER-CNJ2-L6</v>
      </c>
    </row>
    <row r="4672" spans="1:17" x14ac:dyDescent="0.25">
      <c r="A4672" t="s">
        <v>400</v>
      </c>
      <c r="B4672" s="13" t="s">
        <v>22</v>
      </c>
      <c r="C4672" s="13" t="s">
        <v>154</v>
      </c>
      <c r="D4672" s="14" t="s">
        <v>163</v>
      </c>
      <c r="E4672" s="13" t="s">
        <v>155</v>
      </c>
      <c r="F4672" s="13" t="s">
        <v>1471</v>
      </c>
      <c r="G4672" s="13">
        <v>0.52</v>
      </c>
      <c r="H4672" s="15">
        <v>7</v>
      </c>
      <c r="I4672" s="16">
        <v>3.64</v>
      </c>
      <c r="J4672" s="16">
        <v>3.0240000000000005</v>
      </c>
      <c r="K4672" s="16">
        <v>0.61599999999999966</v>
      </c>
      <c r="L4672" s="13">
        <v>1.42</v>
      </c>
      <c r="M4672" s="13"/>
      <c r="N4672" s="17">
        <f t="shared" si="154"/>
        <v>9.94</v>
      </c>
      <c r="O4672" s="17">
        <f t="shared" si="154"/>
        <v>0</v>
      </c>
      <c r="P4672" s="17">
        <f t="shared" si="153"/>
        <v>9.94</v>
      </c>
      <c r="Q4672" t="str">
        <f>A4672&amp;"-"&amp;B4672&amp;"-"&amp;D4672</f>
        <v>OKTOBER-CNJ2-L6</v>
      </c>
    </row>
    <row r="4673" spans="1:17" x14ac:dyDescent="0.25">
      <c r="A4673" t="s">
        <v>400</v>
      </c>
      <c r="B4673" s="13" t="s">
        <v>22</v>
      </c>
      <c r="C4673" s="13" t="s">
        <v>154</v>
      </c>
      <c r="D4673" s="14" t="s">
        <v>163</v>
      </c>
      <c r="E4673" s="13" t="s">
        <v>155</v>
      </c>
      <c r="F4673" s="13" t="s">
        <v>1605</v>
      </c>
      <c r="G4673" s="13">
        <v>0.52</v>
      </c>
      <c r="H4673" s="15">
        <v>878</v>
      </c>
      <c r="I4673" s="16">
        <v>456.56</v>
      </c>
      <c r="J4673" s="16">
        <v>361.21167796610166</v>
      </c>
      <c r="K4673" s="16">
        <v>95.348322033898313</v>
      </c>
      <c r="L4673" s="13">
        <v>1.42</v>
      </c>
      <c r="M4673" s="13"/>
      <c r="N4673" s="17">
        <f t="shared" si="154"/>
        <v>1246.76</v>
      </c>
      <c r="O4673" s="17">
        <f t="shared" si="154"/>
        <v>0</v>
      </c>
      <c r="P4673" s="17">
        <f t="shared" si="153"/>
        <v>1246.76</v>
      </c>
      <c r="Q4673" t="str">
        <f>A4673&amp;"-"&amp;B4673&amp;"-"&amp;D4673</f>
        <v>OKTOBER-CNJ2-L6</v>
      </c>
    </row>
    <row r="4674" spans="1:17" x14ac:dyDescent="0.25">
      <c r="A4674" t="s">
        <v>400</v>
      </c>
      <c r="B4674" s="13" t="s">
        <v>22</v>
      </c>
      <c r="C4674" s="13" t="s">
        <v>154</v>
      </c>
      <c r="D4674" s="14" t="s">
        <v>163</v>
      </c>
      <c r="E4674" s="13" t="s">
        <v>155</v>
      </c>
      <c r="F4674" s="13" t="s">
        <v>1606</v>
      </c>
      <c r="G4674" s="13">
        <v>0.52</v>
      </c>
      <c r="H4674" s="15">
        <v>10</v>
      </c>
      <c r="I4674" s="16">
        <v>5.2</v>
      </c>
      <c r="J4674" s="16">
        <v>4.32</v>
      </c>
      <c r="K4674" s="16">
        <v>0.87999999999999989</v>
      </c>
      <c r="L4674" s="13">
        <v>1.42</v>
      </c>
      <c r="M4674" s="13"/>
      <c r="N4674" s="17">
        <f t="shared" si="154"/>
        <v>14.2</v>
      </c>
      <c r="O4674" s="17">
        <f t="shared" si="154"/>
        <v>0</v>
      </c>
      <c r="P4674" s="17">
        <f t="shared" ref="P4674:P4737" si="155">N4674+O4674</f>
        <v>14.2</v>
      </c>
      <c r="Q4674" t="str">
        <f>A4674&amp;"-"&amp;B4674&amp;"-"&amp;D4674</f>
        <v>OKTOBER-CNJ2-L6</v>
      </c>
    </row>
    <row r="4675" spans="1:17" x14ac:dyDescent="0.25">
      <c r="A4675" t="s">
        <v>400</v>
      </c>
      <c r="B4675" s="13" t="s">
        <v>22</v>
      </c>
      <c r="C4675" s="13" t="s">
        <v>154</v>
      </c>
      <c r="D4675" s="14" t="s">
        <v>163</v>
      </c>
      <c r="E4675" s="13" t="s">
        <v>155</v>
      </c>
      <c r="F4675" s="13" t="s">
        <v>1607</v>
      </c>
      <c r="G4675" s="13">
        <v>0.52</v>
      </c>
      <c r="H4675" s="15">
        <v>4238</v>
      </c>
      <c r="I4675" s="16">
        <v>2203.7599999999998</v>
      </c>
      <c r="J4675" s="16">
        <v>1830.816</v>
      </c>
      <c r="K4675" s="16">
        <v>372.94399999999996</v>
      </c>
      <c r="L4675" s="13">
        <v>1.42</v>
      </c>
      <c r="M4675" s="13"/>
      <c r="N4675" s="17">
        <f t="shared" si="154"/>
        <v>6017.96</v>
      </c>
      <c r="O4675" s="17">
        <f t="shared" si="154"/>
        <v>0</v>
      </c>
      <c r="P4675" s="17">
        <f t="shared" si="155"/>
        <v>6017.96</v>
      </c>
      <c r="Q4675" t="str">
        <f>A4675&amp;"-"&amp;B4675&amp;"-"&amp;D4675</f>
        <v>OKTOBER-CNJ2-L6</v>
      </c>
    </row>
    <row r="4676" spans="1:17" x14ac:dyDescent="0.25">
      <c r="A4676" t="s">
        <v>400</v>
      </c>
      <c r="B4676" s="13" t="s">
        <v>22</v>
      </c>
      <c r="C4676" s="13" t="s">
        <v>154</v>
      </c>
      <c r="D4676" s="14" t="s">
        <v>163</v>
      </c>
      <c r="E4676" s="13" t="s">
        <v>155</v>
      </c>
      <c r="F4676" s="13" t="s">
        <v>1680</v>
      </c>
      <c r="G4676" s="13">
        <v>0.52</v>
      </c>
      <c r="H4676" s="15">
        <v>10</v>
      </c>
      <c r="I4676" s="16">
        <v>5.2</v>
      </c>
      <c r="J4676" s="16">
        <v>4.4081904761904767</v>
      </c>
      <c r="K4676" s="16">
        <v>0.79180952380952352</v>
      </c>
      <c r="L4676" s="13">
        <v>1.42</v>
      </c>
      <c r="M4676" s="13"/>
      <c r="N4676" s="17">
        <f t="shared" si="154"/>
        <v>14.2</v>
      </c>
      <c r="O4676" s="17">
        <f t="shared" si="154"/>
        <v>0</v>
      </c>
      <c r="P4676" s="17">
        <f t="shared" si="155"/>
        <v>14.2</v>
      </c>
      <c r="Q4676" t="str">
        <f>A4676&amp;"-"&amp;B4676&amp;"-"&amp;D4676</f>
        <v>OKTOBER-CNJ2-L6</v>
      </c>
    </row>
    <row r="4677" spans="1:17" x14ac:dyDescent="0.25">
      <c r="A4677" t="s">
        <v>400</v>
      </c>
      <c r="B4677" s="13" t="s">
        <v>22</v>
      </c>
      <c r="C4677" s="13" t="s">
        <v>154</v>
      </c>
      <c r="D4677" s="14" t="s">
        <v>163</v>
      </c>
      <c r="E4677" s="13" t="s">
        <v>155</v>
      </c>
      <c r="F4677" s="13" t="s">
        <v>1608</v>
      </c>
      <c r="G4677" s="13">
        <v>0.52</v>
      </c>
      <c r="H4677" s="15">
        <v>10</v>
      </c>
      <c r="I4677" s="16">
        <v>5.2</v>
      </c>
      <c r="J4677" s="16">
        <v>3.922542372881356</v>
      </c>
      <c r="K4677" s="16">
        <v>1.2774576271186442</v>
      </c>
      <c r="L4677" s="13">
        <v>1.42</v>
      </c>
      <c r="M4677" s="13"/>
      <c r="N4677" s="17">
        <f t="shared" si="154"/>
        <v>14.2</v>
      </c>
      <c r="O4677" s="17">
        <f t="shared" si="154"/>
        <v>0</v>
      </c>
      <c r="P4677" s="17">
        <f t="shared" si="155"/>
        <v>14.2</v>
      </c>
      <c r="Q4677" t="str">
        <f>A4677&amp;"-"&amp;B4677&amp;"-"&amp;D4677</f>
        <v>OKTOBER-CNJ2-L6</v>
      </c>
    </row>
    <row r="4678" spans="1:17" x14ac:dyDescent="0.25">
      <c r="A4678" t="s">
        <v>400</v>
      </c>
      <c r="B4678" s="13" t="s">
        <v>22</v>
      </c>
      <c r="C4678" s="13" t="s">
        <v>154</v>
      </c>
      <c r="D4678" s="14" t="s">
        <v>163</v>
      </c>
      <c r="E4678" s="13" t="s">
        <v>155</v>
      </c>
      <c r="F4678" s="13" t="s">
        <v>1609</v>
      </c>
      <c r="G4678" s="13">
        <v>0.52</v>
      </c>
      <c r="H4678" s="15">
        <v>215</v>
      </c>
      <c r="I4678" s="16">
        <v>111.8</v>
      </c>
      <c r="J4678" s="16">
        <v>92.88000000000001</v>
      </c>
      <c r="K4678" s="16">
        <v>18.919999999999987</v>
      </c>
      <c r="L4678" s="13">
        <v>1.42</v>
      </c>
      <c r="M4678" s="13"/>
      <c r="N4678" s="17">
        <f t="shared" si="154"/>
        <v>305.3</v>
      </c>
      <c r="O4678" s="17">
        <f t="shared" si="154"/>
        <v>0</v>
      </c>
      <c r="P4678" s="17">
        <f t="shared" si="155"/>
        <v>305.3</v>
      </c>
      <c r="Q4678" t="str">
        <f>A4678&amp;"-"&amp;B4678&amp;"-"&amp;D4678</f>
        <v>OKTOBER-CNJ2-L6</v>
      </c>
    </row>
    <row r="4679" spans="1:17" x14ac:dyDescent="0.25">
      <c r="A4679" t="s">
        <v>400</v>
      </c>
      <c r="B4679" s="13" t="s">
        <v>22</v>
      </c>
      <c r="C4679" s="13" t="s">
        <v>154</v>
      </c>
      <c r="D4679" s="14" t="s">
        <v>163</v>
      </c>
      <c r="E4679" s="13" t="s">
        <v>155</v>
      </c>
      <c r="F4679" s="13" t="s">
        <v>1681</v>
      </c>
      <c r="G4679" s="13">
        <v>0.52</v>
      </c>
      <c r="H4679" s="15">
        <v>133</v>
      </c>
      <c r="I4679" s="16">
        <v>69.16</v>
      </c>
      <c r="J4679" s="16">
        <v>58.628933333333343</v>
      </c>
      <c r="K4679" s="16">
        <v>10.531066666666653</v>
      </c>
      <c r="L4679" s="13">
        <v>1.42</v>
      </c>
      <c r="M4679" s="13"/>
      <c r="N4679" s="17">
        <f t="shared" ref="N4679:O4741" si="156">$H4679*L4679</f>
        <v>188.85999999999999</v>
      </c>
      <c r="O4679" s="17">
        <f t="shared" si="156"/>
        <v>0</v>
      </c>
      <c r="P4679" s="17">
        <f t="shared" si="155"/>
        <v>188.85999999999999</v>
      </c>
      <c r="Q4679" t="str">
        <f>A4679&amp;"-"&amp;B4679&amp;"-"&amp;D4679</f>
        <v>OKTOBER-CNJ2-L6</v>
      </c>
    </row>
    <row r="4680" spans="1:17" x14ac:dyDescent="0.25">
      <c r="A4680" t="s">
        <v>400</v>
      </c>
      <c r="B4680" s="13" t="s">
        <v>22</v>
      </c>
      <c r="C4680" s="13" t="s">
        <v>154</v>
      </c>
      <c r="D4680" s="14" t="s">
        <v>163</v>
      </c>
      <c r="E4680" s="13" t="s">
        <v>155</v>
      </c>
      <c r="F4680" s="13" t="s">
        <v>1682</v>
      </c>
      <c r="G4680" s="13">
        <v>0.52</v>
      </c>
      <c r="H4680" s="15">
        <v>48</v>
      </c>
      <c r="I4680" s="16">
        <v>24.96</v>
      </c>
      <c r="J4680" s="16">
        <v>21.159314285714288</v>
      </c>
      <c r="K4680" s="16">
        <v>3.8006857142857129</v>
      </c>
      <c r="L4680" s="13">
        <v>1.42</v>
      </c>
      <c r="M4680" s="13"/>
      <c r="N4680" s="17">
        <f t="shared" si="156"/>
        <v>68.16</v>
      </c>
      <c r="O4680" s="17">
        <f t="shared" si="156"/>
        <v>0</v>
      </c>
      <c r="P4680" s="17">
        <f t="shared" si="155"/>
        <v>68.16</v>
      </c>
      <c r="Q4680" t="str">
        <f>A4680&amp;"-"&amp;B4680&amp;"-"&amp;D4680</f>
        <v>OKTOBER-CNJ2-L6</v>
      </c>
    </row>
    <row r="4681" spans="1:17" x14ac:dyDescent="0.25">
      <c r="A4681" t="s">
        <v>400</v>
      </c>
      <c r="B4681" s="13" t="s">
        <v>22</v>
      </c>
      <c r="C4681" s="13" t="s">
        <v>154</v>
      </c>
      <c r="D4681" s="14" t="s">
        <v>163</v>
      </c>
      <c r="E4681" s="13" t="s">
        <v>155</v>
      </c>
      <c r="F4681" s="13" t="s">
        <v>1610</v>
      </c>
      <c r="G4681" s="13">
        <v>0.5</v>
      </c>
      <c r="H4681" s="15">
        <v>7609</v>
      </c>
      <c r="I4681" s="16">
        <v>3804.5</v>
      </c>
      <c r="J4681" s="16">
        <v>3262.8828305084744</v>
      </c>
      <c r="K4681" s="16">
        <v>541.61716949152537</v>
      </c>
      <c r="L4681" s="13">
        <v>1.47</v>
      </c>
      <c r="M4681" s="13"/>
      <c r="N4681" s="17">
        <f t="shared" si="156"/>
        <v>11185.23</v>
      </c>
      <c r="O4681" s="17">
        <f t="shared" si="156"/>
        <v>0</v>
      </c>
      <c r="P4681" s="17">
        <f t="shared" si="155"/>
        <v>11185.23</v>
      </c>
      <c r="Q4681" t="str">
        <f>A4681&amp;"-"&amp;B4681&amp;"-"&amp;D4681</f>
        <v>OKTOBER-CNJ2-L6</v>
      </c>
    </row>
    <row r="4682" spans="1:17" x14ac:dyDescent="0.25">
      <c r="A4682" t="s">
        <v>400</v>
      </c>
      <c r="B4682" s="13" t="s">
        <v>22</v>
      </c>
      <c r="C4682" s="13" t="s">
        <v>154</v>
      </c>
      <c r="D4682" s="14" t="s">
        <v>163</v>
      </c>
      <c r="E4682" s="13" t="s">
        <v>155</v>
      </c>
      <c r="F4682" s="13" t="s">
        <v>1683</v>
      </c>
      <c r="G4682" s="13">
        <v>0.5</v>
      </c>
      <c r="H4682" s="15">
        <v>4682</v>
      </c>
      <c r="I4682" s="16">
        <v>2341</v>
      </c>
      <c r="J4682" s="16">
        <v>2022.624</v>
      </c>
      <c r="K4682" s="16">
        <v>318.37600000000009</v>
      </c>
      <c r="L4682" s="13">
        <v>1.47</v>
      </c>
      <c r="M4682" s="13"/>
      <c r="N4682" s="17">
        <f t="shared" si="156"/>
        <v>6882.54</v>
      </c>
      <c r="O4682" s="17">
        <f t="shared" si="156"/>
        <v>0</v>
      </c>
      <c r="P4682" s="17">
        <f t="shared" si="155"/>
        <v>6882.54</v>
      </c>
      <c r="Q4682" t="str">
        <f>A4682&amp;"-"&amp;B4682&amp;"-"&amp;D4682</f>
        <v>OKTOBER-CNJ2-L6</v>
      </c>
    </row>
    <row r="4683" spans="1:17" x14ac:dyDescent="0.25">
      <c r="A4683" t="s">
        <v>400</v>
      </c>
      <c r="B4683" s="13" t="s">
        <v>22</v>
      </c>
      <c r="C4683" s="13" t="s">
        <v>154</v>
      </c>
      <c r="D4683" s="14" t="s">
        <v>163</v>
      </c>
      <c r="E4683" s="13" t="s">
        <v>155</v>
      </c>
      <c r="F4683" s="13" t="s">
        <v>1684</v>
      </c>
      <c r="G4683" s="13">
        <v>0.5</v>
      </c>
      <c r="H4683" s="15">
        <v>1710</v>
      </c>
      <c r="I4683" s="16">
        <v>855</v>
      </c>
      <c r="J4683" s="16">
        <v>746.29556190476194</v>
      </c>
      <c r="K4683" s="16">
        <v>108.70443809523806</v>
      </c>
      <c r="L4683" s="13">
        <v>1.47</v>
      </c>
      <c r="M4683" s="13"/>
      <c r="N4683" s="17">
        <f t="shared" si="156"/>
        <v>2513.6999999999998</v>
      </c>
      <c r="O4683" s="17">
        <f t="shared" si="156"/>
        <v>0</v>
      </c>
      <c r="P4683" s="17">
        <f t="shared" si="155"/>
        <v>2513.6999999999998</v>
      </c>
      <c r="Q4683" t="str">
        <f>A4683&amp;"-"&amp;B4683&amp;"-"&amp;D4683</f>
        <v>OKTOBER-CNJ2-L6</v>
      </c>
    </row>
    <row r="4684" spans="1:17" x14ac:dyDescent="0.25">
      <c r="A4684" t="s">
        <v>400</v>
      </c>
      <c r="B4684" s="13" t="s">
        <v>22</v>
      </c>
      <c r="C4684" s="13" t="s">
        <v>154</v>
      </c>
      <c r="D4684" s="14" t="s">
        <v>163</v>
      </c>
      <c r="E4684" s="13" t="s">
        <v>155</v>
      </c>
      <c r="F4684" s="13" t="s">
        <v>1473</v>
      </c>
      <c r="G4684" s="13">
        <v>0.5</v>
      </c>
      <c r="H4684" s="15">
        <v>280</v>
      </c>
      <c r="I4684" s="16">
        <v>140</v>
      </c>
      <c r="J4684" s="16">
        <v>120.96000000000001</v>
      </c>
      <c r="K4684" s="16">
        <v>19.039999999999992</v>
      </c>
      <c r="L4684" s="13">
        <v>1.47</v>
      </c>
      <c r="M4684" s="13"/>
      <c r="N4684" s="17">
        <f t="shared" si="156"/>
        <v>411.59999999999997</v>
      </c>
      <c r="O4684" s="17">
        <f t="shared" si="156"/>
        <v>0</v>
      </c>
      <c r="P4684" s="17">
        <f t="shared" si="155"/>
        <v>411.59999999999997</v>
      </c>
      <c r="Q4684" t="str">
        <f>A4684&amp;"-"&amp;B4684&amp;"-"&amp;D4684</f>
        <v>OKTOBER-CNJ2-L6</v>
      </c>
    </row>
    <row r="4685" spans="1:17" x14ac:dyDescent="0.25">
      <c r="A4685" t="s">
        <v>400</v>
      </c>
      <c r="B4685" s="13" t="s">
        <v>22</v>
      </c>
      <c r="C4685" s="13" t="s">
        <v>154</v>
      </c>
      <c r="D4685" s="14" t="s">
        <v>163</v>
      </c>
      <c r="E4685" s="13" t="s">
        <v>155</v>
      </c>
      <c r="F4685" s="13" t="s">
        <v>1685</v>
      </c>
      <c r="G4685" s="13">
        <v>0.5</v>
      </c>
      <c r="H4685" s="15">
        <v>2163</v>
      </c>
      <c r="I4685" s="16">
        <v>1081.5</v>
      </c>
      <c r="J4685" s="16">
        <v>934.41599999999994</v>
      </c>
      <c r="K4685" s="16">
        <v>147.08400000000006</v>
      </c>
      <c r="L4685" s="13">
        <v>1.47</v>
      </c>
      <c r="M4685" s="13"/>
      <c r="N4685" s="17">
        <f t="shared" si="156"/>
        <v>3179.61</v>
      </c>
      <c r="O4685" s="17">
        <f t="shared" si="156"/>
        <v>0</v>
      </c>
      <c r="P4685" s="17">
        <f t="shared" si="155"/>
        <v>3179.61</v>
      </c>
      <c r="Q4685" t="str">
        <f>A4685&amp;"-"&amp;B4685&amp;"-"&amp;D4685</f>
        <v>OKTOBER-CNJ2-L6</v>
      </c>
    </row>
    <row r="4686" spans="1:17" x14ac:dyDescent="0.25">
      <c r="A4686" t="s">
        <v>400</v>
      </c>
      <c r="B4686" s="13" t="s">
        <v>22</v>
      </c>
      <c r="C4686" s="13" t="s">
        <v>154</v>
      </c>
      <c r="D4686" s="14" t="s">
        <v>163</v>
      </c>
      <c r="E4686" s="13" t="s">
        <v>155</v>
      </c>
      <c r="F4686" s="13" t="s">
        <v>1612</v>
      </c>
      <c r="G4686" s="13">
        <v>0.5</v>
      </c>
      <c r="H4686" s="15">
        <v>20</v>
      </c>
      <c r="I4686" s="16">
        <v>10</v>
      </c>
      <c r="J4686" s="16">
        <v>8.64</v>
      </c>
      <c r="K4686" s="16">
        <v>1.3599999999999994</v>
      </c>
      <c r="L4686" s="13">
        <v>1.47</v>
      </c>
      <c r="M4686" s="13"/>
      <c r="N4686" s="17">
        <f t="shared" si="156"/>
        <v>29.4</v>
      </c>
      <c r="O4686" s="17">
        <f t="shared" si="156"/>
        <v>0</v>
      </c>
      <c r="P4686" s="17">
        <f t="shared" si="155"/>
        <v>29.4</v>
      </c>
      <c r="Q4686" t="str">
        <f>A4686&amp;"-"&amp;B4686&amp;"-"&amp;D4686</f>
        <v>OKTOBER-CNJ2-L6</v>
      </c>
    </row>
    <row r="4687" spans="1:17" x14ac:dyDescent="0.25">
      <c r="A4687" t="s">
        <v>400</v>
      </c>
      <c r="B4687" s="13" t="s">
        <v>22</v>
      </c>
      <c r="C4687" s="13" t="s">
        <v>154</v>
      </c>
      <c r="D4687" s="14" t="s">
        <v>163</v>
      </c>
      <c r="E4687" s="13" t="s">
        <v>155</v>
      </c>
      <c r="F4687" s="13" t="s">
        <v>1686</v>
      </c>
      <c r="G4687" s="13">
        <v>0.52</v>
      </c>
      <c r="H4687" s="15">
        <v>106</v>
      </c>
      <c r="I4687" s="16">
        <v>55.12</v>
      </c>
      <c r="J4687" s="16">
        <v>41.578949152542371</v>
      </c>
      <c r="K4687" s="16">
        <v>13.541050847457626</v>
      </c>
      <c r="L4687" s="13">
        <v>1.42</v>
      </c>
      <c r="M4687" s="13"/>
      <c r="N4687" s="17">
        <f t="shared" si="156"/>
        <v>150.51999999999998</v>
      </c>
      <c r="O4687" s="17">
        <f t="shared" si="156"/>
        <v>0</v>
      </c>
      <c r="P4687" s="17">
        <f t="shared" si="155"/>
        <v>150.51999999999998</v>
      </c>
      <c r="Q4687" t="str">
        <f>A4687&amp;"-"&amp;B4687&amp;"-"&amp;D4687</f>
        <v>OKTOBER-CNJ2-L6</v>
      </c>
    </row>
    <row r="4688" spans="1:17" x14ac:dyDescent="0.25">
      <c r="A4688" t="s">
        <v>400</v>
      </c>
      <c r="B4688" s="13" t="s">
        <v>22</v>
      </c>
      <c r="C4688" s="13" t="s">
        <v>154</v>
      </c>
      <c r="D4688" s="14" t="s">
        <v>163</v>
      </c>
      <c r="E4688" s="13" t="s">
        <v>155</v>
      </c>
      <c r="F4688" s="13" t="s">
        <v>1613</v>
      </c>
      <c r="G4688" s="13">
        <v>0.5</v>
      </c>
      <c r="H4688" s="15">
        <v>1352</v>
      </c>
      <c r="I4688" s="16">
        <v>676</v>
      </c>
      <c r="J4688" s="16">
        <v>584.06399999999996</v>
      </c>
      <c r="K4688" s="16">
        <v>91.936000000000021</v>
      </c>
      <c r="L4688" s="13">
        <v>1.47</v>
      </c>
      <c r="M4688" s="13"/>
      <c r="N4688" s="17">
        <f t="shared" si="156"/>
        <v>1987.44</v>
      </c>
      <c r="O4688" s="17">
        <f t="shared" si="156"/>
        <v>0</v>
      </c>
      <c r="P4688" s="17">
        <f t="shared" si="155"/>
        <v>1987.44</v>
      </c>
      <c r="Q4688" t="str">
        <f>A4688&amp;"-"&amp;B4688&amp;"-"&amp;D4688</f>
        <v>OKTOBER-CNJ2-L6</v>
      </c>
    </row>
    <row r="4689" spans="1:17" x14ac:dyDescent="0.25">
      <c r="A4689" t="s">
        <v>400</v>
      </c>
      <c r="B4689" s="13" t="s">
        <v>22</v>
      </c>
      <c r="C4689" s="13" t="s">
        <v>154</v>
      </c>
      <c r="D4689" s="14" t="s">
        <v>163</v>
      </c>
      <c r="E4689" s="13" t="s">
        <v>155</v>
      </c>
      <c r="F4689" s="13" t="s">
        <v>1614</v>
      </c>
      <c r="G4689" s="13">
        <v>0.5</v>
      </c>
      <c r="H4689" s="15">
        <v>14</v>
      </c>
      <c r="I4689" s="16">
        <v>7</v>
      </c>
      <c r="J4689" s="16">
        <v>6.0480000000000009</v>
      </c>
      <c r="K4689" s="16">
        <v>0.95199999999999907</v>
      </c>
      <c r="L4689" s="13">
        <v>1.47</v>
      </c>
      <c r="M4689" s="13"/>
      <c r="N4689" s="17">
        <f t="shared" si="156"/>
        <v>20.58</v>
      </c>
      <c r="O4689" s="17">
        <f t="shared" si="156"/>
        <v>0</v>
      </c>
      <c r="P4689" s="17">
        <f t="shared" si="155"/>
        <v>20.58</v>
      </c>
      <c r="Q4689" t="str">
        <f>A4689&amp;"-"&amp;B4689&amp;"-"&amp;D4689</f>
        <v>OKTOBER-CNJ2-L6</v>
      </c>
    </row>
    <row r="4690" spans="1:17" x14ac:dyDescent="0.25">
      <c r="A4690" t="s">
        <v>400</v>
      </c>
      <c r="B4690" s="13" t="s">
        <v>22</v>
      </c>
      <c r="C4690" s="13" t="s">
        <v>154</v>
      </c>
      <c r="D4690" s="14" t="s">
        <v>163</v>
      </c>
      <c r="E4690" s="13" t="s">
        <v>155</v>
      </c>
      <c r="F4690" s="13" t="s">
        <v>1615</v>
      </c>
      <c r="G4690" s="13">
        <v>0.5</v>
      </c>
      <c r="H4690" s="15">
        <v>8932</v>
      </c>
      <c r="I4690" s="16">
        <v>4466</v>
      </c>
      <c r="J4690" s="16">
        <v>3811.7240000000002</v>
      </c>
      <c r="K4690" s="16">
        <v>654.27599999999995</v>
      </c>
      <c r="L4690" s="13">
        <v>1.47</v>
      </c>
      <c r="M4690" s="13"/>
      <c r="N4690" s="17">
        <f t="shared" si="156"/>
        <v>13130.039999999999</v>
      </c>
      <c r="O4690" s="17">
        <f t="shared" si="156"/>
        <v>0</v>
      </c>
      <c r="P4690" s="17">
        <f t="shared" si="155"/>
        <v>13130.039999999999</v>
      </c>
      <c r="Q4690" t="str">
        <f>A4690&amp;"-"&amp;B4690&amp;"-"&amp;D4690</f>
        <v>OKTOBER-CNJ2-L6</v>
      </c>
    </row>
    <row r="4691" spans="1:17" x14ac:dyDescent="0.25">
      <c r="A4691" t="s">
        <v>400</v>
      </c>
      <c r="B4691" s="13" t="s">
        <v>22</v>
      </c>
      <c r="C4691" s="13" t="s">
        <v>154</v>
      </c>
      <c r="D4691" s="14" t="s">
        <v>163</v>
      </c>
      <c r="E4691" s="13" t="s">
        <v>155</v>
      </c>
      <c r="F4691" s="13" t="s">
        <v>1616</v>
      </c>
      <c r="G4691" s="13">
        <v>0.5</v>
      </c>
      <c r="H4691" s="15">
        <v>10</v>
      </c>
      <c r="I4691" s="16">
        <v>5</v>
      </c>
      <c r="J4691" s="16">
        <v>4.32</v>
      </c>
      <c r="K4691" s="16">
        <v>0.67999999999999972</v>
      </c>
      <c r="L4691" s="13">
        <v>1.47</v>
      </c>
      <c r="M4691" s="13"/>
      <c r="N4691" s="17">
        <f t="shared" si="156"/>
        <v>14.7</v>
      </c>
      <c r="O4691" s="17">
        <f t="shared" si="156"/>
        <v>0</v>
      </c>
      <c r="P4691" s="17">
        <f t="shared" si="155"/>
        <v>14.7</v>
      </c>
      <c r="Q4691" t="str">
        <f>A4691&amp;"-"&amp;B4691&amp;"-"&amp;D4691</f>
        <v>OKTOBER-CNJ2-L6</v>
      </c>
    </row>
    <row r="4692" spans="1:17" x14ac:dyDescent="0.25">
      <c r="A4692" t="s">
        <v>400</v>
      </c>
      <c r="B4692" s="13" t="s">
        <v>22</v>
      </c>
      <c r="C4692" s="13" t="s">
        <v>154</v>
      </c>
      <c r="D4692" s="14" t="s">
        <v>163</v>
      </c>
      <c r="E4692" s="13" t="s">
        <v>155</v>
      </c>
      <c r="F4692" s="13" t="s">
        <v>1617</v>
      </c>
      <c r="G4692" s="13">
        <v>0.5</v>
      </c>
      <c r="H4692" s="15">
        <v>90</v>
      </c>
      <c r="I4692" s="16">
        <v>45</v>
      </c>
      <c r="J4692" s="16">
        <v>38.879999999999995</v>
      </c>
      <c r="K4692" s="16">
        <v>6.1200000000000045</v>
      </c>
      <c r="L4692" s="13">
        <v>1.47</v>
      </c>
      <c r="M4692" s="13"/>
      <c r="N4692" s="17">
        <f t="shared" si="156"/>
        <v>132.30000000000001</v>
      </c>
      <c r="O4692" s="17">
        <f t="shared" si="156"/>
        <v>0</v>
      </c>
      <c r="P4692" s="17">
        <f t="shared" si="155"/>
        <v>132.30000000000001</v>
      </c>
      <c r="Q4692" t="str">
        <f>A4692&amp;"-"&amp;B4692&amp;"-"&amp;D4692</f>
        <v>OKTOBER-CNJ2-L6</v>
      </c>
    </row>
    <row r="4693" spans="1:17" x14ac:dyDescent="0.25">
      <c r="A4693" t="s">
        <v>400</v>
      </c>
      <c r="B4693" s="13" t="s">
        <v>22</v>
      </c>
      <c r="C4693" s="13" t="s">
        <v>154</v>
      </c>
      <c r="D4693" s="14" t="s">
        <v>163</v>
      </c>
      <c r="E4693" s="13" t="s">
        <v>155</v>
      </c>
      <c r="F4693" s="13" t="s">
        <v>1618</v>
      </c>
      <c r="G4693" s="13">
        <v>0.5</v>
      </c>
      <c r="H4693" s="15">
        <v>10</v>
      </c>
      <c r="I4693" s="16">
        <v>5</v>
      </c>
      <c r="J4693" s="16">
        <v>4.32</v>
      </c>
      <c r="K4693" s="16">
        <v>0.67999999999999972</v>
      </c>
      <c r="L4693" s="13">
        <v>1.47</v>
      </c>
      <c r="M4693" s="13"/>
      <c r="N4693" s="17">
        <f t="shared" si="156"/>
        <v>14.7</v>
      </c>
      <c r="O4693" s="17">
        <f t="shared" si="156"/>
        <v>0</v>
      </c>
      <c r="P4693" s="17">
        <f t="shared" si="155"/>
        <v>14.7</v>
      </c>
      <c r="Q4693" t="str">
        <f>A4693&amp;"-"&amp;B4693&amp;"-"&amp;D4693</f>
        <v>OKTOBER-CNJ2-L6</v>
      </c>
    </row>
    <row r="4694" spans="1:17" x14ac:dyDescent="0.25">
      <c r="A4694" t="s">
        <v>400</v>
      </c>
      <c r="B4694" s="13" t="s">
        <v>22</v>
      </c>
      <c r="C4694" s="13" t="s">
        <v>154</v>
      </c>
      <c r="D4694" s="14" t="s">
        <v>163</v>
      </c>
      <c r="E4694" s="13" t="s">
        <v>155</v>
      </c>
      <c r="F4694" s="13" t="s">
        <v>1619</v>
      </c>
      <c r="G4694" s="13">
        <v>0.5</v>
      </c>
      <c r="H4694" s="15">
        <v>967</v>
      </c>
      <c r="I4694" s="16">
        <v>483.5</v>
      </c>
      <c r="J4694" s="16">
        <v>417.74400000000003</v>
      </c>
      <c r="K4694" s="16">
        <v>65.755999999999972</v>
      </c>
      <c r="L4694" s="13">
        <v>1.47</v>
      </c>
      <c r="M4694" s="13"/>
      <c r="N4694" s="17">
        <f t="shared" si="156"/>
        <v>1421.49</v>
      </c>
      <c r="O4694" s="17">
        <f t="shared" si="156"/>
        <v>0</v>
      </c>
      <c r="P4694" s="17">
        <f t="shared" si="155"/>
        <v>1421.49</v>
      </c>
      <c r="Q4694" t="str">
        <f>A4694&amp;"-"&amp;B4694&amp;"-"&amp;D4694</f>
        <v>OKTOBER-CNJ2-L6</v>
      </c>
    </row>
    <row r="4695" spans="1:17" x14ac:dyDescent="0.25">
      <c r="A4695" t="s">
        <v>400</v>
      </c>
      <c r="B4695" s="13" t="s">
        <v>22</v>
      </c>
      <c r="C4695" s="13" t="s">
        <v>154</v>
      </c>
      <c r="D4695" s="14" t="s">
        <v>163</v>
      </c>
      <c r="E4695" s="13" t="s">
        <v>155</v>
      </c>
      <c r="F4695" s="13" t="s">
        <v>1620</v>
      </c>
      <c r="G4695" s="13">
        <v>0.5</v>
      </c>
      <c r="H4695" s="15">
        <v>18</v>
      </c>
      <c r="I4695" s="16">
        <v>9</v>
      </c>
      <c r="J4695" s="16">
        <v>7.7759999999999998</v>
      </c>
      <c r="K4695" s="16">
        <v>1.2240000000000002</v>
      </c>
      <c r="L4695" s="13">
        <v>1.47</v>
      </c>
      <c r="M4695" s="13"/>
      <c r="N4695" s="17">
        <f t="shared" si="156"/>
        <v>26.46</v>
      </c>
      <c r="O4695" s="17">
        <f t="shared" si="156"/>
        <v>0</v>
      </c>
      <c r="P4695" s="17">
        <f t="shared" si="155"/>
        <v>26.46</v>
      </c>
      <c r="Q4695" t="str">
        <f>A4695&amp;"-"&amp;B4695&amp;"-"&amp;D4695</f>
        <v>OKTOBER-CNJ2-L6</v>
      </c>
    </row>
    <row r="4696" spans="1:17" x14ac:dyDescent="0.25">
      <c r="A4696" t="s">
        <v>400</v>
      </c>
      <c r="B4696" s="13" t="s">
        <v>22</v>
      </c>
      <c r="C4696" s="13" t="s">
        <v>154</v>
      </c>
      <c r="D4696" s="14" t="s">
        <v>163</v>
      </c>
      <c r="E4696" s="13" t="s">
        <v>155</v>
      </c>
      <c r="F4696" s="13" t="s">
        <v>1621</v>
      </c>
      <c r="G4696" s="13">
        <v>0.5</v>
      </c>
      <c r="H4696" s="15">
        <v>946</v>
      </c>
      <c r="I4696" s="16">
        <v>473</v>
      </c>
      <c r="J4696" s="16">
        <v>375.96123728813564</v>
      </c>
      <c r="K4696" s="16">
        <v>97.038762711864393</v>
      </c>
      <c r="L4696" s="13">
        <v>1.47</v>
      </c>
      <c r="M4696" s="13"/>
      <c r="N4696" s="17">
        <f t="shared" si="156"/>
        <v>1390.62</v>
      </c>
      <c r="O4696" s="17">
        <f t="shared" si="156"/>
        <v>0</v>
      </c>
      <c r="P4696" s="17">
        <f t="shared" si="155"/>
        <v>1390.62</v>
      </c>
      <c r="Q4696" t="str">
        <f>A4696&amp;"-"&amp;B4696&amp;"-"&amp;D4696</f>
        <v>OKTOBER-CNJ2-L6</v>
      </c>
    </row>
    <row r="4697" spans="1:17" x14ac:dyDescent="0.25">
      <c r="A4697" t="s">
        <v>400</v>
      </c>
      <c r="B4697" s="13" t="s">
        <v>22</v>
      </c>
      <c r="C4697" s="13" t="s">
        <v>154</v>
      </c>
      <c r="D4697" s="14" t="s">
        <v>163</v>
      </c>
      <c r="E4697" s="13" t="s">
        <v>155</v>
      </c>
      <c r="F4697" s="13" t="s">
        <v>1622</v>
      </c>
      <c r="G4697" s="13">
        <v>0.5</v>
      </c>
      <c r="H4697" s="15">
        <v>1582</v>
      </c>
      <c r="I4697" s="16">
        <v>791</v>
      </c>
      <c r="J4697" s="16">
        <v>669.23476271186439</v>
      </c>
      <c r="K4697" s="16">
        <v>121.76523728813564</v>
      </c>
      <c r="L4697" s="13">
        <v>1.47</v>
      </c>
      <c r="M4697" s="13"/>
      <c r="N4697" s="17">
        <f t="shared" si="156"/>
        <v>2325.54</v>
      </c>
      <c r="O4697" s="17">
        <f t="shared" si="156"/>
        <v>0</v>
      </c>
      <c r="P4697" s="17">
        <f t="shared" si="155"/>
        <v>2325.54</v>
      </c>
      <c r="Q4697" t="str">
        <f>A4697&amp;"-"&amp;B4697&amp;"-"&amp;D4697</f>
        <v>OKTOBER-CNJ2-L6</v>
      </c>
    </row>
    <row r="4698" spans="1:17" x14ac:dyDescent="0.25">
      <c r="A4698" t="s">
        <v>400</v>
      </c>
      <c r="B4698" s="13" t="s">
        <v>22</v>
      </c>
      <c r="C4698" s="13" t="s">
        <v>154</v>
      </c>
      <c r="D4698" s="14" t="s">
        <v>163</v>
      </c>
      <c r="E4698" s="13" t="s">
        <v>155</v>
      </c>
      <c r="F4698" s="13" t="s">
        <v>1623</v>
      </c>
      <c r="G4698" s="13">
        <v>0.5</v>
      </c>
      <c r="H4698" s="15">
        <v>10</v>
      </c>
      <c r="I4698" s="16">
        <v>5</v>
      </c>
      <c r="J4698" s="16">
        <v>4.32</v>
      </c>
      <c r="K4698" s="16">
        <v>0.67999999999999972</v>
      </c>
      <c r="L4698" s="13">
        <v>1.47</v>
      </c>
      <c r="M4698" s="13"/>
      <c r="N4698" s="17">
        <f t="shared" si="156"/>
        <v>14.7</v>
      </c>
      <c r="O4698" s="17">
        <f t="shared" si="156"/>
        <v>0</v>
      </c>
      <c r="P4698" s="17">
        <f t="shared" si="155"/>
        <v>14.7</v>
      </c>
      <c r="Q4698" t="str">
        <f>A4698&amp;"-"&amp;B4698&amp;"-"&amp;D4698</f>
        <v>OKTOBER-CNJ2-L6</v>
      </c>
    </row>
    <row r="4699" spans="1:17" x14ac:dyDescent="0.25">
      <c r="A4699" t="s">
        <v>400</v>
      </c>
      <c r="B4699" s="13" t="s">
        <v>22</v>
      </c>
      <c r="C4699" s="13" t="s">
        <v>154</v>
      </c>
      <c r="D4699" s="14" t="s">
        <v>163</v>
      </c>
      <c r="E4699" s="13" t="s">
        <v>155</v>
      </c>
      <c r="F4699" s="13" t="s">
        <v>1625</v>
      </c>
      <c r="G4699" s="13">
        <v>0.5</v>
      </c>
      <c r="H4699" s="15">
        <v>1523</v>
      </c>
      <c r="I4699" s="16">
        <v>761.5</v>
      </c>
      <c r="J4699" s="16">
        <v>657.93600000000004</v>
      </c>
      <c r="K4699" s="16">
        <v>103.56399999999999</v>
      </c>
      <c r="L4699" s="13">
        <v>1.47</v>
      </c>
      <c r="M4699" s="13"/>
      <c r="N4699" s="17">
        <f t="shared" si="156"/>
        <v>2238.81</v>
      </c>
      <c r="O4699" s="17">
        <f t="shared" si="156"/>
        <v>0</v>
      </c>
      <c r="P4699" s="17">
        <f t="shared" si="155"/>
        <v>2238.81</v>
      </c>
      <c r="Q4699" t="str">
        <f>A4699&amp;"-"&amp;B4699&amp;"-"&amp;D4699</f>
        <v>OKTOBER-CNJ2-L6</v>
      </c>
    </row>
    <row r="4700" spans="1:17" x14ac:dyDescent="0.25">
      <c r="A4700" t="s">
        <v>400</v>
      </c>
      <c r="B4700" s="13" t="s">
        <v>22</v>
      </c>
      <c r="C4700" s="13" t="s">
        <v>154</v>
      </c>
      <c r="D4700" s="14" t="s">
        <v>164</v>
      </c>
      <c r="E4700" s="13" t="s">
        <v>155</v>
      </c>
      <c r="F4700" s="13" t="s">
        <v>1470</v>
      </c>
      <c r="G4700" s="13">
        <v>0.52</v>
      </c>
      <c r="H4700" s="15">
        <v>6</v>
      </c>
      <c r="I4700" s="16">
        <v>3.12</v>
      </c>
      <c r="J4700" s="16">
        <v>3.24</v>
      </c>
      <c r="K4700" s="16">
        <v>-0.12000000000000011</v>
      </c>
      <c r="L4700" s="13">
        <v>1.43</v>
      </c>
      <c r="M4700" s="13"/>
      <c r="N4700" s="17">
        <f t="shared" si="156"/>
        <v>8.58</v>
      </c>
      <c r="O4700" s="17">
        <f t="shared" si="156"/>
        <v>0</v>
      </c>
      <c r="P4700" s="17">
        <f t="shared" si="155"/>
        <v>8.58</v>
      </c>
      <c r="Q4700" t="str">
        <f>A4700&amp;"-"&amp;B4700&amp;"-"&amp;D4700</f>
        <v>OKTOBER-CNJ2-L7</v>
      </c>
    </row>
    <row r="4701" spans="1:17" x14ac:dyDescent="0.25">
      <c r="A4701" t="s">
        <v>400</v>
      </c>
      <c r="B4701" s="13" t="s">
        <v>22</v>
      </c>
      <c r="C4701" s="13" t="s">
        <v>154</v>
      </c>
      <c r="D4701" s="14" t="s">
        <v>164</v>
      </c>
      <c r="E4701" s="13" t="s">
        <v>155</v>
      </c>
      <c r="F4701" s="13" t="s">
        <v>1605</v>
      </c>
      <c r="G4701" s="13">
        <v>0.52</v>
      </c>
      <c r="H4701" s="15">
        <v>878</v>
      </c>
      <c r="I4701" s="16">
        <v>456.56000000000006</v>
      </c>
      <c r="J4701" s="16">
        <v>551.44799999999998</v>
      </c>
      <c r="K4701" s="16">
        <v>-94.887999999999948</v>
      </c>
      <c r="L4701" s="13">
        <v>1.42</v>
      </c>
      <c r="M4701" s="13"/>
      <c r="N4701" s="17">
        <f t="shared" si="156"/>
        <v>1246.76</v>
      </c>
      <c r="O4701" s="17">
        <f t="shared" si="156"/>
        <v>0</v>
      </c>
      <c r="P4701" s="17">
        <f t="shared" si="155"/>
        <v>1246.76</v>
      </c>
      <c r="Q4701" t="str">
        <f>A4701&amp;"-"&amp;B4701&amp;"-"&amp;D4701</f>
        <v>OKTOBER-CNJ2-L7</v>
      </c>
    </row>
    <row r="4702" spans="1:17" x14ac:dyDescent="0.25">
      <c r="A4702" t="s">
        <v>400</v>
      </c>
      <c r="B4702" s="13" t="s">
        <v>22</v>
      </c>
      <c r="C4702" s="13" t="s">
        <v>154</v>
      </c>
      <c r="D4702" s="14" t="s">
        <v>164</v>
      </c>
      <c r="E4702" s="13" t="s">
        <v>155</v>
      </c>
      <c r="F4702" s="13" t="s">
        <v>1607</v>
      </c>
      <c r="G4702" s="13">
        <v>0.52</v>
      </c>
      <c r="H4702" s="15">
        <v>2463</v>
      </c>
      <c r="I4702" s="16">
        <v>1280.76</v>
      </c>
      <c r="J4702" s="16">
        <v>1303.8227692307694</v>
      </c>
      <c r="K4702" s="16">
        <v>-23.062769230769231</v>
      </c>
      <c r="L4702" s="13">
        <v>1.42</v>
      </c>
      <c r="M4702" s="13"/>
      <c r="N4702" s="17">
        <f t="shared" si="156"/>
        <v>3497.46</v>
      </c>
      <c r="O4702" s="17">
        <f t="shared" si="156"/>
        <v>0</v>
      </c>
      <c r="P4702" s="17">
        <f t="shared" si="155"/>
        <v>3497.46</v>
      </c>
      <c r="Q4702" t="str">
        <f>A4702&amp;"-"&amp;B4702&amp;"-"&amp;D4702</f>
        <v>OKTOBER-CNJ2-L7</v>
      </c>
    </row>
    <row r="4703" spans="1:17" x14ac:dyDescent="0.25">
      <c r="A4703" t="s">
        <v>400</v>
      </c>
      <c r="B4703" s="13" t="s">
        <v>22</v>
      </c>
      <c r="C4703" s="13" t="s">
        <v>154</v>
      </c>
      <c r="D4703" s="14" t="s">
        <v>164</v>
      </c>
      <c r="E4703" s="13" t="s">
        <v>155</v>
      </c>
      <c r="F4703" s="13" t="s">
        <v>1680</v>
      </c>
      <c r="G4703" s="13">
        <v>0.52</v>
      </c>
      <c r="H4703" s="15">
        <v>10</v>
      </c>
      <c r="I4703" s="16">
        <v>5.2</v>
      </c>
      <c r="J4703" s="16">
        <v>5.7857500000000002</v>
      </c>
      <c r="K4703" s="16">
        <v>-0.58574999999999999</v>
      </c>
      <c r="L4703" s="13">
        <v>1.42</v>
      </c>
      <c r="M4703" s="13"/>
      <c r="N4703" s="17">
        <f t="shared" si="156"/>
        <v>14.2</v>
      </c>
      <c r="O4703" s="17">
        <f t="shared" si="156"/>
        <v>0</v>
      </c>
      <c r="P4703" s="17">
        <f t="shared" si="155"/>
        <v>14.2</v>
      </c>
      <c r="Q4703" t="str">
        <f>A4703&amp;"-"&amp;B4703&amp;"-"&amp;D4703</f>
        <v>OKTOBER-CNJ2-L7</v>
      </c>
    </row>
    <row r="4704" spans="1:17" x14ac:dyDescent="0.25">
      <c r="A4704" t="s">
        <v>400</v>
      </c>
      <c r="B4704" s="13" t="s">
        <v>22</v>
      </c>
      <c r="C4704" s="13" t="s">
        <v>154</v>
      </c>
      <c r="D4704" s="14" t="s">
        <v>164</v>
      </c>
      <c r="E4704" s="13" t="s">
        <v>155</v>
      </c>
      <c r="F4704" s="13" t="s">
        <v>1608</v>
      </c>
      <c r="G4704" s="13">
        <v>0.52</v>
      </c>
      <c r="H4704" s="15">
        <v>10</v>
      </c>
      <c r="I4704" s="16">
        <v>5.2</v>
      </c>
      <c r="J4704" s="16">
        <v>4.9846153846153847</v>
      </c>
      <c r="K4704" s="16">
        <v>0.21538461538461551</v>
      </c>
      <c r="L4704" s="13">
        <v>1.42</v>
      </c>
      <c r="M4704" s="13"/>
      <c r="N4704" s="17">
        <f t="shared" si="156"/>
        <v>14.2</v>
      </c>
      <c r="O4704" s="17">
        <f t="shared" si="156"/>
        <v>0</v>
      </c>
      <c r="P4704" s="17">
        <f t="shared" si="155"/>
        <v>14.2</v>
      </c>
      <c r="Q4704" t="str">
        <f>A4704&amp;"-"&amp;B4704&amp;"-"&amp;D4704</f>
        <v>OKTOBER-CNJ2-L7</v>
      </c>
    </row>
    <row r="4705" spans="1:17" x14ac:dyDescent="0.25">
      <c r="A4705" t="s">
        <v>400</v>
      </c>
      <c r="B4705" s="13" t="s">
        <v>22</v>
      </c>
      <c r="C4705" s="13" t="s">
        <v>154</v>
      </c>
      <c r="D4705" s="14" t="s">
        <v>164</v>
      </c>
      <c r="E4705" s="13" t="s">
        <v>155</v>
      </c>
      <c r="F4705" s="13" t="s">
        <v>1609</v>
      </c>
      <c r="G4705" s="13">
        <v>0.52</v>
      </c>
      <c r="H4705" s="15">
        <v>19</v>
      </c>
      <c r="I4705" s="16">
        <v>9.8800000000000008</v>
      </c>
      <c r="J4705" s="16">
        <v>9.4707692307692302</v>
      </c>
      <c r="K4705" s="16">
        <v>0.40923076923077062</v>
      </c>
      <c r="L4705" s="13">
        <v>1.42</v>
      </c>
      <c r="M4705" s="13"/>
      <c r="N4705" s="17">
        <f t="shared" si="156"/>
        <v>26.979999999999997</v>
      </c>
      <c r="O4705" s="17">
        <f t="shared" si="156"/>
        <v>0</v>
      </c>
      <c r="P4705" s="17">
        <f t="shared" si="155"/>
        <v>26.979999999999997</v>
      </c>
      <c r="Q4705" t="str">
        <f>A4705&amp;"-"&amp;B4705&amp;"-"&amp;D4705</f>
        <v>OKTOBER-CNJ2-L7</v>
      </c>
    </row>
    <row r="4706" spans="1:17" x14ac:dyDescent="0.25">
      <c r="A4706" t="s">
        <v>400</v>
      </c>
      <c r="B4706" s="13" t="s">
        <v>22</v>
      </c>
      <c r="C4706" s="13" t="s">
        <v>154</v>
      </c>
      <c r="D4706" s="14" t="s">
        <v>164</v>
      </c>
      <c r="E4706" s="13" t="s">
        <v>155</v>
      </c>
      <c r="F4706" s="13" t="s">
        <v>1687</v>
      </c>
      <c r="G4706" s="13">
        <v>0.52</v>
      </c>
      <c r="H4706" s="15">
        <v>10</v>
      </c>
      <c r="I4706" s="16">
        <v>5.2</v>
      </c>
      <c r="J4706" s="16">
        <v>5.1840000000000002</v>
      </c>
      <c r="K4706" s="16">
        <v>1.6000000000000014E-2</v>
      </c>
      <c r="L4706" s="13">
        <v>1.42</v>
      </c>
      <c r="M4706" s="13"/>
      <c r="N4706" s="17">
        <f t="shared" si="156"/>
        <v>14.2</v>
      </c>
      <c r="O4706" s="17">
        <f t="shared" si="156"/>
        <v>0</v>
      </c>
      <c r="P4706" s="17">
        <f t="shared" si="155"/>
        <v>14.2</v>
      </c>
      <c r="Q4706" t="str">
        <f>A4706&amp;"-"&amp;B4706&amp;"-"&amp;D4706</f>
        <v>OKTOBER-CNJ2-L7</v>
      </c>
    </row>
    <row r="4707" spans="1:17" x14ac:dyDescent="0.25">
      <c r="A4707" t="s">
        <v>400</v>
      </c>
      <c r="B4707" s="13" t="s">
        <v>22</v>
      </c>
      <c r="C4707" s="13" t="s">
        <v>154</v>
      </c>
      <c r="D4707" s="14" t="s">
        <v>164</v>
      </c>
      <c r="E4707" s="13" t="s">
        <v>155</v>
      </c>
      <c r="F4707" s="13" t="s">
        <v>1688</v>
      </c>
      <c r="G4707" s="13">
        <v>0.52</v>
      </c>
      <c r="H4707" s="15">
        <v>17</v>
      </c>
      <c r="I4707" s="16">
        <v>8.84</v>
      </c>
      <c r="J4707" s="16">
        <v>8.8127999999999993</v>
      </c>
      <c r="K4707" s="16">
        <v>2.7200000000000557E-2</v>
      </c>
      <c r="L4707" s="13">
        <v>1.42</v>
      </c>
      <c r="M4707" s="13"/>
      <c r="N4707" s="17">
        <f t="shared" si="156"/>
        <v>24.14</v>
      </c>
      <c r="O4707" s="17">
        <f t="shared" si="156"/>
        <v>0</v>
      </c>
      <c r="P4707" s="17">
        <f t="shared" si="155"/>
        <v>24.14</v>
      </c>
      <c r="Q4707" t="str">
        <f>A4707&amp;"-"&amp;B4707&amp;"-"&amp;D4707</f>
        <v>OKTOBER-CNJ2-L7</v>
      </c>
    </row>
    <row r="4708" spans="1:17" x14ac:dyDescent="0.25">
      <c r="A4708" t="s">
        <v>400</v>
      </c>
      <c r="B4708" s="13" t="s">
        <v>22</v>
      </c>
      <c r="C4708" s="13" t="s">
        <v>154</v>
      </c>
      <c r="D4708" s="14" t="s">
        <v>164</v>
      </c>
      <c r="E4708" s="13" t="s">
        <v>155</v>
      </c>
      <c r="F4708" s="13" t="s">
        <v>1681</v>
      </c>
      <c r="G4708" s="13">
        <v>0.52</v>
      </c>
      <c r="H4708" s="15">
        <v>133</v>
      </c>
      <c r="I4708" s="16">
        <v>69.16</v>
      </c>
      <c r="J4708" s="16">
        <v>76.950475000000012</v>
      </c>
      <c r="K4708" s="16">
        <v>-7.7904750000000149</v>
      </c>
      <c r="L4708" s="13">
        <v>1.42</v>
      </c>
      <c r="M4708" s="13"/>
      <c r="N4708" s="17">
        <f t="shared" si="156"/>
        <v>188.85999999999999</v>
      </c>
      <c r="O4708" s="17">
        <f t="shared" si="156"/>
        <v>0</v>
      </c>
      <c r="P4708" s="17">
        <f t="shared" si="155"/>
        <v>188.85999999999999</v>
      </c>
      <c r="Q4708" t="str">
        <f>A4708&amp;"-"&amp;B4708&amp;"-"&amp;D4708</f>
        <v>OKTOBER-CNJ2-L7</v>
      </c>
    </row>
    <row r="4709" spans="1:17" x14ac:dyDescent="0.25">
      <c r="A4709" t="s">
        <v>400</v>
      </c>
      <c r="B4709" s="13" t="s">
        <v>22</v>
      </c>
      <c r="C4709" s="13" t="s">
        <v>154</v>
      </c>
      <c r="D4709" s="14" t="s">
        <v>164</v>
      </c>
      <c r="E4709" s="13" t="s">
        <v>155</v>
      </c>
      <c r="F4709" s="13" t="s">
        <v>1682</v>
      </c>
      <c r="G4709" s="13">
        <v>0.52</v>
      </c>
      <c r="H4709" s="15">
        <v>48</v>
      </c>
      <c r="I4709" s="16">
        <v>24.96</v>
      </c>
      <c r="J4709" s="16">
        <v>27.771599999999999</v>
      </c>
      <c r="K4709" s="16">
        <v>-2.8115999999999985</v>
      </c>
      <c r="L4709" s="13">
        <v>1.42</v>
      </c>
      <c r="M4709" s="13"/>
      <c r="N4709" s="17">
        <f t="shared" si="156"/>
        <v>68.16</v>
      </c>
      <c r="O4709" s="17">
        <f t="shared" si="156"/>
        <v>0</v>
      </c>
      <c r="P4709" s="17">
        <f t="shared" si="155"/>
        <v>68.16</v>
      </c>
      <c r="Q4709" t="str">
        <f>A4709&amp;"-"&amp;B4709&amp;"-"&amp;D4709</f>
        <v>OKTOBER-CNJ2-L7</v>
      </c>
    </row>
    <row r="4710" spans="1:17" x14ac:dyDescent="0.25">
      <c r="A4710" t="s">
        <v>400</v>
      </c>
      <c r="B4710" s="13" t="s">
        <v>22</v>
      </c>
      <c r="C4710" s="13" t="s">
        <v>154</v>
      </c>
      <c r="D4710" s="14" t="s">
        <v>164</v>
      </c>
      <c r="E4710" s="13" t="s">
        <v>155</v>
      </c>
      <c r="F4710" s="13" t="s">
        <v>1610</v>
      </c>
      <c r="G4710" s="13">
        <v>0.5</v>
      </c>
      <c r="H4710" s="15">
        <v>3908</v>
      </c>
      <c r="I4710" s="16">
        <v>1954</v>
      </c>
      <c r="J4710" s="16">
        <v>1963.8501576923077</v>
      </c>
      <c r="K4710" s="16">
        <v>-9.850157692307647</v>
      </c>
      <c r="L4710" s="13">
        <v>1.47</v>
      </c>
      <c r="M4710" s="13"/>
      <c r="N4710" s="17">
        <f t="shared" si="156"/>
        <v>5744.76</v>
      </c>
      <c r="O4710" s="17">
        <f t="shared" si="156"/>
        <v>0</v>
      </c>
      <c r="P4710" s="17">
        <f t="shared" si="155"/>
        <v>5744.76</v>
      </c>
      <c r="Q4710" t="str">
        <f>A4710&amp;"-"&amp;B4710&amp;"-"&amp;D4710</f>
        <v>OKTOBER-CNJ2-L7</v>
      </c>
    </row>
    <row r="4711" spans="1:17" x14ac:dyDescent="0.25">
      <c r="A4711" t="s">
        <v>400</v>
      </c>
      <c r="B4711" s="13" t="s">
        <v>22</v>
      </c>
      <c r="C4711" s="13" t="s">
        <v>154</v>
      </c>
      <c r="D4711" s="14" t="s">
        <v>164</v>
      </c>
      <c r="E4711" s="13" t="s">
        <v>155</v>
      </c>
      <c r="F4711" s="13" t="s">
        <v>1689</v>
      </c>
      <c r="G4711" s="13">
        <v>0.5</v>
      </c>
      <c r="H4711" s="15">
        <v>10</v>
      </c>
      <c r="I4711" s="16">
        <v>5</v>
      </c>
      <c r="J4711" s="16">
        <v>5.1840000000000002</v>
      </c>
      <c r="K4711" s="16">
        <v>-0.18400000000000016</v>
      </c>
      <c r="L4711" s="13">
        <v>1.47</v>
      </c>
      <c r="M4711" s="13"/>
      <c r="N4711" s="17">
        <f t="shared" si="156"/>
        <v>14.7</v>
      </c>
      <c r="O4711" s="17">
        <f t="shared" si="156"/>
        <v>0</v>
      </c>
      <c r="P4711" s="17">
        <f t="shared" si="155"/>
        <v>14.7</v>
      </c>
      <c r="Q4711" t="str">
        <f>A4711&amp;"-"&amp;B4711&amp;"-"&amp;D4711</f>
        <v>OKTOBER-CNJ2-L7</v>
      </c>
    </row>
    <row r="4712" spans="1:17" x14ac:dyDescent="0.25">
      <c r="A4712" t="s">
        <v>400</v>
      </c>
      <c r="B4712" s="13" t="s">
        <v>22</v>
      </c>
      <c r="C4712" s="13" t="s">
        <v>154</v>
      </c>
      <c r="D4712" s="14" t="s">
        <v>164</v>
      </c>
      <c r="E4712" s="13" t="s">
        <v>155</v>
      </c>
      <c r="F4712" s="13" t="s">
        <v>1683</v>
      </c>
      <c r="G4712" s="13">
        <v>0.5</v>
      </c>
      <c r="H4712" s="15">
        <v>3229</v>
      </c>
      <c r="I4712" s="16">
        <v>1614.5</v>
      </c>
      <c r="J4712" s="16">
        <v>1818.0880851063832</v>
      </c>
      <c r="K4712" s="16">
        <v>-203.58808510638298</v>
      </c>
      <c r="L4712" s="13">
        <v>1.47</v>
      </c>
      <c r="M4712" s="13"/>
      <c r="N4712" s="17">
        <f t="shared" si="156"/>
        <v>4746.63</v>
      </c>
      <c r="O4712" s="17">
        <f t="shared" si="156"/>
        <v>0</v>
      </c>
      <c r="P4712" s="17">
        <f t="shared" si="155"/>
        <v>4746.63</v>
      </c>
      <c r="Q4712" t="str">
        <f>A4712&amp;"-"&amp;B4712&amp;"-"&amp;D4712</f>
        <v>OKTOBER-CNJ2-L7</v>
      </c>
    </row>
    <row r="4713" spans="1:17" x14ac:dyDescent="0.25">
      <c r="A4713" t="s">
        <v>400</v>
      </c>
      <c r="B4713" s="13" t="s">
        <v>22</v>
      </c>
      <c r="C4713" s="13" t="s">
        <v>154</v>
      </c>
      <c r="D4713" s="14" t="s">
        <v>164</v>
      </c>
      <c r="E4713" s="13" t="s">
        <v>155</v>
      </c>
      <c r="F4713" s="13" t="s">
        <v>1684</v>
      </c>
      <c r="G4713" s="13">
        <v>0.5</v>
      </c>
      <c r="H4713" s="15">
        <v>855</v>
      </c>
      <c r="I4713" s="16">
        <v>427.5</v>
      </c>
      <c r="J4713" s="16">
        <v>482.65560159574466</v>
      </c>
      <c r="K4713" s="16">
        <v>-55.155601595744685</v>
      </c>
      <c r="L4713" s="13">
        <v>1.47</v>
      </c>
      <c r="M4713" s="13"/>
      <c r="N4713" s="17">
        <f t="shared" si="156"/>
        <v>1256.8499999999999</v>
      </c>
      <c r="O4713" s="17">
        <f t="shared" si="156"/>
        <v>0</v>
      </c>
      <c r="P4713" s="17">
        <f t="shared" si="155"/>
        <v>1256.8499999999999</v>
      </c>
      <c r="Q4713" t="str">
        <f>A4713&amp;"-"&amp;B4713&amp;"-"&amp;D4713</f>
        <v>OKTOBER-CNJ2-L7</v>
      </c>
    </row>
    <row r="4714" spans="1:17" x14ac:dyDescent="0.25">
      <c r="A4714" t="s">
        <v>400</v>
      </c>
      <c r="B4714" s="13" t="s">
        <v>22</v>
      </c>
      <c r="C4714" s="13" t="s">
        <v>154</v>
      </c>
      <c r="D4714" s="14" t="s">
        <v>164</v>
      </c>
      <c r="E4714" s="13" t="s">
        <v>155</v>
      </c>
      <c r="F4714" s="13" t="s">
        <v>1473</v>
      </c>
      <c r="G4714" s="13">
        <v>0.5</v>
      </c>
      <c r="H4714" s="15">
        <v>444</v>
      </c>
      <c r="I4714" s="16">
        <v>222</v>
      </c>
      <c r="J4714" s="16">
        <v>359.64000000000004</v>
      </c>
      <c r="K4714" s="16">
        <v>-137.64000000000004</v>
      </c>
      <c r="L4714" s="13">
        <v>1.47</v>
      </c>
      <c r="M4714" s="13"/>
      <c r="N4714" s="17">
        <f t="shared" si="156"/>
        <v>652.67999999999995</v>
      </c>
      <c r="O4714" s="17">
        <f t="shared" si="156"/>
        <v>0</v>
      </c>
      <c r="P4714" s="17">
        <f t="shared" si="155"/>
        <v>652.67999999999995</v>
      </c>
      <c r="Q4714" t="str">
        <f>A4714&amp;"-"&amp;B4714&amp;"-"&amp;D4714</f>
        <v>OKTOBER-CNJ2-L7</v>
      </c>
    </row>
    <row r="4715" spans="1:17" x14ac:dyDescent="0.25">
      <c r="A4715" t="s">
        <v>400</v>
      </c>
      <c r="B4715" s="13" t="s">
        <v>22</v>
      </c>
      <c r="C4715" s="13" t="s">
        <v>154</v>
      </c>
      <c r="D4715" s="14" t="s">
        <v>164</v>
      </c>
      <c r="E4715" s="13" t="s">
        <v>155</v>
      </c>
      <c r="F4715" s="13" t="s">
        <v>1685</v>
      </c>
      <c r="G4715" s="13">
        <v>0.5</v>
      </c>
      <c r="H4715" s="15">
        <v>1502</v>
      </c>
      <c r="I4715" s="16">
        <v>751</v>
      </c>
      <c r="J4715" s="16">
        <v>814.1706382978723</v>
      </c>
      <c r="K4715" s="16">
        <v>-63.17063829787233</v>
      </c>
      <c r="L4715" s="13">
        <v>1.47</v>
      </c>
      <c r="M4715" s="13"/>
      <c r="N4715" s="17">
        <f t="shared" si="156"/>
        <v>2207.94</v>
      </c>
      <c r="O4715" s="17">
        <f t="shared" si="156"/>
        <v>0</v>
      </c>
      <c r="P4715" s="17">
        <f t="shared" si="155"/>
        <v>2207.94</v>
      </c>
      <c r="Q4715" t="str">
        <f>A4715&amp;"-"&amp;B4715&amp;"-"&amp;D4715</f>
        <v>OKTOBER-CNJ2-L7</v>
      </c>
    </row>
    <row r="4716" spans="1:17" x14ac:dyDescent="0.25">
      <c r="A4716" t="s">
        <v>400</v>
      </c>
      <c r="B4716" s="13" t="s">
        <v>22</v>
      </c>
      <c r="C4716" s="13" t="s">
        <v>154</v>
      </c>
      <c r="D4716" s="14" t="s">
        <v>164</v>
      </c>
      <c r="E4716" s="13" t="s">
        <v>155</v>
      </c>
      <c r="F4716" s="13" t="s">
        <v>1686</v>
      </c>
      <c r="G4716" s="13">
        <v>0.52</v>
      </c>
      <c r="H4716" s="15">
        <v>63</v>
      </c>
      <c r="I4716" s="16">
        <v>32.76</v>
      </c>
      <c r="J4716" s="16">
        <v>31.40307692307692</v>
      </c>
      <c r="K4716" s="16">
        <v>1.3569230769230778</v>
      </c>
      <c r="L4716" s="13">
        <v>1.42</v>
      </c>
      <c r="M4716" s="13"/>
      <c r="N4716" s="17">
        <f t="shared" si="156"/>
        <v>89.46</v>
      </c>
      <c r="O4716" s="17">
        <f t="shared" si="156"/>
        <v>0</v>
      </c>
      <c r="P4716" s="17">
        <f t="shared" si="155"/>
        <v>89.46</v>
      </c>
      <c r="Q4716" t="str">
        <f>A4716&amp;"-"&amp;B4716&amp;"-"&amp;D4716</f>
        <v>OKTOBER-CNJ2-L7</v>
      </c>
    </row>
    <row r="4717" spans="1:17" x14ac:dyDescent="0.25">
      <c r="A4717" t="s">
        <v>400</v>
      </c>
      <c r="B4717" s="13" t="s">
        <v>22</v>
      </c>
      <c r="C4717" s="13" t="s">
        <v>154</v>
      </c>
      <c r="D4717" s="14" t="s">
        <v>164</v>
      </c>
      <c r="E4717" s="13" t="s">
        <v>155</v>
      </c>
      <c r="F4717" s="13" t="s">
        <v>1614</v>
      </c>
      <c r="G4717" s="13">
        <v>0.5</v>
      </c>
      <c r="H4717" s="15">
        <v>14</v>
      </c>
      <c r="I4717" s="16">
        <v>7</v>
      </c>
      <c r="J4717" s="16">
        <v>7.5600000000000005</v>
      </c>
      <c r="K4717" s="16">
        <v>-0.5600000000000005</v>
      </c>
      <c r="L4717" s="13">
        <v>1.47</v>
      </c>
      <c r="M4717" s="13"/>
      <c r="N4717" s="17">
        <f t="shared" si="156"/>
        <v>20.58</v>
      </c>
      <c r="O4717" s="17">
        <f t="shared" si="156"/>
        <v>0</v>
      </c>
      <c r="P4717" s="17">
        <f t="shared" si="155"/>
        <v>20.58</v>
      </c>
      <c r="Q4717" t="str">
        <f>A4717&amp;"-"&amp;B4717&amp;"-"&amp;D4717</f>
        <v>OKTOBER-CNJ2-L7</v>
      </c>
    </row>
    <row r="4718" spans="1:17" x14ac:dyDescent="0.25">
      <c r="A4718" t="s">
        <v>400</v>
      </c>
      <c r="B4718" s="13" t="s">
        <v>22</v>
      </c>
      <c r="C4718" s="13" t="s">
        <v>154</v>
      </c>
      <c r="D4718" s="14" t="s">
        <v>164</v>
      </c>
      <c r="E4718" s="13" t="s">
        <v>155</v>
      </c>
      <c r="F4718" s="13" t="s">
        <v>1615</v>
      </c>
      <c r="G4718" s="13">
        <v>0.5</v>
      </c>
      <c r="H4718" s="15">
        <v>7643</v>
      </c>
      <c r="I4718" s="16">
        <v>3821.5</v>
      </c>
      <c r="J4718" s="16">
        <v>4331.6792000000005</v>
      </c>
      <c r="K4718" s="16">
        <v>-510.17920000000004</v>
      </c>
      <c r="L4718" s="13">
        <v>1.47</v>
      </c>
      <c r="M4718" s="13"/>
      <c r="N4718" s="17">
        <f t="shared" si="156"/>
        <v>11235.21</v>
      </c>
      <c r="O4718" s="17">
        <f t="shared" si="156"/>
        <v>0</v>
      </c>
      <c r="P4718" s="17">
        <f t="shared" si="155"/>
        <v>11235.21</v>
      </c>
      <c r="Q4718" t="str">
        <f>A4718&amp;"-"&amp;B4718&amp;"-"&amp;D4718</f>
        <v>OKTOBER-CNJ2-L7</v>
      </c>
    </row>
    <row r="4719" spans="1:17" x14ac:dyDescent="0.25">
      <c r="A4719" t="s">
        <v>400</v>
      </c>
      <c r="B4719" s="13" t="s">
        <v>22</v>
      </c>
      <c r="C4719" s="13" t="s">
        <v>154</v>
      </c>
      <c r="D4719" s="14" t="s">
        <v>164</v>
      </c>
      <c r="E4719" s="13" t="s">
        <v>155</v>
      </c>
      <c r="F4719" s="13" t="s">
        <v>1616</v>
      </c>
      <c r="G4719" s="13">
        <v>0.5</v>
      </c>
      <c r="H4719" s="15">
        <v>10</v>
      </c>
      <c r="I4719" s="16">
        <v>5</v>
      </c>
      <c r="J4719" s="16">
        <v>5.4</v>
      </c>
      <c r="K4719" s="16">
        <v>-0.40000000000000036</v>
      </c>
      <c r="L4719" s="13">
        <v>1.47</v>
      </c>
      <c r="M4719" s="13"/>
      <c r="N4719" s="17">
        <f t="shared" si="156"/>
        <v>14.7</v>
      </c>
      <c r="O4719" s="17">
        <f t="shared" si="156"/>
        <v>0</v>
      </c>
      <c r="P4719" s="17">
        <f t="shared" si="155"/>
        <v>14.7</v>
      </c>
      <c r="Q4719" t="str">
        <f>A4719&amp;"-"&amp;B4719&amp;"-"&amp;D4719</f>
        <v>OKTOBER-CNJ2-L7</v>
      </c>
    </row>
    <row r="4720" spans="1:17" x14ac:dyDescent="0.25">
      <c r="A4720" t="s">
        <v>400</v>
      </c>
      <c r="B4720" s="13" t="s">
        <v>22</v>
      </c>
      <c r="C4720" s="13" t="s">
        <v>154</v>
      </c>
      <c r="D4720" s="14" t="s">
        <v>164</v>
      </c>
      <c r="E4720" s="13" t="s">
        <v>155</v>
      </c>
      <c r="F4720" s="13" t="s">
        <v>1617</v>
      </c>
      <c r="G4720" s="13">
        <v>0.5</v>
      </c>
      <c r="H4720" s="15">
        <v>90</v>
      </c>
      <c r="I4720" s="16">
        <v>45</v>
      </c>
      <c r="J4720" s="16">
        <v>48.6</v>
      </c>
      <c r="K4720" s="16">
        <v>-3.6000000000000014</v>
      </c>
      <c r="L4720" s="13">
        <v>1.47</v>
      </c>
      <c r="M4720" s="13"/>
      <c r="N4720" s="17">
        <f t="shared" si="156"/>
        <v>132.30000000000001</v>
      </c>
      <c r="O4720" s="17">
        <f t="shared" si="156"/>
        <v>0</v>
      </c>
      <c r="P4720" s="17">
        <f t="shared" si="155"/>
        <v>132.30000000000001</v>
      </c>
      <c r="Q4720" t="str">
        <f>A4720&amp;"-"&amp;B4720&amp;"-"&amp;D4720</f>
        <v>OKTOBER-CNJ2-L7</v>
      </c>
    </row>
    <row r="4721" spans="1:17" x14ac:dyDescent="0.25">
      <c r="A4721" t="s">
        <v>400</v>
      </c>
      <c r="B4721" s="13" t="s">
        <v>22</v>
      </c>
      <c r="C4721" s="13" t="s">
        <v>154</v>
      </c>
      <c r="D4721" s="14" t="s">
        <v>164</v>
      </c>
      <c r="E4721" s="13" t="s">
        <v>155</v>
      </c>
      <c r="F4721" s="13" t="s">
        <v>1618</v>
      </c>
      <c r="G4721" s="13">
        <v>0.5</v>
      </c>
      <c r="H4721" s="15">
        <v>10</v>
      </c>
      <c r="I4721" s="16">
        <v>5</v>
      </c>
      <c r="J4721" s="16">
        <v>5.4</v>
      </c>
      <c r="K4721" s="16">
        <v>-0.40000000000000036</v>
      </c>
      <c r="L4721" s="13">
        <v>1.47</v>
      </c>
      <c r="M4721" s="13"/>
      <c r="N4721" s="17">
        <f t="shared" si="156"/>
        <v>14.7</v>
      </c>
      <c r="O4721" s="17">
        <f t="shared" si="156"/>
        <v>0</v>
      </c>
      <c r="P4721" s="17">
        <f t="shared" si="155"/>
        <v>14.7</v>
      </c>
      <c r="Q4721" t="str">
        <f>A4721&amp;"-"&amp;B4721&amp;"-"&amp;D4721</f>
        <v>OKTOBER-CNJ2-L7</v>
      </c>
    </row>
    <row r="4722" spans="1:17" x14ac:dyDescent="0.25">
      <c r="A4722" t="s">
        <v>400</v>
      </c>
      <c r="B4722" s="13" t="s">
        <v>22</v>
      </c>
      <c r="C4722" s="13" t="s">
        <v>154</v>
      </c>
      <c r="D4722" s="14" t="s">
        <v>164</v>
      </c>
      <c r="E4722" s="13" t="s">
        <v>155</v>
      </c>
      <c r="F4722" s="13" t="s">
        <v>1619</v>
      </c>
      <c r="G4722" s="13">
        <v>0.5</v>
      </c>
      <c r="H4722" s="15">
        <v>967</v>
      </c>
      <c r="I4722" s="16">
        <v>483.5</v>
      </c>
      <c r="J4722" s="16">
        <v>522.17999999999995</v>
      </c>
      <c r="K4722" s="16">
        <v>-38.67999999999995</v>
      </c>
      <c r="L4722" s="13">
        <v>1.47</v>
      </c>
      <c r="M4722" s="13"/>
      <c r="N4722" s="17">
        <f t="shared" si="156"/>
        <v>1421.49</v>
      </c>
      <c r="O4722" s="17">
        <f t="shared" si="156"/>
        <v>0</v>
      </c>
      <c r="P4722" s="17">
        <f t="shared" si="155"/>
        <v>1421.49</v>
      </c>
      <c r="Q4722" t="str">
        <f>A4722&amp;"-"&amp;B4722&amp;"-"&amp;D4722</f>
        <v>OKTOBER-CNJ2-L7</v>
      </c>
    </row>
    <row r="4723" spans="1:17" x14ac:dyDescent="0.25">
      <c r="A4723" t="s">
        <v>400</v>
      </c>
      <c r="B4723" s="13" t="s">
        <v>22</v>
      </c>
      <c r="C4723" s="13" t="s">
        <v>154</v>
      </c>
      <c r="D4723" s="14" t="s">
        <v>164</v>
      </c>
      <c r="E4723" s="13" t="s">
        <v>155</v>
      </c>
      <c r="F4723" s="13" t="s">
        <v>1620</v>
      </c>
      <c r="G4723" s="13">
        <v>0.5</v>
      </c>
      <c r="H4723" s="15">
        <v>18</v>
      </c>
      <c r="I4723" s="16">
        <v>9</v>
      </c>
      <c r="J4723" s="16">
        <v>9.7199999999999989</v>
      </c>
      <c r="K4723" s="16">
        <v>-0.71999999999999886</v>
      </c>
      <c r="L4723" s="13">
        <v>1.47</v>
      </c>
      <c r="M4723" s="13"/>
      <c r="N4723" s="17">
        <f t="shared" si="156"/>
        <v>26.46</v>
      </c>
      <c r="O4723" s="17">
        <f t="shared" si="156"/>
        <v>0</v>
      </c>
      <c r="P4723" s="17">
        <f t="shared" si="155"/>
        <v>26.46</v>
      </c>
      <c r="Q4723" t="str">
        <f>A4723&amp;"-"&amp;B4723&amp;"-"&amp;D4723</f>
        <v>OKTOBER-CNJ2-L7</v>
      </c>
    </row>
    <row r="4724" spans="1:17" x14ac:dyDescent="0.25">
      <c r="A4724" t="s">
        <v>400</v>
      </c>
      <c r="B4724" s="13" t="s">
        <v>22</v>
      </c>
      <c r="C4724" s="13" t="s">
        <v>154</v>
      </c>
      <c r="D4724" s="14" t="s">
        <v>164</v>
      </c>
      <c r="E4724" s="13" t="s">
        <v>155</v>
      </c>
      <c r="F4724" s="13" t="s">
        <v>1621</v>
      </c>
      <c r="G4724" s="13">
        <v>0.5</v>
      </c>
      <c r="H4724" s="15">
        <v>3260</v>
      </c>
      <c r="I4724" s="16">
        <v>1630</v>
      </c>
      <c r="J4724" s="16">
        <v>1794.2901307388265</v>
      </c>
      <c r="K4724" s="16">
        <v>-164.29013073882641</v>
      </c>
      <c r="L4724" s="13">
        <v>1.47</v>
      </c>
      <c r="M4724" s="13"/>
      <c r="N4724" s="17">
        <f t="shared" si="156"/>
        <v>4792.2</v>
      </c>
      <c r="O4724" s="17">
        <f t="shared" si="156"/>
        <v>0</v>
      </c>
      <c r="P4724" s="17">
        <f t="shared" si="155"/>
        <v>4792.2</v>
      </c>
      <c r="Q4724" t="str">
        <f>A4724&amp;"-"&amp;B4724&amp;"-"&amp;D4724</f>
        <v>OKTOBER-CNJ2-L7</v>
      </c>
    </row>
    <row r="4725" spans="1:17" x14ac:dyDescent="0.25">
      <c r="A4725" t="s">
        <v>400</v>
      </c>
      <c r="B4725" s="13" t="s">
        <v>22</v>
      </c>
      <c r="C4725" s="13" t="s">
        <v>154</v>
      </c>
      <c r="D4725" s="14" t="s">
        <v>164</v>
      </c>
      <c r="E4725" s="13" t="s">
        <v>155</v>
      </c>
      <c r="F4725" s="13" t="s">
        <v>1622</v>
      </c>
      <c r="G4725" s="13">
        <v>0.5</v>
      </c>
      <c r="H4725" s="15">
        <v>2592</v>
      </c>
      <c r="I4725" s="16">
        <v>1296</v>
      </c>
      <c r="J4725" s="16">
        <v>1341.7836363636363</v>
      </c>
      <c r="K4725" s="16">
        <v>-45.78363636363639</v>
      </c>
      <c r="L4725" s="13">
        <v>1.47</v>
      </c>
      <c r="M4725" s="13"/>
      <c r="N4725" s="17">
        <f t="shared" si="156"/>
        <v>3810.24</v>
      </c>
      <c r="O4725" s="17">
        <f t="shared" si="156"/>
        <v>0</v>
      </c>
      <c r="P4725" s="17">
        <f t="shared" si="155"/>
        <v>3810.24</v>
      </c>
      <c r="Q4725" t="str">
        <f>A4725&amp;"-"&amp;B4725&amp;"-"&amp;D4725</f>
        <v>OKTOBER-CNJ2-L7</v>
      </c>
    </row>
    <row r="4726" spans="1:17" x14ac:dyDescent="0.25">
      <c r="A4726" t="s">
        <v>400</v>
      </c>
      <c r="B4726" s="13" t="s">
        <v>22</v>
      </c>
      <c r="C4726" s="13" t="s">
        <v>154</v>
      </c>
      <c r="D4726" s="14" t="s">
        <v>164</v>
      </c>
      <c r="E4726" s="13" t="s">
        <v>155</v>
      </c>
      <c r="F4726" s="13" t="s">
        <v>1623</v>
      </c>
      <c r="G4726" s="13">
        <v>0.5</v>
      </c>
      <c r="H4726" s="15">
        <v>10</v>
      </c>
      <c r="I4726" s="16">
        <v>5</v>
      </c>
      <c r="J4726" s="16">
        <v>5.4</v>
      </c>
      <c r="K4726" s="16">
        <v>-0.40000000000000036</v>
      </c>
      <c r="L4726" s="13">
        <v>1.47</v>
      </c>
      <c r="M4726" s="13"/>
      <c r="N4726" s="17">
        <f t="shared" si="156"/>
        <v>14.7</v>
      </c>
      <c r="O4726" s="17">
        <f t="shared" si="156"/>
        <v>0</v>
      </c>
      <c r="P4726" s="17">
        <f t="shared" si="155"/>
        <v>14.7</v>
      </c>
      <c r="Q4726" t="str">
        <f>A4726&amp;"-"&amp;B4726&amp;"-"&amp;D4726</f>
        <v>OKTOBER-CNJ2-L7</v>
      </c>
    </row>
    <row r="4727" spans="1:17" x14ac:dyDescent="0.25">
      <c r="A4727" t="s">
        <v>400</v>
      </c>
      <c r="B4727" s="13" t="s">
        <v>22</v>
      </c>
      <c r="C4727" s="13" t="s">
        <v>154</v>
      </c>
      <c r="D4727" s="14" t="s">
        <v>164</v>
      </c>
      <c r="E4727" s="13" t="s">
        <v>155</v>
      </c>
      <c r="F4727" s="13" t="s">
        <v>1624</v>
      </c>
      <c r="G4727" s="13">
        <v>0.5</v>
      </c>
      <c r="H4727" s="15">
        <v>986</v>
      </c>
      <c r="I4727" s="16">
        <v>493</v>
      </c>
      <c r="J4727" s="16">
        <v>562.96469443599881</v>
      </c>
      <c r="K4727" s="16">
        <v>-69.96469443599878</v>
      </c>
      <c r="L4727" s="13">
        <v>1.47</v>
      </c>
      <c r="M4727" s="13"/>
      <c r="N4727" s="17">
        <f t="shared" si="156"/>
        <v>1449.42</v>
      </c>
      <c r="O4727" s="17">
        <f t="shared" si="156"/>
        <v>0</v>
      </c>
      <c r="P4727" s="17">
        <f t="shared" si="155"/>
        <v>1449.42</v>
      </c>
      <c r="Q4727" t="str">
        <f>A4727&amp;"-"&amp;B4727&amp;"-"&amp;D4727</f>
        <v>OKTOBER-CNJ2-L7</v>
      </c>
    </row>
    <row r="4728" spans="1:17" x14ac:dyDescent="0.25">
      <c r="A4728" t="s">
        <v>400</v>
      </c>
      <c r="B4728" s="13" t="s">
        <v>22</v>
      </c>
      <c r="C4728" s="13" t="s">
        <v>43</v>
      </c>
      <c r="D4728" s="14" t="s">
        <v>44</v>
      </c>
      <c r="E4728" s="13" t="s">
        <v>165</v>
      </c>
      <c r="F4728" s="13" t="s">
        <v>1690</v>
      </c>
      <c r="G4728" s="13">
        <v>1.41</v>
      </c>
      <c r="H4728" s="15">
        <v>8965</v>
      </c>
      <c r="I4728" s="16">
        <v>12640.649999999998</v>
      </c>
      <c r="J4728" s="16">
        <v>11756.580000000002</v>
      </c>
      <c r="K4728" s="16">
        <v>884.07000000000016</v>
      </c>
      <c r="L4728" s="13"/>
      <c r="M4728" s="13">
        <v>1.5</v>
      </c>
      <c r="N4728" s="17">
        <f t="shared" si="156"/>
        <v>0</v>
      </c>
      <c r="O4728" s="17">
        <f t="shared" si="156"/>
        <v>13447.5</v>
      </c>
      <c r="P4728" s="17">
        <f t="shared" si="155"/>
        <v>13447.5</v>
      </c>
      <c r="Q4728" t="str">
        <f>A4728&amp;"-"&amp;B4728&amp;"-"&amp;D4728</f>
        <v>OKTOBER-CNJ2-L1</v>
      </c>
    </row>
    <row r="4729" spans="1:17" x14ac:dyDescent="0.25">
      <c r="A4729" t="s">
        <v>400</v>
      </c>
      <c r="B4729" s="13" t="s">
        <v>22</v>
      </c>
      <c r="C4729" s="13" t="s">
        <v>43</v>
      </c>
      <c r="D4729" s="14" t="s">
        <v>44</v>
      </c>
      <c r="E4729" s="13" t="s">
        <v>1267</v>
      </c>
      <c r="F4729" s="13" t="s">
        <v>1691</v>
      </c>
      <c r="G4729" s="13">
        <v>3.05</v>
      </c>
      <c r="H4729" s="15">
        <v>550</v>
      </c>
      <c r="I4729" s="16">
        <v>1677.5</v>
      </c>
      <c r="J4729" s="16">
        <v>2374.46</v>
      </c>
      <c r="K4729" s="16">
        <v>-696.96</v>
      </c>
      <c r="L4729" s="13"/>
      <c r="M4729" s="13">
        <v>3.2</v>
      </c>
      <c r="N4729" s="17">
        <f t="shared" si="156"/>
        <v>0</v>
      </c>
      <c r="O4729" s="17">
        <f t="shared" si="156"/>
        <v>1760</v>
      </c>
      <c r="P4729" s="17">
        <f t="shared" si="155"/>
        <v>1760</v>
      </c>
      <c r="Q4729" t="str">
        <f>A4729&amp;"-"&amp;B4729&amp;"-"&amp;D4729</f>
        <v>OKTOBER-CNJ2-L1</v>
      </c>
    </row>
    <row r="4730" spans="1:17" x14ac:dyDescent="0.25">
      <c r="A4730" t="s">
        <v>400</v>
      </c>
      <c r="B4730" s="13" t="s">
        <v>22</v>
      </c>
      <c r="C4730" s="13" t="s">
        <v>43</v>
      </c>
      <c r="D4730" s="14" t="s">
        <v>44</v>
      </c>
      <c r="E4730" s="13" t="s">
        <v>1267</v>
      </c>
      <c r="F4730" s="13" t="s">
        <v>1692</v>
      </c>
      <c r="G4730" s="13">
        <v>3.05</v>
      </c>
      <c r="H4730" s="15">
        <v>454</v>
      </c>
      <c r="I4730" s="16">
        <v>1384.7</v>
      </c>
      <c r="J4730" s="16">
        <v>1976.4</v>
      </c>
      <c r="K4730" s="16">
        <v>-591.70000000000005</v>
      </c>
      <c r="L4730" s="13"/>
      <c r="M4730" s="13">
        <v>3.2</v>
      </c>
      <c r="N4730" s="17">
        <f t="shared" si="156"/>
        <v>0</v>
      </c>
      <c r="O4730" s="17">
        <f t="shared" si="156"/>
        <v>1452.8000000000002</v>
      </c>
      <c r="P4730" s="17">
        <f t="shared" si="155"/>
        <v>1452.8000000000002</v>
      </c>
      <c r="Q4730" t="str">
        <f>A4730&amp;"-"&amp;B4730&amp;"-"&amp;D4730</f>
        <v>OKTOBER-CNJ2-L1</v>
      </c>
    </row>
    <row r="4731" spans="1:17" x14ac:dyDescent="0.25">
      <c r="A4731" t="s">
        <v>400</v>
      </c>
      <c r="B4731" s="13" t="s">
        <v>22</v>
      </c>
      <c r="C4731" s="13" t="s">
        <v>43</v>
      </c>
      <c r="D4731" s="14" t="s">
        <v>50</v>
      </c>
      <c r="E4731" s="13" t="s">
        <v>550</v>
      </c>
      <c r="F4731" s="13" t="s">
        <v>1693</v>
      </c>
      <c r="G4731" s="13">
        <v>0.28999999999999998</v>
      </c>
      <c r="H4731" s="15">
        <v>530</v>
      </c>
      <c r="I4731" s="16">
        <v>153.69999999999999</v>
      </c>
      <c r="J4731" s="16">
        <v>324</v>
      </c>
      <c r="K4731" s="16">
        <v>-170.3</v>
      </c>
      <c r="L4731" s="13"/>
      <c r="M4731" s="13">
        <v>0.3</v>
      </c>
      <c r="N4731" s="17">
        <f t="shared" si="156"/>
        <v>0</v>
      </c>
      <c r="O4731" s="17">
        <f t="shared" si="156"/>
        <v>159</v>
      </c>
      <c r="P4731" s="17">
        <f t="shared" si="155"/>
        <v>159</v>
      </c>
      <c r="Q4731" t="str">
        <f>A4731&amp;"-"&amp;B4731&amp;"-"&amp;D4731</f>
        <v>OKTOBER-CNJ2-L2</v>
      </c>
    </row>
    <row r="4732" spans="1:17" x14ac:dyDescent="0.25">
      <c r="A4732" t="s">
        <v>400</v>
      </c>
      <c r="B4732" s="13" t="s">
        <v>22</v>
      </c>
      <c r="C4732" s="13" t="s">
        <v>43</v>
      </c>
      <c r="D4732" s="14" t="s">
        <v>50</v>
      </c>
      <c r="E4732" s="13" t="s">
        <v>555</v>
      </c>
      <c r="F4732" s="13" t="s">
        <v>1485</v>
      </c>
      <c r="G4732" s="13">
        <v>0.23</v>
      </c>
      <c r="H4732" s="15">
        <v>50</v>
      </c>
      <c r="I4732" s="16">
        <v>11.5</v>
      </c>
      <c r="J4732" s="16">
        <v>13.5</v>
      </c>
      <c r="K4732" s="16">
        <v>-2</v>
      </c>
      <c r="L4732" s="13"/>
      <c r="M4732" s="13">
        <v>0.24</v>
      </c>
      <c r="N4732" s="17">
        <f t="shared" si="156"/>
        <v>0</v>
      </c>
      <c r="O4732" s="17">
        <f t="shared" si="156"/>
        <v>12</v>
      </c>
      <c r="P4732" s="17">
        <f t="shared" si="155"/>
        <v>12</v>
      </c>
      <c r="Q4732" t="str">
        <f>A4732&amp;"-"&amp;B4732&amp;"-"&amp;D4732</f>
        <v>OKTOBER-CNJ2-L2</v>
      </c>
    </row>
    <row r="4733" spans="1:17" x14ac:dyDescent="0.25">
      <c r="A4733" t="s">
        <v>400</v>
      </c>
      <c r="B4733" s="13" t="s">
        <v>22</v>
      </c>
      <c r="C4733" s="13" t="s">
        <v>43</v>
      </c>
      <c r="D4733" s="14" t="s">
        <v>50</v>
      </c>
      <c r="E4733" s="13" t="s">
        <v>555</v>
      </c>
      <c r="F4733" s="13" t="s">
        <v>1694</v>
      </c>
      <c r="G4733" s="13">
        <v>0.28999999999999998</v>
      </c>
      <c r="H4733" s="15">
        <v>510</v>
      </c>
      <c r="I4733" s="16">
        <v>147.9</v>
      </c>
      <c r="J4733" s="16">
        <v>1258.6288416988418</v>
      </c>
      <c r="K4733" s="16">
        <v>-1110.7288416988417</v>
      </c>
      <c r="L4733" s="13"/>
      <c r="M4733" s="13">
        <v>0.3</v>
      </c>
      <c r="N4733" s="17">
        <f t="shared" si="156"/>
        <v>0</v>
      </c>
      <c r="O4733" s="17">
        <f t="shared" si="156"/>
        <v>153</v>
      </c>
      <c r="P4733" s="17">
        <f t="shared" si="155"/>
        <v>153</v>
      </c>
      <c r="Q4733" t="str">
        <f>A4733&amp;"-"&amp;B4733&amp;"-"&amp;D4733</f>
        <v>OKTOBER-CNJ2-L2</v>
      </c>
    </row>
    <row r="4734" spans="1:17" x14ac:dyDescent="0.25">
      <c r="A4734" t="s">
        <v>400</v>
      </c>
      <c r="B4734" s="13" t="s">
        <v>22</v>
      </c>
      <c r="C4734" s="13" t="s">
        <v>43</v>
      </c>
      <c r="D4734" s="14" t="s">
        <v>50</v>
      </c>
      <c r="E4734" s="13" t="s">
        <v>177</v>
      </c>
      <c r="F4734" s="13" t="s">
        <v>1274</v>
      </c>
      <c r="G4734" s="13">
        <v>0.24</v>
      </c>
      <c r="H4734" s="15">
        <v>555</v>
      </c>
      <c r="I4734" s="16">
        <v>133.19999999999999</v>
      </c>
      <c r="J4734" s="16">
        <v>231.42857142857144</v>
      </c>
      <c r="K4734" s="16">
        <v>-98.228571428571456</v>
      </c>
      <c r="L4734" s="13"/>
      <c r="M4734" s="13">
        <v>0.25</v>
      </c>
      <c r="N4734" s="17">
        <f t="shared" si="156"/>
        <v>0</v>
      </c>
      <c r="O4734" s="17">
        <f t="shared" si="156"/>
        <v>138.75</v>
      </c>
      <c r="P4734" s="17">
        <f t="shared" si="155"/>
        <v>138.75</v>
      </c>
      <c r="Q4734" t="str">
        <f>A4734&amp;"-"&amp;B4734&amp;"-"&amp;D4734</f>
        <v>OKTOBER-CNJ2-L2</v>
      </c>
    </row>
    <row r="4735" spans="1:17" x14ac:dyDescent="0.25">
      <c r="A4735" t="s">
        <v>400</v>
      </c>
      <c r="B4735" s="13" t="s">
        <v>22</v>
      </c>
      <c r="C4735" s="13" t="s">
        <v>43</v>
      </c>
      <c r="D4735" s="14" t="s">
        <v>50</v>
      </c>
      <c r="E4735" s="13" t="s">
        <v>177</v>
      </c>
      <c r="F4735" s="13" t="s">
        <v>1487</v>
      </c>
      <c r="G4735" s="13">
        <v>0.24</v>
      </c>
      <c r="H4735" s="15">
        <v>210</v>
      </c>
      <c r="I4735" s="16">
        <v>50.4</v>
      </c>
      <c r="J4735" s="16">
        <v>56.699999999999996</v>
      </c>
      <c r="K4735" s="16">
        <v>-6.2999999999999972</v>
      </c>
      <c r="L4735" s="13"/>
      <c r="M4735" s="13">
        <v>0.25</v>
      </c>
      <c r="N4735" s="17">
        <f t="shared" si="156"/>
        <v>0</v>
      </c>
      <c r="O4735" s="17">
        <f t="shared" si="156"/>
        <v>52.5</v>
      </c>
      <c r="P4735" s="17">
        <f t="shared" si="155"/>
        <v>52.5</v>
      </c>
      <c r="Q4735" t="str">
        <f>A4735&amp;"-"&amp;B4735&amp;"-"&amp;D4735</f>
        <v>OKTOBER-CNJ2-L2</v>
      </c>
    </row>
    <row r="4736" spans="1:17" x14ac:dyDescent="0.25">
      <c r="A4736" t="s">
        <v>400</v>
      </c>
      <c r="B4736" s="13" t="s">
        <v>22</v>
      </c>
      <c r="C4736" s="13" t="s">
        <v>43</v>
      </c>
      <c r="D4736" s="14" t="s">
        <v>50</v>
      </c>
      <c r="E4736" s="13" t="s">
        <v>177</v>
      </c>
      <c r="F4736" s="13" t="s">
        <v>1695</v>
      </c>
      <c r="G4736" s="13">
        <v>0.24</v>
      </c>
      <c r="H4736" s="15">
        <v>1012</v>
      </c>
      <c r="I4736" s="16">
        <v>242.88</v>
      </c>
      <c r="J4736" s="16">
        <v>291.17258687258686</v>
      </c>
      <c r="K4736" s="16">
        <v>-48.292586872586895</v>
      </c>
      <c r="L4736" s="13"/>
      <c r="M4736" s="13">
        <v>0.25</v>
      </c>
      <c r="N4736" s="17">
        <f t="shared" si="156"/>
        <v>0</v>
      </c>
      <c r="O4736" s="17">
        <f t="shared" si="156"/>
        <v>253</v>
      </c>
      <c r="P4736" s="17">
        <f t="shared" si="155"/>
        <v>253</v>
      </c>
      <c r="Q4736" t="str">
        <f>A4736&amp;"-"&amp;B4736&amp;"-"&amp;D4736</f>
        <v>OKTOBER-CNJ2-L2</v>
      </c>
    </row>
    <row r="4737" spans="1:17" x14ac:dyDescent="0.25">
      <c r="A4737" t="s">
        <v>400</v>
      </c>
      <c r="B4737" s="13" t="s">
        <v>22</v>
      </c>
      <c r="C4737" s="13" t="s">
        <v>43</v>
      </c>
      <c r="D4737" s="14" t="s">
        <v>56</v>
      </c>
      <c r="E4737" s="13" t="s">
        <v>305</v>
      </c>
      <c r="F4737" s="13" t="s">
        <v>1696</v>
      </c>
      <c r="G4737" s="13">
        <v>2.78</v>
      </c>
      <c r="H4737" s="15">
        <v>70</v>
      </c>
      <c r="I4737" s="16">
        <v>194.6</v>
      </c>
      <c r="J4737" s="16">
        <v>3702.86</v>
      </c>
      <c r="K4737" s="16">
        <v>-3508.26</v>
      </c>
      <c r="L4737" s="13"/>
      <c r="M4737" s="13">
        <v>2.95</v>
      </c>
      <c r="N4737" s="17">
        <f t="shared" si="156"/>
        <v>0</v>
      </c>
      <c r="O4737" s="17">
        <f t="shared" si="156"/>
        <v>206.5</v>
      </c>
      <c r="P4737" s="17">
        <f t="shared" si="155"/>
        <v>206.5</v>
      </c>
      <c r="Q4737" t="str">
        <f>A4737&amp;"-"&amp;B4737&amp;"-"&amp;D4737</f>
        <v>OKTOBER-CNJ2-L3</v>
      </c>
    </row>
    <row r="4738" spans="1:17" x14ac:dyDescent="0.25">
      <c r="A4738" t="s">
        <v>400</v>
      </c>
      <c r="B4738" s="13" t="s">
        <v>22</v>
      </c>
      <c r="C4738" s="13" t="s">
        <v>43</v>
      </c>
      <c r="D4738" s="14" t="s">
        <v>56</v>
      </c>
      <c r="E4738" s="13" t="s">
        <v>179</v>
      </c>
      <c r="F4738" s="13" t="s">
        <v>1697</v>
      </c>
      <c r="G4738" s="13">
        <v>1.54</v>
      </c>
      <c r="H4738" s="15">
        <v>1393</v>
      </c>
      <c r="I4738" s="16">
        <v>2145.2199999999998</v>
      </c>
      <c r="J4738" s="16">
        <v>2000.8466225165564</v>
      </c>
      <c r="K4738" s="16">
        <v>144.37337748344373</v>
      </c>
      <c r="L4738" s="13"/>
      <c r="M4738" s="13">
        <v>1.65</v>
      </c>
      <c r="N4738" s="17">
        <f t="shared" si="156"/>
        <v>0</v>
      </c>
      <c r="O4738" s="17">
        <f t="shared" si="156"/>
        <v>2298.4499999999998</v>
      </c>
      <c r="P4738" s="17">
        <f t="shared" ref="P4738:P4801" si="157">N4738+O4738</f>
        <v>2298.4499999999998</v>
      </c>
      <c r="Q4738" t="str">
        <f>A4738&amp;"-"&amp;B4738&amp;"-"&amp;D4738</f>
        <v>OKTOBER-CNJ2-L3</v>
      </c>
    </row>
    <row r="4739" spans="1:17" x14ac:dyDescent="0.25">
      <c r="A4739" t="s">
        <v>400</v>
      </c>
      <c r="B4739" s="13" t="s">
        <v>22</v>
      </c>
      <c r="C4739" s="13" t="s">
        <v>43</v>
      </c>
      <c r="D4739" s="14" t="s">
        <v>56</v>
      </c>
      <c r="E4739" s="13" t="s">
        <v>179</v>
      </c>
      <c r="F4739" s="13" t="s">
        <v>1698</v>
      </c>
      <c r="G4739" s="13">
        <v>1.54</v>
      </c>
      <c r="H4739" s="15">
        <v>568</v>
      </c>
      <c r="I4739" s="16">
        <v>874.72</v>
      </c>
      <c r="J4739" s="16">
        <v>812.50331125827825</v>
      </c>
      <c r="K4739" s="16">
        <v>62.216688741721839</v>
      </c>
      <c r="L4739" s="13"/>
      <c r="M4739" s="13">
        <v>1.65</v>
      </c>
      <c r="N4739" s="17">
        <f t="shared" si="156"/>
        <v>0</v>
      </c>
      <c r="O4739" s="17">
        <f t="shared" si="156"/>
        <v>937.19999999999993</v>
      </c>
      <c r="P4739" s="17">
        <f t="shared" si="157"/>
        <v>937.19999999999993</v>
      </c>
      <c r="Q4739" t="str">
        <f>A4739&amp;"-"&amp;B4739&amp;"-"&amp;D4739</f>
        <v>OKTOBER-CNJ2-L3</v>
      </c>
    </row>
    <row r="4740" spans="1:17" x14ac:dyDescent="0.25">
      <c r="A4740" t="s">
        <v>400</v>
      </c>
      <c r="B4740" s="13" t="s">
        <v>22</v>
      </c>
      <c r="C4740" s="13" t="s">
        <v>43</v>
      </c>
      <c r="D4740" s="14" t="s">
        <v>56</v>
      </c>
      <c r="E4740" s="13" t="s">
        <v>179</v>
      </c>
      <c r="F4740" s="13" t="s">
        <v>1699</v>
      </c>
      <c r="G4740" s="13">
        <v>1.5400000000000003</v>
      </c>
      <c r="H4740" s="15">
        <v>2538</v>
      </c>
      <c r="I4740" s="16">
        <v>3908.5199999999995</v>
      </c>
      <c r="J4740" s="16">
        <v>4073.3500662251654</v>
      </c>
      <c r="K4740" s="16">
        <v>-164.83006622516552</v>
      </c>
      <c r="L4740" s="13"/>
      <c r="M4740" s="13">
        <v>1.65</v>
      </c>
      <c r="N4740" s="17">
        <f t="shared" si="156"/>
        <v>0</v>
      </c>
      <c r="O4740" s="17">
        <f t="shared" si="156"/>
        <v>4187.7</v>
      </c>
      <c r="P4740" s="17">
        <f t="shared" si="157"/>
        <v>4187.7</v>
      </c>
      <c r="Q4740" t="str">
        <f>A4740&amp;"-"&amp;B4740&amp;"-"&amp;D4740</f>
        <v>OKTOBER-CNJ2-L3</v>
      </c>
    </row>
    <row r="4741" spans="1:17" x14ac:dyDescent="0.25">
      <c r="A4741" t="s">
        <v>400</v>
      </c>
      <c r="B4741" s="13" t="s">
        <v>22</v>
      </c>
      <c r="C4741" s="13" t="s">
        <v>43</v>
      </c>
      <c r="D4741" s="14" t="s">
        <v>56</v>
      </c>
      <c r="E4741" s="13" t="s">
        <v>179</v>
      </c>
      <c r="F4741" s="13" t="s">
        <v>1700</v>
      </c>
      <c r="G4741" s="13">
        <v>1.54</v>
      </c>
      <c r="H4741" s="15">
        <v>1343</v>
      </c>
      <c r="I4741" s="16">
        <v>2068.2199999999998</v>
      </c>
      <c r="J4741" s="16">
        <v>1950.3800000000003</v>
      </c>
      <c r="K4741" s="16">
        <v>117.83999999999995</v>
      </c>
      <c r="L4741" s="13"/>
      <c r="M4741" s="13">
        <v>1.65</v>
      </c>
      <c r="N4741" s="17">
        <f t="shared" si="156"/>
        <v>0</v>
      </c>
      <c r="O4741" s="17">
        <f t="shared" si="156"/>
        <v>2215.9499999999998</v>
      </c>
      <c r="P4741" s="17">
        <f t="shared" si="157"/>
        <v>2215.9499999999998</v>
      </c>
      <c r="Q4741" t="str">
        <f>A4741&amp;"-"&amp;B4741&amp;"-"&amp;D4741</f>
        <v>OKTOBER-CNJ2-L3</v>
      </c>
    </row>
    <row r="4742" spans="1:17" x14ac:dyDescent="0.25">
      <c r="A4742" t="s">
        <v>400</v>
      </c>
      <c r="B4742" s="13" t="s">
        <v>22</v>
      </c>
      <c r="C4742" s="13" t="s">
        <v>43</v>
      </c>
      <c r="D4742" s="14" t="s">
        <v>56</v>
      </c>
      <c r="E4742" s="13" t="s">
        <v>179</v>
      </c>
      <c r="F4742" s="13" t="s">
        <v>1488</v>
      </c>
      <c r="G4742" s="13">
        <v>1.54</v>
      </c>
      <c r="H4742" s="15">
        <v>1256</v>
      </c>
      <c r="I4742" s="16">
        <v>1934.24</v>
      </c>
      <c r="J4742" s="16">
        <v>1808.6399999999999</v>
      </c>
      <c r="K4742" s="16">
        <v>125.60000000000002</v>
      </c>
      <c r="L4742" s="13"/>
      <c r="M4742" s="13">
        <v>1.65</v>
      </c>
      <c r="N4742" s="17">
        <f t="shared" ref="N4742:O4801" si="158">$H4742*L4742</f>
        <v>0</v>
      </c>
      <c r="O4742" s="17">
        <f t="shared" si="158"/>
        <v>2072.4</v>
      </c>
      <c r="P4742" s="17">
        <f t="shared" si="157"/>
        <v>2072.4</v>
      </c>
      <c r="Q4742" t="str">
        <f>A4742&amp;"-"&amp;B4742&amp;"-"&amp;D4742</f>
        <v>OKTOBER-CNJ2-L3</v>
      </c>
    </row>
    <row r="4743" spans="1:17" x14ac:dyDescent="0.25">
      <c r="A4743" t="s">
        <v>400</v>
      </c>
      <c r="B4743" s="13" t="s">
        <v>22</v>
      </c>
      <c r="C4743" s="13" t="s">
        <v>43</v>
      </c>
      <c r="D4743" s="14" t="s">
        <v>56</v>
      </c>
      <c r="E4743" s="13" t="s">
        <v>179</v>
      </c>
      <c r="F4743" s="13" t="s">
        <v>1701</v>
      </c>
      <c r="G4743" s="13">
        <v>1.54</v>
      </c>
      <c r="H4743" s="15">
        <v>659</v>
      </c>
      <c r="I4743" s="16">
        <v>1014.8599999999999</v>
      </c>
      <c r="J4743" s="16">
        <v>1758.8600000000001</v>
      </c>
      <c r="K4743" s="16">
        <v>-744</v>
      </c>
      <c r="L4743" s="13"/>
      <c r="M4743" s="13">
        <v>1.65</v>
      </c>
      <c r="N4743" s="17">
        <f t="shared" si="158"/>
        <v>0</v>
      </c>
      <c r="O4743" s="17">
        <f t="shared" si="158"/>
        <v>1087.3499999999999</v>
      </c>
      <c r="P4743" s="17">
        <f t="shared" si="157"/>
        <v>1087.3499999999999</v>
      </c>
      <c r="Q4743" t="str">
        <f>A4743&amp;"-"&amp;B4743&amp;"-"&amp;D4743</f>
        <v>OKTOBER-CNJ2-L3</v>
      </c>
    </row>
    <row r="4744" spans="1:17" x14ac:dyDescent="0.25">
      <c r="A4744" t="s">
        <v>400</v>
      </c>
      <c r="B4744" s="13" t="s">
        <v>23</v>
      </c>
      <c r="C4744" s="13" t="s">
        <v>60</v>
      </c>
      <c r="D4744" s="14" t="s">
        <v>44</v>
      </c>
      <c r="E4744" s="13" t="s">
        <v>152</v>
      </c>
      <c r="F4744" s="13" t="s">
        <v>1702</v>
      </c>
      <c r="G4744" s="13">
        <v>2.5</v>
      </c>
      <c r="H4744" s="15">
        <v>608</v>
      </c>
      <c r="I4744" s="16">
        <v>1520</v>
      </c>
      <c r="J4744" s="16">
        <v>881.14</v>
      </c>
      <c r="K4744" s="16">
        <v>638.86</v>
      </c>
      <c r="L4744" s="13">
        <v>5.2</v>
      </c>
      <c r="M4744" s="13"/>
      <c r="N4744" s="17">
        <f t="shared" si="158"/>
        <v>3161.6</v>
      </c>
      <c r="O4744" s="17">
        <f t="shared" si="158"/>
        <v>0</v>
      </c>
      <c r="P4744" s="17">
        <f t="shared" si="157"/>
        <v>3161.6</v>
      </c>
      <c r="Q4744" t="str">
        <f>A4744&amp;"-"&amp;B4744&amp;"-"&amp;D4744</f>
        <v>OKTOBER-CVA-L1</v>
      </c>
    </row>
    <row r="4745" spans="1:17" x14ac:dyDescent="0.25">
      <c r="A4745" t="s">
        <v>400</v>
      </c>
      <c r="B4745" s="13" t="s">
        <v>23</v>
      </c>
      <c r="C4745" s="13" t="s">
        <v>60</v>
      </c>
      <c r="D4745" s="14" t="s">
        <v>44</v>
      </c>
      <c r="E4745" s="13" t="s">
        <v>65</v>
      </c>
      <c r="F4745" s="13" t="s">
        <v>1703</v>
      </c>
      <c r="G4745" s="13">
        <v>2.2599999999999998</v>
      </c>
      <c r="H4745" s="15">
        <v>950</v>
      </c>
      <c r="I4745" s="16">
        <v>2147</v>
      </c>
      <c r="J4745" s="16">
        <v>2869.830476190476</v>
      </c>
      <c r="K4745" s="16">
        <v>-722.83047619047613</v>
      </c>
      <c r="L4745" s="13">
        <v>5.5</v>
      </c>
      <c r="M4745" s="13"/>
      <c r="N4745" s="17">
        <f t="shared" si="158"/>
        <v>5225</v>
      </c>
      <c r="O4745" s="17">
        <f t="shared" si="158"/>
        <v>0</v>
      </c>
      <c r="P4745" s="17">
        <f t="shared" si="157"/>
        <v>5225</v>
      </c>
      <c r="Q4745" t="str">
        <f>A4745&amp;"-"&amp;B4745&amp;"-"&amp;D4745</f>
        <v>OKTOBER-CVA-L1</v>
      </c>
    </row>
    <row r="4746" spans="1:17" x14ac:dyDescent="0.25">
      <c r="A4746" t="s">
        <v>400</v>
      </c>
      <c r="B4746" s="13" t="s">
        <v>23</v>
      </c>
      <c r="C4746" s="13" t="s">
        <v>60</v>
      </c>
      <c r="D4746" s="14" t="s">
        <v>44</v>
      </c>
      <c r="E4746" s="13" t="s">
        <v>63</v>
      </c>
      <c r="F4746" s="13" t="s">
        <v>1495</v>
      </c>
      <c r="G4746" s="13">
        <v>1.9</v>
      </c>
      <c r="H4746" s="15">
        <v>11</v>
      </c>
      <c r="I4746" s="16">
        <v>20.9</v>
      </c>
      <c r="J4746" s="16">
        <v>67.30952380952381</v>
      </c>
      <c r="K4746" s="16">
        <v>-46.409523809523812</v>
      </c>
      <c r="L4746" s="13">
        <v>3.96</v>
      </c>
      <c r="M4746" s="13"/>
      <c r="N4746" s="17">
        <f t="shared" si="158"/>
        <v>43.56</v>
      </c>
      <c r="O4746" s="17">
        <f t="shared" si="158"/>
        <v>0</v>
      </c>
      <c r="P4746" s="17">
        <f t="shared" si="157"/>
        <v>43.56</v>
      </c>
      <c r="Q4746" t="str">
        <f>A4746&amp;"-"&amp;B4746&amp;"-"&amp;D4746</f>
        <v>OKTOBER-CVA-L1</v>
      </c>
    </row>
    <row r="4747" spans="1:17" x14ac:dyDescent="0.25">
      <c r="A4747" t="s">
        <v>400</v>
      </c>
      <c r="B4747" s="13" t="s">
        <v>23</v>
      </c>
      <c r="C4747" s="13" t="s">
        <v>60</v>
      </c>
      <c r="D4747" s="14" t="s">
        <v>50</v>
      </c>
      <c r="E4747" s="13" t="s">
        <v>152</v>
      </c>
      <c r="F4747" s="13" t="s">
        <v>1702</v>
      </c>
      <c r="G4747" s="13">
        <v>2.5</v>
      </c>
      <c r="H4747" s="15">
        <v>380</v>
      </c>
      <c r="I4747" s="16">
        <v>950</v>
      </c>
      <c r="J4747" s="16">
        <v>416.56307692307689</v>
      </c>
      <c r="K4747" s="16">
        <v>533.43692307692311</v>
      </c>
      <c r="L4747" s="13">
        <v>5.2</v>
      </c>
      <c r="M4747" s="13"/>
      <c r="N4747" s="17">
        <f t="shared" si="158"/>
        <v>1976</v>
      </c>
      <c r="O4747" s="17">
        <f t="shared" si="158"/>
        <v>0</v>
      </c>
      <c r="P4747" s="17">
        <f t="shared" si="157"/>
        <v>1976</v>
      </c>
      <c r="Q4747" t="str">
        <f>A4747&amp;"-"&amp;B4747&amp;"-"&amp;D4747</f>
        <v>OKTOBER-CVA-L2</v>
      </c>
    </row>
    <row r="4748" spans="1:17" x14ac:dyDescent="0.25">
      <c r="A4748" t="s">
        <v>400</v>
      </c>
      <c r="B4748" s="13" t="s">
        <v>23</v>
      </c>
      <c r="C4748" s="13" t="s">
        <v>60</v>
      </c>
      <c r="D4748" s="14" t="s">
        <v>50</v>
      </c>
      <c r="E4748" s="13" t="s">
        <v>65</v>
      </c>
      <c r="F4748" s="13" t="s">
        <v>1703</v>
      </c>
      <c r="G4748" s="13">
        <v>2.2599999999999998</v>
      </c>
      <c r="H4748" s="15">
        <v>1251</v>
      </c>
      <c r="I4748" s="16">
        <v>2827.26</v>
      </c>
      <c r="J4748" s="16">
        <v>2937.14</v>
      </c>
      <c r="K4748" s="16">
        <v>-109.88000000000011</v>
      </c>
      <c r="L4748" s="13">
        <v>5.5</v>
      </c>
      <c r="M4748" s="13"/>
      <c r="N4748" s="17">
        <f t="shared" si="158"/>
        <v>6880.5</v>
      </c>
      <c r="O4748" s="17">
        <f t="shared" si="158"/>
        <v>0</v>
      </c>
      <c r="P4748" s="17">
        <f t="shared" si="157"/>
        <v>6880.5</v>
      </c>
      <c r="Q4748" t="str">
        <f>A4748&amp;"-"&amp;B4748&amp;"-"&amp;D4748</f>
        <v>OKTOBER-CVA-L2</v>
      </c>
    </row>
    <row r="4749" spans="1:17" x14ac:dyDescent="0.25">
      <c r="A4749" t="s">
        <v>400</v>
      </c>
      <c r="B4749" s="13" t="s">
        <v>23</v>
      </c>
      <c r="C4749" s="13" t="s">
        <v>60</v>
      </c>
      <c r="D4749" s="14" t="s">
        <v>50</v>
      </c>
      <c r="E4749" s="13" t="s">
        <v>63</v>
      </c>
      <c r="F4749" s="13" t="s">
        <v>1495</v>
      </c>
      <c r="G4749" s="13">
        <v>1.9</v>
      </c>
      <c r="H4749" s="15">
        <v>188</v>
      </c>
      <c r="I4749" s="16">
        <v>357.2</v>
      </c>
      <c r="J4749" s="16">
        <v>464.57692307692309</v>
      </c>
      <c r="K4749" s="16">
        <v>-107.37692307692311</v>
      </c>
      <c r="L4749" s="13">
        <v>3.96</v>
      </c>
      <c r="M4749" s="13"/>
      <c r="N4749" s="17">
        <f t="shared" si="158"/>
        <v>744.48</v>
      </c>
      <c r="O4749" s="17">
        <f t="shared" si="158"/>
        <v>0</v>
      </c>
      <c r="P4749" s="17">
        <f t="shared" si="157"/>
        <v>744.48</v>
      </c>
      <c r="Q4749" t="str">
        <f>A4749&amp;"-"&amp;B4749&amp;"-"&amp;D4749</f>
        <v>OKTOBER-CVA-L2</v>
      </c>
    </row>
    <row r="4750" spans="1:17" x14ac:dyDescent="0.25">
      <c r="A4750" t="s">
        <v>400</v>
      </c>
      <c r="B4750" s="13" t="s">
        <v>23</v>
      </c>
      <c r="C4750" s="13" t="s">
        <v>185</v>
      </c>
      <c r="D4750" s="14" t="s">
        <v>44</v>
      </c>
      <c r="E4750" s="13" t="s">
        <v>382</v>
      </c>
      <c r="F4750" s="13" t="s">
        <v>1502</v>
      </c>
      <c r="G4750" s="13">
        <v>1.73</v>
      </c>
      <c r="H4750" s="15">
        <v>453</v>
      </c>
      <c r="I4750" s="16">
        <v>783.69</v>
      </c>
      <c r="J4750" s="16">
        <v>263.69422423556057</v>
      </c>
      <c r="K4750" s="16">
        <v>519.99577576443949</v>
      </c>
      <c r="L4750" s="13">
        <v>3.45</v>
      </c>
      <c r="M4750" s="13"/>
      <c r="N4750" s="17">
        <f t="shared" si="158"/>
        <v>1562.8500000000001</v>
      </c>
      <c r="O4750" s="17">
        <f t="shared" si="158"/>
        <v>0</v>
      </c>
      <c r="P4750" s="17">
        <f t="shared" si="157"/>
        <v>1562.8500000000001</v>
      </c>
      <c r="Q4750" t="str">
        <f>A4750&amp;"-"&amp;B4750&amp;"-"&amp;D4750</f>
        <v>OKTOBER-CVA-L1</v>
      </c>
    </row>
    <row r="4751" spans="1:17" x14ac:dyDescent="0.25">
      <c r="A4751" t="s">
        <v>400</v>
      </c>
      <c r="B4751" s="13" t="s">
        <v>23</v>
      </c>
      <c r="C4751" s="13" t="s">
        <v>185</v>
      </c>
      <c r="D4751" s="14" t="s">
        <v>44</v>
      </c>
      <c r="E4751" s="13" t="s">
        <v>382</v>
      </c>
      <c r="F4751" s="13" t="s">
        <v>1504</v>
      </c>
      <c r="G4751" s="13">
        <v>1.67</v>
      </c>
      <c r="H4751" s="15">
        <v>369</v>
      </c>
      <c r="I4751" s="16">
        <v>616.23</v>
      </c>
      <c r="J4751" s="16">
        <v>514</v>
      </c>
      <c r="K4751" s="16">
        <v>102.23000000000002</v>
      </c>
      <c r="L4751" s="13">
        <v>3.29</v>
      </c>
      <c r="M4751" s="13"/>
      <c r="N4751" s="17">
        <f t="shared" si="158"/>
        <v>1214.01</v>
      </c>
      <c r="O4751" s="17">
        <f t="shared" si="158"/>
        <v>0</v>
      </c>
      <c r="P4751" s="17">
        <f t="shared" si="157"/>
        <v>1214.01</v>
      </c>
      <c r="Q4751" t="str">
        <f>A4751&amp;"-"&amp;B4751&amp;"-"&amp;D4751</f>
        <v>OKTOBER-CVA-L1</v>
      </c>
    </row>
    <row r="4752" spans="1:17" x14ac:dyDescent="0.25">
      <c r="A4752" t="s">
        <v>400</v>
      </c>
      <c r="B4752" s="13" t="s">
        <v>23</v>
      </c>
      <c r="C4752" s="13" t="s">
        <v>185</v>
      </c>
      <c r="D4752" s="14" t="s">
        <v>44</v>
      </c>
      <c r="E4752" s="13" t="s">
        <v>941</v>
      </c>
      <c r="F4752" s="13" t="s">
        <v>1306</v>
      </c>
      <c r="G4752" s="13">
        <v>1.61</v>
      </c>
      <c r="H4752" s="15">
        <v>47</v>
      </c>
      <c r="I4752" s="16">
        <v>75.67</v>
      </c>
      <c r="J4752" s="16">
        <v>27.359003397508495</v>
      </c>
      <c r="K4752" s="16">
        <v>48.310996602491507</v>
      </c>
      <c r="L4752" s="13">
        <v>3.46</v>
      </c>
      <c r="M4752" s="13"/>
      <c r="N4752" s="17">
        <f t="shared" si="158"/>
        <v>162.62</v>
      </c>
      <c r="O4752" s="17">
        <f t="shared" si="158"/>
        <v>0</v>
      </c>
      <c r="P4752" s="17">
        <f t="shared" si="157"/>
        <v>162.62</v>
      </c>
      <c r="Q4752" t="str">
        <f>A4752&amp;"-"&amp;B4752&amp;"-"&amp;D4752</f>
        <v>OKTOBER-CVA-L1</v>
      </c>
    </row>
    <row r="4753" spans="1:17" x14ac:dyDescent="0.25">
      <c r="A4753" t="s">
        <v>400</v>
      </c>
      <c r="B4753" s="13" t="s">
        <v>23</v>
      </c>
      <c r="C4753" s="13" t="s">
        <v>185</v>
      </c>
      <c r="D4753" s="14" t="s">
        <v>50</v>
      </c>
      <c r="E4753" s="13" t="s">
        <v>382</v>
      </c>
      <c r="F4753" s="13" t="s">
        <v>1502</v>
      </c>
      <c r="G4753" s="13">
        <v>1.73</v>
      </c>
      <c r="H4753" s="15">
        <v>20</v>
      </c>
      <c r="I4753" s="16">
        <v>34.6</v>
      </c>
      <c r="J4753" s="16">
        <v>13.986394557823129</v>
      </c>
      <c r="K4753" s="16">
        <v>20.613605442176873</v>
      </c>
      <c r="L4753" s="13">
        <v>3.45</v>
      </c>
      <c r="M4753" s="13"/>
      <c r="N4753" s="17">
        <f t="shared" si="158"/>
        <v>69</v>
      </c>
      <c r="O4753" s="17">
        <f t="shared" si="158"/>
        <v>0</v>
      </c>
      <c r="P4753" s="17">
        <f t="shared" si="157"/>
        <v>69</v>
      </c>
      <c r="Q4753" t="str">
        <f>A4753&amp;"-"&amp;B4753&amp;"-"&amp;D4753</f>
        <v>OKTOBER-CVA-L2</v>
      </c>
    </row>
    <row r="4754" spans="1:17" x14ac:dyDescent="0.25">
      <c r="A4754" t="s">
        <v>400</v>
      </c>
      <c r="B4754" s="13" t="s">
        <v>23</v>
      </c>
      <c r="C4754" s="13" t="s">
        <v>185</v>
      </c>
      <c r="D4754" s="14" t="s">
        <v>50</v>
      </c>
      <c r="E4754" s="13" t="s">
        <v>382</v>
      </c>
      <c r="F4754" s="13" t="s">
        <v>1504</v>
      </c>
      <c r="G4754" s="13">
        <v>1.67</v>
      </c>
      <c r="H4754" s="15">
        <v>465</v>
      </c>
      <c r="I4754" s="16">
        <v>776.55</v>
      </c>
      <c r="J4754" s="16">
        <v>514</v>
      </c>
      <c r="K4754" s="16">
        <v>262.54999999999995</v>
      </c>
      <c r="L4754" s="13">
        <v>3.29</v>
      </c>
      <c r="M4754" s="13"/>
      <c r="N4754" s="17">
        <f t="shared" si="158"/>
        <v>1529.85</v>
      </c>
      <c r="O4754" s="17">
        <f t="shared" si="158"/>
        <v>0</v>
      </c>
      <c r="P4754" s="17">
        <f t="shared" si="157"/>
        <v>1529.85</v>
      </c>
      <c r="Q4754" t="str">
        <f>A4754&amp;"-"&amp;B4754&amp;"-"&amp;D4754</f>
        <v>OKTOBER-CVA-L2</v>
      </c>
    </row>
    <row r="4755" spans="1:17" x14ac:dyDescent="0.25">
      <c r="A4755" t="s">
        <v>400</v>
      </c>
      <c r="B4755" s="13" t="s">
        <v>23</v>
      </c>
      <c r="C4755" s="13" t="s">
        <v>185</v>
      </c>
      <c r="D4755" s="14" t="s">
        <v>164</v>
      </c>
      <c r="E4755" s="13" t="s">
        <v>1300</v>
      </c>
      <c r="F4755" s="13" t="s">
        <v>1704</v>
      </c>
      <c r="G4755" s="13">
        <v>1.6800000000000002</v>
      </c>
      <c r="H4755" s="15">
        <v>1000</v>
      </c>
      <c r="I4755" s="16">
        <v>1680</v>
      </c>
      <c r="J4755" s="16">
        <v>1805.6250066064163</v>
      </c>
      <c r="K4755" s="16">
        <v>-125.62500660641615</v>
      </c>
      <c r="L4755" s="13">
        <v>4.4400000000000004</v>
      </c>
      <c r="M4755" s="13"/>
      <c r="N4755" s="17">
        <f t="shared" si="158"/>
        <v>4440</v>
      </c>
      <c r="O4755" s="17">
        <f t="shared" si="158"/>
        <v>0</v>
      </c>
      <c r="P4755" s="17">
        <f t="shared" si="157"/>
        <v>4440</v>
      </c>
      <c r="Q4755" t="str">
        <f>A4755&amp;"-"&amp;B4755&amp;"-"&amp;D4755</f>
        <v>OKTOBER-CVA-L7</v>
      </c>
    </row>
    <row r="4756" spans="1:17" x14ac:dyDescent="0.25">
      <c r="A4756" t="s">
        <v>400</v>
      </c>
      <c r="B4756" s="13" t="s">
        <v>23</v>
      </c>
      <c r="C4756" s="13" t="s">
        <v>185</v>
      </c>
      <c r="D4756" s="14" t="s">
        <v>164</v>
      </c>
      <c r="E4756" s="13" t="s">
        <v>191</v>
      </c>
      <c r="F4756" s="13" t="s">
        <v>1497</v>
      </c>
      <c r="G4756" s="13">
        <v>1.4</v>
      </c>
      <c r="H4756" s="15">
        <v>633</v>
      </c>
      <c r="I4756" s="16">
        <v>886.2</v>
      </c>
      <c r="J4756" s="16">
        <v>881.14</v>
      </c>
      <c r="K4756" s="16">
        <v>5.0600000000000591</v>
      </c>
      <c r="L4756" s="13">
        <v>3.03</v>
      </c>
      <c r="M4756" s="13"/>
      <c r="N4756" s="17">
        <f t="shared" si="158"/>
        <v>1917.9899999999998</v>
      </c>
      <c r="O4756" s="17">
        <f t="shared" si="158"/>
        <v>0</v>
      </c>
      <c r="P4756" s="17">
        <f t="shared" si="157"/>
        <v>1917.9899999999998</v>
      </c>
      <c r="Q4756" t="str">
        <f>A4756&amp;"-"&amp;B4756&amp;"-"&amp;D4756</f>
        <v>OKTOBER-CVA-L7</v>
      </c>
    </row>
    <row r="4757" spans="1:17" x14ac:dyDescent="0.25">
      <c r="A4757" t="s">
        <v>400</v>
      </c>
      <c r="B4757" s="13" t="s">
        <v>23</v>
      </c>
      <c r="C4757" s="13" t="s">
        <v>185</v>
      </c>
      <c r="D4757" s="14" t="s">
        <v>164</v>
      </c>
      <c r="E4757" s="13" t="s">
        <v>191</v>
      </c>
      <c r="F4757" s="13" t="s">
        <v>1705</v>
      </c>
      <c r="G4757" s="13">
        <v>1.57</v>
      </c>
      <c r="H4757" s="15">
        <v>276</v>
      </c>
      <c r="I4757" s="16">
        <v>433.32</v>
      </c>
      <c r="J4757" s="16">
        <v>460.59740259740261</v>
      </c>
      <c r="K4757" s="16">
        <v>-27.277402597402613</v>
      </c>
      <c r="L4757" s="13">
        <v>3.62</v>
      </c>
      <c r="M4757" s="13"/>
      <c r="N4757" s="17">
        <f t="shared" si="158"/>
        <v>999.12</v>
      </c>
      <c r="O4757" s="17">
        <f t="shared" si="158"/>
        <v>0</v>
      </c>
      <c r="P4757" s="17">
        <f t="shared" si="157"/>
        <v>999.12</v>
      </c>
      <c r="Q4757" t="str">
        <f>A4757&amp;"-"&amp;B4757&amp;"-"&amp;D4757</f>
        <v>OKTOBER-CVA-L7</v>
      </c>
    </row>
    <row r="4758" spans="1:17" x14ac:dyDescent="0.25">
      <c r="A4758" t="s">
        <v>400</v>
      </c>
      <c r="B4758" s="13" t="s">
        <v>23</v>
      </c>
      <c r="C4758" s="13" t="s">
        <v>185</v>
      </c>
      <c r="D4758" s="14" t="s">
        <v>164</v>
      </c>
      <c r="E4758" s="13" t="s">
        <v>77</v>
      </c>
      <c r="F4758" s="13" t="s">
        <v>1302</v>
      </c>
      <c r="G4758" s="13">
        <v>1.34</v>
      </c>
      <c r="H4758" s="15">
        <v>215</v>
      </c>
      <c r="I4758" s="16">
        <v>288.10000000000002</v>
      </c>
      <c r="J4758" s="16">
        <v>514</v>
      </c>
      <c r="K4758" s="16">
        <v>-225.89999999999998</v>
      </c>
      <c r="L4758" s="13">
        <v>2.74</v>
      </c>
      <c r="M4758" s="13"/>
      <c r="N4758" s="17">
        <f t="shared" si="158"/>
        <v>589.1</v>
      </c>
      <c r="O4758" s="17">
        <f t="shared" si="158"/>
        <v>0</v>
      </c>
      <c r="P4758" s="17">
        <f t="shared" si="157"/>
        <v>589.1</v>
      </c>
      <c r="Q4758" t="str">
        <f>A4758&amp;"-"&amp;B4758&amp;"-"&amp;D4758</f>
        <v>OKTOBER-CVA-L7</v>
      </c>
    </row>
    <row r="4759" spans="1:17" x14ac:dyDescent="0.25">
      <c r="A4759" t="s">
        <v>400</v>
      </c>
      <c r="B4759" s="13" t="s">
        <v>23</v>
      </c>
      <c r="C4759" s="13" t="s">
        <v>185</v>
      </c>
      <c r="D4759" s="14" t="s">
        <v>164</v>
      </c>
      <c r="E4759" s="13" t="s">
        <v>77</v>
      </c>
      <c r="F4759" s="13" t="s">
        <v>1512</v>
      </c>
      <c r="G4759" s="13">
        <v>1.83</v>
      </c>
      <c r="H4759" s="15">
        <v>143</v>
      </c>
      <c r="I4759" s="16">
        <v>261.69</v>
      </c>
      <c r="J4759" s="16">
        <v>158.28127387318563</v>
      </c>
      <c r="K4759" s="16">
        <v>103.40872612681436</v>
      </c>
      <c r="L4759" s="13">
        <v>3.62</v>
      </c>
      <c r="M4759" s="13"/>
      <c r="N4759" s="17">
        <f t="shared" si="158"/>
        <v>517.66</v>
      </c>
      <c r="O4759" s="17">
        <f t="shared" si="158"/>
        <v>0</v>
      </c>
      <c r="P4759" s="17">
        <f t="shared" si="157"/>
        <v>517.66</v>
      </c>
      <c r="Q4759" t="str">
        <f>A4759&amp;"-"&amp;B4759&amp;"-"&amp;D4759</f>
        <v>OKTOBER-CVA-L7</v>
      </c>
    </row>
    <row r="4760" spans="1:17" x14ac:dyDescent="0.25">
      <c r="A4760" t="s">
        <v>400</v>
      </c>
      <c r="B4760" s="13" t="s">
        <v>23</v>
      </c>
      <c r="C4760" s="13" t="s">
        <v>185</v>
      </c>
      <c r="D4760" s="14" t="s">
        <v>164</v>
      </c>
      <c r="E4760" s="13" t="s">
        <v>77</v>
      </c>
      <c r="F4760" s="13" t="s">
        <v>1513</v>
      </c>
      <c r="G4760" s="13">
        <v>1.85</v>
      </c>
      <c r="H4760" s="15">
        <v>509</v>
      </c>
      <c r="I4760" s="16">
        <v>941.65000000000009</v>
      </c>
      <c r="J4760" s="16">
        <v>685.96323529411757</v>
      </c>
      <c r="K4760" s="16">
        <v>255.68676470588241</v>
      </c>
      <c r="L4760" s="13">
        <v>3.49</v>
      </c>
      <c r="M4760" s="13"/>
      <c r="N4760" s="17">
        <f t="shared" si="158"/>
        <v>1776.41</v>
      </c>
      <c r="O4760" s="17">
        <f t="shared" si="158"/>
        <v>0</v>
      </c>
      <c r="P4760" s="17">
        <f t="shared" si="157"/>
        <v>1776.41</v>
      </c>
      <c r="Q4760" t="str">
        <f>A4760&amp;"-"&amp;B4760&amp;"-"&amp;D4760</f>
        <v>OKTOBER-CVA-L7</v>
      </c>
    </row>
    <row r="4761" spans="1:17" x14ac:dyDescent="0.25">
      <c r="A4761" t="s">
        <v>400</v>
      </c>
      <c r="B4761" s="13" t="s">
        <v>23</v>
      </c>
      <c r="C4761" s="13" t="s">
        <v>185</v>
      </c>
      <c r="D4761" s="14" t="s">
        <v>164</v>
      </c>
      <c r="E4761" s="13" t="s">
        <v>382</v>
      </c>
      <c r="F4761" s="13" t="s">
        <v>1706</v>
      </c>
      <c r="G4761" s="13">
        <v>1.75</v>
      </c>
      <c r="H4761" s="15">
        <v>504</v>
      </c>
      <c r="I4761" s="16">
        <v>882</v>
      </c>
      <c r="J4761" s="16">
        <v>527.70666666666671</v>
      </c>
      <c r="K4761" s="16">
        <v>354.29333333333335</v>
      </c>
      <c r="L4761" s="13">
        <v>3.45</v>
      </c>
      <c r="M4761" s="13"/>
      <c r="N4761" s="17">
        <f t="shared" si="158"/>
        <v>1738.8000000000002</v>
      </c>
      <c r="O4761" s="17">
        <f t="shared" si="158"/>
        <v>0</v>
      </c>
      <c r="P4761" s="17">
        <f t="shared" si="157"/>
        <v>1738.8000000000002</v>
      </c>
      <c r="Q4761" t="str">
        <f>A4761&amp;"-"&amp;B4761&amp;"-"&amp;D4761</f>
        <v>OKTOBER-CVA-L7</v>
      </c>
    </row>
    <row r="4762" spans="1:17" x14ac:dyDescent="0.25">
      <c r="A4762" t="s">
        <v>400</v>
      </c>
      <c r="B4762" s="13" t="s">
        <v>23</v>
      </c>
      <c r="C4762" s="13" t="s">
        <v>185</v>
      </c>
      <c r="D4762" s="14" t="s">
        <v>164</v>
      </c>
      <c r="E4762" s="13" t="s">
        <v>382</v>
      </c>
      <c r="F4762" s="13" t="s">
        <v>1707</v>
      </c>
      <c r="G4762" s="13">
        <v>1.89</v>
      </c>
      <c r="H4762" s="15">
        <v>480</v>
      </c>
      <c r="I4762" s="16">
        <v>907.2</v>
      </c>
      <c r="J4762" s="16">
        <v>367.14</v>
      </c>
      <c r="K4762" s="16">
        <v>540.06000000000006</v>
      </c>
      <c r="L4762" s="13">
        <v>3.78</v>
      </c>
      <c r="M4762" s="13"/>
      <c r="N4762" s="17">
        <f t="shared" si="158"/>
        <v>1814.3999999999999</v>
      </c>
      <c r="O4762" s="17">
        <f t="shared" si="158"/>
        <v>0</v>
      </c>
      <c r="P4762" s="17">
        <f t="shared" si="157"/>
        <v>1814.3999999999999</v>
      </c>
      <c r="Q4762" t="str">
        <f>A4762&amp;"-"&amp;B4762&amp;"-"&amp;D4762</f>
        <v>OKTOBER-CVA-L7</v>
      </c>
    </row>
    <row r="4763" spans="1:17" x14ac:dyDescent="0.25">
      <c r="A4763" t="s">
        <v>400</v>
      </c>
      <c r="B4763" s="13" t="s">
        <v>23</v>
      </c>
      <c r="C4763" s="13" t="s">
        <v>185</v>
      </c>
      <c r="D4763" s="14" t="s">
        <v>164</v>
      </c>
      <c r="E4763" s="13" t="s">
        <v>142</v>
      </c>
      <c r="F4763" s="13" t="s">
        <v>1708</v>
      </c>
      <c r="G4763" s="13">
        <v>1.69</v>
      </c>
      <c r="H4763" s="15">
        <v>651</v>
      </c>
      <c r="I4763" s="16">
        <v>1100.19</v>
      </c>
      <c r="J4763" s="16">
        <v>926.16981132075466</v>
      </c>
      <c r="K4763" s="16">
        <v>174.02018867924528</v>
      </c>
      <c r="L4763" s="13">
        <v>3.29</v>
      </c>
      <c r="M4763" s="13"/>
      <c r="N4763" s="17">
        <f t="shared" si="158"/>
        <v>2141.79</v>
      </c>
      <c r="O4763" s="17">
        <f t="shared" si="158"/>
        <v>0</v>
      </c>
      <c r="P4763" s="17">
        <f t="shared" si="157"/>
        <v>2141.79</v>
      </c>
      <c r="Q4763" t="str">
        <f>A4763&amp;"-"&amp;B4763&amp;"-"&amp;D4763</f>
        <v>OKTOBER-CVA-L7</v>
      </c>
    </row>
    <row r="4764" spans="1:17" x14ac:dyDescent="0.25">
      <c r="A4764" t="s">
        <v>400</v>
      </c>
      <c r="B4764" s="13" t="s">
        <v>23</v>
      </c>
      <c r="C4764" s="13" t="s">
        <v>185</v>
      </c>
      <c r="D4764" s="14" t="s">
        <v>164</v>
      </c>
      <c r="E4764" s="13" t="s">
        <v>142</v>
      </c>
      <c r="F4764" s="13" t="s">
        <v>1508</v>
      </c>
      <c r="G4764" s="13">
        <v>1.75</v>
      </c>
      <c r="H4764" s="15">
        <v>309</v>
      </c>
      <c r="I4764" s="16">
        <v>540.75</v>
      </c>
      <c r="J4764" s="16">
        <v>874.32011904761907</v>
      </c>
      <c r="K4764" s="16">
        <v>-333.57011904761907</v>
      </c>
      <c r="L4764" s="13">
        <v>3.68</v>
      </c>
      <c r="M4764" s="13"/>
      <c r="N4764" s="17">
        <f t="shared" si="158"/>
        <v>1137.1200000000001</v>
      </c>
      <c r="O4764" s="17">
        <f t="shared" si="158"/>
        <v>0</v>
      </c>
      <c r="P4764" s="17">
        <f t="shared" si="157"/>
        <v>1137.1200000000001</v>
      </c>
      <c r="Q4764" t="str">
        <f>A4764&amp;"-"&amp;B4764&amp;"-"&amp;D4764</f>
        <v>OKTOBER-CVA-L7</v>
      </c>
    </row>
    <row r="4765" spans="1:17" x14ac:dyDescent="0.25">
      <c r="A4765" t="s">
        <v>400</v>
      </c>
      <c r="B4765" s="13" t="s">
        <v>23</v>
      </c>
      <c r="C4765" s="13" t="s">
        <v>185</v>
      </c>
      <c r="D4765" s="14" t="s">
        <v>164</v>
      </c>
      <c r="E4765" s="13" t="s">
        <v>142</v>
      </c>
      <c r="F4765" s="13" t="s">
        <v>1509</v>
      </c>
      <c r="G4765" s="13">
        <v>1.63</v>
      </c>
      <c r="H4765" s="15">
        <v>126</v>
      </c>
      <c r="I4765" s="16">
        <v>205.38</v>
      </c>
      <c r="J4765" s="16">
        <v>215.33648459383755</v>
      </c>
      <c r="K4765" s="16">
        <v>-9.9564845938375193</v>
      </c>
      <c r="L4765" s="13">
        <v>3.25</v>
      </c>
      <c r="M4765" s="13"/>
      <c r="N4765" s="17">
        <f t="shared" si="158"/>
        <v>409.5</v>
      </c>
      <c r="O4765" s="17">
        <f t="shared" si="158"/>
        <v>0</v>
      </c>
      <c r="P4765" s="17">
        <f t="shared" si="157"/>
        <v>409.5</v>
      </c>
      <c r="Q4765" t="str">
        <f>A4765&amp;"-"&amp;B4765&amp;"-"&amp;D4765</f>
        <v>OKTOBER-CVA-L7</v>
      </c>
    </row>
    <row r="4766" spans="1:17" x14ac:dyDescent="0.25">
      <c r="A4766" t="s">
        <v>400</v>
      </c>
      <c r="B4766" s="13" t="s">
        <v>23</v>
      </c>
      <c r="C4766" s="13" t="s">
        <v>185</v>
      </c>
      <c r="D4766" s="14" t="s">
        <v>198</v>
      </c>
      <c r="E4766" s="13" t="s">
        <v>1300</v>
      </c>
      <c r="F4766" s="13" t="s">
        <v>1704</v>
      </c>
      <c r="G4766" s="13">
        <v>1.68</v>
      </c>
      <c r="H4766" s="15">
        <v>485</v>
      </c>
      <c r="I4766" s="16">
        <v>814.8</v>
      </c>
      <c r="J4766" s="16">
        <v>1128.6527415143603</v>
      </c>
      <c r="K4766" s="16">
        <v>-313.85274151436033</v>
      </c>
      <c r="L4766" s="13">
        <v>4.4400000000000004</v>
      </c>
      <c r="M4766" s="13"/>
      <c r="N4766" s="17">
        <f t="shared" si="158"/>
        <v>2153.4</v>
      </c>
      <c r="O4766" s="17">
        <f t="shared" si="158"/>
        <v>0</v>
      </c>
      <c r="P4766" s="17">
        <f t="shared" si="157"/>
        <v>2153.4</v>
      </c>
      <c r="Q4766" t="str">
        <f>A4766&amp;"-"&amp;B4766&amp;"-"&amp;D4766</f>
        <v>OKTOBER-CVA-L8</v>
      </c>
    </row>
    <row r="4767" spans="1:17" x14ac:dyDescent="0.25">
      <c r="A4767" t="s">
        <v>400</v>
      </c>
      <c r="B4767" s="13" t="s">
        <v>23</v>
      </c>
      <c r="C4767" s="13" t="s">
        <v>185</v>
      </c>
      <c r="D4767" s="14" t="s">
        <v>198</v>
      </c>
      <c r="E4767" s="13" t="s">
        <v>191</v>
      </c>
      <c r="F4767" s="13" t="s">
        <v>1497</v>
      </c>
      <c r="G4767" s="13">
        <v>1.4</v>
      </c>
      <c r="H4767" s="15">
        <v>455</v>
      </c>
      <c r="I4767" s="16">
        <v>637</v>
      </c>
      <c r="J4767" s="16">
        <v>931.12041884816756</v>
      </c>
      <c r="K4767" s="16">
        <v>-294.12041884816756</v>
      </c>
      <c r="L4767" s="13">
        <v>3.03</v>
      </c>
      <c r="M4767" s="13"/>
      <c r="N4767" s="17">
        <f t="shared" si="158"/>
        <v>1378.6499999999999</v>
      </c>
      <c r="O4767" s="17">
        <f t="shared" si="158"/>
        <v>0</v>
      </c>
      <c r="P4767" s="17">
        <f t="shared" si="157"/>
        <v>1378.6499999999999</v>
      </c>
      <c r="Q4767" t="str">
        <f>A4767&amp;"-"&amp;B4767&amp;"-"&amp;D4767</f>
        <v>OKTOBER-CVA-L8</v>
      </c>
    </row>
    <row r="4768" spans="1:17" x14ac:dyDescent="0.25">
      <c r="A4768" t="s">
        <v>400</v>
      </c>
      <c r="B4768" s="13" t="s">
        <v>23</v>
      </c>
      <c r="C4768" s="13" t="s">
        <v>185</v>
      </c>
      <c r="D4768" s="14" t="s">
        <v>198</v>
      </c>
      <c r="E4768" s="13" t="s">
        <v>191</v>
      </c>
      <c r="F4768" s="13" t="s">
        <v>1705</v>
      </c>
      <c r="G4768" s="13">
        <v>1.57</v>
      </c>
      <c r="H4768" s="15">
        <v>182</v>
      </c>
      <c r="I4768" s="16">
        <v>285.74</v>
      </c>
      <c r="J4768" s="16">
        <v>378.90268199233714</v>
      </c>
      <c r="K4768" s="16">
        <v>-93.162681992337156</v>
      </c>
      <c r="L4768" s="13">
        <v>3.62</v>
      </c>
      <c r="M4768" s="13"/>
      <c r="N4768" s="17">
        <f t="shared" si="158"/>
        <v>658.84</v>
      </c>
      <c r="O4768" s="17">
        <f t="shared" si="158"/>
        <v>0</v>
      </c>
      <c r="P4768" s="17">
        <f t="shared" si="157"/>
        <v>658.84</v>
      </c>
      <c r="Q4768" t="str">
        <f>A4768&amp;"-"&amp;B4768&amp;"-"&amp;D4768</f>
        <v>OKTOBER-CVA-L8</v>
      </c>
    </row>
    <row r="4769" spans="1:17" x14ac:dyDescent="0.25">
      <c r="A4769" t="s">
        <v>400</v>
      </c>
      <c r="B4769" s="13" t="s">
        <v>23</v>
      </c>
      <c r="C4769" s="13" t="s">
        <v>185</v>
      </c>
      <c r="D4769" s="14" t="s">
        <v>198</v>
      </c>
      <c r="E4769" s="13" t="s">
        <v>77</v>
      </c>
      <c r="F4769" s="13" t="s">
        <v>1302</v>
      </c>
      <c r="G4769" s="13">
        <v>1.34</v>
      </c>
      <c r="H4769" s="15">
        <v>184</v>
      </c>
      <c r="I4769" s="16">
        <v>246.56</v>
      </c>
      <c r="J4769" s="16">
        <v>649.09731800766281</v>
      </c>
      <c r="K4769" s="16">
        <v>-402.53731800766286</v>
      </c>
      <c r="L4769" s="13">
        <v>2.74</v>
      </c>
      <c r="M4769" s="13"/>
      <c r="N4769" s="17">
        <f t="shared" si="158"/>
        <v>504.16</v>
      </c>
      <c r="O4769" s="17">
        <f t="shared" si="158"/>
        <v>0</v>
      </c>
      <c r="P4769" s="17">
        <f t="shared" si="157"/>
        <v>504.16</v>
      </c>
      <c r="Q4769" t="str">
        <f>A4769&amp;"-"&amp;B4769&amp;"-"&amp;D4769</f>
        <v>OKTOBER-CVA-L8</v>
      </c>
    </row>
    <row r="4770" spans="1:17" x14ac:dyDescent="0.25">
      <c r="A4770" t="s">
        <v>400</v>
      </c>
      <c r="B4770" s="13" t="s">
        <v>23</v>
      </c>
      <c r="C4770" s="13" t="s">
        <v>185</v>
      </c>
      <c r="D4770" s="14" t="s">
        <v>198</v>
      </c>
      <c r="E4770" s="13" t="s">
        <v>77</v>
      </c>
      <c r="F4770" s="13" t="s">
        <v>1512</v>
      </c>
      <c r="G4770" s="13">
        <v>1.83</v>
      </c>
      <c r="H4770" s="15">
        <v>74</v>
      </c>
      <c r="I4770" s="16">
        <v>135.42000000000002</v>
      </c>
      <c r="J4770" s="16">
        <v>57.472718386208129</v>
      </c>
      <c r="K4770" s="16">
        <v>77.947281613791887</v>
      </c>
      <c r="L4770" s="13">
        <v>3.62</v>
      </c>
      <c r="M4770" s="13"/>
      <c r="N4770" s="17">
        <f t="shared" si="158"/>
        <v>267.88</v>
      </c>
      <c r="O4770" s="17">
        <f t="shared" si="158"/>
        <v>0</v>
      </c>
      <c r="P4770" s="17">
        <f t="shared" si="157"/>
        <v>267.88</v>
      </c>
      <c r="Q4770" t="str">
        <f>A4770&amp;"-"&amp;B4770&amp;"-"&amp;D4770</f>
        <v>OKTOBER-CVA-L8</v>
      </c>
    </row>
    <row r="4771" spans="1:17" x14ac:dyDescent="0.25">
      <c r="A4771" t="s">
        <v>400</v>
      </c>
      <c r="B4771" s="13" t="s">
        <v>23</v>
      </c>
      <c r="C4771" s="13" t="s">
        <v>185</v>
      </c>
      <c r="D4771" s="14" t="s">
        <v>198</v>
      </c>
      <c r="E4771" s="13" t="s">
        <v>77</v>
      </c>
      <c r="F4771" s="13" t="s">
        <v>1513</v>
      </c>
      <c r="G4771" s="13">
        <v>1.85</v>
      </c>
      <c r="H4771" s="15">
        <v>442</v>
      </c>
      <c r="I4771" s="16">
        <v>817.7</v>
      </c>
      <c r="J4771" s="16">
        <v>411.226688589849</v>
      </c>
      <c r="K4771" s="16">
        <v>406.47331141015104</v>
      </c>
      <c r="L4771" s="13">
        <v>3.49</v>
      </c>
      <c r="M4771" s="13"/>
      <c r="N4771" s="17">
        <f t="shared" si="158"/>
        <v>1542.5800000000002</v>
      </c>
      <c r="O4771" s="17">
        <f t="shared" si="158"/>
        <v>0</v>
      </c>
      <c r="P4771" s="17">
        <f t="shared" si="157"/>
        <v>1542.5800000000002</v>
      </c>
      <c r="Q4771" t="str">
        <f>A4771&amp;"-"&amp;B4771&amp;"-"&amp;D4771</f>
        <v>OKTOBER-CVA-L8</v>
      </c>
    </row>
    <row r="4772" spans="1:17" x14ac:dyDescent="0.25">
      <c r="A4772" t="s">
        <v>400</v>
      </c>
      <c r="B4772" s="13" t="s">
        <v>23</v>
      </c>
      <c r="C4772" s="13" t="s">
        <v>185</v>
      </c>
      <c r="D4772" s="14" t="s">
        <v>198</v>
      </c>
      <c r="E4772" s="13" t="s">
        <v>382</v>
      </c>
      <c r="F4772" s="13" t="s">
        <v>1706</v>
      </c>
      <c r="G4772" s="13">
        <v>1.75</v>
      </c>
      <c r="H4772" s="15">
        <v>394</v>
      </c>
      <c r="I4772" s="16">
        <v>689.5</v>
      </c>
      <c r="J4772" s="16">
        <v>755.16142167011731</v>
      </c>
      <c r="K4772" s="16">
        <v>-65.661421670117321</v>
      </c>
      <c r="L4772" s="13">
        <v>3.45</v>
      </c>
      <c r="M4772" s="13"/>
      <c r="N4772" s="17">
        <f t="shared" si="158"/>
        <v>1359.3000000000002</v>
      </c>
      <c r="O4772" s="17">
        <f t="shared" si="158"/>
        <v>0</v>
      </c>
      <c r="P4772" s="17">
        <f t="shared" si="157"/>
        <v>1359.3000000000002</v>
      </c>
      <c r="Q4772" t="str">
        <f>A4772&amp;"-"&amp;B4772&amp;"-"&amp;D4772</f>
        <v>OKTOBER-CVA-L8</v>
      </c>
    </row>
    <row r="4773" spans="1:17" x14ac:dyDescent="0.25">
      <c r="A4773" t="s">
        <v>400</v>
      </c>
      <c r="B4773" s="13" t="s">
        <v>23</v>
      </c>
      <c r="C4773" s="13" t="s">
        <v>185</v>
      </c>
      <c r="D4773" s="14" t="s">
        <v>198</v>
      </c>
      <c r="E4773" s="13" t="s">
        <v>382</v>
      </c>
      <c r="F4773" s="13" t="s">
        <v>1707</v>
      </c>
      <c r="G4773" s="13">
        <v>1.89</v>
      </c>
      <c r="H4773" s="15">
        <v>481</v>
      </c>
      <c r="I4773" s="16">
        <v>909.09</v>
      </c>
      <c r="J4773" s="16">
        <v>367.14</v>
      </c>
      <c r="K4773" s="16">
        <v>541.95000000000005</v>
      </c>
      <c r="L4773" s="13">
        <v>3.78</v>
      </c>
      <c r="M4773" s="13"/>
      <c r="N4773" s="17">
        <f t="shared" si="158"/>
        <v>1818.1799999999998</v>
      </c>
      <c r="O4773" s="17">
        <f t="shared" si="158"/>
        <v>0</v>
      </c>
      <c r="P4773" s="17">
        <f t="shared" si="157"/>
        <v>1818.1799999999998</v>
      </c>
      <c r="Q4773" t="str">
        <f>A4773&amp;"-"&amp;B4773&amp;"-"&amp;D4773</f>
        <v>OKTOBER-CVA-L8</v>
      </c>
    </row>
    <row r="4774" spans="1:17" x14ac:dyDescent="0.25">
      <c r="A4774" t="s">
        <v>400</v>
      </c>
      <c r="B4774" s="13" t="s">
        <v>23</v>
      </c>
      <c r="C4774" s="13" t="s">
        <v>185</v>
      </c>
      <c r="D4774" s="14" t="s">
        <v>198</v>
      </c>
      <c r="E4774" s="13" t="s">
        <v>142</v>
      </c>
      <c r="F4774" s="13" t="s">
        <v>1708</v>
      </c>
      <c r="G4774" s="13">
        <v>1.69</v>
      </c>
      <c r="H4774" s="15">
        <v>601</v>
      </c>
      <c r="I4774" s="16">
        <v>1015.69</v>
      </c>
      <c r="J4774" s="16">
        <v>917.37826086956522</v>
      </c>
      <c r="K4774" s="16">
        <v>98.31173913043483</v>
      </c>
      <c r="L4774" s="13">
        <v>3.29</v>
      </c>
      <c r="M4774" s="13"/>
      <c r="N4774" s="17">
        <f t="shared" si="158"/>
        <v>1977.29</v>
      </c>
      <c r="O4774" s="17">
        <f t="shared" si="158"/>
        <v>0</v>
      </c>
      <c r="P4774" s="17">
        <f t="shared" si="157"/>
        <v>1977.29</v>
      </c>
      <c r="Q4774" t="str">
        <f>A4774&amp;"-"&amp;B4774&amp;"-"&amp;D4774</f>
        <v>OKTOBER-CVA-L8</v>
      </c>
    </row>
    <row r="4775" spans="1:17" x14ac:dyDescent="0.25">
      <c r="A4775" t="s">
        <v>400</v>
      </c>
      <c r="B4775" s="13" t="s">
        <v>23</v>
      </c>
      <c r="C4775" s="13" t="s">
        <v>185</v>
      </c>
      <c r="D4775" s="14" t="s">
        <v>198</v>
      </c>
      <c r="E4775" s="13" t="s">
        <v>142</v>
      </c>
      <c r="F4775" s="13" t="s">
        <v>1508</v>
      </c>
      <c r="G4775" s="13">
        <v>1.75</v>
      </c>
      <c r="H4775" s="15">
        <v>344</v>
      </c>
      <c r="I4775" s="16">
        <v>602</v>
      </c>
      <c r="J4775" s="16">
        <v>897.46031746031747</v>
      </c>
      <c r="K4775" s="16">
        <v>-295.46031746031747</v>
      </c>
      <c r="L4775" s="13">
        <v>3.68</v>
      </c>
      <c r="M4775" s="13"/>
      <c r="N4775" s="17">
        <f t="shared" si="158"/>
        <v>1265.92</v>
      </c>
      <c r="O4775" s="17">
        <f t="shared" si="158"/>
        <v>0</v>
      </c>
      <c r="P4775" s="17">
        <f t="shared" si="157"/>
        <v>1265.92</v>
      </c>
      <c r="Q4775" t="str">
        <f>A4775&amp;"-"&amp;B4775&amp;"-"&amp;D4775</f>
        <v>OKTOBER-CVA-L8</v>
      </c>
    </row>
    <row r="4776" spans="1:17" x14ac:dyDescent="0.25">
      <c r="A4776" t="s">
        <v>400</v>
      </c>
      <c r="B4776" s="13" t="s">
        <v>23</v>
      </c>
      <c r="C4776" s="13" t="s">
        <v>185</v>
      </c>
      <c r="D4776" s="14" t="s">
        <v>198</v>
      </c>
      <c r="E4776" s="13" t="s">
        <v>142</v>
      </c>
      <c r="F4776" s="13" t="s">
        <v>1509</v>
      </c>
      <c r="G4776" s="13">
        <v>1.63</v>
      </c>
      <c r="H4776" s="15">
        <v>823</v>
      </c>
      <c r="I4776" s="16">
        <v>1341.4900000000002</v>
      </c>
      <c r="J4776" s="16">
        <v>946.15667997324294</v>
      </c>
      <c r="K4776" s="16">
        <v>395.33332002675706</v>
      </c>
      <c r="L4776" s="13">
        <v>3.25</v>
      </c>
      <c r="M4776" s="13"/>
      <c r="N4776" s="17">
        <f t="shared" si="158"/>
        <v>2674.75</v>
      </c>
      <c r="O4776" s="17">
        <f t="shared" si="158"/>
        <v>0</v>
      </c>
      <c r="P4776" s="17">
        <f t="shared" si="157"/>
        <v>2674.75</v>
      </c>
      <c r="Q4776" t="str">
        <f>A4776&amp;"-"&amp;B4776&amp;"-"&amp;D4776</f>
        <v>OKTOBER-CVA-L8</v>
      </c>
    </row>
    <row r="4777" spans="1:17" x14ac:dyDescent="0.25">
      <c r="A4777" t="s">
        <v>400</v>
      </c>
      <c r="B4777" s="13" t="s">
        <v>23</v>
      </c>
      <c r="C4777" s="13" t="s">
        <v>201</v>
      </c>
      <c r="D4777" s="14" t="s">
        <v>44</v>
      </c>
      <c r="E4777" s="13" t="s">
        <v>77</v>
      </c>
      <c r="F4777" s="13" t="s">
        <v>1515</v>
      </c>
      <c r="G4777" s="13">
        <v>0.51</v>
      </c>
      <c r="H4777" s="15">
        <v>2403</v>
      </c>
      <c r="I4777" s="16">
        <v>1225.53</v>
      </c>
      <c r="J4777" s="16">
        <v>1250.9467723669309</v>
      </c>
      <c r="K4777" s="16">
        <v>-25.4167723669309</v>
      </c>
      <c r="L4777" s="13">
        <v>1.2</v>
      </c>
      <c r="M4777" s="13"/>
      <c r="N4777" s="17">
        <f t="shared" si="158"/>
        <v>2883.6</v>
      </c>
      <c r="O4777" s="17">
        <f t="shared" si="158"/>
        <v>0</v>
      </c>
      <c r="P4777" s="17">
        <f t="shared" si="157"/>
        <v>2883.6</v>
      </c>
      <c r="Q4777" t="str">
        <f>A4777&amp;"-"&amp;B4777&amp;"-"&amp;D4777</f>
        <v>OKTOBER-CVA-L1</v>
      </c>
    </row>
    <row r="4778" spans="1:17" x14ac:dyDescent="0.25">
      <c r="A4778" t="s">
        <v>400</v>
      </c>
      <c r="B4778" s="13" t="s">
        <v>23</v>
      </c>
      <c r="C4778" s="13" t="s">
        <v>201</v>
      </c>
      <c r="D4778" s="14" t="s">
        <v>44</v>
      </c>
      <c r="E4778" s="13" t="s">
        <v>142</v>
      </c>
      <c r="F4778" s="13" t="s">
        <v>1709</v>
      </c>
      <c r="G4778" s="13">
        <v>1.25</v>
      </c>
      <c r="H4778" s="15">
        <v>5982</v>
      </c>
      <c r="I4778" s="16">
        <v>7477.5</v>
      </c>
      <c r="J4778" s="16">
        <v>6902.28</v>
      </c>
      <c r="K4778" s="16">
        <v>575.22</v>
      </c>
      <c r="L4778" s="13">
        <v>2.25</v>
      </c>
      <c r="M4778" s="13"/>
      <c r="N4778" s="17">
        <f t="shared" si="158"/>
        <v>13459.5</v>
      </c>
      <c r="O4778" s="17">
        <f t="shared" si="158"/>
        <v>0</v>
      </c>
      <c r="P4778" s="17">
        <f t="shared" si="157"/>
        <v>13459.5</v>
      </c>
      <c r="Q4778" t="str">
        <f>A4778&amp;"-"&amp;B4778&amp;"-"&amp;D4778</f>
        <v>OKTOBER-CVA-L1</v>
      </c>
    </row>
    <row r="4779" spans="1:17" x14ac:dyDescent="0.25">
      <c r="A4779" t="s">
        <v>400</v>
      </c>
      <c r="B4779" s="13" t="s">
        <v>23</v>
      </c>
      <c r="C4779" s="13" t="s">
        <v>201</v>
      </c>
      <c r="D4779" s="14" t="s">
        <v>301</v>
      </c>
      <c r="E4779" s="13" t="s">
        <v>191</v>
      </c>
      <c r="F4779" s="13" t="s">
        <v>1516</v>
      </c>
      <c r="G4779" s="13">
        <v>0.39000000000000007</v>
      </c>
      <c r="H4779" s="15">
        <v>13443</v>
      </c>
      <c r="I4779" s="16">
        <v>5242.7700000000004</v>
      </c>
      <c r="J4779" s="16">
        <v>3965.14</v>
      </c>
      <c r="K4779" s="16">
        <v>1277.6300000000001</v>
      </c>
      <c r="L4779" s="13">
        <v>1.1000000000000001</v>
      </c>
      <c r="M4779" s="13"/>
      <c r="N4779" s="17">
        <f t="shared" si="158"/>
        <v>14787.300000000001</v>
      </c>
      <c r="O4779" s="17">
        <f t="shared" si="158"/>
        <v>0</v>
      </c>
      <c r="P4779" s="17">
        <f t="shared" si="157"/>
        <v>14787.300000000001</v>
      </c>
      <c r="Q4779" t="str">
        <f>A4779&amp;"-"&amp;B4779&amp;"-"&amp;D4779</f>
        <v>OKTOBER-CVA-L10</v>
      </c>
    </row>
    <row r="4780" spans="1:17" x14ac:dyDescent="0.25">
      <c r="A4780" t="s">
        <v>400</v>
      </c>
      <c r="B4780" s="13" t="s">
        <v>23</v>
      </c>
      <c r="C4780" s="13" t="s">
        <v>201</v>
      </c>
      <c r="D4780" s="14" t="s">
        <v>301</v>
      </c>
      <c r="E4780" s="13" t="s">
        <v>77</v>
      </c>
      <c r="F4780" s="13" t="s">
        <v>1710</v>
      </c>
      <c r="G4780" s="13">
        <v>0.39</v>
      </c>
      <c r="H4780" s="15">
        <v>7779</v>
      </c>
      <c r="I4780" s="16">
        <v>3033.81</v>
      </c>
      <c r="J4780" s="16">
        <v>6753.9716996047437</v>
      </c>
      <c r="K4780" s="16">
        <v>-3720.1616996047433</v>
      </c>
      <c r="L4780" s="13">
        <v>1.05</v>
      </c>
      <c r="M4780" s="13"/>
      <c r="N4780" s="17">
        <f t="shared" si="158"/>
        <v>8167.9500000000007</v>
      </c>
      <c r="O4780" s="17">
        <f t="shared" si="158"/>
        <v>0</v>
      </c>
      <c r="P4780" s="17">
        <f t="shared" si="157"/>
        <v>8167.9500000000007</v>
      </c>
      <c r="Q4780" t="str">
        <f>A4780&amp;"-"&amp;B4780&amp;"-"&amp;D4780</f>
        <v>OKTOBER-CVA-L10</v>
      </c>
    </row>
    <row r="4781" spans="1:17" x14ac:dyDescent="0.25">
      <c r="A4781" t="s">
        <v>400</v>
      </c>
      <c r="B4781" s="13" t="s">
        <v>23</v>
      </c>
      <c r="C4781" s="13" t="s">
        <v>201</v>
      </c>
      <c r="D4781" s="14" t="s">
        <v>301</v>
      </c>
      <c r="E4781" s="13" t="s">
        <v>77</v>
      </c>
      <c r="F4781" s="13" t="s">
        <v>1515</v>
      </c>
      <c r="G4781" s="13">
        <v>0.51</v>
      </c>
      <c r="H4781" s="15">
        <v>1106</v>
      </c>
      <c r="I4781" s="16">
        <v>564.06000000000006</v>
      </c>
      <c r="J4781" s="16">
        <v>1543.4483003952569</v>
      </c>
      <c r="K4781" s="16">
        <v>-979.38830039525692</v>
      </c>
      <c r="L4781" s="13">
        <v>1.2</v>
      </c>
      <c r="M4781" s="13"/>
      <c r="N4781" s="17">
        <f t="shared" si="158"/>
        <v>1327.2</v>
      </c>
      <c r="O4781" s="17">
        <f t="shared" si="158"/>
        <v>0</v>
      </c>
      <c r="P4781" s="17">
        <f t="shared" si="157"/>
        <v>1327.2</v>
      </c>
      <c r="Q4781" t="str">
        <f>A4781&amp;"-"&amp;B4781&amp;"-"&amp;D4781</f>
        <v>OKTOBER-CVA-L10</v>
      </c>
    </row>
    <row r="4782" spans="1:17" x14ac:dyDescent="0.25">
      <c r="A4782" t="s">
        <v>400</v>
      </c>
      <c r="B4782" s="13" t="s">
        <v>23</v>
      </c>
      <c r="C4782" s="13" t="s">
        <v>201</v>
      </c>
      <c r="D4782" s="14" t="s">
        <v>50</v>
      </c>
      <c r="E4782" s="13" t="s">
        <v>77</v>
      </c>
      <c r="F4782" s="13" t="s">
        <v>1515</v>
      </c>
      <c r="G4782" s="13">
        <v>0.51</v>
      </c>
      <c r="H4782" s="15">
        <v>1182</v>
      </c>
      <c r="I4782" s="16">
        <v>602.81999999999994</v>
      </c>
      <c r="J4782" s="16">
        <v>1014.0136054421769</v>
      </c>
      <c r="K4782" s="16">
        <v>-411.19360544217693</v>
      </c>
      <c r="L4782" s="13">
        <v>1.2</v>
      </c>
      <c r="M4782" s="13"/>
      <c r="N4782" s="17">
        <f t="shared" si="158"/>
        <v>1418.3999999999999</v>
      </c>
      <c r="O4782" s="17">
        <f t="shared" si="158"/>
        <v>0</v>
      </c>
      <c r="P4782" s="17">
        <f t="shared" si="157"/>
        <v>1418.3999999999999</v>
      </c>
      <c r="Q4782" t="str">
        <f>A4782&amp;"-"&amp;B4782&amp;"-"&amp;D4782</f>
        <v>OKTOBER-CVA-L2</v>
      </c>
    </row>
    <row r="4783" spans="1:17" x14ac:dyDescent="0.25">
      <c r="A4783" t="s">
        <v>400</v>
      </c>
      <c r="B4783" s="13" t="s">
        <v>23</v>
      </c>
      <c r="C4783" s="13" t="s">
        <v>201</v>
      </c>
      <c r="D4783" s="14" t="s">
        <v>50</v>
      </c>
      <c r="E4783" s="13" t="s">
        <v>142</v>
      </c>
      <c r="F4783" s="13" t="s">
        <v>1709</v>
      </c>
      <c r="G4783" s="13">
        <v>1.25</v>
      </c>
      <c r="H4783" s="15">
        <v>6074</v>
      </c>
      <c r="I4783" s="16">
        <v>7592.5</v>
      </c>
      <c r="J4783" s="16">
        <v>6902.28</v>
      </c>
      <c r="K4783" s="16">
        <v>690.22</v>
      </c>
      <c r="L4783" s="13">
        <v>2.25</v>
      </c>
      <c r="M4783" s="13"/>
      <c r="N4783" s="17">
        <f t="shared" si="158"/>
        <v>13666.5</v>
      </c>
      <c r="O4783" s="17">
        <f t="shared" si="158"/>
        <v>0</v>
      </c>
      <c r="P4783" s="17">
        <f t="shared" si="157"/>
        <v>13666.5</v>
      </c>
      <c r="Q4783" t="str">
        <f>A4783&amp;"-"&amp;B4783&amp;"-"&amp;D4783</f>
        <v>OKTOBER-CVA-L2</v>
      </c>
    </row>
    <row r="4784" spans="1:17" x14ac:dyDescent="0.25">
      <c r="A4784" t="s">
        <v>400</v>
      </c>
      <c r="B4784" s="13" t="s">
        <v>23</v>
      </c>
      <c r="C4784" s="13" t="s">
        <v>201</v>
      </c>
      <c r="D4784" s="14" t="s">
        <v>56</v>
      </c>
      <c r="E4784" s="13" t="s">
        <v>77</v>
      </c>
      <c r="F4784" s="13" t="s">
        <v>1515</v>
      </c>
      <c r="G4784" s="13">
        <v>0.5099999999999999</v>
      </c>
      <c r="H4784" s="15">
        <v>8765</v>
      </c>
      <c r="I4784" s="16">
        <v>4470.1499999999996</v>
      </c>
      <c r="J4784" s="16">
        <v>4993.1399999999994</v>
      </c>
      <c r="K4784" s="16">
        <v>-522.99</v>
      </c>
      <c r="L4784" s="13">
        <v>1.2</v>
      </c>
      <c r="M4784" s="13"/>
      <c r="N4784" s="17">
        <f t="shared" si="158"/>
        <v>10518</v>
      </c>
      <c r="O4784" s="17">
        <f t="shared" si="158"/>
        <v>0</v>
      </c>
      <c r="P4784" s="17">
        <f t="shared" si="157"/>
        <v>10518</v>
      </c>
      <c r="Q4784" t="str">
        <f>A4784&amp;"-"&amp;B4784&amp;"-"&amp;D4784</f>
        <v>OKTOBER-CVA-L3</v>
      </c>
    </row>
    <row r="4785" spans="1:17" x14ac:dyDescent="0.25">
      <c r="A4785" t="s">
        <v>400</v>
      </c>
      <c r="B4785" s="13" t="s">
        <v>23</v>
      </c>
      <c r="C4785" s="13" t="s">
        <v>201</v>
      </c>
      <c r="D4785" s="14" t="s">
        <v>56</v>
      </c>
      <c r="E4785" s="13" t="s">
        <v>142</v>
      </c>
      <c r="F4785" s="13" t="s">
        <v>1711</v>
      </c>
      <c r="G4785" s="13">
        <v>1.22</v>
      </c>
      <c r="H4785" s="15">
        <v>6742</v>
      </c>
      <c r="I4785" s="16">
        <v>8225.24</v>
      </c>
      <c r="J4785" s="16">
        <v>7269.42</v>
      </c>
      <c r="K4785" s="16">
        <v>955.82</v>
      </c>
      <c r="L4785" s="13">
        <v>2.2999999999999998</v>
      </c>
      <c r="M4785" s="13"/>
      <c r="N4785" s="17">
        <f t="shared" si="158"/>
        <v>15506.599999999999</v>
      </c>
      <c r="O4785" s="17">
        <f t="shared" si="158"/>
        <v>0</v>
      </c>
      <c r="P4785" s="17">
        <f t="shared" si="157"/>
        <v>15506.599999999999</v>
      </c>
      <c r="Q4785" t="str">
        <f>A4785&amp;"-"&amp;B4785&amp;"-"&amp;D4785</f>
        <v>OKTOBER-CVA-L3</v>
      </c>
    </row>
    <row r="4786" spans="1:17" x14ac:dyDescent="0.25">
      <c r="A4786" t="s">
        <v>400</v>
      </c>
      <c r="B4786" s="13" t="s">
        <v>23</v>
      </c>
      <c r="C4786" s="13" t="s">
        <v>201</v>
      </c>
      <c r="D4786" s="14" t="s">
        <v>158</v>
      </c>
      <c r="E4786" s="13" t="s">
        <v>77</v>
      </c>
      <c r="F4786" s="13" t="s">
        <v>1515</v>
      </c>
      <c r="G4786" s="13">
        <v>0.5099999999999999</v>
      </c>
      <c r="H4786" s="15">
        <v>10176</v>
      </c>
      <c r="I4786" s="16">
        <v>5189.7599999999993</v>
      </c>
      <c r="J4786" s="16">
        <v>5507.1399999999994</v>
      </c>
      <c r="K4786" s="16">
        <v>-317.38</v>
      </c>
      <c r="L4786" s="13">
        <v>1.2</v>
      </c>
      <c r="M4786" s="13"/>
      <c r="N4786" s="17">
        <f t="shared" si="158"/>
        <v>12211.199999999999</v>
      </c>
      <c r="O4786" s="17">
        <f t="shared" si="158"/>
        <v>0</v>
      </c>
      <c r="P4786" s="17">
        <f t="shared" si="157"/>
        <v>12211.199999999999</v>
      </c>
      <c r="Q4786" t="str">
        <f>A4786&amp;"-"&amp;B4786&amp;"-"&amp;D4786</f>
        <v>OKTOBER-CVA-L4</v>
      </c>
    </row>
    <row r="4787" spans="1:17" x14ac:dyDescent="0.25">
      <c r="A4787" t="s">
        <v>400</v>
      </c>
      <c r="B4787" s="13" t="s">
        <v>23</v>
      </c>
      <c r="C4787" s="13" t="s">
        <v>201</v>
      </c>
      <c r="D4787" s="14" t="s">
        <v>158</v>
      </c>
      <c r="E4787" s="13" t="s">
        <v>142</v>
      </c>
      <c r="F4787" s="13" t="s">
        <v>1711</v>
      </c>
      <c r="G4787" s="13">
        <v>1.22</v>
      </c>
      <c r="H4787" s="15">
        <v>6829</v>
      </c>
      <c r="I4787" s="16">
        <v>8331.3799999999992</v>
      </c>
      <c r="J4787" s="16">
        <v>7269.42</v>
      </c>
      <c r="K4787" s="16">
        <v>1061.9600000000003</v>
      </c>
      <c r="L4787" s="13">
        <v>2.2999999999999998</v>
      </c>
      <c r="M4787" s="13"/>
      <c r="N4787" s="17">
        <f t="shared" si="158"/>
        <v>15706.699999999999</v>
      </c>
      <c r="O4787" s="17">
        <f t="shared" si="158"/>
        <v>0</v>
      </c>
      <c r="P4787" s="17">
        <f t="shared" si="157"/>
        <v>15706.699999999999</v>
      </c>
      <c r="Q4787" t="str">
        <f>A4787&amp;"-"&amp;B4787&amp;"-"&amp;D4787</f>
        <v>OKTOBER-CVA-L4</v>
      </c>
    </row>
    <row r="4788" spans="1:17" x14ac:dyDescent="0.25">
      <c r="A4788" t="s">
        <v>400</v>
      </c>
      <c r="B4788" s="13" t="s">
        <v>23</v>
      </c>
      <c r="C4788" s="13" t="s">
        <v>201</v>
      </c>
      <c r="D4788" s="14" t="s">
        <v>160</v>
      </c>
      <c r="E4788" s="13" t="s">
        <v>191</v>
      </c>
      <c r="F4788" s="13" t="s">
        <v>1519</v>
      </c>
      <c r="G4788" s="13">
        <v>0.39</v>
      </c>
      <c r="H4788" s="15">
        <v>2240</v>
      </c>
      <c r="I4788" s="16">
        <v>873.6</v>
      </c>
      <c r="J4788" s="16">
        <v>514</v>
      </c>
      <c r="K4788" s="16">
        <v>359.6</v>
      </c>
      <c r="L4788" s="13">
        <v>1</v>
      </c>
      <c r="M4788" s="13"/>
      <c r="N4788" s="17">
        <f t="shared" si="158"/>
        <v>2240</v>
      </c>
      <c r="O4788" s="17">
        <f t="shared" si="158"/>
        <v>0</v>
      </c>
      <c r="P4788" s="17">
        <f t="shared" si="157"/>
        <v>2240</v>
      </c>
      <c r="Q4788" t="str">
        <f>A4788&amp;"-"&amp;B4788&amp;"-"&amp;D4788</f>
        <v>OKTOBER-CVA-L5</v>
      </c>
    </row>
    <row r="4789" spans="1:17" x14ac:dyDescent="0.25">
      <c r="A4789" t="s">
        <v>400</v>
      </c>
      <c r="B4789" s="13" t="s">
        <v>23</v>
      </c>
      <c r="C4789" s="13" t="s">
        <v>201</v>
      </c>
      <c r="D4789" s="14" t="s">
        <v>160</v>
      </c>
      <c r="E4789" s="13" t="s">
        <v>142</v>
      </c>
      <c r="F4789" s="13" t="s">
        <v>1712</v>
      </c>
      <c r="G4789" s="13">
        <v>1.2200000000000002</v>
      </c>
      <c r="H4789" s="15">
        <v>5898</v>
      </c>
      <c r="I4789" s="16">
        <v>7195.5600000000013</v>
      </c>
      <c r="J4789" s="16">
        <v>5507.1399999999994</v>
      </c>
      <c r="K4789" s="16">
        <v>1688.42</v>
      </c>
      <c r="L4789" s="13">
        <v>2.15</v>
      </c>
      <c r="M4789" s="13"/>
      <c r="N4789" s="17">
        <f t="shared" si="158"/>
        <v>12680.699999999999</v>
      </c>
      <c r="O4789" s="17">
        <f t="shared" si="158"/>
        <v>0</v>
      </c>
      <c r="P4789" s="17">
        <f t="shared" si="157"/>
        <v>12680.699999999999</v>
      </c>
      <c r="Q4789" t="str">
        <f>A4789&amp;"-"&amp;B4789&amp;"-"&amp;D4789</f>
        <v>OKTOBER-CVA-L5</v>
      </c>
    </row>
    <row r="4790" spans="1:17" x14ac:dyDescent="0.25">
      <c r="A4790" t="s">
        <v>400</v>
      </c>
      <c r="B4790" s="13" t="s">
        <v>23</v>
      </c>
      <c r="C4790" s="13" t="s">
        <v>201</v>
      </c>
      <c r="D4790" s="14" t="s">
        <v>160</v>
      </c>
      <c r="E4790" s="13" t="s">
        <v>142</v>
      </c>
      <c r="F4790" s="13" t="s">
        <v>1713</v>
      </c>
      <c r="G4790" s="13">
        <v>1.2200000000000002</v>
      </c>
      <c r="H4790" s="15">
        <v>4010</v>
      </c>
      <c r="I4790" s="16">
        <v>4892.2</v>
      </c>
      <c r="J4790" s="16">
        <v>4846.28</v>
      </c>
      <c r="K4790" s="16">
        <v>45.919999999999789</v>
      </c>
      <c r="L4790" s="13">
        <v>2.6</v>
      </c>
      <c r="M4790" s="13"/>
      <c r="N4790" s="17">
        <f t="shared" si="158"/>
        <v>10426</v>
      </c>
      <c r="O4790" s="17">
        <f t="shared" si="158"/>
        <v>0</v>
      </c>
      <c r="P4790" s="17">
        <f t="shared" si="157"/>
        <v>10426</v>
      </c>
      <c r="Q4790" t="str">
        <f>A4790&amp;"-"&amp;B4790&amp;"-"&amp;D4790</f>
        <v>OKTOBER-CVA-L5</v>
      </c>
    </row>
    <row r="4791" spans="1:17" x14ac:dyDescent="0.25">
      <c r="A4791" t="s">
        <v>400</v>
      </c>
      <c r="B4791" s="13" t="s">
        <v>23</v>
      </c>
      <c r="C4791" s="13" t="s">
        <v>201</v>
      </c>
      <c r="D4791" s="14" t="s">
        <v>160</v>
      </c>
      <c r="E4791" s="13" t="s">
        <v>142</v>
      </c>
      <c r="F4791" s="13" t="s">
        <v>1714</v>
      </c>
      <c r="G4791" s="13">
        <v>1.55</v>
      </c>
      <c r="H4791" s="15">
        <v>1464</v>
      </c>
      <c r="I4791" s="16">
        <v>2269.1999999999998</v>
      </c>
      <c r="J4791" s="16">
        <v>1395.1399999999999</v>
      </c>
      <c r="K4791" s="16">
        <v>874.06000000000006</v>
      </c>
      <c r="L4791" s="13">
        <v>2.75</v>
      </c>
      <c r="M4791" s="13"/>
      <c r="N4791" s="17">
        <f t="shared" si="158"/>
        <v>4026</v>
      </c>
      <c r="O4791" s="17">
        <f t="shared" si="158"/>
        <v>0</v>
      </c>
      <c r="P4791" s="17">
        <f t="shared" si="157"/>
        <v>4026</v>
      </c>
      <c r="Q4791" t="str">
        <f>A4791&amp;"-"&amp;B4791&amp;"-"&amp;D4791</f>
        <v>OKTOBER-CVA-L5</v>
      </c>
    </row>
    <row r="4792" spans="1:17" x14ac:dyDescent="0.25">
      <c r="A4792" t="s">
        <v>400</v>
      </c>
      <c r="B4792" s="13" t="s">
        <v>23</v>
      </c>
      <c r="C4792" s="13" t="s">
        <v>201</v>
      </c>
      <c r="D4792" s="14" t="s">
        <v>163</v>
      </c>
      <c r="E4792" s="13" t="s">
        <v>191</v>
      </c>
      <c r="F4792" s="13" t="s">
        <v>1519</v>
      </c>
      <c r="G4792" s="13">
        <v>0.39</v>
      </c>
      <c r="H4792" s="15">
        <v>1536</v>
      </c>
      <c r="I4792" s="16">
        <v>599.04</v>
      </c>
      <c r="J4792" s="16">
        <v>1028</v>
      </c>
      <c r="K4792" s="16">
        <v>-428.96</v>
      </c>
      <c r="L4792" s="13">
        <v>1</v>
      </c>
      <c r="M4792" s="13"/>
      <c r="N4792" s="17">
        <f t="shared" si="158"/>
        <v>1536</v>
      </c>
      <c r="O4792" s="17">
        <f t="shared" si="158"/>
        <v>0</v>
      </c>
      <c r="P4792" s="17">
        <f t="shared" si="157"/>
        <v>1536</v>
      </c>
      <c r="Q4792" t="str">
        <f>A4792&amp;"-"&amp;B4792&amp;"-"&amp;D4792</f>
        <v>OKTOBER-CVA-L6</v>
      </c>
    </row>
    <row r="4793" spans="1:17" x14ac:dyDescent="0.25">
      <c r="A4793" t="s">
        <v>400</v>
      </c>
      <c r="B4793" s="13" t="s">
        <v>23</v>
      </c>
      <c r="C4793" s="13" t="s">
        <v>201</v>
      </c>
      <c r="D4793" s="14" t="s">
        <v>163</v>
      </c>
      <c r="E4793" s="13" t="s">
        <v>142</v>
      </c>
      <c r="F4793" s="13" t="s">
        <v>1712</v>
      </c>
      <c r="G4793" s="13">
        <v>1.2200000000000002</v>
      </c>
      <c r="H4793" s="15">
        <v>4444</v>
      </c>
      <c r="I4793" s="16">
        <v>5421.68</v>
      </c>
      <c r="J4793" s="16">
        <v>5409.0937572254334</v>
      </c>
      <c r="K4793" s="16">
        <v>12.586242774566585</v>
      </c>
      <c r="L4793" s="13">
        <v>2.15</v>
      </c>
      <c r="M4793" s="13"/>
      <c r="N4793" s="17">
        <f t="shared" si="158"/>
        <v>9554.6</v>
      </c>
      <c r="O4793" s="17">
        <f t="shared" si="158"/>
        <v>0</v>
      </c>
      <c r="P4793" s="17">
        <f t="shared" si="157"/>
        <v>9554.6</v>
      </c>
      <c r="Q4793" t="str">
        <f>A4793&amp;"-"&amp;B4793&amp;"-"&amp;D4793</f>
        <v>OKTOBER-CVA-L6</v>
      </c>
    </row>
    <row r="4794" spans="1:17" x14ac:dyDescent="0.25">
      <c r="A4794" t="s">
        <v>400</v>
      </c>
      <c r="B4794" s="13" t="s">
        <v>23</v>
      </c>
      <c r="C4794" s="13" t="s">
        <v>201</v>
      </c>
      <c r="D4794" s="14" t="s">
        <v>163</v>
      </c>
      <c r="E4794" s="13" t="s">
        <v>142</v>
      </c>
      <c r="F4794" s="13" t="s">
        <v>1713</v>
      </c>
      <c r="G4794" s="13">
        <v>1.2200000000000002</v>
      </c>
      <c r="H4794" s="15">
        <v>2700</v>
      </c>
      <c r="I4794" s="16">
        <v>3293.9999999999995</v>
      </c>
      <c r="J4794" s="16">
        <v>4430.3262427745658</v>
      </c>
      <c r="K4794" s="16">
        <v>-1136.3262427745669</v>
      </c>
      <c r="L4794" s="13">
        <v>2.6</v>
      </c>
      <c r="M4794" s="13"/>
      <c r="N4794" s="17">
        <f t="shared" si="158"/>
        <v>7020</v>
      </c>
      <c r="O4794" s="17">
        <f t="shared" si="158"/>
        <v>0</v>
      </c>
      <c r="P4794" s="17">
        <f t="shared" si="157"/>
        <v>7020</v>
      </c>
      <c r="Q4794" t="str">
        <f>A4794&amp;"-"&amp;B4794&amp;"-"&amp;D4794</f>
        <v>OKTOBER-CVA-L6</v>
      </c>
    </row>
    <row r="4795" spans="1:17" x14ac:dyDescent="0.25">
      <c r="A4795" t="s">
        <v>400</v>
      </c>
      <c r="B4795" s="13" t="s">
        <v>23</v>
      </c>
      <c r="C4795" s="13" t="s">
        <v>201</v>
      </c>
      <c r="D4795" s="14" t="s">
        <v>163</v>
      </c>
      <c r="E4795" s="13" t="s">
        <v>142</v>
      </c>
      <c r="F4795" s="13" t="s">
        <v>1714</v>
      </c>
      <c r="G4795" s="13">
        <v>1.55</v>
      </c>
      <c r="H4795" s="15">
        <v>1240</v>
      </c>
      <c r="I4795" s="16">
        <v>1922</v>
      </c>
      <c r="J4795" s="16">
        <v>1395.1399999999999</v>
      </c>
      <c r="K4795" s="16">
        <v>526.86</v>
      </c>
      <c r="L4795" s="13">
        <v>2.75</v>
      </c>
      <c r="M4795" s="13"/>
      <c r="N4795" s="17">
        <f t="shared" si="158"/>
        <v>3410</v>
      </c>
      <c r="O4795" s="17">
        <f t="shared" si="158"/>
        <v>0</v>
      </c>
      <c r="P4795" s="17">
        <f t="shared" si="157"/>
        <v>3410</v>
      </c>
      <c r="Q4795" t="str">
        <f>A4795&amp;"-"&amp;B4795&amp;"-"&amp;D4795</f>
        <v>OKTOBER-CVA-L6</v>
      </c>
    </row>
    <row r="4796" spans="1:17" x14ac:dyDescent="0.25">
      <c r="A4796" t="s">
        <v>400</v>
      </c>
      <c r="B4796" s="13" t="s">
        <v>23</v>
      </c>
      <c r="C4796" s="13" t="s">
        <v>201</v>
      </c>
      <c r="D4796" s="14" t="s">
        <v>164</v>
      </c>
      <c r="E4796" s="13" t="s">
        <v>77</v>
      </c>
      <c r="F4796" s="13" t="s">
        <v>1710</v>
      </c>
      <c r="G4796" s="13">
        <v>0.39000000000000007</v>
      </c>
      <c r="H4796" s="15">
        <v>5135</v>
      </c>
      <c r="I4796" s="16">
        <v>2002.6499999999999</v>
      </c>
      <c r="J4796" s="16">
        <v>3965.14</v>
      </c>
      <c r="K4796" s="16">
        <v>-1962.49</v>
      </c>
      <c r="L4796" s="13">
        <v>1.05</v>
      </c>
      <c r="M4796" s="13"/>
      <c r="N4796" s="17">
        <f t="shared" si="158"/>
        <v>5391.75</v>
      </c>
      <c r="O4796" s="17">
        <f t="shared" si="158"/>
        <v>0</v>
      </c>
      <c r="P4796" s="17">
        <f t="shared" si="157"/>
        <v>5391.75</v>
      </c>
      <c r="Q4796" t="str">
        <f>A4796&amp;"-"&amp;B4796&amp;"-"&amp;D4796</f>
        <v>OKTOBER-CVA-L7</v>
      </c>
    </row>
    <row r="4797" spans="1:17" x14ac:dyDescent="0.25">
      <c r="A4797" t="s">
        <v>400</v>
      </c>
      <c r="B4797" s="13" t="s">
        <v>23</v>
      </c>
      <c r="C4797" s="13" t="s">
        <v>201</v>
      </c>
      <c r="D4797" s="14" t="s">
        <v>198</v>
      </c>
      <c r="E4797" s="13" t="s">
        <v>77</v>
      </c>
      <c r="F4797" s="13" t="s">
        <v>1710</v>
      </c>
      <c r="G4797" s="13">
        <v>0.39000000000000007</v>
      </c>
      <c r="H4797" s="15">
        <v>5366</v>
      </c>
      <c r="I4797" s="16">
        <v>2092.7399999999998</v>
      </c>
      <c r="J4797" s="16">
        <v>4308.7907526881718</v>
      </c>
      <c r="K4797" s="16">
        <v>-2216.0507526881725</v>
      </c>
      <c r="L4797" s="13">
        <v>1.05</v>
      </c>
      <c r="M4797" s="13"/>
      <c r="N4797" s="17">
        <f t="shared" si="158"/>
        <v>5634.3</v>
      </c>
      <c r="O4797" s="17">
        <f t="shared" si="158"/>
        <v>0</v>
      </c>
      <c r="P4797" s="17">
        <f t="shared" si="157"/>
        <v>5634.3</v>
      </c>
      <c r="Q4797" t="str">
        <f>A4797&amp;"-"&amp;B4797&amp;"-"&amp;D4797</f>
        <v>OKTOBER-CVA-L8</v>
      </c>
    </row>
    <row r="4798" spans="1:17" x14ac:dyDescent="0.25">
      <c r="A4798" t="s">
        <v>400</v>
      </c>
      <c r="B4798" s="13" t="s">
        <v>23</v>
      </c>
      <c r="C4798" s="13" t="s">
        <v>201</v>
      </c>
      <c r="D4798" s="14" t="s">
        <v>199</v>
      </c>
      <c r="E4798" s="13" t="s">
        <v>191</v>
      </c>
      <c r="F4798" s="13" t="s">
        <v>1516</v>
      </c>
      <c r="G4798" s="13">
        <v>0.39000000000000007</v>
      </c>
      <c r="H4798" s="15">
        <v>11821</v>
      </c>
      <c r="I4798" s="16">
        <v>4610.1900000000005</v>
      </c>
      <c r="J4798" s="16">
        <v>3965.14</v>
      </c>
      <c r="K4798" s="16">
        <v>645.04999999999995</v>
      </c>
      <c r="L4798" s="13">
        <v>1.1000000000000001</v>
      </c>
      <c r="M4798" s="13"/>
      <c r="N4798" s="17">
        <f t="shared" si="158"/>
        <v>13003.1</v>
      </c>
      <c r="O4798" s="17">
        <f t="shared" si="158"/>
        <v>0</v>
      </c>
      <c r="P4798" s="17">
        <f t="shared" si="157"/>
        <v>13003.1</v>
      </c>
      <c r="Q4798" t="str">
        <f>A4798&amp;"-"&amp;B4798&amp;"-"&amp;D4798</f>
        <v>OKTOBER-CVA-L9</v>
      </c>
    </row>
    <row r="4799" spans="1:17" x14ac:dyDescent="0.25">
      <c r="A4799" t="s">
        <v>400</v>
      </c>
      <c r="B4799" s="13" t="s">
        <v>23</v>
      </c>
      <c r="C4799" s="13" t="s">
        <v>201</v>
      </c>
      <c r="D4799" s="14" t="s">
        <v>199</v>
      </c>
      <c r="E4799" s="13" t="s">
        <v>77</v>
      </c>
      <c r="F4799" s="13" t="s">
        <v>1710</v>
      </c>
      <c r="G4799" s="13">
        <v>0.39</v>
      </c>
      <c r="H4799" s="15">
        <v>6945</v>
      </c>
      <c r="I4799" s="16">
        <v>2708.55</v>
      </c>
      <c r="J4799" s="16">
        <v>6537.5058064516134</v>
      </c>
      <c r="K4799" s="16">
        <v>-3828.9558064516123</v>
      </c>
      <c r="L4799" s="13">
        <v>1.05</v>
      </c>
      <c r="M4799" s="13"/>
      <c r="N4799" s="17">
        <f t="shared" si="158"/>
        <v>7292.25</v>
      </c>
      <c r="O4799" s="17">
        <f t="shared" si="158"/>
        <v>0</v>
      </c>
      <c r="P4799" s="17">
        <f t="shared" si="157"/>
        <v>7292.25</v>
      </c>
      <c r="Q4799" t="str">
        <f>A4799&amp;"-"&amp;B4799&amp;"-"&amp;D4799</f>
        <v>OKTOBER-CVA-L9</v>
      </c>
    </row>
    <row r="4800" spans="1:17" x14ac:dyDescent="0.25">
      <c r="A4800" t="s">
        <v>400</v>
      </c>
      <c r="B4800" s="13" t="s">
        <v>23</v>
      </c>
      <c r="C4800" s="13" t="s">
        <v>201</v>
      </c>
      <c r="D4800" s="14" t="s">
        <v>199</v>
      </c>
      <c r="E4800" s="13" t="s">
        <v>77</v>
      </c>
      <c r="F4800" s="13" t="s">
        <v>1515</v>
      </c>
      <c r="G4800" s="13">
        <v>0.51</v>
      </c>
      <c r="H4800" s="15">
        <v>993</v>
      </c>
      <c r="I4800" s="16">
        <v>506.43</v>
      </c>
      <c r="J4800" s="16">
        <v>2273.9141935483872</v>
      </c>
      <c r="K4800" s="16">
        <v>-1767.4841935483869</v>
      </c>
      <c r="L4800" s="13">
        <v>1.2</v>
      </c>
      <c r="M4800" s="13"/>
      <c r="N4800" s="17">
        <f t="shared" si="158"/>
        <v>1191.5999999999999</v>
      </c>
      <c r="O4800" s="17">
        <f t="shared" si="158"/>
        <v>0</v>
      </c>
      <c r="P4800" s="17">
        <f t="shared" si="157"/>
        <v>1191.5999999999999</v>
      </c>
      <c r="Q4800" t="str">
        <f>A4800&amp;"-"&amp;B4800&amp;"-"&amp;D4800</f>
        <v>OKTOBER-CVA-L9</v>
      </c>
    </row>
    <row r="4801" spans="1:17" x14ac:dyDescent="0.25">
      <c r="A4801" t="s">
        <v>400</v>
      </c>
      <c r="B4801" s="13" t="s">
        <v>24</v>
      </c>
      <c r="C4801" s="13" t="s">
        <v>226</v>
      </c>
      <c r="D4801" s="14" t="s">
        <v>219</v>
      </c>
      <c r="E4801" s="13" t="s">
        <v>61</v>
      </c>
      <c r="F4801" s="13" t="s">
        <v>1521</v>
      </c>
      <c r="G4801" s="13">
        <v>0.68</v>
      </c>
      <c r="H4801" s="15">
        <v>3340</v>
      </c>
      <c r="I4801" s="16">
        <v>2271.2000000000003</v>
      </c>
      <c r="J4801" s="16">
        <v>1454.0966623031222</v>
      </c>
      <c r="K4801" s="16">
        <v>817.10333769687793</v>
      </c>
      <c r="L4801" s="13">
        <v>1.69</v>
      </c>
      <c r="M4801" s="13"/>
      <c r="N4801" s="17">
        <f t="shared" si="158"/>
        <v>5644.5999999999995</v>
      </c>
      <c r="O4801" s="17">
        <f t="shared" si="158"/>
        <v>0</v>
      </c>
      <c r="P4801" s="17">
        <f t="shared" si="157"/>
        <v>5644.5999999999995</v>
      </c>
      <c r="Q4801" t="str">
        <f>A4801&amp;"-"&amp;B4801&amp;"-"&amp;D4801</f>
        <v>OKTOBER-KLB-L1A</v>
      </c>
    </row>
    <row r="4802" spans="1:17" x14ac:dyDescent="0.25">
      <c r="A4802" t="s">
        <v>400</v>
      </c>
      <c r="B4802" s="13" t="s">
        <v>24</v>
      </c>
      <c r="C4802" s="13" t="s">
        <v>226</v>
      </c>
      <c r="D4802" s="14" t="s">
        <v>219</v>
      </c>
      <c r="E4802" s="13" t="s">
        <v>61</v>
      </c>
      <c r="F4802" s="13" t="s">
        <v>1715</v>
      </c>
      <c r="G4802" s="13">
        <v>0.68</v>
      </c>
      <c r="H4802" s="15">
        <v>1330</v>
      </c>
      <c r="I4802" s="16">
        <v>904.40000000000009</v>
      </c>
      <c r="J4802" s="16">
        <v>584.40568520886609</v>
      </c>
      <c r="K4802" s="16">
        <v>319.99431479113395</v>
      </c>
      <c r="L4802" s="13">
        <v>1.69</v>
      </c>
      <c r="M4802" s="13"/>
      <c r="N4802" s="17">
        <f t="shared" ref="N4802:O4863" si="159">$H4802*L4802</f>
        <v>2247.6999999999998</v>
      </c>
      <c r="O4802" s="17">
        <f t="shared" si="159"/>
        <v>0</v>
      </c>
      <c r="P4802" s="17">
        <f t="shared" ref="P4802:P4865" si="160">N4802+O4802</f>
        <v>2247.6999999999998</v>
      </c>
      <c r="Q4802" t="str">
        <f>A4802&amp;"-"&amp;B4802&amp;"-"&amp;D4802</f>
        <v>OKTOBER-KLB-L1A</v>
      </c>
    </row>
    <row r="4803" spans="1:17" x14ac:dyDescent="0.25">
      <c r="A4803" t="s">
        <v>400</v>
      </c>
      <c r="B4803" s="13" t="s">
        <v>24</v>
      </c>
      <c r="C4803" s="13" t="s">
        <v>226</v>
      </c>
      <c r="D4803" s="14" t="s">
        <v>219</v>
      </c>
      <c r="E4803" s="13" t="s">
        <v>61</v>
      </c>
      <c r="F4803" s="13" t="s">
        <v>1526</v>
      </c>
      <c r="G4803" s="13">
        <v>0.68</v>
      </c>
      <c r="H4803" s="15">
        <v>30</v>
      </c>
      <c r="I4803" s="16">
        <v>20.399999999999999</v>
      </c>
      <c r="J4803" s="16">
        <v>12.84863523573201</v>
      </c>
      <c r="K4803" s="16">
        <v>7.5513647642679889</v>
      </c>
      <c r="L4803" s="13">
        <v>1.69</v>
      </c>
      <c r="M4803" s="13"/>
      <c r="N4803" s="17">
        <f t="shared" si="159"/>
        <v>50.699999999999996</v>
      </c>
      <c r="O4803" s="17">
        <f t="shared" si="159"/>
        <v>0</v>
      </c>
      <c r="P4803" s="17">
        <f t="shared" si="160"/>
        <v>50.699999999999996</v>
      </c>
      <c r="Q4803" t="str">
        <f>A4803&amp;"-"&amp;B4803&amp;"-"&amp;D4803</f>
        <v>OKTOBER-KLB-L1A</v>
      </c>
    </row>
    <row r="4804" spans="1:17" x14ac:dyDescent="0.25">
      <c r="A4804" t="s">
        <v>400</v>
      </c>
      <c r="B4804" s="13" t="s">
        <v>24</v>
      </c>
      <c r="C4804" s="13" t="s">
        <v>226</v>
      </c>
      <c r="D4804" s="14" t="s">
        <v>219</v>
      </c>
      <c r="E4804" s="13" t="s">
        <v>61</v>
      </c>
      <c r="F4804" s="13" t="s">
        <v>1529</v>
      </c>
      <c r="G4804" s="13">
        <v>0.68</v>
      </c>
      <c r="H4804" s="15">
        <v>5</v>
      </c>
      <c r="I4804" s="16">
        <v>3.4</v>
      </c>
      <c r="J4804" s="16">
        <v>2.1414392059553351</v>
      </c>
      <c r="K4804" s="16">
        <v>1.2585607940446648</v>
      </c>
      <c r="L4804" s="13">
        <v>1.69</v>
      </c>
      <c r="M4804" s="13"/>
      <c r="N4804" s="17">
        <f t="shared" si="159"/>
        <v>8.4499999999999993</v>
      </c>
      <c r="O4804" s="17">
        <f t="shared" si="159"/>
        <v>0</v>
      </c>
      <c r="P4804" s="17">
        <f t="shared" si="160"/>
        <v>8.4499999999999993</v>
      </c>
      <c r="Q4804" t="str">
        <f>A4804&amp;"-"&amp;B4804&amp;"-"&amp;D4804</f>
        <v>OKTOBER-KLB-L1A</v>
      </c>
    </row>
    <row r="4805" spans="1:17" x14ac:dyDescent="0.25">
      <c r="A4805" t="s">
        <v>400</v>
      </c>
      <c r="B4805" s="13" t="s">
        <v>24</v>
      </c>
      <c r="C4805" s="13" t="s">
        <v>226</v>
      </c>
      <c r="D4805" s="14" t="s">
        <v>219</v>
      </c>
      <c r="E4805" s="13" t="s">
        <v>61</v>
      </c>
      <c r="F4805" s="13" t="s">
        <v>1716</v>
      </c>
      <c r="G4805" s="13">
        <v>0.73999999999999988</v>
      </c>
      <c r="H4805" s="15">
        <v>6560</v>
      </c>
      <c r="I4805" s="16">
        <v>4854.3999999999996</v>
      </c>
      <c r="J4805" s="16">
        <v>2580.0566407705492</v>
      </c>
      <c r="K4805" s="16">
        <v>2274.3433592294505</v>
      </c>
      <c r="L4805" s="13">
        <v>1.36</v>
      </c>
      <c r="M4805" s="13"/>
      <c r="N4805" s="17">
        <f t="shared" si="159"/>
        <v>8921.6</v>
      </c>
      <c r="O4805" s="17">
        <f t="shared" si="159"/>
        <v>0</v>
      </c>
      <c r="P4805" s="17">
        <f t="shared" si="160"/>
        <v>8921.6</v>
      </c>
      <c r="Q4805" t="str">
        <f>A4805&amp;"-"&amp;B4805&amp;"-"&amp;D4805</f>
        <v>OKTOBER-KLB-L1A</v>
      </c>
    </row>
    <row r="4806" spans="1:17" x14ac:dyDescent="0.25">
      <c r="A4806" t="s">
        <v>400</v>
      </c>
      <c r="B4806" s="13" t="s">
        <v>24</v>
      </c>
      <c r="C4806" s="13" t="s">
        <v>226</v>
      </c>
      <c r="D4806" s="14" t="s">
        <v>219</v>
      </c>
      <c r="E4806" s="13" t="s">
        <v>61</v>
      </c>
      <c r="F4806" s="13" t="s">
        <v>1717</v>
      </c>
      <c r="G4806" s="13">
        <v>0.71</v>
      </c>
      <c r="H4806" s="15">
        <v>4355</v>
      </c>
      <c r="I4806" s="16">
        <v>3092.05</v>
      </c>
      <c r="J4806" s="16">
        <v>1607.1024573294826</v>
      </c>
      <c r="K4806" s="16">
        <v>1484.9475426705174</v>
      </c>
      <c r="L4806" s="13">
        <v>1.29</v>
      </c>
      <c r="M4806" s="13"/>
      <c r="N4806" s="17">
        <f t="shared" si="159"/>
        <v>5617.95</v>
      </c>
      <c r="O4806" s="17">
        <f t="shared" si="159"/>
        <v>0</v>
      </c>
      <c r="P4806" s="17">
        <f t="shared" si="160"/>
        <v>5617.95</v>
      </c>
      <c r="Q4806" t="str">
        <f>A4806&amp;"-"&amp;B4806&amp;"-"&amp;D4806</f>
        <v>OKTOBER-KLB-L1A</v>
      </c>
    </row>
    <row r="4807" spans="1:17" x14ac:dyDescent="0.25">
      <c r="A4807" t="s">
        <v>400</v>
      </c>
      <c r="B4807" s="13" t="s">
        <v>24</v>
      </c>
      <c r="C4807" s="13" t="s">
        <v>226</v>
      </c>
      <c r="D4807" s="14" t="s">
        <v>219</v>
      </c>
      <c r="E4807" s="13" t="s">
        <v>61</v>
      </c>
      <c r="F4807" s="13" t="s">
        <v>1718</v>
      </c>
      <c r="G4807" s="13">
        <v>0.71</v>
      </c>
      <c r="H4807" s="15">
        <v>7257</v>
      </c>
      <c r="I4807" s="16">
        <v>5152.4700000000012</v>
      </c>
      <c r="J4807" s="16">
        <v>2609.0785422134763</v>
      </c>
      <c r="K4807" s="16">
        <v>2543.3914577865235</v>
      </c>
      <c r="L4807" s="13">
        <v>1.29</v>
      </c>
      <c r="M4807" s="13"/>
      <c r="N4807" s="17">
        <f t="shared" si="159"/>
        <v>9361.5300000000007</v>
      </c>
      <c r="O4807" s="17">
        <f t="shared" si="159"/>
        <v>0</v>
      </c>
      <c r="P4807" s="17">
        <f t="shared" si="160"/>
        <v>9361.5300000000007</v>
      </c>
      <c r="Q4807" t="str">
        <f>A4807&amp;"-"&amp;B4807&amp;"-"&amp;D4807</f>
        <v>OKTOBER-KLB-L1A</v>
      </c>
    </row>
    <row r="4808" spans="1:17" x14ac:dyDescent="0.25">
      <c r="A4808" t="s">
        <v>400</v>
      </c>
      <c r="B4808" s="13" t="s">
        <v>24</v>
      </c>
      <c r="C4808" s="13" t="s">
        <v>226</v>
      </c>
      <c r="D4808" s="14" t="s">
        <v>219</v>
      </c>
      <c r="E4808" s="13" t="s">
        <v>61</v>
      </c>
      <c r="F4808" s="13" t="s">
        <v>1719</v>
      </c>
      <c r="G4808" s="13">
        <v>0.82999999999999985</v>
      </c>
      <c r="H4808" s="15">
        <v>3440</v>
      </c>
      <c r="I4808" s="16">
        <v>2855.2000000000003</v>
      </c>
      <c r="J4808" s="16">
        <v>1687.7511736614213</v>
      </c>
      <c r="K4808" s="16">
        <v>1167.4488263385786</v>
      </c>
      <c r="L4808" s="13">
        <v>2.13</v>
      </c>
      <c r="M4808" s="13"/>
      <c r="N4808" s="17">
        <f t="shared" si="159"/>
        <v>7327.2</v>
      </c>
      <c r="O4808" s="17">
        <f t="shared" si="159"/>
        <v>0</v>
      </c>
      <c r="P4808" s="17">
        <f t="shared" si="160"/>
        <v>7327.2</v>
      </c>
      <c r="Q4808" t="str">
        <f>A4808&amp;"-"&amp;B4808&amp;"-"&amp;D4808</f>
        <v>OKTOBER-KLB-L1A</v>
      </c>
    </row>
    <row r="4809" spans="1:17" x14ac:dyDescent="0.25">
      <c r="A4809" t="s">
        <v>400</v>
      </c>
      <c r="B4809" s="13" t="s">
        <v>24</v>
      </c>
      <c r="C4809" s="13" t="s">
        <v>226</v>
      </c>
      <c r="D4809" s="14" t="s">
        <v>219</v>
      </c>
      <c r="E4809" s="13" t="s">
        <v>61</v>
      </c>
      <c r="F4809" s="13" t="s">
        <v>1720</v>
      </c>
      <c r="G4809" s="13">
        <v>0.78</v>
      </c>
      <c r="H4809" s="15">
        <v>1075</v>
      </c>
      <c r="I4809" s="16">
        <v>838.5</v>
      </c>
      <c r="J4809" s="16">
        <v>579.828125</v>
      </c>
      <c r="K4809" s="16">
        <v>258.671875</v>
      </c>
      <c r="L4809" s="13">
        <v>2.29</v>
      </c>
      <c r="M4809" s="13"/>
      <c r="N4809" s="17">
        <f t="shared" si="159"/>
        <v>2461.75</v>
      </c>
      <c r="O4809" s="17">
        <f t="shared" si="159"/>
        <v>0</v>
      </c>
      <c r="P4809" s="17">
        <f t="shared" si="160"/>
        <v>2461.75</v>
      </c>
      <c r="Q4809" t="str">
        <f>A4809&amp;"-"&amp;B4809&amp;"-"&amp;D4809</f>
        <v>OKTOBER-KLB-L1A</v>
      </c>
    </row>
    <row r="4810" spans="1:17" x14ac:dyDescent="0.25">
      <c r="A4810" t="s">
        <v>400</v>
      </c>
      <c r="B4810" s="13" t="s">
        <v>24</v>
      </c>
      <c r="C4810" s="13" t="s">
        <v>226</v>
      </c>
      <c r="D4810" s="14" t="s">
        <v>219</v>
      </c>
      <c r="E4810" s="13" t="s">
        <v>61</v>
      </c>
      <c r="F4810" s="13" t="s">
        <v>1721</v>
      </c>
      <c r="G4810" s="13">
        <v>0.83</v>
      </c>
      <c r="H4810" s="15">
        <v>712</v>
      </c>
      <c r="I4810" s="16">
        <v>590.96</v>
      </c>
      <c r="J4810" s="16">
        <v>297.23897152081167</v>
      </c>
      <c r="K4810" s="16">
        <v>293.72102847918831</v>
      </c>
      <c r="L4810" s="13">
        <v>2.13</v>
      </c>
      <c r="M4810" s="13"/>
      <c r="N4810" s="17">
        <f t="shared" si="159"/>
        <v>1516.56</v>
      </c>
      <c r="O4810" s="17">
        <f t="shared" si="159"/>
        <v>0</v>
      </c>
      <c r="P4810" s="17">
        <f t="shared" si="160"/>
        <v>1516.56</v>
      </c>
      <c r="Q4810" t="str">
        <f>A4810&amp;"-"&amp;B4810&amp;"-"&amp;D4810</f>
        <v>OKTOBER-KLB-L1A</v>
      </c>
    </row>
    <row r="4811" spans="1:17" x14ac:dyDescent="0.25">
      <c r="A4811" t="s">
        <v>400</v>
      </c>
      <c r="B4811" s="13" t="s">
        <v>24</v>
      </c>
      <c r="C4811" s="13" t="s">
        <v>226</v>
      </c>
      <c r="D4811" s="14" t="s">
        <v>219</v>
      </c>
      <c r="E4811" s="13" t="s">
        <v>61</v>
      </c>
      <c r="F4811" s="13" t="s">
        <v>1722</v>
      </c>
      <c r="G4811" s="13">
        <v>0.78</v>
      </c>
      <c r="H4811" s="15">
        <v>8</v>
      </c>
      <c r="I4811" s="16">
        <v>6.24</v>
      </c>
      <c r="J4811" s="16">
        <v>3.2637380375879168</v>
      </c>
      <c r="K4811" s="16">
        <v>2.976261962412083</v>
      </c>
      <c r="L4811" s="13">
        <v>2.29</v>
      </c>
      <c r="M4811" s="13"/>
      <c r="N4811" s="17">
        <f t="shared" si="159"/>
        <v>18.32</v>
      </c>
      <c r="O4811" s="17">
        <f t="shared" si="159"/>
        <v>0</v>
      </c>
      <c r="P4811" s="17">
        <f t="shared" si="160"/>
        <v>18.32</v>
      </c>
      <c r="Q4811" t="str">
        <f>A4811&amp;"-"&amp;B4811&amp;"-"&amp;D4811</f>
        <v>OKTOBER-KLB-L1A</v>
      </c>
    </row>
    <row r="4812" spans="1:17" x14ac:dyDescent="0.25">
      <c r="A4812" t="s">
        <v>400</v>
      </c>
      <c r="B4812" s="13" t="s">
        <v>24</v>
      </c>
      <c r="C4812" s="13" t="s">
        <v>226</v>
      </c>
      <c r="D4812" s="14" t="s">
        <v>219</v>
      </c>
      <c r="E4812" s="13" t="s">
        <v>61</v>
      </c>
      <c r="F4812" s="13" t="s">
        <v>1723</v>
      </c>
      <c r="G4812" s="13">
        <v>0.65</v>
      </c>
      <c r="H4812" s="15">
        <v>5040</v>
      </c>
      <c r="I4812" s="16">
        <v>3276</v>
      </c>
      <c r="J4812" s="16">
        <v>1993.9428039744942</v>
      </c>
      <c r="K4812" s="16">
        <v>1282.0571960255063</v>
      </c>
      <c r="L4812" s="13">
        <v>1.66</v>
      </c>
      <c r="M4812" s="13"/>
      <c r="N4812" s="17">
        <f t="shared" si="159"/>
        <v>8366.4</v>
      </c>
      <c r="O4812" s="17">
        <f t="shared" si="159"/>
        <v>0</v>
      </c>
      <c r="P4812" s="17">
        <f t="shared" si="160"/>
        <v>8366.4</v>
      </c>
      <c r="Q4812" t="str">
        <f>A4812&amp;"-"&amp;B4812&amp;"-"&amp;D4812</f>
        <v>OKTOBER-KLB-L1A</v>
      </c>
    </row>
    <row r="4813" spans="1:17" x14ac:dyDescent="0.25">
      <c r="A4813" t="s">
        <v>400</v>
      </c>
      <c r="B4813" s="13" t="s">
        <v>24</v>
      </c>
      <c r="C4813" s="13" t="s">
        <v>226</v>
      </c>
      <c r="D4813" s="14" t="s">
        <v>219</v>
      </c>
      <c r="E4813" s="13" t="s">
        <v>61</v>
      </c>
      <c r="F4813" s="13" t="s">
        <v>1724</v>
      </c>
      <c r="G4813" s="13">
        <v>0.65</v>
      </c>
      <c r="H4813" s="15">
        <v>6397</v>
      </c>
      <c r="I4813" s="16">
        <v>4158.05</v>
      </c>
      <c r="J4813" s="16">
        <v>2403.245056935818</v>
      </c>
      <c r="K4813" s="16">
        <v>1754.804943064182</v>
      </c>
      <c r="L4813" s="13">
        <v>1.66</v>
      </c>
      <c r="M4813" s="13"/>
      <c r="N4813" s="17">
        <f t="shared" si="159"/>
        <v>10619.019999999999</v>
      </c>
      <c r="O4813" s="17">
        <f t="shared" si="159"/>
        <v>0</v>
      </c>
      <c r="P4813" s="17">
        <f t="shared" si="160"/>
        <v>10619.019999999999</v>
      </c>
      <c r="Q4813" t="str">
        <f>A4813&amp;"-"&amp;B4813&amp;"-"&amp;D4813</f>
        <v>OKTOBER-KLB-L1A</v>
      </c>
    </row>
    <row r="4814" spans="1:17" x14ac:dyDescent="0.25">
      <c r="A4814" t="s">
        <v>400</v>
      </c>
      <c r="B4814" s="13" t="s">
        <v>24</v>
      </c>
      <c r="C4814" s="13" t="s">
        <v>226</v>
      </c>
      <c r="D4814" s="14" t="s">
        <v>219</v>
      </c>
      <c r="E4814" s="13" t="s">
        <v>61</v>
      </c>
      <c r="F4814" s="13" t="s">
        <v>1725</v>
      </c>
      <c r="G4814" s="13">
        <v>0.65</v>
      </c>
      <c r="H4814" s="15">
        <v>3647</v>
      </c>
      <c r="I4814" s="16">
        <v>2370.5500000000002</v>
      </c>
      <c r="J4814" s="16">
        <v>1433.0981934761774</v>
      </c>
      <c r="K4814" s="16">
        <v>937.45180652382271</v>
      </c>
      <c r="L4814" s="13">
        <v>1.66</v>
      </c>
      <c r="M4814" s="13"/>
      <c r="N4814" s="17">
        <f t="shared" si="159"/>
        <v>6054.0199999999995</v>
      </c>
      <c r="O4814" s="17">
        <f t="shared" si="159"/>
        <v>0</v>
      </c>
      <c r="P4814" s="17">
        <f t="shared" si="160"/>
        <v>6054.0199999999995</v>
      </c>
      <c r="Q4814" t="str">
        <f>A4814&amp;"-"&amp;B4814&amp;"-"&amp;D4814</f>
        <v>OKTOBER-KLB-L1A</v>
      </c>
    </row>
    <row r="4815" spans="1:17" x14ac:dyDescent="0.25">
      <c r="A4815" t="s">
        <v>400</v>
      </c>
      <c r="B4815" s="13" t="s">
        <v>24</v>
      </c>
      <c r="C4815" s="13" t="s">
        <v>226</v>
      </c>
      <c r="D4815" s="14" t="s">
        <v>219</v>
      </c>
      <c r="E4815" s="13" t="s">
        <v>61</v>
      </c>
      <c r="F4815" s="13" t="s">
        <v>1726</v>
      </c>
      <c r="G4815" s="13">
        <v>0.65</v>
      </c>
      <c r="H4815" s="15">
        <v>4565</v>
      </c>
      <c r="I4815" s="16">
        <v>2967.25</v>
      </c>
      <c r="J4815" s="16">
        <v>1737.901875126506</v>
      </c>
      <c r="K4815" s="16">
        <v>1229.348124873494</v>
      </c>
      <c r="L4815" s="13">
        <v>1.66</v>
      </c>
      <c r="M4815" s="13"/>
      <c r="N4815" s="17">
        <f t="shared" si="159"/>
        <v>7577.9</v>
      </c>
      <c r="O4815" s="17">
        <f t="shared" si="159"/>
        <v>0</v>
      </c>
      <c r="P4815" s="17">
        <f t="shared" si="160"/>
        <v>7577.9</v>
      </c>
      <c r="Q4815" t="str">
        <f>A4815&amp;"-"&amp;B4815&amp;"-"&amp;D4815</f>
        <v>OKTOBER-KLB-L1A</v>
      </c>
    </row>
    <row r="4816" spans="1:17" x14ac:dyDescent="0.25">
      <c r="A4816" t="s">
        <v>400</v>
      </c>
      <c r="B4816" s="13" t="s">
        <v>24</v>
      </c>
      <c r="C4816" s="13" t="s">
        <v>226</v>
      </c>
      <c r="D4816" s="14" t="s">
        <v>221</v>
      </c>
      <c r="E4816" s="13" t="s">
        <v>61</v>
      </c>
      <c r="F4816" s="13" t="s">
        <v>1521</v>
      </c>
      <c r="G4816" s="13">
        <v>0.68</v>
      </c>
      <c r="H4816" s="15">
        <v>2229</v>
      </c>
      <c r="I4816" s="16">
        <v>1515.7199999999998</v>
      </c>
      <c r="J4816" s="16">
        <v>988.35689267421526</v>
      </c>
      <c r="K4816" s="16">
        <v>527.36310732578477</v>
      </c>
      <c r="L4816" s="13">
        <v>1.69</v>
      </c>
      <c r="M4816" s="13"/>
      <c r="N4816" s="17">
        <f t="shared" si="159"/>
        <v>3767.0099999999998</v>
      </c>
      <c r="O4816" s="17">
        <f t="shared" si="159"/>
        <v>0</v>
      </c>
      <c r="P4816" s="17">
        <f t="shared" si="160"/>
        <v>3767.0099999999998</v>
      </c>
      <c r="Q4816" t="str">
        <f>A4816&amp;"-"&amp;B4816&amp;"-"&amp;D4816</f>
        <v>OKTOBER-KLB-L1B</v>
      </c>
    </row>
    <row r="4817" spans="1:17" x14ac:dyDescent="0.25">
      <c r="A4817" t="s">
        <v>400</v>
      </c>
      <c r="B4817" s="13" t="s">
        <v>24</v>
      </c>
      <c r="C4817" s="13" t="s">
        <v>226</v>
      </c>
      <c r="D4817" s="14" t="s">
        <v>221</v>
      </c>
      <c r="E4817" s="13" t="s">
        <v>61</v>
      </c>
      <c r="F4817" s="13" t="s">
        <v>1523</v>
      </c>
      <c r="G4817" s="13">
        <v>0.65</v>
      </c>
      <c r="H4817" s="15">
        <v>1</v>
      </c>
      <c r="I4817" s="16">
        <v>0.65</v>
      </c>
      <c r="J4817" s="16">
        <v>0.41193317422434367</v>
      </c>
      <c r="K4817" s="16">
        <v>0.23806682577565635</v>
      </c>
      <c r="L4817" s="13">
        <v>1.81</v>
      </c>
      <c r="M4817" s="13"/>
      <c r="N4817" s="17">
        <f t="shared" si="159"/>
        <v>1.81</v>
      </c>
      <c r="O4817" s="17">
        <f t="shared" si="159"/>
        <v>0</v>
      </c>
      <c r="P4817" s="17">
        <f t="shared" si="160"/>
        <v>1.81</v>
      </c>
      <c r="Q4817" t="str">
        <f>A4817&amp;"-"&amp;B4817&amp;"-"&amp;D4817</f>
        <v>OKTOBER-KLB-L1B</v>
      </c>
    </row>
    <row r="4818" spans="1:17" x14ac:dyDescent="0.25">
      <c r="A4818" t="s">
        <v>400</v>
      </c>
      <c r="B4818" s="13" t="s">
        <v>24</v>
      </c>
      <c r="C4818" s="13" t="s">
        <v>226</v>
      </c>
      <c r="D4818" s="14" t="s">
        <v>221</v>
      </c>
      <c r="E4818" s="13" t="s">
        <v>61</v>
      </c>
      <c r="F4818" s="13" t="s">
        <v>1715</v>
      </c>
      <c r="G4818" s="13">
        <v>0.68</v>
      </c>
      <c r="H4818" s="15">
        <v>2285</v>
      </c>
      <c r="I4818" s="16">
        <v>1553.8000000000002</v>
      </c>
      <c r="J4818" s="16">
        <v>915.49856206302911</v>
      </c>
      <c r="K4818" s="16">
        <v>638.30143793697096</v>
      </c>
      <c r="L4818" s="13">
        <v>1.69</v>
      </c>
      <c r="M4818" s="13"/>
      <c r="N4818" s="17">
        <f t="shared" si="159"/>
        <v>3861.65</v>
      </c>
      <c r="O4818" s="17">
        <f t="shared" si="159"/>
        <v>0</v>
      </c>
      <c r="P4818" s="17">
        <f t="shared" si="160"/>
        <v>3861.65</v>
      </c>
      <c r="Q4818" t="str">
        <f>A4818&amp;"-"&amp;B4818&amp;"-"&amp;D4818</f>
        <v>OKTOBER-KLB-L1B</v>
      </c>
    </row>
    <row r="4819" spans="1:17" x14ac:dyDescent="0.25">
      <c r="A4819" t="s">
        <v>400</v>
      </c>
      <c r="B4819" s="13" t="s">
        <v>24</v>
      </c>
      <c r="C4819" s="13" t="s">
        <v>226</v>
      </c>
      <c r="D4819" s="14" t="s">
        <v>221</v>
      </c>
      <c r="E4819" s="13" t="s">
        <v>61</v>
      </c>
      <c r="F4819" s="13" t="s">
        <v>1727</v>
      </c>
      <c r="G4819" s="13">
        <v>0.68</v>
      </c>
      <c r="H4819" s="15">
        <v>1320</v>
      </c>
      <c r="I4819" s="16">
        <v>897.6</v>
      </c>
      <c r="J4819" s="16">
        <v>523.75172413793098</v>
      </c>
      <c r="K4819" s="16">
        <v>373.84827586206904</v>
      </c>
      <c r="L4819" s="13">
        <v>1.69</v>
      </c>
      <c r="M4819" s="13"/>
      <c r="N4819" s="17">
        <f t="shared" si="159"/>
        <v>2230.7999999999997</v>
      </c>
      <c r="O4819" s="17">
        <f t="shared" si="159"/>
        <v>0</v>
      </c>
      <c r="P4819" s="17">
        <f t="shared" si="160"/>
        <v>2230.7999999999997</v>
      </c>
      <c r="Q4819" t="str">
        <f>A4819&amp;"-"&amp;B4819&amp;"-"&amp;D4819</f>
        <v>OKTOBER-KLB-L1B</v>
      </c>
    </row>
    <row r="4820" spans="1:17" x14ac:dyDescent="0.25">
      <c r="A4820" t="s">
        <v>400</v>
      </c>
      <c r="B4820" s="13" t="s">
        <v>24</v>
      </c>
      <c r="C4820" s="13" t="s">
        <v>226</v>
      </c>
      <c r="D4820" s="14" t="s">
        <v>221</v>
      </c>
      <c r="E4820" s="13" t="s">
        <v>61</v>
      </c>
      <c r="F4820" s="13" t="s">
        <v>1728</v>
      </c>
      <c r="G4820" s="13">
        <v>0.65</v>
      </c>
      <c r="H4820" s="15">
        <v>360</v>
      </c>
      <c r="I4820" s="16">
        <v>234</v>
      </c>
      <c r="J4820" s="16">
        <v>142.84137931034482</v>
      </c>
      <c r="K4820" s="16">
        <v>91.15862068965518</v>
      </c>
      <c r="L4820" s="13">
        <v>1.81</v>
      </c>
      <c r="M4820" s="13"/>
      <c r="N4820" s="17">
        <f t="shared" si="159"/>
        <v>651.6</v>
      </c>
      <c r="O4820" s="17">
        <f t="shared" si="159"/>
        <v>0</v>
      </c>
      <c r="P4820" s="17">
        <f t="shared" si="160"/>
        <v>651.6</v>
      </c>
      <c r="Q4820" t="str">
        <f>A4820&amp;"-"&amp;B4820&amp;"-"&amp;D4820</f>
        <v>OKTOBER-KLB-L1B</v>
      </c>
    </row>
    <row r="4821" spans="1:17" x14ac:dyDescent="0.25">
      <c r="A4821" t="s">
        <v>400</v>
      </c>
      <c r="B4821" s="13" t="s">
        <v>24</v>
      </c>
      <c r="C4821" s="13" t="s">
        <v>226</v>
      </c>
      <c r="D4821" s="14" t="s">
        <v>221</v>
      </c>
      <c r="E4821" s="13" t="s">
        <v>61</v>
      </c>
      <c r="F4821" s="13" t="s">
        <v>1526</v>
      </c>
      <c r="G4821" s="13">
        <v>0.68</v>
      </c>
      <c r="H4821" s="15">
        <v>120</v>
      </c>
      <c r="I4821" s="16">
        <v>81.599999999999994</v>
      </c>
      <c r="J4821" s="16">
        <v>54.21989528795811</v>
      </c>
      <c r="K4821" s="16">
        <v>27.380104712041884</v>
      </c>
      <c r="L4821" s="13">
        <v>1.69</v>
      </c>
      <c r="M4821" s="13"/>
      <c r="N4821" s="17">
        <f t="shared" si="159"/>
        <v>202.79999999999998</v>
      </c>
      <c r="O4821" s="17">
        <f t="shared" si="159"/>
        <v>0</v>
      </c>
      <c r="P4821" s="17">
        <f t="shared" si="160"/>
        <v>202.79999999999998</v>
      </c>
      <c r="Q4821" t="str">
        <f>A4821&amp;"-"&amp;B4821&amp;"-"&amp;D4821</f>
        <v>OKTOBER-KLB-L1B</v>
      </c>
    </row>
    <row r="4822" spans="1:17" x14ac:dyDescent="0.25">
      <c r="A4822" t="s">
        <v>400</v>
      </c>
      <c r="B4822" s="13" t="s">
        <v>24</v>
      </c>
      <c r="C4822" s="13" t="s">
        <v>226</v>
      </c>
      <c r="D4822" s="14" t="s">
        <v>221</v>
      </c>
      <c r="E4822" s="13" t="s">
        <v>61</v>
      </c>
      <c r="F4822" s="13" t="s">
        <v>1716</v>
      </c>
      <c r="G4822" s="13">
        <v>0.73999999999999988</v>
      </c>
      <c r="H4822" s="15">
        <v>3260</v>
      </c>
      <c r="I4822" s="16">
        <v>2412.3999999999996</v>
      </c>
      <c r="J4822" s="16">
        <v>1301.8823027900689</v>
      </c>
      <c r="K4822" s="16">
        <v>1110.5176972099312</v>
      </c>
      <c r="L4822" s="13">
        <v>1.36</v>
      </c>
      <c r="M4822" s="13"/>
      <c r="N4822" s="17">
        <f t="shared" si="159"/>
        <v>4433.6000000000004</v>
      </c>
      <c r="O4822" s="17">
        <f t="shared" si="159"/>
        <v>0</v>
      </c>
      <c r="P4822" s="17">
        <f t="shared" si="160"/>
        <v>4433.6000000000004</v>
      </c>
      <c r="Q4822" t="str">
        <f>A4822&amp;"-"&amp;B4822&amp;"-"&amp;D4822</f>
        <v>OKTOBER-KLB-L1B</v>
      </c>
    </row>
    <row r="4823" spans="1:17" x14ac:dyDescent="0.25">
      <c r="A4823" t="s">
        <v>400</v>
      </c>
      <c r="B4823" s="13" t="s">
        <v>24</v>
      </c>
      <c r="C4823" s="13" t="s">
        <v>226</v>
      </c>
      <c r="D4823" s="14" t="s">
        <v>221</v>
      </c>
      <c r="E4823" s="13" t="s">
        <v>61</v>
      </c>
      <c r="F4823" s="13" t="s">
        <v>1717</v>
      </c>
      <c r="G4823" s="13">
        <v>0.71</v>
      </c>
      <c r="H4823" s="15">
        <v>3865</v>
      </c>
      <c r="I4823" s="16">
        <v>2744.15</v>
      </c>
      <c r="J4823" s="16">
        <v>1404.6444847832297</v>
      </c>
      <c r="K4823" s="16">
        <v>1339.5055152167704</v>
      </c>
      <c r="L4823" s="13">
        <v>1.29</v>
      </c>
      <c r="M4823" s="13"/>
      <c r="N4823" s="17">
        <f t="shared" si="159"/>
        <v>4985.8500000000004</v>
      </c>
      <c r="O4823" s="17">
        <f t="shared" si="159"/>
        <v>0</v>
      </c>
      <c r="P4823" s="17">
        <f t="shared" si="160"/>
        <v>4985.8500000000004</v>
      </c>
      <c r="Q4823" t="str">
        <f>A4823&amp;"-"&amp;B4823&amp;"-"&amp;D4823</f>
        <v>OKTOBER-KLB-L1B</v>
      </c>
    </row>
    <row r="4824" spans="1:17" x14ac:dyDescent="0.25">
      <c r="A4824" t="s">
        <v>400</v>
      </c>
      <c r="B4824" s="13" t="s">
        <v>24</v>
      </c>
      <c r="C4824" s="13" t="s">
        <v>226</v>
      </c>
      <c r="D4824" s="14" t="s">
        <v>221</v>
      </c>
      <c r="E4824" s="13" t="s">
        <v>61</v>
      </c>
      <c r="F4824" s="13" t="s">
        <v>1718</v>
      </c>
      <c r="G4824" s="13">
        <v>0.71</v>
      </c>
      <c r="H4824" s="15">
        <v>8665</v>
      </c>
      <c r="I4824" s="16">
        <v>6152.15</v>
      </c>
      <c r="J4824" s="16">
        <v>3357.015291382681</v>
      </c>
      <c r="K4824" s="16">
        <v>2795.1347086173187</v>
      </c>
      <c r="L4824" s="13">
        <v>1.29</v>
      </c>
      <c r="M4824" s="13"/>
      <c r="N4824" s="17">
        <f t="shared" si="159"/>
        <v>11177.85</v>
      </c>
      <c r="O4824" s="17">
        <f t="shared" si="159"/>
        <v>0</v>
      </c>
      <c r="P4824" s="17">
        <f t="shared" si="160"/>
        <v>11177.85</v>
      </c>
      <c r="Q4824" t="str">
        <f>A4824&amp;"-"&amp;B4824&amp;"-"&amp;D4824</f>
        <v>OKTOBER-KLB-L1B</v>
      </c>
    </row>
    <row r="4825" spans="1:17" x14ac:dyDescent="0.25">
      <c r="A4825" t="s">
        <v>400</v>
      </c>
      <c r="B4825" s="13" t="s">
        <v>24</v>
      </c>
      <c r="C4825" s="13" t="s">
        <v>226</v>
      </c>
      <c r="D4825" s="14" t="s">
        <v>221</v>
      </c>
      <c r="E4825" s="13" t="s">
        <v>61</v>
      </c>
      <c r="F4825" s="13" t="s">
        <v>1719</v>
      </c>
      <c r="G4825" s="13">
        <v>0.82999999999999985</v>
      </c>
      <c r="H4825" s="15">
        <v>4695</v>
      </c>
      <c r="I4825" s="16">
        <v>3896.8500000000004</v>
      </c>
      <c r="J4825" s="16">
        <v>2009.5259277586727</v>
      </c>
      <c r="K4825" s="16">
        <v>1887.324072241327</v>
      </c>
      <c r="L4825" s="13">
        <v>2.13</v>
      </c>
      <c r="M4825" s="13"/>
      <c r="N4825" s="17">
        <f t="shared" si="159"/>
        <v>10000.35</v>
      </c>
      <c r="O4825" s="17">
        <f t="shared" si="159"/>
        <v>0</v>
      </c>
      <c r="P4825" s="17">
        <f t="shared" si="160"/>
        <v>10000.35</v>
      </c>
      <c r="Q4825" t="str">
        <f>A4825&amp;"-"&amp;B4825&amp;"-"&amp;D4825</f>
        <v>OKTOBER-KLB-L1B</v>
      </c>
    </row>
    <row r="4826" spans="1:17" x14ac:dyDescent="0.25">
      <c r="A4826" t="s">
        <v>400</v>
      </c>
      <c r="B4826" s="13" t="s">
        <v>24</v>
      </c>
      <c r="C4826" s="13" t="s">
        <v>226</v>
      </c>
      <c r="D4826" s="14" t="s">
        <v>221</v>
      </c>
      <c r="E4826" s="13" t="s">
        <v>61</v>
      </c>
      <c r="F4826" s="13" t="s">
        <v>1720</v>
      </c>
      <c r="G4826" s="13">
        <v>0.77999999999999992</v>
      </c>
      <c r="H4826" s="15">
        <v>171</v>
      </c>
      <c r="I4826" s="16">
        <v>133.38</v>
      </c>
      <c r="J4826" s="16">
        <v>72.590306617448732</v>
      </c>
      <c r="K4826" s="16">
        <v>60.789693382551263</v>
      </c>
      <c r="L4826" s="13">
        <v>2.29</v>
      </c>
      <c r="M4826" s="13"/>
      <c r="N4826" s="17">
        <f t="shared" si="159"/>
        <v>391.59000000000003</v>
      </c>
      <c r="O4826" s="17">
        <f t="shared" si="159"/>
        <v>0</v>
      </c>
      <c r="P4826" s="17">
        <f t="shared" si="160"/>
        <v>391.59000000000003</v>
      </c>
      <c r="Q4826" t="str">
        <f>A4826&amp;"-"&amp;B4826&amp;"-"&amp;D4826</f>
        <v>OKTOBER-KLB-L1B</v>
      </c>
    </row>
    <row r="4827" spans="1:17" x14ac:dyDescent="0.25">
      <c r="A4827" t="s">
        <v>400</v>
      </c>
      <c r="B4827" s="13" t="s">
        <v>24</v>
      </c>
      <c r="C4827" s="13" t="s">
        <v>226</v>
      </c>
      <c r="D4827" s="14" t="s">
        <v>221</v>
      </c>
      <c r="E4827" s="13" t="s">
        <v>61</v>
      </c>
      <c r="F4827" s="13" t="s">
        <v>1721</v>
      </c>
      <c r="G4827" s="13">
        <v>0.83</v>
      </c>
      <c r="H4827" s="15">
        <v>2445</v>
      </c>
      <c r="I4827" s="16">
        <v>2029.3500000000001</v>
      </c>
      <c r="J4827" s="16">
        <v>995.96314467879427</v>
      </c>
      <c r="K4827" s="16">
        <v>1033.386855321206</v>
      </c>
      <c r="L4827" s="13">
        <v>2.13</v>
      </c>
      <c r="M4827" s="13"/>
      <c r="N4827" s="17">
        <f t="shared" si="159"/>
        <v>5207.8499999999995</v>
      </c>
      <c r="O4827" s="17">
        <f t="shared" si="159"/>
        <v>0</v>
      </c>
      <c r="P4827" s="17">
        <f t="shared" si="160"/>
        <v>5207.8499999999995</v>
      </c>
      <c r="Q4827" t="str">
        <f>A4827&amp;"-"&amp;B4827&amp;"-"&amp;D4827</f>
        <v>OKTOBER-KLB-L1B</v>
      </c>
    </row>
    <row r="4828" spans="1:17" x14ac:dyDescent="0.25">
      <c r="A4828" t="s">
        <v>400</v>
      </c>
      <c r="B4828" s="13" t="s">
        <v>24</v>
      </c>
      <c r="C4828" s="13" t="s">
        <v>226</v>
      </c>
      <c r="D4828" s="14" t="s">
        <v>221</v>
      </c>
      <c r="E4828" s="13" t="s">
        <v>61</v>
      </c>
      <c r="F4828" s="13" t="s">
        <v>1722</v>
      </c>
      <c r="G4828" s="13">
        <v>0.78</v>
      </c>
      <c r="H4828" s="15">
        <v>350</v>
      </c>
      <c r="I4828" s="16">
        <v>273</v>
      </c>
      <c r="J4828" s="16">
        <v>163.40787478269448</v>
      </c>
      <c r="K4828" s="16">
        <v>109.59212521730554</v>
      </c>
      <c r="L4828" s="13">
        <v>2.29</v>
      </c>
      <c r="M4828" s="13"/>
      <c r="N4828" s="17">
        <f t="shared" si="159"/>
        <v>801.5</v>
      </c>
      <c r="O4828" s="17">
        <f t="shared" si="159"/>
        <v>0</v>
      </c>
      <c r="P4828" s="17">
        <f t="shared" si="160"/>
        <v>801.5</v>
      </c>
      <c r="Q4828" t="str">
        <f>A4828&amp;"-"&amp;B4828&amp;"-"&amp;D4828</f>
        <v>OKTOBER-KLB-L1B</v>
      </c>
    </row>
    <row r="4829" spans="1:17" x14ac:dyDescent="0.25">
      <c r="A4829" t="s">
        <v>400</v>
      </c>
      <c r="B4829" s="13" t="s">
        <v>24</v>
      </c>
      <c r="C4829" s="13" t="s">
        <v>226</v>
      </c>
      <c r="D4829" s="14" t="s">
        <v>221</v>
      </c>
      <c r="E4829" s="13" t="s">
        <v>61</v>
      </c>
      <c r="F4829" s="13" t="s">
        <v>1723</v>
      </c>
      <c r="G4829" s="13">
        <v>0.65</v>
      </c>
      <c r="H4829" s="15">
        <v>6764</v>
      </c>
      <c r="I4829" s="16">
        <v>4396.6000000000004</v>
      </c>
      <c r="J4829" s="16">
        <v>2631.3322906033131</v>
      </c>
      <c r="K4829" s="16">
        <v>1765.2677093966865</v>
      </c>
      <c r="L4829" s="13">
        <v>1.66</v>
      </c>
      <c r="M4829" s="13"/>
      <c r="N4829" s="17">
        <f t="shared" si="159"/>
        <v>11228.24</v>
      </c>
      <c r="O4829" s="17">
        <f t="shared" si="159"/>
        <v>0</v>
      </c>
      <c r="P4829" s="17">
        <f t="shared" si="160"/>
        <v>11228.24</v>
      </c>
      <c r="Q4829" t="str">
        <f>A4829&amp;"-"&amp;B4829&amp;"-"&amp;D4829</f>
        <v>OKTOBER-KLB-L1B</v>
      </c>
    </row>
    <row r="4830" spans="1:17" x14ac:dyDescent="0.25">
      <c r="A4830" t="s">
        <v>400</v>
      </c>
      <c r="B4830" s="13" t="s">
        <v>24</v>
      </c>
      <c r="C4830" s="13" t="s">
        <v>226</v>
      </c>
      <c r="D4830" s="14" t="s">
        <v>221</v>
      </c>
      <c r="E4830" s="13" t="s">
        <v>61</v>
      </c>
      <c r="F4830" s="13" t="s">
        <v>1724</v>
      </c>
      <c r="G4830" s="13">
        <v>0.65</v>
      </c>
      <c r="H4830" s="15">
        <v>2995</v>
      </c>
      <c r="I4830" s="16">
        <v>1946.75</v>
      </c>
      <c r="J4830" s="16">
        <v>1182.7931318534249</v>
      </c>
      <c r="K4830" s="16">
        <v>763.95686814657506</v>
      </c>
      <c r="L4830" s="13">
        <v>1.66</v>
      </c>
      <c r="M4830" s="13"/>
      <c r="N4830" s="17">
        <f t="shared" si="159"/>
        <v>4971.7</v>
      </c>
      <c r="O4830" s="17">
        <f t="shared" si="159"/>
        <v>0</v>
      </c>
      <c r="P4830" s="17">
        <f t="shared" si="160"/>
        <v>4971.7</v>
      </c>
      <c r="Q4830" t="str">
        <f>A4830&amp;"-"&amp;B4830&amp;"-"&amp;D4830</f>
        <v>OKTOBER-KLB-L1B</v>
      </c>
    </row>
    <row r="4831" spans="1:17" x14ac:dyDescent="0.25">
      <c r="A4831" t="s">
        <v>400</v>
      </c>
      <c r="B4831" s="13" t="s">
        <v>24</v>
      </c>
      <c r="C4831" s="13" t="s">
        <v>226</v>
      </c>
      <c r="D4831" s="14" t="s">
        <v>221</v>
      </c>
      <c r="E4831" s="13" t="s">
        <v>61</v>
      </c>
      <c r="F4831" s="13" t="s">
        <v>1725</v>
      </c>
      <c r="G4831" s="13">
        <v>0.65</v>
      </c>
      <c r="H4831" s="15">
        <v>2740</v>
      </c>
      <c r="I4831" s="16">
        <v>1781</v>
      </c>
      <c r="J4831" s="16">
        <v>1155.0034968249654</v>
      </c>
      <c r="K4831" s="16">
        <v>625.9965031750346</v>
      </c>
      <c r="L4831" s="13">
        <v>1.66</v>
      </c>
      <c r="M4831" s="13"/>
      <c r="N4831" s="17">
        <f t="shared" si="159"/>
        <v>4548.3999999999996</v>
      </c>
      <c r="O4831" s="17">
        <f t="shared" si="159"/>
        <v>0</v>
      </c>
      <c r="P4831" s="17">
        <f t="shared" si="160"/>
        <v>4548.3999999999996</v>
      </c>
      <c r="Q4831" t="str">
        <f>A4831&amp;"-"&amp;B4831&amp;"-"&amp;D4831</f>
        <v>OKTOBER-KLB-L1B</v>
      </c>
    </row>
    <row r="4832" spans="1:17" x14ac:dyDescent="0.25">
      <c r="A4832" t="s">
        <v>400</v>
      </c>
      <c r="B4832" s="13" t="s">
        <v>24</v>
      </c>
      <c r="C4832" s="13" t="s">
        <v>226</v>
      </c>
      <c r="D4832" s="14" t="s">
        <v>221</v>
      </c>
      <c r="E4832" s="13" t="s">
        <v>61</v>
      </c>
      <c r="F4832" s="13" t="s">
        <v>1726</v>
      </c>
      <c r="G4832" s="13">
        <v>0.65</v>
      </c>
      <c r="H4832" s="15">
        <v>5402</v>
      </c>
      <c r="I4832" s="16">
        <v>3511.3</v>
      </c>
      <c r="J4832" s="16">
        <v>2086.7613612770042</v>
      </c>
      <c r="K4832" s="16">
        <v>1424.538638722996</v>
      </c>
      <c r="L4832" s="13">
        <v>1.66</v>
      </c>
      <c r="M4832" s="13"/>
      <c r="N4832" s="17">
        <f t="shared" si="159"/>
        <v>8967.32</v>
      </c>
      <c r="O4832" s="17">
        <f t="shared" si="159"/>
        <v>0</v>
      </c>
      <c r="P4832" s="17">
        <f t="shared" si="160"/>
        <v>8967.32</v>
      </c>
      <c r="Q4832" t="str">
        <f>A4832&amp;"-"&amp;B4832&amp;"-"&amp;D4832</f>
        <v>OKTOBER-KLB-L1B</v>
      </c>
    </row>
    <row r="4833" spans="1:17" x14ac:dyDescent="0.25">
      <c r="A4833" t="s">
        <v>400</v>
      </c>
      <c r="B4833" s="13" t="s">
        <v>24</v>
      </c>
      <c r="C4833" s="13" t="s">
        <v>226</v>
      </c>
      <c r="D4833" s="14" t="s">
        <v>222</v>
      </c>
      <c r="E4833" s="13" t="s">
        <v>61</v>
      </c>
      <c r="F4833" s="13" t="s">
        <v>1521</v>
      </c>
      <c r="G4833" s="13">
        <v>0.68</v>
      </c>
      <c r="H4833" s="15">
        <v>2657</v>
      </c>
      <c r="I4833" s="16">
        <v>1806.76</v>
      </c>
      <c r="J4833" s="16">
        <v>1121.8031787584143</v>
      </c>
      <c r="K4833" s="16">
        <v>684.95682124158566</v>
      </c>
      <c r="L4833" s="13">
        <v>1.69</v>
      </c>
      <c r="M4833" s="13"/>
      <c r="N4833" s="17">
        <f t="shared" si="159"/>
        <v>4490.33</v>
      </c>
      <c r="O4833" s="17">
        <f t="shared" si="159"/>
        <v>0</v>
      </c>
      <c r="P4833" s="17">
        <f t="shared" si="160"/>
        <v>4490.33</v>
      </c>
      <c r="Q4833" t="str">
        <f>A4833&amp;"-"&amp;B4833&amp;"-"&amp;D4833</f>
        <v>OKTOBER-KLB-L2A</v>
      </c>
    </row>
    <row r="4834" spans="1:17" x14ac:dyDescent="0.25">
      <c r="A4834" t="s">
        <v>400</v>
      </c>
      <c r="B4834" s="13" t="s">
        <v>24</v>
      </c>
      <c r="C4834" s="13" t="s">
        <v>226</v>
      </c>
      <c r="D4834" s="14" t="s">
        <v>222</v>
      </c>
      <c r="E4834" s="13" t="s">
        <v>61</v>
      </c>
      <c r="F4834" s="13" t="s">
        <v>1523</v>
      </c>
      <c r="G4834" s="13">
        <v>0.65</v>
      </c>
      <c r="H4834" s="15">
        <v>3</v>
      </c>
      <c r="I4834" s="16">
        <v>1.95</v>
      </c>
      <c r="J4834" s="16">
        <v>1.4225274725274726</v>
      </c>
      <c r="K4834" s="16">
        <v>0.52747252747252737</v>
      </c>
      <c r="L4834" s="13">
        <v>1.81</v>
      </c>
      <c r="M4834" s="13"/>
      <c r="N4834" s="17">
        <f t="shared" si="159"/>
        <v>5.43</v>
      </c>
      <c r="O4834" s="17">
        <f t="shared" si="159"/>
        <v>0</v>
      </c>
      <c r="P4834" s="17">
        <f t="shared" si="160"/>
        <v>5.43</v>
      </c>
      <c r="Q4834" t="str">
        <f>A4834&amp;"-"&amp;B4834&amp;"-"&amp;D4834</f>
        <v>OKTOBER-KLB-L2A</v>
      </c>
    </row>
    <row r="4835" spans="1:17" x14ac:dyDescent="0.25">
      <c r="A4835" t="s">
        <v>400</v>
      </c>
      <c r="B4835" s="13" t="s">
        <v>24</v>
      </c>
      <c r="C4835" s="13" t="s">
        <v>226</v>
      </c>
      <c r="D4835" s="14" t="s">
        <v>222</v>
      </c>
      <c r="E4835" s="13" t="s">
        <v>61</v>
      </c>
      <c r="F4835" s="13" t="s">
        <v>1715</v>
      </c>
      <c r="G4835" s="13">
        <v>0.68</v>
      </c>
      <c r="H4835" s="15">
        <v>1555</v>
      </c>
      <c r="I4835" s="16">
        <v>1057.3999999999999</v>
      </c>
      <c r="J4835" s="16">
        <v>704.72209596686037</v>
      </c>
      <c r="K4835" s="16">
        <v>352.67790403313961</v>
      </c>
      <c r="L4835" s="13">
        <v>1.69</v>
      </c>
      <c r="M4835" s="13"/>
      <c r="N4835" s="17">
        <f t="shared" si="159"/>
        <v>2627.95</v>
      </c>
      <c r="O4835" s="17">
        <f t="shared" si="159"/>
        <v>0</v>
      </c>
      <c r="P4835" s="17">
        <f t="shared" si="160"/>
        <v>2627.95</v>
      </c>
      <c r="Q4835" t="str">
        <f>A4835&amp;"-"&amp;B4835&amp;"-"&amp;D4835</f>
        <v>OKTOBER-KLB-L2A</v>
      </c>
    </row>
    <row r="4836" spans="1:17" x14ac:dyDescent="0.25">
      <c r="A4836" t="s">
        <v>400</v>
      </c>
      <c r="B4836" s="13" t="s">
        <v>24</v>
      </c>
      <c r="C4836" s="13" t="s">
        <v>226</v>
      </c>
      <c r="D4836" s="14" t="s">
        <v>222</v>
      </c>
      <c r="E4836" s="13" t="s">
        <v>61</v>
      </c>
      <c r="F4836" s="13" t="s">
        <v>1529</v>
      </c>
      <c r="G4836" s="13">
        <v>0.68</v>
      </c>
      <c r="H4836" s="15">
        <v>1160</v>
      </c>
      <c r="I4836" s="16">
        <v>788.80000000000007</v>
      </c>
      <c r="J4836" s="16">
        <v>551.60899537620855</v>
      </c>
      <c r="K4836" s="16">
        <v>237.19100462379151</v>
      </c>
      <c r="L4836" s="13">
        <v>1.69</v>
      </c>
      <c r="M4836" s="13"/>
      <c r="N4836" s="17">
        <f t="shared" si="159"/>
        <v>1960.3999999999999</v>
      </c>
      <c r="O4836" s="17">
        <f t="shared" si="159"/>
        <v>0</v>
      </c>
      <c r="P4836" s="17">
        <f t="shared" si="160"/>
        <v>1960.3999999999999</v>
      </c>
      <c r="Q4836" t="str">
        <f>A4836&amp;"-"&amp;B4836&amp;"-"&amp;D4836</f>
        <v>OKTOBER-KLB-L2A</v>
      </c>
    </row>
    <row r="4837" spans="1:17" x14ac:dyDescent="0.25">
      <c r="A4837" t="s">
        <v>400</v>
      </c>
      <c r="B4837" s="13" t="s">
        <v>24</v>
      </c>
      <c r="C4837" s="13" t="s">
        <v>226</v>
      </c>
      <c r="D4837" s="14" t="s">
        <v>222</v>
      </c>
      <c r="E4837" s="13" t="s">
        <v>61</v>
      </c>
      <c r="F4837" s="13" t="s">
        <v>1717</v>
      </c>
      <c r="G4837" s="13">
        <v>0.71</v>
      </c>
      <c r="H4837" s="15">
        <v>8930</v>
      </c>
      <c r="I4837" s="16">
        <v>6340.3</v>
      </c>
      <c r="J4837" s="16">
        <v>3423.6517008479591</v>
      </c>
      <c r="K4837" s="16">
        <v>2916.6482991520411</v>
      </c>
      <c r="L4837" s="13">
        <v>1.29</v>
      </c>
      <c r="M4837" s="13"/>
      <c r="N4837" s="17">
        <f t="shared" si="159"/>
        <v>11519.7</v>
      </c>
      <c r="O4837" s="17">
        <f t="shared" si="159"/>
        <v>0</v>
      </c>
      <c r="P4837" s="17">
        <f t="shared" si="160"/>
        <v>11519.7</v>
      </c>
      <c r="Q4837" t="str">
        <f>A4837&amp;"-"&amp;B4837&amp;"-"&amp;D4837</f>
        <v>OKTOBER-KLB-L2A</v>
      </c>
    </row>
    <row r="4838" spans="1:17" x14ac:dyDescent="0.25">
      <c r="A4838" t="s">
        <v>400</v>
      </c>
      <c r="B4838" s="13" t="s">
        <v>24</v>
      </c>
      <c r="C4838" s="13" t="s">
        <v>226</v>
      </c>
      <c r="D4838" s="14" t="s">
        <v>222</v>
      </c>
      <c r="E4838" s="13" t="s">
        <v>61</v>
      </c>
      <c r="F4838" s="13" t="s">
        <v>1718</v>
      </c>
      <c r="G4838" s="13">
        <v>0.71</v>
      </c>
      <c r="H4838" s="15">
        <v>6650</v>
      </c>
      <c r="I4838" s="16">
        <v>4721.5</v>
      </c>
      <c r="J4838" s="16">
        <v>2615.3413224078549</v>
      </c>
      <c r="K4838" s="16">
        <v>2106.1586775921451</v>
      </c>
      <c r="L4838" s="13">
        <v>1.29</v>
      </c>
      <c r="M4838" s="13"/>
      <c r="N4838" s="17">
        <f t="shared" si="159"/>
        <v>8578.5</v>
      </c>
      <c r="O4838" s="17">
        <f t="shared" si="159"/>
        <v>0</v>
      </c>
      <c r="P4838" s="17">
        <f t="shared" si="160"/>
        <v>8578.5</v>
      </c>
      <c r="Q4838" t="str">
        <f>A4838&amp;"-"&amp;B4838&amp;"-"&amp;D4838</f>
        <v>OKTOBER-KLB-L2A</v>
      </c>
    </row>
    <row r="4839" spans="1:17" x14ac:dyDescent="0.25">
      <c r="A4839" t="s">
        <v>400</v>
      </c>
      <c r="B4839" s="13" t="s">
        <v>24</v>
      </c>
      <c r="C4839" s="13" t="s">
        <v>226</v>
      </c>
      <c r="D4839" s="14" t="s">
        <v>222</v>
      </c>
      <c r="E4839" s="13" t="s">
        <v>61</v>
      </c>
      <c r="F4839" s="13" t="s">
        <v>1719</v>
      </c>
      <c r="G4839" s="13">
        <v>0.83</v>
      </c>
      <c r="H4839" s="15">
        <v>3085</v>
      </c>
      <c r="I4839" s="16">
        <v>2560.5500000000002</v>
      </c>
      <c r="J4839" s="16">
        <v>1711.7815989220724</v>
      </c>
      <c r="K4839" s="16">
        <v>848.76840107792759</v>
      </c>
      <c r="L4839" s="13">
        <v>2.13</v>
      </c>
      <c r="M4839" s="13"/>
      <c r="N4839" s="17">
        <f t="shared" si="159"/>
        <v>6571.0499999999993</v>
      </c>
      <c r="O4839" s="17">
        <f t="shared" si="159"/>
        <v>0</v>
      </c>
      <c r="P4839" s="17">
        <f t="shared" si="160"/>
        <v>6571.0499999999993</v>
      </c>
      <c r="Q4839" t="str">
        <f>A4839&amp;"-"&amp;B4839&amp;"-"&amp;D4839</f>
        <v>OKTOBER-KLB-L2A</v>
      </c>
    </row>
    <row r="4840" spans="1:17" x14ac:dyDescent="0.25">
      <c r="A4840" t="s">
        <v>400</v>
      </c>
      <c r="B4840" s="13" t="s">
        <v>24</v>
      </c>
      <c r="C4840" s="13" t="s">
        <v>226</v>
      </c>
      <c r="D4840" s="14" t="s">
        <v>222</v>
      </c>
      <c r="E4840" s="13" t="s">
        <v>61</v>
      </c>
      <c r="F4840" s="13" t="s">
        <v>1720</v>
      </c>
      <c r="G4840" s="13">
        <v>0.78</v>
      </c>
      <c r="H4840" s="15">
        <v>510</v>
      </c>
      <c r="I4840" s="16">
        <v>397.8</v>
      </c>
      <c r="J4840" s="16">
        <v>245.95733201225002</v>
      </c>
      <c r="K4840" s="16">
        <v>151.84266798774996</v>
      </c>
      <c r="L4840" s="13">
        <v>2.29</v>
      </c>
      <c r="M4840" s="13"/>
      <c r="N4840" s="17">
        <f t="shared" si="159"/>
        <v>1167.9000000000001</v>
      </c>
      <c r="O4840" s="17">
        <f t="shared" si="159"/>
        <v>0</v>
      </c>
      <c r="P4840" s="17">
        <f t="shared" si="160"/>
        <v>1167.9000000000001</v>
      </c>
      <c r="Q4840" t="str">
        <f>A4840&amp;"-"&amp;B4840&amp;"-"&amp;D4840</f>
        <v>OKTOBER-KLB-L2A</v>
      </c>
    </row>
    <row r="4841" spans="1:17" x14ac:dyDescent="0.25">
      <c r="A4841" t="s">
        <v>400</v>
      </c>
      <c r="B4841" s="13" t="s">
        <v>24</v>
      </c>
      <c r="C4841" s="13" t="s">
        <v>226</v>
      </c>
      <c r="D4841" s="14" t="s">
        <v>222</v>
      </c>
      <c r="E4841" s="13" t="s">
        <v>61</v>
      </c>
      <c r="F4841" s="13" t="s">
        <v>1721</v>
      </c>
      <c r="G4841" s="13">
        <v>0.83</v>
      </c>
      <c r="H4841" s="15">
        <v>1550</v>
      </c>
      <c r="I4841" s="16">
        <v>1286.5</v>
      </c>
      <c r="J4841" s="16">
        <v>698.5117493472585</v>
      </c>
      <c r="K4841" s="16">
        <v>587.9882506527415</v>
      </c>
      <c r="L4841" s="13">
        <v>2.13</v>
      </c>
      <c r="M4841" s="13"/>
      <c r="N4841" s="17">
        <f t="shared" si="159"/>
        <v>3301.5</v>
      </c>
      <c r="O4841" s="17">
        <f t="shared" si="159"/>
        <v>0</v>
      </c>
      <c r="P4841" s="17">
        <f t="shared" si="160"/>
        <v>3301.5</v>
      </c>
      <c r="Q4841" t="str">
        <f>A4841&amp;"-"&amp;B4841&amp;"-"&amp;D4841</f>
        <v>OKTOBER-KLB-L2A</v>
      </c>
    </row>
    <row r="4842" spans="1:17" x14ac:dyDescent="0.25">
      <c r="A4842" t="s">
        <v>400</v>
      </c>
      <c r="B4842" s="13" t="s">
        <v>24</v>
      </c>
      <c r="C4842" s="13" t="s">
        <v>226</v>
      </c>
      <c r="D4842" s="14" t="s">
        <v>222</v>
      </c>
      <c r="E4842" s="13" t="s">
        <v>61</v>
      </c>
      <c r="F4842" s="13" t="s">
        <v>1722</v>
      </c>
      <c r="G4842" s="13">
        <v>0.78</v>
      </c>
      <c r="H4842" s="15">
        <v>95</v>
      </c>
      <c r="I4842" s="16">
        <v>74.099999999999994</v>
      </c>
      <c r="J4842" s="16">
        <v>42.812010443864231</v>
      </c>
      <c r="K4842" s="16">
        <v>31.287989556135763</v>
      </c>
      <c r="L4842" s="13">
        <v>2.29</v>
      </c>
      <c r="M4842" s="13"/>
      <c r="N4842" s="17">
        <f t="shared" si="159"/>
        <v>217.55</v>
      </c>
      <c r="O4842" s="17">
        <f t="shared" si="159"/>
        <v>0</v>
      </c>
      <c r="P4842" s="17">
        <f t="shared" si="160"/>
        <v>217.55</v>
      </c>
      <c r="Q4842" t="str">
        <f>A4842&amp;"-"&amp;B4842&amp;"-"&amp;D4842</f>
        <v>OKTOBER-KLB-L2A</v>
      </c>
    </row>
    <row r="4843" spans="1:17" x14ac:dyDescent="0.25">
      <c r="A4843" t="s">
        <v>400</v>
      </c>
      <c r="B4843" s="13" t="s">
        <v>24</v>
      </c>
      <c r="C4843" s="13" t="s">
        <v>226</v>
      </c>
      <c r="D4843" s="14" t="s">
        <v>222</v>
      </c>
      <c r="E4843" s="13" t="s">
        <v>61</v>
      </c>
      <c r="F4843" s="13" t="s">
        <v>1723</v>
      </c>
      <c r="G4843" s="13">
        <v>0.65</v>
      </c>
      <c r="H4843" s="15">
        <v>6105</v>
      </c>
      <c r="I4843" s="16">
        <v>3968.25</v>
      </c>
      <c r="J4843" s="16">
        <v>2529.6711063105163</v>
      </c>
      <c r="K4843" s="16">
        <v>1438.5788936894837</v>
      </c>
      <c r="L4843" s="13">
        <v>1.66</v>
      </c>
      <c r="M4843" s="13"/>
      <c r="N4843" s="17">
        <f t="shared" si="159"/>
        <v>10134.299999999999</v>
      </c>
      <c r="O4843" s="17">
        <f t="shared" si="159"/>
        <v>0</v>
      </c>
      <c r="P4843" s="17">
        <f t="shared" si="160"/>
        <v>10134.299999999999</v>
      </c>
      <c r="Q4843" t="str">
        <f>A4843&amp;"-"&amp;B4843&amp;"-"&amp;D4843</f>
        <v>OKTOBER-KLB-L2A</v>
      </c>
    </row>
    <row r="4844" spans="1:17" x14ac:dyDescent="0.25">
      <c r="A4844" t="s">
        <v>400</v>
      </c>
      <c r="B4844" s="13" t="s">
        <v>24</v>
      </c>
      <c r="C4844" s="13" t="s">
        <v>226</v>
      </c>
      <c r="D4844" s="14" t="s">
        <v>222</v>
      </c>
      <c r="E4844" s="13" t="s">
        <v>61</v>
      </c>
      <c r="F4844" s="13" t="s">
        <v>1724</v>
      </c>
      <c r="G4844" s="13">
        <v>0.65</v>
      </c>
      <c r="H4844" s="15">
        <v>5740</v>
      </c>
      <c r="I4844" s="16">
        <v>3731</v>
      </c>
      <c r="J4844" s="16">
        <v>2270.3745877676806</v>
      </c>
      <c r="K4844" s="16">
        <v>1460.6254122323194</v>
      </c>
      <c r="L4844" s="13">
        <v>1.66</v>
      </c>
      <c r="M4844" s="13"/>
      <c r="N4844" s="17">
        <f t="shared" si="159"/>
        <v>9528.4</v>
      </c>
      <c r="O4844" s="17">
        <f t="shared" si="159"/>
        <v>0</v>
      </c>
      <c r="P4844" s="17">
        <f t="shared" si="160"/>
        <v>9528.4</v>
      </c>
      <c r="Q4844" t="str">
        <f>A4844&amp;"-"&amp;B4844&amp;"-"&amp;D4844</f>
        <v>OKTOBER-KLB-L2A</v>
      </c>
    </row>
    <row r="4845" spans="1:17" x14ac:dyDescent="0.25">
      <c r="A4845" t="s">
        <v>400</v>
      </c>
      <c r="B4845" s="13" t="s">
        <v>24</v>
      </c>
      <c r="C4845" s="13" t="s">
        <v>226</v>
      </c>
      <c r="D4845" s="14" t="s">
        <v>222</v>
      </c>
      <c r="E4845" s="13" t="s">
        <v>61</v>
      </c>
      <c r="F4845" s="13" t="s">
        <v>1725</v>
      </c>
      <c r="G4845" s="13">
        <v>0.65</v>
      </c>
      <c r="H4845" s="15">
        <v>2545</v>
      </c>
      <c r="I4845" s="16">
        <v>1654.25</v>
      </c>
      <c r="J4845" s="16">
        <v>1039.5659395080306</v>
      </c>
      <c r="K4845" s="16">
        <v>614.68406049196926</v>
      </c>
      <c r="L4845" s="13">
        <v>1.66</v>
      </c>
      <c r="M4845" s="13"/>
      <c r="N4845" s="17">
        <f t="shared" si="159"/>
        <v>4224.7</v>
      </c>
      <c r="O4845" s="17">
        <f t="shared" si="159"/>
        <v>0</v>
      </c>
      <c r="P4845" s="17">
        <f t="shared" si="160"/>
        <v>4224.7</v>
      </c>
      <c r="Q4845" t="str">
        <f>A4845&amp;"-"&amp;B4845&amp;"-"&amp;D4845</f>
        <v>OKTOBER-KLB-L2A</v>
      </c>
    </row>
    <row r="4846" spans="1:17" x14ac:dyDescent="0.25">
      <c r="A4846" t="s">
        <v>400</v>
      </c>
      <c r="B4846" s="13" t="s">
        <v>24</v>
      </c>
      <c r="C4846" s="13" t="s">
        <v>226</v>
      </c>
      <c r="D4846" s="14" t="s">
        <v>222</v>
      </c>
      <c r="E4846" s="13" t="s">
        <v>61</v>
      </c>
      <c r="F4846" s="13" t="s">
        <v>1726</v>
      </c>
      <c r="G4846" s="13">
        <v>0.65</v>
      </c>
      <c r="H4846" s="15">
        <v>4995</v>
      </c>
      <c r="I4846" s="16">
        <v>3246.75</v>
      </c>
      <c r="J4846" s="16">
        <v>2028.7758548585027</v>
      </c>
      <c r="K4846" s="16">
        <v>1217.9741451414973</v>
      </c>
      <c r="L4846" s="13">
        <v>1.66</v>
      </c>
      <c r="M4846" s="13"/>
      <c r="N4846" s="17">
        <f t="shared" si="159"/>
        <v>8291.6999999999989</v>
      </c>
      <c r="O4846" s="17">
        <f t="shared" si="159"/>
        <v>0</v>
      </c>
      <c r="P4846" s="17">
        <f t="shared" si="160"/>
        <v>8291.6999999999989</v>
      </c>
      <c r="Q4846" t="str">
        <f>A4846&amp;"-"&amp;B4846&amp;"-"&amp;D4846</f>
        <v>OKTOBER-KLB-L2A</v>
      </c>
    </row>
    <row r="4847" spans="1:17" x14ac:dyDescent="0.25">
      <c r="A4847" t="s">
        <v>400</v>
      </c>
      <c r="B4847" s="13" t="s">
        <v>24</v>
      </c>
      <c r="C4847" s="13" t="s">
        <v>226</v>
      </c>
      <c r="D4847" s="14" t="s">
        <v>223</v>
      </c>
      <c r="E4847" s="13" t="s">
        <v>61</v>
      </c>
      <c r="F4847" s="13" t="s">
        <v>1521</v>
      </c>
      <c r="G4847" s="13">
        <v>0.68</v>
      </c>
      <c r="H4847" s="15">
        <v>2015</v>
      </c>
      <c r="I4847" s="16">
        <v>1370.2000000000003</v>
      </c>
      <c r="J4847" s="16">
        <v>830.79233133621426</v>
      </c>
      <c r="K4847" s="16">
        <v>539.40766866378578</v>
      </c>
      <c r="L4847" s="13">
        <v>1.69</v>
      </c>
      <c r="M4847" s="13"/>
      <c r="N4847" s="17">
        <f t="shared" si="159"/>
        <v>3405.35</v>
      </c>
      <c r="O4847" s="17">
        <f t="shared" si="159"/>
        <v>0</v>
      </c>
      <c r="P4847" s="17">
        <f t="shared" si="160"/>
        <v>3405.35</v>
      </c>
      <c r="Q4847" t="str">
        <f>A4847&amp;"-"&amp;B4847&amp;"-"&amp;D4847</f>
        <v>OKTOBER-KLB-L2B</v>
      </c>
    </row>
    <row r="4848" spans="1:17" x14ac:dyDescent="0.25">
      <c r="A4848" t="s">
        <v>400</v>
      </c>
      <c r="B4848" s="13" t="s">
        <v>24</v>
      </c>
      <c r="C4848" s="13" t="s">
        <v>226</v>
      </c>
      <c r="D4848" s="14" t="s">
        <v>223</v>
      </c>
      <c r="E4848" s="13" t="s">
        <v>61</v>
      </c>
      <c r="F4848" s="13" t="s">
        <v>1715</v>
      </c>
      <c r="G4848" s="13">
        <v>0.68</v>
      </c>
      <c r="H4848" s="15">
        <v>2040</v>
      </c>
      <c r="I4848" s="16">
        <v>1387.2</v>
      </c>
      <c r="J4848" s="16">
        <v>865.45666494142006</v>
      </c>
      <c r="K4848" s="16">
        <v>521.74333505857999</v>
      </c>
      <c r="L4848" s="13">
        <v>1.69</v>
      </c>
      <c r="M4848" s="13"/>
      <c r="N4848" s="17">
        <f t="shared" si="159"/>
        <v>3447.6</v>
      </c>
      <c r="O4848" s="17">
        <f t="shared" si="159"/>
        <v>0</v>
      </c>
      <c r="P4848" s="17">
        <f t="shared" si="160"/>
        <v>3447.6</v>
      </c>
      <c r="Q4848" t="str">
        <f>A4848&amp;"-"&amp;B4848&amp;"-"&amp;D4848</f>
        <v>OKTOBER-KLB-L2B</v>
      </c>
    </row>
    <row r="4849" spans="1:17" x14ac:dyDescent="0.25">
      <c r="A4849" t="s">
        <v>400</v>
      </c>
      <c r="B4849" s="13" t="s">
        <v>24</v>
      </c>
      <c r="C4849" s="13" t="s">
        <v>226</v>
      </c>
      <c r="D4849" s="14" t="s">
        <v>223</v>
      </c>
      <c r="E4849" s="13" t="s">
        <v>61</v>
      </c>
      <c r="F4849" s="13" t="s">
        <v>1529</v>
      </c>
      <c r="G4849" s="13">
        <v>0.68</v>
      </c>
      <c r="H4849" s="15">
        <v>80</v>
      </c>
      <c r="I4849" s="16">
        <v>54.4</v>
      </c>
      <c r="J4849" s="16">
        <v>34.55284814280089</v>
      </c>
      <c r="K4849" s="16">
        <v>19.847151857199108</v>
      </c>
      <c r="L4849" s="13">
        <v>1.69</v>
      </c>
      <c r="M4849" s="13"/>
      <c r="N4849" s="17">
        <f t="shared" si="159"/>
        <v>135.19999999999999</v>
      </c>
      <c r="O4849" s="17">
        <f t="shared" si="159"/>
        <v>0</v>
      </c>
      <c r="P4849" s="17">
        <f t="shared" si="160"/>
        <v>135.19999999999999</v>
      </c>
      <c r="Q4849" t="str">
        <f>A4849&amp;"-"&amp;B4849&amp;"-"&amp;D4849</f>
        <v>OKTOBER-KLB-L2B</v>
      </c>
    </row>
    <row r="4850" spans="1:17" x14ac:dyDescent="0.25">
      <c r="A4850" t="s">
        <v>400</v>
      </c>
      <c r="B4850" s="13" t="s">
        <v>24</v>
      </c>
      <c r="C4850" s="13" t="s">
        <v>226</v>
      </c>
      <c r="D4850" s="14" t="s">
        <v>223</v>
      </c>
      <c r="E4850" s="13" t="s">
        <v>61</v>
      </c>
      <c r="F4850" s="13" t="s">
        <v>1717</v>
      </c>
      <c r="G4850" s="13">
        <v>0.71</v>
      </c>
      <c r="H4850" s="15">
        <v>7675</v>
      </c>
      <c r="I4850" s="16">
        <v>5449.25</v>
      </c>
      <c r="J4850" s="16">
        <v>2982.014738373533</v>
      </c>
      <c r="K4850" s="16">
        <v>2467.235261626467</v>
      </c>
      <c r="L4850" s="13">
        <v>1.29</v>
      </c>
      <c r="M4850" s="13"/>
      <c r="N4850" s="17">
        <f t="shared" si="159"/>
        <v>9900.75</v>
      </c>
      <c r="O4850" s="17">
        <f t="shared" si="159"/>
        <v>0</v>
      </c>
      <c r="P4850" s="17">
        <f t="shared" si="160"/>
        <v>9900.75</v>
      </c>
      <c r="Q4850" t="str">
        <f>A4850&amp;"-"&amp;B4850&amp;"-"&amp;D4850</f>
        <v>OKTOBER-KLB-L2B</v>
      </c>
    </row>
    <row r="4851" spans="1:17" x14ac:dyDescent="0.25">
      <c r="A4851" t="s">
        <v>400</v>
      </c>
      <c r="B4851" s="13" t="s">
        <v>24</v>
      </c>
      <c r="C4851" s="13" t="s">
        <v>226</v>
      </c>
      <c r="D4851" s="14" t="s">
        <v>223</v>
      </c>
      <c r="E4851" s="13" t="s">
        <v>61</v>
      </c>
      <c r="F4851" s="13" t="s">
        <v>1718</v>
      </c>
      <c r="G4851" s="13">
        <v>0.71</v>
      </c>
      <c r="H4851" s="15">
        <v>8400</v>
      </c>
      <c r="I4851" s="16">
        <v>5964</v>
      </c>
      <c r="J4851" s="16">
        <v>3409.9481629979136</v>
      </c>
      <c r="K4851" s="16">
        <v>2554.0518370020859</v>
      </c>
      <c r="L4851" s="13">
        <v>1.29</v>
      </c>
      <c r="M4851" s="13"/>
      <c r="N4851" s="17">
        <f t="shared" si="159"/>
        <v>10836</v>
      </c>
      <c r="O4851" s="17">
        <f t="shared" si="159"/>
        <v>0</v>
      </c>
      <c r="P4851" s="17">
        <f t="shared" si="160"/>
        <v>10836</v>
      </c>
      <c r="Q4851" t="str">
        <f>A4851&amp;"-"&amp;B4851&amp;"-"&amp;D4851</f>
        <v>OKTOBER-KLB-L2B</v>
      </c>
    </row>
    <row r="4852" spans="1:17" x14ac:dyDescent="0.25">
      <c r="A4852" t="s">
        <v>400</v>
      </c>
      <c r="B4852" s="13" t="s">
        <v>24</v>
      </c>
      <c r="C4852" s="13" t="s">
        <v>226</v>
      </c>
      <c r="D4852" s="14" t="s">
        <v>223</v>
      </c>
      <c r="E4852" s="13" t="s">
        <v>61</v>
      </c>
      <c r="F4852" s="13" t="s">
        <v>1729</v>
      </c>
      <c r="G4852" s="13">
        <v>0.68</v>
      </c>
      <c r="H4852" s="15">
        <v>210</v>
      </c>
      <c r="I4852" s="16">
        <v>142.80000000000001</v>
      </c>
      <c r="J4852" s="16">
        <v>80.190265486725664</v>
      </c>
      <c r="K4852" s="16">
        <v>62.609734513274347</v>
      </c>
      <c r="L4852" s="13">
        <v>1.7</v>
      </c>
      <c r="M4852" s="13"/>
      <c r="N4852" s="17">
        <f t="shared" si="159"/>
        <v>357</v>
      </c>
      <c r="O4852" s="17">
        <f t="shared" si="159"/>
        <v>0</v>
      </c>
      <c r="P4852" s="17">
        <f t="shared" si="160"/>
        <v>357</v>
      </c>
      <c r="Q4852" t="str">
        <f>A4852&amp;"-"&amp;B4852&amp;"-"&amp;D4852</f>
        <v>OKTOBER-KLB-L2B</v>
      </c>
    </row>
    <row r="4853" spans="1:17" x14ac:dyDescent="0.25">
      <c r="A4853" t="s">
        <v>400</v>
      </c>
      <c r="B4853" s="13" t="s">
        <v>24</v>
      </c>
      <c r="C4853" s="13" t="s">
        <v>226</v>
      </c>
      <c r="D4853" s="14" t="s">
        <v>223</v>
      </c>
      <c r="E4853" s="13" t="s">
        <v>61</v>
      </c>
      <c r="F4853" s="13" t="s">
        <v>1719</v>
      </c>
      <c r="G4853" s="13">
        <v>0.83</v>
      </c>
      <c r="H4853" s="15">
        <v>5040</v>
      </c>
      <c r="I4853" s="16">
        <v>4183.2</v>
      </c>
      <c r="J4853" s="16">
        <v>2324.8947560637157</v>
      </c>
      <c r="K4853" s="16">
        <v>1858.3052439362843</v>
      </c>
      <c r="L4853" s="13">
        <v>2.13</v>
      </c>
      <c r="M4853" s="13"/>
      <c r="N4853" s="17">
        <f t="shared" si="159"/>
        <v>10735.199999999999</v>
      </c>
      <c r="O4853" s="17">
        <f t="shared" si="159"/>
        <v>0</v>
      </c>
      <c r="P4853" s="17">
        <f t="shared" si="160"/>
        <v>10735.199999999999</v>
      </c>
      <c r="Q4853" t="str">
        <f>A4853&amp;"-"&amp;B4853&amp;"-"&amp;D4853</f>
        <v>OKTOBER-KLB-L2B</v>
      </c>
    </row>
    <row r="4854" spans="1:17" x14ac:dyDescent="0.25">
      <c r="A4854" t="s">
        <v>400</v>
      </c>
      <c r="B4854" s="13" t="s">
        <v>24</v>
      </c>
      <c r="C4854" s="13" t="s">
        <v>226</v>
      </c>
      <c r="D4854" s="14" t="s">
        <v>223</v>
      </c>
      <c r="E4854" s="13" t="s">
        <v>61</v>
      </c>
      <c r="F4854" s="13" t="s">
        <v>1720</v>
      </c>
      <c r="G4854" s="13">
        <v>0.78</v>
      </c>
      <c r="H4854" s="15">
        <v>770</v>
      </c>
      <c r="I4854" s="16">
        <v>600.6</v>
      </c>
      <c r="J4854" s="16">
        <v>349.26637353983466</v>
      </c>
      <c r="K4854" s="16">
        <v>251.33362646016533</v>
      </c>
      <c r="L4854" s="13">
        <v>2.29</v>
      </c>
      <c r="M4854" s="13"/>
      <c r="N4854" s="17">
        <f t="shared" si="159"/>
        <v>1763.3</v>
      </c>
      <c r="O4854" s="17">
        <f t="shared" si="159"/>
        <v>0</v>
      </c>
      <c r="P4854" s="17">
        <f t="shared" si="160"/>
        <v>1763.3</v>
      </c>
      <c r="Q4854" t="str">
        <f>A4854&amp;"-"&amp;B4854&amp;"-"&amp;D4854</f>
        <v>OKTOBER-KLB-L2B</v>
      </c>
    </row>
    <row r="4855" spans="1:17" x14ac:dyDescent="0.25">
      <c r="A4855" t="s">
        <v>400</v>
      </c>
      <c r="B4855" s="13" t="s">
        <v>24</v>
      </c>
      <c r="C4855" s="13" t="s">
        <v>226</v>
      </c>
      <c r="D4855" s="14" t="s">
        <v>223</v>
      </c>
      <c r="E4855" s="13" t="s">
        <v>61</v>
      </c>
      <c r="F4855" s="13" t="s">
        <v>1721</v>
      </c>
      <c r="G4855" s="13">
        <v>0.83</v>
      </c>
      <c r="H4855" s="15">
        <v>1615</v>
      </c>
      <c r="I4855" s="16">
        <v>1340.4499999999998</v>
      </c>
      <c r="J4855" s="16">
        <v>685.61914943369311</v>
      </c>
      <c r="K4855" s="16">
        <v>654.83085056630694</v>
      </c>
      <c r="L4855" s="13">
        <v>2.13</v>
      </c>
      <c r="M4855" s="13"/>
      <c r="N4855" s="17">
        <f t="shared" si="159"/>
        <v>3439.95</v>
      </c>
      <c r="O4855" s="17">
        <f t="shared" si="159"/>
        <v>0</v>
      </c>
      <c r="P4855" s="17">
        <f t="shared" si="160"/>
        <v>3439.95</v>
      </c>
      <c r="Q4855" t="str">
        <f>A4855&amp;"-"&amp;B4855&amp;"-"&amp;D4855</f>
        <v>OKTOBER-KLB-L2B</v>
      </c>
    </row>
    <row r="4856" spans="1:17" x14ac:dyDescent="0.25">
      <c r="A4856" t="s">
        <v>400</v>
      </c>
      <c r="B4856" s="13" t="s">
        <v>24</v>
      </c>
      <c r="C4856" s="13" t="s">
        <v>226</v>
      </c>
      <c r="D4856" s="14" t="s">
        <v>223</v>
      </c>
      <c r="E4856" s="13" t="s">
        <v>61</v>
      </c>
      <c r="F4856" s="13" t="s">
        <v>1722</v>
      </c>
      <c r="G4856" s="13">
        <v>0.78</v>
      </c>
      <c r="H4856" s="15">
        <v>265</v>
      </c>
      <c r="I4856" s="16">
        <v>206.7</v>
      </c>
      <c r="J4856" s="16">
        <v>112.38083538083538</v>
      </c>
      <c r="K4856" s="16">
        <v>94.31916461916461</v>
      </c>
      <c r="L4856" s="13">
        <v>2.29</v>
      </c>
      <c r="M4856" s="13"/>
      <c r="N4856" s="17">
        <f t="shared" si="159"/>
        <v>606.85</v>
      </c>
      <c r="O4856" s="17">
        <f t="shared" si="159"/>
        <v>0</v>
      </c>
      <c r="P4856" s="17">
        <f t="shared" si="160"/>
        <v>606.85</v>
      </c>
      <c r="Q4856" t="str">
        <f>A4856&amp;"-"&amp;B4856&amp;"-"&amp;D4856</f>
        <v>OKTOBER-KLB-L2B</v>
      </c>
    </row>
    <row r="4857" spans="1:17" x14ac:dyDescent="0.25">
      <c r="A4857" t="s">
        <v>400</v>
      </c>
      <c r="B4857" s="13" t="s">
        <v>24</v>
      </c>
      <c r="C4857" s="13" t="s">
        <v>226</v>
      </c>
      <c r="D4857" s="14" t="s">
        <v>223</v>
      </c>
      <c r="E4857" s="13" t="s">
        <v>61</v>
      </c>
      <c r="F4857" s="13" t="s">
        <v>1723</v>
      </c>
      <c r="G4857" s="13">
        <v>0.65</v>
      </c>
      <c r="H4857" s="15">
        <v>5700</v>
      </c>
      <c r="I4857" s="16">
        <v>3705</v>
      </c>
      <c r="J4857" s="16">
        <v>2326.6365594293084</v>
      </c>
      <c r="K4857" s="16">
        <v>1378.3634405706916</v>
      </c>
      <c r="L4857" s="13">
        <v>1.66</v>
      </c>
      <c r="M4857" s="13"/>
      <c r="N4857" s="17">
        <f t="shared" si="159"/>
        <v>9462</v>
      </c>
      <c r="O4857" s="17">
        <f t="shared" si="159"/>
        <v>0</v>
      </c>
      <c r="P4857" s="17">
        <f t="shared" si="160"/>
        <v>9462</v>
      </c>
      <c r="Q4857" t="str">
        <f>A4857&amp;"-"&amp;B4857&amp;"-"&amp;D4857</f>
        <v>OKTOBER-KLB-L2B</v>
      </c>
    </row>
    <row r="4858" spans="1:17" x14ac:dyDescent="0.25">
      <c r="A4858" t="s">
        <v>400</v>
      </c>
      <c r="B4858" s="13" t="s">
        <v>24</v>
      </c>
      <c r="C4858" s="13" t="s">
        <v>226</v>
      </c>
      <c r="D4858" s="14" t="s">
        <v>223</v>
      </c>
      <c r="E4858" s="13" t="s">
        <v>61</v>
      </c>
      <c r="F4858" s="13" t="s">
        <v>1724</v>
      </c>
      <c r="G4858" s="13">
        <v>0.65</v>
      </c>
      <c r="H4858" s="15">
        <v>3650</v>
      </c>
      <c r="I4858" s="16">
        <v>2372.5</v>
      </c>
      <c r="J4858" s="16">
        <v>1537.3239145523189</v>
      </c>
      <c r="K4858" s="16">
        <v>835.17608544768109</v>
      </c>
      <c r="L4858" s="13">
        <v>1.66</v>
      </c>
      <c r="M4858" s="13"/>
      <c r="N4858" s="17">
        <f t="shared" si="159"/>
        <v>6059</v>
      </c>
      <c r="O4858" s="17">
        <f t="shared" si="159"/>
        <v>0</v>
      </c>
      <c r="P4858" s="17">
        <f t="shared" si="160"/>
        <v>6059</v>
      </c>
      <c r="Q4858" t="str">
        <f>A4858&amp;"-"&amp;B4858&amp;"-"&amp;D4858</f>
        <v>OKTOBER-KLB-L2B</v>
      </c>
    </row>
    <row r="4859" spans="1:17" x14ac:dyDescent="0.25">
      <c r="A4859" t="s">
        <v>400</v>
      </c>
      <c r="B4859" s="13" t="s">
        <v>24</v>
      </c>
      <c r="C4859" s="13" t="s">
        <v>226</v>
      </c>
      <c r="D4859" s="14" t="s">
        <v>223</v>
      </c>
      <c r="E4859" s="13" t="s">
        <v>61</v>
      </c>
      <c r="F4859" s="13" t="s">
        <v>1725</v>
      </c>
      <c r="G4859" s="13">
        <v>0.65</v>
      </c>
      <c r="H4859" s="15">
        <v>3165</v>
      </c>
      <c r="I4859" s="16">
        <v>2057.25</v>
      </c>
      <c r="J4859" s="16">
        <v>1450.5744475186834</v>
      </c>
      <c r="K4859" s="16">
        <v>606.67555248131657</v>
      </c>
      <c r="L4859" s="13">
        <v>1.66</v>
      </c>
      <c r="M4859" s="13"/>
      <c r="N4859" s="17">
        <f t="shared" si="159"/>
        <v>5253.9</v>
      </c>
      <c r="O4859" s="17">
        <f t="shared" si="159"/>
        <v>0</v>
      </c>
      <c r="P4859" s="17">
        <f t="shared" si="160"/>
        <v>5253.9</v>
      </c>
      <c r="Q4859" t="str">
        <f>A4859&amp;"-"&amp;B4859&amp;"-"&amp;D4859</f>
        <v>OKTOBER-KLB-L2B</v>
      </c>
    </row>
    <row r="4860" spans="1:17" x14ac:dyDescent="0.25">
      <c r="A4860" t="s">
        <v>400</v>
      </c>
      <c r="B4860" s="13" t="s">
        <v>24</v>
      </c>
      <c r="C4860" s="13" t="s">
        <v>226</v>
      </c>
      <c r="D4860" s="14" t="s">
        <v>223</v>
      </c>
      <c r="E4860" s="13" t="s">
        <v>61</v>
      </c>
      <c r="F4860" s="13" t="s">
        <v>1726</v>
      </c>
      <c r="G4860" s="13">
        <v>0.65</v>
      </c>
      <c r="H4860" s="15">
        <v>4973</v>
      </c>
      <c r="I4860" s="16">
        <v>3232.45</v>
      </c>
      <c r="J4860" s="16">
        <v>1996.3489528030027</v>
      </c>
      <c r="K4860" s="16">
        <v>1236.1010471969973</v>
      </c>
      <c r="L4860" s="13">
        <v>1.66</v>
      </c>
      <c r="M4860" s="13"/>
      <c r="N4860" s="17">
        <f t="shared" si="159"/>
        <v>8255.18</v>
      </c>
      <c r="O4860" s="17">
        <f t="shared" si="159"/>
        <v>0</v>
      </c>
      <c r="P4860" s="17">
        <f t="shared" si="160"/>
        <v>8255.18</v>
      </c>
      <c r="Q4860" t="str">
        <f>A4860&amp;"-"&amp;B4860&amp;"-"&amp;D4860</f>
        <v>OKTOBER-KLB-L2B</v>
      </c>
    </row>
    <row r="4861" spans="1:17" x14ac:dyDescent="0.25">
      <c r="A4861" t="s">
        <v>400</v>
      </c>
      <c r="B4861" s="13" t="s">
        <v>24</v>
      </c>
      <c r="C4861" s="13" t="s">
        <v>226</v>
      </c>
      <c r="D4861" s="14" t="s">
        <v>224</v>
      </c>
      <c r="E4861" s="13" t="s">
        <v>61</v>
      </c>
      <c r="F4861" s="13" t="s">
        <v>1521</v>
      </c>
      <c r="G4861" s="13">
        <v>0.68</v>
      </c>
      <c r="H4861" s="15">
        <v>2530</v>
      </c>
      <c r="I4861" s="16">
        <v>1720.4</v>
      </c>
      <c r="J4861" s="16">
        <v>875.09813084112147</v>
      </c>
      <c r="K4861" s="16">
        <v>845.3018691588785</v>
      </c>
      <c r="L4861" s="13">
        <v>1.69</v>
      </c>
      <c r="M4861" s="13"/>
      <c r="N4861" s="17">
        <f t="shared" si="159"/>
        <v>4275.7</v>
      </c>
      <c r="O4861" s="17">
        <f t="shared" si="159"/>
        <v>0</v>
      </c>
      <c r="P4861" s="17">
        <f t="shared" si="160"/>
        <v>4275.7</v>
      </c>
      <c r="Q4861" t="str">
        <f>A4861&amp;"-"&amp;B4861&amp;"-"&amp;D4861</f>
        <v>OKTOBER-KLB-L3A</v>
      </c>
    </row>
    <row r="4862" spans="1:17" x14ac:dyDescent="0.25">
      <c r="A4862" t="s">
        <v>400</v>
      </c>
      <c r="B4862" s="13" t="s">
        <v>24</v>
      </c>
      <c r="C4862" s="13" t="s">
        <v>226</v>
      </c>
      <c r="D4862" s="14" t="s">
        <v>224</v>
      </c>
      <c r="E4862" s="13" t="s">
        <v>61</v>
      </c>
      <c r="F4862" s="13" t="s">
        <v>1715</v>
      </c>
      <c r="G4862" s="13">
        <v>0.68</v>
      </c>
      <c r="H4862" s="15">
        <v>2135</v>
      </c>
      <c r="I4862" s="16">
        <v>1451.8</v>
      </c>
      <c r="J4862" s="16">
        <v>864.47105154881558</v>
      </c>
      <c r="K4862" s="16">
        <v>587.32894845118437</v>
      </c>
      <c r="L4862" s="13">
        <v>1.69</v>
      </c>
      <c r="M4862" s="13"/>
      <c r="N4862" s="17">
        <f t="shared" si="159"/>
        <v>3608.15</v>
      </c>
      <c r="O4862" s="17">
        <f t="shared" si="159"/>
        <v>0</v>
      </c>
      <c r="P4862" s="17">
        <f t="shared" si="160"/>
        <v>3608.15</v>
      </c>
      <c r="Q4862" t="str">
        <f>A4862&amp;"-"&amp;B4862&amp;"-"&amp;D4862</f>
        <v>OKTOBER-KLB-L3A</v>
      </c>
    </row>
    <row r="4863" spans="1:17" x14ac:dyDescent="0.25">
      <c r="A4863" t="s">
        <v>400</v>
      </c>
      <c r="B4863" s="13" t="s">
        <v>24</v>
      </c>
      <c r="C4863" s="13" t="s">
        <v>226</v>
      </c>
      <c r="D4863" s="14" t="s">
        <v>224</v>
      </c>
      <c r="E4863" s="13" t="s">
        <v>61</v>
      </c>
      <c r="F4863" s="13" t="s">
        <v>1716</v>
      </c>
      <c r="G4863" s="13">
        <v>0.7400000000000001</v>
      </c>
      <c r="H4863" s="15">
        <v>13227</v>
      </c>
      <c r="I4863" s="16">
        <v>9787.98</v>
      </c>
      <c r="J4863" s="16">
        <v>4959.5943127438295</v>
      </c>
      <c r="K4863" s="16">
        <v>4828.3856872561691</v>
      </c>
      <c r="L4863" s="13">
        <v>1.36</v>
      </c>
      <c r="M4863" s="13"/>
      <c r="N4863" s="17">
        <f t="shared" si="159"/>
        <v>17988.72</v>
      </c>
      <c r="O4863" s="17">
        <f t="shared" si="159"/>
        <v>0</v>
      </c>
      <c r="P4863" s="17">
        <f t="shared" si="160"/>
        <v>17988.72</v>
      </c>
      <c r="Q4863" t="str">
        <f>A4863&amp;"-"&amp;B4863&amp;"-"&amp;D4863</f>
        <v>OKTOBER-KLB-L3A</v>
      </c>
    </row>
    <row r="4864" spans="1:17" x14ac:dyDescent="0.25">
      <c r="A4864" t="s">
        <v>400</v>
      </c>
      <c r="B4864" s="13" t="s">
        <v>24</v>
      </c>
      <c r="C4864" s="13" t="s">
        <v>226</v>
      </c>
      <c r="D4864" s="14" t="s">
        <v>224</v>
      </c>
      <c r="E4864" s="13" t="s">
        <v>61</v>
      </c>
      <c r="F4864" s="13" t="s">
        <v>1717</v>
      </c>
      <c r="G4864" s="13">
        <v>0.71</v>
      </c>
      <c r="H4864" s="15">
        <v>4320</v>
      </c>
      <c r="I4864" s="16">
        <v>3067.2</v>
      </c>
      <c r="J4864" s="16">
        <v>1677.4207612106488</v>
      </c>
      <c r="K4864" s="16">
        <v>1389.779238789351</v>
      </c>
      <c r="L4864" s="13">
        <v>1.29</v>
      </c>
      <c r="M4864" s="13"/>
      <c r="N4864" s="17">
        <f t="shared" ref="N4864:O4925" si="161">$H4864*L4864</f>
        <v>5572.8</v>
      </c>
      <c r="O4864" s="17">
        <f t="shared" si="161"/>
        <v>0</v>
      </c>
      <c r="P4864" s="17">
        <f t="shared" si="160"/>
        <v>5572.8</v>
      </c>
      <c r="Q4864" t="str">
        <f>A4864&amp;"-"&amp;B4864&amp;"-"&amp;D4864</f>
        <v>OKTOBER-KLB-L3A</v>
      </c>
    </row>
    <row r="4865" spans="1:17" x14ac:dyDescent="0.25">
      <c r="A4865" t="s">
        <v>400</v>
      </c>
      <c r="B4865" s="13" t="s">
        <v>24</v>
      </c>
      <c r="C4865" s="13" t="s">
        <v>226</v>
      </c>
      <c r="D4865" s="14" t="s">
        <v>224</v>
      </c>
      <c r="E4865" s="13" t="s">
        <v>61</v>
      </c>
      <c r="F4865" s="13" t="s">
        <v>1719</v>
      </c>
      <c r="G4865" s="13">
        <v>0.82999999999999985</v>
      </c>
      <c r="H4865" s="15">
        <v>3865</v>
      </c>
      <c r="I4865" s="16">
        <v>3207.9500000000003</v>
      </c>
      <c r="J4865" s="16">
        <v>1962.9030954424618</v>
      </c>
      <c r="K4865" s="16">
        <v>1245.046904557538</v>
      </c>
      <c r="L4865" s="13">
        <v>2.13</v>
      </c>
      <c r="M4865" s="13"/>
      <c r="N4865" s="17">
        <f t="shared" si="161"/>
        <v>8232.4499999999989</v>
      </c>
      <c r="O4865" s="17">
        <f t="shared" si="161"/>
        <v>0</v>
      </c>
      <c r="P4865" s="17">
        <f t="shared" si="160"/>
        <v>8232.4499999999989</v>
      </c>
      <c r="Q4865" t="str">
        <f>A4865&amp;"-"&amp;B4865&amp;"-"&amp;D4865</f>
        <v>OKTOBER-KLB-L3A</v>
      </c>
    </row>
    <row r="4866" spans="1:17" x14ac:dyDescent="0.25">
      <c r="A4866" t="s">
        <v>400</v>
      </c>
      <c r="B4866" s="13" t="s">
        <v>24</v>
      </c>
      <c r="C4866" s="13" t="s">
        <v>226</v>
      </c>
      <c r="D4866" s="14" t="s">
        <v>224</v>
      </c>
      <c r="E4866" s="13" t="s">
        <v>61</v>
      </c>
      <c r="F4866" s="13" t="s">
        <v>1720</v>
      </c>
      <c r="G4866" s="13">
        <v>0.77999999999999992</v>
      </c>
      <c r="H4866" s="15">
        <v>875</v>
      </c>
      <c r="I4866" s="16">
        <v>682.5</v>
      </c>
      <c r="J4866" s="16">
        <v>475.53093632613246</v>
      </c>
      <c r="K4866" s="16">
        <v>206.96906367386762</v>
      </c>
      <c r="L4866" s="13">
        <v>2.29</v>
      </c>
      <c r="M4866" s="13"/>
      <c r="N4866" s="17">
        <f t="shared" si="161"/>
        <v>2003.75</v>
      </c>
      <c r="O4866" s="17">
        <f t="shared" si="161"/>
        <v>0</v>
      </c>
      <c r="P4866" s="17">
        <f t="shared" ref="P4866:P4929" si="162">N4866+O4866</f>
        <v>2003.75</v>
      </c>
      <c r="Q4866" t="str">
        <f>A4866&amp;"-"&amp;B4866&amp;"-"&amp;D4866</f>
        <v>OKTOBER-KLB-L3A</v>
      </c>
    </row>
    <row r="4867" spans="1:17" x14ac:dyDescent="0.25">
      <c r="A4867" t="s">
        <v>400</v>
      </c>
      <c r="B4867" s="13" t="s">
        <v>24</v>
      </c>
      <c r="C4867" s="13" t="s">
        <v>226</v>
      </c>
      <c r="D4867" s="14" t="s">
        <v>224</v>
      </c>
      <c r="E4867" s="13" t="s">
        <v>61</v>
      </c>
      <c r="F4867" s="13" t="s">
        <v>1721</v>
      </c>
      <c r="G4867" s="13">
        <v>0.83</v>
      </c>
      <c r="H4867" s="15">
        <v>80</v>
      </c>
      <c r="I4867" s="16">
        <v>66.400000000000006</v>
      </c>
      <c r="J4867" s="16">
        <v>45.860287345735863</v>
      </c>
      <c r="K4867" s="16">
        <v>20.539712654264136</v>
      </c>
      <c r="L4867" s="13">
        <v>2.13</v>
      </c>
      <c r="M4867" s="13"/>
      <c r="N4867" s="17">
        <f t="shared" si="161"/>
        <v>170.39999999999998</v>
      </c>
      <c r="O4867" s="17">
        <f t="shared" si="161"/>
        <v>0</v>
      </c>
      <c r="P4867" s="17">
        <f t="shared" si="162"/>
        <v>170.39999999999998</v>
      </c>
      <c r="Q4867" t="str">
        <f>A4867&amp;"-"&amp;B4867&amp;"-"&amp;D4867</f>
        <v>OKTOBER-KLB-L3A</v>
      </c>
    </row>
    <row r="4868" spans="1:17" x14ac:dyDescent="0.25">
      <c r="A4868" t="s">
        <v>400</v>
      </c>
      <c r="B4868" s="13" t="s">
        <v>24</v>
      </c>
      <c r="C4868" s="13" t="s">
        <v>226</v>
      </c>
      <c r="D4868" s="14" t="s">
        <v>224</v>
      </c>
      <c r="E4868" s="13" t="s">
        <v>61</v>
      </c>
      <c r="F4868" s="13" t="s">
        <v>1722</v>
      </c>
      <c r="G4868" s="13">
        <v>0.78</v>
      </c>
      <c r="H4868" s="15">
        <v>160</v>
      </c>
      <c r="I4868" s="16">
        <v>124.8</v>
      </c>
      <c r="J4868" s="16">
        <v>103.4307116104869</v>
      </c>
      <c r="K4868" s="16">
        <v>21.369288389513102</v>
      </c>
      <c r="L4868" s="13">
        <v>2.29</v>
      </c>
      <c r="M4868" s="13"/>
      <c r="N4868" s="17">
        <f t="shared" si="161"/>
        <v>366.4</v>
      </c>
      <c r="O4868" s="17">
        <f t="shared" si="161"/>
        <v>0</v>
      </c>
      <c r="P4868" s="17">
        <f t="shared" si="162"/>
        <v>366.4</v>
      </c>
      <c r="Q4868" t="str">
        <f>A4868&amp;"-"&amp;B4868&amp;"-"&amp;D4868</f>
        <v>OKTOBER-KLB-L3A</v>
      </c>
    </row>
    <row r="4869" spans="1:17" x14ac:dyDescent="0.25">
      <c r="A4869" t="s">
        <v>400</v>
      </c>
      <c r="B4869" s="13" t="s">
        <v>24</v>
      </c>
      <c r="C4869" s="13" t="s">
        <v>226</v>
      </c>
      <c r="D4869" s="14" t="s">
        <v>224</v>
      </c>
      <c r="E4869" s="13" t="s">
        <v>61</v>
      </c>
      <c r="F4869" s="13" t="s">
        <v>1723</v>
      </c>
      <c r="G4869" s="13">
        <v>0.65</v>
      </c>
      <c r="H4869" s="15">
        <v>5326</v>
      </c>
      <c r="I4869" s="16">
        <v>3461.9</v>
      </c>
      <c r="J4869" s="16">
        <v>1987.8013875674808</v>
      </c>
      <c r="K4869" s="16">
        <v>1474.0986124325193</v>
      </c>
      <c r="L4869" s="13">
        <v>1.66</v>
      </c>
      <c r="M4869" s="13"/>
      <c r="N4869" s="17">
        <f t="shared" si="161"/>
        <v>8841.16</v>
      </c>
      <c r="O4869" s="17">
        <f t="shared" si="161"/>
        <v>0</v>
      </c>
      <c r="P4869" s="17">
        <f t="shared" si="162"/>
        <v>8841.16</v>
      </c>
      <c r="Q4869" t="str">
        <f>A4869&amp;"-"&amp;B4869&amp;"-"&amp;D4869</f>
        <v>OKTOBER-KLB-L3A</v>
      </c>
    </row>
    <row r="4870" spans="1:17" x14ac:dyDescent="0.25">
      <c r="A4870" t="s">
        <v>400</v>
      </c>
      <c r="B4870" s="13" t="s">
        <v>24</v>
      </c>
      <c r="C4870" s="13" t="s">
        <v>226</v>
      </c>
      <c r="D4870" s="14" t="s">
        <v>224</v>
      </c>
      <c r="E4870" s="13" t="s">
        <v>61</v>
      </c>
      <c r="F4870" s="13" t="s">
        <v>1724</v>
      </c>
      <c r="G4870" s="13">
        <v>0.65</v>
      </c>
      <c r="H4870" s="15">
        <v>5663</v>
      </c>
      <c r="I4870" s="16">
        <v>3680.95</v>
      </c>
      <c r="J4870" s="16">
        <v>1997.0089270117319</v>
      </c>
      <c r="K4870" s="16">
        <v>1683.9410729882679</v>
      </c>
      <c r="L4870" s="13">
        <v>1.66</v>
      </c>
      <c r="M4870" s="13"/>
      <c r="N4870" s="17">
        <f t="shared" si="161"/>
        <v>9400.58</v>
      </c>
      <c r="O4870" s="17">
        <f t="shared" si="161"/>
        <v>0</v>
      </c>
      <c r="P4870" s="17">
        <f t="shared" si="162"/>
        <v>9400.58</v>
      </c>
      <c r="Q4870" t="str">
        <f>A4870&amp;"-"&amp;B4870&amp;"-"&amp;D4870</f>
        <v>OKTOBER-KLB-L3A</v>
      </c>
    </row>
    <row r="4871" spans="1:17" x14ac:dyDescent="0.25">
      <c r="A4871" t="s">
        <v>400</v>
      </c>
      <c r="B4871" s="13" t="s">
        <v>24</v>
      </c>
      <c r="C4871" s="13" t="s">
        <v>226</v>
      </c>
      <c r="D4871" s="14" t="s">
        <v>224</v>
      </c>
      <c r="E4871" s="13" t="s">
        <v>61</v>
      </c>
      <c r="F4871" s="13" t="s">
        <v>1725</v>
      </c>
      <c r="G4871" s="13">
        <v>0.65</v>
      </c>
      <c r="H4871" s="15">
        <v>5905</v>
      </c>
      <c r="I4871" s="16">
        <v>3838.25</v>
      </c>
      <c r="J4871" s="16">
        <v>2061.0772062400847</v>
      </c>
      <c r="K4871" s="16">
        <v>1777.1727937599153</v>
      </c>
      <c r="L4871" s="13">
        <v>1.66</v>
      </c>
      <c r="M4871" s="13"/>
      <c r="N4871" s="17">
        <f t="shared" si="161"/>
        <v>9802.2999999999993</v>
      </c>
      <c r="O4871" s="17">
        <f t="shared" si="161"/>
        <v>0</v>
      </c>
      <c r="P4871" s="17">
        <f t="shared" si="162"/>
        <v>9802.2999999999993</v>
      </c>
      <c r="Q4871" t="str">
        <f>A4871&amp;"-"&amp;B4871&amp;"-"&amp;D4871</f>
        <v>OKTOBER-KLB-L3A</v>
      </c>
    </row>
    <row r="4872" spans="1:17" x14ac:dyDescent="0.25">
      <c r="A4872" t="s">
        <v>400</v>
      </c>
      <c r="B4872" s="13" t="s">
        <v>24</v>
      </c>
      <c r="C4872" s="13" t="s">
        <v>226</v>
      </c>
      <c r="D4872" s="14" t="s">
        <v>224</v>
      </c>
      <c r="E4872" s="13" t="s">
        <v>61</v>
      </c>
      <c r="F4872" s="13" t="s">
        <v>1726</v>
      </c>
      <c r="G4872" s="13">
        <v>0.65</v>
      </c>
      <c r="H4872" s="15">
        <v>5660</v>
      </c>
      <c r="I4872" s="16">
        <v>3679</v>
      </c>
      <c r="J4872" s="16">
        <v>1975.8031921114693</v>
      </c>
      <c r="K4872" s="16">
        <v>1703.1968078885307</v>
      </c>
      <c r="L4872" s="13">
        <v>1.66</v>
      </c>
      <c r="M4872" s="13"/>
      <c r="N4872" s="17">
        <f t="shared" si="161"/>
        <v>9395.6</v>
      </c>
      <c r="O4872" s="17">
        <f t="shared" si="161"/>
        <v>0</v>
      </c>
      <c r="P4872" s="17">
        <f t="shared" si="162"/>
        <v>9395.6</v>
      </c>
      <c r="Q4872" t="str">
        <f>A4872&amp;"-"&amp;B4872&amp;"-"&amp;D4872</f>
        <v>OKTOBER-KLB-L3A</v>
      </c>
    </row>
    <row r="4873" spans="1:17" x14ac:dyDescent="0.25">
      <c r="A4873" t="s">
        <v>400</v>
      </c>
      <c r="B4873" s="13" t="s">
        <v>24</v>
      </c>
      <c r="C4873" s="13" t="s">
        <v>226</v>
      </c>
      <c r="D4873" s="14" t="s">
        <v>225</v>
      </c>
      <c r="E4873" s="13" t="s">
        <v>61</v>
      </c>
      <c r="F4873" s="13" t="s">
        <v>1521</v>
      </c>
      <c r="G4873" s="13">
        <v>0.68</v>
      </c>
      <c r="H4873" s="15">
        <v>2085</v>
      </c>
      <c r="I4873" s="16">
        <v>1417.8</v>
      </c>
      <c r="J4873" s="16">
        <v>756.45548214154348</v>
      </c>
      <c r="K4873" s="16">
        <v>661.34451785845658</v>
      </c>
      <c r="L4873" s="13">
        <v>1.69</v>
      </c>
      <c r="M4873" s="13"/>
      <c r="N4873" s="17">
        <f t="shared" si="161"/>
        <v>3523.65</v>
      </c>
      <c r="O4873" s="17">
        <f t="shared" si="161"/>
        <v>0</v>
      </c>
      <c r="P4873" s="17">
        <f t="shared" si="162"/>
        <v>3523.65</v>
      </c>
      <c r="Q4873" t="str">
        <f>A4873&amp;"-"&amp;B4873&amp;"-"&amp;D4873</f>
        <v>OKTOBER-KLB-L3B</v>
      </c>
    </row>
    <row r="4874" spans="1:17" x14ac:dyDescent="0.25">
      <c r="A4874" t="s">
        <v>400</v>
      </c>
      <c r="B4874" s="13" t="s">
        <v>24</v>
      </c>
      <c r="C4874" s="13" t="s">
        <v>226</v>
      </c>
      <c r="D4874" s="14" t="s">
        <v>225</v>
      </c>
      <c r="E4874" s="13" t="s">
        <v>61</v>
      </c>
      <c r="F4874" s="13" t="s">
        <v>1523</v>
      </c>
      <c r="G4874" s="13">
        <v>0.65</v>
      </c>
      <c r="H4874" s="15">
        <v>5</v>
      </c>
      <c r="I4874" s="16">
        <v>3.25</v>
      </c>
      <c r="J4874" s="16">
        <v>1.7979166666666666</v>
      </c>
      <c r="K4874" s="16">
        <v>1.4520833333333334</v>
      </c>
      <c r="L4874" s="13">
        <v>1.81</v>
      </c>
      <c r="M4874" s="13"/>
      <c r="N4874" s="17">
        <f t="shared" si="161"/>
        <v>9.0500000000000007</v>
      </c>
      <c r="O4874" s="17">
        <f t="shared" si="161"/>
        <v>0</v>
      </c>
      <c r="P4874" s="17">
        <f t="shared" si="162"/>
        <v>9.0500000000000007</v>
      </c>
      <c r="Q4874" t="str">
        <f>A4874&amp;"-"&amp;B4874&amp;"-"&amp;D4874</f>
        <v>OKTOBER-KLB-L3B</v>
      </c>
    </row>
    <row r="4875" spans="1:17" x14ac:dyDescent="0.25">
      <c r="A4875" t="s">
        <v>400</v>
      </c>
      <c r="B4875" s="13" t="s">
        <v>24</v>
      </c>
      <c r="C4875" s="13" t="s">
        <v>226</v>
      </c>
      <c r="D4875" s="14" t="s">
        <v>225</v>
      </c>
      <c r="E4875" s="13" t="s">
        <v>61</v>
      </c>
      <c r="F4875" s="13" t="s">
        <v>1715</v>
      </c>
      <c r="G4875" s="13">
        <v>0.68</v>
      </c>
      <c r="H4875" s="15">
        <v>1435</v>
      </c>
      <c r="I4875" s="16">
        <v>975.80000000000018</v>
      </c>
      <c r="J4875" s="16">
        <v>660.04038002360392</v>
      </c>
      <c r="K4875" s="16">
        <v>315.75961997639615</v>
      </c>
      <c r="L4875" s="13">
        <v>1.69</v>
      </c>
      <c r="M4875" s="13"/>
      <c r="N4875" s="17">
        <f t="shared" si="161"/>
        <v>2425.15</v>
      </c>
      <c r="O4875" s="17">
        <f t="shared" si="161"/>
        <v>0</v>
      </c>
      <c r="P4875" s="17">
        <f t="shared" si="162"/>
        <v>2425.15</v>
      </c>
      <c r="Q4875" t="str">
        <f>A4875&amp;"-"&amp;B4875&amp;"-"&amp;D4875</f>
        <v>OKTOBER-KLB-L3B</v>
      </c>
    </row>
    <row r="4876" spans="1:17" x14ac:dyDescent="0.25">
      <c r="A4876" t="s">
        <v>400</v>
      </c>
      <c r="B4876" s="13" t="s">
        <v>24</v>
      </c>
      <c r="C4876" s="13" t="s">
        <v>226</v>
      </c>
      <c r="D4876" s="14" t="s">
        <v>225</v>
      </c>
      <c r="E4876" s="13" t="s">
        <v>61</v>
      </c>
      <c r="F4876" s="13" t="s">
        <v>1526</v>
      </c>
      <c r="G4876" s="13">
        <v>0.68</v>
      </c>
      <c r="H4876" s="15">
        <v>49</v>
      </c>
      <c r="I4876" s="16">
        <v>33.32</v>
      </c>
      <c r="J4876" s="16">
        <v>24.514202898550725</v>
      </c>
      <c r="K4876" s="16">
        <v>8.8057971014492757</v>
      </c>
      <c r="L4876" s="13">
        <v>1.69</v>
      </c>
      <c r="M4876" s="13"/>
      <c r="N4876" s="17">
        <f t="shared" si="161"/>
        <v>82.81</v>
      </c>
      <c r="O4876" s="17">
        <f t="shared" si="161"/>
        <v>0</v>
      </c>
      <c r="P4876" s="17">
        <f t="shared" si="162"/>
        <v>82.81</v>
      </c>
      <c r="Q4876" t="str">
        <f>A4876&amp;"-"&amp;B4876&amp;"-"&amp;D4876</f>
        <v>OKTOBER-KLB-L3B</v>
      </c>
    </row>
    <row r="4877" spans="1:17" x14ac:dyDescent="0.25">
      <c r="A4877" t="s">
        <v>400</v>
      </c>
      <c r="B4877" s="13" t="s">
        <v>24</v>
      </c>
      <c r="C4877" s="13" t="s">
        <v>226</v>
      </c>
      <c r="D4877" s="14" t="s">
        <v>225</v>
      </c>
      <c r="E4877" s="13" t="s">
        <v>61</v>
      </c>
      <c r="F4877" s="13" t="s">
        <v>1527</v>
      </c>
      <c r="G4877" s="13">
        <v>0.65</v>
      </c>
      <c r="H4877" s="15">
        <v>1</v>
      </c>
      <c r="I4877" s="16">
        <v>0.65</v>
      </c>
      <c r="J4877" s="16">
        <v>0.50028985507246371</v>
      </c>
      <c r="K4877" s="16">
        <v>0.14971014492753631</v>
      </c>
      <c r="L4877" s="13">
        <v>1.81</v>
      </c>
      <c r="M4877" s="13"/>
      <c r="N4877" s="17">
        <f t="shared" si="161"/>
        <v>1.81</v>
      </c>
      <c r="O4877" s="17">
        <f t="shared" si="161"/>
        <v>0</v>
      </c>
      <c r="P4877" s="17">
        <f t="shared" si="162"/>
        <v>1.81</v>
      </c>
      <c r="Q4877" t="str">
        <f>A4877&amp;"-"&amp;B4877&amp;"-"&amp;D4877</f>
        <v>OKTOBER-KLB-L3B</v>
      </c>
    </row>
    <row r="4878" spans="1:17" x14ac:dyDescent="0.25">
      <c r="A4878" t="s">
        <v>400</v>
      </c>
      <c r="B4878" s="13" t="s">
        <v>24</v>
      </c>
      <c r="C4878" s="13" t="s">
        <v>226</v>
      </c>
      <c r="D4878" s="14" t="s">
        <v>225</v>
      </c>
      <c r="E4878" s="13" t="s">
        <v>61</v>
      </c>
      <c r="F4878" s="13" t="s">
        <v>1716</v>
      </c>
      <c r="G4878" s="13">
        <v>0.7400000000000001</v>
      </c>
      <c r="H4878" s="15">
        <v>15433</v>
      </c>
      <c r="I4878" s="16">
        <v>11420.42</v>
      </c>
      <c r="J4878" s="16">
        <v>5512.441111738558</v>
      </c>
      <c r="K4878" s="16">
        <v>5907.9788882614421</v>
      </c>
      <c r="L4878" s="13">
        <v>1.36</v>
      </c>
      <c r="M4878" s="13"/>
      <c r="N4878" s="17">
        <f t="shared" si="161"/>
        <v>20988.880000000001</v>
      </c>
      <c r="O4878" s="17">
        <f t="shared" si="161"/>
        <v>0</v>
      </c>
      <c r="P4878" s="17">
        <f t="shared" si="162"/>
        <v>20988.880000000001</v>
      </c>
      <c r="Q4878" t="str">
        <f>A4878&amp;"-"&amp;B4878&amp;"-"&amp;D4878</f>
        <v>OKTOBER-KLB-L3B</v>
      </c>
    </row>
    <row r="4879" spans="1:17" x14ac:dyDescent="0.25">
      <c r="A4879" t="s">
        <v>400</v>
      </c>
      <c r="B4879" s="13" t="s">
        <v>24</v>
      </c>
      <c r="C4879" s="13" t="s">
        <v>226</v>
      </c>
      <c r="D4879" s="14" t="s">
        <v>225</v>
      </c>
      <c r="E4879" s="13" t="s">
        <v>61</v>
      </c>
      <c r="F4879" s="13" t="s">
        <v>1717</v>
      </c>
      <c r="G4879" s="13">
        <v>0.71</v>
      </c>
      <c r="H4879" s="15">
        <v>3190</v>
      </c>
      <c r="I4879" s="16">
        <v>2264.9</v>
      </c>
      <c r="J4879" s="16">
        <v>1147.6825726141078</v>
      </c>
      <c r="K4879" s="16">
        <v>1117.2174273858923</v>
      </c>
      <c r="L4879" s="13">
        <v>1.29</v>
      </c>
      <c r="M4879" s="13"/>
      <c r="N4879" s="17">
        <f t="shared" si="161"/>
        <v>4115.1000000000004</v>
      </c>
      <c r="O4879" s="17">
        <f t="shared" si="161"/>
        <v>0</v>
      </c>
      <c r="P4879" s="17">
        <f t="shared" si="162"/>
        <v>4115.1000000000004</v>
      </c>
      <c r="Q4879" t="str">
        <f>A4879&amp;"-"&amp;B4879&amp;"-"&amp;D4879</f>
        <v>OKTOBER-KLB-L3B</v>
      </c>
    </row>
    <row r="4880" spans="1:17" x14ac:dyDescent="0.25">
      <c r="A4880" t="s">
        <v>400</v>
      </c>
      <c r="B4880" s="13" t="s">
        <v>24</v>
      </c>
      <c r="C4880" s="13" t="s">
        <v>226</v>
      </c>
      <c r="D4880" s="14" t="s">
        <v>225</v>
      </c>
      <c r="E4880" s="13" t="s">
        <v>61</v>
      </c>
      <c r="F4880" s="13" t="s">
        <v>1719</v>
      </c>
      <c r="G4880" s="13">
        <v>0.83</v>
      </c>
      <c r="H4880" s="15">
        <v>4270</v>
      </c>
      <c r="I4880" s="16">
        <v>3544.1000000000004</v>
      </c>
      <c r="J4880" s="16">
        <v>1879.6109714113975</v>
      </c>
      <c r="K4880" s="16">
        <v>1664.4890285886027</v>
      </c>
      <c r="L4880" s="13">
        <v>2.13</v>
      </c>
      <c r="M4880" s="13"/>
      <c r="N4880" s="17">
        <f t="shared" si="161"/>
        <v>9095.1</v>
      </c>
      <c r="O4880" s="17">
        <f t="shared" si="161"/>
        <v>0</v>
      </c>
      <c r="P4880" s="17">
        <f t="shared" si="162"/>
        <v>9095.1</v>
      </c>
      <c r="Q4880" t="str">
        <f>A4880&amp;"-"&amp;B4880&amp;"-"&amp;D4880</f>
        <v>OKTOBER-KLB-L3B</v>
      </c>
    </row>
    <row r="4881" spans="1:17" x14ac:dyDescent="0.25">
      <c r="A4881" t="s">
        <v>400</v>
      </c>
      <c r="B4881" s="13" t="s">
        <v>24</v>
      </c>
      <c r="C4881" s="13" t="s">
        <v>226</v>
      </c>
      <c r="D4881" s="14" t="s">
        <v>225</v>
      </c>
      <c r="E4881" s="13" t="s">
        <v>61</v>
      </c>
      <c r="F4881" s="13" t="s">
        <v>1720</v>
      </c>
      <c r="G4881" s="13">
        <v>0.78</v>
      </c>
      <c r="H4881" s="15">
        <v>405</v>
      </c>
      <c r="I4881" s="16">
        <v>315.89999999999998</v>
      </c>
      <c r="J4881" s="16">
        <v>194.06395092821813</v>
      </c>
      <c r="K4881" s="16">
        <v>121.83604907178187</v>
      </c>
      <c r="L4881" s="13">
        <v>2.29</v>
      </c>
      <c r="M4881" s="13"/>
      <c r="N4881" s="17">
        <f t="shared" si="161"/>
        <v>927.45</v>
      </c>
      <c r="O4881" s="17">
        <f t="shared" si="161"/>
        <v>0</v>
      </c>
      <c r="P4881" s="17">
        <f t="shared" si="162"/>
        <v>927.45</v>
      </c>
      <c r="Q4881" t="str">
        <f>A4881&amp;"-"&amp;B4881&amp;"-"&amp;D4881</f>
        <v>OKTOBER-KLB-L3B</v>
      </c>
    </row>
    <row r="4882" spans="1:17" x14ac:dyDescent="0.25">
      <c r="A4882" t="s">
        <v>400</v>
      </c>
      <c r="B4882" s="13" t="s">
        <v>24</v>
      </c>
      <c r="C4882" s="13" t="s">
        <v>226</v>
      </c>
      <c r="D4882" s="14" t="s">
        <v>225</v>
      </c>
      <c r="E4882" s="13" t="s">
        <v>61</v>
      </c>
      <c r="F4882" s="13" t="s">
        <v>1721</v>
      </c>
      <c r="G4882" s="13">
        <v>0.83</v>
      </c>
      <c r="H4882" s="15">
        <v>3115</v>
      </c>
      <c r="I4882" s="16">
        <v>2585.4499999999994</v>
      </c>
      <c r="J4882" s="16">
        <v>1422.953707277326</v>
      </c>
      <c r="K4882" s="16">
        <v>1162.4962927226736</v>
      </c>
      <c r="L4882" s="13">
        <v>2.13</v>
      </c>
      <c r="M4882" s="13"/>
      <c r="N4882" s="17">
        <f t="shared" si="161"/>
        <v>6634.95</v>
      </c>
      <c r="O4882" s="17">
        <f t="shared" si="161"/>
        <v>0</v>
      </c>
      <c r="P4882" s="17">
        <f t="shared" si="162"/>
        <v>6634.95</v>
      </c>
      <c r="Q4882" t="str">
        <f>A4882&amp;"-"&amp;B4882&amp;"-"&amp;D4882</f>
        <v>OKTOBER-KLB-L3B</v>
      </c>
    </row>
    <row r="4883" spans="1:17" x14ac:dyDescent="0.25">
      <c r="A4883" t="s">
        <v>400</v>
      </c>
      <c r="B4883" s="13" t="s">
        <v>24</v>
      </c>
      <c r="C4883" s="13" t="s">
        <v>226</v>
      </c>
      <c r="D4883" s="14" t="s">
        <v>225</v>
      </c>
      <c r="E4883" s="13" t="s">
        <v>61</v>
      </c>
      <c r="F4883" s="13" t="s">
        <v>1722</v>
      </c>
      <c r="G4883" s="13">
        <v>0.78</v>
      </c>
      <c r="H4883" s="15">
        <v>205</v>
      </c>
      <c r="I4883" s="16">
        <v>159.9</v>
      </c>
      <c r="J4883" s="16">
        <v>95.007221286374929</v>
      </c>
      <c r="K4883" s="16">
        <v>64.892778713625077</v>
      </c>
      <c r="L4883" s="13">
        <v>2.29</v>
      </c>
      <c r="M4883" s="13"/>
      <c r="N4883" s="17">
        <f t="shared" si="161"/>
        <v>469.45</v>
      </c>
      <c r="O4883" s="17">
        <f t="shared" si="161"/>
        <v>0</v>
      </c>
      <c r="P4883" s="17">
        <f t="shared" si="162"/>
        <v>469.45</v>
      </c>
      <c r="Q4883" t="str">
        <f>A4883&amp;"-"&amp;B4883&amp;"-"&amp;D4883</f>
        <v>OKTOBER-KLB-L3B</v>
      </c>
    </row>
    <row r="4884" spans="1:17" x14ac:dyDescent="0.25">
      <c r="A4884" t="s">
        <v>400</v>
      </c>
      <c r="B4884" s="13" t="s">
        <v>24</v>
      </c>
      <c r="C4884" s="13" t="s">
        <v>226</v>
      </c>
      <c r="D4884" s="14" t="s">
        <v>225</v>
      </c>
      <c r="E4884" s="13" t="s">
        <v>61</v>
      </c>
      <c r="F4884" s="13" t="s">
        <v>1723</v>
      </c>
      <c r="G4884" s="13">
        <v>0.65</v>
      </c>
      <c r="H4884" s="15">
        <v>6481</v>
      </c>
      <c r="I4884" s="16">
        <v>4212.6499999999996</v>
      </c>
      <c r="J4884" s="16">
        <v>2340.6261237922886</v>
      </c>
      <c r="K4884" s="16">
        <v>1872.0238762077108</v>
      </c>
      <c r="L4884" s="13">
        <v>1.66</v>
      </c>
      <c r="M4884" s="13"/>
      <c r="N4884" s="17">
        <f t="shared" si="161"/>
        <v>10758.46</v>
      </c>
      <c r="O4884" s="17">
        <f t="shared" si="161"/>
        <v>0</v>
      </c>
      <c r="P4884" s="17">
        <f t="shared" si="162"/>
        <v>10758.46</v>
      </c>
      <c r="Q4884" t="str">
        <f>A4884&amp;"-"&amp;B4884&amp;"-"&amp;D4884</f>
        <v>OKTOBER-KLB-L3B</v>
      </c>
    </row>
    <row r="4885" spans="1:17" x14ac:dyDescent="0.25">
      <c r="A4885" t="s">
        <v>400</v>
      </c>
      <c r="B4885" s="13" t="s">
        <v>24</v>
      </c>
      <c r="C4885" s="13" t="s">
        <v>226</v>
      </c>
      <c r="D4885" s="14" t="s">
        <v>225</v>
      </c>
      <c r="E4885" s="13" t="s">
        <v>61</v>
      </c>
      <c r="F4885" s="13" t="s">
        <v>1724</v>
      </c>
      <c r="G4885" s="13">
        <v>0.65</v>
      </c>
      <c r="H4885" s="15">
        <v>3735</v>
      </c>
      <c r="I4885" s="16">
        <v>2427.75</v>
      </c>
      <c r="J4885" s="16">
        <v>1366.143185000846</v>
      </c>
      <c r="K4885" s="16">
        <v>1061.606814999154</v>
      </c>
      <c r="L4885" s="13">
        <v>1.66</v>
      </c>
      <c r="M4885" s="13"/>
      <c r="N4885" s="17">
        <f t="shared" si="161"/>
        <v>6200.0999999999995</v>
      </c>
      <c r="O4885" s="17">
        <f t="shared" si="161"/>
        <v>0</v>
      </c>
      <c r="P4885" s="17">
        <f t="shared" si="162"/>
        <v>6200.0999999999995</v>
      </c>
      <c r="Q4885" t="str">
        <f>A4885&amp;"-"&amp;B4885&amp;"-"&amp;D4885</f>
        <v>OKTOBER-KLB-L3B</v>
      </c>
    </row>
    <row r="4886" spans="1:17" x14ac:dyDescent="0.25">
      <c r="A4886" t="s">
        <v>400</v>
      </c>
      <c r="B4886" s="13" t="s">
        <v>24</v>
      </c>
      <c r="C4886" s="13" t="s">
        <v>226</v>
      </c>
      <c r="D4886" s="14" t="s">
        <v>225</v>
      </c>
      <c r="E4886" s="13" t="s">
        <v>61</v>
      </c>
      <c r="F4886" s="13" t="s">
        <v>1725</v>
      </c>
      <c r="G4886" s="13">
        <v>0.65</v>
      </c>
      <c r="H4886" s="15">
        <v>5525</v>
      </c>
      <c r="I4886" s="16">
        <v>3591.25</v>
      </c>
      <c r="J4886" s="16">
        <v>2008.0951596842747</v>
      </c>
      <c r="K4886" s="16">
        <v>1583.1548403157253</v>
      </c>
      <c r="L4886" s="13">
        <v>1.66</v>
      </c>
      <c r="M4886" s="13"/>
      <c r="N4886" s="17">
        <f t="shared" si="161"/>
        <v>9171.5</v>
      </c>
      <c r="O4886" s="17">
        <f t="shared" si="161"/>
        <v>0</v>
      </c>
      <c r="P4886" s="17">
        <f t="shared" si="162"/>
        <v>9171.5</v>
      </c>
      <c r="Q4886" t="str">
        <f>A4886&amp;"-"&amp;B4886&amp;"-"&amp;D4886</f>
        <v>OKTOBER-KLB-L3B</v>
      </c>
    </row>
    <row r="4887" spans="1:17" x14ac:dyDescent="0.25">
      <c r="A4887" t="s">
        <v>400</v>
      </c>
      <c r="B4887" s="13" t="s">
        <v>24</v>
      </c>
      <c r="C4887" s="13" t="s">
        <v>226</v>
      </c>
      <c r="D4887" s="14" t="s">
        <v>225</v>
      </c>
      <c r="E4887" s="13" t="s">
        <v>61</v>
      </c>
      <c r="F4887" s="13" t="s">
        <v>1726</v>
      </c>
      <c r="G4887" s="13">
        <v>0.65</v>
      </c>
      <c r="H4887" s="15">
        <v>4310</v>
      </c>
      <c r="I4887" s="16">
        <v>2801.5</v>
      </c>
      <c r="J4887" s="16">
        <v>1576.0677246811701</v>
      </c>
      <c r="K4887" s="16">
        <v>1225.4322753188296</v>
      </c>
      <c r="L4887" s="13">
        <v>1.66</v>
      </c>
      <c r="M4887" s="13"/>
      <c r="N4887" s="17">
        <f t="shared" si="161"/>
        <v>7154.5999999999995</v>
      </c>
      <c r="O4887" s="17">
        <f t="shared" si="161"/>
        <v>0</v>
      </c>
      <c r="P4887" s="17">
        <f t="shared" si="162"/>
        <v>7154.5999999999995</v>
      </c>
      <c r="Q4887" t="str">
        <f>A4887&amp;"-"&amp;B4887&amp;"-"&amp;D4887</f>
        <v>OKTOBER-KLB-L3B</v>
      </c>
    </row>
    <row r="4888" spans="1:17" x14ac:dyDescent="0.25">
      <c r="A4888" t="s">
        <v>400</v>
      </c>
      <c r="B4888" s="13" t="s">
        <v>25</v>
      </c>
      <c r="C4888" s="13" t="s">
        <v>226</v>
      </c>
      <c r="D4888" s="14" t="s">
        <v>44</v>
      </c>
      <c r="E4888" s="13" t="s">
        <v>61</v>
      </c>
      <c r="F4888" s="13" t="s">
        <v>1543</v>
      </c>
      <c r="G4888" s="13">
        <v>0.74</v>
      </c>
      <c r="H4888" s="15">
        <v>59</v>
      </c>
      <c r="I4888" s="16">
        <v>43.66</v>
      </c>
      <c r="J4888" s="16">
        <v>49.417374881964115</v>
      </c>
      <c r="K4888" s="16">
        <v>-5.7573748819641182</v>
      </c>
      <c r="L4888" s="13">
        <v>2.17</v>
      </c>
      <c r="M4888" s="13"/>
      <c r="N4888" s="17">
        <f t="shared" si="161"/>
        <v>128.03</v>
      </c>
      <c r="O4888" s="17">
        <f t="shared" si="161"/>
        <v>0</v>
      </c>
      <c r="P4888" s="17">
        <f t="shared" si="162"/>
        <v>128.03</v>
      </c>
      <c r="Q4888" t="str">
        <f>A4888&amp;"-"&amp;B4888&amp;"-"&amp;D4888</f>
        <v>OKTOBER-MJ1-L1</v>
      </c>
    </row>
    <row r="4889" spans="1:17" x14ac:dyDescent="0.25">
      <c r="A4889" t="s">
        <v>400</v>
      </c>
      <c r="B4889" s="13" t="s">
        <v>25</v>
      </c>
      <c r="C4889" s="13" t="s">
        <v>226</v>
      </c>
      <c r="D4889" s="14" t="s">
        <v>44</v>
      </c>
      <c r="E4889" s="13" t="s">
        <v>61</v>
      </c>
      <c r="F4889" s="13" t="s">
        <v>1730</v>
      </c>
      <c r="G4889" s="13">
        <v>1.03</v>
      </c>
      <c r="H4889" s="15">
        <v>3787</v>
      </c>
      <c r="I4889" s="16">
        <v>3900.6100000000006</v>
      </c>
      <c r="J4889" s="16">
        <v>2959.4715663952679</v>
      </c>
      <c r="K4889" s="16">
        <v>941.13843360473163</v>
      </c>
      <c r="L4889" s="13">
        <v>2.31</v>
      </c>
      <c r="M4889" s="13"/>
      <c r="N4889" s="17">
        <f t="shared" si="161"/>
        <v>8747.9699999999993</v>
      </c>
      <c r="O4889" s="17">
        <f t="shared" si="161"/>
        <v>0</v>
      </c>
      <c r="P4889" s="17">
        <f t="shared" si="162"/>
        <v>8747.9699999999993</v>
      </c>
      <c r="Q4889" t="str">
        <f>A4889&amp;"-"&amp;B4889&amp;"-"&amp;D4889</f>
        <v>OKTOBER-MJ1-L1</v>
      </c>
    </row>
    <row r="4890" spans="1:17" x14ac:dyDescent="0.25">
      <c r="A4890" t="s">
        <v>400</v>
      </c>
      <c r="B4890" s="13" t="s">
        <v>25</v>
      </c>
      <c r="C4890" s="13" t="s">
        <v>226</v>
      </c>
      <c r="D4890" s="14" t="s">
        <v>44</v>
      </c>
      <c r="E4890" s="13" t="s">
        <v>61</v>
      </c>
      <c r="F4890" s="13" t="s">
        <v>1731</v>
      </c>
      <c r="G4890" s="13">
        <v>0.68</v>
      </c>
      <c r="H4890" s="15">
        <v>1522</v>
      </c>
      <c r="I4890" s="16">
        <v>1034.96</v>
      </c>
      <c r="J4890" s="16">
        <v>811.89659695018463</v>
      </c>
      <c r="K4890" s="16">
        <v>223.06340304981535</v>
      </c>
      <c r="L4890" s="13">
        <v>1.61</v>
      </c>
      <c r="M4890" s="13"/>
      <c r="N4890" s="17">
        <f t="shared" si="161"/>
        <v>2450.42</v>
      </c>
      <c r="O4890" s="17">
        <f t="shared" si="161"/>
        <v>0</v>
      </c>
      <c r="P4890" s="17">
        <f t="shared" si="162"/>
        <v>2450.42</v>
      </c>
      <c r="Q4890" t="str">
        <f>A4890&amp;"-"&amp;B4890&amp;"-"&amp;D4890</f>
        <v>OKTOBER-MJ1-L1</v>
      </c>
    </row>
    <row r="4891" spans="1:17" x14ac:dyDescent="0.25">
      <c r="A4891" t="s">
        <v>400</v>
      </c>
      <c r="B4891" s="13" t="s">
        <v>25</v>
      </c>
      <c r="C4891" s="13" t="s">
        <v>226</v>
      </c>
      <c r="D4891" s="14" t="s">
        <v>44</v>
      </c>
      <c r="E4891" s="13" t="s">
        <v>61</v>
      </c>
      <c r="F4891" s="13" t="s">
        <v>1732</v>
      </c>
      <c r="G4891" s="13">
        <v>0.68</v>
      </c>
      <c r="H4891" s="15">
        <v>534</v>
      </c>
      <c r="I4891" s="16">
        <v>363.12</v>
      </c>
      <c r="J4891" s="16">
        <v>305.19201030927837</v>
      </c>
      <c r="K4891" s="16">
        <v>57.927989690721631</v>
      </c>
      <c r="L4891" s="13">
        <v>1.63</v>
      </c>
      <c r="M4891" s="13"/>
      <c r="N4891" s="17">
        <f t="shared" si="161"/>
        <v>870.42</v>
      </c>
      <c r="O4891" s="17">
        <f t="shared" si="161"/>
        <v>0</v>
      </c>
      <c r="P4891" s="17">
        <f t="shared" si="162"/>
        <v>870.42</v>
      </c>
      <c r="Q4891" t="str">
        <f>A4891&amp;"-"&amp;B4891&amp;"-"&amp;D4891</f>
        <v>OKTOBER-MJ1-L1</v>
      </c>
    </row>
    <row r="4892" spans="1:17" x14ac:dyDescent="0.25">
      <c r="A4892" t="s">
        <v>400</v>
      </c>
      <c r="B4892" s="13" t="s">
        <v>25</v>
      </c>
      <c r="C4892" s="13" t="s">
        <v>226</v>
      </c>
      <c r="D4892" s="14" t="s">
        <v>44</v>
      </c>
      <c r="E4892" s="13" t="s">
        <v>61</v>
      </c>
      <c r="F4892" s="13" t="s">
        <v>1733</v>
      </c>
      <c r="G4892" s="13">
        <v>0.7599999999999999</v>
      </c>
      <c r="H4892" s="15">
        <v>6102</v>
      </c>
      <c r="I4892" s="16">
        <v>4637.5200000000004</v>
      </c>
      <c r="J4892" s="16">
        <v>3366.6029597694373</v>
      </c>
      <c r="K4892" s="16">
        <v>1270.9170402305629</v>
      </c>
      <c r="L4892" s="13">
        <v>1.94</v>
      </c>
      <c r="M4892" s="13"/>
      <c r="N4892" s="17">
        <f t="shared" si="161"/>
        <v>11837.88</v>
      </c>
      <c r="O4892" s="17">
        <f t="shared" si="161"/>
        <v>0</v>
      </c>
      <c r="P4892" s="17">
        <f t="shared" si="162"/>
        <v>11837.88</v>
      </c>
      <c r="Q4892" t="str">
        <f>A4892&amp;"-"&amp;B4892&amp;"-"&amp;D4892</f>
        <v>OKTOBER-MJ1-L1</v>
      </c>
    </row>
    <row r="4893" spans="1:17" x14ac:dyDescent="0.25">
      <c r="A4893" t="s">
        <v>400</v>
      </c>
      <c r="B4893" s="13" t="s">
        <v>25</v>
      </c>
      <c r="C4893" s="13" t="s">
        <v>226</v>
      </c>
      <c r="D4893" s="14" t="s">
        <v>44</v>
      </c>
      <c r="E4893" s="13" t="s">
        <v>61</v>
      </c>
      <c r="F4893" s="13" t="s">
        <v>1734</v>
      </c>
      <c r="G4893" s="13">
        <v>0.69</v>
      </c>
      <c r="H4893" s="15">
        <v>1015</v>
      </c>
      <c r="I4893" s="16">
        <v>700.35</v>
      </c>
      <c r="J4893" s="16">
        <v>488.76492942453859</v>
      </c>
      <c r="K4893" s="16">
        <v>211.58507057546143</v>
      </c>
      <c r="L4893" s="13">
        <v>2.0699999999999998</v>
      </c>
      <c r="M4893" s="13"/>
      <c r="N4893" s="17">
        <f t="shared" si="161"/>
        <v>2101.0499999999997</v>
      </c>
      <c r="O4893" s="17">
        <f t="shared" si="161"/>
        <v>0</v>
      </c>
      <c r="P4893" s="17">
        <f t="shared" si="162"/>
        <v>2101.0499999999997</v>
      </c>
      <c r="Q4893" t="str">
        <f>A4893&amp;"-"&amp;B4893&amp;"-"&amp;D4893</f>
        <v>OKTOBER-MJ1-L1</v>
      </c>
    </row>
    <row r="4894" spans="1:17" x14ac:dyDescent="0.25">
      <c r="A4894" t="s">
        <v>400</v>
      </c>
      <c r="B4894" s="13" t="s">
        <v>25</v>
      </c>
      <c r="C4894" s="13" t="s">
        <v>226</v>
      </c>
      <c r="D4894" s="14" t="s">
        <v>44</v>
      </c>
      <c r="E4894" s="13" t="s">
        <v>61</v>
      </c>
      <c r="F4894" s="13" t="s">
        <v>1548</v>
      </c>
      <c r="G4894" s="13">
        <v>0.79</v>
      </c>
      <c r="H4894" s="15">
        <v>6317</v>
      </c>
      <c r="I4894" s="16">
        <v>4990.43</v>
      </c>
      <c r="J4894" s="16">
        <v>3999.7498868329067</v>
      </c>
      <c r="K4894" s="16">
        <v>990.68011316709328</v>
      </c>
      <c r="L4894" s="13">
        <v>2</v>
      </c>
      <c r="M4894" s="13"/>
      <c r="N4894" s="17">
        <f t="shared" si="161"/>
        <v>12634</v>
      </c>
      <c r="O4894" s="17">
        <f t="shared" si="161"/>
        <v>0</v>
      </c>
      <c r="P4894" s="17">
        <f t="shared" si="162"/>
        <v>12634</v>
      </c>
      <c r="Q4894" t="str">
        <f>A4894&amp;"-"&amp;B4894&amp;"-"&amp;D4894</f>
        <v>OKTOBER-MJ1-L1</v>
      </c>
    </row>
    <row r="4895" spans="1:17" x14ac:dyDescent="0.25">
      <c r="A4895" t="s">
        <v>400</v>
      </c>
      <c r="B4895" s="13" t="s">
        <v>25</v>
      </c>
      <c r="C4895" s="13" t="s">
        <v>226</v>
      </c>
      <c r="D4895" s="14" t="s">
        <v>44</v>
      </c>
      <c r="E4895" s="13" t="s">
        <v>61</v>
      </c>
      <c r="F4895" s="13" t="s">
        <v>1735</v>
      </c>
      <c r="G4895" s="13">
        <v>0.77</v>
      </c>
      <c r="H4895" s="15">
        <v>1031</v>
      </c>
      <c r="I4895" s="16">
        <v>793.87</v>
      </c>
      <c r="J4895" s="16">
        <v>600.14840390497534</v>
      </c>
      <c r="K4895" s="16">
        <v>193.72159609502455</v>
      </c>
      <c r="L4895" s="13">
        <v>2.15</v>
      </c>
      <c r="M4895" s="13"/>
      <c r="N4895" s="17">
        <f t="shared" si="161"/>
        <v>2216.65</v>
      </c>
      <c r="O4895" s="17">
        <f t="shared" si="161"/>
        <v>0</v>
      </c>
      <c r="P4895" s="17">
        <f t="shared" si="162"/>
        <v>2216.65</v>
      </c>
      <c r="Q4895" t="str">
        <f>A4895&amp;"-"&amp;B4895&amp;"-"&amp;D4895</f>
        <v>OKTOBER-MJ1-L1</v>
      </c>
    </row>
    <row r="4896" spans="1:17" x14ac:dyDescent="0.25">
      <c r="A4896" t="s">
        <v>400</v>
      </c>
      <c r="B4896" s="13" t="s">
        <v>25</v>
      </c>
      <c r="C4896" s="13" t="s">
        <v>226</v>
      </c>
      <c r="D4896" s="14" t="s">
        <v>44</v>
      </c>
      <c r="E4896" s="13" t="s">
        <v>61</v>
      </c>
      <c r="F4896" s="13" t="s">
        <v>1736</v>
      </c>
      <c r="G4896" s="13">
        <v>0.93</v>
      </c>
      <c r="H4896" s="15">
        <v>4540</v>
      </c>
      <c r="I4896" s="16">
        <v>4222.2000000000007</v>
      </c>
      <c r="J4896" s="16">
        <v>2674.1448458440541</v>
      </c>
      <c r="K4896" s="16">
        <v>1548.055154155946</v>
      </c>
      <c r="L4896" s="13">
        <v>2.2200000000000002</v>
      </c>
      <c r="M4896" s="13"/>
      <c r="N4896" s="17">
        <f t="shared" si="161"/>
        <v>10078.800000000001</v>
      </c>
      <c r="O4896" s="17">
        <f t="shared" si="161"/>
        <v>0</v>
      </c>
      <c r="P4896" s="17">
        <f t="shared" si="162"/>
        <v>10078.800000000001</v>
      </c>
      <c r="Q4896" t="str">
        <f>A4896&amp;"-"&amp;B4896&amp;"-"&amp;D4896</f>
        <v>OKTOBER-MJ1-L1</v>
      </c>
    </row>
    <row r="4897" spans="1:17" x14ac:dyDescent="0.25">
      <c r="A4897" t="s">
        <v>400</v>
      </c>
      <c r="B4897" s="13" t="s">
        <v>25</v>
      </c>
      <c r="C4897" s="13" t="s">
        <v>226</v>
      </c>
      <c r="D4897" s="14" t="s">
        <v>44</v>
      </c>
      <c r="E4897" s="13" t="s">
        <v>61</v>
      </c>
      <c r="F4897" s="13" t="s">
        <v>1737</v>
      </c>
      <c r="G4897" s="13">
        <v>0.99</v>
      </c>
      <c r="H4897" s="15">
        <v>1143</v>
      </c>
      <c r="I4897" s="16">
        <v>1131.57</v>
      </c>
      <c r="J4897" s="16">
        <v>718.97685714285717</v>
      </c>
      <c r="K4897" s="16">
        <v>412.59314285714288</v>
      </c>
      <c r="L4897" s="13">
        <v>2.42</v>
      </c>
      <c r="M4897" s="13"/>
      <c r="N4897" s="17">
        <f t="shared" si="161"/>
        <v>2766.06</v>
      </c>
      <c r="O4897" s="17">
        <f t="shared" si="161"/>
        <v>0</v>
      </c>
      <c r="P4897" s="17">
        <f t="shared" si="162"/>
        <v>2766.06</v>
      </c>
      <c r="Q4897" t="str">
        <f>A4897&amp;"-"&amp;B4897&amp;"-"&amp;D4897</f>
        <v>OKTOBER-MJ1-L1</v>
      </c>
    </row>
    <row r="4898" spans="1:17" x14ac:dyDescent="0.25">
      <c r="A4898" t="s">
        <v>400</v>
      </c>
      <c r="B4898" s="13" t="s">
        <v>25</v>
      </c>
      <c r="C4898" s="13" t="s">
        <v>226</v>
      </c>
      <c r="D4898" s="14" t="s">
        <v>44</v>
      </c>
      <c r="E4898" s="13" t="s">
        <v>61</v>
      </c>
      <c r="F4898" s="13" t="s">
        <v>1738</v>
      </c>
      <c r="G4898" s="13">
        <v>0.81</v>
      </c>
      <c r="H4898" s="15">
        <v>1557</v>
      </c>
      <c r="I4898" s="16">
        <v>1261.17</v>
      </c>
      <c r="J4898" s="16">
        <v>893.08725490196082</v>
      </c>
      <c r="K4898" s="16">
        <v>368.0827450980392</v>
      </c>
      <c r="L4898" s="13">
        <v>2.21</v>
      </c>
      <c r="M4898" s="13"/>
      <c r="N4898" s="17">
        <f t="shared" si="161"/>
        <v>3440.97</v>
      </c>
      <c r="O4898" s="17">
        <f t="shared" si="161"/>
        <v>0</v>
      </c>
      <c r="P4898" s="17">
        <f t="shared" si="162"/>
        <v>3440.97</v>
      </c>
      <c r="Q4898" t="str">
        <f>A4898&amp;"-"&amp;B4898&amp;"-"&amp;D4898</f>
        <v>OKTOBER-MJ1-L1</v>
      </c>
    </row>
    <row r="4899" spans="1:17" x14ac:dyDescent="0.25">
      <c r="A4899" t="s">
        <v>400</v>
      </c>
      <c r="B4899" s="13" t="s">
        <v>25</v>
      </c>
      <c r="C4899" s="13" t="s">
        <v>226</v>
      </c>
      <c r="D4899" s="14" t="s">
        <v>44</v>
      </c>
      <c r="E4899" s="13" t="s">
        <v>61</v>
      </c>
      <c r="F4899" s="13" t="s">
        <v>1739</v>
      </c>
      <c r="G4899" s="13">
        <v>0.93</v>
      </c>
      <c r="H4899" s="15">
        <v>139</v>
      </c>
      <c r="I4899" s="16">
        <v>129.27000000000001</v>
      </c>
      <c r="J4899" s="16">
        <v>88.066428571428574</v>
      </c>
      <c r="K4899" s="16">
        <v>41.203571428571436</v>
      </c>
      <c r="L4899" s="13">
        <v>2.2200000000000002</v>
      </c>
      <c r="M4899" s="13"/>
      <c r="N4899" s="17">
        <f t="shared" si="161"/>
        <v>308.58000000000004</v>
      </c>
      <c r="O4899" s="17">
        <f t="shared" si="161"/>
        <v>0</v>
      </c>
      <c r="P4899" s="17">
        <f t="shared" si="162"/>
        <v>308.58000000000004</v>
      </c>
      <c r="Q4899" t="str">
        <f>A4899&amp;"-"&amp;B4899&amp;"-"&amp;D4899</f>
        <v>OKTOBER-MJ1-L1</v>
      </c>
    </row>
    <row r="4900" spans="1:17" x14ac:dyDescent="0.25">
      <c r="A4900" t="s">
        <v>400</v>
      </c>
      <c r="B4900" s="13" t="s">
        <v>25</v>
      </c>
      <c r="C4900" s="13" t="s">
        <v>226</v>
      </c>
      <c r="D4900" s="14" t="s">
        <v>44</v>
      </c>
      <c r="E4900" s="13" t="s">
        <v>61</v>
      </c>
      <c r="F4900" s="13" t="s">
        <v>1740</v>
      </c>
      <c r="G4900" s="13">
        <v>0.92999999999999994</v>
      </c>
      <c r="H4900" s="15">
        <v>3828</v>
      </c>
      <c r="I4900" s="16">
        <v>3560.0400000000004</v>
      </c>
      <c r="J4900" s="16">
        <v>2366.8007523977722</v>
      </c>
      <c r="K4900" s="16">
        <v>1193.2392476022276</v>
      </c>
      <c r="L4900" s="13">
        <v>2.2200000000000002</v>
      </c>
      <c r="M4900" s="13"/>
      <c r="N4900" s="17">
        <f t="shared" si="161"/>
        <v>8498.16</v>
      </c>
      <c r="O4900" s="17">
        <f t="shared" si="161"/>
        <v>0</v>
      </c>
      <c r="P4900" s="17">
        <f t="shared" si="162"/>
        <v>8498.16</v>
      </c>
      <c r="Q4900" t="str">
        <f>A4900&amp;"-"&amp;B4900&amp;"-"&amp;D4900</f>
        <v>OKTOBER-MJ1-L1</v>
      </c>
    </row>
    <row r="4901" spans="1:17" x14ac:dyDescent="0.25">
      <c r="A4901" t="s">
        <v>400</v>
      </c>
      <c r="B4901" s="13" t="s">
        <v>25</v>
      </c>
      <c r="C4901" s="13" t="s">
        <v>226</v>
      </c>
      <c r="D4901" s="14" t="s">
        <v>44</v>
      </c>
      <c r="E4901" s="13" t="s">
        <v>61</v>
      </c>
      <c r="F4901" s="13" t="s">
        <v>1741</v>
      </c>
      <c r="G4901" s="13">
        <v>0.9900000000000001</v>
      </c>
      <c r="H4901" s="15">
        <v>250</v>
      </c>
      <c r="I4901" s="16">
        <v>247.49999999999997</v>
      </c>
      <c r="J4901" s="16">
        <v>191.68013267337321</v>
      </c>
      <c r="K4901" s="16">
        <v>55.819867326626813</v>
      </c>
      <c r="L4901" s="13">
        <v>2.42</v>
      </c>
      <c r="M4901" s="13"/>
      <c r="N4901" s="17">
        <f t="shared" si="161"/>
        <v>605</v>
      </c>
      <c r="O4901" s="17">
        <f t="shared" si="161"/>
        <v>0</v>
      </c>
      <c r="P4901" s="17">
        <f t="shared" si="162"/>
        <v>605</v>
      </c>
      <c r="Q4901" t="str">
        <f>A4901&amp;"-"&amp;B4901&amp;"-"&amp;D4901</f>
        <v>OKTOBER-MJ1-L1</v>
      </c>
    </row>
    <row r="4902" spans="1:17" x14ac:dyDescent="0.25">
      <c r="A4902" t="s">
        <v>400</v>
      </c>
      <c r="B4902" s="13" t="s">
        <v>25</v>
      </c>
      <c r="C4902" s="13" t="s">
        <v>226</v>
      </c>
      <c r="D4902" s="14" t="s">
        <v>287</v>
      </c>
      <c r="E4902" s="13" t="s">
        <v>61</v>
      </c>
      <c r="F4902" s="13" t="s">
        <v>1742</v>
      </c>
      <c r="G4902" s="13">
        <v>1.37</v>
      </c>
      <c r="H4902" s="15">
        <v>120</v>
      </c>
      <c r="I4902" s="16">
        <v>164.4</v>
      </c>
      <c r="J4902" s="16">
        <v>159.03282828282829</v>
      </c>
      <c r="K4902" s="16">
        <v>5.367171717171729</v>
      </c>
      <c r="L4902" s="13">
        <v>3.7</v>
      </c>
      <c r="M4902" s="13"/>
      <c r="N4902" s="17">
        <f t="shared" si="161"/>
        <v>444</v>
      </c>
      <c r="O4902" s="17">
        <f t="shared" si="161"/>
        <v>0</v>
      </c>
      <c r="P4902" s="17">
        <f t="shared" si="162"/>
        <v>444</v>
      </c>
      <c r="Q4902" t="str">
        <f>A4902&amp;"-"&amp;B4902&amp;"-"&amp;D4902</f>
        <v>OKTOBER-MJ1-L11</v>
      </c>
    </row>
    <row r="4903" spans="1:17" x14ac:dyDescent="0.25">
      <c r="A4903" t="s">
        <v>400</v>
      </c>
      <c r="B4903" s="13" t="s">
        <v>25</v>
      </c>
      <c r="C4903" s="13" t="s">
        <v>226</v>
      </c>
      <c r="D4903" s="14" t="s">
        <v>287</v>
      </c>
      <c r="E4903" s="13" t="s">
        <v>61</v>
      </c>
      <c r="F4903" s="13" t="s">
        <v>1743</v>
      </c>
      <c r="G4903" s="13">
        <v>1.24</v>
      </c>
      <c r="H4903" s="15">
        <v>10414</v>
      </c>
      <c r="I4903" s="16">
        <v>12913.359999999999</v>
      </c>
      <c r="J4903" s="16">
        <v>8791.1678274704882</v>
      </c>
      <c r="K4903" s="16">
        <v>4122.1921725295133</v>
      </c>
      <c r="L4903" s="13">
        <v>3.18</v>
      </c>
      <c r="M4903" s="13"/>
      <c r="N4903" s="17">
        <f t="shared" si="161"/>
        <v>33116.520000000004</v>
      </c>
      <c r="O4903" s="17">
        <f t="shared" si="161"/>
        <v>0</v>
      </c>
      <c r="P4903" s="17">
        <f t="shared" si="162"/>
        <v>33116.520000000004</v>
      </c>
      <c r="Q4903" t="str">
        <f>A4903&amp;"-"&amp;B4903&amp;"-"&amp;D4903</f>
        <v>OKTOBER-MJ1-L11</v>
      </c>
    </row>
    <row r="4904" spans="1:17" x14ac:dyDescent="0.25">
      <c r="A4904" t="s">
        <v>400</v>
      </c>
      <c r="B4904" s="13" t="s">
        <v>25</v>
      </c>
      <c r="C4904" s="13" t="s">
        <v>226</v>
      </c>
      <c r="D4904" s="14" t="s">
        <v>287</v>
      </c>
      <c r="E4904" s="13" t="s">
        <v>61</v>
      </c>
      <c r="F4904" s="13" t="s">
        <v>1549</v>
      </c>
      <c r="G4904" s="13">
        <v>1.24</v>
      </c>
      <c r="H4904" s="15">
        <v>10344</v>
      </c>
      <c r="I4904" s="16">
        <v>12826.559999999998</v>
      </c>
      <c r="J4904" s="16">
        <v>8623.4465260648685</v>
      </c>
      <c r="K4904" s="16">
        <v>4203.1134739351328</v>
      </c>
      <c r="L4904" s="13">
        <v>3.18</v>
      </c>
      <c r="M4904" s="13"/>
      <c r="N4904" s="17">
        <f t="shared" si="161"/>
        <v>32893.919999999998</v>
      </c>
      <c r="O4904" s="17">
        <f t="shared" si="161"/>
        <v>0</v>
      </c>
      <c r="P4904" s="17">
        <f t="shared" si="162"/>
        <v>32893.919999999998</v>
      </c>
      <c r="Q4904" t="str">
        <f>A4904&amp;"-"&amp;B4904&amp;"-"&amp;D4904</f>
        <v>OKTOBER-MJ1-L11</v>
      </c>
    </row>
    <row r="4905" spans="1:17" x14ac:dyDescent="0.25">
      <c r="A4905" t="s">
        <v>400</v>
      </c>
      <c r="B4905" s="13" t="s">
        <v>25</v>
      </c>
      <c r="C4905" s="13" t="s">
        <v>226</v>
      </c>
      <c r="D4905" s="14" t="s">
        <v>287</v>
      </c>
      <c r="E4905" s="13" t="s">
        <v>713</v>
      </c>
      <c r="F4905" s="13" t="s">
        <v>1744</v>
      </c>
      <c r="G4905" s="13">
        <v>1.24</v>
      </c>
      <c r="H4905" s="15">
        <v>2250</v>
      </c>
      <c r="I4905" s="16">
        <v>2790</v>
      </c>
      <c r="J4905" s="16">
        <v>1940.3528181818183</v>
      </c>
      <c r="K4905" s="16">
        <v>849.64718181818193</v>
      </c>
      <c r="L4905" s="13">
        <v>3.18</v>
      </c>
      <c r="M4905" s="13"/>
      <c r="N4905" s="17">
        <f t="shared" si="161"/>
        <v>7155</v>
      </c>
      <c r="O4905" s="17">
        <f t="shared" si="161"/>
        <v>0</v>
      </c>
      <c r="P4905" s="17">
        <f t="shared" si="162"/>
        <v>7155</v>
      </c>
      <c r="Q4905" t="str">
        <f>A4905&amp;"-"&amp;B4905&amp;"-"&amp;D4905</f>
        <v>OKTOBER-MJ1-L11</v>
      </c>
    </row>
    <row r="4906" spans="1:17" x14ac:dyDescent="0.25">
      <c r="A4906" t="s">
        <v>400</v>
      </c>
      <c r="B4906" s="13" t="s">
        <v>25</v>
      </c>
      <c r="C4906" s="13" t="s">
        <v>226</v>
      </c>
      <c r="D4906" s="14" t="s">
        <v>310</v>
      </c>
      <c r="E4906" s="13" t="s">
        <v>61</v>
      </c>
      <c r="F4906" s="13" t="s">
        <v>1543</v>
      </c>
      <c r="G4906" s="13">
        <v>0.74</v>
      </c>
      <c r="H4906" s="15">
        <v>58</v>
      </c>
      <c r="I4906" s="16">
        <v>42.92</v>
      </c>
      <c r="J4906" s="16">
        <v>34.343124165554073</v>
      </c>
      <c r="K4906" s="16">
        <v>8.5768758344459286</v>
      </c>
      <c r="L4906" s="13">
        <v>2.17</v>
      </c>
      <c r="M4906" s="13"/>
      <c r="N4906" s="17">
        <f t="shared" si="161"/>
        <v>125.86</v>
      </c>
      <c r="O4906" s="17">
        <f t="shared" si="161"/>
        <v>0</v>
      </c>
      <c r="P4906" s="17">
        <f t="shared" si="162"/>
        <v>125.86</v>
      </c>
      <c r="Q4906" t="str">
        <f>A4906&amp;"-"&amp;B4906&amp;"-"&amp;D4906</f>
        <v>OKTOBER-MJ1-L12</v>
      </c>
    </row>
    <row r="4907" spans="1:17" x14ac:dyDescent="0.25">
      <c r="A4907" t="s">
        <v>400</v>
      </c>
      <c r="B4907" s="13" t="s">
        <v>25</v>
      </c>
      <c r="C4907" s="13" t="s">
        <v>226</v>
      </c>
      <c r="D4907" s="14" t="s">
        <v>310</v>
      </c>
      <c r="E4907" s="13" t="s">
        <v>61</v>
      </c>
      <c r="F4907" s="13" t="s">
        <v>1730</v>
      </c>
      <c r="G4907" s="13">
        <v>1.03</v>
      </c>
      <c r="H4907" s="15">
        <v>4278</v>
      </c>
      <c r="I4907" s="16">
        <v>4406.3399999999992</v>
      </c>
      <c r="J4907" s="16">
        <v>2946.0404416188835</v>
      </c>
      <c r="K4907" s="16">
        <v>1460.2995583811171</v>
      </c>
      <c r="L4907" s="13">
        <v>2.31</v>
      </c>
      <c r="M4907" s="13"/>
      <c r="N4907" s="17">
        <f t="shared" si="161"/>
        <v>9882.18</v>
      </c>
      <c r="O4907" s="17">
        <f t="shared" si="161"/>
        <v>0</v>
      </c>
      <c r="P4907" s="17">
        <f t="shared" si="162"/>
        <v>9882.18</v>
      </c>
      <c r="Q4907" t="str">
        <f>A4907&amp;"-"&amp;B4907&amp;"-"&amp;D4907</f>
        <v>OKTOBER-MJ1-L12</v>
      </c>
    </row>
    <row r="4908" spans="1:17" x14ac:dyDescent="0.25">
      <c r="A4908" t="s">
        <v>400</v>
      </c>
      <c r="B4908" s="13" t="s">
        <v>25</v>
      </c>
      <c r="C4908" s="13" t="s">
        <v>226</v>
      </c>
      <c r="D4908" s="14" t="s">
        <v>310</v>
      </c>
      <c r="E4908" s="13" t="s">
        <v>61</v>
      </c>
      <c r="F4908" s="13" t="s">
        <v>1545</v>
      </c>
      <c r="G4908" s="13">
        <v>0.68</v>
      </c>
      <c r="H4908" s="15">
        <v>49</v>
      </c>
      <c r="I4908" s="16">
        <v>33.32</v>
      </c>
      <c r="J4908" s="16">
        <v>29.762286161894504</v>
      </c>
      <c r="K4908" s="16">
        <v>3.557713838105494</v>
      </c>
      <c r="L4908" s="13">
        <v>1.61</v>
      </c>
      <c r="M4908" s="13"/>
      <c r="N4908" s="17">
        <f t="shared" si="161"/>
        <v>78.89</v>
      </c>
      <c r="O4908" s="17">
        <f t="shared" si="161"/>
        <v>0</v>
      </c>
      <c r="P4908" s="17">
        <f t="shared" si="162"/>
        <v>78.89</v>
      </c>
      <c r="Q4908" t="str">
        <f>A4908&amp;"-"&amp;B4908&amp;"-"&amp;D4908</f>
        <v>OKTOBER-MJ1-L12</v>
      </c>
    </row>
    <row r="4909" spans="1:17" x14ac:dyDescent="0.25">
      <c r="A4909" t="s">
        <v>400</v>
      </c>
      <c r="B4909" s="13" t="s">
        <v>25</v>
      </c>
      <c r="C4909" s="13" t="s">
        <v>226</v>
      </c>
      <c r="D4909" s="14" t="s">
        <v>310</v>
      </c>
      <c r="E4909" s="13" t="s">
        <v>61</v>
      </c>
      <c r="F4909" s="13" t="s">
        <v>1731</v>
      </c>
      <c r="G4909" s="13">
        <v>0.68</v>
      </c>
      <c r="H4909" s="15">
        <v>2095</v>
      </c>
      <c r="I4909" s="16">
        <v>1424.6</v>
      </c>
      <c r="J4909" s="16">
        <v>1166.4350609494161</v>
      </c>
      <c r="K4909" s="16">
        <v>258.16493905058388</v>
      </c>
      <c r="L4909" s="13">
        <v>1.61</v>
      </c>
      <c r="M4909" s="13"/>
      <c r="N4909" s="17">
        <f t="shared" si="161"/>
        <v>3372.9500000000003</v>
      </c>
      <c r="O4909" s="17">
        <f t="shared" si="161"/>
        <v>0</v>
      </c>
      <c r="P4909" s="17">
        <f t="shared" si="162"/>
        <v>3372.9500000000003</v>
      </c>
      <c r="Q4909" t="str">
        <f>A4909&amp;"-"&amp;B4909&amp;"-"&amp;D4909</f>
        <v>OKTOBER-MJ1-L12</v>
      </c>
    </row>
    <row r="4910" spans="1:17" x14ac:dyDescent="0.25">
      <c r="A4910" t="s">
        <v>400</v>
      </c>
      <c r="B4910" s="13" t="s">
        <v>25</v>
      </c>
      <c r="C4910" s="13" t="s">
        <v>226</v>
      </c>
      <c r="D4910" s="14" t="s">
        <v>310</v>
      </c>
      <c r="E4910" s="13" t="s">
        <v>61</v>
      </c>
      <c r="F4910" s="13" t="s">
        <v>1745</v>
      </c>
      <c r="G4910" s="13">
        <v>1.03</v>
      </c>
      <c r="H4910" s="15">
        <v>42</v>
      </c>
      <c r="I4910" s="16">
        <v>43.26</v>
      </c>
      <c r="J4910" s="16">
        <v>24.737051792828684</v>
      </c>
      <c r="K4910" s="16">
        <v>18.522948207171314</v>
      </c>
      <c r="L4910" s="13">
        <v>2.31</v>
      </c>
      <c r="M4910" s="13"/>
      <c r="N4910" s="17">
        <f t="shared" si="161"/>
        <v>97.02</v>
      </c>
      <c r="O4910" s="17">
        <f t="shared" si="161"/>
        <v>0</v>
      </c>
      <c r="P4910" s="17">
        <f t="shared" si="162"/>
        <v>97.02</v>
      </c>
      <c r="Q4910" t="str">
        <f>A4910&amp;"-"&amp;B4910&amp;"-"&amp;D4910</f>
        <v>OKTOBER-MJ1-L12</v>
      </c>
    </row>
    <row r="4911" spans="1:17" x14ac:dyDescent="0.25">
      <c r="A4911" t="s">
        <v>400</v>
      </c>
      <c r="B4911" s="13" t="s">
        <v>25</v>
      </c>
      <c r="C4911" s="13" t="s">
        <v>226</v>
      </c>
      <c r="D4911" s="14" t="s">
        <v>310</v>
      </c>
      <c r="E4911" s="13" t="s">
        <v>61</v>
      </c>
      <c r="F4911" s="13" t="s">
        <v>1732</v>
      </c>
      <c r="G4911" s="13">
        <v>0.68</v>
      </c>
      <c r="H4911" s="15">
        <v>533</v>
      </c>
      <c r="I4911" s="16">
        <v>362.44</v>
      </c>
      <c r="J4911" s="16">
        <v>299.22215189873418</v>
      </c>
      <c r="K4911" s="16">
        <v>63.217848101265815</v>
      </c>
      <c r="L4911" s="13">
        <v>1.63</v>
      </c>
      <c r="M4911" s="13"/>
      <c r="N4911" s="17">
        <f t="shared" si="161"/>
        <v>868.79</v>
      </c>
      <c r="O4911" s="17">
        <f t="shared" si="161"/>
        <v>0</v>
      </c>
      <c r="P4911" s="17">
        <f t="shared" si="162"/>
        <v>868.79</v>
      </c>
      <c r="Q4911" t="str">
        <f>A4911&amp;"-"&amp;B4911&amp;"-"&amp;D4911</f>
        <v>OKTOBER-MJ1-L12</v>
      </c>
    </row>
    <row r="4912" spans="1:17" x14ac:dyDescent="0.25">
      <c r="A4912" t="s">
        <v>400</v>
      </c>
      <c r="B4912" s="13" t="s">
        <v>25</v>
      </c>
      <c r="C4912" s="13" t="s">
        <v>226</v>
      </c>
      <c r="D4912" s="14" t="s">
        <v>310</v>
      </c>
      <c r="E4912" s="13" t="s">
        <v>61</v>
      </c>
      <c r="F4912" s="13" t="s">
        <v>1733</v>
      </c>
      <c r="G4912" s="13">
        <v>0.7599999999999999</v>
      </c>
      <c r="H4912" s="15">
        <v>5413</v>
      </c>
      <c r="I4912" s="16">
        <v>4113.88</v>
      </c>
      <c r="J4912" s="16">
        <v>2763.523223851289</v>
      </c>
      <c r="K4912" s="16">
        <v>1350.3567761487111</v>
      </c>
      <c r="L4912" s="13">
        <v>1.94</v>
      </c>
      <c r="M4912" s="13"/>
      <c r="N4912" s="17">
        <f t="shared" si="161"/>
        <v>10501.22</v>
      </c>
      <c r="O4912" s="17">
        <f t="shared" si="161"/>
        <v>0</v>
      </c>
      <c r="P4912" s="17">
        <f t="shared" si="162"/>
        <v>10501.22</v>
      </c>
      <c r="Q4912" t="str">
        <f>A4912&amp;"-"&amp;B4912&amp;"-"&amp;D4912</f>
        <v>OKTOBER-MJ1-L12</v>
      </c>
    </row>
    <row r="4913" spans="1:17" x14ac:dyDescent="0.25">
      <c r="A4913" t="s">
        <v>400</v>
      </c>
      <c r="B4913" s="13" t="s">
        <v>25</v>
      </c>
      <c r="C4913" s="13" t="s">
        <v>226</v>
      </c>
      <c r="D4913" s="14" t="s">
        <v>310</v>
      </c>
      <c r="E4913" s="13" t="s">
        <v>61</v>
      </c>
      <c r="F4913" s="13" t="s">
        <v>1734</v>
      </c>
      <c r="G4913" s="13">
        <v>0.69</v>
      </c>
      <c r="H4913" s="15">
        <v>559</v>
      </c>
      <c r="I4913" s="16">
        <v>385.71000000000004</v>
      </c>
      <c r="J4913" s="16">
        <v>347.9728678690235</v>
      </c>
      <c r="K4913" s="16">
        <v>37.737132130976505</v>
      </c>
      <c r="L4913" s="13">
        <v>2.0699999999999998</v>
      </c>
      <c r="M4913" s="13"/>
      <c r="N4913" s="17">
        <f t="shared" si="161"/>
        <v>1157.1299999999999</v>
      </c>
      <c r="O4913" s="17">
        <f t="shared" si="161"/>
        <v>0</v>
      </c>
      <c r="P4913" s="17">
        <f t="shared" si="162"/>
        <v>1157.1299999999999</v>
      </c>
      <c r="Q4913" t="str">
        <f>A4913&amp;"-"&amp;B4913&amp;"-"&amp;D4913</f>
        <v>OKTOBER-MJ1-L12</v>
      </c>
    </row>
    <row r="4914" spans="1:17" x14ac:dyDescent="0.25">
      <c r="A4914" t="s">
        <v>400</v>
      </c>
      <c r="B4914" s="13" t="s">
        <v>25</v>
      </c>
      <c r="C4914" s="13" t="s">
        <v>226</v>
      </c>
      <c r="D4914" s="14" t="s">
        <v>310</v>
      </c>
      <c r="E4914" s="13" t="s">
        <v>61</v>
      </c>
      <c r="F4914" s="13" t="s">
        <v>1548</v>
      </c>
      <c r="G4914" s="13">
        <v>0.79</v>
      </c>
      <c r="H4914" s="15">
        <v>5650</v>
      </c>
      <c r="I4914" s="16">
        <v>4463.4999999999991</v>
      </c>
      <c r="J4914" s="16">
        <v>3365.8492738121231</v>
      </c>
      <c r="K4914" s="16">
        <v>1097.6507261878776</v>
      </c>
      <c r="L4914" s="13">
        <v>2</v>
      </c>
      <c r="M4914" s="13"/>
      <c r="N4914" s="17">
        <f t="shared" si="161"/>
        <v>11300</v>
      </c>
      <c r="O4914" s="17">
        <f t="shared" si="161"/>
        <v>0</v>
      </c>
      <c r="P4914" s="17">
        <f t="shared" si="162"/>
        <v>11300</v>
      </c>
      <c r="Q4914" t="str">
        <f>A4914&amp;"-"&amp;B4914&amp;"-"&amp;D4914</f>
        <v>OKTOBER-MJ1-L12</v>
      </c>
    </row>
    <row r="4915" spans="1:17" x14ac:dyDescent="0.25">
      <c r="A4915" t="s">
        <v>400</v>
      </c>
      <c r="B4915" s="13" t="s">
        <v>25</v>
      </c>
      <c r="C4915" s="13" t="s">
        <v>226</v>
      </c>
      <c r="D4915" s="14" t="s">
        <v>310</v>
      </c>
      <c r="E4915" s="13" t="s">
        <v>61</v>
      </c>
      <c r="F4915" s="13" t="s">
        <v>1735</v>
      </c>
      <c r="G4915" s="13">
        <v>0.77</v>
      </c>
      <c r="H4915" s="15">
        <v>1030</v>
      </c>
      <c r="I4915" s="16">
        <v>793.1</v>
      </c>
      <c r="J4915" s="16">
        <v>596.61968980166853</v>
      </c>
      <c r="K4915" s="16">
        <v>196.48031019833158</v>
      </c>
      <c r="L4915" s="13">
        <v>2.15</v>
      </c>
      <c r="M4915" s="13"/>
      <c r="N4915" s="17">
        <f t="shared" si="161"/>
        <v>2214.5</v>
      </c>
      <c r="O4915" s="17">
        <f t="shared" si="161"/>
        <v>0</v>
      </c>
      <c r="P4915" s="17">
        <f t="shared" si="162"/>
        <v>2214.5</v>
      </c>
      <c r="Q4915" t="str">
        <f>A4915&amp;"-"&amp;B4915&amp;"-"&amp;D4915</f>
        <v>OKTOBER-MJ1-L12</v>
      </c>
    </row>
    <row r="4916" spans="1:17" x14ac:dyDescent="0.25">
      <c r="A4916" t="s">
        <v>400</v>
      </c>
      <c r="B4916" s="13" t="s">
        <v>25</v>
      </c>
      <c r="C4916" s="13" t="s">
        <v>226</v>
      </c>
      <c r="D4916" s="14" t="s">
        <v>310</v>
      </c>
      <c r="E4916" s="13" t="s">
        <v>61</v>
      </c>
      <c r="F4916" s="13" t="s">
        <v>1736</v>
      </c>
      <c r="G4916" s="13">
        <v>0.93</v>
      </c>
      <c r="H4916" s="15">
        <v>5117</v>
      </c>
      <c r="I4916" s="16">
        <v>4758.8099999999995</v>
      </c>
      <c r="J4916" s="16">
        <v>2687.0599518399376</v>
      </c>
      <c r="K4916" s="16">
        <v>2071.7500481600623</v>
      </c>
      <c r="L4916" s="13">
        <v>2.2200000000000002</v>
      </c>
      <c r="M4916" s="13"/>
      <c r="N4916" s="17">
        <f t="shared" si="161"/>
        <v>11359.740000000002</v>
      </c>
      <c r="O4916" s="17">
        <f t="shared" si="161"/>
        <v>0</v>
      </c>
      <c r="P4916" s="17">
        <f t="shared" si="162"/>
        <v>11359.740000000002</v>
      </c>
      <c r="Q4916" t="str">
        <f>A4916&amp;"-"&amp;B4916&amp;"-"&amp;D4916</f>
        <v>OKTOBER-MJ1-L12</v>
      </c>
    </row>
    <row r="4917" spans="1:17" x14ac:dyDescent="0.25">
      <c r="A4917" t="s">
        <v>400</v>
      </c>
      <c r="B4917" s="13" t="s">
        <v>25</v>
      </c>
      <c r="C4917" s="13" t="s">
        <v>226</v>
      </c>
      <c r="D4917" s="14" t="s">
        <v>310</v>
      </c>
      <c r="E4917" s="13" t="s">
        <v>61</v>
      </c>
      <c r="F4917" s="13" t="s">
        <v>1737</v>
      </c>
      <c r="G4917" s="13">
        <v>0.99</v>
      </c>
      <c r="H4917" s="15">
        <v>1446</v>
      </c>
      <c r="I4917" s="16">
        <v>1431.54</v>
      </c>
      <c r="J4917" s="16">
        <v>813.14846730724162</v>
      </c>
      <c r="K4917" s="16">
        <v>618.39153269275835</v>
      </c>
      <c r="L4917" s="13">
        <v>2.42</v>
      </c>
      <c r="M4917" s="13"/>
      <c r="N4917" s="17">
        <f t="shared" si="161"/>
        <v>3499.3199999999997</v>
      </c>
      <c r="O4917" s="17">
        <f t="shared" si="161"/>
        <v>0</v>
      </c>
      <c r="P4917" s="17">
        <f t="shared" si="162"/>
        <v>3499.3199999999997</v>
      </c>
      <c r="Q4917" t="str">
        <f>A4917&amp;"-"&amp;B4917&amp;"-"&amp;D4917</f>
        <v>OKTOBER-MJ1-L12</v>
      </c>
    </row>
    <row r="4918" spans="1:17" x14ac:dyDescent="0.25">
      <c r="A4918" t="s">
        <v>400</v>
      </c>
      <c r="B4918" s="13" t="s">
        <v>25</v>
      </c>
      <c r="C4918" s="13" t="s">
        <v>226</v>
      </c>
      <c r="D4918" s="14" t="s">
        <v>310</v>
      </c>
      <c r="E4918" s="13" t="s">
        <v>61</v>
      </c>
      <c r="F4918" s="13" t="s">
        <v>1738</v>
      </c>
      <c r="G4918" s="13">
        <v>0.81</v>
      </c>
      <c r="H4918" s="15">
        <v>2299</v>
      </c>
      <c r="I4918" s="16">
        <v>1862.19</v>
      </c>
      <c r="J4918" s="16">
        <v>1557.7314606741572</v>
      </c>
      <c r="K4918" s="16">
        <v>304.45853932584271</v>
      </c>
      <c r="L4918" s="13">
        <v>2.21</v>
      </c>
      <c r="M4918" s="13"/>
      <c r="N4918" s="17">
        <f t="shared" si="161"/>
        <v>5080.79</v>
      </c>
      <c r="O4918" s="17">
        <f t="shared" si="161"/>
        <v>0</v>
      </c>
      <c r="P4918" s="17">
        <f t="shared" si="162"/>
        <v>5080.79</v>
      </c>
      <c r="Q4918" t="str">
        <f>A4918&amp;"-"&amp;B4918&amp;"-"&amp;D4918</f>
        <v>OKTOBER-MJ1-L12</v>
      </c>
    </row>
    <row r="4919" spans="1:17" x14ac:dyDescent="0.25">
      <c r="A4919" t="s">
        <v>400</v>
      </c>
      <c r="B4919" s="13" t="s">
        <v>25</v>
      </c>
      <c r="C4919" s="13" t="s">
        <v>226</v>
      </c>
      <c r="D4919" s="14" t="s">
        <v>310</v>
      </c>
      <c r="E4919" s="13" t="s">
        <v>61</v>
      </c>
      <c r="F4919" s="13" t="s">
        <v>1740</v>
      </c>
      <c r="G4919" s="13">
        <v>0.92999999999999994</v>
      </c>
      <c r="H4919" s="15">
        <v>3859</v>
      </c>
      <c r="I4919" s="16">
        <v>3588.8700000000003</v>
      </c>
      <c r="J4919" s="16">
        <v>2517.5312865351084</v>
      </c>
      <c r="K4919" s="16">
        <v>1071.3387134648913</v>
      </c>
      <c r="L4919" s="13">
        <v>2.2200000000000002</v>
      </c>
      <c r="M4919" s="13"/>
      <c r="N4919" s="17">
        <f t="shared" si="161"/>
        <v>8566.9800000000014</v>
      </c>
      <c r="O4919" s="17">
        <f t="shared" si="161"/>
        <v>0</v>
      </c>
      <c r="P4919" s="17">
        <f t="shared" si="162"/>
        <v>8566.9800000000014</v>
      </c>
      <c r="Q4919" t="str">
        <f>A4919&amp;"-"&amp;B4919&amp;"-"&amp;D4919</f>
        <v>OKTOBER-MJ1-L12</v>
      </c>
    </row>
    <row r="4920" spans="1:17" x14ac:dyDescent="0.25">
      <c r="A4920" t="s">
        <v>400</v>
      </c>
      <c r="B4920" s="13" t="s">
        <v>25</v>
      </c>
      <c r="C4920" s="13" t="s">
        <v>226</v>
      </c>
      <c r="D4920" s="14" t="s">
        <v>310</v>
      </c>
      <c r="E4920" s="13" t="s">
        <v>61</v>
      </c>
      <c r="F4920" s="13" t="s">
        <v>1741</v>
      </c>
      <c r="G4920" s="13">
        <v>0.9900000000000001</v>
      </c>
      <c r="H4920" s="15">
        <v>441</v>
      </c>
      <c r="I4920" s="16">
        <v>436.59000000000003</v>
      </c>
      <c r="J4920" s="16">
        <v>364.02366172214079</v>
      </c>
      <c r="K4920" s="16">
        <v>72.566338277859231</v>
      </c>
      <c r="L4920" s="13">
        <v>2.42</v>
      </c>
      <c r="M4920" s="13"/>
      <c r="N4920" s="17">
        <f t="shared" si="161"/>
        <v>1067.22</v>
      </c>
      <c r="O4920" s="17">
        <f t="shared" si="161"/>
        <v>0</v>
      </c>
      <c r="P4920" s="17">
        <f t="shared" si="162"/>
        <v>1067.22</v>
      </c>
      <c r="Q4920" t="str">
        <f>A4920&amp;"-"&amp;B4920&amp;"-"&amp;D4920</f>
        <v>OKTOBER-MJ1-L12</v>
      </c>
    </row>
    <row r="4921" spans="1:17" x14ac:dyDescent="0.25">
      <c r="A4921" t="s">
        <v>400</v>
      </c>
      <c r="B4921" s="13" t="s">
        <v>25</v>
      </c>
      <c r="C4921" s="13" t="s">
        <v>226</v>
      </c>
      <c r="D4921" s="14" t="s">
        <v>50</v>
      </c>
      <c r="E4921" s="13" t="s">
        <v>61</v>
      </c>
      <c r="F4921" s="13" t="s">
        <v>1536</v>
      </c>
      <c r="G4921" s="13">
        <v>0.79</v>
      </c>
      <c r="H4921" s="15">
        <v>124</v>
      </c>
      <c r="I4921" s="16">
        <v>97.96</v>
      </c>
      <c r="J4921" s="16">
        <v>81.593471810089014</v>
      </c>
      <c r="K4921" s="16">
        <v>16.36652818991098</v>
      </c>
      <c r="L4921" s="13">
        <v>1.86</v>
      </c>
      <c r="M4921" s="13"/>
      <c r="N4921" s="17">
        <f t="shared" si="161"/>
        <v>230.64000000000001</v>
      </c>
      <c r="O4921" s="17">
        <f t="shared" si="161"/>
        <v>0</v>
      </c>
      <c r="P4921" s="17">
        <f t="shared" si="162"/>
        <v>230.64000000000001</v>
      </c>
      <c r="Q4921" t="str">
        <f>A4921&amp;"-"&amp;B4921&amp;"-"&amp;D4921</f>
        <v>OKTOBER-MJ1-L2</v>
      </c>
    </row>
    <row r="4922" spans="1:17" x14ac:dyDescent="0.25">
      <c r="A4922" t="s">
        <v>400</v>
      </c>
      <c r="B4922" s="13" t="s">
        <v>25</v>
      </c>
      <c r="C4922" s="13" t="s">
        <v>226</v>
      </c>
      <c r="D4922" s="14" t="s">
        <v>50</v>
      </c>
      <c r="E4922" s="13" t="s">
        <v>61</v>
      </c>
      <c r="F4922" s="13" t="s">
        <v>1545</v>
      </c>
      <c r="G4922" s="13">
        <v>0.68</v>
      </c>
      <c r="H4922" s="15">
        <v>82</v>
      </c>
      <c r="I4922" s="16">
        <v>55.76</v>
      </c>
      <c r="J4922" s="16">
        <v>74.840624999999989</v>
      </c>
      <c r="K4922" s="16">
        <v>-19.080624999999991</v>
      </c>
      <c r="L4922" s="13">
        <v>1.61</v>
      </c>
      <c r="M4922" s="13"/>
      <c r="N4922" s="17">
        <f t="shared" si="161"/>
        <v>132.02000000000001</v>
      </c>
      <c r="O4922" s="17">
        <f t="shared" si="161"/>
        <v>0</v>
      </c>
      <c r="P4922" s="17">
        <f t="shared" si="162"/>
        <v>132.02000000000001</v>
      </c>
      <c r="Q4922" t="str">
        <f>A4922&amp;"-"&amp;B4922&amp;"-"&amp;D4922</f>
        <v>OKTOBER-MJ1-L2</v>
      </c>
    </row>
    <row r="4923" spans="1:17" x14ac:dyDescent="0.25">
      <c r="A4923" t="s">
        <v>400</v>
      </c>
      <c r="B4923" s="13" t="s">
        <v>25</v>
      </c>
      <c r="C4923" s="13" t="s">
        <v>226</v>
      </c>
      <c r="D4923" s="14" t="s">
        <v>50</v>
      </c>
      <c r="E4923" s="13" t="s">
        <v>61</v>
      </c>
      <c r="F4923" s="13" t="s">
        <v>1745</v>
      </c>
      <c r="G4923" s="13">
        <v>1.0299999999999998</v>
      </c>
      <c r="H4923" s="15">
        <v>5144</v>
      </c>
      <c r="I4923" s="16">
        <v>5298.3200000000006</v>
      </c>
      <c r="J4923" s="16">
        <v>4263.6400693618107</v>
      </c>
      <c r="K4923" s="16">
        <v>1034.6799306381895</v>
      </c>
      <c r="L4923" s="13">
        <v>2.31</v>
      </c>
      <c r="M4923" s="13"/>
      <c r="N4923" s="17">
        <f t="shared" si="161"/>
        <v>11882.64</v>
      </c>
      <c r="O4923" s="17">
        <f t="shared" si="161"/>
        <v>0</v>
      </c>
      <c r="P4923" s="17">
        <f t="shared" si="162"/>
        <v>11882.64</v>
      </c>
      <c r="Q4923" t="str">
        <f>A4923&amp;"-"&amp;B4923&amp;"-"&amp;D4923</f>
        <v>OKTOBER-MJ1-L2</v>
      </c>
    </row>
    <row r="4924" spans="1:17" x14ac:dyDescent="0.25">
      <c r="A4924" t="s">
        <v>400</v>
      </c>
      <c r="B4924" s="13" t="s">
        <v>25</v>
      </c>
      <c r="C4924" s="13" t="s">
        <v>226</v>
      </c>
      <c r="D4924" s="14" t="s">
        <v>50</v>
      </c>
      <c r="E4924" s="13" t="s">
        <v>61</v>
      </c>
      <c r="F4924" s="13" t="s">
        <v>1546</v>
      </c>
      <c r="G4924" s="13">
        <v>0.68</v>
      </c>
      <c r="H4924" s="15">
        <v>3</v>
      </c>
      <c r="I4924" s="16">
        <v>2.04</v>
      </c>
      <c r="J4924" s="16">
        <v>2.7718750000000001</v>
      </c>
      <c r="K4924" s="16">
        <v>-0.73187500000000005</v>
      </c>
      <c r="L4924" s="13">
        <v>1.61</v>
      </c>
      <c r="M4924" s="13"/>
      <c r="N4924" s="17">
        <f t="shared" si="161"/>
        <v>4.83</v>
      </c>
      <c r="O4924" s="17">
        <f t="shared" si="161"/>
        <v>0</v>
      </c>
      <c r="P4924" s="17">
        <f t="shared" si="162"/>
        <v>4.83</v>
      </c>
      <c r="Q4924" t="str">
        <f>A4924&amp;"-"&amp;B4924&amp;"-"&amp;D4924</f>
        <v>OKTOBER-MJ1-L2</v>
      </c>
    </row>
    <row r="4925" spans="1:17" x14ac:dyDescent="0.25">
      <c r="A4925" t="s">
        <v>400</v>
      </c>
      <c r="B4925" s="13" t="s">
        <v>25</v>
      </c>
      <c r="C4925" s="13" t="s">
        <v>226</v>
      </c>
      <c r="D4925" s="14" t="s">
        <v>50</v>
      </c>
      <c r="E4925" s="13" t="s">
        <v>61</v>
      </c>
      <c r="F4925" s="13" t="s">
        <v>1547</v>
      </c>
      <c r="G4925" s="13">
        <v>0.64</v>
      </c>
      <c r="H4925" s="15">
        <v>67</v>
      </c>
      <c r="I4925" s="16">
        <v>42.88</v>
      </c>
      <c r="J4925" s="16">
        <v>51.042904608788859</v>
      </c>
      <c r="K4925" s="16">
        <v>-8.1629046087888568</v>
      </c>
      <c r="L4925" s="13">
        <v>1.72</v>
      </c>
      <c r="M4925" s="13"/>
      <c r="N4925" s="17">
        <f t="shared" si="161"/>
        <v>115.24</v>
      </c>
      <c r="O4925" s="17">
        <f t="shared" si="161"/>
        <v>0</v>
      </c>
      <c r="P4925" s="17">
        <f t="shared" si="162"/>
        <v>115.24</v>
      </c>
      <c r="Q4925" t="str">
        <f>A4925&amp;"-"&amp;B4925&amp;"-"&amp;D4925</f>
        <v>OKTOBER-MJ1-L2</v>
      </c>
    </row>
    <row r="4926" spans="1:17" x14ac:dyDescent="0.25">
      <c r="A4926" t="s">
        <v>400</v>
      </c>
      <c r="B4926" s="13" t="s">
        <v>25</v>
      </c>
      <c r="C4926" s="13" t="s">
        <v>226</v>
      </c>
      <c r="D4926" s="14" t="s">
        <v>50</v>
      </c>
      <c r="E4926" s="13" t="s">
        <v>61</v>
      </c>
      <c r="F4926" s="13" t="s">
        <v>1732</v>
      </c>
      <c r="G4926" s="13">
        <v>0.68</v>
      </c>
      <c r="H4926" s="15">
        <v>1057</v>
      </c>
      <c r="I4926" s="16">
        <v>718.76</v>
      </c>
      <c r="J4926" s="16">
        <v>1558.7094613042109</v>
      </c>
      <c r="K4926" s="16">
        <v>-839.9494613042109</v>
      </c>
      <c r="L4926" s="13">
        <v>1.63</v>
      </c>
      <c r="M4926" s="13"/>
      <c r="N4926" s="17">
        <f t="shared" ref="N4926:O4984" si="163">$H4926*L4926</f>
        <v>1722.9099999999999</v>
      </c>
      <c r="O4926" s="17">
        <f t="shared" si="163"/>
        <v>0</v>
      </c>
      <c r="P4926" s="17">
        <f t="shared" si="162"/>
        <v>1722.9099999999999</v>
      </c>
      <c r="Q4926" t="str">
        <f>A4926&amp;"-"&amp;B4926&amp;"-"&amp;D4926</f>
        <v>OKTOBER-MJ1-L2</v>
      </c>
    </row>
    <row r="4927" spans="1:17" x14ac:dyDescent="0.25">
      <c r="A4927" t="s">
        <v>400</v>
      </c>
      <c r="B4927" s="13" t="s">
        <v>25</v>
      </c>
      <c r="C4927" s="13" t="s">
        <v>226</v>
      </c>
      <c r="D4927" s="14" t="s">
        <v>50</v>
      </c>
      <c r="E4927" s="13" t="s">
        <v>61</v>
      </c>
      <c r="F4927" s="13" t="s">
        <v>1733</v>
      </c>
      <c r="G4927" s="13">
        <v>0.76</v>
      </c>
      <c r="H4927" s="15">
        <v>2581</v>
      </c>
      <c r="I4927" s="16">
        <v>1961.5599999999997</v>
      </c>
      <c r="J4927" s="16">
        <v>1949.0119248641824</v>
      </c>
      <c r="K4927" s="16">
        <v>12.548075135817541</v>
      </c>
      <c r="L4927" s="13">
        <v>1.94</v>
      </c>
      <c r="M4927" s="13"/>
      <c r="N4927" s="17">
        <f t="shared" si="163"/>
        <v>5007.1399999999994</v>
      </c>
      <c r="O4927" s="17">
        <f t="shared" si="163"/>
        <v>0</v>
      </c>
      <c r="P4927" s="17">
        <f t="shared" si="162"/>
        <v>5007.1399999999994</v>
      </c>
      <c r="Q4927" t="str">
        <f>A4927&amp;"-"&amp;B4927&amp;"-"&amp;D4927</f>
        <v>OKTOBER-MJ1-L2</v>
      </c>
    </row>
    <row r="4928" spans="1:17" x14ac:dyDescent="0.25">
      <c r="A4928" t="s">
        <v>400</v>
      </c>
      <c r="B4928" s="13" t="s">
        <v>25</v>
      </c>
      <c r="C4928" s="13" t="s">
        <v>226</v>
      </c>
      <c r="D4928" s="14" t="s">
        <v>50</v>
      </c>
      <c r="E4928" s="13" t="s">
        <v>61</v>
      </c>
      <c r="F4928" s="13" t="s">
        <v>1734</v>
      </c>
      <c r="G4928" s="13">
        <v>0.69</v>
      </c>
      <c r="H4928" s="15">
        <v>737</v>
      </c>
      <c r="I4928" s="16">
        <v>508.53000000000003</v>
      </c>
      <c r="J4928" s="16">
        <v>478.71369344644052</v>
      </c>
      <c r="K4928" s="16">
        <v>29.816306553559542</v>
      </c>
      <c r="L4928" s="13">
        <v>2.0699999999999998</v>
      </c>
      <c r="M4928" s="13"/>
      <c r="N4928" s="17">
        <f t="shared" si="163"/>
        <v>1525.59</v>
      </c>
      <c r="O4928" s="17">
        <f t="shared" si="163"/>
        <v>0</v>
      </c>
      <c r="P4928" s="17">
        <f t="shared" si="162"/>
        <v>1525.59</v>
      </c>
      <c r="Q4928" t="str">
        <f>A4928&amp;"-"&amp;B4928&amp;"-"&amp;D4928</f>
        <v>OKTOBER-MJ1-L2</v>
      </c>
    </row>
    <row r="4929" spans="1:17" x14ac:dyDescent="0.25">
      <c r="A4929" t="s">
        <v>400</v>
      </c>
      <c r="B4929" s="13" t="s">
        <v>25</v>
      </c>
      <c r="C4929" s="13" t="s">
        <v>226</v>
      </c>
      <c r="D4929" s="14" t="s">
        <v>50</v>
      </c>
      <c r="E4929" s="13" t="s">
        <v>61</v>
      </c>
      <c r="F4929" s="13" t="s">
        <v>1736</v>
      </c>
      <c r="G4929" s="13">
        <v>0.93</v>
      </c>
      <c r="H4929" s="15">
        <v>5710</v>
      </c>
      <c r="I4929" s="16">
        <v>5310.3</v>
      </c>
      <c r="J4929" s="16">
        <v>3464.776260605111</v>
      </c>
      <c r="K4929" s="16">
        <v>1845.5237393948889</v>
      </c>
      <c r="L4929" s="13">
        <v>2.2200000000000002</v>
      </c>
      <c r="M4929" s="13"/>
      <c r="N4929" s="17">
        <f t="shared" si="163"/>
        <v>12676.2</v>
      </c>
      <c r="O4929" s="17">
        <f t="shared" si="163"/>
        <v>0</v>
      </c>
      <c r="P4929" s="17">
        <f t="shared" si="162"/>
        <v>12676.2</v>
      </c>
      <c r="Q4929" t="str">
        <f>A4929&amp;"-"&amp;B4929&amp;"-"&amp;D4929</f>
        <v>OKTOBER-MJ1-L2</v>
      </c>
    </row>
    <row r="4930" spans="1:17" x14ac:dyDescent="0.25">
      <c r="A4930" t="s">
        <v>400</v>
      </c>
      <c r="B4930" s="13" t="s">
        <v>25</v>
      </c>
      <c r="C4930" s="13" t="s">
        <v>226</v>
      </c>
      <c r="D4930" s="14" t="s">
        <v>50</v>
      </c>
      <c r="E4930" s="13" t="s">
        <v>61</v>
      </c>
      <c r="F4930" s="13" t="s">
        <v>1738</v>
      </c>
      <c r="G4930" s="13">
        <v>0.81</v>
      </c>
      <c r="H4930" s="15">
        <v>990</v>
      </c>
      <c r="I4930" s="16">
        <v>801.9</v>
      </c>
      <c r="J4930" s="16">
        <v>1012.3133284258693</v>
      </c>
      <c r="K4930" s="16">
        <v>-210.41332842586914</v>
      </c>
      <c r="L4930" s="13">
        <v>2.21</v>
      </c>
      <c r="M4930" s="13"/>
      <c r="N4930" s="17">
        <f t="shared" si="163"/>
        <v>2187.9</v>
      </c>
      <c r="O4930" s="17">
        <f t="shared" si="163"/>
        <v>0</v>
      </c>
      <c r="P4930" s="17">
        <f t="shared" ref="P4930:P4993" si="164">N4930+O4930</f>
        <v>2187.9</v>
      </c>
      <c r="Q4930" t="str">
        <f>A4930&amp;"-"&amp;B4930&amp;"-"&amp;D4930</f>
        <v>OKTOBER-MJ1-L2</v>
      </c>
    </row>
    <row r="4931" spans="1:17" x14ac:dyDescent="0.25">
      <c r="A4931" t="s">
        <v>400</v>
      </c>
      <c r="B4931" s="13" t="s">
        <v>25</v>
      </c>
      <c r="C4931" s="13" t="s">
        <v>226</v>
      </c>
      <c r="D4931" s="14" t="s">
        <v>50</v>
      </c>
      <c r="E4931" s="13" t="s">
        <v>61</v>
      </c>
      <c r="F4931" s="13" t="s">
        <v>1740</v>
      </c>
      <c r="G4931" s="13">
        <v>0.92999999999999994</v>
      </c>
      <c r="H4931" s="15">
        <v>2271</v>
      </c>
      <c r="I4931" s="16">
        <v>2112.0300000000002</v>
      </c>
      <c r="J4931" s="16">
        <v>2120.8411270220363</v>
      </c>
      <c r="K4931" s="16">
        <v>-8.8111270220360467</v>
      </c>
      <c r="L4931" s="13">
        <v>2.2200000000000002</v>
      </c>
      <c r="M4931" s="13"/>
      <c r="N4931" s="17">
        <f t="shared" si="163"/>
        <v>5041.6200000000008</v>
      </c>
      <c r="O4931" s="17">
        <f t="shared" si="163"/>
        <v>0</v>
      </c>
      <c r="P4931" s="17">
        <f t="shared" si="164"/>
        <v>5041.6200000000008</v>
      </c>
      <c r="Q4931" t="str">
        <f>A4931&amp;"-"&amp;B4931&amp;"-"&amp;D4931</f>
        <v>OKTOBER-MJ1-L2</v>
      </c>
    </row>
    <row r="4932" spans="1:17" x14ac:dyDescent="0.25">
      <c r="A4932" t="s">
        <v>400</v>
      </c>
      <c r="B4932" s="13" t="s">
        <v>25</v>
      </c>
      <c r="C4932" s="13" t="s">
        <v>226</v>
      </c>
      <c r="D4932" s="14" t="s">
        <v>50</v>
      </c>
      <c r="E4932" s="13" t="s">
        <v>61</v>
      </c>
      <c r="F4932" s="13" t="s">
        <v>1741</v>
      </c>
      <c r="G4932" s="13">
        <v>0.99</v>
      </c>
      <c r="H4932" s="15">
        <v>603</v>
      </c>
      <c r="I4932" s="16">
        <v>596.96999999999991</v>
      </c>
      <c r="J4932" s="16">
        <v>562.50433236432536</v>
      </c>
      <c r="K4932" s="16">
        <v>34.46566763567467</v>
      </c>
      <c r="L4932" s="13">
        <v>2.42</v>
      </c>
      <c r="M4932" s="13"/>
      <c r="N4932" s="17">
        <f t="shared" si="163"/>
        <v>1459.26</v>
      </c>
      <c r="O4932" s="17">
        <f t="shared" si="163"/>
        <v>0</v>
      </c>
      <c r="P4932" s="17">
        <f t="shared" si="164"/>
        <v>1459.26</v>
      </c>
      <c r="Q4932" t="str">
        <f>A4932&amp;"-"&amp;B4932&amp;"-"&amp;D4932</f>
        <v>OKTOBER-MJ1-L2</v>
      </c>
    </row>
    <row r="4933" spans="1:17" x14ac:dyDescent="0.25">
      <c r="A4933" t="s">
        <v>400</v>
      </c>
      <c r="B4933" s="13" t="s">
        <v>25</v>
      </c>
      <c r="C4933" s="13" t="s">
        <v>226</v>
      </c>
      <c r="D4933" s="14" t="s">
        <v>50</v>
      </c>
      <c r="E4933" s="13" t="s">
        <v>61</v>
      </c>
      <c r="F4933" s="13" t="s">
        <v>1551</v>
      </c>
      <c r="G4933" s="13">
        <v>0.79</v>
      </c>
      <c r="H4933" s="15">
        <v>4049</v>
      </c>
      <c r="I4933" s="16">
        <v>3198.7099999999996</v>
      </c>
      <c r="J4933" s="16">
        <v>3375.0380721022948</v>
      </c>
      <c r="K4933" s="16">
        <v>-176.32807210229501</v>
      </c>
      <c r="L4933" s="13">
        <v>2</v>
      </c>
      <c r="M4933" s="13"/>
      <c r="N4933" s="17">
        <f t="shared" si="163"/>
        <v>8098</v>
      </c>
      <c r="O4933" s="17">
        <f t="shared" si="163"/>
        <v>0</v>
      </c>
      <c r="P4933" s="17">
        <f t="shared" si="164"/>
        <v>8098</v>
      </c>
      <c r="Q4933" t="str">
        <f>A4933&amp;"-"&amp;B4933&amp;"-"&amp;D4933</f>
        <v>OKTOBER-MJ1-L2</v>
      </c>
    </row>
    <row r="4934" spans="1:17" x14ac:dyDescent="0.25">
      <c r="A4934" t="s">
        <v>400</v>
      </c>
      <c r="B4934" s="13" t="s">
        <v>25</v>
      </c>
      <c r="C4934" s="13" t="s">
        <v>226</v>
      </c>
      <c r="D4934" s="14" t="s">
        <v>50</v>
      </c>
      <c r="E4934" s="13" t="s">
        <v>61</v>
      </c>
      <c r="F4934" s="13" t="s">
        <v>1746</v>
      </c>
      <c r="G4934" s="13">
        <v>0.77</v>
      </c>
      <c r="H4934" s="15">
        <v>620</v>
      </c>
      <c r="I4934" s="16">
        <v>477.4</v>
      </c>
      <c r="J4934" s="16">
        <v>518.20285408484131</v>
      </c>
      <c r="K4934" s="16">
        <v>-40.802854084841293</v>
      </c>
      <c r="L4934" s="13">
        <v>2.15</v>
      </c>
      <c r="M4934" s="13"/>
      <c r="N4934" s="17">
        <f t="shared" si="163"/>
        <v>1333</v>
      </c>
      <c r="O4934" s="17">
        <f t="shared" si="163"/>
        <v>0</v>
      </c>
      <c r="P4934" s="17">
        <f t="shared" si="164"/>
        <v>1333</v>
      </c>
      <c r="Q4934" t="str">
        <f>A4934&amp;"-"&amp;B4934&amp;"-"&amp;D4934</f>
        <v>OKTOBER-MJ1-L2</v>
      </c>
    </row>
    <row r="4935" spans="1:17" x14ac:dyDescent="0.25">
      <c r="A4935" t="s">
        <v>400</v>
      </c>
      <c r="B4935" s="13" t="s">
        <v>25</v>
      </c>
      <c r="C4935" s="13" t="s">
        <v>226</v>
      </c>
      <c r="D4935" s="14" t="s">
        <v>56</v>
      </c>
      <c r="E4935" s="13" t="s">
        <v>61</v>
      </c>
      <c r="F4935" s="13" t="s">
        <v>1745</v>
      </c>
      <c r="G4935" s="13">
        <v>1.03</v>
      </c>
      <c r="H4935" s="15">
        <v>2810</v>
      </c>
      <c r="I4935" s="16">
        <v>2894.2999999999997</v>
      </c>
      <c r="J4935" s="16">
        <v>2966.7654636362945</v>
      </c>
      <c r="K4935" s="16">
        <v>-72.46546363629399</v>
      </c>
      <c r="L4935" s="13">
        <v>2.31</v>
      </c>
      <c r="M4935" s="13"/>
      <c r="N4935" s="17">
        <f t="shared" si="163"/>
        <v>6491.1</v>
      </c>
      <c r="O4935" s="17">
        <f t="shared" si="163"/>
        <v>0</v>
      </c>
      <c r="P4935" s="17">
        <f t="shared" si="164"/>
        <v>6491.1</v>
      </c>
      <c r="Q4935" t="str">
        <f>A4935&amp;"-"&amp;B4935&amp;"-"&amp;D4935</f>
        <v>OKTOBER-MJ1-L3</v>
      </c>
    </row>
    <row r="4936" spans="1:17" x14ac:dyDescent="0.25">
      <c r="A4936" t="s">
        <v>400</v>
      </c>
      <c r="B4936" s="13" t="s">
        <v>25</v>
      </c>
      <c r="C4936" s="13" t="s">
        <v>226</v>
      </c>
      <c r="D4936" s="14" t="s">
        <v>56</v>
      </c>
      <c r="E4936" s="13" t="s">
        <v>61</v>
      </c>
      <c r="F4936" s="13" t="s">
        <v>1546</v>
      </c>
      <c r="G4936" s="13">
        <v>0.68</v>
      </c>
      <c r="H4936" s="15">
        <v>6</v>
      </c>
      <c r="I4936" s="16">
        <v>4.08</v>
      </c>
      <c r="J4936" s="16">
        <v>4.8381818181818188</v>
      </c>
      <c r="K4936" s="16">
        <v>-0.75818181818181873</v>
      </c>
      <c r="L4936" s="13">
        <v>1.61</v>
      </c>
      <c r="M4936" s="13"/>
      <c r="N4936" s="17">
        <f t="shared" si="163"/>
        <v>9.66</v>
      </c>
      <c r="O4936" s="17">
        <f t="shared" si="163"/>
        <v>0</v>
      </c>
      <c r="P4936" s="17">
        <f t="shared" si="164"/>
        <v>9.66</v>
      </c>
      <c r="Q4936" t="str">
        <f>A4936&amp;"-"&amp;B4936&amp;"-"&amp;D4936</f>
        <v>OKTOBER-MJ1-L3</v>
      </c>
    </row>
    <row r="4937" spans="1:17" x14ac:dyDescent="0.25">
      <c r="A4937" t="s">
        <v>400</v>
      </c>
      <c r="B4937" s="13" t="s">
        <v>25</v>
      </c>
      <c r="C4937" s="13" t="s">
        <v>226</v>
      </c>
      <c r="D4937" s="14" t="s">
        <v>56</v>
      </c>
      <c r="E4937" s="13" t="s">
        <v>61</v>
      </c>
      <c r="F4937" s="13" t="s">
        <v>1547</v>
      </c>
      <c r="G4937" s="13">
        <v>0.64</v>
      </c>
      <c r="H4937" s="15">
        <v>54</v>
      </c>
      <c r="I4937" s="16">
        <v>34.56</v>
      </c>
      <c r="J4937" s="16">
        <v>37.312417675204053</v>
      </c>
      <c r="K4937" s="16">
        <v>-2.7524176752040548</v>
      </c>
      <c r="L4937" s="13">
        <v>1.72</v>
      </c>
      <c r="M4937" s="13"/>
      <c r="N4937" s="17">
        <f t="shared" si="163"/>
        <v>92.88</v>
      </c>
      <c r="O4937" s="17">
        <f t="shared" si="163"/>
        <v>0</v>
      </c>
      <c r="P4937" s="17">
        <f t="shared" si="164"/>
        <v>92.88</v>
      </c>
      <c r="Q4937" t="str">
        <f>A4937&amp;"-"&amp;B4937&amp;"-"&amp;D4937</f>
        <v>OKTOBER-MJ1-L3</v>
      </c>
    </row>
    <row r="4938" spans="1:17" x14ac:dyDescent="0.25">
      <c r="A4938" t="s">
        <v>400</v>
      </c>
      <c r="B4938" s="13" t="s">
        <v>25</v>
      </c>
      <c r="C4938" s="13" t="s">
        <v>226</v>
      </c>
      <c r="D4938" s="14" t="s">
        <v>56</v>
      </c>
      <c r="E4938" s="13" t="s">
        <v>61</v>
      </c>
      <c r="F4938" s="13" t="s">
        <v>1732</v>
      </c>
      <c r="G4938" s="13">
        <v>0.68</v>
      </c>
      <c r="H4938" s="15">
        <v>895</v>
      </c>
      <c r="I4938" s="16">
        <v>608.59999999999991</v>
      </c>
      <c r="J4938" s="16">
        <v>1726.066303352668</v>
      </c>
      <c r="K4938" s="16">
        <v>-1117.4663033526683</v>
      </c>
      <c r="L4938" s="13">
        <v>1.63</v>
      </c>
      <c r="M4938" s="13"/>
      <c r="N4938" s="17">
        <f t="shared" si="163"/>
        <v>1458.85</v>
      </c>
      <c r="O4938" s="17">
        <f t="shared" si="163"/>
        <v>0</v>
      </c>
      <c r="P4938" s="17">
        <f t="shared" si="164"/>
        <v>1458.85</v>
      </c>
      <c r="Q4938" t="str">
        <f>A4938&amp;"-"&amp;B4938&amp;"-"&amp;D4938</f>
        <v>OKTOBER-MJ1-L3</v>
      </c>
    </row>
    <row r="4939" spans="1:17" x14ac:dyDescent="0.25">
      <c r="A4939" t="s">
        <v>400</v>
      </c>
      <c r="B4939" s="13" t="s">
        <v>25</v>
      </c>
      <c r="C4939" s="13" t="s">
        <v>226</v>
      </c>
      <c r="D4939" s="14" t="s">
        <v>56</v>
      </c>
      <c r="E4939" s="13" t="s">
        <v>61</v>
      </c>
      <c r="F4939" s="13" t="s">
        <v>1733</v>
      </c>
      <c r="G4939" s="13">
        <v>0.76</v>
      </c>
      <c r="H4939" s="15">
        <v>3150</v>
      </c>
      <c r="I4939" s="16">
        <v>2394</v>
      </c>
      <c r="J4939" s="16">
        <v>2738.0351409618575</v>
      </c>
      <c r="K4939" s="16">
        <v>-344.03514096185722</v>
      </c>
      <c r="L4939" s="13">
        <v>1.94</v>
      </c>
      <c r="M4939" s="13"/>
      <c r="N4939" s="17">
        <f t="shared" si="163"/>
        <v>6111</v>
      </c>
      <c r="O4939" s="17">
        <f t="shared" si="163"/>
        <v>0</v>
      </c>
      <c r="P4939" s="17">
        <f t="shared" si="164"/>
        <v>6111</v>
      </c>
      <c r="Q4939" t="str">
        <f>A4939&amp;"-"&amp;B4939&amp;"-"&amp;D4939</f>
        <v>OKTOBER-MJ1-L3</v>
      </c>
    </row>
    <row r="4940" spans="1:17" x14ac:dyDescent="0.25">
      <c r="A4940" t="s">
        <v>400</v>
      </c>
      <c r="B4940" s="13" t="s">
        <v>25</v>
      </c>
      <c r="C4940" s="13" t="s">
        <v>226</v>
      </c>
      <c r="D4940" s="14" t="s">
        <v>56</v>
      </c>
      <c r="E4940" s="13" t="s">
        <v>61</v>
      </c>
      <c r="F4940" s="13" t="s">
        <v>1738</v>
      </c>
      <c r="G4940" s="13">
        <v>0.81</v>
      </c>
      <c r="H4940" s="15">
        <v>1504</v>
      </c>
      <c r="I4940" s="16">
        <v>1218.24</v>
      </c>
      <c r="J4940" s="16">
        <v>1215.8855626628761</v>
      </c>
      <c r="K4940" s="16">
        <v>2.3544373371240113</v>
      </c>
      <c r="L4940" s="13">
        <v>2.21</v>
      </c>
      <c r="M4940" s="13"/>
      <c r="N4940" s="17">
        <f t="shared" si="163"/>
        <v>3323.84</v>
      </c>
      <c r="O4940" s="17">
        <f t="shared" si="163"/>
        <v>0</v>
      </c>
      <c r="P4940" s="17">
        <f t="shared" si="164"/>
        <v>3323.84</v>
      </c>
      <c r="Q4940" t="str">
        <f>A4940&amp;"-"&amp;B4940&amp;"-"&amp;D4940</f>
        <v>OKTOBER-MJ1-L3</v>
      </c>
    </row>
    <row r="4941" spans="1:17" x14ac:dyDescent="0.25">
      <c r="A4941" t="s">
        <v>400</v>
      </c>
      <c r="B4941" s="13" t="s">
        <v>25</v>
      </c>
      <c r="C4941" s="13" t="s">
        <v>226</v>
      </c>
      <c r="D4941" s="14" t="s">
        <v>56</v>
      </c>
      <c r="E4941" s="13" t="s">
        <v>61</v>
      </c>
      <c r="F4941" s="13" t="s">
        <v>1740</v>
      </c>
      <c r="G4941" s="13">
        <v>0.93</v>
      </c>
      <c r="H4941" s="15">
        <v>2193</v>
      </c>
      <c r="I4941" s="16">
        <v>2039.49</v>
      </c>
      <c r="J4941" s="16">
        <v>1910.8105322391082</v>
      </c>
      <c r="K4941" s="16">
        <v>128.67946776089175</v>
      </c>
      <c r="L4941" s="13">
        <v>2.2200000000000002</v>
      </c>
      <c r="M4941" s="13"/>
      <c r="N4941" s="17">
        <f t="shared" si="163"/>
        <v>4868.46</v>
      </c>
      <c r="O4941" s="17">
        <f t="shared" si="163"/>
        <v>0</v>
      </c>
      <c r="P4941" s="17">
        <f t="shared" si="164"/>
        <v>4868.46</v>
      </c>
      <c r="Q4941" t="str">
        <f>A4941&amp;"-"&amp;B4941&amp;"-"&amp;D4941</f>
        <v>OKTOBER-MJ1-L3</v>
      </c>
    </row>
    <row r="4942" spans="1:17" x14ac:dyDescent="0.25">
      <c r="A4942" t="s">
        <v>400</v>
      </c>
      <c r="B4942" s="13" t="s">
        <v>25</v>
      </c>
      <c r="C4942" s="13" t="s">
        <v>226</v>
      </c>
      <c r="D4942" s="14" t="s">
        <v>56</v>
      </c>
      <c r="E4942" s="13" t="s">
        <v>61</v>
      </c>
      <c r="F4942" s="13" t="s">
        <v>1741</v>
      </c>
      <c r="G4942" s="13">
        <v>0.9900000000000001</v>
      </c>
      <c r="H4942" s="15">
        <v>759</v>
      </c>
      <c r="I4942" s="16">
        <v>751.41000000000008</v>
      </c>
      <c r="J4942" s="16">
        <v>719.36958186411186</v>
      </c>
      <c r="K4942" s="16">
        <v>32.040418135888117</v>
      </c>
      <c r="L4942" s="13">
        <v>2.42</v>
      </c>
      <c r="M4942" s="13"/>
      <c r="N4942" s="17">
        <f t="shared" si="163"/>
        <v>1836.78</v>
      </c>
      <c r="O4942" s="17">
        <f t="shared" si="163"/>
        <v>0</v>
      </c>
      <c r="P4942" s="17">
        <f t="shared" si="164"/>
        <v>1836.78</v>
      </c>
      <c r="Q4942" t="str">
        <f>A4942&amp;"-"&amp;B4942&amp;"-"&amp;D4942</f>
        <v>OKTOBER-MJ1-L3</v>
      </c>
    </row>
    <row r="4943" spans="1:17" x14ac:dyDescent="0.25">
      <c r="A4943" t="s">
        <v>400</v>
      </c>
      <c r="B4943" s="13" t="s">
        <v>25</v>
      </c>
      <c r="C4943" s="13" t="s">
        <v>226</v>
      </c>
      <c r="D4943" s="14" t="s">
        <v>56</v>
      </c>
      <c r="E4943" s="13" t="s">
        <v>61</v>
      </c>
      <c r="F4943" s="13" t="s">
        <v>1551</v>
      </c>
      <c r="G4943" s="13">
        <v>0.79</v>
      </c>
      <c r="H4943" s="15">
        <v>3757</v>
      </c>
      <c r="I4943" s="16">
        <v>2968.03</v>
      </c>
      <c r="J4943" s="16">
        <v>3390.3294483544787</v>
      </c>
      <c r="K4943" s="16">
        <v>-422.2994483544785</v>
      </c>
      <c r="L4943" s="13">
        <v>2</v>
      </c>
      <c r="M4943" s="13"/>
      <c r="N4943" s="17">
        <f t="shared" si="163"/>
        <v>7514</v>
      </c>
      <c r="O4943" s="17">
        <f t="shared" si="163"/>
        <v>0</v>
      </c>
      <c r="P4943" s="17">
        <f t="shared" si="164"/>
        <v>7514</v>
      </c>
      <c r="Q4943" t="str">
        <f>A4943&amp;"-"&amp;B4943&amp;"-"&amp;D4943</f>
        <v>OKTOBER-MJ1-L3</v>
      </c>
    </row>
    <row r="4944" spans="1:17" x14ac:dyDescent="0.25">
      <c r="A4944" t="s">
        <v>400</v>
      </c>
      <c r="B4944" s="13" t="s">
        <v>25</v>
      </c>
      <c r="C4944" s="13" t="s">
        <v>226</v>
      </c>
      <c r="D4944" s="14" t="s">
        <v>56</v>
      </c>
      <c r="E4944" s="13" t="s">
        <v>61</v>
      </c>
      <c r="F4944" s="13" t="s">
        <v>1746</v>
      </c>
      <c r="G4944" s="13">
        <v>0.77</v>
      </c>
      <c r="H4944" s="15">
        <v>450</v>
      </c>
      <c r="I4944" s="16">
        <v>346.5</v>
      </c>
      <c r="J4944" s="16">
        <v>369.58736743521968</v>
      </c>
      <c r="K4944" s="16">
        <v>-23.087367435219591</v>
      </c>
      <c r="L4944" s="13">
        <v>2.15</v>
      </c>
      <c r="M4944" s="13"/>
      <c r="N4944" s="17">
        <f t="shared" si="163"/>
        <v>967.5</v>
      </c>
      <c r="O4944" s="17">
        <f t="shared" si="163"/>
        <v>0</v>
      </c>
      <c r="P4944" s="17">
        <f t="shared" si="164"/>
        <v>967.5</v>
      </c>
      <c r="Q4944" t="str">
        <f>A4944&amp;"-"&amp;B4944&amp;"-"&amp;D4944</f>
        <v>OKTOBER-MJ1-L3</v>
      </c>
    </row>
    <row r="4945" spans="1:17" x14ac:dyDescent="0.25">
      <c r="A4945" t="s">
        <v>400</v>
      </c>
      <c r="B4945" s="13" t="s">
        <v>25</v>
      </c>
      <c r="C4945" s="13" t="s">
        <v>226</v>
      </c>
      <c r="D4945" s="14" t="s">
        <v>158</v>
      </c>
      <c r="E4945" s="13" t="s">
        <v>61</v>
      </c>
      <c r="F4945" s="13" t="s">
        <v>1743</v>
      </c>
      <c r="G4945" s="13">
        <v>1.24</v>
      </c>
      <c r="H4945" s="15">
        <v>7919</v>
      </c>
      <c r="I4945" s="16">
        <v>9819.56</v>
      </c>
      <c r="J4945" s="16">
        <v>6811.8160541293919</v>
      </c>
      <c r="K4945" s="16">
        <v>3007.743945870609</v>
      </c>
      <c r="L4945" s="13">
        <v>3.18</v>
      </c>
      <c r="M4945" s="13"/>
      <c r="N4945" s="17">
        <f t="shared" si="163"/>
        <v>25182.420000000002</v>
      </c>
      <c r="O4945" s="17">
        <f t="shared" si="163"/>
        <v>0</v>
      </c>
      <c r="P4945" s="17">
        <f t="shared" si="164"/>
        <v>25182.420000000002</v>
      </c>
      <c r="Q4945" t="str">
        <f>A4945&amp;"-"&amp;B4945&amp;"-"&amp;D4945</f>
        <v>OKTOBER-MJ1-L4</v>
      </c>
    </row>
    <row r="4946" spans="1:17" x14ac:dyDescent="0.25">
      <c r="A4946" t="s">
        <v>400</v>
      </c>
      <c r="B4946" s="13" t="s">
        <v>25</v>
      </c>
      <c r="C4946" s="13" t="s">
        <v>226</v>
      </c>
      <c r="D4946" s="14" t="s">
        <v>158</v>
      </c>
      <c r="E4946" s="13" t="s">
        <v>61</v>
      </c>
      <c r="F4946" s="13" t="s">
        <v>1747</v>
      </c>
      <c r="G4946" s="13">
        <v>1.37</v>
      </c>
      <c r="H4946" s="15">
        <v>2662</v>
      </c>
      <c r="I4946" s="16">
        <v>3646.9399999999996</v>
      </c>
      <c r="J4946" s="16">
        <v>3389.4000933706816</v>
      </c>
      <c r="K4946" s="16">
        <v>257.53990662931852</v>
      </c>
      <c r="L4946" s="13">
        <v>3.7</v>
      </c>
      <c r="M4946" s="13"/>
      <c r="N4946" s="17">
        <f t="shared" si="163"/>
        <v>9849.4</v>
      </c>
      <c r="O4946" s="17">
        <f t="shared" si="163"/>
        <v>0</v>
      </c>
      <c r="P4946" s="17">
        <f t="shared" si="164"/>
        <v>9849.4</v>
      </c>
      <c r="Q4946" t="str">
        <f>A4946&amp;"-"&amp;B4946&amp;"-"&amp;D4946</f>
        <v>OKTOBER-MJ1-L4</v>
      </c>
    </row>
    <row r="4947" spans="1:17" x14ac:dyDescent="0.25">
      <c r="A4947" t="s">
        <v>400</v>
      </c>
      <c r="B4947" s="13" t="s">
        <v>25</v>
      </c>
      <c r="C4947" s="13" t="s">
        <v>226</v>
      </c>
      <c r="D4947" s="14" t="s">
        <v>158</v>
      </c>
      <c r="E4947" s="13" t="s">
        <v>61</v>
      </c>
      <c r="F4947" s="13" t="s">
        <v>1549</v>
      </c>
      <c r="G4947" s="13">
        <v>1.2399999999999995</v>
      </c>
      <c r="H4947" s="15">
        <v>8454</v>
      </c>
      <c r="I4947" s="16">
        <v>10482.960000000001</v>
      </c>
      <c r="J4947" s="16">
        <v>8425.7838524999279</v>
      </c>
      <c r="K4947" s="16">
        <v>2057.1761475000717</v>
      </c>
      <c r="L4947" s="13">
        <v>3.18</v>
      </c>
      <c r="M4947" s="13"/>
      <c r="N4947" s="17">
        <f t="shared" si="163"/>
        <v>26883.72</v>
      </c>
      <c r="O4947" s="17">
        <f t="shared" si="163"/>
        <v>0</v>
      </c>
      <c r="P4947" s="17">
        <f t="shared" si="164"/>
        <v>26883.72</v>
      </c>
      <c r="Q4947" t="str">
        <f>A4947&amp;"-"&amp;B4947&amp;"-"&amp;D4947</f>
        <v>OKTOBER-MJ1-L4</v>
      </c>
    </row>
    <row r="4948" spans="1:17" x14ac:dyDescent="0.25">
      <c r="A4948" t="s">
        <v>400</v>
      </c>
      <c r="B4948" s="13" t="s">
        <v>25</v>
      </c>
      <c r="C4948" s="13" t="s">
        <v>1458</v>
      </c>
      <c r="D4948" s="14" t="s">
        <v>160</v>
      </c>
      <c r="E4948" s="13" t="s">
        <v>305</v>
      </c>
      <c r="F4948" s="13" t="s">
        <v>1748</v>
      </c>
      <c r="G4948" s="13">
        <v>2.8299999999999987</v>
      </c>
      <c r="H4948" s="15">
        <v>3516</v>
      </c>
      <c r="I4948" s="16">
        <v>9950.279999999997</v>
      </c>
      <c r="J4948" s="16">
        <v>19514</v>
      </c>
      <c r="K4948" s="16">
        <v>-9563.7200000000012</v>
      </c>
      <c r="L4948" s="13">
        <v>9.89</v>
      </c>
      <c r="M4948" s="13"/>
      <c r="N4948" s="17">
        <f t="shared" si="163"/>
        <v>34773.240000000005</v>
      </c>
      <c r="O4948" s="17">
        <f t="shared" si="163"/>
        <v>0</v>
      </c>
      <c r="P4948" s="17">
        <f t="shared" si="164"/>
        <v>34773.240000000005</v>
      </c>
      <c r="Q4948" t="str">
        <f>A4948&amp;"-"&amp;B4948&amp;"-"&amp;D4948</f>
        <v>OKTOBER-MJ1-L5</v>
      </c>
    </row>
    <row r="4949" spans="1:17" x14ac:dyDescent="0.25">
      <c r="A4949" t="s">
        <v>400</v>
      </c>
      <c r="B4949" s="13" t="s">
        <v>25</v>
      </c>
      <c r="C4949" s="13" t="s">
        <v>1458</v>
      </c>
      <c r="D4949" s="14" t="s">
        <v>163</v>
      </c>
      <c r="E4949" s="13" t="s">
        <v>305</v>
      </c>
      <c r="F4949" s="13" t="s">
        <v>1748</v>
      </c>
      <c r="G4949" s="13">
        <v>2.8299999999999987</v>
      </c>
      <c r="H4949" s="15">
        <v>3706</v>
      </c>
      <c r="I4949" s="16">
        <v>10487.979999999998</v>
      </c>
      <c r="J4949" s="16">
        <v>19514</v>
      </c>
      <c r="K4949" s="16">
        <v>-9026.02</v>
      </c>
      <c r="L4949" s="13">
        <v>9.89</v>
      </c>
      <c r="M4949" s="13"/>
      <c r="N4949" s="17">
        <f t="shared" si="163"/>
        <v>36652.340000000004</v>
      </c>
      <c r="O4949" s="17">
        <f t="shared" si="163"/>
        <v>0</v>
      </c>
      <c r="P4949" s="17">
        <f t="shared" si="164"/>
        <v>36652.340000000004</v>
      </c>
      <c r="Q4949" t="str">
        <f>A4949&amp;"-"&amp;B4949&amp;"-"&amp;D4949</f>
        <v>OKTOBER-MJ1-L6</v>
      </c>
    </row>
    <row r="4950" spans="1:17" x14ac:dyDescent="0.25">
      <c r="A4950" t="s">
        <v>400</v>
      </c>
      <c r="B4950" s="13" t="s">
        <v>25</v>
      </c>
      <c r="C4950" s="13" t="s">
        <v>286</v>
      </c>
      <c r="D4950" s="14" t="s">
        <v>56</v>
      </c>
      <c r="E4950" s="13" t="s">
        <v>73</v>
      </c>
      <c r="F4950" s="13" t="s">
        <v>1749</v>
      </c>
      <c r="G4950" s="13">
        <v>5.7</v>
      </c>
      <c r="H4950" s="15">
        <v>248</v>
      </c>
      <c r="I4950" s="16">
        <v>1413.6</v>
      </c>
      <c r="J4950" s="16">
        <v>4435</v>
      </c>
      <c r="K4950" s="16">
        <v>-3021.4</v>
      </c>
      <c r="L4950" s="13"/>
      <c r="M4950" s="13">
        <v>5.7</v>
      </c>
      <c r="N4950" s="17">
        <f t="shared" si="163"/>
        <v>0</v>
      </c>
      <c r="O4950" s="17">
        <f t="shared" si="163"/>
        <v>1413.6000000000001</v>
      </c>
      <c r="P4950" s="17">
        <f t="shared" si="164"/>
        <v>1413.6000000000001</v>
      </c>
      <c r="Q4950" t="str">
        <f>A4950&amp;"-"&amp;B4950&amp;"-"&amp;D4950</f>
        <v>OKTOBER-MJ1-L3</v>
      </c>
    </row>
    <row r="4951" spans="1:17" x14ac:dyDescent="0.25">
      <c r="A4951" t="s">
        <v>400</v>
      </c>
      <c r="B4951" s="13" t="s">
        <v>25</v>
      </c>
      <c r="C4951" s="13" t="s">
        <v>1556</v>
      </c>
      <c r="D4951" s="14" t="s">
        <v>158</v>
      </c>
      <c r="E4951" s="13" t="s">
        <v>65</v>
      </c>
      <c r="F4951" s="13" t="s">
        <v>1559</v>
      </c>
      <c r="G4951" s="13">
        <v>4.8499999999999996</v>
      </c>
      <c r="H4951" s="15">
        <v>15</v>
      </c>
      <c r="I4951" s="16">
        <v>72.75</v>
      </c>
      <c r="J4951" s="16">
        <v>887</v>
      </c>
      <c r="K4951" s="16">
        <v>-814.25</v>
      </c>
      <c r="L4951" s="13">
        <v>13.71</v>
      </c>
      <c r="M4951" s="13"/>
      <c r="N4951" s="17">
        <f t="shared" si="163"/>
        <v>205.65</v>
      </c>
      <c r="O4951" s="17">
        <f t="shared" si="163"/>
        <v>0</v>
      </c>
      <c r="P4951" s="17">
        <f t="shared" si="164"/>
        <v>205.65</v>
      </c>
      <c r="Q4951" t="str">
        <f>A4951&amp;"-"&amp;B4951&amp;"-"&amp;D4951</f>
        <v>OKTOBER-MJ1-L4</v>
      </c>
    </row>
    <row r="4952" spans="1:17" x14ac:dyDescent="0.25">
      <c r="A4952" t="s">
        <v>400</v>
      </c>
      <c r="B4952" s="13" t="s">
        <v>26</v>
      </c>
      <c r="C4952" s="13" t="s">
        <v>226</v>
      </c>
      <c r="D4952" s="14" t="s">
        <v>44</v>
      </c>
      <c r="E4952" s="13" t="s">
        <v>61</v>
      </c>
      <c r="F4952" s="13" t="s">
        <v>1561</v>
      </c>
      <c r="G4952" s="13">
        <v>0.68</v>
      </c>
      <c r="H4952" s="15">
        <v>1552</v>
      </c>
      <c r="I4952" s="16">
        <v>1055.3599999999999</v>
      </c>
      <c r="J4952" s="16">
        <v>1103.8258944980032</v>
      </c>
      <c r="K4952" s="16">
        <v>-48.465894498003252</v>
      </c>
      <c r="L4952" s="13">
        <v>1.69</v>
      </c>
      <c r="M4952" s="13"/>
      <c r="N4952" s="17">
        <f t="shared" si="163"/>
        <v>2622.88</v>
      </c>
      <c r="O4952" s="17">
        <f t="shared" si="163"/>
        <v>0</v>
      </c>
      <c r="P4952" s="17">
        <f t="shared" si="164"/>
        <v>2622.88</v>
      </c>
      <c r="Q4952" t="str">
        <f>A4952&amp;"-"&amp;B4952&amp;"-"&amp;D4952</f>
        <v>OKTOBER-MJ2-L1</v>
      </c>
    </row>
    <row r="4953" spans="1:17" x14ac:dyDescent="0.25">
      <c r="A4953" t="s">
        <v>400</v>
      </c>
      <c r="B4953" s="13" t="s">
        <v>26</v>
      </c>
      <c r="C4953" s="13" t="s">
        <v>226</v>
      </c>
      <c r="D4953" s="14" t="s">
        <v>44</v>
      </c>
      <c r="E4953" s="13" t="s">
        <v>61</v>
      </c>
      <c r="F4953" s="13" t="s">
        <v>1750</v>
      </c>
      <c r="G4953" s="13">
        <v>0.67999999999999994</v>
      </c>
      <c r="H4953" s="15">
        <v>8815</v>
      </c>
      <c r="I4953" s="16">
        <v>5994.1999999999989</v>
      </c>
      <c r="J4953" s="16">
        <v>4094.5035131823724</v>
      </c>
      <c r="K4953" s="16">
        <v>1899.6964868176283</v>
      </c>
      <c r="L4953" s="13">
        <v>1.69</v>
      </c>
      <c r="M4953" s="13"/>
      <c r="N4953" s="17">
        <f t="shared" si="163"/>
        <v>14897.35</v>
      </c>
      <c r="O4953" s="17">
        <f t="shared" si="163"/>
        <v>0</v>
      </c>
      <c r="P4953" s="17">
        <f t="shared" si="164"/>
        <v>14897.35</v>
      </c>
      <c r="Q4953" t="str">
        <f>A4953&amp;"-"&amp;B4953&amp;"-"&amp;D4953</f>
        <v>OKTOBER-MJ2-L1</v>
      </c>
    </row>
    <row r="4954" spans="1:17" x14ac:dyDescent="0.25">
      <c r="A4954" t="s">
        <v>400</v>
      </c>
      <c r="B4954" s="13" t="s">
        <v>26</v>
      </c>
      <c r="C4954" s="13" t="s">
        <v>226</v>
      </c>
      <c r="D4954" s="14" t="s">
        <v>44</v>
      </c>
      <c r="E4954" s="13" t="s">
        <v>61</v>
      </c>
      <c r="F4954" s="13" t="s">
        <v>1751</v>
      </c>
      <c r="G4954" s="13">
        <v>0.65</v>
      </c>
      <c r="H4954" s="15">
        <v>630</v>
      </c>
      <c r="I4954" s="16">
        <v>409.5</v>
      </c>
      <c r="J4954" s="16">
        <v>344.74631578947367</v>
      </c>
      <c r="K4954" s="16">
        <v>64.75368421052633</v>
      </c>
      <c r="L4954" s="13">
        <v>1.81</v>
      </c>
      <c r="M4954" s="13"/>
      <c r="N4954" s="17">
        <f t="shared" si="163"/>
        <v>1140.3</v>
      </c>
      <c r="O4954" s="17">
        <f t="shared" si="163"/>
        <v>0</v>
      </c>
      <c r="P4954" s="17">
        <f t="shared" si="164"/>
        <v>1140.3</v>
      </c>
      <c r="Q4954" t="str">
        <f>A4954&amp;"-"&amp;B4954&amp;"-"&amp;D4954</f>
        <v>OKTOBER-MJ2-L1</v>
      </c>
    </row>
    <row r="4955" spans="1:17" x14ac:dyDescent="0.25">
      <c r="A4955" t="s">
        <v>400</v>
      </c>
      <c r="B4955" s="13" t="s">
        <v>26</v>
      </c>
      <c r="C4955" s="13" t="s">
        <v>226</v>
      </c>
      <c r="D4955" s="14" t="s">
        <v>44</v>
      </c>
      <c r="E4955" s="13" t="s">
        <v>61</v>
      </c>
      <c r="F4955" s="13" t="s">
        <v>1752</v>
      </c>
      <c r="G4955" s="13">
        <v>0.68</v>
      </c>
      <c r="H4955" s="15">
        <v>3808</v>
      </c>
      <c r="I4955" s="16">
        <v>2589.44</v>
      </c>
      <c r="J4955" s="16">
        <v>2633.9521735861581</v>
      </c>
      <c r="K4955" s="16">
        <v>-44.512173586157971</v>
      </c>
      <c r="L4955" s="13">
        <v>1.61</v>
      </c>
      <c r="M4955" s="13"/>
      <c r="N4955" s="17">
        <f t="shared" si="163"/>
        <v>6130.88</v>
      </c>
      <c r="O4955" s="17">
        <f t="shared" si="163"/>
        <v>0</v>
      </c>
      <c r="P4955" s="17">
        <f t="shared" si="164"/>
        <v>6130.88</v>
      </c>
      <c r="Q4955" t="str">
        <f>A4955&amp;"-"&amp;B4955&amp;"-"&amp;D4955</f>
        <v>OKTOBER-MJ2-L1</v>
      </c>
    </row>
    <row r="4956" spans="1:17" x14ac:dyDescent="0.25">
      <c r="A4956" t="s">
        <v>400</v>
      </c>
      <c r="B4956" s="13" t="s">
        <v>26</v>
      </c>
      <c r="C4956" s="13" t="s">
        <v>226</v>
      </c>
      <c r="D4956" s="14" t="s">
        <v>44</v>
      </c>
      <c r="E4956" s="13" t="s">
        <v>61</v>
      </c>
      <c r="F4956" s="13" t="s">
        <v>1563</v>
      </c>
      <c r="G4956" s="13">
        <v>0.71</v>
      </c>
      <c r="H4956" s="15">
        <v>5721</v>
      </c>
      <c r="I4956" s="16">
        <v>4061.9100000000003</v>
      </c>
      <c r="J4956" s="16">
        <v>2858.5189778299573</v>
      </c>
      <c r="K4956" s="16">
        <v>1203.3910221700426</v>
      </c>
      <c r="L4956" s="13">
        <v>1.29</v>
      </c>
      <c r="M4956" s="13"/>
      <c r="N4956" s="17">
        <f t="shared" si="163"/>
        <v>7380.09</v>
      </c>
      <c r="O4956" s="17">
        <f t="shared" si="163"/>
        <v>0</v>
      </c>
      <c r="P4956" s="17">
        <f t="shared" si="164"/>
        <v>7380.09</v>
      </c>
      <c r="Q4956" t="str">
        <f>A4956&amp;"-"&amp;B4956&amp;"-"&amp;D4956</f>
        <v>OKTOBER-MJ2-L1</v>
      </c>
    </row>
    <row r="4957" spans="1:17" x14ac:dyDescent="0.25">
      <c r="A4957" t="s">
        <v>400</v>
      </c>
      <c r="B4957" s="13" t="s">
        <v>26</v>
      </c>
      <c r="C4957" s="13" t="s">
        <v>226</v>
      </c>
      <c r="D4957" s="14" t="s">
        <v>44</v>
      </c>
      <c r="E4957" s="13" t="s">
        <v>61</v>
      </c>
      <c r="F4957" s="13" t="s">
        <v>1600</v>
      </c>
      <c r="G4957" s="13">
        <v>0.7599999999999999</v>
      </c>
      <c r="H4957" s="15">
        <v>7704</v>
      </c>
      <c r="I4957" s="16">
        <v>5855.0399999999991</v>
      </c>
      <c r="J4957" s="16">
        <v>4094.3627573750341</v>
      </c>
      <c r="K4957" s="16">
        <v>1760.6772426249661</v>
      </c>
      <c r="L4957" s="13">
        <v>1.94</v>
      </c>
      <c r="M4957" s="13"/>
      <c r="N4957" s="17">
        <f t="shared" si="163"/>
        <v>14945.76</v>
      </c>
      <c r="O4957" s="17">
        <f t="shared" si="163"/>
        <v>0</v>
      </c>
      <c r="P4957" s="17">
        <f t="shared" si="164"/>
        <v>14945.76</v>
      </c>
      <c r="Q4957" t="str">
        <f>A4957&amp;"-"&amp;B4957&amp;"-"&amp;D4957</f>
        <v>OKTOBER-MJ2-L1</v>
      </c>
    </row>
    <row r="4958" spans="1:17" x14ac:dyDescent="0.25">
      <c r="A4958" t="s">
        <v>400</v>
      </c>
      <c r="B4958" s="13" t="s">
        <v>26</v>
      </c>
      <c r="C4958" s="13" t="s">
        <v>226</v>
      </c>
      <c r="D4958" s="14" t="s">
        <v>44</v>
      </c>
      <c r="E4958" s="13" t="s">
        <v>61</v>
      </c>
      <c r="F4958" s="13" t="s">
        <v>1753</v>
      </c>
      <c r="G4958" s="13">
        <v>0.81000000000000016</v>
      </c>
      <c r="H4958" s="15">
        <v>1955</v>
      </c>
      <c r="I4958" s="16">
        <v>1583.55</v>
      </c>
      <c r="J4958" s="16">
        <v>1198.941490004669</v>
      </c>
      <c r="K4958" s="16">
        <v>384.60850999533091</v>
      </c>
      <c r="L4958" s="13">
        <v>2.21</v>
      </c>
      <c r="M4958" s="13"/>
      <c r="N4958" s="17">
        <f t="shared" si="163"/>
        <v>4320.55</v>
      </c>
      <c r="O4958" s="17">
        <f t="shared" si="163"/>
        <v>0</v>
      </c>
      <c r="P4958" s="17">
        <f t="shared" si="164"/>
        <v>4320.55</v>
      </c>
      <c r="Q4958" t="str">
        <f>A4958&amp;"-"&amp;B4958&amp;"-"&amp;D4958</f>
        <v>OKTOBER-MJ2-L1</v>
      </c>
    </row>
    <row r="4959" spans="1:17" x14ac:dyDescent="0.25">
      <c r="A4959" t="s">
        <v>400</v>
      </c>
      <c r="B4959" s="13" t="s">
        <v>26</v>
      </c>
      <c r="C4959" s="13" t="s">
        <v>226</v>
      </c>
      <c r="D4959" s="14" t="s">
        <v>44</v>
      </c>
      <c r="E4959" s="13" t="s">
        <v>61</v>
      </c>
      <c r="F4959" s="13" t="s">
        <v>1754</v>
      </c>
      <c r="G4959" s="13">
        <v>0.81</v>
      </c>
      <c r="H4959" s="15">
        <v>3337</v>
      </c>
      <c r="I4959" s="16">
        <v>2702.9700000000003</v>
      </c>
      <c r="J4959" s="16">
        <v>3117.2926548152245</v>
      </c>
      <c r="K4959" s="16">
        <v>-414.32265481522467</v>
      </c>
      <c r="L4959" s="13">
        <v>2.21</v>
      </c>
      <c r="M4959" s="13"/>
      <c r="N4959" s="17">
        <f t="shared" si="163"/>
        <v>7374.7699999999995</v>
      </c>
      <c r="O4959" s="17">
        <f t="shared" si="163"/>
        <v>0</v>
      </c>
      <c r="P4959" s="17">
        <f t="shared" si="164"/>
        <v>7374.7699999999995</v>
      </c>
      <c r="Q4959" t="str">
        <f>A4959&amp;"-"&amp;B4959&amp;"-"&amp;D4959</f>
        <v>OKTOBER-MJ2-L1</v>
      </c>
    </row>
    <row r="4960" spans="1:17" x14ac:dyDescent="0.25">
      <c r="A4960" t="s">
        <v>400</v>
      </c>
      <c r="B4960" s="13" t="s">
        <v>26</v>
      </c>
      <c r="C4960" s="13" t="s">
        <v>226</v>
      </c>
      <c r="D4960" s="14" t="s">
        <v>44</v>
      </c>
      <c r="E4960" s="13" t="s">
        <v>61</v>
      </c>
      <c r="F4960" s="13" t="s">
        <v>1565</v>
      </c>
      <c r="G4960" s="13">
        <v>0.83</v>
      </c>
      <c r="H4960" s="15">
        <v>48</v>
      </c>
      <c r="I4960" s="16">
        <v>39.840000000000003</v>
      </c>
      <c r="J4960" s="16">
        <v>18.277518823951237</v>
      </c>
      <c r="K4960" s="16">
        <v>21.562481176048767</v>
      </c>
      <c r="L4960" s="13">
        <v>2.13</v>
      </c>
      <c r="M4960" s="13"/>
      <c r="N4960" s="17">
        <f t="shared" si="163"/>
        <v>102.24</v>
      </c>
      <c r="O4960" s="17">
        <f t="shared" si="163"/>
        <v>0</v>
      </c>
      <c r="P4960" s="17">
        <f t="shared" si="164"/>
        <v>102.24</v>
      </c>
      <c r="Q4960" t="str">
        <f>A4960&amp;"-"&amp;B4960&amp;"-"&amp;D4960</f>
        <v>OKTOBER-MJ2-L1</v>
      </c>
    </row>
    <row r="4961" spans="1:17" x14ac:dyDescent="0.25">
      <c r="A4961" t="s">
        <v>400</v>
      </c>
      <c r="B4961" s="13" t="s">
        <v>26</v>
      </c>
      <c r="C4961" s="13" t="s">
        <v>226</v>
      </c>
      <c r="D4961" s="14" t="s">
        <v>44</v>
      </c>
      <c r="E4961" s="13" t="s">
        <v>61</v>
      </c>
      <c r="F4961" s="13" t="s">
        <v>1755</v>
      </c>
      <c r="G4961" s="13">
        <v>0.83</v>
      </c>
      <c r="H4961" s="15">
        <v>5145</v>
      </c>
      <c r="I4961" s="16">
        <v>4270.3499999999995</v>
      </c>
      <c r="J4961" s="16">
        <v>3145.4890548281182</v>
      </c>
      <c r="K4961" s="16">
        <v>1124.8609451718821</v>
      </c>
      <c r="L4961" s="13">
        <v>2.13</v>
      </c>
      <c r="M4961" s="13"/>
      <c r="N4961" s="17">
        <f t="shared" si="163"/>
        <v>10958.849999999999</v>
      </c>
      <c r="O4961" s="17">
        <f t="shared" si="163"/>
        <v>0</v>
      </c>
      <c r="P4961" s="17">
        <f t="shared" si="164"/>
        <v>10958.849999999999</v>
      </c>
      <c r="Q4961" t="str">
        <f>A4961&amp;"-"&amp;B4961&amp;"-"&amp;D4961</f>
        <v>OKTOBER-MJ2-L1</v>
      </c>
    </row>
    <row r="4962" spans="1:17" x14ac:dyDescent="0.25">
      <c r="A4962" t="s">
        <v>400</v>
      </c>
      <c r="B4962" s="13" t="s">
        <v>26</v>
      </c>
      <c r="C4962" s="13" t="s">
        <v>226</v>
      </c>
      <c r="D4962" s="14" t="s">
        <v>44</v>
      </c>
      <c r="E4962" s="13" t="s">
        <v>61</v>
      </c>
      <c r="F4962" s="13" t="s">
        <v>1756</v>
      </c>
      <c r="G4962" s="13">
        <v>0.78</v>
      </c>
      <c r="H4962" s="15">
        <v>720</v>
      </c>
      <c r="I4962" s="16">
        <v>561.6</v>
      </c>
      <c r="J4962" s="16">
        <v>467.82072670247908</v>
      </c>
      <c r="K4962" s="16">
        <v>93.779273297520916</v>
      </c>
      <c r="L4962" s="13">
        <v>2.29</v>
      </c>
      <c r="M4962" s="13"/>
      <c r="N4962" s="17">
        <f t="shared" si="163"/>
        <v>1648.8</v>
      </c>
      <c r="O4962" s="17">
        <f t="shared" si="163"/>
        <v>0</v>
      </c>
      <c r="P4962" s="17">
        <f t="shared" si="164"/>
        <v>1648.8</v>
      </c>
      <c r="Q4962" t="str">
        <f>A4962&amp;"-"&amp;B4962&amp;"-"&amp;D4962</f>
        <v>OKTOBER-MJ2-L1</v>
      </c>
    </row>
    <row r="4963" spans="1:17" x14ac:dyDescent="0.25">
      <c r="A4963" t="s">
        <v>400</v>
      </c>
      <c r="B4963" s="13" t="s">
        <v>26</v>
      </c>
      <c r="C4963" s="13" t="s">
        <v>226</v>
      </c>
      <c r="D4963" s="14" t="s">
        <v>44</v>
      </c>
      <c r="E4963" s="13" t="s">
        <v>61</v>
      </c>
      <c r="F4963" s="13" t="s">
        <v>1196</v>
      </c>
      <c r="G4963" s="13">
        <v>0.65</v>
      </c>
      <c r="H4963" s="15">
        <v>195</v>
      </c>
      <c r="I4963" s="16">
        <v>126.75</v>
      </c>
      <c r="J4963" s="16">
        <v>81.789099526066352</v>
      </c>
      <c r="K4963" s="16">
        <v>44.960900473933648</v>
      </c>
      <c r="L4963" s="13">
        <v>1.66</v>
      </c>
      <c r="M4963" s="13"/>
      <c r="N4963" s="17">
        <f t="shared" si="163"/>
        <v>323.7</v>
      </c>
      <c r="O4963" s="17">
        <f t="shared" si="163"/>
        <v>0</v>
      </c>
      <c r="P4963" s="17">
        <f t="shared" si="164"/>
        <v>323.7</v>
      </c>
      <c r="Q4963" t="str">
        <f>A4963&amp;"-"&amp;B4963&amp;"-"&amp;D4963</f>
        <v>OKTOBER-MJ2-L1</v>
      </c>
    </row>
    <row r="4964" spans="1:17" x14ac:dyDescent="0.25">
      <c r="A4964" t="s">
        <v>400</v>
      </c>
      <c r="B4964" s="13" t="s">
        <v>26</v>
      </c>
      <c r="C4964" s="13" t="s">
        <v>226</v>
      </c>
      <c r="D4964" s="14" t="s">
        <v>44</v>
      </c>
      <c r="E4964" s="13" t="s">
        <v>61</v>
      </c>
      <c r="F4964" s="13" t="s">
        <v>1197</v>
      </c>
      <c r="G4964" s="13">
        <v>0.65</v>
      </c>
      <c r="H4964" s="15">
        <v>71</v>
      </c>
      <c r="I4964" s="16">
        <v>46.15</v>
      </c>
      <c r="J4964" s="16">
        <v>31.934862064619537</v>
      </c>
      <c r="K4964" s="16">
        <v>14.215137935380461</v>
      </c>
      <c r="L4964" s="13">
        <v>1.79</v>
      </c>
      <c r="M4964" s="13"/>
      <c r="N4964" s="17">
        <f t="shared" si="163"/>
        <v>127.09</v>
      </c>
      <c r="O4964" s="17">
        <f t="shared" si="163"/>
        <v>0</v>
      </c>
      <c r="P4964" s="17">
        <f t="shared" si="164"/>
        <v>127.09</v>
      </c>
      <c r="Q4964" t="str">
        <f>A4964&amp;"-"&amp;B4964&amp;"-"&amp;D4964</f>
        <v>OKTOBER-MJ2-L1</v>
      </c>
    </row>
    <row r="4965" spans="1:17" x14ac:dyDescent="0.25">
      <c r="A4965" t="s">
        <v>400</v>
      </c>
      <c r="B4965" s="13" t="s">
        <v>26</v>
      </c>
      <c r="C4965" s="13" t="s">
        <v>226</v>
      </c>
      <c r="D4965" s="14" t="s">
        <v>44</v>
      </c>
      <c r="E4965" s="13" t="s">
        <v>61</v>
      </c>
      <c r="F4965" s="13" t="s">
        <v>1198</v>
      </c>
      <c r="G4965" s="13">
        <v>0.65</v>
      </c>
      <c r="H4965" s="15">
        <v>307</v>
      </c>
      <c r="I4965" s="16">
        <v>199.55</v>
      </c>
      <c r="J4965" s="16">
        <v>172.54496097387354</v>
      </c>
      <c r="K4965" s="16">
        <v>27.005039026126433</v>
      </c>
      <c r="L4965" s="13">
        <v>1.66</v>
      </c>
      <c r="M4965" s="13"/>
      <c r="N4965" s="17">
        <f t="shared" si="163"/>
        <v>509.61999999999995</v>
      </c>
      <c r="O4965" s="17">
        <f t="shared" si="163"/>
        <v>0</v>
      </c>
      <c r="P4965" s="17">
        <f t="shared" si="164"/>
        <v>509.61999999999995</v>
      </c>
      <c r="Q4965" t="str">
        <f>A4965&amp;"-"&amp;B4965&amp;"-"&amp;D4965</f>
        <v>OKTOBER-MJ2-L1</v>
      </c>
    </row>
    <row r="4966" spans="1:17" x14ac:dyDescent="0.25">
      <c r="A4966" t="s">
        <v>400</v>
      </c>
      <c r="B4966" s="13" t="s">
        <v>26</v>
      </c>
      <c r="C4966" s="13" t="s">
        <v>226</v>
      </c>
      <c r="D4966" s="14" t="s">
        <v>301</v>
      </c>
      <c r="E4966" s="13" t="s">
        <v>61</v>
      </c>
      <c r="F4966" s="13" t="s">
        <v>1757</v>
      </c>
      <c r="G4966" s="13">
        <v>0.68</v>
      </c>
      <c r="H4966" s="15">
        <v>2122</v>
      </c>
      <c r="I4966" s="16">
        <v>1442.96</v>
      </c>
      <c r="J4966" s="16">
        <v>1775.2644543034605</v>
      </c>
      <c r="K4966" s="16">
        <v>-332.30445430346049</v>
      </c>
      <c r="L4966" s="13">
        <v>1.69</v>
      </c>
      <c r="M4966" s="13"/>
      <c r="N4966" s="17">
        <f t="shared" si="163"/>
        <v>3586.18</v>
      </c>
      <c r="O4966" s="17">
        <f t="shared" si="163"/>
        <v>0</v>
      </c>
      <c r="P4966" s="17">
        <f t="shared" si="164"/>
        <v>3586.18</v>
      </c>
      <c r="Q4966" t="str">
        <f>A4966&amp;"-"&amp;B4966&amp;"-"&amp;D4966</f>
        <v>OKTOBER-MJ2-L10</v>
      </c>
    </row>
    <row r="4967" spans="1:17" x14ac:dyDescent="0.25">
      <c r="A4967" t="s">
        <v>400</v>
      </c>
      <c r="B4967" s="13" t="s">
        <v>26</v>
      </c>
      <c r="C4967" s="13" t="s">
        <v>226</v>
      </c>
      <c r="D4967" s="14" t="s">
        <v>301</v>
      </c>
      <c r="E4967" s="13" t="s">
        <v>61</v>
      </c>
      <c r="F4967" s="13" t="s">
        <v>1758</v>
      </c>
      <c r="G4967" s="13">
        <v>0.68</v>
      </c>
      <c r="H4967" s="15">
        <v>1538</v>
      </c>
      <c r="I4967" s="16">
        <v>1045.8399999999999</v>
      </c>
      <c r="J4967" s="16">
        <v>960.6191596638655</v>
      </c>
      <c r="K4967" s="16">
        <v>85.220840336134458</v>
      </c>
      <c r="L4967" s="13">
        <v>1.69</v>
      </c>
      <c r="M4967" s="13"/>
      <c r="N4967" s="17">
        <f t="shared" si="163"/>
        <v>2599.2199999999998</v>
      </c>
      <c r="O4967" s="17">
        <f t="shared" si="163"/>
        <v>0</v>
      </c>
      <c r="P4967" s="17">
        <f t="shared" si="164"/>
        <v>2599.2199999999998</v>
      </c>
      <c r="Q4967" t="str">
        <f>A4967&amp;"-"&amp;B4967&amp;"-"&amp;D4967</f>
        <v>OKTOBER-MJ2-L10</v>
      </c>
    </row>
    <row r="4968" spans="1:17" x14ac:dyDescent="0.25">
      <c r="A4968" t="s">
        <v>400</v>
      </c>
      <c r="B4968" s="13" t="s">
        <v>26</v>
      </c>
      <c r="C4968" s="13" t="s">
        <v>226</v>
      </c>
      <c r="D4968" s="14" t="s">
        <v>301</v>
      </c>
      <c r="E4968" s="13" t="s">
        <v>61</v>
      </c>
      <c r="F4968" s="13" t="s">
        <v>1752</v>
      </c>
      <c r="G4968" s="13">
        <v>0.68</v>
      </c>
      <c r="H4968" s="15">
        <v>456</v>
      </c>
      <c r="I4968" s="16">
        <v>310.08000000000004</v>
      </c>
      <c r="J4968" s="16">
        <v>477.12</v>
      </c>
      <c r="K4968" s="16">
        <v>-167.03999999999996</v>
      </c>
      <c r="L4968" s="13">
        <v>1.61</v>
      </c>
      <c r="M4968" s="13"/>
      <c r="N4968" s="17">
        <f t="shared" si="163"/>
        <v>734.16000000000008</v>
      </c>
      <c r="O4968" s="17">
        <f t="shared" si="163"/>
        <v>0</v>
      </c>
      <c r="P4968" s="17">
        <f t="shared" si="164"/>
        <v>734.16000000000008</v>
      </c>
      <c r="Q4968" t="str">
        <f>A4968&amp;"-"&amp;B4968&amp;"-"&amp;D4968</f>
        <v>OKTOBER-MJ2-L10</v>
      </c>
    </row>
    <row r="4969" spans="1:17" x14ac:dyDescent="0.25">
      <c r="A4969" t="s">
        <v>400</v>
      </c>
      <c r="B4969" s="13" t="s">
        <v>26</v>
      </c>
      <c r="C4969" s="13" t="s">
        <v>226</v>
      </c>
      <c r="D4969" s="14" t="s">
        <v>301</v>
      </c>
      <c r="E4969" s="13" t="s">
        <v>61</v>
      </c>
      <c r="F4969" s="13" t="s">
        <v>1571</v>
      </c>
      <c r="G4969" s="13">
        <v>0.7</v>
      </c>
      <c r="H4969" s="15">
        <v>51</v>
      </c>
      <c r="I4969" s="16">
        <v>35.700000000000003</v>
      </c>
      <c r="J4969" s="16">
        <v>37.981767180925665</v>
      </c>
      <c r="K4969" s="16">
        <v>-2.2817671809256623</v>
      </c>
      <c r="L4969" s="13">
        <v>1.3</v>
      </c>
      <c r="M4969" s="13"/>
      <c r="N4969" s="17">
        <f t="shared" si="163"/>
        <v>66.3</v>
      </c>
      <c r="O4969" s="17">
        <f t="shared" si="163"/>
        <v>0</v>
      </c>
      <c r="P4969" s="17">
        <f t="shared" si="164"/>
        <v>66.3</v>
      </c>
      <c r="Q4969" t="str">
        <f>A4969&amp;"-"&amp;B4969&amp;"-"&amp;D4969</f>
        <v>OKTOBER-MJ2-L10</v>
      </c>
    </row>
    <row r="4970" spans="1:17" x14ac:dyDescent="0.25">
      <c r="A4970" t="s">
        <v>400</v>
      </c>
      <c r="B4970" s="13" t="s">
        <v>26</v>
      </c>
      <c r="C4970" s="13" t="s">
        <v>226</v>
      </c>
      <c r="D4970" s="14" t="s">
        <v>301</v>
      </c>
      <c r="E4970" s="13" t="s">
        <v>61</v>
      </c>
      <c r="F4970" s="13" t="s">
        <v>1759</v>
      </c>
      <c r="G4970" s="13">
        <v>0.68</v>
      </c>
      <c r="H4970" s="15">
        <v>424</v>
      </c>
      <c r="I4970" s="16">
        <v>288.32</v>
      </c>
      <c r="J4970" s="16">
        <v>311.72766007334906</v>
      </c>
      <c r="K4970" s="16">
        <v>-23.407660073349071</v>
      </c>
      <c r="L4970" s="13">
        <v>1.7</v>
      </c>
      <c r="M4970" s="13"/>
      <c r="N4970" s="17">
        <f t="shared" si="163"/>
        <v>720.8</v>
      </c>
      <c r="O4970" s="17">
        <f t="shared" si="163"/>
        <v>0</v>
      </c>
      <c r="P4970" s="17">
        <f t="shared" si="164"/>
        <v>720.8</v>
      </c>
      <c r="Q4970" t="str">
        <f>A4970&amp;"-"&amp;B4970&amp;"-"&amp;D4970</f>
        <v>OKTOBER-MJ2-L10</v>
      </c>
    </row>
    <row r="4971" spans="1:17" x14ac:dyDescent="0.25">
      <c r="A4971" t="s">
        <v>400</v>
      </c>
      <c r="B4971" s="13" t="s">
        <v>26</v>
      </c>
      <c r="C4971" s="13" t="s">
        <v>226</v>
      </c>
      <c r="D4971" s="14" t="s">
        <v>301</v>
      </c>
      <c r="E4971" s="13" t="s">
        <v>61</v>
      </c>
      <c r="F4971" s="13" t="s">
        <v>1760</v>
      </c>
      <c r="G4971" s="13">
        <v>0.68</v>
      </c>
      <c r="H4971" s="15">
        <v>935</v>
      </c>
      <c r="I4971" s="16">
        <v>635.79999999999995</v>
      </c>
      <c r="J4971" s="16">
        <v>668.03630769230767</v>
      </c>
      <c r="K4971" s="16">
        <v>-32.236307692307669</v>
      </c>
      <c r="L4971" s="13">
        <v>1.7</v>
      </c>
      <c r="M4971" s="13"/>
      <c r="N4971" s="17">
        <f t="shared" si="163"/>
        <v>1589.5</v>
      </c>
      <c r="O4971" s="17">
        <f t="shared" si="163"/>
        <v>0</v>
      </c>
      <c r="P4971" s="17">
        <f t="shared" si="164"/>
        <v>1589.5</v>
      </c>
      <c r="Q4971" t="str">
        <f>A4971&amp;"-"&amp;B4971&amp;"-"&amp;D4971</f>
        <v>OKTOBER-MJ2-L10</v>
      </c>
    </row>
    <row r="4972" spans="1:17" x14ac:dyDescent="0.25">
      <c r="A4972" t="s">
        <v>400</v>
      </c>
      <c r="B4972" s="13" t="s">
        <v>26</v>
      </c>
      <c r="C4972" s="13" t="s">
        <v>226</v>
      </c>
      <c r="D4972" s="14" t="s">
        <v>301</v>
      </c>
      <c r="E4972" s="13" t="s">
        <v>61</v>
      </c>
      <c r="F4972" s="13" t="s">
        <v>1761</v>
      </c>
      <c r="G4972" s="13">
        <v>0.65</v>
      </c>
      <c r="H4972" s="15">
        <v>125</v>
      </c>
      <c r="I4972" s="16">
        <v>81.25</v>
      </c>
      <c r="J4972" s="16">
        <v>88.5</v>
      </c>
      <c r="K4972" s="16">
        <v>-7.25</v>
      </c>
      <c r="L4972" s="13">
        <v>1.82</v>
      </c>
      <c r="M4972" s="13"/>
      <c r="N4972" s="17">
        <f t="shared" si="163"/>
        <v>227.5</v>
      </c>
      <c r="O4972" s="17">
        <f t="shared" si="163"/>
        <v>0</v>
      </c>
      <c r="P4972" s="17">
        <f t="shared" si="164"/>
        <v>227.5</v>
      </c>
      <c r="Q4972" t="str">
        <f>A4972&amp;"-"&amp;B4972&amp;"-"&amp;D4972</f>
        <v>OKTOBER-MJ2-L10</v>
      </c>
    </row>
    <row r="4973" spans="1:17" x14ac:dyDescent="0.25">
      <c r="A4973" t="s">
        <v>400</v>
      </c>
      <c r="B4973" s="13" t="s">
        <v>26</v>
      </c>
      <c r="C4973" s="13" t="s">
        <v>226</v>
      </c>
      <c r="D4973" s="14" t="s">
        <v>301</v>
      </c>
      <c r="E4973" s="13" t="s">
        <v>61</v>
      </c>
      <c r="F4973" s="13" t="s">
        <v>1762</v>
      </c>
      <c r="G4973" s="13">
        <v>0.79</v>
      </c>
      <c r="H4973" s="15">
        <v>4041</v>
      </c>
      <c r="I4973" s="16">
        <v>3192.3900000000003</v>
      </c>
      <c r="J4973" s="16">
        <v>2695.7793198879053</v>
      </c>
      <c r="K4973" s="16">
        <v>496.61068011209494</v>
      </c>
      <c r="L4973" s="13">
        <v>2</v>
      </c>
      <c r="M4973" s="13"/>
      <c r="N4973" s="17">
        <f t="shared" si="163"/>
        <v>8082</v>
      </c>
      <c r="O4973" s="17">
        <f t="shared" si="163"/>
        <v>0</v>
      </c>
      <c r="P4973" s="17">
        <f t="shared" si="164"/>
        <v>8082</v>
      </c>
      <c r="Q4973" t="str">
        <f>A4973&amp;"-"&amp;B4973&amp;"-"&amp;D4973</f>
        <v>OKTOBER-MJ2-L10</v>
      </c>
    </row>
    <row r="4974" spans="1:17" x14ac:dyDescent="0.25">
      <c r="A4974" t="s">
        <v>400</v>
      </c>
      <c r="B4974" s="13" t="s">
        <v>26</v>
      </c>
      <c r="C4974" s="13" t="s">
        <v>226</v>
      </c>
      <c r="D4974" s="14" t="s">
        <v>301</v>
      </c>
      <c r="E4974" s="13" t="s">
        <v>61</v>
      </c>
      <c r="F4974" s="13" t="s">
        <v>1763</v>
      </c>
      <c r="G4974" s="13">
        <v>0.79</v>
      </c>
      <c r="H4974" s="15">
        <v>3997</v>
      </c>
      <c r="I4974" s="16">
        <v>3157.6300000000006</v>
      </c>
      <c r="J4974" s="16">
        <v>2842.4851333218603</v>
      </c>
      <c r="K4974" s="16">
        <v>315.14486667813975</v>
      </c>
      <c r="L4974" s="13">
        <v>2</v>
      </c>
      <c r="M4974" s="13"/>
      <c r="N4974" s="17">
        <f t="shared" si="163"/>
        <v>7994</v>
      </c>
      <c r="O4974" s="17">
        <f t="shared" si="163"/>
        <v>0</v>
      </c>
      <c r="P4974" s="17">
        <f t="shared" si="164"/>
        <v>7994</v>
      </c>
      <c r="Q4974" t="str">
        <f>A4974&amp;"-"&amp;B4974&amp;"-"&amp;D4974</f>
        <v>OKTOBER-MJ2-L10</v>
      </c>
    </row>
    <row r="4975" spans="1:17" x14ac:dyDescent="0.25">
      <c r="A4975" t="s">
        <v>400</v>
      </c>
      <c r="B4975" s="13" t="s">
        <v>26</v>
      </c>
      <c r="C4975" s="13" t="s">
        <v>226</v>
      </c>
      <c r="D4975" s="14" t="s">
        <v>301</v>
      </c>
      <c r="E4975" s="13" t="s">
        <v>61</v>
      </c>
      <c r="F4975" s="13" t="s">
        <v>1764</v>
      </c>
      <c r="G4975" s="13">
        <v>0.77</v>
      </c>
      <c r="H4975" s="15">
        <v>1313</v>
      </c>
      <c r="I4975" s="16">
        <v>1011.01</v>
      </c>
      <c r="J4975" s="16">
        <v>876.90079120879125</v>
      </c>
      <c r="K4975" s="16">
        <v>134.10920879120874</v>
      </c>
      <c r="L4975" s="13">
        <v>2.15</v>
      </c>
      <c r="M4975" s="13"/>
      <c r="N4975" s="17">
        <f t="shared" si="163"/>
        <v>2822.95</v>
      </c>
      <c r="O4975" s="17">
        <f t="shared" si="163"/>
        <v>0</v>
      </c>
      <c r="P4975" s="17">
        <f t="shared" si="164"/>
        <v>2822.95</v>
      </c>
      <c r="Q4975" t="str">
        <f>A4975&amp;"-"&amp;B4975&amp;"-"&amp;D4975</f>
        <v>OKTOBER-MJ2-L10</v>
      </c>
    </row>
    <row r="4976" spans="1:17" x14ac:dyDescent="0.25">
      <c r="A4976" t="s">
        <v>400</v>
      </c>
      <c r="B4976" s="13" t="s">
        <v>26</v>
      </c>
      <c r="C4976" s="13" t="s">
        <v>226</v>
      </c>
      <c r="D4976" s="14" t="s">
        <v>301</v>
      </c>
      <c r="E4976" s="13" t="s">
        <v>61</v>
      </c>
      <c r="F4976" s="13" t="s">
        <v>1765</v>
      </c>
      <c r="G4976" s="13">
        <v>0.77000000000000013</v>
      </c>
      <c r="H4976" s="15">
        <v>888</v>
      </c>
      <c r="I4976" s="16">
        <v>683.7600000000001</v>
      </c>
      <c r="J4976" s="16">
        <v>675.75856013037424</v>
      </c>
      <c r="K4976" s="16">
        <v>8.0014398696257842</v>
      </c>
      <c r="L4976" s="13">
        <v>2.15</v>
      </c>
      <c r="M4976" s="13"/>
      <c r="N4976" s="17">
        <f t="shared" si="163"/>
        <v>1909.1999999999998</v>
      </c>
      <c r="O4976" s="17">
        <f t="shared" si="163"/>
        <v>0</v>
      </c>
      <c r="P4976" s="17">
        <f t="shared" si="164"/>
        <v>1909.1999999999998</v>
      </c>
      <c r="Q4976" t="str">
        <f>A4976&amp;"-"&amp;B4976&amp;"-"&amp;D4976</f>
        <v>OKTOBER-MJ2-L10</v>
      </c>
    </row>
    <row r="4977" spans="1:17" x14ac:dyDescent="0.25">
      <c r="A4977" t="s">
        <v>400</v>
      </c>
      <c r="B4977" s="13" t="s">
        <v>26</v>
      </c>
      <c r="C4977" s="13" t="s">
        <v>226</v>
      </c>
      <c r="D4977" s="14" t="s">
        <v>301</v>
      </c>
      <c r="E4977" s="13" t="s">
        <v>61</v>
      </c>
      <c r="F4977" s="13" t="s">
        <v>1766</v>
      </c>
      <c r="G4977" s="13">
        <v>0.79999999999999993</v>
      </c>
      <c r="H4977" s="15">
        <v>2913</v>
      </c>
      <c r="I4977" s="16">
        <v>2330.4</v>
      </c>
      <c r="J4977" s="16">
        <v>2039.2649689661739</v>
      </c>
      <c r="K4977" s="16">
        <v>291.13503103382595</v>
      </c>
      <c r="L4977" s="13">
        <v>2.0699999999999998</v>
      </c>
      <c r="M4977" s="13"/>
      <c r="N4977" s="17">
        <f t="shared" si="163"/>
        <v>6029.91</v>
      </c>
      <c r="O4977" s="17">
        <f t="shared" si="163"/>
        <v>0</v>
      </c>
      <c r="P4977" s="17">
        <f t="shared" si="164"/>
        <v>6029.91</v>
      </c>
      <c r="Q4977" t="str">
        <f>A4977&amp;"-"&amp;B4977&amp;"-"&amp;D4977</f>
        <v>OKTOBER-MJ2-L10</v>
      </c>
    </row>
    <row r="4978" spans="1:17" x14ac:dyDescent="0.25">
      <c r="A4978" t="s">
        <v>400</v>
      </c>
      <c r="B4978" s="13" t="s">
        <v>26</v>
      </c>
      <c r="C4978" s="13" t="s">
        <v>226</v>
      </c>
      <c r="D4978" s="14" t="s">
        <v>301</v>
      </c>
      <c r="E4978" s="13" t="s">
        <v>61</v>
      </c>
      <c r="F4978" s="13" t="s">
        <v>1767</v>
      </c>
      <c r="G4978" s="13">
        <v>0.77999999999999992</v>
      </c>
      <c r="H4978" s="15">
        <v>851</v>
      </c>
      <c r="I4978" s="16">
        <v>663.78</v>
      </c>
      <c r="J4978" s="16">
        <v>604.63302085181897</v>
      </c>
      <c r="K4978" s="16">
        <v>59.146979148181011</v>
      </c>
      <c r="L4978" s="13">
        <v>2.2200000000000002</v>
      </c>
      <c r="M4978" s="13"/>
      <c r="N4978" s="17">
        <f t="shared" si="163"/>
        <v>1889.2200000000003</v>
      </c>
      <c r="O4978" s="17">
        <f t="shared" si="163"/>
        <v>0</v>
      </c>
      <c r="P4978" s="17">
        <f t="shared" si="164"/>
        <v>1889.2200000000003</v>
      </c>
      <c r="Q4978" t="str">
        <f>A4978&amp;"-"&amp;B4978&amp;"-"&amp;D4978</f>
        <v>OKTOBER-MJ2-L10</v>
      </c>
    </row>
    <row r="4979" spans="1:17" x14ac:dyDescent="0.25">
      <c r="A4979" t="s">
        <v>400</v>
      </c>
      <c r="B4979" s="13" t="s">
        <v>26</v>
      </c>
      <c r="C4979" s="13" t="s">
        <v>226</v>
      </c>
      <c r="D4979" s="14" t="s">
        <v>301</v>
      </c>
      <c r="E4979" s="13" t="s">
        <v>61</v>
      </c>
      <c r="F4979" s="13" t="s">
        <v>1768</v>
      </c>
      <c r="G4979" s="13">
        <v>0.81</v>
      </c>
      <c r="H4979" s="15">
        <v>323</v>
      </c>
      <c r="I4979" s="16">
        <v>261.63</v>
      </c>
      <c r="J4979" s="16">
        <v>527.50980766748421</v>
      </c>
      <c r="K4979" s="16">
        <v>-265.87980766748416</v>
      </c>
      <c r="L4979" s="13">
        <v>2.21</v>
      </c>
      <c r="M4979" s="13"/>
      <c r="N4979" s="17">
        <f t="shared" si="163"/>
        <v>713.83</v>
      </c>
      <c r="O4979" s="17">
        <f t="shared" si="163"/>
        <v>0</v>
      </c>
      <c r="P4979" s="17">
        <f t="shared" si="164"/>
        <v>713.83</v>
      </c>
      <c r="Q4979" t="str">
        <f>A4979&amp;"-"&amp;B4979&amp;"-"&amp;D4979</f>
        <v>OKTOBER-MJ2-L10</v>
      </c>
    </row>
    <row r="4980" spans="1:17" x14ac:dyDescent="0.25">
      <c r="A4980" t="s">
        <v>400</v>
      </c>
      <c r="B4980" s="13" t="s">
        <v>26</v>
      </c>
      <c r="C4980" s="13" t="s">
        <v>226</v>
      </c>
      <c r="D4980" s="14" t="s">
        <v>301</v>
      </c>
      <c r="E4980" s="13" t="s">
        <v>61</v>
      </c>
      <c r="F4980" s="13" t="s">
        <v>1769</v>
      </c>
      <c r="G4980" s="13">
        <v>0.81</v>
      </c>
      <c r="H4980" s="15">
        <v>30</v>
      </c>
      <c r="I4980" s="16">
        <v>24.3</v>
      </c>
      <c r="J4980" s="16">
        <v>19.146634615384613</v>
      </c>
      <c r="K4980" s="16">
        <v>5.1533653846153875</v>
      </c>
      <c r="L4980" s="13">
        <v>2.21</v>
      </c>
      <c r="M4980" s="13"/>
      <c r="N4980" s="17">
        <f t="shared" si="163"/>
        <v>66.3</v>
      </c>
      <c r="O4980" s="17">
        <f t="shared" si="163"/>
        <v>0</v>
      </c>
      <c r="P4980" s="17">
        <f t="shared" si="164"/>
        <v>66.3</v>
      </c>
      <c r="Q4980" t="str">
        <f>A4980&amp;"-"&amp;B4980&amp;"-"&amp;D4980</f>
        <v>OKTOBER-MJ2-L10</v>
      </c>
    </row>
    <row r="4981" spans="1:17" x14ac:dyDescent="0.25">
      <c r="A4981" t="s">
        <v>400</v>
      </c>
      <c r="B4981" s="13" t="s">
        <v>26</v>
      </c>
      <c r="C4981" s="13" t="s">
        <v>226</v>
      </c>
      <c r="D4981" s="14" t="s">
        <v>301</v>
      </c>
      <c r="E4981" s="13" t="s">
        <v>61</v>
      </c>
      <c r="F4981" s="13" t="s">
        <v>1575</v>
      </c>
      <c r="G4981" s="13">
        <v>0.81</v>
      </c>
      <c r="H4981" s="15">
        <v>10</v>
      </c>
      <c r="I4981" s="16">
        <v>8.1</v>
      </c>
      <c r="J4981" s="16">
        <v>7.08</v>
      </c>
      <c r="K4981" s="16">
        <v>1.0199999999999996</v>
      </c>
      <c r="L4981" s="13">
        <v>2.21</v>
      </c>
      <c r="M4981" s="13"/>
      <c r="N4981" s="17">
        <f t="shared" si="163"/>
        <v>22.1</v>
      </c>
      <c r="O4981" s="17">
        <f t="shared" si="163"/>
        <v>0</v>
      </c>
      <c r="P4981" s="17">
        <f t="shared" si="164"/>
        <v>22.1</v>
      </c>
      <c r="Q4981" t="str">
        <f>A4981&amp;"-"&amp;B4981&amp;"-"&amp;D4981</f>
        <v>OKTOBER-MJ2-L10</v>
      </c>
    </row>
    <row r="4982" spans="1:17" x14ac:dyDescent="0.25">
      <c r="A4982" t="s">
        <v>400</v>
      </c>
      <c r="B4982" s="13" t="s">
        <v>26</v>
      </c>
      <c r="C4982" s="13" t="s">
        <v>226</v>
      </c>
      <c r="D4982" s="14" t="s">
        <v>301</v>
      </c>
      <c r="E4982" s="13" t="s">
        <v>61</v>
      </c>
      <c r="F4982" s="13" t="s">
        <v>1576</v>
      </c>
      <c r="G4982" s="13">
        <v>0.79999999999999993</v>
      </c>
      <c r="H4982" s="15">
        <v>1835</v>
      </c>
      <c r="I4982" s="16">
        <v>1468.0000000000002</v>
      </c>
      <c r="J4982" s="16">
        <v>1201.5242304357346</v>
      </c>
      <c r="K4982" s="16">
        <v>266.47576956426519</v>
      </c>
      <c r="L4982" s="13">
        <v>2.0699999999999998</v>
      </c>
      <c r="M4982" s="13"/>
      <c r="N4982" s="17">
        <f t="shared" si="163"/>
        <v>3798.45</v>
      </c>
      <c r="O4982" s="17">
        <f t="shared" si="163"/>
        <v>0</v>
      </c>
      <c r="P4982" s="17">
        <f t="shared" si="164"/>
        <v>3798.45</v>
      </c>
      <c r="Q4982" t="str">
        <f>A4982&amp;"-"&amp;B4982&amp;"-"&amp;D4982</f>
        <v>OKTOBER-MJ2-L10</v>
      </c>
    </row>
    <row r="4983" spans="1:17" x14ac:dyDescent="0.25">
      <c r="A4983" t="s">
        <v>400</v>
      </c>
      <c r="B4983" s="13" t="s">
        <v>26</v>
      </c>
      <c r="C4983" s="13" t="s">
        <v>226</v>
      </c>
      <c r="D4983" s="14" t="s">
        <v>301</v>
      </c>
      <c r="E4983" s="13" t="s">
        <v>61</v>
      </c>
      <c r="F4983" s="13" t="s">
        <v>1770</v>
      </c>
      <c r="G4983" s="13">
        <v>0.78000000000000014</v>
      </c>
      <c r="H4983" s="15">
        <v>485</v>
      </c>
      <c r="I4983" s="16">
        <v>378.29999999999995</v>
      </c>
      <c r="J4983" s="16">
        <v>361.60387688236074</v>
      </c>
      <c r="K4983" s="16">
        <v>16.696123117639218</v>
      </c>
      <c r="L4983" s="13">
        <v>2.2200000000000002</v>
      </c>
      <c r="M4983" s="13"/>
      <c r="N4983" s="17">
        <f t="shared" si="163"/>
        <v>1076.7</v>
      </c>
      <c r="O4983" s="17">
        <f t="shared" si="163"/>
        <v>0</v>
      </c>
      <c r="P4983" s="17">
        <f t="shared" si="164"/>
        <v>1076.7</v>
      </c>
      <c r="Q4983" t="str">
        <f>A4983&amp;"-"&amp;B4983&amp;"-"&amp;D4983</f>
        <v>OKTOBER-MJ2-L10</v>
      </c>
    </row>
    <row r="4984" spans="1:17" x14ac:dyDescent="0.25">
      <c r="A4984" t="s">
        <v>400</v>
      </c>
      <c r="B4984" s="13" t="s">
        <v>26</v>
      </c>
      <c r="C4984" s="13" t="s">
        <v>226</v>
      </c>
      <c r="D4984" s="14" t="s">
        <v>301</v>
      </c>
      <c r="E4984" s="13" t="s">
        <v>61</v>
      </c>
      <c r="F4984" s="13" t="s">
        <v>1771</v>
      </c>
      <c r="G4984" s="13">
        <v>0.79</v>
      </c>
      <c r="H4984" s="15">
        <v>3660</v>
      </c>
      <c r="I4984" s="16">
        <v>2891.3999999999996</v>
      </c>
      <c r="J4984" s="16">
        <v>2584.8301822356748</v>
      </c>
      <c r="K4984" s="16">
        <v>306.56981776432514</v>
      </c>
      <c r="L4984" s="13">
        <v>2</v>
      </c>
      <c r="M4984" s="13"/>
      <c r="N4984" s="17">
        <f t="shared" si="163"/>
        <v>7320</v>
      </c>
      <c r="O4984" s="17">
        <f t="shared" si="163"/>
        <v>0</v>
      </c>
      <c r="P4984" s="17">
        <f t="shared" si="164"/>
        <v>7320</v>
      </c>
      <c r="Q4984" t="str">
        <f>A4984&amp;"-"&amp;B4984&amp;"-"&amp;D4984</f>
        <v>OKTOBER-MJ2-L10</v>
      </c>
    </row>
    <row r="4985" spans="1:17" x14ac:dyDescent="0.25">
      <c r="A4985" t="s">
        <v>400</v>
      </c>
      <c r="B4985" s="13" t="s">
        <v>26</v>
      </c>
      <c r="C4985" s="13" t="s">
        <v>226</v>
      </c>
      <c r="D4985" s="14" t="s">
        <v>301</v>
      </c>
      <c r="E4985" s="13" t="s">
        <v>61</v>
      </c>
      <c r="F4985" s="13" t="s">
        <v>1772</v>
      </c>
      <c r="G4985" s="13">
        <v>0.77</v>
      </c>
      <c r="H4985" s="15">
        <v>1328</v>
      </c>
      <c r="I4985" s="16">
        <v>1022.56</v>
      </c>
      <c r="J4985" s="16">
        <v>855.03950318338377</v>
      </c>
      <c r="K4985" s="16">
        <v>167.52049681661617</v>
      </c>
      <c r="L4985" s="13">
        <v>2.15</v>
      </c>
      <c r="M4985" s="13"/>
      <c r="N4985" s="17">
        <f t="shared" ref="N4985:O5048" si="165">$H4985*L4985</f>
        <v>2855.2</v>
      </c>
      <c r="O4985" s="17">
        <f t="shared" si="165"/>
        <v>0</v>
      </c>
      <c r="P4985" s="17">
        <f t="shared" si="164"/>
        <v>2855.2</v>
      </c>
      <c r="Q4985" t="str">
        <f>A4985&amp;"-"&amp;B4985&amp;"-"&amp;D4985</f>
        <v>OKTOBER-MJ2-L10</v>
      </c>
    </row>
    <row r="4986" spans="1:17" x14ac:dyDescent="0.25">
      <c r="A4986" t="s">
        <v>400</v>
      </c>
      <c r="B4986" s="13" t="s">
        <v>26</v>
      </c>
      <c r="C4986" s="13" t="s">
        <v>226</v>
      </c>
      <c r="D4986" s="14" t="s">
        <v>301</v>
      </c>
      <c r="E4986" s="13" t="s">
        <v>61</v>
      </c>
      <c r="F4986" s="13" t="s">
        <v>1773</v>
      </c>
      <c r="G4986" s="13">
        <v>0.80000000000000016</v>
      </c>
      <c r="H4986" s="15">
        <v>1807</v>
      </c>
      <c r="I4986" s="16">
        <v>1445.6</v>
      </c>
      <c r="J4986" s="16">
        <v>1263.5498507462687</v>
      </c>
      <c r="K4986" s="16">
        <v>182.05014925373135</v>
      </c>
      <c r="L4986" s="13">
        <v>2.0699999999999998</v>
      </c>
      <c r="M4986" s="13"/>
      <c r="N4986" s="17">
        <f t="shared" si="165"/>
        <v>3740.49</v>
      </c>
      <c r="O4986" s="17">
        <f t="shared" si="165"/>
        <v>0</v>
      </c>
      <c r="P4986" s="17">
        <f t="shared" si="164"/>
        <v>3740.49</v>
      </c>
      <c r="Q4986" t="str">
        <f>A4986&amp;"-"&amp;B4986&amp;"-"&amp;D4986</f>
        <v>OKTOBER-MJ2-L10</v>
      </c>
    </row>
    <row r="4987" spans="1:17" x14ac:dyDescent="0.25">
      <c r="A4987" t="s">
        <v>400</v>
      </c>
      <c r="B4987" s="13" t="s">
        <v>26</v>
      </c>
      <c r="C4987" s="13" t="s">
        <v>226</v>
      </c>
      <c r="D4987" s="14" t="s">
        <v>301</v>
      </c>
      <c r="E4987" s="13" t="s">
        <v>61</v>
      </c>
      <c r="F4987" s="13" t="s">
        <v>1774</v>
      </c>
      <c r="G4987" s="13">
        <v>0.79999999999999993</v>
      </c>
      <c r="H4987" s="15">
        <v>2115</v>
      </c>
      <c r="I4987" s="16">
        <v>1692.0000000000002</v>
      </c>
      <c r="J4987" s="16">
        <v>1466.0038300849001</v>
      </c>
      <c r="K4987" s="16">
        <v>225.99616991509976</v>
      </c>
      <c r="L4987" s="13">
        <v>2.0699999999999998</v>
      </c>
      <c r="M4987" s="13"/>
      <c r="N4987" s="17">
        <f t="shared" si="165"/>
        <v>4378.0499999999993</v>
      </c>
      <c r="O4987" s="17">
        <f t="shared" si="165"/>
        <v>0</v>
      </c>
      <c r="P4987" s="17">
        <f t="shared" si="164"/>
        <v>4378.0499999999993</v>
      </c>
      <c r="Q4987" t="str">
        <f>A4987&amp;"-"&amp;B4987&amp;"-"&amp;D4987</f>
        <v>OKTOBER-MJ2-L10</v>
      </c>
    </row>
    <row r="4988" spans="1:17" x14ac:dyDescent="0.25">
      <c r="A4988" t="s">
        <v>400</v>
      </c>
      <c r="B4988" s="13" t="s">
        <v>26</v>
      </c>
      <c r="C4988" s="13" t="s">
        <v>226</v>
      </c>
      <c r="D4988" s="14" t="s">
        <v>301</v>
      </c>
      <c r="E4988" s="13" t="s">
        <v>61</v>
      </c>
      <c r="F4988" s="13" t="s">
        <v>1775</v>
      </c>
      <c r="G4988" s="13">
        <v>0.78</v>
      </c>
      <c r="H4988" s="15">
        <v>870</v>
      </c>
      <c r="I4988" s="16">
        <v>678.6</v>
      </c>
      <c r="J4988" s="16">
        <v>551.60597014925372</v>
      </c>
      <c r="K4988" s="16">
        <v>126.9940298507463</v>
      </c>
      <c r="L4988" s="13">
        <v>2.2200000000000002</v>
      </c>
      <c r="M4988" s="13"/>
      <c r="N4988" s="17">
        <f t="shared" si="165"/>
        <v>1931.4</v>
      </c>
      <c r="O4988" s="17">
        <f t="shared" si="165"/>
        <v>0</v>
      </c>
      <c r="P4988" s="17">
        <f t="shared" si="164"/>
        <v>1931.4</v>
      </c>
      <c r="Q4988" t="str">
        <f>A4988&amp;"-"&amp;B4988&amp;"-"&amp;D4988</f>
        <v>OKTOBER-MJ2-L10</v>
      </c>
    </row>
    <row r="4989" spans="1:17" x14ac:dyDescent="0.25">
      <c r="A4989" t="s">
        <v>400</v>
      </c>
      <c r="B4989" s="13" t="s">
        <v>26</v>
      </c>
      <c r="C4989" s="13" t="s">
        <v>226</v>
      </c>
      <c r="D4989" s="14" t="s">
        <v>301</v>
      </c>
      <c r="E4989" s="13" t="s">
        <v>61</v>
      </c>
      <c r="F4989" s="13" t="s">
        <v>1776</v>
      </c>
      <c r="G4989" s="13">
        <v>0.77999999999999992</v>
      </c>
      <c r="H4989" s="15">
        <v>660</v>
      </c>
      <c r="I4989" s="16">
        <v>514.79999999999995</v>
      </c>
      <c r="J4989" s="16">
        <v>472.03497071872232</v>
      </c>
      <c r="K4989" s="16">
        <v>42.765029281277656</v>
      </c>
      <c r="L4989" s="13">
        <v>2.2200000000000002</v>
      </c>
      <c r="M4989" s="13"/>
      <c r="N4989" s="17">
        <f t="shared" si="165"/>
        <v>1465.2</v>
      </c>
      <c r="O4989" s="17">
        <f t="shared" si="165"/>
        <v>0</v>
      </c>
      <c r="P4989" s="17">
        <f t="shared" si="164"/>
        <v>1465.2</v>
      </c>
      <c r="Q4989" t="str">
        <f>A4989&amp;"-"&amp;B4989&amp;"-"&amp;D4989</f>
        <v>OKTOBER-MJ2-L10</v>
      </c>
    </row>
    <row r="4990" spans="1:17" x14ac:dyDescent="0.25">
      <c r="A4990" t="s">
        <v>400</v>
      </c>
      <c r="B4990" s="13" t="s">
        <v>26</v>
      </c>
      <c r="C4990" s="13" t="s">
        <v>226</v>
      </c>
      <c r="D4990" s="14" t="s">
        <v>287</v>
      </c>
      <c r="E4990" s="13" t="s">
        <v>61</v>
      </c>
      <c r="F4990" s="13" t="s">
        <v>1757</v>
      </c>
      <c r="G4990" s="13">
        <v>0.68</v>
      </c>
      <c r="H4990" s="15">
        <v>2123</v>
      </c>
      <c r="I4990" s="16">
        <v>1443.6399999999999</v>
      </c>
      <c r="J4990" s="16">
        <v>1775.5359574468084</v>
      </c>
      <c r="K4990" s="16">
        <v>-331.89595744680844</v>
      </c>
      <c r="L4990" s="13">
        <v>1.69</v>
      </c>
      <c r="M4990" s="13"/>
      <c r="N4990" s="17">
        <f t="shared" si="165"/>
        <v>3587.87</v>
      </c>
      <c r="O4990" s="17">
        <f t="shared" si="165"/>
        <v>0</v>
      </c>
      <c r="P4990" s="17">
        <f t="shared" si="164"/>
        <v>3587.87</v>
      </c>
      <c r="Q4990" t="str">
        <f>A4990&amp;"-"&amp;B4990&amp;"-"&amp;D4990</f>
        <v>OKTOBER-MJ2-L11</v>
      </c>
    </row>
    <row r="4991" spans="1:17" x14ac:dyDescent="0.25">
      <c r="A4991" t="s">
        <v>400</v>
      </c>
      <c r="B4991" s="13" t="s">
        <v>26</v>
      </c>
      <c r="C4991" s="13" t="s">
        <v>226</v>
      </c>
      <c r="D4991" s="14" t="s">
        <v>287</v>
      </c>
      <c r="E4991" s="13" t="s">
        <v>61</v>
      </c>
      <c r="F4991" s="13" t="s">
        <v>1758</v>
      </c>
      <c r="G4991" s="13">
        <v>0.68</v>
      </c>
      <c r="H4991" s="15">
        <v>1538</v>
      </c>
      <c r="I4991" s="16">
        <v>1045.8399999999999</v>
      </c>
      <c r="J4991" s="16">
        <v>960.6191596638655</v>
      </c>
      <c r="K4991" s="16">
        <v>85.220840336134458</v>
      </c>
      <c r="L4991" s="13">
        <v>1.69</v>
      </c>
      <c r="M4991" s="13"/>
      <c r="N4991" s="17">
        <f t="shared" si="165"/>
        <v>2599.2199999999998</v>
      </c>
      <c r="O4991" s="17">
        <f t="shared" si="165"/>
        <v>0</v>
      </c>
      <c r="P4991" s="17">
        <f t="shared" si="164"/>
        <v>2599.2199999999998</v>
      </c>
      <c r="Q4991" t="str">
        <f>A4991&amp;"-"&amp;B4991&amp;"-"&amp;D4991</f>
        <v>OKTOBER-MJ2-L11</v>
      </c>
    </row>
    <row r="4992" spans="1:17" x14ac:dyDescent="0.25">
      <c r="A4992" t="s">
        <v>400</v>
      </c>
      <c r="B4992" s="13" t="s">
        <v>26</v>
      </c>
      <c r="C4992" s="13" t="s">
        <v>226</v>
      </c>
      <c r="D4992" s="14" t="s">
        <v>287</v>
      </c>
      <c r="E4992" s="13" t="s">
        <v>61</v>
      </c>
      <c r="F4992" s="13" t="s">
        <v>1752</v>
      </c>
      <c r="G4992" s="13">
        <v>0.68</v>
      </c>
      <c r="H4992" s="15">
        <v>455</v>
      </c>
      <c r="I4992" s="16">
        <v>309.40000000000003</v>
      </c>
      <c r="J4992" s="16">
        <v>476.4</v>
      </c>
      <c r="K4992" s="16">
        <v>-166.99999999999994</v>
      </c>
      <c r="L4992" s="13">
        <v>1.61</v>
      </c>
      <c r="M4992" s="13"/>
      <c r="N4992" s="17">
        <f t="shared" si="165"/>
        <v>732.55000000000007</v>
      </c>
      <c r="O4992" s="17">
        <f t="shared" si="165"/>
        <v>0</v>
      </c>
      <c r="P4992" s="17">
        <f t="shared" si="164"/>
        <v>732.55000000000007</v>
      </c>
      <c r="Q4992" t="str">
        <f>A4992&amp;"-"&amp;B4992&amp;"-"&amp;D4992</f>
        <v>OKTOBER-MJ2-L11</v>
      </c>
    </row>
    <row r="4993" spans="1:17" x14ac:dyDescent="0.25">
      <c r="A4993" t="s">
        <v>400</v>
      </c>
      <c r="B4993" s="13" t="s">
        <v>26</v>
      </c>
      <c r="C4993" s="13" t="s">
        <v>226</v>
      </c>
      <c r="D4993" s="14" t="s">
        <v>287</v>
      </c>
      <c r="E4993" s="13" t="s">
        <v>61</v>
      </c>
      <c r="F4993" s="13" t="s">
        <v>1571</v>
      </c>
      <c r="G4993" s="13">
        <v>0.7</v>
      </c>
      <c r="H4993" s="15">
        <v>50</v>
      </c>
      <c r="I4993" s="16">
        <v>35</v>
      </c>
      <c r="J4993" s="16">
        <v>37.263157894736842</v>
      </c>
      <c r="K4993" s="16">
        <v>-2.2631578947368425</v>
      </c>
      <c r="L4993" s="13">
        <v>1.3</v>
      </c>
      <c r="M4993" s="13"/>
      <c r="N4993" s="17">
        <f t="shared" si="165"/>
        <v>65</v>
      </c>
      <c r="O4993" s="17">
        <f t="shared" si="165"/>
        <v>0</v>
      </c>
      <c r="P4993" s="17">
        <f t="shared" si="164"/>
        <v>65</v>
      </c>
      <c r="Q4993" t="str">
        <f>A4993&amp;"-"&amp;B4993&amp;"-"&amp;D4993</f>
        <v>OKTOBER-MJ2-L11</v>
      </c>
    </row>
    <row r="4994" spans="1:17" x14ac:dyDescent="0.25">
      <c r="A4994" t="s">
        <v>400</v>
      </c>
      <c r="B4994" s="13" t="s">
        <v>26</v>
      </c>
      <c r="C4994" s="13" t="s">
        <v>226</v>
      </c>
      <c r="D4994" s="14" t="s">
        <v>287</v>
      </c>
      <c r="E4994" s="13" t="s">
        <v>61</v>
      </c>
      <c r="F4994" s="13" t="s">
        <v>1759</v>
      </c>
      <c r="G4994" s="13">
        <v>0.68</v>
      </c>
      <c r="H4994" s="15">
        <v>426</v>
      </c>
      <c r="I4994" s="16">
        <v>289.68</v>
      </c>
      <c r="J4994" s="16">
        <v>313.13205351597202</v>
      </c>
      <c r="K4994" s="16">
        <v>-23.45205351597204</v>
      </c>
      <c r="L4994" s="13">
        <v>1.7</v>
      </c>
      <c r="M4994" s="13"/>
      <c r="N4994" s="17">
        <f t="shared" si="165"/>
        <v>724.19999999999993</v>
      </c>
      <c r="O4994" s="17">
        <f t="shared" si="165"/>
        <v>0</v>
      </c>
      <c r="P4994" s="17">
        <f t="shared" ref="P4994:P5057" si="166">N4994+O4994</f>
        <v>724.19999999999993</v>
      </c>
      <c r="Q4994" t="str">
        <f>A4994&amp;"-"&amp;B4994&amp;"-"&amp;D4994</f>
        <v>OKTOBER-MJ2-L11</v>
      </c>
    </row>
    <row r="4995" spans="1:17" x14ac:dyDescent="0.25">
      <c r="A4995" t="s">
        <v>400</v>
      </c>
      <c r="B4995" s="13" t="s">
        <v>26</v>
      </c>
      <c r="C4995" s="13" t="s">
        <v>226</v>
      </c>
      <c r="D4995" s="14" t="s">
        <v>287</v>
      </c>
      <c r="E4995" s="13" t="s">
        <v>61</v>
      </c>
      <c r="F4995" s="13" t="s">
        <v>1760</v>
      </c>
      <c r="G4995" s="13">
        <v>0.68</v>
      </c>
      <c r="H4995" s="15">
        <v>935</v>
      </c>
      <c r="I4995" s="16">
        <v>635.80000000000007</v>
      </c>
      <c r="J4995" s="16">
        <v>668.04830769230773</v>
      </c>
      <c r="K4995" s="16">
        <v>-32.248307692307655</v>
      </c>
      <c r="L4995" s="13">
        <v>1.7</v>
      </c>
      <c r="M4995" s="13"/>
      <c r="N4995" s="17">
        <f t="shared" si="165"/>
        <v>1589.5</v>
      </c>
      <c r="O4995" s="17">
        <f t="shared" si="165"/>
        <v>0</v>
      </c>
      <c r="P4995" s="17">
        <f t="shared" si="166"/>
        <v>1589.5</v>
      </c>
      <c r="Q4995" t="str">
        <f>A4995&amp;"-"&amp;B4995&amp;"-"&amp;D4995</f>
        <v>OKTOBER-MJ2-L11</v>
      </c>
    </row>
    <row r="4996" spans="1:17" x14ac:dyDescent="0.25">
      <c r="A4996" t="s">
        <v>400</v>
      </c>
      <c r="B4996" s="13" t="s">
        <v>26</v>
      </c>
      <c r="C4996" s="13" t="s">
        <v>226</v>
      </c>
      <c r="D4996" s="14" t="s">
        <v>287</v>
      </c>
      <c r="E4996" s="13" t="s">
        <v>61</v>
      </c>
      <c r="F4996" s="13" t="s">
        <v>1761</v>
      </c>
      <c r="G4996" s="13">
        <v>0.65</v>
      </c>
      <c r="H4996" s="15">
        <v>125</v>
      </c>
      <c r="I4996" s="16">
        <v>81.25</v>
      </c>
      <c r="J4996" s="16">
        <v>88.5</v>
      </c>
      <c r="K4996" s="16">
        <v>-7.25</v>
      </c>
      <c r="L4996" s="13">
        <v>1.82</v>
      </c>
      <c r="M4996" s="13"/>
      <c r="N4996" s="17">
        <f t="shared" si="165"/>
        <v>227.5</v>
      </c>
      <c r="O4996" s="17">
        <f t="shared" si="165"/>
        <v>0</v>
      </c>
      <c r="P4996" s="17">
        <f t="shared" si="166"/>
        <v>227.5</v>
      </c>
      <c r="Q4996" t="str">
        <f>A4996&amp;"-"&amp;B4996&amp;"-"&amp;D4996</f>
        <v>OKTOBER-MJ2-L11</v>
      </c>
    </row>
    <row r="4997" spans="1:17" x14ac:dyDescent="0.25">
      <c r="A4997" t="s">
        <v>400</v>
      </c>
      <c r="B4997" s="13" t="s">
        <v>26</v>
      </c>
      <c r="C4997" s="13" t="s">
        <v>226</v>
      </c>
      <c r="D4997" s="14" t="s">
        <v>287</v>
      </c>
      <c r="E4997" s="13" t="s">
        <v>61</v>
      </c>
      <c r="F4997" s="13" t="s">
        <v>1762</v>
      </c>
      <c r="G4997" s="13">
        <v>0.79</v>
      </c>
      <c r="H4997" s="15">
        <v>4044</v>
      </c>
      <c r="I4997" s="16">
        <v>3194.76</v>
      </c>
      <c r="J4997" s="16">
        <v>2698.113628953839</v>
      </c>
      <c r="K4997" s="16">
        <v>496.64637104616082</v>
      </c>
      <c r="L4997" s="13">
        <v>2</v>
      </c>
      <c r="M4997" s="13"/>
      <c r="N4997" s="17">
        <f t="shared" si="165"/>
        <v>8088</v>
      </c>
      <c r="O4997" s="17">
        <f t="shared" si="165"/>
        <v>0</v>
      </c>
      <c r="P4997" s="17">
        <f t="shared" si="166"/>
        <v>8088</v>
      </c>
      <c r="Q4997" t="str">
        <f>A4997&amp;"-"&amp;B4997&amp;"-"&amp;D4997</f>
        <v>OKTOBER-MJ2-L11</v>
      </c>
    </row>
    <row r="4998" spans="1:17" x14ac:dyDescent="0.25">
      <c r="A4998" t="s">
        <v>400</v>
      </c>
      <c r="B4998" s="13" t="s">
        <v>26</v>
      </c>
      <c r="C4998" s="13" t="s">
        <v>226</v>
      </c>
      <c r="D4998" s="14" t="s">
        <v>287</v>
      </c>
      <c r="E4998" s="13" t="s">
        <v>61</v>
      </c>
      <c r="F4998" s="13" t="s">
        <v>1763</v>
      </c>
      <c r="G4998" s="13">
        <v>0.79</v>
      </c>
      <c r="H4998" s="15">
        <v>3996</v>
      </c>
      <c r="I4998" s="16">
        <v>3156.84</v>
      </c>
      <c r="J4998" s="16">
        <v>2842.744740983771</v>
      </c>
      <c r="K4998" s="16">
        <v>314.09525901622948</v>
      </c>
      <c r="L4998" s="13">
        <v>2</v>
      </c>
      <c r="M4998" s="13"/>
      <c r="N4998" s="17">
        <f t="shared" si="165"/>
        <v>7992</v>
      </c>
      <c r="O4998" s="17">
        <f t="shared" si="165"/>
        <v>0</v>
      </c>
      <c r="P4998" s="17">
        <f t="shared" si="166"/>
        <v>7992</v>
      </c>
      <c r="Q4998" t="str">
        <f>A4998&amp;"-"&amp;B4998&amp;"-"&amp;D4998</f>
        <v>OKTOBER-MJ2-L11</v>
      </c>
    </row>
    <row r="4999" spans="1:17" x14ac:dyDescent="0.25">
      <c r="A4999" t="s">
        <v>400</v>
      </c>
      <c r="B4999" s="13" t="s">
        <v>26</v>
      </c>
      <c r="C4999" s="13" t="s">
        <v>226</v>
      </c>
      <c r="D4999" s="14" t="s">
        <v>287</v>
      </c>
      <c r="E4999" s="13" t="s">
        <v>61</v>
      </c>
      <c r="F4999" s="13" t="s">
        <v>1764</v>
      </c>
      <c r="G4999" s="13">
        <v>0.77</v>
      </c>
      <c r="H4999" s="15">
        <v>1312</v>
      </c>
      <c r="I4999" s="16">
        <v>1010.24</v>
      </c>
      <c r="J4999" s="16">
        <v>876.29393406593408</v>
      </c>
      <c r="K4999" s="16">
        <v>133.94606593406593</v>
      </c>
      <c r="L4999" s="13">
        <v>2.15</v>
      </c>
      <c r="M4999" s="13"/>
      <c r="N4999" s="17">
        <f t="shared" si="165"/>
        <v>2820.7999999999997</v>
      </c>
      <c r="O4999" s="17">
        <f t="shared" si="165"/>
        <v>0</v>
      </c>
      <c r="P4999" s="17">
        <f t="shared" si="166"/>
        <v>2820.7999999999997</v>
      </c>
      <c r="Q4999" t="str">
        <f>A4999&amp;"-"&amp;B4999&amp;"-"&amp;D4999</f>
        <v>OKTOBER-MJ2-L11</v>
      </c>
    </row>
    <row r="5000" spans="1:17" x14ac:dyDescent="0.25">
      <c r="A5000" t="s">
        <v>400</v>
      </c>
      <c r="B5000" s="13" t="s">
        <v>26</v>
      </c>
      <c r="C5000" s="13" t="s">
        <v>226</v>
      </c>
      <c r="D5000" s="14" t="s">
        <v>287</v>
      </c>
      <c r="E5000" s="13" t="s">
        <v>61</v>
      </c>
      <c r="F5000" s="13" t="s">
        <v>1765</v>
      </c>
      <c r="G5000" s="13">
        <v>0.77000000000000013</v>
      </c>
      <c r="H5000" s="15">
        <v>887</v>
      </c>
      <c r="I5000" s="16">
        <v>682.9899999999999</v>
      </c>
      <c r="J5000" s="16">
        <v>674.0357761144063</v>
      </c>
      <c r="K5000" s="16">
        <v>8.9542238855936418</v>
      </c>
      <c r="L5000" s="13">
        <v>2.15</v>
      </c>
      <c r="M5000" s="13"/>
      <c r="N5000" s="17">
        <f t="shared" si="165"/>
        <v>1907.05</v>
      </c>
      <c r="O5000" s="17">
        <f t="shared" si="165"/>
        <v>0</v>
      </c>
      <c r="P5000" s="17">
        <f t="shared" si="166"/>
        <v>1907.05</v>
      </c>
      <c r="Q5000" t="str">
        <f>A5000&amp;"-"&amp;B5000&amp;"-"&amp;D5000</f>
        <v>OKTOBER-MJ2-L11</v>
      </c>
    </row>
    <row r="5001" spans="1:17" x14ac:dyDescent="0.25">
      <c r="A5001" t="s">
        <v>400</v>
      </c>
      <c r="B5001" s="13" t="s">
        <v>26</v>
      </c>
      <c r="C5001" s="13" t="s">
        <v>226</v>
      </c>
      <c r="D5001" s="14" t="s">
        <v>287</v>
      </c>
      <c r="E5001" s="13" t="s">
        <v>61</v>
      </c>
      <c r="F5001" s="13" t="s">
        <v>1766</v>
      </c>
      <c r="G5001" s="13">
        <v>0.79999999999999993</v>
      </c>
      <c r="H5001" s="15">
        <v>2913</v>
      </c>
      <c r="I5001" s="16">
        <v>2330.3999999999996</v>
      </c>
      <c r="J5001" s="16">
        <v>2039.7467555847184</v>
      </c>
      <c r="K5001" s="16">
        <v>290.65324441528134</v>
      </c>
      <c r="L5001" s="13">
        <v>2.0699999999999998</v>
      </c>
      <c r="M5001" s="13"/>
      <c r="N5001" s="17">
        <f t="shared" si="165"/>
        <v>6029.91</v>
      </c>
      <c r="O5001" s="17">
        <f t="shared" si="165"/>
        <v>0</v>
      </c>
      <c r="P5001" s="17">
        <f t="shared" si="166"/>
        <v>6029.91</v>
      </c>
      <c r="Q5001" t="str">
        <f>A5001&amp;"-"&amp;B5001&amp;"-"&amp;D5001</f>
        <v>OKTOBER-MJ2-L11</v>
      </c>
    </row>
    <row r="5002" spans="1:17" x14ac:dyDescent="0.25">
      <c r="A5002" t="s">
        <v>400</v>
      </c>
      <c r="B5002" s="13" t="s">
        <v>26</v>
      </c>
      <c r="C5002" s="13" t="s">
        <v>226</v>
      </c>
      <c r="D5002" s="14" t="s">
        <v>287</v>
      </c>
      <c r="E5002" s="13" t="s">
        <v>61</v>
      </c>
      <c r="F5002" s="13" t="s">
        <v>1767</v>
      </c>
      <c r="G5002" s="13">
        <v>0.77999999999999992</v>
      </c>
      <c r="H5002" s="15">
        <v>852</v>
      </c>
      <c r="I5002" s="16">
        <v>664.56</v>
      </c>
      <c r="J5002" s="16">
        <v>605.51605851063835</v>
      </c>
      <c r="K5002" s="16">
        <v>59.0439414893617</v>
      </c>
      <c r="L5002" s="13">
        <v>2.2200000000000002</v>
      </c>
      <c r="M5002" s="13"/>
      <c r="N5002" s="17">
        <f t="shared" si="165"/>
        <v>1891.44</v>
      </c>
      <c r="O5002" s="17">
        <f t="shared" si="165"/>
        <v>0</v>
      </c>
      <c r="P5002" s="17">
        <f t="shared" si="166"/>
        <v>1891.44</v>
      </c>
      <c r="Q5002" t="str">
        <f>A5002&amp;"-"&amp;B5002&amp;"-"&amp;D5002</f>
        <v>OKTOBER-MJ2-L11</v>
      </c>
    </row>
    <row r="5003" spans="1:17" x14ac:dyDescent="0.25">
      <c r="A5003" t="s">
        <v>400</v>
      </c>
      <c r="B5003" s="13" t="s">
        <v>26</v>
      </c>
      <c r="C5003" s="13" t="s">
        <v>226</v>
      </c>
      <c r="D5003" s="14" t="s">
        <v>287</v>
      </c>
      <c r="E5003" s="13" t="s">
        <v>61</v>
      </c>
      <c r="F5003" s="13" t="s">
        <v>1768</v>
      </c>
      <c r="G5003" s="13">
        <v>0.81</v>
      </c>
      <c r="H5003" s="15">
        <v>322</v>
      </c>
      <c r="I5003" s="16">
        <v>260.82</v>
      </c>
      <c r="J5003" s="16">
        <v>526.81341422486128</v>
      </c>
      <c r="K5003" s="16">
        <v>-265.99341422486123</v>
      </c>
      <c r="L5003" s="13">
        <v>2.21</v>
      </c>
      <c r="M5003" s="13"/>
      <c r="N5003" s="17">
        <f t="shared" si="165"/>
        <v>711.62</v>
      </c>
      <c r="O5003" s="17">
        <f t="shared" si="165"/>
        <v>0</v>
      </c>
      <c r="P5003" s="17">
        <f t="shared" si="166"/>
        <v>711.62</v>
      </c>
      <c r="Q5003" t="str">
        <f>A5003&amp;"-"&amp;B5003&amp;"-"&amp;D5003</f>
        <v>OKTOBER-MJ2-L11</v>
      </c>
    </row>
    <row r="5004" spans="1:17" x14ac:dyDescent="0.25">
      <c r="A5004" t="s">
        <v>400</v>
      </c>
      <c r="B5004" s="13" t="s">
        <v>26</v>
      </c>
      <c r="C5004" s="13" t="s">
        <v>226</v>
      </c>
      <c r="D5004" s="14" t="s">
        <v>287</v>
      </c>
      <c r="E5004" s="13" t="s">
        <v>61</v>
      </c>
      <c r="F5004" s="13" t="s">
        <v>1769</v>
      </c>
      <c r="G5004" s="13">
        <v>0.81</v>
      </c>
      <c r="H5004" s="15">
        <v>30</v>
      </c>
      <c r="I5004" s="16">
        <v>24.3</v>
      </c>
      <c r="J5004" s="16">
        <v>19.146634615384613</v>
      </c>
      <c r="K5004" s="16">
        <v>5.1533653846153875</v>
      </c>
      <c r="L5004" s="13">
        <v>2.21</v>
      </c>
      <c r="M5004" s="13"/>
      <c r="N5004" s="17">
        <f t="shared" si="165"/>
        <v>66.3</v>
      </c>
      <c r="O5004" s="17">
        <f t="shared" si="165"/>
        <v>0</v>
      </c>
      <c r="P5004" s="17">
        <f t="shared" si="166"/>
        <v>66.3</v>
      </c>
      <c r="Q5004" t="str">
        <f>A5004&amp;"-"&amp;B5004&amp;"-"&amp;D5004</f>
        <v>OKTOBER-MJ2-L11</v>
      </c>
    </row>
    <row r="5005" spans="1:17" x14ac:dyDescent="0.25">
      <c r="A5005" t="s">
        <v>400</v>
      </c>
      <c r="B5005" s="13" t="s">
        <v>26</v>
      </c>
      <c r="C5005" s="13" t="s">
        <v>226</v>
      </c>
      <c r="D5005" s="14" t="s">
        <v>287</v>
      </c>
      <c r="E5005" s="13" t="s">
        <v>61</v>
      </c>
      <c r="F5005" s="13" t="s">
        <v>1575</v>
      </c>
      <c r="G5005" s="13">
        <v>0.81</v>
      </c>
      <c r="H5005" s="15">
        <v>10</v>
      </c>
      <c r="I5005" s="16">
        <v>8.1</v>
      </c>
      <c r="J5005" s="16">
        <v>7.08</v>
      </c>
      <c r="K5005" s="16">
        <v>1.0199999999999996</v>
      </c>
      <c r="L5005" s="13">
        <v>2.21</v>
      </c>
      <c r="M5005" s="13"/>
      <c r="N5005" s="17">
        <f t="shared" si="165"/>
        <v>22.1</v>
      </c>
      <c r="O5005" s="17">
        <f t="shared" si="165"/>
        <v>0</v>
      </c>
      <c r="P5005" s="17">
        <f t="shared" si="166"/>
        <v>22.1</v>
      </c>
      <c r="Q5005" t="str">
        <f>A5005&amp;"-"&amp;B5005&amp;"-"&amp;D5005</f>
        <v>OKTOBER-MJ2-L11</v>
      </c>
    </row>
    <row r="5006" spans="1:17" x14ac:dyDescent="0.25">
      <c r="A5006" t="s">
        <v>400</v>
      </c>
      <c r="B5006" s="13" t="s">
        <v>26</v>
      </c>
      <c r="C5006" s="13" t="s">
        <v>226</v>
      </c>
      <c r="D5006" s="14" t="s">
        <v>287</v>
      </c>
      <c r="E5006" s="13" t="s">
        <v>61</v>
      </c>
      <c r="F5006" s="13" t="s">
        <v>1576</v>
      </c>
      <c r="G5006" s="13">
        <v>0.79999999999999993</v>
      </c>
      <c r="H5006" s="15">
        <v>1835</v>
      </c>
      <c r="I5006" s="16">
        <v>1468</v>
      </c>
      <c r="J5006" s="16">
        <v>1201.4746506038018</v>
      </c>
      <c r="K5006" s="16">
        <v>266.52534939619801</v>
      </c>
      <c r="L5006" s="13">
        <v>2.0699999999999998</v>
      </c>
      <c r="M5006" s="13"/>
      <c r="N5006" s="17">
        <f t="shared" si="165"/>
        <v>3798.45</v>
      </c>
      <c r="O5006" s="17">
        <f t="shared" si="165"/>
        <v>0</v>
      </c>
      <c r="P5006" s="17">
        <f t="shared" si="166"/>
        <v>3798.45</v>
      </c>
      <c r="Q5006" t="str">
        <f>A5006&amp;"-"&amp;B5006&amp;"-"&amp;D5006</f>
        <v>OKTOBER-MJ2-L11</v>
      </c>
    </row>
    <row r="5007" spans="1:17" x14ac:dyDescent="0.25">
      <c r="A5007" t="s">
        <v>400</v>
      </c>
      <c r="B5007" s="13" t="s">
        <v>26</v>
      </c>
      <c r="C5007" s="13" t="s">
        <v>226</v>
      </c>
      <c r="D5007" s="14" t="s">
        <v>287</v>
      </c>
      <c r="E5007" s="13" t="s">
        <v>61</v>
      </c>
      <c r="F5007" s="13" t="s">
        <v>1770</v>
      </c>
      <c r="G5007" s="13">
        <v>0.78000000000000014</v>
      </c>
      <c r="H5007" s="15">
        <v>484</v>
      </c>
      <c r="I5007" s="16">
        <v>377.51999999999992</v>
      </c>
      <c r="J5007" s="16">
        <v>360.26208843705547</v>
      </c>
      <c r="K5007" s="16">
        <v>17.257911562944461</v>
      </c>
      <c r="L5007" s="13">
        <v>2.2200000000000002</v>
      </c>
      <c r="M5007" s="13"/>
      <c r="N5007" s="17">
        <f t="shared" si="165"/>
        <v>1074.48</v>
      </c>
      <c r="O5007" s="17">
        <f t="shared" si="165"/>
        <v>0</v>
      </c>
      <c r="P5007" s="17">
        <f t="shared" si="166"/>
        <v>1074.48</v>
      </c>
      <c r="Q5007" t="str">
        <f>A5007&amp;"-"&amp;B5007&amp;"-"&amp;D5007</f>
        <v>OKTOBER-MJ2-L11</v>
      </c>
    </row>
    <row r="5008" spans="1:17" x14ac:dyDescent="0.25">
      <c r="A5008" t="s">
        <v>400</v>
      </c>
      <c r="B5008" s="13" t="s">
        <v>26</v>
      </c>
      <c r="C5008" s="13" t="s">
        <v>226</v>
      </c>
      <c r="D5008" s="14" t="s">
        <v>287</v>
      </c>
      <c r="E5008" s="13" t="s">
        <v>61</v>
      </c>
      <c r="F5008" s="13" t="s">
        <v>1771</v>
      </c>
      <c r="G5008" s="13">
        <v>0.79</v>
      </c>
      <c r="H5008" s="15">
        <v>3660</v>
      </c>
      <c r="I5008" s="16">
        <v>2891.3999999999996</v>
      </c>
      <c r="J5008" s="16">
        <v>2584.4489514664438</v>
      </c>
      <c r="K5008" s="16">
        <v>306.95104853355593</v>
      </c>
      <c r="L5008" s="13">
        <v>2</v>
      </c>
      <c r="M5008" s="13"/>
      <c r="N5008" s="17">
        <f t="shared" si="165"/>
        <v>7320</v>
      </c>
      <c r="O5008" s="17">
        <f t="shared" si="165"/>
        <v>0</v>
      </c>
      <c r="P5008" s="17">
        <f t="shared" si="166"/>
        <v>7320</v>
      </c>
      <c r="Q5008" t="str">
        <f>A5008&amp;"-"&amp;B5008&amp;"-"&amp;D5008</f>
        <v>OKTOBER-MJ2-L11</v>
      </c>
    </row>
    <row r="5009" spans="1:17" x14ac:dyDescent="0.25">
      <c r="A5009" t="s">
        <v>400</v>
      </c>
      <c r="B5009" s="13" t="s">
        <v>26</v>
      </c>
      <c r="C5009" s="13" t="s">
        <v>226</v>
      </c>
      <c r="D5009" s="14" t="s">
        <v>287</v>
      </c>
      <c r="E5009" s="13" t="s">
        <v>61</v>
      </c>
      <c r="F5009" s="13" t="s">
        <v>1772</v>
      </c>
      <c r="G5009" s="13">
        <v>0.77</v>
      </c>
      <c r="H5009" s="15">
        <v>1327</v>
      </c>
      <c r="I5009" s="16">
        <v>1021.79</v>
      </c>
      <c r="J5009" s="16">
        <v>854.40547333263748</v>
      </c>
      <c r="K5009" s="16">
        <v>167.38452666736242</v>
      </c>
      <c r="L5009" s="13">
        <v>2.15</v>
      </c>
      <c r="M5009" s="13"/>
      <c r="N5009" s="17">
        <f t="shared" si="165"/>
        <v>2853.0499999999997</v>
      </c>
      <c r="O5009" s="17">
        <f t="shared" si="165"/>
        <v>0</v>
      </c>
      <c r="P5009" s="17">
        <f t="shared" si="166"/>
        <v>2853.0499999999997</v>
      </c>
      <c r="Q5009" t="str">
        <f>A5009&amp;"-"&amp;B5009&amp;"-"&amp;D5009</f>
        <v>OKTOBER-MJ2-L11</v>
      </c>
    </row>
    <row r="5010" spans="1:17" x14ac:dyDescent="0.25">
      <c r="A5010" t="s">
        <v>400</v>
      </c>
      <c r="B5010" s="13" t="s">
        <v>26</v>
      </c>
      <c r="C5010" s="13" t="s">
        <v>226</v>
      </c>
      <c r="D5010" s="14" t="s">
        <v>287</v>
      </c>
      <c r="E5010" s="13" t="s">
        <v>61</v>
      </c>
      <c r="F5010" s="13" t="s">
        <v>1773</v>
      </c>
      <c r="G5010" s="13">
        <v>0.80000000000000016</v>
      </c>
      <c r="H5010" s="15">
        <v>1808</v>
      </c>
      <c r="I5010" s="16">
        <v>1446.4</v>
      </c>
      <c r="J5010" s="16">
        <v>1264.1838805970149</v>
      </c>
      <c r="K5010" s="16">
        <v>182.21611940298502</v>
      </c>
      <c r="L5010" s="13">
        <v>2.0699999999999998</v>
      </c>
      <c r="M5010" s="13"/>
      <c r="N5010" s="17">
        <f t="shared" si="165"/>
        <v>3742.5599999999995</v>
      </c>
      <c r="O5010" s="17">
        <f t="shared" si="165"/>
        <v>0</v>
      </c>
      <c r="P5010" s="17">
        <f t="shared" si="166"/>
        <v>3742.5599999999995</v>
      </c>
      <c r="Q5010" t="str">
        <f>A5010&amp;"-"&amp;B5010&amp;"-"&amp;D5010</f>
        <v>OKTOBER-MJ2-L11</v>
      </c>
    </row>
    <row r="5011" spans="1:17" x14ac:dyDescent="0.25">
      <c r="A5011" t="s">
        <v>400</v>
      </c>
      <c r="B5011" s="13" t="s">
        <v>26</v>
      </c>
      <c r="C5011" s="13" t="s">
        <v>226</v>
      </c>
      <c r="D5011" s="14" t="s">
        <v>287</v>
      </c>
      <c r="E5011" s="13" t="s">
        <v>61</v>
      </c>
      <c r="F5011" s="13" t="s">
        <v>1774</v>
      </c>
      <c r="G5011" s="13">
        <v>0.79999999999999993</v>
      </c>
      <c r="H5011" s="15">
        <v>2115</v>
      </c>
      <c r="I5011" s="16">
        <v>1691.9999999999998</v>
      </c>
      <c r="J5011" s="16">
        <v>1466.6504327422929</v>
      </c>
      <c r="K5011" s="16">
        <v>225.3495672577067</v>
      </c>
      <c r="L5011" s="13">
        <v>2.0699999999999998</v>
      </c>
      <c r="M5011" s="13"/>
      <c r="N5011" s="17">
        <f t="shared" si="165"/>
        <v>4378.0499999999993</v>
      </c>
      <c r="O5011" s="17">
        <f t="shared" si="165"/>
        <v>0</v>
      </c>
      <c r="P5011" s="17">
        <f t="shared" si="166"/>
        <v>4378.0499999999993</v>
      </c>
      <c r="Q5011" t="str">
        <f>A5011&amp;"-"&amp;B5011&amp;"-"&amp;D5011</f>
        <v>OKTOBER-MJ2-L11</v>
      </c>
    </row>
    <row r="5012" spans="1:17" x14ac:dyDescent="0.25">
      <c r="A5012" t="s">
        <v>400</v>
      </c>
      <c r="B5012" s="13" t="s">
        <v>26</v>
      </c>
      <c r="C5012" s="13" t="s">
        <v>226</v>
      </c>
      <c r="D5012" s="14" t="s">
        <v>287</v>
      </c>
      <c r="E5012" s="13" t="s">
        <v>61</v>
      </c>
      <c r="F5012" s="13" t="s">
        <v>1775</v>
      </c>
      <c r="G5012" s="13">
        <v>0.78</v>
      </c>
      <c r="H5012" s="15">
        <v>870</v>
      </c>
      <c r="I5012" s="16">
        <v>678.6</v>
      </c>
      <c r="J5012" s="16">
        <v>551.60597014925372</v>
      </c>
      <c r="K5012" s="16">
        <v>126.9940298507463</v>
      </c>
      <c r="L5012" s="13">
        <v>2.2200000000000002</v>
      </c>
      <c r="M5012" s="13"/>
      <c r="N5012" s="17">
        <f t="shared" si="165"/>
        <v>1931.4</v>
      </c>
      <c r="O5012" s="17">
        <f t="shared" si="165"/>
        <v>0</v>
      </c>
      <c r="P5012" s="17">
        <f t="shared" si="166"/>
        <v>1931.4</v>
      </c>
      <c r="Q5012" t="str">
        <f>A5012&amp;"-"&amp;B5012&amp;"-"&amp;D5012</f>
        <v>OKTOBER-MJ2-L11</v>
      </c>
    </row>
    <row r="5013" spans="1:17" x14ac:dyDescent="0.25">
      <c r="A5013" t="s">
        <v>400</v>
      </c>
      <c r="B5013" s="13" t="s">
        <v>26</v>
      </c>
      <c r="C5013" s="13" t="s">
        <v>226</v>
      </c>
      <c r="D5013" s="14" t="s">
        <v>287</v>
      </c>
      <c r="E5013" s="13" t="s">
        <v>61</v>
      </c>
      <c r="F5013" s="13" t="s">
        <v>1776</v>
      </c>
      <c r="G5013" s="13">
        <v>0.77999999999999992</v>
      </c>
      <c r="H5013" s="15">
        <v>660</v>
      </c>
      <c r="I5013" s="16">
        <v>514.79999999999995</v>
      </c>
      <c r="J5013" s="16">
        <v>471.97897340425533</v>
      </c>
      <c r="K5013" s="16">
        <v>42.821026595744691</v>
      </c>
      <c r="L5013" s="13">
        <v>2.2200000000000002</v>
      </c>
      <c r="M5013" s="13"/>
      <c r="N5013" s="17">
        <f t="shared" si="165"/>
        <v>1465.2</v>
      </c>
      <c r="O5013" s="17">
        <f t="shared" si="165"/>
        <v>0</v>
      </c>
      <c r="P5013" s="17">
        <f t="shared" si="166"/>
        <v>1465.2</v>
      </c>
      <c r="Q5013" t="str">
        <f>A5013&amp;"-"&amp;B5013&amp;"-"&amp;D5013</f>
        <v>OKTOBER-MJ2-L11</v>
      </c>
    </row>
    <row r="5014" spans="1:17" x14ac:dyDescent="0.25">
      <c r="A5014" t="s">
        <v>400</v>
      </c>
      <c r="B5014" s="13" t="s">
        <v>26</v>
      </c>
      <c r="C5014" s="13" t="s">
        <v>226</v>
      </c>
      <c r="D5014" s="14" t="s">
        <v>310</v>
      </c>
      <c r="E5014" s="13" t="s">
        <v>61</v>
      </c>
      <c r="F5014" s="13" t="s">
        <v>1750</v>
      </c>
      <c r="G5014" s="13">
        <v>0.67999999999999994</v>
      </c>
      <c r="H5014" s="15">
        <v>5039</v>
      </c>
      <c r="I5014" s="16">
        <v>3426.52</v>
      </c>
      <c r="J5014" s="16">
        <v>3225.5771173557214</v>
      </c>
      <c r="K5014" s="16">
        <v>200.94288264427917</v>
      </c>
      <c r="L5014" s="13">
        <v>1.69</v>
      </c>
      <c r="M5014" s="13"/>
      <c r="N5014" s="17">
        <f t="shared" si="165"/>
        <v>8515.91</v>
      </c>
      <c r="O5014" s="17">
        <f t="shared" si="165"/>
        <v>0</v>
      </c>
      <c r="P5014" s="17">
        <f t="shared" si="166"/>
        <v>8515.91</v>
      </c>
      <c r="Q5014" t="str">
        <f>A5014&amp;"-"&amp;B5014&amp;"-"&amp;D5014</f>
        <v>OKTOBER-MJ2-L12</v>
      </c>
    </row>
    <row r="5015" spans="1:17" x14ac:dyDescent="0.25">
      <c r="A5015" t="s">
        <v>400</v>
      </c>
      <c r="B5015" s="13" t="s">
        <v>26</v>
      </c>
      <c r="C5015" s="13" t="s">
        <v>226</v>
      </c>
      <c r="D5015" s="14" t="s">
        <v>310</v>
      </c>
      <c r="E5015" s="13" t="s">
        <v>61</v>
      </c>
      <c r="F5015" s="13" t="s">
        <v>1751</v>
      </c>
      <c r="G5015" s="13">
        <v>0.65</v>
      </c>
      <c r="H5015" s="15">
        <v>957</v>
      </c>
      <c r="I5015" s="16">
        <v>622.04999999999995</v>
      </c>
      <c r="J5015" s="16">
        <v>669.354184618928</v>
      </c>
      <c r="K5015" s="16">
        <v>-47.304184618928105</v>
      </c>
      <c r="L5015" s="13">
        <v>1.81</v>
      </c>
      <c r="M5015" s="13"/>
      <c r="N5015" s="17">
        <f t="shared" si="165"/>
        <v>1732.17</v>
      </c>
      <c r="O5015" s="17">
        <f t="shared" si="165"/>
        <v>0</v>
      </c>
      <c r="P5015" s="17">
        <f t="shared" si="166"/>
        <v>1732.17</v>
      </c>
      <c r="Q5015" t="str">
        <f>A5015&amp;"-"&amp;B5015&amp;"-"&amp;D5015</f>
        <v>OKTOBER-MJ2-L12</v>
      </c>
    </row>
    <row r="5016" spans="1:17" x14ac:dyDescent="0.25">
      <c r="A5016" t="s">
        <v>400</v>
      </c>
      <c r="B5016" s="13" t="s">
        <v>26</v>
      </c>
      <c r="C5016" s="13" t="s">
        <v>226</v>
      </c>
      <c r="D5016" s="14" t="s">
        <v>310</v>
      </c>
      <c r="E5016" s="13" t="s">
        <v>61</v>
      </c>
      <c r="F5016" s="13" t="s">
        <v>1760</v>
      </c>
      <c r="G5016" s="13">
        <v>0.67999999999999994</v>
      </c>
      <c r="H5016" s="15">
        <v>2017</v>
      </c>
      <c r="I5016" s="16">
        <v>1371.56</v>
      </c>
      <c r="J5016" s="16">
        <v>1406.2435400581664</v>
      </c>
      <c r="K5016" s="16">
        <v>-34.6835400581665</v>
      </c>
      <c r="L5016" s="13">
        <v>1.7</v>
      </c>
      <c r="M5016" s="13"/>
      <c r="N5016" s="17">
        <f t="shared" si="165"/>
        <v>3428.9</v>
      </c>
      <c r="O5016" s="17">
        <f t="shared" si="165"/>
        <v>0</v>
      </c>
      <c r="P5016" s="17">
        <f t="shared" si="166"/>
        <v>3428.9</v>
      </c>
      <c r="Q5016" t="str">
        <f>A5016&amp;"-"&amp;B5016&amp;"-"&amp;D5016</f>
        <v>OKTOBER-MJ2-L12</v>
      </c>
    </row>
    <row r="5017" spans="1:17" x14ac:dyDescent="0.25">
      <c r="A5017" t="s">
        <v>400</v>
      </c>
      <c r="B5017" s="13" t="s">
        <v>26</v>
      </c>
      <c r="C5017" s="13" t="s">
        <v>226</v>
      </c>
      <c r="D5017" s="14" t="s">
        <v>310</v>
      </c>
      <c r="E5017" s="13" t="s">
        <v>61</v>
      </c>
      <c r="F5017" s="13" t="s">
        <v>1761</v>
      </c>
      <c r="G5017" s="13">
        <v>0.65</v>
      </c>
      <c r="H5017" s="15">
        <v>366</v>
      </c>
      <c r="I5017" s="16">
        <v>237.89999999999998</v>
      </c>
      <c r="J5017" s="16">
        <v>254.80592784888691</v>
      </c>
      <c r="K5017" s="16">
        <v>-16.905927848886904</v>
      </c>
      <c r="L5017" s="13">
        <v>1.82</v>
      </c>
      <c r="M5017" s="13"/>
      <c r="N5017" s="17">
        <f t="shared" si="165"/>
        <v>666.12</v>
      </c>
      <c r="O5017" s="17">
        <f t="shared" si="165"/>
        <v>0</v>
      </c>
      <c r="P5017" s="17">
        <f t="shared" si="166"/>
        <v>666.12</v>
      </c>
      <c r="Q5017" t="str">
        <f>A5017&amp;"-"&amp;B5017&amp;"-"&amp;D5017</f>
        <v>OKTOBER-MJ2-L12</v>
      </c>
    </row>
    <row r="5018" spans="1:17" x14ac:dyDescent="0.25">
      <c r="A5018" t="s">
        <v>400</v>
      </c>
      <c r="B5018" s="13" t="s">
        <v>26</v>
      </c>
      <c r="C5018" s="13" t="s">
        <v>226</v>
      </c>
      <c r="D5018" s="14" t="s">
        <v>310</v>
      </c>
      <c r="E5018" s="13" t="s">
        <v>61</v>
      </c>
      <c r="F5018" s="13" t="s">
        <v>1777</v>
      </c>
      <c r="G5018" s="13">
        <v>0.83</v>
      </c>
      <c r="H5018" s="15">
        <v>6924</v>
      </c>
      <c r="I5018" s="16">
        <v>5746.92</v>
      </c>
      <c r="J5018" s="16">
        <v>4438.4990483079064</v>
      </c>
      <c r="K5018" s="16">
        <v>1308.4209516920953</v>
      </c>
      <c r="L5018" s="13">
        <v>2.13</v>
      </c>
      <c r="M5018" s="13"/>
      <c r="N5018" s="17">
        <f t="shared" si="165"/>
        <v>14748.119999999999</v>
      </c>
      <c r="O5018" s="17">
        <f t="shared" si="165"/>
        <v>0</v>
      </c>
      <c r="P5018" s="17">
        <f t="shared" si="166"/>
        <v>14748.119999999999</v>
      </c>
      <c r="Q5018" t="str">
        <f>A5018&amp;"-"&amp;B5018&amp;"-"&amp;D5018</f>
        <v>OKTOBER-MJ2-L12</v>
      </c>
    </row>
    <row r="5019" spans="1:17" x14ac:dyDescent="0.25">
      <c r="A5019" t="s">
        <v>400</v>
      </c>
      <c r="B5019" s="13" t="s">
        <v>26</v>
      </c>
      <c r="C5019" s="13" t="s">
        <v>226</v>
      </c>
      <c r="D5019" s="14" t="s">
        <v>310</v>
      </c>
      <c r="E5019" s="13" t="s">
        <v>61</v>
      </c>
      <c r="F5019" s="13" t="s">
        <v>1778</v>
      </c>
      <c r="G5019" s="13">
        <v>0.78</v>
      </c>
      <c r="H5019" s="15">
        <v>931</v>
      </c>
      <c r="I5019" s="16">
        <v>726.18000000000006</v>
      </c>
      <c r="J5019" s="16">
        <v>590.01368383104</v>
      </c>
      <c r="K5019" s="16">
        <v>136.16631616895992</v>
      </c>
      <c r="L5019" s="13">
        <v>2.29</v>
      </c>
      <c r="M5019" s="13"/>
      <c r="N5019" s="17">
        <f t="shared" si="165"/>
        <v>2131.9900000000002</v>
      </c>
      <c r="O5019" s="17">
        <f t="shared" si="165"/>
        <v>0</v>
      </c>
      <c r="P5019" s="17">
        <f t="shared" si="166"/>
        <v>2131.9900000000002</v>
      </c>
      <c r="Q5019" t="str">
        <f>A5019&amp;"-"&amp;B5019&amp;"-"&amp;D5019</f>
        <v>OKTOBER-MJ2-L12</v>
      </c>
    </row>
    <row r="5020" spans="1:17" x14ac:dyDescent="0.25">
      <c r="A5020" t="s">
        <v>400</v>
      </c>
      <c r="B5020" s="13" t="s">
        <v>26</v>
      </c>
      <c r="C5020" s="13" t="s">
        <v>226</v>
      </c>
      <c r="D5020" s="14" t="s">
        <v>310</v>
      </c>
      <c r="E5020" s="13" t="s">
        <v>61</v>
      </c>
      <c r="F5020" s="13" t="s">
        <v>1779</v>
      </c>
      <c r="G5020" s="13">
        <v>0.93</v>
      </c>
      <c r="H5020" s="15">
        <v>3942</v>
      </c>
      <c r="I5020" s="16">
        <v>3666.06</v>
      </c>
      <c r="J5020" s="16">
        <v>2853.5363676029451</v>
      </c>
      <c r="K5020" s="16">
        <v>812.52363239705483</v>
      </c>
      <c r="L5020" s="13">
        <v>2.2200000000000002</v>
      </c>
      <c r="M5020" s="13"/>
      <c r="N5020" s="17">
        <f t="shared" si="165"/>
        <v>8751.2400000000016</v>
      </c>
      <c r="O5020" s="17">
        <f t="shared" si="165"/>
        <v>0</v>
      </c>
      <c r="P5020" s="17">
        <f t="shared" si="166"/>
        <v>8751.2400000000016</v>
      </c>
      <c r="Q5020" t="str">
        <f>A5020&amp;"-"&amp;B5020&amp;"-"&amp;D5020</f>
        <v>OKTOBER-MJ2-L12</v>
      </c>
    </row>
    <row r="5021" spans="1:17" x14ac:dyDescent="0.25">
      <c r="A5021" t="s">
        <v>400</v>
      </c>
      <c r="B5021" s="13" t="s">
        <v>26</v>
      </c>
      <c r="C5021" s="13" t="s">
        <v>226</v>
      </c>
      <c r="D5021" s="14" t="s">
        <v>310</v>
      </c>
      <c r="E5021" s="13" t="s">
        <v>61</v>
      </c>
      <c r="F5021" s="13" t="s">
        <v>1780</v>
      </c>
      <c r="G5021" s="13">
        <v>0.99</v>
      </c>
      <c r="H5021" s="15">
        <v>119</v>
      </c>
      <c r="I5021" s="16">
        <v>117.81</v>
      </c>
      <c r="J5021" s="16">
        <v>85.469713662394327</v>
      </c>
      <c r="K5021" s="16">
        <v>32.340286337605676</v>
      </c>
      <c r="L5021" s="13">
        <v>2.42</v>
      </c>
      <c r="M5021" s="13"/>
      <c r="N5021" s="17">
        <f t="shared" si="165"/>
        <v>287.98</v>
      </c>
      <c r="O5021" s="17">
        <f t="shared" si="165"/>
        <v>0</v>
      </c>
      <c r="P5021" s="17">
        <f t="shared" si="166"/>
        <v>287.98</v>
      </c>
      <c r="Q5021" t="str">
        <f>A5021&amp;"-"&amp;B5021&amp;"-"&amp;D5021</f>
        <v>OKTOBER-MJ2-L12</v>
      </c>
    </row>
    <row r="5022" spans="1:17" x14ac:dyDescent="0.25">
      <c r="A5022" t="s">
        <v>400</v>
      </c>
      <c r="B5022" s="13" t="s">
        <v>26</v>
      </c>
      <c r="C5022" s="13" t="s">
        <v>226</v>
      </c>
      <c r="D5022" s="14" t="s">
        <v>310</v>
      </c>
      <c r="E5022" s="13" t="s">
        <v>61</v>
      </c>
      <c r="F5022" s="13" t="s">
        <v>1781</v>
      </c>
      <c r="G5022" s="13">
        <v>0.80000000000000016</v>
      </c>
      <c r="H5022" s="15">
        <v>3109</v>
      </c>
      <c r="I5022" s="16">
        <v>2487.1999999999998</v>
      </c>
      <c r="J5022" s="16">
        <v>2366.6153169500694</v>
      </c>
      <c r="K5022" s="16">
        <v>120.58468304993085</v>
      </c>
      <c r="L5022" s="13">
        <v>6.2</v>
      </c>
      <c r="M5022" s="13"/>
      <c r="N5022" s="17">
        <f t="shared" si="165"/>
        <v>19275.8</v>
      </c>
      <c r="O5022" s="17">
        <f t="shared" si="165"/>
        <v>0</v>
      </c>
      <c r="P5022" s="17">
        <f t="shared" si="166"/>
        <v>19275.8</v>
      </c>
      <c r="Q5022" t="str">
        <f>A5022&amp;"-"&amp;B5022&amp;"-"&amp;D5022</f>
        <v>OKTOBER-MJ2-L12</v>
      </c>
    </row>
    <row r="5023" spans="1:17" x14ac:dyDescent="0.25">
      <c r="A5023" t="s">
        <v>400</v>
      </c>
      <c r="B5023" s="13" t="s">
        <v>26</v>
      </c>
      <c r="C5023" s="13" t="s">
        <v>226</v>
      </c>
      <c r="D5023" s="14" t="s">
        <v>310</v>
      </c>
      <c r="E5023" s="13" t="s">
        <v>61</v>
      </c>
      <c r="F5023" s="13" t="s">
        <v>1782</v>
      </c>
      <c r="G5023" s="13">
        <v>0.79</v>
      </c>
      <c r="H5023" s="15">
        <v>4641</v>
      </c>
      <c r="I5023" s="16">
        <v>3666.39</v>
      </c>
      <c r="J5023" s="16">
        <v>3234.2516364667408</v>
      </c>
      <c r="K5023" s="16">
        <v>432.13836353325917</v>
      </c>
      <c r="L5023" s="13">
        <v>2</v>
      </c>
      <c r="M5023" s="13"/>
      <c r="N5023" s="17">
        <f t="shared" si="165"/>
        <v>9282</v>
      </c>
      <c r="O5023" s="17">
        <f t="shared" si="165"/>
        <v>0</v>
      </c>
      <c r="P5023" s="17">
        <f t="shared" si="166"/>
        <v>9282</v>
      </c>
      <c r="Q5023" t="str">
        <f>A5023&amp;"-"&amp;B5023&amp;"-"&amp;D5023</f>
        <v>OKTOBER-MJ2-L12</v>
      </c>
    </row>
    <row r="5024" spans="1:17" x14ac:dyDescent="0.25">
      <c r="A5024" t="s">
        <v>400</v>
      </c>
      <c r="B5024" s="13" t="s">
        <v>26</v>
      </c>
      <c r="C5024" s="13" t="s">
        <v>226</v>
      </c>
      <c r="D5024" s="14" t="s">
        <v>310</v>
      </c>
      <c r="E5024" s="13" t="s">
        <v>61</v>
      </c>
      <c r="F5024" s="13" t="s">
        <v>1783</v>
      </c>
      <c r="G5024" s="13">
        <v>0.77</v>
      </c>
      <c r="H5024" s="15">
        <v>433</v>
      </c>
      <c r="I5024" s="16">
        <v>333.41</v>
      </c>
      <c r="J5024" s="16">
        <v>316.77845274254059</v>
      </c>
      <c r="K5024" s="16">
        <v>16.631547257459403</v>
      </c>
      <c r="L5024" s="13">
        <v>2.15</v>
      </c>
      <c r="M5024" s="13"/>
      <c r="N5024" s="17">
        <f t="shared" si="165"/>
        <v>930.94999999999993</v>
      </c>
      <c r="O5024" s="17">
        <f t="shared" si="165"/>
        <v>0</v>
      </c>
      <c r="P5024" s="17">
        <f t="shared" si="166"/>
        <v>930.94999999999993</v>
      </c>
      <c r="Q5024" t="str">
        <f>A5024&amp;"-"&amp;B5024&amp;"-"&amp;D5024</f>
        <v>OKTOBER-MJ2-L12</v>
      </c>
    </row>
    <row r="5025" spans="1:17" x14ac:dyDescent="0.25">
      <c r="A5025" t="s">
        <v>400</v>
      </c>
      <c r="B5025" s="13" t="s">
        <v>26</v>
      </c>
      <c r="C5025" s="13" t="s">
        <v>226</v>
      </c>
      <c r="D5025" s="14" t="s">
        <v>310</v>
      </c>
      <c r="E5025" s="13" t="s">
        <v>61</v>
      </c>
      <c r="F5025" s="13" t="s">
        <v>1584</v>
      </c>
      <c r="G5025" s="13">
        <v>0.76</v>
      </c>
      <c r="H5025" s="15">
        <v>523</v>
      </c>
      <c r="I5025" s="16">
        <v>397.48</v>
      </c>
      <c r="J5025" s="16">
        <v>339.39849388292868</v>
      </c>
      <c r="K5025" s="16">
        <v>58.081506117071342</v>
      </c>
      <c r="L5025" s="13">
        <v>1.94</v>
      </c>
      <c r="M5025" s="13"/>
      <c r="N5025" s="17">
        <f t="shared" si="165"/>
        <v>1014.62</v>
      </c>
      <c r="O5025" s="17">
        <f t="shared" si="165"/>
        <v>0</v>
      </c>
      <c r="P5025" s="17">
        <f t="shared" si="166"/>
        <v>1014.62</v>
      </c>
      <c r="Q5025" t="str">
        <f>A5025&amp;"-"&amp;B5025&amp;"-"&amp;D5025</f>
        <v>OKTOBER-MJ2-L12</v>
      </c>
    </row>
    <row r="5026" spans="1:17" x14ac:dyDescent="0.25">
      <c r="A5026" t="s">
        <v>400</v>
      </c>
      <c r="B5026" s="13" t="s">
        <v>26</v>
      </c>
      <c r="C5026" s="13" t="s">
        <v>226</v>
      </c>
      <c r="D5026" s="14" t="s">
        <v>310</v>
      </c>
      <c r="E5026" s="13" t="s">
        <v>61</v>
      </c>
      <c r="F5026" s="13" t="s">
        <v>1585</v>
      </c>
      <c r="G5026" s="13">
        <v>0.69</v>
      </c>
      <c r="H5026" s="15">
        <v>866</v>
      </c>
      <c r="I5026" s="16">
        <v>597.54000000000008</v>
      </c>
      <c r="J5026" s="16">
        <v>652.84138528138521</v>
      </c>
      <c r="K5026" s="16">
        <v>-55.301385281385258</v>
      </c>
      <c r="L5026" s="13">
        <v>2.0699999999999998</v>
      </c>
      <c r="M5026" s="13"/>
      <c r="N5026" s="17">
        <f t="shared" si="165"/>
        <v>1792.62</v>
      </c>
      <c r="O5026" s="17">
        <f t="shared" si="165"/>
        <v>0</v>
      </c>
      <c r="P5026" s="17">
        <f t="shared" si="166"/>
        <v>1792.62</v>
      </c>
      <c r="Q5026" t="str">
        <f>A5026&amp;"-"&amp;B5026&amp;"-"&amp;D5026</f>
        <v>OKTOBER-MJ2-L12</v>
      </c>
    </row>
    <row r="5027" spans="1:17" x14ac:dyDescent="0.25">
      <c r="A5027" t="s">
        <v>400</v>
      </c>
      <c r="B5027" s="13" t="s">
        <v>26</v>
      </c>
      <c r="C5027" s="13" t="s">
        <v>226</v>
      </c>
      <c r="D5027" s="14" t="s">
        <v>310</v>
      </c>
      <c r="E5027" s="13" t="s">
        <v>61</v>
      </c>
      <c r="F5027" s="13" t="s">
        <v>1784</v>
      </c>
      <c r="G5027" s="13">
        <v>0.93</v>
      </c>
      <c r="H5027" s="15">
        <v>2420</v>
      </c>
      <c r="I5027" s="16">
        <v>2250.5999999999995</v>
      </c>
      <c r="J5027" s="16">
        <v>1838.5861658731073</v>
      </c>
      <c r="K5027" s="16">
        <v>412.01383412689256</v>
      </c>
      <c r="L5027" s="13">
        <v>2.2200000000000002</v>
      </c>
      <c r="M5027" s="13"/>
      <c r="N5027" s="17">
        <f t="shared" si="165"/>
        <v>5372.4000000000005</v>
      </c>
      <c r="O5027" s="17">
        <f t="shared" si="165"/>
        <v>0</v>
      </c>
      <c r="P5027" s="17">
        <f t="shared" si="166"/>
        <v>5372.4000000000005</v>
      </c>
      <c r="Q5027" t="str">
        <f>A5027&amp;"-"&amp;B5027&amp;"-"&amp;D5027</f>
        <v>OKTOBER-MJ2-L12</v>
      </c>
    </row>
    <row r="5028" spans="1:17" x14ac:dyDescent="0.25">
      <c r="A5028" t="s">
        <v>400</v>
      </c>
      <c r="B5028" s="13" t="s">
        <v>26</v>
      </c>
      <c r="C5028" s="13" t="s">
        <v>226</v>
      </c>
      <c r="D5028" s="14" t="s">
        <v>310</v>
      </c>
      <c r="E5028" s="13" t="s">
        <v>61</v>
      </c>
      <c r="F5028" s="13" t="s">
        <v>1785</v>
      </c>
      <c r="G5028" s="13">
        <v>0.99</v>
      </c>
      <c r="H5028" s="15">
        <v>9</v>
      </c>
      <c r="I5028" s="16">
        <v>8.91</v>
      </c>
      <c r="J5028" s="16">
        <v>6.5917241379310338</v>
      </c>
      <c r="K5028" s="16">
        <v>2.3182758620689663</v>
      </c>
      <c r="L5028" s="13">
        <v>2.42</v>
      </c>
      <c r="M5028" s="13"/>
      <c r="N5028" s="17">
        <f t="shared" si="165"/>
        <v>21.78</v>
      </c>
      <c r="O5028" s="17">
        <f t="shared" si="165"/>
        <v>0</v>
      </c>
      <c r="P5028" s="17">
        <f t="shared" si="166"/>
        <v>21.78</v>
      </c>
      <c r="Q5028" t="str">
        <f>A5028&amp;"-"&amp;B5028&amp;"-"&amp;D5028</f>
        <v>OKTOBER-MJ2-L12</v>
      </c>
    </row>
    <row r="5029" spans="1:17" x14ac:dyDescent="0.25">
      <c r="A5029" t="s">
        <v>400</v>
      </c>
      <c r="B5029" s="13" t="s">
        <v>26</v>
      </c>
      <c r="C5029" s="13" t="s">
        <v>226</v>
      </c>
      <c r="D5029" s="14" t="s">
        <v>310</v>
      </c>
      <c r="E5029" s="13" t="s">
        <v>61</v>
      </c>
      <c r="F5029" s="13" t="s">
        <v>1774</v>
      </c>
      <c r="G5029" s="13">
        <v>0.8</v>
      </c>
      <c r="H5029" s="15">
        <v>1276</v>
      </c>
      <c r="I5029" s="16">
        <v>1020.8</v>
      </c>
      <c r="J5029" s="16">
        <v>1062.7324137931034</v>
      </c>
      <c r="K5029" s="16">
        <v>-41.93241379310345</v>
      </c>
      <c r="L5029" s="13">
        <v>2.0699999999999998</v>
      </c>
      <c r="M5029" s="13"/>
      <c r="N5029" s="17">
        <f t="shared" si="165"/>
        <v>2641.3199999999997</v>
      </c>
      <c r="O5029" s="17">
        <f t="shared" si="165"/>
        <v>0</v>
      </c>
      <c r="P5029" s="17">
        <f t="shared" si="166"/>
        <v>2641.3199999999997</v>
      </c>
      <c r="Q5029" t="str">
        <f>A5029&amp;"-"&amp;B5029&amp;"-"&amp;D5029</f>
        <v>OKTOBER-MJ2-L12</v>
      </c>
    </row>
    <row r="5030" spans="1:17" x14ac:dyDescent="0.25">
      <c r="A5030" t="s">
        <v>400</v>
      </c>
      <c r="B5030" s="13" t="s">
        <v>26</v>
      </c>
      <c r="C5030" s="13" t="s">
        <v>226</v>
      </c>
      <c r="D5030" s="14" t="s">
        <v>310</v>
      </c>
      <c r="E5030" s="13" t="s">
        <v>61</v>
      </c>
      <c r="F5030" s="13" t="s">
        <v>1776</v>
      </c>
      <c r="G5030" s="13">
        <v>0.78</v>
      </c>
      <c r="H5030" s="15">
        <v>31</v>
      </c>
      <c r="I5030" s="16">
        <v>24.18</v>
      </c>
      <c r="J5030" s="16">
        <v>22.704827586206896</v>
      </c>
      <c r="K5030" s="16">
        <v>1.4751724137931035</v>
      </c>
      <c r="L5030" s="13">
        <v>2.2200000000000002</v>
      </c>
      <c r="M5030" s="13"/>
      <c r="N5030" s="17">
        <f t="shared" si="165"/>
        <v>68.820000000000007</v>
      </c>
      <c r="O5030" s="17">
        <f t="shared" si="165"/>
        <v>0</v>
      </c>
      <c r="P5030" s="17">
        <f t="shared" si="166"/>
        <v>68.820000000000007</v>
      </c>
      <c r="Q5030" t="str">
        <f>A5030&amp;"-"&amp;B5030&amp;"-"&amp;D5030</f>
        <v>OKTOBER-MJ2-L12</v>
      </c>
    </row>
    <row r="5031" spans="1:17" x14ac:dyDescent="0.25">
      <c r="A5031" t="s">
        <v>400</v>
      </c>
      <c r="B5031" s="13" t="s">
        <v>26</v>
      </c>
      <c r="C5031" s="13" t="s">
        <v>226</v>
      </c>
      <c r="D5031" s="14" t="s">
        <v>320</v>
      </c>
      <c r="E5031" s="13" t="s">
        <v>61</v>
      </c>
      <c r="F5031" s="13" t="s">
        <v>1750</v>
      </c>
      <c r="G5031" s="13">
        <v>0.67999999999999994</v>
      </c>
      <c r="H5031" s="15">
        <v>5040</v>
      </c>
      <c r="I5031" s="16">
        <v>3427.2</v>
      </c>
      <c r="J5031" s="16">
        <v>3225.7184375779543</v>
      </c>
      <c r="K5031" s="16">
        <v>201.4815624220463</v>
      </c>
      <c r="L5031" s="13">
        <v>1.69</v>
      </c>
      <c r="M5031" s="13"/>
      <c r="N5031" s="17">
        <f t="shared" si="165"/>
        <v>8517.6</v>
      </c>
      <c r="O5031" s="17">
        <f t="shared" si="165"/>
        <v>0</v>
      </c>
      <c r="P5031" s="17">
        <f t="shared" si="166"/>
        <v>8517.6</v>
      </c>
      <c r="Q5031" t="str">
        <f>A5031&amp;"-"&amp;B5031&amp;"-"&amp;D5031</f>
        <v>OKTOBER-MJ2-L13</v>
      </c>
    </row>
    <row r="5032" spans="1:17" x14ac:dyDescent="0.25">
      <c r="A5032" t="s">
        <v>400</v>
      </c>
      <c r="B5032" s="13" t="s">
        <v>26</v>
      </c>
      <c r="C5032" s="13" t="s">
        <v>226</v>
      </c>
      <c r="D5032" s="14" t="s">
        <v>320</v>
      </c>
      <c r="E5032" s="13" t="s">
        <v>61</v>
      </c>
      <c r="F5032" s="13" t="s">
        <v>1751</v>
      </c>
      <c r="G5032" s="13">
        <v>0.65</v>
      </c>
      <c r="H5032" s="15">
        <v>954</v>
      </c>
      <c r="I5032" s="16">
        <v>620.1</v>
      </c>
      <c r="J5032" s="16">
        <v>667.19235874298772</v>
      </c>
      <c r="K5032" s="16">
        <v>-47.092358742987706</v>
      </c>
      <c r="L5032" s="13">
        <v>1.81</v>
      </c>
      <c r="M5032" s="13"/>
      <c r="N5032" s="17">
        <f t="shared" si="165"/>
        <v>1726.74</v>
      </c>
      <c r="O5032" s="17">
        <f t="shared" si="165"/>
        <v>0</v>
      </c>
      <c r="P5032" s="17">
        <f t="shared" si="166"/>
        <v>1726.74</v>
      </c>
      <c r="Q5032" t="str">
        <f>A5032&amp;"-"&amp;B5032&amp;"-"&amp;D5032</f>
        <v>OKTOBER-MJ2-L13</v>
      </c>
    </row>
    <row r="5033" spans="1:17" x14ac:dyDescent="0.25">
      <c r="A5033" t="s">
        <v>400</v>
      </c>
      <c r="B5033" s="13" t="s">
        <v>26</v>
      </c>
      <c r="C5033" s="13" t="s">
        <v>226</v>
      </c>
      <c r="D5033" s="14" t="s">
        <v>320</v>
      </c>
      <c r="E5033" s="13" t="s">
        <v>61</v>
      </c>
      <c r="F5033" s="13" t="s">
        <v>1760</v>
      </c>
      <c r="G5033" s="13">
        <v>0.67999999999999994</v>
      </c>
      <c r="H5033" s="15">
        <v>2019</v>
      </c>
      <c r="I5033" s="16">
        <v>1372.92</v>
      </c>
      <c r="J5033" s="16">
        <v>1407.6281758089126</v>
      </c>
      <c r="K5033" s="16">
        <v>-34.70817580891265</v>
      </c>
      <c r="L5033" s="13">
        <v>1.7</v>
      </c>
      <c r="M5033" s="13"/>
      <c r="N5033" s="17">
        <f t="shared" si="165"/>
        <v>3432.2999999999997</v>
      </c>
      <c r="O5033" s="17">
        <f t="shared" si="165"/>
        <v>0</v>
      </c>
      <c r="P5033" s="17">
        <f t="shared" si="166"/>
        <v>3432.2999999999997</v>
      </c>
      <c r="Q5033" t="str">
        <f>A5033&amp;"-"&amp;B5033&amp;"-"&amp;D5033</f>
        <v>OKTOBER-MJ2-L13</v>
      </c>
    </row>
    <row r="5034" spans="1:17" x14ac:dyDescent="0.25">
      <c r="A5034" t="s">
        <v>400</v>
      </c>
      <c r="B5034" s="13" t="s">
        <v>26</v>
      </c>
      <c r="C5034" s="13" t="s">
        <v>226</v>
      </c>
      <c r="D5034" s="14" t="s">
        <v>320</v>
      </c>
      <c r="E5034" s="13" t="s">
        <v>61</v>
      </c>
      <c r="F5034" s="13" t="s">
        <v>1761</v>
      </c>
      <c r="G5034" s="13">
        <v>0.65</v>
      </c>
      <c r="H5034" s="15">
        <v>364</v>
      </c>
      <c r="I5034" s="16">
        <v>236.6</v>
      </c>
      <c r="J5034" s="16">
        <v>253.39812092773059</v>
      </c>
      <c r="K5034" s="16">
        <v>-16.798120927730576</v>
      </c>
      <c r="L5034" s="13">
        <v>1.82</v>
      </c>
      <c r="M5034" s="13"/>
      <c r="N5034" s="17">
        <f t="shared" si="165"/>
        <v>662.48</v>
      </c>
      <c r="O5034" s="17">
        <f t="shared" si="165"/>
        <v>0</v>
      </c>
      <c r="P5034" s="17">
        <f t="shared" si="166"/>
        <v>662.48</v>
      </c>
      <c r="Q5034" t="str">
        <f>A5034&amp;"-"&amp;B5034&amp;"-"&amp;D5034</f>
        <v>OKTOBER-MJ2-L13</v>
      </c>
    </row>
    <row r="5035" spans="1:17" x14ac:dyDescent="0.25">
      <c r="A5035" t="s">
        <v>400</v>
      </c>
      <c r="B5035" s="13" t="s">
        <v>26</v>
      </c>
      <c r="C5035" s="13" t="s">
        <v>226</v>
      </c>
      <c r="D5035" s="14" t="s">
        <v>320</v>
      </c>
      <c r="E5035" s="13" t="s">
        <v>61</v>
      </c>
      <c r="F5035" s="13" t="s">
        <v>1777</v>
      </c>
      <c r="G5035" s="13">
        <v>0.83</v>
      </c>
      <c r="H5035" s="15">
        <v>6925</v>
      </c>
      <c r="I5035" s="16">
        <v>5747.7499999999991</v>
      </c>
      <c r="J5035" s="16">
        <v>4439.199815872108</v>
      </c>
      <c r="K5035" s="16">
        <v>1308.5501841278929</v>
      </c>
      <c r="L5035" s="13">
        <v>2.13</v>
      </c>
      <c r="M5035" s="13"/>
      <c r="N5035" s="17">
        <f t="shared" si="165"/>
        <v>14750.25</v>
      </c>
      <c r="O5035" s="17">
        <f t="shared" si="165"/>
        <v>0</v>
      </c>
      <c r="P5035" s="17">
        <f t="shared" si="166"/>
        <v>14750.25</v>
      </c>
      <c r="Q5035" t="str">
        <f>A5035&amp;"-"&amp;B5035&amp;"-"&amp;D5035</f>
        <v>OKTOBER-MJ2-L13</v>
      </c>
    </row>
    <row r="5036" spans="1:17" x14ac:dyDescent="0.25">
      <c r="A5036" t="s">
        <v>400</v>
      </c>
      <c r="B5036" s="13" t="s">
        <v>26</v>
      </c>
      <c r="C5036" s="13" t="s">
        <v>226</v>
      </c>
      <c r="D5036" s="14" t="s">
        <v>320</v>
      </c>
      <c r="E5036" s="13" t="s">
        <v>61</v>
      </c>
      <c r="F5036" s="13" t="s">
        <v>1778</v>
      </c>
      <c r="G5036" s="13">
        <v>0.78</v>
      </c>
      <c r="H5036" s="15">
        <v>930</v>
      </c>
      <c r="I5036" s="16">
        <v>725.40000000000009</v>
      </c>
      <c r="J5036" s="16">
        <v>588.81383720624967</v>
      </c>
      <c r="K5036" s="16">
        <v>136.58616279375042</v>
      </c>
      <c r="L5036" s="13">
        <v>2.29</v>
      </c>
      <c r="M5036" s="13"/>
      <c r="N5036" s="17">
        <f t="shared" si="165"/>
        <v>2129.6999999999998</v>
      </c>
      <c r="O5036" s="17">
        <f t="shared" si="165"/>
        <v>0</v>
      </c>
      <c r="P5036" s="17">
        <f t="shared" si="166"/>
        <v>2129.6999999999998</v>
      </c>
      <c r="Q5036" t="str">
        <f>A5036&amp;"-"&amp;B5036&amp;"-"&amp;D5036</f>
        <v>OKTOBER-MJ2-L13</v>
      </c>
    </row>
    <row r="5037" spans="1:17" x14ac:dyDescent="0.25">
      <c r="A5037" t="s">
        <v>400</v>
      </c>
      <c r="B5037" s="13" t="s">
        <v>26</v>
      </c>
      <c r="C5037" s="13" t="s">
        <v>226</v>
      </c>
      <c r="D5037" s="14" t="s">
        <v>320</v>
      </c>
      <c r="E5037" s="13" t="s">
        <v>61</v>
      </c>
      <c r="F5037" s="13" t="s">
        <v>1779</v>
      </c>
      <c r="G5037" s="13">
        <v>0.93</v>
      </c>
      <c r="H5037" s="15">
        <v>3943</v>
      </c>
      <c r="I5037" s="16">
        <v>3666.99</v>
      </c>
      <c r="J5037" s="16">
        <v>2854.28163076084</v>
      </c>
      <c r="K5037" s="16">
        <v>812.70836923915999</v>
      </c>
      <c r="L5037" s="13">
        <v>2.2200000000000002</v>
      </c>
      <c r="M5037" s="13"/>
      <c r="N5037" s="17">
        <f t="shared" si="165"/>
        <v>8753.4600000000009</v>
      </c>
      <c r="O5037" s="17">
        <f t="shared" si="165"/>
        <v>0</v>
      </c>
      <c r="P5037" s="17">
        <f t="shared" si="166"/>
        <v>8753.4600000000009</v>
      </c>
      <c r="Q5037" t="str">
        <f>A5037&amp;"-"&amp;B5037&amp;"-"&amp;D5037</f>
        <v>OKTOBER-MJ2-L13</v>
      </c>
    </row>
    <row r="5038" spans="1:17" x14ac:dyDescent="0.25">
      <c r="A5038" t="s">
        <v>400</v>
      </c>
      <c r="B5038" s="13" t="s">
        <v>26</v>
      </c>
      <c r="C5038" s="13" t="s">
        <v>226</v>
      </c>
      <c r="D5038" s="14" t="s">
        <v>320</v>
      </c>
      <c r="E5038" s="13" t="s">
        <v>61</v>
      </c>
      <c r="F5038" s="13" t="s">
        <v>1780</v>
      </c>
      <c r="G5038" s="13">
        <v>0.99</v>
      </c>
      <c r="H5038" s="15">
        <v>118</v>
      </c>
      <c r="I5038" s="16">
        <v>116.82</v>
      </c>
      <c r="J5038" s="16">
        <v>84.724450504499586</v>
      </c>
      <c r="K5038" s="16">
        <v>32.095549495500414</v>
      </c>
      <c r="L5038" s="13">
        <v>2.42</v>
      </c>
      <c r="M5038" s="13"/>
      <c r="N5038" s="17">
        <f t="shared" si="165"/>
        <v>285.56</v>
      </c>
      <c r="O5038" s="17">
        <f t="shared" si="165"/>
        <v>0</v>
      </c>
      <c r="P5038" s="17">
        <f t="shared" si="166"/>
        <v>285.56</v>
      </c>
      <c r="Q5038" t="str">
        <f>A5038&amp;"-"&amp;B5038&amp;"-"&amp;D5038</f>
        <v>OKTOBER-MJ2-L13</v>
      </c>
    </row>
    <row r="5039" spans="1:17" x14ac:dyDescent="0.25">
      <c r="A5039" t="s">
        <v>400</v>
      </c>
      <c r="B5039" s="13" t="s">
        <v>26</v>
      </c>
      <c r="C5039" s="13" t="s">
        <v>226</v>
      </c>
      <c r="D5039" s="14" t="s">
        <v>320</v>
      </c>
      <c r="E5039" s="13" t="s">
        <v>61</v>
      </c>
      <c r="F5039" s="13" t="s">
        <v>1781</v>
      </c>
      <c r="G5039" s="13">
        <v>0.80000000000000016</v>
      </c>
      <c r="H5039" s="15">
        <v>3111</v>
      </c>
      <c r="I5039" s="16">
        <v>2488.8000000000002</v>
      </c>
      <c r="J5039" s="16">
        <v>2368.6709284833451</v>
      </c>
      <c r="K5039" s="16">
        <v>120.1290715166549</v>
      </c>
      <c r="L5039" s="13">
        <v>6.2</v>
      </c>
      <c r="M5039" s="13"/>
      <c r="N5039" s="17">
        <f t="shared" si="165"/>
        <v>19288.2</v>
      </c>
      <c r="O5039" s="17">
        <f t="shared" si="165"/>
        <v>0</v>
      </c>
      <c r="P5039" s="17">
        <f t="shared" si="166"/>
        <v>19288.2</v>
      </c>
      <c r="Q5039" t="str">
        <f>A5039&amp;"-"&amp;B5039&amp;"-"&amp;D5039</f>
        <v>OKTOBER-MJ2-L13</v>
      </c>
    </row>
    <row r="5040" spans="1:17" x14ac:dyDescent="0.25">
      <c r="A5040" t="s">
        <v>400</v>
      </c>
      <c r="B5040" s="13" t="s">
        <v>26</v>
      </c>
      <c r="C5040" s="13" t="s">
        <v>226</v>
      </c>
      <c r="D5040" s="14" t="s">
        <v>320</v>
      </c>
      <c r="E5040" s="13" t="s">
        <v>61</v>
      </c>
      <c r="F5040" s="13" t="s">
        <v>1782</v>
      </c>
      <c r="G5040" s="13">
        <v>0.79</v>
      </c>
      <c r="H5040" s="15">
        <v>4638</v>
      </c>
      <c r="I5040" s="16">
        <v>3664.02</v>
      </c>
      <c r="J5040" s="16">
        <v>3232.1413176261608</v>
      </c>
      <c r="K5040" s="16">
        <v>431.87868237383907</v>
      </c>
      <c r="L5040" s="13">
        <v>2</v>
      </c>
      <c r="M5040" s="13"/>
      <c r="N5040" s="17">
        <f t="shared" si="165"/>
        <v>9276</v>
      </c>
      <c r="O5040" s="17">
        <f t="shared" si="165"/>
        <v>0</v>
      </c>
      <c r="P5040" s="17">
        <f t="shared" si="166"/>
        <v>9276</v>
      </c>
      <c r="Q5040" t="str">
        <f>A5040&amp;"-"&amp;B5040&amp;"-"&amp;D5040</f>
        <v>OKTOBER-MJ2-L13</v>
      </c>
    </row>
    <row r="5041" spans="1:17" x14ac:dyDescent="0.25">
      <c r="A5041" t="s">
        <v>400</v>
      </c>
      <c r="B5041" s="13" t="s">
        <v>26</v>
      </c>
      <c r="C5041" s="13" t="s">
        <v>226</v>
      </c>
      <c r="D5041" s="14" t="s">
        <v>320</v>
      </c>
      <c r="E5041" s="13" t="s">
        <v>61</v>
      </c>
      <c r="F5041" s="13" t="s">
        <v>1783</v>
      </c>
      <c r="G5041" s="13">
        <v>0.77</v>
      </c>
      <c r="H5041" s="15">
        <v>434</v>
      </c>
      <c r="I5041" s="16">
        <v>334.18</v>
      </c>
      <c r="J5041" s="16">
        <v>317.46627657673747</v>
      </c>
      <c r="K5041" s="16">
        <v>16.713723423262515</v>
      </c>
      <c r="L5041" s="13">
        <v>2.15</v>
      </c>
      <c r="M5041" s="13"/>
      <c r="N5041" s="17">
        <f t="shared" si="165"/>
        <v>933.09999999999991</v>
      </c>
      <c r="O5041" s="17">
        <f t="shared" si="165"/>
        <v>0</v>
      </c>
      <c r="P5041" s="17">
        <f t="shared" si="166"/>
        <v>933.09999999999991</v>
      </c>
      <c r="Q5041" t="str">
        <f>A5041&amp;"-"&amp;B5041&amp;"-"&amp;D5041</f>
        <v>OKTOBER-MJ2-L13</v>
      </c>
    </row>
    <row r="5042" spans="1:17" x14ac:dyDescent="0.25">
      <c r="A5042" t="s">
        <v>400</v>
      </c>
      <c r="B5042" s="13" t="s">
        <v>26</v>
      </c>
      <c r="C5042" s="13" t="s">
        <v>226</v>
      </c>
      <c r="D5042" s="14" t="s">
        <v>320</v>
      </c>
      <c r="E5042" s="13" t="s">
        <v>61</v>
      </c>
      <c r="F5042" s="13" t="s">
        <v>1584</v>
      </c>
      <c r="G5042" s="13">
        <v>0.76</v>
      </c>
      <c r="H5042" s="15">
        <v>527</v>
      </c>
      <c r="I5042" s="16">
        <v>400.52</v>
      </c>
      <c r="J5042" s="16">
        <v>342.06856948918727</v>
      </c>
      <c r="K5042" s="16">
        <v>58.45143051081272</v>
      </c>
      <c r="L5042" s="13">
        <v>1.94</v>
      </c>
      <c r="M5042" s="13"/>
      <c r="N5042" s="17">
        <f t="shared" si="165"/>
        <v>1022.38</v>
      </c>
      <c r="O5042" s="17">
        <f t="shared" si="165"/>
        <v>0</v>
      </c>
      <c r="P5042" s="17">
        <f t="shared" si="166"/>
        <v>1022.38</v>
      </c>
      <c r="Q5042" t="str">
        <f>A5042&amp;"-"&amp;B5042&amp;"-"&amp;D5042</f>
        <v>OKTOBER-MJ2-L13</v>
      </c>
    </row>
    <row r="5043" spans="1:17" x14ac:dyDescent="0.25">
      <c r="A5043" t="s">
        <v>400</v>
      </c>
      <c r="B5043" s="13" t="s">
        <v>26</v>
      </c>
      <c r="C5043" s="13" t="s">
        <v>226</v>
      </c>
      <c r="D5043" s="14" t="s">
        <v>320</v>
      </c>
      <c r="E5043" s="13" t="s">
        <v>61</v>
      </c>
      <c r="F5043" s="13" t="s">
        <v>1585</v>
      </c>
      <c r="G5043" s="13">
        <v>0.69</v>
      </c>
      <c r="H5043" s="15">
        <v>866</v>
      </c>
      <c r="I5043" s="16">
        <v>597.54000000000008</v>
      </c>
      <c r="J5043" s="16">
        <v>652.83952046151069</v>
      </c>
      <c r="K5043" s="16">
        <v>-55.299520461510703</v>
      </c>
      <c r="L5043" s="13">
        <v>2.0699999999999998</v>
      </c>
      <c r="M5043" s="13"/>
      <c r="N5043" s="17">
        <f t="shared" si="165"/>
        <v>1792.62</v>
      </c>
      <c r="O5043" s="17">
        <f t="shared" si="165"/>
        <v>0</v>
      </c>
      <c r="P5043" s="17">
        <f t="shared" si="166"/>
        <v>1792.62</v>
      </c>
      <c r="Q5043" t="str">
        <f>A5043&amp;"-"&amp;B5043&amp;"-"&amp;D5043</f>
        <v>OKTOBER-MJ2-L13</v>
      </c>
    </row>
    <row r="5044" spans="1:17" x14ac:dyDescent="0.25">
      <c r="A5044" t="s">
        <v>400</v>
      </c>
      <c r="B5044" s="13" t="s">
        <v>26</v>
      </c>
      <c r="C5044" s="13" t="s">
        <v>226</v>
      </c>
      <c r="D5044" s="14" t="s">
        <v>320</v>
      </c>
      <c r="E5044" s="13" t="s">
        <v>61</v>
      </c>
      <c r="F5044" s="13" t="s">
        <v>1784</v>
      </c>
      <c r="G5044" s="13">
        <v>0.93</v>
      </c>
      <c r="H5044" s="15">
        <v>2419</v>
      </c>
      <c r="I5044" s="16">
        <v>2249.67</v>
      </c>
      <c r="J5044" s="16">
        <v>1838.5600082376395</v>
      </c>
      <c r="K5044" s="16">
        <v>411.10999176236044</v>
      </c>
      <c r="L5044" s="13">
        <v>2.2200000000000002</v>
      </c>
      <c r="M5044" s="13"/>
      <c r="N5044" s="17">
        <f t="shared" si="165"/>
        <v>5370.18</v>
      </c>
      <c r="O5044" s="17">
        <f t="shared" si="165"/>
        <v>0</v>
      </c>
      <c r="P5044" s="17">
        <f t="shared" si="166"/>
        <v>5370.18</v>
      </c>
      <c r="Q5044" t="str">
        <f>A5044&amp;"-"&amp;B5044&amp;"-"&amp;D5044</f>
        <v>OKTOBER-MJ2-L13</v>
      </c>
    </row>
    <row r="5045" spans="1:17" x14ac:dyDescent="0.25">
      <c r="A5045" t="s">
        <v>400</v>
      </c>
      <c r="B5045" s="13" t="s">
        <v>26</v>
      </c>
      <c r="C5045" s="13" t="s">
        <v>226</v>
      </c>
      <c r="D5045" s="14" t="s">
        <v>320</v>
      </c>
      <c r="E5045" s="13" t="s">
        <v>61</v>
      </c>
      <c r="F5045" s="13" t="s">
        <v>1785</v>
      </c>
      <c r="G5045" s="13">
        <v>0.99</v>
      </c>
      <c r="H5045" s="15">
        <v>8</v>
      </c>
      <c r="I5045" s="16">
        <v>7.92</v>
      </c>
      <c r="J5045" s="16">
        <v>5.8593103448275858</v>
      </c>
      <c r="K5045" s="16">
        <v>2.0606896551724141</v>
      </c>
      <c r="L5045" s="13">
        <v>2.42</v>
      </c>
      <c r="M5045" s="13"/>
      <c r="N5045" s="17">
        <f t="shared" si="165"/>
        <v>19.36</v>
      </c>
      <c r="O5045" s="17">
        <f t="shared" si="165"/>
        <v>0</v>
      </c>
      <c r="P5045" s="17">
        <f t="shared" si="166"/>
        <v>19.36</v>
      </c>
      <c r="Q5045" t="str">
        <f>A5045&amp;"-"&amp;B5045&amp;"-"&amp;D5045</f>
        <v>OKTOBER-MJ2-L13</v>
      </c>
    </row>
    <row r="5046" spans="1:17" x14ac:dyDescent="0.25">
      <c r="A5046" t="s">
        <v>400</v>
      </c>
      <c r="B5046" s="13" t="s">
        <v>26</v>
      </c>
      <c r="C5046" s="13" t="s">
        <v>226</v>
      </c>
      <c r="D5046" s="14" t="s">
        <v>320</v>
      </c>
      <c r="E5046" s="13" t="s">
        <v>61</v>
      </c>
      <c r="F5046" s="13" t="s">
        <v>1774</v>
      </c>
      <c r="G5046" s="13">
        <v>0.8</v>
      </c>
      <c r="H5046" s="15">
        <v>1277</v>
      </c>
      <c r="I5046" s="16">
        <v>1021.6</v>
      </c>
      <c r="J5046" s="16">
        <v>1063.4648275862069</v>
      </c>
      <c r="K5046" s="16">
        <v>-41.8648275862069</v>
      </c>
      <c r="L5046" s="13">
        <v>2.0699999999999998</v>
      </c>
      <c r="M5046" s="13"/>
      <c r="N5046" s="17">
        <f t="shared" si="165"/>
        <v>2643.39</v>
      </c>
      <c r="O5046" s="17">
        <f t="shared" si="165"/>
        <v>0</v>
      </c>
      <c r="P5046" s="17">
        <f t="shared" si="166"/>
        <v>2643.39</v>
      </c>
      <c r="Q5046" t="str">
        <f>A5046&amp;"-"&amp;B5046&amp;"-"&amp;D5046</f>
        <v>OKTOBER-MJ2-L13</v>
      </c>
    </row>
    <row r="5047" spans="1:17" x14ac:dyDescent="0.25">
      <c r="A5047" t="s">
        <v>400</v>
      </c>
      <c r="B5047" s="13" t="s">
        <v>26</v>
      </c>
      <c r="C5047" s="13" t="s">
        <v>226</v>
      </c>
      <c r="D5047" s="14" t="s">
        <v>320</v>
      </c>
      <c r="E5047" s="13" t="s">
        <v>61</v>
      </c>
      <c r="F5047" s="13" t="s">
        <v>1776</v>
      </c>
      <c r="G5047" s="13">
        <v>0.78</v>
      </c>
      <c r="H5047" s="15">
        <v>30</v>
      </c>
      <c r="I5047" s="16">
        <v>23.4</v>
      </c>
      <c r="J5047" s="16">
        <v>21.972413793103449</v>
      </c>
      <c r="K5047" s="16">
        <v>1.4275862068965495</v>
      </c>
      <c r="L5047" s="13">
        <v>2.2200000000000002</v>
      </c>
      <c r="M5047" s="13"/>
      <c r="N5047" s="17">
        <f t="shared" si="165"/>
        <v>66.600000000000009</v>
      </c>
      <c r="O5047" s="17">
        <f t="shared" si="165"/>
        <v>0</v>
      </c>
      <c r="P5047" s="17">
        <f t="shared" si="166"/>
        <v>66.600000000000009</v>
      </c>
      <c r="Q5047" t="str">
        <f>A5047&amp;"-"&amp;B5047&amp;"-"&amp;D5047</f>
        <v>OKTOBER-MJ2-L13</v>
      </c>
    </row>
    <row r="5048" spans="1:17" x14ac:dyDescent="0.25">
      <c r="A5048" t="s">
        <v>400</v>
      </c>
      <c r="B5048" s="13" t="s">
        <v>26</v>
      </c>
      <c r="C5048" s="13" t="s">
        <v>226</v>
      </c>
      <c r="D5048" s="14" t="s">
        <v>1079</v>
      </c>
      <c r="E5048" s="13" t="s">
        <v>61</v>
      </c>
      <c r="F5048" s="13" t="s">
        <v>1750</v>
      </c>
      <c r="G5048" s="13">
        <v>0.68</v>
      </c>
      <c r="H5048" s="15">
        <v>1610</v>
      </c>
      <c r="I5048" s="16">
        <v>1094.8000000000002</v>
      </c>
      <c r="J5048" s="16">
        <v>1064.9735694995513</v>
      </c>
      <c r="K5048" s="16">
        <v>29.826430500448843</v>
      </c>
      <c r="L5048" s="13">
        <v>1.69</v>
      </c>
      <c r="M5048" s="13"/>
      <c r="N5048" s="17">
        <f t="shared" si="165"/>
        <v>2720.9</v>
      </c>
      <c r="O5048" s="17">
        <f t="shared" si="165"/>
        <v>0</v>
      </c>
      <c r="P5048" s="17">
        <f t="shared" si="166"/>
        <v>2720.9</v>
      </c>
      <c r="Q5048" t="str">
        <f>A5048&amp;"-"&amp;B5048&amp;"-"&amp;D5048</f>
        <v>OKTOBER-MJ2-L14</v>
      </c>
    </row>
    <row r="5049" spans="1:17" x14ac:dyDescent="0.25">
      <c r="A5049" t="s">
        <v>400</v>
      </c>
      <c r="B5049" s="13" t="s">
        <v>26</v>
      </c>
      <c r="C5049" s="13" t="s">
        <v>226</v>
      </c>
      <c r="D5049" s="14" t="s">
        <v>1079</v>
      </c>
      <c r="E5049" s="13" t="s">
        <v>61</v>
      </c>
      <c r="F5049" s="13" t="s">
        <v>1751</v>
      </c>
      <c r="G5049" s="13">
        <v>0.65</v>
      </c>
      <c r="H5049" s="15">
        <v>330</v>
      </c>
      <c r="I5049" s="16">
        <v>214.5</v>
      </c>
      <c r="J5049" s="16">
        <v>217.32784090909092</v>
      </c>
      <c r="K5049" s="16">
        <v>-2.8278409090909165</v>
      </c>
      <c r="L5049" s="13">
        <v>1.81</v>
      </c>
      <c r="M5049" s="13"/>
      <c r="N5049" s="17">
        <f t="shared" ref="N5049:O5112" si="167">$H5049*L5049</f>
        <v>597.30000000000007</v>
      </c>
      <c r="O5049" s="17">
        <f t="shared" si="167"/>
        <v>0</v>
      </c>
      <c r="P5049" s="17">
        <f t="shared" si="166"/>
        <v>597.30000000000007</v>
      </c>
      <c r="Q5049" t="str">
        <f>A5049&amp;"-"&amp;B5049&amp;"-"&amp;D5049</f>
        <v>OKTOBER-MJ2-L14</v>
      </c>
    </row>
    <row r="5050" spans="1:17" x14ac:dyDescent="0.25">
      <c r="A5050" t="s">
        <v>400</v>
      </c>
      <c r="B5050" s="13" t="s">
        <v>26</v>
      </c>
      <c r="C5050" s="13" t="s">
        <v>226</v>
      </c>
      <c r="D5050" s="14" t="s">
        <v>1079</v>
      </c>
      <c r="E5050" s="13" t="s">
        <v>61</v>
      </c>
      <c r="F5050" s="13" t="s">
        <v>1752</v>
      </c>
      <c r="G5050" s="13">
        <v>0.68</v>
      </c>
      <c r="H5050" s="15">
        <v>3801</v>
      </c>
      <c r="I5050" s="16">
        <v>2584.6799999999998</v>
      </c>
      <c r="J5050" s="16">
        <v>2673.4663953111585</v>
      </c>
      <c r="K5050" s="16">
        <v>-88.786395311158373</v>
      </c>
      <c r="L5050" s="13">
        <v>1.61</v>
      </c>
      <c r="M5050" s="13"/>
      <c r="N5050" s="17">
        <f t="shared" si="167"/>
        <v>6119.6100000000006</v>
      </c>
      <c r="O5050" s="17">
        <f t="shared" si="167"/>
        <v>0</v>
      </c>
      <c r="P5050" s="17">
        <f t="shared" si="166"/>
        <v>6119.6100000000006</v>
      </c>
      <c r="Q5050" t="str">
        <f>A5050&amp;"-"&amp;B5050&amp;"-"&amp;D5050</f>
        <v>OKTOBER-MJ2-L14</v>
      </c>
    </row>
    <row r="5051" spans="1:17" x14ac:dyDescent="0.25">
      <c r="A5051" t="s">
        <v>400</v>
      </c>
      <c r="B5051" s="13" t="s">
        <v>26</v>
      </c>
      <c r="C5051" s="13" t="s">
        <v>226</v>
      </c>
      <c r="D5051" s="14" t="s">
        <v>1079</v>
      </c>
      <c r="E5051" s="13" t="s">
        <v>61</v>
      </c>
      <c r="F5051" s="13" t="s">
        <v>1753</v>
      </c>
      <c r="G5051" s="13">
        <v>0.81000000000000028</v>
      </c>
      <c r="H5051" s="15">
        <v>4424</v>
      </c>
      <c r="I5051" s="16">
        <v>3583.44</v>
      </c>
      <c r="J5051" s="16">
        <v>2976.4362830294322</v>
      </c>
      <c r="K5051" s="16">
        <v>607.00371697056733</v>
      </c>
      <c r="L5051" s="13">
        <v>2.21</v>
      </c>
      <c r="M5051" s="13"/>
      <c r="N5051" s="17">
        <f t="shared" si="167"/>
        <v>9777.0399999999991</v>
      </c>
      <c r="O5051" s="17">
        <f t="shared" si="167"/>
        <v>0</v>
      </c>
      <c r="P5051" s="17">
        <f t="shared" si="166"/>
        <v>9777.0399999999991</v>
      </c>
      <c r="Q5051" t="str">
        <f>A5051&amp;"-"&amp;B5051&amp;"-"&amp;D5051</f>
        <v>OKTOBER-MJ2-L14</v>
      </c>
    </row>
    <row r="5052" spans="1:17" x14ac:dyDescent="0.25">
      <c r="A5052" t="s">
        <v>400</v>
      </c>
      <c r="B5052" s="13" t="s">
        <v>26</v>
      </c>
      <c r="C5052" s="13" t="s">
        <v>226</v>
      </c>
      <c r="D5052" s="14" t="s">
        <v>1079</v>
      </c>
      <c r="E5052" s="13" t="s">
        <v>61</v>
      </c>
      <c r="F5052" s="13" t="s">
        <v>1754</v>
      </c>
      <c r="G5052" s="13">
        <v>0.81000000000000028</v>
      </c>
      <c r="H5052" s="15">
        <v>2975</v>
      </c>
      <c r="I5052" s="16">
        <v>2409.75</v>
      </c>
      <c r="J5052" s="16">
        <v>2106.9449643888929</v>
      </c>
      <c r="K5052" s="16">
        <v>302.80503561110709</v>
      </c>
      <c r="L5052" s="13">
        <v>2.21</v>
      </c>
      <c r="M5052" s="13"/>
      <c r="N5052" s="17">
        <f t="shared" si="167"/>
        <v>6574.75</v>
      </c>
      <c r="O5052" s="17">
        <f t="shared" si="167"/>
        <v>0</v>
      </c>
      <c r="P5052" s="17">
        <f t="shared" si="166"/>
        <v>6574.75</v>
      </c>
      <c r="Q5052" t="str">
        <f>A5052&amp;"-"&amp;B5052&amp;"-"&amp;D5052</f>
        <v>OKTOBER-MJ2-L14</v>
      </c>
    </row>
    <row r="5053" spans="1:17" x14ac:dyDescent="0.25">
      <c r="A5053" t="s">
        <v>400</v>
      </c>
      <c r="B5053" s="13" t="s">
        <v>26</v>
      </c>
      <c r="C5053" s="13" t="s">
        <v>226</v>
      </c>
      <c r="D5053" s="14" t="s">
        <v>1079</v>
      </c>
      <c r="E5053" s="13" t="s">
        <v>61</v>
      </c>
      <c r="F5053" s="13" t="s">
        <v>1755</v>
      </c>
      <c r="G5053" s="13">
        <v>0.83</v>
      </c>
      <c r="H5053" s="15">
        <v>5761</v>
      </c>
      <c r="I5053" s="16">
        <v>4781.63</v>
      </c>
      <c r="J5053" s="16">
        <v>3704.8509468618745</v>
      </c>
      <c r="K5053" s="16">
        <v>1076.7790531381256</v>
      </c>
      <c r="L5053" s="13">
        <v>2.13</v>
      </c>
      <c r="M5053" s="13"/>
      <c r="N5053" s="17">
        <f t="shared" si="167"/>
        <v>12270.93</v>
      </c>
      <c r="O5053" s="17">
        <f t="shared" si="167"/>
        <v>0</v>
      </c>
      <c r="P5053" s="17">
        <f t="shared" si="166"/>
        <v>12270.93</v>
      </c>
      <c r="Q5053" t="str">
        <f>A5053&amp;"-"&amp;B5053&amp;"-"&amp;D5053</f>
        <v>OKTOBER-MJ2-L14</v>
      </c>
    </row>
    <row r="5054" spans="1:17" x14ac:dyDescent="0.25">
      <c r="A5054" t="s">
        <v>400</v>
      </c>
      <c r="B5054" s="13" t="s">
        <v>26</v>
      </c>
      <c r="C5054" s="13" t="s">
        <v>226</v>
      </c>
      <c r="D5054" s="14" t="s">
        <v>50</v>
      </c>
      <c r="E5054" s="13" t="s">
        <v>61</v>
      </c>
      <c r="F5054" s="13" t="s">
        <v>1750</v>
      </c>
      <c r="G5054" s="13">
        <v>0.67999999999999983</v>
      </c>
      <c r="H5054" s="15">
        <v>6852</v>
      </c>
      <c r="I5054" s="16">
        <v>4659.3599999999997</v>
      </c>
      <c r="J5054" s="16">
        <v>4567.9581915507979</v>
      </c>
      <c r="K5054" s="16">
        <v>91.401808449200729</v>
      </c>
      <c r="L5054" s="13">
        <v>1.69</v>
      </c>
      <c r="M5054" s="13"/>
      <c r="N5054" s="17">
        <f t="shared" si="167"/>
        <v>11579.88</v>
      </c>
      <c r="O5054" s="17">
        <f t="shared" si="167"/>
        <v>0</v>
      </c>
      <c r="P5054" s="17">
        <f t="shared" si="166"/>
        <v>11579.88</v>
      </c>
      <c r="Q5054" t="str">
        <f>A5054&amp;"-"&amp;B5054&amp;"-"&amp;D5054</f>
        <v>OKTOBER-MJ2-L2</v>
      </c>
    </row>
    <row r="5055" spans="1:17" x14ac:dyDescent="0.25">
      <c r="A5055" t="s">
        <v>400</v>
      </c>
      <c r="B5055" s="13" t="s">
        <v>26</v>
      </c>
      <c r="C5055" s="13" t="s">
        <v>226</v>
      </c>
      <c r="D5055" s="14" t="s">
        <v>50</v>
      </c>
      <c r="E5055" s="13" t="s">
        <v>61</v>
      </c>
      <c r="F5055" s="13" t="s">
        <v>1751</v>
      </c>
      <c r="G5055" s="13">
        <v>0.65</v>
      </c>
      <c r="H5055" s="15">
        <v>636</v>
      </c>
      <c r="I5055" s="16">
        <v>413.4</v>
      </c>
      <c r="J5055" s="16">
        <v>404.8068307007955</v>
      </c>
      <c r="K5055" s="16">
        <v>8.5931692992044564</v>
      </c>
      <c r="L5055" s="13">
        <v>1.81</v>
      </c>
      <c r="M5055" s="13"/>
      <c r="N5055" s="17">
        <f t="shared" si="167"/>
        <v>1151.1600000000001</v>
      </c>
      <c r="O5055" s="17">
        <f t="shared" si="167"/>
        <v>0</v>
      </c>
      <c r="P5055" s="17">
        <f t="shared" si="166"/>
        <v>1151.1600000000001</v>
      </c>
      <c r="Q5055" t="str">
        <f>A5055&amp;"-"&amp;B5055&amp;"-"&amp;D5055</f>
        <v>OKTOBER-MJ2-L2</v>
      </c>
    </row>
    <row r="5056" spans="1:17" x14ac:dyDescent="0.25">
      <c r="A5056" t="s">
        <v>400</v>
      </c>
      <c r="B5056" s="13" t="s">
        <v>26</v>
      </c>
      <c r="C5056" s="13" t="s">
        <v>226</v>
      </c>
      <c r="D5056" s="14" t="s">
        <v>50</v>
      </c>
      <c r="E5056" s="13" t="s">
        <v>61</v>
      </c>
      <c r="F5056" s="13" t="s">
        <v>1786</v>
      </c>
      <c r="G5056" s="13">
        <v>0.70000000000000007</v>
      </c>
      <c r="H5056" s="15">
        <v>10837</v>
      </c>
      <c r="I5056" s="16">
        <v>7585.9000000000015</v>
      </c>
      <c r="J5056" s="16">
        <v>5634.3606700058162</v>
      </c>
      <c r="K5056" s="16">
        <v>1951.5393299941841</v>
      </c>
      <c r="L5056" s="13">
        <v>1.76</v>
      </c>
      <c r="M5056" s="13"/>
      <c r="N5056" s="17">
        <f t="shared" si="167"/>
        <v>19073.12</v>
      </c>
      <c r="O5056" s="17">
        <f t="shared" si="167"/>
        <v>0</v>
      </c>
      <c r="P5056" s="17">
        <f t="shared" si="166"/>
        <v>19073.12</v>
      </c>
      <c r="Q5056" t="str">
        <f>A5056&amp;"-"&amp;B5056&amp;"-"&amp;D5056</f>
        <v>OKTOBER-MJ2-L2</v>
      </c>
    </row>
    <row r="5057" spans="1:17" x14ac:dyDescent="0.25">
      <c r="A5057" t="s">
        <v>400</v>
      </c>
      <c r="B5057" s="13" t="s">
        <v>26</v>
      </c>
      <c r="C5057" s="13" t="s">
        <v>226</v>
      </c>
      <c r="D5057" s="14" t="s">
        <v>50</v>
      </c>
      <c r="E5057" s="13" t="s">
        <v>61</v>
      </c>
      <c r="F5057" s="13" t="s">
        <v>1787</v>
      </c>
      <c r="G5057" s="13">
        <v>0.68</v>
      </c>
      <c r="H5057" s="15">
        <v>713</v>
      </c>
      <c r="I5057" s="16">
        <v>484.84</v>
      </c>
      <c r="J5057" s="16">
        <v>394.74977493706575</v>
      </c>
      <c r="K5057" s="16">
        <v>90.090225062934252</v>
      </c>
      <c r="L5057" s="13">
        <v>1.88</v>
      </c>
      <c r="M5057" s="13"/>
      <c r="N5057" s="17">
        <f t="shared" si="167"/>
        <v>1340.4399999999998</v>
      </c>
      <c r="O5057" s="17">
        <f t="shared" si="167"/>
        <v>0</v>
      </c>
      <c r="P5057" s="17">
        <f t="shared" si="166"/>
        <v>1340.4399999999998</v>
      </c>
      <c r="Q5057" t="str">
        <f>A5057&amp;"-"&amp;B5057&amp;"-"&amp;D5057</f>
        <v>OKTOBER-MJ2-L2</v>
      </c>
    </row>
    <row r="5058" spans="1:17" x14ac:dyDescent="0.25">
      <c r="A5058" t="s">
        <v>400</v>
      </c>
      <c r="B5058" s="13" t="s">
        <v>26</v>
      </c>
      <c r="C5058" s="13" t="s">
        <v>226</v>
      </c>
      <c r="D5058" s="14" t="s">
        <v>50</v>
      </c>
      <c r="E5058" s="13" t="s">
        <v>61</v>
      </c>
      <c r="F5058" s="13" t="s">
        <v>1788</v>
      </c>
      <c r="G5058" s="13">
        <v>0.83</v>
      </c>
      <c r="H5058" s="15">
        <v>6391</v>
      </c>
      <c r="I5058" s="16">
        <v>5304.53</v>
      </c>
      <c r="J5058" s="16">
        <v>4087.9053628492661</v>
      </c>
      <c r="K5058" s="16">
        <v>1216.6246371507334</v>
      </c>
      <c r="L5058" s="13">
        <v>2.13</v>
      </c>
      <c r="M5058" s="13"/>
      <c r="N5058" s="17">
        <f t="shared" si="167"/>
        <v>13612.83</v>
      </c>
      <c r="O5058" s="17">
        <f t="shared" si="167"/>
        <v>0</v>
      </c>
      <c r="P5058" s="17">
        <f t="shared" ref="P5058:P5121" si="168">N5058+O5058</f>
        <v>13612.83</v>
      </c>
      <c r="Q5058" t="str">
        <f>A5058&amp;"-"&amp;B5058&amp;"-"&amp;D5058</f>
        <v>OKTOBER-MJ2-L2</v>
      </c>
    </row>
    <row r="5059" spans="1:17" x14ac:dyDescent="0.25">
      <c r="A5059" t="s">
        <v>400</v>
      </c>
      <c r="B5059" s="13" t="s">
        <v>26</v>
      </c>
      <c r="C5059" s="13" t="s">
        <v>226</v>
      </c>
      <c r="D5059" s="14" t="s">
        <v>50</v>
      </c>
      <c r="E5059" s="13" t="s">
        <v>61</v>
      </c>
      <c r="F5059" s="13" t="s">
        <v>1789</v>
      </c>
      <c r="G5059" s="13">
        <v>0.78</v>
      </c>
      <c r="H5059" s="15">
        <v>665</v>
      </c>
      <c r="I5059" s="16">
        <v>518.70000000000005</v>
      </c>
      <c r="J5059" s="16">
        <v>523.13333333333333</v>
      </c>
      <c r="K5059" s="16">
        <v>-4.4333333333332803</v>
      </c>
      <c r="L5059" s="13">
        <v>2.29</v>
      </c>
      <c r="M5059" s="13"/>
      <c r="N5059" s="17">
        <f t="shared" si="167"/>
        <v>1522.8500000000001</v>
      </c>
      <c r="O5059" s="17">
        <f t="shared" si="167"/>
        <v>0</v>
      </c>
      <c r="P5059" s="17">
        <f t="shared" si="168"/>
        <v>1522.8500000000001</v>
      </c>
      <c r="Q5059" t="str">
        <f>A5059&amp;"-"&amp;B5059&amp;"-"&amp;D5059</f>
        <v>OKTOBER-MJ2-L2</v>
      </c>
    </row>
    <row r="5060" spans="1:17" x14ac:dyDescent="0.25">
      <c r="A5060" t="s">
        <v>400</v>
      </c>
      <c r="B5060" s="13" t="s">
        <v>26</v>
      </c>
      <c r="C5060" s="13" t="s">
        <v>226</v>
      </c>
      <c r="D5060" s="14" t="s">
        <v>50</v>
      </c>
      <c r="E5060" s="13" t="s">
        <v>61</v>
      </c>
      <c r="F5060" s="13" t="s">
        <v>1790</v>
      </c>
      <c r="G5060" s="13">
        <v>0.7</v>
      </c>
      <c r="H5060" s="15">
        <v>6270</v>
      </c>
      <c r="I5060" s="16">
        <v>4389</v>
      </c>
      <c r="J5060" s="16">
        <v>4101.0346278317156</v>
      </c>
      <c r="K5060" s="16">
        <v>287.96537216828494</v>
      </c>
      <c r="L5060" s="13">
        <v>1.76</v>
      </c>
      <c r="M5060" s="13"/>
      <c r="N5060" s="17">
        <f t="shared" si="167"/>
        <v>11035.2</v>
      </c>
      <c r="O5060" s="17">
        <f t="shared" si="167"/>
        <v>0</v>
      </c>
      <c r="P5060" s="17">
        <f t="shared" si="168"/>
        <v>11035.2</v>
      </c>
      <c r="Q5060" t="str">
        <f>A5060&amp;"-"&amp;B5060&amp;"-"&amp;D5060</f>
        <v>OKTOBER-MJ2-L2</v>
      </c>
    </row>
    <row r="5061" spans="1:17" x14ac:dyDescent="0.25">
      <c r="A5061" t="s">
        <v>400</v>
      </c>
      <c r="B5061" s="13" t="s">
        <v>26</v>
      </c>
      <c r="C5061" s="13" t="s">
        <v>226</v>
      </c>
      <c r="D5061" s="14" t="s">
        <v>50</v>
      </c>
      <c r="E5061" s="13" t="s">
        <v>61</v>
      </c>
      <c r="F5061" s="13" t="s">
        <v>1592</v>
      </c>
      <c r="G5061" s="13">
        <v>0.7</v>
      </c>
      <c r="H5061" s="15">
        <v>4516</v>
      </c>
      <c r="I5061" s="16">
        <v>3161.2000000000003</v>
      </c>
      <c r="J5061" s="16">
        <v>2473.3266359571899</v>
      </c>
      <c r="K5061" s="16">
        <v>687.87336404280973</v>
      </c>
      <c r="L5061" s="13">
        <v>1.76</v>
      </c>
      <c r="M5061" s="13"/>
      <c r="N5061" s="17">
        <f t="shared" si="167"/>
        <v>7948.16</v>
      </c>
      <c r="O5061" s="17">
        <f t="shared" si="167"/>
        <v>0</v>
      </c>
      <c r="P5061" s="17">
        <f t="shared" si="168"/>
        <v>7948.16</v>
      </c>
      <c r="Q5061" t="str">
        <f>A5061&amp;"-"&amp;B5061&amp;"-"&amp;D5061</f>
        <v>OKTOBER-MJ2-L2</v>
      </c>
    </row>
    <row r="5062" spans="1:17" x14ac:dyDescent="0.25">
      <c r="A5062" t="s">
        <v>400</v>
      </c>
      <c r="B5062" s="13" t="s">
        <v>26</v>
      </c>
      <c r="C5062" s="13" t="s">
        <v>226</v>
      </c>
      <c r="D5062" s="14" t="s">
        <v>50</v>
      </c>
      <c r="E5062" s="13" t="s">
        <v>61</v>
      </c>
      <c r="F5062" s="13" t="s">
        <v>1791</v>
      </c>
      <c r="G5062" s="13">
        <v>0.68</v>
      </c>
      <c r="H5062" s="15">
        <v>230</v>
      </c>
      <c r="I5062" s="16">
        <v>156.4</v>
      </c>
      <c r="J5062" s="16">
        <v>135.69999999999999</v>
      </c>
      <c r="K5062" s="16">
        <v>20.700000000000017</v>
      </c>
      <c r="L5062" s="13">
        <v>1.88</v>
      </c>
      <c r="M5062" s="13"/>
      <c r="N5062" s="17">
        <f t="shared" si="167"/>
        <v>432.4</v>
      </c>
      <c r="O5062" s="17">
        <f t="shared" si="167"/>
        <v>0</v>
      </c>
      <c r="P5062" s="17">
        <f t="shared" si="168"/>
        <v>432.4</v>
      </c>
      <c r="Q5062" t="str">
        <f>A5062&amp;"-"&amp;B5062&amp;"-"&amp;D5062</f>
        <v>OKTOBER-MJ2-L2</v>
      </c>
    </row>
    <row r="5063" spans="1:17" x14ac:dyDescent="0.25">
      <c r="A5063" t="s">
        <v>400</v>
      </c>
      <c r="B5063" s="13" t="s">
        <v>26</v>
      </c>
      <c r="C5063" s="13" t="s">
        <v>226</v>
      </c>
      <c r="D5063" s="14" t="s">
        <v>50</v>
      </c>
      <c r="E5063" s="13" t="s">
        <v>61</v>
      </c>
      <c r="F5063" s="13" t="s">
        <v>1792</v>
      </c>
      <c r="G5063" s="13">
        <v>0.68</v>
      </c>
      <c r="H5063" s="15">
        <v>1891</v>
      </c>
      <c r="I5063" s="16">
        <v>1285.8800000000003</v>
      </c>
      <c r="J5063" s="16">
        <v>1041.0245728340185</v>
      </c>
      <c r="K5063" s="16">
        <v>244.85542716598152</v>
      </c>
      <c r="L5063" s="13">
        <v>1.88</v>
      </c>
      <c r="M5063" s="13"/>
      <c r="N5063" s="17">
        <f t="shared" si="167"/>
        <v>3555.08</v>
      </c>
      <c r="O5063" s="17">
        <f t="shared" si="167"/>
        <v>0</v>
      </c>
      <c r="P5063" s="17">
        <f t="shared" si="168"/>
        <v>3555.08</v>
      </c>
      <c r="Q5063" t="str">
        <f>A5063&amp;"-"&amp;B5063&amp;"-"&amp;D5063</f>
        <v>OKTOBER-MJ2-L2</v>
      </c>
    </row>
    <row r="5064" spans="1:17" x14ac:dyDescent="0.25">
      <c r="A5064" t="s">
        <v>400</v>
      </c>
      <c r="B5064" s="13" t="s">
        <v>26</v>
      </c>
      <c r="C5064" s="13" t="s">
        <v>226</v>
      </c>
      <c r="D5064" s="14" t="s">
        <v>56</v>
      </c>
      <c r="E5064" s="13" t="s">
        <v>61</v>
      </c>
      <c r="F5064" s="13" t="s">
        <v>1750</v>
      </c>
      <c r="G5064" s="13">
        <v>0.67999999999999983</v>
      </c>
      <c r="H5064" s="15">
        <v>6857</v>
      </c>
      <c r="I5064" s="16">
        <v>4662.7600000000011</v>
      </c>
      <c r="J5064" s="16">
        <v>4570.7111662021989</v>
      </c>
      <c r="K5064" s="16">
        <v>92.048833797799986</v>
      </c>
      <c r="L5064" s="13">
        <v>1.69</v>
      </c>
      <c r="M5064" s="13"/>
      <c r="N5064" s="17">
        <f t="shared" si="167"/>
        <v>11588.33</v>
      </c>
      <c r="O5064" s="17">
        <f t="shared" si="167"/>
        <v>0</v>
      </c>
      <c r="P5064" s="17">
        <f t="shared" si="168"/>
        <v>11588.33</v>
      </c>
      <c r="Q5064" t="str">
        <f>A5064&amp;"-"&amp;B5064&amp;"-"&amp;D5064</f>
        <v>OKTOBER-MJ2-L3</v>
      </c>
    </row>
    <row r="5065" spans="1:17" x14ac:dyDescent="0.25">
      <c r="A5065" t="s">
        <v>400</v>
      </c>
      <c r="B5065" s="13" t="s">
        <v>26</v>
      </c>
      <c r="C5065" s="13" t="s">
        <v>226</v>
      </c>
      <c r="D5065" s="14" t="s">
        <v>56</v>
      </c>
      <c r="E5065" s="13" t="s">
        <v>61</v>
      </c>
      <c r="F5065" s="13" t="s">
        <v>1751</v>
      </c>
      <c r="G5065" s="13">
        <v>0.65</v>
      </c>
      <c r="H5065" s="15">
        <v>636</v>
      </c>
      <c r="I5065" s="16">
        <v>413.40000000000003</v>
      </c>
      <c r="J5065" s="16">
        <v>404.82430948253773</v>
      </c>
      <c r="K5065" s="16">
        <v>8.5756905174623075</v>
      </c>
      <c r="L5065" s="13">
        <v>1.81</v>
      </c>
      <c r="M5065" s="13"/>
      <c r="N5065" s="17">
        <f t="shared" si="167"/>
        <v>1151.1600000000001</v>
      </c>
      <c r="O5065" s="17">
        <f t="shared" si="167"/>
        <v>0</v>
      </c>
      <c r="P5065" s="17">
        <f t="shared" si="168"/>
        <v>1151.1600000000001</v>
      </c>
      <c r="Q5065" t="str">
        <f>A5065&amp;"-"&amp;B5065&amp;"-"&amp;D5065</f>
        <v>OKTOBER-MJ2-L3</v>
      </c>
    </row>
    <row r="5066" spans="1:17" x14ac:dyDescent="0.25">
      <c r="A5066" t="s">
        <v>400</v>
      </c>
      <c r="B5066" s="13" t="s">
        <v>26</v>
      </c>
      <c r="C5066" s="13" t="s">
        <v>226</v>
      </c>
      <c r="D5066" s="14" t="s">
        <v>56</v>
      </c>
      <c r="E5066" s="13" t="s">
        <v>61</v>
      </c>
      <c r="F5066" s="13" t="s">
        <v>1786</v>
      </c>
      <c r="G5066" s="13">
        <v>0.70000000000000007</v>
      </c>
      <c r="H5066" s="15">
        <v>10835</v>
      </c>
      <c r="I5066" s="16">
        <v>7584.5</v>
      </c>
      <c r="J5066" s="16">
        <v>5633.2933623144809</v>
      </c>
      <c r="K5066" s="16">
        <v>1951.2066376855187</v>
      </c>
      <c r="L5066" s="13">
        <v>1.76</v>
      </c>
      <c r="M5066" s="13"/>
      <c r="N5066" s="17">
        <f t="shared" si="167"/>
        <v>19069.599999999999</v>
      </c>
      <c r="O5066" s="17">
        <f t="shared" si="167"/>
        <v>0</v>
      </c>
      <c r="P5066" s="17">
        <f t="shared" si="168"/>
        <v>19069.599999999999</v>
      </c>
      <c r="Q5066" t="str">
        <f>A5066&amp;"-"&amp;B5066&amp;"-"&amp;D5066</f>
        <v>OKTOBER-MJ2-L3</v>
      </c>
    </row>
    <row r="5067" spans="1:17" x14ac:dyDescent="0.25">
      <c r="A5067" t="s">
        <v>400</v>
      </c>
      <c r="B5067" s="13" t="s">
        <v>26</v>
      </c>
      <c r="C5067" s="13" t="s">
        <v>226</v>
      </c>
      <c r="D5067" s="14" t="s">
        <v>56</v>
      </c>
      <c r="E5067" s="13" t="s">
        <v>61</v>
      </c>
      <c r="F5067" s="13" t="s">
        <v>1787</v>
      </c>
      <c r="G5067" s="13">
        <v>0.68</v>
      </c>
      <c r="H5067" s="15">
        <v>712</v>
      </c>
      <c r="I5067" s="16">
        <v>484.15999999999997</v>
      </c>
      <c r="J5067" s="16">
        <v>394.14217005016968</v>
      </c>
      <c r="K5067" s="16">
        <v>90.017829949830315</v>
      </c>
      <c r="L5067" s="13">
        <v>1.88</v>
      </c>
      <c r="M5067" s="13"/>
      <c r="N5067" s="17">
        <f t="shared" si="167"/>
        <v>1338.56</v>
      </c>
      <c r="O5067" s="17">
        <f t="shared" si="167"/>
        <v>0</v>
      </c>
      <c r="P5067" s="17">
        <f t="shared" si="168"/>
        <v>1338.56</v>
      </c>
      <c r="Q5067" t="str">
        <f>A5067&amp;"-"&amp;B5067&amp;"-"&amp;D5067</f>
        <v>OKTOBER-MJ2-L3</v>
      </c>
    </row>
    <row r="5068" spans="1:17" x14ac:dyDescent="0.25">
      <c r="A5068" t="s">
        <v>400</v>
      </c>
      <c r="B5068" s="13" t="s">
        <v>26</v>
      </c>
      <c r="C5068" s="13" t="s">
        <v>226</v>
      </c>
      <c r="D5068" s="14" t="s">
        <v>56</v>
      </c>
      <c r="E5068" s="13" t="s">
        <v>61</v>
      </c>
      <c r="F5068" s="13" t="s">
        <v>1788</v>
      </c>
      <c r="G5068" s="13">
        <v>0.83</v>
      </c>
      <c r="H5068" s="15">
        <v>6389</v>
      </c>
      <c r="I5068" s="16">
        <v>5302.87</v>
      </c>
      <c r="J5068" s="16">
        <v>4086.952303786109</v>
      </c>
      <c r="K5068" s="16">
        <v>1215.9176962138908</v>
      </c>
      <c r="L5068" s="13">
        <v>2.13</v>
      </c>
      <c r="M5068" s="13"/>
      <c r="N5068" s="17">
        <f t="shared" si="167"/>
        <v>13608.57</v>
      </c>
      <c r="O5068" s="17">
        <f t="shared" si="167"/>
        <v>0</v>
      </c>
      <c r="P5068" s="17">
        <f t="shared" si="168"/>
        <v>13608.57</v>
      </c>
      <c r="Q5068" t="str">
        <f>A5068&amp;"-"&amp;B5068&amp;"-"&amp;D5068</f>
        <v>OKTOBER-MJ2-L3</v>
      </c>
    </row>
    <row r="5069" spans="1:17" x14ac:dyDescent="0.25">
      <c r="A5069" t="s">
        <v>400</v>
      </c>
      <c r="B5069" s="13" t="s">
        <v>26</v>
      </c>
      <c r="C5069" s="13" t="s">
        <v>226</v>
      </c>
      <c r="D5069" s="14" t="s">
        <v>56</v>
      </c>
      <c r="E5069" s="13" t="s">
        <v>61</v>
      </c>
      <c r="F5069" s="13" t="s">
        <v>1789</v>
      </c>
      <c r="G5069" s="13">
        <v>0.78</v>
      </c>
      <c r="H5069" s="15">
        <v>665</v>
      </c>
      <c r="I5069" s="16">
        <v>518.70000000000005</v>
      </c>
      <c r="J5069" s="16">
        <v>523.13333333333333</v>
      </c>
      <c r="K5069" s="16">
        <v>-4.4333333333332803</v>
      </c>
      <c r="L5069" s="13">
        <v>2.29</v>
      </c>
      <c r="M5069" s="13"/>
      <c r="N5069" s="17">
        <f t="shared" si="167"/>
        <v>1522.8500000000001</v>
      </c>
      <c r="O5069" s="17">
        <f t="shared" si="167"/>
        <v>0</v>
      </c>
      <c r="P5069" s="17">
        <f t="shared" si="168"/>
        <v>1522.8500000000001</v>
      </c>
      <c r="Q5069" t="str">
        <f>A5069&amp;"-"&amp;B5069&amp;"-"&amp;D5069</f>
        <v>OKTOBER-MJ2-L3</v>
      </c>
    </row>
    <row r="5070" spans="1:17" x14ac:dyDescent="0.25">
      <c r="A5070" t="s">
        <v>400</v>
      </c>
      <c r="B5070" s="13" t="s">
        <v>26</v>
      </c>
      <c r="C5070" s="13" t="s">
        <v>226</v>
      </c>
      <c r="D5070" s="14" t="s">
        <v>56</v>
      </c>
      <c r="E5070" s="13" t="s">
        <v>61</v>
      </c>
      <c r="F5070" s="13" t="s">
        <v>1790</v>
      </c>
      <c r="G5070" s="13">
        <v>0.7</v>
      </c>
      <c r="H5070" s="15">
        <v>6270</v>
      </c>
      <c r="I5070" s="16">
        <v>4389</v>
      </c>
      <c r="J5070" s="16">
        <v>4100.3677015955154</v>
      </c>
      <c r="K5070" s="16">
        <v>288.63229840448469</v>
      </c>
      <c r="L5070" s="13">
        <v>1.76</v>
      </c>
      <c r="M5070" s="13"/>
      <c r="N5070" s="17">
        <f t="shared" si="167"/>
        <v>11035.2</v>
      </c>
      <c r="O5070" s="17">
        <f t="shared" si="167"/>
        <v>0</v>
      </c>
      <c r="P5070" s="17">
        <f t="shared" si="168"/>
        <v>11035.2</v>
      </c>
      <c r="Q5070" t="str">
        <f>A5070&amp;"-"&amp;B5070&amp;"-"&amp;D5070</f>
        <v>OKTOBER-MJ2-L3</v>
      </c>
    </row>
    <row r="5071" spans="1:17" x14ac:dyDescent="0.25">
      <c r="A5071" t="s">
        <v>400</v>
      </c>
      <c r="B5071" s="13" t="s">
        <v>26</v>
      </c>
      <c r="C5071" s="13" t="s">
        <v>226</v>
      </c>
      <c r="D5071" s="14" t="s">
        <v>56</v>
      </c>
      <c r="E5071" s="13" t="s">
        <v>61</v>
      </c>
      <c r="F5071" s="13" t="s">
        <v>1592</v>
      </c>
      <c r="G5071" s="13">
        <v>0.7</v>
      </c>
      <c r="H5071" s="15">
        <v>4519</v>
      </c>
      <c r="I5071" s="16">
        <v>3163.2999999999997</v>
      </c>
      <c r="J5071" s="16">
        <v>2474.9482871650484</v>
      </c>
      <c r="K5071" s="16">
        <v>688.35171283495151</v>
      </c>
      <c r="L5071" s="13">
        <v>1.76</v>
      </c>
      <c r="M5071" s="13"/>
      <c r="N5071" s="17">
        <f t="shared" si="167"/>
        <v>7953.44</v>
      </c>
      <c r="O5071" s="17">
        <f t="shared" si="167"/>
        <v>0</v>
      </c>
      <c r="P5071" s="17">
        <f t="shared" si="168"/>
        <v>7953.44</v>
      </c>
      <c r="Q5071" t="str">
        <f>A5071&amp;"-"&amp;B5071&amp;"-"&amp;D5071</f>
        <v>OKTOBER-MJ2-L3</v>
      </c>
    </row>
    <row r="5072" spans="1:17" x14ac:dyDescent="0.25">
      <c r="A5072" t="s">
        <v>400</v>
      </c>
      <c r="B5072" s="13" t="s">
        <v>26</v>
      </c>
      <c r="C5072" s="13" t="s">
        <v>226</v>
      </c>
      <c r="D5072" s="14" t="s">
        <v>56</v>
      </c>
      <c r="E5072" s="13" t="s">
        <v>61</v>
      </c>
      <c r="F5072" s="13" t="s">
        <v>1791</v>
      </c>
      <c r="G5072" s="13">
        <v>0.68</v>
      </c>
      <c r="H5072" s="15">
        <v>230</v>
      </c>
      <c r="I5072" s="16">
        <v>156.4</v>
      </c>
      <c r="J5072" s="16">
        <v>135.69999999999999</v>
      </c>
      <c r="K5072" s="16">
        <v>20.700000000000017</v>
      </c>
      <c r="L5072" s="13">
        <v>1.88</v>
      </c>
      <c r="M5072" s="13"/>
      <c r="N5072" s="17">
        <f t="shared" si="167"/>
        <v>432.4</v>
      </c>
      <c r="O5072" s="17">
        <f t="shared" si="167"/>
        <v>0</v>
      </c>
      <c r="P5072" s="17">
        <f t="shared" si="168"/>
        <v>432.4</v>
      </c>
      <c r="Q5072" t="str">
        <f>A5072&amp;"-"&amp;B5072&amp;"-"&amp;D5072</f>
        <v>OKTOBER-MJ2-L3</v>
      </c>
    </row>
    <row r="5073" spans="1:17" x14ac:dyDescent="0.25">
      <c r="A5073" t="s">
        <v>400</v>
      </c>
      <c r="B5073" s="13" t="s">
        <v>26</v>
      </c>
      <c r="C5073" s="13" t="s">
        <v>226</v>
      </c>
      <c r="D5073" s="14" t="s">
        <v>56</v>
      </c>
      <c r="E5073" s="13" t="s">
        <v>61</v>
      </c>
      <c r="F5073" s="13" t="s">
        <v>1792</v>
      </c>
      <c r="G5073" s="13">
        <v>0.68</v>
      </c>
      <c r="H5073" s="15">
        <v>1889</v>
      </c>
      <c r="I5073" s="16">
        <v>1284.52</v>
      </c>
      <c r="J5073" s="16">
        <v>1039.9273660706049</v>
      </c>
      <c r="K5073" s="16">
        <v>244.59263392939513</v>
      </c>
      <c r="L5073" s="13">
        <v>1.88</v>
      </c>
      <c r="M5073" s="13"/>
      <c r="N5073" s="17">
        <f t="shared" si="167"/>
        <v>3551.3199999999997</v>
      </c>
      <c r="O5073" s="17">
        <f t="shared" si="167"/>
        <v>0</v>
      </c>
      <c r="P5073" s="17">
        <f t="shared" si="168"/>
        <v>3551.3199999999997</v>
      </c>
      <c r="Q5073" t="str">
        <f>A5073&amp;"-"&amp;B5073&amp;"-"&amp;D5073</f>
        <v>OKTOBER-MJ2-L3</v>
      </c>
    </row>
    <row r="5074" spans="1:17" x14ac:dyDescent="0.25">
      <c r="A5074" t="s">
        <v>400</v>
      </c>
      <c r="B5074" s="13" t="s">
        <v>26</v>
      </c>
      <c r="C5074" s="13" t="s">
        <v>226</v>
      </c>
      <c r="D5074" s="14" t="s">
        <v>158</v>
      </c>
      <c r="E5074" s="13" t="s">
        <v>61</v>
      </c>
      <c r="F5074" s="13" t="s">
        <v>1561</v>
      </c>
      <c r="G5074" s="13">
        <v>0.68</v>
      </c>
      <c r="H5074" s="15">
        <v>7</v>
      </c>
      <c r="I5074" s="16">
        <v>4.76</v>
      </c>
      <c r="J5074" s="16">
        <v>4.1997561158705956</v>
      </c>
      <c r="K5074" s="16">
        <v>0.56024388412940485</v>
      </c>
      <c r="L5074" s="13">
        <v>1.69</v>
      </c>
      <c r="M5074" s="13"/>
      <c r="N5074" s="17">
        <f t="shared" si="167"/>
        <v>11.83</v>
      </c>
      <c r="O5074" s="17">
        <f t="shared" si="167"/>
        <v>0</v>
      </c>
      <c r="P5074" s="17">
        <f t="shared" si="168"/>
        <v>11.83</v>
      </c>
      <c r="Q5074" t="str">
        <f>A5074&amp;"-"&amp;B5074&amp;"-"&amp;D5074</f>
        <v>OKTOBER-MJ2-L4</v>
      </c>
    </row>
    <row r="5075" spans="1:17" x14ac:dyDescent="0.25">
      <c r="A5075" t="s">
        <v>400</v>
      </c>
      <c r="B5075" s="13" t="s">
        <v>26</v>
      </c>
      <c r="C5075" s="13" t="s">
        <v>226</v>
      </c>
      <c r="D5075" s="14" t="s">
        <v>158</v>
      </c>
      <c r="E5075" s="13" t="s">
        <v>61</v>
      </c>
      <c r="F5075" s="13" t="s">
        <v>1793</v>
      </c>
      <c r="G5075" s="13">
        <v>0.68</v>
      </c>
      <c r="H5075" s="15">
        <v>3089</v>
      </c>
      <c r="I5075" s="16">
        <v>2100.52</v>
      </c>
      <c r="J5075" s="16">
        <v>1891.6352250366338</v>
      </c>
      <c r="K5075" s="16">
        <v>208.88477496336623</v>
      </c>
      <c r="L5075" s="13">
        <v>1.69</v>
      </c>
      <c r="M5075" s="13"/>
      <c r="N5075" s="17">
        <f t="shared" si="167"/>
        <v>5220.41</v>
      </c>
      <c r="O5075" s="17">
        <f t="shared" si="167"/>
        <v>0</v>
      </c>
      <c r="P5075" s="17">
        <f t="shared" si="168"/>
        <v>5220.41</v>
      </c>
      <c r="Q5075" t="str">
        <f>A5075&amp;"-"&amp;B5075&amp;"-"&amp;D5075</f>
        <v>OKTOBER-MJ2-L4</v>
      </c>
    </row>
    <row r="5076" spans="1:17" x14ac:dyDescent="0.25">
      <c r="A5076" t="s">
        <v>400</v>
      </c>
      <c r="B5076" s="13" t="s">
        <v>26</v>
      </c>
      <c r="C5076" s="13" t="s">
        <v>226</v>
      </c>
      <c r="D5076" s="14" t="s">
        <v>158</v>
      </c>
      <c r="E5076" s="13" t="s">
        <v>61</v>
      </c>
      <c r="F5076" s="13" t="s">
        <v>1794</v>
      </c>
      <c r="G5076" s="13">
        <v>0.67999999999999994</v>
      </c>
      <c r="H5076" s="15">
        <v>4077</v>
      </c>
      <c r="I5076" s="16">
        <v>2772.36</v>
      </c>
      <c r="J5076" s="16">
        <v>2405.6985211276983</v>
      </c>
      <c r="K5076" s="16">
        <v>366.66147887230164</v>
      </c>
      <c r="L5076" s="13">
        <v>1.69</v>
      </c>
      <c r="M5076" s="13"/>
      <c r="N5076" s="17">
        <f t="shared" si="167"/>
        <v>6890.13</v>
      </c>
      <c r="O5076" s="17">
        <f t="shared" si="167"/>
        <v>0</v>
      </c>
      <c r="P5076" s="17">
        <f t="shared" si="168"/>
        <v>6890.13</v>
      </c>
      <c r="Q5076" t="str">
        <f>A5076&amp;"-"&amp;B5076&amp;"-"&amp;D5076</f>
        <v>OKTOBER-MJ2-L4</v>
      </c>
    </row>
    <row r="5077" spans="1:17" x14ac:dyDescent="0.25">
      <c r="A5077" t="s">
        <v>400</v>
      </c>
      <c r="B5077" s="13" t="s">
        <v>26</v>
      </c>
      <c r="C5077" s="13" t="s">
        <v>226</v>
      </c>
      <c r="D5077" s="14" t="s">
        <v>158</v>
      </c>
      <c r="E5077" s="13" t="s">
        <v>61</v>
      </c>
      <c r="F5077" s="13" t="s">
        <v>1795</v>
      </c>
      <c r="G5077" s="13">
        <v>0.65</v>
      </c>
      <c r="H5077" s="15">
        <v>293</v>
      </c>
      <c r="I5077" s="16">
        <v>190.45</v>
      </c>
      <c r="J5077" s="16">
        <v>179.48260407733295</v>
      </c>
      <c r="K5077" s="16">
        <v>10.96739592266707</v>
      </c>
      <c r="L5077" s="13">
        <v>1.81</v>
      </c>
      <c r="M5077" s="13"/>
      <c r="N5077" s="17">
        <f t="shared" si="167"/>
        <v>530.33000000000004</v>
      </c>
      <c r="O5077" s="17">
        <f t="shared" si="167"/>
        <v>0</v>
      </c>
      <c r="P5077" s="17">
        <f t="shared" si="168"/>
        <v>530.33000000000004</v>
      </c>
      <c r="Q5077" t="str">
        <f>A5077&amp;"-"&amp;B5077&amp;"-"&amp;D5077</f>
        <v>OKTOBER-MJ2-L4</v>
      </c>
    </row>
    <row r="5078" spans="1:17" x14ac:dyDescent="0.25">
      <c r="A5078" t="s">
        <v>400</v>
      </c>
      <c r="B5078" s="13" t="s">
        <v>26</v>
      </c>
      <c r="C5078" s="13" t="s">
        <v>226</v>
      </c>
      <c r="D5078" s="14" t="s">
        <v>158</v>
      </c>
      <c r="E5078" s="13" t="s">
        <v>61</v>
      </c>
      <c r="F5078" s="13" t="s">
        <v>1796</v>
      </c>
      <c r="G5078" s="13">
        <v>0.68</v>
      </c>
      <c r="H5078" s="15">
        <v>1597</v>
      </c>
      <c r="I5078" s="16">
        <v>1085.96</v>
      </c>
      <c r="J5078" s="16">
        <v>1014.1599057195554</v>
      </c>
      <c r="K5078" s="16">
        <v>71.800094280444583</v>
      </c>
      <c r="L5078" s="13">
        <v>1.69</v>
      </c>
      <c r="M5078" s="13"/>
      <c r="N5078" s="17">
        <f t="shared" si="167"/>
        <v>2698.93</v>
      </c>
      <c r="O5078" s="17">
        <f t="shared" si="167"/>
        <v>0</v>
      </c>
      <c r="P5078" s="17">
        <f t="shared" si="168"/>
        <v>2698.93</v>
      </c>
      <c r="Q5078" t="str">
        <f>A5078&amp;"-"&amp;B5078&amp;"-"&amp;D5078</f>
        <v>OKTOBER-MJ2-L4</v>
      </c>
    </row>
    <row r="5079" spans="1:17" x14ac:dyDescent="0.25">
      <c r="A5079" t="s">
        <v>400</v>
      </c>
      <c r="B5079" s="13" t="s">
        <v>26</v>
      </c>
      <c r="C5079" s="13" t="s">
        <v>226</v>
      </c>
      <c r="D5079" s="14" t="s">
        <v>158</v>
      </c>
      <c r="E5079" s="13" t="s">
        <v>61</v>
      </c>
      <c r="F5079" s="13" t="s">
        <v>1563</v>
      </c>
      <c r="G5079" s="13">
        <v>0.71</v>
      </c>
      <c r="H5079" s="15">
        <v>1191</v>
      </c>
      <c r="I5079" s="16">
        <v>845.6099999999999</v>
      </c>
      <c r="J5079" s="16">
        <v>695.23955319342224</v>
      </c>
      <c r="K5079" s="16">
        <v>150.37044680657777</v>
      </c>
      <c r="L5079" s="13">
        <v>1.29</v>
      </c>
      <c r="M5079" s="13"/>
      <c r="N5079" s="17">
        <f t="shared" si="167"/>
        <v>1536.39</v>
      </c>
      <c r="O5079" s="17">
        <f t="shared" si="167"/>
        <v>0</v>
      </c>
      <c r="P5079" s="17">
        <f t="shared" si="168"/>
        <v>1536.39</v>
      </c>
      <c r="Q5079" t="str">
        <f>A5079&amp;"-"&amp;B5079&amp;"-"&amp;D5079</f>
        <v>OKTOBER-MJ2-L4</v>
      </c>
    </row>
    <row r="5080" spans="1:17" x14ac:dyDescent="0.25">
      <c r="A5080" t="s">
        <v>400</v>
      </c>
      <c r="B5080" s="13" t="s">
        <v>26</v>
      </c>
      <c r="C5080" s="13" t="s">
        <v>226</v>
      </c>
      <c r="D5080" s="14" t="s">
        <v>158</v>
      </c>
      <c r="E5080" s="13" t="s">
        <v>61</v>
      </c>
      <c r="F5080" s="13" t="s">
        <v>1597</v>
      </c>
      <c r="G5080" s="13">
        <v>0.68</v>
      </c>
      <c r="H5080" s="15">
        <v>2514</v>
      </c>
      <c r="I5080" s="16">
        <v>1709.5199999999998</v>
      </c>
      <c r="J5080" s="16">
        <v>1558.2803905455248</v>
      </c>
      <c r="K5080" s="16">
        <v>151.23960945447544</v>
      </c>
      <c r="L5080" s="13">
        <v>1.7</v>
      </c>
      <c r="M5080" s="13"/>
      <c r="N5080" s="17">
        <f t="shared" si="167"/>
        <v>4273.8</v>
      </c>
      <c r="O5080" s="17">
        <f t="shared" si="167"/>
        <v>0</v>
      </c>
      <c r="P5080" s="17">
        <f t="shared" si="168"/>
        <v>4273.8</v>
      </c>
      <c r="Q5080" t="str">
        <f>A5080&amp;"-"&amp;B5080&amp;"-"&amp;D5080</f>
        <v>OKTOBER-MJ2-L4</v>
      </c>
    </row>
    <row r="5081" spans="1:17" x14ac:dyDescent="0.25">
      <c r="A5081" t="s">
        <v>400</v>
      </c>
      <c r="B5081" s="13" t="s">
        <v>26</v>
      </c>
      <c r="C5081" s="13" t="s">
        <v>226</v>
      </c>
      <c r="D5081" s="14" t="s">
        <v>158</v>
      </c>
      <c r="E5081" s="13" t="s">
        <v>61</v>
      </c>
      <c r="F5081" s="13" t="s">
        <v>1777</v>
      </c>
      <c r="G5081" s="13">
        <v>0.83</v>
      </c>
      <c r="H5081" s="15">
        <v>1540</v>
      </c>
      <c r="I5081" s="16">
        <v>1278.2</v>
      </c>
      <c r="J5081" s="16">
        <v>1056.5361773917782</v>
      </c>
      <c r="K5081" s="16">
        <v>221.66382260822186</v>
      </c>
      <c r="L5081" s="13">
        <v>2.13</v>
      </c>
      <c r="M5081" s="13"/>
      <c r="N5081" s="17">
        <f t="shared" si="167"/>
        <v>3280.2</v>
      </c>
      <c r="O5081" s="17">
        <f t="shared" si="167"/>
        <v>0</v>
      </c>
      <c r="P5081" s="17">
        <f t="shared" si="168"/>
        <v>3280.2</v>
      </c>
      <c r="Q5081" t="str">
        <f>A5081&amp;"-"&amp;B5081&amp;"-"&amp;D5081</f>
        <v>OKTOBER-MJ2-L4</v>
      </c>
    </row>
    <row r="5082" spans="1:17" x14ac:dyDescent="0.25">
      <c r="A5082" t="s">
        <v>400</v>
      </c>
      <c r="B5082" s="13" t="s">
        <v>26</v>
      </c>
      <c r="C5082" s="13" t="s">
        <v>226</v>
      </c>
      <c r="D5082" s="14" t="s">
        <v>158</v>
      </c>
      <c r="E5082" s="13" t="s">
        <v>61</v>
      </c>
      <c r="F5082" s="13" t="s">
        <v>1778</v>
      </c>
      <c r="G5082" s="13">
        <v>0.78</v>
      </c>
      <c r="H5082" s="15">
        <v>104</v>
      </c>
      <c r="I5082" s="16">
        <v>81.12</v>
      </c>
      <c r="J5082" s="16">
        <v>66.676668694210676</v>
      </c>
      <c r="K5082" s="16">
        <v>14.443331305789323</v>
      </c>
      <c r="L5082" s="13">
        <v>2.29</v>
      </c>
      <c r="M5082" s="13"/>
      <c r="N5082" s="17">
        <f t="shared" si="167"/>
        <v>238.16</v>
      </c>
      <c r="O5082" s="17">
        <f t="shared" si="167"/>
        <v>0</v>
      </c>
      <c r="P5082" s="17">
        <f t="shared" si="168"/>
        <v>238.16</v>
      </c>
      <c r="Q5082" t="str">
        <f>A5082&amp;"-"&amp;B5082&amp;"-"&amp;D5082</f>
        <v>OKTOBER-MJ2-L4</v>
      </c>
    </row>
    <row r="5083" spans="1:17" x14ac:dyDescent="0.25">
      <c r="A5083" t="s">
        <v>400</v>
      </c>
      <c r="B5083" s="13" t="s">
        <v>26</v>
      </c>
      <c r="C5083" s="13" t="s">
        <v>226</v>
      </c>
      <c r="D5083" s="14" t="s">
        <v>158</v>
      </c>
      <c r="E5083" s="13" t="s">
        <v>61</v>
      </c>
      <c r="F5083" s="13" t="s">
        <v>1600</v>
      </c>
      <c r="G5083" s="13">
        <v>0.7599999999999999</v>
      </c>
      <c r="H5083" s="15">
        <v>3966</v>
      </c>
      <c r="I5083" s="16">
        <v>3014.16</v>
      </c>
      <c r="J5083" s="16">
        <v>2292.2266745936963</v>
      </c>
      <c r="K5083" s="16">
        <v>721.93332540630388</v>
      </c>
      <c r="L5083" s="13">
        <v>1.94</v>
      </c>
      <c r="M5083" s="13"/>
      <c r="N5083" s="17">
        <f t="shared" si="167"/>
        <v>7694.04</v>
      </c>
      <c r="O5083" s="17">
        <f t="shared" si="167"/>
        <v>0</v>
      </c>
      <c r="P5083" s="17">
        <f t="shared" si="168"/>
        <v>7694.04</v>
      </c>
      <c r="Q5083" t="str">
        <f>A5083&amp;"-"&amp;B5083&amp;"-"&amp;D5083</f>
        <v>OKTOBER-MJ2-L4</v>
      </c>
    </row>
    <row r="5084" spans="1:17" x14ac:dyDescent="0.25">
      <c r="A5084" t="s">
        <v>400</v>
      </c>
      <c r="B5084" s="13" t="s">
        <v>26</v>
      </c>
      <c r="C5084" s="13" t="s">
        <v>226</v>
      </c>
      <c r="D5084" s="14" t="s">
        <v>158</v>
      </c>
      <c r="E5084" s="13" t="s">
        <v>61</v>
      </c>
      <c r="F5084" s="13" t="s">
        <v>1797</v>
      </c>
      <c r="G5084" s="13">
        <v>0.69</v>
      </c>
      <c r="H5084" s="15">
        <v>1822</v>
      </c>
      <c r="I5084" s="16">
        <v>1257.18</v>
      </c>
      <c r="J5084" s="16">
        <v>1057.8142540282081</v>
      </c>
      <c r="K5084" s="16">
        <v>199.36574597179214</v>
      </c>
      <c r="L5084" s="13">
        <v>2.0699999999999998</v>
      </c>
      <c r="M5084" s="13"/>
      <c r="N5084" s="17">
        <f t="shared" si="167"/>
        <v>3771.5399999999995</v>
      </c>
      <c r="O5084" s="17">
        <f t="shared" si="167"/>
        <v>0</v>
      </c>
      <c r="P5084" s="17">
        <f t="shared" si="168"/>
        <v>3771.5399999999995</v>
      </c>
      <c r="Q5084" t="str">
        <f>A5084&amp;"-"&amp;B5084&amp;"-"&amp;D5084</f>
        <v>OKTOBER-MJ2-L4</v>
      </c>
    </row>
    <row r="5085" spans="1:17" x14ac:dyDescent="0.25">
      <c r="A5085" t="s">
        <v>400</v>
      </c>
      <c r="B5085" s="13" t="s">
        <v>26</v>
      </c>
      <c r="C5085" s="13" t="s">
        <v>226</v>
      </c>
      <c r="D5085" s="14" t="s">
        <v>158</v>
      </c>
      <c r="E5085" s="13" t="s">
        <v>61</v>
      </c>
      <c r="F5085" s="13" t="s">
        <v>1798</v>
      </c>
      <c r="G5085" s="13">
        <v>1.19</v>
      </c>
      <c r="H5085" s="15">
        <v>2920</v>
      </c>
      <c r="I5085" s="16">
        <v>3474.8</v>
      </c>
      <c r="J5085" s="16">
        <v>1945.6940965526655</v>
      </c>
      <c r="K5085" s="16">
        <v>1529.1059034473346</v>
      </c>
      <c r="L5085" s="13">
        <v>2.87</v>
      </c>
      <c r="M5085" s="13"/>
      <c r="N5085" s="17">
        <f t="shared" si="167"/>
        <v>8380.4</v>
      </c>
      <c r="O5085" s="17">
        <f t="shared" si="167"/>
        <v>0</v>
      </c>
      <c r="P5085" s="17">
        <f t="shared" si="168"/>
        <v>8380.4</v>
      </c>
      <c r="Q5085" t="str">
        <f>A5085&amp;"-"&amp;B5085&amp;"-"&amp;D5085</f>
        <v>OKTOBER-MJ2-L4</v>
      </c>
    </row>
    <row r="5086" spans="1:17" x14ac:dyDescent="0.25">
      <c r="A5086" t="s">
        <v>400</v>
      </c>
      <c r="B5086" s="13" t="s">
        <v>26</v>
      </c>
      <c r="C5086" s="13" t="s">
        <v>226</v>
      </c>
      <c r="D5086" s="14" t="s">
        <v>158</v>
      </c>
      <c r="E5086" s="13" t="s">
        <v>61</v>
      </c>
      <c r="F5086" s="13" t="s">
        <v>1601</v>
      </c>
      <c r="G5086" s="13">
        <v>1.19</v>
      </c>
      <c r="H5086" s="15">
        <v>45</v>
      </c>
      <c r="I5086" s="16">
        <v>53.55</v>
      </c>
      <c r="J5086" s="16">
        <v>28.111764705882354</v>
      </c>
      <c r="K5086" s="16">
        <v>25.438235294117643</v>
      </c>
      <c r="L5086" s="13">
        <v>2.87</v>
      </c>
      <c r="M5086" s="13"/>
      <c r="N5086" s="17">
        <f t="shared" si="167"/>
        <v>129.15</v>
      </c>
      <c r="O5086" s="17">
        <f t="shared" si="167"/>
        <v>0</v>
      </c>
      <c r="P5086" s="17">
        <f t="shared" si="168"/>
        <v>129.15</v>
      </c>
      <c r="Q5086" t="str">
        <f>A5086&amp;"-"&amp;B5086&amp;"-"&amp;D5086</f>
        <v>OKTOBER-MJ2-L4</v>
      </c>
    </row>
    <row r="5087" spans="1:17" x14ac:dyDescent="0.25">
      <c r="A5087" t="s">
        <v>400</v>
      </c>
      <c r="B5087" s="13" t="s">
        <v>26</v>
      </c>
      <c r="C5087" s="13" t="s">
        <v>226</v>
      </c>
      <c r="D5087" s="14" t="s">
        <v>158</v>
      </c>
      <c r="E5087" s="13" t="s">
        <v>61</v>
      </c>
      <c r="F5087" s="13" t="s">
        <v>1799</v>
      </c>
      <c r="G5087" s="13">
        <v>0.83</v>
      </c>
      <c r="H5087" s="15">
        <v>5129</v>
      </c>
      <c r="I5087" s="16">
        <v>4257.07</v>
      </c>
      <c r="J5087" s="16">
        <v>3252.827893016005</v>
      </c>
      <c r="K5087" s="16">
        <v>1004.2421069839947</v>
      </c>
      <c r="L5087" s="13">
        <v>2.13</v>
      </c>
      <c r="M5087" s="13"/>
      <c r="N5087" s="17">
        <f t="shared" si="167"/>
        <v>10924.769999999999</v>
      </c>
      <c r="O5087" s="17">
        <f t="shared" si="167"/>
        <v>0</v>
      </c>
      <c r="P5087" s="17">
        <f t="shared" si="168"/>
        <v>10924.769999999999</v>
      </c>
      <c r="Q5087" t="str">
        <f>A5087&amp;"-"&amp;B5087&amp;"-"&amp;D5087</f>
        <v>OKTOBER-MJ2-L4</v>
      </c>
    </row>
    <row r="5088" spans="1:17" x14ac:dyDescent="0.25">
      <c r="A5088" t="s">
        <v>400</v>
      </c>
      <c r="B5088" s="13" t="s">
        <v>26</v>
      </c>
      <c r="C5088" s="13" t="s">
        <v>226</v>
      </c>
      <c r="D5088" s="14" t="s">
        <v>158</v>
      </c>
      <c r="E5088" s="13" t="s">
        <v>61</v>
      </c>
      <c r="F5088" s="13" t="s">
        <v>1565</v>
      </c>
      <c r="G5088" s="13">
        <v>0.83</v>
      </c>
      <c r="H5088" s="15">
        <v>627</v>
      </c>
      <c r="I5088" s="16">
        <v>520.41</v>
      </c>
      <c r="J5088" s="16">
        <v>397.19023680640663</v>
      </c>
      <c r="K5088" s="16">
        <v>123.21976319359338</v>
      </c>
      <c r="L5088" s="13">
        <v>2.13</v>
      </c>
      <c r="M5088" s="13"/>
      <c r="N5088" s="17">
        <f t="shared" si="167"/>
        <v>1335.51</v>
      </c>
      <c r="O5088" s="17">
        <f t="shared" si="167"/>
        <v>0</v>
      </c>
      <c r="P5088" s="17">
        <f t="shared" si="168"/>
        <v>1335.51</v>
      </c>
      <c r="Q5088" t="str">
        <f>A5088&amp;"-"&amp;B5088&amp;"-"&amp;D5088</f>
        <v>OKTOBER-MJ2-L4</v>
      </c>
    </row>
    <row r="5089" spans="1:17" x14ac:dyDescent="0.25">
      <c r="A5089" t="s">
        <v>400</v>
      </c>
      <c r="B5089" s="13" t="s">
        <v>26</v>
      </c>
      <c r="C5089" s="13" t="s">
        <v>226</v>
      </c>
      <c r="D5089" s="14" t="s">
        <v>158</v>
      </c>
      <c r="E5089" s="13" t="s">
        <v>61</v>
      </c>
      <c r="F5089" s="13" t="s">
        <v>1800</v>
      </c>
      <c r="G5089" s="13">
        <v>0.77999999999999992</v>
      </c>
      <c r="H5089" s="15">
        <v>1572</v>
      </c>
      <c r="I5089" s="16">
        <v>1226.1600000000001</v>
      </c>
      <c r="J5089" s="16">
        <v>1233.0327120808415</v>
      </c>
      <c r="K5089" s="16">
        <v>-6.8727120808415698</v>
      </c>
      <c r="L5089" s="13">
        <v>2.29</v>
      </c>
      <c r="M5089" s="13"/>
      <c r="N5089" s="17">
        <f t="shared" si="167"/>
        <v>3599.88</v>
      </c>
      <c r="O5089" s="17">
        <f t="shared" si="167"/>
        <v>0</v>
      </c>
      <c r="P5089" s="17">
        <f t="shared" si="168"/>
        <v>3599.88</v>
      </c>
      <c r="Q5089" t="str">
        <f>A5089&amp;"-"&amp;B5089&amp;"-"&amp;D5089</f>
        <v>OKTOBER-MJ2-L4</v>
      </c>
    </row>
    <row r="5090" spans="1:17" x14ac:dyDescent="0.25">
      <c r="A5090" t="s">
        <v>400</v>
      </c>
      <c r="B5090" s="13" t="s">
        <v>26</v>
      </c>
      <c r="C5090" s="13" t="s">
        <v>226</v>
      </c>
      <c r="D5090" s="14" t="s">
        <v>158</v>
      </c>
      <c r="E5090" s="13" t="s">
        <v>61</v>
      </c>
      <c r="F5090" s="13" t="s">
        <v>1602</v>
      </c>
      <c r="G5090" s="13">
        <v>0.78</v>
      </c>
      <c r="H5090" s="15">
        <v>63</v>
      </c>
      <c r="I5090" s="16">
        <v>49.139999999999993</v>
      </c>
      <c r="J5090" s="16">
        <v>44.850252549626546</v>
      </c>
      <c r="K5090" s="16">
        <v>4.2897474503734525</v>
      </c>
      <c r="L5090" s="13">
        <v>2.29</v>
      </c>
      <c r="M5090" s="13"/>
      <c r="N5090" s="17">
        <f t="shared" si="167"/>
        <v>144.27000000000001</v>
      </c>
      <c r="O5090" s="17">
        <f t="shared" si="167"/>
        <v>0</v>
      </c>
      <c r="P5090" s="17">
        <f t="shared" si="168"/>
        <v>144.27000000000001</v>
      </c>
      <c r="Q5090" t="str">
        <f>A5090&amp;"-"&amp;B5090&amp;"-"&amp;D5090</f>
        <v>OKTOBER-MJ2-L4</v>
      </c>
    </row>
    <row r="5091" spans="1:17" x14ac:dyDescent="0.25">
      <c r="A5091" t="s">
        <v>400</v>
      </c>
      <c r="B5091" s="13" t="s">
        <v>26</v>
      </c>
      <c r="C5091" s="13" t="s">
        <v>226</v>
      </c>
      <c r="D5091" s="14" t="s">
        <v>158</v>
      </c>
      <c r="E5091" s="13" t="s">
        <v>61</v>
      </c>
      <c r="F5091" s="13" t="s">
        <v>1801</v>
      </c>
      <c r="G5091" s="13">
        <v>0.76</v>
      </c>
      <c r="H5091" s="15">
        <v>1700</v>
      </c>
      <c r="I5091" s="16">
        <v>1292</v>
      </c>
      <c r="J5091" s="16">
        <v>1062</v>
      </c>
      <c r="K5091" s="16">
        <v>230</v>
      </c>
      <c r="L5091" s="13">
        <v>1.94</v>
      </c>
      <c r="M5091" s="13"/>
      <c r="N5091" s="17">
        <f t="shared" si="167"/>
        <v>3298</v>
      </c>
      <c r="O5091" s="17">
        <f t="shared" si="167"/>
        <v>0</v>
      </c>
      <c r="P5091" s="17">
        <f t="shared" si="168"/>
        <v>3298</v>
      </c>
      <c r="Q5091" t="str">
        <f>A5091&amp;"-"&amp;B5091&amp;"-"&amp;D5091</f>
        <v>OKTOBER-MJ2-L4</v>
      </c>
    </row>
    <row r="5092" spans="1:17" x14ac:dyDescent="0.25">
      <c r="A5092" t="s">
        <v>400</v>
      </c>
      <c r="B5092" s="13" t="s">
        <v>26</v>
      </c>
      <c r="C5092" s="13" t="s">
        <v>226</v>
      </c>
      <c r="D5092" s="14" t="s">
        <v>158</v>
      </c>
      <c r="E5092" s="13" t="s">
        <v>61</v>
      </c>
      <c r="F5092" s="13" t="s">
        <v>1789</v>
      </c>
      <c r="G5092" s="13">
        <v>0.78</v>
      </c>
      <c r="H5092" s="15">
        <v>18</v>
      </c>
      <c r="I5092" s="16">
        <v>14.04</v>
      </c>
      <c r="J5092" s="16">
        <v>12.437215354586856</v>
      </c>
      <c r="K5092" s="16">
        <v>1.6027846454131431</v>
      </c>
      <c r="L5092" s="13">
        <v>2.29</v>
      </c>
      <c r="M5092" s="13"/>
      <c r="N5092" s="17">
        <f t="shared" si="167"/>
        <v>41.22</v>
      </c>
      <c r="O5092" s="17">
        <f t="shared" si="167"/>
        <v>0</v>
      </c>
      <c r="P5092" s="17">
        <f t="shared" si="168"/>
        <v>41.22</v>
      </c>
      <c r="Q5092" t="str">
        <f>A5092&amp;"-"&amp;B5092&amp;"-"&amp;D5092</f>
        <v>OKTOBER-MJ2-L4</v>
      </c>
    </row>
    <row r="5093" spans="1:17" x14ac:dyDescent="0.25">
      <c r="A5093" t="s">
        <v>400</v>
      </c>
      <c r="B5093" s="13" t="s">
        <v>26</v>
      </c>
      <c r="C5093" s="13" t="s">
        <v>226</v>
      </c>
      <c r="D5093" s="14" t="s">
        <v>158</v>
      </c>
      <c r="E5093" s="13" t="s">
        <v>61</v>
      </c>
      <c r="F5093" s="13" t="s">
        <v>1755</v>
      </c>
      <c r="G5093" s="13">
        <v>0.83</v>
      </c>
      <c r="H5093" s="15">
        <v>797</v>
      </c>
      <c r="I5093" s="16">
        <v>661.51</v>
      </c>
      <c r="J5093" s="16">
        <v>546.11411421495575</v>
      </c>
      <c r="K5093" s="16">
        <v>115.39588578504424</v>
      </c>
      <c r="L5093" s="13">
        <v>2.13</v>
      </c>
      <c r="M5093" s="13"/>
      <c r="N5093" s="17">
        <f t="shared" si="167"/>
        <v>1697.61</v>
      </c>
      <c r="O5093" s="17">
        <f t="shared" si="167"/>
        <v>0</v>
      </c>
      <c r="P5093" s="17">
        <f t="shared" si="168"/>
        <v>1697.61</v>
      </c>
      <c r="Q5093" t="str">
        <f>A5093&amp;"-"&amp;B5093&amp;"-"&amp;D5093</f>
        <v>OKTOBER-MJ2-L4</v>
      </c>
    </row>
    <row r="5094" spans="1:17" x14ac:dyDescent="0.25">
      <c r="A5094" t="s">
        <v>400</v>
      </c>
      <c r="B5094" s="13" t="s">
        <v>26</v>
      </c>
      <c r="C5094" s="13" t="s">
        <v>226</v>
      </c>
      <c r="D5094" s="14" t="s">
        <v>158</v>
      </c>
      <c r="E5094" s="13" t="s">
        <v>61</v>
      </c>
      <c r="F5094" s="13" t="s">
        <v>1603</v>
      </c>
      <c r="G5094" s="13">
        <v>0.83</v>
      </c>
      <c r="H5094" s="15">
        <v>3322</v>
      </c>
      <c r="I5094" s="16">
        <v>2757.2599999999998</v>
      </c>
      <c r="J5094" s="16">
        <v>2190.5810087679965</v>
      </c>
      <c r="K5094" s="16">
        <v>566.67899123200334</v>
      </c>
      <c r="L5094" s="13">
        <v>2.13</v>
      </c>
      <c r="M5094" s="13"/>
      <c r="N5094" s="17">
        <f t="shared" si="167"/>
        <v>7075.86</v>
      </c>
      <c r="O5094" s="17">
        <f t="shared" si="167"/>
        <v>0</v>
      </c>
      <c r="P5094" s="17">
        <f t="shared" si="168"/>
        <v>7075.86</v>
      </c>
      <c r="Q5094" t="str">
        <f>A5094&amp;"-"&amp;B5094&amp;"-"&amp;D5094</f>
        <v>OKTOBER-MJ2-L4</v>
      </c>
    </row>
    <row r="5095" spans="1:17" x14ac:dyDescent="0.25">
      <c r="A5095" t="s">
        <v>400</v>
      </c>
      <c r="B5095" s="13" t="s">
        <v>26</v>
      </c>
      <c r="C5095" s="13" t="s">
        <v>226</v>
      </c>
      <c r="D5095" s="14" t="s">
        <v>158</v>
      </c>
      <c r="E5095" s="13" t="s">
        <v>61</v>
      </c>
      <c r="F5095" s="13" t="s">
        <v>1802</v>
      </c>
      <c r="G5095" s="13">
        <v>0.77999999999999992</v>
      </c>
      <c r="H5095" s="15">
        <v>530</v>
      </c>
      <c r="I5095" s="16">
        <v>413.4</v>
      </c>
      <c r="J5095" s="16">
        <v>423.07224710340313</v>
      </c>
      <c r="K5095" s="16">
        <v>-9.6722471034032047</v>
      </c>
      <c r="L5095" s="13">
        <v>2.29</v>
      </c>
      <c r="M5095" s="13"/>
      <c r="N5095" s="17">
        <f t="shared" si="167"/>
        <v>1213.7</v>
      </c>
      <c r="O5095" s="17">
        <f t="shared" si="167"/>
        <v>0</v>
      </c>
      <c r="P5095" s="17">
        <f t="shared" si="168"/>
        <v>1213.7</v>
      </c>
      <c r="Q5095" t="str">
        <f>A5095&amp;"-"&amp;B5095&amp;"-"&amp;D5095</f>
        <v>OKTOBER-MJ2-L4</v>
      </c>
    </row>
    <row r="5096" spans="1:17" x14ac:dyDescent="0.25">
      <c r="A5096" t="s">
        <v>400</v>
      </c>
      <c r="B5096" s="13" t="s">
        <v>26</v>
      </c>
      <c r="C5096" s="13" t="s">
        <v>226</v>
      </c>
      <c r="D5096" s="14" t="s">
        <v>158</v>
      </c>
      <c r="E5096" s="13" t="s">
        <v>61</v>
      </c>
      <c r="F5096" s="13" t="s">
        <v>1198</v>
      </c>
      <c r="G5096" s="13">
        <v>0.65</v>
      </c>
      <c r="H5096" s="15">
        <v>11</v>
      </c>
      <c r="I5096" s="16">
        <v>7.15</v>
      </c>
      <c r="J5096" s="16">
        <v>6.1387283236994215</v>
      </c>
      <c r="K5096" s="16">
        <v>1.0112716763005789</v>
      </c>
      <c r="L5096" s="13">
        <v>1.66</v>
      </c>
      <c r="M5096" s="13"/>
      <c r="N5096" s="17">
        <f t="shared" si="167"/>
        <v>18.259999999999998</v>
      </c>
      <c r="O5096" s="17">
        <f t="shared" si="167"/>
        <v>0</v>
      </c>
      <c r="P5096" s="17">
        <f t="shared" si="168"/>
        <v>18.259999999999998</v>
      </c>
      <c r="Q5096" t="str">
        <f>A5096&amp;"-"&amp;B5096&amp;"-"&amp;D5096</f>
        <v>OKTOBER-MJ2-L4</v>
      </c>
    </row>
    <row r="5097" spans="1:17" x14ac:dyDescent="0.25">
      <c r="A5097" t="s">
        <v>400</v>
      </c>
      <c r="B5097" s="13" t="s">
        <v>26</v>
      </c>
      <c r="C5097" s="13" t="s">
        <v>226</v>
      </c>
      <c r="D5097" s="14" t="s">
        <v>160</v>
      </c>
      <c r="E5097" s="13" t="s">
        <v>61</v>
      </c>
      <c r="F5097" s="13" t="s">
        <v>1561</v>
      </c>
      <c r="G5097" s="13">
        <v>0.68</v>
      </c>
      <c r="H5097" s="15">
        <v>8</v>
      </c>
      <c r="I5097" s="16">
        <v>5.4399999999999995</v>
      </c>
      <c r="J5097" s="16">
        <v>4.7569128748002072</v>
      </c>
      <c r="K5097" s="16">
        <v>0.68308712519979253</v>
      </c>
      <c r="L5097" s="13">
        <v>1.69</v>
      </c>
      <c r="M5097" s="13"/>
      <c r="N5097" s="17">
        <f t="shared" si="167"/>
        <v>13.52</v>
      </c>
      <c r="O5097" s="17">
        <f t="shared" si="167"/>
        <v>0</v>
      </c>
      <c r="P5097" s="17">
        <f t="shared" si="168"/>
        <v>13.52</v>
      </c>
      <c r="Q5097" t="str">
        <f>A5097&amp;"-"&amp;B5097&amp;"-"&amp;D5097</f>
        <v>OKTOBER-MJ2-L5</v>
      </c>
    </row>
    <row r="5098" spans="1:17" x14ac:dyDescent="0.25">
      <c r="A5098" t="s">
        <v>400</v>
      </c>
      <c r="B5098" s="13" t="s">
        <v>26</v>
      </c>
      <c r="C5098" s="13" t="s">
        <v>226</v>
      </c>
      <c r="D5098" s="14" t="s">
        <v>160</v>
      </c>
      <c r="E5098" s="13" t="s">
        <v>61</v>
      </c>
      <c r="F5098" s="13" t="s">
        <v>1793</v>
      </c>
      <c r="G5098" s="13">
        <v>0.68</v>
      </c>
      <c r="H5098" s="15">
        <v>3087</v>
      </c>
      <c r="I5098" s="16">
        <v>2099.16</v>
      </c>
      <c r="J5098" s="16">
        <v>1889.8918306077619</v>
      </c>
      <c r="K5098" s="16">
        <v>209.26816939223829</v>
      </c>
      <c r="L5098" s="13">
        <v>1.69</v>
      </c>
      <c r="M5098" s="13"/>
      <c r="N5098" s="17">
        <f t="shared" si="167"/>
        <v>5217.03</v>
      </c>
      <c r="O5098" s="17">
        <f t="shared" si="167"/>
        <v>0</v>
      </c>
      <c r="P5098" s="17">
        <f t="shared" si="168"/>
        <v>5217.03</v>
      </c>
      <c r="Q5098" t="str">
        <f>A5098&amp;"-"&amp;B5098&amp;"-"&amp;D5098</f>
        <v>OKTOBER-MJ2-L5</v>
      </c>
    </row>
    <row r="5099" spans="1:17" x14ac:dyDescent="0.25">
      <c r="A5099" t="s">
        <v>400</v>
      </c>
      <c r="B5099" s="13" t="s">
        <v>26</v>
      </c>
      <c r="C5099" s="13" t="s">
        <v>226</v>
      </c>
      <c r="D5099" s="14" t="s">
        <v>160</v>
      </c>
      <c r="E5099" s="13" t="s">
        <v>61</v>
      </c>
      <c r="F5099" s="13" t="s">
        <v>1794</v>
      </c>
      <c r="G5099" s="13">
        <v>0.67999999999999994</v>
      </c>
      <c r="H5099" s="15">
        <v>4079</v>
      </c>
      <c r="I5099" s="16">
        <v>2773.7200000000003</v>
      </c>
      <c r="J5099" s="16">
        <v>2407.4846611883427</v>
      </c>
      <c r="K5099" s="16">
        <v>366.23533881165793</v>
      </c>
      <c r="L5099" s="13">
        <v>1.69</v>
      </c>
      <c r="M5099" s="13"/>
      <c r="N5099" s="17">
        <f t="shared" si="167"/>
        <v>6893.51</v>
      </c>
      <c r="O5099" s="17">
        <f t="shared" si="167"/>
        <v>0</v>
      </c>
      <c r="P5099" s="17">
        <f t="shared" si="168"/>
        <v>6893.51</v>
      </c>
      <c r="Q5099" t="str">
        <f>A5099&amp;"-"&amp;B5099&amp;"-"&amp;D5099</f>
        <v>OKTOBER-MJ2-L5</v>
      </c>
    </row>
    <row r="5100" spans="1:17" x14ac:dyDescent="0.25">
      <c r="A5100" t="s">
        <v>400</v>
      </c>
      <c r="B5100" s="13" t="s">
        <v>26</v>
      </c>
      <c r="C5100" s="13" t="s">
        <v>226</v>
      </c>
      <c r="D5100" s="14" t="s">
        <v>160</v>
      </c>
      <c r="E5100" s="13" t="s">
        <v>61</v>
      </c>
      <c r="F5100" s="13" t="s">
        <v>1795</v>
      </c>
      <c r="G5100" s="13">
        <v>0.65</v>
      </c>
      <c r="H5100" s="15">
        <v>292</v>
      </c>
      <c r="I5100" s="16">
        <v>189.8</v>
      </c>
      <c r="J5100" s="16">
        <v>178.85339910398642</v>
      </c>
      <c r="K5100" s="16">
        <v>10.946600896013596</v>
      </c>
      <c r="L5100" s="13">
        <v>1.81</v>
      </c>
      <c r="M5100" s="13"/>
      <c r="N5100" s="17">
        <f t="shared" si="167"/>
        <v>528.52</v>
      </c>
      <c r="O5100" s="17">
        <f t="shared" si="167"/>
        <v>0</v>
      </c>
      <c r="P5100" s="17">
        <f t="shared" si="168"/>
        <v>528.52</v>
      </c>
      <c r="Q5100" t="str">
        <f>A5100&amp;"-"&amp;B5100&amp;"-"&amp;D5100</f>
        <v>OKTOBER-MJ2-L5</v>
      </c>
    </row>
    <row r="5101" spans="1:17" x14ac:dyDescent="0.25">
      <c r="A5101" t="s">
        <v>400</v>
      </c>
      <c r="B5101" s="13" t="s">
        <v>26</v>
      </c>
      <c r="C5101" s="13" t="s">
        <v>226</v>
      </c>
      <c r="D5101" s="14" t="s">
        <v>160</v>
      </c>
      <c r="E5101" s="13" t="s">
        <v>61</v>
      </c>
      <c r="F5101" s="13" t="s">
        <v>1796</v>
      </c>
      <c r="G5101" s="13">
        <v>0.68</v>
      </c>
      <c r="H5101" s="15">
        <v>1597</v>
      </c>
      <c r="I5101" s="16">
        <v>1085.96</v>
      </c>
      <c r="J5101" s="16">
        <v>1013.9429134595989</v>
      </c>
      <c r="K5101" s="16">
        <v>72.01708654040101</v>
      </c>
      <c r="L5101" s="13">
        <v>1.69</v>
      </c>
      <c r="M5101" s="13"/>
      <c r="N5101" s="17">
        <f t="shared" si="167"/>
        <v>2698.93</v>
      </c>
      <c r="O5101" s="17">
        <f t="shared" si="167"/>
        <v>0</v>
      </c>
      <c r="P5101" s="17">
        <f t="shared" si="168"/>
        <v>2698.93</v>
      </c>
      <c r="Q5101" t="str">
        <f>A5101&amp;"-"&amp;B5101&amp;"-"&amp;D5101</f>
        <v>OKTOBER-MJ2-L5</v>
      </c>
    </row>
    <row r="5102" spans="1:17" x14ac:dyDescent="0.25">
      <c r="A5102" t="s">
        <v>400</v>
      </c>
      <c r="B5102" s="13" t="s">
        <v>26</v>
      </c>
      <c r="C5102" s="13" t="s">
        <v>226</v>
      </c>
      <c r="D5102" s="14" t="s">
        <v>160</v>
      </c>
      <c r="E5102" s="13" t="s">
        <v>61</v>
      </c>
      <c r="F5102" s="13" t="s">
        <v>1563</v>
      </c>
      <c r="G5102" s="13">
        <v>0.71</v>
      </c>
      <c r="H5102" s="15">
        <v>1190</v>
      </c>
      <c r="I5102" s="16">
        <v>844.9</v>
      </c>
      <c r="J5102" s="16">
        <v>694.75934496578816</v>
      </c>
      <c r="K5102" s="16">
        <v>150.14065503421182</v>
      </c>
      <c r="L5102" s="13">
        <v>1.29</v>
      </c>
      <c r="M5102" s="13"/>
      <c r="N5102" s="17">
        <f t="shared" si="167"/>
        <v>1535.1000000000001</v>
      </c>
      <c r="O5102" s="17">
        <f t="shared" si="167"/>
        <v>0</v>
      </c>
      <c r="P5102" s="17">
        <f t="shared" si="168"/>
        <v>1535.1000000000001</v>
      </c>
      <c r="Q5102" t="str">
        <f>A5102&amp;"-"&amp;B5102&amp;"-"&amp;D5102</f>
        <v>OKTOBER-MJ2-L5</v>
      </c>
    </row>
    <row r="5103" spans="1:17" x14ac:dyDescent="0.25">
      <c r="A5103" t="s">
        <v>400</v>
      </c>
      <c r="B5103" s="13" t="s">
        <v>26</v>
      </c>
      <c r="C5103" s="13" t="s">
        <v>226</v>
      </c>
      <c r="D5103" s="14" t="s">
        <v>160</v>
      </c>
      <c r="E5103" s="13" t="s">
        <v>61</v>
      </c>
      <c r="F5103" s="13" t="s">
        <v>1597</v>
      </c>
      <c r="G5103" s="13">
        <v>0.68</v>
      </c>
      <c r="H5103" s="15">
        <v>2511</v>
      </c>
      <c r="I5103" s="16">
        <v>1707.4799999999998</v>
      </c>
      <c r="J5103" s="16">
        <v>1556.5516311612669</v>
      </c>
      <c r="K5103" s="16">
        <v>150.92836883873332</v>
      </c>
      <c r="L5103" s="13">
        <v>1.7</v>
      </c>
      <c r="M5103" s="13"/>
      <c r="N5103" s="17">
        <f t="shared" si="167"/>
        <v>4268.7</v>
      </c>
      <c r="O5103" s="17">
        <f t="shared" si="167"/>
        <v>0</v>
      </c>
      <c r="P5103" s="17">
        <f t="shared" si="168"/>
        <v>4268.7</v>
      </c>
      <c r="Q5103" t="str">
        <f>A5103&amp;"-"&amp;B5103&amp;"-"&amp;D5103</f>
        <v>OKTOBER-MJ2-L5</v>
      </c>
    </row>
    <row r="5104" spans="1:17" x14ac:dyDescent="0.25">
      <c r="A5104" t="s">
        <v>400</v>
      </c>
      <c r="B5104" s="13" t="s">
        <v>26</v>
      </c>
      <c r="C5104" s="13" t="s">
        <v>226</v>
      </c>
      <c r="D5104" s="14" t="s">
        <v>160</v>
      </c>
      <c r="E5104" s="13" t="s">
        <v>61</v>
      </c>
      <c r="F5104" s="13" t="s">
        <v>1777</v>
      </c>
      <c r="G5104" s="13">
        <v>0.83</v>
      </c>
      <c r="H5104" s="15">
        <v>1540</v>
      </c>
      <c r="I5104" s="16">
        <v>1278.2</v>
      </c>
      <c r="J5104" s="16">
        <v>1057.2191514827084</v>
      </c>
      <c r="K5104" s="16">
        <v>220.98084851729155</v>
      </c>
      <c r="L5104" s="13">
        <v>2.13</v>
      </c>
      <c r="M5104" s="13"/>
      <c r="N5104" s="17">
        <f t="shared" si="167"/>
        <v>3280.2</v>
      </c>
      <c r="O5104" s="17">
        <f t="shared" si="167"/>
        <v>0</v>
      </c>
      <c r="P5104" s="17">
        <f t="shared" si="168"/>
        <v>3280.2</v>
      </c>
      <c r="Q5104" t="str">
        <f>A5104&amp;"-"&amp;B5104&amp;"-"&amp;D5104</f>
        <v>OKTOBER-MJ2-L5</v>
      </c>
    </row>
    <row r="5105" spans="1:17" x14ac:dyDescent="0.25">
      <c r="A5105" t="s">
        <v>400</v>
      </c>
      <c r="B5105" s="13" t="s">
        <v>26</v>
      </c>
      <c r="C5105" s="13" t="s">
        <v>226</v>
      </c>
      <c r="D5105" s="14" t="s">
        <v>160</v>
      </c>
      <c r="E5105" s="13" t="s">
        <v>61</v>
      </c>
      <c r="F5105" s="13" t="s">
        <v>1778</v>
      </c>
      <c r="G5105" s="13">
        <v>0.78</v>
      </c>
      <c r="H5105" s="15">
        <v>106</v>
      </c>
      <c r="I5105" s="16">
        <v>82.68</v>
      </c>
      <c r="J5105" s="16">
        <v>67.969399472891567</v>
      </c>
      <c r="K5105" s="16">
        <v>14.710600527108436</v>
      </c>
      <c r="L5105" s="13">
        <v>2.29</v>
      </c>
      <c r="M5105" s="13"/>
      <c r="N5105" s="17">
        <f t="shared" si="167"/>
        <v>242.74</v>
      </c>
      <c r="O5105" s="17">
        <f t="shared" si="167"/>
        <v>0</v>
      </c>
      <c r="P5105" s="17">
        <f t="shared" si="168"/>
        <v>242.74</v>
      </c>
      <c r="Q5105" t="str">
        <f>A5105&amp;"-"&amp;B5105&amp;"-"&amp;D5105</f>
        <v>OKTOBER-MJ2-L5</v>
      </c>
    </row>
    <row r="5106" spans="1:17" x14ac:dyDescent="0.25">
      <c r="A5106" t="s">
        <v>400</v>
      </c>
      <c r="B5106" s="13" t="s">
        <v>26</v>
      </c>
      <c r="C5106" s="13" t="s">
        <v>226</v>
      </c>
      <c r="D5106" s="14" t="s">
        <v>160</v>
      </c>
      <c r="E5106" s="13" t="s">
        <v>61</v>
      </c>
      <c r="F5106" s="13" t="s">
        <v>1600</v>
      </c>
      <c r="G5106" s="13">
        <v>0.7599999999999999</v>
      </c>
      <c r="H5106" s="15">
        <v>3970</v>
      </c>
      <c r="I5106" s="16">
        <v>3017.2</v>
      </c>
      <c r="J5106" s="16">
        <v>2294.0645852444609</v>
      </c>
      <c r="K5106" s="16">
        <v>723.13541475553882</v>
      </c>
      <c r="L5106" s="13">
        <v>1.94</v>
      </c>
      <c r="M5106" s="13"/>
      <c r="N5106" s="17">
        <f t="shared" si="167"/>
        <v>7701.8</v>
      </c>
      <c r="O5106" s="17">
        <f t="shared" si="167"/>
        <v>0</v>
      </c>
      <c r="P5106" s="17">
        <f t="shared" si="168"/>
        <v>7701.8</v>
      </c>
      <c r="Q5106" t="str">
        <f>A5106&amp;"-"&amp;B5106&amp;"-"&amp;D5106</f>
        <v>OKTOBER-MJ2-L5</v>
      </c>
    </row>
    <row r="5107" spans="1:17" x14ac:dyDescent="0.25">
      <c r="A5107" t="s">
        <v>400</v>
      </c>
      <c r="B5107" s="13" t="s">
        <v>26</v>
      </c>
      <c r="C5107" s="13" t="s">
        <v>226</v>
      </c>
      <c r="D5107" s="14" t="s">
        <v>160</v>
      </c>
      <c r="E5107" s="13" t="s">
        <v>61</v>
      </c>
      <c r="F5107" s="13" t="s">
        <v>1797</v>
      </c>
      <c r="G5107" s="13">
        <v>0.69</v>
      </c>
      <c r="H5107" s="15">
        <v>1820</v>
      </c>
      <c r="I5107" s="16">
        <v>1255.8000000000002</v>
      </c>
      <c r="J5107" s="16">
        <v>1056.7824959464076</v>
      </c>
      <c r="K5107" s="16">
        <v>199.01750405359221</v>
      </c>
      <c r="L5107" s="13">
        <v>2.0699999999999998</v>
      </c>
      <c r="M5107" s="13"/>
      <c r="N5107" s="17">
        <f t="shared" si="167"/>
        <v>3767.3999999999996</v>
      </c>
      <c r="O5107" s="17">
        <f t="shared" si="167"/>
        <v>0</v>
      </c>
      <c r="P5107" s="17">
        <f t="shared" si="168"/>
        <v>3767.3999999999996</v>
      </c>
      <c r="Q5107" t="str">
        <f>A5107&amp;"-"&amp;B5107&amp;"-"&amp;D5107</f>
        <v>OKTOBER-MJ2-L5</v>
      </c>
    </row>
    <row r="5108" spans="1:17" x14ac:dyDescent="0.25">
      <c r="A5108" t="s">
        <v>400</v>
      </c>
      <c r="B5108" s="13" t="s">
        <v>26</v>
      </c>
      <c r="C5108" s="13" t="s">
        <v>226</v>
      </c>
      <c r="D5108" s="14" t="s">
        <v>160</v>
      </c>
      <c r="E5108" s="13" t="s">
        <v>61</v>
      </c>
      <c r="F5108" s="13" t="s">
        <v>1798</v>
      </c>
      <c r="G5108" s="13">
        <v>1.19</v>
      </c>
      <c r="H5108" s="15">
        <v>2918</v>
      </c>
      <c r="I5108" s="16">
        <v>3472.42</v>
      </c>
      <c r="J5108" s="16">
        <v>1944.4426298945782</v>
      </c>
      <c r="K5108" s="16">
        <v>1527.9773701054214</v>
      </c>
      <c r="L5108" s="13">
        <v>2.87</v>
      </c>
      <c r="M5108" s="13"/>
      <c r="N5108" s="17">
        <f t="shared" si="167"/>
        <v>8374.66</v>
      </c>
      <c r="O5108" s="17">
        <f t="shared" si="167"/>
        <v>0</v>
      </c>
      <c r="P5108" s="17">
        <f t="shared" si="168"/>
        <v>8374.66</v>
      </c>
      <c r="Q5108" t="str">
        <f>A5108&amp;"-"&amp;B5108&amp;"-"&amp;D5108</f>
        <v>OKTOBER-MJ2-L5</v>
      </c>
    </row>
    <row r="5109" spans="1:17" x14ac:dyDescent="0.25">
      <c r="A5109" t="s">
        <v>400</v>
      </c>
      <c r="B5109" s="13" t="s">
        <v>26</v>
      </c>
      <c r="C5109" s="13" t="s">
        <v>226</v>
      </c>
      <c r="D5109" s="14" t="s">
        <v>160</v>
      </c>
      <c r="E5109" s="13" t="s">
        <v>61</v>
      </c>
      <c r="F5109" s="13" t="s">
        <v>1601</v>
      </c>
      <c r="G5109" s="13">
        <v>1.19</v>
      </c>
      <c r="H5109" s="15">
        <v>45</v>
      </c>
      <c r="I5109" s="16">
        <v>53.55</v>
      </c>
      <c r="J5109" s="16">
        <v>28.111764705882354</v>
      </c>
      <c r="K5109" s="16">
        <v>25.438235294117643</v>
      </c>
      <c r="L5109" s="13">
        <v>2.87</v>
      </c>
      <c r="M5109" s="13"/>
      <c r="N5109" s="17">
        <f t="shared" si="167"/>
        <v>129.15</v>
      </c>
      <c r="O5109" s="17">
        <f t="shared" si="167"/>
        <v>0</v>
      </c>
      <c r="P5109" s="17">
        <f t="shared" si="168"/>
        <v>129.15</v>
      </c>
      <c r="Q5109" t="str">
        <f>A5109&amp;"-"&amp;B5109&amp;"-"&amp;D5109</f>
        <v>OKTOBER-MJ2-L5</v>
      </c>
    </row>
    <row r="5110" spans="1:17" x14ac:dyDescent="0.25">
      <c r="A5110" t="s">
        <v>400</v>
      </c>
      <c r="B5110" s="13" t="s">
        <v>26</v>
      </c>
      <c r="C5110" s="13" t="s">
        <v>226</v>
      </c>
      <c r="D5110" s="14" t="s">
        <v>160</v>
      </c>
      <c r="E5110" s="13" t="s">
        <v>61</v>
      </c>
      <c r="F5110" s="13" t="s">
        <v>1799</v>
      </c>
      <c r="G5110" s="13">
        <v>0.83</v>
      </c>
      <c r="H5110" s="15">
        <v>5130</v>
      </c>
      <c r="I5110" s="16">
        <v>4257.9000000000005</v>
      </c>
      <c r="J5110" s="16">
        <v>3253.2775266584922</v>
      </c>
      <c r="K5110" s="16">
        <v>1004.6224733415079</v>
      </c>
      <c r="L5110" s="13">
        <v>2.13</v>
      </c>
      <c r="M5110" s="13"/>
      <c r="N5110" s="17">
        <f t="shared" si="167"/>
        <v>10926.9</v>
      </c>
      <c r="O5110" s="17">
        <f t="shared" si="167"/>
        <v>0</v>
      </c>
      <c r="P5110" s="17">
        <f t="shared" si="168"/>
        <v>10926.9</v>
      </c>
      <c r="Q5110" t="str">
        <f>A5110&amp;"-"&amp;B5110&amp;"-"&amp;D5110</f>
        <v>OKTOBER-MJ2-L5</v>
      </c>
    </row>
    <row r="5111" spans="1:17" x14ac:dyDescent="0.25">
      <c r="A5111" t="s">
        <v>400</v>
      </c>
      <c r="B5111" s="13" t="s">
        <v>26</v>
      </c>
      <c r="C5111" s="13" t="s">
        <v>226</v>
      </c>
      <c r="D5111" s="14" t="s">
        <v>160</v>
      </c>
      <c r="E5111" s="13" t="s">
        <v>61</v>
      </c>
      <c r="F5111" s="13" t="s">
        <v>1565</v>
      </c>
      <c r="G5111" s="13">
        <v>0.83</v>
      </c>
      <c r="H5111" s="15">
        <v>628</v>
      </c>
      <c r="I5111" s="16">
        <v>521.24</v>
      </c>
      <c r="J5111" s="16">
        <v>397.60957508911258</v>
      </c>
      <c r="K5111" s="16">
        <v>123.6304249108874</v>
      </c>
      <c r="L5111" s="13">
        <v>2.13</v>
      </c>
      <c r="M5111" s="13"/>
      <c r="N5111" s="17">
        <f t="shared" si="167"/>
        <v>1337.6399999999999</v>
      </c>
      <c r="O5111" s="17">
        <f t="shared" si="167"/>
        <v>0</v>
      </c>
      <c r="P5111" s="17">
        <f t="shared" si="168"/>
        <v>1337.6399999999999</v>
      </c>
      <c r="Q5111" t="str">
        <f>A5111&amp;"-"&amp;B5111&amp;"-"&amp;D5111</f>
        <v>OKTOBER-MJ2-L5</v>
      </c>
    </row>
    <row r="5112" spans="1:17" x14ac:dyDescent="0.25">
      <c r="A5112" t="s">
        <v>400</v>
      </c>
      <c r="B5112" s="13" t="s">
        <v>26</v>
      </c>
      <c r="C5112" s="13" t="s">
        <v>226</v>
      </c>
      <c r="D5112" s="14" t="s">
        <v>160</v>
      </c>
      <c r="E5112" s="13" t="s">
        <v>61</v>
      </c>
      <c r="F5112" s="13" t="s">
        <v>1800</v>
      </c>
      <c r="G5112" s="13">
        <v>0.77999999999999992</v>
      </c>
      <c r="H5112" s="15">
        <v>1573</v>
      </c>
      <c r="I5112" s="16">
        <v>1226.94</v>
      </c>
      <c r="J5112" s="16">
        <v>1233.7200907160627</v>
      </c>
      <c r="K5112" s="16">
        <v>-6.7800907160627268</v>
      </c>
      <c r="L5112" s="13">
        <v>2.29</v>
      </c>
      <c r="M5112" s="13"/>
      <c r="N5112" s="17">
        <f t="shared" si="167"/>
        <v>3602.17</v>
      </c>
      <c r="O5112" s="17">
        <f t="shared" si="167"/>
        <v>0</v>
      </c>
      <c r="P5112" s="17">
        <f t="shared" si="168"/>
        <v>3602.17</v>
      </c>
      <c r="Q5112" t="str">
        <f>A5112&amp;"-"&amp;B5112&amp;"-"&amp;D5112</f>
        <v>OKTOBER-MJ2-L5</v>
      </c>
    </row>
    <row r="5113" spans="1:17" x14ac:dyDescent="0.25">
      <c r="A5113" t="s">
        <v>400</v>
      </c>
      <c r="B5113" s="13" t="s">
        <v>26</v>
      </c>
      <c r="C5113" s="13" t="s">
        <v>226</v>
      </c>
      <c r="D5113" s="14" t="s">
        <v>160</v>
      </c>
      <c r="E5113" s="13" t="s">
        <v>61</v>
      </c>
      <c r="F5113" s="13" t="s">
        <v>1602</v>
      </c>
      <c r="G5113" s="13">
        <v>0.78</v>
      </c>
      <c r="H5113" s="15">
        <v>62</v>
      </c>
      <c r="I5113" s="16">
        <v>48.36</v>
      </c>
      <c r="J5113" s="16">
        <v>44.07026694365873</v>
      </c>
      <c r="K5113" s="16">
        <v>4.2897330563412694</v>
      </c>
      <c r="L5113" s="13">
        <v>2.29</v>
      </c>
      <c r="M5113" s="13"/>
      <c r="N5113" s="17">
        <f t="shared" ref="N5113:O5176" si="169">$H5113*L5113</f>
        <v>141.97999999999999</v>
      </c>
      <c r="O5113" s="17">
        <f t="shared" si="169"/>
        <v>0</v>
      </c>
      <c r="P5113" s="17">
        <f t="shared" si="168"/>
        <v>141.97999999999999</v>
      </c>
      <c r="Q5113" t="str">
        <f>A5113&amp;"-"&amp;B5113&amp;"-"&amp;D5113</f>
        <v>OKTOBER-MJ2-L5</v>
      </c>
    </row>
    <row r="5114" spans="1:17" x14ac:dyDescent="0.25">
      <c r="A5114" t="s">
        <v>400</v>
      </c>
      <c r="B5114" s="13" t="s">
        <v>26</v>
      </c>
      <c r="C5114" s="13" t="s">
        <v>226</v>
      </c>
      <c r="D5114" s="14" t="s">
        <v>160</v>
      </c>
      <c r="E5114" s="13" t="s">
        <v>61</v>
      </c>
      <c r="F5114" s="13" t="s">
        <v>1801</v>
      </c>
      <c r="G5114" s="13">
        <v>0.76</v>
      </c>
      <c r="H5114" s="15">
        <v>1700</v>
      </c>
      <c r="I5114" s="16">
        <v>1292</v>
      </c>
      <c r="J5114" s="16">
        <v>1062</v>
      </c>
      <c r="K5114" s="16">
        <v>230</v>
      </c>
      <c r="L5114" s="13">
        <v>1.94</v>
      </c>
      <c r="M5114" s="13"/>
      <c r="N5114" s="17">
        <f t="shared" si="169"/>
        <v>3298</v>
      </c>
      <c r="O5114" s="17">
        <f t="shared" si="169"/>
        <v>0</v>
      </c>
      <c r="P5114" s="17">
        <f t="shared" si="168"/>
        <v>3298</v>
      </c>
      <c r="Q5114" t="str">
        <f>A5114&amp;"-"&amp;B5114&amp;"-"&amp;D5114</f>
        <v>OKTOBER-MJ2-L5</v>
      </c>
    </row>
    <row r="5115" spans="1:17" x14ac:dyDescent="0.25">
      <c r="A5115" t="s">
        <v>400</v>
      </c>
      <c r="B5115" s="13" t="s">
        <v>26</v>
      </c>
      <c r="C5115" s="13" t="s">
        <v>226</v>
      </c>
      <c r="D5115" s="14" t="s">
        <v>160</v>
      </c>
      <c r="E5115" s="13" t="s">
        <v>61</v>
      </c>
      <c r="F5115" s="13" t="s">
        <v>1789</v>
      </c>
      <c r="G5115" s="13">
        <v>0.78</v>
      </c>
      <c r="H5115" s="15">
        <v>17</v>
      </c>
      <c r="I5115" s="16">
        <v>13.26</v>
      </c>
      <c r="J5115" s="16">
        <v>11.75390625</v>
      </c>
      <c r="K5115" s="16">
        <v>1.5060937499999998</v>
      </c>
      <c r="L5115" s="13">
        <v>2.29</v>
      </c>
      <c r="M5115" s="13"/>
      <c r="N5115" s="17">
        <f t="shared" si="169"/>
        <v>38.93</v>
      </c>
      <c r="O5115" s="17">
        <f t="shared" si="169"/>
        <v>0</v>
      </c>
      <c r="P5115" s="17">
        <f t="shared" si="168"/>
        <v>38.93</v>
      </c>
      <c r="Q5115" t="str">
        <f>A5115&amp;"-"&amp;B5115&amp;"-"&amp;D5115</f>
        <v>OKTOBER-MJ2-L5</v>
      </c>
    </row>
    <row r="5116" spans="1:17" x14ac:dyDescent="0.25">
      <c r="A5116" t="s">
        <v>400</v>
      </c>
      <c r="B5116" s="13" t="s">
        <v>26</v>
      </c>
      <c r="C5116" s="13" t="s">
        <v>226</v>
      </c>
      <c r="D5116" s="14" t="s">
        <v>160</v>
      </c>
      <c r="E5116" s="13" t="s">
        <v>61</v>
      </c>
      <c r="F5116" s="13" t="s">
        <v>1755</v>
      </c>
      <c r="G5116" s="13">
        <v>0.83</v>
      </c>
      <c r="H5116" s="15">
        <v>798</v>
      </c>
      <c r="I5116" s="16">
        <v>662.34</v>
      </c>
      <c r="J5116" s="16">
        <v>546.80866935483868</v>
      </c>
      <c r="K5116" s="16">
        <v>115.53133064516136</v>
      </c>
      <c r="L5116" s="13">
        <v>2.13</v>
      </c>
      <c r="M5116" s="13"/>
      <c r="N5116" s="17">
        <f t="shared" si="169"/>
        <v>1699.74</v>
      </c>
      <c r="O5116" s="17">
        <f t="shared" si="169"/>
        <v>0</v>
      </c>
      <c r="P5116" s="17">
        <f t="shared" si="168"/>
        <v>1699.74</v>
      </c>
      <c r="Q5116" t="str">
        <f>A5116&amp;"-"&amp;B5116&amp;"-"&amp;D5116</f>
        <v>OKTOBER-MJ2-L5</v>
      </c>
    </row>
    <row r="5117" spans="1:17" x14ac:dyDescent="0.25">
      <c r="A5117" t="s">
        <v>400</v>
      </c>
      <c r="B5117" s="13" t="s">
        <v>26</v>
      </c>
      <c r="C5117" s="13" t="s">
        <v>226</v>
      </c>
      <c r="D5117" s="14" t="s">
        <v>160</v>
      </c>
      <c r="E5117" s="13" t="s">
        <v>61</v>
      </c>
      <c r="F5117" s="13" t="s">
        <v>1603</v>
      </c>
      <c r="G5117" s="13">
        <v>0.83</v>
      </c>
      <c r="H5117" s="15">
        <v>3323</v>
      </c>
      <c r="I5117" s="16">
        <v>2758.0899999999997</v>
      </c>
      <c r="J5117" s="16">
        <v>2190.9903439129907</v>
      </c>
      <c r="K5117" s="16">
        <v>567.09965608700952</v>
      </c>
      <c r="L5117" s="13">
        <v>2.13</v>
      </c>
      <c r="M5117" s="13"/>
      <c r="N5117" s="17">
        <f t="shared" si="169"/>
        <v>7077.99</v>
      </c>
      <c r="O5117" s="17">
        <f t="shared" si="169"/>
        <v>0</v>
      </c>
      <c r="P5117" s="17">
        <f t="shared" si="168"/>
        <v>7077.99</v>
      </c>
      <c r="Q5117" t="str">
        <f>A5117&amp;"-"&amp;B5117&amp;"-"&amp;D5117</f>
        <v>OKTOBER-MJ2-L5</v>
      </c>
    </row>
    <row r="5118" spans="1:17" x14ac:dyDescent="0.25">
      <c r="A5118" t="s">
        <v>400</v>
      </c>
      <c r="B5118" s="13" t="s">
        <v>26</v>
      </c>
      <c r="C5118" s="13" t="s">
        <v>226</v>
      </c>
      <c r="D5118" s="14" t="s">
        <v>160</v>
      </c>
      <c r="E5118" s="13" t="s">
        <v>61</v>
      </c>
      <c r="F5118" s="13" t="s">
        <v>1802</v>
      </c>
      <c r="G5118" s="13">
        <v>0.77999999999999992</v>
      </c>
      <c r="H5118" s="15">
        <v>530</v>
      </c>
      <c r="I5118" s="16">
        <v>413.4</v>
      </c>
      <c r="J5118" s="16">
        <v>423.35530475185942</v>
      </c>
      <c r="K5118" s="16">
        <v>-9.9553047518594973</v>
      </c>
      <c r="L5118" s="13">
        <v>2.29</v>
      </c>
      <c r="M5118" s="13"/>
      <c r="N5118" s="17">
        <f t="shared" si="169"/>
        <v>1213.7</v>
      </c>
      <c r="O5118" s="17">
        <f t="shared" si="169"/>
        <v>0</v>
      </c>
      <c r="P5118" s="17">
        <f t="shared" si="168"/>
        <v>1213.7</v>
      </c>
      <c r="Q5118" t="str">
        <f>A5118&amp;"-"&amp;B5118&amp;"-"&amp;D5118</f>
        <v>OKTOBER-MJ2-L5</v>
      </c>
    </row>
    <row r="5119" spans="1:17" x14ac:dyDescent="0.25">
      <c r="A5119" t="s">
        <v>400</v>
      </c>
      <c r="B5119" s="13" t="s">
        <v>26</v>
      </c>
      <c r="C5119" s="13" t="s">
        <v>226</v>
      </c>
      <c r="D5119" s="14" t="s">
        <v>160</v>
      </c>
      <c r="E5119" s="13" t="s">
        <v>61</v>
      </c>
      <c r="F5119" s="13" t="s">
        <v>1198</v>
      </c>
      <c r="G5119" s="13">
        <v>0.65</v>
      </c>
      <c r="H5119" s="15">
        <v>10</v>
      </c>
      <c r="I5119" s="16">
        <v>6.5</v>
      </c>
      <c r="J5119" s="16">
        <v>5.5835962145110409</v>
      </c>
      <c r="K5119" s="16">
        <v>0.91640378548895907</v>
      </c>
      <c r="L5119" s="13">
        <v>1.66</v>
      </c>
      <c r="M5119" s="13"/>
      <c r="N5119" s="17">
        <f t="shared" si="169"/>
        <v>16.599999999999998</v>
      </c>
      <c r="O5119" s="17">
        <f t="shared" si="169"/>
        <v>0</v>
      </c>
      <c r="P5119" s="17">
        <f t="shared" si="168"/>
        <v>16.599999999999998</v>
      </c>
      <c r="Q5119" t="str">
        <f>A5119&amp;"-"&amp;B5119&amp;"-"&amp;D5119</f>
        <v>OKTOBER-MJ2-L5</v>
      </c>
    </row>
    <row r="5120" spans="1:17" x14ac:dyDescent="0.25">
      <c r="A5120" t="s">
        <v>400</v>
      </c>
      <c r="B5120" s="13" t="s">
        <v>26</v>
      </c>
      <c r="C5120" s="13" t="s">
        <v>226</v>
      </c>
      <c r="D5120" s="14" t="s">
        <v>163</v>
      </c>
      <c r="E5120" s="13" t="s">
        <v>61</v>
      </c>
      <c r="F5120" s="13" t="s">
        <v>1793</v>
      </c>
      <c r="G5120" s="13">
        <v>0.68</v>
      </c>
      <c r="H5120" s="15">
        <v>2251</v>
      </c>
      <c r="I5120" s="16">
        <v>1530.68</v>
      </c>
      <c r="J5120" s="16">
        <v>1256.135968309859</v>
      </c>
      <c r="K5120" s="16">
        <v>274.5440316901408</v>
      </c>
      <c r="L5120" s="13">
        <v>1.69</v>
      </c>
      <c r="M5120" s="13"/>
      <c r="N5120" s="17">
        <f t="shared" si="169"/>
        <v>3804.19</v>
      </c>
      <c r="O5120" s="17">
        <f t="shared" si="169"/>
        <v>0</v>
      </c>
      <c r="P5120" s="17">
        <f t="shared" si="168"/>
        <v>3804.19</v>
      </c>
      <c r="Q5120" t="str">
        <f>A5120&amp;"-"&amp;B5120&amp;"-"&amp;D5120</f>
        <v>OKTOBER-MJ2-L6</v>
      </c>
    </row>
    <row r="5121" spans="1:17" x14ac:dyDescent="0.25">
      <c r="A5121" t="s">
        <v>400</v>
      </c>
      <c r="B5121" s="13" t="s">
        <v>26</v>
      </c>
      <c r="C5121" s="13" t="s">
        <v>226</v>
      </c>
      <c r="D5121" s="14" t="s">
        <v>163</v>
      </c>
      <c r="E5121" s="13" t="s">
        <v>61</v>
      </c>
      <c r="F5121" s="13" t="s">
        <v>1794</v>
      </c>
      <c r="G5121" s="13">
        <v>0.68</v>
      </c>
      <c r="H5121" s="15">
        <v>2028</v>
      </c>
      <c r="I5121" s="16">
        <v>1379.04</v>
      </c>
      <c r="J5121" s="16">
        <v>1047.8407160514844</v>
      </c>
      <c r="K5121" s="16">
        <v>331.19928394851553</v>
      </c>
      <c r="L5121" s="13">
        <v>1.69</v>
      </c>
      <c r="M5121" s="13"/>
      <c r="N5121" s="17">
        <f t="shared" si="169"/>
        <v>3427.3199999999997</v>
      </c>
      <c r="O5121" s="17">
        <f t="shared" si="169"/>
        <v>0</v>
      </c>
      <c r="P5121" s="17">
        <f t="shared" si="168"/>
        <v>3427.3199999999997</v>
      </c>
      <c r="Q5121" t="str">
        <f>A5121&amp;"-"&amp;B5121&amp;"-"&amp;D5121</f>
        <v>OKTOBER-MJ2-L6</v>
      </c>
    </row>
    <row r="5122" spans="1:17" x14ac:dyDescent="0.25">
      <c r="A5122" t="s">
        <v>400</v>
      </c>
      <c r="B5122" s="13" t="s">
        <v>26</v>
      </c>
      <c r="C5122" s="13" t="s">
        <v>226</v>
      </c>
      <c r="D5122" s="14" t="s">
        <v>163</v>
      </c>
      <c r="E5122" s="13" t="s">
        <v>61</v>
      </c>
      <c r="F5122" s="13" t="s">
        <v>1795</v>
      </c>
      <c r="G5122" s="13">
        <v>0.65</v>
      </c>
      <c r="H5122" s="15">
        <v>1220</v>
      </c>
      <c r="I5122" s="16">
        <v>793</v>
      </c>
      <c r="J5122" s="16">
        <v>707.75971754063426</v>
      </c>
      <c r="K5122" s="16">
        <v>85.240282459365645</v>
      </c>
      <c r="L5122" s="13">
        <v>1.81</v>
      </c>
      <c r="M5122" s="13"/>
      <c r="N5122" s="17">
        <f t="shared" si="169"/>
        <v>2208.2000000000003</v>
      </c>
      <c r="O5122" s="17">
        <f t="shared" si="169"/>
        <v>0</v>
      </c>
      <c r="P5122" s="17">
        <f t="shared" ref="P5122:P5185" si="170">N5122+O5122</f>
        <v>2208.2000000000003</v>
      </c>
      <c r="Q5122" t="str">
        <f>A5122&amp;"-"&amp;B5122&amp;"-"&amp;D5122</f>
        <v>OKTOBER-MJ2-L6</v>
      </c>
    </row>
    <row r="5123" spans="1:17" x14ac:dyDescent="0.25">
      <c r="A5123" t="s">
        <v>400</v>
      </c>
      <c r="B5123" s="13" t="s">
        <v>26</v>
      </c>
      <c r="C5123" s="13" t="s">
        <v>226</v>
      </c>
      <c r="D5123" s="14" t="s">
        <v>163</v>
      </c>
      <c r="E5123" s="13" t="s">
        <v>61</v>
      </c>
      <c r="F5123" s="13" t="s">
        <v>1796</v>
      </c>
      <c r="G5123" s="13">
        <v>0.68</v>
      </c>
      <c r="H5123" s="15">
        <v>1043</v>
      </c>
      <c r="I5123" s="16">
        <v>709.24</v>
      </c>
      <c r="J5123" s="16">
        <v>678.07123159859009</v>
      </c>
      <c r="K5123" s="16">
        <v>31.168768401409999</v>
      </c>
      <c r="L5123" s="13">
        <v>1.69</v>
      </c>
      <c r="M5123" s="13"/>
      <c r="N5123" s="17">
        <f t="shared" si="169"/>
        <v>1762.6699999999998</v>
      </c>
      <c r="O5123" s="17">
        <f t="shared" si="169"/>
        <v>0</v>
      </c>
      <c r="P5123" s="17">
        <f t="shared" si="170"/>
        <v>1762.6699999999998</v>
      </c>
      <c r="Q5123" t="str">
        <f>A5123&amp;"-"&amp;B5123&amp;"-"&amp;D5123</f>
        <v>OKTOBER-MJ2-L6</v>
      </c>
    </row>
    <row r="5124" spans="1:17" x14ac:dyDescent="0.25">
      <c r="A5124" t="s">
        <v>400</v>
      </c>
      <c r="B5124" s="13" t="s">
        <v>26</v>
      </c>
      <c r="C5124" s="13" t="s">
        <v>226</v>
      </c>
      <c r="D5124" s="14" t="s">
        <v>163</v>
      </c>
      <c r="E5124" s="13" t="s">
        <v>61</v>
      </c>
      <c r="F5124" s="13" t="s">
        <v>1750</v>
      </c>
      <c r="G5124" s="13">
        <v>0.68</v>
      </c>
      <c r="H5124" s="15">
        <v>562</v>
      </c>
      <c r="I5124" s="16">
        <v>382.15999999999997</v>
      </c>
      <c r="J5124" s="16">
        <v>400.41540975364501</v>
      </c>
      <c r="K5124" s="16">
        <v>-18.25540975364504</v>
      </c>
      <c r="L5124" s="13">
        <v>1.69</v>
      </c>
      <c r="M5124" s="13"/>
      <c r="N5124" s="17">
        <f t="shared" si="169"/>
        <v>949.78</v>
      </c>
      <c r="O5124" s="17">
        <f t="shared" si="169"/>
        <v>0</v>
      </c>
      <c r="P5124" s="17">
        <f t="shared" si="170"/>
        <v>949.78</v>
      </c>
      <c r="Q5124" t="str">
        <f>A5124&amp;"-"&amp;B5124&amp;"-"&amp;D5124</f>
        <v>OKTOBER-MJ2-L6</v>
      </c>
    </row>
    <row r="5125" spans="1:17" x14ac:dyDescent="0.25">
      <c r="A5125" t="s">
        <v>400</v>
      </c>
      <c r="B5125" s="13" t="s">
        <v>26</v>
      </c>
      <c r="C5125" s="13" t="s">
        <v>226</v>
      </c>
      <c r="D5125" s="14" t="s">
        <v>163</v>
      </c>
      <c r="E5125" s="13" t="s">
        <v>61</v>
      </c>
      <c r="F5125" s="13" t="s">
        <v>1563</v>
      </c>
      <c r="G5125" s="13">
        <v>0.71</v>
      </c>
      <c r="H5125" s="15">
        <v>123</v>
      </c>
      <c r="I5125" s="16">
        <v>87.33</v>
      </c>
      <c r="J5125" s="16">
        <v>58.681940700808624</v>
      </c>
      <c r="K5125" s="16">
        <v>28.648059299191374</v>
      </c>
      <c r="L5125" s="13">
        <v>1.29</v>
      </c>
      <c r="M5125" s="13"/>
      <c r="N5125" s="17">
        <f t="shared" si="169"/>
        <v>158.67000000000002</v>
      </c>
      <c r="O5125" s="17">
        <f t="shared" si="169"/>
        <v>0</v>
      </c>
      <c r="P5125" s="17">
        <f t="shared" si="170"/>
        <v>158.67000000000002</v>
      </c>
      <c r="Q5125" t="str">
        <f>A5125&amp;"-"&amp;B5125&amp;"-"&amp;D5125</f>
        <v>OKTOBER-MJ2-L6</v>
      </c>
    </row>
    <row r="5126" spans="1:17" x14ac:dyDescent="0.25">
      <c r="A5126" t="s">
        <v>400</v>
      </c>
      <c r="B5126" s="13" t="s">
        <v>26</v>
      </c>
      <c r="C5126" s="13" t="s">
        <v>226</v>
      </c>
      <c r="D5126" s="14" t="s">
        <v>163</v>
      </c>
      <c r="E5126" s="13" t="s">
        <v>61</v>
      </c>
      <c r="F5126" s="13" t="s">
        <v>1597</v>
      </c>
      <c r="G5126" s="13">
        <v>0.68</v>
      </c>
      <c r="H5126" s="15">
        <v>95</v>
      </c>
      <c r="I5126" s="16">
        <v>64.599999999999994</v>
      </c>
      <c r="J5126" s="16">
        <v>48.688912468354658</v>
      </c>
      <c r="K5126" s="16">
        <v>15.911087531645343</v>
      </c>
      <c r="L5126" s="13">
        <v>1.7</v>
      </c>
      <c r="M5126" s="13"/>
      <c r="N5126" s="17">
        <f t="shared" si="169"/>
        <v>161.5</v>
      </c>
      <c r="O5126" s="17">
        <f t="shared" si="169"/>
        <v>0</v>
      </c>
      <c r="P5126" s="17">
        <f t="shared" si="170"/>
        <v>161.5</v>
      </c>
      <c r="Q5126" t="str">
        <f>A5126&amp;"-"&amp;B5126&amp;"-"&amp;D5126</f>
        <v>OKTOBER-MJ2-L6</v>
      </c>
    </row>
    <row r="5127" spans="1:17" x14ac:dyDescent="0.25">
      <c r="A5127" t="s">
        <v>400</v>
      </c>
      <c r="B5127" s="13" t="s">
        <v>26</v>
      </c>
      <c r="C5127" s="13" t="s">
        <v>226</v>
      </c>
      <c r="D5127" s="14" t="s">
        <v>163</v>
      </c>
      <c r="E5127" s="13" t="s">
        <v>61</v>
      </c>
      <c r="F5127" s="13" t="s">
        <v>1777</v>
      </c>
      <c r="G5127" s="13">
        <v>0.83</v>
      </c>
      <c r="H5127" s="15">
        <v>1765</v>
      </c>
      <c r="I5127" s="16">
        <v>1464.95</v>
      </c>
      <c r="J5127" s="16">
        <v>1114.9997397428046</v>
      </c>
      <c r="K5127" s="16">
        <v>349.95026025719523</v>
      </c>
      <c r="L5127" s="13">
        <v>2.13</v>
      </c>
      <c r="M5127" s="13"/>
      <c r="N5127" s="17">
        <f t="shared" si="169"/>
        <v>3759.45</v>
      </c>
      <c r="O5127" s="17">
        <f t="shared" si="169"/>
        <v>0</v>
      </c>
      <c r="P5127" s="17">
        <f t="shared" si="170"/>
        <v>3759.45</v>
      </c>
      <c r="Q5127" t="str">
        <f>A5127&amp;"-"&amp;B5127&amp;"-"&amp;D5127</f>
        <v>OKTOBER-MJ2-L6</v>
      </c>
    </row>
    <row r="5128" spans="1:17" x14ac:dyDescent="0.25">
      <c r="A5128" t="s">
        <v>400</v>
      </c>
      <c r="B5128" s="13" t="s">
        <v>26</v>
      </c>
      <c r="C5128" s="13" t="s">
        <v>226</v>
      </c>
      <c r="D5128" s="14" t="s">
        <v>163</v>
      </c>
      <c r="E5128" s="13" t="s">
        <v>61</v>
      </c>
      <c r="F5128" s="13" t="s">
        <v>1778</v>
      </c>
      <c r="G5128" s="13">
        <v>0.78</v>
      </c>
      <c r="H5128" s="15">
        <v>285</v>
      </c>
      <c r="I5128" s="16">
        <v>222.3</v>
      </c>
      <c r="J5128" s="16">
        <v>170.51830985915493</v>
      </c>
      <c r="K5128" s="16">
        <v>51.781690140845086</v>
      </c>
      <c r="L5128" s="13">
        <v>2.29</v>
      </c>
      <c r="M5128" s="13"/>
      <c r="N5128" s="17">
        <f t="shared" si="169"/>
        <v>652.65</v>
      </c>
      <c r="O5128" s="17">
        <f t="shared" si="169"/>
        <v>0</v>
      </c>
      <c r="P5128" s="17">
        <f t="shared" si="170"/>
        <v>652.65</v>
      </c>
      <c r="Q5128" t="str">
        <f>A5128&amp;"-"&amp;B5128&amp;"-"&amp;D5128</f>
        <v>OKTOBER-MJ2-L6</v>
      </c>
    </row>
    <row r="5129" spans="1:17" x14ac:dyDescent="0.25">
      <c r="A5129" t="s">
        <v>400</v>
      </c>
      <c r="B5129" s="13" t="s">
        <v>26</v>
      </c>
      <c r="C5129" s="13" t="s">
        <v>226</v>
      </c>
      <c r="D5129" s="14" t="s">
        <v>163</v>
      </c>
      <c r="E5129" s="13" t="s">
        <v>61</v>
      </c>
      <c r="F5129" s="13" t="s">
        <v>1600</v>
      </c>
      <c r="G5129" s="13">
        <v>0.76000000000000012</v>
      </c>
      <c r="H5129" s="15">
        <v>1757</v>
      </c>
      <c r="I5129" s="16">
        <v>1335.32</v>
      </c>
      <c r="J5129" s="16">
        <v>1037.1113506191057</v>
      </c>
      <c r="K5129" s="16">
        <v>298.20864938089431</v>
      </c>
      <c r="L5129" s="13">
        <v>1.94</v>
      </c>
      <c r="M5129" s="13"/>
      <c r="N5129" s="17">
        <f t="shared" si="169"/>
        <v>3408.58</v>
      </c>
      <c r="O5129" s="17">
        <f t="shared" si="169"/>
        <v>0</v>
      </c>
      <c r="P5129" s="17">
        <f t="shared" si="170"/>
        <v>3408.58</v>
      </c>
      <c r="Q5129" t="str">
        <f>A5129&amp;"-"&amp;B5129&amp;"-"&amp;D5129</f>
        <v>OKTOBER-MJ2-L6</v>
      </c>
    </row>
    <row r="5130" spans="1:17" x14ac:dyDescent="0.25">
      <c r="A5130" t="s">
        <v>400</v>
      </c>
      <c r="B5130" s="13" t="s">
        <v>26</v>
      </c>
      <c r="C5130" s="13" t="s">
        <v>226</v>
      </c>
      <c r="D5130" s="14" t="s">
        <v>163</v>
      </c>
      <c r="E5130" s="13" t="s">
        <v>61</v>
      </c>
      <c r="F5130" s="13" t="s">
        <v>1797</v>
      </c>
      <c r="G5130" s="13">
        <v>0.69</v>
      </c>
      <c r="H5130" s="15">
        <v>27</v>
      </c>
      <c r="I5130" s="16">
        <v>18.63</v>
      </c>
      <c r="J5130" s="16">
        <v>12.881401617250674</v>
      </c>
      <c r="K5130" s="16">
        <v>5.748598382749325</v>
      </c>
      <c r="L5130" s="13">
        <v>2.0699999999999998</v>
      </c>
      <c r="M5130" s="13"/>
      <c r="N5130" s="17">
        <f t="shared" si="169"/>
        <v>55.889999999999993</v>
      </c>
      <c r="O5130" s="17">
        <f t="shared" si="169"/>
        <v>0</v>
      </c>
      <c r="P5130" s="17">
        <f t="shared" si="170"/>
        <v>55.889999999999993</v>
      </c>
      <c r="Q5130" t="str">
        <f>A5130&amp;"-"&amp;B5130&amp;"-"&amp;D5130</f>
        <v>OKTOBER-MJ2-L6</v>
      </c>
    </row>
    <row r="5131" spans="1:17" x14ac:dyDescent="0.25">
      <c r="A5131" t="s">
        <v>400</v>
      </c>
      <c r="B5131" s="13" t="s">
        <v>26</v>
      </c>
      <c r="C5131" s="13" t="s">
        <v>226</v>
      </c>
      <c r="D5131" s="14" t="s">
        <v>163</v>
      </c>
      <c r="E5131" s="13" t="s">
        <v>61</v>
      </c>
      <c r="F5131" s="13" t="s">
        <v>1798</v>
      </c>
      <c r="G5131" s="13">
        <v>1.19</v>
      </c>
      <c r="H5131" s="15">
        <v>894</v>
      </c>
      <c r="I5131" s="16">
        <v>1063.8600000000001</v>
      </c>
      <c r="J5131" s="16">
        <v>557.92572890025576</v>
      </c>
      <c r="K5131" s="16">
        <v>505.93427109974431</v>
      </c>
      <c r="L5131" s="13">
        <v>2.87</v>
      </c>
      <c r="M5131" s="13"/>
      <c r="N5131" s="17">
        <f t="shared" si="169"/>
        <v>2565.7800000000002</v>
      </c>
      <c r="O5131" s="17">
        <f t="shared" si="169"/>
        <v>0</v>
      </c>
      <c r="P5131" s="17">
        <f t="shared" si="170"/>
        <v>2565.7800000000002</v>
      </c>
      <c r="Q5131" t="str">
        <f>A5131&amp;"-"&amp;B5131&amp;"-"&amp;D5131</f>
        <v>OKTOBER-MJ2-L6</v>
      </c>
    </row>
    <row r="5132" spans="1:17" x14ac:dyDescent="0.25">
      <c r="A5132" t="s">
        <v>400</v>
      </c>
      <c r="B5132" s="13" t="s">
        <v>26</v>
      </c>
      <c r="C5132" s="13" t="s">
        <v>226</v>
      </c>
      <c r="D5132" s="14" t="s">
        <v>163</v>
      </c>
      <c r="E5132" s="13" t="s">
        <v>61</v>
      </c>
      <c r="F5132" s="13" t="s">
        <v>1601</v>
      </c>
      <c r="G5132" s="13">
        <v>1.19</v>
      </c>
      <c r="H5132" s="15">
        <v>35</v>
      </c>
      <c r="I5132" s="16">
        <v>41.65</v>
      </c>
      <c r="J5132" s="16">
        <v>19.718832891246684</v>
      </c>
      <c r="K5132" s="16">
        <v>21.931167108753314</v>
      </c>
      <c r="L5132" s="13">
        <v>2.87</v>
      </c>
      <c r="M5132" s="13"/>
      <c r="N5132" s="17">
        <f t="shared" si="169"/>
        <v>100.45</v>
      </c>
      <c r="O5132" s="17">
        <f t="shared" si="169"/>
        <v>0</v>
      </c>
      <c r="P5132" s="17">
        <f t="shared" si="170"/>
        <v>100.45</v>
      </c>
      <c r="Q5132" t="str">
        <f>A5132&amp;"-"&amp;B5132&amp;"-"&amp;D5132</f>
        <v>OKTOBER-MJ2-L6</v>
      </c>
    </row>
    <row r="5133" spans="1:17" x14ac:dyDescent="0.25">
      <c r="A5133" t="s">
        <v>400</v>
      </c>
      <c r="B5133" s="13" t="s">
        <v>26</v>
      </c>
      <c r="C5133" s="13" t="s">
        <v>226</v>
      </c>
      <c r="D5133" s="14" t="s">
        <v>163</v>
      </c>
      <c r="E5133" s="13" t="s">
        <v>61</v>
      </c>
      <c r="F5133" s="13" t="s">
        <v>1779</v>
      </c>
      <c r="G5133" s="13">
        <v>0.93</v>
      </c>
      <c r="H5133" s="15">
        <v>2795</v>
      </c>
      <c r="I5133" s="16">
        <v>2599.3500000000004</v>
      </c>
      <c r="J5133" s="16">
        <v>1885.6544204069978</v>
      </c>
      <c r="K5133" s="16">
        <v>713.69557959300244</v>
      </c>
      <c r="L5133" s="13">
        <v>2.2200000000000002</v>
      </c>
      <c r="M5133" s="13"/>
      <c r="N5133" s="17">
        <f t="shared" si="169"/>
        <v>6204.9000000000005</v>
      </c>
      <c r="O5133" s="17">
        <f t="shared" si="169"/>
        <v>0</v>
      </c>
      <c r="P5133" s="17">
        <f t="shared" si="170"/>
        <v>6204.9000000000005</v>
      </c>
      <c r="Q5133" t="str">
        <f>A5133&amp;"-"&amp;B5133&amp;"-"&amp;D5133</f>
        <v>OKTOBER-MJ2-L6</v>
      </c>
    </row>
    <row r="5134" spans="1:17" x14ac:dyDescent="0.25">
      <c r="A5134" t="s">
        <v>400</v>
      </c>
      <c r="B5134" s="13" t="s">
        <v>26</v>
      </c>
      <c r="C5134" s="13" t="s">
        <v>226</v>
      </c>
      <c r="D5134" s="14" t="s">
        <v>163</v>
      </c>
      <c r="E5134" s="13" t="s">
        <v>61</v>
      </c>
      <c r="F5134" s="13" t="s">
        <v>1780</v>
      </c>
      <c r="G5134" s="13">
        <v>0.99</v>
      </c>
      <c r="H5134" s="15">
        <v>908</v>
      </c>
      <c r="I5134" s="16">
        <v>898.92</v>
      </c>
      <c r="J5134" s="16">
        <v>665.05488385258855</v>
      </c>
      <c r="K5134" s="16">
        <v>233.86511614741153</v>
      </c>
      <c r="L5134" s="13">
        <v>2.42</v>
      </c>
      <c r="M5134" s="13"/>
      <c r="N5134" s="17">
        <f t="shared" si="169"/>
        <v>2197.36</v>
      </c>
      <c r="O5134" s="17">
        <f t="shared" si="169"/>
        <v>0</v>
      </c>
      <c r="P5134" s="17">
        <f t="shared" si="170"/>
        <v>2197.36</v>
      </c>
      <c r="Q5134" t="str">
        <f>A5134&amp;"-"&amp;B5134&amp;"-"&amp;D5134</f>
        <v>OKTOBER-MJ2-L6</v>
      </c>
    </row>
    <row r="5135" spans="1:17" x14ac:dyDescent="0.25">
      <c r="A5135" t="s">
        <v>400</v>
      </c>
      <c r="B5135" s="13" t="s">
        <v>26</v>
      </c>
      <c r="C5135" s="13" t="s">
        <v>226</v>
      </c>
      <c r="D5135" s="14" t="s">
        <v>163</v>
      </c>
      <c r="E5135" s="13" t="s">
        <v>61</v>
      </c>
      <c r="F5135" s="13" t="s">
        <v>1782</v>
      </c>
      <c r="G5135" s="13">
        <v>0.79</v>
      </c>
      <c r="H5135" s="15">
        <v>1670</v>
      </c>
      <c r="I5135" s="16">
        <v>1319.3000000000002</v>
      </c>
      <c r="J5135" s="16">
        <v>1114.7601020616939</v>
      </c>
      <c r="K5135" s="16">
        <v>204.53989793830601</v>
      </c>
      <c r="L5135" s="13">
        <v>2</v>
      </c>
      <c r="M5135" s="13"/>
      <c r="N5135" s="17">
        <f t="shared" si="169"/>
        <v>3340</v>
      </c>
      <c r="O5135" s="17">
        <f t="shared" si="169"/>
        <v>0</v>
      </c>
      <c r="P5135" s="17">
        <f t="shared" si="170"/>
        <v>3340</v>
      </c>
      <c r="Q5135" t="str">
        <f>A5135&amp;"-"&amp;B5135&amp;"-"&amp;D5135</f>
        <v>OKTOBER-MJ2-L6</v>
      </c>
    </row>
    <row r="5136" spans="1:17" x14ac:dyDescent="0.25">
      <c r="A5136" t="s">
        <v>400</v>
      </c>
      <c r="B5136" s="13" t="s">
        <v>26</v>
      </c>
      <c r="C5136" s="13" t="s">
        <v>226</v>
      </c>
      <c r="D5136" s="14" t="s">
        <v>163</v>
      </c>
      <c r="E5136" s="13" t="s">
        <v>61</v>
      </c>
      <c r="F5136" s="13" t="s">
        <v>1783</v>
      </c>
      <c r="G5136" s="13">
        <v>0.77</v>
      </c>
      <c r="H5136" s="15">
        <v>592</v>
      </c>
      <c r="I5136" s="16">
        <v>455.84</v>
      </c>
      <c r="J5136" s="16">
        <v>389.30835666440538</v>
      </c>
      <c r="K5136" s="16">
        <v>66.531643335594552</v>
      </c>
      <c r="L5136" s="13">
        <v>2.15</v>
      </c>
      <c r="M5136" s="13"/>
      <c r="N5136" s="17">
        <f t="shared" si="169"/>
        <v>1272.8</v>
      </c>
      <c r="O5136" s="17">
        <f t="shared" si="169"/>
        <v>0</v>
      </c>
      <c r="P5136" s="17">
        <f t="shared" si="170"/>
        <v>1272.8</v>
      </c>
      <c r="Q5136" t="str">
        <f>A5136&amp;"-"&amp;B5136&amp;"-"&amp;D5136</f>
        <v>OKTOBER-MJ2-L6</v>
      </c>
    </row>
    <row r="5137" spans="1:17" x14ac:dyDescent="0.25">
      <c r="A5137" t="s">
        <v>400</v>
      </c>
      <c r="B5137" s="13" t="s">
        <v>26</v>
      </c>
      <c r="C5137" s="13" t="s">
        <v>226</v>
      </c>
      <c r="D5137" s="14" t="s">
        <v>163</v>
      </c>
      <c r="E5137" s="13" t="s">
        <v>61</v>
      </c>
      <c r="F5137" s="13" t="s">
        <v>1799</v>
      </c>
      <c r="G5137" s="13">
        <v>0.83</v>
      </c>
      <c r="H5137" s="15">
        <v>8864</v>
      </c>
      <c r="I5137" s="16">
        <v>7357.12</v>
      </c>
      <c r="J5137" s="16">
        <v>5114.6855333059357</v>
      </c>
      <c r="K5137" s="16">
        <v>2242.4344666940638</v>
      </c>
      <c r="L5137" s="13">
        <v>2.13</v>
      </c>
      <c r="M5137" s="13"/>
      <c r="N5137" s="17">
        <f t="shared" si="169"/>
        <v>18880.32</v>
      </c>
      <c r="O5137" s="17">
        <f t="shared" si="169"/>
        <v>0</v>
      </c>
      <c r="P5137" s="17">
        <f t="shared" si="170"/>
        <v>18880.32</v>
      </c>
      <c r="Q5137" t="str">
        <f>A5137&amp;"-"&amp;B5137&amp;"-"&amp;D5137</f>
        <v>OKTOBER-MJ2-L6</v>
      </c>
    </row>
    <row r="5138" spans="1:17" x14ac:dyDescent="0.25">
      <c r="A5138" t="s">
        <v>400</v>
      </c>
      <c r="B5138" s="13" t="s">
        <v>26</v>
      </c>
      <c r="C5138" s="13" t="s">
        <v>226</v>
      </c>
      <c r="D5138" s="14" t="s">
        <v>163</v>
      </c>
      <c r="E5138" s="13" t="s">
        <v>61</v>
      </c>
      <c r="F5138" s="13" t="s">
        <v>1565</v>
      </c>
      <c r="G5138" s="13">
        <v>0.83</v>
      </c>
      <c r="H5138" s="15">
        <v>53</v>
      </c>
      <c r="I5138" s="16">
        <v>43.99</v>
      </c>
      <c r="J5138" s="16">
        <v>25.285714285714285</v>
      </c>
      <c r="K5138" s="16">
        <v>18.704285714285717</v>
      </c>
      <c r="L5138" s="13">
        <v>2.13</v>
      </c>
      <c r="M5138" s="13"/>
      <c r="N5138" s="17">
        <f t="shared" si="169"/>
        <v>112.89</v>
      </c>
      <c r="O5138" s="17">
        <f t="shared" si="169"/>
        <v>0</v>
      </c>
      <c r="P5138" s="17">
        <f t="shared" si="170"/>
        <v>112.89</v>
      </c>
      <c r="Q5138" t="str">
        <f>A5138&amp;"-"&amp;B5138&amp;"-"&amp;D5138</f>
        <v>OKTOBER-MJ2-L6</v>
      </c>
    </row>
    <row r="5139" spans="1:17" x14ac:dyDescent="0.25">
      <c r="A5139" t="s">
        <v>400</v>
      </c>
      <c r="B5139" s="13" t="s">
        <v>26</v>
      </c>
      <c r="C5139" s="13" t="s">
        <v>226</v>
      </c>
      <c r="D5139" s="14" t="s">
        <v>163</v>
      </c>
      <c r="E5139" s="13" t="s">
        <v>61</v>
      </c>
      <c r="F5139" s="13" t="s">
        <v>1800</v>
      </c>
      <c r="G5139" s="13">
        <v>0.78</v>
      </c>
      <c r="H5139" s="15">
        <v>13</v>
      </c>
      <c r="I5139" s="16">
        <v>10.14</v>
      </c>
      <c r="J5139" s="16">
        <v>7.7780281690140844</v>
      </c>
      <c r="K5139" s="16">
        <v>2.3619718309859161</v>
      </c>
      <c r="L5139" s="13">
        <v>2.29</v>
      </c>
      <c r="M5139" s="13"/>
      <c r="N5139" s="17">
        <f t="shared" si="169"/>
        <v>29.77</v>
      </c>
      <c r="O5139" s="17">
        <f t="shared" si="169"/>
        <v>0</v>
      </c>
      <c r="P5139" s="17">
        <f t="shared" si="170"/>
        <v>29.77</v>
      </c>
      <c r="Q5139" t="str">
        <f>A5139&amp;"-"&amp;B5139&amp;"-"&amp;D5139</f>
        <v>OKTOBER-MJ2-L6</v>
      </c>
    </row>
    <row r="5140" spans="1:17" x14ac:dyDescent="0.25">
      <c r="A5140" t="s">
        <v>400</v>
      </c>
      <c r="B5140" s="13" t="s">
        <v>26</v>
      </c>
      <c r="C5140" s="13" t="s">
        <v>226</v>
      </c>
      <c r="D5140" s="14" t="s">
        <v>163</v>
      </c>
      <c r="E5140" s="13" t="s">
        <v>61</v>
      </c>
      <c r="F5140" s="13" t="s">
        <v>1801</v>
      </c>
      <c r="G5140" s="13">
        <v>0.76</v>
      </c>
      <c r="H5140" s="15">
        <v>2523</v>
      </c>
      <c r="I5140" s="16">
        <v>1917.48</v>
      </c>
      <c r="J5140" s="16">
        <v>1561.1490537084399</v>
      </c>
      <c r="K5140" s="16">
        <v>356.33094629156005</v>
      </c>
      <c r="L5140" s="13">
        <v>1.94</v>
      </c>
      <c r="M5140" s="13"/>
      <c r="N5140" s="17">
        <f t="shared" si="169"/>
        <v>4894.62</v>
      </c>
      <c r="O5140" s="17">
        <f t="shared" si="169"/>
        <v>0</v>
      </c>
      <c r="P5140" s="17">
        <f t="shared" si="170"/>
        <v>4894.62</v>
      </c>
      <c r="Q5140" t="str">
        <f>A5140&amp;"-"&amp;B5140&amp;"-"&amp;D5140</f>
        <v>OKTOBER-MJ2-L6</v>
      </c>
    </row>
    <row r="5141" spans="1:17" x14ac:dyDescent="0.25">
      <c r="A5141" t="s">
        <v>400</v>
      </c>
      <c r="B5141" s="13" t="s">
        <v>26</v>
      </c>
      <c r="C5141" s="13" t="s">
        <v>226</v>
      </c>
      <c r="D5141" s="14" t="s">
        <v>163</v>
      </c>
      <c r="E5141" s="13" t="s">
        <v>61</v>
      </c>
      <c r="F5141" s="13" t="s">
        <v>1584</v>
      </c>
      <c r="G5141" s="13">
        <v>0.76000000000000012</v>
      </c>
      <c r="H5141" s="15">
        <v>79</v>
      </c>
      <c r="I5141" s="16">
        <v>60.040000000000006</v>
      </c>
      <c r="J5141" s="16">
        <v>54.659421459173785</v>
      </c>
      <c r="K5141" s="16">
        <v>5.3805785408262192</v>
      </c>
      <c r="L5141" s="13">
        <v>1.94</v>
      </c>
      <c r="M5141" s="13"/>
      <c r="N5141" s="17">
        <f t="shared" si="169"/>
        <v>153.26</v>
      </c>
      <c r="O5141" s="17">
        <f t="shared" si="169"/>
        <v>0</v>
      </c>
      <c r="P5141" s="17">
        <f t="shared" si="170"/>
        <v>153.26</v>
      </c>
      <c r="Q5141" t="str">
        <f>A5141&amp;"-"&amp;B5141&amp;"-"&amp;D5141</f>
        <v>OKTOBER-MJ2-L6</v>
      </c>
    </row>
    <row r="5142" spans="1:17" x14ac:dyDescent="0.25">
      <c r="A5142" t="s">
        <v>400</v>
      </c>
      <c r="B5142" s="13" t="s">
        <v>26</v>
      </c>
      <c r="C5142" s="13" t="s">
        <v>226</v>
      </c>
      <c r="D5142" s="14" t="s">
        <v>163</v>
      </c>
      <c r="E5142" s="13" t="s">
        <v>61</v>
      </c>
      <c r="F5142" s="13" t="s">
        <v>1585</v>
      </c>
      <c r="G5142" s="13">
        <v>0.69</v>
      </c>
      <c r="H5142" s="15">
        <v>3</v>
      </c>
      <c r="I5142" s="16">
        <v>2.0699999999999998</v>
      </c>
      <c r="J5142" s="16">
        <v>1.9309090909090909</v>
      </c>
      <c r="K5142" s="16">
        <v>0.13909090909090893</v>
      </c>
      <c r="L5142" s="13">
        <v>2.0699999999999998</v>
      </c>
      <c r="M5142" s="13"/>
      <c r="N5142" s="17">
        <f t="shared" si="169"/>
        <v>6.2099999999999991</v>
      </c>
      <c r="O5142" s="17">
        <f t="shared" si="169"/>
        <v>0</v>
      </c>
      <c r="P5142" s="17">
        <f t="shared" si="170"/>
        <v>6.2099999999999991</v>
      </c>
      <c r="Q5142" t="str">
        <f>A5142&amp;"-"&amp;B5142&amp;"-"&amp;D5142</f>
        <v>OKTOBER-MJ2-L6</v>
      </c>
    </row>
    <row r="5143" spans="1:17" x14ac:dyDescent="0.25">
      <c r="A5143" t="s">
        <v>400</v>
      </c>
      <c r="B5143" s="13" t="s">
        <v>26</v>
      </c>
      <c r="C5143" s="13" t="s">
        <v>226</v>
      </c>
      <c r="D5143" s="14" t="s">
        <v>163</v>
      </c>
      <c r="E5143" s="13" t="s">
        <v>61</v>
      </c>
      <c r="F5143" s="13" t="s">
        <v>1788</v>
      </c>
      <c r="G5143" s="13">
        <v>0.83</v>
      </c>
      <c r="H5143" s="15">
        <v>343</v>
      </c>
      <c r="I5143" s="16">
        <v>284.69</v>
      </c>
      <c r="J5143" s="16">
        <v>205.2723086344152</v>
      </c>
      <c r="K5143" s="16">
        <v>79.417691365584801</v>
      </c>
      <c r="L5143" s="13">
        <v>2.13</v>
      </c>
      <c r="M5143" s="13"/>
      <c r="N5143" s="17">
        <f t="shared" si="169"/>
        <v>730.58999999999992</v>
      </c>
      <c r="O5143" s="17">
        <f t="shared" si="169"/>
        <v>0</v>
      </c>
      <c r="P5143" s="17">
        <f t="shared" si="170"/>
        <v>730.58999999999992</v>
      </c>
      <c r="Q5143" t="str">
        <f>A5143&amp;"-"&amp;B5143&amp;"-"&amp;D5143</f>
        <v>OKTOBER-MJ2-L6</v>
      </c>
    </row>
    <row r="5144" spans="1:17" x14ac:dyDescent="0.25">
      <c r="A5144" t="s">
        <v>400</v>
      </c>
      <c r="B5144" s="13" t="s">
        <v>26</v>
      </c>
      <c r="C5144" s="13" t="s">
        <v>226</v>
      </c>
      <c r="D5144" s="14" t="s">
        <v>163</v>
      </c>
      <c r="E5144" s="13" t="s">
        <v>61</v>
      </c>
      <c r="F5144" s="13" t="s">
        <v>1784</v>
      </c>
      <c r="G5144" s="13">
        <v>0.93</v>
      </c>
      <c r="H5144" s="15">
        <v>1996</v>
      </c>
      <c r="I5144" s="16">
        <v>1856.28</v>
      </c>
      <c r="J5144" s="16">
        <v>1395.9870417293182</v>
      </c>
      <c r="K5144" s="16">
        <v>460.29295827068188</v>
      </c>
      <c r="L5144" s="13">
        <v>2.2200000000000002</v>
      </c>
      <c r="M5144" s="13"/>
      <c r="N5144" s="17">
        <f t="shared" si="169"/>
        <v>4431.1200000000008</v>
      </c>
      <c r="O5144" s="17">
        <f t="shared" si="169"/>
        <v>0</v>
      </c>
      <c r="P5144" s="17">
        <f t="shared" si="170"/>
        <v>4431.1200000000008</v>
      </c>
      <c r="Q5144" t="str">
        <f>A5144&amp;"-"&amp;B5144&amp;"-"&amp;D5144</f>
        <v>OKTOBER-MJ2-L6</v>
      </c>
    </row>
    <row r="5145" spans="1:17" x14ac:dyDescent="0.25">
      <c r="A5145" t="s">
        <v>400</v>
      </c>
      <c r="B5145" s="13" t="s">
        <v>26</v>
      </c>
      <c r="C5145" s="13" t="s">
        <v>226</v>
      </c>
      <c r="D5145" s="14" t="s">
        <v>163</v>
      </c>
      <c r="E5145" s="13" t="s">
        <v>61</v>
      </c>
      <c r="F5145" s="13" t="s">
        <v>1785</v>
      </c>
      <c r="G5145" s="13">
        <v>0.98999999999999988</v>
      </c>
      <c r="H5145" s="15">
        <v>537</v>
      </c>
      <c r="I5145" s="16">
        <v>531.63000000000011</v>
      </c>
      <c r="J5145" s="16">
        <v>382.97374706044531</v>
      </c>
      <c r="K5145" s="16">
        <v>148.65625293955469</v>
      </c>
      <c r="L5145" s="13">
        <v>2.42</v>
      </c>
      <c r="M5145" s="13"/>
      <c r="N5145" s="17">
        <f t="shared" si="169"/>
        <v>1299.54</v>
      </c>
      <c r="O5145" s="17">
        <f t="shared" si="169"/>
        <v>0</v>
      </c>
      <c r="P5145" s="17">
        <f t="shared" si="170"/>
        <v>1299.54</v>
      </c>
      <c r="Q5145" t="str">
        <f>A5145&amp;"-"&amp;B5145&amp;"-"&amp;D5145</f>
        <v>OKTOBER-MJ2-L6</v>
      </c>
    </row>
    <row r="5146" spans="1:17" x14ac:dyDescent="0.25">
      <c r="A5146" t="s">
        <v>400</v>
      </c>
      <c r="B5146" s="13" t="s">
        <v>26</v>
      </c>
      <c r="C5146" s="13" t="s">
        <v>226</v>
      </c>
      <c r="D5146" s="14" t="s">
        <v>163</v>
      </c>
      <c r="E5146" s="13" t="s">
        <v>61</v>
      </c>
      <c r="F5146" s="13" t="s">
        <v>1774</v>
      </c>
      <c r="G5146" s="13">
        <v>0.80000000000000016</v>
      </c>
      <c r="H5146" s="15">
        <v>668</v>
      </c>
      <c r="I5146" s="16">
        <v>534.4</v>
      </c>
      <c r="J5146" s="16">
        <v>478.98827389351106</v>
      </c>
      <c r="K5146" s="16">
        <v>55.411726106488899</v>
      </c>
      <c r="L5146" s="13">
        <v>2.0699999999999998</v>
      </c>
      <c r="M5146" s="13"/>
      <c r="N5146" s="17">
        <f t="shared" si="169"/>
        <v>1382.76</v>
      </c>
      <c r="O5146" s="17">
        <f t="shared" si="169"/>
        <v>0</v>
      </c>
      <c r="P5146" s="17">
        <f t="shared" si="170"/>
        <v>1382.76</v>
      </c>
      <c r="Q5146" t="str">
        <f>A5146&amp;"-"&amp;B5146&amp;"-"&amp;D5146</f>
        <v>OKTOBER-MJ2-L6</v>
      </c>
    </row>
    <row r="5147" spans="1:17" x14ac:dyDescent="0.25">
      <c r="A5147" t="s">
        <v>400</v>
      </c>
      <c r="B5147" s="13" t="s">
        <v>26</v>
      </c>
      <c r="C5147" s="13" t="s">
        <v>226</v>
      </c>
      <c r="D5147" s="14" t="s">
        <v>163</v>
      </c>
      <c r="E5147" s="13" t="s">
        <v>61</v>
      </c>
      <c r="F5147" s="13" t="s">
        <v>1776</v>
      </c>
      <c r="G5147" s="13">
        <v>0.78</v>
      </c>
      <c r="H5147" s="15">
        <v>330</v>
      </c>
      <c r="I5147" s="16">
        <v>257.39999999999998</v>
      </c>
      <c r="J5147" s="16">
        <v>240.66749622926096</v>
      </c>
      <c r="K5147" s="16">
        <v>16.732503770739058</v>
      </c>
      <c r="L5147" s="13">
        <v>2.2200000000000002</v>
      </c>
      <c r="M5147" s="13"/>
      <c r="N5147" s="17">
        <f t="shared" si="169"/>
        <v>732.6</v>
      </c>
      <c r="O5147" s="17">
        <f t="shared" si="169"/>
        <v>0</v>
      </c>
      <c r="P5147" s="17">
        <f t="shared" si="170"/>
        <v>732.6</v>
      </c>
      <c r="Q5147" t="str">
        <f>A5147&amp;"-"&amp;B5147&amp;"-"&amp;D5147</f>
        <v>OKTOBER-MJ2-L6</v>
      </c>
    </row>
    <row r="5148" spans="1:17" x14ac:dyDescent="0.25">
      <c r="A5148" t="s">
        <v>400</v>
      </c>
      <c r="B5148" s="13" t="s">
        <v>26</v>
      </c>
      <c r="C5148" s="13" t="s">
        <v>226</v>
      </c>
      <c r="D5148" s="14" t="s">
        <v>163</v>
      </c>
      <c r="E5148" s="13" t="s">
        <v>61</v>
      </c>
      <c r="F5148" s="13" t="s">
        <v>1755</v>
      </c>
      <c r="G5148" s="13">
        <v>0.83</v>
      </c>
      <c r="H5148" s="15">
        <v>1815</v>
      </c>
      <c r="I5148" s="16">
        <v>1506.45</v>
      </c>
      <c r="J5148" s="16">
        <v>1432.1107394366197</v>
      </c>
      <c r="K5148" s="16">
        <v>74.339260563380265</v>
      </c>
      <c r="L5148" s="13">
        <v>2.13</v>
      </c>
      <c r="M5148" s="13"/>
      <c r="N5148" s="17">
        <f t="shared" si="169"/>
        <v>3865.95</v>
      </c>
      <c r="O5148" s="17">
        <f t="shared" si="169"/>
        <v>0</v>
      </c>
      <c r="P5148" s="17">
        <f t="shared" si="170"/>
        <v>3865.95</v>
      </c>
      <c r="Q5148" t="str">
        <f>A5148&amp;"-"&amp;B5148&amp;"-"&amp;D5148</f>
        <v>OKTOBER-MJ2-L6</v>
      </c>
    </row>
    <row r="5149" spans="1:17" x14ac:dyDescent="0.25">
      <c r="A5149" t="s">
        <v>400</v>
      </c>
      <c r="B5149" s="13" t="s">
        <v>26</v>
      </c>
      <c r="C5149" s="13" t="s">
        <v>226</v>
      </c>
      <c r="D5149" s="14" t="s">
        <v>163</v>
      </c>
      <c r="E5149" s="13" t="s">
        <v>61</v>
      </c>
      <c r="F5149" s="13" t="s">
        <v>1603</v>
      </c>
      <c r="G5149" s="13">
        <v>0.83</v>
      </c>
      <c r="H5149" s="15">
        <v>1701</v>
      </c>
      <c r="I5149" s="16">
        <v>1411.83</v>
      </c>
      <c r="J5149" s="16">
        <v>1160.1126645920237</v>
      </c>
      <c r="K5149" s="16">
        <v>251.71733540797632</v>
      </c>
      <c r="L5149" s="13">
        <v>2.13</v>
      </c>
      <c r="M5149" s="13"/>
      <c r="N5149" s="17">
        <f t="shared" si="169"/>
        <v>3623.1299999999997</v>
      </c>
      <c r="O5149" s="17">
        <f t="shared" si="169"/>
        <v>0</v>
      </c>
      <c r="P5149" s="17">
        <f t="shared" si="170"/>
        <v>3623.1299999999997</v>
      </c>
      <c r="Q5149" t="str">
        <f>A5149&amp;"-"&amp;B5149&amp;"-"&amp;D5149</f>
        <v>OKTOBER-MJ2-L6</v>
      </c>
    </row>
    <row r="5150" spans="1:17" x14ac:dyDescent="0.25">
      <c r="A5150" t="s">
        <v>400</v>
      </c>
      <c r="B5150" s="13" t="s">
        <v>26</v>
      </c>
      <c r="C5150" s="13" t="s">
        <v>226</v>
      </c>
      <c r="D5150" s="14" t="s">
        <v>163</v>
      </c>
      <c r="E5150" s="13" t="s">
        <v>61</v>
      </c>
      <c r="F5150" s="13" t="s">
        <v>1756</v>
      </c>
      <c r="G5150" s="13">
        <v>0.78</v>
      </c>
      <c r="H5150" s="15">
        <v>180</v>
      </c>
      <c r="I5150" s="16">
        <v>140.4</v>
      </c>
      <c r="J5150" s="16">
        <v>119.47500000000001</v>
      </c>
      <c r="K5150" s="16">
        <v>20.924999999999997</v>
      </c>
      <c r="L5150" s="13">
        <v>2.29</v>
      </c>
      <c r="M5150" s="13"/>
      <c r="N5150" s="17">
        <f t="shared" si="169"/>
        <v>412.2</v>
      </c>
      <c r="O5150" s="17">
        <f t="shared" si="169"/>
        <v>0</v>
      </c>
      <c r="P5150" s="17">
        <f t="shared" si="170"/>
        <v>412.2</v>
      </c>
      <c r="Q5150" t="str">
        <f>A5150&amp;"-"&amp;B5150&amp;"-"&amp;D5150</f>
        <v>OKTOBER-MJ2-L6</v>
      </c>
    </row>
    <row r="5151" spans="1:17" x14ac:dyDescent="0.25">
      <c r="A5151" t="s">
        <v>400</v>
      </c>
      <c r="B5151" s="13" t="s">
        <v>26</v>
      </c>
      <c r="C5151" s="13" t="s">
        <v>226</v>
      </c>
      <c r="D5151" s="14" t="s">
        <v>163</v>
      </c>
      <c r="E5151" s="13" t="s">
        <v>61</v>
      </c>
      <c r="F5151" s="13" t="s">
        <v>1802</v>
      </c>
      <c r="G5151" s="13">
        <v>0.78</v>
      </c>
      <c r="H5151" s="15">
        <v>10</v>
      </c>
      <c r="I5151" s="16">
        <v>7.8</v>
      </c>
      <c r="J5151" s="16">
        <v>4.7708894878706198</v>
      </c>
      <c r="K5151" s="16">
        <v>3.02911051212938</v>
      </c>
      <c r="L5151" s="13">
        <v>2.29</v>
      </c>
      <c r="M5151" s="13"/>
      <c r="N5151" s="17">
        <f t="shared" si="169"/>
        <v>22.9</v>
      </c>
      <c r="O5151" s="17">
        <f t="shared" si="169"/>
        <v>0</v>
      </c>
      <c r="P5151" s="17">
        <f t="shared" si="170"/>
        <v>22.9</v>
      </c>
      <c r="Q5151" t="str">
        <f>A5151&amp;"-"&amp;B5151&amp;"-"&amp;D5151</f>
        <v>OKTOBER-MJ2-L6</v>
      </c>
    </row>
    <row r="5152" spans="1:17" x14ac:dyDescent="0.25">
      <c r="A5152" t="s">
        <v>400</v>
      </c>
      <c r="B5152" s="13" t="s">
        <v>26</v>
      </c>
      <c r="C5152" s="13" t="s">
        <v>226</v>
      </c>
      <c r="D5152" s="14" t="s">
        <v>163</v>
      </c>
      <c r="E5152" s="13" t="s">
        <v>61</v>
      </c>
      <c r="F5152" s="13" t="s">
        <v>1198</v>
      </c>
      <c r="G5152" s="13">
        <v>0.65</v>
      </c>
      <c r="H5152" s="15">
        <v>18</v>
      </c>
      <c r="I5152" s="16">
        <v>11.7</v>
      </c>
      <c r="J5152" s="16">
        <v>12.626155878467635</v>
      </c>
      <c r="K5152" s="16">
        <v>-0.92615587846763603</v>
      </c>
      <c r="L5152" s="13">
        <v>1.66</v>
      </c>
      <c r="M5152" s="13"/>
      <c r="N5152" s="17">
        <f t="shared" si="169"/>
        <v>29.88</v>
      </c>
      <c r="O5152" s="17">
        <f t="shared" si="169"/>
        <v>0</v>
      </c>
      <c r="P5152" s="17">
        <f t="shared" si="170"/>
        <v>29.88</v>
      </c>
      <c r="Q5152" t="str">
        <f>A5152&amp;"-"&amp;B5152&amp;"-"&amp;D5152</f>
        <v>OKTOBER-MJ2-L6</v>
      </c>
    </row>
    <row r="5153" spans="1:17" x14ac:dyDescent="0.25">
      <c r="A5153" t="s">
        <v>400</v>
      </c>
      <c r="B5153" s="13" t="s">
        <v>26</v>
      </c>
      <c r="C5153" s="13" t="s">
        <v>226</v>
      </c>
      <c r="D5153" s="14" t="s">
        <v>164</v>
      </c>
      <c r="E5153" s="13" t="s">
        <v>61</v>
      </c>
      <c r="F5153" s="13" t="s">
        <v>1793</v>
      </c>
      <c r="G5153" s="13">
        <v>0.68</v>
      </c>
      <c r="H5153" s="15">
        <v>2251</v>
      </c>
      <c r="I5153" s="16">
        <v>1530.68</v>
      </c>
      <c r="J5153" s="16">
        <v>1256.1159797297298</v>
      </c>
      <c r="K5153" s="16">
        <v>274.56402027027025</v>
      </c>
      <c r="L5153" s="13">
        <v>1.69</v>
      </c>
      <c r="M5153" s="13"/>
      <c r="N5153" s="17">
        <f t="shared" si="169"/>
        <v>3804.19</v>
      </c>
      <c r="O5153" s="17">
        <f t="shared" si="169"/>
        <v>0</v>
      </c>
      <c r="P5153" s="17">
        <f t="shared" si="170"/>
        <v>3804.19</v>
      </c>
      <c r="Q5153" t="str">
        <f>A5153&amp;"-"&amp;B5153&amp;"-"&amp;D5153</f>
        <v>OKTOBER-MJ2-L7</v>
      </c>
    </row>
    <row r="5154" spans="1:17" x14ac:dyDescent="0.25">
      <c r="A5154" t="s">
        <v>400</v>
      </c>
      <c r="B5154" s="13" t="s">
        <v>26</v>
      </c>
      <c r="C5154" s="13" t="s">
        <v>226</v>
      </c>
      <c r="D5154" s="14" t="s">
        <v>164</v>
      </c>
      <c r="E5154" s="13" t="s">
        <v>61</v>
      </c>
      <c r="F5154" s="13" t="s">
        <v>1794</v>
      </c>
      <c r="G5154" s="13">
        <v>0.68</v>
      </c>
      <c r="H5154" s="15">
        <v>2029</v>
      </c>
      <c r="I5154" s="16">
        <v>1379.72</v>
      </c>
      <c r="J5154" s="16">
        <v>1048.5053395864059</v>
      </c>
      <c r="K5154" s="16">
        <v>331.21466041359417</v>
      </c>
      <c r="L5154" s="13">
        <v>1.69</v>
      </c>
      <c r="M5154" s="13"/>
      <c r="N5154" s="17">
        <f t="shared" si="169"/>
        <v>3429.0099999999998</v>
      </c>
      <c r="O5154" s="17">
        <f t="shared" si="169"/>
        <v>0</v>
      </c>
      <c r="P5154" s="17">
        <f t="shared" si="170"/>
        <v>3429.0099999999998</v>
      </c>
      <c r="Q5154" t="str">
        <f>A5154&amp;"-"&amp;B5154&amp;"-"&amp;D5154</f>
        <v>OKTOBER-MJ2-L7</v>
      </c>
    </row>
    <row r="5155" spans="1:17" x14ac:dyDescent="0.25">
      <c r="A5155" t="s">
        <v>400</v>
      </c>
      <c r="B5155" s="13" t="s">
        <v>26</v>
      </c>
      <c r="C5155" s="13" t="s">
        <v>226</v>
      </c>
      <c r="D5155" s="14" t="s">
        <v>164</v>
      </c>
      <c r="E5155" s="13" t="s">
        <v>61</v>
      </c>
      <c r="F5155" s="13" t="s">
        <v>1795</v>
      </c>
      <c r="G5155" s="13">
        <v>0.65</v>
      </c>
      <c r="H5155" s="15">
        <v>1219</v>
      </c>
      <c r="I5155" s="16">
        <v>792.35</v>
      </c>
      <c r="J5155" s="16">
        <v>707.17701152818574</v>
      </c>
      <c r="K5155" s="16">
        <v>85.172988471814193</v>
      </c>
      <c r="L5155" s="13">
        <v>1.81</v>
      </c>
      <c r="M5155" s="13"/>
      <c r="N5155" s="17">
        <f t="shared" si="169"/>
        <v>2206.39</v>
      </c>
      <c r="O5155" s="17">
        <f t="shared" si="169"/>
        <v>0</v>
      </c>
      <c r="P5155" s="17">
        <f t="shared" si="170"/>
        <v>2206.39</v>
      </c>
      <c r="Q5155" t="str">
        <f>A5155&amp;"-"&amp;B5155&amp;"-"&amp;D5155</f>
        <v>OKTOBER-MJ2-L7</v>
      </c>
    </row>
    <row r="5156" spans="1:17" x14ac:dyDescent="0.25">
      <c r="A5156" t="s">
        <v>400</v>
      </c>
      <c r="B5156" s="13" t="s">
        <v>26</v>
      </c>
      <c r="C5156" s="13" t="s">
        <v>226</v>
      </c>
      <c r="D5156" s="14" t="s">
        <v>164</v>
      </c>
      <c r="E5156" s="13" t="s">
        <v>61</v>
      </c>
      <c r="F5156" s="13" t="s">
        <v>1796</v>
      </c>
      <c r="G5156" s="13">
        <v>0.68</v>
      </c>
      <c r="H5156" s="15">
        <v>1044</v>
      </c>
      <c r="I5156" s="16">
        <v>709.92000000000007</v>
      </c>
      <c r="J5156" s="16">
        <v>678.5483205473771</v>
      </c>
      <c r="K5156" s="16">
        <v>31.371679452622935</v>
      </c>
      <c r="L5156" s="13">
        <v>1.69</v>
      </c>
      <c r="M5156" s="13"/>
      <c r="N5156" s="17">
        <f t="shared" si="169"/>
        <v>1764.36</v>
      </c>
      <c r="O5156" s="17">
        <f t="shared" si="169"/>
        <v>0</v>
      </c>
      <c r="P5156" s="17">
        <f t="shared" si="170"/>
        <v>1764.36</v>
      </c>
      <c r="Q5156" t="str">
        <f>A5156&amp;"-"&amp;B5156&amp;"-"&amp;D5156</f>
        <v>OKTOBER-MJ2-L7</v>
      </c>
    </row>
    <row r="5157" spans="1:17" x14ac:dyDescent="0.25">
      <c r="A5157" t="s">
        <v>400</v>
      </c>
      <c r="B5157" s="13" t="s">
        <v>26</v>
      </c>
      <c r="C5157" s="13" t="s">
        <v>226</v>
      </c>
      <c r="D5157" s="14" t="s">
        <v>164</v>
      </c>
      <c r="E5157" s="13" t="s">
        <v>61</v>
      </c>
      <c r="F5157" s="13" t="s">
        <v>1750</v>
      </c>
      <c r="G5157" s="13">
        <v>0.68</v>
      </c>
      <c r="H5157" s="15">
        <v>563</v>
      </c>
      <c r="I5157" s="16">
        <v>382.84</v>
      </c>
      <c r="J5157" s="16">
        <v>401.07583454281564</v>
      </c>
      <c r="K5157" s="16">
        <v>-18.235834542815695</v>
      </c>
      <c r="L5157" s="13">
        <v>1.69</v>
      </c>
      <c r="M5157" s="13"/>
      <c r="N5157" s="17">
        <f t="shared" si="169"/>
        <v>951.46999999999991</v>
      </c>
      <c r="O5157" s="17">
        <f t="shared" si="169"/>
        <v>0</v>
      </c>
      <c r="P5157" s="17">
        <f t="shared" si="170"/>
        <v>951.46999999999991</v>
      </c>
      <c r="Q5157" t="str">
        <f>A5157&amp;"-"&amp;B5157&amp;"-"&amp;D5157</f>
        <v>OKTOBER-MJ2-L7</v>
      </c>
    </row>
    <row r="5158" spans="1:17" x14ac:dyDescent="0.25">
      <c r="A5158" t="s">
        <v>400</v>
      </c>
      <c r="B5158" s="13" t="s">
        <v>26</v>
      </c>
      <c r="C5158" s="13" t="s">
        <v>226</v>
      </c>
      <c r="D5158" s="14" t="s">
        <v>164</v>
      </c>
      <c r="E5158" s="13" t="s">
        <v>61</v>
      </c>
      <c r="F5158" s="13" t="s">
        <v>1563</v>
      </c>
      <c r="G5158" s="13">
        <v>0.71</v>
      </c>
      <c r="H5158" s="15">
        <v>124</v>
      </c>
      <c r="I5158" s="16">
        <v>88.04</v>
      </c>
      <c r="J5158" s="16">
        <v>59.159029649595688</v>
      </c>
      <c r="K5158" s="16">
        <v>28.880970350404318</v>
      </c>
      <c r="L5158" s="13">
        <v>1.29</v>
      </c>
      <c r="M5158" s="13"/>
      <c r="N5158" s="17">
        <f t="shared" si="169"/>
        <v>159.96</v>
      </c>
      <c r="O5158" s="17">
        <f t="shared" si="169"/>
        <v>0</v>
      </c>
      <c r="P5158" s="17">
        <f t="shared" si="170"/>
        <v>159.96</v>
      </c>
      <c r="Q5158" t="str">
        <f>A5158&amp;"-"&amp;B5158&amp;"-"&amp;D5158</f>
        <v>OKTOBER-MJ2-L7</v>
      </c>
    </row>
    <row r="5159" spans="1:17" x14ac:dyDescent="0.25">
      <c r="A5159" t="s">
        <v>400</v>
      </c>
      <c r="B5159" s="13" t="s">
        <v>26</v>
      </c>
      <c r="C5159" s="13" t="s">
        <v>226</v>
      </c>
      <c r="D5159" s="14" t="s">
        <v>164</v>
      </c>
      <c r="E5159" s="13" t="s">
        <v>61</v>
      </c>
      <c r="F5159" s="13" t="s">
        <v>1597</v>
      </c>
      <c r="G5159" s="13">
        <v>0.68</v>
      </c>
      <c r="H5159" s="15">
        <v>95</v>
      </c>
      <c r="I5159" s="16">
        <v>64.599999999999994</v>
      </c>
      <c r="J5159" s="16">
        <v>48.688912468354658</v>
      </c>
      <c r="K5159" s="16">
        <v>15.911087531645343</v>
      </c>
      <c r="L5159" s="13">
        <v>1.7</v>
      </c>
      <c r="M5159" s="13"/>
      <c r="N5159" s="17">
        <f t="shared" si="169"/>
        <v>161.5</v>
      </c>
      <c r="O5159" s="17">
        <f t="shared" si="169"/>
        <v>0</v>
      </c>
      <c r="P5159" s="17">
        <f t="shared" si="170"/>
        <v>161.5</v>
      </c>
      <c r="Q5159" t="str">
        <f>A5159&amp;"-"&amp;B5159&amp;"-"&amp;D5159</f>
        <v>OKTOBER-MJ2-L7</v>
      </c>
    </row>
    <row r="5160" spans="1:17" x14ac:dyDescent="0.25">
      <c r="A5160" t="s">
        <v>400</v>
      </c>
      <c r="B5160" s="13" t="s">
        <v>26</v>
      </c>
      <c r="C5160" s="13" t="s">
        <v>226</v>
      </c>
      <c r="D5160" s="14" t="s">
        <v>164</v>
      </c>
      <c r="E5160" s="13" t="s">
        <v>61</v>
      </c>
      <c r="F5160" s="13" t="s">
        <v>1777</v>
      </c>
      <c r="G5160" s="13">
        <v>0.83</v>
      </c>
      <c r="H5160" s="15">
        <v>1765</v>
      </c>
      <c r="I5160" s="16">
        <v>1464.95</v>
      </c>
      <c r="J5160" s="16">
        <v>1114.7100176263218</v>
      </c>
      <c r="K5160" s="16">
        <v>350.23998237367795</v>
      </c>
      <c r="L5160" s="13">
        <v>2.13</v>
      </c>
      <c r="M5160" s="13"/>
      <c r="N5160" s="17">
        <f t="shared" si="169"/>
        <v>3759.45</v>
      </c>
      <c r="O5160" s="17">
        <f t="shared" si="169"/>
        <v>0</v>
      </c>
      <c r="P5160" s="17">
        <f t="shared" si="170"/>
        <v>3759.45</v>
      </c>
      <c r="Q5160" t="str">
        <f>A5160&amp;"-"&amp;B5160&amp;"-"&amp;D5160</f>
        <v>OKTOBER-MJ2-L7</v>
      </c>
    </row>
    <row r="5161" spans="1:17" x14ac:dyDescent="0.25">
      <c r="A5161" t="s">
        <v>400</v>
      </c>
      <c r="B5161" s="13" t="s">
        <v>26</v>
      </c>
      <c r="C5161" s="13" t="s">
        <v>226</v>
      </c>
      <c r="D5161" s="14" t="s">
        <v>164</v>
      </c>
      <c r="E5161" s="13" t="s">
        <v>61</v>
      </c>
      <c r="F5161" s="13" t="s">
        <v>1778</v>
      </c>
      <c r="G5161" s="13">
        <v>0.78</v>
      </c>
      <c r="H5161" s="15">
        <v>285</v>
      </c>
      <c r="I5161" s="16">
        <v>222.3</v>
      </c>
      <c r="J5161" s="16">
        <v>170.42229729729729</v>
      </c>
      <c r="K5161" s="16">
        <v>51.87770270270272</v>
      </c>
      <c r="L5161" s="13">
        <v>2.29</v>
      </c>
      <c r="M5161" s="13"/>
      <c r="N5161" s="17">
        <f t="shared" si="169"/>
        <v>652.65</v>
      </c>
      <c r="O5161" s="17">
        <f t="shared" si="169"/>
        <v>0</v>
      </c>
      <c r="P5161" s="17">
        <f t="shared" si="170"/>
        <v>652.65</v>
      </c>
      <c r="Q5161" t="str">
        <f>A5161&amp;"-"&amp;B5161&amp;"-"&amp;D5161</f>
        <v>OKTOBER-MJ2-L7</v>
      </c>
    </row>
    <row r="5162" spans="1:17" x14ac:dyDescent="0.25">
      <c r="A5162" t="s">
        <v>400</v>
      </c>
      <c r="B5162" s="13" t="s">
        <v>26</v>
      </c>
      <c r="C5162" s="13" t="s">
        <v>226</v>
      </c>
      <c r="D5162" s="14" t="s">
        <v>164</v>
      </c>
      <c r="E5162" s="13" t="s">
        <v>61</v>
      </c>
      <c r="F5162" s="13" t="s">
        <v>1600</v>
      </c>
      <c r="G5162" s="13">
        <v>0.76000000000000012</v>
      </c>
      <c r="H5162" s="15">
        <v>1757</v>
      </c>
      <c r="I5162" s="16">
        <v>1335.32</v>
      </c>
      <c r="J5162" s="16">
        <v>1037.1113506191057</v>
      </c>
      <c r="K5162" s="16">
        <v>298.20864938089431</v>
      </c>
      <c r="L5162" s="13">
        <v>1.94</v>
      </c>
      <c r="M5162" s="13"/>
      <c r="N5162" s="17">
        <f t="shared" si="169"/>
        <v>3408.58</v>
      </c>
      <c r="O5162" s="17">
        <f t="shared" si="169"/>
        <v>0</v>
      </c>
      <c r="P5162" s="17">
        <f t="shared" si="170"/>
        <v>3408.58</v>
      </c>
      <c r="Q5162" t="str">
        <f>A5162&amp;"-"&amp;B5162&amp;"-"&amp;D5162</f>
        <v>OKTOBER-MJ2-L7</v>
      </c>
    </row>
    <row r="5163" spans="1:17" x14ac:dyDescent="0.25">
      <c r="A5163" t="s">
        <v>400</v>
      </c>
      <c r="B5163" s="13" t="s">
        <v>26</v>
      </c>
      <c r="C5163" s="13" t="s">
        <v>226</v>
      </c>
      <c r="D5163" s="14" t="s">
        <v>164</v>
      </c>
      <c r="E5163" s="13" t="s">
        <v>61</v>
      </c>
      <c r="F5163" s="13" t="s">
        <v>1797</v>
      </c>
      <c r="G5163" s="13">
        <v>0.69</v>
      </c>
      <c r="H5163" s="15">
        <v>27</v>
      </c>
      <c r="I5163" s="16">
        <v>18.63</v>
      </c>
      <c r="J5163" s="16">
        <v>12.881401617250674</v>
      </c>
      <c r="K5163" s="16">
        <v>5.748598382749325</v>
      </c>
      <c r="L5163" s="13">
        <v>2.0699999999999998</v>
      </c>
      <c r="M5163" s="13"/>
      <c r="N5163" s="17">
        <f t="shared" si="169"/>
        <v>55.889999999999993</v>
      </c>
      <c r="O5163" s="17">
        <f t="shared" si="169"/>
        <v>0</v>
      </c>
      <c r="P5163" s="17">
        <f t="shared" si="170"/>
        <v>55.889999999999993</v>
      </c>
      <c r="Q5163" t="str">
        <f>A5163&amp;"-"&amp;B5163&amp;"-"&amp;D5163</f>
        <v>OKTOBER-MJ2-L7</v>
      </c>
    </row>
    <row r="5164" spans="1:17" x14ac:dyDescent="0.25">
      <c r="A5164" t="s">
        <v>400</v>
      </c>
      <c r="B5164" s="13" t="s">
        <v>26</v>
      </c>
      <c r="C5164" s="13" t="s">
        <v>226</v>
      </c>
      <c r="D5164" s="14" t="s">
        <v>164</v>
      </c>
      <c r="E5164" s="13" t="s">
        <v>61</v>
      </c>
      <c r="F5164" s="13" t="s">
        <v>1798</v>
      </c>
      <c r="G5164" s="13">
        <v>1.19</v>
      </c>
      <c r="H5164" s="15">
        <v>896</v>
      </c>
      <c r="I5164" s="16">
        <v>1066.24</v>
      </c>
      <c r="J5164" s="16">
        <v>559.16608695652178</v>
      </c>
      <c r="K5164" s="16">
        <v>507.07391304347823</v>
      </c>
      <c r="L5164" s="13">
        <v>2.87</v>
      </c>
      <c r="M5164" s="13"/>
      <c r="N5164" s="17">
        <f t="shared" si="169"/>
        <v>2571.52</v>
      </c>
      <c r="O5164" s="17">
        <f t="shared" si="169"/>
        <v>0</v>
      </c>
      <c r="P5164" s="17">
        <f t="shared" si="170"/>
        <v>2571.52</v>
      </c>
      <c r="Q5164" t="str">
        <f>A5164&amp;"-"&amp;B5164&amp;"-"&amp;D5164</f>
        <v>OKTOBER-MJ2-L7</v>
      </c>
    </row>
    <row r="5165" spans="1:17" x14ac:dyDescent="0.25">
      <c r="A5165" t="s">
        <v>400</v>
      </c>
      <c r="B5165" s="13" t="s">
        <v>26</v>
      </c>
      <c r="C5165" s="13" t="s">
        <v>226</v>
      </c>
      <c r="D5165" s="14" t="s">
        <v>164</v>
      </c>
      <c r="E5165" s="13" t="s">
        <v>61</v>
      </c>
      <c r="F5165" s="13" t="s">
        <v>1601</v>
      </c>
      <c r="G5165" s="13">
        <v>1.19</v>
      </c>
      <c r="H5165" s="15">
        <v>35</v>
      </c>
      <c r="I5165" s="16">
        <v>41.65</v>
      </c>
      <c r="J5165" s="16">
        <v>19.718832891246684</v>
      </c>
      <c r="K5165" s="16">
        <v>21.931167108753314</v>
      </c>
      <c r="L5165" s="13">
        <v>2.87</v>
      </c>
      <c r="M5165" s="13"/>
      <c r="N5165" s="17">
        <f t="shared" si="169"/>
        <v>100.45</v>
      </c>
      <c r="O5165" s="17">
        <f t="shared" si="169"/>
        <v>0</v>
      </c>
      <c r="P5165" s="17">
        <f t="shared" si="170"/>
        <v>100.45</v>
      </c>
      <c r="Q5165" t="str">
        <f>A5165&amp;"-"&amp;B5165&amp;"-"&amp;D5165</f>
        <v>OKTOBER-MJ2-L7</v>
      </c>
    </row>
    <row r="5166" spans="1:17" x14ac:dyDescent="0.25">
      <c r="A5166" t="s">
        <v>400</v>
      </c>
      <c r="B5166" s="13" t="s">
        <v>26</v>
      </c>
      <c r="C5166" s="13" t="s">
        <v>226</v>
      </c>
      <c r="D5166" s="14" t="s">
        <v>164</v>
      </c>
      <c r="E5166" s="13" t="s">
        <v>61</v>
      </c>
      <c r="F5166" s="13" t="s">
        <v>1779</v>
      </c>
      <c r="G5166" s="13">
        <v>0.93</v>
      </c>
      <c r="H5166" s="15">
        <v>2795</v>
      </c>
      <c r="I5166" s="16">
        <v>2599.35</v>
      </c>
      <c r="J5166" s="16">
        <v>1885.5282789478906</v>
      </c>
      <c r="K5166" s="16">
        <v>713.82172105210952</v>
      </c>
      <c r="L5166" s="13">
        <v>2.2200000000000002</v>
      </c>
      <c r="M5166" s="13"/>
      <c r="N5166" s="17">
        <f t="shared" si="169"/>
        <v>6204.9000000000005</v>
      </c>
      <c r="O5166" s="17">
        <f t="shared" si="169"/>
        <v>0</v>
      </c>
      <c r="P5166" s="17">
        <f t="shared" si="170"/>
        <v>6204.9000000000005</v>
      </c>
      <c r="Q5166" t="str">
        <f>A5166&amp;"-"&amp;B5166&amp;"-"&amp;D5166</f>
        <v>OKTOBER-MJ2-L7</v>
      </c>
    </row>
    <row r="5167" spans="1:17" x14ac:dyDescent="0.25">
      <c r="A5167" t="s">
        <v>400</v>
      </c>
      <c r="B5167" s="13" t="s">
        <v>26</v>
      </c>
      <c r="C5167" s="13" t="s">
        <v>226</v>
      </c>
      <c r="D5167" s="14" t="s">
        <v>164</v>
      </c>
      <c r="E5167" s="13" t="s">
        <v>61</v>
      </c>
      <c r="F5167" s="13" t="s">
        <v>1780</v>
      </c>
      <c r="G5167" s="13">
        <v>0.99</v>
      </c>
      <c r="H5167" s="15">
        <v>907</v>
      </c>
      <c r="I5167" s="16">
        <v>897.93</v>
      </c>
      <c r="J5167" s="16">
        <v>664.37227389256725</v>
      </c>
      <c r="K5167" s="16">
        <v>233.55772610743273</v>
      </c>
      <c r="L5167" s="13">
        <v>2.42</v>
      </c>
      <c r="M5167" s="13"/>
      <c r="N5167" s="17">
        <f t="shared" si="169"/>
        <v>2194.94</v>
      </c>
      <c r="O5167" s="17">
        <f t="shared" si="169"/>
        <v>0</v>
      </c>
      <c r="P5167" s="17">
        <f t="shared" si="170"/>
        <v>2194.94</v>
      </c>
      <c r="Q5167" t="str">
        <f>A5167&amp;"-"&amp;B5167&amp;"-"&amp;D5167</f>
        <v>OKTOBER-MJ2-L7</v>
      </c>
    </row>
    <row r="5168" spans="1:17" x14ac:dyDescent="0.25">
      <c r="A5168" t="s">
        <v>400</v>
      </c>
      <c r="B5168" s="13" t="s">
        <v>26</v>
      </c>
      <c r="C5168" s="13" t="s">
        <v>226</v>
      </c>
      <c r="D5168" s="14" t="s">
        <v>164</v>
      </c>
      <c r="E5168" s="13" t="s">
        <v>61</v>
      </c>
      <c r="F5168" s="13" t="s">
        <v>1782</v>
      </c>
      <c r="G5168" s="13">
        <v>0.79</v>
      </c>
      <c r="H5168" s="15">
        <v>1670</v>
      </c>
      <c r="I5168" s="16">
        <v>1319.3000000000002</v>
      </c>
      <c r="J5168" s="16">
        <v>1114.7801303836627</v>
      </c>
      <c r="K5168" s="16">
        <v>204.51986961633708</v>
      </c>
      <c r="L5168" s="13">
        <v>2</v>
      </c>
      <c r="M5168" s="13"/>
      <c r="N5168" s="17">
        <f t="shared" si="169"/>
        <v>3340</v>
      </c>
      <c r="O5168" s="17">
        <f t="shared" si="169"/>
        <v>0</v>
      </c>
      <c r="P5168" s="17">
        <f t="shared" si="170"/>
        <v>3340</v>
      </c>
      <c r="Q5168" t="str">
        <f>A5168&amp;"-"&amp;B5168&amp;"-"&amp;D5168</f>
        <v>OKTOBER-MJ2-L7</v>
      </c>
    </row>
    <row r="5169" spans="1:17" x14ac:dyDescent="0.25">
      <c r="A5169" t="s">
        <v>400</v>
      </c>
      <c r="B5169" s="13" t="s">
        <v>26</v>
      </c>
      <c r="C5169" s="13" t="s">
        <v>226</v>
      </c>
      <c r="D5169" s="14" t="s">
        <v>164</v>
      </c>
      <c r="E5169" s="13" t="s">
        <v>61</v>
      </c>
      <c r="F5169" s="13" t="s">
        <v>1783</v>
      </c>
      <c r="G5169" s="13">
        <v>0.77</v>
      </c>
      <c r="H5169" s="15">
        <v>593</v>
      </c>
      <c r="I5169" s="16">
        <v>456.61</v>
      </c>
      <c r="J5169" s="16">
        <v>389.87350705029831</v>
      </c>
      <c r="K5169" s="16">
        <v>66.736492949701727</v>
      </c>
      <c r="L5169" s="13">
        <v>2.15</v>
      </c>
      <c r="M5169" s="13"/>
      <c r="N5169" s="17">
        <f t="shared" si="169"/>
        <v>1274.95</v>
      </c>
      <c r="O5169" s="17">
        <f t="shared" si="169"/>
        <v>0</v>
      </c>
      <c r="P5169" s="17">
        <f t="shared" si="170"/>
        <v>1274.95</v>
      </c>
      <c r="Q5169" t="str">
        <f>A5169&amp;"-"&amp;B5169&amp;"-"&amp;D5169</f>
        <v>OKTOBER-MJ2-L7</v>
      </c>
    </row>
    <row r="5170" spans="1:17" x14ac:dyDescent="0.25">
      <c r="A5170" t="s">
        <v>400</v>
      </c>
      <c r="B5170" s="13" t="s">
        <v>26</v>
      </c>
      <c r="C5170" s="13" t="s">
        <v>226</v>
      </c>
      <c r="D5170" s="14" t="s">
        <v>164</v>
      </c>
      <c r="E5170" s="13" t="s">
        <v>61</v>
      </c>
      <c r="F5170" s="13" t="s">
        <v>1799</v>
      </c>
      <c r="G5170" s="13">
        <v>0.83</v>
      </c>
      <c r="H5170" s="15">
        <v>8864</v>
      </c>
      <c r="I5170" s="16">
        <v>7357.12</v>
      </c>
      <c r="J5170" s="16">
        <v>5115.2744103519963</v>
      </c>
      <c r="K5170" s="16">
        <v>2241.8455896480036</v>
      </c>
      <c r="L5170" s="13">
        <v>2.13</v>
      </c>
      <c r="M5170" s="13"/>
      <c r="N5170" s="17">
        <f t="shared" si="169"/>
        <v>18880.32</v>
      </c>
      <c r="O5170" s="17">
        <f t="shared" si="169"/>
        <v>0</v>
      </c>
      <c r="P5170" s="17">
        <f t="shared" si="170"/>
        <v>18880.32</v>
      </c>
      <c r="Q5170" t="str">
        <f>A5170&amp;"-"&amp;B5170&amp;"-"&amp;D5170</f>
        <v>OKTOBER-MJ2-L7</v>
      </c>
    </row>
    <row r="5171" spans="1:17" x14ac:dyDescent="0.25">
      <c r="A5171" t="s">
        <v>400</v>
      </c>
      <c r="B5171" s="13" t="s">
        <v>26</v>
      </c>
      <c r="C5171" s="13" t="s">
        <v>226</v>
      </c>
      <c r="D5171" s="14" t="s">
        <v>164</v>
      </c>
      <c r="E5171" s="13" t="s">
        <v>61</v>
      </c>
      <c r="F5171" s="13" t="s">
        <v>1565</v>
      </c>
      <c r="G5171" s="13">
        <v>0.83</v>
      </c>
      <c r="H5171" s="15">
        <v>53</v>
      </c>
      <c r="I5171" s="16">
        <v>43.99</v>
      </c>
      <c r="J5171" s="16">
        <v>25.285714285714285</v>
      </c>
      <c r="K5171" s="16">
        <v>18.704285714285717</v>
      </c>
      <c r="L5171" s="13">
        <v>2.13</v>
      </c>
      <c r="M5171" s="13"/>
      <c r="N5171" s="17">
        <f t="shared" si="169"/>
        <v>112.89</v>
      </c>
      <c r="O5171" s="17">
        <f t="shared" si="169"/>
        <v>0</v>
      </c>
      <c r="P5171" s="17">
        <f t="shared" si="170"/>
        <v>112.89</v>
      </c>
      <c r="Q5171" t="str">
        <f>A5171&amp;"-"&amp;B5171&amp;"-"&amp;D5171</f>
        <v>OKTOBER-MJ2-L7</v>
      </c>
    </row>
    <row r="5172" spans="1:17" x14ac:dyDescent="0.25">
      <c r="A5172" t="s">
        <v>400</v>
      </c>
      <c r="B5172" s="13" t="s">
        <v>26</v>
      </c>
      <c r="C5172" s="13" t="s">
        <v>226</v>
      </c>
      <c r="D5172" s="14" t="s">
        <v>164</v>
      </c>
      <c r="E5172" s="13" t="s">
        <v>61</v>
      </c>
      <c r="F5172" s="13" t="s">
        <v>1800</v>
      </c>
      <c r="G5172" s="13">
        <v>0.78</v>
      </c>
      <c r="H5172" s="15">
        <v>12</v>
      </c>
      <c r="I5172" s="16">
        <v>9.36</v>
      </c>
      <c r="J5172" s="16">
        <v>7.1756756756756763</v>
      </c>
      <c r="K5172" s="16">
        <v>2.1843243243243231</v>
      </c>
      <c r="L5172" s="13">
        <v>2.29</v>
      </c>
      <c r="M5172" s="13"/>
      <c r="N5172" s="17">
        <f t="shared" si="169"/>
        <v>27.48</v>
      </c>
      <c r="O5172" s="17">
        <f t="shared" si="169"/>
        <v>0</v>
      </c>
      <c r="P5172" s="17">
        <f t="shared" si="170"/>
        <v>27.48</v>
      </c>
      <c r="Q5172" t="str">
        <f>A5172&amp;"-"&amp;B5172&amp;"-"&amp;D5172</f>
        <v>OKTOBER-MJ2-L7</v>
      </c>
    </row>
    <row r="5173" spans="1:17" x14ac:dyDescent="0.25">
      <c r="A5173" t="s">
        <v>400</v>
      </c>
      <c r="B5173" s="13" t="s">
        <v>26</v>
      </c>
      <c r="C5173" s="13" t="s">
        <v>226</v>
      </c>
      <c r="D5173" s="14" t="s">
        <v>164</v>
      </c>
      <c r="E5173" s="13" t="s">
        <v>61</v>
      </c>
      <c r="F5173" s="13" t="s">
        <v>1801</v>
      </c>
      <c r="G5173" s="13">
        <v>0.76</v>
      </c>
      <c r="H5173" s="15">
        <v>2522</v>
      </c>
      <c r="I5173" s="16">
        <v>1916.7199999999998</v>
      </c>
      <c r="J5173" s="16">
        <v>1560.5243478260868</v>
      </c>
      <c r="K5173" s="16">
        <v>356.195652173913</v>
      </c>
      <c r="L5173" s="13">
        <v>1.94</v>
      </c>
      <c r="M5173" s="13"/>
      <c r="N5173" s="17">
        <f t="shared" si="169"/>
        <v>4892.68</v>
      </c>
      <c r="O5173" s="17">
        <f t="shared" si="169"/>
        <v>0</v>
      </c>
      <c r="P5173" s="17">
        <f t="shared" si="170"/>
        <v>4892.68</v>
      </c>
      <c r="Q5173" t="str">
        <f>A5173&amp;"-"&amp;B5173&amp;"-"&amp;D5173</f>
        <v>OKTOBER-MJ2-L7</v>
      </c>
    </row>
    <row r="5174" spans="1:17" x14ac:dyDescent="0.25">
      <c r="A5174" t="s">
        <v>400</v>
      </c>
      <c r="B5174" s="13" t="s">
        <v>26</v>
      </c>
      <c r="C5174" s="13" t="s">
        <v>226</v>
      </c>
      <c r="D5174" s="14" t="s">
        <v>164</v>
      </c>
      <c r="E5174" s="13" t="s">
        <v>61</v>
      </c>
      <c r="F5174" s="13" t="s">
        <v>1584</v>
      </c>
      <c r="G5174" s="13">
        <v>0.76000000000000012</v>
      </c>
      <c r="H5174" s="15">
        <v>81</v>
      </c>
      <c r="I5174" s="16">
        <v>61.56</v>
      </c>
      <c r="J5174" s="16">
        <v>56.072620606801351</v>
      </c>
      <c r="K5174" s="16">
        <v>5.4873793931986565</v>
      </c>
      <c r="L5174" s="13">
        <v>1.94</v>
      </c>
      <c r="M5174" s="13"/>
      <c r="N5174" s="17">
        <f t="shared" si="169"/>
        <v>157.13999999999999</v>
      </c>
      <c r="O5174" s="17">
        <f t="shared" si="169"/>
        <v>0</v>
      </c>
      <c r="P5174" s="17">
        <f t="shared" si="170"/>
        <v>157.13999999999999</v>
      </c>
      <c r="Q5174" t="str">
        <f>A5174&amp;"-"&amp;B5174&amp;"-"&amp;D5174</f>
        <v>OKTOBER-MJ2-L7</v>
      </c>
    </row>
    <row r="5175" spans="1:17" x14ac:dyDescent="0.25">
      <c r="A5175" t="s">
        <v>400</v>
      </c>
      <c r="B5175" s="13" t="s">
        <v>26</v>
      </c>
      <c r="C5175" s="13" t="s">
        <v>226</v>
      </c>
      <c r="D5175" s="14" t="s">
        <v>164</v>
      </c>
      <c r="E5175" s="13" t="s">
        <v>61</v>
      </c>
      <c r="F5175" s="13" t="s">
        <v>1585</v>
      </c>
      <c r="G5175" s="13">
        <v>0.69</v>
      </c>
      <c r="H5175" s="15">
        <v>2</v>
      </c>
      <c r="I5175" s="16">
        <v>1.38</v>
      </c>
      <c r="J5175" s="16">
        <v>1.2872727272727273</v>
      </c>
      <c r="K5175" s="16">
        <v>9.2727272727272547E-2</v>
      </c>
      <c r="L5175" s="13">
        <v>2.0699999999999998</v>
      </c>
      <c r="M5175" s="13"/>
      <c r="N5175" s="17">
        <f t="shared" si="169"/>
        <v>4.1399999999999997</v>
      </c>
      <c r="O5175" s="17">
        <f t="shared" si="169"/>
        <v>0</v>
      </c>
      <c r="P5175" s="17">
        <f t="shared" si="170"/>
        <v>4.1399999999999997</v>
      </c>
      <c r="Q5175" t="str">
        <f>A5175&amp;"-"&amp;B5175&amp;"-"&amp;D5175</f>
        <v>OKTOBER-MJ2-L7</v>
      </c>
    </row>
    <row r="5176" spans="1:17" x14ac:dyDescent="0.25">
      <c r="A5176" t="s">
        <v>400</v>
      </c>
      <c r="B5176" s="13" t="s">
        <v>26</v>
      </c>
      <c r="C5176" s="13" t="s">
        <v>226</v>
      </c>
      <c r="D5176" s="14" t="s">
        <v>164</v>
      </c>
      <c r="E5176" s="13" t="s">
        <v>61</v>
      </c>
      <c r="F5176" s="13" t="s">
        <v>1788</v>
      </c>
      <c r="G5176" s="13">
        <v>0.83</v>
      </c>
      <c r="H5176" s="15">
        <v>342</v>
      </c>
      <c r="I5176" s="16">
        <v>283.86</v>
      </c>
      <c r="J5176" s="16">
        <v>204.5421151586369</v>
      </c>
      <c r="K5176" s="16">
        <v>79.317884841363096</v>
      </c>
      <c r="L5176" s="13">
        <v>2.13</v>
      </c>
      <c r="M5176" s="13"/>
      <c r="N5176" s="17">
        <f t="shared" si="169"/>
        <v>728.45999999999992</v>
      </c>
      <c r="O5176" s="17">
        <f t="shared" si="169"/>
        <v>0</v>
      </c>
      <c r="P5176" s="17">
        <f t="shared" si="170"/>
        <v>728.45999999999992</v>
      </c>
      <c r="Q5176" t="str">
        <f>A5176&amp;"-"&amp;B5176&amp;"-"&amp;D5176</f>
        <v>OKTOBER-MJ2-L7</v>
      </c>
    </row>
    <row r="5177" spans="1:17" x14ac:dyDescent="0.25">
      <c r="A5177" t="s">
        <v>400</v>
      </c>
      <c r="B5177" s="13" t="s">
        <v>26</v>
      </c>
      <c r="C5177" s="13" t="s">
        <v>226</v>
      </c>
      <c r="D5177" s="14" t="s">
        <v>164</v>
      </c>
      <c r="E5177" s="13" t="s">
        <v>61</v>
      </c>
      <c r="F5177" s="13" t="s">
        <v>1784</v>
      </c>
      <c r="G5177" s="13">
        <v>0.93</v>
      </c>
      <c r="H5177" s="15">
        <v>1994</v>
      </c>
      <c r="I5177" s="16">
        <v>1854.4199999999998</v>
      </c>
      <c r="J5177" s="16">
        <v>1395.0276425290335</v>
      </c>
      <c r="K5177" s="16">
        <v>459.39235747096632</v>
      </c>
      <c r="L5177" s="13">
        <v>2.2200000000000002</v>
      </c>
      <c r="M5177" s="13"/>
      <c r="N5177" s="17">
        <f t="shared" ref="N5177:O5230" si="171">$H5177*L5177</f>
        <v>4426.68</v>
      </c>
      <c r="O5177" s="17">
        <f t="shared" si="171"/>
        <v>0</v>
      </c>
      <c r="P5177" s="17">
        <f t="shared" si="170"/>
        <v>4426.68</v>
      </c>
      <c r="Q5177" t="str">
        <f>A5177&amp;"-"&amp;B5177&amp;"-"&amp;D5177</f>
        <v>OKTOBER-MJ2-L7</v>
      </c>
    </row>
    <row r="5178" spans="1:17" x14ac:dyDescent="0.25">
      <c r="A5178" t="s">
        <v>400</v>
      </c>
      <c r="B5178" s="13" t="s">
        <v>26</v>
      </c>
      <c r="C5178" s="13" t="s">
        <v>226</v>
      </c>
      <c r="D5178" s="14" t="s">
        <v>164</v>
      </c>
      <c r="E5178" s="13" t="s">
        <v>61</v>
      </c>
      <c r="F5178" s="13" t="s">
        <v>1785</v>
      </c>
      <c r="G5178" s="13">
        <v>0.98999999999999988</v>
      </c>
      <c r="H5178" s="15">
        <v>538</v>
      </c>
      <c r="I5178" s="16">
        <v>532.62000000000012</v>
      </c>
      <c r="J5178" s="16">
        <v>383.56096399644179</v>
      </c>
      <c r="K5178" s="16">
        <v>149.05903600355825</v>
      </c>
      <c r="L5178" s="13">
        <v>2.42</v>
      </c>
      <c r="M5178" s="13"/>
      <c r="N5178" s="17">
        <f t="shared" si="171"/>
        <v>1301.96</v>
      </c>
      <c r="O5178" s="17">
        <f t="shared" si="171"/>
        <v>0</v>
      </c>
      <c r="P5178" s="17">
        <f t="shared" si="170"/>
        <v>1301.96</v>
      </c>
      <c r="Q5178" t="str">
        <f>A5178&amp;"-"&amp;B5178&amp;"-"&amp;D5178</f>
        <v>OKTOBER-MJ2-L7</v>
      </c>
    </row>
    <row r="5179" spans="1:17" x14ac:dyDescent="0.25">
      <c r="A5179" t="s">
        <v>400</v>
      </c>
      <c r="B5179" s="13" t="s">
        <v>26</v>
      </c>
      <c r="C5179" s="13" t="s">
        <v>226</v>
      </c>
      <c r="D5179" s="14" t="s">
        <v>164</v>
      </c>
      <c r="E5179" s="13" t="s">
        <v>61</v>
      </c>
      <c r="F5179" s="13" t="s">
        <v>1774</v>
      </c>
      <c r="G5179" s="13">
        <v>0.80000000000000016</v>
      </c>
      <c r="H5179" s="15">
        <v>667</v>
      </c>
      <c r="I5179" s="16">
        <v>533.6</v>
      </c>
      <c r="J5179" s="16">
        <v>478.16319209700828</v>
      </c>
      <c r="K5179" s="16">
        <v>55.436807902991731</v>
      </c>
      <c r="L5179" s="13">
        <v>2.0699999999999998</v>
      </c>
      <c r="M5179" s="13"/>
      <c r="N5179" s="17">
        <f t="shared" si="171"/>
        <v>1380.6899999999998</v>
      </c>
      <c r="O5179" s="17">
        <f t="shared" si="171"/>
        <v>0</v>
      </c>
      <c r="P5179" s="17">
        <f t="shared" si="170"/>
        <v>1380.6899999999998</v>
      </c>
      <c r="Q5179" t="str">
        <f>A5179&amp;"-"&amp;B5179&amp;"-"&amp;D5179</f>
        <v>OKTOBER-MJ2-L7</v>
      </c>
    </row>
    <row r="5180" spans="1:17" x14ac:dyDescent="0.25">
      <c r="A5180" t="s">
        <v>400</v>
      </c>
      <c r="B5180" s="13" t="s">
        <v>26</v>
      </c>
      <c r="C5180" s="13" t="s">
        <v>226</v>
      </c>
      <c r="D5180" s="14" t="s">
        <v>164</v>
      </c>
      <c r="E5180" s="13" t="s">
        <v>61</v>
      </c>
      <c r="F5180" s="13" t="s">
        <v>1776</v>
      </c>
      <c r="G5180" s="13">
        <v>0.78</v>
      </c>
      <c r="H5180" s="15">
        <v>330</v>
      </c>
      <c r="I5180" s="16">
        <v>257.39999999999998</v>
      </c>
      <c r="J5180" s="16">
        <v>240.65834542815676</v>
      </c>
      <c r="K5180" s="16">
        <v>16.741654571843242</v>
      </c>
      <c r="L5180" s="13">
        <v>2.2200000000000002</v>
      </c>
      <c r="M5180" s="13"/>
      <c r="N5180" s="17">
        <f t="shared" si="171"/>
        <v>732.6</v>
      </c>
      <c r="O5180" s="17">
        <f t="shared" si="171"/>
        <v>0</v>
      </c>
      <c r="P5180" s="17">
        <f t="shared" si="170"/>
        <v>732.6</v>
      </c>
      <c r="Q5180" t="str">
        <f>A5180&amp;"-"&amp;B5180&amp;"-"&amp;D5180</f>
        <v>OKTOBER-MJ2-L7</v>
      </c>
    </row>
    <row r="5181" spans="1:17" x14ac:dyDescent="0.25">
      <c r="A5181" t="s">
        <v>400</v>
      </c>
      <c r="B5181" s="13" t="s">
        <v>26</v>
      </c>
      <c r="C5181" s="13" t="s">
        <v>226</v>
      </c>
      <c r="D5181" s="14" t="s">
        <v>164</v>
      </c>
      <c r="E5181" s="13" t="s">
        <v>61</v>
      </c>
      <c r="F5181" s="13" t="s">
        <v>1755</v>
      </c>
      <c r="G5181" s="13">
        <v>0.83</v>
      </c>
      <c r="H5181" s="15">
        <v>1815</v>
      </c>
      <c r="I5181" s="16">
        <v>1506.45</v>
      </c>
      <c r="J5181" s="16">
        <v>1432.0854729729729</v>
      </c>
      <c r="K5181" s="16">
        <v>74.364527027027009</v>
      </c>
      <c r="L5181" s="13">
        <v>2.13</v>
      </c>
      <c r="M5181" s="13"/>
      <c r="N5181" s="17">
        <f t="shared" si="171"/>
        <v>3865.95</v>
      </c>
      <c r="O5181" s="17">
        <f t="shared" si="171"/>
        <v>0</v>
      </c>
      <c r="P5181" s="17">
        <f t="shared" si="170"/>
        <v>3865.95</v>
      </c>
      <c r="Q5181" t="str">
        <f>A5181&amp;"-"&amp;B5181&amp;"-"&amp;D5181</f>
        <v>OKTOBER-MJ2-L7</v>
      </c>
    </row>
    <row r="5182" spans="1:17" x14ac:dyDescent="0.25">
      <c r="A5182" t="s">
        <v>400</v>
      </c>
      <c r="B5182" s="13" t="s">
        <v>26</v>
      </c>
      <c r="C5182" s="13" t="s">
        <v>226</v>
      </c>
      <c r="D5182" s="14" t="s">
        <v>164</v>
      </c>
      <c r="E5182" s="13" t="s">
        <v>61</v>
      </c>
      <c r="F5182" s="13" t="s">
        <v>1603</v>
      </c>
      <c r="G5182" s="13">
        <v>0.83</v>
      </c>
      <c r="H5182" s="15">
        <v>1701</v>
      </c>
      <c r="I5182" s="16">
        <v>1411.8300000000002</v>
      </c>
      <c r="J5182" s="16">
        <v>1160.3370287475959</v>
      </c>
      <c r="K5182" s="16">
        <v>251.49297125240423</v>
      </c>
      <c r="L5182" s="13">
        <v>2.13</v>
      </c>
      <c r="M5182" s="13"/>
      <c r="N5182" s="17">
        <f t="shared" si="171"/>
        <v>3623.1299999999997</v>
      </c>
      <c r="O5182" s="17">
        <f t="shared" si="171"/>
        <v>0</v>
      </c>
      <c r="P5182" s="17">
        <f t="shared" si="170"/>
        <v>3623.1299999999997</v>
      </c>
      <c r="Q5182" t="str">
        <f>A5182&amp;"-"&amp;B5182&amp;"-"&amp;D5182</f>
        <v>OKTOBER-MJ2-L7</v>
      </c>
    </row>
    <row r="5183" spans="1:17" x14ac:dyDescent="0.25">
      <c r="A5183" t="s">
        <v>400</v>
      </c>
      <c r="B5183" s="13" t="s">
        <v>26</v>
      </c>
      <c r="C5183" s="13" t="s">
        <v>226</v>
      </c>
      <c r="D5183" s="14" t="s">
        <v>164</v>
      </c>
      <c r="E5183" s="13" t="s">
        <v>61</v>
      </c>
      <c r="F5183" s="13" t="s">
        <v>1756</v>
      </c>
      <c r="G5183" s="13">
        <v>0.78</v>
      </c>
      <c r="H5183" s="15">
        <v>180</v>
      </c>
      <c r="I5183" s="16">
        <v>140.4</v>
      </c>
      <c r="J5183" s="16">
        <v>119.47500000000001</v>
      </c>
      <c r="K5183" s="16">
        <v>20.924999999999997</v>
      </c>
      <c r="L5183" s="13">
        <v>2.29</v>
      </c>
      <c r="M5183" s="13"/>
      <c r="N5183" s="17">
        <f t="shared" si="171"/>
        <v>412.2</v>
      </c>
      <c r="O5183" s="17">
        <f t="shared" si="171"/>
        <v>0</v>
      </c>
      <c r="P5183" s="17">
        <f t="shared" si="170"/>
        <v>412.2</v>
      </c>
      <c r="Q5183" t="str">
        <f>A5183&amp;"-"&amp;B5183&amp;"-"&amp;D5183</f>
        <v>OKTOBER-MJ2-L7</v>
      </c>
    </row>
    <row r="5184" spans="1:17" x14ac:dyDescent="0.25">
      <c r="A5184" t="s">
        <v>400</v>
      </c>
      <c r="B5184" s="13" t="s">
        <v>26</v>
      </c>
      <c r="C5184" s="13" t="s">
        <v>226</v>
      </c>
      <c r="D5184" s="14" t="s">
        <v>164</v>
      </c>
      <c r="E5184" s="13" t="s">
        <v>61</v>
      </c>
      <c r="F5184" s="13" t="s">
        <v>1802</v>
      </c>
      <c r="G5184" s="13">
        <v>0.78</v>
      </c>
      <c r="H5184" s="15">
        <v>10</v>
      </c>
      <c r="I5184" s="16">
        <v>7.8</v>
      </c>
      <c r="J5184" s="16">
        <v>4.7708894878706198</v>
      </c>
      <c r="K5184" s="16">
        <v>3.02911051212938</v>
      </c>
      <c r="L5184" s="13">
        <v>2.29</v>
      </c>
      <c r="M5184" s="13"/>
      <c r="N5184" s="17">
        <f t="shared" si="171"/>
        <v>22.9</v>
      </c>
      <c r="O5184" s="17">
        <f t="shared" si="171"/>
        <v>0</v>
      </c>
      <c r="P5184" s="17">
        <f t="shared" si="170"/>
        <v>22.9</v>
      </c>
      <c r="Q5184" t="str">
        <f>A5184&amp;"-"&amp;B5184&amp;"-"&amp;D5184</f>
        <v>OKTOBER-MJ2-L7</v>
      </c>
    </row>
    <row r="5185" spans="1:17" x14ac:dyDescent="0.25">
      <c r="A5185" t="s">
        <v>400</v>
      </c>
      <c r="B5185" s="13" t="s">
        <v>26</v>
      </c>
      <c r="C5185" s="13" t="s">
        <v>226</v>
      </c>
      <c r="D5185" s="14" t="s">
        <v>164</v>
      </c>
      <c r="E5185" s="13" t="s">
        <v>61</v>
      </c>
      <c r="F5185" s="13" t="s">
        <v>1198</v>
      </c>
      <c r="G5185" s="13">
        <v>0.65</v>
      </c>
      <c r="H5185" s="15">
        <v>17</v>
      </c>
      <c r="I5185" s="16">
        <v>11.05</v>
      </c>
      <c r="J5185" s="16">
        <v>11.924702774108322</v>
      </c>
      <c r="K5185" s="16">
        <v>-0.87470277410832153</v>
      </c>
      <c r="L5185" s="13">
        <v>1.66</v>
      </c>
      <c r="M5185" s="13"/>
      <c r="N5185" s="17">
        <f t="shared" si="171"/>
        <v>28.22</v>
      </c>
      <c r="O5185" s="17">
        <f t="shared" si="171"/>
        <v>0</v>
      </c>
      <c r="P5185" s="17">
        <f t="shared" si="170"/>
        <v>28.22</v>
      </c>
      <c r="Q5185" t="str">
        <f>A5185&amp;"-"&amp;B5185&amp;"-"&amp;D5185</f>
        <v>OKTOBER-MJ2-L7</v>
      </c>
    </row>
    <row r="5186" spans="1:17" x14ac:dyDescent="0.25">
      <c r="A5186" t="s">
        <v>400</v>
      </c>
      <c r="B5186" s="13" t="s">
        <v>26</v>
      </c>
      <c r="C5186" s="13" t="s">
        <v>226</v>
      </c>
      <c r="D5186" s="14" t="s">
        <v>198</v>
      </c>
      <c r="E5186" s="13" t="s">
        <v>61</v>
      </c>
      <c r="F5186" s="13" t="s">
        <v>1757</v>
      </c>
      <c r="G5186" s="13">
        <v>0.67999999999999994</v>
      </c>
      <c r="H5186" s="15">
        <v>3361</v>
      </c>
      <c r="I5186" s="16">
        <v>2285.48</v>
      </c>
      <c r="J5186" s="16">
        <v>2163.4541950511443</v>
      </c>
      <c r="K5186" s="16">
        <v>122.02580494885558</v>
      </c>
      <c r="L5186" s="13">
        <v>1.69</v>
      </c>
      <c r="M5186" s="13"/>
      <c r="N5186" s="17">
        <f t="shared" si="171"/>
        <v>5680.09</v>
      </c>
      <c r="O5186" s="17">
        <f t="shared" si="171"/>
        <v>0</v>
      </c>
      <c r="P5186" s="17">
        <f t="shared" ref="P5186:P5249" si="172">N5186+O5186</f>
        <v>5680.09</v>
      </c>
      <c r="Q5186" t="str">
        <f>A5186&amp;"-"&amp;B5186&amp;"-"&amp;D5186</f>
        <v>OKTOBER-MJ2-L8</v>
      </c>
    </row>
    <row r="5187" spans="1:17" x14ac:dyDescent="0.25">
      <c r="A5187" t="s">
        <v>400</v>
      </c>
      <c r="B5187" s="13" t="s">
        <v>26</v>
      </c>
      <c r="C5187" s="13" t="s">
        <v>226</v>
      </c>
      <c r="D5187" s="14" t="s">
        <v>198</v>
      </c>
      <c r="E5187" s="13" t="s">
        <v>61</v>
      </c>
      <c r="F5187" s="13" t="s">
        <v>1758</v>
      </c>
      <c r="G5187" s="13">
        <v>0.68</v>
      </c>
      <c r="H5187" s="15">
        <v>1154</v>
      </c>
      <c r="I5187" s="16">
        <v>784.72</v>
      </c>
      <c r="J5187" s="16">
        <v>814.32958825033154</v>
      </c>
      <c r="K5187" s="16">
        <v>-29.609588250331427</v>
      </c>
      <c r="L5187" s="13">
        <v>1.69</v>
      </c>
      <c r="M5187" s="13"/>
      <c r="N5187" s="17">
        <f t="shared" si="171"/>
        <v>1950.26</v>
      </c>
      <c r="O5187" s="17">
        <f t="shared" si="171"/>
        <v>0</v>
      </c>
      <c r="P5187" s="17">
        <f t="shared" si="172"/>
        <v>1950.26</v>
      </c>
      <c r="Q5187" t="str">
        <f>A5187&amp;"-"&amp;B5187&amp;"-"&amp;D5187</f>
        <v>OKTOBER-MJ2-L8</v>
      </c>
    </row>
    <row r="5188" spans="1:17" x14ac:dyDescent="0.25">
      <c r="A5188" t="s">
        <v>400</v>
      </c>
      <c r="B5188" s="13" t="s">
        <v>26</v>
      </c>
      <c r="C5188" s="13" t="s">
        <v>226</v>
      </c>
      <c r="D5188" s="14" t="s">
        <v>198</v>
      </c>
      <c r="E5188" s="13" t="s">
        <v>61</v>
      </c>
      <c r="F5188" s="13" t="s">
        <v>1752</v>
      </c>
      <c r="G5188" s="13">
        <v>0.68</v>
      </c>
      <c r="H5188" s="15">
        <v>600</v>
      </c>
      <c r="I5188" s="16">
        <v>408</v>
      </c>
      <c r="J5188" s="16">
        <v>499.76470588235293</v>
      </c>
      <c r="K5188" s="16">
        <v>-91.764705882352928</v>
      </c>
      <c r="L5188" s="13">
        <v>1.61</v>
      </c>
      <c r="M5188" s="13"/>
      <c r="N5188" s="17">
        <f t="shared" si="171"/>
        <v>966.00000000000011</v>
      </c>
      <c r="O5188" s="17">
        <f t="shared" si="171"/>
        <v>0</v>
      </c>
      <c r="P5188" s="17">
        <f t="shared" si="172"/>
        <v>966.00000000000011</v>
      </c>
      <c r="Q5188" t="str">
        <f>A5188&amp;"-"&amp;B5188&amp;"-"&amp;D5188</f>
        <v>OKTOBER-MJ2-L8</v>
      </c>
    </row>
    <row r="5189" spans="1:17" x14ac:dyDescent="0.25">
      <c r="A5189" t="s">
        <v>400</v>
      </c>
      <c r="B5189" s="13" t="s">
        <v>26</v>
      </c>
      <c r="C5189" s="13" t="s">
        <v>226</v>
      </c>
      <c r="D5189" s="14" t="s">
        <v>198</v>
      </c>
      <c r="E5189" s="13" t="s">
        <v>61</v>
      </c>
      <c r="F5189" s="13" t="s">
        <v>1759</v>
      </c>
      <c r="G5189" s="13">
        <v>0.68</v>
      </c>
      <c r="H5189" s="15">
        <v>1836</v>
      </c>
      <c r="I5189" s="16">
        <v>1248.48</v>
      </c>
      <c r="J5189" s="16">
        <v>1107.3608189486622</v>
      </c>
      <c r="K5189" s="16">
        <v>141.11918105133793</v>
      </c>
      <c r="L5189" s="13">
        <v>1.7</v>
      </c>
      <c r="M5189" s="13"/>
      <c r="N5189" s="17">
        <f t="shared" si="171"/>
        <v>3121.2</v>
      </c>
      <c r="O5189" s="17">
        <f t="shared" si="171"/>
        <v>0</v>
      </c>
      <c r="P5189" s="17">
        <f t="shared" si="172"/>
        <v>3121.2</v>
      </c>
      <c r="Q5189" t="str">
        <f>A5189&amp;"-"&amp;B5189&amp;"-"&amp;D5189</f>
        <v>OKTOBER-MJ2-L8</v>
      </c>
    </row>
    <row r="5190" spans="1:17" x14ac:dyDescent="0.25">
      <c r="A5190" t="s">
        <v>400</v>
      </c>
      <c r="B5190" s="13" t="s">
        <v>26</v>
      </c>
      <c r="C5190" s="13" t="s">
        <v>226</v>
      </c>
      <c r="D5190" s="14" t="s">
        <v>198</v>
      </c>
      <c r="E5190" s="13" t="s">
        <v>61</v>
      </c>
      <c r="F5190" s="13" t="s">
        <v>1760</v>
      </c>
      <c r="G5190" s="13">
        <v>0.68</v>
      </c>
      <c r="H5190" s="15">
        <v>22</v>
      </c>
      <c r="I5190" s="16">
        <v>14.96</v>
      </c>
      <c r="J5190" s="16">
        <v>23.963076923076926</v>
      </c>
      <c r="K5190" s="16">
        <v>-9.0030769230769252</v>
      </c>
      <c r="L5190" s="13">
        <v>1.7</v>
      </c>
      <c r="M5190" s="13"/>
      <c r="N5190" s="17">
        <f t="shared" si="171"/>
        <v>37.4</v>
      </c>
      <c r="O5190" s="17">
        <f t="shared" si="171"/>
        <v>0</v>
      </c>
      <c r="P5190" s="17">
        <f t="shared" si="172"/>
        <v>37.4</v>
      </c>
      <c r="Q5190" t="str">
        <f>A5190&amp;"-"&amp;B5190&amp;"-"&amp;D5190</f>
        <v>OKTOBER-MJ2-L8</v>
      </c>
    </row>
    <row r="5191" spans="1:17" x14ac:dyDescent="0.25">
      <c r="A5191" t="s">
        <v>400</v>
      </c>
      <c r="B5191" s="13" t="s">
        <v>26</v>
      </c>
      <c r="C5191" s="13" t="s">
        <v>226</v>
      </c>
      <c r="D5191" s="14" t="s">
        <v>198</v>
      </c>
      <c r="E5191" s="13" t="s">
        <v>61</v>
      </c>
      <c r="F5191" s="13" t="s">
        <v>1761</v>
      </c>
      <c r="G5191" s="13">
        <v>0.65</v>
      </c>
      <c r="H5191" s="15">
        <v>55</v>
      </c>
      <c r="I5191" s="16">
        <v>35.75</v>
      </c>
      <c r="J5191" s="16">
        <v>59.907692307692308</v>
      </c>
      <c r="K5191" s="16">
        <v>-24.157692307692308</v>
      </c>
      <c r="L5191" s="13">
        <v>1.82</v>
      </c>
      <c r="M5191" s="13"/>
      <c r="N5191" s="17">
        <f t="shared" si="171"/>
        <v>100.10000000000001</v>
      </c>
      <c r="O5191" s="17">
        <f t="shared" si="171"/>
        <v>0</v>
      </c>
      <c r="P5191" s="17">
        <f t="shared" si="172"/>
        <v>100.10000000000001</v>
      </c>
      <c r="Q5191" t="str">
        <f>A5191&amp;"-"&amp;B5191&amp;"-"&amp;D5191</f>
        <v>OKTOBER-MJ2-L8</v>
      </c>
    </row>
    <row r="5192" spans="1:17" x14ac:dyDescent="0.25">
      <c r="A5192" t="s">
        <v>400</v>
      </c>
      <c r="B5192" s="13" t="s">
        <v>26</v>
      </c>
      <c r="C5192" s="13" t="s">
        <v>226</v>
      </c>
      <c r="D5192" s="14" t="s">
        <v>198</v>
      </c>
      <c r="E5192" s="13" t="s">
        <v>61</v>
      </c>
      <c r="F5192" s="13" t="s">
        <v>1762</v>
      </c>
      <c r="G5192" s="13">
        <v>0.79</v>
      </c>
      <c r="H5192" s="15">
        <v>3709</v>
      </c>
      <c r="I5192" s="16">
        <v>2930.11</v>
      </c>
      <c r="J5192" s="16">
        <v>2480.8738331678251</v>
      </c>
      <c r="K5192" s="16">
        <v>449.23616683217472</v>
      </c>
      <c r="L5192" s="13">
        <v>2</v>
      </c>
      <c r="M5192" s="13"/>
      <c r="N5192" s="17">
        <f t="shared" si="171"/>
        <v>7418</v>
      </c>
      <c r="O5192" s="17">
        <f t="shared" si="171"/>
        <v>0</v>
      </c>
      <c r="P5192" s="17">
        <f t="shared" si="172"/>
        <v>7418</v>
      </c>
      <c r="Q5192" t="str">
        <f>A5192&amp;"-"&amp;B5192&amp;"-"&amp;D5192</f>
        <v>OKTOBER-MJ2-L8</v>
      </c>
    </row>
    <row r="5193" spans="1:17" x14ac:dyDescent="0.25">
      <c r="A5193" t="s">
        <v>400</v>
      </c>
      <c r="B5193" s="13" t="s">
        <v>26</v>
      </c>
      <c r="C5193" s="13" t="s">
        <v>226</v>
      </c>
      <c r="D5193" s="14" t="s">
        <v>198</v>
      </c>
      <c r="E5193" s="13" t="s">
        <v>61</v>
      </c>
      <c r="F5193" s="13" t="s">
        <v>1763</v>
      </c>
      <c r="G5193" s="13">
        <v>0.79</v>
      </c>
      <c r="H5193" s="15">
        <v>4052</v>
      </c>
      <c r="I5193" s="16">
        <v>3201.0799999999995</v>
      </c>
      <c r="J5193" s="16">
        <v>2857.747627769922</v>
      </c>
      <c r="K5193" s="16">
        <v>343.33237223007819</v>
      </c>
      <c r="L5193" s="13">
        <v>2</v>
      </c>
      <c r="M5193" s="13"/>
      <c r="N5193" s="17">
        <f t="shared" si="171"/>
        <v>8104</v>
      </c>
      <c r="O5193" s="17">
        <f t="shared" si="171"/>
        <v>0</v>
      </c>
      <c r="P5193" s="17">
        <f t="shared" si="172"/>
        <v>8104</v>
      </c>
      <c r="Q5193" t="str">
        <f>A5193&amp;"-"&amp;B5193&amp;"-"&amp;D5193</f>
        <v>OKTOBER-MJ2-L8</v>
      </c>
    </row>
    <row r="5194" spans="1:17" x14ac:dyDescent="0.25">
      <c r="A5194" t="s">
        <v>400</v>
      </c>
      <c r="B5194" s="13" t="s">
        <v>26</v>
      </c>
      <c r="C5194" s="13" t="s">
        <v>226</v>
      </c>
      <c r="D5194" s="14" t="s">
        <v>198</v>
      </c>
      <c r="E5194" s="13" t="s">
        <v>61</v>
      </c>
      <c r="F5194" s="13" t="s">
        <v>1765</v>
      </c>
      <c r="G5194" s="13">
        <v>0.77</v>
      </c>
      <c r="H5194" s="15">
        <v>135</v>
      </c>
      <c r="I5194" s="16">
        <v>103.95</v>
      </c>
      <c r="J5194" s="16">
        <v>117.96250248262166</v>
      </c>
      <c r="K5194" s="16">
        <v>-14.012502482621649</v>
      </c>
      <c r="L5194" s="13">
        <v>2.15</v>
      </c>
      <c r="M5194" s="13"/>
      <c r="N5194" s="17">
        <f t="shared" si="171"/>
        <v>290.25</v>
      </c>
      <c r="O5194" s="17">
        <f t="shared" si="171"/>
        <v>0</v>
      </c>
      <c r="P5194" s="17">
        <f t="shared" si="172"/>
        <v>290.25</v>
      </c>
      <c r="Q5194" t="str">
        <f>A5194&amp;"-"&amp;B5194&amp;"-"&amp;D5194</f>
        <v>OKTOBER-MJ2-L8</v>
      </c>
    </row>
    <row r="5195" spans="1:17" x14ac:dyDescent="0.25">
      <c r="A5195" t="s">
        <v>400</v>
      </c>
      <c r="B5195" s="13" t="s">
        <v>26</v>
      </c>
      <c r="C5195" s="13" t="s">
        <v>226</v>
      </c>
      <c r="D5195" s="14" t="s">
        <v>198</v>
      </c>
      <c r="E5195" s="13" t="s">
        <v>61</v>
      </c>
      <c r="F5195" s="13" t="s">
        <v>1574</v>
      </c>
      <c r="G5195" s="13">
        <v>0.81</v>
      </c>
      <c r="H5195" s="15">
        <v>96</v>
      </c>
      <c r="I5195" s="16">
        <v>77.760000000000005</v>
      </c>
      <c r="J5195" s="16">
        <v>61.180468223791415</v>
      </c>
      <c r="K5195" s="16">
        <v>16.57953177620859</v>
      </c>
      <c r="L5195" s="13">
        <v>2.21</v>
      </c>
      <c r="M5195" s="13"/>
      <c r="N5195" s="17">
        <f t="shared" si="171"/>
        <v>212.16</v>
      </c>
      <c r="O5195" s="17">
        <f t="shared" si="171"/>
        <v>0</v>
      </c>
      <c r="P5195" s="17">
        <f t="shared" si="172"/>
        <v>212.16</v>
      </c>
      <c r="Q5195" t="str">
        <f>A5195&amp;"-"&amp;B5195&amp;"-"&amp;D5195</f>
        <v>OKTOBER-MJ2-L8</v>
      </c>
    </row>
    <row r="5196" spans="1:17" x14ac:dyDescent="0.25">
      <c r="A5196" t="s">
        <v>400</v>
      </c>
      <c r="B5196" s="13" t="s">
        <v>26</v>
      </c>
      <c r="C5196" s="13" t="s">
        <v>226</v>
      </c>
      <c r="D5196" s="14" t="s">
        <v>198</v>
      </c>
      <c r="E5196" s="13" t="s">
        <v>61</v>
      </c>
      <c r="F5196" s="13" t="s">
        <v>1766</v>
      </c>
      <c r="G5196" s="13">
        <v>0.8</v>
      </c>
      <c r="H5196" s="15">
        <v>3237</v>
      </c>
      <c r="I5196" s="16">
        <v>2589.6000000000004</v>
      </c>
      <c r="J5196" s="16">
        <v>1911.6600478712858</v>
      </c>
      <c r="K5196" s="16">
        <v>677.93995212871437</v>
      </c>
      <c r="L5196" s="13">
        <v>2.0699999999999998</v>
      </c>
      <c r="M5196" s="13"/>
      <c r="N5196" s="17">
        <f t="shared" si="171"/>
        <v>6700.5899999999992</v>
      </c>
      <c r="O5196" s="17">
        <f t="shared" si="171"/>
        <v>0</v>
      </c>
      <c r="P5196" s="17">
        <f t="shared" si="172"/>
        <v>6700.5899999999992</v>
      </c>
      <c r="Q5196" t="str">
        <f>A5196&amp;"-"&amp;B5196&amp;"-"&amp;D5196</f>
        <v>OKTOBER-MJ2-L8</v>
      </c>
    </row>
    <row r="5197" spans="1:17" x14ac:dyDescent="0.25">
      <c r="A5197" t="s">
        <v>400</v>
      </c>
      <c r="B5197" s="13" t="s">
        <v>26</v>
      </c>
      <c r="C5197" s="13" t="s">
        <v>226</v>
      </c>
      <c r="D5197" s="14" t="s">
        <v>198</v>
      </c>
      <c r="E5197" s="13" t="s">
        <v>61</v>
      </c>
      <c r="F5197" s="13" t="s">
        <v>1767</v>
      </c>
      <c r="G5197" s="13">
        <v>0.78</v>
      </c>
      <c r="H5197" s="15">
        <v>108</v>
      </c>
      <c r="I5197" s="16">
        <v>84.24</v>
      </c>
      <c r="J5197" s="16">
        <v>69.851400730816081</v>
      </c>
      <c r="K5197" s="16">
        <v>14.388599269183914</v>
      </c>
      <c r="L5197" s="13">
        <v>2.2200000000000002</v>
      </c>
      <c r="M5197" s="13"/>
      <c r="N5197" s="17">
        <f t="shared" si="171"/>
        <v>239.76000000000002</v>
      </c>
      <c r="O5197" s="17">
        <f t="shared" si="171"/>
        <v>0</v>
      </c>
      <c r="P5197" s="17">
        <f t="shared" si="172"/>
        <v>239.76000000000002</v>
      </c>
      <c r="Q5197" t="str">
        <f>A5197&amp;"-"&amp;B5197&amp;"-"&amp;D5197</f>
        <v>OKTOBER-MJ2-L8</v>
      </c>
    </row>
    <row r="5198" spans="1:17" x14ac:dyDescent="0.25">
      <c r="A5198" t="s">
        <v>400</v>
      </c>
      <c r="B5198" s="13" t="s">
        <v>26</v>
      </c>
      <c r="C5198" s="13" t="s">
        <v>226</v>
      </c>
      <c r="D5198" s="14" t="s">
        <v>198</v>
      </c>
      <c r="E5198" s="13" t="s">
        <v>61</v>
      </c>
      <c r="F5198" s="13" t="s">
        <v>1768</v>
      </c>
      <c r="G5198" s="13">
        <v>0.81</v>
      </c>
      <c r="H5198" s="15">
        <v>1202</v>
      </c>
      <c r="I5198" s="16">
        <v>973.62</v>
      </c>
      <c r="J5198" s="16">
        <v>956.83690497737553</v>
      </c>
      <c r="K5198" s="16">
        <v>16.783095022624479</v>
      </c>
      <c r="L5198" s="13">
        <v>2.21</v>
      </c>
      <c r="M5198" s="13"/>
      <c r="N5198" s="17">
        <f t="shared" si="171"/>
        <v>2656.42</v>
      </c>
      <c r="O5198" s="17">
        <f t="shared" si="171"/>
        <v>0</v>
      </c>
      <c r="P5198" s="17">
        <f t="shared" si="172"/>
        <v>2656.42</v>
      </c>
      <c r="Q5198" t="str">
        <f>A5198&amp;"-"&amp;B5198&amp;"-"&amp;D5198</f>
        <v>OKTOBER-MJ2-L8</v>
      </c>
    </row>
    <row r="5199" spans="1:17" x14ac:dyDescent="0.25">
      <c r="A5199" t="s">
        <v>400</v>
      </c>
      <c r="B5199" s="13" t="s">
        <v>26</v>
      </c>
      <c r="C5199" s="13" t="s">
        <v>226</v>
      </c>
      <c r="D5199" s="14" t="s">
        <v>198</v>
      </c>
      <c r="E5199" s="13" t="s">
        <v>61</v>
      </c>
      <c r="F5199" s="13" t="s">
        <v>1769</v>
      </c>
      <c r="G5199" s="13">
        <v>0.81000000000000028</v>
      </c>
      <c r="H5199" s="15">
        <v>2310</v>
      </c>
      <c r="I5199" s="16">
        <v>1871.1</v>
      </c>
      <c r="J5199" s="16">
        <v>1410.9714178266759</v>
      </c>
      <c r="K5199" s="16">
        <v>460.12858217332416</v>
      </c>
      <c r="L5199" s="13">
        <v>2.21</v>
      </c>
      <c r="M5199" s="13"/>
      <c r="N5199" s="17">
        <f t="shared" si="171"/>
        <v>5105.1000000000004</v>
      </c>
      <c r="O5199" s="17">
        <f t="shared" si="171"/>
        <v>0</v>
      </c>
      <c r="P5199" s="17">
        <f t="shared" si="172"/>
        <v>5105.1000000000004</v>
      </c>
      <c r="Q5199" t="str">
        <f>A5199&amp;"-"&amp;B5199&amp;"-"&amp;D5199</f>
        <v>OKTOBER-MJ2-L8</v>
      </c>
    </row>
    <row r="5200" spans="1:17" x14ac:dyDescent="0.25">
      <c r="A5200" t="s">
        <v>400</v>
      </c>
      <c r="B5200" s="13" t="s">
        <v>26</v>
      </c>
      <c r="C5200" s="13" t="s">
        <v>226</v>
      </c>
      <c r="D5200" s="14" t="s">
        <v>198</v>
      </c>
      <c r="E5200" s="13" t="s">
        <v>61</v>
      </c>
      <c r="F5200" s="13" t="s">
        <v>1575</v>
      </c>
      <c r="G5200" s="13">
        <v>0.81000000000000016</v>
      </c>
      <c r="H5200" s="15">
        <v>790</v>
      </c>
      <c r="I5200" s="16">
        <v>639.89999999999986</v>
      </c>
      <c r="J5200" s="16">
        <v>510.31580649629404</v>
      </c>
      <c r="K5200" s="16">
        <v>129.5841935037059</v>
      </c>
      <c r="L5200" s="13">
        <v>2.21</v>
      </c>
      <c r="M5200" s="13"/>
      <c r="N5200" s="17">
        <f t="shared" si="171"/>
        <v>1745.8999999999999</v>
      </c>
      <c r="O5200" s="17">
        <f t="shared" si="171"/>
        <v>0</v>
      </c>
      <c r="P5200" s="17">
        <f t="shared" si="172"/>
        <v>1745.8999999999999</v>
      </c>
      <c r="Q5200" t="str">
        <f>A5200&amp;"-"&amp;B5200&amp;"-"&amp;D5200</f>
        <v>OKTOBER-MJ2-L8</v>
      </c>
    </row>
    <row r="5201" spans="1:17" x14ac:dyDescent="0.25">
      <c r="A5201" t="s">
        <v>400</v>
      </c>
      <c r="B5201" s="13" t="s">
        <v>26</v>
      </c>
      <c r="C5201" s="13" t="s">
        <v>226</v>
      </c>
      <c r="D5201" s="14" t="s">
        <v>198</v>
      </c>
      <c r="E5201" s="13" t="s">
        <v>61</v>
      </c>
      <c r="F5201" s="13" t="s">
        <v>1576</v>
      </c>
      <c r="G5201" s="13">
        <v>0.79999999999999993</v>
      </c>
      <c r="H5201" s="15">
        <v>2712</v>
      </c>
      <c r="I5201" s="16">
        <v>2169.6</v>
      </c>
      <c r="J5201" s="16">
        <v>1758.5824939914628</v>
      </c>
      <c r="K5201" s="16">
        <v>411.0175060085374</v>
      </c>
      <c r="L5201" s="13">
        <v>2.0699999999999998</v>
      </c>
      <c r="M5201" s="13"/>
      <c r="N5201" s="17">
        <f t="shared" si="171"/>
        <v>5613.8399999999992</v>
      </c>
      <c r="O5201" s="17">
        <f t="shared" si="171"/>
        <v>0</v>
      </c>
      <c r="P5201" s="17">
        <f t="shared" si="172"/>
        <v>5613.8399999999992</v>
      </c>
      <c r="Q5201" t="str">
        <f>A5201&amp;"-"&amp;B5201&amp;"-"&amp;D5201</f>
        <v>OKTOBER-MJ2-L8</v>
      </c>
    </row>
    <row r="5202" spans="1:17" x14ac:dyDescent="0.25">
      <c r="A5202" t="s">
        <v>400</v>
      </c>
      <c r="B5202" s="13" t="s">
        <v>26</v>
      </c>
      <c r="C5202" s="13" t="s">
        <v>226</v>
      </c>
      <c r="D5202" s="14" t="s">
        <v>198</v>
      </c>
      <c r="E5202" s="13" t="s">
        <v>61</v>
      </c>
      <c r="F5202" s="13" t="s">
        <v>1770</v>
      </c>
      <c r="G5202" s="13">
        <v>0.78</v>
      </c>
      <c r="H5202" s="15">
        <v>686</v>
      </c>
      <c r="I5202" s="16">
        <v>535.08000000000004</v>
      </c>
      <c r="J5202" s="16">
        <v>471.75062630450998</v>
      </c>
      <c r="K5202" s="16">
        <v>63.329373695490034</v>
      </c>
      <c r="L5202" s="13">
        <v>2.2200000000000002</v>
      </c>
      <c r="M5202" s="13"/>
      <c r="N5202" s="17">
        <f t="shared" si="171"/>
        <v>1522.92</v>
      </c>
      <c r="O5202" s="17">
        <f t="shared" si="171"/>
        <v>0</v>
      </c>
      <c r="P5202" s="17">
        <f t="shared" si="172"/>
        <v>1522.92</v>
      </c>
      <c r="Q5202" t="str">
        <f>A5202&amp;"-"&amp;B5202&amp;"-"&amp;D5202</f>
        <v>OKTOBER-MJ2-L8</v>
      </c>
    </row>
    <row r="5203" spans="1:17" x14ac:dyDescent="0.25">
      <c r="A5203" t="s">
        <v>400</v>
      </c>
      <c r="B5203" s="13" t="s">
        <v>26</v>
      </c>
      <c r="C5203" s="13" t="s">
        <v>226</v>
      </c>
      <c r="D5203" s="14" t="s">
        <v>198</v>
      </c>
      <c r="E5203" s="13" t="s">
        <v>61</v>
      </c>
      <c r="F5203" s="13" t="s">
        <v>1771</v>
      </c>
      <c r="G5203" s="13">
        <v>0.79</v>
      </c>
      <c r="H5203" s="15">
        <v>2838</v>
      </c>
      <c r="I5203" s="16">
        <v>2242.02</v>
      </c>
      <c r="J5203" s="16">
        <v>1717.9758823529412</v>
      </c>
      <c r="K5203" s="16">
        <v>524.04411764705878</v>
      </c>
      <c r="L5203" s="13">
        <v>2</v>
      </c>
      <c r="M5203" s="13"/>
      <c r="N5203" s="17">
        <f t="shared" si="171"/>
        <v>5676</v>
      </c>
      <c r="O5203" s="17">
        <f t="shared" si="171"/>
        <v>0</v>
      </c>
      <c r="P5203" s="17">
        <f t="shared" si="172"/>
        <v>5676</v>
      </c>
      <c r="Q5203" t="str">
        <f>A5203&amp;"-"&amp;B5203&amp;"-"&amp;D5203</f>
        <v>OKTOBER-MJ2-L8</v>
      </c>
    </row>
    <row r="5204" spans="1:17" x14ac:dyDescent="0.25">
      <c r="A5204" t="s">
        <v>400</v>
      </c>
      <c r="B5204" s="13" t="s">
        <v>26</v>
      </c>
      <c r="C5204" s="13" t="s">
        <v>226</v>
      </c>
      <c r="D5204" s="14" t="s">
        <v>198</v>
      </c>
      <c r="E5204" s="13" t="s">
        <v>61</v>
      </c>
      <c r="F5204" s="13" t="s">
        <v>1577</v>
      </c>
      <c r="G5204" s="13">
        <v>0.81</v>
      </c>
      <c r="H5204" s="15">
        <v>282</v>
      </c>
      <c r="I5204" s="16">
        <v>228.42000000000002</v>
      </c>
      <c r="J5204" s="16">
        <v>176.75547528517112</v>
      </c>
      <c r="K5204" s="16">
        <v>51.664524714828886</v>
      </c>
      <c r="L5204" s="13">
        <v>2.21</v>
      </c>
      <c r="M5204" s="13"/>
      <c r="N5204" s="17">
        <f t="shared" si="171"/>
        <v>623.22</v>
      </c>
      <c r="O5204" s="17">
        <f t="shared" si="171"/>
        <v>0</v>
      </c>
      <c r="P5204" s="17">
        <f t="shared" si="172"/>
        <v>623.22</v>
      </c>
      <c r="Q5204" t="str">
        <f>A5204&amp;"-"&amp;B5204&amp;"-"&amp;D5204</f>
        <v>OKTOBER-MJ2-L8</v>
      </c>
    </row>
    <row r="5205" spans="1:17" x14ac:dyDescent="0.25">
      <c r="A5205" t="s">
        <v>400</v>
      </c>
      <c r="B5205" s="13" t="s">
        <v>26</v>
      </c>
      <c r="C5205" s="13" t="s">
        <v>226</v>
      </c>
      <c r="D5205" s="14" t="s">
        <v>198</v>
      </c>
      <c r="E5205" s="13" t="s">
        <v>61</v>
      </c>
      <c r="F5205" s="13" t="s">
        <v>1773</v>
      </c>
      <c r="G5205" s="13">
        <v>0.8</v>
      </c>
      <c r="H5205" s="15">
        <v>3906</v>
      </c>
      <c r="I5205" s="16">
        <v>3124.8</v>
      </c>
      <c r="J5205" s="16">
        <v>2699.2955032679738</v>
      </c>
      <c r="K5205" s="16">
        <v>425.5044967320261</v>
      </c>
      <c r="L5205" s="13">
        <v>2.0699999999999998</v>
      </c>
      <c r="M5205" s="13"/>
      <c r="N5205" s="17">
        <f t="shared" si="171"/>
        <v>8085.4199999999992</v>
      </c>
      <c r="O5205" s="17">
        <f t="shared" si="171"/>
        <v>0</v>
      </c>
      <c r="P5205" s="17">
        <f t="shared" si="172"/>
        <v>8085.4199999999992</v>
      </c>
      <c r="Q5205" t="str">
        <f>A5205&amp;"-"&amp;B5205&amp;"-"&amp;D5205</f>
        <v>OKTOBER-MJ2-L8</v>
      </c>
    </row>
    <row r="5206" spans="1:17" x14ac:dyDescent="0.25">
      <c r="A5206" t="s">
        <v>400</v>
      </c>
      <c r="B5206" s="13" t="s">
        <v>26</v>
      </c>
      <c r="C5206" s="13" t="s">
        <v>226</v>
      </c>
      <c r="D5206" s="14" t="s">
        <v>198</v>
      </c>
      <c r="E5206" s="13" t="s">
        <v>61</v>
      </c>
      <c r="F5206" s="13" t="s">
        <v>1774</v>
      </c>
      <c r="G5206" s="13">
        <v>0.80000000000000016</v>
      </c>
      <c r="H5206" s="15">
        <v>2058</v>
      </c>
      <c r="I5206" s="16">
        <v>1646.4</v>
      </c>
      <c r="J5206" s="16">
        <v>1430.1828713121056</v>
      </c>
      <c r="K5206" s="16">
        <v>216.21712868789439</v>
      </c>
      <c r="L5206" s="13">
        <v>2.0699999999999998</v>
      </c>
      <c r="M5206" s="13"/>
      <c r="N5206" s="17">
        <f t="shared" si="171"/>
        <v>4260.0599999999995</v>
      </c>
      <c r="O5206" s="17">
        <f t="shared" si="171"/>
        <v>0</v>
      </c>
      <c r="P5206" s="17">
        <f t="shared" si="172"/>
        <v>4260.0599999999995</v>
      </c>
      <c r="Q5206" t="str">
        <f>A5206&amp;"-"&amp;B5206&amp;"-"&amp;D5206</f>
        <v>OKTOBER-MJ2-L8</v>
      </c>
    </row>
    <row r="5207" spans="1:17" x14ac:dyDescent="0.25">
      <c r="A5207" t="s">
        <v>400</v>
      </c>
      <c r="B5207" s="13" t="s">
        <v>26</v>
      </c>
      <c r="C5207" s="13" t="s">
        <v>226</v>
      </c>
      <c r="D5207" s="14" t="s">
        <v>198</v>
      </c>
      <c r="E5207" s="13" t="s">
        <v>61</v>
      </c>
      <c r="F5207" s="13" t="s">
        <v>1776</v>
      </c>
      <c r="G5207" s="13">
        <v>0.78</v>
      </c>
      <c r="H5207" s="15">
        <v>60</v>
      </c>
      <c r="I5207" s="16">
        <v>46.8</v>
      </c>
      <c r="J5207" s="16">
        <v>63.277060575968221</v>
      </c>
      <c r="K5207" s="16">
        <v>-16.477060575968224</v>
      </c>
      <c r="L5207" s="13">
        <v>2.2200000000000002</v>
      </c>
      <c r="M5207" s="13"/>
      <c r="N5207" s="17">
        <f t="shared" si="171"/>
        <v>133.20000000000002</v>
      </c>
      <c r="O5207" s="17">
        <f t="shared" si="171"/>
        <v>0</v>
      </c>
      <c r="P5207" s="17">
        <f t="shared" si="172"/>
        <v>133.20000000000002</v>
      </c>
      <c r="Q5207" t="str">
        <f>A5207&amp;"-"&amp;B5207&amp;"-"&amp;D5207</f>
        <v>OKTOBER-MJ2-L8</v>
      </c>
    </row>
    <row r="5208" spans="1:17" x14ac:dyDescent="0.25">
      <c r="A5208" t="s">
        <v>400</v>
      </c>
      <c r="B5208" s="13" t="s">
        <v>26</v>
      </c>
      <c r="C5208" s="13" t="s">
        <v>226</v>
      </c>
      <c r="D5208" s="14" t="s">
        <v>199</v>
      </c>
      <c r="E5208" s="13" t="s">
        <v>61</v>
      </c>
      <c r="F5208" s="13" t="s">
        <v>1757</v>
      </c>
      <c r="G5208" s="13">
        <v>0.67999999999999994</v>
      </c>
      <c r="H5208" s="15">
        <v>3359</v>
      </c>
      <c r="I5208" s="16">
        <v>2284.12</v>
      </c>
      <c r="J5208" s="16">
        <v>2162.0380136287667</v>
      </c>
      <c r="K5208" s="16">
        <v>122.08198637123306</v>
      </c>
      <c r="L5208" s="13">
        <v>1.69</v>
      </c>
      <c r="M5208" s="13"/>
      <c r="N5208" s="17">
        <f t="shared" si="171"/>
        <v>5676.71</v>
      </c>
      <c r="O5208" s="17">
        <f t="shared" si="171"/>
        <v>0</v>
      </c>
      <c r="P5208" s="17">
        <f t="shared" si="172"/>
        <v>5676.71</v>
      </c>
      <c r="Q5208" t="str">
        <f>A5208&amp;"-"&amp;B5208&amp;"-"&amp;D5208</f>
        <v>OKTOBER-MJ2-L9</v>
      </c>
    </row>
    <row r="5209" spans="1:17" x14ac:dyDescent="0.25">
      <c r="A5209" t="s">
        <v>400</v>
      </c>
      <c r="B5209" s="13" t="s">
        <v>26</v>
      </c>
      <c r="C5209" s="13" t="s">
        <v>226</v>
      </c>
      <c r="D5209" s="14" t="s">
        <v>199</v>
      </c>
      <c r="E5209" s="13" t="s">
        <v>61</v>
      </c>
      <c r="F5209" s="13" t="s">
        <v>1758</v>
      </c>
      <c r="G5209" s="13">
        <v>0.68</v>
      </c>
      <c r="H5209" s="15">
        <v>1155</v>
      </c>
      <c r="I5209" s="16">
        <v>785.4</v>
      </c>
      <c r="J5209" s="16">
        <v>815.19002546550826</v>
      </c>
      <c r="K5209" s="16">
        <v>-29.790025465508364</v>
      </c>
      <c r="L5209" s="13">
        <v>1.69</v>
      </c>
      <c r="M5209" s="13"/>
      <c r="N5209" s="17">
        <f t="shared" si="171"/>
        <v>1951.95</v>
      </c>
      <c r="O5209" s="17">
        <f t="shared" si="171"/>
        <v>0</v>
      </c>
      <c r="P5209" s="17">
        <f t="shared" si="172"/>
        <v>1951.95</v>
      </c>
      <c r="Q5209" t="str">
        <f>A5209&amp;"-"&amp;B5209&amp;"-"&amp;D5209</f>
        <v>OKTOBER-MJ2-L9</v>
      </c>
    </row>
    <row r="5210" spans="1:17" x14ac:dyDescent="0.25">
      <c r="A5210" t="s">
        <v>400</v>
      </c>
      <c r="B5210" s="13" t="s">
        <v>26</v>
      </c>
      <c r="C5210" s="13" t="s">
        <v>226</v>
      </c>
      <c r="D5210" s="14" t="s">
        <v>199</v>
      </c>
      <c r="E5210" s="13" t="s">
        <v>61</v>
      </c>
      <c r="F5210" s="13" t="s">
        <v>1752</v>
      </c>
      <c r="G5210" s="13">
        <v>0.68</v>
      </c>
      <c r="H5210" s="15">
        <v>599</v>
      </c>
      <c r="I5210" s="16">
        <v>407.32</v>
      </c>
      <c r="J5210" s="16">
        <v>498.93176470588236</v>
      </c>
      <c r="K5210" s="16">
        <v>-91.611764705882365</v>
      </c>
      <c r="L5210" s="13">
        <v>1.61</v>
      </c>
      <c r="M5210" s="13"/>
      <c r="N5210" s="17">
        <f t="shared" si="171"/>
        <v>964.3900000000001</v>
      </c>
      <c r="O5210" s="17">
        <f t="shared" si="171"/>
        <v>0</v>
      </c>
      <c r="P5210" s="17">
        <f t="shared" si="172"/>
        <v>964.3900000000001</v>
      </c>
      <c r="Q5210" t="str">
        <f>A5210&amp;"-"&amp;B5210&amp;"-"&amp;D5210</f>
        <v>OKTOBER-MJ2-L9</v>
      </c>
    </row>
    <row r="5211" spans="1:17" x14ac:dyDescent="0.25">
      <c r="A5211" t="s">
        <v>400</v>
      </c>
      <c r="B5211" s="13" t="s">
        <v>26</v>
      </c>
      <c r="C5211" s="13" t="s">
        <v>226</v>
      </c>
      <c r="D5211" s="14" t="s">
        <v>199</v>
      </c>
      <c r="E5211" s="13" t="s">
        <v>61</v>
      </c>
      <c r="F5211" s="13" t="s">
        <v>1759</v>
      </c>
      <c r="G5211" s="13">
        <v>0.68</v>
      </c>
      <c r="H5211" s="15">
        <v>1835</v>
      </c>
      <c r="I5211" s="16">
        <v>1247.8</v>
      </c>
      <c r="J5211" s="16">
        <v>1106.8048140510625</v>
      </c>
      <c r="K5211" s="16">
        <v>140.99518594893738</v>
      </c>
      <c r="L5211" s="13">
        <v>1.7</v>
      </c>
      <c r="M5211" s="13"/>
      <c r="N5211" s="17">
        <f t="shared" si="171"/>
        <v>3119.5</v>
      </c>
      <c r="O5211" s="17">
        <f t="shared" si="171"/>
        <v>0</v>
      </c>
      <c r="P5211" s="17">
        <f t="shared" si="172"/>
        <v>3119.5</v>
      </c>
      <c r="Q5211" t="str">
        <f>A5211&amp;"-"&amp;B5211&amp;"-"&amp;D5211</f>
        <v>OKTOBER-MJ2-L9</v>
      </c>
    </row>
    <row r="5212" spans="1:17" x14ac:dyDescent="0.25">
      <c r="A5212" t="s">
        <v>400</v>
      </c>
      <c r="B5212" s="13" t="s">
        <v>26</v>
      </c>
      <c r="C5212" s="13" t="s">
        <v>226</v>
      </c>
      <c r="D5212" s="14" t="s">
        <v>199</v>
      </c>
      <c r="E5212" s="13" t="s">
        <v>61</v>
      </c>
      <c r="F5212" s="13" t="s">
        <v>1760</v>
      </c>
      <c r="G5212" s="13">
        <v>0.68</v>
      </c>
      <c r="H5212" s="15">
        <v>22</v>
      </c>
      <c r="I5212" s="16">
        <v>14.96</v>
      </c>
      <c r="J5212" s="16">
        <v>23.963076923076926</v>
      </c>
      <c r="K5212" s="16">
        <v>-9.0030769230769252</v>
      </c>
      <c r="L5212" s="13">
        <v>1.7</v>
      </c>
      <c r="M5212" s="13"/>
      <c r="N5212" s="17">
        <f t="shared" si="171"/>
        <v>37.4</v>
      </c>
      <c r="O5212" s="17">
        <f t="shared" si="171"/>
        <v>0</v>
      </c>
      <c r="P5212" s="17">
        <f t="shared" si="172"/>
        <v>37.4</v>
      </c>
      <c r="Q5212" t="str">
        <f>A5212&amp;"-"&amp;B5212&amp;"-"&amp;D5212</f>
        <v>OKTOBER-MJ2-L9</v>
      </c>
    </row>
    <row r="5213" spans="1:17" x14ac:dyDescent="0.25">
      <c r="A5213" t="s">
        <v>400</v>
      </c>
      <c r="B5213" s="13" t="s">
        <v>26</v>
      </c>
      <c r="C5213" s="13" t="s">
        <v>226</v>
      </c>
      <c r="D5213" s="14" t="s">
        <v>199</v>
      </c>
      <c r="E5213" s="13" t="s">
        <v>61</v>
      </c>
      <c r="F5213" s="13" t="s">
        <v>1761</v>
      </c>
      <c r="G5213" s="13">
        <v>0.65</v>
      </c>
      <c r="H5213" s="15">
        <v>55</v>
      </c>
      <c r="I5213" s="16">
        <v>35.75</v>
      </c>
      <c r="J5213" s="16">
        <v>59.907692307692308</v>
      </c>
      <c r="K5213" s="16">
        <v>-24.157692307692308</v>
      </c>
      <c r="L5213" s="13">
        <v>1.82</v>
      </c>
      <c r="M5213" s="13"/>
      <c r="N5213" s="17">
        <f t="shared" si="171"/>
        <v>100.10000000000001</v>
      </c>
      <c r="O5213" s="17">
        <f t="shared" si="171"/>
        <v>0</v>
      </c>
      <c r="P5213" s="17">
        <f t="shared" si="172"/>
        <v>100.10000000000001</v>
      </c>
      <c r="Q5213" t="str">
        <f>A5213&amp;"-"&amp;B5213&amp;"-"&amp;D5213</f>
        <v>OKTOBER-MJ2-L9</v>
      </c>
    </row>
    <row r="5214" spans="1:17" x14ac:dyDescent="0.25">
      <c r="A5214" t="s">
        <v>400</v>
      </c>
      <c r="B5214" s="13" t="s">
        <v>26</v>
      </c>
      <c r="C5214" s="13" t="s">
        <v>226</v>
      </c>
      <c r="D5214" s="14" t="s">
        <v>199</v>
      </c>
      <c r="E5214" s="13" t="s">
        <v>61</v>
      </c>
      <c r="F5214" s="13" t="s">
        <v>1762</v>
      </c>
      <c r="G5214" s="13">
        <v>0.79</v>
      </c>
      <c r="H5214" s="15">
        <v>3710</v>
      </c>
      <c r="I5214" s="16">
        <v>2930.9</v>
      </c>
      <c r="J5214" s="16">
        <v>2481.219781312127</v>
      </c>
      <c r="K5214" s="16">
        <v>449.68021868787264</v>
      </c>
      <c r="L5214" s="13">
        <v>2</v>
      </c>
      <c r="M5214" s="13"/>
      <c r="N5214" s="17">
        <f t="shared" si="171"/>
        <v>7420</v>
      </c>
      <c r="O5214" s="17">
        <f t="shared" si="171"/>
        <v>0</v>
      </c>
      <c r="P5214" s="17">
        <f t="shared" si="172"/>
        <v>7420</v>
      </c>
      <c r="Q5214" t="str">
        <f>A5214&amp;"-"&amp;B5214&amp;"-"&amp;D5214</f>
        <v>OKTOBER-MJ2-L9</v>
      </c>
    </row>
    <row r="5215" spans="1:17" x14ac:dyDescent="0.25">
      <c r="A5215" t="s">
        <v>400</v>
      </c>
      <c r="B5215" s="13" t="s">
        <v>26</v>
      </c>
      <c r="C5215" s="13" t="s">
        <v>226</v>
      </c>
      <c r="D5215" s="14" t="s">
        <v>199</v>
      </c>
      <c r="E5215" s="13" t="s">
        <v>61</v>
      </c>
      <c r="F5215" s="13" t="s">
        <v>1763</v>
      </c>
      <c r="G5215" s="13">
        <v>0.79</v>
      </c>
      <c r="H5215" s="15">
        <v>4053</v>
      </c>
      <c r="I5215" s="16">
        <v>3201.8699999999994</v>
      </c>
      <c r="J5215" s="16">
        <v>2858.7604522506895</v>
      </c>
      <c r="K5215" s="16">
        <v>343.10954774931059</v>
      </c>
      <c r="L5215" s="13">
        <v>2</v>
      </c>
      <c r="M5215" s="13"/>
      <c r="N5215" s="17">
        <f t="shared" si="171"/>
        <v>8106</v>
      </c>
      <c r="O5215" s="17">
        <f t="shared" si="171"/>
        <v>0</v>
      </c>
      <c r="P5215" s="17">
        <f t="shared" si="172"/>
        <v>8106</v>
      </c>
      <c r="Q5215" t="str">
        <f>A5215&amp;"-"&amp;B5215&amp;"-"&amp;D5215</f>
        <v>OKTOBER-MJ2-L9</v>
      </c>
    </row>
    <row r="5216" spans="1:17" x14ac:dyDescent="0.25">
      <c r="A5216" t="s">
        <v>400</v>
      </c>
      <c r="B5216" s="13" t="s">
        <v>26</v>
      </c>
      <c r="C5216" s="13" t="s">
        <v>226</v>
      </c>
      <c r="D5216" s="14" t="s">
        <v>199</v>
      </c>
      <c r="E5216" s="13" t="s">
        <v>61</v>
      </c>
      <c r="F5216" s="13" t="s">
        <v>1765</v>
      </c>
      <c r="G5216" s="13">
        <v>0.77</v>
      </c>
      <c r="H5216" s="15">
        <v>135</v>
      </c>
      <c r="I5216" s="16">
        <v>103.95</v>
      </c>
      <c r="J5216" s="16">
        <v>118.05161033797216</v>
      </c>
      <c r="K5216" s="16">
        <v>-14.101610337972154</v>
      </c>
      <c r="L5216" s="13">
        <v>2.15</v>
      </c>
      <c r="M5216" s="13"/>
      <c r="N5216" s="17">
        <f t="shared" si="171"/>
        <v>290.25</v>
      </c>
      <c r="O5216" s="17">
        <f t="shared" si="171"/>
        <v>0</v>
      </c>
      <c r="P5216" s="17">
        <f t="shared" si="172"/>
        <v>290.25</v>
      </c>
      <c r="Q5216" t="str">
        <f>A5216&amp;"-"&amp;B5216&amp;"-"&amp;D5216</f>
        <v>OKTOBER-MJ2-L9</v>
      </c>
    </row>
    <row r="5217" spans="1:17" x14ac:dyDescent="0.25">
      <c r="A5217" t="s">
        <v>400</v>
      </c>
      <c r="B5217" s="13" t="s">
        <v>26</v>
      </c>
      <c r="C5217" s="13" t="s">
        <v>226</v>
      </c>
      <c r="D5217" s="14" t="s">
        <v>199</v>
      </c>
      <c r="E5217" s="13" t="s">
        <v>61</v>
      </c>
      <c r="F5217" s="13" t="s">
        <v>1574</v>
      </c>
      <c r="G5217" s="13">
        <v>0.81</v>
      </c>
      <c r="H5217" s="15">
        <v>95</v>
      </c>
      <c r="I5217" s="16">
        <v>76.95</v>
      </c>
      <c r="J5217" s="16">
        <v>60.527522239333273</v>
      </c>
      <c r="K5217" s="16">
        <v>16.42247776066673</v>
      </c>
      <c r="L5217" s="13">
        <v>2.21</v>
      </c>
      <c r="M5217" s="13"/>
      <c r="N5217" s="17">
        <f t="shared" si="171"/>
        <v>209.95</v>
      </c>
      <c r="O5217" s="17">
        <f t="shared" si="171"/>
        <v>0</v>
      </c>
      <c r="P5217" s="17">
        <f t="shared" si="172"/>
        <v>209.95</v>
      </c>
      <c r="Q5217" t="str">
        <f>A5217&amp;"-"&amp;B5217&amp;"-"&amp;D5217</f>
        <v>OKTOBER-MJ2-L9</v>
      </c>
    </row>
    <row r="5218" spans="1:17" x14ac:dyDescent="0.25">
      <c r="A5218" t="s">
        <v>400</v>
      </c>
      <c r="B5218" s="13" t="s">
        <v>26</v>
      </c>
      <c r="C5218" s="13" t="s">
        <v>226</v>
      </c>
      <c r="D5218" s="14" t="s">
        <v>199</v>
      </c>
      <c r="E5218" s="13" t="s">
        <v>61</v>
      </c>
      <c r="F5218" s="13" t="s">
        <v>1766</v>
      </c>
      <c r="G5218" s="13">
        <v>0.8</v>
      </c>
      <c r="H5218" s="15">
        <v>3234</v>
      </c>
      <c r="I5218" s="16">
        <v>2587.1999999999998</v>
      </c>
      <c r="J5218" s="16">
        <v>1909.8464613950619</v>
      </c>
      <c r="K5218" s="16">
        <v>677.35353860493797</v>
      </c>
      <c r="L5218" s="13">
        <v>2.0699999999999998</v>
      </c>
      <c r="M5218" s="13"/>
      <c r="N5218" s="17">
        <f t="shared" si="171"/>
        <v>6694.3799999999992</v>
      </c>
      <c r="O5218" s="17">
        <f t="shared" si="171"/>
        <v>0</v>
      </c>
      <c r="P5218" s="17">
        <f t="shared" si="172"/>
        <v>6694.3799999999992</v>
      </c>
      <c r="Q5218" t="str">
        <f>A5218&amp;"-"&amp;B5218&amp;"-"&amp;D5218</f>
        <v>OKTOBER-MJ2-L9</v>
      </c>
    </row>
    <row r="5219" spans="1:17" x14ac:dyDescent="0.25">
      <c r="A5219" t="s">
        <v>400</v>
      </c>
      <c r="B5219" s="13" t="s">
        <v>26</v>
      </c>
      <c r="C5219" s="13" t="s">
        <v>226</v>
      </c>
      <c r="D5219" s="14" t="s">
        <v>199</v>
      </c>
      <c r="E5219" s="13" t="s">
        <v>61</v>
      </c>
      <c r="F5219" s="13" t="s">
        <v>1767</v>
      </c>
      <c r="G5219" s="13">
        <v>0.78</v>
      </c>
      <c r="H5219" s="15">
        <v>107</v>
      </c>
      <c r="I5219" s="16">
        <v>83.46</v>
      </c>
      <c r="J5219" s="16">
        <v>69.204628501827031</v>
      </c>
      <c r="K5219" s="16">
        <v>14.255371498172963</v>
      </c>
      <c r="L5219" s="13">
        <v>2.2200000000000002</v>
      </c>
      <c r="M5219" s="13"/>
      <c r="N5219" s="17">
        <f t="shared" si="171"/>
        <v>237.54000000000002</v>
      </c>
      <c r="O5219" s="17">
        <f t="shared" si="171"/>
        <v>0</v>
      </c>
      <c r="P5219" s="17">
        <f t="shared" si="172"/>
        <v>237.54000000000002</v>
      </c>
      <c r="Q5219" t="str">
        <f>A5219&amp;"-"&amp;B5219&amp;"-"&amp;D5219</f>
        <v>OKTOBER-MJ2-L9</v>
      </c>
    </row>
    <row r="5220" spans="1:17" x14ac:dyDescent="0.25">
      <c r="A5220" t="s">
        <v>400</v>
      </c>
      <c r="B5220" s="13" t="s">
        <v>26</v>
      </c>
      <c r="C5220" s="13" t="s">
        <v>226</v>
      </c>
      <c r="D5220" s="14" t="s">
        <v>199</v>
      </c>
      <c r="E5220" s="13" t="s">
        <v>61</v>
      </c>
      <c r="F5220" s="13" t="s">
        <v>1768</v>
      </c>
      <c r="G5220" s="13">
        <v>0.81</v>
      </c>
      <c r="H5220" s="15">
        <v>1203</v>
      </c>
      <c r="I5220" s="16">
        <v>974.43000000000006</v>
      </c>
      <c r="J5220" s="16">
        <v>957.04567420814476</v>
      </c>
      <c r="K5220" s="16">
        <v>17.384325791855161</v>
      </c>
      <c r="L5220" s="13">
        <v>2.21</v>
      </c>
      <c r="M5220" s="13"/>
      <c r="N5220" s="17">
        <f t="shared" si="171"/>
        <v>2658.63</v>
      </c>
      <c r="O5220" s="17">
        <f t="shared" si="171"/>
        <v>0</v>
      </c>
      <c r="P5220" s="17">
        <f t="shared" si="172"/>
        <v>2658.63</v>
      </c>
      <c r="Q5220" t="str">
        <f>A5220&amp;"-"&amp;B5220&amp;"-"&amp;D5220</f>
        <v>OKTOBER-MJ2-L9</v>
      </c>
    </row>
    <row r="5221" spans="1:17" x14ac:dyDescent="0.25">
      <c r="A5221" t="s">
        <v>400</v>
      </c>
      <c r="B5221" s="13" t="s">
        <v>26</v>
      </c>
      <c r="C5221" s="13" t="s">
        <v>226</v>
      </c>
      <c r="D5221" s="14" t="s">
        <v>199</v>
      </c>
      <c r="E5221" s="13" t="s">
        <v>61</v>
      </c>
      <c r="F5221" s="13" t="s">
        <v>1769</v>
      </c>
      <c r="G5221" s="13">
        <v>0.81000000000000028</v>
      </c>
      <c r="H5221" s="15">
        <v>2315</v>
      </c>
      <c r="I5221" s="16">
        <v>1875.15</v>
      </c>
      <c r="J5221" s="16">
        <v>1414.4740946852921</v>
      </c>
      <c r="K5221" s="16">
        <v>460.67590531470802</v>
      </c>
      <c r="L5221" s="13">
        <v>2.21</v>
      </c>
      <c r="M5221" s="13"/>
      <c r="N5221" s="17">
        <f t="shared" si="171"/>
        <v>5116.1499999999996</v>
      </c>
      <c r="O5221" s="17">
        <f t="shared" si="171"/>
        <v>0</v>
      </c>
      <c r="P5221" s="17">
        <f t="shared" si="172"/>
        <v>5116.1499999999996</v>
      </c>
      <c r="Q5221" t="str">
        <f>A5221&amp;"-"&amp;B5221&amp;"-"&amp;D5221</f>
        <v>OKTOBER-MJ2-L9</v>
      </c>
    </row>
    <row r="5222" spans="1:17" x14ac:dyDescent="0.25">
      <c r="A5222" t="s">
        <v>400</v>
      </c>
      <c r="B5222" s="13" t="s">
        <v>26</v>
      </c>
      <c r="C5222" s="13" t="s">
        <v>226</v>
      </c>
      <c r="D5222" s="14" t="s">
        <v>199</v>
      </c>
      <c r="E5222" s="13" t="s">
        <v>61</v>
      </c>
      <c r="F5222" s="13" t="s">
        <v>1575</v>
      </c>
      <c r="G5222" s="13">
        <v>0.81000000000000016</v>
      </c>
      <c r="H5222" s="15">
        <v>792</v>
      </c>
      <c r="I5222" s="16">
        <v>641.52</v>
      </c>
      <c r="J5222" s="16">
        <v>511.66624308916471</v>
      </c>
      <c r="K5222" s="16">
        <v>129.85375691083519</v>
      </c>
      <c r="L5222" s="13">
        <v>2.21</v>
      </c>
      <c r="M5222" s="13"/>
      <c r="N5222" s="17">
        <f t="shared" si="171"/>
        <v>1750.32</v>
      </c>
      <c r="O5222" s="17">
        <f t="shared" si="171"/>
        <v>0</v>
      </c>
      <c r="P5222" s="17">
        <f t="shared" si="172"/>
        <v>1750.32</v>
      </c>
      <c r="Q5222" t="str">
        <f>A5222&amp;"-"&amp;B5222&amp;"-"&amp;D5222</f>
        <v>OKTOBER-MJ2-L9</v>
      </c>
    </row>
    <row r="5223" spans="1:17" x14ac:dyDescent="0.25">
      <c r="A5223" t="s">
        <v>400</v>
      </c>
      <c r="B5223" s="13" t="s">
        <v>26</v>
      </c>
      <c r="C5223" s="13" t="s">
        <v>226</v>
      </c>
      <c r="D5223" s="14" t="s">
        <v>199</v>
      </c>
      <c r="E5223" s="13" t="s">
        <v>61</v>
      </c>
      <c r="F5223" s="13" t="s">
        <v>1576</v>
      </c>
      <c r="G5223" s="13">
        <v>0.79999999999999993</v>
      </c>
      <c r="H5223" s="15">
        <v>2713</v>
      </c>
      <c r="I5223" s="16">
        <v>2170.4</v>
      </c>
      <c r="J5223" s="16">
        <v>1759.3740920623288</v>
      </c>
      <c r="K5223" s="16">
        <v>411.02590793767121</v>
      </c>
      <c r="L5223" s="13">
        <v>2.0699999999999998</v>
      </c>
      <c r="M5223" s="13"/>
      <c r="N5223" s="17">
        <f t="shared" si="171"/>
        <v>5615.91</v>
      </c>
      <c r="O5223" s="17">
        <f t="shared" si="171"/>
        <v>0</v>
      </c>
      <c r="P5223" s="17">
        <f t="shared" si="172"/>
        <v>5615.91</v>
      </c>
      <c r="Q5223" t="str">
        <f>A5223&amp;"-"&amp;B5223&amp;"-"&amp;D5223</f>
        <v>OKTOBER-MJ2-L9</v>
      </c>
    </row>
    <row r="5224" spans="1:17" x14ac:dyDescent="0.25">
      <c r="A5224" t="s">
        <v>400</v>
      </c>
      <c r="B5224" s="13" t="s">
        <v>26</v>
      </c>
      <c r="C5224" s="13" t="s">
        <v>226</v>
      </c>
      <c r="D5224" s="14" t="s">
        <v>199</v>
      </c>
      <c r="E5224" s="13" t="s">
        <v>61</v>
      </c>
      <c r="F5224" s="13" t="s">
        <v>1770</v>
      </c>
      <c r="G5224" s="13">
        <v>0.78</v>
      </c>
      <c r="H5224" s="15">
        <v>685</v>
      </c>
      <c r="I5224" s="16">
        <v>534.29999999999995</v>
      </c>
      <c r="J5224" s="16">
        <v>471.30465099444297</v>
      </c>
      <c r="K5224" s="16">
        <v>62.995349005557017</v>
      </c>
      <c r="L5224" s="13">
        <v>2.2200000000000002</v>
      </c>
      <c r="M5224" s="13"/>
      <c r="N5224" s="17">
        <f t="shared" si="171"/>
        <v>1520.7</v>
      </c>
      <c r="O5224" s="17">
        <f t="shared" si="171"/>
        <v>0</v>
      </c>
      <c r="P5224" s="17">
        <f t="shared" si="172"/>
        <v>1520.7</v>
      </c>
      <c r="Q5224" t="str">
        <f>A5224&amp;"-"&amp;B5224&amp;"-"&amp;D5224</f>
        <v>OKTOBER-MJ2-L9</v>
      </c>
    </row>
    <row r="5225" spans="1:17" x14ac:dyDescent="0.25">
      <c r="A5225" t="s">
        <v>400</v>
      </c>
      <c r="B5225" s="13" t="s">
        <v>26</v>
      </c>
      <c r="C5225" s="13" t="s">
        <v>226</v>
      </c>
      <c r="D5225" s="14" t="s">
        <v>199</v>
      </c>
      <c r="E5225" s="13" t="s">
        <v>61</v>
      </c>
      <c r="F5225" s="13" t="s">
        <v>1771</v>
      </c>
      <c r="G5225" s="13">
        <v>0.79</v>
      </c>
      <c r="H5225" s="15">
        <v>2837</v>
      </c>
      <c r="I5225" s="16">
        <v>2241.23</v>
      </c>
      <c r="J5225" s="16">
        <v>1717.3858823529413</v>
      </c>
      <c r="K5225" s="16">
        <v>523.84411764705874</v>
      </c>
      <c r="L5225" s="13">
        <v>2</v>
      </c>
      <c r="M5225" s="13"/>
      <c r="N5225" s="17">
        <f t="shared" si="171"/>
        <v>5674</v>
      </c>
      <c r="O5225" s="17">
        <f t="shared" si="171"/>
        <v>0</v>
      </c>
      <c r="P5225" s="17">
        <f t="shared" si="172"/>
        <v>5674</v>
      </c>
      <c r="Q5225" t="str">
        <f>A5225&amp;"-"&amp;B5225&amp;"-"&amp;D5225</f>
        <v>OKTOBER-MJ2-L9</v>
      </c>
    </row>
    <row r="5226" spans="1:17" x14ac:dyDescent="0.25">
      <c r="A5226" t="s">
        <v>400</v>
      </c>
      <c r="B5226" s="13" t="s">
        <v>26</v>
      </c>
      <c r="C5226" s="13" t="s">
        <v>226</v>
      </c>
      <c r="D5226" s="14" t="s">
        <v>199</v>
      </c>
      <c r="E5226" s="13" t="s">
        <v>61</v>
      </c>
      <c r="F5226" s="13" t="s">
        <v>1577</v>
      </c>
      <c r="G5226" s="13">
        <v>0.81</v>
      </c>
      <c r="H5226" s="15">
        <v>283</v>
      </c>
      <c r="I5226" s="16">
        <v>229.23000000000002</v>
      </c>
      <c r="J5226" s="16">
        <v>177.39882054533928</v>
      </c>
      <c r="K5226" s="16">
        <v>51.831179454660742</v>
      </c>
      <c r="L5226" s="13">
        <v>2.21</v>
      </c>
      <c r="M5226" s="13"/>
      <c r="N5226" s="17">
        <f t="shared" si="171"/>
        <v>625.42999999999995</v>
      </c>
      <c r="O5226" s="17">
        <f t="shared" si="171"/>
        <v>0</v>
      </c>
      <c r="P5226" s="17">
        <f t="shared" si="172"/>
        <v>625.42999999999995</v>
      </c>
      <c r="Q5226" t="str">
        <f>A5226&amp;"-"&amp;B5226&amp;"-"&amp;D5226</f>
        <v>OKTOBER-MJ2-L9</v>
      </c>
    </row>
    <row r="5227" spans="1:17" x14ac:dyDescent="0.25">
      <c r="A5227" t="s">
        <v>400</v>
      </c>
      <c r="B5227" s="13" t="s">
        <v>26</v>
      </c>
      <c r="C5227" s="13" t="s">
        <v>226</v>
      </c>
      <c r="D5227" s="14" t="s">
        <v>199</v>
      </c>
      <c r="E5227" s="13" t="s">
        <v>61</v>
      </c>
      <c r="F5227" s="13" t="s">
        <v>1773</v>
      </c>
      <c r="G5227" s="13">
        <v>0.8</v>
      </c>
      <c r="H5227" s="15">
        <v>3904</v>
      </c>
      <c r="I5227" s="16">
        <v>3123.2</v>
      </c>
      <c r="J5227" s="16">
        <v>2698.3400389196172</v>
      </c>
      <c r="K5227" s="16">
        <v>424.8599610803829</v>
      </c>
      <c r="L5227" s="13">
        <v>2.0699999999999998</v>
      </c>
      <c r="M5227" s="13"/>
      <c r="N5227" s="17">
        <f t="shared" si="171"/>
        <v>8081.28</v>
      </c>
      <c r="O5227" s="17">
        <f t="shared" si="171"/>
        <v>0</v>
      </c>
      <c r="P5227" s="17">
        <f t="shared" si="172"/>
        <v>8081.28</v>
      </c>
      <c r="Q5227" t="str">
        <f>A5227&amp;"-"&amp;B5227&amp;"-"&amp;D5227</f>
        <v>OKTOBER-MJ2-L9</v>
      </c>
    </row>
    <row r="5228" spans="1:17" x14ac:dyDescent="0.25">
      <c r="A5228" t="s">
        <v>400</v>
      </c>
      <c r="B5228" s="13" t="s">
        <v>26</v>
      </c>
      <c r="C5228" s="13" t="s">
        <v>226</v>
      </c>
      <c r="D5228" s="14" t="s">
        <v>199</v>
      </c>
      <c r="E5228" s="13" t="s">
        <v>61</v>
      </c>
      <c r="F5228" s="13" t="s">
        <v>1774</v>
      </c>
      <c r="G5228" s="13">
        <v>0.80000000000000016</v>
      </c>
      <c r="H5228" s="15">
        <v>2058</v>
      </c>
      <c r="I5228" s="16">
        <v>1646.4</v>
      </c>
      <c r="J5228" s="16">
        <v>1430.2803657891361</v>
      </c>
      <c r="K5228" s="16">
        <v>216.11963421086381</v>
      </c>
      <c r="L5228" s="13">
        <v>2.0699999999999998</v>
      </c>
      <c r="M5228" s="13"/>
      <c r="N5228" s="17">
        <f t="shared" si="171"/>
        <v>4260.0599999999995</v>
      </c>
      <c r="O5228" s="17">
        <f t="shared" si="171"/>
        <v>0</v>
      </c>
      <c r="P5228" s="17">
        <f t="shared" si="172"/>
        <v>4260.0599999999995</v>
      </c>
      <c r="Q5228" t="str">
        <f>A5228&amp;"-"&amp;B5228&amp;"-"&amp;D5228</f>
        <v>OKTOBER-MJ2-L9</v>
      </c>
    </row>
    <row r="5229" spans="1:17" x14ac:dyDescent="0.25">
      <c r="A5229" t="s">
        <v>400</v>
      </c>
      <c r="B5229" s="13" t="s">
        <v>26</v>
      </c>
      <c r="C5229" s="13" t="s">
        <v>226</v>
      </c>
      <c r="D5229" s="14" t="s">
        <v>199</v>
      </c>
      <c r="E5229" s="13" t="s">
        <v>61</v>
      </c>
      <c r="F5229" s="13" t="s">
        <v>1776</v>
      </c>
      <c r="G5229" s="13">
        <v>0.78</v>
      </c>
      <c r="H5229" s="15">
        <v>59</v>
      </c>
      <c r="I5229" s="16">
        <v>46.02</v>
      </c>
      <c r="J5229" s="16">
        <v>62.284294234592444</v>
      </c>
      <c r="K5229" s="16">
        <v>-16.264294234592441</v>
      </c>
      <c r="L5229" s="13">
        <v>2.2200000000000002</v>
      </c>
      <c r="M5229" s="13"/>
      <c r="N5229" s="17">
        <f t="shared" si="171"/>
        <v>130.98000000000002</v>
      </c>
      <c r="O5229" s="17">
        <f t="shared" si="171"/>
        <v>0</v>
      </c>
      <c r="P5229" s="17">
        <f t="shared" si="172"/>
        <v>130.98000000000002</v>
      </c>
      <c r="Q5229" t="str">
        <f>A5229&amp;"-"&amp;B5229&amp;"-"&amp;D5229</f>
        <v>OKTOBER-MJ2-L9</v>
      </c>
    </row>
    <row r="5230" spans="1:17" x14ac:dyDescent="0.25">
      <c r="A5230" t="s">
        <v>401</v>
      </c>
      <c r="B5230" s="13" t="s">
        <v>18</v>
      </c>
      <c r="C5230" s="13" t="s">
        <v>154</v>
      </c>
      <c r="D5230" s="14" t="s">
        <v>56</v>
      </c>
      <c r="E5230" s="13" t="s">
        <v>155</v>
      </c>
      <c r="F5230" s="13" t="s">
        <v>1471</v>
      </c>
      <c r="G5230" s="13">
        <v>0.52</v>
      </c>
      <c r="H5230" s="15">
        <v>10</v>
      </c>
      <c r="I5230" s="16">
        <v>5.2</v>
      </c>
      <c r="J5230" s="16">
        <v>30.422535211267604</v>
      </c>
      <c r="K5230" s="16">
        <v>-25.222535211267605</v>
      </c>
      <c r="L5230" s="13">
        <v>1.42</v>
      </c>
      <c r="M5230" s="13"/>
      <c r="N5230" s="17">
        <f t="shared" si="171"/>
        <v>14.2</v>
      </c>
      <c r="O5230" s="17">
        <f t="shared" si="171"/>
        <v>0</v>
      </c>
      <c r="P5230" s="17">
        <f t="shared" si="172"/>
        <v>14.2</v>
      </c>
      <c r="Q5230" t="str">
        <f>A5230&amp;"-"&amp;B5230&amp;"-"&amp;D5230</f>
        <v>NOVEMBER-CBA-L3</v>
      </c>
    </row>
    <row r="5231" spans="1:17" x14ac:dyDescent="0.25">
      <c r="A5231" t="s">
        <v>401</v>
      </c>
      <c r="B5231" s="13" t="s">
        <v>18</v>
      </c>
      <c r="C5231" s="13" t="s">
        <v>154</v>
      </c>
      <c r="D5231" s="14" t="s">
        <v>56</v>
      </c>
      <c r="E5231" s="13" t="s">
        <v>155</v>
      </c>
      <c r="F5231" s="13" t="s">
        <v>1687</v>
      </c>
      <c r="G5231" s="13">
        <v>0.52</v>
      </c>
      <c r="H5231" s="15">
        <v>10</v>
      </c>
      <c r="I5231" s="16">
        <v>5.2</v>
      </c>
      <c r="J5231" s="16">
        <v>30.422535211267604</v>
      </c>
      <c r="K5231" s="16">
        <v>-25.222535211267605</v>
      </c>
      <c r="L5231" s="13">
        <v>1.42</v>
      </c>
      <c r="M5231" s="13"/>
      <c r="N5231" s="17">
        <f t="shared" ref="N5231:O5290" si="173">$H5231*L5231</f>
        <v>14.2</v>
      </c>
      <c r="O5231" s="17">
        <f t="shared" si="173"/>
        <v>0</v>
      </c>
      <c r="P5231" s="17">
        <f t="shared" si="172"/>
        <v>14.2</v>
      </c>
      <c r="Q5231" t="str">
        <f>A5231&amp;"-"&amp;B5231&amp;"-"&amp;D5231</f>
        <v>NOVEMBER-CBA-L3</v>
      </c>
    </row>
    <row r="5232" spans="1:17" x14ac:dyDescent="0.25">
      <c r="A5232" t="s">
        <v>401</v>
      </c>
      <c r="B5232" s="13" t="s">
        <v>18</v>
      </c>
      <c r="C5232" s="13" t="s">
        <v>154</v>
      </c>
      <c r="D5232" s="14" t="s">
        <v>56</v>
      </c>
      <c r="E5232" s="13" t="s">
        <v>155</v>
      </c>
      <c r="F5232" s="13" t="s">
        <v>1688</v>
      </c>
      <c r="G5232" s="13">
        <v>0.52</v>
      </c>
      <c r="H5232" s="15">
        <v>19</v>
      </c>
      <c r="I5232" s="16">
        <v>9.8800000000000008</v>
      </c>
      <c r="J5232" s="16">
        <v>57.802816901408448</v>
      </c>
      <c r="K5232" s="16">
        <v>-47.922816901408446</v>
      </c>
      <c r="L5232" s="13">
        <v>1.42</v>
      </c>
      <c r="M5232" s="13"/>
      <c r="N5232" s="17">
        <f t="shared" si="173"/>
        <v>26.979999999999997</v>
      </c>
      <c r="O5232" s="17">
        <f t="shared" si="173"/>
        <v>0</v>
      </c>
      <c r="P5232" s="17">
        <f t="shared" si="172"/>
        <v>26.979999999999997</v>
      </c>
      <c r="Q5232" t="str">
        <f>A5232&amp;"-"&amp;B5232&amp;"-"&amp;D5232</f>
        <v>NOVEMBER-CBA-L3</v>
      </c>
    </row>
    <row r="5233" spans="1:17" x14ac:dyDescent="0.25">
      <c r="A5233" t="s">
        <v>401</v>
      </c>
      <c r="B5233" s="13" t="s">
        <v>18</v>
      </c>
      <c r="C5233" s="13" t="s">
        <v>154</v>
      </c>
      <c r="D5233" s="14" t="s">
        <v>56</v>
      </c>
      <c r="E5233" s="13" t="s">
        <v>155</v>
      </c>
      <c r="F5233" s="13" t="s">
        <v>1615</v>
      </c>
      <c r="G5233" s="13">
        <v>0.5</v>
      </c>
      <c r="H5233" s="15">
        <v>1924</v>
      </c>
      <c r="I5233" s="16">
        <v>962</v>
      </c>
      <c r="J5233" s="16">
        <v>1177.3521126760563</v>
      </c>
      <c r="K5233" s="16">
        <v>-215.35211267605632</v>
      </c>
      <c r="L5233" s="13">
        <v>1.47</v>
      </c>
      <c r="M5233" s="13"/>
      <c r="N5233" s="17">
        <f t="shared" si="173"/>
        <v>2828.2799999999997</v>
      </c>
      <c r="O5233" s="17">
        <f t="shared" si="173"/>
        <v>0</v>
      </c>
      <c r="P5233" s="17">
        <f t="shared" si="172"/>
        <v>2828.2799999999997</v>
      </c>
      <c r="Q5233" t="str">
        <f>A5233&amp;"-"&amp;B5233&amp;"-"&amp;D5233</f>
        <v>NOVEMBER-CBA-L3</v>
      </c>
    </row>
    <row r="5234" spans="1:17" x14ac:dyDescent="0.25">
      <c r="A5234" t="s">
        <v>401</v>
      </c>
      <c r="B5234" s="13" t="s">
        <v>18</v>
      </c>
      <c r="C5234" s="13" t="s">
        <v>43</v>
      </c>
      <c r="D5234" s="14" t="s">
        <v>44</v>
      </c>
      <c r="E5234" s="13" t="s">
        <v>45</v>
      </c>
      <c r="F5234" s="13" t="s">
        <v>1626</v>
      </c>
      <c r="G5234" s="13">
        <v>3.31</v>
      </c>
      <c r="H5234" s="15">
        <v>2016</v>
      </c>
      <c r="I5234" s="16">
        <v>6672.9600000000009</v>
      </c>
      <c r="J5234" s="16">
        <v>8290.8511627906973</v>
      </c>
      <c r="K5234" s="16">
        <v>-1617.8911627906978</v>
      </c>
      <c r="L5234" s="13"/>
      <c r="M5234" s="13">
        <v>3.8</v>
      </c>
      <c r="N5234" s="17">
        <f t="shared" si="173"/>
        <v>0</v>
      </c>
      <c r="O5234" s="17">
        <f t="shared" si="173"/>
        <v>7660.7999999999993</v>
      </c>
      <c r="P5234" s="17">
        <f t="shared" si="172"/>
        <v>7660.7999999999993</v>
      </c>
      <c r="Q5234" t="str">
        <f>A5234&amp;"-"&amp;B5234&amp;"-"&amp;D5234</f>
        <v>NOVEMBER-CBA-L1</v>
      </c>
    </row>
    <row r="5235" spans="1:17" x14ac:dyDescent="0.25">
      <c r="A5235" t="s">
        <v>401</v>
      </c>
      <c r="B5235" s="13" t="s">
        <v>18</v>
      </c>
      <c r="C5235" s="13" t="s">
        <v>43</v>
      </c>
      <c r="D5235" s="14" t="s">
        <v>44</v>
      </c>
      <c r="E5235" s="13" t="s">
        <v>71</v>
      </c>
      <c r="F5235" s="13" t="s">
        <v>1413</v>
      </c>
      <c r="G5235" s="13">
        <v>3.96</v>
      </c>
      <c r="H5235" s="15">
        <v>4</v>
      </c>
      <c r="I5235" s="16">
        <v>15.84</v>
      </c>
      <c r="J5235" s="16">
        <v>11.52</v>
      </c>
      <c r="K5235" s="16">
        <v>4.32</v>
      </c>
      <c r="L5235" s="13"/>
      <c r="M5235" s="13">
        <v>4.2300000000000004</v>
      </c>
      <c r="N5235" s="17">
        <f t="shared" si="173"/>
        <v>0</v>
      </c>
      <c r="O5235" s="17">
        <f t="shared" si="173"/>
        <v>16.920000000000002</v>
      </c>
      <c r="P5235" s="17">
        <f t="shared" si="172"/>
        <v>16.920000000000002</v>
      </c>
      <c r="Q5235" t="str">
        <f>A5235&amp;"-"&amp;B5235&amp;"-"&amp;D5235</f>
        <v>NOVEMBER-CBA-L1</v>
      </c>
    </row>
    <row r="5236" spans="1:17" x14ac:dyDescent="0.25">
      <c r="A5236" t="s">
        <v>401</v>
      </c>
      <c r="B5236" s="13" t="s">
        <v>18</v>
      </c>
      <c r="C5236" s="13" t="s">
        <v>43</v>
      </c>
      <c r="D5236" s="14" t="s">
        <v>44</v>
      </c>
      <c r="E5236" s="13" t="s">
        <v>71</v>
      </c>
      <c r="F5236" s="13" t="s">
        <v>1803</v>
      </c>
      <c r="G5236" s="13">
        <v>3.9600000000000004</v>
      </c>
      <c r="H5236" s="15">
        <v>70</v>
      </c>
      <c r="I5236" s="16">
        <v>277.2</v>
      </c>
      <c r="J5236" s="16">
        <v>3702.86</v>
      </c>
      <c r="K5236" s="16">
        <v>-3425.6600000000003</v>
      </c>
      <c r="L5236" s="13"/>
      <c r="M5236" s="13">
        <v>4.45</v>
      </c>
      <c r="N5236" s="17">
        <f t="shared" si="173"/>
        <v>0</v>
      </c>
      <c r="O5236" s="17">
        <f t="shared" si="173"/>
        <v>311.5</v>
      </c>
      <c r="P5236" s="17">
        <f t="shared" si="172"/>
        <v>311.5</v>
      </c>
      <c r="Q5236" t="str">
        <f>A5236&amp;"-"&amp;B5236&amp;"-"&amp;D5236</f>
        <v>NOVEMBER-CBA-L1</v>
      </c>
    </row>
    <row r="5237" spans="1:17" x14ac:dyDescent="0.25">
      <c r="A5237" t="s">
        <v>401</v>
      </c>
      <c r="B5237" s="13" t="s">
        <v>18</v>
      </c>
      <c r="C5237" s="13" t="s">
        <v>43</v>
      </c>
      <c r="D5237" s="14" t="s">
        <v>44</v>
      </c>
      <c r="E5237" s="13" t="s">
        <v>58</v>
      </c>
      <c r="F5237" s="13" t="s">
        <v>1804</v>
      </c>
      <c r="G5237" s="13">
        <v>2.81</v>
      </c>
      <c r="H5237" s="15">
        <v>106</v>
      </c>
      <c r="I5237" s="16">
        <v>297.86</v>
      </c>
      <c r="J5237" s="16">
        <v>1047.3488372093022</v>
      </c>
      <c r="K5237" s="16">
        <v>-749.48883720930235</v>
      </c>
      <c r="L5237" s="13"/>
      <c r="M5237" s="13">
        <v>3.2</v>
      </c>
      <c r="N5237" s="17">
        <f t="shared" si="173"/>
        <v>0</v>
      </c>
      <c r="O5237" s="17">
        <f t="shared" si="173"/>
        <v>339.20000000000005</v>
      </c>
      <c r="P5237" s="17">
        <f t="shared" si="172"/>
        <v>339.20000000000005</v>
      </c>
      <c r="Q5237" t="str">
        <f>A5237&amp;"-"&amp;B5237&amp;"-"&amp;D5237</f>
        <v>NOVEMBER-CBA-L1</v>
      </c>
    </row>
    <row r="5238" spans="1:17" x14ac:dyDescent="0.25">
      <c r="A5238" t="s">
        <v>401</v>
      </c>
      <c r="B5238" s="13" t="s">
        <v>18</v>
      </c>
      <c r="C5238" s="13" t="s">
        <v>43</v>
      </c>
      <c r="D5238" s="14" t="s">
        <v>50</v>
      </c>
      <c r="E5238" s="13" t="s">
        <v>45</v>
      </c>
      <c r="F5238" s="13" t="s">
        <v>1805</v>
      </c>
      <c r="G5238" s="13">
        <v>3.06</v>
      </c>
      <c r="H5238" s="15">
        <v>60</v>
      </c>
      <c r="I5238" s="16">
        <v>183.6</v>
      </c>
      <c r="J5238" s="16">
        <v>2592</v>
      </c>
      <c r="K5238" s="16">
        <v>-2408.4</v>
      </c>
      <c r="L5238" s="13"/>
      <c r="M5238" s="13">
        <v>3.45</v>
      </c>
      <c r="N5238" s="17">
        <f t="shared" si="173"/>
        <v>0</v>
      </c>
      <c r="O5238" s="17">
        <f t="shared" si="173"/>
        <v>207</v>
      </c>
      <c r="P5238" s="17">
        <f t="shared" si="172"/>
        <v>207</v>
      </c>
      <c r="Q5238" t="str">
        <f>A5238&amp;"-"&amp;B5238&amp;"-"&amp;D5238</f>
        <v>NOVEMBER-CBA-L2</v>
      </c>
    </row>
    <row r="5239" spans="1:17" x14ac:dyDescent="0.25">
      <c r="A5239" t="s">
        <v>401</v>
      </c>
      <c r="B5239" s="13" t="s">
        <v>18</v>
      </c>
      <c r="C5239" s="13" t="s">
        <v>43</v>
      </c>
      <c r="D5239" s="14" t="s">
        <v>56</v>
      </c>
      <c r="E5239" s="13" t="s">
        <v>45</v>
      </c>
      <c r="F5239" s="13" t="s">
        <v>1234</v>
      </c>
      <c r="G5239" s="13">
        <v>2.99</v>
      </c>
      <c r="H5239" s="15">
        <v>4</v>
      </c>
      <c r="I5239" s="16">
        <v>11.96</v>
      </c>
      <c r="J5239" s="16">
        <v>10.579591836734695</v>
      </c>
      <c r="K5239" s="16">
        <v>1.3804081632653062</v>
      </c>
      <c r="L5239" s="13"/>
      <c r="M5239" s="13">
        <v>3.23</v>
      </c>
      <c r="N5239" s="17">
        <f t="shared" si="173"/>
        <v>0</v>
      </c>
      <c r="O5239" s="17">
        <f t="shared" si="173"/>
        <v>12.92</v>
      </c>
      <c r="P5239" s="17">
        <f t="shared" si="172"/>
        <v>12.92</v>
      </c>
      <c r="Q5239" t="str">
        <f>A5239&amp;"-"&amp;B5239&amp;"-"&amp;D5239</f>
        <v>NOVEMBER-CBA-L3</v>
      </c>
    </row>
    <row r="5240" spans="1:17" x14ac:dyDescent="0.25">
      <c r="A5240" t="s">
        <v>401</v>
      </c>
      <c r="B5240" s="13" t="s">
        <v>18</v>
      </c>
      <c r="C5240" s="13" t="s">
        <v>43</v>
      </c>
      <c r="D5240" s="14" t="s">
        <v>56</v>
      </c>
      <c r="E5240" s="13" t="s">
        <v>58</v>
      </c>
      <c r="F5240" s="13" t="s">
        <v>1804</v>
      </c>
      <c r="G5240" s="13">
        <v>2.8099999999999996</v>
      </c>
      <c r="H5240" s="15">
        <v>1960</v>
      </c>
      <c r="I5240" s="16">
        <v>5507.5999999999995</v>
      </c>
      <c r="J5240" s="16">
        <v>6099.1404081632654</v>
      </c>
      <c r="K5240" s="16">
        <v>-591.54040816326528</v>
      </c>
      <c r="L5240" s="13"/>
      <c r="M5240" s="13">
        <v>3.2</v>
      </c>
      <c r="N5240" s="17">
        <f t="shared" si="173"/>
        <v>0</v>
      </c>
      <c r="O5240" s="17">
        <f t="shared" si="173"/>
        <v>6272</v>
      </c>
      <c r="P5240" s="17">
        <f t="shared" si="172"/>
        <v>6272</v>
      </c>
      <c r="Q5240" t="str">
        <f>A5240&amp;"-"&amp;B5240&amp;"-"&amp;D5240</f>
        <v>NOVEMBER-CBA-L3</v>
      </c>
    </row>
    <row r="5241" spans="1:17" x14ac:dyDescent="0.25">
      <c r="A5241" t="s">
        <v>401</v>
      </c>
      <c r="B5241" s="13" t="s">
        <v>18</v>
      </c>
      <c r="C5241" s="13" t="s">
        <v>43</v>
      </c>
      <c r="D5241" s="14" t="s">
        <v>56</v>
      </c>
      <c r="E5241" s="13" t="s">
        <v>179</v>
      </c>
      <c r="F5241" s="13" t="s">
        <v>1806</v>
      </c>
      <c r="G5241" s="13">
        <v>1.54</v>
      </c>
      <c r="H5241" s="15">
        <v>761</v>
      </c>
      <c r="I5241" s="16">
        <v>1171.94</v>
      </c>
      <c r="J5241" s="16">
        <v>1453.9499999999998</v>
      </c>
      <c r="K5241" s="16">
        <v>-282.00999999999993</v>
      </c>
      <c r="L5241" s="13"/>
      <c r="M5241" s="13">
        <v>1.65</v>
      </c>
      <c r="N5241" s="17">
        <f t="shared" si="173"/>
        <v>0</v>
      </c>
      <c r="O5241" s="17">
        <f t="shared" si="173"/>
        <v>1255.6499999999999</v>
      </c>
      <c r="P5241" s="17">
        <f t="shared" si="172"/>
        <v>1255.6499999999999</v>
      </c>
      <c r="Q5241" t="str">
        <f>A5241&amp;"-"&amp;B5241&amp;"-"&amp;D5241</f>
        <v>NOVEMBER-CBA-L3</v>
      </c>
    </row>
    <row r="5242" spans="1:17" x14ac:dyDescent="0.25">
      <c r="A5242" t="s">
        <v>401</v>
      </c>
      <c r="B5242" s="13" t="s">
        <v>18</v>
      </c>
      <c r="C5242" s="13" t="s">
        <v>43</v>
      </c>
      <c r="D5242" s="14" t="s">
        <v>56</v>
      </c>
      <c r="E5242" s="13" t="s">
        <v>179</v>
      </c>
      <c r="F5242" s="13" t="s">
        <v>1807</v>
      </c>
      <c r="G5242" s="13">
        <v>1.54</v>
      </c>
      <c r="H5242" s="15">
        <v>1441</v>
      </c>
      <c r="I5242" s="16">
        <v>2219.14</v>
      </c>
      <c r="J5242" s="16">
        <v>1914.11</v>
      </c>
      <c r="K5242" s="16">
        <v>305.03000000000003</v>
      </c>
      <c r="L5242" s="13"/>
      <c r="M5242" s="13">
        <v>1.65</v>
      </c>
      <c r="N5242" s="17">
        <f t="shared" si="173"/>
        <v>0</v>
      </c>
      <c r="O5242" s="17">
        <f t="shared" si="173"/>
        <v>2377.65</v>
      </c>
      <c r="P5242" s="17">
        <f t="shared" si="172"/>
        <v>2377.65</v>
      </c>
      <c r="Q5242" t="str">
        <f>A5242&amp;"-"&amp;B5242&amp;"-"&amp;D5242</f>
        <v>NOVEMBER-CBA-L3</v>
      </c>
    </row>
    <row r="5243" spans="1:17" x14ac:dyDescent="0.25">
      <c r="A5243" t="s">
        <v>401</v>
      </c>
      <c r="B5243" s="13" t="s">
        <v>18</v>
      </c>
      <c r="C5243" s="13" t="s">
        <v>43</v>
      </c>
      <c r="D5243" s="14" t="s">
        <v>56</v>
      </c>
      <c r="E5243" s="13" t="s">
        <v>179</v>
      </c>
      <c r="F5243" s="13" t="s">
        <v>1808</v>
      </c>
      <c r="G5243" s="13">
        <v>1.5399999999999998</v>
      </c>
      <c r="H5243" s="15">
        <v>3783</v>
      </c>
      <c r="I5243" s="16">
        <v>5825.82</v>
      </c>
      <c r="J5243" s="16">
        <v>5333.6600000000008</v>
      </c>
      <c r="K5243" s="16">
        <v>492.16000000000014</v>
      </c>
      <c r="L5243" s="13"/>
      <c r="M5243" s="13">
        <v>1.65</v>
      </c>
      <c r="N5243" s="17">
        <f t="shared" si="173"/>
        <v>0</v>
      </c>
      <c r="O5243" s="17">
        <f t="shared" si="173"/>
        <v>6241.95</v>
      </c>
      <c r="P5243" s="17">
        <f t="shared" si="172"/>
        <v>6241.95</v>
      </c>
      <c r="Q5243" t="str">
        <f>A5243&amp;"-"&amp;B5243&amp;"-"&amp;D5243</f>
        <v>NOVEMBER-CBA-L3</v>
      </c>
    </row>
    <row r="5244" spans="1:17" x14ac:dyDescent="0.25">
      <c r="A5244" t="s">
        <v>401</v>
      </c>
      <c r="B5244" s="13" t="s">
        <v>18</v>
      </c>
      <c r="C5244" s="13" t="s">
        <v>955</v>
      </c>
      <c r="D5244" s="14" t="s">
        <v>44</v>
      </c>
      <c r="E5244" s="13" t="s">
        <v>71</v>
      </c>
      <c r="F5244" s="13" t="s">
        <v>1809</v>
      </c>
      <c r="G5244" s="13">
        <v>5</v>
      </c>
      <c r="H5244" s="15">
        <v>856</v>
      </c>
      <c r="I5244" s="16">
        <v>4280</v>
      </c>
      <c r="J5244" s="16">
        <v>3054.86</v>
      </c>
      <c r="K5244" s="16">
        <v>1225.1399999999999</v>
      </c>
      <c r="L5244" s="13">
        <v>6.15</v>
      </c>
      <c r="M5244" s="13"/>
      <c r="N5244" s="17">
        <f t="shared" si="173"/>
        <v>5264.4000000000005</v>
      </c>
      <c r="O5244" s="17">
        <f t="shared" si="173"/>
        <v>0</v>
      </c>
      <c r="P5244" s="17">
        <f t="shared" si="172"/>
        <v>5264.4000000000005</v>
      </c>
      <c r="Q5244" t="str">
        <f>A5244&amp;"-"&amp;B5244&amp;"-"&amp;D5244</f>
        <v>NOVEMBER-CBA-L1</v>
      </c>
    </row>
    <row r="5245" spans="1:17" x14ac:dyDescent="0.25">
      <c r="A5245" t="s">
        <v>401</v>
      </c>
      <c r="B5245" s="13" t="s">
        <v>18</v>
      </c>
      <c r="C5245" s="13" t="s">
        <v>955</v>
      </c>
      <c r="D5245" s="14" t="s">
        <v>50</v>
      </c>
      <c r="E5245" s="13" t="s">
        <v>71</v>
      </c>
      <c r="F5245" s="13" t="s">
        <v>1809</v>
      </c>
      <c r="G5245" s="13">
        <v>5</v>
      </c>
      <c r="H5245" s="15">
        <v>2219</v>
      </c>
      <c r="I5245" s="16">
        <v>11095</v>
      </c>
      <c r="J5245" s="16">
        <v>9147.2200000000012</v>
      </c>
      <c r="K5245" s="16">
        <v>1947.7799999999997</v>
      </c>
      <c r="L5245" s="13">
        <v>6.15</v>
      </c>
      <c r="M5245" s="13"/>
      <c r="N5245" s="17">
        <f t="shared" si="173"/>
        <v>13646.85</v>
      </c>
      <c r="O5245" s="17">
        <f t="shared" si="173"/>
        <v>0</v>
      </c>
      <c r="P5245" s="17">
        <f t="shared" si="172"/>
        <v>13646.85</v>
      </c>
      <c r="Q5245" t="str">
        <f>A5245&amp;"-"&amp;B5245&amp;"-"&amp;D5245</f>
        <v>NOVEMBER-CBA-L2</v>
      </c>
    </row>
    <row r="5246" spans="1:17" x14ac:dyDescent="0.25">
      <c r="A5246" t="s">
        <v>401</v>
      </c>
      <c r="B5246" s="13" t="s">
        <v>18</v>
      </c>
      <c r="C5246" s="13" t="s">
        <v>955</v>
      </c>
      <c r="D5246" s="14" t="s">
        <v>50</v>
      </c>
      <c r="E5246" s="13" t="s">
        <v>58</v>
      </c>
      <c r="F5246" s="13" t="s">
        <v>1629</v>
      </c>
      <c r="G5246" s="13">
        <v>2.66</v>
      </c>
      <c r="H5246" s="15">
        <v>10</v>
      </c>
      <c r="I5246" s="16">
        <v>26.6</v>
      </c>
      <c r="J5246" s="16">
        <v>101.25</v>
      </c>
      <c r="K5246" s="16">
        <v>-74.650000000000006</v>
      </c>
      <c r="L5246" s="13"/>
      <c r="M5246" s="13">
        <v>3.2</v>
      </c>
      <c r="N5246" s="17">
        <f t="shared" si="173"/>
        <v>0</v>
      </c>
      <c r="O5246" s="17">
        <f t="shared" si="173"/>
        <v>32</v>
      </c>
      <c r="P5246" s="17">
        <f t="shared" si="172"/>
        <v>32</v>
      </c>
      <c r="Q5246" t="str">
        <f>A5246&amp;"-"&amp;B5246&amp;"-"&amp;D5246</f>
        <v>NOVEMBER-CBA-L2</v>
      </c>
    </row>
    <row r="5247" spans="1:17" x14ac:dyDescent="0.25">
      <c r="A5247" t="s">
        <v>401</v>
      </c>
      <c r="B5247" s="13" t="s">
        <v>18</v>
      </c>
      <c r="C5247" s="13" t="s">
        <v>955</v>
      </c>
      <c r="D5247" s="14" t="s">
        <v>50</v>
      </c>
      <c r="E5247" s="13" t="s">
        <v>58</v>
      </c>
      <c r="F5247" s="13" t="s">
        <v>1630</v>
      </c>
      <c r="G5247" s="13">
        <v>2.66</v>
      </c>
      <c r="H5247" s="15">
        <v>970</v>
      </c>
      <c r="I5247" s="16">
        <v>2580.1999999999998</v>
      </c>
      <c r="J5247" s="16">
        <v>4266.97</v>
      </c>
      <c r="K5247" s="16">
        <v>-1686.77</v>
      </c>
      <c r="L5247" s="13"/>
      <c r="M5247" s="13">
        <v>3.2</v>
      </c>
      <c r="N5247" s="17">
        <f t="shared" si="173"/>
        <v>0</v>
      </c>
      <c r="O5247" s="17">
        <f t="shared" si="173"/>
        <v>3104</v>
      </c>
      <c r="P5247" s="17">
        <f t="shared" si="172"/>
        <v>3104</v>
      </c>
      <c r="Q5247" t="str">
        <f>A5247&amp;"-"&amp;B5247&amp;"-"&amp;D5247</f>
        <v>NOVEMBER-CBA-L2</v>
      </c>
    </row>
    <row r="5248" spans="1:17" x14ac:dyDescent="0.25">
      <c r="A5248" t="s">
        <v>401</v>
      </c>
      <c r="B5248" s="13" t="s">
        <v>19</v>
      </c>
      <c r="C5248" s="13" t="s">
        <v>70</v>
      </c>
      <c r="D5248" s="14" t="s">
        <v>44</v>
      </c>
      <c r="E5248" s="13" t="s">
        <v>71</v>
      </c>
      <c r="F5248" s="13" t="s">
        <v>1810</v>
      </c>
      <c r="G5248" s="13">
        <v>5</v>
      </c>
      <c r="H5248" s="15">
        <v>420</v>
      </c>
      <c r="I5248" s="16">
        <v>2100</v>
      </c>
      <c r="J5248" s="16">
        <v>1936.2136984914448</v>
      </c>
      <c r="K5248" s="16">
        <v>163.7863015085552</v>
      </c>
      <c r="L5248" s="13">
        <v>11.98</v>
      </c>
      <c r="M5248" s="13"/>
      <c r="N5248" s="17">
        <f t="shared" si="173"/>
        <v>5031.6000000000004</v>
      </c>
      <c r="O5248" s="17">
        <f t="shared" si="173"/>
        <v>0</v>
      </c>
      <c r="P5248" s="17">
        <f t="shared" si="172"/>
        <v>5031.6000000000004</v>
      </c>
      <c r="Q5248" t="str">
        <f>A5248&amp;"-"&amp;B5248&amp;"-"&amp;D5248</f>
        <v>NOVEMBER-CHW-L1</v>
      </c>
    </row>
    <row r="5249" spans="1:17" x14ac:dyDescent="0.25">
      <c r="A5249" t="s">
        <v>401</v>
      </c>
      <c r="B5249" s="13" t="s">
        <v>19</v>
      </c>
      <c r="C5249" s="13" t="s">
        <v>70</v>
      </c>
      <c r="D5249" s="14" t="s">
        <v>44</v>
      </c>
      <c r="E5249" s="13" t="s">
        <v>71</v>
      </c>
      <c r="F5249" s="13" t="s">
        <v>1811</v>
      </c>
      <c r="G5249" s="13">
        <v>5</v>
      </c>
      <c r="H5249" s="15">
        <v>1035</v>
      </c>
      <c r="I5249" s="16">
        <v>5175</v>
      </c>
      <c r="J5249" s="16">
        <v>3118.9482604798091</v>
      </c>
      <c r="K5249" s="16">
        <v>2056.0517395201914</v>
      </c>
      <c r="L5249" s="13">
        <v>10.78</v>
      </c>
      <c r="M5249" s="13"/>
      <c r="N5249" s="17">
        <f t="shared" si="173"/>
        <v>11157.3</v>
      </c>
      <c r="O5249" s="17">
        <f t="shared" si="173"/>
        <v>0</v>
      </c>
      <c r="P5249" s="17">
        <f t="shared" si="172"/>
        <v>11157.3</v>
      </c>
      <c r="Q5249" t="str">
        <f>A5249&amp;"-"&amp;B5249&amp;"-"&amp;D5249</f>
        <v>NOVEMBER-CHW-L1</v>
      </c>
    </row>
    <row r="5250" spans="1:17" x14ac:dyDescent="0.25">
      <c r="A5250" t="s">
        <v>401</v>
      </c>
      <c r="B5250" s="13" t="s">
        <v>19</v>
      </c>
      <c r="C5250" s="13" t="s">
        <v>70</v>
      </c>
      <c r="D5250" s="14" t="s">
        <v>44</v>
      </c>
      <c r="E5250" s="13" t="s">
        <v>71</v>
      </c>
      <c r="F5250" s="13" t="s">
        <v>1812</v>
      </c>
      <c r="G5250" s="13">
        <v>4.8</v>
      </c>
      <c r="H5250" s="15">
        <v>407</v>
      </c>
      <c r="I5250" s="16">
        <v>1953.6</v>
      </c>
      <c r="J5250" s="16">
        <v>2154.9749999999999</v>
      </c>
      <c r="K5250" s="16">
        <v>-201.37500000000011</v>
      </c>
      <c r="L5250" s="13">
        <v>13.56</v>
      </c>
      <c r="M5250" s="13"/>
      <c r="N5250" s="17">
        <f t="shared" si="173"/>
        <v>5518.92</v>
      </c>
      <c r="O5250" s="17">
        <f t="shared" si="173"/>
        <v>0</v>
      </c>
      <c r="P5250" s="17">
        <f t="shared" ref="P5250:P5313" si="174">N5250+O5250</f>
        <v>5518.92</v>
      </c>
      <c r="Q5250" t="str">
        <f>A5250&amp;"-"&amp;B5250&amp;"-"&amp;D5250</f>
        <v>NOVEMBER-CHW-L1</v>
      </c>
    </row>
    <row r="5251" spans="1:17" x14ac:dyDescent="0.25">
      <c r="A5251" t="s">
        <v>401</v>
      </c>
      <c r="B5251" s="13" t="s">
        <v>19</v>
      </c>
      <c r="C5251" s="13" t="s">
        <v>70</v>
      </c>
      <c r="D5251" s="14" t="s">
        <v>44</v>
      </c>
      <c r="E5251" s="13" t="s">
        <v>71</v>
      </c>
      <c r="F5251" s="13" t="s">
        <v>1813</v>
      </c>
      <c r="G5251" s="13">
        <v>5</v>
      </c>
      <c r="H5251" s="15">
        <v>315</v>
      </c>
      <c r="I5251" s="16">
        <v>1575</v>
      </c>
      <c r="J5251" s="16">
        <v>1107.1176470588234</v>
      </c>
      <c r="K5251" s="16">
        <v>467.88235294117646</v>
      </c>
      <c r="L5251" s="13">
        <v>12.28</v>
      </c>
      <c r="M5251" s="13"/>
      <c r="N5251" s="17">
        <f t="shared" si="173"/>
        <v>3868.2</v>
      </c>
      <c r="O5251" s="17">
        <f t="shared" si="173"/>
        <v>0</v>
      </c>
      <c r="P5251" s="17">
        <f t="shared" si="174"/>
        <v>3868.2</v>
      </c>
      <c r="Q5251" t="str">
        <f>A5251&amp;"-"&amp;B5251&amp;"-"&amp;D5251</f>
        <v>NOVEMBER-CHW-L1</v>
      </c>
    </row>
    <row r="5252" spans="1:17" x14ac:dyDescent="0.25">
      <c r="A5252" t="s">
        <v>401</v>
      </c>
      <c r="B5252" s="13" t="s">
        <v>19</v>
      </c>
      <c r="C5252" s="13" t="s">
        <v>70</v>
      </c>
      <c r="D5252" s="14" t="s">
        <v>44</v>
      </c>
      <c r="E5252" s="13" t="s">
        <v>73</v>
      </c>
      <c r="F5252" s="13" t="s">
        <v>1814</v>
      </c>
      <c r="G5252" s="13">
        <v>4.5</v>
      </c>
      <c r="H5252" s="15">
        <v>185</v>
      </c>
      <c r="I5252" s="16">
        <v>832.5</v>
      </c>
      <c r="J5252" s="16">
        <v>941.05000000000007</v>
      </c>
      <c r="K5252" s="16">
        <v>-108.55000000000007</v>
      </c>
      <c r="L5252" s="13">
        <v>10.65</v>
      </c>
      <c r="M5252" s="13"/>
      <c r="N5252" s="17">
        <f t="shared" si="173"/>
        <v>1970.25</v>
      </c>
      <c r="O5252" s="17">
        <f t="shared" si="173"/>
        <v>0</v>
      </c>
      <c r="P5252" s="17">
        <f t="shared" si="174"/>
        <v>1970.25</v>
      </c>
      <c r="Q5252" t="str">
        <f>A5252&amp;"-"&amp;B5252&amp;"-"&amp;D5252</f>
        <v>NOVEMBER-CHW-L1</v>
      </c>
    </row>
    <row r="5253" spans="1:17" x14ac:dyDescent="0.25">
      <c r="A5253" t="s">
        <v>401</v>
      </c>
      <c r="B5253" s="13" t="s">
        <v>19</v>
      </c>
      <c r="C5253" s="13" t="s">
        <v>70</v>
      </c>
      <c r="D5253" s="14" t="s">
        <v>44</v>
      </c>
      <c r="E5253" s="13" t="s">
        <v>73</v>
      </c>
      <c r="F5253" s="13" t="s">
        <v>1632</v>
      </c>
      <c r="G5253" s="13">
        <v>4.5</v>
      </c>
      <c r="H5253" s="15">
        <v>5</v>
      </c>
      <c r="I5253" s="16">
        <v>22.5</v>
      </c>
      <c r="J5253" s="16">
        <v>17.352941176470591</v>
      </c>
      <c r="K5253" s="16">
        <v>5.1470588235294095</v>
      </c>
      <c r="L5253" s="13">
        <v>10.95</v>
      </c>
      <c r="M5253" s="13"/>
      <c r="N5253" s="17">
        <f t="shared" si="173"/>
        <v>54.75</v>
      </c>
      <c r="O5253" s="17">
        <f t="shared" si="173"/>
        <v>0</v>
      </c>
      <c r="P5253" s="17">
        <f t="shared" si="174"/>
        <v>54.75</v>
      </c>
      <c r="Q5253" t="str">
        <f>A5253&amp;"-"&amp;B5253&amp;"-"&amp;D5253</f>
        <v>NOVEMBER-CHW-L1</v>
      </c>
    </row>
    <row r="5254" spans="1:17" x14ac:dyDescent="0.25">
      <c r="A5254" t="s">
        <v>401</v>
      </c>
      <c r="B5254" s="13" t="s">
        <v>19</v>
      </c>
      <c r="C5254" s="13" t="s">
        <v>70</v>
      </c>
      <c r="D5254" s="14" t="s">
        <v>44</v>
      </c>
      <c r="E5254" s="13" t="s">
        <v>73</v>
      </c>
      <c r="F5254" s="13" t="s">
        <v>1633</v>
      </c>
      <c r="G5254" s="13">
        <v>4.5</v>
      </c>
      <c r="H5254" s="15">
        <v>139</v>
      </c>
      <c r="I5254" s="16">
        <v>625.5</v>
      </c>
      <c r="J5254" s="16">
        <v>307.38048387096774</v>
      </c>
      <c r="K5254" s="16">
        <v>318.11951612903226</v>
      </c>
      <c r="L5254" s="13">
        <v>11.67</v>
      </c>
      <c r="M5254" s="13"/>
      <c r="N5254" s="17">
        <f t="shared" si="173"/>
        <v>1622.1299999999999</v>
      </c>
      <c r="O5254" s="17">
        <f t="shared" si="173"/>
        <v>0</v>
      </c>
      <c r="P5254" s="17">
        <f t="shared" si="174"/>
        <v>1622.1299999999999</v>
      </c>
      <c r="Q5254" t="str">
        <f>A5254&amp;"-"&amp;B5254&amp;"-"&amp;D5254</f>
        <v>NOVEMBER-CHW-L1</v>
      </c>
    </row>
    <row r="5255" spans="1:17" x14ac:dyDescent="0.25">
      <c r="A5255" t="s">
        <v>401</v>
      </c>
      <c r="B5255" s="13" t="s">
        <v>19</v>
      </c>
      <c r="C5255" s="13" t="s">
        <v>70</v>
      </c>
      <c r="D5255" s="14" t="s">
        <v>44</v>
      </c>
      <c r="E5255" s="13" t="s">
        <v>77</v>
      </c>
      <c r="F5255" s="13" t="s">
        <v>1241</v>
      </c>
      <c r="G5255" s="13">
        <v>3.7</v>
      </c>
      <c r="H5255" s="15">
        <v>6</v>
      </c>
      <c r="I5255" s="16">
        <v>22.2</v>
      </c>
      <c r="J5255" s="16">
        <v>15.028301886792454</v>
      </c>
      <c r="K5255" s="16">
        <v>7.1716981132075457</v>
      </c>
      <c r="L5255" s="13">
        <v>9.4499999999999993</v>
      </c>
      <c r="M5255" s="13"/>
      <c r="N5255" s="17">
        <f t="shared" si="173"/>
        <v>56.699999999999996</v>
      </c>
      <c r="O5255" s="17">
        <f t="shared" si="173"/>
        <v>0</v>
      </c>
      <c r="P5255" s="17">
        <f t="shared" si="174"/>
        <v>56.699999999999996</v>
      </c>
      <c r="Q5255" t="str">
        <f>A5255&amp;"-"&amp;B5255&amp;"-"&amp;D5255</f>
        <v>NOVEMBER-CHW-L1</v>
      </c>
    </row>
    <row r="5256" spans="1:17" x14ac:dyDescent="0.25">
      <c r="A5256" t="s">
        <v>401</v>
      </c>
      <c r="B5256" s="13" t="s">
        <v>19</v>
      </c>
      <c r="C5256" s="13" t="s">
        <v>70</v>
      </c>
      <c r="D5256" s="14" t="s">
        <v>44</v>
      </c>
      <c r="E5256" s="13" t="s">
        <v>77</v>
      </c>
      <c r="F5256" s="13" t="s">
        <v>1419</v>
      </c>
      <c r="G5256" s="13">
        <v>2.75</v>
      </c>
      <c r="H5256" s="15">
        <v>3</v>
      </c>
      <c r="I5256" s="16">
        <v>8.25</v>
      </c>
      <c r="J5256" s="16">
        <v>19.192771084337348</v>
      </c>
      <c r="K5256" s="16">
        <v>-10.942771084337348</v>
      </c>
      <c r="L5256" s="13">
        <v>5.65</v>
      </c>
      <c r="M5256" s="13"/>
      <c r="N5256" s="17">
        <f t="shared" si="173"/>
        <v>16.950000000000003</v>
      </c>
      <c r="O5256" s="17">
        <f t="shared" si="173"/>
        <v>0</v>
      </c>
      <c r="P5256" s="17">
        <f t="shared" si="174"/>
        <v>16.950000000000003</v>
      </c>
      <c r="Q5256" t="str">
        <f>A5256&amp;"-"&amp;B5256&amp;"-"&amp;D5256</f>
        <v>NOVEMBER-CHW-L1</v>
      </c>
    </row>
    <row r="5257" spans="1:17" x14ac:dyDescent="0.25">
      <c r="A5257" t="s">
        <v>401</v>
      </c>
      <c r="B5257" s="13" t="s">
        <v>19</v>
      </c>
      <c r="C5257" s="13" t="s">
        <v>70</v>
      </c>
      <c r="D5257" s="14" t="s">
        <v>44</v>
      </c>
      <c r="E5257" s="13" t="s">
        <v>77</v>
      </c>
      <c r="F5257" s="13" t="s">
        <v>1420</v>
      </c>
      <c r="G5257" s="13">
        <v>2.75</v>
      </c>
      <c r="H5257" s="15">
        <v>8</v>
      </c>
      <c r="I5257" s="16">
        <v>22</v>
      </c>
      <c r="J5257" s="16">
        <v>51.180722891566269</v>
      </c>
      <c r="K5257" s="16">
        <v>-29.180722891566269</v>
      </c>
      <c r="L5257" s="13">
        <v>6.02</v>
      </c>
      <c r="M5257" s="13"/>
      <c r="N5257" s="17">
        <f t="shared" si="173"/>
        <v>48.16</v>
      </c>
      <c r="O5257" s="17">
        <f t="shared" si="173"/>
        <v>0</v>
      </c>
      <c r="P5257" s="17">
        <f t="shared" si="174"/>
        <v>48.16</v>
      </c>
      <c r="Q5257" t="str">
        <f>A5257&amp;"-"&amp;B5257&amp;"-"&amp;D5257</f>
        <v>NOVEMBER-CHW-L1</v>
      </c>
    </row>
    <row r="5258" spans="1:17" x14ac:dyDescent="0.25">
      <c r="A5258" t="s">
        <v>401</v>
      </c>
      <c r="B5258" s="13" t="s">
        <v>19</v>
      </c>
      <c r="C5258" s="13" t="s">
        <v>70</v>
      </c>
      <c r="D5258" s="14" t="s">
        <v>44</v>
      </c>
      <c r="E5258" s="13" t="s">
        <v>77</v>
      </c>
      <c r="F5258" s="13" t="s">
        <v>1815</v>
      </c>
      <c r="G5258" s="13">
        <v>3.7</v>
      </c>
      <c r="H5258" s="15">
        <v>428</v>
      </c>
      <c r="I5258" s="16">
        <v>1583.6000000000001</v>
      </c>
      <c r="J5258" s="16">
        <v>985.8276253727297</v>
      </c>
      <c r="K5258" s="16">
        <v>597.77237462727044</v>
      </c>
      <c r="L5258" s="13">
        <v>7.85</v>
      </c>
      <c r="M5258" s="13"/>
      <c r="N5258" s="17">
        <f t="shared" si="173"/>
        <v>3359.7999999999997</v>
      </c>
      <c r="O5258" s="17">
        <f t="shared" si="173"/>
        <v>0</v>
      </c>
      <c r="P5258" s="17">
        <f t="shared" si="174"/>
        <v>3359.7999999999997</v>
      </c>
      <c r="Q5258" t="str">
        <f>A5258&amp;"-"&amp;B5258&amp;"-"&amp;D5258</f>
        <v>NOVEMBER-CHW-L1</v>
      </c>
    </row>
    <row r="5259" spans="1:17" x14ac:dyDescent="0.25">
      <c r="A5259" t="s">
        <v>401</v>
      </c>
      <c r="B5259" s="13" t="s">
        <v>19</v>
      </c>
      <c r="C5259" s="13" t="s">
        <v>70</v>
      </c>
      <c r="D5259" s="14" t="s">
        <v>44</v>
      </c>
      <c r="E5259" s="13" t="s">
        <v>77</v>
      </c>
      <c r="F5259" s="13" t="s">
        <v>821</v>
      </c>
      <c r="G5259" s="13">
        <v>3.7</v>
      </c>
      <c r="H5259" s="15">
        <v>21</v>
      </c>
      <c r="I5259" s="16">
        <v>77.7</v>
      </c>
      <c r="J5259" s="16">
        <v>55.754999999999995</v>
      </c>
      <c r="K5259" s="16">
        <v>21.945000000000007</v>
      </c>
      <c r="L5259" s="13">
        <v>8.25</v>
      </c>
      <c r="M5259" s="13"/>
      <c r="N5259" s="17">
        <f t="shared" si="173"/>
        <v>173.25</v>
      </c>
      <c r="O5259" s="17">
        <f t="shared" si="173"/>
        <v>0</v>
      </c>
      <c r="P5259" s="17">
        <f t="shared" si="174"/>
        <v>173.25</v>
      </c>
      <c r="Q5259" t="str">
        <f>A5259&amp;"-"&amp;B5259&amp;"-"&amp;D5259</f>
        <v>NOVEMBER-CHW-L1</v>
      </c>
    </row>
    <row r="5260" spans="1:17" x14ac:dyDescent="0.25">
      <c r="A5260" t="s">
        <v>401</v>
      </c>
      <c r="B5260" s="13" t="s">
        <v>19</v>
      </c>
      <c r="C5260" s="13" t="s">
        <v>70</v>
      </c>
      <c r="D5260" s="14" t="s">
        <v>44</v>
      </c>
      <c r="E5260" s="13" t="s">
        <v>77</v>
      </c>
      <c r="F5260" s="13" t="s">
        <v>1006</v>
      </c>
      <c r="G5260" s="13">
        <v>3.7</v>
      </c>
      <c r="H5260" s="15">
        <v>16</v>
      </c>
      <c r="I5260" s="16">
        <v>59.2</v>
      </c>
      <c r="J5260" s="16">
        <v>42.480000000000004</v>
      </c>
      <c r="K5260" s="16">
        <v>16.72</v>
      </c>
      <c r="L5260" s="13">
        <v>7.63</v>
      </c>
      <c r="M5260" s="13"/>
      <c r="N5260" s="17">
        <f t="shared" si="173"/>
        <v>122.08</v>
      </c>
      <c r="O5260" s="17">
        <f t="shared" si="173"/>
        <v>0</v>
      </c>
      <c r="P5260" s="17">
        <f t="shared" si="174"/>
        <v>122.08</v>
      </c>
      <c r="Q5260" t="str">
        <f>A5260&amp;"-"&amp;B5260&amp;"-"&amp;D5260</f>
        <v>NOVEMBER-CHW-L1</v>
      </c>
    </row>
    <row r="5261" spans="1:17" x14ac:dyDescent="0.25">
      <c r="A5261" t="s">
        <v>401</v>
      </c>
      <c r="B5261" s="13" t="s">
        <v>19</v>
      </c>
      <c r="C5261" s="13" t="s">
        <v>70</v>
      </c>
      <c r="D5261" s="14" t="s">
        <v>44</v>
      </c>
      <c r="E5261" s="13" t="s">
        <v>77</v>
      </c>
      <c r="F5261" s="13" t="s">
        <v>1007</v>
      </c>
      <c r="G5261" s="13">
        <v>3.7</v>
      </c>
      <c r="H5261" s="15">
        <v>65</v>
      </c>
      <c r="I5261" s="16">
        <v>240.5</v>
      </c>
      <c r="J5261" s="16">
        <v>174.97714285714287</v>
      </c>
      <c r="K5261" s="16">
        <v>65.522857142857134</v>
      </c>
      <c r="L5261" s="13">
        <v>7.33</v>
      </c>
      <c r="M5261" s="13"/>
      <c r="N5261" s="17">
        <f t="shared" si="173"/>
        <v>476.45</v>
      </c>
      <c r="O5261" s="17">
        <f t="shared" si="173"/>
        <v>0</v>
      </c>
      <c r="P5261" s="17">
        <f t="shared" si="174"/>
        <v>476.45</v>
      </c>
      <c r="Q5261" t="str">
        <f>A5261&amp;"-"&amp;B5261&amp;"-"&amp;D5261</f>
        <v>NOVEMBER-CHW-L1</v>
      </c>
    </row>
    <row r="5262" spans="1:17" x14ac:dyDescent="0.25">
      <c r="A5262" t="s">
        <v>401</v>
      </c>
      <c r="B5262" s="13" t="s">
        <v>19</v>
      </c>
      <c r="C5262" s="13" t="s">
        <v>70</v>
      </c>
      <c r="D5262" s="14" t="s">
        <v>44</v>
      </c>
      <c r="E5262" s="13" t="s">
        <v>77</v>
      </c>
      <c r="F5262" s="13" t="s">
        <v>823</v>
      </c>
      <c r="G5262" s="13">
        <v>3.7</v>
      </c>
      <c r="H5262" s="15">
        <v>7</v>
      </c>
      <c r="I5262" s="16">
        <v>25.9</v>
      </c>
      <c r="J5262" s="16">
        <v>18.585000000000001</v>
      </c>
      <c r="K5262" s="16">
        <v>7.3149999999999977</v>
      </c>
      <c r="L5262" s="13">
        <v>7.48</v>
      </c>
      <c r="M5262" s="13"/>
      <c r="N5262" s="17">
        <f t="shared" si="173"/>
        <v>52.36</v>
      </c>
      <c r="O5262" s="17">
        <f t="shared" si="173"/>
        <v>0</v>
      </c>
      <c r="P5262" s="17">
        <f t="shared" si="174"/>
        <v>52.36</v>
      </c>
      <c r="Q5262" t="str">
        <f>A5262&amp;"-"&amp;B5262&amp;"-"&amp;D5262</f>
        <v>NOVEMBER-CHW-L1</v>
      </c>
    </row>
    <row r="5263" spans="1:17" x14ac:dyDescent="0.25">
      <c r="A5263" t="s">
        <v>401</v>
      </c>
      <c r="B5263" s="13" t="s">
        <v>19</v>
      </c>
      <c r="C5263" s="13" t="s">
        <v>70</v>
      </c>
      <c r="D5263" s="14" t="s">
        <v>44</v>
      </c>
      <c r="E5263" s="13" t="s">
        <v>77</v>
      </c>
      <c r="F5263" s="13" t="s">
        <v>824</v>
      </c>
      <c r="G5263" s="13">
        <v>3.7</v>
      </c>
      <c r="H5263" s="15">
        <v>26</v>
      </c>
      <c r="I5263" s="16">
        <v>96.2</v>
      </c>
      <c r="J5263" s="16">
        <v>69.03</v>
      </c>
      <c r="K5263" s="16">
        <v>27.17</v>
      </c>
      <c r="L5263" s="13">
        <v>7.16</v>
      </c>
      <c r="M5263" s="13"/>
      <c r="N5263" s="17">
        <f t="shared" si="173"/>
        <v>186.16</v>
      </c>
      <c r="O5263" s="17">
        <f t="shared" si="173"/>
        <v>0</v>
      </c>
      <c r="P5263" s="17">
        <f t="shared" si="174"/>
        <v>186.16</v>
      </c>
      <c r="Q5263" t="str">
        <f>A5263&amp;"-"&amp;B5263&amp;"-"&amp;D5263</f>
        <v>NOVEMBER-CHW-L1</v>
      </c>
    </row>
    <row r="5264" spans="1:17" x14ac:dyDescent="0.25">
      <c r="A5264" t="s">
        <v>401</v>
      </c>
      <c r="B5264" s="13" t="s">
        <v>19</v>
      </c>
      <c r="C5264" s="13" t="s">
        <v>70</v>
      </c>
      <c r="D5264" s="14" t="s">
        <v>44</v>
      </c>
      <c r="E5264" s="13" t="s">
        <v>77</v>
      </c>
      <c r="F5264" s="13" t="s">
        <v>825</v>
      </c>
      <c r="G5264" s="13">
        <v>3.7</v>
      </c>
      <c r="H5264" s="15">
        <v>34</v>
      </c>
      <c r="I5264" s="16">
        <v>125.8</v>
      </c>
      <c r="J5264" s="16">
        <v>95.691554621848738</v>
      </c>
      <c r="K5264" s="16">
        <v>30.10844537815127</v>
      </c>
      <c r="L5264" s="13">
        <v>8.16</v>
      </c>
      <c r="M5264" s="13"/>
      <c r="N5264" s="17">
        <f t="shared" si="173"/>
        <v>277.44</v>
      </c>
      <c r="O5264" s="17">
        <f t="shared" si="173"/>
        <v>0</v>
      </c>
      <c r="P5264" s="17">
        <f t="shared" si="174"/>
        <v>277.44</v>
      </c>
      <c r="Q5264" t="str">
        <f>A5264&amp;"-"&amp;B5264&amp;"-"&amp;D5264</f>
        <v>NOVEMBER-CHW-L1</v>
      </c>
    </row>
    <row r="5265" spans="1:17" x14ac:dyDescent="0.25">
      <c r="A5265" t="s">
        <v>401</v>
      </c>
      <c r="B5265" s="13" t="s">
        <v>19</v>
      </c>
      <c r="C5265" s="13" t="s">
        <v>70</v>
      </c>
      <c r="D5265" s="14" t="s">
        <v>44</v>
      </c>
      <c r="E5265" s="13" t="s">
        <v>77</v>
      </c>
      <c r="F5265" s="13" t="s">
        <v>1008</v>
      </c>
      <c r="G5265" s="13">
        <v>3.7</v>
      </c>
      <c r="H5265" s="15">
        <v>8</v>
      </c>
      <c r="I5265" s="16">
        <v>29.6</v>
      </c>
      <c r="J5265" s="16">
        <v>32.083109243697479</v>
      </c>
      <c r="K5265" s="16">
        <v>-2.4831092436974807</v>
      </c>
      <c r="L5265" s="13">
        <v>8.1300000000000008</v>
      </c>
      <c r="M5265" s="13"/>
      <c r="N5265" s="17">
        <f t="shared" si="173"/>
        <v>65.040000000000006</v>
      </c>
      <c r="O5265" s="17">
        <f t="shared" si="173"/>
        <v>0</v>
      </c>
      <c r="P5265" s="17">
        <f t="shared" si="174"/>
        <v>65.040000000000006</v>
      </c>
      <c r="Q5265" t="str">
        <f>A5265&amp;"-"&amp;B5265&amp;"-"&amp;D5265</f>
        <v>NOVEMBER-CHW-L1</v>
      </c>
    </row>
    <row r="5266" spans="1:17" x14ac:dyDescent="0.25">
      <c r="A5266" t="s">
        <v>401</v>
      </c>
      <c r="B5266" s="13" t="s">
        <v>19</v>
      </c>
      <c r="C5266" s="13" t="s">
        <v>70</v>
      </c>
      <c r="D5266" s="14" t="s">
        <v>44</v>
      </c>
      <c r="E5266" s="13" t="s">
        <v>77</v>
      </c>
      <c r="F5266" s="13" t="s">
        <v>1009</v>
      </c>
      <c r="G5266" s="13">
        <v>3.7</v>
      </c>
      <c r="H5266" s="15">
        <v>4</v>
      </c>
      <c r="I5266" s="16">
        <v>14.8</v>
      </c>
      <c r="J5266" s="16">
        <v>10.620000000000001</v>
      </c>
      <c r="K5266" s="16">
        <v>4.18</v>
      </c>
      <c r="L5266" s="13">
        <v>8.2200000000000006</v>
      </c>
      <c r="M5266" s="13"/>
      <c r="N5266" s="17">
        <f t="shared" si="173"/>
        <v>32.880000000000003</v>
      </c>
      <c r="O5266" s="17">
        <f t="shared" si="173"/>
        <v>0</v>
      </c>
      <c r="P5266" s="17">
        <f t="shared" si="174"/>
        <v>32.880000000000003</v>
      </c>
      <c r="Q5266" t="str">
        <f>A5266&amp;"-"&amp;B5266&amp;"-"&amp;D5266</f>
        <v>NOVEMBER-CHW-L1</v>
      </c>
    </row>
    <row r="5267" spans="1:17" x14ac:dyDescent="0.25">
      <c r="A5267" t="s">
        <v>401</v>
      </c>
      <c r="B5267" s="13" t="s">
        <v>19</v>
      </c>
      <c r="C5267" s="13" t="s">
        <v>70</v>
      </c>
      <c r="D5267" s="14" t="s">
        <v>44</v>
      </c>
      <c r="E5267" s="13" t="s">
        <v>77</v>
      </c>
      <c r="F5267" s="13" t="s">
        <v>710</v>
      </c>
      <c r="G5267" s="13">
        <v>3.7</v>
      </c>
      <c r="H5267" s="15">
        <v>2</v>
      </c>
      <c r="I5267" s="16">
        <v>7.4</v>
      </c>
      <c r="J5267" s="16">
        <v>5.3100000000000005</v>
      </c>
      <c r="K5267" s="16">
        <v>2.09</v>
      </c>
      <c r="L5267" s="13">
        <v>7.6</v>
      </c>
      <c r="M5267" s="13"/>
      <c r="N5267" s="17">
        <f t="shared" si="173"/>
        <v>15.2</v>
      </c>
      <c r="O5267" s="17">
        <f t="shared" si="173"/>
        <v>0</v>
      </c>
      <c r="P5267" s="17">
        <f t="shared" si="174"/>
        <v>15.2</v>
      </c>
      <c r="Q5267" t="str">
        <f>A5267&amp;"-"&amp;B5267&amp;"-"&amp;D5267</f>
        <v>NOVEMBER-CHW-L1</v>
      </c>
    </row>
    <row r="5268" spans="1:17" x14ac:dyDescent="0.25">
      <c r="A5268" t="s">
        <v>401</v>
      </c>
      <c r="B5268" s="13" t="s">
        <v>19</v>
      </c>
      <c r="C5268" s="13" t="s">
        <v>70</v>
      </c>
      <c r="D5268" s="14" t="s">
        <v>44</v>
      </c>
      <c r="E5268" s="13" t="s">
        <v>77</v>
      </c>
      <c r="F5268" s="13" t="s">
        <v>1638</v>
      </c>
      <c r="G5268" s="13">
        <v>3.7</v>
      </c>
      <c r="H5268" s="15">
        <v>14</v>
      </c>
      <c r="I5268" s="16">
        <v>51.8</v>
      </c>
      <c r="J5268" s="16">
        <v>35.451378809869375</v>
      </c>
      <c r="K5268" s="16">
        <v>16.348621190130622</v>
      </c>
      <c r="L5268" s="13">
        <v>8.6999999999999993</v>
      </c>
      <c r="M5268" s="13"/>
      <c r="N5268" s="17">
        <f t="shared" si="173"/>
        <v>121.79999999999998</v>
      </c>
      <c r="O5268" s="17">
        <f t="shared" si="173"/>
        <v>0</v>
      </c>
      <c r="P5268" s="17">
        <f t="shared" si="174"/>
        <v>121.79999999999998</v>
      </c>
      <c r="Q5268" t="str">
        <f>A5268&amp;"-"&amp;B5268&amp;"-"&amp;D5268</f>
        <v>NOVEMBER-CHW-L1</v>
      </c>
    </row>
    <row r="5269" spans="1:17" x14ac:dyDescent="0.25">
      <c r="A5269" t="s">
        <v>401</v>
      </c>
      <c r="B5269" s="13" t="s">
        <v>19</v>
      </c>
      <c r="C5269" s="13" t="s">
        <v>70</v>
      </c>
      <c r="D5269" s="14" t="s">
        <v>44</v>
      </c>
      <c r="E5269" s="13" t="s">
        <v>77</v>
      </c>
      <c r="F5269" s="13" t="s">
        <v>1425</v>
      </c>
      <c r="G5269" s="13">
        <v>3.7</v>
      </c>
      <c r="H5269" s="15">
        <v>28</v>
      </c>
      <c r="I5269" s="16">
        <v>103.6</v>
      </c>
      <c r="J5269" s="16">
        <v>97.17647058823529</v>
      </c>
      <c r="K5269" s="16">
        <v>6.4235294117647044</v>
      </c>
      <c r="L5269" s="13">
        <v>8.69</v>
      </c>
      <c r="M5269" s="13"/>
      <c r="N5269" s="17">
        <f t="shared" si="173"/>
        <v>243.32</v>
      </c>
      <c r="O5269" s="17">
        <f t="shared" si="173"/>
        <v>0</v>
      </c>
      <c r="P5269" s="17">
        <f t="shared" si="174"/>
        <v>243.32</v>
      </c>
      <c r="Q5269" t="str">
        <f>A5269&amp;"-"&amp;B5269&amp;"-"&amp;D5269</f>
        <v>NOVEMBER-CHW-L1</v>
      </c>
    </row>
    <row r="5270" spans="1:17" x14ac:dyDescent="0.25">
      <c r="A5270" t="s">
        <v>401</v>
      </c>
      <c r="B5270" s="13" t="s">
        <v>19</v>
      </c>
      <c r="C5270" s="13" t="s">
        <v>70</v>
      </c>
      <c r="D5270" s="14" t="s">
        <v>44</v>
      </c>
      <c r="E5270" s="13" t="s">
        <v>77</v>
      </c>
      <c r="F5270" s="13" t="s">
        <v>1122</v>
      </c>
      <c r="G5270" s="13">
        <v>2.75</v>
      </c>
      <c r="H5270" s="15">
        <v>57</v>
      </c>
      <c r="I5270" s="16">
        <v>156.75</v>
      </c>
      <c r="J5270" s="16">
        <v>271.09789156626505</v>
      </c>
      <c r="K5270" s="16">
        <v>-114.34789156626508</v>
      </c>
      <c r="L5270" s="13">
        <v>6.9</v>
      </c>
      <c r="M5270" s="13"/>
      <c r="N5270" s="17">
        <f t="shared" si="173"/>
        <v>393.3</v>
      </c>
      <c r="O5270" s="17">
        <f t="shared" si="173"/>
        <v>0</v>
      </c>
      <c r="P5270" s="17">
        <f t="shared" si="174"/>
        <v>393.3</v>
      </c>
      <c r="Q5270" t="str">
        <f>A5270&amp;"-"&amp;B5270&amp;"-"&amp;D5270</f>
        <v>NOVEMBER-CHW-L1</v>
      </c>
    </row>
    <row r="5271" spans="1:17" x14ac:dyDescent="0.25">
      <c r="A5271" t="s">
        <v>401</v>
      </c>
      <c r="B5271" s="13" t="s">
        <v>19</v>
      </c>
      <c r="C5271" s="13" t="s">
        <v>70</v>
      </c>
      <c r="D5271" s="14" t="s">
        <v>44</v>
      </c>
      <c r="E5271" s="13" t="s">
        <v>77</v>
      </c>
      <c r="F5271" s="13" t="s">
        <v>1123</v>
      </c>
      <c r="G5271" s="13">
        <v>2.75</v>
      </c>
      <c r="H5271" s="15">
        <v>45</v>
      </c>
      <c r="I5271" s="16">
        <v>123.75</v>
      </c>
      <c r="J5271" s="16">
        <v>119.47499999999999</v>
      </c>
      <c r="K5271" s="16">
        <v>4.2749999999999986</v>
      </c>
      <c r="L5271" s="13">
        <v>7.3</v>
      </c>
      <c r="M5271" s="13"/>
      <c r="N5271" s="17">
        <f t="shared" si="173"/>
        <v>328.5</v>
      </c>
      <c r="O5271" s="17">
        <f t="shared" si="173"/>
        <v>0</v>
      </c>
      <c r="P5271" s="17">
        <f t="shared" si="174"/>
        <v>328.5</v>
      </c>
      <c r="Q5271" t="str">
        <f>A5271&amp;"-"&amp;B5271&amp;"-"&amp;D5271</f>
        <v>NOVEMBER-CHW-L1</v>
      </c>
    </row>
    <row r="5272" spans="1:17" x14ac:dyDescent="0.25">
      <c r="A5272" t="s">
        <v>401</v>
      </c>
      <c r="B5272" s="13" t="s">
        <v>19</v>
      </c>
      <c r="C5272" s="13" t="s">
        <v>70</v>
      </c>
      <c r="D5272" s="14" t="s">
        <v>50</v>
      </c>
      <c r="E5272" s="13" t="s">
        <v>73</v>
      </c>
      <c r="F5272" s="13" t="s">
        <v>1426</v>
      </c>
      <c r="G5272" s="13">
        <v>4.5</v>
      </c>
      <c r="H5272" s="15">
        <v>8</v>
      </c>
      <c r="I5272" s="16">
        <v>36</v>
      </c>
      <c r="J5272" s="16">
        <v>28.702702702702705</v>
      </c>
      <c r="K5272" s="16">
        <v>7.2972972972972947</v>
      </c>
      <c r="L5272" s="13">
        <v>9.5299999999999994</v>
      </c>
      <c r="M5272" s="13"/>
      <c r="N5272" s="17">
        <f t="shared" si="173"/>
        <v>76.239999999999995</v>
      </c>
      <c r="O5272" s="17">
        <f t="shared" si="173"/>
        <v>0</v>
      </c>
      <c r="P5272" s="17">
        <f t="shared" si="174"/>
        <v>76.239999999999995</v>
      </c>
      <c r="Q5272" t="str">
        <f>A5272&amp;"-"&amp;B5272&amp;"-"&amp;D5272</f>
        <v>NOVEMBER-CHW-L2</v>
      </c>
    </row>
    <row r="5273" spans="1:17" x14ac:dyDescent="0.25">
      <c r="A5273" t="s">
        <v>401</v>
      </c>
      <c r="B5273" s="13" t="s">
        <v>19</v>
      </c>
      <c r="C5273" s="13" t="s">
        <v>70</v>
      </c>
      <c r="D5273" s="14" t="s">
        <v>50</v>
      </c>
      <c r="E5273" s="13" t="s">
        <v>73</v>
      </c>
      <c r="F5273" s="13" t="s">
        <v>1010</v>
      </c>
      <c r="G5273" s="13">
        <v>4.5</v>
      </c>
      <c r="H5273" s="15">
        <v>22</v>
      </c>
      <c r="I5273" s="16">
        <v>99</v>
      </c>
      <c r="J5273" s="16">
        <v>70.002702702702706</v>
      </c>
      <c r="K5273" s="16">
        <v>28.997297297297298</v>
      </c>
      <c r="L5273" s="13">
        <v>11.08</v>
      </c>
      <c r="M5273" s="13"/>
      <c r="N5273" s="17">
        <f t="shared" si="173"/>
        <v>243.76</v>
      </c>
      <c r="O5273" s="17">
        <f t="shared" si="173"/>
        <v>0</v>
      </c>
      <c r="P5273" s="17">
        <f t="shared" si="174"/>
        <v>243.76</v>
      </c>
      <c r="Q5273" t="str">
        <f>A5273&amp;"-"&amp;B5273&amp;"-"&amp;D5273</f>
        <v>NOVEMBER-CHW-L2</v>
      </c>
    </row>
    <row r="5274" spans="1:17" x14ac:dyDescent="0.25">
      <c r="A5274" t="s">
        <v>401</v>
      </c>
      <c r="B5274" s="13" t="s">
        <v>19</v>
      </c>
      <c r="C5274" s="13" t="s">
        <v>70</v>
      </c>
      <c r="D5274" s="14" t="s">
        <v>50</v>
      </c>
      <c r="E5274" s="13" t="s">
        <v>73</v>
      </c>
      <c r="F5274" s="13" t="s">
        <v>1431</v>
      </c>
      <c r="G5274" s="13">
        <v>4.5</v>
      </c>
      <c r="H5274" s="15">
        <v>3</v>
      </c>
      <c r="I5274" s="16">
        <v>13.5</v>
      </c>
      <c r="J5274" s="16">
        <v>10.763513513513514</v>
      </c>
      <c r="K5274" s="16">
        <v>2.736486486486486</v>
      </c>
      <c r="L5274" s="13">
        <v>9.58</v>
      </c>
      <c r="M5274" s="13"/>
      <c r="N5274" s="17">
        <f t="shared" si="173"/>
        <v>28.740000000000002</v>
      </c>
      <c r="O5274" s="17">
        <f t="shared" si="173"/>
        <v>0</v>
      </c>
      <c r="P5274" s="17">
        <f t="shared" si="174"/>
        <v>28.740000000000002</v>
      </c>
      <c r="Q5274" t="str">
        <f>A5274&amp;"-"&amp;B5274&amp;"-"&amp;D5274</f>
        <v>NOVEMBER-CHW-L2</v>
      </c>
    </row>
    <row r="5275" spans="1:17" x14ac:dyDescent="0.25">
      <c r="A5275" t="s">
        <v>401</v>
      </c>
      <c r="B5275" s="13" t="s">
        <v>19</v>
      </c>
      <c r="C5275" s="13" t="s">
        <v>70</v>
      </c>
      <c r="D5275" s="14" t="s">
        <v>50</v>
      </c>
      <c r="E5275" s="13" t="s">
        <v>73</v>
      </c>
      <c r="F5275" s="13" t="s">
        <v>1432</v>
      </c>
      <c r="G5275" s="13">
        <v>4.5</v>
      </c>
      <c r="H5275" s="15">
        <v>7</v>
      </c>
      <c r="I5275" s="16">
        <v>31.5</v>
      </c>
      <c r="J5275" s="16">
        <v>22.803680981595093</v>
      </c>
      <c r="K5275" s="16">
        <v>8.6963190184049068</v>
      </c>
      <c r="L5275" s="13">
        <v>9.83</v>
      </c>
      <c r="M5275" s="13"/>
      <c r="N5275" s="17">
        <f t="shared" si="173"/>
        <v>68.81</v>
      </c>
      <c r="O5275" s="17">
        <f t="shared" si="173"/>
        <v>0</v>
      </c>
      <c r="P5275" s="17">
        <f t="shared" si="174"/>
        <v>68.81</v>
      </c>
      <c r="Q5275" t="str">
        <f>A5275&amp;"-"&amp;B5275&amp;"-"&amp;D5275</f>
        <v>NOVEMBER-CHW-L2</v>
      </c>
    </row>
    <row r="5276" spans="1:17" x14ac:dyDescent="0.25">
      <c r="A5276" t="s">
        <v>401</v>
      </c>
      <c r="B5276" s="13" t="s">
        <v>19</v>
      </c>
      <c r="C5276" s="13" t="s">
        <v>70</v>
      </c>
      <c r="D5276" s="14" t="s">
        <v>50</v>
      </c>
      <c r="E5276" s="13" t="s">
        <v>73</v>
      </c>
      <c r="F5276" s="13" t="s">
        <v>1433</v>
      </c>
      <c r="G5276" s="13">
        <v>4.5</v>
      </c>
      <c r="H5276" s="15">
        <v>14</v>
      </c>
      <c r="I5276" s="16">
        <v>63</v>
      </c>
      <c r="J5276" s="16">
        <v>41.3</v>
      </c>
      <c r="K5276" s="16">
        <v>21.700000000000003</v>
      </c>
      <c r="L5276" s="13">
        <v>10.28</v>
      </c>
      <c r="M5276" s="13"/>
      <c r="N5276" s="17">
        <f t="shared" si="173"/>
        <v>143.91999999999999</v>
      </c>
      <c r="O5276" s="17">
        <f t="shared" si="173"/>
        <v>0</v>
      </c>
      <c r="P5276" s="17">
        <f t="shared" si="174"/>
        <v>143.91999999999999</v>
      </c>
      <c r="Q5276" t="str">
        <f>A5276&amp;"-"&amp;B5276&amp;"-"&amp;D5276</f>
        <v>NOVEMBER-CHW-L2</v>
      </c>
    </row>
    <row r="5277" spans="1:17" x14ac:dyDescent="0.25">
      <c r="A5277" t="s">
        <v>401</v>
      </c>
      <c r="B5277" s="13" t="s">
        <v>19</v>
      </c>
      <c r="C5277" s="13" t="s">
        <v>70</v>
      </c>
      <c r="D5277" s="14" t="s">
        <v>50</v>
      </c>
      <c r="E5277" s="13" t="s">
        <v>73</v>
      </c>
      <c r="F5277" s="13" t="s">
        <v>1641</v>
      </c>
      <c r="G5277" s="13">
        <v>4.5</v>
      </c>
      <c r="H5277" s="15">
        <v>367</v>
      </c>
      <c r="I5277" s="16">
        <v>1651.5</v>
      </c>
      <c r="J5277" s="16">
        <v>891.44883720930238</v>
      </c>
      <c r="K5277" s="16">
        <v>760.05116279069762</v>
      </c>
      <c r="L5277" s="13">
        <v>10.85</v>
      </c>
      <c r="M5277" s="13"/>
      <c r="N5277" s="17">
        <f t="shared" si="173"/>
        <v>3981.95</v>
      </c>
      <c r="O5277" s="17">
        <f t="shared" si="173"/>
        <v>0</v>
      </c>
      <c r="P5277" s="17">
        <f t="shared" si="174"/>
        <v>3981.95</v>
      </c>
      <c r="Q5277" t="str">
        <f>A5277&amp;"-"&amp;B5277&amp;"-"&amp;D5277</f>
        <v>NOVEMBER-CHW-L2</v>
      </c>
    </row>
    <row r="5278" spans="1:17" x14ac:dyDescent="0.25">
      <c r="A5278" t="s">
        <v>401</v>
      </c>
      <c r="B5278" s="13" t="s">
        <v>19</v>
      </c>
      <c r="C5278" s="13" t="s">
        <v>70</v>
      </c>
      <c r="D5278" s="14" t="s">
        <v>50</v>
      </c>
      <c r="E5278" s="13" t="s">
        <v>73</v>
      </c>
      <c r="F5278" s="13" t="s">
        <v>1816</v>
      </c>
      <c r="G5278" s="13">
        <v>4.5</v>
      </c>
      <c r="H5278" s="15">
        <v>99</v>
      </c>
      <c r="I5278" s="16">
        <v>445.5</v>
      </c>
      <c r="J5278" s="16">
        <v>264.16582914572865</v>
      </c>
      <c r="K5278" s="16">
        <v>181.33417085427135</v>
      </c>
      <c r="L5278" s="13">
        <v>11.09</v>
      </c>
      <c r="M5278" s="13"/>
      <c r="N5278" s="17">
        <f t="shared" si="173"/>
        <v>1097.9100000000001</v>
      </c>
      <c r="O5278" s="17">
        <f t="shared" si="173"/>
        <v>0</v>
      </c>
      <c r="P5278" s="17">
        <f t="shared" si="174"/>
        <v>1097.9100000000001</v>
      </c>
      <c r="Q5278" t="str">
        <f>A5278&amp;"-"&amp;B5278&amp;"-"&amp;D5278</f>
        <v>NOVEMBER-CHW-L2</v>
      </c>
    </row>
    <row r="5279" spans="1:17" x14ac:dyDescent="0.25">
      <c r="A5279" t="s">
        <v>401</v>
      </c>
      <c r="B5279" s="13" t="s">
        <v>19</v>
      </c>
      <c r="C5279" s="13" t="s">
        <v>70</v>
      </c>
      <c r="D5279" s="14" t="s">
        <v>50</v>
      </c>
      <c r="E5279" s="13" t="s">
        <v>73</v>
      </c>
      <c r="F5279" s="13" t="s">
        <v>1643</v>
      </c>
      <c r="G5279" s="13">
        <v>4.5</v>
      </c>
      <c r="H5279" s="15">
        <v>96</v>
      </c>
      <c r="I5279" s="16">
        <v>432</v>
      </c>
      <c r="J5279" s="16">
        <v>283.2</v>
      </c>
      <c r="K5279" s="16">
        <v>148.80000000000001</v>
      </c>
      <c r="L5279" s="13">
        <v>10.73</v>
      </c>
      <c r="M5279" s="13"/>
      <c r="N5279" s="17">
        <f t="shared" si="173"/>
        <v>1030.08</v>
      </c>
      <c r="O5279" s="17">
        <f t="shared" si="173"/>
        <v>0</v>
      </c>
      <c r="P5279" s="17">
        <f t="shared" si="174"/>
        <v>1030.08</v>
      </c>
      <c r="Q5279" t="str">
        <f>A5279&amp;"-"&amp;B5279&amp;"-"&amp;D5279</f>
        <v>NOVEMBER-CHW-L2</v>
      </c>
    </row>
    <row r="5280" spans="1:17" x14ac:dyDescent="0.25">
      <c r="A5280" t="s">
        <v>401</v>
      </c>
      <c r="B5280" s="13" t="s">
        <v>19</v>
      </c>
      <c r="C5280" s="13" t="s">
        <v>70</v>
      </c>
      <c r="D5280" s="14" t="s">
        <v>50</v>
      </c>
      <c r="E5280" s="13" t="s">
        <v>73</v>
      </c>
      <c r="F5280" s="13" t="s">
        <v>1011</v>
      </c>
      <c r="G5280" s="13">
        <v>4.5</v>
      </c>
      <c r="H5280" s="15">
        <v>10</v>
      </c>
      <c r="I5280" s="16">
        <v>45</v>
      </c>
      <c r="J5280" s="16">
        <v>30.768680981595093</v>
      </c>
      <c r="K5280" s="16">
        <v>14.231319018404907</v>
      </c>
      <c r="L5280" s="13">
        <v>11.62</v>
      </c>
      <c r="M5280" s="13"/>
      <c r="N5280" s="17">
        <f t="shared" si="173"/>
        <v>116.19999999999999</v>
      </c>
      <c r="O5280" s="17">
        <f t="shared" si="173"/>
        <v>0</v>
      </c>
      <c r="P5280" s="17">
        <f t="shared" si="174"/>
        <v>116.19999999999999</v>
      </c>
      <c r="Q5280" t="str">
        <f>A5280&amp;"-"&amp;B5280&amp;"-"&amp;D5280</f>
        <v>NOVEMBER-CHW-L2</v>
      </c>
    </row>
    <row r="5281" spans="1:17" x14ac:dyDescent="0.25">
      <c r="A5281" t="s">
        <v>401</v>
      </c>
      <c r="B5281" s="13" t="s">
        <v>19</v>
      </c>
      <c r="C5281" s="13" t="s">
        <v>70</v>
      </c>
      <c r="D5281" s="14" t="s">
        <v>50</v>
      </c>
      <c r="E5281" s="13" t="s">
        <v>73</v>
      </c>
      <c r="F5281" s="13" t="s">
        <v>1126</v>
      </c>
      <c r="G5281" s="13">
        <v>4.5</v>
      </c>
      <c r="H5281" s="15">
        <v>21</v>
      </c>
      <c r="I5281" s="16">
        <v>94.5</v>
      </c>
      <c r="J5281" s="16">
        <v>60.275675675675679</v>
      </c>
      <c r="K5281" s="16">
        <v>34.224324324324321</v>
      </c>
      <c r="L5281" s="13">
        <v>9.48</v>
      </c>
      <c r="M5281" s="13"/>
      <c r="N5281" s="17">
        <f t="shared" si="173"/>
        <v>199.08</v>
      </c>
      <c r="O5281" s="17">
        <f t="shared" si="173"/>
        <v>0</v>
      </c>
      <c r="P5281" s="17">
        <f t="shared" si="174"/>
        <v>199.08</v>
      </c>
      <c r="Q5281" t="str">
        <f>A5281&amp;"-"&amp;B5281&amp;"-"&amp;D5281</f>
        <v>NOVEMBER-CHW-L2</v>
      </c>
    </row>
    <row r="5282" spans="1:17" x14ac:dyDescent="0.25">
      <c r="A5282" t="s">
        <v>401</v>
      </c>
      <c r="B5282" s="13" t="s">
        <v>19</v>
      </c>
      <c r="C5282" s="13" t="s">
        <v>70</v>
      </c>
      <c r="D5282" s="14" t="s">
        <v>50</v>
      </c>
      <c r="E5282" s="13" t="s">
        <v>73</v>
      </c>
      <c r="F5282" s="13" t="s">
        <v>1013</v>
      </c>
      <c r="G5282" s="13">
        <v>4.5</v>
      </c>
      <c r="H5282" s="15">
        <v>13</v>
      </c>
      <c r="I5282" s="16">
        <v>58.5</v>
      </c>
      <c r="J5282" s="16">
        <v>46.641891891891895</v>
      </c>
      <c r="K5282" s="16">
        <v>11.858108108108105</v>
      </c>
      <c r="L5282" s="13">
        <v>10</v>
      </c>
      <c r="M5282" s="13"/>
      <c r="N5282" s="17">
        <f t="shared" si="173"/>
        <v>130</v>
      </c>
      <c r="O5282" s="17">
        <f t="shared" si="173"/>
        <v>0</v>
      </c>
      <c r="P5282" s="17">
        <f t="shared" si="174"/>
        <v>130</v>
      </c>
      <c r="Q5282" t="str">
        <f>A5282&amp;"-"&amp;B5282&amp;"-"&amp;D5282</f>
        <v>NOVEMBER-CHW-L2</v>
      </c>
    </row>
    <row r="5283" spans="1:17" x14ac:dyDescent="0.25">
      <c r="A5283" t="s">
        <v>401</v>
      </c>
      <c r="B5283" s="13" t="s">
        <v>19</v>
      </c>
      <c r="C5283" s="13" t="s">
        <v>70</v>
      </c>
      <c r="D5283" s="14" t="s">
        <v>50</v>
      </c>
      <c r="E5283" s="13" t="s">
        <v>73</v>
      </c>
      <c r="F5283" s="13" t="s">
        <v>1014</v>
      </c>
      <c r="G5283" s="13">
        <v>4.5</v>
      </c>
      <c r="H5283" s="15">
        <v>86</v>
      </c>
      <c r="I5283" s="16">
        <v>387</v>
      </c>
      <c r="J5283" s="16">
        <v>264.78243243243242</v>
      </c>
      <c r="K5283" s="16">
        <v>122.21756756756756</v>
      </c>
      <c r="L5283" s="13">
        <v>11.05</v>
      </c>
      <c r="M5283" s="13"/>
      <c r="N5283" s="17">
        <f t="shared" si="173"/>
        <v>950.30000000000007</v>
      </c>
      <c r="O5283" s="17">
        <f t="shared" si="173"/>
        <v>0</v>
      </c>
      <c r="P5283" s="17">
        <f t="shared" si="174"/>
        <v>950.30000000000007</v>
      </c>
      <c r="Q5283" t="str">
        <f>A5283&amp;"-"&amp;B5283&amp;"-"&amp;D5283</f>
        <v>NOVEMBER-CHW-L2</v>
      </c>
    </row>
    <row r="5284" spans="1:17" x14ac:dyDescent="0.25">
      <c r="A5284" t="s">
        <v>401</v>
      </c>
      <c r="B5284" s="13" t="s">
        <v>19</v>
      </c>
      <c r="C5284" s="13" t="s">
        <v>70</v>
      </c>
      <c r="D5284" s="14" t="s">
        <v>50</v>
      </c>
      <c r="E5284" s="13" t="s">
        <v>73</v>
      </c>
      <c r="F5284" s="13" t="s">
        <v>1127</v>
      </c>
      <c r="G5284" s="13">
        <v>4.5</v>
      </c>
      <c r="H5284" s="15">
        <v>83</v>
      </c>
      <c r="I5284" s="16">
        <v>373.5</v>
      </c>
      <c r="J5284" s="16">
        <v>247.63339059785312</v>
      </c>
      <c r="K5284" s="16">
        <v>125.86660940214689</v>
      </c>
      <c r="L5284" s="13">
        <v>11.17</v>
      </c>
      <c r="M5284" s="13"/>
      <c r="N5284" s="17">
        <f t="shared" si="173"/>
        <v>927.11</v>
      </c>
      <c r="O5284" s="17">
        <f t="shared" si="173"/>
        <v>0</v>
      </c>
      <c r="P5284" s="17">
        <f t="shared" si="174"/>
        <v>927.11</v>
      </c>
      <c r="Q5284" t="str">
        <f>A5284&amp;"-"&amp;B5284&amp;"-"&amp;D5284</f>
        <v>NOVEMBER-CHW-L2</v>
      </c>
    </row>
    <row r="5285" spans="1:17" x14ac:dyDescent="0.25">
      <c r="A5285" t="s">
        <v>401</v>
      </c>
      <c r="B5285" s="13" t="s">
        <v>19</v>
      </c>
      <c r="C5285" s="13" t="s">
        <v>70</v>
      </c>
      <c r="D5285" s="14" t="s">
        <v>50</v>
      </c>
      <c r="E5285" s="13" t="s">
        <v>73</v>
      </c>
      <c r="F5285" s="13" t="s">
        <v>1817</v>
      </c>
      <c r="G5285" s="13">
        <v>4.5</v>
      </c>
      <c r="H5285" s="15">
        <v>149</v>
      </c>
      <c r="I5285" s="16">
        <v>670.5</v>
      </c>
      <c r="J5285" s="16">
        <v>386.27301153019351</v>
      </c>
      <c r="K5285" s="16">
        <v>284.22698846980649</v>
      </c>
      <c r="L5285" s="13">
        <v>12</v>
      </c>
      <c r="M5285" s="13"/>
      <c r="N5285" s="17">
        <f t="shared" si="173"/>
        <v>1788</v>
      </c>
      <c r="O5285" s="17">
        <f t="shared" si="173"/>
        <v>0</v>
      </c>
      <c r="P5285" s="17">
        <f t="shared" si="174"/>
        <v>1788</v>
      </c>
      <c r="Q5285" t="str">
        <f>A5285&amp;"-"&amp;B5285&amp;"-"&amp;D5285</f>
        <v>NOVEMBER-CHW-L2</v>
      </c>
    </row>
    <row r="5286" spans="1:17" x14ac:dyDescent="0.25">
      <c r="A5286" t="s">
        <v>401</v>
      </c>
      <c r="B5286" s="13" t="s">
        <v>19</v>
      </c>
      <c r="C5286" s="13" t="s">
        <v>70</v>
      </c>
      <c r="D5286" s="14" t="s">
        <v>50</v>
      </c>
      <c r="E5286" s="13" t="s">
        <v>73</v>
      </c>
      <c r="F5286" s="13" t="s">
        <v>1818</v>
      </c>
      <c r="G5286" s="13">
        <v>4.5</v>
      </c>
      <c r="H5286" s="15">
        <v>313</v>
      </c>
      <c r="I5286" s="16">
        <v>1408.5</v>
      </c>
      <c r="J5286" s="16">
        <v>1159.0580331962399</v>
      </c>
      <c r="K5286" s="16">
        <v>249.44196680376024</v>
      </c>
      <c r="L5286" s="13">
        <v>11.15</v>
      </c>
      <c r="M5286" s="13"/>
      <c r="N5286" s="17">
        <f t="shared" si="173"/>
        <v>3489.9500000000003</v>
      </c>
      <c r="O5286" s="17">
        <f t="shared" si="173"/>
        <v>0</v>
      </c>
      <c r="P5286" s="17">
        <f t="shared" si="174"/>
        <v>3489.9500000000003</v>
      </c>
      <c r="Q5286" t="str">
        <f>A5286&amp;"-"&amp;B5286&amp;"-"&amp;D5286</f>
        <v>NOVEMBER-CHW-L2</v>
      </c>
    </row>
    <row r="5287" spans="1:17" x14ac:dyDescent="0.25">
      <c r="A5287" t="s">
        <v>401</v>
      </c>
      <c r="B5287" s="13" t="s">
        <v>19</v>
      </c>
      <c r="C5287" s="13" t="s">
        <v>70</v>
      </c>
      <c r="D5287" s="14" t="s">
        <v>50</v>
      </c>
      <c r="E5287" s="13" t="s">
        <v>73</v>
      </c>
      <c r="F5287" s="13" t="s">
        <v>1819</v>
      </c>
      <c r="G5287" s="13">
        <v>4.5</v>
      </c>
      <c r="H5287" s="15">
        <v>338</v>
      </c>
      <c r="I5287" s="16">
        <v>1521</v>
      </c>
      <c r="J5287" s="16">
        <v>1086.0719999999999</v>
      </c>
      <c r="K5287" s="16">
        <v>434.928</v>
      </c>
      <c r="L5287" s="13">
        <v>11.35</v>
      </c>
      <c r="M5287" s="13"/>
      <c r="N5287" s="17">
        <f t="shared" si="173"/>
        <v>3836.2999999999997</v>
      </c>
      <c r="O5287" s="17">
        <f t="shared" si="173"/>
        <v>0</v>
      </c>
      <c r="P5287" s="17">
        <f t="shared" si="174"/>
        <v>3836.2999999999997</v>
      </c>
      <c r="Q5287" t="str">
        <f>A5287&amp;"-"&amp;B5287&amp;"-"&amp;D5287</f>
        <v>NOVEMBER-CHW-L2</v>
      </c>
    </row>
    <row r="5288" spans="1:17" x14ac:dyDescent="0.25">
      <c r="A5288" t="s">
        <v>401</v>
      </c>
      <c r="B5288" s="13" t="s">
        <v>19</v>
      </c>
      <c r="C5288" s="13" t="s">
        <v>70</v>
      </c>
      <c r="D5288" s="14" t="s">
        <v>50</v>
      </c>
      <c r="E5288" s="13" t="s">
        <v>73</v>
      </c>
      <c r="F5288" s="13" t="s">
        <v>1646</v>
      </c>
      <c r="G5288" s="13">
        <v>4.5</v>
      </c>
      <c r="H5288" s="15">
        <v>28</v>
      </c>
      <c r="I5288" s="16">
        <v>126</v>
      </c>
      <c r="J5288" s="16">
        <v>76.742142857142866</v>
      </c>
      <c r="K5288" s="16">
        <v>49.257857142857141</v>
      </c>
      <c r="L5288" s="13">
        <v>12.27</v>
      </c>
      <c r="M5288" s="13"/>
      <c r="N5288" s="17">
        <f t="shared" si="173"/>
        <v>343.56</v>
      </c>
      <c r="O5288" s="17">
        <f t="shared" si="173"/>
        <v>0</v>
      </c>
      <c r="P5288" s="17">
        <f t="shared" si="174"/>
        <v>343.56</v>
      </c>
      <c r="Q5288" t="str">
        <f>A5288&amp;"-"&amp;B5288&amp;"-"&amp;D5288</f>
        <v>NOVEMBER-CHW-L2</v>
      </c>
    </row>
    <row r="5289" spans="1:17" x14ac:dyDescent="0.25">
      <c r="A5289" t="s">
        <v>401</v>
      </c>
      <c r="B5289" s="13" t="s">
        <v>19</v>
      </c>
      <c r="C5289" s="13" t="s">
        <v>70</v>
      </c>
      <c r="D5289" s="14" t="s">
        <v>50</v>
      </c>
      <c r="E5289" s="13" t="s">
        <v>73</v>
      </c>
      <c r="F5289" s="13" t="s">
        <v>1820</v>
      </c>
      <c r="G5289" s="13">
        <v>4.5</v>
      </c>
      <c r="H5289" s="15">
        <v>333</v>
      </c>
      <c r="I5289" s="16">
        <v>1498.5</v>
      </c>
      <c r="J5289" s="16">
        <v>1020.5001333688983</v>
      </c>
      <c r="K5289" s="16">
        <v>477.99986663110167</v>
      </c>
      <c r="L5289" s="13">
        <v>11.78</v>
      </c>
      <c r="M5289" s="13"/>
      <c r="N5289" s="17">
        <f t="shared" si="173"/>
        <v>3922.74</v>
      </c>
      <c r="O5289" s="17">
        <f t="shared" si="173"/>
        <v>0</v>
      </c>
      <c r="P5289" s="17">
        <f t="shared" si="174"/>
        <v>3922.74</v>
      </c>
      <c r="Q5289" t="str">
        <f>A5289&amp;"-"&amp;B5289&amp;"-"&amp;D5289</f>
        <v>NOVEMBER-CHW-L2</v>
      </c>
    </row>
    <row r="5290" spans="1:17" x14ac:dyDescent="0.25">
      <c r="A5290" t="s">
        <v>401</v>
      </c>
      <c r="B5290" s="13" t="s">
        <v>19</v>
      </c>
      <c r="C5290" s="13" t="s">
        <v>70</v>
      </c>
      <c r="D5290" s="14" t="s">
        <v>50</v>
      </c>
      <c r="E5290" s="13" t="s">
        <v>73</v>
      </c>
      <c r="F5290" s="13" t="s">
        <v>1821</v>
      </c>
      <c r="G5290" s="13">
        <v>4.5</v>
      </c>
      <c r="H5290" s="15">
        <v>238</v>
      </c>
      <c r="I5290" s="16">
        <v>1071</v>
      </c>
      <c r="J5290" s="16">
        <v>785.78620607254686</v>
      </c>
      <c r="K5290" s="16">
        <v>285.21379392745325</v>
      </c>
      <c r="L5290" s="13">
        <v>11.54</v>
      </c>
      <c r="M5290" s="13"/>
      <c r="N5290" s="17">
        <f t="shared" si="173"/>
        <v>2746.52</v>
      </c>
      <c r="O5290" s="17">
        <f t="shared" si="173"/>
        <v>0</v>
      </c>
      <c r="P5290" s="17">
        <f t="shared" si="174"/>
        <v>2746.52</v>
      </c>
      <c r="Q5290" t="str">
        <f>A5290&amp;"-"&amp;B5290&amp;"-"&amp;D5290</f>
        <v>NOVEMBER-CHW-L2</v>
      </c>
    </row>
    <row r="5291" spans="1:17" x14ac:dyDescent="0.25">
      <c r="A5291" t="s">
        <v>401</v>
      </c>
      <c r="B5291" s="13" t="s">
        <v>19</v>
      </c>
      <c r="C5291" s="13" t="s">
        <v>70</v>
      </c>
      <c r="D5291" s="14" t="s">
        <v>50</v>
      </c>
      <c r="E5291" s="13" t="s">
        <v>73</v>
      </c>
      <c r="F5291" s="13" t="s">
        <v>1647</v>
      </c>
      <c r="G5291" s="13">
        <v>4.5</v>
      </c>
      <c r="H5291" s="15">
        <v>1093</v>
      </c>
      <c r="I5291" s="16">
        <v>4918.5</v>
      </c>
      <c r="J5291" s="16">
        <v>3188.1092500000004</v>
      </c>
      <c r="K5291" s="16">
        <v>1730.3907499999998</v>
      </c>
      <c r="L5291" s="13">
        <v>11.43</v>
      </c>
      <c r="M5291" s="13"/>
      <c r="N5291" s="17">
        <f t="shared" ref="N5291:O5349" si="175">$H5291*L5291</f>
        <v>12492.99</v>
      </c>
      <c r="O5291" s="17">
        <f t="shared" si="175"/>
        <v>0</v>
      </c>
      <c r="P5291" s="17">
        <f t="shared" si="174"/>
        <v>12492.99</v>
      </c>
      <c r="Q5291" t="str">
        <f>A5291&amp;"-"&amp;B5291&amp;"-"&amp;D5291</f>
        <v>NOVEMBER-CHW-L2</v>
      </c>
    </row>
    <row r="5292" spans="1:17" x14ac:dyDescent="0.25">
      <c r="A5292" t="s">
        <v>401</v>
      </c>
      <c r="B5292" s="13" t="s">
        <v>19</v>
      </c>
      <c r="C5292" s="13" t="s">
        <v>70</v>
      </c>
      <c r="D5292" s="14" t="s">
        <v>50</v>
      </c>
      <c r="E5292" s="13" t="s">
        <v>73</v>
      </c>
      <c r="F5292" s="13" t="s">
        <v>1822</v>
      </c>
      <c r="G5292" s="13">
        <v>4.5</v>
      </c>
      <c r="H5292" s="15">
        <v>388</v>
      </c>
      <c r="I5292" s="16">
        <v>1746</v>
      </c>
      <c r="J5292" s="16">
        <v>1185.9698851399858</v>
      </c>
      <c r="K5292" s="16">
        <v>560.03011486001435</v>
      </c>
      <c r="L5292" s="13">
        <v>13.57</v>
      </c>
      <c r="M5292" s="13"/>
      <c r="N5292" s="17">
        <f t="shared" si="175"/>
        <v>5265.16</v>
      </c>
      <c r="O5292" s="17">
        <f t="shared" si="175"/>
        <v>0</v>
      </c>
      <c r="P5292" s="17">
        <f t="shared" si="174"/>
        <v>5265.16</v>
      </c>
      <c r="Q5292" t="str">
        <f>A5292&amp;"-"&amp;B5292&amp;"-"&amp;D5292</f>
        <v>NOVEMBER-CHW-L2</v>
      </c>
    </row>
    <row r="5293" spans="1:17" x14ac:dyDescent="0.25">
      <c r="A5293" t="s">
        <v>401</v>
      </c>
      <c r="B5293" s="13" t="s">
        <v>19</v>
      </c>
      <c r="C5293" s="13" t="s">
        <v>70</v>
      </c>
      <c r="D5293" s="14" t="s">
        <v>56</v>
      </c>
      <c r="E5293" s="13" t="s">
        <v>71</v>
      </c>
      <c r="F5293" s="13" t="s">
        <v>1823</v>
      </c>
      <c r="G5293" s="13">
        <v>5</v>
      </c>
      <c r="H5293" s="15">
        <v>170</v>
      </c>
      <c r="I5293" s="16">
        <v>850</v>
      </c>
      <c r="J5293" s="16">
        <v>752.25</v>
      </c>
      <c r="K5293" s="16">
        <v>97.749999999999943</v>
      </c>
      <c r="L5293" s="13">
        <v>11.98</v>
      </c>
      <c r="M5293" s="13"/>
      <c r="N5293" s="17">
        <f t="shared" si="175"/>
        <v>2036.6000000000001</v>
      </c>
      <c r="O5293" s="17">
        <f t="shared" si="175"/>
        <v>0</v>
      </c>
      <c r="P5293" s="17">
        <f t="shared" si="174"/>
        <v>2036.6000000000001</v>
      </c>
      <c r="Q5293" t="str">
        <f>A5293&amp;"-"&amp;B5293&amp;"-"&amp;D5293</f>
        <v>NOVEMBER-CHW-L3</v>
      </c>
    </row>
    <row r="5294" spans="1:17" x14ac:dyDescent="0.25">
      <c r="A5294" t="s">
        <v>401</v>
      </c>
      <c r="B5294" s="13" t="s">
        <v>19</v>
      </c>
      <c r="C5294" s="13" t="s">
        <v>70</v>
      </c>
      <c r="D5294" s="14" t="s">
        <v>56</v>
      </c>
      <c r="E5294" s="13" t="s">
        <v>71</v>
      </c>
      <c r="F5294" s="13" t="s">
        <v>1824</v>
      </c>
      <c r="G5294" s="13">
        <v>5</v>
      </c>
      <c r="H5294" s="15">
        <v>151</v>
      </c>
      <c r="I5294" s="16">
        <v>755</v>
      </c>
      <c r="J5294" s="16">
        <v>600.12567567567567</v>
      </c>
      <c r="K5294" s="16">
        <v>154.87432432432433</v>
      </c>
      <c r="L5294" s="13">
        <v>13.2</v>
      </c>
      <c r="M5294" s="13"/>
      <c r="N5294" s="17">
        <f t="shared" si="175"/>
        <v>1993.1999999999998</v>
      </c>
      <c r="O5294" s="17">
        <f t="shared" si="175"/>
        <v>0</v>
      </c>
      <c r="P5294" s="17">
        <f t="shared" si="174"/>
        <v>1993.1999999999998</v>
      </c>
      <c r="Q5294" t="str">
        <f>A5294&amp;"-"&amp;B5294&amp;"-"&amp;D5294</f>
        <v>NOVEMBER-CHW-L3</v>
      </c>
    </row>
    <row r="5295" spans="1:17" x14ac:dyDescent="0.25">
      <c r="A5295" t="s">
        <v>401</v>
      </c>
      <c r="B5295" s="13" t="s">
        <v>19</v>
      </c>
      <c r="C5295" s="13" t="s">
        <v>70</v>
      </c>
      <c r="D5295" s="14" t="s">
        <v>56</v>
      </c>
      <c r="E5295" s="13" t="s">
        <v>71</v>
      </c>
      <c r="F5295" s="13" t="s">
        <v>1825</v>
      </c>
      <c r="G5295" s="13">
        <v>5</v>
      </c>
      <c r="H5295" s="15">
        <v>169</v>
      </c>
      <c r="I5295" s="16">
        <v>845</v>
      </c>
      <c r="J5295" s="16">
        <v>859.93681956341527</v>
      </c>
      <c r="K5295" s="16">
        <v>-14.936819563415316</v>
      </c>
      <c r="L5295" s="13">
        <v>14.2</v>
      </c>
      <c r="M5295" s="13"/>
      <c r="N5295" s="17">
        <f t="shared" si="175"/>
        <v>2399.7999999999997</v>
      </c>
      <c r="O5295" s="17">
        <f t="shared" si="175"/>
        <v>0</v>
      </c>
      <c r="P5295" s="17">
        <f t="shared" si="174"/>
        <v>2399.7999999999997</v>
      </c>
      <c r="Q5295" t="str">
        <f>A5295&amp;"-"&amp;B5295&amp;"-"&amp;D5295</f>
        <v>NOVEMBER-CHW-L3</v>
      </c>
    </row>
    <row r="5296" spans="1:17" x14ac:dyDescent="0.25">
      <c r="A5296" t="s">
        <v>401</v>
      </c>
      <c r="B5296" s="13" t="s">
        <v>19</v>
      </c>
      <c r="C5296" s="13" t="s">
        <v>70</v>
      </c>
      <c r="D5296" s="14" t="s">
        <v>56</v>
      </c>
      <c r="E5296" s="13" t="s">
        <v>71</v>
      </c>
      <c r="F5296" s="13" t="s">
        <v>1826</v>
      </c>
      <c r="G5296" s="13">
        <v>5</v>
      </c>
      <c r="H5296" s="15">
        <v>186</v>
      </c>
      <c r="I5296" s="16">
        <v>930</v>
      </c>
      <c r="J5296" s="16">
        <v>690.95394088669946</v>
      </c>
      <c r="K5296" s="16">
        <v>239.04605911330049</v>
      </c>
      <c r="L5296" s="13">
        <v>11.96</v>
      </c>
      <c r="M5296" s="13"/>
      <c r="N5296" s="17">
        <f t="shared" si="175"/>
        <v>2224.56</v>
      </c>
      <c r="O5296" s="17">
        <f t="shared" si="175"/>
        <v>0</v>
      </c>
      <c r="P5296" s="17">
        <f t="shared" si="174"/>
        <v>2224.56</v>
      </c>
      <c r="Q5296" t="str">
        <f>A5296&amp;"-"&amp;B5296&amp;"-"&amp;D5296</f>
        <v>NOVEMBER-CHW-L3</v>
      </c>
    </row>
    <row r="5297" spans="1:17" x14ac:dyDescent="0.25">
      <c r="A5297" t="s">
        <v>401</v>
      </c>
      <c r="B5297" s="13" t="s">
        <v>19</v>
      </c>
      <c r="C5297" s="13" t="s">
        <v>70</v>
      </c>
      <c r="D5297" s="14" t="s">
        <v>56</v>
      </c>
      <c r="E5297" s="13" t="s">
        <v>71</v>
      </c>
      <c r="F5297" s="13" t="s">
        <v>1128</v>
      </c>
      <c r="G5297" s="13">
        <v>5</v>
      </c>
      <c r="H5297" s="15">
        <v>73</v>
      </c>
      <c r="I5297" s="16">
        <v>365</v>
      </c>
      <c r="J5297" s="16">
        <v>323.02499999999998</v>
      </c>
      <c r="K5297" s="16">
        <v>41.975000000000023</v>
      </c>
      <c r="L5297" s="13">
        <v>11.96</v>
      </c>
      <c r="M5297" s="13"/>
      <c r="N5297" s="17">
        <f t="shared" si="175"/>
        <v>873.08</v>
      </c>
      <c r="O5297" s="17">
        <f t="shared" si="175"/>
        <v>0</v>
      </c>
      <c r="P5297" s="17">
        <f t="shared" si="174"/>
        <v>873.08</v>
      </c>
      <c r="Q5297" t="str">
        <f>A5297&amp;"-"&amp;B5297&amp;"-"&amp;D5297</f>
        <v>NOVEMBER-CHW-L3</v>
      </c>
    </row>
    <row r="5298" spans="1:17" x14ac:dyDescent="0.25">
      <c r="A5298" t="s">
        <v>401</v>
      </c>
      <c r="B5298" s="13" t="s">
        <v>19</v>
      </c>
      <c r="C5298" s="13" t="s">
        <v>70</v>
      </c>
      <c r="D5298" s="14" t="s">
        <v>56</v>
      </c>
      <c r="E5298" s="13" t="s">
        <v>71</v>
      </c>
      <c r="F5298" s="13" t="s">
        <v>1649</v>
      </c>
      <c r="G5298" s="13">
        <v>4.8</v>
      </c>
      <c r="H5298" s="15">
        <v>16</v>
      </c>
      <c r="I5298" s="16">
        <v>76.8</v>
      </c>
      <c r="J5298" s="16">
        <v>130.70769230769233</v>
      </c>
      <c r="K5298" s="16">
        <v>-53.907692307692329</v>
      </c>
      <c r="L5298" s="13">
        <v>14.68</v>
      </c>
      <c r="M5298" s="13"/>
      <c r="N5298" s="17">
        <f t="shared" si="175"/>
        <v>234.88</v>
      </c>
      <c r="O5298" s="17">
        <f t="shared" si="175"/>
        <v>0</v>
      </c>
      <c r="P5298" s="17">
        <f t="shared" si="174"/>
        <v>234.88</v>
      </c>
      <c r="Q5298" t="str">
        <f>A5298&amp;"-"&amp;B5298&amp;"-"&amp;D5298</f>
        <v>NOVEMBER-CHW-L3</v>
      </c>
    </row>
    <row r="5299" spans="1:17" x14ac:dyDescent="0.25">
      <c r="A5299" t="s">
        <v>401</v>
      </c>
      <c r="B5299" s="13" t="s">
        <v>19</v>
      </c>
      <c r="C5299" s="13" t="s">
        <v>70</v>
      </c>
      <c r="D5299" s="14" t="s">
        <v>56</v>
      </c>
      <c r="E5299" s="13" t="s">
        <v>71</v>
      </c>
      <c r="F5299" s="13" t="s">
        <v>1827</v>
      </c>
      <c r="G5299" s="13">
        <v>4.8</v>
      </c>
      <c r="H5299" s="15">
        <v>189</v>
      </c>
      <c r="I5299" s="16">
        <v>907.19999999999993</v>
      </c>
      <c r="J5299" s="16">
        <v>935.08989028213159</v>
      </c>
      <c r="K5299" s="16">
        <v>-27.889890282131688</v>
      </c>
      <c r="L5299" s="13">
        <v>13.5</v>
      </c>
      <c r="M5299" s="13"/>
      <c r="N5299" s="17">
        <f t="shared" si="175"/>
        <v>2551.5</v>
      </c>
      <c r="O5299" s="17">
        <f t="shared" si="175"/>
        <v>0</v>
      </c>
      <c r="P5299" s="17">
        <f t="shared" si="174"/>
        <v>2551.5</v>
      </c>
      <c r="Q5299" t="str">
        <f>A5299&amp;"-"&amp;B5299&amp;"-"&amp;D5299</f>
        <v>NOVEMBER-CHW-L3</v>
      </c>
    </row>
    <row r="5300" spans="1:17" x14ac:dyDescent="0.25">
      <c r="A5300" t="s">
        <v>401</v>
      </c>
      <c r="B5300" s="13" t="s">
        <v>19</v>
      </c>
      <c r="C5300" s="13" t="s">
        <v>70</v>
      </c>
      <c r="D5300" s="14" t="s">
        <v>56</v>
      </c>
      <c r="E5300" s="13" t="s">
        <v>71</v>
      </c>
      <c r="F5300" s="13" t="s">
        <v>1828</v>
      </c>
      <c r="G5300" s="13">
        <v>4.8</v>
      </c>
      <c r="H5300" s="15">
        <v>86</v>
      </c>
      <c r="I5300" s="16">
        <v>412.8</v>
      </c>
      <c r="J5300" s="16">
        <v>628.49259355509366</v>
      </c>
      <c r="K5300" s="16">
        <v>-215.69259355509365</v>
      </c>
      <c r="L5300" s="13">
        <v>15.74</v>
      </c>
      <c r="M5300" s="13"/>
      <c r="N5300" s="17">
        <f t="shared" si="175"/>
        <v>1353.64</v>
      </c>
      <c r="O5300" s="17">
        <f t="shared" si="175"/>
        <v>0</v>
      </c>
      <c r="P5300" s="17">
        <f t="shared" si="174"/>
        <v>1353.64</v>
      </c>
      <c r="Q5300" t="str">
        <f>A5300&amp;"-"&amp;B5300&amp;"-"&amp;D5300</f>
        <v>NOVEMBER-CHW-L3</v>
      </c>
    </row>
    <row r="5301" spans="1:17" x14ac:dyDescent="0.25">
      <c r="A5301" t="s">
        <v>401</v>
      </c>
      <c r="B5301" s="13" t="s">
        <v>19</v>
      </c>
      <c r="C5301" s="13" t="s">
        <v>70</v>
      </c>
      <c r="D5301" s="14" t="s">
        <v>56</v>
      </c>
      <c r="E5301" s="13" t="s">
        <v>71</v>
      </c>
      <c r="F5301" s="13" t="s">
        <v>1015</v>
      </c>
      <c r="G5301" s="13">
        <v>5</v>
      </c>
      <c r="H5301" s="15">
        <v>36</v>
      </c>
      <c r="I5301" s="16">
        <v>180</v>
      </c>
      <c r="J5301" s="16">
        <v>199.57884615384614</v>
      </c>
      <c r="K5301" s="16">
        <v>-19.578846153846158</v>
      </c>
      <c r="L5301" s="13">
        <v>12.74</v>
      </c>
      <c r="M5301" s="13"/>
      <c r="N5301" s="17">
        <f t="shared" si="175"/>
        <v>458.64</v>
      </c>
      <c r="O5301" s="17">
        <f t="shared" si="175"/>
        <v>0</v>
      </c>
      <c r="P5301" s="17">
        <f t="shared" si="174"/>
        <v>458.64</v>
      </c>
      <c r="Q5301" t="str">
        <f>A5301&amp;"-"&amp;B5301&amp;"-"&amp;D5301</f>
        <v>NOVEMBER-CHW-L3</v>
      </c>
    </row>
    <row r="5302" spans="1:17" x14ac:dyDescent="0.25">
      <c r="A5302" t="s">
        <v>401</v>
      </c>
      <c r="B5302" s="13" t="s">
        <v>19</v>
      </c>
      <c r="C5302" s="13" t="s">
        <v>70</v>
      </c>
      <c r="D5302" s="14" t="s">
        <v>56</v>
      </c>
      <c r="E5302" s="13" t="s">
        <v>71</v>
      </c>
      <c r="F5302" s="13" t="s">
        <v>831</v>
      </c>
      <c r="G5302" s="13">
        <v>5</v>
      </c>
      <c r="H5302" s="15">
        <v>90</v>
      </c>
      <c r="I5302" s="16">
        <v>450</v>
      </c>
      <c r="J5302" s="16">
        <v>343.11683833407966</v>
      </c>
      <c r="K5302" s="16">
        <v>106.88316166592028</v>
      </c>
      <c r="L5302" s="13">
        <v>12.82</v>
      </c>
      <c r="M5302" s="13"/>
      <c r="N5302" s="17">
        <f t="shared" si="175"/>
        <v>1153.8</v>
      </c>
      <c r="O5302" s="17">
        <f t="shared" si="175"/>
        <v>0</v>
      </c>
      <c r="P5302" s="17">
        <f t="shared" si="174"/>
        <v>1153.8</v>
      </c>
      <c r="Q5302" t="str">
        <f>A5302&amp;"-"&amp;B5302&amp;"-"&amp;D5302</f>
        <v>NOVEMBER-CHW-L3</v>
      </c>
    </row>
    <row r="5303" spans="1:17" x14ac:dyDescent="0.25">
      <c r="A5303" t="s">
        <v>401</v>
      </c>
      <c r="B5303" s="13" t="s">
        <v>19</v>
      </c>
      <c r="C5303" s="13" t="s">
        <v>70</v>
      </c>
      <c r="D5303" s="14" t="s">
        <v>56</v>
      </c>
      <c r="E5303" s="13" t="s">
        <v>71</v>
      </c>
      <c r="F5303" s="13" t="s">
        <v>1254</v>
      </c>
      <c r="G5303" s="13">
        <v>5</v>
      </c>
      <c r="H5303" s="15">
        <v>8</v>
      </c>
      <c r="I5303" s="16">
        <v>40</v>
      </c>
      <c r="J5303" s="16">
        <v>35.4</v>
      </c>
      <c r="K5303" s="16">
        <v>4.6000000000000014</v>
      </c>
      <c r="L5303" s="13">
        <v>11.82</v>
      </c>
      <c r="M5303" s="13"/>
      <c r="N5303" s="17">
        <f t="shared" si="175"/>
        <v>94.56</v>
      </c>
      <c r="O5303" s="17">
        <f t="shared" si="175"/>
        <v>0</v>
      </c>
      <c r="P5303" s="17">
        <f t="shared" si="174"/>
        <v>94.56</v>
      </c>
      <c r="Q5303" t="str">
        <f>A5303&amp;"-"&amp;B5303&amp;"-"&amp;D5303</f>
        <v>NOVEMBER-CHW-L3</v>
      </c>
    </row>
    <row r="5304" spans="1:17" x14ac:dyDescent="0.25">
      <c r="A5304" t="s">
        <v>401</v>
      </c>
      <c r="B5304" s="13" t="s">
        <v>19</v>
      </c>
      <c r="C5304" s="13" t="s">
        <v>70</v>
      </c>
      <c r="D5304" s="14" t="s">
        <v>56</v>
      </c>
      <c r="E5304" s="13" t="s">
        <v>71</v>
      </c>
      <c r="F5304" s="13" t="s">
        <v>1131</v>
      </c>
      <c r="G5304" s="13">
        <v>4.8</v>
      </c>
      <c r="H5304" s="15">
        <v>80</v>
      </c>
      <c r="I5304" s="16">
        <v>384</v>
      </c>
      <c r="J5304" s="16">
        <v>383.91406093906096</v>
      </c>
      <c r="K5304" s="16">
        <v>8.5939060939047351E-2</v>
      </c>
      <c r="L5304" s="13">
        <v>13.1</v>
      </c>
      <c r="M5304" s="13"/>
      <c r="N5304" s="17">
        <f t="shared" si="175"/>
        <v>1048</v>
      </c>
      <c r="O5304" s="17">
        <f t="shared" si="175"/>
        <v>0</v>
      </c>
      <c r="P5304" s="17">
        <f t="shared" si="174"/>
        <v>1048</v>
      </c>
      <c r="Q5304" t="str">
        <f>A5304&amp;"-"&amp;B5304&amp;"-"&amp;D5304</f>
        <v>NOVEMBER-CHW-L3</v>
      </c>
    </row>
    <row r="5305" spans="1:17" x14ac:dyDescent="0.25">
      <c r="A5305" t="s">
        <v>401</v>
      </c>
      <c r="B5305" s="13" t="s">
        <v>19</v>
      </c>
      <c r="C5305" s="13" t="s">
        <v>70</v>
      </c>
      <c r="D5305" s="14" t="s">
        <v>56</v>
      </c>
      <c r="E5305" s="13" t="s">
        <v>71</v>
      </c>
      <c r="F5305" s="13" t="s">
        <v>1829</v>
      </c>
      <c r="G5305" s="13">
        <v>4.8</v>
      </c>
      <c r="H5305" s="15">
        <v>116</v>
      </c>
      <c r="I5305" s="16">
        <v>556.79999999999995</v>
      </c>
      <c r="J5305" s="16">
        <v>612.69230769230774</v>
      </c>
      <c r="K5305" s="16">
        <v>-55.892307692307696</v>
      </c>
      <c r="L5305" s="13">
        <v>12.56</v>
      </c>
      <c r="M5305" s="13"/>
      <c r="N5305" s="17">
        <f t="shared" si="175"/>
        <v>1456.96</v>
      </c>
      <c r="O5305" s="17">
        <f t="shared" si="175"/>
        <v>0</v>
      </c>
      <c r="P5305" s="17">
        <f t="shared" si="174"/>
        <v>1456.96</v>
      </c>
      <c r="Q5305" t="str">
        <f>A5305&amp;"-"&amp;B5305&amp;"-"&amp;D5305</f>
        <v>NOVEMBER-CHW-L3</v>
      </c>
    </row>
    <row r="5306" spans="1:17" x14ac:dyDescent="0.25">
      <c r="A5306" t="s">
        <v>401</v>
      </c>
      <c r="B5306" s="13" t="s">
        <v>19</v>
      </c>
      <c r="C5306" s="13" t="s">
        <v>70</v>
      </c>
      <c r="D5306" s="14" t="s">
        <v>56</v>
      </c>
      <c r="E5306" s="13" t="s">
        <v>71</v>
      </c>
      <c r="F5306" s="13" t="s">
        <v>1132</v>
      </c>
      <c r="G5306" s="13">
        <v>4.8</v>
      </c>
      <c r="H5306" s="15">
        <v>56</v>
      </c>
      <c r="I5306" s="16">
        <v>268.8</v>
      </c>
      <c r="J5306" s="16">
        <v>512.68965517241384</v>
      </c>
      <c r="K5306" s="16">
        <v>-243.88965517241382</v>
      </c>
      <c r="L5306" s="13">
        <v>12.56</v>
      </c>
      <c r="M5306" s="13"/>
      <c r="N5306" s="17">
        <f t="shared" si="175"/>
        <v>703.36</v>
      </c>
      <c r="O5306" s="17">
        <f t="shared" si="175"/>
        <v>0</v>
      </c>
      <c r="P5306" s="17">
        <f t="shared" si="174"/>
        <v>703.36</v>
      </c>
      <c r="Q5306" t="str">
        <f>A5306&amp;"-"&amp;B5306&amp;"-"&amp;D5306</f>
        <v>NOVEMBER-CHW-L3</v>
      </c>
    </row>
    <row r="5307" spans="1:17" x14ac:dyDescent="0.25">
      <c r="A5307" t="s">
        <v>401</v>
      </c>
      <c r="B5307" s="13" t="s">
        <v>19</v>
      </c>
      <c r="C5307" s="13" t="s">
        <v>70</v>
      </c>
      <c r="D5307" s="14" t="s">
        <v>56</v>
      </c>
      <c r="E5307" s="13" t="s">
        <v>71</v>
      </c>
      <c r="F5307" s="13" t="s">
        <v>1830</v>
      </c>
      <c r="G5307" s="13">
        <v>4.8</v>
      </c>
      <c r="H5307" s="15">
        <v>190</v>
      </c>
      <c r="I5307" s="16">
        <v>912</v>
      </c>
      <c r="J5307" s="16">
        <v>1296.8653846153845</v>
      </c>
      <c r="K5307" s="16">
        <v>-384.86538461538464</v>
      </c>
      <c r="L5307" s="13">
        <v>13.49</v>
      </c>
      <c r="M5307" s="13"/>
      <c r="N5307" s="17">
        <f t="shared" si="175"/>
        <v>2563.1</v>
      </c>
      <c r="O5307" s="17">
        <f t="shared" si="175"/>
        <v>0</v>
      </c>
      <c r="P5307" s="17">
        <f t="shared" si="174"/>
        <v>2563.1</v>
      </c>
      <c r="Q5307" t="str">
        <f>A5307&amp;"-"&amp;B5307&amp;"-"&amp;D5307</f>
        <v>NOVEMBER-CHW-L3</v>
      </c>
    </row>
    <row r="5308" spans="1:17" x14ac:dyDescent="0.25">
      <c r="A5308" t="s">
        <v>401</v>
      </c>
      <c r="B5308" s="13" t="s">
        <v>19</v>
      </c>
      <c r="C5308" s="13" t="s">
        <v>70</v>
      </c>
      <c r="D5308" s="14" t="s">
        <v>56</v>
      </c>
      <c r="E5308" s="13" t="s">
        <v>71</v>
      </c>
      <c r="F5308" s="13" t="s">
        <v>1656</v>
      </c>
      <c r="G5308" s="13">
        <v>5</v>
      </c>
      <c r="H5308" s="15">
        <v>66</v>
      </c>
      <c r="I5308" s="16">
        <v>330</v>
      </c>
      <c r="J5308" s="16">
        <v>478.75096153846158</v>
      </c>
      <c r="K5308" s="16">
        <v>-148.75096153846158</v>
      </c>
      <c r="L5308" s="13">
        <v>13</v>
      </c>
      <c r="M5308" s="13"/>
      <c r="N5308" s="17">
        <f t="shared" si="175"/>
        <v>858</v>
      </c>
      <c r="O5308" s="17">
        <f t="shared" si="175"/>
        <v>0</v>
      </c>
      <c r="P5308" s="17">
        <f t="shared" si="174"/>
        <v>858</v>
      </c>
      <c r="Q5308" t="str">
        <f>A5308&amp;"-"&amp;B5308&amp;"-"&amp;D5308</f>
        <v>NOVEMBER-CHW-L3</v>
      </c>
    </row>
    <row r="5309" spans="1:17" x14ac:dyDescent="0.25">
      <c r="A5309" t="s">
        <v>401</v>
      </c>
      <c r="B5309" s="13" t="s">
        <v>19</v>
      </c>
      <c r="C5309" s="13" t="s">
        <v>70</v>
      </c>
      <c r="D5309" s="14" t="s">
        <v>56</v>
      </c>
      <c r="E5309" s="13" t="s">
        <v>71</v>
      </c>
      <c r="F5309" s="13" t="s">
        <v>1831</v>
      </c>
      <c r="G5309" s="13">
        <v>5</v>
      </c>
      <c r="H5309" s="15">
        <v>216</v>
      </c>
      <c r="I5309" s="16">
        <v>1080</v>
      </c>
      <c r="J5309" s="16">
        <v>1125.7955605564648</v>
      </c>
      <c r="K5309" s="16">
        <v>-45.795560556464878</v>
      </c>
      <c r="L5309" s="13">
        <v>14.26</v>
      </c>
      <c r="M5309" s="13"/>
      <c r="N5309" s="17">
        <f t="shared" si="175"/>
        <v>3080.16</v>
      </c>
      <c r="O5309" s="17">
        <f t="shared" si="175"/>
        <v>0</v>
      </c>
      <c r="P5309" s="17">
        <f t="shared" si="174"/>
        <v>3080.16</v>
      </c>
      <c r="Q5309" t="str">
        <f>A5309&amp;"-"&amp;B5309&amp;"-"&amp;D5309</f>
        <v>NOVEMBER-CHW-L3</v>
      </c>
    </row>
    <row r="5310" spans="1:17" x14ac:dyDescent="0.25">
      <c r="A5310" t="s">
        <v>401</v>
      </c>
      <c r="B5310" s="13" t="s">
        <v>19</v>
      </c>
      <c r="C5310" s="13" t="s">
        <v>70</v>
      </c>
      <c r="D5310" s="14" t="s">
        <v>56</v>
      </c>
      <c r="E5310" s="13" t="s">
        <v>71</v>
      </c>
      <c r="F5310" s="13" t="s">
        <v>1832</v>
      </c>
      <c r="G5310" s="13">
        <v>5</v>
      </c>
      <c r="H5310" s="15">
        <v>177</v>
      </c>
      <c r="I5310" s="16">
        <v>885</v>
      </c>
      <c r="J5310" s="16">
        <v>964.15040322580649</v>
      </c>
      <c r="K5310" s="16">
        <v>-79.150403225806429</v>
      </c>
      <c r="L5310" s="13">
        <v>13</v>
      </c>
      <c r="M5310" s="13"/>
      <c r="N5310" s="17">
        <f t="shared" si="175"/>
        <v>2301</v>
      </c>
      <c r="O5310" s="17">
        <f t="shared" si="175"/>
        <v>0</v>
      </c>
      <c r="P5310" s="17">
        <f t="shared" si="174"/>
        <v>2301</v>
      </c>
      <c r="Q5310" t="str">
        <f>A5310&amp;"-"&amp;B5310&amp;"-"&amp;D5310</f>
        <v>NOVEMBER-CHW-L3</v>
      </c>
    </row>
    <row r="5311" spans="1:17" x14ac:dyDescent="0.25">
      <c r="A5311" t="s">
        <v>401</v>
      </c>
      <c r="B5311" s="13" t="s">
        <v>19</v>
      </c>
      <c r="C5311" s="13" t="s">
        <v>70</v>
      </c>
      <c r="D5311" s="14" t="s">
        <v>56</v>
      </c>
      <c r="E5311" s="13" t="s">
        <v>71</v>
      </c>
      <c r="F5311" s="13" t="s">
        <v>1833</v>
      </c>
      <c r="G5311" s="13">
        <v>5</v>
      </c>
      <c r="H5311" s="15">
        <v>199</v>
      </c>
      <c r="I5311" s="16">
        <v>995</v>
      </c>
      <c r="J5311" s="16">
        <v>808.46436950146619</v>
      </c>
      <c r="K5311" s="16">
        <v>186.53563049853369</v>
      </c>
      <c r="L5311" s="13">
        <v>12.31</v>
      </c>
      <c r="M5311" s="13"/>
      <c r="N5311" s="17">
        <f t="shared" si="175"/>
        <v>2449.69</v>
      </c>
      <c r="O5311" s="17">
        <f t="shared" si="175"/>
        <v>0</v>
      </c>
      <c r="P5311" s="17">
        <f t="shared" si="174"/>
        <v>2449.69</v>
      </c>
      <c r="Q5311" t="str">
        <f>A5311&amp;"-"&amp;B5311&amp;"-"&amp;D5311</f>
        <v>NOVEMBER-CHW-L3</v>
      </c>
    </row>
    <row r="5312" spans="1:17" x14ac:dyDescent="0.25">
      <c r="A5312" t="s">
        <v>401</v>
      </c>
      <c r="B5312" s="13" t="s">
        <v>19</v>
      </c>
      <c r="C5312" s="13" t="s">
        <v>70</v>
      </c>
      <c r="D5312" s="14" t="s">
        <v>158</v>
      </c>
      <c r="E5312" s="13" t="s">
        <v>124</v>
      </c>
      <c r="F5312" s="13" t="s">
        <v>1834</v>
      </c>
      <c r="G5312" s="13">
        <v>2.65</v>
      </c>
      <c r="H5312" s="15">
        <v>334</v>
      </c>
      <c r="I5312" s="16">
        <v>885.1</v>
      </c>
      <c r="J5312" s="16">
        <v>1380.6</v>
      </c>
      <c r="K5312" s="16">
        <v>-495.49999999999994</v>
      </c>
      <c r="L5312" s="13">
        <v>7.76</v>
      </c>
      <c r="M5312" s="13"/>
      <c r="N5312" s="17">
        <f t="shared" si="175"/>
        <v>2591.84</v>
      </c>
      <c r="O5312" s="17">
        <f t="shared" si="175"/>
        <v>0</v>
      </c>
      <c r="P5312" s="17">
        <f t="shared" si="174"/>
        <v>2591.84</v>
      </c>
      <c r="Q5312" t="str">
        <f>A5312&amp;"-"&amp;B5312&amp;"-"&amp;D5312</f>
        <v>NOVEMBER-CHW-L4</v>
      </c>
    </row>
    <row r="5313" spans="1:17" x14ac:dyDescent="0.25">
      <c r="A5313" t="s">
        <v>401</v>
      </c>
      <c r="B5313" s="13" t="s">
        <v>19</v>
      </c>
      <c r="C5313" s="13" t="s">
        <v>70</v>
      </c>
      <c r="D5313" s="14" t="s">
        <v>158</v>
      </c>
      <c r="E5313" s="13" t="s">
        <v>142</v>
      </c>
      <c r="F5313" s="13" t="s">
        <v>1835</v>
      </c>
      <c r="G5313" s="13">
        <v>1.65</v>
      </c>
      <c r="H5313" s="15">
        <v>821</v>
      </c>
      <c r="I5313" s="16">
        <v>1354.65</v>
      </c>
      <c r="J5313" s="16">
        <v>1272.5562500000001</v>
      </c>
      <c r="K5313" s="16">
        <v>82.093750000000014</v>
      </c>
      <c r="L5313" s="13">
        <v>5.48</v>
      </c>
      <c r="M5313" s="13"/>
      <c r="N5313" s="17">
        <f t="shared" si="175"/>
        <v>4499.08</v>
      </c>
      <c r="O5313" s="17">
        <f t="shared" si="175"/>
        <v>0</v>
      </c>
      <c r="P5313" s="17">
        <f t="shared" si="174"/>
        <v>4499.08</v>
      </c>
      <c r="Q5313" t="str">
        <f>A5313&amp;"-"&amp;B5313&amp;"-"&amp;D5313</f>
        <v>NOVEMBER-CHW-L4</v>
      </c>
    </row>
    <row r="5314" spans="1:17" x14ac:dyDescent="0.25">
      <c r="A5314" t="s">
        <v>401</v>
      </c>
      <c r="B5314" s="13" t="s">
        <v>19</v>
      </c>
      <c r="C5314" s="13" t="s">
        <v>70</v>
      </c>
      <c r="D5314" s="14" t="s">
        <v>158</v>
      </c>
      <c r="E5314" s="13" t="s">
        <v>142</v>
      </c>
      <c r="F5314" s="13" t="s">
        <v>1021</v>
      </c>
      <c r="G5314" s="13">
        <v>1.65</v>
      </c>
      <c r="H5314" s="15">
        <v>352</v>
      </c>
      <c r="I5314" s="16">
        <v>580.79999999999995</v>
      </c>
      <c r="J5314" s="16">
        <v>531</v>
      </c>
      <c r="K5314" s="16">
        <v>49.799999999999955</v>
      </c>
      <c r="L5314" s="13">
        <v>5.88</v>
      </c>
      <c r="M5314" s="13"/>
      <c r="N5314" s="17">
        <f t="shared" si="175"/>
        <v>2069.7599999999998</v>
      </c>
      <c r="O5314" s="17">
        <f t="shared" si="175"/>
        <v>0</v>
      </c>
      <c r="P5314" s="17">
        <f t="shared" ref="P5314:P5377" si="176">N5314+O5314</f>
        <v>2069.7599999999998</v>
      </c>
      <c r="Q5314" t="str">
        <f>A5314&amp;"-"&amp;B5314&amp;"-"&amp;D5314</f>
        <v>NOVEMBER-CHW-L4</v>
      </c>
    </row>
    <row r="5315" spans="1:17" x14ac:dyDescent="0.25">
      <c r="A5315" t="s">
        <v>401</v>
      </c>
      <c r="B5315" s="13" t="s">
        <v>19</v>
      </c>
      <c r="C5315" s="13" t="s">
        <v>70</v>
      </c>
      <c r="D5315" s="14" t="s">
        <v>158</v>
      </c>
      <c r="E5315" s="13" t="s">
        <v>142</v>
      </c>
      <c r="F5315" s="13" t="s">
        <v>1836</v>
      </c>
      <c r="G5315" s="13">
        <v>1.65</v>
      </c>
      <c r="H5315" s="15">
        <v>840</v>
      </c>
      <c r="I5315" s="16">
        <v>1386</v>
      </c>
      <c r="J5315" s="16">
        <v>1715.0952088452091</v>
      </c>
      <c r="K5315" s="16">
        <v>-329.09520884520884</v>
      </c>
      <c r="L5315" s="13">
        <v>5.83</v>
      </c>
      <c r="M5315" s="13"/>
      <c r="N5315" s="17">
        <f t="shared" si="175"/>
        <v>4897.2</v>
      </c>
      <c r="O5315" s="17">
        <f t="shared" si="175"/>
        <v>0</v>
      </c>
      <c r="P5315" s="17">
        <f t="shared" si="176"/>
        <v>4897.2</v>
      </c>
      <c r="Q5315" t="str">
        <f>A5315&amp;"-"&amp;B5315&amp;"-"&amp;D5315</f>
        <v>NOVEMBER-CHW-L4</v>
      </c>
    </row>
    <row r="5316" spans="1:17" x14ac:dyDescent="0.25">
      <c r="A5316" t="s">
        <v>401</v>
      </c>
      <c r="B5316" s="13" t="s">
        <v>19</v>
      </c>
      <c r="C5316" s="13" t="s">
        <v>70</v>
      </c>
      <c r="D5316" s="14" t="s">
        <v>158</v>
      </c>
      <c r="E5316" s="13" t="s">
        <v>142</v>
      </c>
      <c r="F5316" s="13" t="s">
        <v>1837</v>
      </c>
      <c r="G5316" s="13">
        <v>1.65</v>
      </c>
      <c r="H5316" s="15">
        <v>12</v>
      </c>
      <c r="I5316" s="16">
        <v>19.8</v>
      </c>
      <c r="J5316" s="16">
        <v>24.136363636363637</v>
      </c>
      <c r="K5316" s="16">
        <v>-4.336363636363636</v>
      </c>
      <c r="L5316" s="13">
        <v>6.04</v>
      </c>
      <c r="M5316" s="13"/>
      <c r="N5316" s="17">
        <f t="shared" si="175"/>
        <v>72.48</v>
      </c>
      <c r="O5316" s="17">
        <f t="shared" si="175"/>
        <v>0</v>
      </c>
      <c r="P5316" s="17">
        <f t="shared" si="176"/>
        <v>72.48</v>
      </c>
      <c r="Q5316" t="str">
        <f>A5316&amp;"-"&amp;B5316&amp;"-"&amp;D5316</f>
        <v>NOVEMBER-CHW-L4</v>
      </c>
    </row>
    <row r="5317" spans="1:17" x14ac:dyDescent="0.25">
      <c r="A5317" t="s">
        <v>401</v>
      </c>
      <c r="B5317" s="13" t="s">
        <v>19</v>
      </c>
      <c r="C5317" s="13" t="s">
        <v>70</v>
      </c>
      <c r="D5317" s="14" t="s">
        <v>158</v>
      </c>
      <c r="E5317" s="13" t="s">
        <v>142</v>
      </c>
      <c r="F5317" s="13" t="s">
        <v>1838</v>
      </c>
      <c r="G5317" s="13">
        <v>1.5</v>
      </c>
      <c r="H5317" s="15">
        <v>1261</v>
      </c>
      <c r="I5317" s="16">
        <v>1891.5</v>
      </c>
      <c r="J5317" s="16">
        <v>2878.4155681818183</v>
      </c>
      <c r="K5317" s="16">
        <v>-986.91556818181812</v>
      </c>
      <c r="L5317" s="13">
        <v>6.76</v>
      </c>
      <c r="M5317" s="13"/>
      <c r="N5317" s="17">
        <f t="shared" si="175"/>
        <v>8524.36</v>
      </c>
      <c r="O5317" s="17">
        <f t="shared" si="175"/>
        <v>0</v>
      </c>
      <c r="P5317" s="17">
        <f t="shared" si="176"/>
        <v>8524.36</v>
      </c>
      <c r="Q5317" t="str">
        <f>A5317&amp;"-"&amp;B5317&amp;"-"&amp;D5317</f>
        <v>NOVEMBER-CHW-L4</v>
      </c>
    </row>
    <row r="5318" spans="1:17" x14ac:dyDescent="0.25">
      <c r="A5318" t="s">
        <v>401</v>
      </c>
      <c r="B5318" s="13" t="s">
        <v>19</v>
      </c>
      <c r="C5318" s="13" t="s">
        <v>70</v>
      </c>
      <c r="D5318" s="14" t="s">
        <v>158</v>
      </c>
      <c r="E5318" s="13" t="s">
        <v>142</v>
      </c>
      <c r="F5318" s="13" t="s">
        <v>1664</v>
      </c>
      <c r="G5318" s="13">
        <v>1.5</v>
      </c>
      <c r="H5318" s="15">
        <v>412</v>
      </c>
      <c r="I5318" s="16">
        <v>618</v>
      </c>
      <c r="J5318" s="16">
        <v>778.8</v>
      </c>
      <c r="K5318" s="16">
        <v>-160.80000000000001</v>
      </c>
      <c r="L5318" s="13">
        <v>6.61</v>
      </c>
      <c r="M5318" s="13"/>
      <c r="N5318" s="17">
        <f t="shared" si="175"/>
        <v>2723.32</v>
      </c>
      <c r="O5318" s="17">
        <f t="shared" si="175"/>
        <v>0</v>
      </c>
      <c r="P5318" s="17">
        <f t="shared" si="176"/>
        <v>2723.32</v>
      </c>
      <c r="Q5318" t="str">
        <f>A5318&amp;"-"&amp;B5318&amp;"-"&amp;D5318</f>
        <v>NOVEMBER-CHW-L4</v>
      </c>
    </row>
    <row r="5319" spans="1:17" x14ac:dyDescent="0.25">
      <c r="A5319" t="s">
        <v>401</v>
      </c>
      <c r="B5319" s="13" t="s">
        <v>19</v>
      </c>
      <c r="C5319" s="13" t="s">
        <v>70</v>
      </c>
      <c r="D5319" s="14" t="s">
        <v>158</v>
      </c>
      <c r="E5319" s="13" t="s">
        <v>142</v>
      </c>
      <c r="F5319" s="13" t="s">
        <v>1839</v>
      </c>
      <c r="G5319" s="13">
        <v>1.5</v>
      </c>
      <c r="H5319" s="15">
        <v>298</v>
      </c>
      <c r="I5319" s="16">
        <v>447</v>
      </c>
      <c r="J5319" s="16">
        <v>693.5181818181818</v>
      </c>
      <c r="K5319" s="16">
        <v>-246.5181818181818</v>
      </c>
      <c r="L5319" s="13">
        <v>6.49</v>
      </c>
      <c r="M5319" s="13"/>
      <c r="N5319" s="17">
        <f t="shared" si="175"/>
        <v>1934.02</v>
      </c>
      <c r="O5319" s="17">
        <f t="shared" si="175"/>
        <v>0</v>
      </c>
      <c r="P5319" s="17">
        <f t="shared" si="176"/>
        <v>1934.02</v>
      </c>
      <c r="Q5319" t="str">
        <f>A5319&amp;"-"&amp;B5319&amp;"-"&amp;D5319</f>
        <v>NOVEMBER-CHW-L4</v>
      </c>
    </row>
    <row r="5320" spans="1:17" x14ac:dyDescent="0.25">
      <c r="A5320" t="s">
        <v>401</v>
      </c>
      <c r="B5320" s="13" t="s">
        <v>19</v>
      </c>
      <c r="C5320" s="13" t="s">
        <v>70</v>
      </c>
      <c r="D5320" s="14" t="s">
        <v>158</v>
      </c>
      <c r="E5320" s="13" t="s">
        <v>142</v>
      </c>
      <c r="F5320" s="13" t="s">
        <v>1840</v>
      </c>
      <c r="G5320" s="13">
        <v>1.5</v>
      </c>
      <c r="H5320" s="15">
        <v>155</v>
      </c>
      <c r="I5320" s="16">
        <v>232.5</v>
      </c>
      <c r="J5320" s="16">
        <v>384.76842751842753</v>
      </c>
      <c r="K5320" s="16">
        <v>-152.26842751842753</v>
      </c>
      <c r="L5320" s="13">
        <v>5.95</v>
      </c>
      <c r="M5320" s="13"/>
      <c r="N5320" s="17">
        <f t="shared" si="175"/>
        <v>922.25</v>
      </c>
      <c r="O5320" s="17">
        <f t="shared" si="175"/>
        <v>0</v>
      </c>
      <c r="P5320" s="17">
        <f t="shared" si="176"/>
        <v>922.25</v>
      </c>
      <c r="Q5320" t="str">
        <f>A5320&amp;"-"&amp;B5320&amp;"-"&amp;D5320</f>
        <v>NOVEMBER-CHW-L4</v>
      </c>
    </row>
    <row r="5321" spans="1:17" x14ac:dyDescent="0.25">
      <c r="A5321" t="s">
        <v>401</v>
      </c>
      <c r="B5321" s="13" t="s">
        <v>19</v>
      </c>
      <c r="C5321" s="13" t="s">
        <v>70</v>
      </c>
      <c r="D5321" s="14" t="s">
        <v>158</v>
      </c>
      <c r="E5321" s="13" t="s">
        <v>142</v>
      </c>
      <c r="F5321" s="13" t="s">
        <v>1841</v>
      </c>
      <c r="G5321" s="13">
        <v>1.5</v>
      </c>
      <c r="H5321" s="15">
        <v>920</v>
      </c>
      <c r="I5321" s="16">
        <v>1380</v>
      </c>
      <c r="J5321" s="16">
        <v>1593</v>
      </c>
      <c r="K5321" s="16">
        <v>-213</v>
      </c>
      <c r="L5321" s="13">
        <v>6.25</v>
      </c>
      <c r="M5321" s="13"/>
      <c r="N5321" s="17">
        <f t="shared" si="175"/>
        <v>5750</v>
      </c>
      <c r="O5321" s="17">
        <f t="shared" si="175"/>
        <v>0</v>
      </c>
      <c r="P5321" s="17">
        <f t="shared" si="176"/>
        <v>5750</v>
      </c>
      <c r="Q5321" t="str">
        <f>A5321&amp;"-"&amp;B5321&amp;"-"&amp;D5321</f>
        <v>NOVEMBER-CHW-L4</v>
      </c>
    </row>
    <row r="5322" spans="1:17" x14ac:dyDescent="0.25">
      <c r="A5322" t="s">
        <v>401</v>
      </c>
      <c r="B5322" s="13" t="s">
        <v>19</v>
      </c>
      <c r="C5322" s="13" t="s">
        <v>70</v>
      </c>
      <c r="D5322" s="14" t="s">
        <v>158</v>
      </c>
      <c r="E5322" s="13" t="s">
        <v>142</v>
      </c>
      <c r="F5322" s="13" t="s">
        <v>1022</v>
      </c>
      <c r="G5322" s="13">
        <v>1.5</v>
      </c>
      <c r="H5322" s="15">
        <v>6</v>
      </c>
      <c r="I5322" s="16">
        <v>9</v>
      </c>
      <c r="J5322" s="16">
        <v>31.86</v>
      </c>
      <c r="K5322" s="16">
        <v>-22.86</v>
      </c>
      <c r="L5322" s="13">
        <v>5.42</v>
      </c>
      <c r="M5322" s="13"/>
      <c r="N5322" s="17">
        <f t="shared" si="175"/>
        <v>32.519999999999996</v>
      </c>
      <c r="O5322" s="17">
        <f t="shared" si="175"/>
        <v>0</v>
      </c>
      <c r="P5322" s="17">
        <f t="shared" si="176"/>
        <v>32.519999999999996</v>
      </c>
      <c r="Q5322" t="str">
        <f>A5322&amp;"-"&amp;B5322&amp;"-"&amp;D5322</f>
        <v>NOVEMBER-CHW-L4</v>
      </c>
    </row>
    <row r="5323" spans="1:17" x14ac:dyDescent="0.25">
      <c r="A5323" t="s">
        <v>401</v>
      </c>
      <c r="B5323" s="13" t="s">
        <v>19</v>
      </c>
      <c r="C5323" s="13" t="s">
        <v>70</v>
      </c>
      <c r="D5323" s="14" t="s">
        <v>158</v>
      </c>
      <c r="E5323" s="13" t="s">
        <v>142</v>
      </c>
      <c r="F5323" s="13" t="s">
        <v>1842</v>
      </c>
      <c r="G5323" s="13">
        <v>1.5</v>
      </c>
      <c r="H5323" s="15">
        <v>150</v>
      </c>
      <c r="I5323" s="16">
        <v>225</v>
      </c>
      <c r="J5323" s="16">
        <v>398.25</v>
      </c>
      <c r="K5323" s="16">
        <v>-173.25</v>
      </c>
      <c r="L5323" s="13">
        <v>6.19</v>
      </c>
      <c r="M5323" s="13"/>
      <c r="N5323" s="17">
        <f t="shared" si="175"/>
        <v>928.50000000000011</v>
      </c>
      <c r="O5323" s="17">
        <f t="shared" si="175"/>
        <v>0</v>
      </c>
      <c r="P5323" s="17">
        <f t="shared" si="176"/>
        <v>928.50000000000011</v>
      </c>
      <c r="Q5323" t="str">
        <f>A5323&amp;"-"&amp;B5323&amp;"-"&amp;D5323</f>
        <v>NOVEMBER-CHW-L4</v>
      </c>
    </row>
    <row r="5324" spans="1:17" x14ac:dyDescent="0.25">
      <c r="A5324" t="s">
        <v>401</v>
      </c>
      <c r="B5324" s="13" t="s">
        <v>20</v>
      </c>
      <c r="C5324" s="13" t="s">
        <v>70</v>
      </c>
      <c r="D5324" s="14" t="s">
        <v>56</v>
      </c>
      <c r="E5324" s="13" t="s">
        <v>71</v>
      </c>
      <c r="F5324" s="13" t="s">
        <v>1671</v>
      </c>
      <c r="G5324" s="13">
        <v>5</v>
      </c>
      <c r="H5324" s="15">
        <v>87</v>
      </c>
      <c r="I5324" s="16">
        <v>435</v>
      </c>
      <c r="J5324" s="16">
        <v>438.99934640522878</v>
      </c>
      <c r="K5324" s="16">
        <v>-3.9993464052287777</v>
      </c>
      <c r="L5324" s="13">
        <v>10</v>
      </c>
      <c r="M5324" s="13"/>
      <c r="N5324" s="17">
        <f t="shared" si="175"/>
        <v>870</v>
      </c>
      <c r="O5324" s="17">
        <f t="shared" si="175"/>
        <v>0</v>
      </c>
      <c r="P5324" s="17">
        <f t="shared" si="176"/>
        <v>870</v>
      </c>
      <c r="Q5324" t="str">
        <f>A5324&amp;"-"&amp;B5324&amp;"-"&amp;D5324</f>
        <v>NOVEMBER-CJL-L3</v>
      </c>
    </row>
    <row r="5325" spans="1:17" x14ac:dyDescent="0.25">
      <c r="A5325" t="s">
        <v>401</v>
      </c>
      <c r="B5325" s="13" t="s">
        <v>20</v>
      </c>
      <c r="C5325" s="13" t="s">
        <v>70</v>
      </c>
      <c r="D5325" s="14" t="s">
        <v>56</v>
      </c>
      <c r="E5325" s="13" t="s">
        <v>71</v>
      </c>
      <c r="F5325" s="13" t="s">
        <v>1843</v>
      </c>
      <c r="G5325" s="13">
        <v>5</v>
      </c>
      <c r="H5325" s="15">
        <v>136</v>
      </c>
      <c r="I5325" s="16">
        <v>680</v>
      </c>
      <c r="J5325" s="16">
        <v>890.06617647058818</v>
      </c>
      <c r="K5325" s="16">
        <v>-210.06617647058818</v>
      </c>
      <c r="L5325" s="13">
        <v>14.19</v>
      </c>
      <c r="M5325" s="13"/>
      <c r="N5325" s="17">
        <f t="shared" si="175"/>
        <v>1929.84</v>
      </c>
      <c r="O5325" s="17">
        <f t="shared" si="175"/>
        <v>0</v>
      </c>
      <c r="P5325" s="17">
        <f t="shared" si="176"/>
        <v>1929.84</v>
      </c>
      <c r="Q5325" t="str">
        <f>A5325&amp;"-"&amp;B5325&amp;"-"&amp;D5325</f>
        <v>NOVEMBER-CJL-L3</v>
      </c>
    </row>
    <row r="5326" spans="1:17" x14ac:dyDescent="0.25">
      <c r="A5326" t="s">
        <v>401</v>
      </c>
      <c r="B5326" s="13" t="s">
        <v>20</v>
      </c>
      <c r="C5326" s="13" t="s">
        <v>70</v>
      </c>
      <c r="D5326" s="14" t="s">
        <v>56</v>
      </c>
      <c r="E5326" s="13" t="s">
        <v>71</v>
      </c>
      <c r="F5326" s="13" t="s">
        <v>1844</v>
      </c>
      <c r="G5326" s="13">
        <v>5</v>
      </c>
      <c r="H5326" s="15">
        <v>277</v>
      </c>
      <c r="I5326" s="16">
        <v>1385</v>
      </c>
      <c r="J5326" s="16">
        <v>1424.1058823529411</v>
      </c>
      <c r="K5326" s="16">
        <v>-39.105882352941137</v>
      </c>
      <c r="L5326" s="13">
        <v>13.27</v>
      </c>
      <c r="M5326" s="13"/>
      <c r="N5326" s="17">
        <f t="shared" si="175"/>
        <v>3675.79</v>
      </c>
      <c r="O5326" s="17">
        <f t="shared" si="175"/>
        <v>0</v>
      </c>
      <c r="P5326" s="17">
        <f t="shared" si="176"/>
        <v>3675.79</v>
      </c>
      <c r="Q5326" t="str">
        <f>A5326&amp;"-"&amp;B5326&amp;"-"&amp;D5326</f>
        <v>NOVEMBER-CJL-L3</v>
      </c>
    </row>
    <row r="5327" spans="1:17" x14ac:dyDescent="0.25">
      <c r="A5327" t="s">
        <v>401</v>
      </c>
      <c r="B5327" s="13" t="s">
        <v>20</v>
      </c>
      <c r="C5327" s="13" t="s">
        <v>70</v>
      </c>
      <c r="D5327" s="14" t="s">
        <v>56</v>
      </c>
      <c r="E5327" s="13" t="s">
        <v>71</v>
      </c>
      <c r="F5327" s="13" t="s">
        <v>1674</v>
      </c>
      <c r="G5327" s="13">
        <v>5</v>
      </c>
      <c r="H5327" s="15">
        <v>213</v>
      </c>
      <c r="I5327" s="16">
        <v>1065</v>
      </c>
      <c r="J5327" s="16">
        <v>1090.2150326797384</v>
      </c>
      <c r="K5327" s="16">
        <v>-25.215032679738513</v>
      </c>
      <c r="L5327" s="13">
        <v>12.74</v>
      </c>
      <c r="M5327" s="13"/>
      <c r="N5327" s="17">
        <f t="shared" si="175"/>
        <v>2713.62</v>
      </c>
      <c r="O5327" s="17">
        <f t="shared" si="175"/>
        <v>0</v>
      </c>
      <c r="P5327" s="17">
        <f t="shared" si="176"/>
        <v>2713.62</v>
      </c>
      <c r="Q5327" t="str">
        <f>A5327&amp;"-"&amp;B5327&amp;"-"&amp;D5327</f>
        <v>NOVEMBER-CJL-L3</v>
      </c>
    </row>
    <row r="5328" spans="1:17" x14ac:dyDescent="0.25">
      <c r="A5328" t="s">
        <v>401</v>
      </c>
      <c r="B5328" s="13" t="s">
        <v>20</v>
      </c>
      <c r="C5328" s="13" t="s">
        <v>70</v>
      </c>
      <c r="D5328" s="14" t="s">
        <v>56</v>
      </c>
      <c r="E5328" s="13" t="s">
        <v>71</v>
      </c>
      <c r="F5328" s="13" t="s">
        <v>1675</v>
      </c>
      <c r="G5328" s="13">
        <v>5</v>
      </c>
      <c r="H5328" s="15">
        <v>22</v>
      </c>
      <c r="I5328" s="16">
        <v>110</v>
      </c>
      <c r="J5328" s="16">
        <v>106.82222222222222</v>
      </c>
      <c r="K5328" s="16">
        <v>3.1777777777777771</v>
      </c>
      <c r="L5328" s="13">
        <v>12.98</v>
      </c>
      <c r="M5328" s="13"/>
      <c r="N5328" s="17">
        <f t="shared" si="175"/>
        <v>285.56</v>
      </c>
      <c r="O5328" s="17">
        <f t="shared" si="175"/>
        <v>0</v>
      </c>
      <c r="P5328" s="17">
        <f t="shared" si="176"/>
        <v>285.56</v>
      </c>
      <c r="Q5328" t="str">
        <f>A5328&amp;"-"&amp;B5328&amp;"-"&amp;D5328</f>
        <v>NOVEMBER-CJL-L3</v>
      </c>
    </row>
    <row r="5329" spans="1:17" x14ac:dyDescent="0.25">
      <c r="A5329" t="s">
        <v>401</v>
      </c>
      <c r="B5329" s="13" t="s">
        <v>20</v>
      </c>
      <c r="C5329" s="13" t="s">
        <v>70</v>
      </c>
      <c r="D5329" s="14" t="s">
        <v>56</v>
      </c>
      <c r="E5329" s="13" t="s">
        <v>71</v>
      </c>
      <c r="F5329" s="13" t="s">
        <v>1845</v>
      </c>
      <c r="G5329" s="13">
        <v>4.8</v>
      </c>
      <c r="H5329" s="15">
        <v>253</v>
      </c>
      <c r="I5329" s="16">
        <v>1214.3999999999999</v>
      </c>
      <c r="J5329" s="16">
        <v>1300.4320261437908</v>
      </c>
      <c r="K5329" s="16">
        <v>-86.032026143790816</v>
      </c>
      <c r="L5329" s="13">
        <v>14.76</v>
      </c>
      <c r="M5329" s="13"/>
      <c r="N5329" s="17">
        <f t="shared" si="175"/>
        <v>3734.2799999999997</v>
      </c>
      <c r="O5329" s="17">
        <f t="shared" si="175"/>
        <v>0</v>
      </c>
      <c r="P5329" s="17">
        <f t="shared" si="176"/>
        <v>3734.2799999999997</v>
      </c>
      <c r="Q5329" t="str">
        <f>A5329&amp;"-"&amp;B5329&amp;"-"&amp;D5329</f>
        <v>NOVEMBER-CJL-L3</v>
      </c>
    </row>
    <row r="5330" spans="1:17" x14ac:dyDescent="0.25">
      <c r="A5330" t="s">
        <v>401</v>
      </c>
      <c r="B5330" s="13" t="s">
        <v>20</v>
      </c>
      <c r="C5330" s="13" t="s">
        <v>70</v>
      </c>
      <c r="D5330" s="14" t="s">
        <v>56</v>
      </c>
      <c r="E5330" s="13" t="s">
        <v>71</v>
      </c>
      <c r="F5330" s="13" t="s">
        <v>1677</v>
      </c>
      <c r="G5330" s="13">
        <v>5</v>
      </c>
      <c r="H5330" s="15">
        <v>344</v>
      </c>
      <c r="I5330" s="16">
        <v>1720</v>
      </c>
      <c r="J5330" s="16">
        <v>1800.5440476190477</v>
      </c>
      <c r="K5330" s="16">
        <v>-80.544047619047618</v>
      </c>
      <c r="L5330" s="13">
        <v>13.82</v>
      </c>
      <c r="M5330" s="13"/>
      <c r="N5330" s="17">
        <f t="shared" si="175"/>
        <v>4754.08</v>
      </c>
      <c r="O5330" s="17">
        <f t="shared" si="175"/>
        <v>0</v>
      </c>
      <c r="P5330" s="17">
        <f t="shared" si="176"/>
        <v>4754.08</v>
      </c>
      <c r="Q5330" t="str">
        <f>A5330&amp;"-"&amp;B5330&amp;"-"&amp;D5330</f>
        <v>NOVEMBER-CJL-L3</v>
      </c>
    </row>
    <row r="5331" spans="1:17" x14ac:dyDescent="0.25">
      <c r="A5331" t="s">
        <v>401</v>
      </c>
      <c r="B5331" s="13" t="s">
        <v>20</v>
      </c>
      <c r="C5331" s="13" t="s">
        <v>70</v>
      </c>
      <c r="D5331" s="14" t="s">
        <v>56</v>
      </c>
      <c r="E5331" s="13" t="s">
        <v>71</v>
      </c>
      <c r="F5331" s="13" t="s">
        <v>1846</v>
      </c>
      <c r="G5331" s="13">
        <v>5</v>
      </c>
      <c r="H5331" s="15">
        <v>924</v>
      </c>
      <c r="I5331" s="16">
        <v>4620</v>
      </c>
      <c r="J5331" s="16">
        <v>4974.0831349206346</v>
      </c>
      <c r="K5331" s="16">
        <v>-354.08313492063496</v>
      </c>
      <c r="L5331" s="13">
        <v>10.32</v>
      </c>
      <c r="M5331" s="13"/>
      <c r="N5331" s="17">
        <f t="shared" si="175"/>
        <v>9535.68</v>
      </c>
      <c r="O5331" s="17">
        <f t="shared" si="175"/>
        <v>0</v>
      </c>
      <c r="P5331" s="17">
        <f t="shared" si="176"/>
        <v>9535.68</v>
      </c>
      <c r="Q5331" t="str">
        <f>A5331&amp;"-"&amp;B5331&amp;"-"&amp;D5331</f>
        <v>NOVEMBER-CJL-L3</v>
      </c>
    </row>
    <row r="5332" spans="1:17" x14ac:dyDescent="0.25">
      <c r="A5332" t="s">
        <v>401</v>
      </c>
      <c r="B5332" s="13" t="s">
        <v>20</v>
      </c>
      <c r="C5332" s="13" t="s">
        <v>70</v>
      </c>
      <c r="D5332" s="14" t="s">
        <v>56</v>
      </c>
      <c r="E5332" s="13" t="s">
        <v>71</v>
      </c>
      <c r="F5332" s="13" t="s">
        <v>1847</v>
      </c>
      <c r="G5332" s="13">
        <v>4.7999999999999989</v>
      </c>
      <c r="H5332" s="15">
        <v>275</v>
      </c>
      <c r="I5332" s="16">
        <v>1319.9999999999998</v>
      </c>
      <c r="J5332" s="16">
        <v>3251.3248832866479</v>
      </c>
      <c r="K5332" s="16">
        <v>-1931.3248832866477</v>
      </c>
      <c r="L5332" s="13">
        <v>12.42</v>
      </c>
      <c r="M5332" s="13"/>
      <c r="N5332" s="17">
        <f t="shared" si="175"/>
        <v>3415.5</v>
      </c>
      <c r="O5332" s="17">
        <f t="shared" si="175"/>
        <v>0</v>
      </c>
      <c r="P5332" s="17">
        <f t="shared" si="176"/>
        <v>3415.5</v>
      </c>
      <c r="Q5332" t="str">
        <f>A5332&amp;"-"&amp;B5332&amp;"-"&amp;D5332</f>
        <v>NOVEMBER-CJL-L3</v>
      </c>
    </row>
    <row r="5333" spans="1:17" x14ac:dyDescent="0.25">
      <c r="A5333" t="s">
        <v>401</v>
      </c>
      <c r="B5333" s="13" t="s">
        <v>20</v>
      </c>
      <c r="C5333" s="13" t="s">
        <v>70</v>
      </c>
      <c r="D5333" s="14" t="s">
        <v>56</v>
      </c>
      <c r="E5333" s="13" t="s">
        <v>71</v>
      </c>
      <c r="F5333" s="13" t="s">
        <v>1848</v>
      </c>
      <c r="G5333" s="13">
        <v>5</v>
      </c>
      <c r="H5333" s="15">
        <v>423</v>
      </c>
      <c r="I5333" s="16">
        <v>2115</v>
      </c>
      <c r="J5333" s="16">
        <v>2479.9749999999999</v>
      </c>
      <c r="K5333" s="16">
        <v>-364.97500000000008</v>
      </c>
      <c r="L5333" s="13">
        <v>11.73</v>
      </c>
      <c r="M5333" s="13"/>
      <c r="N5333" s="17">
        <f t="shared" si="175"/>
        <v>4961.79</v>
      </c>
      <c r="O5333" s="17">
        <f t="shared" si="175"/>
        <v>0</v>
      </c>
      <c r="P5333" s="17">
        <f t="shared" si="176"/>
        <v>4961.79</v>
      </c>
      <c r="Q5333" t="str">
        <f>A5333&amp;"-"&amp;B5333&amp;"-"&amp;D5333</f>
        <v>NOVEMBER-CJL-L3</v>
      </c>
    </row>
    <row r="5334" spans="1:17" x14ac:dyDescent="0.25">
      <c r="A5334" t="s">
        <v>401</v>
      </c>
      <c r="B5334" s="13" t="s">
        <v>20</v>
      </c>
      <c r="C5334" s="13" t="s">
        <v>70</v>
      </c>
      <c r="D5334" s="14" t="s">
        <v>56</v>
      </c>
      <c r="E5334" s="13" t="s">
        <v>71</v>
      </c>
      <c r="F5334" s="13" t="s">
        <v>1849</v>
      </c>
      <c r="G5334" s="13">
        <v>5</v>
      </c>
      <c r="H5334" s="15">
        <v>173</v>
      </c>
      <c r="I5334" s="16">
        <v>865</v>
      </c>
      <c r="J5334" s="16">
        <v>840.61805555555566</v>
      </c>
      <c r="K5334" s="16">
        <v>24.381944444444393</v>
      </c>
      <c r="L5334" s="13">
        <v>12.71</v>
      </c>
      <c r="M5334" s="13"/>
      <c r="N5334" s="17">
        <f t="shared" si="175"/>
        <v>2198.83</v>
      </c>
      <c r="O5334" s="17">
        <f t="shared" si="175"/>
        <v>0</v>
      </c>
      <c r="P5334" s="17">
        <f t="shared" si="176"/>
        <v>2198.83</v>
      </c>
      <c r="Q5334" t="str">
        <f>A5334&amp;"-"&amp;B5334&amp;"-"&amp;D5334</f>
        <v>NOVEMBER-CJL-L3</v>
      </c>
    </row>
    <row r="5335" spans="1:17" x14ac:dyDescent="0.25">
      <c r="A5335" t="s">
        <v>401</v>
      </c>
      <c r="B5335" s="13" t="s">
        <v>20</v>
      </c>
      <c r="C5335" s="13" t="s">
        <v>70</v>
      </c>
      <c r="D5335" s="14" t="s">
        <v>56</v>
      </c>
      <c r="E5335" s="13" t="s">
        <v>71</v>
      </c>
      <c r="F5335" s="13" t="s">
        <v>1850</v>
      </c>
      <c r="G5335" s="13">
        <v>5</v>
      </c>
      <c r="H5335" s="15">
        <v>118</v>
      </c>
      <c r="I5335" s="16">
        <v>590</v>
      </c>
      <c r="J5335" s="16">
        <v>625.67301587301586</v>
      </c>
      <c r="K5335" s="16">
        <v>-35.6730158730158</v>
      </c>
      <c r="L5335" s="13">
        <v>13.02</v>
      </c>
      <c r="M5335" s="13"/>
      <c r="N5335" s="17">
        <f t="shared" si="175"/>
        <v>1536.36</v>
      </c>
      <c r="O5335" s="17">
        <f t="shared" si="175"/>
        <v>0</v>
      </c>
      <c r="P5335" s="17">
        <f t="shared" si="176"/>
        <v>1536.36</v>
      </c>
      <c r="Q5335" t="str">
        <f>A5335&amp;"-"&amp;B5335&amp;"-"&amp;D5335</f>
        <v>NOVEMBER-CJL-L3</v>
      </c>
    </row>
    <row r="5336" spans="1:17" x14ac:dyDescent="0.25">
      <c r="A5336" t="s">
        <v>401</v>
      </c>
      <c r="B5336" s="13" t="s">
        <v>20</v>
      </c>
      <c r="C5336" s="13" t="s">
        <v>70</v>
      </c>
      <c r="D5336" s="14" t="s">
        <v>56</v>
      </c>
      <c r="E5336" s="13" t="s">
        <v>71</v>
      </c>
      <c r="F5336" s="13" t="s">
        <v>1679</v>
      </c>
      <c r="G5336" s="13">
        <v>5</v>
      </c>
      <c r="H5336" s="15">
        <v>1</v>
      </c>
      <c r="I5336" s="16">
        <v>5</v>
      </c>
      <c r="J5336" s="16">
        <v>5.1411764705882348</v>
      </c>
      <c r="K5336" s="16">
        <v>-0.14117647058823479</v>
      </c>
      <c r="L5336" s="13">
        <v>12.93</v>
      </c>
      <c r="M5336" s="13"/>
      <c r="N5336" s="17">
        <f t="shared" si="175"/>
        <v>12.93</v>
      </c>
      <c r="O5336" s="17">
        <f t="shared" si="175"/>
        <v>0</v>
      </c>
      <c r="P5336" s="17">
        <f t="shared" si="176"/>
        <v>12.93</v>
      </c>
      <c r="Q5336" t="str">
        <f>A5336&amp;"-"&amp;B5336&amp;"-"&amp;D5336</f>
        <v>NOVEMBER-CJL-L3</v>
      </c>
    </row>
    <row r="5337" spans="1:17" x14ac:dyDescent="0.25">
      <c r="A5337" t="s">
        <v>401</v>
      </c>
      <c r="B5337" s="13" t="s">
        <v>22</v>
      </c>
      <c r="C5337" s="13" t="s">
        <v>1851</v>
      </c>
      <c r="D5337" s="14" t="s">
        <v>50</v>
      </c>
      <c r="E5337" s="13" t="s">
        <v>155</v>
      </c>
      <c r="F5337" s="13" t="s">
        <v>1852</v>
      </c>
      <c r="G5337" s="13">
        <v>0.42</v>
      </c>
      <c r="H5337" s="15">
        <v>4817</v>
      </c>
      <c r="I5337" s="16">
        <v>2023.14</v>
      </c>
      <c r="J5337" s="16">
        <v>2406.86</v>
      </c>
      <c r="K5337" s="16">
        <v>-383.72</v>
      </c>
      <c r="L5337" s="13"/>
      <c r="M5337" s="13"/>
      <c r="N5337" s="17">
        <f t="shared" si="175"/>
        <v>0</v>
      </c>
      <c r="O5337" s="17">
        <f t="shared" si="175"/>
        <v>0</v>
      </c>
      <c r="P5337" s="17">
        <f t="shared" si="176"/>
        <v>0</v>
      </c>
      <c r="Q5337" t="str">
        <f>A5337&amp;"-"&amp;B5337&amp;"-"&amp;D5337</f>
        <v>NOVEMBER-CNJ2-L2</v>
      </c>
    </row>
    <row r="5338" spans="1:17" x14ac:dyDescent="0.25">
      <c r="A5338" t="s">
        <v>401</v>
      </c>
      <c r="B5338" s="13" t="s">
        <v>22</v>
      </c>
      <c r="C5338" s="13" t="s">
        <v>1851</v>
      </c>
      <c r="D5338" s="14" t="s">
        <v>160</v>
      </c>
      <c r="E5338" s="13" t="s">
        <v>155</v>
      </c>
      <c r="F5338" s="13" t="s">
        <v>1852</v>
      </c>
      <c r="G5338" s="13">
        <v>0.42000000000000004</v>
      </c>
      <c r="H5338" s="15">
        <v>14662</v>
      </c>
      <c r="I5338" s="16">
        <v>6158.0400000000009</v>
      </c>
      <c r="J5338" s="16">
        <v>6109.72</v>
      </c>
      <c r="K5338" s="16">
        <v>48.320000000000107</v>
      </c>
      <c r="L5338" s="13"/>
      <c r="M5338" s="13"/>
      <c r="N5338" s="17">
        <f t="shared" si="175"/>
        <v>0</v>
      </c>
      <c r="O5338" s="17">
        <f t="shared" si="175"/>
        <v>0</v>
      </c>
      <c r="P5338" s="17">
        <f t="shared" si="176"/>
        <v>0</v>
      </c>
      <c r="Q5338" t="str">
        <f>A5338&amp;"-"&amp;B5338&amp;"-"&amp;D5338</f>
        <v>NOVEMBER-CNJ2-L5</v>
      </c>
    </row>
    <row r="5339" spans="1:17" x14ac:dyDescent="0.25">
      <c r="A5339" t="s">
        <v>401</v>
      </c>
      <c r="B5339" s="13" t="s">
        <v>22</v>
      </c>
      <c r="C5339" s="13" t="s">
        <v>1851</v>
      </c>
      <c r="D5339" s="14" t="s">
        <v>163</v>
      </c>
      <c r="E5339" s="13" t="s">
        <v>155</v>
      </c>
      <c r="F5339" s="13" t="s">
        <v>1852</v>
      </c>
      <c r="G5339" s="13">
        <v>0.42</v>
      </c>
      <c r="H5339" s="15">
        <v>2978</v>
      </c>
      <c r="I5339" s="16">
        <v>1250.7600000000002</v>
      </c>
      <c r="J5339" s="16">
        <v>2401.92</v>
      </c>
      <c r="K5339" s="16">
        <v>-1151.1599999999999</v>
      </c>
      <c r="L5339" s="13"/>
      <c r="M5339" s="13"/>
      <c r="N5339" s="17">
        <f t="shared" si="175"/>
        <v>0</v>
      </c>
      <c r="O5339" s="17">
        <f t="shared" si="175"/>
        <v>0</v>
      </c>
      <c r="P5339" s="17">
        <f t="shared" si="176"/>
        <v>0</v>
      </c>
      <c r="Q5339" t="str">
        <f>A5339&amp;"-"&amp;B5339&amp;"-"&amp;D5339</f>
        <v>NOVEMBER-CNJ2-L6</v>
      </c>
    </row>
    <row r="5340" spans="1:17" x14ac:dyDescent="0.25">
      <c r="A5340" t="s">
        <v>401</v>
      </c>
      <c r="B5340" s="13" t="s">
        <v>22</v>
      </c>
      <c r="C5340" s="13" t="s">
        <v>1851</v>
      </c>
      <c r="D5340" s="14" t="s">
        <v>164</v>
      </c>
      <c r="E5340" s="13" t="s">
        <v>155</v>
      </c>
      <c r="F5340" s="13" t="s">
        <v>1852</v>
      </c>
      <c r="G5340" s="13">
        <v>0.42000000000000004</v>
      </c>
      <c r="H5340" s="15">
        <v>8934</v>
      </c>
      <c r="I5340" s="16">
        <v>3752.2799999999997</v>
      </c>
      <c r="J5340" s="16">
        <v>5820.5239999999994</v>
      </c>
      <c r="K5340" s="16">
        <v>-2068.2439999999997</v>
      </c>
      <c r="L5340" s="13"/>
      <c r="M5340" s="13"/>
      <c r="N5340" s="17">
        <f t="shared" si="175"/>
        <v>0</v>
      </c>
      <c r="O5340" s="17">
        <f t="shared" si="175"/>
        <v>0</v>
      </c>
      <c r="P5340" s="17">
        <f t="shared" si="176"/>
        <v>0</v>
      </c>
      <c r="Q5340" t="str">
        <f>A5340&amp;"-"&amp;B5340&amp;"-"&amp;D5340</f>
        <v>NOVEMBER-CNJ2-L7</v>
      </c>
    </row>
    <row r="5341" spans="1:17" x14ac:dyDescent="0.25">
      <c r="A5341" t="s">
        <v>401</v>
      </c>
      <c r="B5341" s="13" t="s">
        <v>22</v>
      </c>
      <c r="C5341" s="13" t="s">
        <v>154</v>
      </c>
      <c r="D5341" s="14" t="s">
        <v>158</v>
      </c>
      <c r="E5341" s="13" t="s">
        <v>155</v>
      </c>
      <c r="F5341" s="13" t="s">
        <v>1687</v>
      </c>
      <c r="G5341" s="13">
        <v>0.52</v>
      </c>
      <c r="H5341" s="15">
        <v>10</v>
      </c>
      <c r="I5341" s="16">
        <v>5.2</v>
      </c>
      <c r="J5341" s="16">
        <v>4.6285714285714281</v>
      </c>
      <c r="K5341" s="16">
        <v>0.57142857142857206</v>
      </c>
      <c r="L5341" s="13">
        <v>1.42</v>
      </c>
      <c r="M5341" s="13"/>
      <c r="N5341" s="17">
        <f t="shared" si="175"/>
        <v>14.2</v>
      </c>
      <c r="O5341" s="17">
        <f t="shared" si="175"/>
        <v>0</v>
      </c>
      <c r="P5341" s="17">
        <f t="shared" si="176"/>
        <v>14.2</v>
      </c>
      <c r="Q5341" t="str">
        <f>A5341&amp;"-"&amp;B5341&amp;"-"&amp;D5341</f>
        <v>NOVEMBER-CNJ2-L4</v>
      </c>
    </row>
    <row r="5342" spans="1:17" x14ac:dyDescent="0.25">
      <c r="A5342" t="s">
        <v>401</v>
      </c>
      <c r="B5342" s="13" t="s">
        <v>22</v>
      </c>
      <c r="C5342" s="13" t="s">
        <v>154</v>
      </c>
      <c r="D5342" s="14" t="s">
        <v>158</v>
      </c>
      <c r="E5342" s="13" t="s">
        <v>155</v>
      </c>
      <c r="F5342" s="13" t="s">
        <v>1688</v>
      </c>
      <c r="G5342" s="13">
        <v>0.52</v>
      </c>
      <c r="H5342" s="15">
        <v>33</v>
      </c>
      <c r="I5342" s="16">
        <v>17.16</v>
      </c>
      <c r="J5342" s="16">
        <v>15.274285714285716</v>
      </c>
      <c r="K5342" s="16">
        <v>1.8857142857142843</v>
      </c>
      <c r="L5342" s="13">
        <v>1.42</v>
      </c>
      <c r="M5342" s="13"/>
      <c r="N5342" s="17">
        <f t="shared" si="175"/>
        <v>46.86</v>
      </c>
      <c r="O5342" s="17">
        <f t="shared" si="175"/>
        <v>0</v>
      </c>
      <c r="P5342" s="17">
        <f t="shared" si="176"/>
        <v>46.86</v>
      </c>
      <c r="Q5342" t="str">
        <f>A5342&amp;"-"&amp;B5342&amp;"-"&amp;D5342</f>
        <v>NOVEMBER-CNJ2-L4</v>
      </c>
    </row>
    <row r="5343" spans="1:17" x14ac:dyDescent="0.25">
      <c r="A5343" t="s">
        <v>401</v>
      </c>
      <c r="B5343" s="13" t="s">
        <v>22</v>
      </c>
      <c r="C5343" s="13" t="s">
        <v>154</v>
      </c>
      <c r="D5343" s="14" t="s">
        <v>158</v>
      </c>
      <c r="E5343" s="13" t="s">
        <v>155</v>
      </c>
      <c r="F5343" s="13" t="s">
        <v>1610</v>
      </c>
      <c r="G5343" s="13">
        <v>0.5</v>
      </c>
      <c r="H5343" s="15">
        <v>339</v>
      </c>
      <c r="I5343" s="16">
        <v>169.5</v>
      </c>
      <c r="J5343" s="16">
        <v>297.65853658536588</v>
      </c>
      <c r="K5343" s="16">
        <v>-128.15853658536588</v>
      </c>
      <c r="L5343" s="13">
        <v>1.47</v>
      </c>
      <c r="M5343" s="13"/>
      <c r="N5343" s="17">
        <f t="shared" si="175"/>
        <v>498.33</v>
      </c>
      <c r="O5343" s="17">
        <f t="shared" si="175"/>
        <v>0</v>
      </c>
      <c r="P5343" s="17">
        <f t="shared" si="176"/>
        <v>498.33</v>
      </c>
      <c r="Q5343" t="str">
        <f>A5343&amp;"-"&amp;B5343&amp;"-"&amp;D5343</f>
        <v>NOVEMBER-CNJ2-L4</v>
      </c>
    </row>
    <row r="5344" spans="1:17" x14ac:dyDescent="0.25">
      <c r="A5344" t="s">
        <v>401</v>
      </c>
      <c r="B5344" s="13" t="s">
        <v>22</v>
      </c>
      <c r="C5344" s="13" t="s">
        <v>154</v>
      </c>
      <c r="D5344" s="14" t="s">
        <v>158</v>
      </c>
      <c r="E5344" s="13" t="s">
        <v>155</v>
      </c>
      <c r="F5344" s="13" t="s">
        <v>1689</v>
      </c>
      <c r="G5344" s="13">
        <v>0.5</v>
      </c>
      <c r="H5344" s="15">
        <v>10</v>
      </c>
      <c r="I5344" s="16">
        <v>5</v>
      </c>
      <c r="J5344" s="16">
        <v>4.6285714285714281</v>
      </c>
      <c r="K5344" s="16">
        <v>0.37142857142857189</v>
      </c>
      <c r="L5344" s="13">
        <v>1.47</v>
      </c>
      <c r="M5344" s="13"/>
      <c r="N5344" s="17">
        <f t="shared" si="175"/>
        <v>14.7</v>
      </c>
      <c r="O5344" s="17">
        <f t="shared" si="175"/>
        <v>0</v>
      </c>
      <c r="P5344" s="17">
        <f t="shared" si="176"/>
        <v>14.7</v>
      </c>
      <c r="Q5344" t="str">
        <f>A5344&amp;"-"&amp;B5344&amp;"-"&amp;D5344</f>
        <v>NOVEMBER-CNJ2-L4</v>
      </c>
    </row>
    <row r="5345" spans="1:17" x14ac:dyDescent="0.25">
      <c r="A5345" t="s">
        <v>401</v>
      </c>
      <c r="B5345" s="13" t="s">
        <v>22</v>
      </c>
      <c r="C5345" s="13" t="s">
        <v>154</v>
      </c>
      <c r="D5345" s="14" t="s">
        <v>158</v>
      </c>
      <c r="E5345" s="13" t="s">
        <v>155</v>
      </c>
      <c r="F5345" s="13" t="s">
        <v>1853</v>
      </c>
      <c r="G5345" s="13">
        <v>0.5</v>
      </c>
      <c r="H5345" s="15">
        <v>492</v>
      </c>
      <c r="I5345" s="16">
        <v>246</v>
      </c>
      <c r="J5345" s="16">
        <v>227.72571428571428</v>
      </c>
      <c r="K5345" s="16">
        <v>18.274285714285725</v>
      </c>
      <c r="L5345" s="13">
        <v>1.46</v>
      </c>
      <c r="M5345" s="13"/>
      <c r="N5345" s="17">
        <f t="shared" si="175"/>
        <v>718.31999999999994</v>
      </c>
      <c r="O5345" s="17">
        <f t="shared" si="175"/>
        <v>0</v>
      </c>
      <c r="P5345" s="17">
        <f t="shared" si="176"/>
        <v>718.31999999999994</v>
      </c>
      <c r="Q5345" t="str">
        <f>A5345&amp;"-"&amp;B5345&amp;"-"&amp;D5345</f>
        <v>NOVEMBER-CNJ2-L4</v>
      </c>
    </row>
    <row r="5346" spans="1:17" x14ac:dyDescent="0.25">
      <c r="A5346" t="s">
        <v>401</v>
      </c>
      <c r="B5346" s="13" t="s">
        <v>22</v>
      </c>
      <c r="C5346" s="13" t="s">
        <v>154</v>
      </c>
      <c r="D5346" s="14" t="s">
        <v>158</v>
      </c>
      <c r="E5346" s="13" t="s">
        <v>155</v>
      </c>
      <c r="F5346" s="13" t="s">
        <v>1615</v>
      </c>
      <c r="G5346" s="13">
        <v>0.5</v>
      </c>
      <c r="H5346" s="15">
        <v>282</v>
      </c>
      <c r="I5346" s="16">
        <v>141</v>
      </c>
      <c r="J5346" s="16">
        <v>130.52571428571429</v>
      </c>
      <c r="K5346" s="16">
        <v>10.474285714285713</v>
      </c>
      <c r="L5346" s="13">
        <v>1.47</v>
      </c>
      <c r="M5346" s="13"/>
      <c r="N5346" s="17">
        <f t="shared" si="175"/>
        <v>414.54</v>
      </c>
      <c r="O5346" s="17">
        <f t="shared" si="175"/>
        <v>0</v>
      </c>
      <c r="P5346" s="17">
        <f t="shared" si="176"/>
        <v>414.54</v>
      </c>
      <c r="Q5346" t="str">
        <f>A5346&amp;"-"&amp;B5346&amp;"-"&amp;D5346</f>
        <v>NOVEMBER-CNJ2-L4</v>
      </c>
    </row>
    <row r="5347" spans="1:17" x14ac:dyDescent="0.25">
      <c r="A5347" t="s">
        <v>401</v>
      </c>
      <c r="B5347" s="13" t="s">
        <v>22</v>
      </c>
      <c r="C5347" s="13" t="s">
        <v>154</v>
      </c>
      <c r="D5347" s="14" t="s">
        <v>158</v>
      </c>
      <c r="E5347" s="13" t="s">
        <v>155</v>
      </c>
      <c r="F5347" s="13" t="s">
        <v>1854</v>
      </c>
      <c r="G5347" s="13">
        <v>0.5</v>
      </c>
      <c r="H5347" s="15">
        <v>2613</v>
      </c>
      <c r="I5347" s="16">
        <v>1306.5</v>
      </c>
      <c r="J5347" s="16">
        <v>1449.3245940617646</v>
      </c>
      <c r="K5347" s="16">
        <v>-142.8245940617648</v>
      </c>
      <c r="L5347" s="13">
        <v>1.47</v>
      </c>
      <c r="M5347" s="13"/>
      <c r="N5347" s="17">
        <f t="shared" si="175"/>
        <v>3841.11</v>
      </c>
      <c r="O5347" s="17">
        <f t="shared" si="175"/>
        <v>0</v>
      </c>
      <c r="P5347" s="17">
        <f t="shared" si="176"/>
        <v>3841.11</v>
      </c>
      <c r="Q5347" t="str">
        <f>A5347&amp;"-"&amp;B5347&amp;"-"&amp;D5347</f>
        <v>NOVEMBER-CNJ2-L4</v>
      </c>
    </row>
    <row r="5348" spans="1:17" x14ac:dyDescent="0.25">
      <c r="A5348" t="s">
        <v>401</v>
      </c>
      <c r="B5348" s="13" t="s">
        <v>22</v>
      </c>
      <c r="C5348" s="13" t="s">
        <v>154</v>
      </c>
      <c r="D5348" s="14" t="s">
        <v>158</v>
      </c>
      <c r="E5348" s="13" t="s">
        <v>155</v>
      </c>
      <c r="F5348" s="13" t="s">
        <v>1855</v>
      </c>
      <c r="G5348" s="13">
        <v>0.5</v>
      </c>
      <c r="H5348" s="15">
        <v>810</v>
      </c>
      <c r="I5348" s="16">
        <v>405</v>
      </c>
      <c r="J5348" s="16">
        <v>388.28653968253968</v>
      </c>
      <c r="K5348" s="16">
        <v>16.713460317460303</v>
      </c>
      <c r="L5348" s="13">
        <v>1.47</v>
      </c>
      <c r="M5348" s="13"/>
      <c r="N5348" s="17">
        <f t="shared" si="175"/>
        <v>1190.7</v>
      </c>
      <c r="O5348" s="17">
        <f t="shared" si="175"/>
        <v>0</v>
      </c>
      <c r="P5348" s="17">
        <f t="shared" si="176"/>
        <v>1190.7</v>
      </c>
      <c r="Q5348" t="str">
        <f>A5348&amp;"-"&amp;B5348&amp;"-"&amp;D5348</f>
        <v>NOVEMBER-CNJ2-L4</v>
      </c>
    </row>
    <row r="5349" spans="1:17" x14ac:dyDescent="0.25">
      <c r="A5349" t="s">
        <v>401</v>
      </c>
      <c r="B5349" s="13" t="s">
        <v>22</v>
      </c>
      <c r="C5349" s="13" t="s">
        <v>154</v>
      </c>
      <c r="D5349" s="14" t="s">
        <v>158</v>
      </c>
      <c r="E5349" s="13" t="s">
        <v>155</v>
      </c>
      <c r="F5349" s="13" t="s">
        <v>1856</v>
      </c>
      <c r="G5349" s="13">
        <v>0.5</v>
      </c>
      <c r="H5349" s="15">
        <v>574</v>
      </c>
      <c r="I5349" s="16">
        <v>287</v>
      </c>
      <c r="J5349" s="16">
        <v>270.66461538461539</v>
      </c>
      <c r="K5349" s="16">
        <v>16.335384615384612</v>
      </c>
      <c r="L5349" s="13">
        <v>1.47</v>
      </c>
      <c r="M5349" s="13"/>
      <c r="N5349" s="17">
        <f t="shared" si="175"/>
        <v>843.78</v>
      </c>
      <c r="O5349" s="17">
        <f t="shared" si="175"/>
        <v>0</v>
      </c>
      <c r="P5349" s="17">
        <f t="shared" si="176"/>
        <v>843.78</v>
      </c>
      <c r="Q5349" t="str">
        <f>A5349&amp;"-"&amp;B5349&amp;"-"&amp;D5349</f>
        <v>NOVEMBER-CNJ2-L4</v>
      </c>
    </row>
    <row r="5350" spans="1:17" x14ac:dyDescent="0.25">
      <c r="A5350" t="s">
        <v>401</v>
      </c>
      <c r="B5350" s="13" t="s">
        <v>22</v>
      </c>
      <c r="C5350" s="13" t="s">
        <v>154</v>
      </c>
      <c r="D5350" s="14" t="s">
        <v>158</v>
      </c>
      <c r="E5350" s="13" t="s">
        <v>155</v>
      </c>
      <c r="F5350" s="13" t="s">
        <v>1857</v>
      </c>
      <c r="G5350" s="13">
        <v>0.5</v>
      </c>
      <c r="H5350" s="15">
        <v>575</v>
      </c>
      <c r="I5350" s="16">
        <v>287.5</v>
      </c>
      <c r="J5350" s="16">
        <v>266.14285714285711</v>
      </c>
      <c r="K5350" s="16">
        <v>21.35714285714289</v>
      </c>
      <c r="L5350" s="13">
        <v>1.46</v>
      </c>
      <c r="M5350" s="13"/>
      <c r="N5350" s="17">
        <f t="shared" ref="N5350:O5409" si="177">$H5350*L5350</f>
        <v>839.5</v>
      </c>
      <c r="O5350" s="17">
        <f t="shared" si="177"/>
        <v>0</v>
      </c>
      <c r="P5350" s="17">
        <f t="shared" si="176"/>
        <v>839.5</v>
      </c>
      <c r="Q5350" t="str">
        <f>A5350&amp;"-"&amp;B5350&amp;"-"&amp;D5350</f>
        <v>NOVEMBER-CNJ2-L4</v>
      </c>
    </row>
    <row r="5351" spans="1:17" x14ac:dyDescent="0.25">
      <c r="A5351" t="s">
        <v>401</v>
      </c>
      <c r="B5351" s="13" t="s">
        <v>22</v>
      </c>
      <c r="C5351" s="13" t="s">
        <v>154</v>
      </c>
      <c r="D5351" s="14" t="s">
        <v>160</v>
      </c>
      <c r="E5351" s="13" t="s">
        <v>155</v>
      </c>
      <c r="F5351" s="13" t="s">
        <v>1687</v>
      </c>
      <c r="G5351" s="13">
        <v>0.52</v>
      </c>
      <c r="H5351" s="15">
        <v>10</v>
      </c>
      <c r="I5351" s="16">
        <v>5.2</v>
      </c>
      <c r="J5351" s="16">
        <v>4.32</v>
      </c>
      <c r="K5351" s="16">
        <v>0.87999999999999989</v>
      </c>
      <c r="L5351" s="13">
        <v>1.42</v>
      </c>
      <c r="M5351" s="13"/>
      <c r="N5351" s="17">
        <f t="shared" si="177"/>
        <v>14.2</v>
      </c>
      <c r="O5351" s="17">
        <f t="shared" si="177"/>
        <v>0</v>
      </c>
      <c r="P5351" s="17">
        <f t="shared" si="176"/>
        <v>14.2</v>
      </c>
      <c r="Q5351" t="str">
        <f>A5351&amp;"-"&amp;B5351&amp;"-"&amp;D5351</f>
        <v>NOVEMBER-CNJ2-L5</v>
      </c>
    </row>
    <row r="5352" spans="1:17" x14ac:dyDescent="0.25">
      <c r="A5352" t="s">
        <v>401</v>
      </c>
      <c r="B5352" s="13" t="s">
        <v>22</v>
      </c>
      <c r="C5352" s="13" t="s">
        <v>154</v>
      </c>
      <c r="D5352" s="14" t="s">
        <v>160</v>
      </c>
      <c r="E5352" s="13" t="s">
        <v>155</v>
      </c>
      <c r="F5352" s="13" t="s">
        <v>1688</v>
      </c>
      <c r="G5352" s="13">
        <v>0.52</v>
      </c>
      <c r="H5352" s="15">
        <v>22</v>
      </c>
      <c r="I5352" s="16">
        <v>11.44</v>
      </c>
      <c r="J5352" s="16">
        <v>9.5039999999999996</v>
      </c>
      <c r="K5352" s="16">
        <v>1.9359999999999999</v>
      </c>
      <c r="L5352" s="13">
        <v>1.42</v>
      </c>
      <c r="M5352" s="13"/>
      <c r="N5352" s="17">
        <f t="shared" si="177"/>
        <v>31.24</v>
      </c>
      <c r="O5352" s="17">
        <f t="shared" si="177"/>
        <v>0</v>
      </c>
      <c r="P5352" s="17">
        <f t="shared" si="176"/>
        <v>31.24</v>
      </c>
      <c r="Q5352" t="str">
        <f>A5352&amp;"-"&amp;B5352&amp;"-"&amp;D5352</f>
        <v>NOVEMBER-CNJ2-L5</v>
      </c>
    </row>
    <row r="5353" spans="1:17" x14ac:dyDescent="0.25">
      <c r="A5353" t="s">
        <v>401</v>
      </c>
      <c r="B5353" s="13" t="s">
        <v>22</v>
      </c>
      <c r="C5353" s="13" t="s">
        <v>154</v>
      </c>
      <c r="D5353" s="14" t="s">
        <v>160</v>
      </c>
      <c r="E5353" s="13" t="s">
        <v>155</v>
      </c>
      <c r="F5353" s="13" t="s">
        <v>1689</v>
      </c>
      <c r="G5353" s="13">
        <v>0.5</v>
      </c>
      <c r="H5353" s="15">
        <v>10</v>
      </c>
      <c r="I5353" s="16">
        <v>5</v>
      </c>
      <c r="J5353" s="16">
        <v>4.32</v>
      </c>
      <c r="K5353" s="16">
        <v>0.67999999999999972</v>
      </c>
      <c r="L5353" s="13">
        <v>1.47</v>
      </c>
      <c r="M5353" s="13"/>
      <c r="N5353" s="17">
        <f t="shared" si="177"/>
        <v>14.7</v>
      </c>
      <c r="O5353" s="17">
        <f t="shared" si="177"/>
        <v>0</v>
      </c>
      <c r="P5353" s="17">
        <f t="shared" si="176"/>
        <v>14.7</v>
      </c>
      <c r="Q5353" t="str">
        <f>A5353&amp;"-"&amp;B5353&amp;"-"&amp;D5353</f>
        <v>NOVEMBER-CNJ2-L5</v>
      </c>
    </row>
    <row r="5354" spans="1:17" x14ac:dyDescent="0.25">
      <c r="A5354" t="s">
        <v>401</v>
      </c>
      <c r="B5354" s="13" t="s">
        <v>22</v>
      </c>
      <c r="C5354" s="13" t="s">
        <v>154</v>
      </c>
      <c r="D5354" s="14" t="s">
        <v>160</v>
      </c>
      <c r="E5354" s="13" t="s">
        <v>155</v>
      </c>
      <c r="F5354" s="13" t="s">
        <v>1853</v>
      </c>
      <c r="G5354" s="13">
        <v>0.5</v>
      </c>
      <c r="H5354" s="15">
        <v>246</v>
      </c>
      <c r="I5354" s="16">
        <v>123</v>
      </c>
      <c r="J5354" s="16">
        <v>106.27200000000001</v>
      </c>
      <c r="K5354" s="16">
        <v>16.728000000000002</v>
      </c>
      <c r="L5354" s="13">
        <v>1.46</v>
      </c>
      <c r="M5354" s="13"/>
      <c r="N5354" s="17">
        <f t="shared" si="177"/>
        <v>359.15999999999997</v>
      </c>
      <c r="O5354" s="17">
        <f t="shared" si="177"/>
        <v>0</v>
      </c>
      <c r="P5354" s="17">
        <f t="shared" si="176"/>
        <v>359.15999999999997</v>
      </c>
      <c r="Q5354" t="str">
        <f>A5354&amp;"-"&amp;B5354&amp;"-"&amp;D5354</f>
        <v>NOVEMBER-CNJ2-L5</v>
      </c>
    </row>
    <row r="5355" spans="1:17" x14ac:dyDescent="0.25">
      <c r="A5355" t="s">
        <v>401</v>
      </c>
      <c r="B5355" s="13" t="s">
        <v>22</v>
      </c>
      <c r="C5355" s="13" t="s">
        <v>154</v>
      </c>
      <c r="D5355" s="14" t="s">
        <v>160</v>
      </c>
      <c r="E5355" s="13" t="s">
        <v>155</v>
      </c>
      <c r="F5355" s="13" t="s">
        <v>1615</v>
      </c>
      <c r="G5355" s="13">
        <v>0.5</v>
      </c>
      <c r="H5355" s="15">
        <v>1221</v>
      </c>
      <c r="I5355" s="16">
        <v>610.5</v>
      </c>
      <c r="J5355" s="16">
        <v>527.47199999999998</v>
      </c>
      <c r="K5355" s="16">
        <v>83.02800000000002</v>
      </c>
      <c r="L5355" s="13">
        <v>1.47</v>
      </c>
      <c r="M5355" s="13"/>
      <c r="N5355" s="17">
        <f t="shared" si="177"/>
        <v>1794.87</v>
      </c>
      <c r="O5355" s="17">
        <f t="shared" si="177"/>
        <v>0</v>
      </c>
      <c r="P5355" s="17">
        <f t="shared" si="176"/>
        <v>1794.87</v>
      </c>
      <c r="Q5355" t="str">
        <f>A5355&amp;"-"&amp;B5355&amp;"-"&amp;D5355</f>
        <v>NOVEMBER-CNJ2-L5</v>
      </c>
    </row>
    <row r="5356" spans="1:17" x14ac:dyDescent="0.25">
      <c r="A5356" t="s">
        <v>401</v>
      </c>
      <c r="B5356" s="13" t="s">
        <v>22</v>
      </c>
      <c r="C5356" s="13" t="s">
        <v>154</v>
      </c>
      <c r="D5356" s="14" t="s">
        <v>160</v>
      </c>
      <c r="E5356" s="13" t="s">
        <v>155</v>
      </c>
      <c r="F5356" s="13" t="s">
        <v>1854</v>
      </c>
      <c r="G5356" s="13">
        <v>0.5</v>
      </c>
      <c r="H5356" s="15">
        <v>1086</v>
      </c>
      <c r="I5356" s="16">
        <v>543</v>
      </c>
      <c r="J5356" s="16">
        <v>469.15199999999999</v>
      </c>
      <c r="K5356" s="16">
        <v>73.848000000000013</v>
      </c>
      <c r="L5356" s="13">
        <v>1.47</v>
      </c>
      <c r="M5356" s="13"/>
      <c r="N5356" s="17">
        <f t="shared" si="177"/>
        <v>1596.42</v>
      </c>
      <c r="O5356" s="17">
        <f t="shared" si="177"/>
        <v>0</v>
      </c>
      <c r="P5356" s="17">
        <f t="shared" si="176"/>
        <v>1596.42</v>
      </c>
      <c r="Q5356" t="str">
        <f>A5356&amp;"-"&amp;B5356&amp;"-"&amp;D5356</f>
        <v>NOVEMBER-CNJ2-L5</v>
      </c>
    </row>
    <row r="5357" spans="1:17" x14ac:dyDescent="0.25">
      <c r="A5357" t="s">
        <v>401</v>
      </c>
      <c r="B5357" s="13" t="s">
        <v>22</v>
      </c>
      <c r="C5357" s="13" t="s">
        <v>154</v>
      </c>
      <c r="D5357" s="14" t="s">
        <v>160</v>
      </c>
      <c r="E5357" s="13" t="s">
        <v>155</v>
      </c>
      <c r="F5357" s="13" t="s">
        <v>1855</v>
      </c>
      <c r="G5357" s="13">
        <v>0.5</v>
      </c>
      <c r="H5357" s="15">
        <v>405</v>
      </c>
      <c r="I5357" s="16">
        <v>202.5</v>
      </c>
      <c r="J5357" s="16">
        <v>174.96</v>
      </c>
      <c r="K5357" s="16">
        <v>27.539999999999992</v>
      </c>
      <c r="L5357" s="13">
        <v>1.47</v>
      </c>
      <c r="M5357" s="13"/>
      <c r="N5357" s="17">
        <f t="shared" si="177"/>
        <v>595.35</v>
      </c>
      <c r="O5357" s="17">
        <f t="shared" si="177"/>
        <v>0</v>
      </c>
      <c r="P5357" s="17">
        <f t="shared" si="176"/>
        <v>595.35</v>
      </c>
      <c r="Q5357" t="str">
        <f>A5357&amp;"-"&amp;B5357&amp;"-"&amp;D5357</f>
        <v>NOVEMBER-CNJ2-L5</v>
      </c>
    </row>
    <row r="5358" spans="1:17" x14ac:dyDescent="0.25">
      <c r="A5358" t="s">
        <v>401</v>
      </c>
      <c r="B5358" s="13" t="s">
        <v>22</v>
      </c>
      <c r="C5358" s="13" t="s">
        <v>154</v>
      </c>
      <c r="D5358" s="14" t="s">
        <v>163</v>
      </c>
      <c r="E5358" s="13" t="s">
        <v>155</v>
      </c>
      <c r="F5358" s="13" t="s">
        <v>1687</v>
      </c>
      <c r="G5358" s="13">
        <v>0.52</v>
      </c>
      <c r="H5358" s="15">
        <v>10</v>
      </c>
      <c r="I5358" s="16">
        <v>5.2</v>
      </c>
      <c r="J5358" s="16">
        <v>4.4689655172413794</v>
      </c>
      <c r="K5358" s="16">
        <v>0.73103448275862082</v>
      </c>
      <c r="L5358" s="13">
        <v>1.42</v>
      </c>
      <c r="M5358" s="13"/>
      <c r="N5358" s="17">
        <f t="shared" si="177"/>
        <v>14.2</v>
      </c>
      <c r="O5358" s="17">
        <f t="shared" si="177"/>
        <v>0</v>
      </c>
      <c r="P5358" s="17">
        <f t="shared" si="176"/>
        <v>14.2</v>
      </c>
      <c r="Q5358" t="str">
        <f>A5358&amp;"-"&amp;B5358&amp;"-"&amp;D5358</f>
        <v>NOVEMBER-CNJ2-L6</v>
      </c>
    </row>
    <row r="5359" spans="1:17" x14ac:dyDescent="0.25">
      <c r="A5359" t="s">
        <v>401</v>
      </c>
      <c r="B5359" s="13" t="s">
        <v>22</v>
      </c>
      <c r="C5359" s="13" t="s">
        <v>154</v>
      </c>
      <c r="D5359" s="14" t="s">
        <v>163</v>
      </c>
      <c r="E5359" s="13" t="s">
        <v>155</v>
      </c>
      <c r="F5359" s="13" t="s">
        <v>1688</v>
      </c>
      <c r="G5359" s="13">
        <v>0.52</v>
      </c>
      <c r="H5359" s="15">
        <v>34</v>
      </c>
      <c r="I5359" s="16">
        <v>17.68</v>
      </c>
      <c r="J5359" s="16">
        <v>15.194482758620691</v>
      </c>
      <c r="K5359" s="16">
        <v>2.4855172413793092</v>
      </c>
      <c r="L5359" s="13">
        <v>1.42</v>
      </c>
      <c r="M5359" s="13"/>
      <c r="N5359" s="17">
        <f t="shared" si="177"/>
        <v>48.28</v>
      </c>
      <c r="O5359" s="17">
        <f t="shared" si="177"/>
        <v>0</v>
      </c>
      <c r="P5359" s="17">
        <f t="shared" si="176"/>
        <v>48.28</v>
      </c>
      <c r="Q5359" t="str">
        <f>A5359&amp;"-"&amp;B5359&amp;"-"&amp;D5359</f>
        <v>NOVEMBER-CNJ2-L6</v>
      </c>
    </row>
    <row r="5360" spans="1:17" x14ac:dyDescent="0.25">
      <c r="A5360" t="s">
        <v>401</v>
      </c>
      <c r="B5360" s="13" t="s">
        <v>22</v>
      </c>
      <c r="C5360" s="13" t="s">
        <v>154</v>
      </c>
      <c r="D5360" s="14" t="s">
        <v>163</v>
      </c>
      <c r="E5360" s="13" t="s">
        <v>155</v>
      </c>
      <c r="F5360" s="13" t="s">
        <v>1689</v>
      </c>
      <c r="G5360" s="13">
        <v>0.5</v>
      </c>
      <c r="H5360" s="15">
        <v>10</v>
      </c>
      <c r="I5360" s="16">
        <v>5</v>
      </c>
      <c r="J5360" s="16">
        <v>4.4689655172413794</v>
      </c>
      <c r="K5360" s="16">
        <v>0.53103448275862064</v>
      </c>
      <c r="L5360" s="13">
        <v>1.47</v>
      </c>
      <c r="M5360" s="13"/>
      <c r="N5360" s="17">
        <f t="shared" si="177"/>
        <v>14.7</v>
      </c>
      <c r="O5360" s="17">
        <f t="shared" si="177"/>
        <v>0</v>
      </c>
      <c r="P5360" s="17">
        <f t="shared" si="176"/>
        <v>14.7</v>
      </c>
      <c r="Q5360" t="str">
        <f>A5360&amp;"-"&amp;B5360&amp;"-"&amp;D5360</f>
        <v>NOVEMBER-CNJ2-L6</v>
      </c>
    </row>
    <row r="5361" spans="1:17" x14ac:dyDescent="0.25">
      <c r="A5361" t="s">
        <v>401</v>
      </c>
      <c r="B5361" s="13" t="s">
        <v>22</v>
      </c>
      <c r="C5361" s="13" t="s">
        <v>154</v>
      </c>
      <c r="D5361" s="14" t="s">
        <v>163</v>
      </c>
      <c r="E5361" s="13" t="s">
        <v>155</v>
      </c>
      <c r="F5361" s="13" t="s">
        <v>1853</v>
      </c>
      <c r="G5361" s="13">
        <v>0.5</v>
      </c>
      <c r="H5361" s="15">
        <v>246</v>
      </c>
      <c r="I5361" s="16">
        <v>123</v>
      </c>
      <c r="J5361" s="16">
        <v>109.93655172413793</v>
      </c>
      <c r="K5361" s="16">
        <v>13.063448275862072</v>
      </c>
      <c r="L5361" s="13">
        <v>1.46</v>
      </c>
      <c r="M5361" s="13"/>
      <c r="N5361" s="17">
        <f t="shared" si="177"/>
        <v>359.15999999999997</v>
      </c>
      <c r="O5361" s="17">
        <f t="shared" si="177"/>
        <v>0</v>
      </c>
      <c r="P5361" s="17">
        <f t="shared" si="176"/>
        <v>359.15999999999997</v>
      </c>
      <c r="Q5361" t="str">
        <f>A5361&amp;"-"&amp;B5361&amp;"-"&amp;D5361</f>
        <v>NOVEMBER-CNJ2-L6</v>
      </c>
    </row>
    <row r="5362" spans="1:17" x14ac:dyDescent="0.25">
      <c r="A5362" t="s">
        <v>401</v>
      </c>
      <c r="B5362" s="13" t="s">
        <v>22</v>
      </c>
      <c r="C5362" s="13" t="s">
        <v>154</v>
      </c>
      <c r="D5362" s="14" t="s">
        <v>163</v>
      </c>
      <c r="E5362" s="13" t="s">
        <v>155</v>
      </c>
      <c r="F5362" s="13" t="s">
        <v>1615</v>
      </c>
      <c r="G5362" s="13">
        <v>0.5</v>
      </c>
      <c r="H5362" s="15">
        <v>1753</v>
      </c>
      <c r="I5362" s="16">
        <v>876.5</v>
      </c>
      <c r="J5362" s="16">
        <v>805.75448275862072</v>
      </c>
      <c r="K5362" s="16">
        <v>70.745517241379304</v>
      </c>
      <c r="L5362" s="13">
        <v>1.47</v>
      </c>
      <c r="M5362" s="13"/>
      <c r="N5362" s="17">
        <f t="shared" si="177"/>
        <v>2576.91</v>
      </c>
      <c r="O5362" s="17">
        <f t="shared" si="177"/>
        <v>0</v>
      </c>
      <c r="P5362" s="17">
        <f t="shared" si="176"/>
        <v>2576.91</v>
      </c>
      <c r="Q5362" t="str">
        <f>A5362&amp;"-"&amp;B5362&amp;"-"&amp;D5362</f>
        <v>NOVEMBER-CNJ2-L6</v>
      </c>
    </row>
    <row r="5363" spans="1:17" x14ac:dyDescent="0.25">
      <c r="A5363" t="s">
        <v>401</v>
      </c>
      <c r="B5363" s="13" t="s">
        <v>22</v>
      </c>
      <c r="C5363" s="13" t="s">
        <v>154</v>
      </c>
      <c r="D5363" s="14" t="s">
        <v>163</v>
      </c>
      <c r="E5363" s="13" t="s">
        <v>155</v>
      </c>
      <c r="F5363" s="13" t="s">
        <v>1854</v>
      </c>
      <c r="G5363" s="13">
        <v>0.5</v>
      </c>
      <c r="H5363" s="15">
        <v>2062</v>
      </c>
      <c r="I5363" s="16">
        <v>1031</v>
      </c>
      <c r="J5363" s="16">
        <v>896.0051092928112</v>
      </c>
      <c r="K5363" s="16">
        <v>134.99489070718874</v>
      </c>
      <c r="L5363" s="13">
        <v>1.47</v>
      </c>
      <c r="M5363" s="13"/>
      <c r="N5363" s="17">
        <f t="shared" si="177"/>
        <v>3031.14</v>
      </c>
      <c r="O5363" s="17">
        <f t="shared" si="177"/>
        <v>0</v>
      </c>
      <c r="P5363" s="17">
        <f t="shared" si="176"/>
        <v>3031.14</v>
      </c>
      <c r="Q5363" t="str">
        <f>A5363&amp;"-"&amp;B5363&amp;"-"&amp;D5363</f>
        <v>NOVEMBER-CNJ2-L6</v>
      </c>
    </row>
    <row r="5364" spans="1:17" x14ac:dyDescent="0.25">
      <c r="A5364" t="s">
        <v>401</v>
      </c>
      <c r="B5364" s="13" t="s">
        <v>22</v>
      </c>
      <c r="C5364" s="13" t="s">
        <v>154</v>
      </c>
      <c r="D5364" s="14" t="s">
        <v>163</v>
      </c>
      <c r="E5364" s="13" t="s">
        <v>155</v>
      </c>
      <c r="F5364" s="13" t="s">
        <v>1855</v>
      </c>
      <c r="G5364" s="13">
        <v>0.5</v>
      </c>
      <c r="H5364" s="15">
        <v>405</v>
      </c>
      <c r="I5364" s="16">
        <v>202.5</v>
      </c>
      <c r="J5364" s="16">
        <v>180.99310344827586</v>
      </c>
      <c r="K5364" s="16">
        <v>21.506896551724139</v>
      </c>
      <c r="L5364" s="13">
        <v>1.47</v>
      </c>
      <c r="M5364" s="13"/>
      <c r="N5364" s="17">
        <f t="shared" si="177"/>
        <v>595.35</v>
      </c>
      <c r="O5364" s="17">
        <f t="shared" si="177"/>
        <v>0</v>
      </c>
      <c r="P5364" s="17">
        <f t="shared" si="176"/>
        <v>595.35</v>
      </c>
      <c r="Q5364" t="str">
        <f>A5364&amp;"-"&amp;B5364&amp;"-"&amp;D5364</f>
        <v>NOVEMBER-CNJ2-L6</v>
      </c>
    </row>
    <row r="5365" spans="1:17" x14ac:dyDescent="0.25">
      <c r="A5365" t="s">
        <v>401</v>
      </c>
      <c r="B5365" s="13" t="s">
        <v>22</v>
      </c>
      <c r="C5365" s="13" t="s">
        <v>154</v>
      </c>
      <c r="D5365" s="14" t="s">
        <v>163</v>
      </c>
      <c r="E5365" s="13" t="s">
        <v>155</v>
      </c>
      <c r="F5365" s="13" t="s">
        <v>1856</v>
      </c>
      <c r="G5365" s="13">
        <v>0.5</v>
      </c>
      <c r="H5365" s="15">
        <v>1148</v>
      </c>
      <c r="I5365" s="16">
        <v>574</v>
      </c>
      <c r="J5365" s="16">
        <v>513.31308474576269</v>
      </c>
      <c r="K5365" s="16">
        <v>60.686915254237306</v>
      </c>
      <c r="L5365" s="13">
        <v>1.47</v>
      </c>
      <c r="M5365" s="13"/>
      <c r="N5365" s="17">
        <f t="shared" si="177"/>
        <v>1687.56</v>
      </c>
      <c r="O5365" s="17">
        <f t="shared" si="177"/>
        <v>0</v>
      </c>
      <c r="P5365" s="17">
        <f t="shared" si="176"/>
        <v>1687.56</v>
      </c>
      <c r="Q5365" t="str">
        <f>A5365&amp;"-"&amp;B5365&amp;"-"&amp;D5365</f>
        <v>NOVEMBER-CNJ2-L6</v>
      </c>
    </row>
    <row r="5366" spans="1:17" x14ac:dyDescent="0.25">
      <c r="A5366" t="s">
        <v>401</v>
      </c>
      <c r="B5366" s="13" t="s">
        <v>22</v>
      </c>
      <c r="C5366" s="13" t="s">
        <v>154</v>
      </c>
      <c r="D5366" s="14" t="s">
        <v>163</v>
      </c>
      <c r="E5366" s="13" t="s">
        <v>155</v>
      </c>
      <c r="F5366" s="13" t="s">
        <v>1857</v>
      </c>
      <c r="G5366" s="13">
        <v>0.5</v>
      </c>
      <c r="H5366" s="15">
        <v>1564</v>
      </c>
      <c r="I5366" s="16">
        <v>782</v>
      </c>
      <c r="J5366" s="16">
        <v>714.80525423728818</v>
      </c>
      <c r="K5366" s="16">
        <v>67.194745762711875</v>
      </c>
      <c r="L5366" s="13">
        <v>1.46</v>
      </c>
      <c r="M5366" s="13"/>
      <c r="N5366" s="17">
        <f t="shared" si="177"/>
        <v>2283.44</v>
      </c>
      <c r="O5366" s="17">
        <f t="shared" si="177"/>
        <v>0</v>
      </c>
      <c r="P5366" s="17">
        <f t="shared" si="176"/>
        <v>2283.44</v>
      </c>
      <c r="Q5366" t="str">
        <f>A5366&amp;"-"&amp;B5366&amp;"-"&amp;D5366</f>
        <v>NOVEMBER-CNJ2-L6</v>
      </c>
    </row>
    <row r="5367" spans="1:17" x14ac:dyDescent="0.25">
      <c r="A5367" t="s">
        <v>401</v>
      </c>
      <c r="B5367" s="13" t="s">
        <v>22</v>
      </c>
      <c r="C5367" s="13" t="s">
        <v>154</v>
      </c>
      <c r="D5367" s="14" t="s">
        <v>164</v>
      </c>
      <c r="E5367" s="13" t="s">
        <v>155</v>
      </c>
      <c r="F5367" s="13" t="s">
        <v>1610</v>
      </c>
      <c r="G5367" s="13">
        <v>0.5</v>
      </c>
      <c r="H5367" s="15">
        <v>20</v>
      </c>
      <c r="I5367" s="16">
        <v>10</v>
      </c>
      <c r="J5367" s="16">
        <v>11.781818181818181</v>
      </c>
      <c r="K5367" s="16">
        <v>-1.7818181818181813</v>
      </c>
      <c r="L5367" s="13">
        <v>1.47</v>
      </c>
      <c r="M5367" s="13"/>
      <c r="N5367" s="17">
        <f t="shared" si="177"/>
        <v>29.4</v>
      </c>
      <c r="O5367" s="17">
        <f t="shared" si="177"/>
        <v>0</v>
      </c>
      <c r="P5367" s="17">
        <f t="shared" si="176"/>
        <v>29.4</v>
      </c>
      <c r="Q5367" t="str">
        <f>A5367&amp;"-"&amp;B5367&amp;"-"&amp;D5367</f>
        <v>NOVEMBER-CNJ2-L7</v>
      </c>
    </row>
    <row r="5368" spans="1:17" x14ac:dyDescent="0.25">
      <c r="A5368" t="s">
        <v>401</v>
      </c>
      <c r="B5368" s="13" t="s">
        <v>22</v>
      </c>
      <c r="C5368" s="13" t="s">
        <v>154</v>
      </c>
      <c r="D5368" s="14" t="s">
        <v>164</v>
      </c>
      <c r="E5368" s="13" t="s">
        <v>155</v>
      </c>
      <c r="F5368" s="13" t="s">
        <v>1853</v>
      </c>
      <c r="G5368" s="13">
        <v>0.5</v>
      </c>
      <c r="H5368" s="15">
        <v>246</v>
      </c>
      <c r="I5368" s="16">
        <v>123</v>
      </c>
      <c r="J5368" s="16">
        <v>175.17362637362638</v>
      </c>
      <c r="K5368" s="16">
        <v>-52.173626373626377</v>
      </c>
      <c r="L5368" s="13">
        <v>1.46</v>
      </c>
      <c r="M5368" s="13"/>
      <c r="N5368" s="17">
        <f t="shared" si="177"/>
        <v>359.15999999999997</v>
      </c>
      <c r="O5368" s="17">
        <f t="shared" si="177"/>
        <v>0</v>
      </c>
      <c r="P5368" s="17">
        <f t="shared" si="176"/>
        <v>359.15999999999997</v>
      </c>
      <c r="Q5368" t="str">
        <f>A5368&amp;"-"&amp;B5368&amp;"-"&amp;D5368</f>
        <v>NOVEMBER-CNJ2-L7</v>
      </c>
    </row>
    <row r="5369" spans="1:17" x14ac:dyDescent="0.25">
      <c r="A5369" t="s">
        <v>401</v>
      </c>
      <c r="B5369" s="13" t="s">
        <v>22</v>
      </c>
      <c r="C5369" s="13" t="s">
        <v>154</v>
      </c>
      <c r="D5369" s="14" t="s">
        <v>164</v>
      </c>
      <c r="E5369" s="13" t="s">
        <v>155</v>
      </c>
      <c r="F5369" s="13" t="s">
        <v>1615</v>
      </c>
      <c r="G5369" s="13">
        <v>0.5</v>
      </c>
      <c r="H5369" s="15">
        <v>76</v>
      </c>
      <c r="I5369" s="16">
        <v>38</v>
      </c>
      <c r="J5369" s="16">
        <v>54.118681318681318</v>
      </c>
      <c r="K5369" s="16">
        <v>-16.118681318681318</v>
      </c>
      <c r="L5369" s="13">
        <v>1.47</v>
      </c>
      <c r="M5369" s="13"/>
      <c r="N5369" s="17">
        <f t="shared" si="177"/>
        <v>111.72</v>
      </c>
      <c r="O5369" s="17">
        <f t="shared" si="177"/>
        <v>0</v>
      </c>
      <c r="P5369" s="17">
        <f t="shared" si="176"/>
        <v>111.72</v>
      </c>
      <c r="Q5369" t="str">
        <f>A5369&amp;"-"&amp;B5369&amp;"-"&amp;D5369</f>
        <v>NOVEMBER-CNJ2-L7</v>
      </c>
    </row>
    <row r="5370" spans="1:17" x14ac:dyDescent="0.25">
      <c r="A5370" t="s">
        <v>401</v>
      </c>
      <c r="B5370" s="13" t="s">
        <v>22</v>
      </c>
      <c r="C5370" s="13" t="s">
        <v>154</v>
      </c>
      <c r="D5370" s="14" t="s">
        <v>164</v>
      </c>
      <c r="E5370" s="13" t="s">
        <v>155</v>
      </c>
      <c r="F5370" s="13" t="s">
        <v>1854</v>
      </c>
      <c r="G5370" s="13">
        <v>0.5</v>
      </c>
      <c r="H5370" s="15">
        <v>2109</v>
      </c>
      <c r="I5370" s="16">
        <v>1054.5</v>
      </c>
      <c r="J5370" s="16">
        <v>1248.3551050061051</v>
      </c>
      <c r="K5370" s="16">
        <v>-193.85510500610502</v>
      </c>
      <c r="L5370" s="13">
        <v>1.47</v>
      </c>
      <c r="M5370" s="13"/>
      <c r="N5370" s="17">
        <f t="shared" si="177"/>
        <v>3100.23</v>
      </c>
      <c r="O5370" s="17">
        <f t="shared" si="177"/>
        <v>0</v>
      </c>
      <c r="P5370" s="17">
        <f t="shared" si="176"/>
        <v>3100.23</v>
      </c>
      <c r="Q5370" t="str">
        <f>A5370&amp;"-"&amp;B5370&amp;"-"&amp;D5370</f>
        <v>NOVEMBER-CNJ2-L7</v>
      </c>
    </row>
    <row r="5371" spans="1:17" x14ac:dyDescent="0.25">
      <c r="A5371" t="s">
        <v>401</v>
      </c>
      <c r="B5371" s="13" t="s">
        <v>22</v>
      </c>
      <c r="C5371" s="13" t="s">
        <v>154</v>
      </c>
      <c r="D5371" s="14" t="s">
        <v>164</v>
      </c>
      <c r="E5371" s="13" t="s">
        <v>155</v>
      </c>
      <c r="F5371" s="13" t="s">
        <v>1855</v>
      </c>
      <c r="G5371" s="13">
        <v>0.5</v>
      </c>
      <c r="H5371" s="15">
        <v>405</v>
      </c>
      <c r="I5371" s="16">
        <v>202.5</v>
      </c>
      <c r="J5371" s="16">
        <v>288.39560439560438</v>
      </c>
      <c r="K5371" s="16">
        <v>-85.89560439560438</v>
      </c>
      <c r="L5371" s="13">
        <v>1.47</v>
      </c>
      <c r="M5371" s="13"/>
      <c r="N5371" s="17">
        <f t="shared" si="177"/>
        <v>595.35</v>
      </c>
      <c r="O5371" s="17">
        <f t="shared" si="177"/>
        <v>0</v>
      </c>
      <c r="P5371" s="17">
        <f t="shared" si="176"/>
        <v>595.35</v>
      </c>
      <c r="Q5371" t="str">
        <f>A5371&amp;"-"&amp;B5371&amp;"-"&amp;D5371</f>
        <v>NOVEMBER-CNJ2-L7</v>
      </c>
    </row>
    <row r="5372" spans="1:17" x14ac:dyDescent="0.25">
      <c r="A5372" t="s">
        <v>401</v>
      </c>
      <c r="B5372" s="13" t="s">
        <v>22</v>
      </c>
      <c r="C5372" s="13" t="s">
        <v>154</v>
      </c>
      <c r="D5372" s="14" t="s">
        <v>164</v>
      </c>
      <c r="E5372" s="13" t="s">
        <v>155</v>
      </c>
      <c r="F5372" s="13" t="s">
        <v>1856</v>
      </c>
      <c r="G5372" s="13">
        <v>0.5</v>
      </c>
      <c r="H5372" s="15">
        <v>1429</v>
      </c>
      <c r="I5372" s="16">
        <v>714.5</v>
      </c>
      <c r="J5372" s="16">
        <v>794.37478166278174</v>
      </c>
      <c r="K5372" s="16">
        <v>-79.874781662781658</v>
      </c>
      <c r="L5372" s="13">
        <v>1.47</v>
      </c>
      <c r="M5372" s="13"/>
      <c r="N5372" s="17">
        <f t="shared" si="177"/>
        <v>2100.63</v>
      </c>
      <c r="O5372" s="17">
        <f t="shared" si="177"/>
        <v>0</v>
      </c>
      <c r="P5372" s="17">
        <f t="shared" si="176"/>
        <v>2100.63</v>
      </c>
      <c r="Q5372" t="str">
        <f>A5372&amp;"-"&amp;B5372&amp;"-"&amp;D5372</f>
        <v>NOVEMBER-CNJ2-L7</v>
      </c>
    </row>
    <row r="5373" spans="1:17" x14ac:dyDescent="0.25">
      <c r="A5373" t="s">
        <v>401</v>
      </c>
      <c r="B5373" s="13" t="s">
        <v>22</v>
      </c>
      <c r="C5373" s="13" t="s">
        <v>154</v>
      </c>
      <c r="D5373" s="14" t="s">
        <v>164</v>
      </c>
      <c r="E5373" s="13" t="s">
        <v>155</v>
      </c>
      <c r="F5373" s="13" t="s">
        <v>1857</v>
      </c>
      <c r="G5373" s="13">
        <v>0.5</v>
      </c>
      <c r="H5373" s="15">
        <v>1657</v>
      </c>
      <c r="I5373" s="16">
        <v>828.5</v>
      </c>
      <c r="J5373" s="16">
        <v>956.99638306138309</v>
      </c>
      <c r="K5373" s="16">
        <v>-128.49638306138309</v>
      </c>
      <c r="L5373" s="13">
        <v>1.46</v>
      </c>
      <c r="M5373" s="13"/>
      <c r="N5373" s="17">
        <f t="shared" si="177"/>
        <v>2419.2199999999998</v>
      </c>
      <c r="O5373" s="17">
        <f t="shared" si="177"/>
        <v>0</v>
      </c>
      <c r="P5373" s="17">
        <f t="shared" si="176"/>
        <v>2419.2199999999998</v>
      </c>
      <c r="Q5373" t="str">
        <f>A5373&amp;"-"&amp;B5373&amp;"-"&amp;D5373</f>
        <v>NOVEMBER-CNJ2-L7</v>
      </c>
    </row>
    <row r="5374" spans="1:17" x14ac:dyDescent="0.25">
      <c r="A5374" t="s">
        <v>401</v>
      </c>
      <c r="B5374" s="13" t="s">
        <v>22</v>
      </c>
      <c r="C5374" s="13" t="s">
        <v>43</v>
      </c>
      <c r="D5374" s="14" t="s">
        <v>44</v>
      </c>
      <c r="E5374" s="13" t="s">
        <v>165</v>
      </c>
      <c r="F5374" s="13" t="s">
        <v>1690</v>
      </c>
      <c r="G5374" s="13">
        <v>1.41</v>
      </c>
      <c r="H5374" s="15">
        <v>2004</v>
      </c>
      <c r="I5374" s="16">
        <v>2825.6400000000003</v>
      </c>
      <c r="J5374" s="16">
        <v>3058.1</v>
      </c>
      <c r="K5374" s="16">
        <v>-232.46</v>
      </c>
      <c r="L5374" s="13"/>
      <c r="M5374" s="13">
        <v>1.5</v>
      </c>
      <c r="N5374" s="17">
        <f t="shared" si="177"/>
        <v>0</v>
      </c>
      <c r="O5374" s="17">
        <f t="shared" si="177"/>
        <v>3006</v>
      </c>
      <c r="P5374" s="17">
        <f t="shared" si="176"/>
        <v>3006</v>
      </c>
      <c r="Q5374" t="str">
        <f>A5374&amp;"-"&amp;B5374&amp;"-"&amp;D5374</f>
        <v>NOVEMBER-CNJ2-L1</v>
      </c>
    </row>
    <row r="5375" spans="1:17" x14ac:dyDescent="0.25">
      <c r="A5375" t="s">
        <v>401</v>
      </c>
      <c r="B5375" s="13" t="s">
        <v>22</v>
      </c>
      <c r="C5375" s="13" t="s">
        <v>43</v>
      </c>
      <c r="D5375" s="14" t="s">
        <v>44</v>
      </c>
      <c r="E5375" s="13" t="s">
        <v>165</v>
      </c>
      <c r="F5375" s="13" t="s">
        <v>850</v>
      </c>
      <c r="G5375" s="13">
        <v>1.86</v>
      </c>
      <c r="H5375" s="15">
        <v>80</v>
      </c>
      <c r="I5375" s="16">
        <v>148.80000000000001</v>
      </c>
      <c r="J5375" s="16">
        <v>236.71232876712327</v>
      </c>
      <c r="K5375" s="16">
        <v>-87.912328767123256</v>
      </c>
      <c r="L5375" s="13"/>
      <c r="M5375" s="13">
        <v>1.95</v>
      </c>
      <c r="N5375" s="17">
        <f t="shared" si="177"/>
        <v>0</v>
      </c>
      <c r="O5375" s="17">
        <f t="shared" si="177"/>
        <v>156</v>
      </c>
      <c r="P5375" s="17">
        <f t="shared" si="176"/>
        <v>156</v>
      </c>
      <c r="Q5375" t="str">
        <f>A5375&amp;"-"&amp;B5375&amp;"-"&amp;D5375</f>
        <v>NOVEMBER-CNJ2-L1</v>
      </c>
    </row>
    <row r="5376" spans="1:17" x14ac:dyDescent="0.25">
      <c r="A5376" t="s">
        <v>401</v>
      </c>
      <c r="B5376" s="13" t="s">
        <v>22</v>
      </c>
      <c r="C5376" s="13" t="s">
        <v>43</v>
      </c>
      <c r="D5376" s="14" t="s">
        <v>44</v>
      </c>
      <c r="E5376" s="13" t="s">
        <v>165</v>
      </c>
      <c r="F5376" s="13" t="s">
        <v>1858</v>
      </c>
      <c r="G5376" s="13">
        <v>1.85</v>
      </c>
      <c r="H5376" s="15">
        <v>725</v>
      </c>
      <c r="I5376" s="16">
        <v>1341.25</v>
      </c>
      <c r="J5376" s="16">
        <v>2993.7628571428572</v>
      </c>
      <c r="K5376" s="16">
        <v>-1652.512857142857</v>
      </c>
      <c r="L5376" s="13"/>
      <c r="M5376" s="13">
        <v>1.95</v>
      </c>
      <c r="N5376" s="17">
        <f t="shared" si="177"/>
        <v>0</v>
      </c>
      <c r="O5376" s="17">
        <f t="shared" si="177"/>
        <v>1413.75</v>
      </c>
      <c r="P5376" s="17">
        <f t="shared" si="176"/>
        <v>1413.75</v>
      </c>
      <c r="Q5376" t="str">
        <f>A5376&amp;"-"&amp;B5376&amp;"-"&amp;D5376</f>
        <v>NOVEMBER-CNJ2-L1</v>
      </c>
    </row>
    <row r="5377" spans="1:17" x14ac:dyDescent="0.25">
      <c r="A5377" t="s">
        <v>401</v>
      </c>
      <c r="B5377" s="13" t="s">
        <v>22</v>
      </c>
      <c r="C5377" s="13" t="s">
        <v>43</v>
      </c>
      <c r="D5377" s="14" t="s">
        <v>44</v>
      </c>
      <c r="E5377" s="13" t="s">
        <v>165</v>
      </c>
      <c r="F5377" s="13" t="s">
        <v>1859</v>
      </c>
      <c r="G5377" s="13">
        <v>1.8500000000000003</v>
      </c>
      <c r="H5377" s="15">
        <v>670</v>
      </c>
      <c r="I5377" s="16">
        <v>1239.5</v>
      </c>
      <c r="J5377" s="16">
        <v>1093.037142857143</v>
      </c>
      <c r="K5377" s="16">
        <v>146.46285714285713</v>
      </c>
      <c r="L5377" s="13"/>
      <c r="M5377" s="13">
        <v>1.95</v>
      </c>
      <c r="N5377" s="17">
        <f t="shared" si="177"/>
        <v>0</v>
      </c>
      <c r="O5377" s="17">
        <f t="shared" si="177"/>
        <v>1306.5</v>
      </c>
      <c r="P5377" s="17">
        <f t="shared" si="176"/>
        <v>1306.5</v>
      </c>
      <c r="Q5377" t="str">
        <f>A5377&amp;"-"&amp;B5377&amp;"-"&amp;D5377</f>
        <v>NOVEMBER-CNJ2-L1</v>
      </c>
    </row>
    <row r="5378" spans="1:17" x14ac:dyDescent="0.25">
      <c r="A5378" t="s">
        <v>401</v>
      </c>
      <c r="B5378" s="13" t="s">
        <v>22</v>
      </c>
      <c r="C5378" s="13" t="s">
        <v>43</v>
      </c>
      <c r="D5378" s="14" t="s">
        <v>44</v>
      </c>
      <c r="E5378" s="13" t="s">
        <v>165</v>
      </c>
      <c r="F5378" s="13" t="s">
        <v>1860</v>
      </c>
      <c r="G5378" s="13">
        <v>1.8500000000000003</v>
      </c>
      <c r="H5378" s="15">
        <v>350</v>
      </c>
      <c r="I5378" s="16">
        <v>647.5</v>
      </c>
      <c r="J5378" s="16">
        <v>753.10767123287678</v>
      </c>
      <c r="K5378" s="16">
        <v>-105.60767123287678</v>
      </c>
      <c r="L5378" s="13"/>
      <c r="M5378" s="13">
        <v>1.95</v>
      </c>
      <c r="N5378" s="17">
        <f t="shared" si="177"/>
        <v>0</v>
      </c>
      <c r="O5378" s="17">
        <f t="shared" si="177"/>
        <v>682.5</v>
      </c>
      <c r="P5378" s="17">
        <f t="shared" ref="P5378:P5441" si="178">N5378+O5378</f>
        <v>682.5</v>
      </c>
      <c r="Q5378" t="str">
        <f>A5378&amp;"-"&amp;B5378&amp;"-"&amp;D5378</f>
        <v>NOVEMBER-CNJ2-L1</v>
      </c>
    </row>
    <row r="5379" spans="1:17" x14ac:dyDescent="0.25">
      <c r="A5379" t="s">
        <v>401</v>
      </c>
      <c r="B5379" s="13" t="s">
        <v>22</v>
      </c>
      <c r="C5379" s="13" t="s">
        <v>43</v>
      </c>
      <c r="D5379" s="14" t="s">
        <v>44</v>
      </c>
      <c r="E5379" s="13" t="s">
        <v>165</v>
      </c>
      <c r="F5379" s="13" t="s">
        <v>1861</v>
      </c>
      <c r="G5379" s="13">
        <v>1.85</v>
      </c>
      <c r="H5379" s="15">
        <v>350</v>
      </c>
      <c r="I5379" s="16">
        <v>647.5</v>
      </c>
      <c r="J5379" s="16">
        <v>567</v>
      </c>
      <c r="K5379" s="16">
        <v>80.5</v>
      </c>
      <c r="L5379" s="13"/>
      <c r="M5379" s="13">
        <v>1.95</v>
      </c>
      <c r="N5379" s="17">
        <f t="shared" si="177"/>
        <v>0</v>
      </c>
      <c r="O5379" s="17">
        <f t="shared" si="177"/>
        <v>682.5</v>
      </c>
      <c r="P5379" s="17">
        <f t="shared" si="178"/>
        <v>682.5</v>
      </c>
      <c r="Q5379" t="str">
        <f>A5379&amp;"-"&amp;B5379&amp;"-"&amp;D5379</f>
        <v>NOVEMBER-CNJ2-L1</v>
      </c>
    </row>
    <row r="5380" spans="1:17" x14ac:dyDescent="0.25">
      <c r="A5380" t="s">
        <v>401</v>
      </c>
      <c r="B5380" s="13" t="s">
        <v>22</v>
      </c>
      <c r="C5380" s="13" t="s">
        <v>43</v>
      </c>
      <c r="D5380" s="14" t="s">
        <v>44</v>
      </c>
      <c r="E5380" s="13" t="s">
        <v>71</v>
      </c>
      <c r="F5380" s="13" t="s">
        <v>1862</v>
      </c>
      <c r="G5380" s="13">
        <v>3.6700000000000013</v>
      </c>
      <c r="H5380" s="15">
        <v>1491</v>
      </c>
      <c r="I5380" s="16">
        <v>5471.97</v>
      </c>
      <c r="J5380" s="16">
        <v>7405.72</v>
      </c>
      <c r="K5380" s="16">
        <v>-1933.75</v>
      </c>
      <c r="L5380" s="13"/>
      <c r="M5380" s="13">
        <v>3.8</v>
      </c>
      <c r="N5380" s="17">
        <f t="shared" si="177"/>
        <v>0</v>
      </c>
      <c r="O5380" s="17">
        <f t="shared" si="177"/>
        <v>5665.8</v>
      </c>
      <c r="P5380" s="17">
        <f t="shared" si="178"/>
        <v>5665.8</v>
      </c>
      <c r="Q5380" t="str">
        <f>A5380&amp;"-"&amp;B5380&amp;"-"&amp;D5380</f>
        <v>NOVEMBER-CNJ2-L1</v>
      </c>
    </row>
    <row r="5381" spans="1:17" x14ac:dyDescent="0.25">
      <c r="A5381" t="s">
        <v>401</v>
      </c>
      <c r="B5381" s="13" t="s">
        <v>22</v>
      </c>
      <c r="C5381" s="13" t="s">
        <v>43</v>
      </c>
      <c r="D5381" s="14" t="s">
        <v>50</v>
      </c>
      <c r="E5381" s="13" t="s">
        <v>550</v>
      </c>
      <c r="F5381" s="13" t="s">
        <v>1863</v>
      </c>
      <c r="G5381" s="13">
        <v>0.28999999999999998</v>
      </c>
      <c r="H5381" s="15">
        <v>330</v>
      </c>
      <c r="I5381" s="16">
        <v>95.7</v>
      </c>
      <c r="J5381" s="16">
        <v>97.2</v>
      </c>
      <c r="K5381" s="16">
        <v>-1.5</v>
      </c>
      <c r="L5381" s="13"/>
      <c r="M5381" s="13">
        <v>0.3</v>
      </c>
      <c r="N5381" s="17">
        <f t="shared" si="177"/>
        <v>0</v>
      </c>
      <c r="O5381" s="17">
        <f t="shared" si="177"/>
        <v>99</v>
      </c>
      <c r="P5381" s="17">
        <f t="shared" si="178"/>
        <v>99</v>
      </c>
      <c r="Q5381" t="str">
        <f>A5381&amp;"-"&amp;B5381&amp;"-"&amp;D5381</f>
        <v>NOVEMBER-CNJ2-L2</v>
      </c>
    </row>
    <row r="5382" spans="1:17" x14ac:dyDescent="0.25">
      <c r="A5382" t="s">
        <v>401</v>
      </c>
      <c r="B5382" s="13" t="s">
        <v>22</v>
      </c>
      <c r="C5382" s="13" t="s">
        <v>43</v>
      </c>
      <c r="D5382" s="14" t="s">
        <v>50</v>
      </c>
      <c r="E5382" s="13" t="s">
        <v>550</v>
      </c>
      <c r="F5382" s="13" t="s">
        <v>1693</v>
      </c>
      <c r="G5382" s="13">
        <v>0.28999999999999998</v>
      </c>
      <c r="H5382" s="15">
        <v>2399</v>
      </c>
      <c r="I5382" s="16">
        <v>695.71</v>
      </c>
      <c r="J5382" s="16">
        <v>765.52363636363634</v>
      </c>
      <c r="K5382" s="16">
        <v>-69.813636363636377</v>
      </c>
      <c r="L5382" s="13"/>
      <c r="M5382" s="13">
        <v>0.3</v>
      </c>
      <c r="N5382" s="17">
        <f t="shared" si="177"/>
        <v>0</v>
      </c>
      <c r="O5382" s="17">
        <f t="shared" si="177"/>
        <v>719.69999999999993</v>
      </c>
      <c r="P5382" s="17">
        <f t="shared" si="178"/>
        <v>719.69999999999993</v>
      </c>
      <c r="Q5382" t="str">
        <f>A5382&amp;"-"&amp;B5382&amp;"-"&amp;D5382</f>
        <v>NOVEMBER-CNJ2-L2</v>
      </c>
    </row>
    <row r="5383" spans="1:17" x14ac:dyDescent="0.25">
      <c r="A5383" t="s">
        <v>401</v>
      </c>
      <c r="B5383" s="13" t="s">
        <v>22</v>
      </c>
      <c r="C5383" s="13" t="s">
        <v>43</v>
      </c>
      <c r="D5383" s="14" t="s">
        <v>50</v>
      </c>
      <c r="E5383" s="13" t="s">
        <v>58</v>
      </c>
      <c r="F5383" s="13" t="s">
        <v>1864</v>
      </c>
      <c r="G5383" s="13">
        <v>1.49</v>
      </c>
      <c r="H5383" s="15">
        <v>0</v>
      </c>
      <c r="I5383" s="16">
        <v>0</v>
      </c>
      <c r="J5383" s="16">
        <v>2823.4300000000003</v>
      </c>
      <c r="K5383" s="16">
        <v>-2823.4300000000003</v>
      </c>
      <c r="L5383" s="13"/>
      <c r="M5383" s="13">
        <v>1.6</v>
      </c>
      <c r="N5383" s="17">
        <f t="shared" si="177"/>
        <v>0</v>
      </c>
      <c r="O5383" s="17">
        <f t="shared" si="177"/>
        <v>0</v>
      </c>
      <c r="P5383" s="17">
        <f t="shared" si="178"/>
        <v>0</v>
      </c>
      <c r="Q5383" t="str">
        <f>A5383&amp;"-"&amp;B5383&amp;"-"&amp;D5383</f>
        <v>NOVEMBER-CNJ2-L2</v>
      </c>
    </row>
    <row r="5384" spans="1:17" x14ac:dyDescent="0.25">
      <c r="A5384" t="s">
        <v>401</v>
      </c>
      <c r="B5384" s="13" t="s">
        <v>22</v>
      </c>
      <c r="C5384" s="13" t="s">
        <v>43</v>
      </c>
      <c r="D5384" s="14" t="s">
        <v>50</v>
      </c>
      <c r="E5384" s="13" t="s">
        <v>177</v>
      </c>
      <c r="F5384" s="13" t="s">
        <v>1865</v>
      </c>
      <c r="G5384" s="13">
        <v>0.44</v>
      </c>
      <c r="H5384" s="15">
        <v>5062</v>
      </c>
      <c r="I5384" s="16">
        <v>2227.2800000000002</v>
      </c>
      <c r="J5384" s="16">
        <v>1960.7063636363637</v>
      </c>
      <c r="K5384" s="16">
        <v>266.5736363636363</v>
      </c>
      <c r="L5384" s="13"/>
      <c r="M5384" s="13">
        <v>0.6</v>
      </c>
      <c r="N5384" s="17">
        <f t="shared" si="177"/>
        <v>0</v>
      </c>
      <c r="O5384" s="17">
        <f t="shared" si="177"/>
        <v>3037.2</v>
      </c>
      <c r="P5384" s="17">
        <f t="shared" si="178"/>
        <v>3037.2</v>
      </c>
      <c r="Q5384" t="str">
        <f>A5384&amp;"-"&amp;B5384&amp;"-"&amp;D5384</f>
        <v>NOVEMBER-CNJ2-L2</v>
      </c>
    </row>
    <row r="5385" spans="1:17" x14ac:dyDescent="0.25">
      <c r="A5385" t="s">
        <v>401</v>
      </c>
      <c r="B5385" s="13" t="s">
        <v>22</v>
      </c>
      <c r="C5385" s="13" t="s">
        <v>43</v>
      </c>
      <c r="D5385" s="14" t="s">
        <v>56</v>
      </c>
      <c r="E5385" s="13" t="s">
        <v>305</v>
      </c>
      <c r="F5385" s="13" t="s">
        <v>1696</v>
      </c>
      <c r="G5385" s="13">
        <v>2.7800000000000007</v>
      </c>
      <c r="H5385" s="15">
        <v>2950</v>
      </c>
      <c r="I5385" s="16">
        <v>8201</v>
      </c>
      <c r="J5385" s="16">
        <v>9812.5800000000017</v>
      </c>
      <c r="K5385" s="16">
        <v>-1611.5800000000002</v>
      </c>
      <c r="L5385" s="13"/>
      <c r="M5385" s="13">
        <v>2.95</v>
      </c>
      <c r="N5385" s="17">
        <f t="shared" si="177"/>
        <v>0</v>
      </c>
      <c r="O5385" s="17">
        <f t="shared" si="177"/>
        <v>8702.5</v>
      </c>
      <c r="P5385" s="17">
        <f t="shared" si="178"/>
        <v>8702.5</v>
      </c>
      <c r="Q5385" t="str">
        <f>A5385&amp;"-"&amp;B5385&amp;"-"&amp;D5385</f>
        <v>NOVEMBER-CNJ2-L3</v>
      </c>
    </row>
    <row r="5386" spans="1:17" x14ac:dyDescent="0.25">
      <c r="A5386" t="s">
        <v>401</v>
      </c>
      <c r="B5386" s="13" t="s">
        <v>22</v>
      </c>
      <c r="C5386" s="13" t="s">
        <v>43</v>
      </c>
      <c r="D5386" s="14" t="s">
        <v>56</v>
      </c>
      <c r="E5386" s="13" t="s">
        <v>179</v>
      </c>
      <c r="F5386" s="13" t="s">
        <v>1866</v>
      </c>
      <c r="G5386" s="13">
        <v>1.5399999999999998</v>
      </c>
      <c r="H5386" s="15">
        <v>3575</v>
      </c>
      <c r="I5386" s="16">
        <v>5505.5</v>
      </c>
      <c r="J5386" s="16">
        <v>6294.8600000000006</v>
      </c>
      <c r="K5386" s="16">
        <v>-789.36</v>
      </c>
      <c r="L5386" s="13"/>
      <c r="M5386" s="13">
        <v>1.65</v>
      </c>
      <c r="N5386" s="17">
        <f t="shared" si="177"/>
        <v>0</v>
      </c>
      <c r="O5386" s="17">
        <f t="shared" si="177"/>
        <v>5898.75</v>
      </c>
      <c r="P5386" s="17">
        <f t="shared" si="178"/>
        <v>5898.75</v>
      </c>
      <c r="Q5386" t="str">
        <f>A5386&amp;"-"&amp;B5386&amp;"-"&amp;D5386</f>
        <v>NOVEMBER-CNJ2-L3</v>
      </c>
    </row>
    <row r="5387" spans="1:17" x14ac:dyDescent="0.25">
      <c r="A5387" t="s">
        <v>401</v>
      </c>
      <c r="B5387" s="13" t="s">
        <v>22</v>
      </c>
      <c r="C5387" s="13" t="s">
        <v>43</v>
      </c>
      <c r="D5387" s="14" t="s">
        <v>158</v>
      </c>
      <c r="E5387" s="13" t="s">
        <v>58</v>
      </c>
      <c r="F5387" s="13" t="s">
        <v>1867</v>
      </c>
      <c r="G5387" s="13">
        <v>1.49</v>
      </c>
      <c r="H5387" s="15">
        <v>750</v>
      </c>
      <c r="I5387" s="16">
        <v>1117.5</v>
      </c>
      <c r="J5387" s="16">
        <v>972</v>
      </c>
      <c r="K5387" s="16">
        <v>145.49999999999994</v>
      </c>
      <c r="L5387" s="13"/>
      <c r="M5387" s="13">
        <v>1.6</v>
      </c>
      <c r="N5387" s="17">
        <f t="shared" si="177"/>
        <v>0</v>
      </c>
      <c r="O5387" s="17">
        <f t="shared" si="177"/>
        <v>1200</v>
      </c>
      <c r="P5387" s="17">
        <f t="shared" si="178"/>
        <v>1200</v>
      </c>
      <c r="Q5387" t="str">
        <f>A5387&amp;"-"&amp;B5387&amp;"-"&amp;D5387</f>
        <v>NOVEMBER-CNJ2-L4</v>
      </c>
    </row>
    <row r="5388" spans="1:17" x14ac:dyDescent="0.25">
      <c r="A5388" t="s">
        <v>401</v>
      </c>
      <c r="B5388" s="13" t="s">
        <v>22</v>
      </c>
      <c r="C5388" s="13" t="s">
        <v>43</v>
      </c>
      <c r="D5388" s="14" t="s">
        <v>158</v>
      </c>
      <c r="E5388" s="13" t="s">
        <v>58</v>
      </c>
      <c r="F5388" s="13" t="s">
        <v>1868</v>
      </c>
      <c r="G5388" s="13">
        <v>1.49</v>
      </c>
      <c r="H5388" s="15">
        <v>2823</v>
      </c>
      <c r="I5388" s="16">
        <v>4206.2700000000004</v>
      </c>
      <c r="J5388" s="16">
        <v>4227.7400000000007</v>
      </c>
      <c r="K5388" s="16">
        <v>-21.46999999999997</v>
      </c>
      <c r="L5388" s="13"/>
      <c r="M5388" s="13">
        <v>1.6</v>
      </c>
      <c r="N5388" s="17">
        <f t="shared" si="177"/>
        <v>0</v>
      </c>
      <c r="O5388" s="17">
        <f t="shared" si="177"/>
        <v>4516.8</v>
      </c>
      <c r="P5388" s="17">
        <f t="shared" si="178"/>
        <v>4516.8</v>
      </c>
      <c r="Q5388" t="str">
        <f>A5388&amp;"-"&amp;B5388&amp;"-"&amp;D5388</f>
        <v>NOVEMBER-CNJ2-L4</v>
      </c>
    </row>
    <row r="5389" spans="1:17" x14ac:dyDescent="0.25">
      <c r="A5389" t="s">
        <v>401</v>
      </c>
      <c r="B5389" s="13" t="s">
        <v>22</v>
      </c>
      <c r="C5389" s="13" t="s">
        <v>43</v>
      </c>
      <c r="D5389" s="14" t="s">
        <v>158</v>
      </c>
      <c r="E5389" s="13" t="s">
        <v>58</v>
      </c>
      <c r="F5389" s="13" t="s">
        <v>1869</v>
      </c>
      <c r="G5389" s="13">
        <v>1.49</v>
      </c>
      <c r="H5389" s="15">
        <v>518</v>
      </c>
      <c r="I5389" s="16">
        <v>771.81999999999994</v>
      </c>
      <c r="J5389" s="16">
        <v>703.72799999999995</v>
      </c>
      <c r="K5389" s="16">
        <v>68.091999999999999</v>
      </c>
      <c r="L5389" s="13"/>
      <c r="M5389" s="13">
        <v>1.6</v>
      </c>
      <c r="N5389" s="17">
        <f t="shared" si="177"/>
        <v>0</v>
      </c>
      <c r="O5389" s="17">
        <f t="shared" si="177"/>
        <v>828.80000000000007</v>
      </c>
      <c r="P5389" s="17">
        <f t="shared" si="178"/>
        <v>828.80000000000007</v>
      </c>
      <c r="Q5389" t="str">
        <f>A5389&amp;"-"&amp;B5389&amp;"-"&amp;D5389</f>
        <v>NOVEMBER-CNJ2-L4</v>
      </c>
    </row>
    <row r="5390" spans="1:17" x14ac:dyDescent="0.25">
      <c r="A5390" t="s">
        <v>401</v>
      </c>
      <c r="B5390" s="13" t="s">
        <v>22</v>
      </c>
      <c r="C5390" s="13" t="s">
        <v>43</v>
      </c>
      <c r="D5390" s="14" t="s">
        <v>158</v>
      </c>
      <c r="E5390" s="13" t="s">
        <v>58</v>
      </c>
      <c r="F5390" s="13" t="s">
        <v>1870</v>
      </c>
      <c r="G5390" s="13">
        <v>1.49</v>
      </c>
      <c r="H5390" s="15">
        <v>2596</v>
      </c>
      <c r="I5390" s="16">
        <v>3868.04</v>
      </c>
      <c r="J5390" s="16">
        <v>7149.1120000000001</v>
      </c>
      <c r="K5390" s="16">
        <v>-3281.0719999999992</v>
      </c>
      <c r="L5390" s="13"/>
      <c r="M5390" s="13">
        <v>1.6</v>
      </c>
      <c r="N5390" s="17">
        <f t="shared" si="177"/>
        <v>0</v>
      </c>
      <c r="O5390" s="17">
        <f t="shared" si="177"/>
        <v>4153.6000000000004</v>
      </c>
      <c r="P5390" s="17">
        <f t="shared" si="178"/>
        <v>4153.6000000000004</v>
      </c>
      <c r="Q5390" t="str">
        <f>A5390&amp;"-"&amp;B5390&amp;"-"&amp;D5390</f>
        <v>NOVEMBER-CNJ2-L4</v>
      </c>
    </row>
    <row r="5391" spans="1:17" x14ac:dyDescent="0.25">
      <c r="A5391" t="s">
        <v>401</v>
      </c>
      <c r="B5391" s="13" t="s">
        <v>22</v>
      </c>
      <c r="C5391" s="13" t="s">
        <v>201</v>
      </c>
      <c r="D5391" s="14" t="s">
        <v>160</v>
      </c>
      <c r="E5391" s="13" t="s">
        <v>58</v>
      </c>
      <c r="F5391" s="13" t="s">
        <v>1871</v>
      </c>
      <c r="G5391" s="13">
        <v>0.7599999999999999</v>
      </c>
      <c r="H5391" s="15">
        <v>9105</v>
      </c>
      <c r="I5391" s="16">
        <v>6919.8</v>
      </c>
      <c r="J5391" s="16">
        <v>8701.7200000000012</v>
      </c>
      <c r="K5391" s="16">
        <v>-1781.92</v>
      </c>
      <c r="L5391" s="13">
        <v>1.4</v>
      </c>
      <c r="M5391" s="13"/>
      <c r="N5391" s="17">
        <f t="shared" si="177"/>
        <v>12747</v>
      </c>
      <c r="O5391" s="17">
        <f t="shared" si="177"/>
        <v>0</v>
      </c>
      <c r="P5391" s="17">
        <f t="shared" si="178"/>
        <v>12747</v>
      </c>
      <c r="Q5391" t="str">
        <f>A5391&amp;"-"&amp;B5391&amp;"-"&amp;D5391</f>
        <v>NOVEMBER-CNJ2-L5</v>
      </c>
    </row>
    <row r="5392" spans="1:17" x14ac:dyDescent="0.25">
      <c r="A5392" t="s">
        <v>401</v>
      </c>
      <c r="B5392" s="13" t="s">
        <v>22</v>
      </c>
      <c r="C5392" s="13" t="s">
        <v>201</v>
      </c>
      <c r="D5392" s="14" t="s">
        <v>163</v>
      </c>
      <c r="E5392" s="13" t="s">
        <v>58</v>
      </c>
      <c r="F5392" s="13" t="s">
        <v>1871</v>
      </c>
      <c r="G5392" s="13">
        <v>0.7599999999999999</v>
      </c>
      <c r="H5392" s="15">
        <v>9680</v>
      </c>
      <c r="I5392" s="16">
        <v>7356.8</v>
      </c>
      <c r="J5392" s="16">
        <v>10460.58</v>
      </c>
      <c r="K5392" s="16">
        <v>-3103.7800000000007</v>
      </c>
      <c r="L5392" s="13">
        <v>1.4</v>
      </c>
      <c r="M5392" s="13"/>
      <c r="N5392" s="17">
        <f t="shared" si="177"/>
        <v>13552</v>
      </c>
      <c r="O5392" s="17">
        <f t="shared" si="177"/>
        <v>0</v>
      </c>
      <c r="P5392" s="17">
        <f t="shared" si="178"/>
        <v>13552</v>
      </c>
      <c r="Q5392" t="str">
        <f>A5392&amp;"-"&amp;B5392&amp;"-"&amp;D5392</f>
        <v>NOVEMBER-CNJ2-L6</v>
      </c>
    </row>
    <row r="5393" spans="1:17" x14ac:dyDescent="0.25">
      <c r="A5393" t="s">
        <v>401</v>
      </c>
      <c r="B5393" s="13" t="s">
        <v>22</v>
      </c>
      <c r="C5393" s="13" t="s">
        <v>201</v>
      </c>
      <c r="D5393" s="14" t="s">
        <v>164</v>
      </c>
      <c r="E5393" s="13" t="s">
        <v>58</v>
      </c>
      <c r="F5393" s="13" t="s">
        <v>1871</v>
      </c>
      <c r="G5393" s="13">
        <v>0.7599999999999999</v>
      </c>
      <c r="H5393" s="15">
        <v>4285</v>
      </c>
      <c r="I5393" s="16">
        <v>3256.6000000000004</v>
      </c>
      <c r="J5393" s="16">
        <v>6757.72</v>
      </c>
      <c r="K5393" s="16">
        <v>-3501.12</v>
      </c>
      <c r="L5393" s="13">
        <v>1.4</v>
      </c>
      <c r="M5393" s="13"/>
      <c r="N5393" s="17">
        <f t="shared" si="177"/>
        <v>5999</v>
      </c>
      <c r="O5393" s="17">
        <f t="shared" si="177"/>
        <v>0</v>
      </c>
      <c r="P5393" s="17">
        <f t="shared" si="178"/>
        <v>5999</v>
      </c>
      <c r="Q5393" t="str">
        <f>A5393&amp;"-"&amp;B5393&amp;"-"&amp;D5393</f>
        <v>NOVEMBER-CNJ2-L7</v>
      </c>
    </row>
    <row r="5394" spans="1:17" x14ac:dyDescent="0.25">
      <c r="A5394" t="s">
        <v>401</v>
      </c>
      <c r="B5394" s="13" t="s">
        <v>23</v>
      </c>
      <c r="C5394" s="13" t="s">
        <v>185</v>
      </c>
      <c r="D5394" s="14" t="s">
        <v>44</v>
      </c>
      <c r="E5394" s="13" t="s">
        <v>1300</v>
      </c>
      <c r="F5394" s="13" t="s">
        <v>1510</v>
      </c>
      <c r="G5394" s="13">
        <v>2.46</v>
      </c>
      <c r="H5394" s="15">
        <v>185</v>
      </c>
      <c r="I5394" s="16">
        <v>455.1</v>
      </c>
      <c r="J5394" s="16">
        <v>235.83645833333335</v>
      </c>
      <c r="K5394" s="16">
        <v>219.26354166666667</v>
      </c>
      <c r="L5394" s="13">
        <v>4.9400000000000004</v>
      </c>
      <c r="M5394" s="13"/>
      <c r="N5394" s="17">
        <f t="shared" si="177"/>
        <v>913.90000000000009</v>
      </c>
      <c r="O5394" s="17">
        <f t="shared" si="177"/>
        <v>0</v>
      </c>
      <c r="P5394" s="17">
        <f t="shared" si="178"/>
        <v>913.90000000000009</v>
      </c>
      <c r="Q5394" t="str">
        <f>A5394&amp;"-"&amp;B5394&amp;"-"&amp;D5394</f>
        <v>NOVEMBER-CVA-L1</v>
      </c>
    </row>
    <row r="5395" spans="1:17" x14ac:dyDescent="0.25">
      <c r="A5395" t="s">
        <v>401</v>
      </c>
      <c r="B5395" s="13" t="s">
        <v>23</v>
      </c>
      <c r="C5395" s="13" t="s">
        <v>185</v>
      </c>
      <c r="D5395" s="14" t="s">
        <v>44</v>
      </c>
      <c r="E5395" s="13" t="s">
        <v>142</v>
      </c>
      <c r="F5395" s="13" t="s">
        <v>1508</v>
      </c>
      <c r="G5395" s="13">
        <v>1.75</v>
      </c>
      <c r="H5395" s="15">
        <v>42</v>
      </c>
      <c r="I5395" s="16">
        <v>73.5</v>
      </c>
      <c r="J5395" s="16">
        <v>53.541249999999998</v>
      </c>
      <c r="K5395" s="16">
        <v>19.958750000000002</v>
      </c>
      <c r="L5395" s="13">
        <v>3.68</v>
      </c>
      <c r="M5395" s="13"/>
      <c r="N5395" s="17">
        <f t="shared" si="177"/>
        <v>154.56</v>
      </c>
      <c r="O5395" s="17">
        <f t="shared" si="177"/>
        <v>0</v>
      </c>
      <c r="P5395" s="17">
        <f t="shared" si="178"/>
        <v>154.56</v>
      </c>
      <c r="Q5395" t="str">
        <f>A5395&amp;"-"&amp;B5395&amp;"-"&amp;D5395</f>
        <v>NOVEMBER-CVA-L1</v>
      </c>
    </row>
    <row r="5396" spans="1:17" x14ac:dyDescent="0.25">
      <c r="A5396" t="s">
        <v>401</v>
      </c>
      <c r="B5396" s="13" t="s">
        <v>23</v>
      </c>
      <c r="C5396" s="13" t="s">
        <v>185</v>
      </c>
      <c r="D5396" s="14" t="s">
        <v>164</v>
      </c>
      <c r="E5396" s="13" t="s">
        <v>1300</v>
      </c>
      <c r="F5396" s="13" t="s">
        <v>1704</v>
      </c>
      <c r="G5396" s="13">
        <v>1.68</v>
      </c>
      <c r="H5396" s="15">
        <v>62</v>
      </c>
      <c r="I5396" s="16">
        <v>104.16</v>
      </c>
      <c r="J5396" s="16">
        <v>56.000613987649821</v>
      </c>
      <c r="K5396" s="16">
        <v>48.159386012350183</v>
      </c>
      <c r="L5396" s="13">
        <v>4.4400000000000004</v>
      </c>
      <c r="M5396" s="13"/>
      <c r="N5396" s="17">
        <f t="shared" si="177"/>
        <v>275.28000000000003</v>
      </c>
      <c r="O5396" s="17">
        <f t="shared" si="177"/>
        <v>0</v>
      </c>
      <c r="P5396" s="17">
        <f t="shared" si="178"/>
        <v>275.28000000000003</v>
      </c>
      <c r="Q5396" t="str">
        <f>A5396&amp;"-"&amp;B5396&amp;"-"&amp;D5396</f>
        <v>NOVEMBER-CVA-L7</v>
      </c>
    </row>
    <row r="5397" spans="1:17" x14ac:dyDescent="0.25">
      <c r="A5397" t="s">
        <v>401</v>
      </c>
      <c r="B5397" s="13" t="s">
        <v>23</v>
      </c>
      <c r="C5397" s="13" t="s">
        <v>185</v>
      </c>
      <c r="D5397" s="14" t="s">
        <v>164</v>
      </c>
      <c r="E5397" s="13" t="s">
        <v>1300</v>
      </c>
      <c r="F5397" s="13" t="s">
        <v>1872</v>
      </c>
      <c r="G5397" s="13">
        <v>2.41</v>
      </c>
      <c r="H5397" s="15">
        <v>1035</v>
      </c>
      <c r="I5397" s="16">
        <v>2494.35</v>
      </c>
      <c r="J5397" s="16">
        <v>1784.4528301886792</v>
      </c>
      <c r="K5397" s="16">
        <v>709.89716981132062</v>
      </c>
      <c r="L5397" s="13">
        <v>4.7699999999999996</v>
      </c>
      <c r="M5397" s="13"/>
      <c r="N5397" s="17">
        <f t="shared" si="177"/>
        <v>4936.95</v>
      </c>
      <c r="O5397" s="17">
        <f t="shared" si="177"/>
        <v>0</v>
      </c>
      <c r="P5397" s="17">
        <f t="shared" si="178"/>
        <v>4936.95</v>
      </c>
      <c r="Q5397" t="str">
        <f>A5397&amp;"-"&amp;B5397&amp;"-"&amp;D5397</f>
        <v>NOVEMBER-CVA-L7</v>
      </c>
    </row>
    <row r="5398" spans="1:17" x14ac:dyDescent="0.25">
      <c r="A5398" t="s">
        <v>401</v>
      </c>
      <c r="B5398" s="13" t="s">
        <v>23</v>
      </c>
      <c r="C5398" s="13" t="s">
        <v>185</v>
      </c>
      <c r="D5398" s="14" t="s">
        <v>164</v>
      </c>
      <c r="E5398" s="13" t="s">
        <v>534</v>
      </c>
      <c r="F5398" s="13" t="s">
        <v>1873</v>
      </c>
      <c r="G5398" s="13">
        <v>1.86</v>
      </c>
      <c r="H5398" s="15">
        <v>698</v>
      </c>
      <c r="I5398" s="16">
        <v>1298.2800000000002</v>
      </c>
      <c r="J5398" s="16">
        <v>651.64538505773783</v>
      </c>
      <c r="K5398" s="16">
        <v>646.63461494226226</v>
      </c>
      <c r="L5398" s="13">
        <v>4.1399999999999997</v>
      </c>
      <c r="M5398" s="13"/>
      <c r="N5398" s="17">
        <f t="shared" si="177"/>
        <v>2889.72</v>
      </c>
      <c r="O5398" s="17">
        <f t="shared" si="177"/>
        <v>0</v>
      </c>
      <c r="P5398" s="17">
        <f t="shared" si="178"/>
        <v>2889.72</v>
      </c>
      <c r="Q5398" t="str">
        <f>A5398&amp;"-"&amp;B5398&amp;"-"&amp;D5398</f>
        <v>NOVEMBER-CVA-L7</v>
      </c>
    </row>
    <row r="5399" spans="1:17" x14ac:dyDescent="0.25">
      <c r="A5399" t="s">
        <v>401</v>
      </c>
      <c r="B5399" s="13" t="s">
        <v>23</v>
      </c>
      <c r="C5399" s="13" t="s">
        <v>185</v>
      </c>
      <c r="D5399" s="14" t="s">
        <v>164</v>
      </c>
      <c r="E5399" s="13" t="s">
        <v>77</v>
      </c>
      <c r="F5399" s="13" t="s">
        <v>1513</v>
      </c>
      <c r="G5399" s="13">
        <v>1.85</v>
      </c>
      <c r="H5399" s="15">
        <v>280</v>
      </c>
      <c r="I5399" s="16">
        <v>518</v>
      </c>
      <c r="J5399" s="16">
        <v>785.54716981132083</v>
      </c>
      <c r="K5399" s="16">
        <v>-267.54716981132077</v>
      </c>
      <c r="L5399" s="13">
        <v>3.49</v>
      </c>
      <c r="M5399" s="13"/>
      <c r="N5399" s="17">
        <f t="shared" si="177"/>
        <v>977.2</v>
      </c>
      <c r="O5399" s="17">
        <f t="shared" si="177"/>
        <v>0</v>
      </c>
      <c r="P5399" s="17">
        <f t="shared" si="178"/>
        <v>977.2</v>
      </c>
      <c r="Q5399" t="str">
        <f>A5399&amp;"-"&amp;B5399&amp;"-"&amp;D5399</f>
        <v>NOVEMBER-CVA-L7</v>
      </c>
    </row>
    <row r="5400" spans="1:17" x14ac:dyDescent="0.25">
      <c r="A5400" t="s">
        <v>401</v>
      </c>
      <c r="B5400" s="13" t="s">
        <v>23</v>
      </c>
      <c r="C5400" s="13" t="s">
        <v>185</v>
      </c>
      <c r="D5400" s="14" t="s">
        <v>164</v>
      </c>
      <c r="E5400" s="13" t="s">
        <v>382</v>
      </c>
      <c r="F5400" s="13" t="s">
        <v>1501</v>
      </c>
      <c r="G5400" s="13">
        <v>1.64</v>
      </c>
      <c r="H5400" s="15">
        <v>480</v>
      </c>
      <c r="I5400" s="16">
        <v>787.19999999999993</v>
      </c>
      <c r="J5400" s="16">
        <v>489.3169063706564</v>
      </c>
      <c r="K5400" s="16">
        <v>297.88309362934359</v>
      </c>
      <c r="L5400" s="13">
        <v>3.42</v>
      </c>
      <c r="M5400" s="13"/>
      <c r="N5400" s="17">
        <f t="shared" si="177"/>
        <v>1641.6</v>
      </c>
      <c r="O5400" s="17">
        <f t="shared" si="177"/>
        <v>0</v>
      </c>
      <c r="P5400" s="17">
        <f t="shared" si="178"/>
        <v>1641.6</v>
      </c>
      <c r="Q5400" t="str">
        <f>A5400&amp;"-"&amp;B5400&amp;"-"&amp;D5400</f>
        <v>NOVEMBER-CVA-L7</v>
      </c>
    </row>
    <row r="5401" spans="1:17" x14ac:dyDescent="0.25">
      <c r="A5401" t="s">
        <v>401</v>
      </c>
      <c r="B5401" s="13" t="s">
        <v>23</v>
      </c>
      <c r="C5401" s="13" t="s">
        <v>185</v>
      </c>
      <c r="D5401" s="14" t="s">
        <v>164</v>
      </c>
      <c r="E5401" s="13" t="s">
        <v>382</v>
      </c>
      <c r="F5401" s="13" t="s">
        <v>1504</v>
      </c>
      <c r="G5401" s="13">
        <v>1.67</v>
      </c>
      <c r="H5401" s="15">
        <v>645</v>
      </c>
      <c r="I5401" s="16">
        <v>1077.1500000000001</v>
      </c>
      <c r="J5401" s="16">
        <v>399.36972287122461</v>
      </c>
      <c r="K5401" s="16">
        <v>677.78027712877542</v>
      </c>
      <c r="L5401" s="13">
        <v>3.29</v>
      </c>
      <c r="M5401" s="13"/>
      <c r="N5401" s="17">
        <f t="shared" si="177"/>
        <v>2122.0500000000002</v>
      </c>
      <c r="O5401" s="17">
        <f t="shared" si="177"/>
        <v>0</v>
      </c>
      <c r="P5401" s="17">
        <f t="shared" si="178"/>
        <v>2122.0500000000002</v>
      </c>
      <c r="Q5401" t="str">
        <f>A5401&amp;"-"&amp;B5401&amp;"-"&amp;D5401</f>
        <v>NOVEMBER-CVA-L7</v>
      </c>
    </row>
    <row r="5402" spans="1:17" x14ac:dyDescent="0.25">
      <c r="A5402" t="s">
        <v>401</v>
      </c>
      <c r="B5402" s="13" t="s">
        <v>23</v>
      </c>
      <c r="C5402" s="13" t="s">
        <v>185</v>
      </c>
      <c r="D5402" s="14" t="s">
        <v>164</v>
      </c>
      <c r="E5402" s="13" t="s">
        <v>382</v>
      </c>
      <c r="F5402" s="13" t="s">
        <v>1505</v>
      </c>
      <c r="G5402" s="13">
        <v>1.69</v>
      </c>
      <c r="H5402" s="15">
        <v>316</v>
      </c>
      <c r="I5402" s="16">
        <v>534.04</v>
      </c>
      <c r="J5402" s="16">
        <v>653.93717277486917</v>
      </c>
      <c r="K5402" s="16">
        <v>-119.89717277486915</v>
      </c>
      <c r="L5402" s="13">
        <v>3.18</v>
      </c>
      <c r="M5402" s="13"/>
      <c r="N5402" s="17">
        <f t="shared" si="177"/>
        <v>1004.88</v>
      </c>
      <c r="O5402" s="17">
        <f t="shared" si="177"/>
        <v>0</v>
      </c>
      <c r="P5402" s="17">
        <f t="shared" si="178"/>
        <v>1004.88</v>
      </c>
      <c r="Q5402" t="str">
        <f>A5402&amp;"-"&amp;B5402&amp;"-"&amp;D5402</f>
        <v>NOVEMBER-CVA-L7</v>
      </c>
    </row>
    <row r="5403" spans="1:17" x14ac:dyDescent="0.25">
      <c r="A5403" t="s">
        <v>401</v>
      </c>
      <c r="B5403" s="13" t="s">
        <v>23</v>
      </c>
      <c r="C5403" s="13" t="s">
        <v>185</v>
      </c>
      <c r="D5403" s="14" t="s">
        <v>164</v>
      </c>
      <c r="E5403" s="13" t="s">
        <v>382</v>
      </c>
      <c r="F5403" s="13" t="s">
        <v>1305</v>
      </c>
      <c r="G5403" s="13">
        <v>1.94</v>
      </c>
      <c r="H5403" s="15">
        <v>33</v>
      </c>
      <c r="I5403" s="16">
        <v>64.02</v>
      </c>
      <c r="J5403" s="16">
        <v>32.432122370936902</v>
      </c>
      <c r="K5403" s="16">
        <v>31.587877629063094</v>
      </c>
      <c r="L5403" s="13">
        <v>3.25</v>
      </c>
      <c r="M5403" s="13"/>
      <c r="N5403" s="17">
        <f t="shared" si="177"/>
        <v>107.25</v>
      </c>
      <c r="O5403" s="17">
        <f t="shared" si="177"/>
        <v>0</v>
      </c>
      <c r="P5403" s="17">
        <f t="shared" si="178"/>
        <v>107.25</v>
      </c>
      <c r="Q5403" t="str">
        <f>A5403&amp;"-"&amp;B5403&amp;"-"&amp;D5403</f>
        <v>NOVEMBER-CVA-L7</v>
      </c>
    </row>
    <row r="5404" spans="1:17" x14ac:dyDescent="0.25">
      <c r="A5404" t="s">
        <v>401</v>
      </c>
      <c r="B5404" s="13" t="s">
        <v>23</v>
      </c>
      <c r="C5404" s="13" t="s">
        <v>185</v>
      </c>
      <c r="D5404" s="14" t="s">
        <v>164</v>
      </c>
      <c r="E5404" s="13" t="s">
        <v>941</v>
      </c>
      <c r="F5404" s="13" t="s">
        <v>1500</v>
      </c>
      <c r="G5404" s="13">
        <v>1.64</v>
      </c>
      <c r="H5404" s="15">
        <v>555</v>
      </c>
      <c r="I5404" s="16">
        <v>910.2</v>
      </c>
      <c r="J5404" s="16">
        <v>367.14</v>
      </c>
      <c r="K5404" s="16">
        <v>543.06000000000006</v>
      </c>
      <c r="L5404" s="13">
        <v>3.29</v>
      </c>
      <c r="M5404" s="13"/>
      <c r="N5404" s="17">
        <f t="shared" si="177"/>
        <v>1825.95</v>
      </c>
      <c r="O5404" s="17">
        <f t="shared" si="177"/>
        <v>0</v>
      </c>
      <c r="P5404" s="17">
        <f t="shared" si="178"/>
        <v>1825.95</v>
      </c>
      <c r="Q5404" t="str">
        <f>A5404&amp;"-"&amp;B5404&amp;"-"&amp;D5404</f>
        <v>NOVEMBER-CVA-L7</v>
      </c>
    </row>
    <row r="5405" spans="1:17" x14ac:dyDescent="0.25">
      <c r="A5405" t="s">
        <v>401</v>
      </c>
      <c r="B5405" s="13" t="s">
        <v>23</v>
      </c>
      <c r="C5405" s="13" t="s">
        <v>185</v>
      </c>
      <c r="D5405" s="14" t="s">
        <v>164</v>
      </c>
      <c r="E5405" s="13" t="s">
        <v>142</v>
      </c>
      <c r="F5405" s="13" t="s">
        <v>1508</v>
      </c>
      <c r="G5405" s="13">
        <v>1.75</v>
      </c>
      <c r="H5405" s="15">
        <v>52</v>
      </c>
      <c r="I5405" s="16">
        <v>91</v>
      </c>
      <c r="J5405" s="16">
        <v>31.093289902280127</v>
      </c>
      <c r="K5405" s="16">
        <v>59.906710097719873</v>
      </c>
      <c r="L5405" s="13">
        <v>3.68</v>
      </c>
      <c r="M5405" s="13"/>
      <c r="N5405" s="17">
        <f t="shared" si="177"/>
        <v>191.36</v>
      </c>
      <c r="O5405" s="17">
        <f t="shared" si="177"/>
        <v>0</v>
      </c>
      <c r="P5405" s="17">
        <f t="shared" si="178"/>
        <v>191.36</v>
      </c>
      <c r="Q5405" t="str">
        <f>A5405&amp;"-"&amp;B5405&amp;"-"&amp;D5405</f>
        <v>NOVEMBER-CVA-L7</v>
      </c>
    </row>
    <row r="5406" spans="1:17" x14ac:dyDescent="0.25">
      <c r="A5406" t="s">
        <v>401</v>
      </c>
      <c r="B5406" s="13" t="s">
        <v>23</v>
      </c>
      <c r="C5406" s="13" t="s">
        <v>185</v>
      </c>
      <c r="D5406" s="14" t="s">
        <v>198</v>
      </c>
      <c r="E5406" s="13" t="s">
        <v>1300</v>
      </c>
      <c r="F5406" s="13" t="s">
        <v>1704</v>
      </c>
      <c r="G5406" s="13">
        <v>1.68</v>
      </c>
      <c r="H5406" s="15">
        <v>173</v>
      </c>
      <c r="I5406" s="16">
        <v>290.64</v>
      </c>
      <c r="J5406" s="16">
        <v>305.26365697794273</v>
      </c>
      <c r="K5406" s="16">
        <v>-14.623656977942716</v>
      </c>
      <c r="L5406" s="13">
        <v>4.4400000000000004</v>
      </c>
      <c r="M5406" s="13"/>
      <c r="N5406" s="17">
        <f t="shared" si="177"/>
        <v>768.12000000000012</v>
      </c>
      <c r="O5406" s="17">
        <f t="shared" si="177"/>
        <v>0</v>
      </c>
      <c r="P5406" s="17">
        <f t="shared" si="178"/>
        <v>768.12000000000012</v>
      </c>
      <c r="Q5406" t="str">
        <f>A5406&amp;"-"&amp;B5406&amp;"-"&amp;D5406</f>
        <v>NOVEMBER-CVA-L8</v>
      </c>
    </row>
    <row r="5407" spans="1:17" x14ac:dyDescent="0.25">
      <c r="A5407" t="s">
        <v>401</v>
      </c>
      <c r="B5407" s="13" t="s">
        <v>23</v>
      </c>
      <c r="C5407" s="13" t="s">
        <v>185</v>
      </c>
      <c r="D5407" s="14" t="s">
        <v>198</v>
      </c>
      <c r="E5407" s="13" t="s">
        <v>1300</v>
      </c>
      <c r="F5407" s="13" t="s">
        <v>1510</v>
      </c>
      <c r="G5407" s="13">
        <v>2.46</v>
      </c>
      <c r="H5407" s="15">
        <v>28</v>
      </c>
      <c r="I5407" s="16">
        <v>68.88</v>
      </c>
      <c r="J5407" s="16">
        <v>33.161290322580648</v>
      </c>
      <c r="K5407" s="16">
        <v>35.718709677419348</v>
      </c>
      <c r="L5407" s="13">
        <v>4.9400000000000004</v>
      </c>
      <c r="M5407" s="13"/>
      <c r="N5407" s="17">
        <f t="shared" si="177"/>
        <v>138.32000000000002</v>
      </c>
      <c r="O5407" s="17">
        <f t="shared" si="177"/>
        <v>0</v>
      </c>
      <c r="P5407" s="17">
        <f t="shared" si="178"/>
        <v>138.32000000000002</v>
      </c>
      <c r="Q5407" t="str">
        <f>A5407&amp;"-"&amp;B5407&amp;"-"&amp;D5407</f>
        <v>NOVEMBER-CVA-L8</v>
      </c>
    </row>
    <row r="5408" spans="1:17" x14ac:dyDescent="0.25">
      <c r="A5408" t="s">
        <v>401</v>
      </c>
      <c r="B5408" s="13" t="s">
        <v>23</v>
      </c>
      <c r="C5408" s="13" t="s">
        <v>185</v>
      </c>
      <c r="D5408" s="14" t="s">
        <v>198</v>
      </c>
      <c r="E5408" s="13" t="s">
        <v>1300</v>
      </c>
      <c r="F5408" s="13" t="s">
        <v>1872</v>
      </c>
      <c r="G5408" s="13">
        <v>2.41</v>
      </c>
      <c r="H5408" s="15">
        <v>963</v>
      </c>
      <c r="I5408" s="16">
        <v>2320.83</v>
      </c>
      <c r="J5408" s="16">
        <v>1593.3446431005941</v>
      </c>
      <c r="K5408" s="16">
        <v>727.48535689940604</v>
      </c>
      <c r="L5408" s="13">
        <v>4.7699999999999996</v>
      </c>
      <c r="M5408" s="13"/>
      <c r="N5408" s="17">
        <f t="shared" si="177"/>
        <v>4593.5099999999993</v>
      </c>
      <c r="O5408" s="17">
        <f t="shared" si="177"/>
        <v>0</v>
      </c>
      <c r="P5408" s="17">
        <f t="shared" si="178"/>
        <v>4593.5099999999993</v>
      </c>
      <c r="Q5408" t="str">
        <f>A5408&amp;"-"&amp;B5408&amp;"-"&amp;D5408</f>
        <v>NOVEMBER-CVA-L8</v>
      </c>
    </row>
    <row r="5409" spans="1:17" x14ac:dyDescent="0.25">
      <c r="A5409" t="s">
        <v>401</v>
      </c>
      <c r="B5409" s="13" t="s">
        <v>23</v>
      </c>
      <c r="C5409" s="13" t="s">
        <v>185</v>
      </c>
      <c r="D5409" s="14" t="s">
        <v>198</v>
      </c>
      <c r="E5409" s="13" t="s">
        <v>534</v>
      </c>
      <c r="F5409" s="13" t="s">
        <v>1873</v>
      </c>
      <c r="G5409" s="13">
        <v>1.86</v>
      </c>
      <c r="H5409" s="15">
        <v>211</v>
      </c>
      <c r="I5409" s="16">
        <v>392.46</v>
      </c>
      <c r="J5409" s="16">
        <v>302.9441340782123</v>
      </c>
      <c r="K5409" s="16">
        <v>89.515865921787679</v>
      </c>
      <c r="L5409" s="13">
        <v>4.1399999999999997</v>
      </c>
      <c r="M5409" s="13"/>
      <c r="N5409" s="17">
        <f t="shared" si="177"/>
        <v>873.54</v>
      </c>
      <c r="O5409" s="17">
        <f t="shared" si="177"/>
        <v>0</v>
      </c>
      <c r="P5409" s="17">
        <f t="shared" si="178"/>
        <v>873.54</v>
      </c>
      <c r="Q5409" t="str">
        <f>A5409&amp;"-"&amp;B5409&amp;"-"&amp;D5409</f>
        <v>NOVEMBER-CVA-L8</v>
      </c>
    </row>
    <row r="5410" spans="1:17" x14ac:dyDescent="0.25">
      <c r="A5410" t="s">
        <v>401</v>
      </c>
      <c r="B5410" s="13" t="s">
        <v>23</v>
      </c>
      <c r="C5410" s="13" t="s">
        <v>185</v>
      </c>
      <c r="D5410" s="14" t="s">
        <v>198</v>
      </c>
      <c r="E5410" s="13" t="s">
        <v>77</v>
      </c>
      <c r="F5410" s="13" t="s">
        <v>1303</v>
      </c>
      <c r="G5410" s="13">
        <v>1.77</v>
      </c>
      <c r="H5410" s="15">
        <v>128</v>
      </c>
      <c r="I5410" s="16">
        <v>226.56</v>
      </c>
      <c r="J5410" s="16">
        <v>111.89115646258503</v>
      </c>
      <c r="K5410" s="16">
        <v>114.66884353741497</v>
      </c>
      <c r="L5410" s="13">
        <v>3.4</v>
      </c>
      <c r="M5410" s="13"/>
      <c r="N5410" s="17">
        <f t="shared" ref="N5410:O5470" si="179">$H5410*L5410</f>
        <v>435.2</v>
      </c>
      <c r="O5410" s="17">
        <f t="shared" si="179"/>
        <v>0</v>
      </c>
      <c r="P5410" s="17">
        <f t="shared" si="178"/>
        <v>435.2</v>
      </c>
      <c r="Q5410" t="str">
        <f>A5410&amp;"-"&amp;B5410&amp;"-"&amp;D5410</f>
        <v>NOVEMBER-CVA-L8</v>
      </c>
    </row>
    <row r="5411" spans="1:17" x14ac:dyDescent="0.25">
      <c r="A5411" t="s">
        <v>401</v>
      </c>
      <c r="B5411" s="13" t="s">
        <v>23</v>
      </c>
      <c r="C5411" s="13" t="s">
        <v>185</v>
      </c>
      <c r="D5411" s="14" t="s">
        <v>198</v>
      </c>
      <c r="E5411" s="13" t="s">
        <v>77</v>
      </c>
      <c r="F5411" s="13" t="s">
        <v>1513</v>
      </c>
      <c r="G5411" s="13">
        <v>1.85</v>
      </c>
      <c r="H5411" s="15">
        <v>190</v>
      </c>
      <c r="I5411" s="16">
        <v>351.5</v>
      </c>
      <c r="J5411" s="16">
        <v>371.91094619666052</v>
      </c>
      <c r="K5411" s="16">
        <v>-20.410946196660497</v>
      </c>
      <c r="L5411" s="13">
        <v>3.49</v>
      </c>
      <c r="M5411" s="13"/>
      <c r="N5411" s="17">
        <f t="shared" si="179"/>
        <v>663.1</v>
      </c>
      <c r="O5411" s="17">
        <f t="shared" si="179"/>
        <v>0</v>
      </c>
      <c r="P5411" s="17">
        <f t="shared" si="178"/>
        <v>663.1</v>
      </c>
      <c r="Q5411" t="str">
        <f>A5411&amp;"-"&amp;B5411&amp;"-"&amp;D5411</f>
        <v>NOVEMBER-CVA-L8</v>
      </c>
    </row>
    <row r="5412" spans="1:17" x14ac:dyDescent="0.25">
      <c r="A5412" t="s">
        <v>401</v>
      </c>
      <c r="B5412" s="13" t="s">
        <v>23</v>
      </c>
      <c r="C5412" s="13" t="s">
        <v>185</v>
      </c>
      <c r="D5412" s="14" t="s">
        <v>198</v>
      </c>
      <c r="E5412" s="13" t="s">
        <v>382</v>
      </c>
      <c r="F5412" s="13" t="s">
        <v>1501</v>
      </c>
      <c r="G5412" s="13">
        <v>1.64</v>
      </c>
      <c r="H5412" s="15">
        <v>543</v>
      </c>
      <c r="I5412" s="16">
        <v>890.52</v>
      </c>
      <c r="J5412" s="16">
        <v>578.12252269938654</v>
      </c>
      <c r="K5412" s="16">
        <v>312.3974773006135</v>
      </c>
      <c r="L5412" s="13">
        <v>3.42</v>
      </c>
      <c r="M5412" s="13"/>
      <c r="N5412" s="17">
        <f t="shared" si="179"/>
        <v>1857.06</v>
      </c>
      <c r="O5412" s="17">
        <f t="shared" si="179"/>
        <v>0</v>
      </c>
      <c r="P5412" s="17">
        <f t="shared" si="178"/>
        <v>1857.06</v>
      </c>
      <c r="Q5412" t="str">
        <f>A5412&amp;"-"&amp;B5412&amp;"-"&amp;D5412</f>
        <v>NOVEMBER-CVA-L8</v>
      </c>
    </row>
    <row r="5413" spans="1:17" x14ac:dyDescent="0.25">
      <c r="A5413" t="s">
        <v>401</v>
      </c>
      <c r="B5413" s="13" t="s">
        <v>23</v>
      </c>
      <c r="C5413" s="13" t="s">
        <v>185</v>
      </c>
      <c r="D5413" s="14" t="s">
        <v>198</v>
      </c>
      <c r="E5413" s="13" t="s">
        <v>382</v>
      </c>
      <c r="F5413" s="13" t="s">
        <v>1503</v>
      </c>
      <c r="G5413" s="13">
        <v>1.65</v>
      </c>
      <c r="H5413" s="15">
        <v>457</v>
      </c>
      <c r="I5413" s="16">
        <v>754.05</v>
      </c>
      <c r="J5413" s="16">
        <v>657.09760000000006</v>
      </c>
      <c r="K5413" s="16">
        <v>96.952400000000011</v>
      </c>
      <c r="L5413" s="13">
        <v>3.42</v>
      </c>
      <c r="M5413" s="13"/>
      <c r="N5413" s="17">
        <f t="shared" si="179"/>
        <v>1562.94</v>
      </c>
      <c r="O5413" s="17">
        <f t="shared" si="179"/>
        <v>0</v>
      </c>
      <c r="P5413" s="17">
        <f t="shared" si="178"/>
        <v>1562.94</v>
      </c>
      <c r="Q5413" t="str">
        <f>A5413&amp;"-"&amp;B5413&amp;"-"&amp;D5413</f>
        <v>NOVEMBER-CVA-L8</v>
      </c>
    </row>
    <row r="5414" spans="1:17" x14ac:dyDescent="0.25">
      <c r="A5414" t="s">
        <v>401</v>
      </c>
      <c r="B5414" s="13" t="s">
        <v>23</v>
      </c>
      <c r="C5414" s="13" t="s">
        <v>185</v>
      </c>
      <c r="D5414" s="14" t="s">
        <v>198</v>
      </c>
      <c r="E5414" s="13" t="s">
        <v>382</v>
      </c>
      <c r="F5414" s="13" t="s">
        <v>1504</v>
      </c>
      <c r="G5414" s="13">
        <v>1.67</v>
      </c>
      <c r="H5414" s="15">
        <v>183</v>
      </c>
      <c r="I5414" s="16">
        <v>305.61</v>
      </c>
      <c r="J5414" s="16">
        <v>292.14200089111284</v>
      </c>
      <c r="K5414" s="16">
        <v>13.467999108887163</v>
      </c>
      <c r="L5414" s="13">
        <v>3.29</v>
      </c>
      <c r="M5414" s="13"/>
      <c r="N5414" s="17">
        <f t="shared" si="179"/>
        <v>602.07000000000005</v>
      </c>
      <c r="O5414" s="17">
        <f t="shared" si="179"/>
        <v>0</v>
      </c>
      <c r="P5414" s="17">
        <f t="shared" si="178"/>
        <v>602.07000000000005</v>
      </c>
      <c r="Q5414" t="str">
        <f>A5414&amp;"-"&amp;B5414&amp;"-"&amp;D5414</f>
        <v>NOVEMBER-CVA-L8</v>
      </c>
    </row>
    <row r="5415" spans="1:17" x14ac:dyDescent="0.25">
      <c r="A5415" t="s">
        <v>401</v>
      </c>
      <c r="B5415" s="13" t="s">
        <v>23</v>
      </c>
      <c r="C5415" s="13" t="s">
        <v>185</v>
      </c>
      <c r="D5415" s="14" t="s">
        <v>198</v>
      </c>
      <c r="E5415" s="13" t="s">
        <v>382</v>
      </c>
      <c r="F5415" s="13" t="s">
        <v>1505</v>
      </c>
      <c r="G5415" s="13">
        <v>1.69</v>
      </c>
      <c r="H5415" s="15">
        <v>1002</v>
      </c>
      <c r="I5415" s="16">
        <v>1693.3799999999999</v>
      </c>
      <c r="J5415" s="16">
        <v>1091.4248135164084</v>
      </c>
      <c r="K5415" s="16">
        <v>601.95518648359143</v>
      </c>
      <c r="L5415" s="13">
        <v>3.18</v>
      </c>
      <c r="M5415" s="13"/>
      <c r="N5415" s="17">
        <f t="shared" si="179"/>
        <v>3186.36</v>
      </c>
      <c r="O5415" s="17">
        <f t="shared" si="179"/>
        <v>0</v>
      </c>
      <c r="P5415" s="17">
        <f t="shared" si="178"/>
        <v>3186.36</v>
      </c>
      <c r="Q5415" t="str">
        <f>A5415&amp;"-"&amp;B5415&amp;"-"&amp;D5415</f>
        <v>NOVEMBER-CVA-L8</v>
      </c>
    </row>
    <row r="5416" spans="1:17" x14ac:dyDescent="0.25">
      <c r="A5416" t="s">
        <v>401</v>
      </c>
      <c r="B5416" s="13" t="s">
        <v>23</v>
      </c>
      <c r="C5416" s="13" t="s">
        <v>185</v>
      </c>
      <c r="D5416" s="14" t="s">
        <v>198</v>
      </c>
      <c r="E5416" s="13" t="s">
        <v>941</v>
      </c>
      <c r="F5416" s="13" t="s">
        <v>1500</v>
      </c>
      <c r="G5416" s="13">
        <v>1.64</v>
      </c>
      <c r="H5416" s="15">
        <v>346</v>
      </c>
      <c r="I5416" s="16">
        <v>567.44000000000005</v>
      </c>
      <c r="J5416" s="16">
        <v>168.02968253968254</v>
      </c>
      <c r="K5416" s="16">
        <v>399.41031746031751</v>
      </c>
      <c r="L5416" s="13">
        <v>3.29</v>
      </c>
      <c r="M5416" s="13"/>
      <c r="N5416" s="17">
        <f t="shared" si="179"/>
        <v>1138.3399999999999</v>
      </c>
      <c r="O5416" s="17">
        <f t="shared" si="179"/>
        <v>0</v>
      </c>
      <c r="P5416" s="17">
        <f t="shared" si="178"/>
        <v>1138.3399999999999</v>
      </c>
      <c r="Q5416" t="str">
        <f>A5416&amp;"-"&amp;B5416&amp;"-"&amp;D5416</f>
        <v>NOVEMBER-CVA-L8</v>
      </c>
    </row>
    <row r="5417" spans="1:17" x14ac:dyDescent="0.25">
      <c r="A5417" t="s">
        <v>401</v>
      </c>
      <c r="B5417" s="13" t="s">
        <v>23</v>
      </c>
      <c r="C5417" s="13" t="s">
        <v>201</v>
      </c>
      <c r="D5417" s="14" t="s">
        <v>44</v>
      </c>
      <c r="E5417" s="13" t="s">
        <v>58</v>
      </c>
      <c r="F5417" s="13" t="s">
        <v>1874</v>
      </c>
      <c r="G5417" s="13">
        <v>0.76000000000000012</v>
      </c>
      <c r="H5417" s="15">
        <v>975</v>
      </c>
      <c r="I5417" s="16">
        <v>741</v>
      </c>
      <c r="J5417" s="16">
        <v>1542</v>
      </c>
      <c r="K5417" s="16">
        <v>-801</v>
      </c>
      <c r="L5417" s="13">
        <v>1.6</v>
      </c>
      <c r="M5417" s="13"/>
      <c r="N5417" s="17">
        <f t="shared" si="179"/>
        <v>1560</v>
      </c>
      <c r="O5417" s="17">
        <f t="shared" si="179"/>
        <v>0</v>
      </c>
      <c r="P5417" s="17">
        <f t="shared" si="178"/>
        <v>1560</v>
      </c>
      <c r="Q5417" t="str">
        <f>A5417&amp;"-"&amp;B5417&amp;"-"&amp;D5417</f>
        <v>NOVEMBER-CVA-L1</v>
      </c>
    </row>
    <row r="5418" spans="1:17" x14ac:dyDescent="0.25">
      <c r="A5418" t="s">
        <v>401</v>
      </c>
      <c r="B5418" s="13" t="s">
        <v>23</v>
      </c>
      <c r="C5418" s="13" t="s">
        <v>201</v>
      </c>
      <c r="D5418" s="14" t="s">
        <v>44</v>
      </c>
      <c r="E5418" s="13" t="s">
        <v>142</v>
      </c>
      <c r="F5418" s="13" t="s">
        <v>1709</v>
      </c>
      <c r="G5418" s="13">
        <v>1.25</v>
      </c>
      <c r="H5418" s="15">
        <v>1398</v>
      </c>
      <c r="I5418" s="16">
        <v>1747.5</v>
      </c>
      <c r="J5418" s="16">
        <v>1372.4315008649148</v>
      </c>
      <c r="K5418" s="16">
        <v>375.06849913508518</v>
      </c>
      <c r="L5418" s="13">
        <v>2.25</v>
      </c>
      <c r="M5418" s="13"/>
      <c r="N5418" s="17">
        <f t="shared" si="179"/>
        <v>3145.5</v>
      </c>
      <c r="O5418" s="17">
        <f t="shared" si="179"/>
        <v>0</v>
      </c>
      <c r="P5418" s="17">
        <f t="shared" si="178"/>
        <v>3145.5</v>
      </c>
      <c r="Q5418" t="str">
        <f>A5418&amp;"-"&amp;B5418&amp;"-"&amp;D5418</f>
        <v>NOVEMBER-CVA-L1</v>
      </c>
    </row>
    <row r="5419" spans="1:17" x14ac:dyDescent="0.25">
      <c r="A5419" t="s">
        <v>401</v>
      </c>
      <c r="B5419" s="13" t="s">
        <v>23</v>
      </c>
      <c r="C5419" s="13" t="s">
        <v>201</v>
      </c>
      <c r="D5419" s="14" t="s">
        <v>44</v>
      </c>
      <c r="E5419" s="13" t="s">
        <v>142</v>
      </c>
      <c r="F5419" s="13" t="s">
        <v>1875</v>
      </c>
      <c r="G5419" s="13">
        <v>1.25</v>
      </c>
      <c r="H5419" s="15">
        <v>3146</v>
      </c>
      <c r="I5419" s="16">
        <v>3932.5</v>
      </c>
      <c r="J5419" s="16">
        <v>3106.7084991350853</v>
      </c>
      <c r="K5419" s="16">
        <v>825.79150086491472</v>
      </c>
      <c r="L5419" s="13">
        <v>2.0499999999999998</v>
      </c>
      <c r="M5419" s="13"/>
      <c r="N5419" s="17">
        <f t="shared" si="179"/>
        <v>6449.2999999999993</v>
      </c>
      <c r="O5419" s="17">
        <f t="shared" si="179"/>
        <v>0</v>
      </c>
      <c r="P5419" s="17">
        <f t="shared" si="178"/>
        <v>6449.2999999999993</v>
      </c>
      <c r="Q5419" t="str">
        <f>A5419&amp;"-"&amp;B5419&amp;"-"&amp;D5419</f>
        <v>NOVEMBER-CVA-L1</v>
      </c>
    </row>
    <row r="5420" spans="1:17" x14ac:dyDescent="0.25">
      <c r="A5420" t="s">
        <v>401</v>
      </c>
      <c r="B5420" s="13" t="s">
        <v>23</v>
      </c>
      <c r="C5420" s="13" t="s">
        <v>201</v>
      </c>
      <c r="D5420" s="14" t="s">
        <v>44</v>
      </c>
      <c r="E5420" s="13" t="s">
        <v>142</v>
      </c>
      <c r="F5420" s="13" t="s">
        <v>1876</v>
      </c>
      <c r="G5420" s="13">
        <v>1.0600000000000003</v>
      </c>
      <c r="H5420" s="15">
        <v>6073</v>
      </c>
      <c r="I5420" s="16">
        <v>6437.38</v>
      </c>
      <c r="J5420" s="16">
        <v>5952.0422916666666</v>
      </c>
      <c r="K5420" s="16">
        <v>485.33770833333324</v>
      </c>
      <c r="L5420" s="13">
        <v>1.8</v>
      </c>
      <c r="M5420" s="13"/>
      <c r="N5420" s="17">
        <f t="shared" si="179"/>
        <v>10931.4</v>
      </c>
      <c r="O5420" s="17">
        <f t="shared" si="179"/>
        <v>0</v>
      </c>
      <c r="P5420" s="17">
        <f t="shared" si="178"/>
        <v>10931.4</v>
      </c>
      <c r="Q5420" t="str">
        <f>A5420&amp;"-"&amp;B5420&amp;"-"&amp;D5420</f>
        <v>NOVEMBER-CVA-L1</v>
      </c>
    </row>
    <row r="5421" spans="1:17" x14ac:dyDescent="0.25">
      <c r="A5421" t="s">
        <v>401</v>
      </c>
      <c r="B5421" s="13" t="s">
        <v>23</v>
      </c>
      <c r="C5421" s="13" t="s">
        <v>201</v>
      </c>
      <c r="D5421" s="14" t="s">
        <v>301</v>
      </c>
      <c r="E5421" s="13" t="s">
        <v>58</v>
      </c>
      <c r="F5421" s="13" t="s">
        <v>1874</v>
      </c>
      <c r="G5421" s="13">
        <v>0.7599999999999999</v>
      </c>
      <c r="H5421" s="15">
        <v>2539</v>
      </c>
      <c r="I5421" s="16">
        <v>1929.64</v>
      </c>
      <c r="J5421" s="16">
        <v>3420.7421505376342</v>
      </c>
      <c r="K5421" s="16">
        <v>-1491.1021505376341</v>
      </c>
      <c r="L5421" s="13">
        <v>1.6</v>
      </c>
      <c r="M5421" s="13"/>
      <c r="N5421" s="17">
        <f t="shared" si="179"/>
        <v>4062.4</v>
      </c>
      <c r="O5421" s="17">
        <f t="shared" si="179"/>
        <v>0</v>
      </c>
      <c r="P5421" s="17">
        <f t="shared" si="178"/>
        <v>4062.4</v>
      </c>
      <c r="Q5421" t="str">
        <f>A5421&amp;"-"&amp;B5421&amp;"-"&amp;D5421</f>
        <v>NOVEMBER-CVA-L10</v>
      </c>
    </row>
    <row r="5422" spans="1:17" x14ac:dyDescent="0.25">
      <c r="A5422" t="s">
        <v>401</v>
      </c>
      <c r="B5422" s="13" t="s">
        <v>23</v>
      </c>
      <c r="C5422" s="13" t="s">
        <v>201</v>
      </c>
      <c r="D5422" s="14" t="s">
        <v>301</v>
      </c>
      <c r="E5422" s="13" t="s">
        <v>142</v>
      </c>
      <c r="F5422" s="13" t="s">
        <v>1876</v>
      </c>
      <c r="G5422" s="13">
        <v>1.0600000000000003</v>
      </c>
      <c r="H5422" s="15">
        <v>2010</v>
      </c>
      <c r="I5422" s="16">
        <v>2130.6</v>
      </c>
      <c r="J5422" s="16">
        <v>4509.5378494623646</v>
      </c>
      <c r="K5422" s="16">
        <v>-2378.9378494623652</v>
      </c>
      <c r="L5422" s="13">
        <v>1.8</v>
      </c>
      <c r="M5422" s="13"/>
      <c r="N5422" s="17">
        <f t="shared" si="179"/>
        <v>3618</v>
      </c>
      <c r="O5422" s="17">
        <f t="shared" si="179"/>
        <v>0</v>
      </c>
      <c r="P5422" s="17">
        <f t="shared" si="178"/>
        <v>3618</v>
      </c>
      <c r="Q5422" t="str">
        <f>A5422&amp;"-"&amp;B5422&amp;"-"&amp;D5422</f>
        <v>NOVEMBER-CVA-L10</v>
      </c>
    </row>
    <row r="5423" spans="1:17" x14ac:dyDescent="0.25">
      <c r="A5423" t="s">
        <v>401</v>
      </c>
      <c r="B5423" s="13" t="s">
        <v>23</v>
      </c>
      <c r="C5423" s="13" t="s">
        <v>201</v>
      </c>
      <c r="D5423" s="14" t="s">
        <v>301</v>
      </c>
      <c r="E5423" s="13" t="s">
        <v>142</v>
      </c>
      <c r="F5423" s="13" t="s">
        <v>1714</v>
      </c>
      <c r="G5423" s="13">
        <v>1.5500000000000003</v>
      </c>
      <c r="H5423" s="15">
        <v>3515</v>
      </c>
      <c r="I5423" s="16">
        <v>5448.25</v>
      </c>
      <c r="J5423" s="16">
        <v>4479.1399999999994</v>
      </c>
      <c r="K5423" s="16">
        <v>969.11</v>
      </c>
      <c r="L5423" s="13">
        <v>2.75</v>
      </c>
      <c r="M5423" s="13"/>
      <c r="N5423" s="17">
        <f t="shared" si="179"/>
        <v>9666.25</v>
      </c>
      <c r="O5423" s="17">
        <f t="shared" si="179"/>
        <v>0</v>
      </c>
      <c r="P5423" s="17">
        <f t="shared" si="178"/>
        <v>9666.25</v>
      </c>
      <c r="Q5423" t="str">
        <f>A5423&amp;"-"&amp;B5423&amp;"-"&amp;D5423</f>
        <v>NOVEMBER-CVA-L10</v>
      </c>
    </row>
    <row r="5424" spans="1:17" x14ac:dyDescent="0.25">
      <c r="A5424" t="s">
        <v>401</v>
      </c>
      <c r="B5424" s="13" t="s">
        <v>23</v>
      </c>
      <c r="C5424" s="13" t="s">
        <v>201</v>
      </c>
      <c r="D5424" s="14" t="s">
        <v>50</v>
      </c>
      <c r="E5424" s="13" t="s">
        <v>58</v>
      </c>
      <c r="F5424" s="13" t="s">
        <v>1874</v>
      </c>
      <c r="G5424" s="13">
        <v>0.76</v>
      </c>
      <c r="H5424" s="15">
        <v>1229</v>
      </c>
      <c r="I5424" s="16">
        <v>934.04000000000008</v>
      </c>
      <c r="J5424" s="16">
        <v>2056</v>
      </c>
      <c r="K5424" s="16">
        <v>-1121.96</v>
      </c>
      <c r="L5424" s="13">
        <v>1.6</v>
      </c>
      <c r="M5424" s="13"/>
      <c r="N5424" s="17">
        <f t="shared" si="179"/>
        <v>1966.4</v>
      </c>
      <c r="O5424" s="17">
        <f t="shared" si="179"/>
        <v>0</v>
      </c>
      <c r="P5424" s="17">
        <f t="shared" si="178"/>
        <v>1966.4</v>
      </c>
      <c r="Q5424" t="str">
        <f>A5424&amp;"-"&amp;B5424&amp;"-"&amp;D5424</f>
        <v>NOVEMBER-CVA-L2</v>
      </c>
    </row>
    <row r="5425" spans="1:17" x14ac:dyDescent="0.25">
      <c r="A5425" t="s">
        <v>401</v>
      </c>
      <c r="B5425" s="13" t="s">
        <v>23</v>
      </c>
      <c r="C5425" s="13" t="s">
        <v>201</v>
      </c>
      <c r="D5425" s="14" t="s">
        <v>50</v>
      </c>
      <c r="E5425" s="13" t="s">
        <v>142</v>
      </c>
      <c r="F5425" s="13" t="s">
        <v>1709</v>
      </c>
      <c r="G5425" s="13">
        <v>1.25</v>
      </c>
      <c r="H5425" s="15">
        <v>910</v>
      </c>
      <c r="I5425" s="16">
        <v>1137.5</v>
      </c>
      <c r="J5425" s="16">
        <v>853.47970203200066</v>
      </c>
      <c r="K5425" s="16">
        <v>284.02029796799928</v>
      </c>
      <c r="L5425" s="13">
        <v>2.25</v>
      </c>
      <c r="M5425" s="13"/>
      <c r="N5425" s="17">
        <f t="shared" si="179"/>
        <v>2047.5</v>
      </c>
      <c r="O5425" s="17">
        <f t="shared" si="179"/>
        <v>0</v>
      </c>
      <c r="P5425" s="17">
        <f t="shared" si="178"/>
        <v>2047.5</v>
      </c>
      <c r="Q5425" t="str">
        <f>A5425&amp;"-"&amp;B5425&amp;"-"&amp;D5425</f>
        <v>NOVEMBER-CVA-L2</v>
      </c>
    </row>
    <row r="5426" spans="1:17" x14ac:dyDescent="0.25">
      <c r="A5426" t="s">
        <v>401</v>
      </c>
      <c r="B5426" s="13" t="s">
        <v>23</v>
      </c>
      <c r="C5426" s="13" t="s">
        <v>201</v>
      </c>
      <c r="D5426" s="14" t="s">
        <v>50</v>
      </c>
      <c r="E5426" s="13" t="s">
        <v>142</v>
      </c>
      <c r="F5426" s="13" t="s">
        <v>1875</v>
      </c>
      <c r="G5426" s="13">
        <v>1.25</v>
      </c>
      <c r="H5426" s="15">
        <v>3708</v>
      </c>
      <c r="I5426" s="16">
        <v>4635</v>
      </c>
      <c r="J5426" s="16">
        <v>3625.6602979679992</v>
      </c>
      <c r="K5426" s="16">
        <v>1009.3397020320008</v>
      </c>
      <c r="L5426" s="13">
        <v>2.0499999999999998</v>
      </c>
      <c r="M5426" s="13"/>
      <c r="N5426" s="17">
        <f t="shared" si="179"/>
        <v>7601.4</v>
      </c>
      <c r="O5426" s="17">
        <f t="shared" si="179"/>
        <v>0</v>
      </c>
      <c r="P5426" s="17">
        <f t="shared" si="178"/>
        <v>7601.4</v>
      </c>
      <c r="Q5426" t="str">
        <f>A5426&amp;"-"&amp;B5426&amp;"-"&amp;D5426</f>
        <v>NOVEMBER-CVA-L2</v>
      </c>
    </row>
    <row r="5427" spans="1:17" x14ac:dyDescent="0.25">
      <c r="A5427" t="s">
        <v>401</v>
      </c>
      <c r="B5427" s="13" t="s">
        <v>23</v>
      </c>
      <c r="C5427" s="13" t="s">
        <v>201</v>
      </c>
      <c r="D5427" s="14" t="s">
        <v>50</v>
      </c>
      <c r="E5427" s="13" t="s">
        <v>142</v>
      </c>
      <c r="F5427" s="13" t="s">
        <v>1876</v>
      </c>
      <c r="G5427" s="13">
        <v>1.0600000000000003</v>
      </c>
      <c r="H5427" s="15">
        <v>6503</v>
      </c>
      <c r="I5427" s="16">
        <v>6893.18</v>
      </c>
      <c r="J5427" s="16">
        <v>5874.28</v>
      </c>
      <c r="K5427" s="16">
        <v>1018.9000000000001</v>
      </c>
      <c r="L5427" s="13">
        <v>1.8</v>
      </c>
      <c r="M5427" s="13"/>
      <c r="N5427" s="17">
        <f t="shared" si="179"/>
        <v>11705.4</v>
      </c>
      <c r="O5427" s="17">
        <f t="shared" si="179"/>
        <v>0</v>
      </c>
      <c r="P5427" s="17">
        <f t="shared" si="178"/>
        <v>11705.4</v>
      </c>
      <c r="Q5427" t="str">
        <f>A5427&amp;"-"&amp;B5427&amp;"-"&amp;D5427</f>
        <v>NOVEMBER-CVA-L2</v>
      </c>
    </row>
    <row r="5428" spans="1:17" x14ac:dyDescent="0.25">
      <c r="A5428" t="s">
        <v>401</v>
      </c>
      <c r="B5428" s="13" t="s">
        <v>23</v>
      </c>
      <c r="C5428" s="13" t="s">
        <v>201</v>
      </c>
      <c r="D5428" s="14" t="s">
        <v>56</v>
      </c>
      <c r="E5428" s="13" t="s">
        <v>58</v>
      </c>
      <c r="F5428" s="13" t="s">
        <v>1874</v>
      </c>
      <c r="G5428" s="13">
        <v>0.7599999999999999</v>
      </c>
      <c r="H5428" s="15">
        <v>2225</v>
      </c>
      <c r="I5428" s="16">
        <v>1691</v>
      </c>
      <c r="J5428" s="16">
        <v>3451.14</v>
      </c>
      <c r="K5428" s="16">
        <v>-1760.1400000000003</v>
      </c>
      <c r="L5428" s="13">
        <v>1.6</v>
      </c>
      <c r="M5428" s="13"/>
      <c r="N5428" s="17">
        <f t="shared" si="179"/>
        <v>3560</v>
      </c>
      <c r="O5428" s="17">
        <f t="shared" si="179"/>
        <v>0</v>
      </c>
      <c r="P5428" s="17">
        <f t="shared" si="178"/>
        <v>3560</v>
      </c>
      <c r="Q5428" t="str">
        <f>A5428&amp;"-"&amp;B5428&amp;"-"&amp;D5428</f>
        <v>NOVEMBER-CVA-L3</v>
      </c>
    </row>
    <row r="5429" spans="1:17" x14ac:dyDescent="0.25">
      <c r="A5429" t="s">
        <v>401</v>
      </c>
      <c r="B5429" s="13" t="s">
        <v>23</v>
      </c>
      <c r="C5429" s="13" t="s">
        <v>201</v>
      </c>
      <c r="D5429" s="14" t="s">
        <v>56</v>
      </c>
      <c r="E5429" s="13" t="s">
        <v>142</v>
      </c>
      <c r="F5429" s="13" t="s">
        <v>1877</v>
      </c>
      <c r="G5429" s="13">
        <v>1.22</v>
      </c>
      <c r="H5429" s="15">
        <v>3911</v>
      </c>
      <c r="I5429" s="16">
        <v>4771.42</v>
      </c>
      <c r="J5429" s="16">
        <v>4332.28</v>
      </c>
      <c r="K5429" s="16">
        <v>439.14000000000004</v>
      </c>
      <c r="L5429" s="13">
        <v>2.25</v>
      </c>
      <c r="M5429" s="13"/>
      <c r="N5429" s="17">
        <f t="shared" si="179"/>
        <v>8799.75</v>
      </c>
      <c r="O5429" s="17">
        <f t="shared" si="179"/>
        <v>0</v>
      </c>
      <c r="P5429" s="17">
        <f t="shared" si="178"/>
        <v>8799.75</v>
      </c>
      <c r="Q5429" t="str">
        <f>A5429&amp;"-"&amp;B5429&amp;"-"&amp;D5429</f>
        <v>NOVEMBER-CVA-L3</v>
      </c>
    </row>
    <row r="5430" spans="1:17" x14ac:dyDescent="0.25">
      <c r="A5430" t="s">
        <v>401</v>
      </c>
      <c r="B5430" s="13" t="s">
        <v>23</v>
      </c>
      <c r="C5430" s="13" t="s">
        <v>201</v>
      </c>
      <c r="D5430" s="14" t="s">
        <v>56</v>
      </c>
      <c r="E5430" s="13" t="s">
        <v>142</v>
      </c>
      <c r="F5430" s="13" t="s">
        <v>1711</v>
      </c>
      <c r="G5430" s="13">
        <v>1.22</v>
      </c>
      <c r="H5430" s="15">
        <v>1127</v>
      </c>
      <c r="I5430" s="16">
        <v>1374.94</v>
      </c>
      <c r="J5430" s="16">
        <v>1028</v>
      </c>
      <c r="K5430" s="16">
        <v>346.94000000000005</v>
      </c>
      <c r="L5430" s="13">
        <v>2.2999999999999998</v>
      </c>
      <c r="M5430" s="13"/>
      <c r="N5430" s="17">
        <f t="shared" si="179"/>
        <v>2592.1</v>
      </c>
      <c r="O5430" s="17">
        <f t="shared" si="179"/>
        <v>0</v>
      </c>
      <c r="P5430" s="17">
        <f t="shared" si="178"/>
        <v>2592.1</v>
      </c>
      <c r="Q5430" t="str">
        <f>A5430&amp;"-"&amp;B5430&amp;"-"&amp;D5430</f>
        <v>NOVEMBER-CVA-L3</v>
      </c>
    </row>
    <row r="5431" spans="1:17" x14ac:dyDescent="0.25">
      <c r="A5431" t="s">
        <v>401</v>
      </c>
      <c r="B5431" s="13" t="s">
        <v>23</v>
      </c>
      <c r="C5431" s="13" t="s">
        <v>201</v>
      </c>
      <c r="D5431" s="14" t="s">
        <v>56</v>
      </c>
      <c r="E5431" s="13" t="s">
        <v>142</v>
      </c>
      <c r="F5431" s="13" t="s">
        <v>1875</v>
      </c>
      <c r="G5431" s="13">
        <v>1.25</v>
      </c>
      <c r="H5431" s="15">
        <v>2284</v>
      </c>
      <c r="I5431" s="16">
        <v>2855</v>
      </c>
      <c r="J5431" s="16">
        <v>2423.14</v>
      </c>
      <c r="K5431" s="16">
        <v>431.86</v>
      </c>
      <c r="L5431" s="13">
        <v>2.0499999999999998</v>
      </c>
      <c r="M5431" s="13"/>
      <c r="N5431" s="17">
        <f t="shared" si="179"/>
        <v>4682.2</v>
      </c>
      <c r="O5431" s="17">
        <f t="shared" si="179"/>
        <v>0</v>
      </c>
      <c r="P5431" s="17">
        <f t="shared" si="178"/>
        <v>4682.2</v>
      </c>
      <c r="Q5431" t="str">
        <f>A5431&amp;"-"&amp;B5431&amp;"-"&amp;D5431</f>
        <v>NOVEMBER-CVA-L3</v>
      </c>
    </row>
    <row r="5432" spans="1:17" x14ac:dyDescent="0.25">
      <c r="A5432" t="s">
        <v>401</v>
      </c>
      <c r="B5432" s="13" t="s">
        <v>23</v>
      </c>
      <c r="C5432" s="13" t="s">
        <v>201</v>
      </c>
      <c r="D5432" s="14" t="s">
        <v>56</v>
      </c>
      <c r="E5432" s="13" t="s">
        <v>142</v>
      </c>
      <c r="F5432" s="13" t="s">
        <v>1876</v>
      </c>
      <c r="G5432" s="13">
        <v>1.06</v>
      </c>
      <c r="H5432" s="15">
        <v>275</v>
      </c>
      <c r="I5432" s="16">
        <v>291.5</v>
      </c>
      <c r="J5432" s="16">
        <v>514</v>
      </c>
      <c r="K5432" s="16">
        <v>-222.5</v>
      </c>
      <c r="L5432" s="13">
        <v>1.8</v>
      </c>
      <c r="M5432" s="13"/>
      <c r="N5432" s="17">
        <f t="shared" si="179"/>
        <v>495</v>
      </c>
      <c r="O5432" s="17">
        <f t="shared" si="179"/>
        <v>0</v>
      </c>
      <c r="P5432" s="17">
        <f t="shared" si="178"/>
        <v>495</v>
      </c>
      <c r="Q5432" t="str">
        <f>A5432&amp;"-"&amp;B5432&amp;"-"&amp;D5432</f>
        <v>NOVEMBER-CVA-L3</v>
      </c>
    </row>
    <row r="5433" spans="1:17" x14ac:dyDescent="0.25">
      <c r="A5433" t="s">
        <v>401</v>
      </c>
      <c r="B5433" s="13" t="s">
        <v>23</v>
      </c>
      <c r="C5433" s="13" t="s">
        <v>201</v>
      </c>
      <c r="D5433" s="14" t="s">
        <v>158</v>
      </c>
      <c r="E5433" s="13" t="s">
        <v>58</v>
      </c>
      <c r="F5433" s="13" t="s">
        <v>1874</v>
      </c>
      <c r="G5433" s="13">
        <v>0.7599999999999999</v>
      </c>
      <c r="H5433" s="15">
        <v>2250</v>
      </c>
      <c r="I5433" s="16">
        <v>1710</v>
      </c>
      <c r="J5433" s="16">
        <v>3451.14</v>
      </c>
      <c r="K5433" s="16">
        <v>-1741.1399999999999</v>
      </c>
      <c r="L5433" s="13">
        <v>1.6</v>
      </c>
      <c r="M5433" s="13"/>
      <c r="N5433" s="17">
        <f t="shared" si="179"/>
        <v>3600</v>
      </c>
      <c r="O5433" s="17">
        <f t="shared" si="179"/>
        <v>0</v>
      </c>
      <c r="P5433" s="17">
        <f t="shared" si="178"/>
        <v>3600</v>
      </c>
      <c r="Q5433" t="str">
        <f>A5433&amp;"-"&amp;B5433&amp;"-"&amp;D5433</f>
        <v>NOVEMBER-CVA-L4</v>
      </c>
    </row>
    <row r="5434" spans="1:17" x14ac:dyDescent="0.25">
      <c r="A5434" t="s">
        <v>401</v>
      </c>
      <c r="B5434" s="13" t="s">
        <v>23</v>
      </c>
      <c r="C5434" s="13" t="s">
        <v>201</v>
      </c>
      <c r="D5434" s="14" t="s">
        <v>158</v>
      </c>
      <c r="E5434" s="13" t="s">
        <v>142</v>
      </c>
      <c r="F5434" s="13" t="s">
        <v>1877</v>
      </c>
      <c r="G5434" s="13">
        <v>1.2200000000000002</v>
      </c>
      <c r="H5434" s="15">
        <v>5019</v>
      </c>
      <c r="I5434" s="16">
        <v>6123.1799999999994</v>
      </c>
      <c r="J5434" s="16">
        <v>4846.28</v>
      </c>
      <c r="K5434" s="16">
        <v>1276.9000000000003</v>
      </c>
      <c r="L5434" s="13">
        <v>2.25</v>
      </c>
      <c r="M5434" s="13"/>
      <c r="N5434" s="17">
        <f t="shared" si="179"/>
        <v>11292.75</v>
      </c>
      <c r="O5434" s="17">
        <f t="shared" si="179"/>
        <v>0</v>
      </c>
      <c r="P5434" s="17">
        <f t="shared" si="178"/>
        <v>11292.75</v>
      </c>
      <c r="Q5434" t="str">
        <f>A5434&amp;"-"&amp;B5434&amp;"-"&amp;D5434</f>
        <v>NOVEMBER-CVA-L4</v>
      </c>
    </row>
    <row r="5435" spans="1:17" x14ac:dyDescent="0.25">
      <c r="A5435" t="s">
        <v>401</v>
      </c>
      <c r="B5435" s="13" t="s">
        <v>23</v>
      </c>
      <c r="C5435" s="13" t="s">
        <v>201</v>
      </c>
      <c r="D5435" s="14" t="s">
        <v>158</v>
      </c>
      <c r="E5435" s="13" t="s">
        <v>142</v>
      </c>
      <c r="F5435" s="13" t="s">
        <v>1711</v>
      </c>
      <c r="G5435" s="13">
        <v>1.22</v>
      </c>
      <c r="H5435" s="15">
        <v>777</v>
      </c>
      <c r="I5435" s="16">
        <v>947.94</v>
      </c>
      <c r="J5435" s="16">
        <v>1028</v>
      </c>
      <c r="K5435" s="16">
        <v>-80.059999999999945</v>
      </c>
      <c r="L5435" s="13">
        <v>2.2999999999999998</v>
      </c>
      <c r="M5435" s="13"/>
      <c r="N5435" s="17">
        <f t="shared" si="179"/>
        <v>1787.1</v>
      </c>
      <c r="O5435" s="17">
        <f t="shared" si="179"/>
        <v>0</v>
      </c>
      <c r="P5435" s="17">
        <f t="shared" si="178"/>
        <v>1787.1</v>
      </c>
      <c r="Q5435" t="str">
        <f>A5435&amp;"-"&amp;B5435&amp;"-"&amp;D5435</f>
        <v>NOVEMBER-CVA-L4</v>
      </c>
    </row>
    <row r="5436" spans="1:17" x14ac:dyDescent="0.25">
      <c r="A5436" t="s">
        <v>401</v>
      </c>
      <c r="B5436" s="13" t="s">
        <v>23</v>
      </c>
      <c r="C5436" s="13" t="s">
        <v>201</v>
      </c>
      <c r="D5436" s="14" t="s">
        <v>158</v>
      </c>
      <c r="E5436" s="13" t="s">
        <v>142</v>
      </c>
      <c r="F5436" s="13" t="s">
        <v>1875</v>
      </c>
      <c r="G5436" s="13">
        <v>1.25</v>
      </c>
      <c r="H5436" s="15">
        <v>3038</v>
      </c>
      <c r="I5436" s="16">
        <v>3797.5</v>
      </c>
      <c r="J5436" s="16">
        <v>2937.14</v>
      </c>
      <c r="K5436" s="16">
        <v>860.36</v>
      </c>
      <c r="L5436" s="13">
        <v>2.0499999999999998</v>
      </c>
      <c r="M5436" s="13"/>
      <c r="N5436" s="17">
        <f t="shared" si="179"/>
        <v>6227.9</v>
      </c>
      <c r="O5436" s="17">
        <f t="shared" si="179"/>
        <v>0</v>
      </c>
      <c r="P5436" s="17">
        <f t="shared" si="178"/>
        <v>6227.9</v>
      </c>
      <c r="Q5436" t="str">
        <f>A5436&amp;"-"&amp;B5436&amp;"-"&amp;D5436</f>
        <v>NOVEMBER-CVA-L4</v>
      </c>
    </row>
    <row r="5437" spans="1:17" x14ac:dyDescent="0.25">
      <c r="A5437" t="s">
        <v>401</v>
      </c>
      <c r="B5437" s="13" t="s">
        <v>23</v>
      </c>
      <c r="C5437" s="13" t="s">
        <v>201</v>
      </c>
      <c r="D5437" s="14" t="s">
        <v>160</v>
      </c>
      <c r="E5437" s="13" t="s">
        <v>58</v>
      </c>
      <c r="F5437" s="13" t="s">
        <v>1874</v>
      </c>
      <c r="G5437" s="13">
        <v>0.7599999999999999</v>
      </c>
      <c r="H5437" s="15">
        <v>3157</v>
      </c>
      <c r="I5437" s="16">
        <v>2399.3200000000002</v>
      </c>
      <c r="J5437" s="16">
        <v>4479.1399999999994</v>
      </c>
      <c r="K5437" s="16">
        <v>-2079.8199999999997</v>
      </c>
      <c r="L5437" s="13">
        <v>1.6</v>
      </c>
      <c r="M5437" s="13"/>
      <c r="N5437" s="17">
        <f t="shared" si="179"/>
        <v>5051.2000000000007</v>
      </c>
      <c r="O5437" s="17">
        <f t="shared" si="179"/>
        <v>0</v>
      </c>
      <c r="P5437" s="17">
        <f t="shared" si="178"/>
        <v>5051.2000000000007</v>
      </c>
      <c r="Q5437" t="str">
        <f>A5437&amp;"-"&amp;B5437&amp;"-"&amp;D5437</f>
        <v>NOVEMBER-CVA-L5</v>
      </c>
    </row>
    <row r="5438" spans="1:17" x14ac:dyDescent="0.25">
      <c r="A5438" t="s">
        <v>401</v>
      </c>
      <c r="B5438" s="13" t="s">
        <v>23</v>
      </c>
      <c r="C5438" s="13" t="s">
        <v>201</v>
      </c>
      <c r="D5438" s="14" t="s">
        <v>160</v>
      </c>
      <c r="E5438" s="13" t="s">
        <v>142</v>
      </c>
      <c r="F5438" s="13" t="s">
        <v>1878</v>
      </c>
      <c r="G5438" s="13">
        <v>1.2200000000000002</v>
      </c>
      <c r="H5438" s="15">
        <v>6218</v>
      </c>
      <c r="I5438" s="16">
        <v>7585.9600000000019</v>
      </c>
      <c r="J5438" s="16">
        <v>6044.5622085889572</v>
      </c>
      <c r="K5438" s="16">
        <v>1541.3977914110433</v>
      </c>
      <c r="L5438" s="13">
        <v>2.0499999999999998</v>
      </c>
      <c r="M5438" s="13"/>
      <c r="N5438" s="17">
        <f t="shared" si="179"/>
        <v>12746.9</v>
      </c>
      <c r="O5438" s="17">
        <f t="shared" si="179"/>
        <v>0</v>
      </c>
      <c r="P5438" s="17">
        <f t="shared" si="178"/>
        <v>12746.9</v>
      </c>
      <c r="Q5438" t="str">
        <f>A5438&amp;"-"&amp;B5438&amp;"-"&amp;D5438</f>
        <v>NOVEMBER-CVA-L5</v>
      </c>
    </row>
    <row r="5439" spans="1:17" x14ac:dyDescent="0.25">
      <c r="A5439" t="s">
        <v>401</v>
      </c>
      <c r="B5439" s="13" t="s">
        <v>23</v>
      </c>
      <c r="C5439" s="13" t="s">
        <v>201</v>
      </c>
      <c r="D5439" s="14" t="s">
        <v>160</v>
      </c>
      <c r="E5439" s="13" t="s">
        <v>142</v>
      </c>
      <c r="F5439" s="13" t="s">
        <v>1714</v>
      </c>
      <c r="G5439" s="13">
        <v>1.55</v>
      </c>
      <c r="H5439" s="15">
        <v>2345</v>
      </c>
      <c r="I5439" s="16">
        <v>3634.75</v>
      </c>
      <c r="J5439" s="16">
        <v>2252.8577914110429</v>
      </c>
      <c r="K5439" s="16">
        <v>1381.8922085889574</v>
      </c>
      <c r="L5439" s="13">
        <v>2.75</v>
      </c>
      <c r="M5439" s="13"/>
      <c r="N5439" s="17">
        <f t="shared" si="179"/>
        <v>6448.75</v>
      </c>
      <c r="O5439" s="17">
        <f t="shared" si="179"/>
        <v>0</v>
      </c>
      <c r="P5439" s="17">
        <f t="shared" si="178"/>
        <v>6448.75</v>
      </c>
      <c r="Q5439" t="str">
        <f>A5439&amp;"-"&amp;B5439&amp;"-"&amp;D5439</f>
        <v>NOVEMBER-CVA-L5</v>
      </c>
    </row>
    <row r="5440" spans="1:17" x14ac:dyDescent="0.25">
      <c r="A5440" t="s">
        <v>401</v>
      </c>
      <c r="B5440" s="13" t="s">
        <v>23</v>
      </c>
      <c r="C5440" s="13" t="s">
        <v>201</v>
      </c>
      <c r="D5440" s="14" t="s">
        <v>163</v>
      </c>
      <c r="E5440" s="13" t="s">
        <v>58</v>
      </c>
      <c r="F5440" s="13" t="s">
        <v>1874</v>
      </c>
      <c r="G5440" s="13">
        <v>0.7599999999999999</v>
      </c>
      <c r="H5440" s="15">
        <v>2969</v>
      </c>
      <c r="I5440" s="16">
        <v>2256.44</v>
      </c>
      <c r="J5440" s="16">
        <v>4479.1399999999994</v>
      </c>
      <c r="K5440" s="16">
        <v>-2222.6999999999998</v>
      </c>
      <c r="L5440" s="13">
        <v>1.6</v>
      </c>
      <c r="M5440" s="13"/>
      <c r="N5440" s="17">
        <f t="shared" si="179"/>
        <v>4750.4000000000005</v>
      </c>
      <c r="O5440" s="17">
        <f t="shared" si="179"/>
        <v>0</v>
      </c>
      <c r="P5440" s="17">
        <f t="shared" si="178"/>
        <v>4750.4000000000005</v>
      </c>
      <c r="Q5440" t="str">
        <f>A5440&amp;"-"&amp;B5440&amp;"-"&amp;D5440</f>
        <v>NOVEMBER-CVA-L6</v>
      </c>
    </row>
    <row r="5441" spans="1:17" x14ac:dyDescent="0.25">
      <c r="A5441" t="s">
        <v>401</v>
      </c>
      <c r="B5441" s="13" t="s">
        <v>23</v>
      </c>
      <c r="C5441" s="13" t="s">
        <v>201</v>
      </c>
      <c r="D5441" s="14" t="s">
        <v>163</v>
      </c>
      <c r="E5441" s="13" t="s">
        <v>142</v>
      </c>
      <c r="F5441" s="13" t="s">
        <v>1878</v>
      </c>
      <c r="G5441" s="13">
        <v>1.2200000000000002</v>
      </c>
      <c r="H5441" s="15">
        <v>5148</v>
      </c>
      <c r="I5441" s="16">
        <v>6280.5599999999995</v>
      </c>
      <c r="J5441" s="16">
        <v>5874.28</v>
      </c>
      <c r="K5441" s="16">
        <v>406.28000000000026</v>
      </c>
      <c r="L5441" s="13">
        <v>2.0499999999999998</v>
      </c>
      <c r="M5441" s="13"/>
      <c r="N5441" s="17">
        <f t="shared" si="179"/>
        <v>10553.4</v>
      </c>
      <c r="O5441" s="17">
        <f t="shared" si="179"/>
        <v>0</v>
      </c>
      <c r="P5441" s="17">
        <f t="shared" si="178"/>
        <v>10553.4</v>
      </c>
      <c r="Q5441" t="str">
        <f>A5441&amp;"-"&amp;B5441&amp;"-"&amp;D5441</f>
        <v>NOVEMBER-CVA-L6</v>
      </c>
    </row>
    <row r="5442" spans="1:17" x14ac:dyDescent="0.25">
      <c r="A5442" t="s">
        <v>401</v>
      </c>
      <c r="B5442" s="13" t="s">
        <v>23</v>
      </c>
      <c r="C5442" s="13" t="s">
        <v>201</v>
      </c>
      <c r="D5442" s="14" t="s">
        <v>163</v>
      </c>
      <c r="E5442" s="13" t="s">
        <v>142</v>
      </c>
      <c r="F5442" s="13" t="s">
        <v>1714</v>
      </c>
      <c r="G5442" s="13">
        <v>1.55</v>
      </c>
      <c r="H5442" s="15">
        <v>2151</v>
      </c>
      <c r="I5442" s="16">
        <v>3334.05</v>
      </c>
      <c r="J5442" s="16">
        <v>1909.1399999999999</v>
      </c>
      <c r="K5442" s="16">
        <v>1424.9099999999999</v>
      </c>
      <c r="L5442" s="13">
        <v>2.75</v>
      </c>
      <c r="M5442" s="13"/>
      <c r="N5442" s="17">
        <f t="shared" si="179"/>
        <v>5915.25</v>
      </c>
      <c r="O5442" s="17">
        <f t="shared" si="179"/>
        <v>0</v>
      </c>
      <c r="P5442" s="17">
        <f t="shared" ref="P5442:P5505" si="180">N5442+O5442</f>
        <v>5915.25</v>
      </c>
      <c r="Q5442" t="str">
        <f>A5442&amp;"-"&amp;B5442&amp;"-"&amp;D5442</f>
        <v>NOVEMBER-CVA-L6</v>
      </c>
    </row>
    <row r="5443" spans="1:17" x14ac:dyDescent="0.25">
      <c r="A5443" t="s">
        <v>401</v>
      </c>
      <c r="B5443" s="13" t="s">
        <v>23</v>
      </c>
      <c r="C5443" s="13" t="s">
        <v>201</v>
      </c>
      <c r="D5443" s="14" t="s">
        <v>164</v>
      </c>
      <c r="E5443" s="13" t="s">
        <v>191</v>
      </c>
      <c r="F5443" s="13" t="s">
        <v>1150</v>
      </c>
      <c r="G5443" s="13">
        <v>0.48</v>
      </c>
      <c r="H5443" s="15">
        <v>460</v>
      </c>
      <c r="I5443" s="16">
        <v>220.8</v>
      </c>
      <c r="J5443" s="16">
        <v>441.94392523364485</v>
      </c>
      <c r="K5443" s="16">
        <v>-221.14392523364484</v>
      </c>
      <c r="L5443" s="13">
        <v>1.03</v>
      </c>
      <c r="M5443" s="13"/>
      <c r="N5443" s="17">
        <f t="shared" si="179"/>
        <v>473.8</v>
      </c>
      <c r="O5443" s="17">
        <f t="shared" si="179"/>
        <v>0</v>
      </c>
      <c r="P5443" s="17">
        <f t="shared" si="180"/>
        <v>473.8</v>
      </c>
      <c r="Q5443" t="str">
        <f>A5443&amp;"-"&amp;B5443&amp;"-"&amp;D5443</f>
        <v>NOVEMBER-CVA-L7</v>
      </c>
    </row>
    <row r="5444" spans="1:17" x14ac:dyDescent="0.25">
      <c r="A5444" t="s">
        <v>401</v>
      </c>
      <c r="B5444" s="13" t="s">
        <v>23</v>
      </c>
      <c r="C5444" s="13" t="s">
        <v>201</v>
      </c>
      <c r="D5444" s="14" t="s">
        <v>164</v>
      </c>
      <c r="E5444" s="13" t="s">
        <v>191</v>
      </c>
      <c r="F5444" s="13" t="s">
        <v>1154</v>
      </c>
      <c r="G5444" s="13">
        <v>0.4</v>
      </c>
      <c r="H5444" s="15">
        <v>75</v>
      </c>
      <c r="I5444" s="16">
        <v>30</v>
      </c>
      <c r="J5444" s="16">
        <v>72.056074766355138</v>
      </c>
      <c r="K5444" s="16">
        <v>-42.056074766355138</v>
      </c>
      <c r="L5444" s="13">
        <v>1.04</v>
      </c>
      <c r="M5444" s="13"/>
      <c r="N5444" s="17">
        <f t="shared" si="179"/>
        <v>78</v>
      </c>
      <c r="O5444" s="17">
        <f t="shared" si="179"/>
        <v>0</v>
      </c>
      <c r="P5444" s="17">
        <f t="shared" si="180"/>
        <v>78</v>
      </c>
      <c r="Q5444" t="str">
        <f>A5444&amp;"-"&amp;B5444&amp;"-"&amp;D5444</f>
        <v>NOVEMBER-CVA-L7</v>
      </c>
    </row>
    <row r="5445" spans="1:17" x14ac:dyDescent="0.25">
      <c r="A5445" t="s">
        <v>401</v>
      </c>
      <c r="B5445" s="13" t="s">
        <v>23</v>
      </c>
      <c r="C5445" s="13" t="s">
        <v>201</v>
      </c>
      <c r="D5445" s="14" t="s">
        <v>164</v>
      </c>
      <c r="E5445" s="13" t="s">
        <v>58</v>
      </c>
      <c r="F5445" s="13" t="s">
        <v>1874</v>
      </c>
      <c r="G5445" s="13">
        <v>0.7599999999999999</v>
      </c>
      <c r="H5445" s="15">
        <v>3916</v>
      </c>
      <c r="I5445" s="16">
        <v>2976.16</v>
      </c>
      <c r="J5445" s="16">
        <v>5983.6247866646454</v>
      </c>
      <c r="K5445" s="16">
        <v>-3007.4647866646455</v>
      </c>
      <c r="L5445" s="13">
        <v>1.6</v>
      </c>
      <c r="M5445" s="13"/>
      <c r="N5445" s="17">
        <f t="shared" si="179"/>
        <v>6265.6</v>
      </c>
      <c r="O5445" s="17">
        <f t="shared" si="179"/>
        <v>0</v>
      </c>
      <c r="P5445" s="17">
        <f t="shared" si="180"/>
        <v>6265.6</v>
      </c>
      <c r="Q5445" t="str">
        <f>A5445&amp;"-"&amp;B5445&amp;"-"&amp;D5445</f>
        <v>NOVEMBER-CVA-L7</v>
      </c>
    </row>
    <row r="5446" spans="1:17" x14ac:dyDescent="0.25">
      <c r="A5446" t="s">
        <v>401</v>
      </c>
      <c r="B5446" s="13" t="s">
        <v>23</v>
      </c>
      <c r="C5446" s="13" t="s">
        <v>201</v>
      </c>
      <c r="D5446" s="14" t="s">
        <v>198</v>
      </c>
      <c r="E5446" s="13" t="s">
        <v>191</v>
      </c>
      <c r="F5446" s="13" t="s">
        <v>1150</v>
      </c>
      <c r="G5446" s="13">
        <v>0.48</v>
      </c>
      <c r="H5446" s="15">
        <v>852</v>
      </c>
      <c r="I5446" s="16">
        <v>408.96</v>
      </c>
      <c r="J5446" s="16">
        <v>514</v>
      </c>
      <c r="K5446" s="16">
        <v>-105.04000000000002</v>
      </c>
      <c r="L5446" s="13">
        <v>1.03</v>
      </c>
      <c r="M5446" s="13"/>
      <c r="N5446" s="17">
        <f t="shared" si="179"/>
        <v>877.56000000000006</v>
      </c>
      <c r="O5446" s="17">
        <f t="shared" si="179"/>
        <v>0</v>
      </c>
      <c r="P5446" s="17">
        <f t="shared" si="180"/>
        <v>877.56000000000006</v>
      </c>
      <c r="Q5446" t="str">
        <f>A5446&amp;"-"&amp;B5446&amp;"-"&amp;D5446</f>
        <v>NOVEMBER-CVA-L8</v>
      </c>
    </row>
    <row r="5447" spans="1:17" x14ac:dyDescent="0.25">
      <c r="A5447" t="s">
        <v>401</v>
      </c>
      <c r="B5447" s="13" t="s">
        <v>23</v>
      </c>
      <c r="C5447" s="13" t="s">
        <v>201</v>
      </c>
      <c r="D5447" s="14" t="s">
        <v>198</v>
      </c>
      <c r="E5447" s="13" t="s">
        <v>58</v>
      </c>
      <c r="F5447" s="13" t="s">
        <v>1874</v>
      </c>
      <c r="G5447" s="13">
        <v>0.7599999999999999</v>
      </c>
      <c r="H5447" s="15">
        <v>4109</v>
      </c>
      <c r="I5447" s="16">
        <v>3122.8399999999997</v>
      </c>
      <c r="J5447" s="16">
        <v>6243.2275532148342</v>
      </c>
      <c r="K5447" s="16">
        <v>-3120.387553214835</v>
      </c>
      <c r="L5447" s="13">
        <v>1.6</v>
      </c>
      <c r="M5447" s="13"/>
      <c r="N5447" s="17">
        <f t="shared" si="179"/>
        <v>6574.4000000000005</v>
      </c>
      <c r="O5447" s="17">
        <f t="shared" si="179"/>
        <v>0</v>
      </c>
      <c r="P5447" s="17">
        <f t="shared" si="180"/>
        <v>6574.4000000000005</v>
      </c>
      <c r="Q5447" t="str">
        <f>A5447&amp;"-"&amp;B5447&amp;"-"&amp;D5447</f>
        <v>NOVEMBER-CVA-L8</v>
      </c>
    </row>
    <row r="5448" spans="1:17" x14ac:dyDescent="0.25">
      <c r="A5448" t="s">
        <v>401</v>
      </c>
      <c r="B5448" s="13" t="s">
        <v>23</v>
      </c>
      <c r="C5448" s="13" t="s">
        <v>201</v>
      </c>
      <c r="D5448" s="14" t="s">
        <v>199</v>
      </c>
      <c r="E5448" s="13" t="s">
        <v>58</v>
      </c>
      <c r="F5448" s="13" t="s">
        <v>1874</v>
      </c>
      <c r="G5448" s="13">
        <v>0.7599999999999999</v>
      </c>
      <c r="H5448" s="15">
        <v>1632</v>
      </c>
      <c r="I5448" s="16">
        <v>1240.3200000000002</v>
      </c>
      <c r="J5448" s="16">
        <v>3540.2333333333331</v>
      </c>
      <c r="K5448" s="16">
        <v>-2299.9133333333334</v>
      </c>
      <c r="L5448" s="13">
        <v>1.6</v>
      </c>
      <c r="M5448" s="13"/>
      <c r="N5448" s="17">
        <f t="shared" si="179"/>
        <v>2611.2000000000003</v>
      </c>
      <c r="O5448" s="17">
        <f t="shared" si="179"/>
        <v>0</v>
      </c>
      <c r="P5448" s="17">
        <f t="shared" si="180"/>
        <v>2611.2000000000003</v>
      </c>
      <c r="Q5448" t="str">
        <f>A5448&amp;"-"&amp;B5448&amp;"-"&amp;D5448</f>
        <v>NOVEMBER-CVA-L9</v>
      </c>
    </row>
    <row r="5449" spans="1:17" x14ac:dyDescent="0.25">
      <c r="A5449" t="s">
        <v>401</v>
      </c>
      <c r="B5449" s="13" t="s">
        <v>23</v>
      </c>
      <c r="C5449" s="13" t="s">
        <v>201</v>
      </c>
      <c r="D5449" s="14" t="s">
        <v>199</v>
      </c>
      <c r="E5449" s="13" t="s">
        <v>142</v>
      </c>
      <c r="F5449" s="13" t="s">
        <v>1876</v>
      </c>
      <c r="G5449" s="13">
        <v>1.0600000000000003</v>
      </c>
      <c r="H5449" s="15">
        <v>1933</v>
      </c>
      <c r="I5449" s="16">
        <v>2048.98</v>
      </c>
      <c r="J5449" s="16">
        <v>4243.1866666666665</v>
      </c>
      <c r="K5449" s="16">
        <v>-2194.2066666666665</v>
      </c>
      <c r="L5449" s="13">
        <v>1.8</v>
      </c>
      <c r="M5449" s="13"/>
      <c r="N5449" s="17">
        <f t="shared" si="179"/>
        <v>3479.4</v>
      </c>
      <c r="O5449" s="17">
        <f t="shared" si="179"/>
        <v>0</v>
      </c>
      <c r="P5449" s="17">
        <f t="shared" si="180"/>
        <v>3479.4</v>
      </c>
      <c r="Q5449" t="str">
        <f>A5449&amp;"-"&amp;B5449&amp;"-"&amp;D5449</f>
        <v>NOVEMBER-CVA-L9</v>
      </c>
    </row>
    <row r="5450" spans="1:17" x14ac:dyDescent="0.25">
      <c r="A5450" t="s">
        <v>401</v>
      </c>
      <c r="B5450" s="13" t="s">
        <v>23</v>
      </c>
      <c r="C5450" s="13" t="s">
        <v>201</v>
      </c>
      <c r="D5450" s="14" t="s">
        <v>199</v>
      </c>
      <c r="E5450" s="13" t="s">
        <v>142</v>
      </c>
      <c r="F5450" s="13" t="s">
        <v>1714</v>
      </c>
      <c r="G5450" s="13">
        <v>1.5500000000000003</v>
      </c>
      <c r="H5450" s="15">
        <v>3695</v>
      </c>
      <c r="I5450" s="16">
        <v>5727.2500000000009</v>
      </c>
      <c r="J5450" s="16">
        <v>4479.1399999999994</v>
      </c>
      <c r="K5450" s="16">
        <v>1248.1099999999997</v>
      </c>
      <c r="L5450" s="13">
        <v>2.75</v>
      </c>
      <c r="M5450" s="13"/>
      <c r="N5450" s="17">
        <f t="shared" si="179"/>
        <v>10161.25</v>
      </c>
      <c r="O5450" s="17">
        <f t="shared" si="179"/>
        <v>0</v>
      </c>
      <c r="P5450" s="17">
        <f t="shared" si="180"/>
        <v>10161.25</v>
      </c>
      <c r="Q5450" t="str">
        <f>A5450&amp;"-"&amp;B5450&amp;"-"&amp;D5450</f>
        <v>NOVEMBER-CVA-L9</v>
      </c>
    </row>
    <row r="5451" spans="1:17" x14ac:dyDescent="0.25">
      <c r="A5451" t="s">
        <v>401</v>
      </c>
      <c r="B5451" s="13" t="s">
        <v>24</v>
      </c>
      <c r="C5451" s="13" t="s">
        <v>226</v>
      </c>
      <c r="D5451" s="14" t="s">
        <v>219</v>
      </c>
      <c r="E5451" s="13" t="s">
        <v>61</v>
      </c>
      <c r="F5451" s="13" t="s">
        <v>1879</v>
      </c>
      <c r="G5451" s="13">
        <v>0.79</v>
      </c>
      <c r="H5451" s="15">
        <v>6088</v>
      </c>
      <c r="I5451" s="16">
        <v>4809.5199999999995</v>
      </c>
      <c r="J5451" s="16">
        <v>2572.3877019576234</v>
      </c>
      <c r="K5451" s="16">
        <v>2237.1322980423765</v>
      </c>
      <c r="L5451" s="13">
        <v>1.86</v>
      </c>
      <c r="M5451" s="13"/>
      <c r="N5451" s="17">
        <f t="shared" si="179"/>
        <v>11323.68</v>
      </c>
      <c r="O5451" s="17">
        <f t="shared" si="179"/>
        <v>0</v>
      </c>
      <c r="P5451" s="17">
        <f t="shared" si="180"/>
        <v>11323.68</v>
      </c>
      <c r="Q5451" t="str">
        <f>A5451&amp;"-"&amp;B5451&amp;"-"&amp;D5451</f>
        <v>NOVEMBER-KLB-L1A</v>
      </c>
    </row>
    <row r="5452" spans="1:17" x14ac:dyDescent="0.25">
      <c r="A5452" t="s">
        <v>401</v>
      </c>
      <c r="B5452" s="13" t="s">
        <v>24</v>
      </c>
      <c r="C5452" s="13" t="s">
        <v>226</v>
      </c>
      <c r="D5452" s="14" t="s">
        <v>219</v>
      </c>
      <c r="E5452" s="13" t="s">
        <v>61</v>
      </c>
      <c r="F5452" s="13" t="s">
        <v>1880</v>
      </c>
      <c r="G5452" s="13">
        <v>0.79</v>
      </c>
      <c r="H5452" s="15">
        <v>5052</v>
      </c>
      <c r="I5452" s="16">
        <v>3991.08</v>
      </c>
      <c r="J5452" s="16">
        <v>2182.0150212122285</v>
      </c>
      <c r="K5452" s="16">
        <v>1809.0649787877712</v>
      </c>
      <c r="L5452" s="13">
        <v>1.86</v>
      </c>
      <c r="M5452" s="13"/>
      <c r="N5452" s="17">
        <f t="shared" si="179"/>
        <v>9396.7200000000012</v>
      </c>
      <c r="O5452" s="17">
        <f t="shared" si="179"/>
        <v>0</v>
      </c>
      <c r="P5452" s="17">
        <f t="shared" si="180"/>
        <v>9396.7200000000012</v>
      </c>
      <c r="Q5452" t="str">
        <f>A5452&amp;"-"&amp;B5452&amp;"-"&amp;D5452</f>
        <v>NOVEMBER-KLB-L1A</v>
      </c>
    </row>
    <row r="5453" spans="1:17" x14ac:dyDescent="0.25">
      <c r="A5453" t="s">
        <v>401</v>
      </c>
      <c r="B5453" s="13" t="s">
        <v>24</v>
      </c>
      <c r="C5453" s="13" t="s">
        <v>226</v>
      </c>
      <c r="D5453" s="14" t="s">
        <v>219</v>
      </c>
      <c r="E5453" s="13" t="s">
        <v>61</v>
      </c>
      <c r="F5453" s="13" t="s">
        <v>1881</v>
      </c>
      <c r="G5453" s="13">
        <v>0.79</v>
      </c>
      <c r="H5453" s="15">
        <v>906</v>
      </c>
      <c r="I5453" s="16">
        <v>715.74</v>
      </c>
      <c r="J5453" s="16">
        <v>395.57315573095985</v>
      </c>
      <c r="K5453" s="16">
        <v>320.16684426904015</v>
      </c>
      <c r="L5453" s="13">
        <v>1.99</v>
      </c>
      <c r="M5453" s="13"/>
      <c r="N5453" s="17">
        <f t="shared" si="179"/>
        <v>1802.94</v>
      </c>
      <c r="O5453" s="17">
        <f t="shared" si="179"/>
        <v>0</v>
      </c>
      <c r="P5453" s="17">
        <f t="shared" si="180"/>
        <v>1802.94</v>
      </c>
      <c r="Q5453" t="str">
        <f>A5453&amp;"-"&amp;B5453&amp;"-"&amp;D5453</f>
        <v>NOVEMBER-KLB-L1A</v>
      </c>
    </row>
    <row r="5454" spans="1:17" x14ac:dyDescent="0.25">
      <c r="A5454" t="s">
        <v>401</v>
      </c>
      <c r="B5454" s="13" t="s">
        <v>24</v>
      </c>
      <c r="C5454" s="13" t="s">
        <v>226</v>
      </c>
      <c r="D5454" s="14" t="s">
        <v>219</v>
      </c>
      <c r="E5454" s="13" t="s">
        <v>61</v>
      </c>
      <c r="F5454" s="13" t="s">
        <v>1882</v>
      </c>
      <c r="G5454" s="13">
        <v>0.68</v>
      </c>
      <c r="H5454" s="15">
        <v>1397</v>
      </c>
      <c r="I5454" s="16">
        <v>949.96</v>
      </c>
      <c r="J5454" s="16">
        <v>614.59614850195396</v>
      </c>
      <c r="K5454" s="16">
        <v>335.36385149804613</v>
      </c>
      <c r="L5454" s="13">
        <v>1.69</v>
      </c>
      <c r="M5454" s="13"/>
      <c r="N5454" s="17">
        <f t="shared" si="179"/>
        <v>2360.9299999999998</v>
      </c>
      <c r="O5454" s="17">
        <f t="shared" si="179"/>
        <v>0</v>
      </c>
      <c r="P5454" s="17">
        <f t="shared" si="180"/>
        <v>2360.9299999999998</v>
      </c>
      <c r="Q5454" t="str">
        <f>A5454&amp;"-"&amp;B5454&amp;"-"&amp;D5454</f>
        <v>NOVEMBER-KLB-L1A</v>
      </c>
    </row>
    <row r="5455" spans="1:17" x14ac:dyDescent="0.25">
      <c r="A5455" t="s">
        <v>401</v>
      </c>
      <c r="B5455" s="13" t="s">
        <v>24</v>
      </c>
      <c r="C5455" s="13" t="s">
        <v>226</v>
      </c>
      <c r="D5455" s="14" t="s">
        <v>219</v>
      </c>
      <c r="E5455" s="13" t="s">
        <v>61</v>
      </c>
      <c r="F5455" s="13" t="s">
        <v>1883</v>
      </c>
      <c r="G5455" s="13">
        <v>0.65</v>
      </c>
      <c r="H5455" s="15">
        <v>5</v>
      </c>
      <c r="I5455" s="16">
        <v>3.25</v>
      </c>
      <c r="J5455" s="16">
        <v>2.2015306122448979</v>
      </c>
      <c r="K5455" s="16">
        <v>1.0484693877551021</v>
      </c>
      <c r="L5455" s="13">
        <v>1.81</v>
      </c>
      <c r="M5455" s="13"/>
      <c r="N5455" s="17">
        <f t="shared" si="179"/>
        <v>9.0500000000000007</v>
      </c>
      <c r="O5455" s="17">
        <f t="shared" si="179"/>
        <v>0</v>
      </c>
      <c r="P5455" s="17">
        <f t="shared" si="180"/>
        <v>9.0500000000000007</v>
      </c>
      <c r="Q5455" t="str">
        <f>A5455&amp;"-"&amp;B5455&amp;"-"&amp;D5455</f>
        <v>NOVEMBER-KLB-L1A</v>
      </c>
    </row>
    <row r="5456" spans="1:17" x14ac:dyDescent="0.25">
      <c r="A5456" t="s">
        <v>401</v>
      </c>
      <c r="B5456" s="13" t="s">
        <v>24</v>
      </c>
      <c r="C5456" s="13" t="s">
        <v>226</v>
      </c>
      <c r="D5456" s="14" t="s">
        <v>219</v>
      </c>
      <c r="E5456" s="13" t="s">
        <v>61</v>
      </c>
      <c r="F5456" s="13" t="s">
        <v>1727</v>
      </c>
      <c r="G5456" s="13">
        <v>0.68</v>
      </c>
      <c r="H5456" s="15">
        <v>2200</v>
      </c>
      <c r="I5456" s="16">
        <v>1495.9999999999998</v>
      </c>
      <c r="J5456" s="16">
        <v>932.21468850799783</v>
      </c>
      <c r="K5456" s="16">
        <v>563.78531149200217</v>
      </c>
      <c r="L5456" s="13">
        <v>1.69</v>
      </c>
      <c r="M5456" s="13"/>
      <c r="N5456" s="17">
        <f t="shared" si="179"/>
        <v>3718</v>
      </c>
      <c r="O5456" s="17">
        <f t="shared" si="179"/>
        <v>0</v>
      </c>
      <c r="P5456" s="17">
        <f t="shared" si="180"/>
        <v>3718</v>
      </c>
      <c r="Q5456" t="str">
        <f>A5456&amp;"-"&amp;B5456&amp;"-"&amp;D5456</f>
        <v>NOVEMBER-KLB-L1A</v>
      </c>
    </row>
    <row r="5457" spans="1:17" x14ac:dyDescent="0.25">
      <c r="A5457" t="s">
        <v>401</v>
      </c>
      <c r="B5457" s="13" t="s">
        <v>24</v>
      </c>
      <c r="C5457" s="13" t="s">
        <v>226</v>
      </c>
      <c r="D5457" s="14" t="s">
        <v>219</v>
      </c>
      <c r="E5457" s="13" t="s">
        <v>61</v>
      </c>
      <c r="F5457" s="13" t="s">
        <v>1884</v>
      </c>
      <c r="G5457" s="13">
        <v>0.68</v>
      </c>
      <c r="H5457" s="15">
        <v>6117</v>
      </c>
      <c r="I5457" s="16">
        <v>4159.5599999999995</v>
      </c>
      <c r="J5457" s="16">
        <v>2400.9137029393946</v>
      </c>
      <c r="K5457" s="16">
        <v>1758.6462970606051</v>
      </c>
      <c r="L5457" s="13">
        <v>1.69</v>
      </c>
      <c r="M5457" s="13"/>
      <c r="N5457" s="17">
        <f t="shared" si="179"/>
        <v>10337.73</v>
      </c>
      <c r="O5457" s="17">
        <f t="shared" si="179"/>
        <v>0</v>
      </c>
      <c r="P5457" s="17">
        <f t="shared" si="180"/>
        <v>10337.73</v>
      </c>
      <c r="Q5457" t="str">
        <f>A5457&amp;"-"&amp;B5457&amp;"-"&amp;D5457</f>
        <v>NOVEMBER-KLB-L1A</v>
      </c>
    </row>
    <row r="5458" spans="1:17" x14ac:dyDescent="0.25">
      <c r="A5458" t="s">
        <v>401</v>
      </c>
      <c r="B5458" s="13" t="s">
        <v>24</v>
      </c>
      <c r="C5458" s="13" t="s">
        <v>226</v>
      </c>
      <c r="D5458" s="14" t="s">
        <v>219</v>
      </c>
      <c r="E5458" s="13" t="s">
        <v>61</v>
      </c>
      <c r="F5458" s="13" t="s">
        <v>1885</v>
      </c>
      <c r="G5458" s="13">
        <v>0.68</v>
      </c>
      <c r="H5458" s="15">
        <v>6760</v>
      </c>
      <c r="I5458" s="16">
        <v>4596.7999999999993</v>
      </c>
      <c r="J5458" s="16">
        <v>2589</v>
      </c>
      <c r="K5458" s="16">
        <v>2007.8</v>
      </c>
      <c r="L5458" s="13">
        <v>1.69</v>
      </c>
      <c r="M5458" s="13"/>
      <c r="N5458" s="17">
        <f t="shared" si="179"/>
        <v>11424.4</v>
      </c>
      <c r="O5458" s="17">
        <f t="shared" si="179"/>
        <v>0</v>
      </c>
      <c r="P5458" s="17">
        <f t="shared" si="180"/>
        <v>11424.4</v>
      </c>
      <c r="Q5458" t="str">
        <f>A5458&amp;"-"&amp;B5458&amp;"-"&amp;D5458</f>
        <v>NOVEMBER-KLB-L1A</v>
      </c>
    </row>
    <row r="5459" spans="1:17" x14ac:dyDescent="0.25">
      <c r="A5459" t="s">
        <v>401</v>
      </c>
      <c r="B5459" s="13" t="s">
        <v>24</v>
      </c>
      <c r="C5459" s="13" t="s">
        <v>226</v>
      </c>
      <c r="D5459" s="14" t="s">
        <v>219</v>
      </c>
      <c r="E5459" s="13" t="s">
        <v>61</v>
      </c>
      <c r="F5459" s="13" t="s">
        <v>1886</v>
      </c>
      <c r="G5459" s="13">
        <v>0.68</v>
      </c>
      <c r="H5459" s="15">
        <v>809</v>
      </c>
      <c r="I5459" s="16">
        <v>550.12</v>
      </c>
      <c r="J5459" s="16">
        <v>341.99217113987635</v>
      </c>
      <c r="K5459" s="16">
        <v>208.12782886012369</v>
      </c>
      <c r="L5459" s="13">
        <v>1.69</v>
      </c>
      <c r="M5459" s="13"/>
      <c r="N5459" s="17">
        <f t="shared" si="179"/>
        <v>1367.21</v>
      </c>
      <c r="O5459" s="17">
        <f t="shared" si="179"/>
        <v>0</v>
      </c>
      <c r="P5459" s="17">
        <f t="shared" si="180"/>
        <v>1367.21</v>
      </c>
      <c r="Q5459" t="str">
        <f>A5459&amp;"-"&amp;B5459&amp;"-"&amp;D5459</f>
        <v>NOVEMBER-KLB-L1A</v>
      </c>
    </row>
    <row r="5460" spans="1:17" x14ac:dyDescent="0.25">
      <c r="A5460" t="s">
        <v>401</v>
      </c>
      <c r="B5460" s="13" t="s">
        <v>24</v>
      </c>
      <c r="C5460" s="13" t="s">
        <v>226</v>
      </c>
      <c r="D5460" s="14" t="s">
        <v>219</v>
      </c>
      <c r="E5460" s="13" t="s">
        <v>61</v>
      </c>
      <c r="F5460" s="13" t="s">
        <v>1716</v>
      </c>
      <c r="G5460" s="13">
        <v>0.73999999999999988</v>
      </c>
      <c r="H5460" s="15">
        <v>74</v>
      </c>
      <c r="I5460" s="16">
        <v>54.760000000000005</v>
      </c>
      <c r="J5460" s="16">
        <v>31.105981013854425</v>
      </c>
      <c r="K5460" s="16">
        <v>23.654018986145573</v>
      </c>
      <c r="L5460" s="13">
        <v>1.36</v>
      </c>
      <c r="M5460" s="13"/>
      <c r="N5460" s="17">
        <f t="shared" si="179"/>
        <v>100.64</v>
      </c>
      <c r="O5460" s="17">
        <f t="shared" si="179"/>
        <v>0</v>
      </c>
      <c r="P5460" s="17">
        <f t="shared" si="180"/>
        <v>100.64</v>
      </c>
      <c r="Q5460" t="str">
        <f>A5460&amp;"-"&amp;B5460&amp;"-"&amp;D5460</f>
        <v>NOVEMBER-KLB-L1A</v>
      </c>
    </row>
    <row r="5461" spans="1:17" x14ac:dyDescent="0.25">
      <c r="A5461" t="s">
        <v>401</v>
      </c>
      <c r="B5461" s="13" t="s">
        <v>24</v>
      </c>
      <c r="C5461" s="13" t="s">
        <v>226</v>
      </c>
      <c r="D5461" s="14" t="s">
        <v>219</v>
      </c>
      <c r="E5461" s="13" t="s">
        <v>61</v>
      </c>
      <c r="F5461" s="13" t="s">
        <v>1718</v>
      </c>
      <c r="G5461" s="13">
        <v>0.71</v>
      </c>
      <c r="H5461" s="15">
        <v>45</v>
      </c>
      <c r="I5461" s="16">
        <v>31.95</v>
      </c>
      <c r="J5461" s="16">
        <v>18.844335514682115</v>
      </c>
      <c r="K5461" s="16">
        <v>13.105664485317886</v>
      </c>
      <c r="L5461" s="13">
        <v>1.29</v>
      </c>
      <c r="M5461" s="13"/>
      <c r="N5461" s="17">
        <f t="shared" si="179"/>
        <v>58.050000000000004</v>
      </c>
      <c r="O5461" s="17">
        <f t="shared" si="179"/>
        <v>0</v>
      </c>
      <c r="P5461" s="17">
        <f t="shared" si="180"/>
        <v>58.050000000000004</v>
      </c>
      <c r="Q5461" t="str">
        <f>A5461&amp;"-"&amp;B5461&amp;"-"&amp;D5461</f>
        <v>NOVEMBER-KLB-L1A</v>
      </c>
    </row>
    <row r="5462" spans="1:17" x14ac:dyDescent="0.25">
      <c r="A5462" t="s">
        <v>401</v>
      </c>
      <c r="B5462" s="13" t="s">
        <v>24</v>
      </c>
      <c r="C5462" s="13" t="s">
        <v>226</v>
      </c>
      <c r="D5462" s="14" t="s">
        <v>219</v>
      </c>
      <c r="E5462" s="13" t="s">
        <v>61</v>
      </c>
      <c r="F5462" s="13" t="s">
        <v>1729</v>
      </c>
      <c r="G5462" s="13">
        <v>0.68</v>
      </c>
      <c r="H5462" s="15">
        <v>595</v>
      </c>
      <c r="I5462" s="16">
        <v>404.59999999999997</v>
      </c>
      <c r="J5462" s="16">
        <v>250.77044549527128</v>
      </c>
      <c r="K5462" s="16">
        <v>153.82955450472872</v>
      </c>
      <c r="L5462" s="13">
        <v>1.7</v>
      </c>
      <c r="M5462" s="13"/>
      <c r="N5462" s="17">
        <f t="shared" si="179"/>
        <v>1011.5</v>
      </c>
      <c r="O5462" s="17">
        <f t="shared" si="179"/>
        <v>0</v>
      </c>
      <c r="P5462" s="17">
        <f t="shared" si="180"/>
        <v>1011.5</v>
      </c>
      <c r="Q5462" t="str">
        <f>A5462&amp;"-"&amp;B5462&amp;"-"&amp;D5462</f>
        <v>NOVEMBER-KLB-L1A</v>
      </c>
    </row>
    <row r="5463" spans="1:17" x14ac:dyDescent="0.25">
      <c r="A5463" t="s">
        <v>401</v>
      </c>
      <c r="B5463" s="13" t="s">
        <v>24</v>
      </c>
      <c r="C5463" s="13" t="s">
        <v>226</v>
      </c>
      <c r="D5463" s="14" t="s">
        <v>219</v>
      </c>
      <c r="E5463" s="13" t="s">
        <v>61</v>
      </c>
      <c r="F5463" s="13" t="s">
        <v>1887</v>
      </c>
      <c r="G5463" s="13">
        <v>0.68</v>
      </c>
      <c r="H5463" s="15">
        <v>1457</v>
      </c>
      <c r="I5463" s="16">
        <v>990.76</v>
      </c>
      <c r="J5463" s="16">
        <v>606.38004443359205</v>
      </c>
      <c r="K5463" s="16">
        <v>384.37995556640806</v>
      </c>
      <c r="L5463" s="13">
        <v>1.7</v>
      </c>
      <c r="M5463" s="13"/>
      <c r="N5463" s="17">
        <f t="shared" si="179"/>
        <v>2476.9</v>
      </c>
      <c r="O5463" s="17">
        <f t="shared" si="179"/>
        <v>0</v>
      </c>
      <c r="P5463" s="17">
        <f t="shared" si="180"/>
        <v>2476.9</v>
      </c>
      <c r="Q5463" t="str">
        <f>A5463&amp;"-"&amp;B5463&amp;"-"&amp;D5463</f>
        <v>NOVEMBER-KLB-L1A</v>
      </c>
    </row>
    <row r="5464" spans="1:17" x14ac:dyDescent="0.25">
      <c r="A5464" t="s">
        <v>401</v>
      </c>
      <c r="B5464" s="13" t="s">
        <v>24</v>
      </c>
      <c r="C5464" s="13" t="s">
        <v>226</v>
      </c>
      <c r="D5464" s="14" t="s">
        <v>219</v>
      </c>
      <c r="E5464" s="13" t="s">
        <v>61</v>
      </c>
      <c r="F5464" s="13" t="s">
        <v>1888</v>
      </c>
      <c r="G5464" s="13">
        <v>0.7</v>
      </c>
      <c r="H5464" s="15">
        <v>3630</v>
      </c>
      <c r="I5464" s="16">
        <v>2541</v>
      </c>
      <c r="J5464" s="16">
        <v>3452</v>
      </c>
      <c r="K5464" s="16">
        <v>-911</v>
      </c>
      <c r="L5464" s="13">
        <v>1.76</v>
      </c>
      <c r="M5464" s="13"/>
      <c r="N5464" s="17">
        <f t="shared" si="179"/>
        <v>6388.8</v>
      </c>
      <c r="O5464" s="17">
        <f t="shared" si="179"/>
        <v>0</v>
      </c>
      <c r="P5464" s="17">
        <f t="shared" si="180"/>
        <v>6388.8</v>
      </c>
      <c r="Q5464" t="str">
        <f>A5464&amp;"-"&amp;B5464&amp;"-"&amp;D5464</f>
        <v>NOVEMBER-KLB-L1A</v>
      </c>
    </row>
    <row r="5465" spans="1:17" x14ac:dyDescent="0.25">
      <c r="A5465" t="s">
        <v>401</v>
      </c>
      <c r="B5465" s="13" t="s">
        <v>24</v>
      </c>
      <c r="C5465" s="13" t="s">
        <v>226</v>
      </c>
      <c r="D5465" s="14" t="s">
        <v>219</v>
      </c>
      <c r="E5465" s="13" t="s">
        <v>61</v>
      </c>
      <c r="F5465" s="13" t="s">
        <v>1889</v>
      </c>
      <c r="G5465" s="13">
        <v>0.65</v>
      </c>
      <c r="H5465" s="15">
        <v>6797</v>
      </c>
      <c r="I5465" s="16">
        <v>4418.05</v>
      </c>
      <c r="J5465" s="16">
        <v>2596.0050729403201</v>
      </c>
      <c r="K5465" s="16">
        <v>1822.0449270596796</v>
      </c>
      <c r="L5465" s="13">
        <v>1.66</v>
      </c>
      <c r="M5465" s="13"/>
      <c r="N5465" s="17">
        <f t="shared" si="179"/>
        <v>11283.019999999999</v>
      </c>
      <c r="O5465" s="17">
        <f t="shared" si="179"/>
        <v>0</v>
      </c>
      <c r="P5465" s="17">
        <f t="shared" si="180"/>
        <v>11283.019999999999</v>
      </c>
      <c r="Q5465" t="str">
        <f>A5465&amp;"-"&amp;B5465&amp;"-"&amp;D5465</f>
        <v>NOVEMBER-KLB-L1A</v>
      </c>
    </row>
    <row r="5466" spans="1:17" x14ac:dyDescent="0.25">
      <c r="A5466" t="s">
        <v>401</v>
      </c>
      <c r="B5466" s="13" t="s">
        <v>24</v>
      </c>
      <c r="C5466" s="13" t="s">
        <v>226</v>
      </c>
      <c r="D5466" s="14" t="s">
        <v>221</v>
      </c>
      <c r="E5466" s="13" t="s">
        <v>61</v>
      </c>
      <c r="F5466" s="13" t="s">
        <v>1879</v>
      </c>
      <c r="G5466" s="13">
        <v>0.79</v>
      </c>
      <c r="H5466" s="15">
        <v>5684</v>
      </c>
      <c r="I5466" s="16">
        <v>4490.3599999999997</v>
      </c>
      <c r="J5466" s="16">
        <v>2261.2044911458906</v>
      </c>
      <c r="K5466" s="16">
        <v>2229.155508854109</v>
      </c>
      <c r="L5466" s="13">
        <v>1.86</v>
      </c>
      <c r="M5466" s="13"/>
      <c r="N5466" s="17">
        <f t="shared" si="179"/>
        <v>10572.24</v>
      </c>
      <c r="O5466" s="17">
        <f t="shared" si="179"/>
        <v>0</v>
      </c>
      <c r="P5466" s="17">
        <f t="shared" si="180"/>
        <v>10572.24</v>
      </c>
      <c r="Q5466" t="str">
        <f>A5466&amp;"-"&amp;B5466&amp;"-"&amp;D5466</f>
        <v>NOVEMBER-KLB-L1B</v>
      </c>
    </row>
    <row r="5467" spans="1:17" x14ac:dyDescent="0.25">
      <c r="A5467" t="s">
        <v>401</v>
      </c>
      <c r="B5467" s="13" t="s">
        <v>24</v>
      </c>
      <c r="C5467" s="13" t="s">
        <v>226</v>
      </c>
      <c r="D5467" s="14" t="s">
        <v>221</v>
      </c>
      <c r="E5467" s="13" t="s">
        <v>61</v>
      </c>
      <c r="F5467" s="13" t="s">
        <v>1880</v>
      </c>
      <c r="G5467" s="13">
        <v>0.79</v>
      </c>
      <c r="H5467" s="15">
        <v>3930</v>
      </c>
      <c r="I5467" s="16">
        <v>3104.7</v>
      </c>
      <c r="J5467" s="16">
        <v>1218.1560037139366</v>
      </c>
      <c r="K5467" s="16">
        <v>1886.5439962860632</v>
      </c>
      <c r="L5467" s="13">
        <v>1.86</v>
      </c>
      <c r="M5467" s="13"/>
      <c r="N5467" s="17">
        <f t="shared" si="179"/>
        <v>7309.8</v>
      </c>
      <c r="O5467" s="17">
        <f t="shared" si="179"/>
        <v>0</v>
      </c>
      <c r="P5467" s="17">
        <f t="shared" si="180"/>
        <v>7309.8</v>
      </c>
      <c r="Q5467" t="str">
        <f>A5467&amp;"-"&amp;B5467&amp;"-"&amp;D5467</f>
        <v>NOVEMBER-KLB-L1B</v>
      </c>
    </row>
    <row r="5468" spans="1:17" x14ac:dyDescent="0.25">
      <c r="A5468" t="s">
        <v>401</v>
      </c>
      <c r="B5468" s="13" t="s">
        <v>24</v>
      </c>
      <c r="C5468" s="13" t="s">
        <v>226</v>
      </c>
      <c r="D5468" s="14" t="s">
        <v>221</v>
      </c>
      <c r="E5468" s="13" t="s">
        <v>61</v>
      </c>
      <c r="F5468" s="13" t="s">
        <v>1881</v>
      </c>
      <c r="G5468" s="13">
        <v>0.79</v>
      </c>
      <c r="H5468" s="15">
        <v>495</v>
      </c>
      <c r="I5468" s="16">
        <v>391.05000000000007</v>
      </c>
      <c r="J5468" s="16">
        <v>134.53987739940169</v>
      </c>
      <c r="K5468" s="16">
        <v>256.51012260059838</v>
      </c>
      <c r="L5468" s="13">
        <v>1.99</v>
      </c>
      <c r="M5468" s="13"/>
      <c r="N5468" s="17">
        <f t="shared" si="179"/>
        <v>985.05</v>
      </c>
      <c r="O5468" s="17">
        <f t="shared" si="179"/>
        <v>0</v>
      </c>
      <c r="P5468" s="17">
        <f t="shared" si="180"/>
        <v>985.05</v>
      </c>
      <c r="Q5468" t="str">
        <f>A5468&amp;"-"&amp;B5468&amp;"-"&amp;D5468</f>
        <v>NOVEMBER-KLB-L1B</v>
      </c>
    </row>
    <row r="5469" spans="1:17" x14ac:dyDescent="0.25">
      <c r="A5469" t="s">
        <v>401</v>
      </c>
      <c r="B5469" s="13" t="s">
        <v>24</v>
      </c>
      <c r="C5469" s="13" t="s">
        <v>226</v>
      </c>
      <c r="D5469" s="14" t="s">
        <v>221</v>
      </c>
      <c r="E5469" s="13" t="s">
        <v>61</v>
      </c>
      <c r="F5469" s="13" t="s">
        <v>1882</v>
      </c>
      <c r="G5469" s="13">
        <v>0.68</v>
      </c>
      <c r="H5469" s="15">
        <v>1105</v>
      </c>
      <c r="I5469" s="16">
        <v>751.40000000000009</v>
      </c>
      <c r="J5469" s="16">
        <v>442.89203752964403</v>
      </c>
      <c r="K5469" s="16">
        <v>308.50796247035595</v>
      </c>
      <c r="L5469" s="13">
        <v>1.69</v>
      </c>
      <c r="M5469" s="13"/>
      <c r="N5469" s="17">
        <f t="shared" si="179"/>
        <v>1867.45</v>
      </c>
      <c r="O5469" s="17">
        <f t="shared" si="179"/>
        <v>0</v>
      </c>
      <c r="P5469" s="17">
        <f t="shared" si="180"/>
        <v>1867.45</v>
      </c>
      <c r="Q5469" t="str">
        <f>A5469&amp;"-"&amp;B5469&amp;"-"&amp;D5469</f>
        <v>NOVEMBER-KLB-L1B</v>
      </c>
    </row>
    <row r="5470" spans="1:17" x14ac:dyDescent="0.25">
      <c r="A5470" t="s">
        <v>401</v>
      </c>
      <c r="B5470" s="13" t="s">
        <v>24</v>
      </c>
      <c r="C5470" s="13" t="s">
        <v>226</v>
      </c>
      <c r="D5470" s="14" t="s">
        <v>221</v>
      </c>
      <c r="E5470" s="13" t="s">
        <v>61</v>
      </c>
      <c r="F5470" s="13" t="s">
        <v>1883</v>
      </c>
      <c r="G5470" s="13">
        <v>0.65</v>
      </c>
      <c r="H5470" s="15">
        <v>390</v>
      </c>
      <c r="I5470" s="16">
        <v>253.5</v>
      </c>
      <c r="J5470" s="16">
        <v>155.45958429561202</v>
      </c>
      <c r="K5470" s="16">
        <v>98.040415704387982</v>
      </c>
      <c r="L5470" s="13">
        <v>1.81</v>
      </c>
      <c r="M5470" s="13"/>
      <c r="N5470" s="17">
        <f t="shared" si="179"/>
        <v>705.9</v>
      </c>
      <c r="O5470" s="17">
        <f t="shared" si="179"/>
        <v>0</v>
      </c>
      <c r="P5470" s="17">
        <f t="shared" si="180"/>
        <v>705.9</v>
      </c>
      <c r="Q5470" t="str">
        <f>A5470&amp;"-"&amp;B5470&amp;"-"&amp;D5470</f>
        <v>NOVEMBER-KLB-L1B</v>
      </c>
    </row>
    <row r="5471" spans="1:17" x14ac:dyDescent="0.25">
      <c r="A5471" t="s">
        <v>401</v>
      </c>
      <c r="B5471" s="13" t="s">
        <v>24</v>
      </c>
      <c r="C5471" s="13" t="s">
        <v>226</v>
      </c>
      <c r="D5471" s="14" t="s">
        <v>221</v>
      </c>
      <c r="E5471" s="13" t="s">
        <v>61</v>
      </c>
      <c r="F5471" s="13" t="s">
        <v>1727</v>
      </c>
      <c r="G5471" s="13">
        <v>0.67999999999999994</v>
      </c>
      <c r="H5471" s="15">
        <v>710</v>
      </c>
      <c r="I5471" s="16">
        <v>482.8</v>
      </c>
      <c r="J5471" s="16">
        <v>316.01118801032879</v>
      </c>
      <c r="K5471" s="16">
        <v>166.78881198967122</v>
      </c>
      <c r="L5471" s="13">
        <v>1.69</v>
      </c>
      <c r="M5471" s="13"/>
      <c r="N5471" s="17">
        <f t="shared" ref="N5471:O5534" si="181">$H5471*L5471</f>
        <v>1199.8999999999999</v>
      </c>
      <c r="O5471" s="17">
        <f t="shared" si="181"/>
        <v>0</v>
      </c>
      <c r="P5471" s="17">
        <f t="shared" si="180"/>
        <v>1199.8999999999999</v>
      </c>
      <c r="Q5471" t="str">
        <f>A5471&amp;"-"&amp;B5471&amp;"-"&amp;D5471</f>
        <v>NOVEMBER-KLB-L1B</v>
      </c>
    </row>
    <row r="5472" spans="1:17" x14ac:dyDescent="0.25">
      <c r="A5472" t="s">
        <v>401</v>
      </c>
      <c r="B5472" s="13" t="s">
        <v>24</v>
      </c>
      <c r="C5472" s="13" t="s">
        <v>226</v>
      </c>
      <c r="D5472" s="14" t="s">
        <v>221</v>
      </c>
      <c r="E5472" s="13" t="s">
        <v>61</v>
      </c>
      <c r="F5472" s="13" t="s">
        <v>1884</v>
      </c>
      <c r="G5472" s="13">
        <v>0.68</v>
      </c>
      <c r="H5472" s="15">
        <v>8355</v>
      </c>
      <c r="I5472" s="16">
        <v>5681.4</v>
      </c>
      <c r="J5472" s="16">
        <v>3442.0270435971433</v>
      </c>
      <c r="K5472" s="16">
        <v>2239.3729564028567</v>
      </c>
      <c r="L5472" s="13">
        <v>1.69</v>
      </c>
      <c r="M5472" s="13"/>
      <c r="N5472" s="17">
        <f t="shared" si="181"/>
        <v>14119.949999999999</v>
      </c>
      <c r="O5472" s="17">
        <f t="shared" si="181"/>
        <v>0</v>
      </c>
      <c r="P5472" s="17">
        <f t="shared" si="180"/>
        <v>14119.949999999999</v>
      </c>
      <c r="Q5472" t="str">
        <f>A5472&amp;"-"&amp;B5472&amp;"-"&amp;D5472</f>
        <v>NOVEMBER-KLB-L1B</v>
      </c>
    </row>
    <row r="5473" spans="1:17" x14ac:dyDescent="0.25">
      <c r="A5473" t="s">
        <v>401</v>
      </c>
      <c r="B5473" s="13" t="s">
        <v>24</v>
      </c>
      <c r="C5473" s="13" t="s">
        <v>226</v>
      </c>
      <c r="D5473" s="14" t="s">
        <v>221</v>
      </c>
      <c r="E5473" s="13" t="s">
        <v>61</v>
      </c>
      <c r="F5473" s="13" t="s">
        <v>1885</v>
      </c>
      <c r="G5473" s="13">
        <v>0.68</v>
      </c>
      <c r="H5473" s="15">
        <v>6710</v>
      </c>
      <c r="I5473" s="16">
        <v>4562.8</v>
      </c>
      <c r="J5473" s="16">
        <v>2535.7960930525651</v>
      </c>
      <c r="K5473" s="16">
        <v>2027.0039069474349</v>
      </c>
      <c r="L5473" s="13">
        <v>1.69</v>
      </c>
      <c r="M5473" s="13"/>
      <c r="N5473" s="17">
        <f t="shared" si="181"/>
        <v>11339.9</v>
      </c>
      <c r="O5473" s="17">
        <f t="shared" si="181"/>
        <v>0</v>
      </c>
      <c r="P5473" s="17">
        <f t="shared" si="180"/>
        <v>11339.9</v>
      </c>
      <c r="Q5473" t="str">
        <f>A5473&amp;"-"&amp;B5473&amp;"-"&amp;D5473</f>
        <v>NOVEMBER-KLB-L1B</v>
      </c>
    </row>
    <row r="5474" spans="1:17" x14ac:dyDescent="0.25">
      <c r="A5474" t="s">
        <v>401</v>
      </c>
      <c r="B5474" s="13" t="s">
        <v>24</v>
      </c>
      <c r="C5474" s="13" t="s">
        <v>226</v>
      </c>
      <c r="D5474" s="14" t="s">
        <v>221</v>
      </c>
      <c r="E5474" s="13" t="s">
        <v>61</v>
      </c>
      <c r="F5474" s="13" t="s">
        <v>1890</v>
      </c>
      <c r="G5474" s="13">
        <v>0.65</v>
      </c>
      <c r="H5474" s="15">
        <v>1855</v>
      </c>
      <c r="I5474" s="16">
        <v>1205.75</v>
      </c>
      <c r="J5474" s="16">
        <v>779.00973236009736</v>
      </c>
      <c r="K5474" s="16">
        <v>426.74026763990264</v>
      </c>
      <c r="L5474" s="13">
        <v>1.81</v>
      </c>
      <c r="M5474" s="13"/>
      <c r="N5474" s="17">
        <f t="shared" si="181"/>
        <v>3357.55</v>
      </c>
      <c r="O5474" s="17">
        <f t="shared" si="181"/>
        <v>0</v>
      </c>
      <c r="P5474" s="17">
        <f t="shared" si="180"/>
        <v>3357.55</v>
      </c>
      <c r="Q5474" t="str">
        <f>A5474&amp;"-"&amp;B5474&amp;"-"&amp;D5474</f>
        <v>NOVEMBER-KLB-L1B</v>
      </c>
    </row>
    <row r="5475" spans="1:17" x14ac:dyDescent="0.25">
      <c r="A5475" t="s">
        <v>401</v>
      </c>
      <c r="B5475" s="13" t="s">
        <v>24</v>
      </c>
      <c r="C5475" s="13" t="s">
        <v>226</v>
      </c>
      <c r="D5475" s="14" t="s">
        <v>221</v>
      </c>
      <c r="E5475" s="13" t="s">
        <v>61</v>
      </c>
      <c r="F5475" s="13" t="s">
        <v>1886</v>
      </c>
      <c r="G5475" s="13">
        <v>0.68</v>
      </c>
      <c r="H5475" s="15">
        <v>2215</v>
      </c>
      <c r="I5475" s="16">
        <v>1506.2</v>
      </c>
      <c r="J5475" s="16">
        <v>870.63997835497833</v>
      </c>
      <c r="K5475" s="16">
        <v>635.56002164502161</v>
      </c>
      <c r="L5475" s="13">
        <v>1.69</v>
      </c>
      <c r="M5475" s="13"/>
      <c r="N5475" s="17">
        <f t="shared" si="181"/>
        <v>3743.35</v>
      </c>
      <c r="O5475" s="17">
        <f t="shared" si="181"/>
        <v>0</v>
      </c>
      <c r="P5475" s="17">
        <f t="shared" si="180"/>
        <v>3743.35</v>
      </c>
      <c r="Q5475" t="str">
        <f>A5475&amp;"-"&amp;B5475&amp;"-"&amp;D5475</f>
        <v>NOVEMBER-KLB-L1B</v>
      </c>
    </row>
    <row r="5476" spans="1:17" x14ac:dyDescent="0.25">
      <c r="A5476" t="s">
        <v>401</v>
      </c>
      <c r="B5476" s="13" t="s">
        <v>24</v>
      </c>
      <c r="C5476" s="13" t="s">
        <v>226</v>
      </c>
      <c r="D5476" s="14" t="s">
        <v>221</v>
      </c>
      <c r="E5476" s="13" t="s">
        <v>61</v>
      </c>
      <c r="F5476" s="13" t="s">
        <v>1716</v>
      </c>
      <c r="G5476" s="13">
        <v>0.73999999999999988</v>
      </c>
      <c r="H5476" s="15">
        <v>61</v>
      </c>
      <c r="I5476" s="16">
        <v>45.14</v>
      </c>
      <c r="J5476" s="16">
        <v>26.711498235965863</v>
      </c>
      <c r="K5476" s="16">
        <v>18.428501764034138</v>
      </c>
      <c r="L5476" s="13">
        <v>1.36</v>
      </c>
      <c r="M5476" s="13"/>
      <c r="N5476" s="17">
        <f t="shared" si="181"/>
        <v>82.960000000000008</v>
      </c>
      <c r="O5476" s="17">
        <f t="shared" si="181"/>
        <v>0</v>
      </c>
      <c r="P5476" s="17">
        <f t="shared" si="180"/>
        <v>82.960000000000008</v>
      </c>
      <c r="Q5476" t="str">
        <f>A5476&amp;"-"&amp;B5476&amp;"-"&amp;D5476</f>
        <v>NOVEMBER-KLB-L1B</v>
      </c>
    </row>
    <row r="5477" spans="1:17" x14ac:dyDescent="0.25">
      <c r="A5477" t="s">
        <v>401</v>
      </c>
      <c r="B5477" s="13" t="s">
        <v>24</v>
      </c>
      <c r="C5477" s="13" t="s">
        <v>226</v>
      </c>
      <c r="D5477" s="14" t="s">
        <v>221</v>
      </c>
      <c r="E5477" s="13" t="s">
        <v>61</v>
      </c>
      <c r="F5477" s="13" t="s">
        <v>1717</v>
      </c>
      <c r="G5477" s="13">
        <v>0.71</v>
      </c>
      <c r="H5477" s="15">
        <v>130</v>
      </c>
      <c r="I5477" s="16">
        <v>92.3</v>
      </c>
      <c r="J5477" s="16">
        <v>52.196366993746295</v>
      </c>
      <c r="K5477" s="16">
        <v>40.103633006253709</v>
      </c>
      <c r="L5477" s="13">
        <v>1.29</v>
      </c>
      <c r="M5477" s="13"/>
      <c r="N5477" s="17">
        <f t="shared" si="181"/>
        <v>167.70000000000002</v>
      </c>
      <c r="O5477" s="17">
        <f t="shared" si="181"/>
        <v>0</v>
      </c>
      <c r="P5477" s="17">
        <f t="shared" si="180"/>
        <v>167.70000000000002</v>
      </c>
      <c r="Q5477" t="str">
        <f>A5477&amp;"-"&amp;B5477&amp;"-"&amp;D5477</f>
        <v>NOVEMBER-KLB-L1B</v>
      </c>
    </row>
    <row r="5478" spans="1:17" x14ac:dyDescent="0.25">
      <c r="A5478" t="s">
        <v>401</v>
      </c>
      <c r="B5478" s="13" t="s">
        <v>24</v>
      </c>
      <c r="C5478" s="13" t="s">
        <v>226</v>
      </c>
      <c r="D5478" s="14" t="s">
        <v>221</v>
      </c>
      <c r="E5478" s="13" t="s">
        <v>61</v>
      </c>
      <c r="F5478" s="13" t="s">
        <v>1718</v>
      </c>
      <c r="G5478" s="13">
        <v>0.71</v>
      </c>
      <c r="H5478" s="15">
        <v>50</v>
      </c>
      <c r="I5478" s="16">
        <v>35.5</v>
      </c>
      <c r="J5478" s="16">
        <v>22.942760430339902</v>
      </c>
      <c r="K5478" s="16">
        <v>12.557239569660098</v>
      </c>
      <c r="L5478" s="13">
        <v>1.29</v>
      </c>
      <c r="M5478" s="13"/>
      <c r="N5478" s="17">
        <f t="shared" si="181"/>
        <v>64.5</v>
      </c>
      <c r="O5478" s="17">
        <f t="shared" si="181"/>
        <v>0</v>
      </c>
      <c r="P5478" s="17">
        <f t="shared" si="180"/>
        <v>64.5</v>
      </c>
      <c r="Q5478" t="str">
        <f>A5478&amp;"-"&amp;B5478&amp;"-"&amp;D5478</f>
        <v>NOVEMBER-KLB-L1B</v>
      </c>
    </row>
    <row r="5479" spans="1:17" x14ac:dyDescent="0.25">
      <c r="A5479" t="s">
        <v>401</v>
      </c>
      <c r="B5479" s="13" t="s">
        <v>24</v>
      </c>
      <c r="C5479" s="13" t="s">
        <v>226</v>
      </c>
      <c r="D5479" s="14" t="s">
        <v>221</v>
      </c>
      <c r="E5479" s="13" t="s">
        <v>61</v>
      </c>
      <c r="F5479" s="13" t="s">
        <v>1729</v>
      </c>
      <c r="G5479" s="13">
        <v>0.68</v>
      </c>
      <c r="H5479" s="15">
        <v>605</v>
      </c>
      <c r="I5479" s="16">
        <v>411.40000000000003</v>
      </c>
      <c r="J5479" s="16">
        <v>240.93970711736304</v>
      </c>
      <c r="K5479" s="16">
        <v>170.46029288263699</v>
      </c>
      <c r="L5479" s="13">
        <v>1.7</v>
      </c>
      <c r="M5479" s="13"/>
      <c r="N5479" s="17">
        <f t="shared" si="181"/>
        <v>1028.5</v>
      </c>
      <c r="O5479" s="17">
        <f t="shared" si="181"/>
        <v>0</v>
      </c>
      <c r="P5479" s="17">
        <f t="shared" si="180"/>
        <v>1028.5</v>
      </c>
      <c r="Q5479" t="str">
        <f>A5479&amp;"-"&amp;B5479&amp;"-"&amp;D5479</f>
        <v>NOVEMBER-KLB-L1B</v>
      </c>
    </row>
    <row r="5480" spans="1:17" x14ac:dyDescent="0.25">
      <c r="A5480" t="s">
        <v>401</v>
      </c>
      <c r="B5480" s="13" t="s">
        <v>24</v>
      </c>
      <c r="C5480" s="13" t="s">
        <v>226</v>
      </c>
      <c r="D5480" s="14" t="s">
        <v>221</v>
      </c>
      <c r="E5480" s="13" t="s">
        <v>61</v>
      </c>
      <c r="F5480" s="13" t="s">
        <v>1887</v>
      </c>
      <c r="G5480" s="13">
        <v>0.68</v>
      </c>
      <c r="H5480" s="15">
        <v>955</v>
      </c>
      <c r="I5480" s="16">
        <v>649.4</v>
      </c>
      <c r="J5480" s="16">
        <v>411.15785714285715</v>
      </c>
      <c r="K5480" s="16">
        <v>238.2421428571428</v>
      </c>
      <c r="L5480" s="13">
        <v>1.7</v>
      </c>
      <c r="M5480" s="13"/>
      <c r="N5480" s="17">
        <f t="shared" si="181"/>
        <v>1623.5</v>
      </c>
      <c r="O5480" s="17">
        <f t="shared" si="181"/>
        <v>0</v>
      </c>
      <c r="P5480" s="17">
        <f t="shared" si="180"/>
        <v>1623.5</v>
      </c>
      <c r="Q5480" t="str">
        <f>A5480&amp;"-"&amp;B5480&amp;"-"&amp;D5480</f>
        <v>NOVEMBER-KLB-L1B</v>
      </c>
    </row>
    <row r="5481" spans="1:17" x14ac:dyDescent="0.25">
      <c r="A5481" t="s">
        <v>401</v>
      </c>
      <c r="B5481" s="13" t="s">
        <v>24</v>
      </c>
      <c r="C5481" s="13" t="s">
        <v>226</v>
      </c>
      <c r="D5481" s="14" t="s">
        <v>221</v>
      </c>
      <c r="E5481" s="13" t="s">
        <v>61</v>
      </c>
      <c r="F5481" s="13" t="s">
        <v>1888</v>
      </c>
      <c r="G5481" s="13">
        <v>0.7</v>
      </c>
      <c r="H5481" s="15">
        <v>1850</v>
      </c>
      <c r="I5481" s="16">
        <v>1295</v>
      </c>
      <c r="J5481" s="16">
        <v>1892.284062227787</v>
      </c>
      <c r="K5481" s="16">
        <v>-597.28406222778688</v>
      </c>
      <c r="L5481" s="13">
        <v>1.76</v>
      </c>
      <c r="M5481" s="13"/>
      <c r="N5481" s="17">
        <f t="shared" si="181"/>
        <v>3256</v>
      </c>
      <c r="O5481" s="17">
        <f t="shared" si="181"/>
        <v>0</v>
      </c>
      <c r="P5481" s="17">
        <f t="shared" si="180"/>
        <v>3256</v>
      </c>
      <c r="Q5481" t="str">
        <f>A5481&amp;"-"&amp;B5481&amp;"-"&amp;D5481</f>
        <v>NOVEMBER-KLB-L1B</v>
      </c>
    </row>
    <row r="5482" spans="1:17" x14ac:dyDescent="0.25">
      <c r="A5482" t="s">
        <v>401</v>
      </c>
      <c r="B5482" s="13" t="s">
        <v>24</v>
      </c>
      <c r="C5482" s="13" t="s">
        <v>226</v>
      </c>
      <c r="D5482" s="14" t="s">
        <v>221</v>
      </c>
      <c r="E5482" s="13" t="s">
        <v>61</v>
      </c>
      <c r="F5482" s="13" t="s">
        <v>1889</v>
      </c>
      <c r="G5482" s="13">
        <v>0.65</v>
      </c>
      <c r="H5482" s="15">
        <v>9390</v>
      </c>
      <c r="I5482" s="16">
        <v>6103.5</v>
      </c>
      <c r="J5482" s="16">
        <v>4184.0317183923435</v>
      </c>
      <c r="K5482" s="16">
        <v>1919.468281607657</v>
      </c>
      <c r="L5482" s="13">
        <v>1.66</v>
      </c>
      <c r="M5482" s="13"/>
      <c r="N5482" s="17">
        <f t="shared" si="181"/>
        <v>15587.4</v>
      </c>
      <c r="O5482" s="17">
        <f t="shared" si="181"/>
        <v>0</v>
      </c>
      <c r="P5482" s="17">
        <f t="shared" si="180"/>
        <v>15587.4</v>
      </c>
      <c r="Q5482" t="str">
        <f>A5482&amp;"-"&amp;B5482&amp;"-"&amp;D5482</f>
        <v>NOVEMBER-KLB-L1B</v>
      </c>
    </row>
    <row r="5483" spans="1:17" x14ac:dyDescent="0.25">
      <c r="A5483" t="s">
        <v>401</v>
      </c>
      <c r="B5483" s="13" t="s">
        <v>24</v>
      </c>
      <c r="C5483" s="13" t="s">
        <v>226</v>
      </c>
      <c r="D5483" s="14" t="s">
        <v>222</v>
      </c>
      <c r="E5483" s="13" t="s">
        <v>61</v>
      </c>
      <c r="F5483" s="13" t="s">
        <v>1882</v>
      </c>
      <c r="G5483" s="13">
        <v>0.68</v>
      </c>
      <c r="H5483" s="15">
        <v>840</v>
      </c>
      <c r="I5483" s="16">
        <v>571.19999999999993</v>
      </c>
      <c r="J5483" s="16">
        <v>422.64637263497883</v>
      </c>
      <c r="K5483" s="16">
        <v>148.55362736502121</v>
      </c>
      <c r="L5483" s="13">
        <v>1.69</v>
      </c>
      <c r="M5483" s="13"/>
      <c r="N5483" s="17">
        <f t="shared" si="181"/>
        <v>1419.6</v>
      </c>
      <c r="O5483" s="17">
        <f t="shared" si="181"/>
        <v>0</v>
      </c>
      <c r="P5483" s="17">
        <f t="shared" si="180"/>
        <v>1419.6</v>
      </c>
      <c r="Q5483" t="str">
        <f>A5483&amp;"-"&amp;B5483&amp;"-"&amp;D5483</f>
        <v>NOVEMBER-KLB-L2A</v>
      </c>
    </row>
    <row r="5484" spans="1:17" x14ac:dyDescent="0.25">
      <c r="A5484" t="s">
        <v>401</v>
      </c>
      <c r="B5484" s="13" t="s">
        <v>24</v>
      </c>
      <c r="C5484" s="13" t="s">
        <v>226</v>
      </c>
      <c r="D5484" s="14" t="s">
        <v>222</v>
      </c>
      <c r="E5484" s="13" t="s">
        <v>61</v>
      </c>
      <c r="F5484" s="13" t="s">
        <v>1727</v>
      </c>
      <c r="G5484" s="13">
        <v>0.68</v>
      </c>
      <c r="H5484" s="15">
        <v>1993</v>
      </c>
      <c r="I5484" s="16">
        <v>1355.24</v>
      </c>
      <c r="J5484" s="16">
        <v>849.21309599160156</v>
      </c>
      <c r="K5484" s="16">
        <v>506.0269040083985</v>
      </c>
      <c r="L5484" s="13">
        <v>1.69</v>
      </c>
      <c r="M5484" s="13"/>
      <c r="N5484" s="17">
        <f t="shared" si="181"/>
        <v>3368.17</v>
      </c>
      <c r="O5484" s="17">
        <f t="shared" si="181"/>
        <v>0</v>
      </c>
      <c r="P5484" s="17">
        <f t="shared" si="180"/>
        <v>3368.17</v>
      </c>
      <c r="Q5484" t="str">
        <f>A5484&amp;"-"&amp;B5484&amp;"-"&amp;D5484</f>
        <v>NOVEMBER-KLB-L2A</v>
      </c>
    </row>
    <row r="5485" spans="1:17" x14ac:dyDescent="0.25">
      <c r="A5485" t="s">
        <v>401</v>
      </c>
      <c r="B5485" s="13" t="s">
        <v>24</v>
      </c>
      <c r="C5485" s="13" t="s">
        <v>226</v>
      </c>
      <c r="D5485" s="14" t="s">
        <v>222</v>
      </c>
      <c r="E5485" s="13" t="s">
        <v>61</v>
      </c>
      <c r="F5485" s="13" t="s">
        <v>1728</v>
      </c>
      <c r="G5485" s="13">
        <v>0.65</v>
      </c>
      <c r="H5485" s="15">
        <v>7</v>
      </c>
      <c r="I5485" s="16">
        <v>4.55</v>
      </c>
      <c r="J5485" s="16">
        <v>3.1381818181818182</v>
      </c>
      <c r="K5485" s="16">
        <v>1.4118181818181816</v>
      </c>
      <c r="L5485" s="13">
        <v>1.81</v>
      </c>
      <c r="M5485" s="13"/>
      <c r="N5485" s="17">
        <f t="shared" si="181"/>
        <v>12.67</v>
      </c>
      <c r="O5485" s="17">
        <f t="shared" si="181"/>
        <v>0</v>
      </c>
      <c r="P5485" s="17">
        <f t="shared" si="180"/>
        <v>12.67</v>
      </c>
      <c r="Q5485" t="str">
        <f>A5485&amp;"-"&amp;B5485&amp;"-"&amp;D5485</f>
        <v>NOVEMBER-KLB-L2A</v>
      </c>
    </row>
    <row r="5486" spans="1:17" x14ac:dyDescent="0.25">
      <c r="A5486" t="s">
        <v>401</v>
      </c>
      <c r="B5486" s="13" t="s">
        <v>24</v>
      </c>
      <c r="C5486" s="13" t="s">
        <v>226</v>
      </c>
      <c r="D5486" s="14" t="s">
        <v>222</v>
      </c>
      <c r="E5486" s="13" t="s">
        <v>61</v>
      </c>
      <c r="F5486" s="13" t="s">
        <v>1891</v>
      </c>
      <c r="G5486" s="13">
        <v>0.68</v>
      </c>
      <c r="H5486" s="15">
        <v>2159</v>
      </c>
      <c r="I5486" s="16">
        <v>1468.12</v>
      </c>
      <c r="J5486" s="16">
        <v>975.20569924472034</v>
      </c>
      <c r="K5486" s="16">
        <v>492.91430075527967</v>
      </c>
      <c r="L5486" s="13">
        <v>1.61</v>
      </c>
      <c r="M5486" s="13"/>
      <c r="N5486" s="17">
        <f t="shared" si="181"/>
        <v>3475.9900000000002</v>
      </c>
      <c r="O5486" s="17">
        <f t="shared" si="181"/>
        <v>0</v>
      </c>
      <c r="P5486" s="17">
        <f t="shared" si="180"/>
        <v>3475.9900000000002</v>
      </c>
      <c r="Q5486" t="str">
        <f>A5486&amp;"-"&amp;B5486&amp;"-"&amp;D5486</f>
        <v>NOVEMBER-KLB-L2A</v>
      </c>
    </row>
    <row r="5487" spans="1:17" x14ac:dyDescent="0.25">
      <c r="A5487" t="s">
        <v>401</v>
      </c>
      <c r="B5487" s="13" t="s">
        <v>24</v>
      </c>
      <c r="C5487" s="13" t="s">
        <v>226</v>
      </c>
      <c r="D5487" s="14" t="s">
        <v>222</v>
      </c>
      <c r="E5487" s="13" t="s">
        <v>61</v>
      </c>
      <c r="F5487" s="13" t="s">
        <v>1892</v>
      </c>
      <c r="G5487" s="13">
        <v>0.68</v>
      </c>
      <c r="H5487" s="15">
        <v>677</v>
      </c>
      <c r="I5487" s="16">
        <v>460.36</v>
      </c>
      <c r="J5487" s="16">
        <v>336.72611870872436</v>
      </c>
      <c r="K5487" s="16">
        <v>123.63388129127563</v>
      </c>
      <c r="L5487" s="13">
        <v>1.72</v>
      </c>
      <c r="M5487" s="13"/>
      <c r="N5487" s="17">
        <f t="shared" si="181"/>
        <v>1164.44</v>
      </c>
      <c r="O5487" s="17">
        <f t="shared" si="181"/>
        <v>0</v>
      </c>
      <c r="P5487" s="17">
        <f t="shared" si="180"/>
        <v>1164.44</v>
      </c>
      <c r="Q5487" t="str">
        <f>A5487&amp;"-"&amp;B5487&amp;"-"&amp;D5487</f>
        <v>NOVEMBER-KLB-L2A</v>
      </c>
    </row>
    <row r="5488" spans="1:17" x14ac:dyDescent="0.25">
      <c r="A5488" t="s">
        <v>401</v>
      </c>
      <c r="B5488" s="13" t="s">
        <v>24</v>
      </c>
      <c r="C5488" s="13" t="s">
        <v>226</v>
      </c>
      <c r="D5488" s="14" t="s">
        <v>222</v>
      </c>
      <c r="E5488" s="13" t="s">
        <v>61</v>
      </c>
      <c r="F5488" s="13" t="s">
        <v>1884</v>
      </c>
      <c r="G5488" s="13">
        <v>0.68</v>
      </c>
      <c r="H5488" s="15">
        <v>4940</v>
      </c>
      <c r="I5488" s="16">
        <v>3359.2000000000003</v>
      </c>
      <c r="J5488" s="16">
        <v>2161.8388349539368</v>
      </c>
      <c r="K5488" s="16">
        <v>1197.3611650460625</v>
      </c>
      <c r="L5488" s="13">
        <v>1.69</v>
      </c>
      <c r="M5488" s="13"/>
      <c r="N5488" s="17">
        <f t="shared" si="181"/>
        <v>8348.6</v>
      </c>
      <c r="O5488" s="17">
        <f t="shared" si="181"/>
        <v>0</v>
      </c>
      <c r="P5488" s="17">
        <f t="shared" si="180"/>
        <v>8348.6</v>
      </c>
      <c r="Q5488" t="str">
        <f>A5488&amp;"-"&amp;B5488&amp;"-"&amp;D5488</f>
        <v>NOVEMBER-KLB-L2A</v>
      </c>
    </row>
    <row r="5489" spans="1:17" x14ac:dyDescent="0.25">
      <c r="A5489" t="s">
        <v>401</v>
      </c>
      <c r="B5489" s="13" t="s">
        <v>24</v>
      </c>
      <c r="C5489" s="13" t="s">
        <v>226</v>
      </c>
      <c r="D5489" s="14" t="s">
        <v>222</v>
      </c>
      <c r="E5489" s="13" t="s">
        <v>61</v>
      </c>
      <c r="F5489" s="13" t="s">
        <v>1885</v>
      </c>
      <c r="G5489" s="13">
        <v>0.68</v>
      </c>
      <c r="H5489" s="15">
        <v>3900</v>
      </c>
      <c r="I5489" s="16">
        <v>2652</v>
      </c>
      <c r="J5489" s="16">
        <v>1731.7899205087442</v>
      </c>
      <c r="K5489" s="16">
        <v>920.21007949125578</v>
      </c>
      <c r="L5489" s="13">
        <v>1.69</v>
      </c>
      <c r="M5489" s="13"/>
      <c r="N5489" s="17">
        <f t="shared" si="181"/>
        <v>6591</v>
      </c>
      <c r="O5489" s="17">
        <f t="shared" si="181"/>
        <v>0</v>
      </c>
      <c r="P5489" s="17">
        <f t="shared" si="180"/>
        <v>6591</v>
      </c>
      <c r="Q5489" t="str">
        <f>A5489&amp;"-"&amp;B5489&amp;"-"&amp;D5489</f>
        <v>NOVEMBER-KLB-L2A</v>
      </c>
    </row>
    <row r="5490" spans="1:17" x14ac:dyDescent="0.25">
      <c r="A5490" t="s">
        <v>401</v>
      </c>
      <c r="B5490" s="13" t="s">
        <v>24</v>
      </c>
      <c r="C5490" s="13" t="s">
        <v>226</v>
      </c>
      <c r="D5490" s="14" t="s">
        <v>222</v>
      </c>
      <c r="E5490" s="13" t="s">
        <v>61</v>
      </c>
      <c r="F5490" s="13" t="s">
        <v>1886</v>
      </c>
      <c r="G5490" s="13">
        <v>0.68</v>
      </c>
      <c r="H5490" s="15">
        <v>990</v>
      </c>
      <c r="I5490" s="16">
        <v>673.2</v>
      </c>
      <c r="J5490" s="16">
        <v>443.02466703651385</v>
      </c>
      <c r="K5490" s="16">
        <v>230.17533296348617</v>
      </c>
      <c r="L5490" s="13">
        <v>1.69</v>
      </c>
      <c r="M5490" s="13"/>
      <c r="N5490" s="17">
        <f t="shared" si="181"/>
        <v>1673.1</v>
      </c>
      <c r="O5490" s="17">
        <f t="shared" si="181"/>
        <v>0</v>
      </c>
      <c r="P5490" s="17">
        <f t="shared" si="180"/>
        <v>1673.1</v>
      </c>
      <c r="Q5490" t="str">
        <f>A5490&amp;"-"&amp;B5490&amp;"-"&amp;D5490</f>
        <v>NOVEMBER-KLB-L2A</v>
      </c>
    </row>
    <row r="5491" spans="1:17" x14ac:dyDescent="0.25">
      <c r="A5491" t="s">
        <v>401</v>
      </c>
      <c r="B5491" s="13" t="s">
        <v>24</v>
      </c>
      <c r="C5491" s="13" t="s">
        <v>226</v>
      </c>
      <c r="D5491" s="14" t="s">
        <v>222</v>
      </c>
      <c r="E5491" s="13" t="s">
        <v>61</v>
      </c>
      <c r="F5491" s="13" t="s">
        <v>1717</v>
      </c>
      <c r="G5491" s="13">
        <v>0.71</v>
      </c>
      <c r="H5491" s="15">
        <v>80</v>
      </c>
      <c r="I5491" s="16">
        <v>56.8</v>
      </c>
      <c r="J5491" s="16">
        <v>38.623313903748958</v>
      </c>
      <c r="K5491" s="16">
        <v>18.176686096251039</v>
      </c>
      <c r="L5491" s="13">
        <v>1.29</v>
      </c>
      <c r="M5491" s="13"/>
      <c r="N5491" s="17">
        <f t="shared" si="181"/>
        <v>103.2</v>
      </c>
      <c r="O5491" s="17">
        <f t="shared" si="181"/>
        <v>0</v>
      </c>
      <c r="P5491" s="17">
        <f t="shared" si="180"/>
        <v>103.2</v>
      </c>
      <c r="Q5491" t="str">
        <f>A5491&amp;"-"&amp;B5491&amp;"-"&amp;D5491</f>
        <v>NOVEMBER-KLB-L2A</v>
      </c>
    </row>
    <row r="5492" spans="1:17" x14ac:dyDescent="0.25">
      <c r="A5492" t="s">
        <v>401</v>
      </c>
      <c r="B5492" s="13" t="s">
        <v>24</v>
      </c>
      <c r="C5492" s="13" t="s">
        <v>226</v>
      </c>
      <c r="D5492" s="14" t="s">
        <v>222</v>
      </c>
      <c r="E5492" s="13" t="s">
        <v>61</v>
      </c>
      <c r="F5492" s="13" t="s">
        <v>1718</v>
      </c>
      <c r="G5492" s="13">
        <v>0.71</v>
      </c>
      <c r="H5492" s="15">
        <v>315</v>
      </c>
      <c r="I5492" s="16">
        <v>223.64999999999998</v>
      </c>
      <c r="J5492" s="16">
        <v>128.3949923679873</v>
      </c>
      <c r="K5492" s="16">
        <v>95.255007632012692</v>
      </c>
      <c r="L5492" s="13">
        <v>1.29</v>
      </c>
      <c r="M5492" s="13"/>
      <c r="N5492" s="17">
        <f t="shared" si="181"/>
        <v>406.35</v>
      </c>
      <c r="O5492" s="17">
        <f t="shared" si="181"/>
        <v>0</v>
      </c>
      <c r="P5492" s="17">
        <f t="shared" si="180"/>
        <v>406.35</v>
      </c>
      <c r="Q5492" t="str">
        <f>A5492&amp;"-"&amp;B5492&amp;"-"&amp;D5492</f>
        <v>NOVEMBER-KLB-L2A</v>
      </c>
    </row>
    <row r="5493" spans="1:17" x14ac:dyDescent="0.25">
      <c r="A5493" t="s">
        <v>401</v>
      </c>
      <c r="B5493" s="13" t="s">
        <v>24</v>
      </c>
      <c r="C5493" s="13" t="s">
        <v>226</v>
      </c>
      <c r="D5493" s="14" t="s">
        <v>222</v>
      </c>
      <c r="E5493" s="13" t="s">
        <v>61</v>
      </c>
      <c r="F5493" s="13" t="s">
        <v>1729</v>
      </c>
      <c r="G5493" s="13">
        <v>0.68</v>
      </c>
      <c r="H5493" s="15">
        <v>960</v>
      </c>
      <c r="I5493" s="16">
        <v>652.79999999999984</v>
      </c>
      <c r="J5493" s="16">
        <v>479.24674501747296</v>
      </c>
      <c r="K5493" s="16">
        <v>173.55325498252702</v>
      </c>
      <c r="L5493" s="13">
        <v>1.7</v>
      </c>
      <c r="M5493" s="13"/>
      <c r="N5493" s="17">
        <f t="shared" si="181"/>
        <v>1632</v>
      </c>
      <c r="O5493" s="17">
        <f t="shared" si="181"/>
        <v>0</v>
      </c>
      <c r="P5493" s="17">
        <f t="shared" si="180"/>
        <v>1632</v>
      </c>
      <c r="Q5493" t="str">
        <f>A5493&amp;"-"&amp;B5493&amp;"-"&amp;D5493</f>
        <v>NOVEMBER-KLB-L2A</v>
      </c>
    </row>
    <row r="5494" spans="1:17" x14ac:dyDescent="0.25">
      <c r="A5494" t="s">
        <v>401</v>
      </c>
      <c r="B5494" s="13" t="s">
        <v>24</v>
      </c>
      <c r="C5494" s="13" t="s">
        <v>226</v>
      </c>
      <c r="D5494" s="14" t="s">
        <v>222</v>
      </c>
      <c r="E5494" s="13" t="s">
        <v>61</v>
      </c>
      <c r="F5494" s="13" t="s">
        <v>1887</v>
      </c>
      <c r="G5494" s="13">
        <v>0.67999999999999994</v>
      </c>
      <c r="H5494" s="15">
        <v>2700</v>
      </c>
      <c r="I5494" s="16">
        <v>1836.0000000000002</v>
      </c>
      <c r="J5494" s="16">
        <v>1218.3214862596517</v>
      </c>
      <c r="K5494" s="16">
        <v>617.67851374034831</v>
      </c>
      <c r="L5494" s="13">
        <v>1.7</v>
      </c>
      <c r="M5494" s="13"/>
      <c r="N5494" s="17">
        <f t="shared" si="181"/>
        <v>4590</v>
      </c>
      <c r="O5494" s="17">
        <f t="shared" si="181"/>
        <v>0</v>
      </c>
      <c r="P5494" s="17">
        <f t="shared" si="180"/>
        <v>4590</v>
      </c>
      <c r="Q5494" t="str">
        <f>A5494&amp;"-"&amp;B5494&amp;"-"&amp;D5494</f>
        <v>NOVEMBER-KLB-L2A</v>
      </c>
    </row>
    <row r="5495" spans="1:17" x14ac:dyDescent="0.25">
      <c r="A5495" t="s">
        <v>401</v>
      </c>
      <c r="B5495" s="13" t="s">
        <v>24</v>
      </c>
      <c r="C5495" s="13" t="s">
        <v>226</v>
      </c>
      <c r="D5495" s="14" t="s">
        <v>222</v>
      </c>
      <c r="E5495" s="13" t="s">
        <v>61</v>
      </c>
      <c r="F5495" s="13" t="s">
        <v>1893</v>
      </c>
      <c r="G5495" s="13">
        <v>0.68</v>
      </c>
      <c r="H5495" s="15">
        <v>3860</v>
      </c>
      <c r="I5495" s="16">
        <v>2624.7999999999997</v>
      </c>
      <c r="J5495" s="16">
        <v>1777.5847533075626</v>
      </c>
      <c r="K5495" s="16">
        <v>847.21524669243729</v>
      </c>
      <c r="L5495" s="13">
        <v>1.63</v>
      </c>
      <c r="M5495" s="13"/>
      <c r="N5495" s="17">
        <f t="shared" si="181"/>
        <v>6291.7999999999993</v>
      </c>
      <c r="O5495" s="17">
        <f t="shared" si="181"/>
        <v>0</v>
      </c>
      <c r="P5495" s="17">
        <f t="shared" si="180"/>
        <v>6291.7999999999993</v>
      </c>
      <c r="Q5495" t="str">
        <f>A5495&amp;"-"&amp;B5495&amp;"-"&amp;D5495</f>
        <v>NOVEMBER-KLB-L2A</v>
      </c>
    </row>
    <row r="5496" spans="1:17" x14ac:dyDescent="0.25">
      <c r="A5496" t="s">
        <v>401</v>
      </c>
      <c r="B5496" s="13" t="s">
        <v>24</v>
      </c>
      <c r="C5496" s="13" t="s">
        <v>226</v>
      </c>
      <c r="D5496" s="14" t="s">
        <v>222</v>
      </c>
      <c r="E5496" s="13" t="s">
        <v>61</v>
      </c>
      <c r="F5496" s="13" t="s">
        <v>1894</v>
      </c>
      <c r="G5496" s="13">
        <v>0.65</v>
      </c>
      <c r="H5496" s="15">
        <v>3955</v>
      </c>
      <c r="I5496" s="16">
        <v>2570.75</v>
      </c>
      <c r="J5496" s="16">
        <v>1723.4738573966408</v>
      </c>
      <c r="K5496" s="16">
        <v>847.27614260335929</v>
      </c>
      <c r="L5496" s="13">
        <v>1.64</v>
      </c>
      <c r="M5496" s="13"/>
      <c r="N5496" s="17">
        <f t="shared" si="181"/>
        <v>6486.2</v>
      </c>
      <c r="O5496" s="17">
        <f t="shared" si="181"/>
        <v>0</v>
      </c>
      <c r="P5496" s="17">
        <f t="shared" si="180"/>
        <v>6486.2</v>
      </c>
      <c r="Q5496" t="str">
        <f>A5496&amp;"-"&amp;B5496&amp;"-"&amp;D5496</f>
        <v>NOVEMBER-KLB-L2A</v>
      </c>
    </row>
    <row r="5497" spans="1:17" x14ac:dyDescent="0.25">
      <c r="A5497" t="s">
        <v>401</v>
      </c>
      <c r="B5497" s="13" t="s">
        <v>24</v>
      </c>
      <c r="C5497" s="13" t="s">
        <v>226</v>
      </c>
      <c r="D5497" s="14" t="s">
        <v>222</v>
      </c>
      <c r="E5497" s="13" t="s">
        <v>61</v>
      </c>
      <c r="F5497" s="13" t="s">
        <v>1895</v>
      </c>
      <c r="G5497" s="13">
        <v>0.65</v>
      </c>
      <c r="H5497" s="15">
        <v>6230</v>
      </c>
      <c r="I5497" s="16">
        <v>4049.5</v>
      </c>
      <c r="J5497" s="16">
        <v>2577.7323313498709</v>
      </c>
      <c r="K5497" s="16">
        <v>1471.7676686501293</v>
      </c>
      <c r="L5497" s="13">
        <v>1.64</v>
      </c>
      <c r="M5497" s="13"/>
      <c r="N5497" s="17">
        <f t="shared" si="181"/>
        <v>10217.199999999999</v>
      </c>
      <c r="O5497" s="17">
        <f t="shared" si="181"/>
        <v>0</v>
      </c>
      <c r="P5497" s="17">
        <f t="shared" si="180"/>
        <v>10217.199999999999</v>
      </c>
      <c r="Q5497" t="str">
        <f>A5497&amp;"-"&amp;B5497&amp;"-"&amp;D5497</f>
        <v>NOVEMBER-KLB-L2A</v>
      </c>
    </row>
    <row r="5498" spans="1:17" x14ac:dyDescent="0.25">
      <c r="A5498" t="s">
        <v>401</v>
      </c>
      <c r="B5498" s="13" t="s">
        <v>24</v>
      </c>
      <c r="C5498" s="13" t="s">
        <v>226</v>
      </c>
      <c r="D5498" s="14" t="s">
        <v>222</v>
      </c>
      <c r="E5498" s="13" t="s">
        <v>61</v>
      </c>
      <c r="F5498" s="13" t="s">
        <v>1889</v>
      </c>
      <c r="G5498" s="13">
        <v>0.65</v>
      </c>
      <c r="H5498" s="15">
        <v>2030</v>
      </c>
      <c r="I5498" s="16">
        <v>1319.5</v>
      </c>
      <c r="J5498" s="16">
        <v>824.41882352941184</v>
      </c>
      <c r="K5498" s="16">
        <v>495.08117647058816</v>
      </c>
      <c r="L5498" s="13">
        <v>1.66</v>
      </c>
      <c r="M5498" s="13"/>
      <c r="N5498" s="17">
        <f t="shared" si="181"/>
        <v>3369.7999999999997</v>
      </c>
      <c r="O5498" s="17">
        <f t="shared" si="181"/>
        <v>0</v>
      </c>
      <c r="P5498" s="17">
        <f t="shared" si="180"/>
        <v>3369.7999999999997</v>
      </c>
      <c r="Q5498" t="str">
        <f>A5498&amp;"-"&amp;B5498&amp;"-"&amp;D5498</f>
        <v>NOVEMBER-KLB-L2A</v>
      </c>
    </row>
    <row r="5499" spans="1:17" x14ac:dyDescent="0.25">
      <c r="A5499" t="s">
        <v>401</v>
      </c>
      <c r="B5499" s="13" t="s">
        <v>24</v>
      </c>
      <c r="C5499" s="13" t="s">
        <v>226</v>
      </c>
      <c r="D5499" s="14" t="s">
        <v>222</v>
      </c>
      <c r="E5499" s="13" t="s">
        <v>61</v>
      </c>
      <c r="F5499" s="13" t="s">
        <v>1896</v>
      </c>
      <c r="G5499" s="13">
        <v>0.65</v>
      </c>
      <c r="H5499" s="15">
        <v>5240</v>
      </c>
      <c r="I5499" s="16">
        <v>3406</v>
      </c>
      <c r="J5499" s="16">
        <v>2427.4512240191457</v>
      </c>
      <c r="K5499" s="16">
        <v>978.54877598085386</v>
      </c>
      <c r="L5499" s="13">
        <v>1.64</v>
      </c>
      <c r="M5499" s="13"/>
      <c r="N5499" s="17">
        <f t="shared" si="181"/>
        <v>8593.6</v>
      </c>
      <c r="O5499" s="17">
        <f t="shared" si="181"/>
        <v>0</v>
      </c>
      <c r="P5499" s="17">
        <f t="shared" si="180"/>
        <v>8593.6</v>
      </c>
      <c r="Q5499" t="str">
        <f>A5499&amp;"-"&amp;B5499&amp;"-"&amp;D5499</f>
        <v>NOVEMBER-KLB-L2A</v>
      </c>
    </row>
    <row r="5500" spans="1:17" x14ac:dyDescent="0.25">
      <c r="A5500" t="s">
        <v>401</v>
      </c>
      <c r="B5500" s="13" t="s">
        <v>24</v>
      </c>
      <c r="C5500" s="13" t="s">
        <v>226</v>
      </c>
      <c r="D5500" s="14" t="s">
        <v>222</v>
      </c>
      <c r="E5500" s="13" t="s">
        <v>61</v>
      </c>
      <c r="F5500" s="13" t="s">
        <v>1897</v>
      </c>
      <c r="G5500" s="13">
        <v>0.65</v>
      </c>
      <c r="H5500" s="15">
        <v>1950</v>
      </c>
      <c r="I5500" s="16">
        <v>1267.5</v>
      </c>
      <c r="J5500" s="16">
        <v>867.16958195110487</v>
      </c>
      <c r="K5500" s="16">
        <v>400.33041804889518</v>
      </c>
      <c r="L5500" s="13">
        <v>1.64</v>
      </c>
      <c r="M5500" s="13"/>
      <c r="N5500" s="17">
        <f t="shared" si="181"/>
        <v>3198</v>
      </c>
      <c r="O5500" s="17">
        <f t="shared" si="181"/>
        <v>0</v>
      </c>
      <c r="P5500" s="17">
        <f t="shared" si="180"/>
        <v>3198</v>
      </c>
      <c r="Q5500" t="str">
        <f>A5500&amp;"-"&amp;B5500&amp;"-"&amp;D5500</f>
        <v>NOVEMBER-KLB-L2A</v>
      </c>
    </row>
    <row r="5501" spans="1:17" x14ac:dyDescent="0.25">
      <c r="A5501" t="s">
        <v>401</v>
      </c>
      <c r="B5501" s="13" t="s">
        <v>24</v>
      </c>
      <c r="C5501" s="13" t="s">
        <v>226</v>
      </c>
      <c r="D5501" s="14" t="s">
        <v>223</v>
      </c>
      <c r="E5501" s="13" t="s">
        <v>61</v>
      </c>
      <c r="F5501" s="13" t="s">
        <v>1882</v>
      </c>
      <c r="G5501" s="13">
        <v>0.68</v>
      </c>
      <c r="H5501" s="15">
        <v>1680</v>
      </c>
      <c r="I5501" s="16">
        <v>1142.4000000000001</v>
      </c>
      <c r="J5501" s="16">
        <v>618.51374207188155</v>
      </c>
      <c r="K5501" s="16">
        <v>523.88625792811843</v>
      </c>
      <c r="L5501" s="13">
        <v>1.69</v>
      </c>
      <c r="M5501" s="13"/>
      <c r="N5501" s="17">
        <f t="shared" si="181"/>
        <v>2839.2</v>
      </c>
      <c r="O5501" s="17">
        <f t="shared" si="181"/>
        <v>0</v>
      </c>
      <c r="P5501" s="17">
        <f t="shared" si="180"/>
        <v>2839.2</v>
      </c>
      <c r="Q5501" t="str">
        <f>A5501&amp;"-"&amp;B5501&amp;"-"&amp;D5501</f>
        <v>NOVEMBER-KLB-L2B</v>
      </c>
    </row>
    <row r="5502" spans="1:17" x14ac:dyDescent="0.25">
      <c r="A5502" t="s">
        <v>401</v>
      </c>
      <c r="B5502" s="13" t="s">
        <v>24</v>
      </c>
      <c r="C5502" s="13" t="s">
        <v>226</v>
      </c>
      <c r="D5502" s="14" t="s">
        <v>223</v>
      </c>
      <c r="E5502" s="13" t="s">
        <v>61</v>
      </c>
      <c r="F5502" s="13" t="s">
        <v>1883</v>
      </c>
      <c r="G5502" s="13">
        <v>0.65</v>
      </c>
      <c r="H5502" s="15">
        <v>395</v>
      </c>
      <c r="I5502" s="16">
        <v>256.75</v>
      </c>
      <c r="J5502" s="16">
        <v>144.13742071881606</v>
      </c>
      <c r="K5502" s="16">
        <v>112.61257928118394</v>
      </c>
      <c r="L5502" s="13">
        <v>1.81</v>
      </c>
      <c r="M5502" s="13"/>
      <c r="N5502" s="17">
        <f t="shared" si="181"/>
        <v>714.95</v>
      </c>
      <c r="O5502" s="17">
        <f t="shared" si="181"/>
        <v>0</v>
      </c>
      <c r="P5502" s="17">
        <f t="shared" si="180"/>
        <v>714.95</v>
      </c>
      <c r="Q5502" t="str">
        <f>A5502&amp;"-"&amp;B5502&amp;"-"&amp;D5502</f>
        <v>NOVEMBER-KLB-L2B</v>
      </c>
    </row>
    <row r="5503" spans="1:17" x14ac:dyDescent="0.25">
      <c r="A5503" t="s">
        <v>401</v>
      </c>
      <c r="B5503" s="13" t="s">
        <v>24</v>
      </c>
      <c r="C5503" s="13" t="s">
        <v>226</v>
      </c>
      <c r="D5503" s="14" t="s">
        <v>223</v>
      </c>
      <c r="E5503" s="13" t="s">
        <v>61</v>
      </c>
      <c r="F5503" s="13" t="s">
        <v>1727</v>
      </c>
      <c r="G5503" s="13">
        <v>0.68</v>
      </c>
      <c r="H5503" s="15">
        <v>2239</v>
      </c>
      <c r="I5503" s="16">
        <v>1522.52</v>
      </c>
      <c r="J5503" s="16">
        <v>1007.6558713101849</v>
      </c>
      <c r="K5503" s="16">
        <v>514.86412868981495</v>
      </c>
      <c r="L5503" s="13">
        <v>1.69</v>
      </c>
      <c r="M5503" s="13"/>
      <c r="N5503" s="17">
        <f t="shared" si="181"/>
        <v>3783.91</v>
      </c>
      <c r="O5503" s="17">
        <f t="shared" si="181"/>
        <v>0</v>
      </c>
      <c r="P5503" s="17">
        <f t="shared" si="180"/>
        <v>3783.91</v>
      </c>
      <c r="Q5503" t="str">
        <f>A5503&amp;"-"&amp;B5503&amp;"-"&amp;D5503</f>
        <v>NOVEMBER-KLB-L2B</v>
      </c>
    </row>
    <row r="5504" spans="1:17" x14ac:dyDescent="0.25">
      <c r="A5504" t="s">
        <v>401</v>
      </c>
      <c r="B5504" s="13" t="s">
        <v>24</v>
      </c>
      <c r="C5504" s="13" t="s">
        <v>226</v>
      </c>
      <c r="D5504" s="14" t="s">
        <v>223</v>
      </c>
      <c r="E5504" s="13" t="s">
        <v>61</v>
      </c>
      <c r="F5504" s="13" t="s">
        <v>1728</v>
      </c>
      <c r="G5504" s="13">
        <v>0.65</v>
      </c>
      <c r="H5504" s="15">
        <v>351</v>
      </c>
      <c r="I5504" s="16">
        <v>228.15</v>
      </c>
      <c r="J5504" s="16">
        <v>158.5644004722308</v>
      </c>
      <c r="K5504" s="16">
        <v>69.585599527769219</v>
      </c>
      <c r="L5504" s="13">
        <v>1.81</v>
      </c>
      <c r="M5504" s="13"/>
      <c r="N5504" s="17">
        <f t="shared" si="181"/>
        <v>635.31000000000006</v>
      </c>
      <c r="O5504" s="17">
        <f t="shared" si="181"/>
        <v>0</v>
      </c>
      <c r="P5504" s="17">
        <f t="shared" si="180"/>
        <v>635.31000000000006</v>
      </c>
      <c r="Q5504" t="str">
        <f>A5504&amp;"-"&amp;B5504&amp;"-"&amp;D5504</f>
        <v>NOVEMBER-KLB-L2B</v>
      </c>
    </row>
    <row r="5505" spans="1:17" x14ac:dyDescent="0.25">
      <c r="A5505" t="s">
        <v>401</v>
      </c>
      <c r="B5505" s="13" t="s">
        <v>24</v>
      </c>
      <c r="C5505" s="13" t="s">
        <v>226</v>
      </c>
      <c r="D5505" s="14" t="s">
        <v>223</v>
      </c>
      <c r="E5505" s="13" t="s">
        <v>61</v>
      </c>
      <c r="F5505" s="13" t="s">
        <v>1891</v>
      </c>
      <c r="G5505" s="13">
        <v>0.68</v>
      </c>
      <c r="H5505" s="15">
        <v>2808</v>
      </c>
      <c r="I5505" s="16">
        <v>1909.4399999999998</v>
      </c>
      <c r="J5505" s="16">
        <v>1214.2218776239888</v>
      </c>
      <c r="K5505" s="16">
        <v>695.21812237601114</v>
      </c>
      <c r="L5505" s="13">
        <v>1.61</v>
      </c>
      <c r="M5505" s="13"/>
      <c r="N5505" s="17">
        <f t="shared" si="181"/>
        <v>4520.88</v>
      </c>
      <c r="O5505" s="17">
        <f t="shared" si="181"/>
        <v>0</v>
      </c>
      <c r="P5505" s="17">
        <f t="shared" si="180"/>
        <v>4520.88</v>
      </c>
      <c r="Q5505" t="str">
        <f>A5505&amp;"-"&amp;B5505&amp;"-"&amp;D5505</f>
        <v>NOVEMBER-KLB-L2B</v>
      </c>
    </row>
    <row r="5506" spans="1:17" x14ac:dyDescent="0.25">
      <c r="A5506" t="s">
        <v>401</v>
      </c>
      <c r="B5506" s="13" t="s">
        <v>24</v>
      </c>
      <c r="C5506" s="13" t="s">
        <v>226</v>
      </c>
      <c r="D5506" s="14" t="s">
        <v>223</v>
      </c>
      <c r="E5506" s="13" t="s">
        <v>61</v>
      </c>
      <c r="F5506" s="13" t="s">
        <v>1892</v>
      </c>
      <c r="G5506" s="13">
        <v>0.68</v>
      </c>
      <c r="H5506" s="15">
        <v>37</v>
      </c>
      <c r="I5506" s="16">
        <v>25.159999999999997</v>
      </c>
      <c r="J5506" s="16">
        <v>16.698801569966289</v>
      </c>
      <c r="K5506" s="16">
        <v>8.4611984300337095</v>
      </c>
      <c r="L5506" s="13">
        <v>1.72</v>
      </c>
      <c r="M5506" s="13"/>
      <c r="N5506" s="17">
        <f t="shared" si="181"/>
        <v>63.64</v>
      </c>
      <c r="O5506" s="17">
        <f t="shared" si="181"/>
        <v>0</v>
      </c>
      <c r="P5506" s="17">
        <f t="shared" ref="P5506:P5569" si="182">N5506+O5506</f>
        <v>63.64</v>
      </c>
      <c r="Q5506" t="str">
        <f>A5506&amp;"-"&amp;B5506&amp;"-"&amp;D5506</f>
        <v>NOVEMBER-KLB-L2B</v>
      </c>
    </row>
    <row r="5507" spans="1:17" x14ac:dyDescent="0.25">
      <c r="A5507" t="s">
        <v>401</v>
      </c>
      <c r="B5507" s="13" t="s">
        <v>24</v>
      </c>
      <c r="C5507" s="13" t="s">
        <v>226</v>
      </c>
      <c r="D5507" s="14" t="s">
        <v>223</v>
      </c>
      <c r="E5507" s="13" t="s">
        <v>61</v>
      </c>
      <c r="F5507" s="13" t="s">
        <v>1884</v>
      </c>
      <c r="G5507" s="13">
        <v>0.68</v>
      </c>
      <c r="H5507" s="15">
        <v>7045</v>
      </c>
      <c r="I5507" s="16">
        <v>4790.5999999999995</v>
      </c>
      <c r="J5507" s="16">
        <v>2732.2278902021303</v>
      </c>
      <c r="K5507" s="16">
        <v>2058.3721097978696</v>
      </c>
      <c r="L5507" s="13">
        <v>1.69</v>
      </c>
      <c r="M5507" s="13"/>
      <c r="N5507" s="17">
        <f t="shared" si="181"/>
        <v>11906.05</v>
      </c>
      <c r="O5507" s="17">
        <f t="shared" si="181"/>
        <v>0</v>
      </c>
      <c r="P5507" s="17">
        <f t="shared" si="182"/>
        <v>11906.05</v>
      </c>
      <c r="Q5507" t="str">
        <f>A5507&amp;"-"&amp;B5507&amp;"-"&amp;D5507</f>
        <v>NOVEMBER-KLB-L2B</v>
      </c>
    </row>
    <row r="5508" spans="1:17" x14ac:dyDescent="0.25">
      <c r="A5508" t="s">
        <v>401</v>
      </c>
      <c r="B5508" s="13" t="s">
        <v>24</v>
      </c>
      <c r="C5508" s="13" t="s">
        <v>226</v>
      </c>
      <c r="D5508" s="14" t="s">
        <v>223</v>
      </c>
      <c r="E5508" s="13" t="s">
        <v>61</v>
      </c>
      <c r="F5508" s="13" t="s">
        <v>1885</v>
      </c>
      <c r="G5508" s="13">
        <v>0.68</v>
      </c>
      <c r="H5508" s="15">
        <v>5110</v>
      </c>
      <c r="I5508" s="16">
        <v>3474.7999999999997</v>
      </c>
      <c r="J5508" s="16">
        <v>2575.4450261780103</v>
      </c>
      <c r="K5508" s="16">
        <v>899.35497382198946</v>
      </c>
      <c r="L5508" s="13">
        <v>1.69</v>
      </c>
      <c r="M5508" s="13"/>
      <c r="N5508" s="17">
        <f t="shared" si="181"/>
        <v>8635.9</v>
      </c>
      <c r="O5508" s="17">
        <f t="shared" si="181"/>
        <v>0</v>
      </c>
      <c r="P5508" s="17">
        <f t="shared" si="182"/>
        <v>8635.9</v>
      </c>
      <c r="Q5508" t="str">
        <f>A5508&amp;"-"&amp;B5508&amp;"-"&amp;D5508</f>
        <v>NOVEMBER-KLB-L2B</v>
      </c>
    </row>
    <row r="5509" spans="1:17" x14ac:dyDescent="0.25">
      <c r="A5509" t="s">
        <v>401</v>
      </c>
      <c r="B5509" s="13" t="s">
        <v>24</v>
      </c>
      <c r="C5509" s="13" t="s">
        <v>226</v>
      </c>
      <c r="D5509" s="14" t="s">
        <v>223</v>
      </c>
      <c r="E5509" s="13" t="s">
        <v>61</v>
      </c>
      <c r="F5509" s="13" t="s">
        <v>1886</v>
      </c>
      <c r="G5509" s="13">
        <v>0.68</v>
      </c>
      <c r="H5509" s="15">
        <v>2080</v>
      </c>
      <c r="I5509" s="16">
        <v>1414.3999999999999</v>
      </c>
      <c r="J5509" s="16">
        <v>782.50168067226889</v>
      </c>
      <c r="K5509" s="16">
        <v>631.89831932773097</v>
      </c>
      <c r="L5509" s="13">
        <v>1.69</v>
      </c>
      <c r="M5509" s="13"/>
      <c r="N5509" s="17">
        <f t="shared" si="181"/>
        <v>3515.2</v>
      </c>
      <c r="O5509" s="17">
        <f t="shared" si="181"/>
        <v>0</v>
      </c>
      <c r="P5509" s="17">
        <f t="shared" si="182"/>
        <v>3515.2</v>
      </c>
      <c r="Q5509" t="str">
        <f>A5509&amp;"-"&amp;B5509&amp;"-"&amp;D5509</f>
        <v>NOVEMBER-KLB-L2B</v>
      </c>
    </row>
    <row r="5510" spans="1:17" x14ac:dyDescent="0.25">
      <c r="A5510" t="s">
        <v>401</v>
      </c>
      <c r="B5510" s="13" t="s">
        <v>24</v>
      </c>
      <c r="C5510" s="13" t="s">
        <v>226</v>
      </c>
      <c r="D5510" s="14" t="s">
        <v>223</v>
      </c>
      <c r="E5510" s="13" t="s">
        <v>61</v>
      </c>
      <c r="F5510" s="13" t="s">
        <v>1717</v>
      </c>
      <c r="G5510" s="13">
        <v>0.71</v>
      </c>
      <c r="H5510" s="15">
        <v>35</v>
      </c>
      <c r="I5510" s="16">
        <v>24.85</v>
      </c>
      <c r="J5510" s="16">
        <v>13.749967408986052</v>
      </c>
      <c r="K5510" s="16">
        <v>11.100032591013949</v>
      </c>
      <c r="L5510" s="13">
        <v>1.29</v>
      </c>
      <c r="M5510" s="13"/>
      <c r="N5510" s="17">
        <f t="shared" si="181"/>
        <v>45.15</v>
      </c>
      <c r="O5510" s="17">
        <f t="shared" si="181"/>
        <v>0</v>
      </c>
      <c r="P5510" s="17">
        <f t="shared" si="182"/>
        <v>45.15</v>
      </c>
      <c r="Q5510" t="str">
        <f>A5510&amp;"-"&amp;B5510&amp;"-"&amp;D5510</f>
        <v>NOVEMBER-KLB-L2B</v>
      </c>
    </row>
    <row r="5511" spans="1:17" x14ac:dyDescent="0.25">
      <c r="A5511" t="s">
        <v>401</v>
      </c>
      <c r="B5511" s="13" t="s">
        <v>24</v>
      </c>
      <c r="C5511" s="13" t="s">
        <v>226</v>
      </c>
      <c r="D5511" s="14" t="s">
        <v>223</v>
      </c>
      <c r="E5511" s="13" t="s">
        <v>61</v>
      </c>
      <c r="F5511" s="13" t="s">
        <v>1718</v>
      </c>
      <c r="G5511" s="13">
        <v>0.71</v>
      </c>
      <c r="H5511" s="15">
        <v>665</v>
      </c>
      <c r="I5511" s="16">
        <v>472.15000000000003</v>
      </c>
      <c r="J5511" s="16">
        <v>290.11336441739877</v>
      </c>
      <c r="K5511" s="16">
        <v>182.03663558260129</v>
      </c>
      <c r="L5511" s="13">
        <v>1.29</v>
      </c>
      <c r="M5511" s="13"/>
      <c r="N5511" s="17">
        <f t="shared" si="181"/>
        <v>857.85</v>
      </c>
      <c r="O5511" s="17">
        <f t="shared" si="181"/>
        <v>0</v>
      </c>
      <c r="P5511" s="17">
        <f t="shared" si="182"/>
        <v>857.85</v>
      </c>
      <c r="Q5511" t="str">
        <f>A5511&amp;"-"&amp;B5511&amp;"-"&amp;D5511</f>
        <v>NOVEMBER-KLB-L2B</v>
      </c>
    </row>
    <row r="5512" spans="1:17" x14ac:dyDescent="0.25">
      <c r="A5512" t="s">
        <v>401</v>
      </c>
      <c r="B5512" s="13" t="s">
        <v>24</v>
      </c>
      <c r="C5512" s="13" t="s">
        <v>226</v>
      </c>
      <c r="D5512" s="14" t="s">
        <v>223</v>
      </c>
      <c r="E5512" s="13" t="s">
        <v>61</v>
      </c>
      <c r="F5512" s="13" t="s">
        <v>1729</v>
      </c>
      <c r="G5512" s="13">
        <v>0.68</v>
      </c>
      <c r="H5512" s="15">
        <v>35</v>
      </c>
      <c r="I5512" s="16">
        <v>23.799999999999997</v>
      </c>
      <c r="J5512" s="16">
        <v>13.130908559611131</v>
      </c>
      <c r="K5512" s="16">
        <v>10.66909144038887</v>
      </c>
      <c r="L5512" s="13">
        <v>1.7</v>
      </c>
      <c r="M5512" s="13"/>
      <c r="N5512" s="17">
        <f t="shared" si="181"/>
        <v>59.5</v>
      </c>
      <c r="O5512" s="17">
        <f t="shared" si="181"/>
        <v>0</v>
      </c>
      <c r="P5512" s="17">
        <f t="shared" si="182"/>
        <v>59.5</v>
      </c>
      <c r="Q5512" t="str">
        <f>A5512&amp;"-"&amp;B5512&amp;"-"&amp;D5512</f>
        <v>NOVEMBER-KLB-L2B</v>
      </c>
    </row>
    <row r="5513" spans="1:17" x14ac:dyDescent="0.25">
      <c r="A5513" t="s">
        <v>401</v>
      </c>
      <c r="B5513" s="13" t="s">
        <v>24</v>
      </c>
      <c r="C5513" s="13" t="s">
        <v>226</v>
      </c>
      <c r="D5513" s="14" t="s">
        <v>223</v>
      </c>
      <c r="E5513" s="13" t="s">
        <v>61</v>
      </c>
      <c r="F5513" s="13" t="s">
        <v>1887</v>
      </c>
      <c r="G5513" s="13">
        <v>0.67999999999999994</v>
      </c>
      <c r="H5513" s="15">
        <v>2190</v>
      </c>
      <c r="I5513" s="16">
        <v>1489.2</v>
      </c>
      <c r="J5513" s="16">
        <v>875.47810426507988</v>
      </c>
      <c r="K5513" s="16">
        <v>613.72189573492017</v>
      </c>
      <c r="L5513" s="13">
        <v>1.7</v>
      </c>
      <c r="M5513" s="13"/>
      <c r="N5513" s="17">
        <f t="shared" si="181"/>
        <v>3723</v>
      </c>
      <c r="O5513" s="17">
        <f t="shared" si="181"/>
        <v>0</v>
      </c>
      <c r="P5513" s="17">
        <f t="shared" si="182"/>
        <v>3723</v>
      </c>
      <c r="Q5513" t="str">
        <f>A5513&amp;"-"&amp;B5513&amp;"-"&amp;D5513</f>
        <v>NOVEMBER-KLB-L2B</v>
      </c>
    </row>
    <row r="5514" spans="1:17" x14ac:dyDescent="0.25">
      <c r="A5514" t="s">
        <v>401</v>
      </c>
      <c r="B5514" s="13" t="s">
        <v>24</v>
      </c>
      <c r="C5514" s="13" t="s">
        <v>226</v>
      </c>
      <c r="D5514" s="14" t="s">
        <v>223</v>
      </c>
      <c r="E5514" s="13" t="s">
        <v>61</v>
      </c>
      <c r="F5514" s="13" t="s">
        <v>1893</v>
      </c>
      <c r="G5514" s="13">
        <v>0.68</v>
      </c>
      <c r="H5514" s="15">
        <v>1855</v>
      </c>
      <c r="I5514" s="16">
        <v>1261.4000000000001</v>
      </c>
      <c r="J5514" s="16">
        <v>874.51159862208146</v>
      </c>
      <c r="K5514" s="16">
        <v>386.88840137791857</v>
      </c>
      <c r="L5514" s="13">
        <v>1.63</v>
      </c>
      <c r="M5514" s="13"/>
      <c r="N5514" s="17">
        <f t="shared" si="181"/>
        <v>3023.6499999999996</v>
      </c>
      <c r="O5514" s="17">
        <f t="shared" si="181"/>
        <v>0</v>
      </c>
      <c r="P5514" s="17">
        <f t="shared" si="182"/>
        <v>3023.6499999999996</v>
      </c>
      <c r="Q5514" t="str">
        <f>A5514&amp;"-"&amp;B5514&amp;"-"&amp;D5514</f>
        <v>NOVEMBER-KLB-L2B</v>
      </c>
    </row>
    <row r="5515" spans="1:17" x14ac:dyDescent="0.25">
      <c r="A5515" t="s">
        <v>401</v>
      </c>
      <c r="B5515" s="13" t="s">
        <v>24</v>
      </c>
      <c r="C5515" s="13" t="s">
        <v>226</v>
      </c>
      <c r="D5515" s="14" t="s">
        <v>223</v>
      </c>
      <c r="E5515" s="13" t="s">
        <v>61</v>
      </c>
      <c r="F5515" s="13" t="s">
        <v>1894</v>
      </c>
      <c r="G5515" s="13">
        <v>0.65</v>
      </c>
      <c r="H5515" s="15">
        <v>6196</v>
      </c>
      <c r="I5515" s="16">
        <v>4027.4</v>
      </c>
      <c r="J5515" s="16">
        <v>2701.2421737555842</v>
      </c>
      <c r="K5515" s="16">
        <v>1326.1578262444157</v>
      </c>
      <c r="L5515" s="13">
        <v>1.64</v>
      </c>
      <c r="M5515" s="13"/>
      <c r="N5515" s="17">
        <f t="shared" si="181"/>
        <v>10161.439999999999</v>
      </c>
      <c r="O5515" s="17">
        <f t="shared" si="181"/>
        <v>0</v>
      </c>
      <c r="P5515" s="17">
        <f t="shared" si="182"/>
        <v>10161.439999999999</v>
      </c>
      <c r="Q5515" t="str">
        <f>A5515&amp;"-"&amp;B5515&amp;"-"&amp;D5515</f>
        <v>NOVEMBER-KLB-L2B</v>
      </c>
    </row>
    <row r="5516" spans="1:17" x14ac:dyDescent="0.25">
      <c r="A5516" t="s">
        <v>401</v>
      </c>
      <c r="B5516" s="13" t="s">
        <v>24</v>
      </c>
      <c r="C5516" s="13" t="s">
        <v>226</v>
      </c>
      <c r="D5516" s="14" t="s">
        <v>223</v>
      </c>
      <c r="E5516" s="13" t="s">
        <v>61</v>
      </c>
      <c r="F5516" s="13" t="s">
        <v>1895</v>
      </c>
      <c r="G5516" s="13">
        <v>0.65</v>
      </c>
      <c r="H5516" s="15">
        <v>3400</v>
      </c>
      <c r="I5516" s="16">
        <v>2210</v>
      </c>
      <c r="J5516" s="16">
        <v>1492.4413496612819</v>
      </c>
      <c r="K5516" s="16">
        <v>717.55865033871817</v>
      </c>
      <c r="L5516" s="13">
        <v>1.64</v>
      </c>
      <c r="M5516" s="13"/>
      <c r="N5516" s="17">
        <f t="shared" si="181"/>
        <v>5576</v>
      </c>
      <c r="O5516" s="17">
        <f t="shared" si="181"/>
        <v>0</v>
      </c>
      <c r="P5516" s="17">
        <f t="shared" si="182"/>
        <v>5576</v>
      </c>
      <c r="Q5516" t="str">
        <f>A5516&amp;"-"&amp;B5516&amp;"-"&amp;D5516</f>
        <v>NOVEMBER-KLB-L2B</v>
      </c>
    </row>
    <row r="5517" spans="1:17" x14ac:dyDescent="0.25">
      <c r="A5517" t="s">
        <v>401</v>
      </c>
      <c r="B5517" s="13" t="s">
        <v>24</v>
      </c>
      <c r="C5517" s="13" t="s">
        <v>226</v>
      </c>
      <c r="D5517" s="14" t="s">
        <v>223</v>
      </c>
      <c r="E5517" s="13" t="s">
        <v>61</v>
      </c>
      <c r="F5517" s="13" t="s">
        <v>1889</v>
      </c>
      <c r="G5517" s="13">
        <v>0.65</v>
      </c>
      <c r="H5517" s="15">
        <v>880</v>
      </c>
      <c r="I5517" s="16">
        <v>572</v>
      </c>
      <c r="J5517" s="16">
        <v>376.57551448862165</v>
      </c>
      <c r="K5517" s="16">
        <v>195.42448551137838</v>
      </c>
      <c r="L5517" s="13">
        <v>1.66</v>
      </c>
      <c r="M5517" s="13"/>
      <c r="N5517" s="17">
        <f t="shared" si="181"/>
        <v>1460.8</v>
      </c>
      <c r="O5517" s="17">
        <f t="shared" si="181"/>
        <v>0</v>
      </c>
      <c r="P5517" s="17">
        <f t="shared" si="182"/>
        <v>1460.8</v>
      </c>
      <c r="Q5517" t="str">
        <f>A5517&amp;"-"&amp;B5517&amp;"-"&amp;D5517</f>
        <v>NOVEMBER-KLB-L2B</v>
      </c>
    </row>
    <row r="5518" spans="1:17" x14ac:dyDescent="0.25">
      <c r="A5518" t="s">
        <v>401</v>
      </c>
      <c r="B5518" s="13" t="s">
        <v>24</v>
      </c>
      <c r="C5518" s="13" t="s">
        <v>226</v>
      </c>
      <c r="D5518" s="14" t="s">
        <v>223</v>
      </c>
      <c r="E5518" s="13" t="s">
        <v>61</v>
      </c>
      <c r="F5518" s="13" t="s">
        <v>1896</v>
      </c>
      <c r="G5518" s="13">
        <v>0.65</v>
      </c>
      <c r="H5518" s="15">
        <v>4254</v>
      </c>
      <c r="I5518" s="16">
        <v>2765.1</v>
      </c>
      <c r="J5518" s="16">
        <v>1797.8296983297903</v>
      </c>
      <c r="K5518" s="16">
        <v>967.27030167020962</v>
      </c>
      <c r="L5518" s="13">
        <v>1.64</v>
      </c>
      <c r="M5518" s="13"/>
      <c r="N5518" s="17">
        <f t="shared" si="181"/>
        <v>6976.5599999999995</v>
      </c>
      <c r="O5518" s="17">
        <f t="shared" si="181"/>
        <v>0</v>
      </c>
      <c r="P5518" s="17">
        <f t="shared" si="182"/>
        <v>6976.5599999999995</v>
      </c>
      <c r="Q5518" t="str">
        <f>A5518&amp;"-"&amp;B5518&amp;"-"&amp;D5518</f>
        <v>NOVEMBER-KLB-L2B</v>
      </c>
    </row>
    <row r="5519" spans="1:17" x14ac:dyDescent="0.25">
      <c r="A5519" t="s">
        <v>401</v>
      </c>
      <c r="B5519" s="13" t="s">
        <v>24</v>
      </c>
      <c r="C5519" s="13" t="s">
        <v>226</v>
      </c>
      <c r="D5519" s="14" t="s">
        <v>223</v>
      </c>
      <c r="E5519" s="13" t="s">
        <v>61</v>
      </c>
      <c r="F5519" s="13" t="s">
        <v>1897</v>
      </c>
      <c r="G5519" s="13">
        <v>0.65</v>
      </c>
      <c r="H5519" s="15">
        <v>2930</v>
      </c>
      <c r="I5519" s="16">
        <v>1904.5</v>
      </c>
      <c r="J5519" s="16">
        <v>1300.9606096720859</v>
      </c>
      <c r="K5519" s="16">
        <v>603.53939032791413</v>
      </c>
      <c r="L5519" s="13">
        <v>1.64</v>
      </c>
      <c r="M5519" s="13"/>
      <c r="N5519" s="17">
        <f t="shared" si="181"/>
        <v>4805.2</v>
      </c>
      <c r="O5519" s="17">
        <f t="shared" si="181"/>
        <v>0</v>
      </c>
      <c r="P5519" s="17">
        <f t="shared" si="182"/>
        <v>4805.2</v>
      </c>
      <c r="Q5519" t="str">
        <f>A5519&amp;"-"&amp;B5519&amp;"-"&amp;D5519</f>
        <v>NOVEMBER-KLB-L2B</v>
      </c>
    </row>
    <row r="5520" spans="1:17" x14ac:dyDescent="0.25">
      <c r="A5520" t="s">
        <v>401</v>
      </c>
      <c r="B5520" s="13" t="s">
        <v>24</v>
      </c>
      <c r="C5520" s="13" t="s">
        <v>226</v>
      </c>
      <c r="D5520" s="14" t="s">
        <v>224</v>
      </c>
      <c r="E5520" s="13" t="s">
        <v>61</v>
      </c>
      <c r="F5520" s="13" t="s">
        <v>1882</v>
      </c>
      <c r="G5520" s="13">
        <v>0.68</v>
      </c>
      <c r="H5520" s="15">
        <v>635</v>
      </c>
      <c r="I5520" s="16">
        <v>431.8</v>
      </c>
      <c r="J5520" s="16">
        <v>273.01773040285804</v>
      </c>
      <c r="K5520" s="16">
        <v>158.78226959714195</v>
      </c>
      <c r="L5520" s="13">
        <v>1.69</v>
      </c>
      <c r="M5520" s="13"/>
      <c r="N5520" s="17">
        <f t="shared" si="181"/>
        <v>1073.1499999999999</v>
      </c>
      <c r="O5520" s="17">
        <f t="shared" si="181"/>
        <v>0</v>
      </c>
      <c r="P5520" s="17">
        <f t="shared" si="182"/>
        <v>1073.1499999999999</v>
      </c>
      <c r="Q5520" t="str">
        <f>A5520&amp;"-"&amp;B5520&amp;"-"&amp;D5520</f>
        <v>NOVEMBER-KLB-L3A</v>
      </c>
    </row>
    <row r="5521" spans="1:17" x14ac:dyDescent="0.25">
      <c r="A5521" t="s">
        <v>401</v>
      </c>
      <c r="B5521" s="13" t="s">
        <v>24</v>
      </c>
      <c r="C5521" s="13" t="s">
        <v>226</v>
      </c>
      <c r="D5521" s="14" t="s">
        <v>224</v>
      </c>
      <c r="E5521" s="13" t="s">
        <v>61</v>
      </c>
      <c r="F5521" s="13" t="s">
        <v>1883</v>
      </c>
      <c r="G5521" s="13">
        <v>0.65</v>
      </c>
      <c r="H5521" s="15">
        <v>370</v>
      </c>
      <c r="I5521" s="16">
        <v>240.5</v>
      </c>
      <c r="J5521" s="16">
        <v>158.46650124069481</v>
      </c>
      <c r="K5521" s="16">
        <v>82.033498759305189</v>
      </c>
      <c r="L5521" s="13">
        <v>1.81</v>
      </c>
      <c r="M5521" s="13"/>
      <c r="N5521" s="17">
        <f t="shared" si="181"/>
        <v>669.7</v>
      </c>
      <c r="O5521" s="17">
        <f t="shared" si="181"/>
        <v>0</v>
      </c>
      <c r="P5521" s="17">
        <f t="shared" si="182"/>
        <v>669.7</v>
      </c>
      <c r="Q5521" t="str">
        <f>A5521&amp;"-"&amp;B5521&amp;"-"&amp;D5521</f>
        <v>NOVEMBER-KLB-L3A</v>
      </c>
    </row>
    <row r="5522" spans="1:17" x14ac:dyDescent="0.25">
      <c r="A5522" t="s">
        <v>401</v>
      </c>
      <c r="B5522" s="13" t="s">
        <v>24</v>
      </c>
      <c r="C5522" s="13" t="s">
        <v>226</v>
      </c>
      <c r="D5522" s="14" t="s">
        <v>224</v>
      </c>
      <c r="E5522" s="13" t="s">
        <v>61</v>
      </c>
      <c r="F5522" s="13" t="s">
        <v>1727</v>
      </c>
      <c r="G5522" s="13">
        <v>0.68</v>
      </c>
      <c r="H5522" s="15">
        <v>2310</v>
      </c>
      <c r="I5522" s="16">
        <v>1570.8000000000002</v>
      </c>
      <c r="J5522" s="16">
        <v>945.74102867257045</v>
      </c>
      <c r="K5522" s="16">
        <v>625.05897132742973</v>
      </c>
      <c r="L5522" s="13">
        <v>1.69</v>
      </c>
      <c r="M5522" s="13"/>
      <c r="N5522" s="17">
        <f t="shared" si="181"/>
        <v>3903.9</v>
      </c>
      <c r="O5522" s="17">
        <f t="shared" si="181"/>
        <v>0</v>
      </c>
      <c r="P5522" s="17">
        <f t="shared" si="182"/>
        <v>3903.9</v>
      </c>
      <c r="Q5522" t="str">
        <f>A5522&amp;"-"&amp;B5522&amp;"-"&amp;D5522</f>
        <v>NOVEMBER-KLB-L3A</v>
      </c>
    </row>
    <row r="5523" spans="1:17" x14ac:dyDescent="0.25">
      <c r="A5523" t="s">
        <v>401</v>
      </c>
      <c r="B5523" s="13" t="s">
        <v>24</v>
      </c>
      <c r="C5523" s="13" t="s">
        <v>226</v>
      </c>
      <c r="D5523" s="14" t="s">
        <v>224</v>
      </c>
      <c r="E5523" s="13" t="s">
        <v>61</v>
      </c>
      <c r="F5523" s="13" t="s">
        <v>1728</v>
      </c>
      <c r="G5523" s="13">
        <v>0.65</v>
      </c>
      <c r="H5523" s="15">
        <v>160</v>
      </c>
      <c r="I5523" s="16">
        <v>104</v>
      </c>
      <c r="J5523" s="16">
        <v>64.075006909894967</v>
      </c>
      <c r="K5523" s="16">
        <v>39.924993090105033</v>
      </c>
      <c r="L5523" s="13">
        <v>1.81</v>
      </c>
      <c r="M5523" s="13"/>
      <c r="N5523" s="17">
        <f t="shared" si="181"/>
        <v>289.60000000000002</v>
      </c>
      <c r="O5523" s="17">
        <f t="shared" si="181"/>
        <v>0</v>
      </c>
      <c r="P5523" s="17">
        <f t="shared" si="182"/>
        <v>289.60000000000002</v>
      </c>
      <c r="Q5523" t="str">
        <f>A5523&amp;"-"&amp;B5523&amp;"-"&amp;D5523</f>
        <v>NOVEMBER-KLB-L3A</v>
      </c>
    </row>
    <row r="5524" spans="1:17" x14ac:dyDescent="0.25">
      <c r="A5524" t="s">
        <v>401</v>
      </c>
      <c r="B5524" s="13" t="s">
        <v>24</v>
      </c>
      <c r="C5524" s="13" t="s">
        <v>226</v>
      </c>
      <c r="D5524" s="14" t="s">
        <v>224</v>
      </c>
      <c r="E5524" s="13" t="s">
        <v>61</v>
      </c>
      <c r="F5524" s="13" t="s">
        <v>1891</v>
      </c>
      <c r="G5524" s="13">
        <v>0.68</v>
      </c>
      <c r="H5524" s="15">
        <v>4260</v>
      </c>
      <c r="I5524" s="16">
        <v>2896.7999999999997</v>
      </c>
      <c r="J5524" s="16">
        <v>923.30418448618047</v>
      </c>
      <c r="K5524" s="16">
        <v>1973.4958155138195</v>
      </c>
      <c r="L5524" s="13">
        <v>1.61</v>
      </c>
      <c r="M5524" s="13"/>
      <c r="N5524" s="17">
        <f t="shared" si="181"/>
        <v>6858.6</v>
      </c>
      <c r="O5524" s="17">
        <f t="shared" si="181"/>
        <v>0</v>
      </c>
      <c r="P5524" s="17">
        <f t="shared" si="182"/>
        <v>6858.6</v>
      </c>
      <c r="Q5524" t="str">
        <f>A5524&amp;"-"&amp;B5524&amp;"-"&amp;D5524</f>
        <v>NOVEMBER-KLB-L3A</v>
      </c>
    </row>
    <row r="5525" spans="1:17" x14ac:dyDescent="0.25">
      <c r="A5525" t="s">
        <v>401</v>
      </c>
      <c r="B5525" s="13" t="s">
        <v>24</v>
      </c>
      <c r="C5525" s="13" t="s">
        <v>226</v>
      </c>
      <c r="D5525" s="14" t="s">
        <v>224</v>
      </c>
      <c r="E5525" s="13" t="s">
        <v>61</v>
      </c>
      <c r="F5525" s="13" t="s">
        <v>1892</v>
      </c>
      <c r="G5525" s="13">
        <v>0.68</v>
      </c>
      <c r="H5525" s="15">
        <v>45</v>
      </c>
      <c r="I5525" s="16">
        <v>30.6</v>
      </c>
      <c r="J5525" s="16">
        <v>9.3917775090689251</v>
      </c>
      <c r="K5525" s="16">
        <v>21.208222490931078</v>
      </c>
      <c r="L5525" s="13">
        <v>1.72</v>
      </c>
      <c r="M5525" s="13"/>
      <c r="N5525" s="17">
        <f t="shared" si="181"/>
        <v>77.400000000000006</v>
      </c>
      <c r="O5525" s="17">
        <f t="shared" si="181"/>
        <v>0</v>
      </c>
      <c r="P5525" s="17">
        <f t="shared" si="182"/>
        <v>77.400000000000006</v>
      </c>
      <c r="Q5525" t="str">
        <f>A5525&amp;"-"&amp;B5525&amp;"-"&amp;D5525</f>
        <v>NOVEMBER-KLB-L3A</v>
      </c>
    </row>
    <row r="5526" spans="1:17" x14ac:dyDescent="0.25">
      <c r="A5526" t="s">
        <v>401</v>
      </c>
      <c r="B5526" s="13" t="s">
        <v>24</v>
      </c>
      <c r="C5526" s="13" t="s">
        <v>226</v>
      </c>
      <c r="D5526" s="14" t="s">
        <v>224</v>
      </c>
      <c r="E5526" s="13" t="s">
        <v>61</v>
      </c>
      <c r="F5526" s="13" t="s">
        <v>1884</v>
      </c>
      <c r="G5526" s="13">
        <v>0.68</v>
      </c>
      <c r="H5526" s="15">
        <v>7763</v>
      </c>
      <c r="I5526" s="16">
        <v>5278.84</v>
      </c>
      <c r="J5526" s="16">
        <v>3202.5914683908704</v>
      </c>
      <c r="K5526" s="16">
        <v>2076.2485316091297</v>
      </c>
      <c r="L5526" s="13">
        <v>1.69</v>
      </c>
      <c r="M5526" s="13"/>
      <c r="N5526" s="17">
        <f t="shared" si="181"/>
        <v>13119.47</v>
      </c>
      <c r="O5526" s="17">
        <f t="shared" si="181"/>
        <v>0</v>
      </c>
      <c r="P5526" s="17">
        <f t="shared" si="182"/>
        <v>13119.47</v>
      </c>
      <c r="Q5526" t="str">
        <f>A5526&amp;"-"&amp;B5526&amp;"-"&amp;D5526</f>
        <v>NOVEMBER-KLB-L3A</v>
      </c>
    </row>
    <row r="5527" spans="1:17" x14ac:dyDescent="0.25">
      <c r="A5527" t="s">
        <v>401</v>
      </c>
      <c r="B5527" s="13" t="s">
        <v>24</v>
      </c>
      <c r="C5527" s="13" t="s">
        <v>226</v>
      </c>
      <c r="D5527" s="14" t="s">
        <v>224</v>
      </c>
      <c r="E5527" s="13" t="s">
        <v>61</v>
      </c>
      <c r="F5527" s="13" t="s">
        <v>1885</v>
      </c>
      <c r="G5527" s="13">
        <v>0.68</v>
      </c>
      <c r="H5527" s="15">
        <v>4805</v>
      </c>
      <c r="I5527" s="16">
        <v>3267.4</v>
      </c>
      <c r="J5527" s="16">
        <v>1802.7527114967461</v>
      </c>
      <c r="K5527" s="16">
        <v>1464.6472885032538</v>
      </c>
      <c r="L5527" s="13">
        <v>1.69</v>
      </c>
      <c r="M5527" s="13"/>
      <c r="N5527" s="17">
        <f t="shared" si="181"/>
        <v>8120.45</v>
      </c>
      <c r="O5527" s="17">
        <f t="shared" si="181"/>
        <v>0</v>
      </c>
      <c r="P5527" s="17">
        <f t="shared" si="182"/>
        <v>8120.45</v>
      </c>
      <c r="Q5527" t="str">
        <f>A5527&amp;"-"&amp;B5527&amp;"-"&amp;D5527</f>
        <v>NOVEMBER-KLB-L3A</v>
      </c>
    </row>
    <row r="5528" spans="1:17" x14ac:dyDescent="0.25">
      <c r="A5528" t="s">
        <v>401</v>
      </c>
      <c r="B5528" s="13" t="s">
        <v>24</v>
      </c>
      <c r="C5528" s="13" t="s">
        <v>226</v>
      </c>
      <c r="D5528" s="14" t="s">
        <v>224</v>
      </c>
      <c r="E5528" s="13" t="s">
        <v>61</v>
      </c>
      <c r="F5528" s="13" t="s">
        <v>1886</v>
      </c>
      <c r="G5528" s="13">
        <v>0.68</v>
      </c>
      <c r="H5528" s="15">
        <v>1113</v>
      </c>
      <c r="I5528" s="16">
        <v>756.83999999999992</v>
      </c>
      <c r="J5528" s="16">
        <v>476.91869862923141</v>
      </c>
      <c r="K5528" s="16">
        <v>279.92130137076867</v>
      </c>
      <c r="L5528" s="13">
        <v>1.69</v>
      </c>
      <c r="M5528" s="13"/>
      <c r="N5528" s="17">
        <f t="shared" si="181"/>
        <v>1880.97</v>
      </c>
      <c r="O5528" s="17">
        <f t="shared" si="181"/>
        <v>0</v>
      </c>
      <c r="P5528" s="17">
        <f t="shared" si="182"/>
        <v>1880.97</v>
      </c>
      <c r="Q5528" t="str">
        <f>A5528&amp;"-"&amp;B5528&amp;"-"&amp;D5528</f>
        <v>NOVEMBER-KLB-L3A</v>
      </c>
    </row>
    <row r="5529" spans="1:17" x14ac:dyDescent="0.25">
      <c r="A5529" t="s">
        <v>401</v>
      </c>
      <c r="B5529" s="13" t="s">
        <v>24</v>
      </c>
      <c r="C5529" s="13" t="s">
        <v>226</v>
      </c>
      <c r="D5529" s="14" t="s">
        <v>224</v>
      </c>
      <c r="E5529" s="13" t="s">
        <v>61</v>
      </c>
      <c r="F5529" s="13" t="s">
        <v>1898</v>
      </c>
      <c r="G5529" s="13">
        <v>0.68</v>
      </c>
      <c r="H5529" s="15">
        <v>3645</v>
      </c>
      <c r="I5529" s="16">
        <v>2478.6000000000004</v>
      </c>
      <c r="J5529" s="16">
        <v>1564.1236084667241</v>
      </c>
      <c r="K5529" s="16">
        <v>914.476391533276</v>
      </c>
      <c r="L5529" s="13">
        <v>1.61</v>
      </c>
      <c r="M5529" s="13"/>
      <c r="N5529" s="17">
        <f t="shared" si="181"/>
        <v>5868.4500000000007</v>
      </c>
      <c r="O5529" s="17">
        <f t="shared" si="181"/>
        <v>0</v>
      </c>
      <c r="P5529" s="17">
        <f t="shared" si="182"/>
        <v>5868.4500000000007</v>
      </c>
      <c r="Q5529" t="str">
        <f>A5529&amp;"-"&amp;B5529&amp;"-"&amp;D5529</f>
        <v>NOVEMBER-KLB-L3A</v>
      </c>
    </row>
    <row r="5530" spans="1:17" x14ac:dyDescent="0.25">
      <c r="A5530" t="s">
        <v>401</v>
      </c>
      <c r="B5530" s="13" t="s">
        <v>24</v>
      </c>
      <c r="C5530" s="13" t="s">
        <v>226</v>
      </c>
      <c r="D5530" s="14" t="s">
        <v>224</v>
      </c>
      <c r="E5530" s="13" t="s">
        <v>61</v>
      </c>
      <c r="F5530" s="13" t="s">
        <v>1716</v>
      </c>
      <c r="G5530" s="13">
        <v>0.73999999999999988</v>
      </c>
      <c r="H5530" s="15">
        <v>839</v>
      </c>
      <c r="I5530" s="16">
        <v>620.86</v>
      </c>
      <c r="J5530" s="16">
        <v>357.13913242055304</v>
      </c>
      <c r="K5530" s="16">
        <v>263.72086757944697</v>
      </c>
      <c r="L5530" s="13">
        <v>1.36</v>
      </c>
      <c r="M5530" s="13"/>
      <c r="N5530" s="17">
        <f t="shared" si="181"/>
        <v>1141.0400000000002</v>
      </c>
      <c r="O5530" s="17">
        <f t="shared" si="181"/>
        <v>0</v>
      </c>
      <c r="P5530" s="17">
        <f t="shared" si="182"/>
        <v>1141.0400000000002</v>
      </c>
      <c r="Q5530" t="str">
        <f>A5530&amp;"-"&amp;B5530&amp;"-"&amp;D5530</f>
        <v>NOVEMBER-KLB-L3A</v>
      </c>
    </row>
    <row r="5531" spans="1:17" x14ac:dyDescent="0.25">
      <c r="A5531" t="s">
        <v>401</v>
      </c>
      <c r="B5531" s="13" t="s">
        <v>24</v>
      </c>
      <c r="C5531" s="13" t="s">
        <v>226</v>
      </c>
      <c r="D5531" s="14" t="s">
        <v>224</v>
      </c>
      <c r="E5531" s="13" t="s">
        <v>61</v>
      </c>
      <c r="F5531" s="13" t="s">
        <v>1717</v>
      </c>
      <c r="G5531" s="13">
        <v>0.71</v>
      </c>
      <c r="H5531" s="15">
        <v>675</v>
      </c>
      <c r="I5531" s="16">
        <v>479.25</v>
      </c>
      <c r="J5531" s="16">
        <v>278.08766802842155</v>
      </c>
      <c r="K5531" s="16">
        <v>201.16233197157842</v>
      </c>
      <c r="L5531" s="13">
        <v>1.29</v>
      </c>
      <c r="M5531" s="13"/>
      <c r="N5531" s="17">
        <f t="shared" si="181"/>
        <v>870.75</v>
      </c>
      <c r="O5531" s="17">
        <f t="shared" si="181"/>
        <v>0</v>
      </c>
      <c r="P5531" s="17">
        <f t="shared" si="182"/>
        <v>870.75</v>
      </c>
      <c r="Q5531" t="str">
        <f>A5531&amp;"-"&amp;B5531&amp;"-"&amp;D5531</f>
        <v>NOVEMBER-KLB-L3A</v>
      </c>
    </row>
    <row r="5532" spans="1:17" x14ac:dyDescent="0.25">
      <c r="A5532" t="s">
        <v>401</v>
      </c>
      <c r="B5532" s="13" t="s">
        <v>24</v>
      </c>
      <c r="C5532" s="13" t="s">
        <v>226</v>
      </c>
      <c r="D5532" s="14" t="s">
        <v>224</v>
      </c>
      <c r="E5532" s="13" t="s">
        <v>61</v>
      </c>
      <c r="F5532" s="13" t="s">
        <v>1729</v>
      </c>
      <c r="G5532" s="13">
        <v>0.68</v>
      </c>
      <c r="H5532" s="15">
        <v>755</v>
      </c>
      <c r="I5532" s="16">
        <v>513.4</v>
      </c>
      <c r="J5532" s="16">
        <v>327.09637488561924</v>
      </c>
      <c r="K5532" s="16">
        <v>186.30362511438079</v>
      </c>
      <c r="L5532" s="13">
        <v>1.7</v>
      </c>
      <c r="M5532" s="13"/>
      <c r="N5532" s="17">
        <f t="shared" si="181"/>
        <v>1283.5</v>
      </c>
      <c r="O5532" s="17">
        <f t="shared" si="181"/>
        <v>0</v>
      </c>
      <c r="P5532" s="17">
        <f t="shared" si="182"/>
        <v>1283.5</v>
      </c>
      <c r="Q5532" t="str">
        <f>A5532&amp;"-"&amp;B5532&amp;"-"&amp;D5532</f>
        <v>NOVEMBER-KLB-L3A</v>
      </c>
    </row>
    <row r="5533" spans="1:17" x14ac:dyDescent="0.25">
      <c r="A5533" t="s">
        <v>401</v>
      </c>
      <c r="B5533" s="13" t="s">
        <v>24</v>
      </c>
      <c r="C5533" s="13" t="s">
        <v>226</v>
      </c>
      <c r="D5533" s="14" t="s">
        <v>224</v>
      </c>
      <c r="E5533" s="13" t="s">
        <v>61</v>
      </c>
      <c r="F5533" s="13" t="s">
        <v>1894</v>
      </c>
      <c r="G5533" s="13">
        <v>0.65</v>
      </c>
      <c r="H5533" s="15">
        <v>3975</v>
      </c>
      <c r="I5533" s="16">
        <v>2583.75</v>
      </c>
      <c r="J5533" s="16">
        <v>1706.3085317460318</v>
      </c>
      <c r="K5533" s="16">
        <v>877.44146825396831</v>
      </c>
      <c r="L5533" s="13">
        <v>1.64</v>
      </c>
      <c r="M5533" s="13"/>
      <c r="N5533" s="17">
        <f t="shared" si="181"/>
        <v>6519</v>
      </c>
      <c r="O5533" s="17">
        <f t="shared" si="181"/>
        <v>0</v>
      </c>
      <c r="P5533" s="17">
        <f t="shared" si="182"/>
        <v>6519</v>
      </c>
      <c r="Q5533" t="str">
        <f>A5533&amp;"-"&amp;B5533&amp;"-"&amp;D5533</f>
        <v>NOVEMBER-KLB-L3A</v>
      </c>
    </row>
    <row r="5534" spans="1:17" x14ac:dyDescent="0.25">
      <c r="A5534" t="s">
        <v>401</v>
      </c>
      <c r="B5534" s="13" t="s">
        <v>24</v>
      </c>
      <c r="C5534" s="13" t="s">
        <v>226</v>
      </c>
      <c r="D5534" s="14" t="s">
        <v>224</v>
      </c>
      <c r="E5534" s="13" t="s">
        <v>61</v>
      </c>
      <c r="F5534" s="13" t="s">
        <v>1895</v>
      </c>
      <c r="G5534" s="13">
        <v>0.65</v>
      </c>
      <c r="H5534" s="15">
        <v>4745</v>
      </c>
      <c r="I5534" s="16">
        <v>3084.25</v>
      </c>
      <c r="J5534" s="16">
        <v>1787.271207538794</v>
      </c>
      <c r="K5534" s="16">
        <v>1296.978792461206</v>
      </c>
      <c r="L5534" s="13">
        <v>1.64</v>
      </c>
      <c r="M5534" s="13"/>
      <c r="N5534" s="17">
        <f t="shared" si="181"/>
        <v>7781.7999999999993</v>
      </c>
      <c r="O5534" s="17">
        <f t="shared" si="181"/>
        <v>0</v>
      </c>
      <c r="P5534" s="17">
        <f t="shared" si="182"/>
        <v>7781.7999999999993</v>
      </c>
      <c r="Q5534" t="str">
        <f>A5534&amp;"-"&amp;B5534&amp;"-"&amp;D5534</f>
        <v>NOVEMBER-KLB-L3A</v>
      </c>
    </row>
    <row r="5535" spans="1:17" x14ac:dyDescent="0.25">
      <c r="A5535" t="s">
        <v>401</v>
      </c>
      <c r="B5535" s="13" t="s">
        <v>24</v>
      </c>
      <c r="C5535" s="13" t="s">
        <v>226</v>
      </c>
      <c r="D5535" s="14" t="s">
        <v>224</v>
      </c>
      <c r="E5535" s="13" t="s">
        <v>61</v>
      </c>
      <c r="F5535" s="13" t="s">
        <v>1889</v>
      </c>
      <c r="G5535" s="13">
        <v>0.65</v>
      </c>
      <c r="H5535" s="15">
        <v>6510</v>
      </c>
      <c r="I5535" s="16">
        <v>4231.5</v>
      </c>
      <c r="J5535" s="16">
        <v>2397.9848528942839</v>
      </c>
      <c r="K5535" s="16">
        <v>1833.5151471057161</v>
      </c>
      <c r="L5535" s="13">
        <v>1.66</v>
      </c>
      <c r="M5535" s="13"/>
      <c r="N5535" s="17">
        <f t="shared" ref="N5535:O5596" si="183">$H5535*L5535</f>
        <v>10806.6</v>
      </c>
      <c r="O5535" s="17">
        <f t="shared" si="183"/>
        <v>0</v>
      </c>
      <c r="P5535" s="17">
        <f t="shared" si="182"/>
        <v>10806.6</v>
      </c>
      <c r="Q5535" t="str">
        <f>A5535&amp;"-"&amp;B5535&amp;"-"&amp;D5535</f>
        <v>NOVEMBER-KLB-L3A</v>
      </c>
    </row>
    <row r="5536" spans="1:17" x14ac:dyDescent="0.25">
      <c r="A5536" t="s">
        <v>401</v>
      </c>
      <c r="B5536" s="13" t="s">
        <v>24</v>
      </c>
      <c r="C5536" s="13" t="s">
        <v>226</v>
      </c>
      <c r="D5536" s="14" t="s">
        <v>224</v>
      </c>
      <c r="E5536" s="13" t="s">
        <v>61</v>
      </c>
      <c r="F5536" s="13" t="s">
        <v>1896</v>
      </c>
      <c r="G5536" s="13">
        <v>0.65</v>
      </c>
      <c r="H5536" s="15">
        <v>4315</v>
      </c>
      <c r="I5536" s="16">
        <v>2804.75</v>
      </c>
      <c r="J5536" s="16">
        <v>1795.7382882112811</v>
      </c>
      <c r="K5536" s="16">
        <v>1009.0117117887189</v>
      </c>
      <c r="L5536" s="13">
        <v>1.64</v>
      </c>
      <c r="M5536" s="13"/>
      <c r="N5536" s="17">
        <f t="shared" si="183"/>
        <v>7076.5999999999995</v>
      </c>
      <c r="O5536" s="17">
        <f t="shared" si="183"/>
        <v>0</v>
      </c>
      <c r="P5536" s="17">
        <f t="shared" si="182"/>
        <v>7076.5999999999995</v>
      </c>
      <c r="Q5536" t="str">
        <f>A5536&amp;"-"&amp;B5536&amp;"-"&amp;D5536</f>
        <v>NOVEMBER-KLB-L3A</v>
      </c>
    </row>
    <row r="5537" spans="1:17" x14ac:dyDescent="0.25">
      <c r="A5537" t="s">
        <v>401</v>
      </c>
      <c r="B5537" s="13" t="s">
        <v>24</v>
      </c>
      <c r="C5537" s="13" t="s">
        <v>226</v>
      </c>
      <c r="D5537" s="14" t="s">
        <v>224</v>
      </c>
      <c r="E5537" s="13" t="s">
        <v>61</v>
      </c>
      <c r="F5537" s="13" t="s">
        <v>1897</v>
      </c>
      <c r="G5537" s="13">
        <v>0.65</v>
      </c>
      <c r="H5537" s="15">
        <v>2290</v>
      </c>
      <c r="I5537" s="16">
        <v>1488.5</v>
      </c>
      <c r="J5537" s="16">
        <v>915.99122807017545</v>
      </c>
      <c r="K5537" s="16">
        <v>572.50877192982455</v>
      </c>
      <c r="L5537" s="13">
        <v>1.64</v>
      </c>
      <c r="M5537" s="13"/>
      <c r="N5537" s="17">
        <f t="shared" si="183"/>
        <v>3755.6</v>
      </c>
      <c r="O5537" s="17">
        <f t="shared" si="183"/>
        <v>0</v>
      </c>
      <c r="P5537" s="17">
        <f t="shared" si="182"/>
        <v>3755.6</v>
      </c>
      <c r="Q5537" t="str">
        <f>A5537&amp;"-"&amp;B5537&amp;"-"&amp;D5537</f>
        <v>NOVEMBER-KLB-L3A</v>
      </c>
    </row>
    <row r="5538" spans="1:17" x14ac:dyDescent="0.25">
      <c r="A5538" t="s">
        <v>401</v>
      </c>
      <c r="B5538" s="13" t="s">
        <v>24</v>
      </c>
      <c r="C5538" s="13" t="s">
        <v>226</v>
      </c>
      <c r="D5538" s="14" t="s">
        <v>225</v>
      </c>
      <c r="E5538" s="13" t="s">
        <v>61</v>
      </c>
      <c r="F5538" s="13" t="s">
        <v>1882</v>
      </c>
      <c r="G5538" s="13">
        <v>0.68</v>
      </c>
      <c r="H5538" s="15">
        <v>1884</v>
      </c>
      <c r="I5538" s="16">
        <v>1281.1199999999999</v>
      </c>
      <c r="J5538" s="16">
        <v>739.81872099670466</v>
      </c>
      <c r="K5538" s="16">
        <v>541.30127900329535</v>
      </c>
      <c r="L5538" s="13">
        <v>1.69</v>
      </c>
      <c r="M5538" s="13"/>
      <c r="N5538" s="17">
        <f t="shared" si="183"/>
        <v>3183.96</v>
      </c>
      <c r="O5538" s="17">
        <f t="shared" si="183"/>
        <v>0</v>
      </c>
      <c r="P5538" s="17">
        <f t="shared" si="182"/>
        <v>3183.96</v>
      </c>
      <c r="Q5538" t="str">
        <f>A5538&amp;"-"&amp;B5538&amp;"-"&amp;D5538</f>
        <v>NOVEMBER-KLB-L3B</v>
      </c>
    </row>
    <row r="5539" spans="1:17" x14ac:dyDescent="0.25">
      <c r="A5539" t="s">
        <v>401</v>
      </c>
      <c r="B5539" s="13" t="s">
        <v>24</v>
      </c>
      <c r="C5539" s="13" t="s">
        <v>226</v>
      </c>
      <c r="D5539" s="14" t="s">
        <v>225</v>
      </c>
      <c r="E5539" s="13" t="s">
        <v>61</v>
      </c>
      <c r="F5539" s="13" t="s">
        <v>1883</v>
      </c>
      <c r="G5539" s="13">
        <v>0.65</v>
      </c>
      <c r="H5539" s="15">
        <v>11</v>
      </c>
      <c r="I5539" s="16">
        <v>7.15</v>
      </c>
      <c r="J5539" s="16">
        <v>4.2249937387446481</v>
      </c>
      <c r="K5539" s="16">
        <v>2.9250062612553518</v>
      </c>
      <c r="L5539" s="13">
        <v>1.81</v>
      </c>
      <c r="M5539" s="13"/>
      <c r="N5539" s="17">
        <f t="shared" si="183"/>
        <v>19.91</v>
      </c>
      <c r="O5539" s="17">
        <f t="shared" si="183"/>
        <v>0</v>
      </c>
      <c r="P5539" s="17">
        <f t="shared" si="182"/>
        <v>19.91</v>
      </c>
      <c r="Q5539" t="str">
        <f>A5539&amp;"-"&amp;B5539&amp;"-"&amp;D5539</f>
        <v>NOVEMBER-KLB-L3B</v>
      </c>
    </row>
    <row r="5540" spans="1:17" x14ac:dyDescent="0.25">
      <c r="A5540" t="s">
        <v>401</v>
      </c>
      <c r="B5540" s="13" t="s">
        <v>24</v>
      </c>
      <c r="C5540" s="13" t="s">
        <v>226</v>
      </c>
      <c r="D5540" s="14" t="s">
        <v>225</v>
      </c>
      <c r="E5540" s="13" t="s">
        <v>61</v>
      </c>
      <c r="F5540" s="13" t="s">
        <v>1727</v>
      </c>
      <c r="G5540" s="13">
        <v>0.68</v>
      </c>
      <c r="H5540" s="15">
        <v>1919</v>
      </c>
      <c r="I5540" s="16">
        <v>1304.92</v>
      </c>
      <c r="J5540" s="16">
        <v>741.57731757877855</v>
      </c>
      <c r="K5540" s="16">
        <v>563.34268242122141</v>
      </c>
      <c r="L5540" s="13">
        <v>1.69</v>
      </c>
      <c r="M5540" s="13"/>
      <c r="N5540" s="17">
        <f t="shared" si="183"/>
        <v>3243.1099999999997</v>
      </c>
      <c r="O5540" s="17">
        <f t="shared" si="183"/>
        <v>0</v>
      </c>
      <c r="P5540" s="17">
        <f t="shared" si="182"/>
        <v>3243.1099999999997</v>
      </c>
      <c r="Q5540" t="str">
        <f>A5540&amp;"-"&amp;B5540&amp;"-"&amp;D5540</f>
        <v>NOVEMBER-KLB-L3B</v>
      </c>
    </row>
    <row r="5541" spans="1:17" x14ac:dyDescent="0.25">
      <c r="A5541" t="s">
        <v>401</v>
      </c>
      <c r="B5541" s="13" t="s">
        <v>24</v>
      </c>
      <c r="C5541" s="13" t="s">
        <v>226</v>
      </c>
      <c r="D5541" s="14" t="s">
        <v>225</v>
      </c>
      <c r="E5541" s="13" t="s">
        <v>61</v>
      </c>
      <c r="F5541" s="13" t="s">
        <v>1728</v>
      </c>
      <c r="G5541" s="13">
        <v>0.65</v>
      </c>
      <c r="H5541" s="15">
        <v>200</v>
      </c>
      <c r="I5541" s="16">
        <v>130</v>
      </c>
      <c r="J5541" s="16">
        <v>77.225950782997771</v>
      </c>
      <c r="K5541" s="16">
        <v>52.774049217002229</v>
      </c>
      <c r="L5541" s="13">
        <v>1.81</v>
      </c>
      <c r="M5541" s="13"/>
      <c r="N5541" s="17">
        <f t="shared" si="183"/>
        <v>362</v>
      </c>
      <c r="O5541" s="17">
        <f t="shared" si="183"/>
        <v>0</v>
      </c>
      <c r="P5541" s="17">
        <f t="shared" si="182"/>
        <v>362</v>
      </c>
      <c r="Q5541" t="str">
        <f>A5541&amp;"-"&amp;B5541&amp;"-"&amp;D5541</f>
        <v>NOVEMBER-KLB-L3B</v>
      </c>
    </row>
    <row r="5542" spans="1:17" x14ac:dyDescent="0.25">
      <c r="A5542" t="s">
        <v>401</v>
      </c>
      <c r="B5542" s="13" t="s">
        <v>24</v>
      </c>
      <c r="C5542" s="13" t="s">
        <v>226</v>
      </c>
      <c r="D5542" s="14" t="s">
        <v>225</v>
      </c>
      <c r="E5542" s="13" t="s">
        <v>61</v>
      </c>
      <c r="F5542" s="13" t="s">
        <v>1891</v>
      </c>
      <c r="G5542" s="13">
        <v>0.68</v>
      </c>
      <c r="H5542" s="15">
        <v>269</v>
      </c>
      <c r="I5542" s="16">
        <v>182.92</v>
      </c>
      <c r="J5542" s="16">
        <v>70.527192249470176</v>
      </c>
      <c r="K5542" s="16">
        <v>112.39280775052983</v>
      </c>
      <c r="L5542" s="13">
        <v>1.61</v>
      </c>
      <c r="M5542" s="13"/>
      <c r="N5542" s="17">
        <f t="shared" si="183"/>
        <v>433.09000000000003</v>
      </c>
      <c r="O5542" s="17">
        <f t="shared" si="183"/>
        <v>0</v>
      </c>
      <c r="P5542" s="17">
        <f t="shared" si="182"/>
        <v>433.09000000000003</v>
      </c>
      <c r="Q5542" t="str">
        <f>A5542&amp;"-"&amp;B5542&amp;"-"&amp;D5542</f>
        <v>NOVEMBER-KLB-L3B</v>
      </c>
    </row>
    <row r="5543" spans="1:17" x14ac:dyDescent="0.25">
      <c r="A5543" t="s">
        <v>401</v>
      </c>
      <c r="B5543" s="13" t="s">
        <v>24</v>
      </c>
      <c r="C5543" s="13" t="s">
        <v>226</v>
      </c>
      <c r="D5543" s="14" t="s">
        <v>225</v>
      </c>
      <c r="E5543" s="13" t="s">
        <v>61</v>
      </c>
      <c r="F5543" s="13" t="s">
        <v>1892</v>
      </c>
      <c r="G5543" s="13">
        <v>0.68</v>
      </c>
      <c r="H5543" s="15">
        <v>315</v>
      </c>
      <c r="I5543" s="16">
        <v>214.2</v>
      </c>
      <c r="J5543" s="16">
        <v>77.782349379352098</v>
      </c>
      <c r="K5543" s="16">
        <v>136.41765062064786</v>
      </c>
      <c r="L5543" s="13">
        <v>1.72</v>
      </c>
      <c r="M5543" s="13"/>
      <c r="N5543" s="17">
        <f t="shared" si="183"/>
        <v>541.79999999999995</v>
      </c>
      <c r="O5543" s="17">
        <f t="shared" si="183"/>
        <v>0</v>
      </c>
      <c r="P5543" s="17">
        <f t="shared" si="182"/>
        <v>541.79999999999995</v>
      </c>
      <c r="Q5543" t="str">
        <f>A5543&amp;"-"&amp;B5543&amp;"-"&amp;D5543</f>
        <v>NOVEMBER-KLB-L3B</v>
      </c>
    </row>
    <row r="5544" spans="1:17" x14ac:dyDescent="0.25">
      <c r="A5544" t="s">
        <v>401</v>
      </c>
      <c r="B5544" s="13" t="s">
        <v>24</v>
      </c>
      <c r="C5544" s="13" t="s">
        <v>226</v>
      </c>
      <c r="D5544" s="14" t="s">
        <v>225</v>
      </c>
      <c r="E5544" s="13" t="s">
        <v>61</v>
      </c>
      <c r="F5544" s="13" t="s">
        <v>1884</v>
      </c>
      <c r="G5544" s="13">
        <v>0.67999999999999994</v>
      </c>
      <c r="H5544" s="15">
        <v>12067</v>
      </c>
      <c r="I5544" s="16">
        <v>8205.5600000000013</v>
      </c>
      <c r="J5544" s="16">
        <v>4252.3777212220575</v>
      </c>
      <c r="K5544" s="16">
        <v>3953.1822787779424</v>
      </c>
      <c r="L5544" s="13">
        <v>1.69</v>
      </c>
      <c r="M5544" s="13"/>
      <c r="N5544" s="17">
        <f t="shared" si="183"/>
        <v>20393.23</v>
      </c>
      <c r="O5544" s="17">
        <f t="shared" si="183"/>
        <v>0</v>
      </c>
      <c r="P5544" s="17">
        <f t="shared" si="182"/>
        <v>20393.23</v>
      </c>
      <c r="Q5544" t="str">
        <f>A5544&amp;"-"&amp;B5544&amp;"-"&amp;D5544</f>
        <v>NOVEMBER-KLB-L3B</v>
      </c>
    </row>
    <row r="5545" spans="1:17" x14ac:dyDescent="0.25">
      <c r="A5545" t="s">
        <v>401</v>
      </c>
      <c r="B5545" s="13" t="s">
        <v>24</v>
      </c>
      <c r="C5545" s="13" t="s">
        <v>226</v>
      </c>
      <c r="D5545" s="14" t="s">
        <v>225</v>
      </c>
      <c r="E5545" s="13" t="s">
        <v>61</v>
      </c>
      <c r="F5545" s="13" t="s">
        <v>1885</v>
      </c>
      <c r="G5545" s="13">
        <v>0.68</v>
      </c>
      <c r="H5545" s="15">
        <v>6455</v>
      </c>
      <c r="I5545" s="16">
        <v>4389.3999999999996</v>
      </c>
      <c r="J5545" s="16">
        <v>2589</v>
      </c>
      <c r="K5545" s="16">
        <v>1800.4</v>
      </c>
      <c r="L5545" s="13">
        <v>1.69</v>
      </c>
      <c r="M5545" s="13"/>
      <c r="N5545" s="17">
        <f t="shared" si="183"/>
        <v>10908.949999999999</v>
      </c>
      <c r="O5545" s="17">
        <f t="shared" si="183"/>
        <v>0</v>
      </c>
      <c r="P5545" s="17">
        <f t="shared" si="182"/>
        <v>10908.949999999999</v>
      </c>
      <c r="Q5545" t="str">
        <f>A5545&amp;"-"&amp;B5545&amp;"-"&amp;D5545</f>
        <v>NOVEMBER-KLB-L3B</v>
      </c>
    </row>
    <row r="5546" spans="1:17" x14ac:dyDescent="0.25">
      <c r="A5546" t="s">
        <v>401</v>
      </c>
      <c r="B5546" s="13" t="s">
        <v>24</v>
      </c>
      <c r="C5546" s="13" t="s">
        <v>226</v>
      </c>
      <c r="D5546" s="14" t="s">
        <v>225</v>
      </c>
      <c r="E5546" s="13" t="s">
        <v>61</v>
      </c>
      <c r="F5546" s="13" t="s">
        <v>1886</v>
      </c>
      <c r="G5546" s="13">
        <v>0.68</v>
      </c>
      <c r="H5546" s="15">
        <v>1910</v>
      </c>
      <c r="I5546" s="16">
        <v>1298.8000000000002</v>
      </c>
      <c r="J5546" s="16">
        <v>735.09409467536341</v>
      </c>
      <c r="K5546" s="16">
        <v>563.70590532463677</v>
      </c>
      <c r="L5546" s="13">
        <v>1.69</v>
      </c>
      <c r="M5546" s="13"/>
      <c r="N5546" s="17">
        <f t="shared" si="183"/>
        <v>3227.9</v>
      </c>
      <c r="O5546" s="17">
        <f t="shared" si="183"/>
        <v>0</v>
      </c>
      <c r="P5546" s="17">
        <f t="shared" si="182"/>
        <v>3227.9</v>
      </c>
      <c r="Q5546" t="str">
        <f>A5546&amp;"-"&amp;B5546&amp;"-"&amp;D5546</f>
        <v>NOVEMBER-KLB-L3B</v>
      </c>
    </row>
    <row r="5547" spans="1:17" x14ac:dyDescent="0.25">
      <c r="A5547" t="s">
        <v>401</v>
      </c>
      <c r="B5547" s="13" t="s">
        <v>24</v>
      </c>
      <c r="C5547" s="13" t="s">
        <v>226</v>
      </c>
      <c r="D5547" s="14" t="s">
        <v>225</v>
      </c>
      <c r="E5547" s="13" t="s">
        <v>61</v>
      </c>
      <c r="F5547" s="13" t="s">
        <v>1898</v>
      </c>
      <c r="G5547" s="13">
        <v>0.68</v>
      </c>
      <c r="H5547" s="15">
        <v>2182</v>
      </c>
      <c r="I5547" s="16">
        <v>1483.76</v>
      </c>
      <c r="J5547" s="16">
        <v>836.44731239092482</v>
      </c>
      <c r="K5547" s="16">
        <v>647.31268760907517</v>
      </c>
      <c r="L5547" s="13">
        <v>1.61</v>
      </c>
      <c r="M5547" s="13"/>
      <c r="N5547" s="17">
        <f t="shared" si="183"/>
        <v>3513.0200000000004</v>
      </c>
      <c r="O5547" s="17">
        <f t="shared" si="183"/>
        <v>0</v>
      </c>
      <c r="P5547" s="17">
        <f t="shared" si="182"/>
        <v>3513.0200000000004</v>
      </c>
      <c r="Q5547" t="str">
        <f>A5547&amp;"-"&amp;B5547&amp;"-"&amp;D5547</f>
        <v>NOVEMBER-KLB-L3B</v>
      </c>
    </row>
    <row r="5548" spans="1:17" x14ac:dyDescent="0.25">
      <c r="A5548" t="s">
        <v>401</v>
      </c>
      <c r="B5548" s="13" t="s">
        <v>24</v>
      </c>
      <c r="C5548" s="13" t="s">
        <v>226</v>
      </c>
      <c r="D5548" s="14" t="s">
        <v>225</v>
      </c>
      <c r="E5548" s="13" t="s">
        <v>61</v>
      </c>
      <c r="F5548" s="13" t="s">
        <v>1716</v>
      </c>
      <c r="G5548" s="13">
        <v>0.74</v>
      </c>
      <c r="H5548" s="15">
        <v>216</v>
      </c>
      <c r="I5548" s="16">
        <v>159.83999999999997</v>
      </c>
      <c r="J5548" s="16">
        <v>83.591404191672908</v>
      </c>
      <c r="K5548" s="16">
        <v>76.248595808327082</v>
      </c>
      <c r="L5548" s="13">
        <v>1.36</v>
      </c>
      <c r="M5548" s="13"/>
      <c r="N5548" s="17">
        <f t="shared" si="183"/>
        <v>293.76000000000005</v>
      </c>
      <c r="O5548" s="17">
        <f t="shared" si="183"/>
        <v>0</v>
      </c>
      <c r="P5548" s="17">
        <f t="shared" si="182"/>
        <v>293.76000000000005</v>
      </c>
      <c r="Q5548" t="str">
        <f>A5548&amp;"-"&amp;B5548&amp;"-"&amp;D5548</f>
        <v>NOVEMBER-KLB-L3B</v>
      </c>
    </row>
    <row r="5549" spans="1:17" x14ac:dyDescent="0.25">
      <c r="A5549" t="s">
        <v>401</v>
      </c>
      <c r="B5549" s="13" t="s">
        <v>24</v>
      </c>
      <c r="C5549" s="13" t="s">
        <v>226</v>
      </c>
      <c r="D5549" s="14" t="s">
        <v>225</v>
      </c>
      <c r="E5549" s="13" t="s">
        <v>61</v>
      </c>
      <c r="F5549" s="13" t="s">
        <v>1717</v>
      </c>
      <c r="G5549" s="13">
        <v>0.71</v>
      </c>
      <c r="H5549" s="15">
        <v>175</v>
      </c>
      <c r="I5549" s="16">
        <v>124.25</v>
      </c>
      <c r="J5549" s="16">
        <v>67.572706935123051</v>
      </c>
      <c r="K5549" s="16">
        <v>56.677293064876949</v>
      </c>
      <c r="L5549" s="13">
        <v>1.29</v>
      </c>
      <c r="M5549" s="13"/>
      <c r="N5549" s="17">
        <f t="shared" si="183"/>
        <v>225.75</v>
      </c>
      <c r="O5549" s="17">
        <f t="shared" si="183"/>
        <v>0</v>
      </c>
      <c r="P5549" s="17">
        <f t="shared" si="182"/>
        <v>225.75</v>
      </c>
      <c r="Q5549" t="str">
        <f>A5549&amp;"-"&amp;B5549&amp;"-"&amp;D5549</f>
        <v>NOVEMBER-KLB-L3B</v>
      </c>
    </row>
    <row r="5550" spans="1:17" x14ac:dyDescent="0.25">
      <c r="A5550" t="s">
        <v>401</v>
      </c>
      <c r="B5550" s="13" t="s">
        <v>24</v>
      </c>
      <c r="C5550" s="13" t="s">
        <v>226</v>
      </c>
      <c r="D5550" s="14" t="s">
        <v>225</v>
      </c>
      <c r="E5550" s="13" t="s">
        <v>61</v>
      </c>
      <c r="F5550" s="13" t="s">
        <v>1729</v>
      </c>
      <c r="G5550" s="13">
        <v>0.68</v>
      </c>
      <c r="H5550" s="15">
        <v>450</v>
      </c>
      <c r="I5550" s="16">
        <v>306</v>
      </c>
      <c r="J5550" s="16">
        <v>171.85287039169236</v>
      </c>
      <c r="K5550" s="16">
        <v>134.14712960830764</v>
      </c>
      <c r="L5550" s="13">
        <v>1.7</v>
      </c>
      <c r="M5550" s="13"/>
      <c r="N5550" s="17">
        <f t="shared" si="183"/>
        <v>765</v>
      </c>
      <c r="O5550" s="17">
        <f t="shared" si="183"/>
        <v>0</v>
      </c>
      <c r="P5550" s="17">
        <f t="shared" si="182"/>
        <v>765</v>
      </c>
      <c r="Q5550" t="str">
        <f>A5550&amp;"-"&amp;B5550&amp;"-"&amp;D5550</f>
        <v>NOVEMBER-KLB-L3B</v>
      </c>
    </row>
    <row r="5551" spans="1:17" x14ac:dyDescent="0.25">
      <c r="A5551" t="s">
        <v>401</v>
      </c>
      <c r="B5551" s="13" t="s">
        <v>24</v>
      </c>
      <c r="C5551" s="13" t="s">
        <v>226</v>
      </c>
      <c r="D5551" s="14" t="s">
        <v>225</v>
      </c>
      <c r="E5551" s="13" t="s">
        <v>61</v>
      </c>
      <c r="F5551" s="13" t="s">
        <v>1894</v>
      </c>
      <c r="G5551" s="13">
        <v>0.65</v>
      </c>
      <c r="H5551" s="15">
        <v>6185</v>
      </c>
      <c r="I5551" s="16">
        <v>4020.25</v>
      </c>
      <c r="J5551" s="16">
        <v>2424.2046217059328</v>
      </c>
      <c r="K5551" s="16">
        <v>1596.0453782940672</v>
      </c>
      <c r="L5551" s="13">
        <v>1.64</v>
      </c>
      <c r="M5551" s="13"/>
      <c r="N5551" s="17">
        <f t="shared" si="183"/>
        <v>10143.4</v>
      </c>
      <c r="O5551" s="17">
        <f t="shared" si="183"/>
        <v>0</v>
      </c>
      <c r="P5551" s="17">
        <f t="shared" si="182"/>
        <v>10143.4</v>
      </c>
      <c r="Q5551" t="str">
        <f>A5551&amp;"-"&amp;B5551&amp;"-"&amp;D5551</f>
        <v>NOVEMBER-KLB-L3B</v>
      </c>
    </row>
    <row r="5552" spans="1:17" x14ac:dyDescent="0.25">
      <c r="A5552" t="s">
        <v>401</v>
      </c>
      <c r="B5552" s="13" t="s">
        <v>24</v>
      </c>
      <c r="C5552" s="13" t="s">
        <v>226</v>
      </c>
      <c r="D5552" s="14" t="s">
        <v>225</v>
      </c>
      <c r="E5552" s="13" t="s">
        <v>61</v>
      </c>
      <c r="F5552" s="13" t="s">
        <v>1895</v>
      </c>
      <c r="G5552" s="13">
        <v>0.65</v>
      </c>
      <c r="H5552" s="15">
        <v>4875</v>
      </c>
      <c r="I5552" s="16">
        <v>3168.75</v>
      </c>
      <c r="J5552" s="16">
        <v>1922.4967275873651</v>
      </c>
      <c r="K5552" s="16">
        <v>1246.2532724126349</v>
      </c>
      <c r="L5552" s="13">
        <v>1.64</v>
      </c>
      <c r="M5552" s="13"/>
      <c r="N5552" s="17">
        <f t="shared" si="183"/>
        <v>7994.9999999999991</v>
      </c>
      <c r="O5552" s="17">
        <f t="shared" si="183"/>
        <v>0</v>
      </c>
      <c r="P5552" s="17">
        <f t="shared" si="182"/>
        <v>7994.9999999999991</v>
      </c>
      <c r="Q5552" t="str">
        <f>A5552&amp;"-"&amp;B5552&amp;"-"&amp;D5552</f>
        <v>NOVEMBER-KLB-L3B</v>
      </c>
    </row>
    <row r="5553" spans="1:17" x14ac:dyDescent="0.25">
      <c r="A5553" t="s">
        <v>401</v>
      </c>
      <c r="B5553" s="13" t="s">
        <v>24</v>
      </c>
      <c r="C5553" s="13" t="s">
        <v>226</v>
      </c>
      <c r="D5553" s="14" t="s">
        <v>225</v>
      </c>
      <c r="E5553" s="13" t="s">
        <v>61</v>
      </c>
      <c r="F5553" s="13" t="s">
        <v>1889</v>
      </c>
      <c r="G5553" s="13">
        <v>0.65</v>
      </c>
      <c r="H5553" s="15">
        <v>3180</v>
      </c>
      <c r="I5553" s="16">
        <v>2067</v>
      </c>
      <c r="J5553" s="16">
        <v>1157.5456521739129</v>
      </c>
      <c r="K5553" s="16">
        <v>909.45434782608697</v>
      </c>
      <c r="L5553" s="13">
        <v>1.66</v>
      </c>
      <c r="M5553" s="13"/>
      <c r="N5553" s="17">
        <f t="shared" si="183"/>
        <v>5278.8</v>
      </c>
      <c r="O5553" s="17">
        <f t="shared" si="183"/>
        <v>0</v>
      </c>
      <c r="P5553" s="17">
        <f t="shared" si="182"/>
        <v>5278.8</v>
      </c>
      <c r="Q5553" t="str">
        <f>A5553&amp;"-"&amp;B5553&amp;"-"&amp;D5553</f>
        <v>NOVEMBER-KLB-L3B</v>
      </c>
    </row>
    <row r="5554" spans="1:17" x14ac:dyDescent="0.25">
      <c r="A5554" t="s">
        <v>401</v>
      </c>
      <c r="B5554" s="13" t="s">
        <v>24</v>
      </c>
      <c r="C5554" s="13" t="s">
        <v>226</v>
      </c>
      <c r="D5554" s="14" t="s">
        <v>225</v>
      </c>
      <c r="E5554" s="13" t="s">
        <v>61</v>
      </c>
      <c r="F5554" s="13" t="s">
        <v>1896</v>
      </c>
      <c r="G5554" s="13">
        <v>0.65</v>
      </c>
      <c r="H5554" s="15">
        <v>5185</v>
      </c>
      <c r="I5554" s="16">
        <v>3370.25</v>
      </c>
      <c r="J5554" s="16">
        <v>1978.1478631346138</v>
      </c>
      <c r="K5554" s="16">
        <v>1392.1021368653862</v>
      </c>
      <c r="L5554" s="13">
        <v>1.64</v>
      </c>
      <c r="M5554" s="13"/>
      <c r="N5554" s="17">
        <f t="shared" si="183"/>
        <v>8503.4</v>
      </c>
      <c r="O5554" s="17">
        <f t="shared" si="183"/>
        <v>0</v>
      </c>
      <c r="P5554" s="17">
        <f t="shared" si="182"/>
        <v>8503.4</v>
      </c>
      <c r="Q5554" t="str">
        <f>A5554&amp;"-"&amp;B5554&amp;"-"&amp;D5554</f>
        <v>NOVEMBER-KLB-L3B</v>
      </c>
    </row>
    <row r="5555" spans="1:17" x14ac:dyDescent="0.25">
      <c r="A5555" t="s">
        <v>401</v>
      </c>
      <c r="B5555" s="13" t="s">
        <v>24</v>
      </c>
      <c r="C5555" s="13" t="s">
        <v>226</v>
      </c>
      <c r="D5555" s="14" t="s">
        <v>225</v>
      </c>
      <c r="E5555" s="13" t="s">
        <v>61</v>
      </c>
      <c r="F5555" s="13" t="s">
        <v>1897</v>
      </c>
      <c r="G5555" s="13">
        <v>0.65</v>
      </c>
      <c r="H5555" s="15">
        <v>2600</v>
      </c>
      <c r="I5555" s="16">
        <v>1690</v>
      </c>
      <c r="J5555" s="16">
        <v>1056.5125008652935</v>
      </c>
      <c r="K5555" s="16">
        <v>633.48749913470635</v>
      </c>
      <c r="L5555" s="13">
        <v>1.64</v>
      </c>
      <c r="M5555" s="13"/>
      <c r="N5555" s="17">
        <f t="shared" si="183"/>
        <v>4264</v>
      </c>
      <c r="O5555" s="17">
        <f t="shared" si="183"/>
        <v>0</v>
      </c>
      <c r="P5555" s="17">
        <f t="shared" si="182"/>
        <v>4264</v>
      </c>
      <c r="Q5555" t="str">
        <f>A5555&amp;"-"&amp;B5555&amp;"-"&amp;D5555</f>
        <v>NOVEMBER-KLB-L3B</v>
      </c>
    </row>
    <row r="5556" spans="1:17" x14ac:dyDescent="0.25">
      <c r="A5556" t="s">
        <v>401</v>
      </c>
      <c r="B5556" s="13" t="s">
        <v>25</v>
      </c>
      <c r="C5556" s="13" t="s">
        <v>226</v>
      </c>
      <c r="D5556" s="14" t="s">
        <v>44</v>
      </c>
      <c r="E5556" s="13" t="s">
        <v>61</v>
      </c>
      <c r="F5556" s="13" t="s">
        <v>1899</v>
      </c>
      <c r="G5556" s="13">
        <v>1.03</v>
      </c>
      <c r="H5556" s="15">
        <v>4178</v>
      </c>
      <c r="I5556" s="16">
        <v>4303.34</v>
      </c>
      <c r="J5556" s="16">
        <v>2783.5344322817705</v>
      </c>
      <c r="K5556" s="16">
        <v>1519.8055677182299</v>
      </c>
      <c r="L5556" s="13">
        <v>2.31</v>
      </c>
      <c r="M5556" s="13"/>
      <c r="N5556" s="17">
        <f t="shared" si="183"/>
        <v>9651.18</v>
      </c>
      <c r="O5556" s="17">
        <f t="shared" si="183"/>
        <v>0</v>
      </c>
      <c r="P5556" s="17">
        <f t="shared" si="182"/>
        <v>9651.18</v>
      </c>
      <c r="Q5556" t="str">
        <f>A5556&amp;"-"&amp;B5556&amp;"-"&amp;D5556</f>
        <v>NOVEMBER-MJ1-L1</v>
      </c>
    </row>
    <row r="5557" spans="1:17" x14ac:dyDescent="0.25">
      <c r="A5557" t="s">
        <v>401</v>
      </c>
      <c r="B5557" s="13" t="s">
        <v>25</v>
      </c>
      <c r="C5557" s="13" t="s">
        <v>226</v>
      </c>
      <c r="D5557" s="14" t="s">
        <v>44</v>
      </c>
      <c r="E5557" s="13" t="s">
        <v>61</v>
      </c>
      <c r="F5557" s="13" t="s">
        <v>1731</v>
      </c>
      <c r="G5557" s="13">
        <v>0.68</v>
      </c>
      <c r="H5557" s="15">
        <v>25</v>
      </c>
      <c r="I5557" s="16">
        <v>17</v>
      </c>
      <c r="J5557" s="16">
        <v>15.964722822174226</v>
      </c>
      <c r="K5557" s="16">
        <v>1.0352771778257743</v>
      </c>
      <c r="L5557" s="13">
        <v>1.61</v>
      </c>
      <c r="M5557" s="13"/>
      <c r="N5557" s="17">
        <f t="shared" si="183"/>
        <v>40.25</v>
      </c>
      <c r="O5557" s="17">
        <f t="shared" si="183"/>
        <v>0</v>
      </c>
      <c r="P5557" s="17">
        <f t="shared" si="182"/>
        <v>40.25</v>
      </c>
      <c r="Q5557" t="str">
        <f>A5557&amp;"-"&amp;B5557&amp;"-"&amp;D5557</f>
        <v>NOVEMBER-MJ1-L1</v>
      </c>
    </row>
    <row r="5558" spans="1:17" x14ac:dyDescent="0.25">
      <c r="A5558" t="s">
        <v>401</v>
      </c>
      <c r="B5558" s="13" t="s">
        <v>25</v>
      </c>
      <c r="C5558" s="13" t="s">
        <v>226</v>
      </c>
      <c r="D5558" s="14" t="s">
        <v>44</v>
      </c>
      <c r="E5558" s="13" t="s">
        <v>61</v>
      </c>
      <c r="F5558" s="13" t="s">
        <v>1732</v>
      </c>
      <c r="G5558" s="13">
        <v>0.68</v>
      </c>
      <c r="H5558" s="15">
        <v>165</v>
      </c>
      <c r="I5558" s="16">
        <v>112.2</v>
      </c>
      <c r="J5558" s="16">
        <v>107.58010702307193</v>
      </c>
      <c r="K5558" s="16">
        <v>4.6198929769280701</v>
      </c>
      <c r="L5558" s="13">
        <v>1.63</v>
      </c>
      <c r="M5558" s="13"/>
      <c r="N5558" s="17">
        <f t="shared" si="183"/>
        <v>268.95</v>
      </c>
      <c r="O5558" s="17">
        <f t="shared" si="183"/>
        <v>0</v>
      </c>
      <c r="P5558" s="17">
        <f t="shared" si="182"/>
        <v>268.95</v>
      </c>
      <c r="Q5558" t="str">
        <f>A5558&amp;"-"&amp;B5558&amp;"-"&amp;D5558</f>
        <v>NOVEMBER-MJ1-L1</v>
      </c>
    </row>
    <row r="5559" spans="1:17" x14ac:dyDescent="0.25">
      <c r="A5559" t="s">
        <v>401</v>
      </c>
      <c r="B5559" s="13" t="s">
        <v>25</v>
      </c>
      <c r="C5559" s="13" t="s">
        <v>226</v>
      </c>
      <c r="D5559" s="14" t="s">
        <v>44</v>
      </c>
      <c r="E5559" s="13" t="s">
        <v>61</v>
      </c>
      <c r="F5559" s="13" t="s">
        <v>1900</v>
      </c>
      <c r="G5559" s="13">
        <v>0.68</v>
      </c>
      <c r="H5559" s="15">
        <v>1784</v>
      </c>
      <c r="I5559" s="16">
        <v>1213.1200000000001</v>
      </c>
      <c r="J5559" s="16">
        <v>1100.9816922445302</v>
      </c>
      <c r="K5559" s="16">
        <v>112.13830775546973</v>
      </c>
      <c r="L5559" s="13">
        <v>1.7</v>
      </c>
      <c r="M5559" s="13"/>
      <c r="N5559" s="17">
        <f t="shared" si="183"/>
        <v>3032.7999999999997</v>
      </c>
      <c r="O5559" s="17">
        <f t="shared" si="183"/>
        <v>0</v>
      </c>
      <c r="P5559" s="17">
        <f t="shared" si="182"/>
        <v>3032.7999999999997</v>
      </c>
      <c r="Q5559" t="str">
        <f>A5559&amp;"-"&amp;B5559&amp;"-"&amp;D5559</f>
        <v>NOVEMBER-MJ1-L1</v>
      </c>
    </row>
    <row r="5560" spans="1:17" x14ac:dyDescent="0.25">
      <c r="A5560" t="s">
        <v>401</v>
      </c>
      <c r="B5560" s="13" t="s">
        <v>25</v>
      </c>
      <c r="C5560" s="13" t="s">
        <v>226</v>
      </c>
      <c r="D5560" s="14" t="s">
        <v>44</v>
      </c>
      <c r="E5560" s="13" t="s">
        <v>61</v>
      </c>
      <c r="F5560" s="13" t="s">
        <v>1901</v>
      </c>
      <c r="G5560" s="13">
        <v>0.73</v>
      </c>
      <c r="H5560" s="15">
        <v>4984</v>
      </c>
      <c r="I5560" s="16">
        <v>3638.3200000000006</v>
      </c>
      <c r="J5560" s="16">
        <v>2686.2545272460202</v>
      </c>
      <c r="K5560" s="16">
        <v>952.06547275398009</v>
      </c>
      <c r="L5560" s="13">
        <v>1.33</v>
      </c>
      <c r="M5560" s="13"/>
      <c r="N5560" s="17">
        <f t="shared" si="183"/>
        <v>6628.72</v>
      </c>
      <c r="O5560" s="17">
        <f t="shared" si="183"/>
        <v>0</v>
      </c>
      <c r="P5560" s="17">
        <f t="shared" si="182"/>
        <v>6628.72</v>
      </c>
      <c r="Q5560" t="str">
        <f>A5560&amp;"-"&amp;B5560&amp;"-"&amp;D5560</f>
        <v>NOVEMBER-MJ1-L1</v>
      </c>
    </row>
    <row r="5561" spans="1:17" x14ac:dyDescent="0.25">
      <c r="A5561" t="s">
        <v>401</v>
      </c>
      <c r="B5561" s="13" t="s">
        <v>25</v>
      </c>
      <c r="C5561" s="13" t="s">
        <v>226</v>
      </c>
      <c r="D5561" s="14" t="s">
        <v>44</v>
      </c>
      <c r="E5561" s="13" t="s">
        <v>61</v>
      </c>
      <c r="F5561" s="13" t="s">
        <v>1902</v>
      </c>
      <c r="G5561" s="13">
        <v>0.72999999999999987</v>
      </c>
      <c r="H5561" s="15">
        <v>6655</v>
      </c>
      <c r="I5561" s="16">
        <v>4858.1499999999996</v>
      </c>
      <c r="J5561" s="16">
        <v>3554.0413791212554</v>
      </c>
      <c r="K5561" s="16">
        <v>1304.1086208787447</v>
      </c>
      <c r="L5561" s="13">
        <v>1.33</v>
      </c>
      <c r="M5561" s="13"/>
      <c r="N5561" s="17">
        <f t="shared" si="183"/>
        <v>8851.15</v>
      </c>
      <c r="O5561" s="17">
        <f t="shared" si="183"/>
        <v>0</v>
      </c>
      <c r="P5561" s="17">
        <f t="shared" si="182"/>
        <v>8851.15</v>
      </c>
      <c r="Q5561" t="str">
        <f>A5561&amp;"-"&amp;B5561&amp;"-"&amp;D5561</f>
        <v>NOVEMBER-MJ1-L1</v>
      </c>
    </row>
    <row r="5562" spans="1:17" x14ac:dyDescent="0.25">
      <c r="A5562" t="s">
        <v>401</v>
      </c>
      <c r="B5562" s="13" t="s">
        <v>25</v>
      </c>
      <c r="C5562" s="13" t="s">
        <v>226</v>
      </c>
      <c r="D5562" s="14" t="s">
        <v>44</v>
      </c>
      <c r="E5562" s="13" t="s">
        <v>61</v>
      </c>
      <c r="F5562" s="13" t="s">
        <v>1903</v>
      </c>
      <c r="G5562" s="13">
        <v>0.73</v>
      </c>
      <c r="H5562" s="15">
        <v>2982</v>
      </c>
      <c r="I5562" s="16">
        <v>2176.86</v>
      </c>
      <c r="J5562" s="16">
        <v>1634.3936301340057</v>
      </c>
      <c r="K5562" s="16">
        <v>542.46636986599401</v>
      </c>
      <c r="L5562" s="13">
        <v>1.33</v>
      </c>
      <c r="M5562" s="13"/>
      <c r="N5562" s="17">
        <f t="shared" si="183"/>
        <v>3966.0600000000004</v>
      </c>
      <c r="O5562" s="17">
        <f t="shared" si="183"/>
        <v>0</v>
      </c>
      <c r="P5562" s="17">
        <f t="shared" si="182"/>
        <v>3966.0600000000004</v>
      </c>
      <c r="Q5562" t="str">
        <f>A5562&amp;"-"&amp;B5562&amp;"-"&amp;D5562</f>
        <v>NOVEMBER-MJ1-L1</v>
      </c>
    </row>
    <row r="5563" spans="1:17" x14ac:dyDescent="0.25">
      <c r="A5563" t="s">
        <v>401</v>
      </c>
      <c r="B5563" s="13" t="s">
        <v>25</v>
      </c>
      <c r="C5563" s="13" t="s">
        <v>226</v>
      </c>
      <c r="D5563" s="14" t="s">
        <v>44</v>
      </c>
      <c r="E5563" s="13" t="s">
        <v>61</v>
      </c>
      <c r="F5563" s="13" t="s">
        <v>1733</v>
      </c>
      <c r="G5563" s="13">
        <v>0.76</v>
      </c>
      <c r="H5563" s="15">
        <v>214</v>
      </c>
      <c r="I5563" s="16">
        <v>162.63999999999999</v>
      </c>
      <c r="J5563" s="16">
        <v>137.90153964021766</v>
      </c>
      <c r="K5563" s="16">
        <v>24.738460359782337</v>
      </c>
      <c r="L5563" s="13">
        <v>1.94</v>
      </c>
      <c r="M5563" s="13"/>
      <c r="N5563" s="17">
        <f t="shared" si="183"/>
        <v>415.15999999999997</v>
      </c>
      <c r="O5563" s="17">
        <f t="shared" si="183"/>
        <v>0</v>
      </c>
      <c r="P5563" s="17">
        <f t="shared" si="182"/>
        <v>415.15999999999997</v>
      </c>
      <c r="Q5563" t="str">
        <f>A5563&amp;"-"&amp;B5563&amp;"-"&amp;D5563</f>
        <v>NOVEMBER-MJ1-L1</v>
      </c>
    </row>
    <row r="5564" spans="1:17" x14ac:dyDescent="0.25">
      <c r="A5564" t="s">
        <v>401</v>
      </c>
      <c r="B5564" s="13" t="s">
        <v>25</v>
      </c>
      <c r="C5564" s="13" t="s">
        <v>226</v>
      </c>
      <c r="D5564" s="14" t="s">
        <v>44</v>
      </c>
      <c r="E5564" s="13" t="s">
        <v>61</v>
      </c>
      <c r="F5564" s="13" t="s">
        <v>1734</v>
      </c>
      <c r="G5564" s="13">
        <v>0.69</v>
      </c>
      <c r="H5564" s="15">
        <v>38</v>
      </c>
      <c r="I5564" s="16">
        <v>26.22</v>
      </c>
      <c r="J5564" s="16">
        <v>24.266378689704823</v>
      </c>
      <c r="K5564" s="16">
        <v>1.9536213102951763</v>
      </c>
      <c r="L5564" s="13">
        <v>2.0699999999999998</v>
      </c>
      <c r="M5564" s="13"/>
      <c r="N5564" s="17">
        <f t="shared" si="183"/>
        <v>78.66</v>
      </c>
      <c r="O5564" s="17">
        <f t="shared" si="183"/>
        <v>0</v>
      </c>
      <c r="P5564" s="17">
        <f t="shared" si="182"/>
        <v>78.66</v>
      </c>
      <c r="Q5564" t="str">
        <f>A5564&amp;"-"&amp;B5564&amp;"-"&amp;D5564</f>
        <v>NOVEMBER-MJ1-L1</v>
      </c>
    </row>
    <row r="5565" spans="1:17" x14ac:dyDescent="0.25">
      <c r="A5565" t="s">
        <v>401</v>
      </c>
      <c r="B5565" s="13" t="s">
        <v>25</v>
      </c>
      <c r="C5565" s="13" t="s">
        <v>226</v>
      </c>
      <c r="D5565" s="14" t="s">
        <v>44</v>
      </c>
      <c r="E5565" s="13" t="s">
        <v>61</v>
      </c>
      <c r="F5565" s="13" t="s">
        <v>1736</v>
      </c>
      <c r="G5565" s="13">
        <v>0.93</v>
      </c>
      <c r="H5565" s="15">
        <v>88</v>
      </c>
      <c r="I5565" s="16">
        <v>81.84</v>
      </c>
      <c r="J5565" s="16">
        <v>48.241185709058577</v>
      </c>
      <c r="K5565" s="16">
        <v>33.598814290941419</v>
      </c>
      <c r="L5565" s="13">
        <v>2.2200000000000002</v>
      </c>
      <c r="M5565" s="13"/>
      <c r="N5565" s="17">
        <f t="shared" si="183"/>
        <v>195.36</v>
      </c>
      <c r="O5565" s="17">
        <f t="shared" si="183"/>
        <v>0</v>
      </c>
      <c r="P5565" s="17">
        <f t="shared" si="182"/>
        <v>195.36</v>
      </c>
      <c r="Q5565" t="str">
        <f>A5565&amp;"-"&amp;B5565&amp;"-"&amp;D5565</f>
        <v>NOVEMBER-MJ1-L1</v>
      </c>
    </row>
    <row r="5566" spans="1:17" x14ac:dyDescent="0.25">
      <c r="A5566" t="s">
        <v>401</v>
      </c>
      <c r="B5566" s="13" t="s">
        <v>25</v>
      </c>
      <c r="C5566" s="13" t="s">
        <v>226</v>
      </c>
      <c r="D5566" s="14" t="s">
        <v>44</v>
      </c>
      <c r="E5566" s="13" t="s">
        <v>61</v>
      </c>
      <c r="F5566" s="13" t="s">
        <v>1904</v>
      </c>
      <c r="G5566" s="13">
        <v>0.93</v>
      </c>
      <c r="H5566" s="15">
        <v>2239</v>
      </c>
      <c r="I5566" s="16">
        <v>2082.27</v>
      </c>
      <c r="J5566" s="16">
        <v>1455.8667204309027</v>
      </c>
      <c r="K5566" s="16">
        <v>626.40327956909732</v>
      </c>
      <c r="L5566" s="13">
        <v>2.2200000000000002</v>
      </c>
      <c r="M5566" s="13"/>
      <c r="N5566" s="17">
        <f t="shared" si="183"/>
        <v>4970.5800000000008</v>
      </c>
      <c r="O5566" s="17">
        <f t="shared" si="183"/>
        <v>0</v>
      </c>
      <c r="P5566" s="17">
        <f t="shared" si="182"/>
        <v>4970.5800000000008</v>
      </c>
      <c r="Q5566" t="str">
        <f>A5566&amp;"-"&amp;B5566&amp;"-"&amp;D5566</f>
        <v>NOVEMBER-MJ1-L1</v>
      </c>
    </row>
    <row r="5567" spans="1:17" x14ac:dyDescent="0.25">
      <c r="A5567" t="s">
        <v>401</v>
      </c>
      <c r="B5567" s="13" t="s">
        <v>25</v>
      </c>
      <c r="C5567" s="13" t="s">
        <v>226</v>
      </c>
      <c r="D5567" s="14" t="s">
        <v>44</v>
      </c>
      <c r="E5567" s="13" t="s">
        <v>61</v>
      </c>
      <c r="F5567" s="13" t="s">
        <v>1738</v>
      </c>
      <c r="G5567" s="13">
        <v>0.81</v>
      </c>
      <c r="H5567" s="15">
        <v>11</v>
      </c>
      <c r="I5567" s="16">
        <v>8.91</v>
      </c>
      <c r="J5567" s="16">
        <v>6.0191239975323869</v>
      </c>
      <c r="K5567" s="16">
        <v>2.8908760024676132</v>
      </c>
      <c r="L5567" s="13">
        <v>2.21</v>
      </c>
      <c r="M5567" s="13"/>
      <c r="N5567" s="17">
        <f t="shared" si="183"/>
        <v>24.31</v>
      </c>
      <c r="O5567" s="17">
        <f t="shared" si="183"/>
        <v>0</v>
      </c>
      <c r="P5567" s="17">
        <f t="shared" si="182"/>
        <v>24.31</v>
      </c>
      <c r="Q5567" t="str">
        <f>A5567&amp;"-"&amp;B5567&amp;"-"&amp;D5567</f>
        <v>NOVEMBER-MJ1-L1</v>
      </c>
    </row>
    <row r="5568" spans="1:17" x14ac:dyDescent="0.25">
      <c r="A5568" t="s">
        <v>401</v>
      </c>
      <c r="B5568" s="13" t="s">
        <v>25</v>
      </c>
      <c r="C5568" s="13" t="s">
        <v>226</v>
      </c>
      <c r="D5568" s="14" t="s">
        <v>44</v>
      </c>
      <c r="E5568" s="13" t="s">
        <v>61</v>
      </c>
      <c r="F5568" s="13" t="s">
        <v>1739</v>
      </c>
      <c r="G5568" s="13">
        <v>0.92999999999999994</v>
      </c>
      <c r="H5568" s="15">
        <v>4492</v>
      </c>
      <c r="I5568" s="16">
        <v>4177.5600000000004</v>
      </c>
      <c r="J5568" s="16">
        <v>2760.9995448757322</v>
      </c>
      <c r="K5568" s="16">
        <v>1416.5604551242682</v>
      </c>
      <c r="L5568" s="13">
        <v>2.2200000000000002</v>
      </c>
      <c r="M5568" s="13"/>
      <c r="N5568" s="17">
        <f t="shared" si="183"/>
        <v>9972.2400000000016</v>
      </c>
      <c r="O5568" s="17">
        <f t="shared" si="183"/>
        <v>0</v>
      </c>
      <c r="P5568" s="17">
        <f t="shared" si="182"/>
        <v>9972.2400000000016</v>
      </c>
      <c r="Q5568" t="str">
        <f>A5568&amp;"-"&amp;B5568&amp;"-"&amp;D5568</f>
        <v>NOVEMBER-MJ1-L1</v>
      </c>
    </row>
    <row r="5569" spans="1:17" x14ac:dyDescent="0.25">
      <c r="A5569" t="s">
        <v>401</v>
      </c>
      <c r="B5569" s="13" t="s">
        <v>25</v>
      </c>
      <c r="C5569" s="13" t="s">
        <v>226</v>
      </c>
      <c r="D5569" s="14" t="s">
        <v>44</v>
      </c>
      <c r="E5569" s="13" t="s">
        <v>61</v>
      </c>
      <c r="F5569" s="13" t="s">
        <v>1905</v>
      </c>
      <c r="G5569" s="13">
        <v>0.93</v>
      </c>
      <c r="H5569" s="15">
        <v>3382</v>
      </c>
      <c r="I5569" s="16">
        <v>3145.26</v>
      </c>
      <c r="J5569" s="16">
        <v>1999.6338994868702</v>
      </c>
      <c r="K5569" s="16">
        <v>1145.6261005131296</v>
      </c>
      <c r="L5569" s="13">
        <v>2.2200000000000002</v>
      </c>
      <c r="M5569" s="13"/>
      <c r="N5569" s="17">
        <f t="shared" si="183"/>
        <v>7508.0400000000009</v>
      </c>
      <c r="O5569" s="17">
        <f t="shared" si="183"/>
        <v>0</v>
      </c>
      <c r="P5569" s="17">
        <f t="shared" si="182"/>
        <v>7508.0400000000009</v>
      </c>
      <c r="Q5569" t="str">
        <f>A5569&amp;"-"&amp;B5569&amp;"-"&amp;D5569</f>
        <v>NOVEMBER-MJ1-L1</v>
      </c>
    </row>
    <row r="5570" spans="1:17" x14ac:dyDescent="0.25">
      <c r="A5570" t="s">
        <v>401</v>
      </c>
      <c r="B5570" s="13" t="s">
        <v>25</v>
      </c>
      <c r="C5570" s="13" t="s">
        <v>226</v>
      </c>
      <c r="D5570" s="14" t="s">
        <v>44</v>
      </c>
      <c r="E5570" s="13" t="s">
        <v>61</v>
      </c>
      <c r="F5570" s="13" t="s">
        <v>1906</v>
      </c>
      <c r="G5570" s="13">
        <v>0.99</v>
      </c>
      <c r="H5570" s="15">
        <v>2098</v>
      </c>
      <c r="I5570" s="16">
        <v>2077.02</v>
      </c>
      <c r="J5570" s="16">
        <v>1198.3211162971536</v>
      </c>
      <c r="K5570" s="16">
        <v>878.69888370284662</v>
      </c>
      <c r="L5570" s="13">
        <v>2.42</v>
      </c>
      <c r="M5570" s="13"/>
      <c r="N5570" s="17">
        <f t="shared" si="183"/>
        <v>5077.16</v>
      </c>
      <c r="O5570" s="17">
        <f t="shared" si="183"/>
        <v>0</v>
      </c>
      <c r="P5570" s="17">
        <f t="shared" ref="P5570:P5633" si="184">N5570+O5570</f>
        <v>5077.16</v>
      </c>
      <c r="Q5570" t="str">
        <f>A5570&amp;"-"&amp;B5570&amp;"-"&amp;D5570</f>
        <v>NOVEMBER-MJ1-L1</v>
      </c>
    </row>
    <row r="5571" spans="1:17" x14ac:dyDescent="0.25">
      <c r="A5571" t="s">
        <v>401</v>
      </c>
      <c r="B5571" s="13" t="s">
        <v>25</v>
      </c>
      <c r="C5571" s="13" t="s">
        <v>226</v>
      </c>
      <c r="D5571" s="14" t="s">
        <v>287</v>
      </c>
      <c r="E5571" s="13" t="s">
        <v>61</v>
      </c>
      <c r="F5571" s="13" t="s">
        <v>1742</v>
      </c>
      <c r="G5571" s="13">
        <v>1.3700000000000003</v>
      </c>
      <c r="H5571" s="15">
        <v>8998</v>
      </c>
      <c r="I5571" s="16">
        <v>12327.259999999998</v>
      </c>
      <c r="J5571" s="16">
        <v>8241.6611442839803</v>
      </c>
      <c r="K5571" s="16">
        <v>4085.5988557160194</v>
      </c>
      <c r="L5571" s="13">
        <v>3.7</v>
      </c>
      <c r="M5571" s="13"/>
      <c r="N5571" s="17">
        <f t="shared" si="183"/>
        <v>33292.6</v>
      </c>
      <c r="O5571" s="17">
        <f t="shared" si="183"/>
        <v>0</v>
      </c>
      <c r="P5571" s="17">
        <f t="shared" si="184"/>
        <v>33292.6</v>
      </c>
      <c r="Q5571" t="str">
        <f>A5571&amp;"-"&amp;B5571&amp;"-"&amp;D5571</f>
        <v>NOVEMBER-MJ1-L11</v>
      </c>
    </row>
    <row r="5572" spans="1:17" x14ac:dyDescent="0.25">
      <c r="A5572" t="s">
        <v>401</v>
      </c>
      <c r="B5572" s="13" t="s">
        <v>25</v>
      </c>
      <c r="C5572" s="13" t="s">
        <v>226</v>
      </c>
      <c r="D5572" s="14" t="s">
        <v>287</v>
      </c>
      <c r="E5572" s="13" t="s">
        <v>61</v>
      </c>
      <c r="F5572" s="13" t="s">
        <v>1743</v>
      </c>
      <c r="G5572" s="13">
        <v>1.24</v>
      </c>
      <c r="H5572" s="15">
        <v>29</v>
      </c>
      <c r="I5572" s="16">
        <v>35.96</v>
      </c>
      <c r="J5572" s="16">
        <v>21.435833333333331</v>
      </c>
      <c r="K5572" s="16">
        <v>14.52416666666667</v>
      </c>
      <c r="L5572" s="13">
        <v>3.18</v>
      </c>
      <c r="M5572" s="13"/>
      <c r="N5572" s="17">
        <f t="shared" si="183"/>
        <v>92.22</v>
      </c>
      <c r="O5572" s="17">
        <f t="shared" si="183"/>
        <v>0</v>
      </c>
      <c r="P5572" s="17">
        <f t="shared" si="184"/>
        <v>92.22</v>
      </c>
      <c r="Q5572" t="str">
        <f>A5572&amp;"-"&amp;B5572&amp;"-"&amp;D5572</f>
        <v>NOVEMBER-MJ1-L11</v>
      </c>
    </row>
    <row r="5573" spans="1:17" x14ac:dyDescent="0.25">
      <c r="A5573" t="s">
        <v>401</v>
      </c>
      <c r="B5573" s="13" t="s">
        <v>25</v>
      </c>
      <c r="C5573" s="13" t="s">
        <v>226</v>
      </c>
      <c r="D5573" s="14" t="s">
        <v>287</v>
      </c>
      <c r="E5573" s="13" t="s">
        <v>1907</v>
      </c>
      <c r="F5573" s="13" t="s">
        <v>1908</v>
      </c>
      <c r="G5573" s="13">
        <v>1.37</v>
      </c>
      <c r="H5573" s="15">
        <v>2112</v>
      </c>
      <c r="I5573" s="16">
        <v>2893.4400000000005</v>
      </c>
      <c r="J5573" s="16">
        <v>2189.2944398808713</v>
      </c>
      <c r="K5573" s="16">
        <v>704.14556011912885</v>
      </c>
      <c r="L5573" s="13">
        <v>3.7</v>
      </c>
      <c r="M5573" s="13"/>
      <c r="N5573" s="17">
        <f t="shared" si="183"/>
        <v>7814.4000000000005</v>
      </c>
      <c r="O5573" s="17">
        <f t="shared" si="183"/>
        <v>0</v>
      </c>
      <c r="P5573" s="17">
        <f t="shared" si="184"/>
        <v>7814.4000000000005</v>
      </c>
      <c r="Q5573" t="str">
        <f>A5573&amp;"-"&amp;B5573&amp;"-"&amp;D5573</f>
        <v>NOVEMBER-MJ1-L11</v>
      </c>
    </row>
    <row r="5574" spans="1:17" x14ac:dyDescent="0.25">
      <c r="A5574" t="s">
        <v>401</v>
      </c>
      <c r="B5574" s="13" t="s">
        <v>25</v>
      </c>
      <c r="C5574" s="13" t="s">
        <v>226</v>
      </c>
      <c r="D5574" s="14" t="s">
        <v>287</v>
      </c>
      <c r="E5574" s="13" t="s">
        <v>1907</v>
      </c>
      <c r="F5574" s="13" t="s">
        <v>1909</v>
      </c>
      <c r="G5574" s="13">
        <v>1.37</v>
      </c>
      <c r="H5574" s="15">
        <v>256</v>
      </c>
      <c r="I5574" s="16">
        <v>350.71999999999997</v>
      </c>
      <c r="J5574" s="16">
        <v>185.87296824206049</v>
      </c>
      <c r="K5574" s="16">
        <v>164.84703175793948</v>
      </c>
      <c r="L5574" s="13">
        <v>3.7</v>
      </c>
      <c r="M5574" s="13"/>
      <c r="N5574" s="17">
        <f t="shared" si="183"/>
        <v>947.2</v>
      </c>
      <c r="O5574" s="17">
        <f t="shared" si="183"/>
        <v>0</v>
      </c>
      <c r="P5574" s="17">
        <f t="shared" si="184"/>
        <v>947.2</v>
      </c>
      <c r="Q5574" t="str">
        <f>A5574&amp;"-"&amp;B5574&amp;"-"&amp;D5574</f>
        <v>NOVEMBER-MJ1-L11</v>
      </c>
    </row>
    <row r="5575" spans="1:17" x14ac:dyDescent="0.25">
      <c r="A5575" t="s">
        <v>401</v>
      </c>
      <c r="B5575" s="13" t="s">
        <v>25</v>
      </c>
      <c r="C5575" s="13" t="s">
        <v>226</v>
      </c>
      <c r="D5575" s="14" t="s">
        <v>287</v>
      </c>
      <c r="E5575" s="13" t="s">
        <v>713</v>
      </c>
      <c r="F5575" s="13" t="s">
        <v>1744</v>
      </c>
      <c r="G5575" s="13">
        <v>1.24</v>
      </c>
      <c r="H5575" s="15">
        <v>1782</v>
      </c>
      <c r="I5575" s="16">
        <v>2209.6799999999998</v>
      </c>
      <c r="J5575" s="16">
        <v>1650.5480318692073</v>
      </c>
      <c r="K5575" s="16">
        <v>559.13196813079253</v>
      </c>
      <c r="L5575" s="13">
        <v>3.18</v>
      </c>
      <c r="M5575" s="13"/>
      <c r="N5575" s="17">
        <f t="shared" si="183"/>
        <v>5666.76</v>
      </c>
      <c r="O5575" s="17">
        <f t="shared" si="183"/>
        <v>0</v>
      </c>
      <c r="P5575" s="17">
        <f t="shared" si="184"/>
        <v>5666.76</v>
      </c>
      <c r="Q5575" t="str">
        <f>A5575&amp;"-"&amp;B5575&amp;"-"&amp;D5575</f>
        <v>NOVEMBER-MJ1-L11</v>
      </c>
    </row>
    <row r="5576" spans="1:17" x14ac:dyDescent="0.25">
      <c r="A5576" t="s">
        <v>401</v>
      </c>
      <c r="B5576" s="13" t="s">
        <v>25</v>
      </c>
      <c r="C5576" s="13" t="s">
        <v>226</v>
      </c>
      <c r="D5576" s="14" t="s">
        <v>287</v>
      </c>
      <c r="E5576" s="13" t="s">
        <v>713</v>
      </c>
      <c r="F5576" s="13" t="s">
        <v>1910</v>
      </c>
      <c r="G5576" s="13">
        <v>1.24</v>
      </c>
      <c r="H5576" s="15">
        <v>4013</v>
      </c>
      <c r="I5576" s="16">
        <v>4976.12</v>
      </c>
      <c r="J5576" s="16">
        <v>2958.2562409061625</v>
      </c>
      <c r="K5576" s="16">
        <v>2017.8637590938383</v>
      </c>
      <c r="L5576" s="13">
        <v>3.18</v>
      </c>
      <c r="M5576" s="13"/>
      <c r="N5576" s="17">
        <f t="shared" si="183"/>
        <v>12761.34</v>
      </c>
      <c r="O5576" s="17">
        <f t="shared" si="183"/>
        <v>0</v>
      </c>
      <c r="P5576" s="17">
        <f t="shared" si="184"/>
        <v>12761.34</v>
      </c>
      <c r="Q5576" t="str">
        <f>A5576&amp;"-"&amp;B5576&amp;"-"&amp;D5576</f>
        <v>NOVEMBER-MJ1-L11</v>
      </c>
    </row>
    <row r="5577" spans="1:17" x14ac:dyDescent="0.25">
      <c r="A5577" t="s">
        <v>401</v>
      </c>
      <c r="B5577" s="13" t="s">
        <v>25</v>
      </c>
      <c r="C5577" s="13" t="s">
        <v>226</v>
      </c>
      <c r="D5577" s="14" t="s">
        <v>287</v>
      </c>
      <c r="E5577" s="13" t="s">
        <v>713</v>
      </c>
      <c r="F5577" s="13" t="s">
        <v>1911</v>
      </c>
      <c r="G5577" s="13">
        <v>1.24</v>
      </c>
      <c r="H5577" s="15">
        <v>4620</v>
      </c>
      <c r="I5577" s="16">
        <v>5728.7999999999993</v>
      </c>
      <c r="J5577" s="16">
        <v>3066.068894732522</v>
      </c>
      <c r="K5577" s="16">
        <v>2662.7311052674786</v>
      </c>
      <c r="L5577" s="13">
        <v>3.18</v>
      </c>
      <c r="M5577" s="13"/>
      <c r="N5577" s="17">
        <f t="shared" si="183"/>
        <v>14691.6</v>
      </c>
      <c r="O5577" s="17">
        <f t="shared" si="183"/>
        <v>0</v>
      </c>
      <c r="P5577" s="17">
        <f t="shared" si="184"/>
        <v>14691.6</v>
      </c>
      <c r="Q5577" t="str">
        <f>A5577&amp;"-"&amp;B5577&amp;"-"&amp;D5577</f>
        <v>NOVEMBER-MJ1-L11</v>
      </c>
    </row>
    <row r="5578" spans="1:17" x14ac:dyDescent="0.25">
      <c r="A5578" t="s">
        <v>401</v>
      </c>
      <c r="B5578" s="13" t="s">
        <v>25</v>
      </c>
      <c r="C5578" s="13" t="s">
        <v>226</v>
      </c>
      <c r="D5578" s="14" t="s">
        <v>287</v>
      </c>
      <c r="E5578" s="13" t="s">
        <v>713</v>
      </c>
      <c r="F5578" s="13" t="s">
        <v>1912</v>
      </c>
      <c r="G5578" s="13">
        <v>1.24</v>
      </c>
      <c r="H5578" s="15">
        <v>1608</v>
      </c>
      <c r="I5578" s="16">
        <v>1993.9199999999998</v>
      </c>
      <c r="J5578" s="16">
        <v>1200.8624467518637</v>
      </c>
      <c r="K5578" s="16">
        <v>793.05755324813617</v>
      </c>
      <c r="L5578" s="13">
        <v>3.18</v>
      </c>
      <c r="M5578" s="13"/>
      <c r="N5578" s="17">
        <f t="shared" si="183"/>
        <v>5113.4400000000005</v>
      </c>
      <c r="O5578" s="17">
        <f t="shared" si="183"/>
        <v>0</v>
      </c>
      <c r="P5578" s="17">
        <f t="shared" si="184"/>
        <v>5113.4400000000005</v>
      </c>
      <c r="Q5578" t="str">
        <f>A5578&amp;"-"&amp;B5578&amp;"-"&amp;D5578</f>
        <v>NOVEMBER-MJ1-L11</v>
      </c>
    </row>
    <row r="5579" spans="1:17" x14ac:dyDescent="0.25">
      <c r="A5579" t="s">
        <v>401</v>
      </c>
      <c r="B5579" s="13" t="s">
        <v>25</v>
      </c>
      <c r="C5579" s="13" t="s">
        <v>226</v>
      </c>
      <c r="D5579" s="14" t="s">
        <v>310</v>
      </c>
      <c r="E5579" s="13" t="s">
        <v>61</v>
      </c>
      <c r="F5579" s="13" t="s">
        <v>1899</v>
      </c>
      <c r="G5579" s="13">
        <v>1.03</v>
      </c>
      <c r="H5579" s="15">
        <v>3130</v>
      </c>
      <c r="I5579" s="16">
        <v>3223.9</v>
      </c>
      <c r="J5579" s="16">
        <v>2417.958549741059</v>
      </c>
      <c r="K5579" s="16">
        <v>805.94145025894125</v>
      </c>
      <c r="L5579" s="13">
        <v>2.31</v>
      </c>
      <c r="M5579" s="13"/>
      <c r="N5579" s="17">
        <f t="shared" si="183"/>
        <v>7230.3</v>
      </c>
      <c r="O5579" s="17">
        <f t="shared" si="183"/>
        <v>0</v>
      </c>
      <c r="P5579" s="17">
        <f t="shared" si="184"/>
        <v>7230.3</v>
      </c>
      <c r="Q5579" t="str">
        <f>A5579&amp;"-"&amp;B5579&amp;"-"&amp;D5579</f>
        <v>NOVEMBER-MJ1-L12</v>
      </c>
    </row>
    <row r="5580" spans="1:17" x14ac:dyDescent="0.25">
      <c r="A5580" t="s">
        <v>401</v>
      </c>
      <c r="B5580" s="13" t="s">
        <v>25</v>
      </c>
      <c r="C5580" s="13" t="s">
        <v>226</v>
      </c>
      <c r="D5580" s="14" t="s">
        <v>310</v>
      </c>
      <c r="E5580" s="13" t="s">
        <v>61</v>
      </c>
      <c r="F5580" s="13" t="s">
        <v>1731</v>
      </c>
      <c r="G5580" s="13">
        <v>0.68</v>
      </c>
      <c r="H5580" s="15">
        <v>89</v>
      </c>
      <c r="I5580" s="16">
        <v>60.52</v>
      </c>
      <c r="J5580" s="16">
        <v>68.230769230769241</v>
      </c>
      <c r="K5580" s="16">
        <v>-7.7107692307692375</v>
      </c>
      <c r="L5580" s="13">
        <v>1.61</v>
      </c>
      <c r="M5580" s="13"/>
      <c r="N5580" s="17">
        <f t="shared" si="183"/>
        <v>143.29000000000002</v>
      </c>
      <c r="O5580" s="17">
        <f t="shared" si="183"/>
        <v>0</v>
      </c>
      <c r="P5580" s="17">
        <f t="shared" si="184"/>
        <v>143.29000000000002</v>
      </c>
      <c r="Q5580" t="str">
        <f>A5580&amp;"-"&amp;B5580&amp;"-"&amp;D5580</f>
        <v>NOVEMBER-MJ1-L12</v>
      </c>
    </row>
    <row r="5581" spans="1:17" x14ac:dyDescent="0.25">
      <c r="A5581" t="s">
        <v>401</v>
      </c>
      <c r="B5581" s="13" t="s">
        <v>25</v>
      </c>
      <c r="C5581" s="13" t="s">
        <v>226</v>
      </c>
      <c r="D5581" s="14" t="s">
        <v>310</v>
      </c>
      <c r="E5581" s="13" t="s">
        <v>61</v>
      </c>
      <c r="F5581" s="13" t="s">
        <v>1732</v>
      </c>
      <c r="G5581" s="13">
        <v>0.68</v>
      </c>
      <c r="H5581" s="15">
        <v>229</v>
      </c>
      <c r="I5581" s="16">
        <v>155.72000000000003</v>
      </c>
      <c r="J5581" s="16">
        <v>180.3621743396024</v>
      </c>
      <c r="K5581" s="16">
        <v>-24.642174339602377</v>
      </c>
      <c r="L5581" s="13">
        <v>1.63</v>
      </c>
      <c r="M5581" s="13"/>
      <c r="N5581" s="17">
        <f t="shared" si="183"/>
        <v>373.27</v>
      </c>
      <c r="O5581" s="17">
        <f t="shared" si="183"/>
        <v>0</v>
      </c>
      <c r="P5581" s="17">
        <f t="shared" si="184"/>
        <v>373.27</v>
      </c>
      <c r="Q5581" t="str">
        <f>A5581&amp;"-"&amp;B5581&amp;"-"&amp;D5581</f>
        <v>NOVEMBER-MJ1-L12</v>
      </c>
    </row>
    <row r="5582" spans="1:17" x14ac:dyDescent="0.25">
      <c r="A5582" t="s">
        <v>401</v>
      </c>
      <c r="B5582" s="13" t="s">
        <v>25</v>
      </c>
      <c r="C5582" s="13" t="s">
        <v>226</v>
      </c>
      <c r="D5582" s="14" t="s">
        <v>310</v>
      </c>
      <c r="E5582" s="13" t="s">
        <v>61</v>
      </c>
      <c r="F5582" s="13" t="s">
        <v>1900</v>
      </c>
      <c r="G5582" s="13">
        <v>0.68</v>
      </c>
      <c r="H5582" s="15">
        <v>3427</v>
      </c>
      <c r="I5582" s="16">
        <v>2330.36</v>
      </c>
      <c r="J5582" s="16">
        <v>2279.8106357297047</v>
      </c>
      <c r="K5582" s="16">
        <v>50.5493642702953</v>
      </c>
      <c r="L5582" s="13">
        <v>1.7</v>
      </c>
      <c r="M5582" s="13"/>
      <c r="N5582" s="17">
        <f t="shared" si="183"/>
        <v>5825.9</v>
      </c>
      <c r="O5582" s="17">
        <f t="shared" si="183"/>
        <v>0</v>
      </c>
      <c r="P5582" s="17">
        <f t="shared" si="184"/>
        <v>5825.9</v>
      </c>
      <c r="Q5582" t="str">
        <f>A5582&amp;"-"&amp;B5582&amp;"-"&amp;D5582</f>
        <v>NOVEMBER-MJ1-L12</v>
      </c>
    </row>
    <row r="5583" spans="1:17" x14ac:dyDescent="0.25">
      <c r="A5583" t="s">
        <v>401</v>
      </c>
      <c r="B5583" s="13" t="s">
        <v>25</v>
      </c>
      <c r="C5583" s="13" t="s">
        <v>226</v>
      </c>
      <c r="D5583" s="14" t="s">
        <v>310</v>
      </c>
      <c r="E5583" s="13" t="s">
        <v>61</v>
      </c>
      <c r="F5583" s="13" t="s">
        <v>1901</v>
      </c>
      <c r="G5583" s="13">
        <v>0.73</v>
      </c>
      <c r="H5583" s="15">
        <v>3800</v>
      </c>
      <c r="I5583" s="16">
        <v>2774</v>
      </c>
      <c r="J5583" s="16">
        <v>2065.8679343352765</v>
      </c>
      <c r="K5583" s="16">
        <v>708.13206566472354</v>
      </c>
      <c r="L5583" s="13">
        <v>1.33</v>
      </c>
      <c r="M5583" s="13"/>
      <c r="N5583" s="17">
        <f t="shared" si="183"/>
        <v>5054</v>
      </c>
      <c r="O5583" s="17">
        <f t="shared" si="183"/>
        <v>0</v>
      </c>
      <c r="P5583" s="17">
        <f t="shared" si="184"/>
        <v>5054</v>
      </c>
      <c r="Q5583" t="str">
        <f>A5583&amp;"-"&amp;B5583&amp;"-"&amp;D5583</f>
        <v>NOVEMBER-MJ1-L12</v>
      </c>
    </row>
    <row r="5584" spans="1:17" x14ac:dyDescent="0.25">
      <c r="A5584" t="s">
        <v>401</v>
      </c>
      <c r="B5584" s="13" t="s">
        <v>25</v>
      </c>
      <c r="C5584" s="13" t="s">
        <v>226</v>
      </c>
      <c r="D5584" s="14" t="s">
        <v>310</v>
      </c>
      <c r="E5584" s="13" t="s">
        <v>61</v>
      </c>
      <c r="F5584" s="13" t="s">
        <v>1902</v>
      </c>
      <c r="G5584" s="13">
        <v>0.73</v>
      </c>
      <c r="H5584" s="15">
        <v>2417</v>
      </c>
      <c r="I5584" s="16">
        <v>1764.41</v>
      </c>
      <c r="J5584" s="16">
        <v>1624.9070566055759</v>
      </c>
      <c r="K5584" s="16">
        <v>139.50294339442408</v>
      </c>
      <c r="L5584" s="13">
        <v>1.33</v>
      </c>
      <c r="M5584" s="13"/>
      <c r="N5584" s="17">
        <f t="shared" si="183"/>
        <v>3214.61</v>
      </c>
      <c r="O5584" s="17">
        <f t="shared" si="183"/>
        <v>0</v>
      </c>
      <c r="P5584" s="17">
        <f t="shared" si="184"/>
        <v>3214.61</v>
      </c>
      <c r="Q5584" t="str">
        <f>A5584&amp;"-"&amp;B5584&amp;"-"&amp;D5584</f>
        <v>NOVEMBER-MJ1-L12</v>
      </c>
    </row>
    <row r="5585" spans="1:17" x14ac:dyDescent="0.25">
      <c r="A5585" t="s">
        <v>401</v>
      </c>
      <c r="B5585" s="13" t="s">
        <v>25</v>
      </c>
      <c r="C5585" s="13" t="s">
        <v>226</v>
      </c>
      <c r="D5585" s="14" t="s">
        <v>310</v>
      </c>
      <c r="E5585" s="13" t="s">
        <v>61</v>
      </c>
      <c r="F5585" s="13" t="s">
        <v>1903</v>
      </c>
      <c r="G5585" s="13">
        <v>0.73</v>
      </c>
      <c r="H5585" s="15">
        <v>3145</v>
      </c>
      <c r="I5585" s="16">
        <v>2295.85</v>
      </c>
      <c r="J5585" s="16">
        <v>1828.5207339997528</v>
      </c>
      <c r="K5585" s="16">
        <v>467.32926600024706</v>
      </c>
      <c r="L5585" s="13">
        <v>1.33</v>
      </c>
      <c r="M5585" s="13"/>
      <c r="N5585" s="17">
        <f t="shared" si="183"/>
        <v>4182.8500000000004</v>
      </c>
      <c r="O5585" s="17">
        <f t="shared" si="183"/>
        <v>0</v>
      </c>
      <c r="P5585" s="17">
        <f t="shared" si="184"/>
        <v>4182.8500000000004</v>
      </c>
      <c r="Q5585" t="str">
        <f>A5585&amp;"-"&amp;B5585&amp;"-"&amp;D5585</f>
        <v>NOVEMBER-MJ1-L12</v>
      </c>
    </row>
    <row r="5586" spans="1:17" x14ac:dyDescent="0.25">
      <c r="A5586" t="s">
        <v>401</v>
      </c>
      <c r="B5586" s="13" t="s">
        <v>25</v>
      </c>
      <c r="C5586" s="13" t="s">
        <v>226</v>
      </c>
      <c r="D5586" s="14" t="s">
        <v>310</v>
      </c>
      <c r="E5586" s="13" t="s">
        <v>61</v>
      </c>
      <c r="F5586" s="13" t="s">
        <v>1736</v>
      </c>
      <c r="G5586" s="13">
        <v>0.93</v>
      </c>
      <c r="H5586" s="15">
        <v>168</v>
      </c>
      <c r="I5586" s="16">
        <v>156.24</v>
      </c>
      <c r="J5586" s="16">
        <v>83.620510665125579</v>
      </c>
      <c r="K5586" s="16">
        <v>72.61948933487443</v>
      </c>
      <c r="L5586" s="13">
        <v>2.2200000000000002</v>
      </c>
      <c r="M5586" s="13"/>
      <c r="N5586" s="17">
        <f t="shared" si="183"/>
        <v>372.96000000000004</v>
      </c>
      <c r="O5586" s="17">
        <f t="shared" si="183"/>
        <v>0</v>
      </c>
      <c r="P5586" s="17">
        <f t="shared" si="184"/>
        <v>372.96000000000004</v>
      </c>
      <c r="Q5586" t="str">
        <f>A5586&amp;"-"&amp;B5586&amp;"-"&amp;D5586</f>
        <v>NOVEMBER-MJ1-L12</v>
      </c>
    </row>
    <row r="5587" spans="1:17" x14ac:dyDescent="0.25">
      <c r="A5587" t="s">
        <v>401</v>
      </c>
      <c r="B5587" s="13" t="s">
        <v>25</v>
      </c>
      <c r="C5587" s="13" t="s">
        <v>226</v>
      </c>
      <c r="D5587" s="14" t="s">
        <v>310</v>
      </c>
      <c r="E5587" s="13" t="s">
        <v>61</v>
      </c>
      <c r="F5587" s="13" t="s">
        <v>1904</v>
      </c>
      <c r="G5587" s="13">
        <v>0.93</v>
      </c>
      <c r="H5587" s="15">
        <v>2118</v>
      </c>
      <c r="I5587" s="16">
        <v>1969.74</v>
      </c>
      <c r="J5587" s="16">
        <v>1354.9009961685824</v>
      </c>
      <c r="K5587" s="16">
        <v>614.83900383141759</v>
      </c>
      <c r="L5587" s="13">
        <v>2.2200000000000002</v>
      </c>
      <c r="M5587" s="13"/>
      <c r="N5587" s="17">
        <f t="shared" si="183"/>
        <v>4701.96</v>
      </c>
      <c r="O5587" s="17">
        <f t="shared" si="183"/>
        <v>0</v>
      </c>
      <c r="P5587" s="17">
        <f t="shared" si="184"/>
        <v>4701.96</v>
      </c>
      <c r="Q5587" t="str">
        <f>A5587&amp;"-"&amp;B5587&amp;"-"&amp;D5587</f>
        <v>NOVEMBER-MJ1-L12</v>
      </c>
    </row>
    <row r="5588" spans="1:17" x14ac:dyDescent="0.25">
      <c r="A5588" t="s">
        <v>401</v>
      </c>
      <c r="B5588" s="13" t="s">
        <v>25</v>
      </c>
      <c r="C5588" s="13" t="s">
        <v>226</v>
      </c>
      <c r="D5588" s="14" t="s">
        <v>310</v>
      </c>
      <c r="E5588" s="13" t="s">
        <v>61</v>
      </c>
      <c r="F5588" s="13" t="s">
        <v>1737</v>
      </c>
      <c r="G5588" s="13">
        <v>0.99</v>
      </c>
      <c r="H5588" s="15">
        <v>89</v>
      </c>
      <c r="I5588" s="16">
        <v>88.11</v>
      </c>
      <c r="J5588" s="16">
        <v>72.424770642201835</v>
      </c>
      <c r="K5588" s="16">
        <v>15.685229357798164</v>
      </c>
      <c r="L5588" s="13">
        <v>2.42</v>
      </c>
      <c r="M5588" s="13"/>
      <c r="N5588" s="17">
        <f t="shared" si="183"/>
        <v>215.38</v>
      </c>
      <c r="O5588" s="17">
        <f t="shared" si="183"/>
        <v>0</v>
      </c>
      <c r="P5588" s="17">
        <f t="shared" si="184"/>
        <v>215.38</v>
      </c>
      <c r="Q5588" t="str">
        <f>A5588&amp;"-"&amp;B5588&amp;"-"&amp;D5588</f>
        <v>NOVEMBER-MJ1-L12</v>
      </c>
    </row>
    <row r="5589" spans="1:17" x14ac:dyDescent="0.25">
      <c r="A5589" t="s">
        <v>401</v>
      </c>
      <c r="B5589" s="13" t="s">
        <v>25</v>
      </c>
      <c r="C5589" s="13" t="s">
        <v>226</v>
      </c>
      <c r="D5589" s="14" t="s">
        <v>310</v>
      </c>
      <c r="E5589" s="13" t="s">
        <v>61</v>
      </c>
      <c r="F5589" s="13" t="s">
        <v>1738</v>
      </c>
      <c r="G5589" s="13">
        <v>0.81</v>
      </c>
      <c r="H5589" s="15">
        <v>130</v>
      </c>
      <c r="I5589" s="16">
        <v>105.30000000000001</v>
      </c>
      <c r="J5589" s="16">
        <v>91.835764874637661</v>
      </c>
      <c r="K5589" s="16">
        <v>13.46423512536234</v>
      </c>
      <c r="L5589" s="13">
        <v>2.21</v>
      </c>
      <c r="M5589" s="13"/>
      <c r="N5589" s="17">
        <f t="shared" si="183"/>
        <v>287.3</v>
      </c>
      <c r="O5589" s="17">
        <f t="shared" si="183"/>
        <v>0</v>
      </c>
      <c r="P5589" s="17">
        <f t="shared" si="184"/>
        <v>287.3</v>
      </c>
      <c r="Q5589" t="str">
        <f>A5589&amp;"-"&amp;B5589&amp;"-"&amp;D5589</f>
        <v>NOVEMBER-MJ1-L12</v>
      </c>
    </row>
    <row r="5590" spans="1:17" x14ac:dyDescent="0.25">
      <c r="A5590" t="s">
        <v>401</v>
      </c>
      <c r="B5590" s="13" t="s">
        <v>25</v>
      </c>
      <c r="C5590" s="13" t="s">
        <v>226</v>
      </c>
      <c r="D5590" s="14" t="s">
        <v>310</v>
      </c>
      <c r="E5590" s="13" t="s">
        <v>61</v>
      </c>
      <c r="F5590" s="13" t="s">
        <v>1739</v>
      </c>
      <c r="G5590" s="13">
        <v>0.93</v>
      </c>
      <c r="H5590" s="15">
        <v>7237</v>
      </c>
      <c r="I5590" s="16">
        <v>6730.41</v>
      </c>
      <c r="J5590" s="16">
        <v>4061.1652145059584</v>
      </c>
      <c r="K5590" s="16">
        <v>2669.2447854940415</v>
      </c>
      <c r="L5590" s="13">
        <v>2.2200000000000002</v>
      </c>
      <c r="M5590" s="13"/>
      <c r="N5590" s="17">
        <f t="shared" si="183"/>
        <v>16066.140000000001</v>
      </c>
      <c r="O5590" s="17">
        <f t="shared" si="183"/>
        <v>0</v>
      </c>
      <c r="P5590" s="17">
        <f t="shared" si="184"/>
        <v>16066.140000000001</v>
      </c>
      <c r="Q5590" t="str">
        <f>A5590&amp;"-"&amp;B5590&amp;"-"&amp;D5590</f>
        <v>NOVEMBER-MJ1-L12</v>
      </c>
    </row>
    <row r="5591" spans="1:17" x14ac:dyDescent="0.25">
      <c r="A5591" t="s">
        <v>401</v>
      </c>
      <c r="B5591" s="13" t="s">
        <v>25</v>
      </c>
      <c r="C5591" s="13" t="s">
        <v>226</v>
      </c>
      <c r="D5591" s="14" t="s">
        <v>310</v>
      </c>
      <c r="E5591" s="13" t="s">
        <v>61</v>
      </c>
      <c r="F5591" s="13" t="s">
        <v>1905</v>
      </c>
      <c r="G5591" s="13">
        <v>0.93</v>
      </c>
      <c r="H5591" s="15">
        <v>3962</v>
      </c>
      <c r="I5591" s="16">
        <v>3684.66</v>
      </c>
      <c r="J5591" s="16">
        <v>2507.321078770442</v>
      </c>
      <c r="K5591" s="16">
        <v>1177.3389212295579</v>
      </c>
      <c r="L5591" s="13">
        <v>2.2200000000000002</v>
      </c>
      <c r="M5591" s="13"/>
      <c r="N5591" s="17">
        <f t="shared" si="183"/>
        <v>8795.6400000000012</v>
      </c>
      <c r="O5591" s="17">
        <f t="shared" si="183"/>
        <v>0</v>
      </c>
      <c r="P5591" s="17">
        <f t="shared" si="184"/>
        <v>8795.6400000000012</v>
      </c>
      <c r="Q5591" t="str">
        <f>A5591&amp;"-"&amp;B5591&amp;"-"&amp;D5591</f>
        <v>NOVEMBER-MJ1-L12</v>
      </c>
    </row>
    <row r="5592" spans="1:17" x14ac:dyDescent="0.25">
      <c r="A5592" t="s">
        <v>401</v>
      </c>
      <c r="B5592" s="13" t="s">
        <v>25</v>
      </c>
      <c r="C5592" s="13" t="s">
        <v>226</v>
      </c>
      <c r="D5592" s="14" t="s">
        <v>310</v>
      </c>
      <c r="E5592" s="13" t="s">
        <v>61</v>
      </c>
      <c r="F5592" s="13" t="s">
        <v>1906</v>
      </c>
      <c r="G5592" s="13">
        <v>0.9900000000000001</v>
      </c>
      <c r="H5592" s="15">
        <v>1510</v>
      </c>
      <c r="I5592" s="16">
        <v>1494.8999999999999</v>
      </c>
      <c r="J5592" s="16">
        <v>877.07381039131201</v>
      </c>
      <c r="K5592" s="16">
        <v>617.82618960868808</v>
      </c>
      <c r="L5592" s="13">
        <v>2.42</v>
      </c>
      <c r="M5592" s="13"/>
      <c r="N5592" s="17">
        <f t="shared" si="183"/>
        <v>3654.2</v>
      </c>
      <c r="O5592" s="17">
        <f t="shared" si="183"/>
        <v>0</v>
      </c>
      <c r="P5592" s="17">
        <f t="shared" si="184"/>
        <v>3654.2</v>
      </c>
      <c r="Q5592" t="str">
        <f>A5592&amp;"-"&amp;B5592&amp;"-"&amp;D5592</f>
        <v>NOVEMBER-MJ1-L12</v>
      </c>
    </row>
    <row r="5593" spans="1:17" x14ac:dyDescent="0.25">
      <c r="A5593" t="s">
        <v>401</v>
      </c>
      <c r="B5593" s="13" t="s">
        <v>25</v>
      </c>
      <c r="C5593" s="13" t="s">
        <v>226</v>
      </c>
      <c r="D5593" s="14" t="s">
        <v>50</v>
      </c>
      <c r="E5593" s="13" t="s">
        <v>61</v>
      </c>
      <c r="F5593" s="13" t="s">
        <v>1733</v>
      </c>
      <c r="G5593" s="13">
        <v>0.76</v>
      </c>
      <c r="H5593" s="15">
        <v>3</v>
      </c>
      <c r="I5593" s="16">
        <v>2.2799999999999998</v>
      </c>
      <c r="J5593" s="16">
        <v>4.5409556313993171</v>
      </c>
      <c r="K5593" s="16">
        <v>-2.2609556313993173</v>
      </c>
      <c r="L5593" s="13">
        <v>1.94</v>
      </c>
      <c r="M5593" s="13"/>
      <c r="N5593" s="17">
        <f t="shared" si="183"/>
        <v>5.82</v>
      </c>
      <c r="O5593" s="17">
        <f t="shared" si="183"/>
        <v>0</v>
      </c>
      <c r="P5593" s="17">
        <f t="shared" si="184"/>
        <v>5.82</v>
      </c>
      <c r="Q5593" t="str">
        <f>A5593&amp;"-"&amp;B5593&amp;"-"&amp;D5593</f>
        <v>NOVEMBER-MJ1-L2</v>
      </c>
    </row>
    <row r="5594" spans="1:17" x14ac:dyDescent="0.25">
      <c r="A5594" t="s">
        <v>401</v>
      </c>
      <c r="B5594" s="13" t="s">
        <v>25</v>
      </c>
      <c r="C5594" s="13" t="s">
        <v>226</v>
      </c>
      <c r="D5594" s="14" t="s">
        <v>50</v>
      </c>
      <c r="E5594" s="13" t="s">
        <v>61</v>
      </c>
      <c r="F5594" s="13" t="s">
        <v>1734</v>
      </c>
      <c r="G5594" s="13">
        <v>0.69</v>
      </c>
      <c r="H5594" s="15">
        <v>114</v>
      </c>
      <c r="I5594" s="16">
        <v>78.66</v>
      </c>
      <c r="J5594" s="16">
        <v>146.33574529667149</v>
      </c>
      <c r="K5594" s="16">
        <v>-67.675745296671494</v>
      </c>
      <c r="L5594" s="13">
        <v>2.0699999999999998</v>
      </c>
      <c r="M5594" s="13"/>
      <c r="N5594" s="17">
        <f t="shared" si="183"/>
        <v>235.98</v>
      </c>
      <c r="O5594" s="17">
        <f t="shared" si="183"/>
        <v>0</v>
      </c>
      <c r="P5594" s="17">
        <f t="shared" si="184"/>
        <v>235.98</v>
      </c>
      <c r="Q5594" t="str">
        <f>A5594&amp;"-"&amp;B5594&amp;"-"&amp;D5594</f>
        <v>NOVEMBER-MJ1-L2</v>
      </c>
    </row>
    <row r="5595" spans="1:17" x14ac:dyDescent="0.25">
      <c r="A5595" t="s">
        <v>401</v>
      </c>
      <c r="B5595" s="13" t="s">
        <v>25</v>
      </c>
      <c r="C5595" s="13" t="s">
        <v>226</v>
      </c>
      <c r="D5595" s="14" t="s">
        <v>50</v>
      </c>
      <c r="E5595" s="13" t="s">
        <v>61</v>
      </c>
      <c r="F5595" s="13" t="s">
        <v>1736</v>
      </c>
      <c r="G5595" s="13">
        <v>0.93</v>
      </c>
      <c r="H5595" s="15">
        <v>166</v>
      </c>
      <c r="I5595" s="16">
        <v>154.38000000000002</v>
      </c>
      <c r="J5595" s="16">
        <v>214.46541343356563</v>
      </c>
      <c r="K5595" s="16">
        <v>-60.085413433565627</v>
      </c>
      <c r="L5595" s="13">
        <v>2.2200000000000002</v>
      </c>
      <c r="M5595" s="13"/>
      <c r="N5595" s="17">
        <f t="shared" si="183"/>
        <v>368.52000000000004</v>
      </c>
      <c r="O5595" s="17">
        <f t="shared" si="183"/>
        <v>0</v>
      </c>
      <c r="P5595" s="17">
        <f t="shared" si="184"/>
        <v>368.52000000000004</v>
      </c>
      <c r="Q5595" t="str">
        <f>A5595&amp;"-"&amp;B5595&amp;"-"&amp;D5595</f>
        <v>NOVEMBER-MJ1-L2</v>
      </c>
    </row>
    <row r="5596" spans="1:17" x14ac:dyDescent="0.25">
      <c r="A5596" t="s">
        <v>401</v>
      </c>
      <c r="B5596" s="13" t="s">
        <v>25</v>
      </c>
      <c r="C5596" s="13" t="s">
        <v>226</v>
      </c>
      <c r="D5596" s="14" t="s">
        <v>50</v>
      </c>
      <c r="E5596" s="13" t="s">
        <v>61</v>
      </c>
      <c r="F5596" s="13" t="s">
        <v>1737</v>
      </c>
      <c r="G5596" s="13">
        <v>0.99</v>
      </c>
      <c r="H5596" s="15">
        <v>346</v>
      </c>
      <c r="I5596" s="16">
        <v>342.54</v>
      </c>
      <c r="J5596" s="16">
        <v>444.14182344428366</v>
      </c>
      <c r="K5596" s="16">
        <v>-101.60182344428364</v>
      </c>
      <c r="L5596" s="13">
        <v>2.42</v>
      </c>
      <c r="M5596" s="13"/>
      <c r="N5596" s="17">
        <f t="shared" si="183"/>
        <v>837.31999999999994</v>
      </c>
      <c r="O5596" s="17">
        <f t="shared" si="183"/>
        <v>0</v>
      </c>
      <c r="P5596" s="17">
        <f t="shared" si="184"/>
        <v>837.31999999999994</v>
      </c>
      <c r="Q5596" t="str">
        <f>A5596&amp;"-"&amp;B5596&amp;"-"&amp;D5596</f>
        <v>NOVEMBER-MJ1-L2</v>
      </c>
    </row>
    <row r="5597" spans="1:17" x14ac:dyDescent="0.25">
      <c r="A5597" t="s">
        <v>401</v>
      </c>
      <c r="B5597" s="13" t="s">
        <v>25</v>
      </c>
      <c r="C5597" s="13" t="s">
        <v>226</v>
      </c>
      <c r="D5597" s="14" t="s">
        <v>50</v>
      </c>
      <c r="E5597" s="13" t="s">
        <v>61</v>
      </c>
      <c r="F5597" s="13" t="s">
        <v>1739</v>
      </c>
      <c r="G5597" s="13">
        <v>0.93</v>
      </c>
      <c r="H5597" s="15">
        <v>648</v>
      </c>
      <c r="I5597" s="16">
        <v>602.64</v>
      </c>
      <c r="J5597" s="16">
        <v>964.51606219407995</v>
      </c>
      <c r="K5597" s="16">
        <v>-361.87606219407991</v>
      </c>
      <c r="L5597" s="13">
        <v>2.2200000000000002</v>
      </c>
      <c r="M5597" s="13"/>
      <c r="N5597" s="17">
        <f t="shared" ref="N5597:O5654" si="185">$H5597*L5597</f>
        <v>1438.5600000000002</v>
      </c>
      <c r="O5597" s="17">
        <f t="shared" si="185"/>
        <v>0</v>
      </c>
      <c r="P5597" s="17">
        <f t="shared" si="184"/>
        <v>1438.5600000000002</v>
      </c>
      <c r="Q5597" t="str">
        <f>A5597&amp;"-"&amp;B5597&amp;"-"&amp;D5597</f>
        <v>NOVEMBER-MJ1-L2</v>
      </c>
    </row>
    <row r="5598" spans="1:17" x14ac:dyDescent="0.25">
      <c r="A5598" t="s">
        <v>401</v>
      </c>
      <c r="B5598" s="13" t="s">
        <v>25</v>
      </c>
      <c r="C5598" s="13" t="s">
        <v>226</v>
      </c>
      <c r="D5598" s="14" t="s">
        <v>158</v>
      </c>
      <c r="E5598" s="13" t="s">
        <v>61</v>
      </c>
      <c r="F5598" s="13" t="s">
        <v>1742</v>
      </c>
      <c r="G5598" s="13">
        <v>1.3700000000000003</v>
      </c>
      <c r="H5598" s="15">
        <v>10800</v>
      </c>
      <c r="I5598" s="16">
        <v>14796</v>
      </c>
      <c r="J5598" s="16">
        <v>8735.6891046708824</v>
      </c>
      <c r="K5598" s="16">
        <v>6060.3108953291176</v>
      </c>
      <c r="L5598" s="13">
        <v>3.7</v>
      </c>
      <c r="M5598" s="13"/>
      <c r="N5598" s="17">
        <f t="shared" si="185"/>
        <v>39960</v>
      </c>
      <c r="O5598" s="17">
        <f t="shared" si="185"/>
        <v>0</v>
      </c>
      <c r="P5598" s="17">
        <f t="shared" si="184"/>
        <v>39960</v>
      </c>
      <c r="Q5598" t="str">
        <f>A5598&amp;"-"&amp;B5598&amp;"-"&amp;D5598</f>
        <v>NOVEMBER-MJ1-L4</v>
      </c>
    </row>
    <row r="5599" spans="1:17" x14ac:dyDescent="0.25">
      <c r="A5599" t="s">
        <v>401</v>
      </c>
      <c r="B5599" s="13" t="s">
        <v>25</v>
      </c>
      <c r="C5599" s="13" t="s">
        <v>226</v>
      </c>
      <c r="D5599" s="14" t="s">
        <v>158</v>
      </c>
      <c r="E5599" s="13" t="s">
        <v>61</v>
      </c>
      <c r="F5599" s="13" t="s">
        <v>1747</v>
      </c>
      <c r="G5599" s="13">
        <v>1.37</v>
      </c>
      <c r="H5599" s="15">
        <v>3993</v>
      </c>
      <c r="I5599" s="16">
        <v>5470.41</v>
      </c>
      <c r="J5599" s="16">
        <v>3358.5558953291184</v>
      </c>
      <c r="K5599" s="16">
        <v>2111.854104670882</v>
      </c>
      <c r="L5599" s="13">
        <v>3.7</v>
      </c>
      <c r="M5599" s="13"/>
      <c r="N5599" s="17">
        <f t="shared" si="185"/>
        <v>14774.1</v>
      </c>
      <c r="O5599" s="17">
        <f t="shared" si="185"/>
        <v>0</v>
      </c>
      <c r="P5599" s="17">
        <f t="shared" si="184"/>
        <v>14774.1</v>
      </c>
      <c r="Q5599" t="str">
        <f>A5599&amp;"-"&amp;B5599&amp;"-"&amp;D5599</f>
        <v>NOVEMBER-MJ1-L4</v>
      </c>
    </row>
    <row r="5600" spans="1:17" x14ac:dyDescent="0.25">
      <c r="A5600" t="s">
        <v>401</v>
      </c>
      <c r="B5600" s="13" t="s">
        <v>25</v>
      </c>
      <c r="C5600" s="13" t="s">
        <v>226</v>
      </c>
      <c r="D5600" s="14" t="s">
        <v>158</v>
      </c>
      <c r="E5600" s="13" t="s">
        <v>1907</v>
      </c>
      <c r="F5600" s="13" t="s">
        <v>1908</v>
      </c>
      <c r="G5600" s="13">
        <v>1.37</v>
      </c>
      <c r="H5600" s="15">
        <v>2352</v>
      </c>
      <c r="I5600" s="16">
        <v>3222.24</v>
      </c>
      <c r="J5600" s="16">
        <v>2148.3271045770566</v>
      </c>
      <c r="K5600" s="16">
        <v>1073.9128954229432</v>
      </c>
      <c r="L5600" s="13">
        <v>3.7</v>
      </c>
      <c r="M5600" s="13"/>
      <c r="N5600" s="17">
        <f t="shared" si="185"/>
        <v>8702.4</v>
      </c>
      <c r="O5600" s="17">
        <f t="shared" si="185"/>
        <v>0</v>
      </c>
      <c r="P5600" s="17">
        <f t="shared" si="184"/>
        <v>8702.4</v>
      </c>
      <c r="Q5600" t="str">
        <f>A5600&amp;"-"&amp;B5600&amp;"-"&amp;D5600</f>
        <v>NOVEMBER-MJ1-L4</v>
      </c>
    </row>
    <row r="5601" spans="1:17" x14ac:dyDescent="0.25">
      <c r="A5601" t="s">
        <v>401</v>
      </c>
      <c r="B5601" s="13" t="s">
        <v>25</v>
      </c>
      <c r="C5601" s="13" t="s">
        <v>226</v>
      </c>
      <c r="D5601" s="14" t="s">
        <v>158</v>
      </c>
      <c r="E5601" s="13" t="s">
        <v>1907</v>
      </c>
      <c r="F5601" s="13" t="s">
        <v>1909</v>
      </c>
      <c r="G5601" s="13">
        <v>1.3699999999999999</v>
      </c>
      <c r="H5601" s="15">
        <v>3031</v>
      </c>
      <c r="I5601" s="16">
        <v>4152.4699999999993</v>
      </c>
      <c r="J5601" s="16">
        <v>3600.926790159785</v>
      </c>
      <c r="K5601" s="16">
        <v>551.54320984021467</v>
      </c>
      <c r="L5601" s="13">
        <v>3.7</v>
      </c>
      <c r="M5601" s="13"/>
      <c r="N5601" s="17">
        <f t="shared" si="185"/>
        <v>11214.7</v>
      </c>
      <c r="O5601" s="17">
        <f t="shared" si="185"/>
        <v>0</v>
      </c>
      <c r="P5601" s="17">
        <f t="shared" si="184"/>
        <v>11214.7</v>
      </c>
      <c r="Q5601" t="str">
        <f>A5601&amp;"-"&amp;B5601&amp;"-"&amp;D5601</f>
        <v>NOVEMBER-MJ1-L4</v>
      </c>
    </row>
    <row r="5602" spans="1:17" x14ac:dyDescent="0.25">
      <c r="A5602" t="s">
        <v>401</v>
      </c>
      <c r="B5602" s="13" t="s">
        <v>25</v>
      </c>
      <c r="C5602" s="13" t="s">
        <v>226</v>
      </c>
      <c r="D5602" s="14" t="s">
        <v>158</v>
      </c>
      <c r="E5602" s="13" t="s">
        <v>713</v>
      </c>
      <c r="F5602" s="13" t="s">
        <v>1910</v>
      </c>
      <c r="G5602" s="13">
        <v>1.24</v>
      </c>
      <c r="H5602" s="15">
        <v>966</v>
      </c>
      <c r="I5602" s="16">
        <v>1197.8400000000001</v>
      </c>
      <c r="J5602" s="16">
        <v>1291.752105263158</v>
      </c>
      <c r="K5602" s="16">
        <v>-93.912105263157912</v>
      </c>
      <c r="L5602" s="13">
        <v>3.18</v>
      </c>
      <c r="M5602" s="13"/>
      <c r="N5602" s="17">
        <f t="shared" si="185"/>
        <v>3071.88</v>
      </c>
      <c r="O5602" s="17">
        <f t="shared" si="185"/>
        <v>0</v>
      </c>
      <c r="P5602" s="17">
        <f t="shared" si="184"/>
        <v>3071.88</v>
      </c>
      <c r="Q5602" t="str">
        <f>A5602&amp;"-"&amp;B5602&amp;"-"&amp;D5602</f>
        <v>NOVEMBER-MJ1-L4</v>
      </c>
    </row>
    <row r="5603" spans="1:17" x14ac:dyDescent="0.25">
      <c r="A5603" t="s">
        <v>401</v>
      </c>
      <c r="B5603" s="13" t="s">
        <v>25</v>
      </c>
      <c r="C5603" s="13" t="s">
        <v>226</v>
      </c>
      <c r="D5603" s="14" t="s">
        <v>158</v>
      </c>
      <c r="E5603" s="13" t="s">
        <v>713</v>
      </c>
      <c r="F5603" s="13" t="s">
        <v>1912</v>
      </c>
      <c r="G5603" s="13">
        <v>1.24</v>
      </c>
      <c r="H5603" s="15">
        <v>427</v>
      </c>
      <c r="I5603" s="16">
        <v>529.48</v>
      </c>
      <c r="J5603" s="16">
        <v>378.74899999999997</v>
      </c>
      <c r="K5603" s="16">
        <v>150.73100000000005</v>
      </c>
      <c r="L5603" s="13">
        <v>3.18</v>
      </c>
      <c r="M5603" s="13"/>
      <c r="N5603" s="17">
        <f t="shared" si="185"/>
        <v>1357.8600000000001</v>
      </c>
      <c r="O5603" s="17">
        <f t="shared" si="185"/>
        <v>0</v>
      </c>
      <c r="P5603" s="17">
        <f t="shared" si="184"/>
        <v>1357.8600000000001</v>
      </c>
      <c r="Q5603" t="str">
        <f>A5603&amp;"-"&amp;B5603&amp;"-"&amp;D5603</f>
        <v>NOVEMBER-MJ1-L4</v>
      </c>
    </row>
    <row r="5604" spans="1:17" x14ac:dyDescent="0.25">
      <c r="A5604" t="s">
        <v>401</v>
      </c>
      <c r="B5604" s="13" t="s">
        <v>25</v>
      </c>
      <c r="C5604" s="13" t="s">
        <v>1458</v>
      </c>
      <c r="D5604" s="14" t="s">
        <v>160</v>
      </c>
      <c r="E5604" s="13" t="s">
        <v>305</v>
      </c>
      <c r="F5604" s="13" t="s">
        <v>1748</v>
      </c>
      <c r="G5604" s="13">
        <v>2.83</v>
      </c>
      <c r="H5604" s="15">
        <v>516</v>
      </c>
      <c r="I5604" s="16">
        <v>1460.2799999999997</v>
      </c>
      <c r="J5604" s="16">
        <v>3548</v>
      </c>
      <c r="K5604" s="16">
        <v>-2087.7199999999998</v>
      </c>
      <c r="L5604" s="13">
        <v>9.89</v>
      </c>
      <c r="M5604" s="13"/>
      <c r="N5604" s="17">
        <f t="shared" si="185"/>
        <v>5103.2400000000007</v>
      </c>
      <c r="O5604" s="17">
        <f t="shared" si="185"/>
        <v>0</v>
      </c>
      <c r="P5604" s="17">
        <f t="shared" si="184"/>
        <v>5103.2400000000007</v>
      </c>
      <c r="Q5604" t="str">
        <f>A5604&amp;"-"&amp;B5604&amp;"-"&amp;D5604</f>
        <v>NOVEMBER-MJ1-L5</v>
      </c>
    </row>
    <row r="5605" spans="1:17" x14ac:dyDescent="0.25">
      <c r="A5605" t="s">
        <v>401</v>
      </c>
      <c r="B5605" s="13" t="s">
        <v>25</v>
      </c>
      <c r="C5605" s="13" t="s">
        <v>1458</v>
      </c>
      <c r="D5605" s="14" t="s">
        <v>163</v>
      </c>
      <c r="E5605" s="13" t="s">
        <v>305</v>
      </c>
      <c r="F5605" s="13" t="s">
        <v>1748</v>
      </c>
      <c r="G5605" s="13">
        <v>2.83</v>
      </c>
      <c r="H5605" s="15">
        <v>518</v>
      </c>
      <c r="I5605" s="16">
        <v>1465.94</v>
      </c>
      <c r="J5605" s="16">
        <v>3548</v>
      </c>
      <c r="K5605" s="16">
        <v>-2082.06</v>
      </c>
      <c r="L5605" s="13">
        <v>9.89</v>
      </c>
      <c r="M5605" s="13"/>
      <c r="N5605" s="17">
        <f t="shared" si="185"/>
        <v>5123.0200000000004</v>
      </c>
      <c r="O5605" s="17">
        <f t="shared" si="185"/>
        <v>0</v>
      </c>
      <c r="P5605" s="17">
        <f t="shared" si="184"/>
        <v>5123.0200000000004</v>
      </c>
      <c r="Q5605" t="str">
        <f>A5605&amp;"-"&amp;B5605&amp;"-"&amp;D5605</f>
        <v>NOVEMBER-MJ1-L6</v>
      </c>
    </row>
    <row r="5606" spans="1:17" x14ac:dyDescent="0.25">
      <c r="A5606" t="s">
        <v>401</v>
      </c>
      <c r="B5606" s="13" t="s">
        <v>25</v>
      </c>
      <c r="C5606" s="13" t="s">
        <v>286</v>
      </c>
      <c r="D5606" s="14" t="s">
        <v>50</v>
      </c>
      <c r="E5606" s="13" t="s">
        <v>73</v>
      </c>
      <c r="F5606" s="13" t="s">
        <v>1913</v>
      </c>
      <c r="G5606" s="13">
        <v>5.700000000000002</v>
      </c>
      <c r="H5606" s="15">
        <v>1680</v>
      </c>
      <c r="I5606" s="16">
        <v>9576</v>
      </c>
      <c r="J5606" s="16">
        <v>11659.788778042668</v>
      </c>
      <c r="K5606" s="16">
        <v>-2083.7887780426672</v>
      </c>
      <c r="L5606" s="13"/>
      <c r="M5606" s="13">
        <v>5.7</v>
      </c>
      <c r="N5606" s="17">
        <f t="shared" si="185"/>
        <v>0</v>
      </c>
      <c r="O5606" s="17">
        <f t="shared" si="185"/>
        <v>9576</v>
      </c>
      <c r="P5606" s="17">
        <f t="shared" si="184"/>
        <v>9576</v>
      </c>
      <c r="Q5606" t="str">
        <f>A5606&amp;"-"&amp;B5606&amp;"-"&amp;D5606</f>
        <v>NOVEMBER-MJ1-L2</v>
      </c>
    </row>
    <row r="5607" spans="1:17" x14ac:dyDescent="0.25">
      <c r="A5607" t="s">
        <v>401</v>
      </c>
      <c r="B5607" s="13" t="s">
        <v>25</v>
      </c>
      <c r="C5607" s="13" t="s">
        <v>286</v>
      </c>
      <c r="D5607" s="14" t="s">
        <v>50</v>
      </c>
      <c r="E5607" s="13" t="s">
        <v>73</v>
      </c>
      <c r="F5607" s="13" t="s">
        <v>1914</v>
      </c>
      <c r="G5607" s="13">
        <v>5.7</v>
      </c>
      <c r="H5607" s="15">
        <v>280</v>
      </c>
      <c r="I5607" s="16">
        <v>1596</v>
      </c>
      <c r="J5607" s="16">
        <v>2374.9876068731301</v>
      </c>
      <c r="K5607" s="16">
        <v>-778.98760687313029</v>
      </c>
      <c r="L5607" s="13"/>
      <c r="M5607" s="13">
        <v>5.7</v>
      </c>
      <c r="N5607" s="17">
        <f t="shared" si="185"/>
        <v>0</v>
      </c>
      <c r="O5607" s="17">
        <f t="shared" si="185"/>
        <v>1596</v>
      </c>
      <c r="P5607" s="17">
        <f t="shared" si="184"/>
        <v>1596</v>
      </c>
      <c r="Q5607" t="str">
        <f>A5607&amp;"-"&amp;B5607&amp;"-"&amp;D5607</f>
        <v>NOVEMBER-MJ1-L2</v>
      </c>
    </row>
    <row r="5608" spans="1:17" x14ac:dyDescent="0.25">
      <c r="A5608" t="s">
        <v>401</v>
      </c>
      <c r="B5608" s="13" t="s">
        <v>25</v>
      </c>
      <c r="C5608" s="13" t="s">
        <v>286</v>
      </c>
      <c r="D5608" s="14" t="s">
        <v>50</v>
      </c>
      <c r="E5608" s="13" t="s">
        <v>77</v>
      </c>
      <c r="F5608" s="13" t="s">
        <v>1915</v>
      </c>
      <c r="G5608" s="13">
        <v>4.75</v>
      </c>
      <c r="H5608" s="15">
        <v>63</v>
      </c>
      <c r="I5608" s="16">
        <v>299.25</v>
      </c>
      <c r="J5608" s="16">
        <v>411.33344030808729</v>
      </c>
      <c r="K5608" s="16">
        <v>-112.08344030808728</v>
      </c>
      <c r="L5608" s="13"/>
      <c r="M5608" s="13">
        <v>4.75</v>
      </c>
      <c r="N5608" s="17">
        <f t="shared" si="185"/>
        <v>0</v>
      </c>
      <c r="O5608" s="17">
        <f t="shared" si="185"/>
        <v>299.25</v>
      </c>
      <c r="P5608" s="17">
        <f t="shared" si="184"/>
        <v>299.25</v>
      </c>
      <c r="Q5608" t="str">
        <f>A5608&amp;"-"&amp;B5608&amp;"-"&amp;D5608</f>
        <v>NOVEMBER-MJ1-L2</v>
      </c>
    </row>
    <row r="5609" spans="1:17" x14ac:dyDescent="0.25">
      <c r="A5609" t="s">
        <v>401</v>
      </c>
      <c r="B5609" s="13" t="s">
        <v>25</v>
      </c>
      <c r="C5609" s="13" t="s">
        <v>286</v>
      </c>
      <c r="D5609" s="14" t="s">
        <v>50</v>
      </c>
      <c r="E5609" s="13" t="s">
        <v>77</v>
      </c>
      <c r="F5609" s="13" t="s">
        <v>1916</v>
      </c>
      <c r="G5609" s="13">
        <v>4.75</v>
      </c>
      <c r="H5609" s="15">
        <v>457</v>
      </c>
      <c r="I5609" s="16">
        <v>2170.75</v>
      </c>
      <c r="J5609" s="16">
        <v>3293.8901747761151</v>
      </c>
      <c r="K5609" s="16">
        <v>-1123.1401747761149</v>
      </c>
      <c r="L5609" s="13"/>
      <c r="M5609" s="13">
        <v>4.75</v>
      </c>
      <c r="N5609" s="17">
        <f t="shared" si="185"/>
        <v>0</v>
      </c>
      <c r="O5609" s="17">
        <f t="shared" si="185"/>
        <v>2170.75</v>
      </c>
      <c r="P5609" s="17">
        <f t="shared" si="184"/>
        <v>2170.75</v>
      </c>
      <c r="Q5609" t="str">
        <f>A5609&amp;"-"&amp;B5609&amp;"-"&amp;D5609</f>
        <v>NOVEMBER-MJ1-L2</v>
      </c>
    </row>
    <row r="5610" spans="1:17" x14ac:dyDescent="0.25">
      <c r="A5610" t="s">
        <v>401</v>
      </c>
      <c r="B5610" s="13" t="s">
        <v>25</v>
      </c>
      <c r="C5610" s="13" t="s">
        <v>286</v>
      </c>
      <c r="D5610" s="14" t="s">
        <v>56</v>
      </c>
      <c r="E5610" s="13" t="s">
        <v>1917</v>
      </c>
      <c r="F5610" s="13" t="s">
        <v>1918</v>
      </c>
      <c r="G5610" s="13">
        <v>1.5</v>
      </c>
      <c r="H5610" s="15">
        <v>714</v>
      </c>
      <c r="I5610" s="16">
        <v>1071</v>
      </c>
      <c r="J5610" s="16">
        <v>2851.3608755313726</v>
      </c>
      <c r="K5610" s="16">
        <v>-1780.3608755313721</v>
      </c>
      <c r="L5610" s="13"/>
      <c r="M5610" s="13">
        <v>1.5</v>
      </c>
      <c r="N5610" s="17">
        <f t="shared" si="185"/>
        <v>0</v>
      </c>
      <c r="O5610" s="17">
        <f t="shared" si="185"/>
        <v>1071</v>
      </c>
      <c r="P5610" s="17">
        <f t="shared" si="184"/>
        <v>1071</v>
      </c>
      <c r="Q5610" t="str">
        <f>A5610&amp;"-"&amp;B5610&amp;"-"&amp;D5610</f>
        <v>NOVEMBER-MJ1-L3</v>
      </c>
    </row>
    <row r="5611" spans="1:17" x14ac:dyDescent="0.25">
      <c r="A5611" t="s">
        <v>401</v>
      </c>
      <c r="B5611" s="13" t="s">
        <v>25</v>
      </c>
      <c r="C5611" s="13" t="s">
        <v>286</v>
      </c>
      <c r="D5611" s="14" t="s">
        <v>56</v>
      </c>
      <c r="E5611" s="13" t="s">
        <v>73</v>
      </c>
      <c r="F5611" s="13" t="s">
        <v>1749</v>
      </c>
      <c r="G5611" s="13">
        <v>5.700000000000002</v>
      </c>
      <c r="H5611" s="15">
        <v>1464</v>
      </c>
      <c r="I5611" s="16">
        <v>8344.8000000000011</v>
      </c>
      <c r="J5611" s="16">
        <v>8002.176539664255</v>
      </c>
      <c r="K5611" s="16">
        <v>342.62346033574579</v>
      </c>
      <c r="L5611" s="13"/>
      <c r="M5611" s="13">
        <v>5.7</v>
      </c>
      <c r="N5611" s="17">
        <f t="shared" si="185"/>
        <v>0</v>
      </c>
      <c r="O5611" s="17">
        <f t="shared" si="185"/>
        <v>8344.8000000000011</v>
      </c>
      <c r="P5611" s="17">
        <f t="shared" si="184"/>
        <v>8344.8000000000011</v>
      </c>
      <c r="Q5611" t="str">
        <f>A5611&amp;"-"&amp;B5611&amp;"-"&amp;D5611</f>
        <v>NOVEMBER-MJ1-L3</v>
      </c>
    </row>
    <row r="5612" spans="1:17" x14ac:dyDescent="0.25">
      <c r="A5612" t="s">
        <v>401</v>
      </c>
      <c r="B5612" s="13" t="s">
        <v>25</v>
      </c>
      <c r="C5612" s="13" t="s">
        <v>286</v>
      </c>
      <c r="D5612" s="14" t="s">
        <v>56</v>
      </c>
      <c r="E5612" s="13" t="s">
        <v>73</v>
      </c>
      <c r="F5612" s="13" t="s">
        <v>1913</v>
      </c>
      <c r="G5612" s="13">
        <v>5.7</v>
      </c>
      <c r="H5612" s="15">
        <v>192</v>
      </c>
      <c r="I5612" s="16">
        <v>1094.4000000000001</v>
      </c>
      <c r="J5612" s="16">
        <v>887</v>
      </c>
      <c r="K5612" s="16">
        <v>207.40000000000009</v>
      </c>
      <c r="L5612" s="13"/>
      <c r="M5612" s="13">
        <v>5.7</v>
      </c>
      <c r="N5612" s="17">
        <f t="shared" si="185"/>
        <v>0</v>
      </c>
      <c r="O5612" s="17">
        <f t="shared" si="185"/>
        <v>1094.4000000000001</v>
      </c>
      <c r="P5612" s="17">
        <f t="shared" si="184"/>
        <v>1094.4000000000001</v>
      </c>
      <c r="Q5612" t="str">
        <f>A5612&amp;"-"&amp;B5612&amp;"-"&amp;D5612</f>
        <v>NOVEMBER-MJ1-L3</v>
      </c>
    </row>
    <row r="5613" spans="1:17" x14ac:dyDescent="0.25">
      <c r="A5613" t="s">
        <v>401</v>
      </c>
      <c r="B5613" s="13" t="s">
        <v>25</v>
      </c>
      <c r="C5613" s="13" t="s">
        <v>286</v>
      </c>
      <c r="D5613" s="14" t="s">
        <v>56</v>
      </c>
      <c r="E5613" s="13" t="s">
        <v>77</v>
      </c>
      <c r="F5613" s="13" t="s">
        <v>1915</v>
      </c>
      <c r="G5613" s="13">
        <v>4.75</v>
      </c>
      <c r="H5613" s="15">
        <v>767</v>
      </c>
      <c r="I5613" s="16">
        <v>3643.25</v>
      </c>
      <c r="J5613" s="16">
        <v>3573.1552168145613</v>
      </c>
      <c r="K5613" s="16">
        <v>70.094783185438928</v>
      </c>
      <c r="L5613" s="13"/>
      <c r="M5613" s="13">
        <v>4.75</v>
      </c>
      <c r="N5613" s="17">
        <f t="shared" si="185"/>
        <v>0</v>
      </c>
      <c r="O5613" s="17">
        <f t="shared" si="185"/>
        <v>3643.25</v>
      </c>
      <c r="P5613" s="17">
        <f t="shared" si="184"/>
        <v>3643.25</v>
      </c>
      <c r="Q5613" t="str">
        <f>A5613&amp;"-"&amp;B5613&amp;"-"&amp;D5613</f>
        <v>NOVEMBER-MJ1-L3</v>
      </c>
    </row>
    <row r="5614" spans="1:17" x14ac:dyDescent="0.25">
      <c r="A5614" t="s">
        <v>401</v>
      </c>
      <c r="B5614" s="13" t="s">
        <v>25</v>
      </c>
      <c r="C5614" s="13" t="s">
        <v>286</v>
      </c>
      <c r="D5614" s="14" t="s">
        <v>56</v>
      </c>
      <c r="E5614" s="13" t="s">
        <v>77</v>
      </c>
      <c r="F5614" s="13" t="s">
        <v>1916</v>
      </c>
      <c r="G5614" s="13">
        <v>4.75</v>
      </c>
      <c r="H5614" s="15">
        <v>76</v>
      </c>
      <c r="I5614" s="16">
        <v>361</v>
      </c>
      <c r="J5614" s="16">
        <v>887</v>
      </c>
      <c r="K5614" s="16">
        <v>-526</v>
      </c>
      <c r="L5614" s="13"/>
      <c r="M5614" s="13">
        <v>4.75</v>
      </c>
      <c r="N5614" s="17">
        <f t="shared" si="185"/>
        <v>0</v>
      </c>
      <c r="O5614" s="17">
        <f t="shared" si="185"/>
        <v>361</v>
      </c>
      <c r="P5614" s="17">
        <f t="shared" si="184"/>
        <v>361</v>
      </c>
      <c r="Q5614" t="str">
        <f>A5614&amp;"-"&amp;B5614&amp;"-"&amp;D5614</f>
        <v>NOVEMBER-MJ1-L3</v>
      </c>
    </row>
    <row r="5615" spans="1:17" x14ac:dyDescent="0.25">
      <c r="A5615" t="s">
        <v>401</v>
      </c>
      <c r="B5615" s="13" t="s">
        <v>25</v>
      </c>
      <c r="C5615" s="13" t="s">
        <v>286</v>
      </c>
      <c r="D5615" s="14" t="s">
        <v>56</v>
      </c>
      <c r="E5615" s="13" t="s">
        <v>77</v>
      </c>
      <c r="F5615" s="13" t="s">
        <v>1919</v>
      </c>
      <c r="G5615" s="13">
        <v>4.75</v>
      </c>
      <c r="H5615" s="15">
        <v>762</v>
      </c>
      <c r="I5615" s="16">
        <v>3619.5</v>
      </c>
      <c r="J5615" s="16">
        <v>2739.6357123606736</v>
      </c>
      <c r="K5615" s="16">
        <v>879.8642876393269</v>
      </c>
      <c r="L5615" s="13"/>
      <c r="M5615" s="13">
        <v>4.75</v>
      </c>
      <c r="N5615" s="17">
        <f t="shared" si="185"/>
        <v>0</v>
      </c>
      <c r="O5615" s="17">
        <f t="shared" si="185"/>
        <v>3619.5</v>
      </c>
      <c r="P5615" s="17">
        <f t="shared" si="184"/>
        <v>3619.5</v>
      </c>
      <c r="Q5615" t="str">
        <f>A5615&amp;"-"&amp;B5615&amp;"-"&amp;D5615</f>
        <v>NOVEMBER-MJ1-L3</v>
      </c>
    </row>
    <row r="5616" spans="1:17" x14ac:dyDescent="0.25">
      <c r="A5616" t="s">
        <v>401</v>
      </c>
      <c r="B5616" s="13" t="s">
        <v>25</v>
      </c>
      <c r="C5616" s="13" t="s">
        <v>286</v>
      </c>
      <c r="D5616" s="14" t="s">
        <v>56</v>
      </c>
      <c r="E5616" s="13" t="s">
        <v>77</v>
      </c>
      <c r="F5616" s="13" t="s">
        <v>1920</v>
      </c>
      <c r="G5616" s="13">
        <v>4.75</v>
      </c>
      <c r="H5616" s="15">
        <v>175</v>
      </c>
      <c r="I5616" s="16">
        <v>831.25</v>
      </c>
      <c r="J5616" s="16">
        <v>573.67165562913908</v>
      </c>
      <c r="K5616" s="16">
        <v>257.57834437086092</v>
      </c>
      <c r="L5616" s="13"/>
      <c r="M5616" s="13">
        <v>4.75</v>
      </c>
      <c r="N5616" s="17">
        <f t="shared" si="185"/>
        <v>0</v>
      </c>
      <c r="O5616" s="17">
        <f t="shared" si="185"/>
        <v>831.25</v>
      </c>
      <c r="P5616" s="17">
        <f t="shared" si="184"/>
        <v>831.25</v>
      </c>
      <c r="Q5616" t="str">
        <f>A5616&amp;"-"&amp;B5616&amp;"-"&amp;D5616</f>
        <v>NOVEMBER-MJ1-L3</v>
      </c>
    </row>
    <row r="5617" spans="1:17" x14ac:dyDescent="0.25">
      <c r="A5617" t="s">
        <v>401</v>
      </c>
      <c r="B5617" s="13" t="s">
        <v>25</v>
      </c>
      <c r="C5617" s="13" t="s">
        <v>1921</v>
      </c>
      <c r="D5617" s="14" t="s">
        <v>160</v>
      </c>
      <c r="E5617" s="13" t="s">
        <v>953</v>
      </c>
      <c r="F5617" s="13" t="s">
        <v>1922</v>
      </c>
      <c r="G5617" s="13">
        <v>15.94</v>
      </c>
      <c r="H5617" s="15">
        <v>258</v>
      </c>
      <c r="I5617" s="16">
        <v>4112.5200000000004</v>
      </c>
      <c r="J5617" s="16">
        <v>3045.7228915662649</v>
      </c>
      <c r="K5617" s="16">
        <v>1066.7971084337348</v>
      </c>
      <c r="L5617" s="13"/>
      <c r="M5617" s="13"/>
      <c r="N5617" s="17">
        <f t="shared" si="185"/>
        <v>0</v>
      </c>
      <c r="O5617" s="17">
        <f t="shared" si="185"/>
        <v>0</v>
      </c>
      <c r="P5617" s="17">
        <f t="shared" si="184"/>
        <v>0</v>
      </c>
      <c r="Q5617" t="str">
        <f>A5617&amp;"-"&amp;B5617&amp;"-"&amp;D5617</f>
        <v>NOVEMBER-MJ1-L5</v>
      </c>
    </row>
    <row r="5618" spans="1:17" x14ac:dyDescent="0.25">
      <c r="A5618" t="s">
        <v>401</v>
      </c>
      <c r="B5618" s="13" t="s">
        <v>25</v>
      </c>
      <c r="C5618" s="13" t="s">
        <v>1921</v>
      </c>
      <c r="D5618" s="14" t="s">
        <v>163</v>
      </c>
      <c r="E5618" s="13" t="s">
        <v>953</v>
      </c>
      <c r="F5618" s="13" t="s">
        <v>1922</v>
      </c>
      <c r="G5618" s="13">
        <v>15.94</v>
      </c>
      <c r="H5618" s="15">
        <v>260</v>
      </c>
      <c r="I5618" s="16">
        <v>4144.3999999999996</v>
      </c>
      <c r="J5618" s="16">
        <v>3056.4096385542171</v>
      </c>
      <c r="K5618" s="16">
        <v>1087.990361445783</v>
      </c>
      <c r="L5618" s="13"/>
      <c r="M5618" s="13"/>
      <c r="N5618" s="17">
        <f t="shared" si="185"/>
        <v>0</v>
      </c>
      <c r="O5618" s="17">
        <f t="shared" si="185"/>
        <v>0</v>
      </c>
      <c r="P5618" s="17">
        <f t="shared" si="184"/>
        <v>0</v>
      </c>
      <c r="Q5618" t="str">
        <f>A5618&amp;"-"&amp;B5618&amp;"-"&amp;D5618</f>
        <v>NOVEMBER-MJ1-L6</v>
      </c>
    </row>
    <row r="5619" spans="1:17" x14ac:dyDescent="0.25">
      <c r="A5619" t="s">
        <v>401</v>
      </c>
      <c r="B5619" s="13" t="s">
        <v>25</v>
      </c>
      <c r="C5619" s="13" t="s">
        <v>952</v>
      </c>
      <c r="D5619" s="14" t="s">
        <v>160</v>
      </c>
      <c r="E5619" s="13" t="s">
        <v>953</v>
      </c>
      <c r="F5619" s="13" t="s">
        <v>1923</v>
      </c>
      <c r="G5619" s="13">
        <v>15.94</v>
      </c>
      <c r="H5619" s="15">
        <v>250</v>
      </c>
      <c r="I5619" s="16">
        <v>3985</v>
      </c>
      <c r="J5619" s="16">
        <v>5824.2771084337346</v>
      </c>
      <c r="K5619" s="16">
        <v>-1839.2771084337348</v>
      </c>
      <c r="L5619" s="13"/>
      <c r="M5619" s="13">
        <v>28.92</v>
      </c>
      <c r="N5619" s="17">
        <f t="shared" si="185"/>
        <v>0</v>
      </c>
      <c r="O5619" s="17">
        <f t="shared" si="185"/>
        <v>7230</v>
      </c>
      <c r="P5619" s="17">
        <f t="shared" si="184"/>
        <v>7230</v>
      </c>
      <c r="Q5619" t="str">
        <f>A5619&amp;"-"&amp;B5619&amp;"-"&amp;D5619</f>
        <v>NOVEMBER-MJ1-L5</v>
      </c>
    </row>
    <row r="5620" spans="1:17" x14ac:dyDescent="0.25">
      <c r="A5620" t="s">
        <v>401</v>
      </c>
      <c r="B5620" s="13" t="s">
        <v>25</v>
      </c>
      <c r="C5620" s="13" t="s">
        <v>952</v>
      </c>
      <c r="D5620" s="14" t="s">
        <v>160</v>
      </c>
      <c r="E5620" s="13" t="s">
        <v>953</v>
      </c>
      <c r="F5620" s="13" t="s">
        <v>1924</v>
      </c>
      <c r="G5620" s="13">
        <v>15.94</v>
      </c>
      <c r="H5620" s="15">
        <v>477</v>
      </c>
      <c r="I5620" s="16">
        <v>7603.38</v>
      </c>
      <c r="J5620" s="16">
        <v>7096</v>
      </c>
      <c r="K5620" s="16">
        <v>507.38000000000022</v>
      </c>
      <c r="L5620" s="13"/>
      <c r="M5620" s="13">
        <v>28.92</v>
      </c>
      <c r="N5620" s="17">
        <f t="shared" si="185"/>
        <v>0</v>
      </c>
      <c r="O5620" s="17">
        <f t="shared" si="185"/>
        <v>13794.84</v>
      </c>
      <c r="P5620" s="17">
        <f t="shared" si="184"/>
        <v>13794.84</v>
      </c>
      <c r="Q5620" t="str">
        <f>A5620&amp;"-"&amp;B5620&amp;"-"&amp;D5620</f>
        <v>NOVEMBER-MJ1-L5</v>
      </c>
    </row>
    <row r="5621" spans="1:17" x14ac:dyDescent="0.25">
      <c r="A5621" t="s">
        <v>401</v>
      </c>
      <c r="B5621" s="13" t="s">
        <v>25</v>
      </c>
      <c r="C5621" s="13" t="s">
        <v>952</v>
      </c>
      <c r="D5621" s="14" t="s">
        <v>163</v>
      </c>
      <c r="E5621" s="13" t="s">
        <v>953</v>
      </c>
      <c r="F5621" s="13" t="s">
        <v>1923</v>
      </c>
      <c r="G5621" s="13">
        <v>15.94</v>
      </c>
      <c r="H5621" s="15">
        <v>250</v>
      </c>
      <c r="I5621" s="16">
        <v>3985</v>
      </c>
      <c r="J5621" s="16">
        <v>5813.5903614457829</v>
      </c>
      <c r="K5621" s="16">
        <v>-1828.5903614457834</v>
      </c>
      <c r="L5621" s="13"/>
      <c r="M5621" s="13">
        <v>28.92</v>
      </c>
      <c r="N5621" s="17">
        <f t="shared" si="185"/>
        <v>0</v>
      </c>
      <c r="O5621" s="17">
        <f t="shared" si="185"/>
        <v>7230</v>
      </c>
      <c r="P5621" s="17">
        <f t="shared" si="184"/>
        <v>7230</v>
      </c>
      <c r="Q5621" t="str">
        <f>A5621&amp;"-"&amp;B5621&amp;"-"&amp;D5621</f>
        <v>NOVEMBER-MJ1-L6</v>
      </c>
    </row>
    <row r="5622" spans="1:17" x14ac:dyDescent="0.25">
      <c r="A5622" t="s">
        <v>401</v>
      </c>
      <c r="B5622" s="13" t="s">
        <v>25</v>
      </c>
      <c r="C5622" s="13" t="s">
        <v>952</v>
      </c>
      <c r="D5622" s="14" t="s">
        <v>163</v>
      </c>
      <c r="E5622" s="13" t="s">
        <v>953</v>
      </c>
      <c r="F5622" s="13" t="s">
        <v>1924</v>
      </c>
      <c r="G5622" s="13">
        <v>15.94</v>
      </c>
      <c r="H5622" s="15">
        <v>477</v>
      </c>
      <c r="I5622" s="16">
        <v>7603.3799999999992</v>
      </c>
      <c r="J5622" s="16">
        <v>7096</v>
      </c>
      <c r="K5622" s="16">
        <v>507.38000000000011</v>
      </c>
      <c r="L5622" s="13"/>
      <c r="M5622" s="13">
        <v>28.92</v>
      </c>
      <c r="N5622" s="17">
        <f t="shared" si="185"/>
        <v>0</v>
      </c>
      <c r="O5622" s="17">
        <f t="shared" si="185"/>
        <v>13794.84</v>
      </c>
      <c r="P5622" s="17">
        <f t="shared" si="184"/>
        <v>13794.84</v>
      </c>
      <c r="Q5622" t="str">
        <f>A5622&amp;"-"&amp;B5622&amp;"-"&amp;D5622</f>
        <v>NOVEMBER-MJ1-L6</v>
      </c>
    </row>
    <row r="5623" spans="1:17" x14ac:dyDescent="0.25">
      <c r="A5623" t="s">
        <v>401</v>
      </c>
      <c r="B5623" s="13" t="s">
        <v>26</v>
      </c>
      <c r="C5623" s="13" t="s">
        <v>226</v>
      </c>
      <c r="D5623" s="14" t="s">
        <v>44</v>
      </c>
      <c r="E5623" s="13" t="s">
        <v>61</v>
      </c>
      <c r="F5623" s="13" t="s">
        <v>1925</v>
      </c>
      <c r="G5623" s="13">
        <v>0.79</v>
      </c>
      <c r="H5623" s="15">
        <v>4541</v>
      </c>
      <c r="I5623" s="16">
        <v>3587.3900000000003</v>
      </c>
      <c r="J5623" s="16">
        <v>2230.1069217553268</v>
      </c>
      <c r="K5623" s="16">
        <v>1357.2830782446736</v>
      </c>
      <c r="L5623" s="13">
        <v>1.86</v>
      </c>
      <c r="M5623" s="13"/>
      <c r="N5623" s="17">
        <f t="shared" si="185"/>
        <v>8446.26</v>
      </c>
      <c r="O5623" s="17">
        <f t="shared" si="185"/>
        <v>0</v>
      </c>
      <c r="P5623" s="17">
        <f t="shared" si="184"/>
        <v>8446.26</v>
      </c>
      <c r="Q5623" t="str">
        <f>A5623&amp;"-"&amp;B5623&amp;"-"&amp;D5623</f>
        <v>NOVEMBER-MJ2-L1</v>
      </c>
    </row>
    <row r="5624" spans="1:17" x14ac:dyDescent="0.25">
      <c r="A5624" t="s">
        <v>401</v>
      </c>
      <c r="B5624" s="13" t="s">
        <v>26</v>
      </c>
      <c r="C5624" s="13" t="s">
        <v>226</v>
      </c>
      <c r="D5624" s="14" t="s">
        <v>44</v>
      </c>
      <c r="E5624" s="13" t="s">
        <v>61</v>
      </c>
      <c r="F5624" s="13" t="s">
        <v>1752</v>
      </c>
      <c r="G5624" s="13">
        <v>0.67999999999999994</v>
      </c>
      <c r="H5624" s="15">
        <v>8067</v>
      </c>
      <c r="I5624" s="16">
        <v>5485.5599999999986</v>
      </c>
      <c r="J5624" s="16">
        <v>4226.2775434006444</v>
      </c>
      <c r="K5624" s="16">
        <v>1259.2824565993553</v>
      </c>
      <c r="L5624" s="13">
        <v>1.61</v>
      </c>
      <c r="M5624" s="13"/>
      <c r="N5624" s="17">
        <f t="shared" si="185"/>
        <v>12987.87</v>
      </c>
      <c r="O5624" s="17">
        <f t="shared" si="185"/>
        <v>0</v>
      </c>
      <c r="P5624" s="17">
        <f t="shared" si="184"/>
        <v>12987.87</v>
      </c>
      <c r="Q5624" t="str">
        <f>A5624&amp;"-"&amp;B5624&amp;"-"&amp;D5624</f>
        <v>NOVEMBER-MJ2-L1</v>
      </c>
    </row>
    <row r="5625" spans="1:17" x14ac:dyDescent="0.25">
      <c r="A5625" t="s">
        <v>401</v>
      </c>
      <c r="B5625" s="13" t="s">
        <v>26</v>
      </c>
      <c r="C5625" s="13" t="s">
        <v>226</v>
      </c>
      <c r="D5625" s="14" t="s">
        <v>44</v>
      </c>
      <c r="E5625" s="13" t="s">
        <v>61</v>
      </c>
      <c r="F5625" s="13" t="s">
        <v>1926</v>
      </c>
      <c r="G5625" s="13">
        <v>0.71</v>
      </c>
      <c r="H5625" s="15">
        <v>7856</v>
      </c>
      <c r="I5625" s="16">
        <v>5577.7599999999993</v>
      </c>
      <c r="J5625" s="16">
        <v>3073.1924139504295</v>
      </c>
      <c r="K5625" s="16">
        <v>2504.5675860495699</v>
      </c>
      <c r="L5625" s="13">
        <v>1.29</v>
      </c>
      <c r="M5625" s="13"/>
      <c r="N5625" s="17">
        <f t="shared" si="185"/>
        <v>10134.24</v>
      </c>
      <c r="O5625" s="17">
        <f t="shared" si="185"/>
        <v>0</v>
      </c>
      <c r="P5625" s="17">
        <f t="shared" si="184"/>
        <v>10134.24</v>
      </c>
      <c r="Q5625" t="str">
        <f>A5625&amp;"-"&amp;B5625&amp;"-"&amp;D5625</f>
        <v>NOVEMBER-MJ2-L1</v>
      </c>
    </row>
    <row r="5626" spans="1:17" x14ac:dyDescent="0.25">
      <c r="A5626" t="s">
        <v>401</v>
      </c>
      <c r="B5626" s="13" t="s">
        <v>26</v>
      </c>
      <c r="C5626" s="13" t="s">
        <v>226</v>
      </c>
      <c r="D5626" s="14" t="s">
        <v>44</v>
      </c>
      <c r="E5626" s="13" t="s">
        <v>61</v>
      </c>
      <c r="F5626" s="13" t="s">
        <v>1927</v>
      </c>
      <c r="G5626" s="13">
        <v>0.71</v>
      </c>
      <c r="H5626" s="15">
        <v>8397</v>
      </c>
      <c r="I5626" s="16">
        <v>5961.869999999999</v>
      </c>
      <c r="J5626" s="16">
        <v>3419.4579330275546</v>
      </c>
      <c r="K5626" s="16">
        <v>2542.4120669724448</v>
      </c>
      <c r="L5626" s="13">
        <v>1.29</v>
      </c>
      <c r="M5626" s="13"/>
      <c r="N5626" s="17">
        <f t="shared" si="185"/>
        <v>10832.130000000001</v>
      </c>
      <c r="O5626" s="17">
        <f t="shared" si="185"/>
        <v>0</v>
      </c>
      <c r="P5626" s="17">
        <f t="shared" si="184"/>
        <v>10832.130000000001</v>
      </c>
      <c r="Q5626" t="str">
        <f>A5626&amp;"-"&amp;B5626&amp;"-"&amp;D5626</f>
        <v>NOVEMBER-MJ2-L1</v>
      </c>
    </row>
    <row r="5627" spans="1:17" x14ac:dyDescent="0.25">
      <c r="A5627" t="s">
        <v>401</v>
      </c>
      <c r="B5627" s="13" t="s">
        <v>26</v>
      </c>
      <c r="C5627" s="13" t="s">
        <v>226</v>
      </c>
      <c r="D5627" s="14" t="s">
        <v>44</v>
      </c>
      <c r="E5627" s="13" t="s">
        <v>61</v>
      </c>
      <c r="F5627" s="13" t="s">
        <v>1928</v>
      </c>
      <c r="G5627" s="13">
        <v>0.71000000000000008</v>
      </c>
      <c r="H5627" s="15">
        <v>11357</v>
      </c>
      <c r="I5627" s="16">
        <v>8063.4700000000012</v>
      </c>
      <c r="J5627" s="16">
        <v>4489.1099772882535</v>
      </c>
      <c r="K5627" s="16">
        <v>3574.3600227117458</v>
      </c>
      <c r="L5627" s="13">
        <v>1.29</v>
      </c>
      <c r="M5627" s="13"/>
      <c r="N5627" s="17">
        <f t="shared" si="185"/>
        <v>14650.53</v>
      </c>
      <c r="O5627" s="17">
        <f t="shared" si="185"/>
        <v>0</v>
      </c>
      <c r="P5627" s="17">
        <f t="shared" si="184"/>
        <v>14650.53</v>
      </c>
      <c r="Q5627" t="str">
        <f>A5627&amp;"-"&amp;B5627&amp;"-"&amp;D5627</f>
        <v>NOVEMBER-MJ2-L1</v>
      </c>
    </row>
    <row r="5628" spans="1:17" x14ac:dyDescent="0.25">
      <c r="A5628" t="s">
        <v>401</v>
      </c>
      <c r="B5628" s="13" t="s">
        <v>26</v>
      </c>
      <c r="C5628" s="13" t="s">
        <v>226</v>
      </c>
      <c r="D5628" s="14" t="s">
        <v>44</v>
      </c>
      <c r="E5628" s="13" t="s">
        <v>61</v>
      </c>
      <c r="F5628" s="13" t="s">
        <v>1929</v>
      </c>
      <c r="G5628" s="13">
        <v>0.71</v>
      </c>
      <c r="H5628" s="15">
        <v>7775</v>
      </c>
      <c r="I5628" s="16">
        <v>5520.25</v>
      </c>
      <c r="J5628" s="16">
        <v>3511.67315325051</v>
      </c>
      <c r="K5628" s="16">
        <v>2008.57684674949</v>
      </c>
      <c r="L5628" s="13">
        <v>1.29</v>
      </c>
      <c r="M5628" s="13"/>
      <c r="N5628" s="17">
        <f t="shared" si="185"/>
        <v>10029.75</v>
      </c>
      <c r="O5628" s="17">
        <f t="shared" si="185"/>
        <v>0</v>
      </c>
      <c r="P5628" s="17">
        <f t="shared" si="184"/>
        <v>10029.75</v>
      </c>
      <c r="Q5628" t="str">
        <f>A5628&amp;"-"&amp;B5628&amp;"-"&amp;D5628</f>
        <v>NOVEMBER-MJ2-L1</v>
      </c>
    </row>
    <row r="5629" spans="1:17" x14ac:dyDescent="0.25">
      <c r="A5629" t="s">
        <v>401</v>
      </c>
      <c r="B5629" s="13" t="s">
        <v>26</v>
      </c>
      <c r="C5629" s="13" t="s">
        <v>226</v>
      </c>
      <c r="D5629" s="14" t="s">
        <v>44</v>
      </c>
      <c r="E5629" s="13" t="s">
        <v>61</v>
      </c>
      <c r="F5629" s="13" t="s">
        <v>1930</v>
      </c>
      <c r="G5629" s="13">
        <v>0.71</v>
      </c>
      <c r="H5629" s="15">
        <v>5113</v>
      </c>
      <c r="I5629" s="16">
        <v>3630.23</v>
      </c>
      <c r="J5629" s="16">
        <v>2065.3795065857794</v>
      </c>
      <c r="K5629" s="16">
        <v>1564.8504934142204</v>
      </c>
      <c r="L5629" s="13">
        <v>1.29</v>
      </c>
      <c r="M5629" s="13"/>
      <c r="N5629" s="17">
        <f t="shared" si="185"/>
        <v>6595.77</v>
      </c>
      <c r="O5629" s="17">
        <f t="shared" si="185"/>
        <v>0</v>
      </c>
      <c r="P5629" s="17">
        <f t="shared" si="184"/>
        <v>6595.77</v>
      </c>
      <c r="Q5629" t="str">
        <f>A5629&amp;"-"&amp;B5629&amp;"-"&amp;D5629</f>
        <v>NOVEMBER-MJ2-L1</v>
      </c>
    </row>
    <row r="5630" spans="1:17" x14ac:dyDescent="0.25">
      <c r="A5630" t="s">
        <v>401</v>
      </c>
      <c r="B5630" s="13" t="s">
        <v>26</v>
      </c>
      <c r="C5630" s="13" t="s">
        <v>226</v>
      </c>
      <c r="D5630" s="14" t="s">
        <v>44</v>
      </c>
      <c r="E5630" s="13" t="s">
        <v>61</v>
      </c>
      <c r="F5630" s="13" t="s">
        <v>1753</v>
      </c>
      <c r="G5630" s="13">
        <v>0.81</v>
      </c>
      <c r="H5630" s="15">
        <v>102</v>
      </c>
      <c r="I5630" s="16">
        <v>82.62</v>
      </c>
      <c r="J5630" s="16">
        <v>57.050327744705179</v>
      </c>
      <c r="K5630" s="16">
        <v>25.569672255294819</v>
      </c>
      <c r="L5630" s="13">
        <v>2.21</v>
      </c>
      <c r="M5630" s="13"/>
      <c r="N5630" s="17">
        <f t="shared" si="185"/>
        <v>225.42</v>
      </c>
      <c r="O5630" s="17">
        <f t="shared" si="185"/>
        <v>0</v>
      </c>
      <c r="P5630" s="17">
        <f t="shared" si="184"/>
        <v>225.42</v>
      </c>
      <c r="Q5630" t="str">
        <f>A5630&amp;"-"&amp;B5630&amp;"-"&amp;D5630</f>
        <v>NOVEMBER-MJ2-L1</v>
      </c>
    </row>
    <row r="5631" spans="1:17" x14ac:dyDescent="0.25">
      <c r="A5631" t="s">
        <v>401</v>
      </c>
      <c r="B5631" s="13" t="s">
        <v>26</v>
      </c>
      <c r="C5631" s="13" t="s">
        <v>226</v>
      </c>
      <c r="D5631" s="14" t="s">
        <v>44</v>
      </c>
      <c r="E5631" s="13" t="s">
        <v>61</v>
      </c>
      <c r="F5631" s="13" t="s">
        <v>1754</v>
      </c>
      <c r="G5631" s="13">
        <v>0.81</v>
      </c>
      <c r="H5631" s="15">
        <v>65</v>
      </c>
      <c r="I5631" s="16">
        <v>52.65</v>
      </c>
      <c r="J5631" s="16">
        <v>36.581875993640701</v>
      </c>
      <c r="K5631" s="16">
        <v>16.068124006359298</v>
      </c>
      <c r="L5631" s="13">
        <v>2.21</v>
      </c>
      <c r="M5631" s="13"/>
      <c r="N5631" s="17">
        <f t="shared" si="185"/>
        <v>143.65</v>
      </c>
      <c r="O5631" s="17">
        <f t="shared" si="185"/>
        <v>0</v>
      </c>
      <c r="P5631" s="17">
        <f t="shared" si="184"/>
        <v>143.65</v>
      </c>
      <c r="Q5631" t="str">
        <f>A5631&amp;"-"&amp;B5631&amp;"-"&amp;D5631</f>
        <v>NOVEMBER-MJ2-L1</v>
      </c>
    </row>
    <row r="5632" spans="1:17" x14ac:dyDescent="0.25">
      <c r="A5632" t="s">
        <v>401</v>
      </c>
      <c r="B5632" s="13" t="s">
        <v>26</v>
      </c>
      <c r="C5632" s="13" t="s">
        <v>226</v>
      </c>
      <c r="D5632" s="14" t="s">
        <v>44</v>
      </c>
      <c r="E5632" s="13" t="s">
        <v>61</v>
      </c>
      <c r="F5632" s="13" t="s">
        <v>1755</v>
      </c>
      <c r="G5632" s="13">
        <v>0.83</v>
      </c>
      <c r="H5632" s="15">
        <v>457</v>
      </c>
      <c r="I5632" s="16">
        <v>379.31</v>
      </c>
      <c r="J5632" s="16">
        <v>255.17034700315457</v>
      </c>
      <c r="K5632" s="16">
        <v>124.13965299684543</v>
      </c>
      <c r="L5632" s="13">
        <v>2.13</v>
      </c>
      <c r="M5632" s="13"/>
      <c r="N5632" s="17">
        <f t="shared" si="185"/>
        <v>973.41</v>
      </c>
      <c r="O5632" s="17">
        <f t="shared" si="185"/>
        <v>0</v>
      </c>
      <c r="P5632" s="17">
        <f t="shared" si="184"/>
        <v>973.41</v>
      </c>
      <c r="Q5632" t="str">
        <f>A5632&amp;"-"&amp;B5632&amp;"-"&amp;D5632</f>
        <v>NOVEMBER-MJ2-L1</v>
      </c>
    </row>
    <row r="5633" spans="1:17" x14ac:dyDescent="0.25">
      <c r="A5633" t="s">
        <v>401</v>
      </c>
      <c r="B5633" s="13" t="s">
        <v>26</v>
      </c>
      <c r="C5633" s="13" t="s">
        <v>226</v>
      </c>
      <c r="D5633" s="14" t="s">
        <v>301</v>
      </c>
      <c r="E5633" s="13" t="s">
        <v>61</v>
      </c>
      <c r="F5633" s="13" t="s">
        <v>1931</v>
      </c>
      <c r="G5633" s="13">
        <v>0.68</v>
      </c>
      <c r="H5633" s="15">
        <v>1115</v>
      </c>
      <c r="I5633" s="16">
        <v>758.2</v>
      </c>
      <c r="J5633" s="16">
        <v>728.69538461538457</v>
      </c>
      <c r="K5633" s="16">
        <v>29.504615384615477</v>
      </c>
      <c r="L5633" s="13">
        <v>1.69</v>
      </c>
      <c r="M5633" s="13"/>
      <c r="N5633" s="17">
        <f t="shared" si="185"/>
        <v>1884.35</v>
      </c>
      <c r="O5633" s="17">
        <f t="shared" si="185"/>
        <v>0</v>
      </c>
      <c r="P5633" s="17">
        <f t="shared" si="184"/>
        <v>1884.35</v>
      </c>
      <c r="Q5633" t="str">
        <f>A5633&amp;"-"&amp;B5633&amp;"-"&amp;D5633</f>
        <v>NOVEMBER-MJ2-L10</v>
      </c>
    </row>
    <row r="5634" spans="1:17" x14ac:dyDescent="0.25">
      <c r="A5634" t="s">
        <v>401</v>
      </c>
      <c r="B5634" s="13" t="s">
        <v>26</v>
      </c>
      <c r="C5634" s="13" t="s">
        <v>226</v>
      </c>
      <c r="D5634" s="14" t="s">
        <v>301</v>
      </c>
      <c r="E5634" s="13" t="s">
        <v>61</v>
      </c>
      <c r="F5634" s="13" t="s">
        <v>1752</v>
      </c>
      <c r="G5634" s="13">
        <v>0.68</v>
      </c>
      <c r="H5634" s="15">
        <v>24</v>
      </c>
      <c r="I5634" s="16">
        <v>16.32</v>
      </c>
      <c r="J5634" s="16">
        <v>19.23622641509434</v>
      </c>
      <c r="K5634" s="16">
        <v>-2.9162264150943393</v>
      </c>
      <c r="L5634" s="13">
        <v>1.61</v>
      </c>
      <c r="M5634" s="13"/>
      <c r="N5634" s="17">
        <f t="shared" si="185"/>
        <v>38.64</v>
      </c>
      <c r="O5634" s="17">
        <f t="shared" si="185"/>
        <v>0</v>
      </c>
      <c r="P5634" s="17">
        <f t="shared" ref="P5634:P5697" si="186">N5634+O5634</f>
        <v>38.64</v>
      </c>
      <c r="Q5634" t="str">
        <f>A5634&amp;"-"&amp;B5634&amp;"-"&amp;D5634</f>
        <v>NOVEMBER-MJ2-L10</v>
      </c>
    </row>
    <row r="5635" spans="1:17" x14ac:dyDescent="0.25">
      <c r="A5635" t="s">
        <v>401</v>
      </c>
      <c r="B5635" s="13" t="s">
        <v>26</v>
      </c>
      <c r="C5635" s="13" t="s">
        <v>226</v>
      </c>
      <c r="D5635" s="14" t="s">
        <v>301</v>
      </c>
      <c r="E5635" s="13" t="s">
        <v>61</v>
      </c>
      <c r="F5635" s="13" t="s">
        <v>1932</v>
      </c>
      <c r="G5635" s="13">
        <v>0.68</v>
      </c>
      <c r="H5635" s="15">
        <v>319</v>
      </c>
      <c r="I5635" s="16">
        <v>216.92</v>
      </c>
      <c r="J5635" s="16">
        <v>222.14950819672131</v>
      </c>
      <c r="K5635" s="16">
        <v>-5.2295081967213264</v>
      </c>
      <c r="L5635" s="13">
        <v>1.7</v>
      </c>
      <c r="M5635" s="13"/>
      <c r="N5635" s="17">
        <f t="shared" si="185"/>
        <v>542.29999999999995</v>
      </c>
      <c r="O5635" s="17">
        <f t="shared" si="185"/>
        <v>0</v>
      </c>
      <c r="P5635" s="17">
        <f t="shared" si="186"/>
        <v>542.29999999999995</v>
      </c>
      <c r="Q5635" t="str">
        <f>A5635&amp;"-"&amp;B5635&amp;"-"&amp;D5635</f>
        <v>NOVEMBER-MJ2-L10</v>
      </c>
    </row>
    <row r="5636" spans="1:17" x14ac:dyDescent="0.25">
      <c r="A5636" t="s">
        <v>401</v>
      </c>
      <c r="B5636" s="13" t="s">
        <v>26</v>
      </c>
      <c r="C5636" s="13" t="s">
        <v>226</v>
      </c>
      <c r="D5636" s="14" t="s">
        <v>301</v>
      </c>
      <c r="E5636" s="13" t="s">
        <v>61</v>
      </c>
      <c r="F5636" s="13" t="s">
        <v>1933</v>
      </c>
      <c r="G5636" s="13">
        <v>0.68</v>
      </c>
      <c r="H5636" s="15">
        <v>3039</v>
      </c>
      <c r="I5636" s="16">
        <v>2066.52</v>
      </c>
      <c r="J5636" s="16">
        <v>2429.7169172946205</v>
      </c>
      <c r="K5636" s="16">
        <v>-363.19691729462039</v>
      </c>
      <c r="L5636" s="13">
        <v>1.7</v>
      </c>
      <c r="M5636" s="13"/>
      <c r="N5636" s="17">
        <f t="shared" si="185"/>
        <v>5166.3</v>
      </c>
      <c r="O5636" s="17">
        <f t="shared" si="185"/>
        <v>0</v>
      </c>
      <c r="P5636" s="17">
        <f t="shared" si="186"/>
        <v>5166.3</v>
      </c>
      <c r="Q5636" t="str">
        <f>A5636&amp;"-"&amp;B5636&amp;"-"&amp;D5636</f>
        <v>NOVEMBER-MJ2-L10</v>
      </c>
    </row>
    <row r="5637" spans="1:17" x14ac:dyDescent="0.25">
      <c r="A5637" t="s">
        <v>401</v>
      </c>
      <c r="B5637" s="13" t="s">
        <v>26</v>
      </c>
      <c r="C5637" s="13" t="s">
        <v>226</v>
      </c>
      <c r="D5637" s="14" t="s">
        <v>301</v>
      </c>
      <c r="E5637" s="13" t="s">
        <v>61</v>
      </c>
      <c r="F5637" s="13" t="s">
        <v>1762</v>
      </c>
      <c r="G5637" s="13">
        <v>0.79</v>
      </c>
      <c r="H5637" s="15">
        <v>1047</v>
      </c>
      <c r="I5637" s="16">
        <v>827.13</v>
      </c>
      <c r="J5637" s="16">
        <v>730.54356554653646</v>
      </c>
      <c r="K5637" s="16">
        <v>96.586434453463539</v>
      </c>
      <c r="L5637" s="13">
        <v>2</v>
      </c>
      <c r="M5637" s="13"/>
      <c r="N5637" s="17">
        <f t="shared" si="185"/>
        <v>2094</v>
      </c>
      <c r="O5637" s="17">
        <f t="shared" si="185"/>
        <v>0</v>
      </c>
      <c r="P5637" s="17">
        <f t="shared" si="186"/>
        <v>2094</v>
      </c>
      <c r="Q5637" t="str">
        <f>A5637&amp;"-"&amp;B5637&amp;"-"&amp;D5637</f>
        <v>NOVEMBER-MJ2-L10</v>
      </c>
    </row>
    <row r="5638" spans="1:17" x14ac:dyDescent="0.25">
      <c r="A5638" t="s">
        <v>401</v>
      </c>
      <c r="B5638" s="13" t="s">
        <v>26</v>
      </c>
      <c r="C5638" s="13" t="s">
        <v>226</v>
      </c>
      <c r="D5638" s="14" t="s">
        <v>301</v>
      </c>
      <c r="E5638" s="13" t="s">
        <v>61</v>
      </c>
      <c r="F5638" s="13" t="s">
        <v>1934</v>
      </c>
      <c r="G5638" s="13">
        <v>0.79</v>
      </c>
      <c r="H5638" s="15">
        <v>1695</v>
      </c>
      <c r="I5638" s="16">
        <v>1339.05</v>
      </c>
      <c r="J5638" s="16">
        <v>1092.1770491803279</v>
      </c>
      <c r="K5638" s="16">
        <v>246.87295081967201</v>
      </c>
      <c r="L5638" s="13">
        <v>2</v>
      </c>
      <c r="M5638" s="13"/>
      <c r="N5638" s="17">
        <f t="shared" si="185"/>
        <v>3390</v>
      </c>
      <c r="O5638" s="17">
        <f t="shared" si="185"/>
        <v>0</v>
      </c>
      <c r="P5638" s="17">
        <f t="shared" si="186"/>
        <v>3390</v>
      </c>
      <c r="Q5638" t="str">
        <f>A5638&amp;"-"&amp;B5638&amp;"-"&amp;D5638</f>
        <v>NOVEMBER-MJ2-L10</v>
      </c>
    </row>
    <row r="5639" spans="1:17" x14ac:dyDescent="0.25">
      <c r="A5639" t="s">
        <v>401</v>
      </c>
      <c r="B5639" s="13" t="s">
        <v>26</v>
      </c>
      <c r="C5639" s="13" t="s">
        <v>226</v>
      </c>
      <c r="D5639" s="14" t="s">
        <v>301</v>
      </c>
      <c r="E5639" s="13" t="s">
        <v>61</v>
      </c>
      <c r="F5639" s="13" t="s">
        <v>1764</v>
      </c>
      <c r="G5639" s="13">
        <v>0.77</v>
      </c>
      <c r="H5639" s="15">
        <v>95</v>
      </c>
      <c r="I5639" s="16">
        <v>73.149999999999991</v>
      </c>
      <c r="J5639" s="16">
        <v>68.251087122596076</v>
      </c>
      <c r="K5639" s="16">
        <v>4.8989128774039266</v>
      </c>
      <c r="L5639" s="13">
        <v>2.15</v>
      </c>
      <c r="M5639" s="13"/>
      <c r="N5639" s="17">
        <f t="shared" si="185"/>
        <v>204.25</v>
      </c>
      <c r="O5639" s="17">
        <f t="shared" si="185"/>
        <v>0</v>
      </c>
      <c r="P5639" s="17">
        <f t="shared" si="186"/>
        <v>204.25</v>
      </c>
      <c r="Q5639" t="str">
        <f>A5639&amp;"-"&amp;B5639&amp;"-"&amp;D5639</f>
        <v>NOVEMBER-MJ2-L10</v>
      </c>
    </row>
    <row r="5640" spans="1:17" x14ac:dyDescent="0.25">
      <c r="A5640" t="s">
        <v>401</v>
      </c>
      <c r="B5640" s="13" t="s">
        <v>26</v>
      </c>
      <c r="C5640" s="13" t="s">
        <v>226</v>
      </c>
      <c r="D5640" s="14" t="s">
        <v>301</v>
      </c>
      <c r="E5640" s="13" t="s">
        <v>61</v>
      </c>
      <c r="F5640" s="13" t="s">
        <v>1935</v>
      </c>
      <c r="G5640" s="13">
        <v>0.8</v>
      </c>
      <c r="H5640" s="15">
        <v>2797</v>
      </c>
      <c r="I5640" s="16">
        <v>2237.6</v>
      </c>
      <c r="J5640" s="16">
        <v>1933.2572146230357</v>
      </c>
      <c r="K5640" s="16">
        <v>304.34278537696423</v>
      </c>
      <c r="L5640" s="13">
        <v>2.0699999999999998</v>
      </c>
      <c r="M5640" s="13"/>
      <c r="N5640" s="17">
        <f t="shared" si="185"/>
        <v>5789.79</v>
      </c>
      <c r="O5640" s="17">
        <f t="shared" si="185"/>
        <v>0</v>
      </c>
      <c r="P5640" s="17">
        <f t="shared" si="186"/>
        <v>5789.79</v>
      </c>
      <c r="Q5640" t="str">
        <f>A5640&amp;"-"&amp;B5640&amp;"-"&amp;D5640</f>
        <v>NOVEMBER-MJ2-L10</v>
      </c>
    </row>
    <row r="5641" spans="1:17" x14ac:dyDescent="0.25">
      <c r="A5641" t="s">
        <v>401</v>
      </c>
      <c r="B5641" s="13" t="s">
        <v>26</v>
      </c>
      <c r="C5641" s="13" t="s">
        <v>226</v>
      </c>
      <c r="D5641" s="14" t="s">
        <v>301</v>
      </c>
      <c r="E5641" s="13" t="s">
        <v>61</v>
      </c>
      <c r="F5641" s="13" t="s">
        <v>1936</v>
      </c>
      <c r="G5641" s="13">
        <v>0.8</v>
      </c>
      <c r="H5641" s="15">
        <v>1884</v>
      </c>
      <c r="I5641" s="16">
        <v>1507.2</v>
      </c>
      <c r="J5641" s="16">
        <v>1271.1356557377048</v>
      </c>
      <c r="K5641" s="16">
        <v>236.06434426229509</v>
      </c>
      <c r="L5641" s="13">
        <v>2.0699999999999998</v>
      </c>
      <c r="M5641" s="13"/>
      <c r="N5641" s="17">
        <f t="shared" si="185"/>
        <v>3899.8799999999997</v>
      </c>
      <c r="O5641" s="17">
        <f t="shared" si="185"/>
        <v>0</v>
      </c>
      <c r="P5641" s="17">
        <f t="shared" si="186"/>
        <v>3899.8799999999997</v>
      </c>
      <c r="Q5641" t="str">
        <f>A5641&amp;"-"&amp;B5641&amp;"-"&amp;D5641</f>
        <v>NOVEMBER-MJ2-L10</v>
      </c>
    </row>
    <row r="5642" spans="1:17" x14ac:dyDescent="0.25">
      <c r="A5642" t="s">
        <v>401</v>
      </c>
      <c r="B5642" s="13" t="s">
        <v>26</v>
      </c>
      <c r="C5642" s="13" t="s">
        <v>226</v>
      </c>
      <c r="D5642" s="14" t="s">
        <v>301</v>
      </c>
      <c r="E5642" s="13" t="s">
        <v>61</v>
      </c>
      <c r="F5642" s="13" t="s">
        <v>1937</v>
      </c>
      <c r="G5642" s="13">
        <v>0.78</v>
      </c>
      <c r="H5642" s="15">
        <v>1192</v>
      </c>
      <c r="I5642" s="16">
        <v>929.76</v>
      </c>
      <c r="J5642" s="16">
        <v>782.43300627760982</v>
      </c>
      <c r="K5642" s="16">
        <v>147.32699372239011</v>
      </c>
      <c r="L5642" s="13">
        <v>2.2200000000000002</v>
      </c>
      <c r="M5642" s="13"/>
      <c r="N5642" s="17">
        <f t="shared" si="185"/>
        <v>2646.2400000000002</v>
      </c>
      <c r="O5642" s="17">
        <f t="shared" si="185"/>
        <v>0</v>
      </c>
      <c r="P5642" s="17">
        <f t="shared" si="186"/>
        <v>2646.2400000000002</v>
      </c>
      <c r="Q5642" t="str">
        <f>A5642&amp;"-"&amp;B5642&amp;"-"&amp;D5642</f>
        <v>NOVEMBER-MJ2-L10</v>
      </c>
    </row>
    <row r="5643" spans="1:17" x14ac:dyDescent="0.25">
      <c r="A5643" t="s">
        <v>401</v>
      </c>
      <c r="B5643" s="13" t="s">
        <v>26</v>
      </c>
      <c r="C5643" s="13" t="s">
        <v>226</v>
      </c>
      <c r="D5643" s="14" t="s">
        <v>301</v>
      </c>
      <c r="E5643" s="13" t="s">
        <v>61</v>
      </c>
      <c r="F5643" s="13" t="s">
        <v>1938</v>
      </c>
      <c r="G5643" s="13">
        <v>0.78</v>
      </c>
      <c r="H5643" s="15">
        <v>123</v>
      </c>
      <c r="I5643" s="16">
        <v>95.94</v>
      </c>
      <c r="J5643" s="16">
        <v>81.641249999999999</v>
      </c>
      <c r="K5643" s="16">
        <v>14.298749999999998</v>
      </c>
      <c r="L5643" s="13">
        <v>2.2200000000000002</v>
      </c>
      <c r="M5643" s="13"/>
      <c r="N5643" s="17">
        <f t="shared" si="185"/>
        <v>273.06</v>
      </c>
      <c r="O5643" s="17">
        <f t="shared" si="185"/>
        <v>0</v>
      </c>
      <c r="P5643" s="17">
        <f t="shared" si="186"/>
        <v>273.06</v>
      </c>
      <c r="Q5643" t="str">
        <f>A5643&amp;"-"&amp;B5643&amp;"-"&amp;D5643</f>
        <v>NOVEMBER-MJ2-L10</v>
      </c>
    </row>
    <row r="5644" spans="1:17" x14ac:dyDescent="0.25">
      <c r="A5644" t="s">
        <v>401</v>
      </c>
      <c r="B5644" s="13" t="s">
        <v>26</v>
      </c>
      <c r="C5644" s="13" t="s">
        <v>226</v>
      </c>
      <c r="D5644" s="14" t="s">
        <v>301</v>
      </c>
      <c r="E5644" s="13" t="s">
        <v>61</v>
      </c>
      <c r="F5644" s="13" t="s">
        <v>1939</v>
      </c>
      <c r="G5644" s="13">
        <v>0.79</v>
      </c>
      <c r="H5644" s="15">
        <v>1855</v>
      </c>
      <c r="I5644" s="16">
        <v>1465.45</v>
      </c>
      <c r="J5644" s="16">
        <v>1398.7397898359059</v>
      </c>
      <c r="K5644" s="16">
        <v>66.710210164094278</v>
      </c>
      <c r="L5644" s="13">
        <v>2</v>
      </c>
      <c r="M5644" s="13"/>
      <c r="N5644" s="17">
        <f t="shared" si="185"/>
        <v>3710</v>
      </c>
      <c r="O5644" s="17">
        <f t="shared" si="185"/>
        <v>0</v>
      </c>
      <c r="P5644" s="17">
        <f t="shared" si="186"/>
        <v>3710</v>
      </c>
      <c r="Q5644" t="str">
        <f>A5644&amp;"-"&amp;B5644&amp;"-"&amp;D5644</f>
        <v>NOVEMBER-MJ2-L10</v>
      </c>
    </row>
    <row r="5645" spans="1:17" x14ac:dyDescent="0.25">
      <c r="A5645" t="s">
        <v>401</v>
      </c>
      <c r="B5645" s="13" t="s">
        <v>26</v>
      </c>
      <c r="C5645" s="13" t="s">
        <v>226</v>
      </c>
      <c r="D5645" s="14" t="s">
        <v>301</v>
      </c>
      <c r="E5645" s="13" t="s">
        <v>61</v>
      </c>
      <c r="F5645" s="13" t="s">
        <v>1940</v>
      </c>
      <c r="G5645" s="13">
        <v>0.79</v>
      </c>
      <c r="H5645" s="15">
        <v>1092</v>
      </c>
      <c r="I5645" s="16">
        <v>862.68000000000006</v>
      </c>
      <c r="J5645" s="16">
        <v>728.31931804213457</v>
      </c>
      <c r="K5645" s="16">
        <v>134.36068195786547</v>
      </c>
      <c r="L5645" s="13">
        <v>2</v>
      </c>
      <c r="M5645" s="13"/>
      <c r="N5645" s="17">
        <f t="shared" si="185"/>
        <v>2184</v>
      </c>
      <c r="O5645" s="17">
        <f t="shared" si="185"/>
        <v>0</v>
      </c>
      <c r="P5645" s="17">
        <f t="shared" si="186"/>
        <v>2184</v>
      </c>
      <c r="Q5645" t="str">
        <f>A5645&amp;"-"&amp;B5645&amp;"-"&amp;D5645</f>
        <v>NOVEMBER-MJ2-L10</v>
      </c>
    </row>
    <row r="5646" spans="1:17" x14ac:dyDescent="0.25">
      <c r="A5646" t="s">
        <v>401</v>
      </c>
      <c r="B5646" s="13" t="s">
        <v>26</v>
      </c>
      <c r="C5646" s="13" t="s">
        <v>226</v>
      </c>
      <c r="D5646" s="14" t="s">
        <v>301</v>
      </c>
      <c r="E5646" s="13" t="s">
        <v>61</v>
      </c>
      <c r="F5646" s="13" t="s">
        <v>1941</v>
      </c>
      <c r="G5646" s="13">
        <v>0.77</v>
      </c>
      <c r="H5646" s="15">
        <v>446</v>
      </c>
      <c r="I5646" s="16">
        <v>343.41999999999996</v>
      </c>
      <c r="J5646" s="16">
        <v>339.08139792331622</v>
      </c>
      <c r="K5646" s="16">
        <v>4.3386020766837454</v>
      </c>
      <c r="L5646" s="13">
        <v>2.15</v>
      </c>
      <c r="M5646" s="13"/>
      <c r="N5646" s="17">
        <f t="shared" si="185"/>
        <v>958.9</v>
      </c>
      <c r="O5646" s="17">
        <f t="shared" si="185"/>
        <v>0</v>
      </c>
      <c r="P5646" s="17">
        <f t="shared" si="186"/>
        <v>958.9</v>
      </c>
      <c r="Q5646" t="str">
        <f>A5646&amp;"-"&amp;B5646&amp;"-"&amp;D5646</f>
        <v>NOVEMBER-MJ2-L10</v>
      </c>
    </row>
    <row r="5647" spans="1:17" x14ac:dyDescent="0.25">
      <c r="A5647" t="s">
        <v>401</v>
      </c>
      <c r="B5647" s="13" t="s">
        <v>26</v>
      </c>
      <c r="C5647" s="13" t="s">
        <v>226</v>
      </c>
      <c r="D5647" s="14" t="s">
        <v>301</v>
      </c>
      <c r="E5647" s="13" t="s">
        <v>61</v>
      </c>
      <c r="F5647" s="13" t="s">
        <v>1942</v>
      </c>
      <c r="G5647" s="13">
        <v>0.81</v>
      </c>
      <c r="H5647" s="15">
        <v>7</v>
      </c>
      <c r="I5647" s="16">
        <v>5.67</v>
      </c>
      <c r="J5647" s="16">
        <v>4.9560000000000004</v>
      </c>
      <c r="K5647" s="16">
        <v>0.71399999999999952</v>
      </c>
      <c r="L5647" s="13">
        <v>2.21</v>
      </c>
      <c r="M5647" s="13"/>
      <c r="N5647" s="17">
        <f t="shared" si="185"/>
        <v>15.469999999999999</v>
      </c>
      <c r="O5647" s="17">
        <f t="shared" si="185"/>
        <v>0</v>
      </c>
      <c r="P5647" s="17">
        <f t="shared" si="186"/>
        <v>15.469999999999999</v>
      </c>
      <c r="Q5647" t="str">
        <f>A5647&amp;"-"&amp;B5647&amp;"-"&amp;D5647</f>
        <v>NOVEMBER-MJ2-L10</v>
      </c>
    </row>
    <row r="5648" spans="1:17" x14ac:dyDescent="0.25">
      <c r="A5648" t="s">
        <v>401</v>
      </c>
      <c r="B5648" s="13" t="s">
        <v>26</v>
      </c>
      <c r="C5648" s="13" t="s">
        <v>226</v>
      </c>
      <c r="D5648" s="14" t="s">
        <v>301</v>
      </c>
      <c r="E5648" s="13" t="s">
        <v>61</v>
      </c>
      <c r="F5648" s="13" t="s">
        <v>1943</v>
      </c>
      <c r="G5648" s="13">
        <v>0.81</v>
      </c>
      <c r="H5648" s="15">
        <v>892</v>
      </c>
      <c r="I5648" s="16">
        <v>722.52</v>
      </c>
      <c r="J5648" s="16">
        <v>705.01791342952288</v>
      </c>
      <c r="K5648" s="16">
        <v>17.502086570477164</v>
      </c>
      <c r="L5648" s="13">
        <v>2.21</v>
      </c>
      <c r="M5648" s="13"/>
      <c r="N5648" s="17">
        <f t="shared" si="185"/>
        <v>1971.32</v>
      </c>
      <c r="O5648" s="17">
        <f t="shared" si="185"/>
        <v>0</v>
      </c>
      <c r="P5648" s="17">
        <f t="shared" si="186"/>
        <v>1971.32</v>
      </c>
      <c r="Q5648" t="str">
        <f>A5648&amp;"-"&amp;B5648&amp;"-"&amp;D5648</f>
        <v>NOVEMBER-MJ2-L10</v>
      </c>
    </row>
    <row r="5649" spans="1:17" x14ac:dyDescent="0.25">
      <c r="A5649" t="s">
        <v>401</v>
      </c>
      <c r="B5649" s="13" t="s">
        <v>26</v>
      </c>
      <c r="C5649" s="13" t="s">
        <v>226</v>
      </c>
      <c r="D5649" s="14" t="s">
        <v>301</v>
      </c>
      <c r="E5649" s="13" t="s">
        <v>61</v>
      </c>
      <c r="F5649" s="13" t="s">
        <v>1944</v>
      </c>
      <c r="G5649" s="13">
        <v>0.8</v>
      </c>
      <c r="H5649" s="15">
        <v>1560</v>
      </c>
      <c r="I5649" s="16">
        <v>1248</v>
      </c>
      <c r="J5649" s="16">
        <v>939.05462040535906</v>
      </c>
      <c r="K5649" s="16">
        <v>308.94537959464088</v>
      </c>
      <c r="L5649" s="13">
        <v>2.0699999999999998</v>
      </c>
      <c r="M5649" s="13"/>
      <c r="N5649" s="17">
        <f t="shared" si="185"/>
        <v>3229.2</v>
      </c>
      <c r="O5649" s="17">
        <f t="shared" si="185"/>
        <v>0</v>
      </c>
      <c r="P5649" s="17">
        <f t="shared" si="186"/>
        <v>3229.2</v>
      </c>
      <c r="Q5649" t="str">
        <f>A5649&amp;"-"&amp;B5649&amp;"-"&amp;D5649</f>
        <v>NOVEMBER-MJ2-L10</v>
      </c>
    </row>
    <row r="5650" spans="1:17" x14ac:dyDescent="0.25">
      <c r="A5650" t="s">
        <v>401</v>
      </c>
      <c r="B5650" s="13" t="s">
        <v>26</v>
      </c>
      <c r="C5650" s="13" t="s">
        <v>226</v>
      </c>
      <c r="D5650" s="14" t="s">
        <v>301</v>
      </c>
      <c r="E5650" s="13" t="s">
        <v>61</v>
      </c>
      <c r="F5650" s="13" t="s">
        <v>1945</v>
      </c>
      <c r="G5650" s="13">
        <v>0.78</v>
      </c>
      <c r="H5650" s="15">
        <v>200</v>
      </c>
      <c r="I5650" s="16">
        <v>156</v>
      </c>
      <c r="J5650" s="16">
        <v>119.66197183098592</v>
      </c>
      <c r="K5650" s="16">
        <v>36.338028169014081</v>
      </c>
      <c r="L5650" s="13">
        <v>2.2200000000000002</v>
      </c>
      <c r="M5650" s="13"/>
      <c r="N5650" s="17">
        <f t="shared" si="185"/>
        <v>444.00000000000006</v>
      </c>
      <c r="O5650" s="17">
        <f t="shared" si="185"/>
        <v>0</v>
      </c>
      <c r="P5650" s="17">
        <f t="shared" si="186"/>
        <v>444.00000000000006</v>
      </c>
      <c r="Q5650" t="str">
        <f>A5650&amp;"-"&amp;B5650&amp;"-"&amp;D5650</f>
        <v>NOVEMBER-MJ2-L10</v>
      </c>
    </row>
    <row r="5651" spans="1:17" x14ac:dyDescent="0.25">
      <c r="A5651" t="s">
        <v>401</v>
      </c>
      <c r="B5651" s="13" t="s">
        <v>26</v>
      </c>
      <c r="C5651" s="13" t="s">
        <v>226</v>
      </c>
      <c r="D5651" s="14" t="s">
        <v>301</v>
      </c>
      <c r="E5651" s="13" t="s">
        <v>61</v>
      </c>
      <c r="F5651" s="13" t="s">
        <v>1771</v>
      </c>
      <c r="G5651" s="13">
        <v>0.79</v>
      </c>
      <c r="H5651" s="15">
        <v>862</v>
      </c>
      <c r="I5651" s="16">
        <v>680.98</v>
      </c>
      <c r="J5651" s="16">
        <v>615.44323313515122</v>
      </c>
      <c r="K5651" s="16">
        <v>65.536766864848772</v>
      </c>
      <c r="L5651" s="13">
        <v>2</v>
      </c>
      <c r="M5651" s="13"/>
      <c r="N5651" s="17">
        <f t="shared" si="185"/>
        <v>1724</v>
      </c>
      <c r="O5651" s="17">
        <f t="shared" si="185"/>
        <v>0</v>
      </c>
      <c r="P5651" s="17">
        <f t="shared" si="186"/>
        <v>1724</v>
      </c>
      <c r="Q5651" t="str">
        <f>A5651&amp;"-"&amp;B5651&amp;"-"&amp;D5651</f>
        <v>NOVEMBER-MJ2-L10</v>
      </c>
    </row>
    <row r="5652" spans="1:17" x14ac:dyDescent="0.25">
      <c r="A5652" t="s">
        <v>401</v>
      </c>
      <c r="B5652" s="13" t="s">
        <v>26</v>
      </c>
      <c r="C5652" s="13" t="s">
        <v>226</v>
      </c>
      <c r="D5652" s="14" t="s">
        <v>301</v>
      </c>
      <c r="E5652" s="13" t="s">
        <v>61</v>
      </c>
      <c r="F5652" s="13" t="s">
        <v>1946</v>
      </c>
      <c r="G5652" s="13">
        <v>0.79</v>
      </c>
      <c r="H5652" s="15">
        <v>1376</v>
      </c>
      <c r="I5652" s="16">
        <v>1087.04</v>
      </c>
      <c r="J5652" s="16">
        <v>1004.537784422474</v>
      </c>
      <c r="K5652" s="16">
        <v>82.502215577526059</v>
      </c>
      <c r="L5652" s="13">
        <v>2</v>
      </c>
      <c r="M5652" s="13"/>
      <c r="N5652" s="17">
        <f t="shared" si="185"/>
        <v>2752</v>
      </c>
      <c r="O5652" s="17">
        <f t="shared" si="185"/>
        <v>0</v>
      </c>
      <c r="P5652" s="17">
        <f t="shared" si="186"/>
        <v>2752</v>
      </c>
      <c r="Q5652" t="str">
        <f>A5652&amp;"-"&amp;B5652&amp;"-"&amp;D5652</f>
        <v>NOVEMBER-MJ2-L10</v>
      </c>
    </row>
    <row r="5653" spans="1:17" x14ac:dyDescent="0.25">
      <c r="A5653" t="s">
        <v>401</v>
      </c>
      <c r="B5653" s="13" t="s">
        <v>26</v>
      </c>
      <c r="C5653" s="13" t="s">
        <v>226</v>
      </c>
      <c r="D5653" s="14" t="s">
        <v>301</v>
      </c>
      <c r="E5653" s="13" t="s">
        <v>61</v>
      </c>
      <c r="F5653" s="13" t="s">
        <v>1772</v>
      </c>
      <c r="G5653" s="13">
        <v>0.77</v>
      </c>
      <c r="H5653" s="15">
        <v>20</v>
      </c>
      <c r="I5653" s="16">
        <v>15.4</v>
      </c>
      <c r="J5653" s="16">
        <v>13.580562659846548</v>
      </c>
      <c r="K5653" s="16">
        <v>1.8194373401534527</v>
      </c>
      <c r="L5653" s="13">
        <v>2.15</v>
      </c>
      <c r="M5653" s="13"/>
      <c r="N5653" s="17">
        <f t="shared" si="185"/>
        <v>43</v>
      </c>
      <c r="O5653" s="17">
        <f t="shared" si="185"/>
        <v>0</v>
      </c>
      <c r="P5653" s="17">
        <f t="shared" si="186"/>
        <v>43</v>
      </c>
      <c r="Q5653" t="str">
        <f>A5653&amp;"-"&amp;B5653&amp;"-"&amp;D5653</f>
        <v>NOVEMBER-MJ2-L10</v>
      </c>
    </row>
    <row r="5654" spans="1:17" x14ac:dyDescent="0.25">
      <c r="A5654" t="s">
        <v>401</v>
      </c>
      <c r="B5654" s="13" t="s">
        <v>26</v>
      </c>
      <c r="C5654" s="13" t="s">
        <v>226</v>
      </c>
      <c r="D5654" s="14" t="s">
        <v>301</v>
      </c>
      <c r="E5654" s="13" t="s">
        <v>61</v>
      </c>
      <c r="F5654" s="13" t="s">
        <v>1947</v>
      </c>
      <c r="G5654" s="13">
        <v>0.81</v>
      </c>
      <c r="H5654" s="15">
        <v>818</v>
      </c>
      <c r="I5654" s="16">
        <v>662.58</v>
      </c>
      <c r="J5654" s="16">
        <v>609.15548422453617</v>
      </c>
      <c r="K5654" s="16">
        <v>53.424515775463874</v>
      </c>
      <c r="L5654" s="13">
        <v>2.21</v>
      </c>
      <c r="M5654" s="13"/>
      <c r="N5654" s="17">
        <f t="shared" si="185"/>
        <v>1807.78</v>
      </c>
      <c r="O5654" s="17">
        <f t="shared" si="185"/>
        <v>0</v>
      </c>
      <c r="P5654" s="17">
        <f t="shared" si="186"/>
        <v>1807.78</v>
      </c>
      <c r="Q5654" t="str">
        <f>A5654&amp;"-"&amp;B5654&amp;"-"&amp;D5654</f>
        <v>NOVEMBER-MJ2-L10</v>
      </c>
    </row>
    <row r="5655" spans="1:17" x14ac:dyDescent="0.25">
      <c r="A5655" t="s">
        <v>401</v>
      </c>
      <c r="B5655" s="13" t="s">
        <v>26</v>
      </c>
      <c r="C5655" s="13" t="s">
        <v>226</v>
      </c>
      <c r="D5655" s="14" t="s">
        <v>301</v>
      </c>
      <c r="E5655" s="13" t="s">
        <v>61</v>
      </c>
      <c r="F5655" s="13" t="s">
        <v>1948</v>
      </c>
      <c r="G5655" s="13">
        <v>0.83</v>
      </c>
      <c r="H5655" s="15">
        <v>4228</v>
      </c>
      <c r="I5655" s="16">
        <v>3509.24</v>
      </c>
      <c r="J5655" s="16">
        <v>2763.2671162123384</v>
      </c>
      <c r="K5655" s="16">
        <v>745.97288378766154</v>
      </c>
      <c r="L5655" s="13">
        <v>2.13</v>
      </c>
      <c r="M5655" s="13"/>
      <c r="N5655" s="17">
        <f t="shared" ref="N5655:O5718" si="187">$H5655*L5655</f>
        <v>9005.64</v>
      </c>
      <c r="O5655" s="17">
        <f t="shared" si="187"/>
        <v>0</v>
      </c>
      <c r="P5655" s="17">
        <f t="shared" si="186"/>
        <v>9005.64</v>
      </c>
      <c r="Q5655" t="str">
        <f>A5655&amp;"-"&amp;B5655&amp;"-"&amp;D5655</f>
        <v>NOVEMBER-MJ2-L10</v>
      </c>
    </row>
    <row r="5656" spans="1:17" x14ac:dyDescent="0.25">
      <c r="A5656" t="s">
        <v>401</v>
      </c>
      <c r="B5656" s="13" t="s">
        <v>26</v>
      </c>
      <c r="C5656" s="13" t="s">
        <v>226</v>
      </c>
      <c r="D5656" s="14" t="s">
        <v>301</v>
      </c>
      <c r="E5656" s="13" t="s">
        <v>61</v>
      </c>
      <c r="F5656" s="13" t="s">
        <v>1949</v>
      </c>
      <c r="G5656" s="13">
        <v>0.79</v>
      </c>
      <c r="H5656" s="15">
        <v>1858</v>
      </c>
      <c r="I5656" s="16">
        <v>1467.82</v>
      </c>
      <c r="J5656" s="16">
        <v>1202.171931818182</v>
      </c>
      <c r="K5656" s="16">
        <v>265.64806818181808</v>
      </c>
      <c r="L5656" s="13">
        <v>2</v>
      </c>
      <c r="M5656" s="13"/>
      <c r="N5656" s="17">
        <f t="shared" si="187"/>
        <v>3716</v>
      </c>
      <c r="O5656" s="17">
        <f t="shared" si="187"/>
        <v>0</v>
      </c>
      <c r="P5656" s="17">
        <f t="shared" si="186"/>
        <v>3716</v>
      </c>
      <c r="Q5656" t="str">
        <f>A5656&amp;"-"&amp;B5656&amp;"-"&amp;D5656</f>
        <v>NOVEMBER-MJ2-L10</v>
      </c>
    </row>
    <row r="5657" spans="1:17" x14ac:dyDescent="0.25">
      <c r="A5657" t="s">
        <v>401</v>
      </c>
      <c r="B5657" s="13" t="s">
        <v>26</v>
      </c>
      <c r="C5657" s="13" t="s">
        <v>226</v>
      </c>
      <c r="D5657" s="14" t="s">
        <v>301</v>
      </c>
      <c r="E5657" s="13" t="s">
        <v>61</v>
      </c>
      <c r="F5657" s="13" t="s">
        <v>1950</v>
      </c>
      <c r="G5657" s="13">
        <v>0.8</v>
      </c>
      <c r="H5657" s="15">
        <v>845</v>
      </c>
      <c r="I5657" s="16">
        <v>676</v>
      </c>
      <c r="J5657" s="16">
        <v>588.45245901639339</v>
      </c>
      <c r="K5657" s="16">
        <v>87.547540983606609</v>
      </c>
      <c r="L5657" s="13">
        <v>2.0699999999999998</v>
      </c>
      <c r="M5657" s="13"/>
      <c r="N5657" s="17">
        <f t="shared" si="187"/>
        <v>1749.1499999999999</v>
      </c>
      <c r="O5657" s="17">
        <f t="shared" si="187"/>
        <v>0</v>
      </c>
      <c r="P5657" s="17">
        <f t="shared" si="186"/>
        <v>1749.1499999999999</v>
      </c>
      <c r="Q5657" t="str">
        <f>A5657&amp;"-"&amp;B5657&amp;"-"&amp;D5657</f>
        <v>NOVEMBER-MJ2-L10</v>
      </c>
    </row>
    <row r="5658" spans="1:17" x14ac:dyDescent="0.25">
      <c r="A5658" t="s">
        <v>401</v>
      </c>
      <c r="B5658" s="13" t="s">
        <v>26</v>
      </c>
      <c r="C5658" s="13" t="s">
        <v>226</v>
      </c>
      <c r="D5658" s="14" t="s">
        <v>301</v>
      </c>
      <c r="E5658" s="13" t="s">
        <v>61</v>
      </c>
      <c r="F5658" s="13" t="s">
        <v>1951</v>
      </c>
      <c r="G5658" s="13">
        <v>1.07</v>
      </c>
      <c r="H5658" s="15">
        <v>397</v>
      </c>
      <c r="I5658" s="16">
        <v>424.78999999999996</v>
      </c>
      <c r="J5658" s="16">
        <v>295.1673534490053</v>
      </c>
      <c r="K5658" s="16">
        <v>129.62264655099469</v>
      </c>
      <c r="L5658" s="13">
        <v>2.57</v>
      </c>
      <c r="M5658" s="13"/>
      <c r="N5658" s="17">
        <f t="shared" si="187"/>
        <v>1020.29</v>
      </c>
      <c r="O5658" s="17">
        <f t="shared" si="187"/>
        <v>0</v>
      </c>
      <c r="P5658" s="17">
        <f t="shared" si="186"/>
        <v>1020.29</v>
      </c>
      <c r="Q5658" t="str">
        <f>A5658&amp;"-"&amp;B5658&amp;"-"&amp;D5658</f>
        <v>NOVEMBER-MJ2-L10</v>
      </c>
    </row>
    <row r="5659" spans="1:17" x14ac:dyDescent="0.25">
      <c r="A5659" t="s">
        <v>401</v>
      </c>
      <c r="B5659" s="13" t="s">
        <v>26</v>
      </c>
      <c r="C5659" s="13" t="s">
        <v>226</v>
      </c>
      <c r="D5659" s="14" t="s">
        <v>301</v>
      </c>
      <c r="E5659" s="13" t="s">
        <v>61</v>
      </c>
      <c r="F5659" s="13" t="s">
        <v>1952</v>
      </c>
      <c r="G5659" s="13">
        <v>0.65</v>
      </c>
      <c r="H5659" s="15">
        <v>4060</v>
      </c>
      <c r="I5659" s="16">
        <v>2638.9999999999995</v>
      </c>
      <c r="J5659" s="16">
        <v>2678.1561985852163</v>
      </c>
      <c r="K5659" s="16">
        <v>-39.156198585216828</v>
      </c>
      <c r="L5659" s="13">
        <v>1.66</v>
      </c>
      <c r="M5659" s="13"/>
      <c r="N5659" s="17">
        <f t="shared" si="187"/>
        <v>6739.5999999999995</v>
      </c>
      <c r="O5659" s="17">
        <f t="shared" si="187"/>
        <v>0</v>
      </c>
      <c r="P5659" s="17">
        <f t="shared" si="186"/>
        <v>6739.5999999999995</v>
      </c>
      <c r="Q5659" t="str">
        <f>A5659&amp;"-"&amp;B5659&amp;"-"&amp;D5659</f>
        <v>NOVEMBER-MJ2-L10</v>
      </c>
    </row>
    <row r="5660" spans="1:17" x14ac:dyDescent="0.25">
      <c r="A5660" t="s">
        <v>401</v>
      </c>
      <c r="B5660" s="13" t="s">
        <v>26</v>
      </c>
      <c r="C5660" s="13" t="s">
        <v>226</v>
      </c>
      <c r="D5660" s="14" t="s">
        <v>287</v>
      </c>
      <c r="E5660" s="13" t="s">
        <v>61</v>
      </c>
      <c r="F5660" s="13" t="s">
        <v>1931</v>
      </c>
      <c r="G5660" s="13">
        <v>0.68</v>
      </c>
      <c r="H5660" s="15">
        <v>1115</v>
      </c>
      <c r="I5660" s="16">
        <v>758.2</v>
      </c>
      <c r="J5660" s="16">
        <v>728.69538461538457</v>
      </c>
      <c r="K5660" s="16">
        <v>29.504615384615477</v>
      </c>
      <c r="L5660" s="13">
        <v>1.69</v>
      </c>
      <c r="M5660" s="13"/>
      <c r="N5660" s="17">
        <f t="shared" si="187"/>
        <v>1884.35</v>
      </c>
      <c r="O5660" s="17">
        <f t="shared" si="187"/>
        <v>0</v>
      </c>
      <c r="P5660" s="17">
        <f t="shared" si="186"/>
        <v>1884.35</v>
      </c>
      <c r="Q5660" t="str">
        <f>A5660&amp;"-"&amp;B5660&amp;"-"&amp;D5660</f>
        <v>NOVEMBER-MJ2-L11</v>
      </c>
    </row>
    <row r="5661" spans="1:17" x14ac:dyDescent="0.25">
      <c r="A5661" t="s">
        <v>401</v>
      </c>
      <c r="B5661" s="13" t="s">
        <v>26</v>
      </c>
      <c r="C5661" s="13" t="s">
        <v>226</v>
      </c>
      <c r="D5661" s="14" t="s">
        <v>287</v>
      </c>
      <c r="E5661" s="13" t="s">
        <v>61</v>
      </c>
      <c r="F5661" s="13" t="s">
        <v>1752</v>
      </c>
      <c r="G5661" s="13">
        <v>0.68</v>
      </c>
      <c r="H5661" s="15">
        <v>23</v>
      </c>
      <c r="I5661" s="16">
        <v>15.64</v>
      </c>
      <c r="J5661" s="16">
        <v>18.434716981132073</v>
      </c>
      <c r="K5661" s="16">
        <v>-2.7947169811320727</v>
      </c>
      <c r="L5661" s="13">
        <v>1.61</v>
      </c>
      <c r="M5661" s="13"/>
      <c r="N5661" s="17">
        <f t="shared" si="187"/>
        <v>37.03</v>
      </c>
      <c r="O5661" s="17">
        <f t="shared" si="187"/>
        <v>0</v>
      </c>
      <c r="P5661" s="17">
        <f t="shared" si="186"/>
        <v>37.03</v>
      </c>
      <c r="Q5661" t="str">
        <f>A5661&amp;"-"&amp;B5661&amp;"-"&amp;D5661</f>
        <v>NOVEMBER-MJ2-L11</v>
      </c>
    </row>
    <row r="5662" spans="1:17" x14ac:dyDescent="0.25">
      <c r="A5662" t="s">
        <v>401</v>
      </c>
      <c r="B5662" s="13" t="s">
        <v>26</v>
      </c>
      <c r="C5662" s="13" t="s">
        <v>226</v>
      </c>
      <c r="D5662" s="14" t="s">
        <v>287</v>
      </c>
      <c r="E5662" s="13" t="s">
        <v>61</v>
      </c>
      <c r="F5662" s="13" t="s">
        <v>1932</v>
      </c>
      <c r="G5662" s="13">
        <v>0.68</v>
      </c>
      <c r="H5662" s="15">
        <v>320</v>
      </c>
      <c r="I5662" s="16">
        <v>217.6</v>
      </c>
      <c r="J5662" s="16">
        <v>222.84590163934425</v>
      </c>
      <c r="K5662" s="16">
        <v>-5.2459016393442539</v>
      </c>
      <c r="L5662" s="13">
        <v>1.7</v>
      </c>
      <c r="M5662" s="13"/>
      <c r="N5662" s="17">
        <f t="shared" si="187"/>
        <v>544</v>
      </c>
      <c r="O5662" s="17">
        <f t="shared" si="187"/>
        <v>0</v>
      </c>
      <c r="P5662" s="17">
        <f t="shared" si="186"/>
        <v>544</v>
      </c>
      <c r="Q5662" t="str">
        <f>A5662&amp;"-"&amp;B5662&amp;"-"&amp;D5662</f>
        <v>NOVEMBER-MJ2-L11</v>
      </c>
    </row>
    <row r="5663" spans="1:17" x14ac:dyDescent="0.25">
      <c r="A5663" t="s">
        <v>401</v>
      </c>
      <c r="B5663" s="13" t="s">
        <v>26</v>
      </c>
      <c r="C5663" s="13" t="s">
        <v>226</v>
      </c>
      <c r="D5663" s="14" t="s">
        <v>287</v>
      </c>
      <c r="E5663" s="13" t="s">
        <v>61</v>
      </c>
      <c r="F5663" s="13" t="s">
        <v>1933</v>
      </c>
      <c r="G5663" s="13">
        <v>0.68</v>
      </c>
      <c r="H5663" s="15">
        <v>3042</v>
      </c>
      <c r="I5663" s="16">
        <v>2068.56</v>
      </c>
      <c r="J5663" s="16">
        <v>2432.0703033171344</v>
      </c>
      <c r="K5663" s="16">
        <v>-363.51030331713446</v>
      </c>
      <c r="L5663" s="13">
        <v>1.7</v>
      </c>
      <c r="M5663" s="13"/>
      <c r="N5663" s="17">
        <f t="shared" si="187"/>
        <v>5171.3999999999996</v>
      </c>
      <c r="O5663" s="17">
        <f t="shared" si="187"/>
        <v>0</v>
      </c>
      <c r="P5663" s="17">
        <f t="shared" si="186"/>
        <v>5171.3999999999996</v>
      </c>
      <c r="Q5663" t="str">
        <f>A5663&amp;"-"&amp;B5663&amp;"-"&amp;D5663</f>
        <v>NOVEMBER-MJ2-L11</v>
      </c>
    </row>
    <row r="5664" spans="1:17" x14ac:dyDescent="0.25">
      <c r="A5664" t="s">
        <v>401</v>
      </c>
      <c r="B5664" s="13" t="s">
        <v>26</v>
      </c>
      <c r="C5664" s="13" t="s">
        <v>226</v>
      </c>
      <c r="D5664" s="14" t="s">
        <v>287</v>
      </c>
      <c r="E5664" s="13" t="s">
        <v>61</v>
      </c>
      <c r="F5664" s="13" t="s">
        <v>1762</v>
      </c>
      <c r="G5664" s="13">
        <v>0.79</v>
      </c>
      <c r="H5664" s="15">
        <v>1044</v>
      </c>
      <c r="I5664" s="16">
        <v>824.76</v>
      </c>
      <c r="J5664" s="16">
        <v>728.47853542613143</v>
      </c>
      <c r="K5664" s="16">
        <v>96.281464573868632</v>
      </c>
      <c r="L5664" s="13">
        <v>2</v>
      </c>
      <c r="M5664" s="13"/>
      <c r="N5664" s="17">
        <f t="shared" si="187"/>
        <v>2088</v>
      </c>
      <c r="O5664" s="17">
        <f t="shared" si="187"/>
        <v>0</v>
      </c>
      <c r="P5664" s="17">
        <f t="shared" si="186"/>
        <v>2088</v>
      </c>
      <c r="Q5664" t="str">
        <f>A5664&amp;"-"&amp;B5664&amp;"-"&amp;D5664</f>
        <v>NOVEMBER-MJ2-L11</v>
      </c>
    </row>
    <row r="5665" spans="1:17" x14ac:dyDescent="0.25">
      <c r="A5665" t="s">
        <v>401</v>
      </c>
      <c r="B5665" s="13" t="s">
        <v>26</v>
      </c>
      <c r="C5665" s="13" t="s">
        <v>226</v>
      </c>
      <c r="D5665" s="14" t="s">
        <v>287</v>
      </c>
      <c r="E5665" s="13" t="s">
        <v>61</v>
      </c>
      <c r="F5665" s="13" t="s">
        <v>1934</v>
      </c>
      <c r="G5665" s="13">
        <v>0.79</v>
      </c>
      <c r="H5665" s="15">
        <v>1695</v>
      </c>
      <c r="I5665" s="16">
        <v>1339.05</v>
      </c>
      <c r="J5665" s="16">
        <v>1092.1242921013413</v>
      </c>
      <c r="K5665" s="16">
        <v>246.92570789865869</v>
      </c>
      <c r="L5665" s="13">
        <v>2</v>
      </c>
      <c r="M5665" s="13"/>
      <c r="N5665" s="17">
        <f t="shared" si="187"/>
        <v>3390</v>
      </c>
      <c r="O5665" s="17">
        <f t="shared" si="187"/>
        <v>0</v>
      </c>
      <c r="P5665" s="17">
        <f t="shared" si="186"/>
        <v>3390</v>
      </c>
      <c r="Q5665" t="str">
        <f>A5665&amp;"-"&amp;B5665&amp;"-"&amp;D5665</f>
        <v>NOVEMBER-MJ2-L11</v>
      </c>
    </row>
    <row r="5666" spans="1:17" x14ac:dyDescent="0.25">
      <c r="A5666" t="s">
        <v>401</v>
      </c>
      <c r="B5666" s="13" t="s">
        <v>26</v>
      </c>
      <c r="C5666" s="13" t="s">
        <v>226</v>
      </c>
      <c r="D5666" s="14" t="s">
        <v>287</v>
      </c>
      <c r="E5666" s="13" t="s">
        <v>61</v>
      </c>
      <c r="F5666" s="13" t="s">
        <v>1764</v>
      </c>
      <c r="G5666" s="13">
        <v>0.77</v>
      </c>
      <c r="H5666" s="15">
        <v>94</v>
      </c>
      <c r="I5666" s="16">
        <v>72.38</v>
      </c>
      <c r="J5666" s="16">
        <v>67.633950232854161</v>
      </c>
      <c r="K5666" s="16">
        <v>4.7460497671458333</v>
      </c>
      <c r="L5666" s="13">
        <v>2.15</v>
      </c>
      <c r="M5666" s="13"/>
      <c r="N5666" s="17">
        <f t="shared" si="187"/>
        <v>202.1</v>
      </c>
      <c r="O5666" s="17">
        <f t="shared" si="187"/>
        <v>0</v>
      </c>
      <c r="P5666" s="17">
        <f t="shared" si="186"/>
        <v>202.1</v>
      </c>
      <c r="Q5666" t="str">
        <f>A5666&amp;"-"&amp;B5666&amp;"-"&amp;D5666</f>
        <v>NOVEMBER-MJ2-L11</v>
      </c>
    </row>
    <row r="5667" spans="1:17" x14ac:dyDescent="0.25">
      <c r="A5667" t="s">
        <v>401</v>
      </c>
      <c r="B5667" s="13" t="s">
        <v>26</v>
      </c>
      <c r="C5667" s="13" t="s">
        <v>226</v>
      </c>
      <c r="D5667" s="14" t="s">
        <v>287</v>
      </c>
      <c r="E5667" s="13" t="s">
        <v>61</v>
      </c>
      <c r="F5667" s="13" t="s">
        <v>1935</v>
      </c>
      <c r="G5667" s="13">
        <v>0.8</v>
      </c>
      <c r="H5667" s="15">
        <v>2799</v>
      </c>
      <c r="I5667" s="16">
        <v>2239.2000000000003</v>
      </c>
      <c r="J5667" s="16">
        <v>1934.5122544624965</v>
      </c>
      <c r="K5667" s="16">
        <v>304.68774553750353</v>
      </c>
      <c r="L5667" s="13">
        <v>2.0699999999999998</v>
      </c>
      <c r="M5667" s="13"/>
      <c r="N5667" s="17">
        <f t="shared" si="187"/>
        <v>5793.9299999999994</v>
      </c>
      <c r="O5667" s="17">
        <f t="shared" si="187"/>
        <v>0</v>
      </c>
      <c r="P5667" s="17">
        <f t="shared" si="186"/>
        <v>5793.9299999999994</v>
      </c>
      <c r="Q5667" t="str">
        <f>A5667&amp;"-"&amp;B5667&amp;"-"&amp;D5667</f>
        <v>NOVEMBER-MJ2-L11</v>
      </c>
    </row>
    <row r="5668" spans="1:17" x14ac:dyDescent="0.25">
      <c r="A5668" t="s">
        <v>401</v>
      </c>
      <c r="B5668" s="13" t="s">
        <v>26</v>
      </c>
      <c r="C5668" s="13" t="s">
        <v>226</v>
      </c>
      <c r="D5668" s="14" t="s">
        <v>287</v>
      </c>
      <c r="E5668" s="13" t="s">
        <v>61</v>
      </c>
      <c r="F5668" s="13" t="s">
        <v>1936</v>
      </c>
      <c r="G5668" s="13">
        <v>0.8</v>
      </c>
      <c r="H5668" s="15">
        <v>1886</v>
      </c>
      <c r="I5668" s="16">
        <v>1508.8</v>
      </c>
      <c r="J5668" s="16">
        <v>1272.4957991803278</v>
      </c>
      <c r="K5668" s="16">
        <v>236.30420081967219</v>
      </c>
      <c r="L5668" s="13">
        <v>2.0699999999999998</v>
      </c>
      <c r="M5668" s="13"/>
      <c r="N5668" s="17">
        <f t="shared" si="187"/>
        <v>3904.0199999999995</v>
      </c>
      <c r="O5668" s="17">
        <f t="shared" si="187"/>
        <v>0</v>
      </c>
      <c r="P5668" s="17">
        <f t="shared" si="186"/>
        <v>3904.0199999999995</v>
      </c>
      <c r="Q5668" t="str">
        <f>A5668&amp;"-"&amp;B5668&amp;"-"&amp;D5668</f>
        <v>NOVEMBER-MJ2-L11</v>
      </c>
    </row>
    <row r="5669" spans="1:17" x14ac:dyDescent="0.25">
      <c r="A5669" t="s">
        <v>401</v>
      </c>
      <c r="B5669" s="13" t="s">
        <v>26</v>
      </c>
      <c r="C5669" s="13" t="s">
        <v>226</v>
      </c>
      <c r="D5669" s="14" t="s">
        <v>287</v>
      </c>
      <c r="E5669" s="13" t="s">
        <v>61</v>
      </c>
      <c r="F5669" s="13" t="s">
        <v>1937</v>
      </c>
      <c r="G5669" s="13">
        <v>0.78</v>
      </c>
      <c r="H5669" s="15">
        <v>1193</v>
      </c>
      <c r="I5669" s="16">
        <v>930.54</v>
      </c>
      <c r="J5669" s="16">
        <v>782.89007261109498</v>
      </c>
      <c r="K5669" s="16">
        <v>147.64992738890498</v>
      </c>
      <c r="L5669" s="13">
        <v>2.2200000000000002</v>
      </c>
      <c r="M5669" s="13"/>
      <c r="N5669" s="17">
        <f t="shared" si="187"/>
        <v>2648.46</v>
      </c>
      <c r="O5669" s="17">
        <f t="shared" si="187"/>
        <v>0</v>
      </c>
      <c r="P5669" s="17">
        <f t="shared" si="186"/>
        <v>2648.46</v>
      </c>
      <c r="Q5669" t="str">
        <f>A5669&amp;"-"&amp;B5669&amp;"-"&amp;D5669</f>
        <v>NOVEMBER-MJ2-L11</v>
      </c>
    </row>
    <row r="5670" spans="1:17" x14ac:dyDescent="0.25">
      <c r="A5670" t="s">
        <v>401</v>
      </c>
      <c r="B5670" s="13" t="s">
        <v>26</v>
      </c>
      <c r="C5670" s="13" t="s">
        <v>226</v>
      </c>
      <c r="D5670" s="14" t="s">
        <v>287</v>
      </c>
      <c r="E5670" s="13" t="s">
        <v>61</v>
      </c>
      <c r="F5670" s="13" t="s">
        <v>1938</v>
      </c>
      <c r="G5670" s="13">
        <v>0.78</v>
      </c>
      <c r="H5670" s="15">
        <v>122</v>
      </c>
      <c r="I5670" s="16">
        <v>95.16</v>
      </c>
      <c r="J5670" s="16">
        <v>80.977499999999992</v>
      </c>
      <c r="K5670" s="16">
        <v>14.182500000000005</v>
      </c>
      <c r="L5670" s="13">
        <v>2.2200000000000002</v>
      </c>
      <c r="M5670" s="13"/>
      <c r="N5670" s="17">
        <f t="shared" si="187"/>
        <v>270.84000000000003</v>
      </c>
      <c r="O5670" s="17">
        <f t="shared" si="187"/>
        <v>0</v>
      </c>
      <c r="P5670" s="17">
        <f t="shared" si="186"/>
        <v>270.84000000000003</v>
      </c>
      <c r="Q5670" t="str">
        <f>A5670&amp;"-"&amp;B5670&amp;"-"&amp;D5670</f>
        <v>NOVEMBER-MJ2-L11</v>
      </c>
    </row>
    <row r="5671" spans="1:17" x14ac:dyDescent="0.25">
      <c r="A5671" t="s">
        <v>401</v>
      </c>
      <c r="B5671" s="13" t="s">
        <v>26</v>
      </c>
      <c r="C5671" s="13" t="s">
        <v>226</v>
      </c>
      <c r="D5671" s="14" t="s">
        <v>287</v>
      </c>
      <c r="E5671" s="13" t="s">
        <v>61</v>
      </c>
      <c r="F5671" s="13" t="s">
        <v>1939</v>
      </c>
      <c r="G5671" s="13">
        <v>0.79</v>
      </c>
      <c r="H5671" s="15">
        <v>1856</v>
      </c>
      <c r="I5671" s="16">
        <v>1466.24</v>
      </c>
      <c r="J5671" s="16">
        <v>1399.6766799571033</v>
      </c>
      <c r="K5671" s="16">
        <v>66.563320042896592</v>
      </c>
      <c r="L5671" s="13">
        <v>2</v>
      </c>
      <c r="M5671" s="13"/>
      <c r="N5671" s="17">
        <f t="shared" si="187"/>
        <v>3712</v>
      </c>
      <c r="O5671" s="17">
        <f t="shared" si="187"/>
        <v>0</v>
      </c>
      <c r="P5671" s="17">
        <f t="shared" si="186"/>
        <v>3712</v>
      </c>
      <c r="Q5671" t="str">
        <f>A5671&amp;"-"&amp;B5671&amp;"-"&amp;D5671</f>
        <v>NOVEMBER-MJ2-L11</v>
      </c>
    </row>
    <row r="5672" spans="1:17" x14ac:dyDescent="0.25">
      <c r="A5672" t="s">
        <v>401</v>
      </c>
      <c r="B5672" s="13" t="s">
        <v>26</v>
      </c>
      <c r="C5672" s="13" t="s">
        <v>226</v>
      </c>
      <c r="D5672" s="14" t="s">
        <v>287</v>
      </c>
      <c r="E5672" s="13" t="s">
        <v>61</v>
      </c>
      <c r="F5672" s="13" t="s">
        <v>1940</v>
      </c>
      <c r="G5672" s="13">
        <v>0.79</v>
      </c>
      <c r="H5672" s="15">
        <v>1093</v>
      </c>
      <c r="I5672" s="16">
        <v>863.47</v>
      </c>
      <c r="J5672" s="16">
        <v>729.35541560311015</v>
      </c>
      <c r="K5672" s="16">
        <v>134.11458439688985</v>
      </c>
      <c r="L5672" s="13">
        <v>2</v>
      </c>
      <c r="M5672" s="13"/>
      <c r="N5672" s="17">
        <f t="shared" si="187"/>
        <v>2186</v>
      </c>
      <c r="O5672" s="17">
        <f t="shared" si="187"/>
        <v>0</v>
      </c>
      <c r="P5672" s="17">
        <f t="shared" si="186"/>
        <v>2186</v>
      </c>
      <c r="Q5672" t="str">
        <f>A5672&amp;"-"&amp;B5672&amp;"-"&amp;D5672</f>
        <v>NOVEMBER-MJ2-L11</v>
      </c>
    </row>
    <row r="5673" spans="1:17" x14ac:dyDescent="0.25">
      <c r="A5673" t="s">
        <v>401</v>
      </c>
      <c r="B5673" s="13" t="s">
        <v>26</v>
      </c>
      <c r="C5673" s="13" t="s">
        <v>226</v>
      </c>
      <c r="D5673" s="14" t="s">
        <v>287</v>
      </c>
      <c r="E5673" s="13" t="s">
        <v>61</v>
      </c>
      <c r="F5673" s="13" t="s">
        <v>1941</v>
      </c>
      <c r="G5673" s="13">
        <v>0.77</v>
      </c>
      <c r="H5673" s="15">
        <v>444</v>
      </c>
      <c r="I5673" s="16">
        <v>341.88</v>
      </c>
      <c r="J5673" s="16">
        <v>337.75035040431271</v>
      </c>
      <c r="K5673" s="16">
        <v>4.1296495956873081</v>
      </c>
      <c r="L5673" s="13">
        <v>2.15</v>
      </c>
      <c r="M5673" s="13"/>
      <c r="N5673" s="17">
        <f t="shared" si="187"/>
        <v>954.59999999999991</v>
      </c>
      <c r="O5673" s="17">
        <f t="shared" si="187"/>
        <v>0</v>
      </c>
      <c r="P5673" s="17">
        <f t="shared" si="186"/>
        <v>954.59999999999991</v>
      </c>
      <c r="Q5673" t="str">
        <f>A5673&amp;"-"&amp;B5673&amp;"-"&amp;D5673</f>
        <v>NOVEMBER-MJ2-L11</v>
      </c>
    </row>
    <row r="5674" spans="1:17" x14ac:dyDescent="0.25">
      <c r="A5674" t="s">
        <v>401</v>
      </c>
      <c r="B5674" s="13" t="s">
        <v>26</v>
      </c>
      <c r="C5674" s="13" t="s">
        <v>226</v>
      </c>
      <c r="D5674" s="14" t="s">
        <v>287</v>
      </c>
      <c r="E5674" s="13" t="s">
        <v>61</v>
      </c>
      <c r="F5674" s="13" t="s">
        <v>1942</v>
      </c>
      <c r="G5674" s="13">
        <v>0.81</v>
      </c>
      <c r="H5674" s="15">
        <v>8</v>
      </c>
      <c r="I5674" s="16">
        <v>6.48</v>
      </c>
      <c r="J5674" s="16">
        <v>5.6639999999999997</v>
      </c>
      <c r="K5674" s="16">
        <v>0.81600000000000072</v>
      </c>
      <c r="L5674" s="13">
        <v>2.21</v>
      </c>
      <c r="M5674" s="13"/>
      <c r="N5674" s="17">
        <f t="shared" si="187"/>
        <v>17.68</v>
      </c>
      <c r="O5674" s="17">
        <f t="shared" si="187"/>
        <v>0</v>
      </c>
      <c r="P5674" s="17">
        <f t="shared" si="186"/>
        <v>17.68</v>
      </c>
      <c r="Q5674" t="str">
        <f>A5674&amp;"-"&amp;B5674&amp;"-"&amp;D5674</f>
        <v>NOVEMBER-MJ2-L11</v>
      </c>
    </row>
    <row r="5675" spans="1:17" x14ac:dyDescent="0.25">
      <c r="A5675" t="s">
        <v>401</v>
      </c>
      <c r="B5675" s="13" t="s">
        <v>26</v>
      </c>
      <c r="C5675" s="13" t="s">
        <v>226</v>
      </c>
      <c r="D5675" s="14" t="s">
        <v>287</v>
      </c>
      <c r="E5675" s="13" t="s">
        <v>61</v>
      </c>
      <c r="F5675" s="13" t="s">
        <v>1943</v>
      </c>
      <c r="G5675" s="13">
        <v>0.81</v>
      </c>
      <c r="H5675" s="15">
        <v>893</v>
      </c>
      <c r="I5675" s="16">
        <v>723.33</v>
      </c>
      <c r="J5675" s="16">
        <v>705.8194228634851</v>
      </c>
      <c r="K5675" s="16">
        <v>17.510577136515</v>
      </c>
      <c r="L5675" s="13">
        <v>2.21</v>
      </c>
      <c r="M5675" s="13"/>
      <c r="N5675" s="17">
        <f t="shared" si="187"/>
        <v>1973.53</v>
      </c>
      <c r="O5675" s="17">
        <f t="shared" si="187"/>
        <v>0</v>
      </c>
      <c r="P5675" s="17">
        <f t="shared" si="186"/>
        <v>1973.53</v>
      </c>
      <c r="Q5675" t="str">
        <f>A5675&amp;"-"&amp;B5675&amp;"-"&amp;D5675</f>
        <v>NOVEMBER-MJ2-L11</v>
      </c>
    </row>
    <row r="5676" spans="1:17" x14ac:dyDescent="0.25">
      <c r="A5676" t="s">
        <v>401</v>
      </c>
      <c r="B5676" s="13" t="s">
        <v>26</v>
      </c>
      <c r="C5676" s="13" t="s">
        <v>226</v>
      </c>
      <c r="D5676" s="14" t="s">
        <v>287</v>
      </c>
      <c r="E5676" s="13" t="s">
        <v>61</v>
      </c>
      <c r="F5676" s="13" t="s">
        <v>1944</v>
      </c>
      <c r="G5676" s="13">
        <v>0.8</v>
      </c>
      <c r="H5676" s="15">
        <v>1560</v>
      </c>
      <c r="I5676" s="16">
        <v>1248</v>
      </c>
      <c r="J5676" s="16">
        <v>938.61683270353819</v>
      </c>
      <c r="K5676" s="16">
        <v>309.38316729646186</v>
      </c>
      <c r="L5676" s="13">
        <v>2.0699999999999998</v>
      </c>
      <c r="M5676" s="13"/>
      <c r="N5676" s="17">
        <f t="shared" si="187"/>
        <v>3229.2</v>
      </c>
      <c r="O5676" s="17">
        <f t="shared" si="187"/>
        <v>0</v>
      </c>
      <c r="P5676" s="17">
        <f t="shared" si="186"/>
        <v>3229.2</v>
      </c>
      <c r="Q5676" t="str">
        <f>A5676&amp;"-"&amp;B5676&amp;"-"&amp;D5676</f>
        <v>NOVEMBER-MJ2-L11</v>
      </c>
    </row>
    <row r="5677" spans="1:17" x14ac:dyDescent="0.25">
      <c r="A5677" t="s">
        <v>401</v>
      </c>
      <c r="B5677" s="13" t="s">
        <v>26</v>
      </c>
      <c r="C5677" s="13" t="s">
        <v>226</v>
      </c>
      <c r="D5677" s="14" t="s">
        <v>287</v>
      </c>
      <c r="E5677" s="13" t="s">
        <v>61</v>
      </c>
      <c r="F5677" s="13" t="s">
        <v>1945</v>
      </c>
      <c r="G5677" s="13">
        <v>0.78</v>
      </c>
      <c r="H5677" s="15">
        <v>200</v>
      </c>
      <c r="I5677" s="16">
        <v>156</v>
      </c>
      <c r="J5677" s="16">
        <v>119.66197183098592</v>
      </c>
      <c r="K5677" s="16">
        <v>36.338028169014081</v>
      </c>
      <c r="L5677" s="13">
        <v>2.2200000000000002</v>
      </c>
      <c r="M5677" s="13"/>
      <c r="N5677" s="17">
        <f t="shared" si="187"/>
        <v>444.00000000000006</v>
      </c>
      <c r="O5677" s="17">
        <f t="shared" si="187"/>
        <v>0</v>
      </c>
      <c r="P5677" s="17">
        <f t="shared" si="186"/>
        <v>444.00000000000006</v>
      </c>
      <c r="Q5677" t="str">
        <f>A5677&amp;"-"&amp;B5677&amp;"-"&amp;D5677</f>
        <v>NOVEMBER-MJ2-L11</v>
      </c>
    </row>
    <row r="5678" spans="1:17" x14ac:dyDescent="0.25">
      <c r="A5678" t="s">
        <v>401</v>
      </c>
      <c r="B5678" s="13" t="s">
        <v>26</v>
      </c>
      <c r="C5678" s="13" t="s">
        <v>226</v>
      </c>
      <c r="D5678" s="14" t="s">
        <v>287</v>
      </c>
      <c r="E5678" s="13" t="s">
        <v>61</v>
      </c>
      <c r="F5678" s="13" t="s">
        <v>1771</v>
      </c>
      <c r="G5678" s="13">
        <v>0.79</v>
      </c>
      <c r="H5678" s="15">
        <v>862</v>
      </c>
      <c r="I5678" s="16">
        <v>680.98</v>
      </c>
      <c r="J5678" s="16">
        <v>615.73119365719958</v>
      </c>
      <c r="K5678" s="16">
        <v>65.24880634280052</v>
      </c>
      <c r="L5678" s="13">
        <v>2</v>
      </c>
      <c r="M5678" s="13"/>
      <c r="N5678" s="17">
        <f t="shared" si="187"/>
        <v>1724</v>
      </c>
      <c r="O5678" s="17">
        <f t="shared" si="187"/>
        <v>0</v>
      </c>
      <c r="P5678" s="17">
        <f t="shared" si="186"/>
        <v>1724</v>
      </c>
      <c r="Q5678" t="str">
        <f>A5678&amp;"-"&amp;B5678&amp;"-"&amp;D5678</f>
        <v>NOVEMBER-MJ2-L11</v>
      </c>
    </row>
    <row r="5679" spans="1:17" x14ac:dyDescent="0.25">
      <c r="A5679" t="s">
        <v>401</v>
      </c>
      <c r="B5679" s="13" t="s">
        <v>26</v>
      </c>
      <c r="C5679" s="13" t="s">
        <v>226</v>
      </c>
      <c r="D5679" s="14" t="s">
        <v>287</v>
      </c>
      <c r="E5679" s="13" t="s">
        <v>61</v>
      </c>
      <c r="F5679" s="13" t="s">
        <v>1946</v>
      </c>
      <c r="G5679" s="13">
        <v>0.79</v>
      </c>
      <c r="H5679" s="15">
        <v>1374</v>
      </c>
      <c r="I5679" s="16">
        <v>1085.46</v>
      </c>
      <c r="J5679" s="16">
        <v>1003.2406095972992</v>
      </c>
      <c r="K5679" s="16">
        <v>82.219390402700895</v>
      </c>
      <c r="L5679" s="13">
        <v>2</v>
      </c>
      <c r="M5679" s="13"/>
      <c r="N5679" s="17">
        <f t="shared" si="187"/>
        <v>2748</v>
      </c>
      <c r="O5679" s="17">
        <f t="shared" si="187"/>
        <v>0</v>
      </c>
      <c r="P5679" s="17">
        <f t="shared" si="186"/>
        <v>2748</v>
      </c>
      <c r="Q5679" t="str">
        <f>A5679&amp;"-"&amp;B5679&amp;"-"&amp;D5679</f>
        <v>NOVEMBER-MJ2-L11</v>
      </c>
    </row>
    <row r="5680" spans="1:17" x14ac:dyDescent="0.25">
      <c r="A5680" t="s">
        <v>401</v>
      </c>
      <c r="B5680" s="13" t="s">
        <v>26</v>
      </c>
      <c r="C5680" s="13" t="s">
        <v>226</v>
      </c>
      <c r="D5680" s="14" t="s">
        <v>287</v>
      </c>
      <c r="E5680" s="13" t="s">
        <v>61</v>
      </c>
      <c r="F5680" s="13" t="s">
        <v>1772</v>
      </c>
      <c r="G5680" s="13">
        <v>0.77</v>
      </c>
      <c r="H5680" s="15">
        <v>19</v>
      </c>
      <c r="I5680" s="16">
        <v>14.63</v>
      </c>
      <c r="J5680" s="16">
        <v>12.893290734824282</v>
      </c>
      <c r="K5680" s="16">
        <v>1.736709265175719</v>
      </c>
      <c r="L5680" s="13">
        <v>2.15</v>
      </c>
      <c r="M5680" s="13"/>
      <c r="N5680" s="17">
        <f t="shared" si="187"/>
        <v>40.85</v>
      </c>
      <c r="O5680" s="17">
        <f t="shared" si="187"/>
        <v>0</v>
      </c>
      <c r="P5680" s="17">
        <f t="shared" si="186"/>
        <v>40.85</v>
      </c>
      <c r="Q5680" t="str">
        <f>A5680&amp;"-"&amp;B5680&amp;"-"&amp;D5680</f>
        <v>NOVEMBER-MJ2-L11</v>
      </c>
    </row>
    <row r="5681" spans="1:17" x14ac:dyDescent="0.25">
      <c r="A5681" t="s">
        <v>401</v>
      </c>
      <c r="B5681" s="13" t="s">
        <v>26</v>
      </c>
      <c r="C5681" s="13" t="s">
        <v>226</v>
      </c>
      <c r="D5681" s="14" t="s">
        <v>287</v>
      </c>
      <c r="E5681" s="13" t="s">
        <v>61</v>
      </c>
      <c r="F5681" s="13" t="s">
        <v>1947</v>
      </c>
      <c r="G5681" s="13">
        <v>0.81</v>
      </c>
      <c r="H5681" s="15">
        <v>817</v>
      </c>
      <c r="I5681" s="16">
        <v>661.77</v>
      </c>
      <c r="J5681" s="16">
        <v>608.06981262468867</v>
      </c>
      <c r="K5681" s="16">
        <v>53.700187375311316</v>
      </c>
      <c r="L5681" s="13">
        <v>2.21</v>
      </c>
      <c r="M5681" s="13"/>
      <c r="N5681" s="17">
        <f t="shared" si="187"/>
        <v>1805.57</v>
      </c>
      <c r="O5681" s="17">
        <f t="shared" si="187"/>
        <v>0</v>
      </c>
      <c r="P5681" s="17">
        <f t="shared" si="186"/>
        <v>1805.57</v>
      </c>
      <c r="Q5681" t="str">
        <f>A5681&amp;"-"&amp;B5681&amp;"-"&amp;D5681</f>
        <v>NOVEMBER-MJ2-L11</v>
      </c>
    </row>
    <row r="5682" spans="1:17" x14ac:dyDescent="0.25">
      <c r="A5682" t="s">
        <v>401</v>
      </c>
      <c r="B5682" s="13" t="s">
        <v>26</v>
      </c>
      <c r="C5682" s="13" t="s">
        <v>226</v>
      </c>
      <c r="D5682" s="14" t="s">
        <v>287</v>
      </c>
      <c r="E5682" s="13" t="s">
        <v>61</v>
      </c>
      <c r="F5682" s="13" t="s">
        <v>1948</v>
      </c>
      <c r="G5682" s="13">
        <v>0.83</v>
      </c>
      <c r="H5682" s="15">
        <v>4227</v>
      </c>
      <c r="I5682" s="16">
        <v>3508.41</v>
      </c>
      <c r="J5682" s="16">
        <v>2762.2310186513628</v>
      </c>
      <c r="K5682" s="16">
        <v>746.17898134863719</v>
      </c>
      <c r="L5682" s="13">
        <v>2.13</v>
      </c>
      <c r="M5682" s="13"/>
      <c r="N5682" s="17">
        <f t="shared" si="187"/>
        <v>9003.51</v>
      </c>
      <c r="O5682" s="17">
        <f t="shared" si="187"/>
        <v>0</v>
      </c>
      <c r="P5682" s="17">
        <f t="shared" si="186"/>
        <v>9003.51</v>
      </c>
      <c r="Q5682" t="str">
        <f>A5682&amp;"-"&amp;B5682&amp;"-"&amp;D5682</f>
        <v>NOVEMBER-MJ2-L11</v>
      </c>
    </row>
    <row r="5683" spans="1:17" x14ac:dyDescent="0.25">
      <c r="A5683" t="s">
        <v>401</v>
      </c>
      <c r="B5683" s="13" t="s">
        <v>26</v>
      </c>
      <c r="C5683" s="13" t="s">
        <v>226</v>
      </c>
      <c r="D5683" s="14" t="s">
        <v>287</v>
      </c>
      <c r="E5683" s="13" t="s">
        <v>61</v>
      </c>
      <c r="F5683" s="13" t="s">
        <v>1949</v>
      </c>
      <c r="G5683" s="13">
        <v>0.79</v>
      </c>
      <c r="H5683" s="15">
        <v>1857</v>
      </c>
      <c r="I5683" s="16">
        <v>1467.03</v>
      </c>
      <c r="J5683" s="16">
        <v>1201.5081818181818</v>
      </c>
      <c r="K5683" s="16">
        <v>265.52181818181805</v>
      </c>
      <c r="L5683" s="13">
        <v>2</v>
      </c>
      <c r="M5683" s="13"/>
      <c r="N5683" s="17">
        <f t="shared" si="187"/>
        <v>3714</v>
      </c>
      <c r="O5683" s="17">
        <f t="shared" si="187"/>
        <v>0</v>
      </c>
      <c r="P5683" s="17">
        <f t="shared" si="186"/>
        <v>3714</v>
      </c>
      <c r="Q5683" t="str">
        <f>A5683&amp;"-"&amp;B5683&amp;"-"&amp;D5683</f>
        <v>NOVEMBER-MJ2-L11</v>
      </c>
    </row>
    <row r="5684" spans="1:17" x14ac:dyDescent="0.25">
      <c r="A5684" t="s">
        <v>401</v>
      </c>
      <c r="B5684" s="13" t="s">
        <v>26</v>
      </c>
      <c r="C5684" s="13" t="s">
        <v>226</v>
      </c>
      <c r="D5684" s="14" t="s">
        <v>287</v>
      </c>
      <c r="E5684" s="13" t="s">
        <v>61</v>
      </c>
      <c r="F5684" s="13" t="s">
        <v>1773</v>
      </c>
      <c r="G5684" s="13">
        <v>0.8</v>
      </c>
      <c r="H5684" s="15">
        <v>1</v>
      </c>
      <c r="I5684" s="16">
        <v>0.8</v>
      </c>
      <c r="J5684" s="16">
        <v>0.67859424920127798</v>
      </c>
      <c r="K5684" s="16">
        <v>0.12140575079872207</v>
      </c>
      <c r="L5684" s="13">
        <v>2.0699999999999998</v>
      </c>
      <c r="M5684" s="13"/>
      <c r="N5684" s="17">
        <f t="shared" si="187"/>
        <v>2.0699999999999998</v>
      </c>
      <c r="O5684" s="17">
        <f t="shared" si="187"/>
        <v>0</v>
      </c>
      <c r="P5684" s="17">
        <f t="shared" si="186"/>
        <v>2.0699999999999998</v>
      </c>
      <c r="Q5684" t="str">
        <f>A5684&amp;"-"&amp;B5684&amp;"-"&amp;D5684</f>
        <v>NOVEMBER-MJ2-L11</v>
      </c>
    </row>
    <row r="5685" spans="1:17" x14ac:dyDescent="0.25">
      <c r="A5685" t="s">
        <v>401</v>
      </c>
      <c r="B5685" s="13" t="s">
        <v>26</v>
      </c>
      <c r="C5685" s="13" t="s">
        <v>226</v>
      </c>
      <c r="D5685" s="14" t="s">
        <v>287</v>
      </c>
      <c r="E5685" s="13" t="s">
        <v>61</v>
      </c>
      <c r="F5685" s="13" t="s">
        <v>1950</v>
      </c>
      <c r="G5685" s="13">
        <v>0.8</v>
      </c>
      <c r="H5685" s="15">
        <v>845</v>
      </c>
      <c r="I5685" s="16">
        <v>676</v>
      </c>
      <c r="J5685" s="16">
        <v>588.45245901639339</v>
      </c>
      <c r="K5685" s="16">
        <v>87.547540983606609</v>
      </c>
      <c r="L5685" s="13">
        <v>2.0699999999999998</v>
      </c>
      <c r="M5685" s="13"/>
      <c r="N5685" s="17">
        <f t="shared" si="187"/>
        <v>1749.1499999999999</v>
      </c>
      <c r="O5685" s="17">
        <f t="shared" si="187"/>
        <v>0</v>
      </c>
      <c r="P5685" s="17">
        <f t="shared" si="186"/>
        <v>1749.1499999999999</v>
      </c>
      <c r="Q5685" t="str">
        <f>A5685&amp;"-"&amp;B5685&amp;"-"&amp;D5685</f>
        <v>NOVEMBER-MJ2-L11</v>
      </c>
    </row>
    <row r="5686" spans="1:17" x14ac:dyDescent="0.25">
      <c r="A5686" t="s">
        <v>401</v>
      </c>
      <c r="B5686" s="13" t="s">
        <v>26</v>
      </c>
      <c r="C5686" s="13" t="s">
        <v>226</v>
      </c>
      <c r="D5686" s="14" t="s">
        <v>287</v>
      </c>
      <c r="E5686" s="13" t="s">
        <v>61</v>
      </c>
      <c r="F5686" s="13" t="s">
        <v>1951</v>
      </c>
      <c r="G5686" s="13">
        <v>1.07</v>
      </c>
      <c r="H5686" s="15">
        <v>398</v>
      </c>
      <c r="I5686" s="16">
        <v>425.85999999999996</v>
      </c>
      <c r="J5686" s="16">
        <v>295.88174911297529</v>
      </c>
      <c r="K5686" s="16">
        <v>129.97825088702476</v>
      </c>
      <c r="L5686" s="13">
        <v>2.57</v>
      </c>
      <c r="M5686" s="13"/>
      <c r="N5686" s="17">
        <f t="shared" si="187"/>
        <v>1022.8599999999999</v>
      </c>
      <c r="O5686" s="17">
        <f t="shared" si="187"/>
        <v>0</v>
      </c>
      <c r="P5686" s="17">
        <f t="shared" si="186"/>
        <v>1022.8599999999999</v>
      </c>
      <c r="Q5686" t="str">
        <f>A5686&amp;"-"&amp;B5686&amp;"-"&amp;D5686</f>
        <v>NOVEMBER-MJ2-L11</v>
      </c>
    </row>
    <row r="5687" spans="1:17" x14ac:dyDescent="0.25">
      <c r="A5687" t="s">
        <v>401</v>
      </c>
      <c r="B5687" s="13" t="s">
        <v>26</v>
      </c>
      <c r="C5687" s="13" t="s">
        <v>226</v>
      </c>
      <c r="D5687" s="14" t="s">
        <v>287</v>
      </c>
      <c r="E5687" s="13" t="s">
        <v>61</v>
      </c>
      <c r="F5687" s="13" t="s">
        <v>1952</v>
      </c>
      <c r="G5687" s="13">
        <v>0.65</v>
      </c>
      <c r="H5687" s="15">
        <v>4059</v>
      </c>
      <c r="I5687" s="16">
        <v>2638.3500000000004</v>
      </c>
      <c r="J5687" s="16">
        <v>2677.6097066080961</v>
      </c>
      <c r="K5687" s="16">
        <v>-39.259706608096138</v>
      </c>
      <c r="L5687" s="13">
        <v>1.66</v>
      </c>
      <c r="M5687" s="13"/>
      <c r="N5687" s="17">
        <f t="shared" si="187"/>
        <v>6737.94</v>
      </c>
      <c r="O5687" s="17">
        <f t="shared" si="187"/>
        <v>0</v>
      </c>
      <c r="P5687" s="17">
        <f t="shared" si="186"/>
        <v>6737.94</v>
      </c>
      <c r="Q5687" t="str">
        <f>A5687&amp;"-"&amp;B5687&amp;"-"&amp;D5687</f>
        <v>NOVEMBER-MJ2-L11</v>
      </c>
    </row>
    <row r="5688" spans="1:17" x14ac:dyDescent="0.25">
      <c r="A5688" t="s">
        <v>401</v>
      </c>
      <c r="B5688" s="13" t="s">
        <v>26</v>
      </c>
      <c r="C5688" s="13" t="s">
        <v>226</v>
      </c>
      <c r="D5688" s="14" t="s">
        <v>310</v>
      </c>
      <c r="E5688" s="13" t="s">
        <v>61</v>
      </c>
      <c r="F5688" s="13" t="s">
        <v>1953</v>
      </c>
      <c r="G5688" s="13">
        <v>0.68</v>
      </c>
      <c r="H5688" s="15">
        <v>3129</v>
      </c>
      <c r="I5688" s="16">
        <v>2127.7199999999998</v>
      </c>
      <c r="J5688" s="16">
        <v>2355.768559693417</v>
      </c>
      <c r="K5688" s="16">
        <v>-228.04855969341696</v>
      </c>
      <c r="L5688" s="13">
        <v>1.69</v>
      </c>
      <c r="M5688" s="13"/>
      <c r="N5688" s="17">
        <f t="shared" si="187"/>
        <v>5288.01</v>
      </c>
      <c r="O5688" s="17">
        <f t="shared" si="187"/>
        <v>0</v>
      </c>
      <c r="P5688" s="17">
        <f t="shared" si="186"/>
        <v>5288.01</v>
      </c>
      <c r="Q5688" t="str">
        <f>A5688&amp;"-"&amp;B5688&amp;"-"&amp;D5688</f>
        <v>NOVEMBER-MJ2-L12</v>
      </c>
    </row>
    <row r="5689" spans="1:17" x14ac:dyDescent="0.25">
      <c r="A5689" t="s">
        <v>401</v>
      </c>
      <c r="B5689" s="13" t="s">
        <v>26</v>
      </c>
      <c r="C5689" s="13" t="s">
        <v>226</v>
      </c>
      <c r="D5689" s="14" t="s">
        <v>310</v>
      </c>
      <c r="E5689" s="13" t="s">
        <v>61</v>
      </c>
      <c r="F5689" s="13" t="s">
        <v>1777</v>
      </c>
      <c r="G5689" s="13">
        <v>0.83</v>
      </c>
      <c r="H5689" s="15">
        <v>530</v>
      </c>
      <c r="I5689" s="16">
        <v>439.90000000000003</v>
      </c>
      <c r="J5689" s="16">
        <v>358.40075257180382</v>
      </c>
      <c r="K5689" s="16">
        <v>81.499247428196156</v>
      </c>
      <c r="L5689" s="13">
        <v>2.13</v>
      </c>
      <c r="M5689" s="13"/>
      <c r="N5689" s="17">
        <f t="shared" si="187"/>
        <v>1128.8999999999999</v>
      </c>
      <c r="O5689" s="17">
        <f t="shared" si="187"/>
        <v>0</v>
      </c>
      <c r="P5689" s="17">
        <f t="shared" si="186"/>
        <v>1128.8999999999999</v>
      </c>
      <c r="Q5689" t="str">
        <f>A5689&amp;"-"&amp;B5689&amp;"-"&amp;D5689</f>
        <v>NOVEMBER-MJ2-L12</v>
      </c>
    </row>
    <row r="5690" spans="1:17" x14ac:dyDescent="0.25">
      <c r="A5690" t="s">
        <v>401</v>
      </c>
      <c r="B5690" s="13" t="s">
        <v>26</v>
      </c>
      <c r="C5690" s="13" t="s">
        <v>226</v>
      </c>
      <c r="D5690" s="14" t="s">
        <v>310</v>
      </c>
      <c r="E5690" s="13" t="s">
        <v>61</v>
      </c>
      <c r="F5690" s="13" t="s">
        <v>1778</v>
      </c>
      <c r="G5690" s="13">
        <v>0.78</v>
      </c>
      <c r="H5690" s="15">
        <v>16</v>
      </c>
      <c r="I5690" s="16">
        <v>12.48</v>
      </c>
      <c r="J5690" s="16">
        <v>11.597521903716231</v>
      </c>
      <c r="K5690" s="16">
        <v>0.88247809628376905</v>
      </c>
      <c r="L5690" s="13">
        <v>2.29</v>
      </c>
      <c r="M5690" s="13"/>
      <c r="N5690" s="17">
        <f t="shared" si="187"/>
        <v>36.64</v>
      </c>
      <c r="O5690" s="17">
        <f t="shared" si="187"/>
        <v>0</v>
      </c>
      <c r="P5690" s="17">
        <f t="shared" si="186"/>
        <v>36.64</v>
      </c>
      <c r="Q5690" t="str">
        <f>A5690&amp;"-"&amp;B5690&amp;"-"&amp;D5690</f>
        <v>NOVEMBER-MJ2-L12</v>
      </c>
    </row>
    <row r="5691" spans="1:17" x14ac:dyDescent="0.25">
      <c r="A5691" t="s">
        <v>401</v>
      </c>
      <c r="B5691" s="13" t="s">
        <v>26</v>
      </c>
      <c r="C5691" s="13" t="s">
        <v>226</v>
      </c>
      <c r="D5691" s="14" t="s">
        <v>310</v>
      </c>
      <c r="E5691" s="13" t="s">
        <v>61</v>
      </c>
      <c r="F5691" s="13" t="s">
        <v>1954</v>
      </c>
      <c r="G5691" s="13">
        <v>0.82999999999999985</v>
      </c>
      <c r="H5691" s="15">
        <v>3335</v>
      </c>
      <c r="I5691" s="16">
        <v>2768.0499999999997</v>
      </c>
      <c r="J5691" s="16">
        <v>2112.0178584735654</v>
      </c>
      <c r="K5691" s="16">
        <v>656.03214152643511</v>
      </c>
      <c r="L5691" s="13">
        <v>2.13</v>
      </c>
      <c r="M5691" s="13"/>
      <c r="N5691" s="17">
        <f t="shared" si="187"/>
        <v>7103.5499999999993</v>
      </c>
      <c r="O5691" s="17">
        <f t="shared" si="187"/>
        <v>0</v>
      </c>
      <c r="P5691" s="17">
        <f t="shared" si="186"/>
        <v>7103.5499999999993</v>
      </c>
      <c r="Q5691" t="str">
        <f>A5691&amp;"-"&amp;B5691&amp;"-"&amp;D5691</f>
        <v>NOVEMBER-MJ2-L12</v>
      </c>
    </row>
    <row r="5692" spans="1:17" x14ac:dyDescent="0.25">
      <c r="A5692" t="s">
        <v>401</v>
      </c>
      <c r="B5692" s="13" t="s">
        <v>26</v>
      </c>
      <c r="C5692" s="13" t="s">
        <v>226</v>
      </c>
      <c r="D5692" s="14" t="s">
        <v>310</v>
      </c>
      <c r="E5692" s="13" t="s">
        <v>61</v>
      </c>
      <c r="F5692" s="13" t="s">
        <v>1955</v>
      </c>
      <c r="G5692" s="13">
        <v>0.78</v>
      </c>
      <c r="H5692" s="15">
        <v>306</v>
      </c>
      <c r="I5692" s="16">
        <v>238.68</v>
      </c>
      <c r="J5692" s="16">
        <v>193.10744832545993</v>
      </c>
      <c r="K5692" s="16">
        <v>45.572551674540065</v>
      </c>
      <c r="L5692" s="13">
        <v>2.29</v>
      </c>
      <c r="M5692" s="13"/>
      <c r="N5692" s="17">
        <f t="shared" si="187"/>
        <v>700.74</v>
      </c>
      <c r="O5692" s="17">
        <f t="shared" si="187"/>
        <v>0</v>
      </c>
      <c r="P5692" s="17">
        <f t="shared" si="186"/>
        <v>700.74</v>
      </c>
      <c r="Q5692" t="str">
        <f>A5692&amp;"-"&amp;B5692&amp;"-"&amp;D5692</f>
        <v>NOVEMBER-MJ2-L12</v>
      </c>
    </row>
    <row r="5693" spans="1:17" x14ac:dyDescent="0.25">
      <c r="A5693" t="s">
        <v>401</v>
      </c>
      <c r="B5693" s="13" t="s">
        <v>26</v>
      </c>
      <c r="C5693" s="13" t="s">
        <v>226</v>
      </c>
      <c r="D5693" s="14" t="s">
        <v>310</v>
      </c>
      <c r="E5693" s="13" t="s">
        <v>61</v>
      </c>
      <c r="F5693" s="13" t="s">
        <v>1781</v>
      </c>
      <c r="G5693" s="13">
        <v>0.79999999999999993</v>
      </c>
      <c r="H5693" s="15">
        <v>4289</v>
      </c>
      <c r="I5693" s="16">
        <v>3431.2</v>
      </c>
      <c r="J5693" s="16">
        <v>3310.8444649065823</v>
      </c>
      <c r="K5693" s="16">
        <v>120.35553509341744</v>
      </c>
      <c r="L5693" s="13">
        <v>6.2</v>
      </c>
      <c r="M5693" s="13"/>
      <c r="N5693" s="17">
        <f t="shared" si="187"/>
        <v>26591.8</v>
      </c>
      <c r="O5693" s="17">
        <f t="shared" si="187"/>
        <v>0</v>
      </c>
      <c r="P5693" s="17">
        <f t="shared" si="186"/>
        <v>26591.8</v>
      </c>
      <c r="Q5693" t="str">
        <f>A5693&amp;"-"&amp;B5693&amp;"-"&amp;D5693</f>
        <v>NOVEMBER-MJ2-L12</v>
      </c>
    </row>
    <row r="5694" spans="1:17" x14ac:dyDescent="0.25">
      <c r="A5694" t="s">
        <v>401</v>
      </c>
      <c r="B5694" s="13" t="s">
        <v>26</v>
      </c>
      <c r="C5694" s="13" t="s">
        <v>226</v>
      </c>
      <c r="D5694" s="14" t="s">
        <v>310</v>
      </c>
      <c r="E5694" s="13" t="s">
        <v>61</v>
      </c>
      <c r="F5694" s="13" t="s">
        <v>1956</v>
      </c>
      <c r="G5694" s="13">
        <v>0.78000000000000014</v>
      </c>
      <c r="H5694" s="15">
        <v>1243</v>
      </c>
      <c r="I5694" s="16">
        <v>969.53999999999985</v>
      </c>
      <c r="J5694" s="16">
        <v>980.68327159421699</v>
      </c>
      <c r="K5694" s="16">
        <v>-11.143271594216923</v>
      </c>
      <c r="L5694" s="13">
        <v>2.2200000000000002</v>
      </c>
      <c r="M5694" s="13"/>
      <c r="N5694" s="17">
        <f t="shared" si="187"/>
        <v>2759.46</v>
      </c>
      <c r="O5694" s="17">
        <f t="shared" si="187"/>
        <v>0</v>
      </c>
      <c r="P5694" s="17">
        <f t="shared" si="186"/>
        <v>2759.46</v>
      </c>
      <c r="Q5694" t="str">
        <f>A5694&amp;"-"&amp;B5694&amp;"-"&amp;D5694</f>
        <v>NOVEMBER-MJ2-L12</v>
      </c>
    </row>
    <row r="5695" spans="1:17" x14ac:dyDescent="0.25">
      <c r="A5695" t="s">
        <v>401</v>
      </c>
      <c r="B5695" s="13" t="s">
        <v>26</v>
      </c>
      <c r="C5695" s="13" t="s">
        <v>226</v>
      </c>
      <c r="D5695" s="14" t="s">
        <v>310</v>
      </c>
      <c r="E5695" s="13" t="s">
        <v>61</v>
      </c>
      <c r="F5695" s="13" t="s">
        <v>1957</v>
      </c>
      <c r="G5695" s="13">
        <v>0.76</v>
      </c>
      <c r="H5695" s="15">
        <v>1764</v>
      </c>
      <c r="I5695" s="16">
        <v>1340.6399999999999</v>
      </c>
      <c r="J5695" s="16">
        <v>1167.5103413334975</v>
      </c>
      <c r="K5695" s="16">
        <v>173.12965866650231</v>
      </c>
      <c r="L5695" s="13">
        <v>1.94</v>
      </c>
      <c r="M5695" s="13"/>
      <c r="N5695" s="17">
        <f t="shared" si="187"/>
        <v>3422.16</v>
      </c>
      <c r="O5695" s="17">
        <f t="shared" si="187"/>
        <v>0</v>
      </c>
      <c r="P5695" s="17">
        <f t="shared" si="186"/>
        <v>3422.16</v>
      </c>
      <c r="Q5695" t="str">
        <f>A5695&amp;"-"&amp;B5695&amp;"-"&amp;D5695</f>
        <v>NOVEMBER-MJ2-L12</v>
      </c>
    </row>
    <row r="5696" spans="1:17" x14ac:dyDescent="0.25">
      <c r="A5696" t="s">
        <v>401</v>
      </c>
      <c r="B5696" s="13" t="s">
        <v>26</v>
      </c>
      <c r="C5696" s="13" t="s">
        <v>226</v>
      </c>
      <c r="D5696" s="14" t="s">
        <v>310</v>
      </c>
      <c r="E5696" s="13" t="s">
        <v>61</v>
      </c>
      <c r="F5696" s="13" t="s">
        <v>1951</v>
      </c>
      <c r="G5696" s="13">
        <v>1.07</v>
      </c>
      <c r="H5696" s="15">
        <v>2849</v>
      </c>
      <c r="I5696" s="16">
        <v>3048.43</v>
      </c>
      <c r="J5696" s="16">
        <v>3014.9882152034611</v>
      </c>
      <c r="K5696" s="16">
        <v>33.441784796538272</v>
      </c>
      <c r="L5696" s="13">
        <v>2.57</v>
      </c>
      <c r="M5696" s="13"/>
      <c r="N5696" s="17">
        <f t="shared" si="187"/>
        <v>7321.9299999999994</v>
      </c>
      <c r="O5696" s="17">
        <f t="shared" si="187"/>
        <v>0</v>
      </c>
      <c r="P5696" s="17">
        <f t="shared" si="186"/>
        <v>7321.9299999999994</v>
      </c>
      <c r="Q5696" t="str">
        <f>A5696&amp;"-"&amp;B5696&amp;"-"&amp;D5696</f>
        <v>NOVEMBER-MJ2-L12</v>
      </c>
    </row>
    <row r="5697" spans="1:17" x14ac:dyDescent="0.25">
      <c r="A5697" t="s">
        <v>401</v>
      </c>
      <c r="B5697" s="13" t="s">
        <v>26</v>
      </c>
      <c r="C5697" s="13" t="s">
        <v>226</v>
      </c>
      <c r="D5697" s="14" t="s">
        <v>310</v>
      </c>
      <c r="E5697" s="13" t="s">
        <v>61</v>
      </c>
      <c r="F5697" s="13" t="s">
        <v>1958</v>
      </c>
      <c r="G5697" s="13">
        <v>0.65000000000000013</v>
      </c>
      <c r="H5697" s="15">
        <v>7438</v>
      </c>
      <c r="I5697" s="16">
        <v>4834.7000000000007</v>
      </c>
      <c r="J5697" s="16">
        <v>4654.0822910843535</v>
      </c>
      <c r="K5697" s="16">
        <v>180.61770891564652</v>
      </c>
      <c r="L5697" s="13">
        <v>1.66</v>
      </c>
      <c r="M5697" s="13"/>
      <c r="N5697" s="17">
        <f t="shared" si="187"/>
        <v>12347.08</v>
      </c>
      <c r="O5697" s="17">
        <f t="shared" si="187"/>
        <v>0</v>
      </c>
      <c r="P5697" s="17">
        <f t="shared" si="186"/>
        <v>12347.08</v>
      </c>
      <c r="Q5697" t="str">
        <f>A5697&amp;"-"&amp;B5697&amp;"-"&amp;D5697</f>
        <v>NOVEMBER-MJ2-L12</v>
      </c>
    </row>
    <row r="5698" spans="1:17" x14ac:dyDescent="0.25">
      <c r="A5698" t="s">
        <v>401</v>
      </c>
      <c r="B5698" s="13" t="s">
        <v>26</v>
      </c>
      <c r="C5698" s="13" t="s">
        <v>226</v>
      </c>
      <c r="D5698" s="14" t="s">
        <v>310</v>
      </c>
      <c r="E5698" s="13" t="s">
        <v>61</v>
      </c>
      <c r="F5698" s="13" t="s">
        <v>1952</v>
      </c>
      <c r="G5698" s="13">
        <v>0.65</v>
      </c>
      <c r="H5698" s="15">
        <v>8008</v>
      </c>
      <c r="I5698" s="16">
        <v>5205.2000000000007</v>
      </c>
      <c r="J5698" s="16">
        <v>5204.9992749099265</v>
      </c>
      <c r="K5698" s="16">
        <v>0.20072509007378248</v>
      </c>
      <c r="L5698" s="13">
        <v>1.66</v>
      </c>
      <c r="M5698" s="13"/>
      <c r="N5698" s="17">
        <f t="shared" si="187"/>
        <v>13293.279999999999</v>
      </c>
      <c r="O5698" s="17">
        <f t="shared" si="187"/>
        <v>0</v>
      </c>
      <c r="P5698" s="17">
        <f t="shared" ref="P5698:P5761" si="188">N5698+O5698</f>
        <v>13293.279999999999</v>
      </c>
      <c r="Q5698" t="str">
        <f>A5698&amp;"-"&amp;B5698&amp;"-"&amp;D5698</f>
        <v>NOVEMBER-MJ2-L12</v>
      </c>
    </row>
    <row r="5699" spans="1:17" x14ac:dyDescent="0.25">
      <c r="A5699" t="s">
        <v>401</v>
      </c>
      <c r="B5699" s="13" t="s">
        <v>26</v>
      </c>
      <c r="C5699" s="13" t="s">
        <v>226</v>
      </c>
      <c r="D5699" s="14" t="s">
        <v>320</v>
      </c>
      <c r="E5699" s="13" t="s">
        <v>61</v>
      </c>
      <c r="F5699" s="13" t="s">
        <v>1953</v>
      </c>
      <c r="G5699" s="13">
        <v>0.68</v>
      </c>
      <c r="H5699" s="15">
        <v>3130</v>
      </c>
      <c r="I5699" s="16">
        <v>2128.3999999999996</v>
      </c>
      <c r="J5699" s="16">
        <v>2355.3315928100433</v>
      </c>
      <c r="K5699" s="16">
        <v>-226.93159281004336</v>
      </c>
      <c r="L5699" s="13">
        <v>1.69</v>
      </c>
      <c r="M5699" s="13"/>
      <c r="N5699" s="17">
        <f t="shared" si="187"/>
        <v>5289.7</v>
      </c>
      <c r="O5699" s="17">
        <f t="shared" si="187"/>
        <v>0</v>
      </c>
      <c r="P5699" s="17">
        <f t="shared" si="188"/>
        <v>5289.7</v>
      </c>
      <c r="Q5699" t="str">
        <f>A5699&amp;"-"&amp;B5699&amp;"-"&amp;D5699</f>
        <v>NOVEMBER-MJ2-L13</v>
      </c>
    </row>
    <row r="5700" spans="1:17" x14ac:dyDescent="0.25">
      <c r="A5700" t="s">
        <v>401</v>
      </c>
      <c r="B5700" s="13" t="s">
        <v>26</v>
      </c>
      <c r="C5700" s="13" t="s">
        <v>226</v>
      </c>
      <c r="D5700" s="14" t="s">
        <v>320</v>
      </c>
      <c r="E5700" s="13" t="s">
        <v>61</v>
      </c>
      <c r="F5700" s="13" t="s">
        <v>1777</v>
      </c>
      <c r="G5700" s="13">
        <v>0.83</v>
      </c>
      <c r="H5700" s="15">
        <v>530</v>
      </c>
      <c r="I5700" s="16">
        <v>439.90000000000003</v>
      </c>
      <c r="J5700" s="16">
        <v>358.40075257180382</v>
      </c>
      <c r="K5700" s="16">
        <v>81.499247428196156</v>
      </c>
      <c r="L5700" s="13">
        <v>2.13</v>
      </c>
      <c r="M5700" s="13"/>
      <c r="N5700" s="17">
        <f t="shared" si="187"/>
        <v>1128.8999999999999</v>
      </c>
      <c r="O5700" s="17">
        <f t="shared" si="187"/>
        <v>0</v>
      </c>
      <c r="P5700" s="17">
        <f t="shared" si="188"/>
        <v>1128.8999999999999</v>
      </c>
      <c r="Q5700" t="str">
        <f>A5700&amp;"-"&amp;B5700&amp;"-"&amp;D5700</f>
        <v>NOVEMBER-MJ2-L13</v>
      </c>
    </row>
    <row r="5701" spans="1:17" x14ac:dyDescent="0.25">
      <c r="A5701" t="s">
        <v>401</v>
      </c>
      <c r="B5701" s="13" t="s">
        <v>26</v>
      </c>
      <c r="C5701" s="13" t="s">
        <v>226</v>
      </c>
      <c r="D5701" s="14" t="s">
        <v>320</v>
      </c>
      <c r="E5701" s="13" t="s">
        <v>61</v>
      </c>
      <c r="F5701" s="13" t="s">
        <v>1778</v>
      </c>
      <c r="G5701" s="13">
        <v>0.78</v>
      </c>
      <c r="H5701" s="15">
        <v>15</v>
      </c>
      <c r="I5701" s="16">
        <v>11.700000000000001</v>
      </c>
      <c r="J5701" s="16">
        <v>10.934186488350834</v>
      </c>
      <c r="K5701" s="16">
        <v>0.765813511649166</v>
      </c>
      <c r="L5701" s="13">
        <v>2.29</v>
      </c>
      <c r="M5701" s="13"/>
      <c r="N5701" s="17">
        <f t="shared" si="187"/>
        <v>34.35</v>
      </c>
      <c r="O5701" s="17">
        <f t="shared" si="187"/>
        <v>0</v>
      </c>
      <c r="P5701" s="17">
        <f t="shared" si="188"/>
        <v>34.35</v>
      </c>
      <c r="Q5701" t="str">
        <f>A5701&amp;"-"&amp;B5701&amp;"-"&amp;D5701</f>
        <v>NOVEMBER-MJ2-L13</v>
      </c>
    </row>
    <row r="5702" spans="1:17" x14ac:dyDescent="0.25">
      <c r="A5702" t="s">
        <v>401</v>
      </c>
      <c r="B5702" s="13" t="s">
        <v>26</v>
      </c>
      <c r="C5702" s="13" t="s">
        <v>226</v>
      </c>
      <c r="D5702" s="14" t="s">
        <v>320</v>
      </c>
      <c r="E5702" s="13" t="s">
        <v>61</v>
      </c>
      <c r="F5702" s="13" t="s">
        <v>1954</v>
      </c>
      <c r="G5702" s="13">
        <v>0.82999999999999985</v>
      </c>
      <c r="H5702" s="15">
        <v>3334</v>
      </c>
      <c r="I5702" s="16">
        <v>2767.2200000000003</v>
      </c>
      <c r="J5702" s="16">
        <v>2111.3122706313015</v>
      </c>
      <c r="K5702" s="16">
        <v>655.90772936869871</v>
      </c>
      <c r="L5702" s="13">
        <v>2.13</v>
      </c>
      <c r="M5702" s="13"/>
      <c r="N5702" s="17">
        <f t="shared" si="187"/>
        <v>7101.42</v>
      </c>
      <c r="O5702" s="17">
        <f t="shared" si="187"/>
        <v>0</v>
      </c>
      <c r="P5702" s="17">
        <f t="shared" si="188"/>
        <v>7101.42</v>
      </c>
      <c r="Q5702" t="str">
        <f>A5702&amp;"-"&amp;B5702&amp;"-"&amp;D5702</f>
        <v>NOVEMBER-MJ2-L13</v>
      </c>
    </row>
    <row r="5703" spans="1:17" x14ac:dyDescent="0.25">
      <c r="A5703" t="s">
        <v>401</v>
      </c>
      <c r="B5703" s="13" t="s">
        <v>26</v>
      </c>
      <c r="C5703" s="13" t="s">
        <v>226</v>
      </c>
      <c r="D5703" s="14" t="s">
        <v>320</v>
      </c>
      <c r="E5703" s="13" t="s">
        <v>61</v>
      </c>
      <c r="F5703" s="13" t="s">
        <v>1955</v>
      </c>
      <c r="G5703" s="13">
        <v>0.78</v>
      </c>
      <c r="H5703" s="15">
        <v>306</v>
      </c>
      <c r="I5703" s="16">
        <v>238.68</v>
      </c>
      <c r="J5703" s="16">
        <v>192.71200228608816</v>
      </c>
      <c r="K5703" s="16">
        <v>45.967997713911821</v>
      </c>
      <c r="L5703" s="13">
        <v>2.29</v>
      </c>
      <c r="M5703" s="13"/>
      <c r="N5703" s="17">
        <f t="shared" si="187"/>
        <v>700.74</v>
      </c>
      <c r="O5703" s="17">
        <f t="shared" si="187"/>
        <v>0</v>
      </c>
      <c r="P5703" s="17">
        <f t="shared" si="188"/>
        <v>700.74</v>
      </c>
      <c r="Q5703" t="str">
        <f>A5703&amp;"-"&amp;B5703&amp;"-"&amp;D5703</f>
        <v>NOVEMBER-MJ2-L13</v>
      </c>
    </row>
    <row r="5704" spans="1:17" x14ac:dyDescent="0.25">
      <c r="A5704" t="s">
        <v>401</v>
      </c>
      <c r="B5704" s="13" t="s">
        <v>26</v>
      </c>
      <c r="C5704" s="13" t="s">
        <v>226</v>
      </c>
      <c r="D5704" s="14" t="s">
        <v>320</v>
      </c>
      <c r="E5704" s="13" t="s">
        <v>61</v>
      </c>
      <c r="F5704" s="13" t="s">
        <v>1781</v>
      </c>
      <c r="G5704" s="13">
        <v>0.79999999999999993</v>
      </c>
      <c r="H5704" s="15">
        <v>4291</v>
      </c>
      <c r="I5704" s="16">
        <v>3432.8</v>
      </c>
      <c r="J5704" s="16">
        <v>3312.6542580346754</v>
      </c>
      <c r="K5704" s="16">
        <v>120.14574196532399</v>
      </c>
      <c r="L5704" s="13">
        <v>6.2</v>
      </c>
      <c r="M5704" s="13"/>
      <c r="N5704" s="17">
        <f t="shared" si="187"/>
        <v>26604.2</v>
      </c>
      <c r="O5704" s="17">
        <f t="shared" si="187"/>
        <v>0</v>
      </c>
      <c r="P5704" s="17">
        <f t="shared" si="188"/>
        <v>26604.2</v>
      </c>
      <c r="Q5704" t="str">
        <f>A5704&amp;"-"&amp;B5704&amp;"-"&amp;D5704</f>
        <v>NOVEMBER-MJ2-L13</v>
      </c>
    </row>
    <row r="5705" spans="1:17" x14ac:dyDescent="0.25">
      <c r="A5705" t="s">
        <v>401</v>
      </c>
      <c r="B5705" s="13" t="s">
        <v>26</v>
      </c>
      <c r="C5705" s="13" t="s">
        <v>226</v>
      </c>
      <c r="D5705" s="14" t="s">
        <v>320</v>
      </c>
      <c r="E5705" s="13" t="s">
        <v>61</v>
      </c>
      <c r="F5705" s="13" t="s">
        <v>1956</v>
      </c>
      <c r="G5705" s="13">
        <v>0.78000000000000014</v>
      </c>
      <c r="H5705" s="15">
        <v>1241</v>
      </c>
      <c r="I5705" s="16">
        <v>967.9799999999999</v>
      </c>
      <c r="J5705" s="16">
        <v>978.88624478025167</v>
      </c>
      <c r="K5705" s="16">
        <v>-10.906244780251654</v>
      </c>
      <c r="L5705" s="13">
        <v>2.2200000000000002</v>
      </c>
      <c r="M5705" s="13"/>
      <c r="N5705" s="17">
        <f t="shared" si="187"/>
        <v>2755.0200000000004</v>
      </c>
      <c r="O5705" s="17">
        <f t="shared" si="187"/>
        <v>0</v>
      </c>
      <c r="P5705" s="17">
        <f t="shared" si="188"/>
        <v>2755.0200000000004</v>
      </c>
      <c r="Q5705" t="str">
        <f>A5705&amp;"-"&amp;B5705&amp;"-"&amp;D5705</f>
        <v>NOVEMBER-MJ2-L13</v>
      </c>
    </row>
    <row r="5706" spans="1:17" x14ac:dyDescent="0.25">
      <c r="A5706" t="s">
        <v>401</v>
      </c>
      <c r="B5706" s="13" t="s">
        <v>26</v>
      </c>
      <c r="C5706" s="13" t="s">
        <v>226</v>
      </c>
      <c r="D5706" s="14" t="s">
        <v>320</v>
      </c>
      <c r="E5706" s="13" t="s">
        <v>61</v>
      </c>
      <c r="F5706" s="13" t="s">
        <v>1957</v>
      </c>
      <c r="G5706" s="13">
        <v>0.76</v>
      </c>
      <c r="H5706" s="15">
        <v>1766</v>
      </c>
      <c r="I5706" s="16">
        <v>1342.1599999999999</v>
      </c>
      <c r="J5706" s="16">
        <v>1168.7272025913567</v>
      </c>
      <c r="K5706" s="16">
        <v>173.43279740864349</v>
      </c>
      <c r="L5706" s="13">
        <v>1.94</v>
      </c>
      <c r="M5706" s="13"/>
      <c r="N5706" s="17">
        <f t="shared" si="187"/>
        <v>3426.04</v>
      </c>
      <c r="O5706" s="17">
        <f t="shared" si="187"/>
        <v>0</v>
      </c>
      <c r="P5706" s="17">
        <f t="shared" si="188"/>
        <v>3426.04</v>
      </c>
      <c r="Q5706" t="str">
        <f>A5706&amp;"-"&amp;B5706&amp;"-"&amp;D5706</f>
        <v>NOVEMBER-MJ2-L13</v>
      </c>
    </row>
    <row r="5707" spans="1:17" x14ac:dyDescent="0.25">
      <c r="A5707" t="s">
        <v>401</v>
      </c>
      <c r="B5707" s="13" t="s">
        <v>26</v>
      </c>
      <c r="C5707" s="13" t="s">
        <v>226</v>
      </c>
      <c r="D5707" s="14" t="s">
        <v>320</v>
      </c>
      <c r="E5707" s="13" t="s">
        <v>61</v>
      </c>
      <c r="F5707" s="13" t="s">
        <v>1951</v>
      </c>
      <c r="G5707" s="13">
        <v>1.07</v>
      </c>
      <c r="H5707" s="15">
        <v>2849</v>
      </c>
      <c r="I5707" s="16">
        <v>3048.43</v>
      </c>
      <c r="J5707" s="16">
        <v>3015.2886437376887</v>
      </c>
      <c r="K5707" s="16">
        <v>33.141356262311646</v>
      </c>
      <c r="L5707" s="13">
        <v>2.57</v>
      </c>
      <c r="M5707" s="13"/>
      <c r="N5707" s="17">
        <f t="shared" si="187"/>
        <v>7321.9299999999994</v>
      </c>
      <c r="O5707" s="17">
        <f t="shared" si="187"/>
        <v>0</v>
      </c>
      <c r="P5707" s="17">
        <f t="shared" si="188"/>
        <v>7321.9299999999994</v>
      </c>
      <c r="Q5707" t="str">
        <f>A5707&amp;"-"&amp;B5707&amp;"-"&amp;D5707</f>
        <v>NOVEMBER-MJ2-L13</v>
      </c>
    </row>
    <row r="5708" spans="1:17" x14ac:dyDescent="0.25">
      <c r="A5708" t="s">
        <v>401</v>
      </c>
      <c r="B5708" s="13" t="s">
        <v>26</v>
      </c>
      <c r="C5708" s="13" t="s">
        <v>226</v>
      </c>
      <c r="D5708" s="14" t="s">
        <v>320</v>
      </c>
      <c r="E5708" s="13" t="s">
        <v>61</v>
      </c>
      <c r="F5708" s="13" t="s">
        <v>1958</v>
      </c>
      <c r="G5708" s="13">
        <v>0.65000000000000013</v>
      </c>
      <c r="H5708" s="15">
        <v>7439</v>
      </c>
      <c r="I5708" s="16">
        <v>4835.3500000000013</v>
      </c>
      <c r="J5708" s="16">
        <v>4655.5919814643348</v>
      </c>
      <c r="K5708" s="16">
        <v>179.75801853566509</v>
      </c>
      <c r="L5708" s="13">
        <v>1.66</v>
      </c>
      <c r="M5708" s="13"/>
      <c r="N5708" s="17">
        <f t="shared" si="187"/>
        <v>12348.74</v>
      </c>
      <c r="O5708" s="17">
        <f t="shared" si="187"/>
        <v>0</v>
      </c>
      <c r="P5708" s="17">
        <f t="shared" si="188"/>
        <v>12348.74</v>
      </c>
      <c r="Q5708" t="str">
        <f>A5708&amp;"-"&amp;B5708&amp;"-"&amp;D5708</f>
        <v>NOVEMBER-MJ2-L13</v>
      </c>
    </row>
    <row r="5709" spans="1:17" x14ac:dyDescent="0.25">
      <c r="A5709" t="s">
        <v>401</v>
      </c>
      <c r="B5709" s="13" t="s">
        <v>26</v>
      </c>
      <c r="C5709" s="13" t="s">
        <v>226</v>
      </c>
      <c r="D5709" s="14" t="s">
        <v>320</v>
      </c>
      <c r="E5709" s="13" t="s">
        <v>61</v>
      </c>
      <c r="F5709" s="13" t="s">
        <v>1952</v>
      </c>
      <c r="G5709" s="13">
        <v>0.65</v>
      </c>
      <c r="H5709" s="15">
        <v>8008</v>
      </c>
      <c r="I5709" s="16">
        <v>5205.2</v>
      </c>
      <c r="J5709" s="16">
        <v>5204.1608646041041</v>
      </c>
      <c r="K5709" s="16">
        <v>1.0391353958948768</v>
      </c>
      <c r="L5709" s="13">
        <v>1.66</v>
      </c>
      <c r="M5709" s="13"/>
      <c r="N5709" s="17">
        <f t="shared" si="187"/>
        <v>13293.279999999999</v>
      </c>
      <c r="O5709" s="17">
        <f t="shared" si="187"/>
        <v>0</v>
      </c>
      <c r="P5709" s="17">
        <f t="shared" si="188"/>
        <v>13293.279999999999</v>
      </c>
      <c r="Q5709" t="str">
        <f>A5709&amp;"-"&amp;B5709&amp;"-"&amp;D5709</f>
        <v>NOVEMBER-MJ2-L13</v>
      </c>
    </row>
    <row r="5710" spans="1:17" x14ac:dyDescent="0.25">
      <c r="A5710" t="s">
        <v>401</v>
      </c>
      <c r="B5710" s="13" t="s">
        <v>26</v>
      </c>
      <c r="C5710" s="13" t="s">
        <v>226</v>
      </c>
      <c r="D5710" s="14" t="s">
        <v>50</v>
      </c>
      <c r="E5710" s="13" t="s">
        <v>61</v>
      </c>
      <c r="F5710" s="13" t="s">
        <v>1931</v>
      </c>
      <c r="G5710" s="13">
        <v>0.68</v>
      </c>
      <c r="H5710" s="15">
        <v>3012</v>
      </c>
      <c r="I5710" s="16">
        <v>2048.16</v>
      </c>
      <c r="J5710" s="16">
        <v>2200.8002427184465</v>
      </c>
      <c r="K5710" s="16">
        <v>-152.64024271844647</v>
      </c>
      <c r="L5710" s="13">
        <v>1.69</v>
      </c>
      <c r="M5710" s="13"/>
      <c r="N5710" s="17">
        <f t="shared" si="187"/>
        <v>5090.28</v>
      </c>
      <c r="O5710" s="17">
        <f t="shared" si="187"/>
        <v>0</v>
      </c>
      <c r="P5710" s="17">
        <f t="shared" si="188"/>
        <v>5090.28</v>
      </c>
      <c r="Q5710" t="str">
        <f>A5710&amp;"-"&amp;B5710&amp;"-"&amp;D5710</f>
        <v>NOVEMBER-MJ2-L2</v>
      </c>
    </row>
    <row r="5711" spans="1:17" x14ac:dyDescent="0.25">
      <c r="A5711" t="s">
        <v>401</v>
      </c>
      <c r="B5711" s="13" t="s">
        <v>26</v>
      </c>
      <c r="C5711" s="13" t="s">
        <v>226</v>
      </c>
      <c r="D5711" s="14" t="s">
        <v>50</v>
      </c>
      <c r="E5711" s="13" t="s">
        <v>61</v>
      </c>
      <c r="F5711" s="13" t="s">
        <v>1959</v>
      </c>
      <c r="G5711" s="13">
        <v>0.71</v>
      </c>
      <c r="H5711" s="15">
        <v>4762</v>
      </c>
      <c r="I5711" s="16">
        <v>3381.0199999999995</v>
      </c>
      <c r="J5711" s="16">
        <v>2514.2949355591168</v>
      </c>
      <c r="K5711" s="16">
        <v>866.72506444088322</v>
      </c>
      <c r="L5711" s="13">
        <v>1.29</v>
      </c>
      <c r="M5711" s="13"/>
      <c r="N5711" s="17">
        <f t="shared" si="187"/>
        <v>6142.9800000000005</v>
      </c>
      <c r="O5711" s="17">
        <f t="shared" si="187"/>
        <v>0</v>
      </c>
      <c r="P5711" s="17">
        <f t="shared" si="188"/>
        <v>6142.9800000000005</v>
      </c>
      <c r="Q5711" t="str">
        <f>A5711&amp;"-"&amp;B5711&amp;"-"&amp;D5711</f>
        <v>NOVEMBER-MJ2-L2</v>
      </c>
    </row>
    <row r="5712" spans="1:17" x14ac:dyDescent="0.25">
      <c r="A5712" t="s">
        <v>401</v>
      </c>
      <c r="B5712" s="13" t="s">
        <v>26</v>
      </c>
      <c r="C5712" s="13" t="s">
        <v>226</v>
      </c>
      <c r="D5712" s="14" t="s">
        <v>50</v>
      </c>
      <c r="E5712" s="13" t="s">
        <v>61</v>
      </c>
      <c r="F5712" s="13" t="s">
        <v>1960</v>
      </c>
      <c r="G5712" s="13">
        <v>0.70000000000000007</v>
      </c>
      <c r="H5712" s="15">
        <v>7562</v>
      </c>
      <c r="I5712" s="16">
        <v>5293.4000000000005</v>
      </c>
      <c r="J5712" s="16">
        <v>4331.1625655469197</v>
      </c>
      <c r="K5712" s="16">
        <v>962.23743445308082</v>
      </c>
      <c r="L5712" s="13">
        <v>1.76</v>
      </c>
      <c r="M5712" s="13"/>
      <c r="N5712" s="17">
        <f t="shared" si="187"/>
        <v>13309.12</v>
      </c>
      <c r="O5712" s="17">
        <f t="shared" si="187"/>
        <v>0</v>
      </c>
      <c r="P5712" s="17">
        <f t="shared" si="188"/>
        <v>13309.12</v>
      </c>
      <c r="Q5712" t="str">
        <f>A5712&amp;"-"&amp;B5712&amp;"-"&amp;D5712</f>
        <v>NOVEMBER-MJ2-L2</v>
      </c>
    </row>
    <row r="5713" spans="1:17" x14ac:dyDescent="0.25">
      <c r="A5713" t="s">
        <v>401</v>
      </c>
      <c r="B5713" s="13" t="s">
        <v>26</v>
      </c>
      <c r="C5713" s="13" t="s">
        <v>226</v>
      </c>
      <c r="D5713" s="14" t="s">
        <v>50</v>
      </c>
      <c r="E5713" s="13" t="s">
        <v>61</v>
      </c>
      <c r="F5713" s="13" t="s">
        <v>1961</v>
      </c>
      <c r="G5713" s="13">
        <v>0.68</v>
      </c>
      <c r="H5713" s="15">
        <v>1350</v>
      </c>
      <c r="I5713" s="16">
        <v>918</v>
      </c>
      <c r="J5713" s="16">
        <v>829.93354296780035</v>
      </c>
      <c r="K5713" s="16">
        <v>88.066457032199537</v>
      </c>
      <c r="L5713" s="13">
        <v>1.88</v>
      </c>
      <c r="M5713" s="13"/>
      <c r="N5713" s="17">
        <f t="shared" si="187"/>
        <v>2538</v>
      </c>
      <c r="O5713" s="17">
        <f t="shared" si="187"/>
        <v>0</v>
      </c>
      <c r="P5713" s="17">
        <f t="shared" si="188"/>
        <v>2538</v>
      </c>
      <c r="Q5713" t="str">
        <f>A5713&amp;"-"&amp;B5713&amp;"-"&amp;D5713</f>
        <v>NOVEMBER-MJ2-L2</v>
      </c>
    </row>
    <row r="5714" spans="1:17" x14ac:dyDescent="0.25">
      <c r="A5714" t="s">
        <v>401</v>
      </c>
      <c r="B5714" s="13" t="s">
        <v>26</v>
      </c>
      <c r="C5714" s="13" t="s">
        <v>226</v>
      </c>
      <c r="D5714" s="14" t="s">
        <v>50</v>
      </c>
      <c r="E5714" s="13" t="s">
        <v>61</v>
      </c>
      <c r="F5714" s="13" t="s">
        <v>1789</v>
      </c>
      <c r="G5714" s="13">
        <v>0.78</v>
      </c>
      <c r="H5714" s="15">
        <v>19</v>
      </c>
      <c r="I5714" s="16">
        <v>14.82</v>
      </c>
      <c r="J5714" s="16">
        <v>10.710191082802547</v>
      </c>
      <c r="K5714" s="16">
        <v>4.1098089171974532</v>
      </c>
      <c r="L5714" s="13">
        <v>2.29</v>
      </c>
      <c r="M5714" s="13"/>
      <c r="N5714" s="17">
        <f t="shared" si="187"/>
        <v>43.51</v>
      </c>
      <c r="O5714" s="17">
        <f t="shared" si="187"/>
        <v>0</v>
      </c>
      <c r="P5714" s="17">
        <f t="shared" si="188"/>
        <v>43.51</v>
      </c>
      <c r="Q5714" t="str">
        <f>A5714&amp;"-"&amp;B5714&amp;"-"&amp;D5714</f>
        <v>NOVEMBER-MJ2-L2</v>
      </c>
    </row>
    <row r="5715" spans="1:17" x14ac:dyDescent="0.25">
      <c r="A5715" t="s">
        <v>401</v>
      </c>
      <c r="B5715" s="13" t="s">
        <v>26</v>
      </c>
      <c r="C5715" s="13" t="s">
        <v>226</v>
      </c>
      <c r="D5715" s="14" t="s">
        <v>50</v>
      </c>
      <c r="E5715" s="13" t="s">
        <v>61</v>
      </c>
      <c r="F5715" s="13" t="s">
        <v>1790</v>
      </c>
      <c r="G5715" s="13">
        <v>0.70000000000000007</v>
      </c>
      <c r="H5715" s="15">
        <v>3306</v>
      </c>
      <c r="I5715" s="16">
        <v>2314.2000000000003</v>
      </c>
      <c r="J5715" s="16">
        <v>1652.7591282862697</v>
      </c>
      <c r="K5715" s="16">
        <v>661.4408717137303</v>
      </c>
      <c r="L5715" s="13">
        <v>1.76</v>
      </c>
      <c r="M5715" s="13"/>
      <c r="N5715" s="17">
        <f t="shared" si="187"/>
        <v>5818.56</v>
      </c>
      <c r="O5715" s="17">
        <f t="shared" si="187"/>
        <v>0</v>
      </c>
      <c r="P5715" s="17">
        <f t="shared" si="188"/>
        <v>5818.56</v>
      </c>
      <c r="Q5715" t="str">
        <f>A5715&amp;"-"&amp;B5715&amp;"-"&amp;D5715</f>
        <v>NOVEMBER-MJ2-L2</v>
      </c>
    </row>
    <row r="5716" spans="1:17" x14ac:dyDescent="0.25">
      <c r="A5716" t="s">
        <v>401</v>
      </c>
      <c r="B5716" s="13" t="s">
        <v>26</v>
      </c>
      <c r="C5716" s="13" t="s">
        <v>226</v>
      </c>
      <c r="D5716" s="14" t="s">
        <v>50</v>
      </c>
      <c r="E5716" s="13" t="s">
        <v>61</v>
      </c>
      <c r="F5716" s="13" t="s">
        <v>1962</v>
      </c>
      <c r="G5716" s="13">
        <v>0.7</v>
      </c>
      <c r="H5716" s="15">
        <v>5401</v>
      </c>
      <c r="I5716" s="16">
        <v>3780.7</v>
      </c>
      <c r="J5716" s="16">
        <v>3578.8539741490235</v>
      </c>
      <c r="K5716" s="16">
        <v>201.84602585097673</v>
      </c>
      <c r="L5716" s="13">
        <v>1.76</v>
      </c>
      <c r="M5716" s="13"/>
      <c r="N5716" s="17">
        <f t="shared" si="187"/>
        <v>9505.76</v>
      </c>
      <c r="O5716" s="17">
        <f t="shared" si="187"/>
        <v>0</v>
      </c>
      <c r="P5716" s="17">
        <f t="shared" si="188"/>
        <v>9505.76</v>
      </c>
      <c r="Q5716" t="str">
        <f>A5716&amp;"-"&amp;B5716&amp;"-"&amp;D5716</f>
        <v>NOVEMBER-MJ2-L2</v>
      </c>
    </row>
    <row r="5717" spans="1:17" x14ac:dyDescent="0.25">
      <c r="A5717" t="s">
        <v>401</v>
      </c>
      <c r="B5717" s="13" t="s">
        <v>26</v>
      </c>
      <c r="C5717" s="13" t="s">
        <v>226</v>
      </c>
      <c r="D5717" s="14" t="s">
        <v>50</v>
      </c>
      <c r="E5717" s="13" t="s">
        <v>61</v>
      </c>
      <c r="F5717" s="13" t="s">
        <v>1791</v>
      </c>
      <c r="G5717" s="13">
        <v>0.68</v>
      </c>
      <c r="H5717" s="15">
        <v>1120</v>
      </c>
      <c r="I5717" s="16">
        <v>761.6</v>
      </c>
      <c r="J5717" s="16">
        <v>582.24404795794521</v>
      </c>
      <c r="K5717" s="16">
        <v>179.35595204205487</v>
      </c>
      <c r="L5717" s="13">
        <v>1.88</v>
      </c>
      <c r="M5717" s="13"/>
      <c r="N5717" s="17">
        <f t="shared" si="187"/>
        <v>2105.6</v>
      </c>
      <c r="O5717" s="17">
        <f t="shared" si="187"/>
        <v>0</v>
      </c>
      <c r="P5717" s="17">
        <f t="shared" si="188"/>
        <v>2105.6</v>
      </c>
      <c r="Q5717" t="str">
        <f>A5717&amp;"-"&amp;B5717&amp;"-"&amp;D5717</f>
        <v>NOVEMBER-MJ2-L2</v>
      </c>
    </row>
    <row r="5718" spans="1:17" x14ac:dyDescent="0.25">
      <c r="A5718" t="s">
        <v>401</v>
      </c>
      <c r="B5718" s="13" t="s">
        <v>26</v>
      </c>
      <c r="C5718" s="13" t="s">
        <v>226</v>
      </c>
      <c r="D5718" s="14" t="s">
        <v>50</v>
      </c>
      <c r="E5718" s="13" t="s">
        <v>61</v>
      </c>
      <c r="F5718" s="13" t="s">
        <v>1958</v>
      </c>
      <c r="G5718" s="13">
        <v>0.65000000000000013</v>
      </c>
      <c r="H5718" s="15">
        <v>6456</v>
      </c>
      <c r="I5718" s="16">
        <v>4196.3999999999996</v>
      </c>
      <c r="J5718" s="16">
        <v>3607.3600028795618</v>
      </c>
      <c r="K5718" s="16">
        <v>589.03999712043822</v>
      </c>
      <c r="L5718" s="13">
        <v>1.66</v>
      </c>
      <c r="M5718" s="13"/>
      <c r="N5718" s="17">
        <f t="shared" si="187"/>
        <v>10716.96</v>
      </c>
      <c r="O5718" s="17">
        <f t="shared" si="187"/>
        <v>0</v>
      </c>
      <c r="P5718" s="17">
        <f t="shared" si="188"/>
        <v>10716.96</v>
      </c>
      <c r="Q5718" t="str">
        <f>A5718&amp;"-"&amp;B5718&amp;"-"&amp;D5718</f>
        <v>NOVEMBER-MJ2-L2</v>
      </c>
    </row>
    <row r="5719" spans="1:17" x14ac:dyDescent="0.25">
      <c r="A5719" t="s">
        <v>401</v>
      </c>
      <c r="B5719" s="13" t="s">
        <v>26</v>
      </c>
      <c r="C5719" s="13" t="s">
        <v>226</v>
      </c>
      <c r="D5719" s="14" t="s">
        <v>50</v>
      </c>
      <c r="E5719" s="13" t="s">
        <v>61</v>
      </c>
      <c r="F5719" s="13" t="s">
        <v>1952</v>
      </c>
      <c r="G5719" s="13">
        <v>0.65</v>
      </c>
      <c r="H5719" s="15">
        <v>7977</v>
      </c>
      <c r="I5719" s="16">
        <v>5185.05</v>
      </c>
      <c r="J5719" s="16">
        <v>4055.8813688521145</v>
      </c>
      <c r="K5719" s="16">
        <v>1129.1686311478854</v>
      </c>
      <c r="L5719" s="13">
        <v>1.66</v>
      </c>
      <c r="M5719" s="13"/>
      <c r="N5719" s="17">
        <f t="shared" ref="N5719:O5782" si="189">$H5719*L5719</f>
        <v>13241.82</v>
      </c>
      <c r="O5719" s="17">
        <f t="shared" si="189"/>
        <v>0</v>
      </c>
      <c r="P5719" s="17">
        <f t="shared" si="188"/>
        <v>13241.82</v>
      </c>
      <c r="Q5719" t="str">
        <f>A5719&amp;"-"&amp;B5719&amp;"-"&amp;D5719</f>
        <v>NOVEMBER-MJ2-L2</v>
      </c>
    </row>
    <row r="5720" spans="1:17" x14ac:dyDescent="0.25">
      <c r="A5720" t="s">
        <v>401</v>
      </c>
      <c r="B5720" s="13" t="s">
        <v>26</v>
      </c>
      <c r="C5720" s="13" t="s">
        <v>226</v>
      </c>
      <c r="D5720" s="14" t="s">
        <v>56</v>
      </c>
      <c r="E5720" s="13" t="s">
        <v>61</v>
      </c>
      <c r="F5720" s="13" t="s">
        <v>1931</v>
      </c>
      <c r="G5720" s="13">
        <v>0.68</v>
      </c>
      <c r="H5720" s="15">
        <v>3013</v>
      </c>
      <c r="I5720" s="16">
        <v>2048.84</v>
      </c>
      <c r="J5720" s="16">
        <v>2200.8054564390309</v>
      </c>
      <c r="K5720" s="16">
        <v>-151.96545643903107</v>
      </c>
      <c r="L5720" s="13">
        <v>1.69</v>
      </c>
      <c r="M5720" s="13"/>
      <c r="N5720" s="17">
        <f t="shared" si="189"/>
        <v>5091.97</v>
      </c>
      <c r="O5720" s="17">
        <f t="shared" si="189"/>
        <v>0</v>
      </c>
      <c r="P5720" s="17">
        <f t="shared" si="188"/>
        <v>5091.97</v>
      </c>
      <c r="Q5720" t="str">
        <f>A5720&amp;"-"&amp;B5720&amp;"-"&amp;D5720</f>
        <v>NOVEMBER-MJ2-L3</v>
      </c>
    </row>
    <row r="5721" spans="1:17" x14ac:dyDescent="0.25">
      <c r="A5721" t="s">
        <v>401</v>
      </c>
      <c r="B5721" s="13" t="s">
        <v>26</v>
      </c>
      <c r="C5721" s="13" t="s">
        <v>226</v>
      </c>
      <c r="D5721" s="14" t="s">
        <v>56</v>
      </c>
      <c r="E5721" s="13" t="s">
        <v>61</v>
      </c>
      <c r="F5721" s="13" t="s">
        <v>1959</v>
      </c>
      <c r="G5721" s="13">
        <v>0.71</v>
      </c>
      <c r="H5721" s="15">
        <v>4763</v>
      </c>
      <c r="I5721" s="16">
        <v>3381.7299999999996</v>
      </c>
      <c r="J5721" s="16">
        <v>2513.4266734261787</v>
      </c>
      <c r="K5721" s="16">
        <v>868.30332657382121</v>
      </c>
      <c r="L5721" s="13">
        <v>1.29</v>
      </c>
      <c r="M5721" s="13"/>
      <c r="N5721" s="17">
        <f t="shared" si="189"/>
        <v>6144.27</v>
      </c>
      <c r="O5721" s="17">
        <f t="shared" si="189"/>
        <v>0</v>
      </c>
      <c r="P5721" s="17">
        <f t="shared" si="188"/>
        <v>6144.27</v>
      </c>
      <c r="Q5721" t="str">
        <f>A5721&amp;"-"&amp;B5721&amp;"-"&amp;D5721</f>
        <v>NOVEMBER-MJ2-L3</v>
      </c>
    </row>
    <row r="5722" spans="1:17" x14ac:dyDescent="0.25">
      <c r="A5722" t="s">
        <v>401</v>
      </c>
      <c r="B5722" s="13" t="s">
        <v>26</v>
      </c>
      <c r="C5722" s="13" t="s">
        <v>226</v>
      </c>
      <c r="D5722" s="14" t="s">
        <v>56</v>
      </c>
      <c r="E5722" s="13" t="s">
        <v>61</v>
      </c>
      <c r="F5722" s="13" t="s">
        <v>1960</v>
      </c>
      <c r="G5722" s="13">
        <v>0.70000000000000007</v>
      </c>
      <c r="H5722" s="15">
        <v>7561</v>
      </c>
      <c r="I5722" s="16">
        <v>5292.7</v>
      </c>
      <c r="J5722" s="16">
        <v>4679.6845025835537</v>
      </c>
      <c r="K5722" s="16">
        <v>613.01549741644681</v>
      </c>
      <c r="L5722" s="13">
        <v>1.76</v>
      </c>
      <c r="M5722" s="13"/>
      <c r="N5722" s="17">
        <f t="shared" si="189"/>
        <v>13307.36</v>
      </c>
      <c r="O5722" s="17">
        <f t="shared" si="189"/>
        <v>0</v>
      </c>
      <c r="P5722" s="17">
        <f t="shared" si="188"/>
        <v>13307.36</v>
      </c>
      <c r="Q5722" t="str">
        <f>A5722&amp;"-"&amp;B5722&amp;"-"&amp;D5722</f>
        <v>NOVEMBER-MJ2-L3</v>
      </c>
    </row>
    <row r="5723" spans="1:17" x14ac:dyDescent="0.25">
      <c r="A5723" t="s">
        <v>401</v>
      </c>
      <c r="B5723" s="13" t="s">
        <v>26</v>
      </c>
      <c r="C5723" s="13" t="s">
        <v>226</v>
      </c>
      <c r="D5723" s="14" t="s">
        <v>56</v>
      </c>
      <c r="E5723" s="13" t="s">
        <v>61</v>
      </c>
      <c r="F5723" s="13" t="s">
        <v>1961</v>
      </c>
      <c r="G5723" s="13">
        <v>0.68</v>
      </c>
      <c r="H5723" s="15">
        <v>1350</v>
      </c>
      <c r="I5723" s="16">
        <v>917.99999999999989</v>
      </c>
      <c r="J5723" s="16">
        <v>829.87330975382702</v>
      </c>
      <c r="K5723" s="16">
        <v>88.126690246172913</v>
      </c>
      <c r="L5723" s="13">
        <v>1.88</v>
      </c>
      <c r="M5723" s="13"/>
      <c r="N5723" s="17">
        <f t="shared" si="189"/>
        <v>2538</v>
      </c>
      <c r="O5723" s="17">
        <f t="shared" si="189"/>
        <v>0</v>
      </c>
      <c r="P5723" s="17">
        <f t="shared" si="188"/>
        <v>2538</v>
      </c>
      <c r="Q5723" t="str">
        <f>A5723&amp;"-"&amp;B5723&amp;"-"&amp;D5723</f>
        <v>NOVEMBER-MJ2-L3</v>
      </c>
    </row>
    <row r="5724" spans="1:17" x14ac:dyDescent="0.25">
      <c r="A5724" t="s">
        <v>401</v>
      </c>
      <c r="B5724" s="13" t="s">
        <v>26</v>
      </c>
      <c r="C5724" s="13" t="s">
        <v>226</v>
      </c>
      <c r="D5724" s="14" t="s">
        <v>56</v>
      </c>
      <c r="E5724" s="13" t="s">
        <v>61</v>
      </c>
      <c r="F5724" s="13" t="s">
        <v>1789</v>
      </c>
      <c r="G5724" s="13">
        <v>0.78</v>
      </c>
      <c r="H5724" s="15">
        <v>20</v>
      </c>
      <c r="I5724" s="16">
        <v>15.6</v>
      </c>
      <c r="J5724" s="16">
        <v>11.267904509283818</v>
      </c>
      <c r="K5724" s="16">
        <v>4.3320954907161813</v>
      </c>
      <c r="L5724" s="13">
        <v>2.29</v>
      </c>
      <c r="M5724" s="13"/>
      <c r="N5724" s="17">
        <f t="shared" si="189"/>
        <v>45.8</v>
      </c>
      <c r="O5724" s="17">
        <f t="shared" si="189"/>
        <v>0</v>
      </c>
      <c r="P5724" s="17">
        <f t="shared" si="188"/>
        <v>45.8</v>
      </c>
      <c r="Q5724" t="str">
        <f>A5724&amp;"-"&amp;B5724&amp;"-"&amp;D5724</f>
        <v>NOVEMBER-MJ2-L3</v>
      </c>
    </row>
    <row r="5725" spans="1:17" x14ac:dyDescent="0.25">
      <c r="A5725" t="s">
        <v>401</v>
      </c>
      <c r="B5725" s="13" t="s">
        <v>26</v>
      </c>
      <c r="C5725" s="13" t="s">
        <v>226</v>
      </c>
      <c r="D5725" s="14" t="s">
        <v>56</v>
      </c>
      <c r="E5725" s="13" t="s">
        <v>61</v>
      </c>
      <c r="F5725" s="13" t="s">
        <v>1790</v>
      </c>
      <c r="G5725" s="13">
        <v>0.7</v>
      </c>
      <c r="H5725" s="15">
        <v>1543</v>
      </c>
      <c r="I5725" s="16">
        <v>1080.1000000000001</v>
      </c>
      <c r="J5725" s="16">
        <v>953.9657448843767</v>
      </c>
      <c r="K5725" s="16">
        <v>126.13425511562335</v>
      </c>
      <c r="L5725" s="13">
        <v>1.76</v>
      </c>
      <c r="M5725" s="13"/>
      <c r="N5725" s="17">
        <f t="shared" si="189"/>
        <v>2715.68</v>
      </c>
      <c r="O5725" s="17">
        <f t="shared" si="189"/>
        <v>0</v>
      </c>
      <c r="P5725" s="17">
        <f t="shared" si="188"/>
        <v>2715.68</v>
      </c>
      <c r="Q5725" t="str">
        <f>A5725&amp;"-"&amp;B5725&amp;"-"&amp;D5725</f>
        <v>NOVEMBER-MJ2-L3</v>
      </c>
    </row>
    <row r="5726" spans="1:17" x14ac:dyDescent="0.25">
      <c r="A5726" t="s">
        <v>401</v>
      </c>
      <c r="B5726" s="13" t="s">
        <v>26</v>
      </c>
      <c r="C5726" s="13" t="s">
        <v>226</v>
      </c>
      <c r="D5726" s="14" t="s">
        <v>56</v>
      </c>
      <c r="E5726" s="13" t="s">
        <v>61</v>
      </c>
      <c r="F5726" s="13" t="s">
        <v>1962</v>
      </c>
      <c r="G5726" s="13">
        <v>0.7</v>
      </c>
      <c r="H5726" s="15">
        <v>5401</v>
      </c>
      <c r="I5726" s="16">
        <v>3780.7</v>
      </c>
      <c r="J5726" s="16">
        <v>3577.8958093488495</v>
      </c>
      <c r="K5726" s="16">
        <v>202.80419065115052</v>
      </c>
      <c r="L5726" s="13">
        <v>1.76</v>
      </c>
      <c r="M5726" s="13"/>
      <c r="N5726" s="17">
        <f t="shared" si="189"/>
        <v>9505.76</v>
      </c>
      <c r="O5726" s="17">
        <f t="shared" si="189"/>
        <v>0</v>
      </c>
      <c r="P5726" s="17">
        <f t="shared" si="188"/>
        <v>9505.76</v>
      </c>
      <c r="Q5726" t="str">
        <f>A5726&amp;"-"&amp;B5726&amp;"-"&amp;D5726</f>
        <v>NOVEMBER-MJ2-L3</v>
      </c>
    </row>
    <row r="5727" spans="1:17" x14ac:dyDescent="0.25">
      <c r="A5727" t="s">
        <v>401</v>
      </c>
      <c r="B5727" s="13" t="s">
        <v>26</v>
      </c>
      <c r="C5727" s="13" t="s">
        <v>226</v>
      </c>
      <c r="D5727" s="14" t="s">
        <v>56</v>
      </c>
      <c r="E5727" s="13" t="s">
        <v>61</v>
      </c>
      <c r="F5727" s="13" t="s">
        <v>1791</v>
      </c>
      <c r="G5727" s="13">
        <v>0.68</v>
      </c>
      <c r="H5727" s="15">
        <v>1120</v>
      </c>
      <c r="I5727" s="16">
        <v>761.6</v>
      </c>
      <c r="J5727" s="16">
        <v>931.60747144786126</v>
      </c>
      <c r="K5727" s="16">
        <v>-170.00747144786123</v>
      </c>
      <c r="L5727" s="13">
        <v>1.88</v>
      </c>
      <c r="M5727" s="13"/>
      <c r="N5727" s="17">
        <f t="shared" si="189"/>
        <v>2105.6</v>
      </c>
      <c r="O5727" s="17">
        <f t="shared" si="189"/>
        <v>0</v>
      </c>
      <c r="P5727" s="17">
        <f t="shared" si="188"/>
        <v>2105.6</v>
      </c>
      <c r="Q5727" t="str">
        <f>A5727&amp;"-"&amp;B5727&amp;"-"&amp;D5727</f>
        <v>NOVEMBER-MJ2-L3</v>
      </c>
    </row>
    <row r="5728" spans="1:17" x14ac:dyDescent="0.25">
      <c r="A5728" t="s">
        <v>401</v>
      </c>
      <c r="B5728" s="13" t="s">
        <v>26</v>
      </c>
      <c r="C5728" s="13" t="s">
        <v>226</v>
      </c>
      <c r="D5728" s="14" t="s">
        <v>56</v>
      </c>
      <c r="E5728" s="13" t="s">
        <v>61</v>
      </c>
      <c r="F5728" s="13" t="s">
        <v>1958</v>
      </c>
      <c r="G5728" s="13">
        <v>0.65000000000000013</v>
      </c>
      <c r="H5728" s="15">
        <v>6460</v>
      </c>
      <c r="I5728" s="16">
        <v>4199</v>
      </c>
      <c r="J5728" s="16">
        <v>3610.0389278517573</v>
      </c>
      <c r="K5728" s="16">
        <v>588.96107214824247</v>
      </c>
      <c r="L5728" s="13">
        <v>1.66</v>
      </c>
      <c r="M5728" s="13"/>
      <c r="N5728" s="17">
        <f t="shared" si="189"/>
        <v>10723.6</v>
      </c>
      <c r="O5728" s="17">
        <f t="shared" si="189"/>
        <v>0</v>
      </c>
      <c r="P5728" s="17">
        <f t="shared" si="188"/>
        <v>10723.6</v>
      </c>
      <c r="Q5728" t="str">
        <f>A5728&amp;"-"&amp;B5728&amp;"-"&amp;D5728</f>
        <v>NOVEMBER-MJ2-L3</v>
      </c>
    </row>
    <row r="5729" spans="1:17" x14ac:dyDescent="0.25">
      <c r="A5729" t="s">
        <v>401</v>
      </c>
      <c r="B5729" s="13" t="s">
        <v>26</v>
      </c>
      <c r="C5729" s="13" t="s">
        <v>226</v>
      </c>
      <c r="D5729" s="14" t="s">
        <v>56</v>
      </c>
      <c r="E5729" s="13" t="s">
        <v>61</v>
      </c>
      <c r="F5729" s="13" t="s">
        <v>1952</v>
      </c>
      <c r="G5729" s="13">
        <v>0.65</v>
      </c>
      <c r="H5729" s="15">
        <v>7978</v>
      </c>
      <c r="I5729" s="16">
        <v>5185.6999999999989</v>
      </c>
      <c r="J5729" s="16">
        <v>4055.434199755281</v>
      </c>
      <c r="K5729" s="16">
        <v>1130.2658002447183</v>
      </c>
      <c r="L5729" s="13">
        <v>1.66</v>
      </c>
      <c r="M5729" s="13"/>
      <c r="N5729" s="17">
        <f t="shared" si="189"/>
        <v>13243.48</v>
      </c>
      <c r="O5729" s="17">
        <f t="shared" si="189"/>
        <v>0</v>
      </c>
      <c r="P5729" s="17">
        <f t="shared" si="188"/>
        <v>13243.48</v>
      </c>
      <c r="Q5729" t="str">
        <f>A5729&amp;"-"&amp;B5729&amp;"-"&amp;D5729</f>
        <v>NOVEMBER-MJ2-L3</v>
      </c>
    </row>
    <row r="5730" spans="1:17" x14ac:dyDescent="0.25">
      <c r="A5730" t="s">
        <v>401</v>
      </c>
      <c r="B5730" s="13" t="s">
        <v>26</v>
      </c>
      <c r="C5730" s="13" t="s">
        <v>226</v>
      </c>
      <c r="D5730" s="14" t="s">
        <v>158</v>
      </c>
      <c r="E5730" s="13" t="s">
        <v>61</v>
      </c>
      <c r="F5730" s="13" t="s">
        <v>1963</v>
      </c>
      <c r="G5730" s="13">
        <v>0.68</v>
      </c>
      <c r="H5730" s="15">
        <v>1210</v>
      </c>
      <c r="I5730" s="16">
        <v>822.8</v>
      </c>
      <c r="J5730" s="16">
        <v>886.22068965517246</v>
      </c>
      <c r="K5730" s="16">
        <v>-63.420689655172509</v>
      </c>
      <c r="L5730" s="13">
        <v>1.69</v>
      </c>
      <c r="M5730" s="13"/>
      <c r="N5730" s="17">
        <f t="shared" si="189"/>
        <v>2044.8999999999999</v>
      </c>
      <c r="O5730" s="17">
        <f t="shared" si="189"/>
        <v>0</v>
      </c>
      <c r="P5730" s="17">
        <f t="shared" si="188"/>
        <v>2044.8999999999999</v>
      </c>
      <c r="Q5730" t="str">
        <f>A5730&amp;"-"&amp;B5730&amp;"-"&amp;D5730</f>
        <v>NOVEMBER-MJ2-L4</v>
      </c>
    </row>
    <row r="5731" spans="1:17" x14ac:dyDescent="0.25">
      <c r="A5731" t="s">
        <v>401</v>
      </c>
      <c r="B5731" s="13" t="s">
        <v>26</v>
      </c>
      <c r="C5731" s="13" t="s">
        <v>226</v>
      </c>
      <c r="D5731" s="14" t="s">
        <v>158</v>
      </c>
      <c r="E5731" s="13" t="s">
        <v>61</v>
      </c>
      <c r="F5731" s="13" t="s">
        <v>1964</v>
      </c>
      <c r="G5731" s="13">
        <v>1.03</v>
      </c>
      <c r="H5731" s="15">
        <v>1256</v>
      </c>
      <c r="I5731" s="16">
        <v>1293.68</v>
      </c>
      <c r="J5731" s="16">
        <v>1046.1741176470589</v>
      </c>
      <c r="K5731" s="16">
        <v>247.50588235294117</v>
      </c>
      <c r="L5731" s="13">
        <v>2.31</v>
      </c>
      <c r="M5731" s="13"/>
      <c r="N5731" s="17">
        <f t="shared" si="189"/>
        <v>2901.36</v>
      </c>
      <c r="O5731" s="17">
        <f t="shared" si="189"/>
        <v>0</v>
      </c>
      <c r="P5731" s="17">
        <f t="shared" si="188"/>
        <v>2901.36</v>
      </c>
      <c r="Q5731" t="str">
        <f>A5731&amp;"-"&amp;B5731&amp;"-"&amp;D5731</f>
        <v>NOVEMBER-MJ2-L4</v>
      </c>
    </row>
    <row r="5732" spans="1:17" x14ac:dyDescent="0.25">
      <c r="A5732" t="s">
        <v>401</v>
      </c>
      <c r="B5732" s="13" t="s">
        <v>26</v>
      </c>
      <c r="C5732" s="13" t="s">
        <v>226</v>
      </c>
      <c r="D5732" s="14" t="s">
        <v>158</v>
      </c>
      <c r="E5732" s="13" t="s">
        <v>61</v>
      </c>
      <c r="F5732" s="13" t="s">
        <v>1965</v>
      </c>
      <c r="G5732" s="13">
        <v>0.73999999999999988</v>
      </c>
      <c r="H5732" s="15">
        <v>1610</v>
      </c>
      <c r="I5732" s="16">
        <v>1191.4000000000001</v>
      </c>
      <c r="J5732" s="16">
        <v>996.50462272965251</v>
      </c>
      <c r="K5732" s="16">
        <v>194.89537727034755</v>
      </c>
      <c r="L5732" s="13">
        <v>1.36</v>
      </c>
      <c r="M5732" s="13"/>
      <c r="N5732" s="17">
        <f t="shared" si="189"/>
        <v>2189.6000000000004</v>
      </c>
      <c r="O5732" s="17">
        <f t="shared" si="189"/>
        <v>0</v>
      </c>
      <c r="P5732" s="17">
        <f t="shared" si="188"/>
        <v>2189.6000000000004</v>
      </c>
      <c r="Q5732" t="str">
        <f>A5732&amp;"-"&amp;B5732&amp;"-"&amp;D5732</f>
        <v>NOVEMBER-MJ2-L4</v>
      </c>
    </row>
    <row r="5733" spans="1:17" x14ac:dyDescent="0.25">
      <c r="A5733" t="s">
        <v>401</v>
      </c>
      <c r="B5733" s="13" t="s">
        <v>26</v>
      </c>
      <c r="C5733" s="13" t="s">
        <v>226</v>
      </c>
      <c r="D5733" s="14" t="s">
        <v>158</v>
      </c>
      <c r="E5733" s="13" t="s">
        <v>61</v>
      </c>
      <c r="F5733" s="13" t="s">
        <v>1966</v>
      </c>
      <c r="G5733" s="13">
        <v>0.73999999999999988</v>
      </c>
      <c r="H5733" s="15">
        <v>985</v>
      </c>
      <c r="I5733" s="16">
        <v>728.9</v>
      </c>
      <c r="J5733" s="16">
        <v>623.71707517973937</v>
      </c>
      <c r="K5733" s="16">
        <v>105.18292482026055</v>
      </c>
      <c r="L5733" s="13">
        <v>1.36</v>
      </c>
      <c r="M5733" s="13"/>
      <c r="N5733" s="17">
        <f t="shared" si="189"/>
        <v>1339.6000000000001</v>
      </c>
      <c r="O5733" s="17">
        <f t="shared" si="189"/>
        <v>0</v>
      </c>
      <c r="P5733" s="17">
        <f t="shared" si="188"/>
        <v>1339.6000000000001</v>
      </c>
      <c r="Q5733" t="str">
        <f>A5733&amp;"-"&amp;B5733&amp;"-"&amp;D5733</f>
        <v>NOVEMBER-MJ2-L4</v>
      </c>
    </row>
    <row r="5734" spans="1:17" x14ac:dyDescent="0.25">
      <c r="A5734" t="s">
        <v>401</v>
      </c>
      <c r="B5734" s="13" t="s">
        <v>26</v>
      </c>
      <c r="C5734" s="13" t="s">
        <v>226</v>
      </c>
      <c r="D5734" s="14" t="s">
        <v>158</v>
      </c>
      <c r="E5734" s="13" t="s">
        <v>61</v>
      </c>
      <c r="F5734" s="13" t="s">
        <v>1927</v>
      </c>
      <c r="G5734" s="13">
        <v>0.71</v>
      </c>
      <c r="H5734" s="15">
        <v>2814</v>
      </c>
      <c r="I5734" s="16">
        <v>1997.94</v>
      </c>
      <c r="J5734" s="16">
        <v>1559.9797013011423</v>
      </c>
      <c r="K5734" s="16">
        <v>437.9602986988578</v>
      </c>
      <c r="L5734" s="13">
        <v>1.29</v>
      </c>
      <c r="M5734" s="13"/>
      <c r="N5734" s="17">
        <f t="shared" si="189"/>
        <v>3630.06</v>
      </c>
      <c r="O5734" s="17">
        <f t="shared" si="189"/>
        <v>0</v>
      </c>
      <c r="P5734" s="17">
        <f t="shared" si="188"/>
        <v>3630.06</v>
      </c>
      <c r="Q5734" t="str">
        <f>A5734&amp;"-"&amp;B5734&amp;"-"&amp;D5734</f>
        <v>NOVEMBER-MJ2-L4</v>
      </c>
    </row>
    <row r="5735" spans="1:17" x14ac:dyDescent="0.25">
      <c r="A5735" t="s">
        <v>401</v>
      </c>
      <c r="B5735" s="13" t="s">
        <v>26</v>
      </c>
      <c r="C5735" s="13" t="s">
        <v>226</v>
      </c>
      <c r="D5735" s="14" t="s">
        <v>158</v>
      </c>
      <c r="E5735" s="13" t="s">
        <v>61</v>
      </c>
      <c r="F5735" s="13" t="s">
        <v>1967</v>
      </c>
      <c r="G5735" s="13">
        <v>0.68</v>
      </c>
      <c r="H5735" s="15">
        <v>1730</v>
      </c>
      <c r="I5735" s="16">
        <v>1176.4000000000001</v>
      </c>
      <c r="J5735" s="16">
        <v>1081.9624060150377</v>
      </c>
      <c r="K5735" s="16">
        <v>94.437593984962405</v>
      </c>
      <c r="L5735" s="13">
        <v>1.7</v>
      </c>
      <c r="M5735" s="13"/>
      <c r="N5735" s="17">
        <f t="shared" si="189"/>
        <v>2941</v>
      </c>
      <c r="O5735" s="17">
        <f t="shared" si="189"/>
        <v>0</v>
      </c>
      <c r="P5735" s="17">
        <f t="shared" si="188"/>
        <v>2941</v>
      </c>
      <c r="Q5735" t="str">
        <f>A5735&amp;"-"&amp;B5735&amp;"-"&amp;D5735</f>
        <v>NOVEMBER-MJ2-L4</v>
      </c>
    </row>
    <row r="5736" spans="1:17" x14ac:dyDescent="0.25">
      <c r="A5736" t="s">
        <v>401</v>
      </c>
      <c r="B5736" s="13" t="s">
        <v>26</v>
      </c>
      <c r="C5736" s="13" t="s">
        <v>226</v>
      </c>
      <c r="D5736" s="14" t="s">
        <v>158</v>
      </c>
      <c r="E5736" s="13" t="s">
        <v>61</v>
      </c>
      <c r="F5736" s="13" t="s">
        <v>1968</v>
      </c>
      <c r="G5736" s="13">
        <v>0.73</v>
      </c>
      <c r="H5736" s="15">
        <v>262</v>
      </c>
      <c r="I5736" s="16">
        <v>191.26</v>
      </c>
      <c r="J5736" s="16">
        <v>159.06829361515088</v>
      </c>
      <c r="K5736" s="16">
        <v>32.191706384849127</v>
      </c>
      <c r="L5736" s="13">
        <v>1.33</v>
      </c>
      <c r="M5736" s="13"/>
      <c r="N5736" s="17">
        <f t="shared" si="189"/>
        <v>348.46000000000004</v>
      </c>
      <c r="O5736" s="17">
        <f t="shared" si="189"/>
        <v>0</v>
      </c>
      <c r="P5736" s="17">
        <f t="shared" si="188"/>
        <v>348.46000000000004</v>
      </c>
      <c r="Q5736" t="str">
        <f>A5736&amp;"-"&amp;B5736&amp;"-"&amp;D5736</f>
        <v>NOVEMBER-MJ2-L4</v>
      </c>
    </row>
    <row r="5737" spans="1:17" x14ac:dyDescent="0.25">
      <c r="A5737" t="s">
        <v>401</v>
      </c>
      <c r="B5737" s="13" t="s">
        <v>26</v>
      </c>
      <c r="C5737" s="13" t="s">
        <v>226</v>
      </c>
      <c r="D5737" s="14" t="s">
        <v>158</v>
      </c>
      <c r="E5737" s="13" t="s">
        <v>61</v>
      </c>
      <c r="F5737" s="13" t="s">
        <v>1969</v>
      </c>
      <c r="G5737" s="13">
        <v>0.73</v>
      </c>
      <c r="H5737" s="15">
        <v>442</v>
      </c>
      <c r="I5737" s="16">
        <v>322.66000000000003</v>
      </c>
      <c r="J5737" s="16">
        <v>322.76075322948418</v>
      </c>
      <c r="K5737" s="16">
        <v>-0.10075322948424059</v>
      </c>
      <c r="L5737" s="13">
        <v>1.33</v>
      </c>
      <c r="M5737" s="13"/>
      <c r="N5737" s="17">
        <f t="shared" si="189"/>
        <v>587.86</v>
      </c>
      <c r="O5737" s="17">
        <f t="shared" si="189"/>
        <v>0</v>
      </c>
      <c r="P5737" s="17">
        <f t="shared" si="188"/>
        <v>587.86</v>
      </c>
      <c r="Q5737" t="str">
        <f>A5737&amp;"-"&amp;B5737&amp;"-"&amp;D5737</f>
        <v>NOVEMBER-MJ2-L4</v>
      </c>
    </row>
    <row r="5738" spans="1:17" x14ac:dyDescent="0.25">
      <c r="A5738" t="s">
        <v>401</v>
      </c>
      <c r="B5738" s="13" t="s">
        <v>26</v>
      </c>
      <c r="C5738" s="13" t="s">
        <v>226</v>
      </c>
      <c r="D5738" s="14" t="s">
        <v>158</v>
      </c>
      <c r="E5738" s="13" t="s">
        <v>61</v>
      </c>
      <c r="F5738" s="13" t="s">
        <v>1777</v>
      </c>
      <c r="G5738" s="13">
        <v>0.83</v>
      </c>
      <c r="H5738" s="15">
        <v>157</v>
      </c>
      <c r="I5738" s="16">
        <v>130.31</v>
      </c>
      <c r="J5738" s="16">
        <v>99.91676799626191</v>
      </c>
      <c r="K5738" s="16">
        <v>30.393232003738078</v>
      </c>
      <c r="L5738" s="13">
        <v>2.13</v>
      </c>
      <c r="M5738" s="13"/>
      <c r="N5738" s="17">
        <f t="shared" si="189"/>
        <v>334.40999999999997</v>
      </c>
      <c r="O5738" s="17">
        <f t="shared" si="189"/>
        <v>0</v>
      </c>
      <c r="P5738" s="17">
        <f t="shared" si="188"/>
        <v>334.40999999999997</v>
      </c>
      <c r="Q5738" t="str">
        <f>A5738&amp;"-"&amp;B5738&amp;"-"&amp;D5738</f>
        <v>NOVEMBER-MJ2-L4</v>
      </c>
    </row>
    <row r="5739" spans="1:17" x14ac:dyDescent="0.25">
      <c r="A5739" t="s">
        <v>401</v>
      </c>
      <c r="B5739" s="13" t="s">
        <v>26</v>
      </c>
      <c r="C5739" s="13" t="s">
        <v>226</v>
      </c>
      <c r="D5739" s="14" t="s">
        <v>158</v>
      </c>
      <c r="E5739" s="13" t="s">
        <v>61</v>
      </c>
      <c r="F5739" s="13" t="s">
        <v>1970</v>
      </c>
      <c r="G5739" s="13">
        <v>0.83</v>
      </c>
      <c r="H5739" s="15">
        <v>2120</v>
      </c>
      <c r="I5739" s="16">
        <v>1759.6</v>
      </c>
      <c r="J5739" s="16">
        <v>1231.7563086651517</v>
      </c>
      <c r="K5739" s="16">
        <v>527.84369133484813</v>
      </c>
      <c r="L5739" s="13">
        <v>2.13</v>
      </c>
      <c r="M5739" s="13"/>
      <c r="N5739" s="17">
        <f t="shared" si="189"/>
        <v>4515.5999999999995</v>
      </c>
      <c r="O5739" s="17">
        <f t="shared" si="189"/>
        <v>0</v>
      </c>
      <c r="P5739" s="17">
        <f t="shared" si="188"/>
        <v>4515.5999999999995</v>
      </c>
      <c r="Q5739" t="str">
        <f>A5739&amp;"-"&amp;B5739&amp;"-"&amp;D5739</f>
        <v>NOVEMBER-MJ2-L4</v>
      </c>
    </row>
    <row r="5740" spans="1:17" x14ac:dyDescent="0.25">
      <c r="A5740" t="s">
        <v>401</v>
      </c>
      <c r="B5740" s="13" t="s">
        <v>26</v>
      </c>
      <c r="C5740" s="13" t="s">
        <v>226</v>
      </c>
      <c r="D5740" s="14" t="s">
        <v>158</v>
      </c>
      <c r="E5740" s="13" t="s">
        <v>61</v>
      </c>
      <c r="F5740" s="13" t="s">
        <v>1778</v>
      </c>
      <c r="G5740" s="13">
        <v>0.78</v>
      </c>
      <c r="H5740" s="15">
        <v>68</v>
      </c>
      <c r="I5740" s="16">
        <v>53.04</v>
      </c>
      <c r="J5740" s="16">
        <v>43.477423239012644</v>
      </c>
      <c r="K5740" s="16">
        <v>9.5625767609873549</v>
      </c>
      <c r="L5740" s="13">
        <v>2.29</v>
      </c>
      <c r="M5740" s="13"/>
      <c r="N5740" s="17">
        <f t="shared" si="189"/>
        <v>155.72</v>
      </c>
      <c r="O5740" s="17">
        <f t="shared" si="189"/>
        <v>0</v>
      </c>
      <c r="P5740" s="17">
        <f t="shared" si="188"/>
        <v>155.72</v>
      </c>
      <c r="Q5740" t="str">
        <f>A5740&amp;"-"&amp;B5740&amp;"-"&amp;D5740</f>
        <v>NOVEMBER-MJ2-L4</v>
      </c>
    </row>
    <row r="5741" spans="1:17" x14ac:dyDescent="0.25">
      <c r="A5741" t="s">
        <v>401</v>
      </c>
      <c r="B5741" s="13" t="s">
        <v>26</v>
      </c>
      <c r="C5741" s="13" t="s">
        <v>226</v>
      </c>
      <c r="D5741" s="14" t="s">
        <v>158</v>
      </c>
      <c r="E5741" s="13" t="s">
        <v>61</v>
      </c>
      <c r="F5741" s="13" t="s">
        <v>1971</v>
      </c>
      <c r="G5741" s="13">
        <v>0.76</v>
      </c>
      <c r="H5741" s="15">
        <v>1657</v>
      </c>
      <c r="I5741" s="16">
        <v>1259.32</v>
      </c>
      <c r="J5741" s="16">
        <v>1120.1995417015241</v>
      </c>
      <c r="K5741" s="16">
        <v>139.12045829847597</v>
      </c>
      <c r="L5741" s="13">
        <v>1.94</v>
      </c>
      <c r="M5741" s="13"/>
      <c r="N5741" s="17">
        <f t="shared" si="189"/>
        <v>3214.58</v>
      </c>
      <c r="O5741" s="17">
        <f t="shared" si="189"/>
        <v>0</v>
      </c>
      <c r="P5741" s="17">
        <f t="shared" si="188"/>
        <v>3214.58</v>
      </c>
      <c r="Q5741" t="str">
        <f>A5741&amp;"-"&amp;B5741&amp;"-"&amp;D5741</f>
        <v>NOVEMBER-MJ2-L4</v>
      </c>
    </row>
    <row r="5742" spans="1:17" x14ac:dyDescent="0.25">
      <c r="A5742" t="s">
        <v>401</v>
      </c>
      <c r="B5742" s="13" t="s">
        <v>26</v>
      </c>
      <c r="C5742" s="13" t="s">
        <v>226</v>
      </c>
      <c r="D5742" s="14" t="s">
        <v>158</v>
      </c>
      <c r="E5742" s="13" t="s">
        <v>61</v>
      </c>
      <c r="F5742" s="13" t="s">
        <v>1798</v>
      </c>
      <c r="G5742" s="13">
        <v>1.19</v>
      </c>
      <c r="H5742" s="15">
        <v>2</v>
      </c>
      <c r="I5742" s="16">
        <v>2.38</v>
      </c>
      <c r="J5742" s="16">
        <v>1.2680597014925372</v>
      </c>
      <c r="K5742" s="16">
        <v>1.1119402985074627</v>
      </c>
      <c r="L5742" s="13">
        <v>2.87</v>
      </c>
      <c r="M5742" s="13"/>
      <c r="N5742" s="17">
        <f t="shared" si="189"/>
        <v>5.74</v>
      </c>
      <c r="O5742" s="17">
        <f t="shared" si="189"/>
        <v>0</v>
      </c>
      <c r="P5742" s="17">
        <f t="shared" si="188"/>
        <v>5.74</v>
      </c>
      <c r="Q5742" t="str">
        <f>A5742&amp;"-"&amp;B5742&amp;"-"&amp;D5742</f>
        <v>NOVEMBER-MJ2-L4</v>
      </c>
    </row>
    <row r="5743" spans="1:17" x14ac:dyDescent="0.25">
      <c r="A5743" t="s">
        <v>401</v>
      </c>
      <c r="B5743" s="13" t="s">
        <v>26</v>
      </c>
      <c r="C5743" s="13" t="s">
        <v>226</v>
      </c>
      <c r="D5743" s="14" t="s">
        <v>158</v>
      </c>
      <c r="E5743" s="13" t="s">
        <v>61</v>
      </c>
      <c r="F5743" s="13" t="s">
        <v>1939</v>
      </c>
      <c r="G5743" s="13">
        <v>0.79</v>
      </c>
      <c r="H5743" s="15">
        <v>4479</v>
      </c>
      <c r="I5743" s="16">
        <v>3538.4099999999994</v>
      </c>
      <c r="J5743" s="16">
        <v>3414.6589960555134</v>
      </c>
      <c r="K5743" s="16">
        <v>123.7510039444866</v>
      </c>
      <c r="L5743" s="13">
        <v>2</v>
      </c>
      <c r="M5743" s="13"/>
      <c r="N5743" s="17">
        <f t="shared" si="189"/>
        <v>8958</v>
      </c>
      <c r="O5743" s="17">
        <f t="shared" si="189"/>
        <v>0</v>
      </c>
      <c r="P5743" s="17">
        <f t="shared" si="188"/>
        <v>8958</v>
      </c>
      <c r="Q5743" t="str">
        <f>A5743&amp;"-"&amp;B5743&amp;"-"&amp;D5743</f>
        <v>NOVEMBER-MJ2-L4</v>
      </c>
    </row>
    <row r="5744" spans="1:17" x14ac:dyDescent="0.25">
      <c r="A5744" t="s">
        <v>401</v>
      </c>
      <c r="B5744" s="13" t="s">
        <v>26</v>
      </c>
      <c r="C5744" s="13" t="s">
        <v>226</v>
      </c>
      <c r="D5744" s="14" t="s">
        <v>158</v>
      </c>
      <c r="E5744" s="13" t="s">
        <v>61</v>
      </c>
      <c r="F5744" s="13" t="s">
        <v>1941</v>
      </c>
      <c r="G5744" s="13">
        <v>0.77</v>
      </c>
      <c r="H5744" s="15">
        <v>663</v>
      </c>
      <c r="I5744" s="16">
        <v>510.51</v>
      </c>
      <c r="J5744" s="16">
        <v>547.995970520063</v>
      </c>
      <c r="K5744" s="16">
        <v>-37.485970520062999</v>
      </c>
      <c r="L5744" s="13">
        <v>2.15</v>
      </c>
      <c r="M5744" s="13"/>
      <c r="N5744" s="17">
        <f t="shared" si="189"/>
        <v>1425.45</v>
      </c>
      <c r="O5744" s="17">
        <f t="shared" si="189"/>
        <v>0</v>
      </c>
      <c r="P5744" s="17">
        <f t="shared" si="188"/>
        <v>1425.45</v>
      </c>
      <c r="Q5744" t="str">
        <f>A5744&amp;"-"&amp;B5744&amp;"-"&amp;D5744</f>
        <v>NOVEMBER-MJ2-L4</v>
      </c>
    </row>
    <row r="5745" spans="1:17" x14ac:dyDescent="0.25">
      <c r="A5745" t="s">
        <v>401</v>
      </c>
      <c r="B5745" s="13" t="s">
        <v>26</v>
      </c>
      <c r="C5745" s="13" t="s">
        <v>226</v>
      </c>
      <c r="D5745" s="14" t="s">
        <v>158</v>
      </c>
      <c r="E5745" s="13" t="s">
        <v>61</v>
      </c>
      <c r="F5745" s="13" t="s">
        <v>1954</v>
      </c>
      <c r="G5745" s="13">
        <v>0.83</v>
      </c>
      <c r="H5745" s="15">
        <v>2387</v>
      </c>
      <c r="I5745" s="16">
        <v>1981.21</v>
      </c>
      <c r="J5745" s="16">
        <v>1485.0231054781805</v>
      </c>
      <c r="K5745" s="16">
        <v>496.18689452181945</v>
      </c>
      <c r="L5745" s="13">
        <v>2.13</v>
      </c>
      <c r="M5745" s="13"/>
      <c r="N5745" s="17">
        <f t="shared" si="189"/>
        <v>5084.3099999999995</v>
      </c>
      <c r="O5745" s="17">
        <f t="shared" si="189"/>
        <v>0</v>
      </c>
      <c r="P5745" s="17">
        <f t="shared" si="188"/>
        <v>5084.3099999999995</v>
      </c>
      <c r="Q5745" t="str">
        <f>A5745&amp;"-"&amp;B5745&amp;"-"&amp;D5745</f>
        <v>NOVEMBER-MJ2-L4</v>
      </c>
    </row>
    <row r="5746" spans="1:17" x14ac:dyDescent="0.25">
      <c r="A5746" t="s">
        <v>401</v>
      </c>
      <c r="B5746" s="13" t="s">
        <v>26</v>
      </c>
      <c r="C5746" s="13" t="s">
        <v>226</v>
      </c>
      <c r="D5746" s="14" t="s">
        <v>158</v>
      </c>
      <c r="E5746" s="13" t="s">
        <v>61</v>
      </c>
      <c r="F5746" s="13" t="s">
        <v>1955</v>
      </c>
      <c r="G5746" s="13">
        <v>0.78</v>
      </c>
      <c r="H5746" s="15">
        <v>557</v>
      </c>
      <c r="I5746" s="16">
        <v>434.46</v>
      </c>
      <c r="J5746" s="16">
        <v>349.2120123986337</v>
      </c>
      <c r="K5746" s="16">
        <v>85.247987601366376</v>
      </c>
      <c r="L5746" s="13">
        <v>2.29</v>
      </c>
      <c r="M5746" s="13"/>
      <c r="N5746" s="17">
        <f t="shared" si="189"/>
        <v>1275.53</v>
      </c>
      <c r="O5746" s="17">
        <f t="shared" si="189"/>
        <v>0</v>
      </c>
      <c r="P5746" s="17">
        <f t="shared" si="188"/>
        <v>1275.53</v>
      </c>
      <c r="Q5746" t="str">
        <f>A5746&amp;"-"&amp;B5746&amp;"-"&amp;D5746</f>
        <v>NOVEMBER-MJ2-L4</v>
      </c>
    </row>
    <row r="5747" spans="1:17" x14ac:dyDescent="0.25">
      <c r="A5747" t="s">
        <v>401</v>
      </c>
      <c r="B5747" s="13" t="s">
        <v>26</v>
      </c>
      <c r="C5747" s="13" t="s">
        <v>226</v>
      </c>
      <c r="D5747" s="14" t="s">
        <v>158</v>
      </c>
      <c r="E5747" s="13" t="s">
        <v>61</v>
      </c>
      <c r="F5747" s="13" t="s">
        <v>1799</v>
      </c>
      <c r="G5747" s="13">
        <v>0.83</v>
      </c>
      <c r="H5747" s="15">
        <v>246</v>
      </c>
      <c r="I5747" s="16">
        <v>204.18</v>
      </c>
      <c r="J5747" s="16">
        <v>156.13166389605254</v>
      </c>
      <c r="K5747" s="16">
        <v>48.048336103947449</v>
      </c>
      <c r="L5747" s="13">
        <v>2.13</v>
      </c>
      <c r="M5747" s="13"/>
      <c r="N5747" s="17">
        <f t="shared" si="189"/>
        <v>523.98</v>
      </c>
      <c r="O5747" s="17">
        <f t="shared" si="189"/>
        <v>0</v>
      </c>
      <c r="P5747" s="17">
        <f t="shared" si="188"/>
        <v>523.98</v>
      </c>
      <c r="Q5747" t="str">
        <f>A5747&amp;"-"&amp;B5747&amp;"-"&amp;D5747</f>
        <v>NOVEMBER-MJ2-L4</v>
      </c>
    </row>
    <row r="5748" spans="1:17" x14ac:dyDescent="0.25">
      <c r="A5748" t="s">
        <v>401</v>
      </c>
      <c r="B5748" s="13" t="s">
        <v>26</v>
      </c>
      <c r="C5748" s="13" t="s">
        <v>226</v>
      </c>
      <c r="D5748" s="14" t="s">
        <v>158</v>
      </c>
      <c r="E5748" s="13" t="s">
        <v>61</v>
      </c>
      <c r="F5748" s="13" t="s">
        <v>1800</v>
      </c>
      <c r="G5748" s="13">
        <v>0.78</v>
      </c>
      <c r="H5748" s="15">
        <v>384</v>
      </c>
      <c r="I5748" s="16">
        <v>299.52</v>
      </c>
      <c r="J5748" s="16">
        <v>244.19959348351563</v>
      </c>
      <c r="K5748" s="16">
        <v>55.320406516484383</v>
      </c>
      <c r="L5748" s="13">
        <v>2.29</v>
      </c>
      <c r="M5748" s="13"/>
      <c r="N5748" s="17">
        <f t="shared" si="189"/>
        <v>879.36</v>
      </c>
      <c r="O5748" s="17">
        <f t="shared" si="189"/>
        <v>0</v>
      </c>
      <c r="P5748" s="17">
        <f t="shared" si="188"/>
        <v>879.36</v>
      </c>
      <c r="Q5748" t="str">
        <f>A5748&amp;"-"&amp;B5748&amp;"-"&amp;D5748</f>
        <v>NOVEMBER-MJ2-L4</v>
      </c>
    </row>
    <row r="5749" spans="1:17" x14ac:dyDescent="0.25">
      <c r="A5749" t="s">
        <v>401</v>
      </c>
      <c r="B5749" s="13" t="s">
        <v>26</v>
      </c>
      <c r="C5749" s="13" t="s">
        <v>226</v>
      </c>
      <c r="D5749" s="14" t="s">
        <v>158</v>
      </c>
      <c r="E5749" s="13" t="s">
        <v>61</v>
      </c>
      <c r="F5749" s="13" t="s">
        <v>1801</v>
      </c>
      <c r="G5749" s="13">
        <v>0.7599999999999999</v>
      </c>
      <c r="H5749" s="15">
        <v>2467</v>
      </c>
      <c r="I5749" s="16">
        <v>1874.9199999999998</v>
      </c>
      <c r="J5749" s="16">
        <v>1546.4115164578736</v>
      </c>
      <c r="K5749" s="16">
        <v>328.50848354212616</v>
      </c>
      <c r="L5749" s="13">
        <v>1.94</v>
      </c>
      <c r="M5749" s="13"/>
      <c r="N5749" s="17">
        <f t="shared" si="189"/>
        <v>4785.9799999999996</v>
      </c>
      <c r="O5749" s="17">
        <f t="shared" si="189"/>
        <v>0</v>
      </c>
      <c r="P5749" s="17">
        <f t="shared" si="188"/>
        <v>4785.9799999999996</v>
      </c>
      <c r="Q5749" t="str">
        <f>A5749&amp;"-"&amp;B5749&amp;"-"&amp;D5749</f>
        <v>NOVEMBER-MJ2-L4</v>
      </c>
    </row>
    <row r="5750" spans="1:17" x14ac:dyDescent="0.25">
      <c r="A5750" t="s">
        <v>401</v>
      </c>
      <c r="B5750" s="13" t="s">
        <v>26</v>
      </c>
      <c r="C5750" s="13" t="s">
        <v>226</v>
      </c>
      <c r="D5750" s="14" t="s">
        <v>158</v>
      </c>
      <c r="E5750" s="13" t="s">
        <v>61</v>
      </c>
      <c r="F5750" s="13" t="s">
        <v>1957</v>
      </c>
      <c r="G5750" s="13">
        <v>0.76</v>
      </c>
      <c r="H5750" s="15">
        <v>522</v>
      </c>
      <c r="I5750" s="16">
        <v>396.72</v>
      </c>
      <c r="J5750" s="16">
        <v>383.11264685556324</v>
      </c>
      <c r="K5750" s="16">
        <v>13.607353144436786</v>
      </c>
      <c r="L5750" s="13">
        <v>1.94</v>
      </c>
      <c r="M5750" s="13"/>
      <c r="N5750" s="17">
        <f t="shared" si="189"/>
        <v>1012.68</v>
      </c>
      <c r="O5750" s="17">
        <f t="shared" si="189"/>
        <v>0</v>
      </c>
      <c r="P5750" s="17">
        <f t="shared" si="188"/>
        <v>1012.68</v>
      </c>
      <c r="Q5750" t="str">
        <f>A5750&amp;"-"&amp;B5750&amp;"-"&amp;D5750</f>
        <v>NOVEMBER-MJ2-L4</v>
      </c>
    </row>
    <row r="5751" spans="1:17" x14ac:dyDescent="0.25">
      <c r="A5751" t="s">
        <v>401</v>
      </c>
      <c r="B5751" s="13" t="s">
        <v>26</v>
      </c>
      <c r="C5751" s="13" t="s">
        <v>226</v>
      </c>
      <c r="D5751" s="14" t="s">
        <v>158</v>
      </c>
      <c r="E5751" s="13" t="s">
        <v>61</v>
      </c>
      <c r="F5751" s="13" t="s">
        <v>1972</v>
      </c>
      <c r="G5751" s="13">
        <v>0.69</v>
      </c>
      <c r="H5751" s="15">
        <v>263</v>
      </c>
      <c r="I5751" s="16">
        <v>181.47</v>
      </c>
      <c r="J5751" s="16">
        <v>164.27077308744671</v>
      </c>
      <c r="K5751" s="16">
        <v>17.199226912553296</v>
      </c>
      <c r="L5751" s="13">
        <v>2.0699999999999998</v>
      </c>
      <c r="M5751" s="13"/>
      <c r="N5751" s="17">
        <f t="shared" si="189"/>
        <v>544.41</v>
      </c>
      <c r="O5751" s="17">
        <f t="shared" si="189"/>
        <v>0</v>
      </c>
      <c r="P5751" s="17">
        <f t="shared" si="188"/>
        <v>544.41</v>
      </c>
      <c r="Q5751" t="str">
        <f>A5751&amp;"-"&amp;B5751&amp;"-"&amp;D5751</f>
        <v>NOVEMBER-MJ2-L4</v>
      </c>
    </row>
    <row r="5752" spans="1:17" x14ac:dyDescent="0.25">
      <c r="A5752" t="s">
        <v>401</v>
      </c>
      <c r="B5752" s="13" t="s">
        <v>26</v>
      </c>
      <c r="C5752" s="13" t="s">
        <v>226</v>
      </c>
      <c r="D5752" s="14" t="s">
        <v>158</v>
      </c>
      <c r="E5752" s="13" t="s">
        <v>61</v>
      </c>
      <c r="F5752" s="13" t="s">
        <v>1788</v>
      </c>
      <c r="G5752" s="13">
        <v>0.83</v>
      </c>
      <c r="H5752" s="15">
        <v>683</v>
      </c>
      <c r="I5752" s="16">
        <v>566.89</v>
      </c>
      <c r="J5752" s="16">
        <v>436.11519979871861</v>
      </c>
      <c r="K5752" s="16">
        <v>130.77480020128138</v>
      </c>
      <c r="L5752" s="13">
        <v>2.13</v>
      </c>
      <c r="M5752" s="13"/>
      <c r="N5752" s="17">
        <f t="shared" si="189"/>
        <v>1454.79</v>
      </c>
      <c r="O5752" s="17">
        <f t="shared" si="189"/>
        <v>0</v>
      </c>
      <c r="P5752" s="17">
        <f t="shared" si="188"/>
        <v>1454.79</v>
      </c>
      <c r="Q5752" t="str">
        <f>A5752&amp;"-"&amp;B5752&amp;"-"&amp;D5752</f>
        <v>NOVEMBER-MJ2-L4</v>
      </c>
    </row>
    <row r="5753" spans="1:17" x14ac:dyDescent="0.25">
      <c r="A5753" t="s">
        <v>401</v>
      </c>
      <c r="B5753" s="13" t="s">
        <v>26</v>
      </c>
      <c r="C5753" s="13" t="s">
        <v>226</v>
      </c>
      <c r="D5753" s="14" t="s">
        <v>158</v>
      </c>
      <c r="E5753" s="13" t="s">
        <v>61</v>
      </c>
      <c r="F5753" s="13" t="s">
        <v>1973</v>
      </c>
      <c r="G5753" s="13">
        <v>0.83</v>
      </c>
      <c r="H5753" s="15">
        <v>493</v>
      </c>
      <c r="I5753" s="16">
        <v>409.19</v>
      </c>
      <c r="J5753" s="16">
        <v>317.79929350712001</v>
      </c>
      <c r="K5753" s="16">
        <v>91.390706492879971</v>
      </c>
      <c r="L5753" s="13">
        <v>2.13</v>
      </c>
      <c r="M5753" s="13"/>
      <c r="N5753" s="17">
        <f t="shared" si="189"/>
        <v>1050.0899999999999</v>
      </c>
      <c r="O5753" s="17">
        <f t="shared" si="189"/>
        <v>0</v>
      </c>
      <c r="P5753" s="17">
        <f t="shared" si="188"/>
        <v>1050.0899999999999</v>
      </c>
      <c r="Q5753" t="str">
        <f>A5753&amp;"-"&amp;B5753&amp;"-"&amp;D5753</f>
        <v>NOVEMBER-MJ2-L4</v>
      </c>
    </row>
    <row r="5754" spans="1:17" x14ac:dyDescent="0.25">
      <c r="A5754" t="s">
        <v>401</v>
      </c>
      <c r="B5754" s="13" t="s">
        <v>26</v>
      </c>
      <c r="C5754" s="13" t="s">
        <v>226</v>
      </c>
      <c r="D5754" s="14" t="s">
        <v>158</v>
      </c>
      <c r="E5754" s="13" t="s">
        <v>61</v>
      </c>
      <c r="F5754" s="13" t="s">
        <v>1755</v>
      </c>
      <c r="G5754" s="13">
        <v>0.83</v>
      </c>
      <c r="H5754" s="15">
        <v>182</v>
      </c>
      <c r="I5754" s="16">
        <v>151.06</v>
      </c>
      <c r="J5754" s="16">
        <v>115.82095446907545</v>
      </c>
      <c r="K5754" s="16">
        <v>35.23904553092455</v>
      </c>
      <c r="L5754" s="13">
        <v>2.13</v>
      </c>
      <c r="M5754" s="13"/>
      <c r="N5754" s="17">
        <f t="shared" si="189"/>
        <v>387.65999999999997</v>
      </c>
      <c r="O5754" s="17">
        <f t="shared" si="189"/>
        <v>0</v>
      </c>
      <c r="P5754" s="17">
        <f t="shared" si="188"/>
        <v>387.65999999999997</v>
      </c>
      <c r="Q5754" t="str">
        <f>A5754&amp;"-"&amp;B5754&amp;"-"&amp;D5754</f>
        <v>NOVEMBER-MJ2-L4</v>
      </c>
    </row>
    <row r="5755" spans="1:17" x14ac:dyDescent="0.25">
      <c r="A5755" t="s">
        <v>401</v>
      </c>
      <c r="B5755" s="13" t="s">
        <v>26</v>
      </c>
      <c r="C5755" s="13" t="s">
        <v>226</v>
      </c>
      <c r="D5755" s="14" t="s">
        <v>158</v>
      </c>
      <c r="E5755" s="13" t="s">
        <v>61</v>
      </c>
      <c r="F5755" s="13" t="s">
        <v>1974</v>
      </c>
      <c r="G5755" s="13">
        <v>0.83</v>
      </c>
      <c r="H5755" s="15">
        <v>1609</v>
      </c>
      <c r="I5755" s="16">
        <v>1335.47</v>
      </c>
      <c r="J5755" s="16">
        <v>1042.1508855707439</v>
      </c>
      <c r="K5755" s="16">
        <v>293.3191144292561</v>
      </c>
      <c r="L5755" s="13">
        <v>2.13</v>
      </c>
      <c r="M5755" s="13"/>
      <c r="N5755" s="17">
        <f t="shared" si="189"/>
        <v>3427.1699999999996</v>
      </c>
      <c r="O5755" s="17">
        <f t="shared" si="189"/>
        <v>0</v>
      </c>
      <c r="P5755" s="17">
        <f t="shared" si="188"/>
        <v>3427.1699999999996</v>
      </c>
      <c r="Q5755" t="str">
        <f>A5755&amp;"-"&amp;B5755&amp;"-"&amp;D5755</f>
        <v>NOVEMBER-MJ2-L4</v>
      </c>
    </row>
    <row r="5756" spans="1:17" x14ac:dyDescent="0.25">
      <c r="A5756" t="s">
        <v>401</v>
      </c>
      <c r="B5756" s="13" t="s">
        <v>26</v>
      </c>
      <c r="C5756" s="13" t="s">
        <v>226</v>
      </c>
      <c r="D5756" s="14" t="s">
        <v>158</v>
      </c>
      <c r="E5756" s="13" t="s">
        <v>61</v>
      </c>
      <c r="F5756" s="13" t="s">
        <v>1958</v>
      </c>
      <c r="G5756" s="13">
        <v>0.65</v>
      </c>
      <c r="H5756" s="15">
        <v>3667</v>
      </c>
      <c r="I5756" s="16">
        <v>2383.5499999999997</v>
      </c>
      <c r="J5756" s="16">
        <v>2182.0800145444373</v>
      </c>
      <c r="K5756" s="16">
        <v>201.46998545556241</v>
      </c>
      <c r="L5756" s="13">
        <v>1.66</v>
      </c>
      <c r="M5756" s="13"/>
      <c r="N5756" s="17">
        <f t="shared" si="189"/>
        <v>6087.2199999999993</v>
      </c>
      <c r="O5756" s="17">
        <f t="shared" si="189"/>
        <v>0</v>
      </c>
      <c r="P5756" s="17">
        <f t="shared" si="188"/>
        <v>6087.2199999999993</v>
      </c>
      <c r="Q5756" t="str">
        <f>A5756&amp;"-"&amp;B5756&amp;"-"&amp;D5756</f>
        <v>NOVEMBER-MJ2-L4</v>
      </c>
    </row>
    <row r="5757" spans="1:17" x14ac:dyDescent="0.25">
      <c r="A5757" t="s">
        <v>401</v>
      </c>
      <c r="B5757" s="13" t="s">
        <v>26</v>
      </c>
      <c r="C5757" s="13" t="s">
        <v>226</v>
      </c>
      <c r="D5757" s="14" t="s">
        <v>158</v>
      </c>
      <c r="E5757" s="13" t="s">
        <v>61</v>
      </c>
      <c r="F5757" s="13" t="s">
        <v>1975</v>
      </c>
      <c r="G5757" s="13">
        <v>0.65</v>
      </c>
      <c r="H5757" s="15">
        <v>999</v>
      </c>
      <c r="I5757" s="16">
        <v>649.35</v>
      </c>
      <c r="J5757" s="16">
        <v>642.50406674634507</v>
      </c>
      <c r="K5757" s="16">
        <v>6.845933253654831</v>
      </c>
      <c r="L5757" s="13">
        <v>1.66</v>
      </c>
      <c r="M5757" s="13"/>
      <c r="N5757" s="17">
        <f t="shared" si="189"/>
        <v>1658.34</v>
      </c>
      <c r="O5757" s="17">
        <f t="shared" si="189"/>
        <v>0</v>
      </c>
      <c r="P5757" s="17">
        <f t="shared" si="188"/>
        <v>1658.34</v>
      </c>
      <c r="Q5757" t="str">
        <f>A5757&amp;"-"&amp;B5757&amp;"-"&amp;D5757</f>
        <v>NOVEMBER-MJ2-L4</v>
      </c>
    </row>
    <row r="5758" spans="1:17" x14ac:dyDescent="0.25">
      <c r="A5758" t="s">
        <v>401</v>
      </c>
      <c r="B5758" s="13" t="s">
        <v>26</v>
      </c>
      <c r="C5758" s="13" t="s">
        <v>226</v>
      </c>
      <c r="D5758" s="14" t="s">
        <v>158</v>
      </c>
      <c r="E5758" s="13" t="s">
        <v>61</v>
      </c>
      <c r="F5758" s="13" t="s">
        <v>1976</v>
      </c>
      <c r="G5758" s="13">
        <v>1.03</v>
      </c>
      <c r="H5758" s="15">
        <v>163</v>
      </c>
      <c r="I5758" s="16">
        <v>167.89000000000001</v>
      </c>
      <c r="J5758" s="16">
        <v>101.50754645483597</v>
      </c>
      <c r="K5758" s="16">
        <v>66.38245354516404</v>
      </c>
      <c r="L5758" s="13">
        <v>2.4900000000000002</v>
      </c>
      <c r="M5758" s="13"/>
      <c r="N5758" s="17">
        <f t="shared" si="189"/>
        <v>405.87000000000006</v>
      </c>
      <c r="O5758" s="17">
        <f t="shared" si="189"/>
        <v>0</v>
      </c>
      <c r="P5758" s="17">
        <f t="shared" si="188"/>
        <v>405.87000000000006</v>
      </c>
      <c r="Q5758" t="str">
        <f>A5758&amp;"-"&amp;B5758&amp;"-"&amp;D5758</f>
        <v>NOVEMBER-MJ2-L4</v>
      </c>
    </row>
    <row r="5759" spans="1:17" x14ac:dyDescent="0.25">
      <c r="A5759" t="s">
        <v>401</v>
      </c>
      <c r="B5759" s="13" t="s">
        <v>26</v>
      </c>
      <c r="C5759" s="13" t="s">
        <v>226</v>
      </c>
      <c r="D5759" s="14" t="s">
        <v>160</v>
      </c>
      <c r="E5759" s="13" t="s">
        <v>61</v>
      </c>
      <c r="F5759" s="13" t="s">
        <v>1963</v>
      </c>
      <c r="G5759" s="13">
        <v>0.68</v>
      </c>
      <c r="H5759" s="15">
        <v>1210</v>
      </c>
      <c r="I5759" s="16">
        <v>822.8</v>
      </c>
      <c r="J5759" s="16">
        <v>886.22068965517246</v>
      </c>
      <c r="K5759" s="16">
        <v>-63.420689655172509</v>
      </c>
      <c r="L5759" s="13">
        <v>1.69</v>
      </c>
      <c r="M5759" s="13"/>
      <c r="N5759" s="17">
        <f t="shared" si="189"/>
        <v>2044.8999999999999</v>
      </c>
      <c r="O5759" s="17">
        <f t="shared" si="189"/>
        <v>0</v>
      </c>
      <c r="P5759" s="17">
        <f t="shared" si="188"/>
        <v>2044.8999999999999</v>
      </c>
      <c r="Q5759" t="str">
        <f>A5759&amp;"-"&amp;B5759&amp;"-"&amp;D5759</f>
        <v>NOVEMBER-MJ2-L5</v>
      </c>
    </row>
    <row r="5760" spans="1:17" x14ac:dyDescent="0.25">
      <c r="A5760" t="s">
        <v>401</v>
      </c>
      <c r="B5760" s="13" t="s">
        <v>26</v>
      </c>
      <c r="C5760" s="13" t="s">
        <v>226</v>
      </c>
      <c r="D5760" s="14" t="s">
        <v>160</v>
      </c>
      <c r="E5760" s="13" t="s">
        <v>61</v>
      </c>
      <c r="F5760" s="13" t="s">
        <v>1964</v>
      </c>
      <c r="G5760" s="13">
        <v>1.03</v>
      </c>
      <c r="H5760" s="15">
        <v>1256</v>
      </c>
      <c r="I5760" s="16">
        <v>1293.68</v>
      </c>
      <c r="J5760" s="16">
        <v>1046.1741176470589</v>
      </c>
      <c r="K5760" s="16">
        <v>247.50588235294117</v>
      </c>
      <c r="L5760" s="13">
        <v>2.31</v>
      </c>
      <c r="M5760" s="13"/>
      <c r="N5760" s="17">
        <f t="shared" si="189"/>
        <v>2901.36</v>
      </c>
      <c r="O5760" s="17">
        <f t="shared" si="189"/>
        <v>0</v>
      </c>
      <c r="P5760" s="17">
        <f t="shared" si="188"/>
        <v>2901.36</v>
      </c>
      <c r="Q5760" t="str">
        <f>A5760&amp;"-"&amp;B5760&amp;"-"&amp;D5760</f>
        <v>NOVEMBER-MJ2-L5</v>
      </c>
    </row>
    <row r="5761" spans="1:17" x14ac:dyDescent="0.25">
      <c r="A5761" t="s">
        <v>401</v>
      </c>
      <c r="B5761" s="13" t="s">
        <v>26</v>
      </c>
      <c r="C5761" s="13" t="s">
        <v>226</v>
      </c>
      <c r="D5761" s="14" t="s">
        <v>160</v>
      </c>
      <c r="E5761" s="13" t="s">
        <v>61</v>
      </c>
      <c r="F5761" s="13" t="s">
        <v>1965</v>
      </c>
      <c r="G5761" s="13">
        <v>0.73999999999999988</v>
      </c>
      <c r="H5761" s="15">
        <v>1610</v>
      </c>
      <c r="I5761" s="16">
        <v>1191.4000000000001</v>
      </c>
      <c r="J5761" s="16">
        <v>996.50005034621313</v>
      </c>
      <c r="K5761" s="16">
        <v>194.89994965378685</v>
      </c>
      <c r="L5761" s="13">
        <v>1.36</v>
      </c>
      <c r="M5761" s="13"/>
      <c r="N5761" s="17">
        <f t="shared" si="189"/>
        <v>2189.6000000000004</v>
      </c>
      <c r="O5761" s="17">
        <f t="shared" si="189"/>
        <v>0</v>
      </c>
      <c r="P5761" s="17">
        <f t="shared" si="188"/>
        <v>2189.6000000000004</v>
      </c>
      <c r="Q5761" t="str">
        <f>A5761&amp;"-"&amp;B5761&amp;"-"&amp;D5761</f>
        <v>NOVEMBER-MJ2-L5</v>
      </c>
    </row>
    <row r="5762" spans="1:17" x14ac:dyDescent="0.25">
      <c r="A5762" t="s">
        <v>401</v>
      </c>
      <c r="B5762" s="13" t="s">
        <v>26</v>
      </c>
      <c r="C5762" s="13" t="s">
        <v>226</v>
      </c>
      <c r="D5762" s="14" t="s">
        <v>160</v>
      </c>
      <c r="E5762" s="13" t="s">
        <v>61</v>
      </c>
      <c r="F5762" s="13" t="s">
        <v>1966</v>
      </c>
      <c r="G5762" s="13">
        <v>0.73999999999999988</v>
      </c>
      <c r="H5762" s="15">
        <v>985</v>
      </c>
      <c r="I5762" s="16">
        <v>728.9</v>
      </c>
      <c r="J5762" s="16">
        <v>623.71707517973937</v>
      </c>
      <c r="K5762" s="16">
        <v>105.18292482026055</v>
      </c>
      <c r="L5762" s="13">
        <v>1.36</v>
      </c>
      <c r="M5762" s="13"/>
      <c r="N5762" s="17">
        <f t="shared" si="189"/>
        <v>1339.6000000000001</v>
      </c>
      <c r="O5762" s="17">
        <f t="shared" si="189"/>
        <v>0</v>
      </c>
      <c r="P5762" s="17">
        <f t="shared" ref="P5762:P5825" si="190">N5762+O5762</f>
        <v>1339.6000000000001</v>
      </c>
      <c r="Q5762" t="str">
        <f>A5762&amp;"-"&amp;B5762&amp;"-"&amp;D5762</f>
        <v>NOVEMBER-MJ2-L5</v>
      </c>
    </row>
    <row r="5763" spans="1:17" x14ac:dyDescent="0.25">
      <c r="A5763" t="s">
        <v>401</v>
      </c>
      <c r="B5763" s="13" t="s">
        <v>26</v>
      </c>
      <c r="C5763" s="13" t="s">
        <v>226</v>
      </c>
      <c r="D5763" s="14" t="s">
        <v>160</v>
      </c>
      <c r="E5763" s="13" t="s">
        <v>61</v>
      </c>
      <c r="F5763" s="13" t="s">
        <v>1927</v>
      </c>
      <c r="G5763" s="13">
        <v>0.71</v>
      </c>
      <c r="H5763" s="15">
        <v>2816</v>
      </c>
      <c r="I5763" s="16">
        <v>1999.3600000000001</v>
      </c>
      <c r="J5763" s="16">
        <v>1560.564459035945</v>
      </c>
      <c r="K5763" s="16">
        <v>438.79554096405508</v>
      </c>
      <c r="L5763" s="13">
        <v>1.29</v>
      </c>
      <c r="M5763" s="13"/>
      <c r="N5763" s="17">
        <f t="shared" si="189"/>
        <v>3632.6400000000003</v>
      </c>
      <c r="O5763" s="17">
        <f t="shared" si="189"/>
        <v>0</v>
      </c>
      <c r="P5763" s="17">
        <f t="shared" si="190"/>
        <v>3632.6400000000003</v>
      </c>
      <c r="Q5763" t="str">
        <f>A5763&amp;"-"&amp;B5763&amp;"-"&amp;D5763</f>
        <v>NOVEMBER-MJ2-L5</v>
      </c>
    </row>
    <row r="5764" spans="1:17" x14ac:dyDescent="0.25">
      <c r="A5764" t="s">
        <v>401</v>
      </c>
      <c r="B5764" s="13" t="s">
        <v>26</v>
      </c>
      <c r="C5764" s="13" t="s">
        <v>226</v>
      </c>
      <c r="D5764" s="14" t="s">
        <v>160</v>
      </c>
      <c r="E5764" s="13" t="s">
        <v>61</v>
      </c>
      <c r="F5764" s="13" t="s">
        <v>1967</v>
      </c>
      <c r="G5764" s="13">
        <v>0.68</v>
      </c>
      <c r="H5764" s="15">
        <v>1730</v>
      </c>
      <c r="I5764" s="16">
        <v>1176.4000000000001</v>
      </c>
      <c r="J5764" s="16">
        <v>1081.9624060150377</v>
      </c>
      <c r="K5764" s="16">
        <v>94.437593984962405</v>
      </c>
      <c r="L5764" s="13">
        <v>1.7</v>
      </c>
      <c r="M5764" s="13"/>
      <c r="N5764" s="17">
        <f t="shared" si="189"/>
        <v>2941</v>
      </c>
      <c r="O5764" s="17">
        <f t="shared" si="189"/>
        <v>0</v>
      </c>
      <c r="P5764" s="17">
        <f t="shared" si="190"/>
        <v>2941</v>
      </c>
      <c r="Q5764" t="str">
        <f>A5764&amp;"-"&amp;B5764&amp;"-"&amp;D5764</f>
        <v>NOVEMBER-MJ2-L5</v>
      </c>
    </row>
    <row r="5765" spans="1:17" x14ac:dyDescent="0.25">
      <c r="A5765" t="s">
        <v>401</v>
      </c>
      <c r="B5765" s="13" t="s">
        <v>26</v>
      </c>
      <c r="C5765" s="13" t="s">
        <v>226</v>
      </c>
      <c r="D5765" s="14" t="s">
        <v>160</v>
      </c>
      <c r="E5765" s="13" t="s">
        <v>61</v>
      </c>
      <c r="F5765" s="13" t="s">
        <v>1968</v>
      </c>
      <c r="G5765" s="13">
        <v>0.73</v>
      </c>
      <c r="H5765" s="15">
        <v>261</v>
      </c>
      <c r="I5765" s="16">
        <v>190.53</v>
      </c>
      <c r="J5765" s="16">
        <v>158.55659970698107</v>
      </c>
      <c r="K5765" s="16">
        <v>31.97340029301893</v>
      </c>
      <c r="L5765" s="13">
        <v>1.33</v>
      </c>
      <c r="M5765" s="13"/>
      <c r="N5765" s="17">
        <f t="shared" si="189"/>
        <v>347.13</v>
      </c>
      <c r="O5765" s="17">
        <f t="shared" si="189"/>
        <v>0</v>
      </c>
      <c r="P5765" s="17">
        <f t="shared" si="190"/>
        <v>347.13</v>
      </c>
      <c r="Q5765" t="str">
        <f>A5765&amp;"-"&amp;B5765&amp;"-"&amp;D5765</f>
        <v>NOVEMBER-MJ2-L5</v>
      </c>
    </row>
    <row r="5766" spans="1:17" x14ac:dyDescent="0.25">
      <c r="A5766" t="s">
        <v>401</v>
      </c>
      <c r="B5766" s="13" t="s">
        <v>26</v>
      </c>
      <c r="C5766" s="13" t="s">
        <v>226</v>
      </c>
      <c r="D5766" s="14" t="s">
        <v>160</v>
      </c>
      <c r="E5766" s="13" t="s">
        <v>61</v>
      </c>
      <c r="F5766" s="13" t="s">
        <v>1969</v>
      </c>
      <c r="G5766" s="13">
        <v>0.73</v>
      </c>
      <c r="H5766" s="15">
        <v>441</v>
      </c>
      <c r="I5766" s="16">
        <v>321.93</v>
      </c>
      <c r="J5766" s="16">
        <v>322.30019818858432</v>
      </c>
      <c r="K5766" s="16">
        <v>-0.37019818858433418</v>
      </c>
      <c r="L5766" s="13">
        <v>1.33</v>
      </c>
      <c r="M5766" s="13"/>
      <c r="N5766" s="17">
        <f t="shared" si="189"/>
        <v>586.53000000000009</v>
      </c>
      <c r="O5766" s="17">
        <f t="shared" si="189"/>
        <v>0</v>
      </c>
      <c r="P5766" s="17">
        <f t="shared" si="190"/>
        <v>586.53000000000009</v>
      </c>
      <c r="Q5766" t="str">
        <f>A5766&amp;"-"&amp;B5766&amp;"-"&amp;D5766</f>
        <v>NOVEMBER-MJ2-L5</v>
      </c>
    </row>
    <row r="5767" spans="1:17" x14ac:dyDescent="0.25">
      <c r="A5767" t="s">
        <v>401</v>
      </c>
      <c r="B5767" s="13" t="s">
        <v>26</v>
      </c>
      <c r="C5767" s="13" t="s">
        <v>226</v>
      </c>
      <c r="D5767" s="14" t="s">
        <v>160</v>
      </c>
      <c r="E5767" s="13" t="s">
        <v>61</v>
      </c>
      <c r="F5767" s="13" t="s">
        <v>1777</v>
      </c>
      <c r="G5767" s="13">
        <v>0.83</v>
      </c>
      <c r="H5767" s="15">
        <v>157</v>
      </c>
      <c r="I5767" s="16">
        <v>130.31</v>
      </c>
      <c r="J5767" s="16">
        <v>99.91676799626191</v>
      </c>
      <c r="K5767" s="16">
        <v>30.393232003738078</v>
      </c>
      <c r="L5767" s="13">
        <v>2.13</v>
      </c>
      <c r="M5767" s="13"/>
      <c r="N5767" s="17">
        <f t="shared" si="189"/>
        <v>334.40999999999997</v>
      </c>
      <c r="O5767" s="17">
        <f t="shared" si="189"/>
        <v>0</v>
      </c>
      <c r="P5767" s="17">
        <f t="shared" si="190"/>
        <v>334.40999999999997</v>
      </c>
      <c r="Q5767" t="str">
        <f>A5767&amp;"-"&amp;B5767&amp;"-"&amp;D5767</f>
        <v>NOVEMBER-MJ2-L5</v>
      </c>
    </row>
    <row r="5768" spans="1:17" x14ac:dyDescent="0.25">
      <c r="A5768" t="s">
        <v>401</v>
      </c>
      <c r="B5768" s="13" t="s">
        <v>26</v>
      </c>
      <c r="C5768" s="13" t="s">
        <v>226</v>
      </c>
      <c r="D5768" s="14" t="s">
        <v>160</v>
      </c>
      <c r="E5768" s="13" t="s">
        <v>61</v>
      </c>
      <c r="F5768" s="13" t="s">
        <v>1970</v>
      </c>
      <c r="G5768" s="13">
        <v>0.83</v>
      </c>
      <c r="H5768" s="15">
        <v>2121</v>
      </c>
      <c r="I5768" s="16">
        <v>1760.43</v>
      </c>
      <c r="J5768" s="16">
        <v>1232.3212022821731</v>
      </c>
      <c r="K5768" s="16">
        <v>528.10879771782709</v>
      </c>
      <c r="L5768" s="13">
        <v>2.13</v>
      </c>
      <c r="M5768" s="13"/>
      <c r="N5768" s="17">
        <f t="shared" si="189"/>
        <v>4517.7299999999996</v>
      </c>
      <c r="O5768" s="17">
        <f t="shared" si="189"/>
        <v>0</v>
      </c>
      <c r="P5768" s="17">
        <f t="shared" si="190"/>
        <v>4517.7299999999996</v>
      </c>
      <c r="Q5768" t="str">
        <f>A5768&amp;"-"&amp;B5768&amp;"-"&amp;D5768</f>
        <v>NOVEMBER-MJ2-L5</v>
      </c>
    </row>
    <row r="5769" spans="1:17" x14ac:dyDescent="0.25">
      <c r="A5769" t="s">
        <v>401</v>
      </c>
      <c r="B5769" s="13" t="s">
        <v>26</v>
      </c>
      <c r="C5769" s="13" t="s">
        <v>226</v>
      </c>
      <c r="D5769" s="14" t="s">
        <v>160</v>
      </c>
      <c r="E5769" s="13" t="s">
        <v>61</v>
      </c>
      <c r="F5769" s="13" t="s">
        <v>1778</v>
      </c>
      <c r="G5769" s="13">
        <v>0.78</v>
      </c>
      <c r="H5769" s="15">
        <v>68</v>
      </c>
      <c r="I5769" s="16">
        <v>53.04</v>
      </c>
      <c r="J5769" s="16">
        <v>43.477423239012644</v>
      </c>
      <c r="K5769" s="16">
        <v>9.5625767609873549</v>
      </c>
      <c r="L5769" s="13">
        <v>2.29</v>
      </c>
      <c r="M5769" s="13"/>
      <c r="N5769" s="17">
        <f t="shared" si="189"/>
        <v>155.72</v>
      </c>
      <c r="O5769" s="17">
        <f t="shared" si="189"/>
        <v>0</v>
      </c>
      <c r="P5769" s="17">
        <f t="shared" si="190"/>
        <v>155.72</v>
      </c>
      <c r="Q5769" t="str">
        <f>A5769&amp;"-"&amp;B5769&amp;"-"&amp;D5769</f>
        <v>NOVEMBER-MJ2-L5</v>
      </c>
    </row>
    <row r="5770" spans="1:17" x14ac:dyDescent="0.25">
      <c r="A5770" t="s">
        <v>401</v>
      </c>
      <c r="B5770" s="13" t="s">
        <v>26</v>
      </c>
      <c r="C5770" s="13" t="s">
        <v>226</v>
      </c>
      <c r="D5770" s="14" t="s">
        <v>160</v>
      </c>
      <c r="E5770" s="13" t="s">
        <v>61</v>
      </c>
      <c r="F5770" s="13" t="s">
        <v>1971</v>
      </c>
      <c r="G5770" s="13">
        <v>0.76</v>
      </c>
      <c r="H5770" s="15">
        <v>1658</v>
      </c>
      <c r="I5770" s="16">
        <v>1260.08</v>
      </c>
      <c r="J5770" s="16">
        <v>1120.8027042744984</v>
      </c>
      <c r="K5770" s="16">
        <v>139.27729572550163</v>
      </c>
      <c r="L5770" s="13">
        <v>1.94</v>
      </c>
      <c r="M5770" s="13"/>
      <c r="N5770" s="17">
        <f t="shared" si="189"/>
        <v>3216.52</v>
      </c>
      <c r="O5770" s="17">
        <f t="shared" si="189"/>
        <v>0</v>
      </c>
      <c r="P5770" s="17">
        <f t="shared" si="190"/>
        <v>3216.52</v>
      </c>
      <c r="Q5770" t="str">
        <f>A5770&amp;"-"&amp;B5770&amp;"-"&amp;D5770</f>
        <v>NOVEMBER-MJ2-L5</v>
      </c>
    </row>
    <row r="5771" spans="1:17" x14ac:dyDescent="0.25">
      <c r="A5771" t="s">
        <v>401</v>
      </c>
      <c r="B5771" s="13" t="s">
        <v>26</v>
      </c>
      <c r="C5771" s="13" t="s">
        <v>226</v>
      </c>
      <c r="D5771" s="14" t="s">
        <v>160</v>
      </c>
      <c r="E5771" s="13" t="s">
        <v>61</v>
      </c>
      <c r="F5771" s="13" t="s">
        <v>1798</v>
      </c>
      <c r="G5771" s="13">
        <v>1.19</v>
      </c>
      <c r="H5771" s="15">
        <v>3</v>
      </c>
      <c r="I5771" s="16">
        <v>3.57</v>
      </c>
      <c r="J5771" s="16">
        <v>1.9020895522388059</v>
      </c>
      <c r="K5771" s="16">
        <v>1.6679104477611939</v>
      </c>
      <c r="L5771" s="13">
        <v>2.87</v>
      </c>
      <c r="M5771" s="13"/>
      <c r="N5771" s="17">
        <f t="shared" si="189"/>
        <v>8.61</v>
      </c>
      <c r="O5771" s="17">
        <f t="shared" si="189"/>
        <v>0</v>
      </c>
      <c r="P5771" s="17">
        <f t="shared" si="190"/>
        <v>8.61</v>
      </c>
      <c r="Q5771" t="str">
        <f>A5771&amp;"-"&amp;B5771&amp;"-"&amp;D5771</f>
        <v>NOVEMBER-MJ2-L5</v>
      </c>
    </row>
    <row r="5772" spans="1:17" x14ac:dyDescent="0.25">
      <c r="A5772" t="s">
        <v>401</v>
      </c>
      <c r="B5772" s="13" t="s">
        <v>26</v>
      </c>
      <c r="C5772" s="13" t="s">
        <v>226</v>
      </c>
      <c r="D5772" s="14" t="s">
        <v>160</v>
      </c>
      <c r="E5772" s="13" t="s">
        <v>61</v>
      </c>
      <c r="F5772" s="13" t="s">
        <v>1939</v>
      </c>
      <c r="G5772" s="13">
        <v>0.79</v>
      </c>
      <c r="H5772" s="15">
        <v>4480</v>
      </c>
      <c r="I5772" s="16">
        <v>3539.1999999999994</v>
      </c>
      <c r="J5772" s="16">
        <v>3415.1656769529218</v>
      </c>
      <c r="K5772" s="16">
        <v>124.03432304707812</v>
      </c>
      <c r="L5772" s="13">
        <v>2</v>
      </c>
      <c r="M5772" s="13"/>
      <c r="N5772" s="17">
        <f t="shared" si="189"/>
        <v>8960</v>
      </c>
      <c r="O5772" s="17">
        <f t="shared" si="189"/>
        <v>0</v>
      </c>
      <c r="P5772" s="17">
        <f t="shared" si="190"/>
        <v>8960</v>
      </c>
      <c r="Q5772" t="str">
        <f>A5772&amp;"-"&amp;B5772&amp;"-"&amp;D5772</f>
        <v>NOVEMBER-MJ2-L5</v>
      </c>
    </row>
    <row r="5773" spans="1:17" x14ac:dyDescent="0.25">
      <c r="A5773" t="s">
        <v>401</v>
      </c>
      <c r="B5773" s="13" t="s">
        <v>26</v>
      </c>
      <c r="C5773" s="13" t="s">
        <v>226</v>
      </c>
      <c r="D5773" s="14" t="s">
        <v>160</v>
      </c>
      <c r="E5773" s="13" t="s">
        <v>61</v>
      </c>
      <c r="F5773" s="13" t="s">
        <v>1941</v>
      </c>
      <c r="G5773" s="13">
        <v>0.77</v>
      </c>
      <c r="H5773" s="15">
        <v>665</v>
      </c>
      <c r="I5773" s="16">
        <v>512.05000000000007</v>
      </c>
      <c r="J5773" s="16">
        <v>549.13147041610432</v>
      </c>
      <c r="K5773" s="16">
        <v>-37.08147041610426</v>
      </c>
      <c r="L5773" s="13">
        <v>2.15</v>
      </c>
      <c r="M5773" s="13"/>
      <c r="N5773" s="17">
        <f t="shared" si="189"/>
        <v>1429.75</v>
      </c>
      <c r="O5773" s="17">
        <f t="shared" si="189"/>
        <v>0</v>
      </c>
      <c r="P5773" s="17">
        <f t="shared" si="190"/>
        <v>1429.75</v>
      </c>
      <c r="Q5773" t="str">
        <f>A5773&amp;"-"&amp;B5773&amp;"-"&amp;D5773</f>
        <v>NOVEMBER-MJ2-L5</v>
      </c>
    </row>
    <row r="5774" spans="1:17" x14ac:dyDescent="0.25">
      <c r="A5774" t="s">
        <v>401</v>
      </c>
      <c r="B5774" s="13" t="s">
        <v>26</v>
      </c>
      <c r="C5774" s="13" t="s">
        <v>226</v>
      </c>
      <c r="D5774" s="14" t="s">
        <v>160</v>
      </c>
      <c r="E5774" s="13" t="s">
        <v>61</v>
      </c>
      <c r="F5774" s="13" t="s">
        <v>1954</v>
      </c>
      <c r="G5774" s="13">
        <v>0.83</v>
      </c>
      <c r="H5774" s="15">
        <v>2389</v>
      </c>
      <c r="I5774" s="16">
        <v>1982.8700000000003</v>
      </c>
      <c r="J5774" s="16">
        <v>1486.0399783431546</v>
      </c>
      <c r="K5774" s="16">
        <v>496.83002165684513</v>
      </c>
      <c r="L5774" s="13">
        <v>2.13</v>
      </c>
      <c r="M5774" s="13"/>
      <c r="N5774" s="17">
        <f t="shared" si="189"/>
        <v>5088.57</v>
      </c>
      <c r="O5774" s="17">
        <f t="shared" si="189"/>
        <v>0</v>
      </c>
      <c r="P5774" s="17">
        <f t="shared" si="190"/>
        <v>5088.57</v>
      </c>
      <c r="Q5774" t="str">
        <f>A5774&amp;"-"&amp;B5774&amp;"-"&amp;D5774</f>
        <v>NOVEMBER-MJ2-L5</v>
      </c>
    </row>
    <row r="5775" spans="1:17" x14ac:dyDescent="0.25">
      <c r="A5775" t="s">
        <v>401</v>
      </c>
      <c r="B5775" s="13" t="s">
        <v>26</v>
      </c>
      <c r="C5775" s="13" t="s">
        <v>226</v>
      </c>
      <c r="D5775" s="14" t="s">
        <v>160</v>
      </c>
      <c r="E5775" s="13" t="s">
        <v>61</v>
      </c>
      <c r="F5775" s="13" t="s">
        <v>1955</v>
      </c>
      <c r="G5775" s="13">
        <v>0.78</v>
      </c>
      <c r="H5775" s="15">
        <v>558</v>
      </c>
      <c r="I5775" s="16">
        <v>435.23999999999995</v>
      </c>
      <c r="J5775" s="16">
        <v>349.49269396631792</v>
      </c>
      <c r="K5775" s="16">
        <v>85.747306033682108</v>
      </c>
      <c r="L5775" s="13">
        <v>2.29</v>
      </c>
      <c r="M5775" s="13"/>
      <c r="N5775" s="17">
        <f t="shared" si="189"/>
        <v>1277.82</v>
      </c>
      <c r="O5775" s="17">
        <f t="shared" si="189"/>
        <v>0</v>
      </c>
      <c r="P5775" s="17">
        <f t="shared" si="190"/>
        <v>1277.82</v>
      </c>
      <c r="Q5775" t="str">
        <f>A5775&amp;"-"&amp;B5775&amp;"-"&amp;D5775</f>
        <v>NOVEMBER-MJ2-L5</v>
      </c>
    </row>
    <row r="5776" spans="1:17" x14ac:dyDescent="0.25">
      <c r="A5776" t="s">
        <v>401</v>
      </c>
      <c r="B5776" s="13" t="s">
        <v>26</v>
      </c>
      <c r="C5776" s="13" t="s">
        <v>226</v>
      </c>
      <c r="D5776" s="14" t="s">
        <v>160</v>
      </c>
      <c r="E5776" s="13" t="s">
        <v>61</v>
      </c>
      <c r="F5776" s="13" t="s">
        <v>1799</v>
      </c>
      <c r="G5776" s="13">
        <v>0.83</v>
      </c>
      <c r="H5776" s="15">
        <v>246</v>
      </c>
      <c r="I5776" s="16">
        <v>204.18</v>
      </c>
      <c r="J5776" s="16">
        <v>156.13166389605254</v>
      </c>
      <c r="K5776" s="16">
        <v>48.048336103947449</v>
      </c>
      <c r="L5776" s="13">
        <v>2.13</v>
      </c>
      <c r="M5776" s="13"/>
      <c r="N5776" s="17">
        <f t="shared" si="189"/>
        <v>523.98</v>
      </c>
      <c r="O5776" s="17">
        <f t="shared" si="189"/>
        <v>0</v>
      </c>
      <c r="P5776" s="17">
        <f t="shared" si="190"/>
        <v>523.98</v>
      </c>
      <c r="Q5776" t="str">
        <f>A5776&amp;"-"&amp;B5776&amp;"-"&amp;D5776</f>
        <v>NOVEMBER-MJ2-L5</v>
      </c>
    </row>
    <row r="5777" spans="1:17" x14ac:dyDescent="0.25">
      <c r="A5777" t="s">
        <v>401</v>
      </c>
      <c r="B5777" s="13" t="s">
        <v>26</v>
      </c>
      <c r="C5777" s="13" t="s">
        <v>226</v>
      </c>
      <c r="D5777" s="14" t="s">
        <v>160</v>
      </c>
      <c r="E5777" s="13" t="s">
        <v>61</v>
      </c>
      <c r="F5777" s="13" t="s">
        <v>1800</v>
      </c>
      <c r="G5777" s="13">
        <v>0.78</v>
      </c>
      <c r="H5777" s="15">
        <v>385</v>
      </c>
      <c r="I5777" s="16">
        <v>300.3</v>
      </c>
      <c r="J5777" s="16">
        <v>244.83896735467755</v>
      </c>
      <c r="K5777" s="16">
        <v>55.461032645322433</v>
      </c>
      <c r="L5777" s="13">
        <v>2.29</v>
      </c>
      <c r="M5777" s="13"/>
      <c r="N5777" s="17">
        <f t="shared" si="189"/>
        <v>881.65</v>
      </c>
      <c r="O5777" s="17">
        <f t="shared" si="189"/>
        <v>0</v>
      </c>
      <c r="P5777" s="17">
        <f t="shared" si="190"/>
        <v>881.65</v>
      </c>
      <c r="Q5777" t="str">
        <f>A5777&amp;"-"&amp;B5777&amp;"-"&amp;D5777</f>
        <v>NOVEMBER-MJ2-L5</v>
      </c>
    </row>
    <row r="5778" spans="1:17" x14ac:dyDescent="0.25">
      <c r="A5778" t="s">
        <v>401</v>
      </c>
      <c r="B5778" s="13" t="s">
        <v>26</v>
      </c>
      <c r="C5778" s="13" t="s">
        <v>226</v>
      </c>
      <c r="D5778" s="14" t="s">
        <v>160</v>
      </c>
      <c r="E5778" s="13" t="s">
        <v>61</v>
      </c>
      <c r="F5778" s="13" t="s">
        <v>1801</v>
      </c>
      <c r="G5778" s="13">
        <v>0.7599999999999999</v>
      </c>
      <c r="H5778" s="15">
        <v>2465</v>
      </c>
      <c r="I5778" s="16">
        <v>1873.3999999999999</v>
      </c>
      <c r="J5778" s="16">
        <v>1545.1853280015341</v>
      </c>
      <c r="K5778" s="16">
        <v>328.21467199846575</v>
      </c>
      <c r="L5778" s="13">
        <v>1.94</v>
      </c>
      <c r="M5778" s="13"/>
      <c r="N5778" s="17">
        <f t="shared" si="189"/>
        <v>4782.0999999999995</v>
      </c>
      <c r="O5778" s="17">
        <f t="shared" si="189"/>
        <v>0</v>
      </c>
      <c r="P5778" s="17">
        <f t="shared" si="190"/>
        <v>4782.0999999999995</v>
      </c>
      <c r="Q5778" t="str">
        <f>A5778&amp;"-"&amp;B5778&amp;"-"&amp;D5778</f>
        <v>NOVEMBER-MJ2-L5</v>
      </c>
    </row>
    <row r="5779" spans="1:17" x14ac:dyDescent="0.25">
      <c r="A5779" t="s">
        <v>401</v>
      </c>
      <c r="B5779" s="13" t="s">
        <v>26</v>
      </c>
      <c r="C5779" s="13" t="s">
        <v>226</v>
      </c>
      <c r="D5779" s="14" t="s">
        <v>160</v>
      </c>
      <c r="E5779" s="13" t="s">
        <v>61</v>
      </c>
      <c r="F5779" s="13" t="s">
        <v>1957</v>
      </c>
      <c r="G5779" s="13">
        <v>0.76</v>
      </c>
      <c r="H5779" s="15">
        <v>523</v>
      </c>
      <c r="I5779" s="16">
        <v>397.48</v>
      </c>
      <c r="J5779" s="16">
        <v>383.58149171270713</v>
      </c>
      <c r="K5779" s="16">
        <v>13.898508287292884</v>
      </c>
      <c r="L5779" s="13">
        <v>1.94</v>
      </c>
      <c r="M5779" s="13"/>
      <c r="N5779" s="17">
        <f t="shared" si="189"/>
        <v>1014.62</v>
      </c>
      <c r="O5779" s="17">
        <f t="shared" si="189"/>
        <v>0</v>
      </c>
      <c r="P5779" s="17">
        <f t="shared" si="190"/>
        <v>1014.62</v>
      </c>
      <c r="Q5779" t="str">
        <f>A5779&amp;"-"&amp;B5779&amp;"-"&amp;D5779</f>
        <v>NOVEMBER-MJ2-L5</v>
      </c>
    </row>
    <row r="5780" spans="1:17" x14ac:dyDescent="0.25">
      <c r="A5780" t="s">
        <v>401</v>
      </c>
      <c r="B5780" s="13" t="s">
        <v>26</v>
      </c>
      <c r="C5780" s="13" t="s">
        <v>226</v>
      </c>
      <c r="D5780" s="14" t="s">
        <v>160</v>
      </c>
      <c r="E5780" s="13" t="s">
        <v>61</v>
      </c>
      <c r="F5780" s="13" t="s">
        <v>1972</v>
      </c>
      <c r="G5780" s="13">
        <v>0.69</v>
      </c>
      <c r="H5780" s="15">
        <v>261</v>
      </c>
      <c r="I5780" s="16">
        <v>180.09</v>
      </c>
      <c r="J5780" s="16">
        <v>163.06924220348344</v>
      </c>
      <c r="K5780" s="16">
        <v>17.02075779651657</v>
      </c>
      <c r="L5780" s="13">
        <v>2.0699999999999998</v>
      </c>
      <c r="M5780" s="13"/>
      <c r="N5780" s="17">
        <f t="shared" si="189"/>
        <v>540.27</v>
      </c>
      <c r="O5780" s="17">
        <f t="shared" si="189"/>
        <v>0</v>
      </c>
      <c r="P5780" s="17">
        <f t="shared" si="190"/>
        <v>540.27</v>
      </c>
      <c r="Q5780" t="str">
        <f>A5780&amp;"-"&amp;B5780&amp;"-"&amp;D5780</f>
        <v>NOVEMBER-MJ2-L5</v>
      </c>
    </row>
    <row r="5781" spans="1:17" x14ac:dyDescent="0.25">
      <c r="A5781" t="s">
        <v>401</v>
      </c>
      <c r="B5781" s="13" t="s">
        <v>26</v>
      </c>
      <c r="C5781" s="13" t="s">
        <v>226</v>
      </c>
      <c r="D5781" s="14" t="s">
        <v>160</v>
      </c>
      <c r="E5781" s="13" t="s">
        <v>61</v>
      </c>
      <c r="F5781" s="13" t="s">
        <v>1788</v>
      </c>
      <c r="G5781" s="13">
        <v>0.83</v>
      </c>
      <c r="H5781" s="15">
        <v>682</v>
      </c>
      <c r="I5781" s="16">
        <v>566.05999999999995</v>
      </c>
      <c r="J5781" s="16">
        <v>435.48116994797238</v>
      </c>
      <c r="K5781" s="16">
        <v>130.57883005202766</v>
      </c>
      <c r="L5781" s="13">
        <v>2.13</v>
      </c>
      <c r="M5781" s="13"/>
      <c r="N5781" s="17">
        <f t="shared" si="189"/>
        <v>1452.6599999999999</v>
      </c>
      <c r="O5781" s="17">
        <f t="shared" si="189"/>
        <v>0</v>
      </c>
      <c r="P5781" s="17">
        <f t="shared" si="190"/>
        <v>1452.6599999999999</v>
      </c>
      <c r="Q5781" t="str">
        <f>A5781&amp;"-"&amp;B5781&amp;"-"&amp;D5781</f>
        <v>NOVEMBER-MJ2-L5</v>
      </c>
    </row>
    <row r="5782" spans="1:17" x14ac:dyDescent="0.25">
      <c r="A5782" t="s">
        <v>401</v>
      </c>
      <c r="B5782" s="13" t="s">
        <v>26</v>
      </c>
      <c r="C5782" s="13" t="s">
        <v>226</v>
      </c>
      <c r="D5782" s="14" t="s">
        <v>160</v>
      </c>
      <c r="E5782" s="13" t="s">
        <v>61</v>
      </c>
      <c r="F5782" s="13" t="s">
        <v>1973</v>
      </c>
      <c r="G5782" s="13">
        <v>0.83</v>
      </c>
      <c r="H5782" s="15">
        <v>492</v>
      </c>
      <c r="I5782" s="16">
        <v>408.36</v>
      </c>
      <c r="J5782" s="16">
        <v>317.15094928550411</v>
      </c>
      <c r="K5782" s="16">
        <v>91.209050714495859</v>
      </c>
      <c r="L5782" s="13">
        <v>2.13</v>
      </c>
      <c r="M5782" s="13"/>
      <c r="N5782" s="17">
        <f t="shared" si="189"/>
        <v>1047.96</v>
      </c>
      <c r="O5782" s="17">
        <f t="shared" si="189"/>
        <v>0</v>
      </c>
      <c r="P5782" s="17">
        <f t="shared" si="190"/>
        <v>1047.96</v>
      </c>
      <c r="Q5782" t="str">
        <f>A5782&amp;"-"&amp;B5782&amp;"-"&amp;D5782</f>
        <v>NOVEMBER-MJ2-L5</v>
      </c>
    </row>
    <row r="5783" spans="1:17" x14ac:dyDescent="0.25">
      <c r="A5783" t="s">
        <v>401</v>
      </c>
      <c r="B5783" s="13" t="s">
        <v>26</v>
      </c>
      <c r="C5783" s="13" t="s">
        <v>226</v>
      </c>
      <c r="D5783" s="14" t="s">
        <v>160</v>
      </c>
      <c r="E5783" s="13" t="s">
        <v>61</v>
      </c>
      <c r="F5783" s="13" t="s">
        <v>1755</v>
      </c>
      <c r="G5783" s="13">
        <v>0.83</v>
      </c>
      <c r="H5783" s="15">
        <v>183</v>
      </c>
      <c r="I5783" s="16">
        <v>151.88999999999999</v>
      </c>
      <c r="J5783" s="16">
        <v>116.45498431982173</v>
      </c>
      <c r="K5783" s="16">
        <v>35.435015680178275</v>
      </c>
      <c r="L5783" s="13">
        <v>2.13</v>
      </c>
      <c r="M5783" s="13"/>
      <c r="N5783" s="17">
        <f t="shared" ref="N5783:O5846" si="191">$H5783*L5783</f>
        <v>389.78999999999996</v>
      </c>
      <c r="O5783" s="17">
        <f t="shared" si="191"/>
        <v>0</v>
      </c>
      <c r="P5783" s="17">
        <f t="shared" si="190"/>
        <v>389.78999999999996</v>
      </c>
      <c r="Q5783" t="str">
        <f>A5783&amp;"-"&amp;B5783&amp;"-"&amp;D5783</f>
        <v>NOVEMBER-MJ2-L5</v>
      </c>
    </row>
    <row r="5784" spans="1:17" x14ac:dyDescent="0.25">
      <c r="A5784" t="s">
        <v>401</v>
      </c>
      <c r="B5784" s="13" t="s">
        <v>26</v>
      </c>
      <c r="C5784" s="13" t="s">
        <v>226</v>
      </c>
      <c r="D5784" s="14" t="s">
        <v>160</v>
      </c>
      <c r="E5784" s="13" t="s">
        <v>61</v>
      </c>
      <c r="F5784" s="13" t="s">
        <v>1974</v>
      </c>
      <c r="G5784" s="13">
        <v>0.83</v>
      </c>
      <c r="H5784" s="15">
        <v>1609</v>
      </c>
      <c r="I5784" s="16">
        <v>1335.47</v>
      </c>
      <c r="J5784" s="16">
        <v>1041.7888459901681</v>
      </c>
      <c r="K5784" s="16">
        <v>293.6811540098318</v>
      </c>
      <c r="L5784" s="13">
        <v>2.13</v>
      </c>
      <c r="M5784" s="13"/>
      <c r="N5784" s="17">
        <f t="shared" si="191"/>
        <v>3427.1699999999996</v>
      </c>
      <c r="O5784" s="17">
        <f t="shared" si="191"/>
        <v>0</v>
      </c>
      <c r="P5784" s="17">
        <f t="shared" si="190"/>
        <v>3427.1699999999996</v>
      </c>
      <c r="Q5784" t="str">
        <f>A5784&amp;"-"&amp;B5784&amp;"-"&amp;D5784</f>
        <v>NOVEMBER-MJ2-L5</v>
      </c>
    </row>
    <row r="5785" spans="1:17" x14ac:dyDescent="0.25">
      <c r="A5785" t="s">
        <v>401</v>
      </c>
      <c r="B5785" s="13" t="s">
        <v>26</v>
      </c>
      <c r="C5785" s="13" t="s">
        <v>226</v>
      </c>
      <c r="D5785" s="14" t="s">
        <v>160</v>
      </c>
      <c r="E5785" s="13" t="s">
        <v>61</v>
      </c>
      <c r="F5785" s="13" t="s">
        <v>1958</v>
      </c>
      <c r="G5785" s="13">
        <v>0.65</v>
      </c>
      <c r="H5785" s="15">
        <v>3666</v>
      </c>
      <c r="I5785" s="16">
        <v>2382.9</v>
      </c>
      <c r="J5785" s="16">
        <v>2181.7660245900183</v>
      </c>
      <c r="K5785" s="16">
        <v>201.13397540998156</v>
      </c>
      <c r="L5785" s="13">
        <v>1.66</v>
      </c>
      <c r="M5785" s="13"/>
      <c r="N5785" s="17">
        <f t="shared" si="191"/>
        <v>6085.5599999999995</v>
      </c>
      <c r="O5785" s="17">
        <f t="shared" si="191"/>
        <v>0</v>
      </c>
      <c r="P5785" s="17">
        <f t="shared" si="190"/>
        <v>6085.5599999999995</v>
      </c>
      <c r="Q5785" t="str">
        <f>A5785&amp;"-"&amp;B5785&amp;"-"&amp;D5785</f>
        <v>NOVEMBER-MJ2-L5</v>
      </c>
    </row>
    <row r="5786" spans="1:17" x14ac:dyDescent="0.25">
      <c r="A5786" t="s">
        <v>401</v>
      </c>
      <c r="B5786" s="13" t="s">
        <v>26</v>
      </c>
      <c r="C5786" s="13" t="s">
        <v>226</v>
      </c>
      <c r="D5786" s="14" t="s">
        <v>160</v>
      </c>
      <c r="E5786" s="13" t="s">
        <v>61</v>
      </c>
      <c r="F5786" s="13" t="s">
        <v>1975</v>
      </c>
      <c r="G5786" s="13">
        <v>0.65</v>
      </c>
      <c r="H5786" s="15">
        <v>998</v>
      </c>
      <c r="I5786" s="16">
        <v>648.69999999999993</v>
      </c>
      <c r="J5786" s="16">
        <v>641.73130089577228</v>
      </c>
      <c r="K5786" s="16">
        <v>6.9686991042277597</v>
      </c>
      <c r="L5786" s="13">
        <v>1.66</v>
      </c>
      <c r="M5786" s="13"/>
      <c r="N5786" s="17">
        <f t="shared" si="191"/>
        <v>1656.6799999999998</v>
      </c>
      <c r="O5786" s="17">
        <f t="shared" si="191"/>
        <v>0</v>
      </c>
      <c r="P5786" s="17">
        <f t="shared" si="190"/>
        <v>1656.6799999999998</v>
      </c>
      <c r="Q5786" t="str">
        <f>A5786&amp;"-"&amp;B5786&amp;"-"&amp;D5786</f>
        <v>NOVEMBER-MJ2-L5</v>
      </c>
    </row>
    <row r="5787" spans="1:17" x14ac:dyDescent="0.25">
      <c r="A5787" t="s">
        <v>401</v>
      </c>
      <c r="B5787" s="13" t="s">
        <v>26</v>
      </c>
      <c r="C5787" s="13" t="s">
        <v>226</v>
      </c>
      <c r="D5787" s="14" t="s">
        <v>160</v>
      </c>
      <c r="E5787" s="13" t="s">
        <v>61</v>
      </c>
      <c r="F5787" s="13" t="s">
        <v>1976</v>
      </c>
      <c r="G5787" s="13">
        <v>1.03</v>
      </c>
      <c r="H5787" s="15">
        <v>162</v>
      </c>
      <c r="I5787" s="16">
        <v>166.86</v>
      </c>
      <c r="J5787" s="16">
        <v>100.57442900487243</v>
      </c>
      <c r="K5787" s="16">
        <v>66.285570995127571</v>
      </c>
      <c r="L5787" s="13">
        <v>2.4900000000000002</v>
      </c>
      <c r="M5787" s="13"/>
      <c r="N5787" s="17">
        <f t="shared" si="191"/>
        <v>403.38000000000005</v>
      </c>
      <c r="O5787" s="17">
        <f t="shared" si="191"/>
        <v>0</v>
      </c>
      <c r="P5787" s="17">
        <f t="shared" si="190"/>
        <v>403.38000000000005</v>
      </c>
      <c r="Q5787" t="str">
        <f>A5787&amp;"-"&amp;B5787&amp;"-"&amp;D5787</f>
        <v>NOVEMBER-MJ2-L5</v>
      </c>
    </row>
    <row r="5788" spans="1:17" x14ac:dyDescent="0.25">
      <c r="A5788" t="s">
        <v>401</v>
      </c>
      <c r="B5788" s="13" t="s">
        <v>26</v>
      </c>
      <c r="C5788" s="13" t="s">
        <v>226</v>
      </c>
      <c r="D5788" s="14" t="s">
        <v>163</v>
      </c>
      <c r="E5788" s="13" t="s">
        <v>61</v>
      </c>
      <c r="F5788" s="13" t="s">
        <v>1963</v>
      </c>
      <c r="G5788" s="13">
        <v>0.68</v>
      </c>
      <c r="H5788" s="15">
        <v>791</v>
      </c>
      <c r="I5788" s="16">
        <v>537.88</v>
      </c>
      <c r="J5788" s="16">
        <v>679.44427415339862</v>
      </c>
      <c r="K5788" s="16">
        <v>-141.56427415339869</v>
      </c>
      <c r="L5788" s="13">
        <v>1.69</v>
      </c>
      <c r="M5788" s="13"/>
      <c r="N5788" s="17">
        <f t="shared" si="191"/>
        <v>1336.79</v>
      </c>
      <c r="O5788" s="17">
        <f t="shared" si="191"/>
        <v>0</v>
      </c>
      <c r="P5788" s="17">
        <f t="shared" si="190"/>
        <v>1336.79</v>
      </c>
      <c r="Q5788" t="str">
        <f>A5788&amp;"-"&amp;B5788&amp;"-"&amp;D5788</f>
        <v>NOVEMBER-MJ2-L6</v>
      </c>
    </row>
    <row r="5789" spans="1:17" x14ac:dyDescent="0.25">
      <c r="A5789" t="s">
        <v>401</v>
      </c>
      <c r="B5789" s="13" t="s">
        <v>26</v>
      </c>
      <c r="C5789" s="13" t="s">
        <v>226</v>
      </c>
      <c r="D5789" s="14" t="s">
        <v>163</v>
      </c>
      <c r="E5789" s="13" t="s">
        <v>61</v>
      </c>
      <c r="F5789" s="13" t="s">
        <v>1977</v>
      </c>
      <c r="G5789" s="13">
        <v>0.65</v>
      </c>
      <c r="H5789" s="15">
        <v>776</v>
      </c>
      <c r="I5789" s="16">
        <v>504.4</v>
      </c>
      <c r="J5789" s="16">
        <v>525.59641347533659</v>
      </c>
      <c r="K5789" s="16">
        <v>-21.196413475336552</v>
      </c>
      <c r="L5789" s="13">
        <v>1.81</v>
      </c>
      <c r="M5789" s="13"/>
      <c r="N5789" s="17">
        <f t="shared" si="191"/>
        <v>1404.56</v>
      </c>
      <c r="O5789" s="17">
        <f t="shared" si="191"/>
        <v>0</v>
      </c>
      <c r="P5789" s="17">
        <f t="shared" si="190"/>
        <v>1404.56</v>
      </c>
      <c r="Q5789" t="str">
        <f>A5789&amp;"-"&amp;B5789&amp;"-"&amp;D5789</f>
        <v>NOVEMBER-MJ2-L6</v>
      </c>
    </row>
    <row r="5790" spans="1:17" x14ac:dyDescent="0.25">
      <c r="A5790" t="s">
        <v>401</v>
      </c>
      <c r="B5790" s="13" t="s">
        <v>26</v>
      </c>
      <c r="C5790" s="13" t="s">
        <v>226</v>
      </c>
      <c r="D5790" s="14" t="s">
        <v>163</v>
      </c>
      <c r="E5790" s="13" t="s">
        <v>61</v>
      </c>
      <c r="F5790" s="13" t="s">
        <v>1964</v>
      </c>
      <c r="G5790" s="13">
        <v>1.03</v>
      </c>
      <c r="H5790" s="15">
        <v>471</v>
      </c>
      <c r="I5790" s="16">
        <v>485.13</v>
      </c>
      <c r="J5790" s="16">
        <v>415.09877097589788</v>
      </c>
      <c r="K5790" s="16">
        <v>70.031229024102132</v>
      </c>
      <c r="L5790" s="13">
        <v>2.31</v>
      </c>
      <c r="M5790" s="13"/>
      <c r="N5790" s="17">
        <f t="shared" si="191"/>
        <v>1088.01</v>
      </c>
      <c r="O5790" s="17">
        <f t="shared" si="191"/>
        <v>0</v>
      </c>
      <c r="P5790" s="17">
        <f t="shared" si="190"/>
        <v>1088.01</v>
      </c>
      <c r="Q5790" t="str">
        <f>A5790&amp;"-"&amp;B5790&amp;"-"&amp;D5790</f>
        <v>NOVEMBER-MJ2-L6</v>
      </c>
    </row>
    <row r="5791" spans="1:17" x14ac:dyDescent="0.25">
      <c r="A5791" t="s">
        <v>401</v>
      </c>
      <c r="B5791" s="13" t="s">
        <v>26</v>
      </c>
      <c r="C5791" s="13" t="s">
        <v>226</v>
      </c>
      <c r="D5791" s="14" t="s">
        <v>163</v>
      </c>
      <c r="E5791" s="13" t="s">
        <v>61</v>
      </c>
      <c r="F5791" s="13" t="s">
        <v>1965</v>
      </c>
      <c r="G5791" s="13">
        <v>0.74</v>
      </c>
      <c r="H5791" s="15">
        <v>952</v>
      </c>
      <c r="I5791" s="16">
        <v>704.4799999999999</v>
      </c>
      <c r="J5791" s="16">
        <v>525.16518630599671</v>
      </c>
      <c r="K5791" s="16">
        <v>179.31481369400331</v>
      </c>
      <c r="L5791" s="13">
        <v>1.36</v>
      </c>
      <c r="M5791" s="13"/>
      <c r="N5791" s="17">
        <f t="shared" si="191"/>
        <v>1294.72</v>
      </c>
      <c r="O5791" s="17">
        <f t="shared" si="191"/>
        <v>0</v>
      </c>
      <c r="P5791" s="17">
        <f t="shared" si="190"/>
        <v>1294.72</v>
      </c>
      <c r="Q5791" t="str">
        <f>A5791&amp;"-"&amp;B5791&amp;"-"&amp;D5791</f>
        <v>NOVEMBER-MJ2-L6</v>
      </c>
    </row>
    <row r="5792" spans="1:17" x14ac:dyDescent="0.25">
      <c r="A5792" t="s">
        <v>401</v>
      </c>
      <c r="B5792" s="13" t="s">
        <v>26</v>
      </c>
      <c r="C5792" s="13" t="s">
        <v>226</v>
      </c>
      <c r="D5792" s="14" t="s">
        <v>163</v>
      </c>
      <c r="E5792" s="13" t="s">
        <v>61</v>
      </c>
      <c r="F5792" s="13" t="s">
        <v>1966</v>
      </c>
      <c r="G5792" s="13">
        <v>0.7400000000000001</v>
      </c>
      <c r="H5792" s="15">
        <v>1764</v>
      </c>
      <c r="I5792" s="16">
        <v>1305.3600000000001</v>
      </c>
      <c r="J5792" s="16">
        <v>1072.9974980859295</v>
      </c>
      <c r="K5792" s="16">
        <v>232.36250191407058</v>
      </c>
      <c r="L5792" s="13">
        <v>1.36</v>
      </c>
      <c r="M5792" s="13"/>
      <c r="N5792" s="17">
        <f t="shared" si="191"/>
        <v>2399.04</v>
      </c>
      <c r="O5792" s="17">
        <f t="shared" si="191"/>
        <v>0</v>
      </c>
      <c r="P5792" s="17">
        <f t="shared" si="190"/>
        <v>2399.04</v>
      </c>
      <c r="Q5792" t="str">
        <f>A5792&amp;"-"&amp;B5792&amp;"-"&amp;D5792</f>
        <v>NOVEMBER-MJ2-L6</v>
      </c>
    </row>
    <row r="5793" spans="1:17" x14ac:dyDescent="0.25">
      <c r="A5793" t="s">
        <v>401</v>
      </c>
      <c r="B5793" s="13" t="s">
        <v>26</v>
      </c>
      <c r="C5793" s="13" t="s">
        <v>226</v>
      </c>
      <c r="D5793" s="14" t="s">
        <v>163</v>
      </c>
      <c r="E5793" s="13" t="s">
        <v>61</v>
      </c>
      <c r="F5793" s="13" t="s">
        <v>1927</v>
      </c>
      <c r="G5793" s="13">
        <v>0.71</v>
      </c>
      <c r="H5793" s="15">
        <v>1222</v>
      </c>
      <c r="I5793" s="16">
        <v>867.62</v>
      </c>
      <c r="J5793" s="16">
        <v>580.89172917914925</v>
      </c>
      <c r="K5793" s="16">
        <v>286.72827082085075</v>
      </c>
      <c r="L5793" s="13">
        <v>1.29</v>
      </c>
      <c r="M5793" s="13"/>
      <c r="N5793" s="17">
        <f t="shared" si="191"/>
        <v>1576.38</v>
      </c>
      <c r="O5793" s="17">
        <f t="shared" si="191"/>
        <v>0</v>
      </c>
      <c r="P5793" s="17">
        <f t="shared" si="190"/>
        <v>1576.38</v>
      </c>
      <c r="Q5793" t="str">
        <f>A5793&amp;"-"&amp;B5793&amp;"-"&amp;D5793</f>
        <v>NOVEMBER-MJ2-L6</v>
      </c>
    </row>
    <row r="5794" spans="1:17" x14ac:dyDescent="0.25">
      <c r="A5794" t="s">
        <v>401</v>
      </c>
      <c r="B5794" s="13" t="s">
        <v>26</v>
      </c>
      <c r="C5794" s="13" t="s">
        <v>226</v>
      </c>
      <c r="D5794" s="14" t="s">
        <v>163</v>
      </c>
      <c r="E5794" s="13" t="s">
        <v>61</v>
      </c>
      <c r="F5794" s="13" t="s">
        <v>1967</v>
      </c>
      <c r="G5794" s="13">
        <v>0.68</v>
      </c>
      <c r="H5794" s="15">
        <v>2106</v>
      </c>
      <c r="I5794" s="16">
        <v>1432.08</v>
      </c>
      <c r="J5794" s="16">
        <v>1599.3444673319282</v>
      </c>
      <c r="K5794" s="16">
        <v>-167.2644673319281</v>
      </c>
      <c r="L5794" s="13">
        <v>1.7</v>
      </c>
      <c r="M5794" s="13"/>
      <c r="N5794" s="17">
        <f t="shared" si="191"/>
        <v>3580.2</v>
      </c>
      <c r="O5794" s="17">
        <f t="shared" si="191"/>
        <v>0</v>
      </c>
      <c r="P5794" s="17">
        <f t="shared" si="190"/>
        <v>3580.2</v>
      </c>
      <c r="Q5794" t="str">
        <f>A5794&amp;"-"&amp;B5794&amp;"-"&amp;D5794</f>
        <v>NOVEMBER-MJ2-L6</v>
      </c>
    </row>
    <row r="5795" spans="1:17" x14ac:dyDescent="0.25">
      <c r="A5795" t="s">
        <v>401</v>
      </c>
      <c r="B5795" s="13" t="s">
        <v>26</v>
      </c>
      <c r="C5795" s="13" t="s">
        <v>226</v>
      </c>
      <c r="D5795" s="14" t="s">
        <v>163</v>
      </c>
      <c r="E5795" s="13" t="s">
        <v>61</v>
      </c>
      <c r="F5795" s="13" t="s">
        <v>1968</v>
      </c>
      <c r="G5795" s="13">
        <v>0.72999999999999987</v>
      </c>
      <c r="H5795" s="15">
        <v>1249</v>
      </c>
      <c r="I5795" s="16">
        <v>911.7700000000001</v>
      </c>
      <c r="J5795" s="16">
        <v>867.65467608861718</v>
      </c>
      <c r="K5795" s="16">
        <v>44.115323911382774</v>
      </c>
      <c r="L5795" s="13">
        <v>1.33</v>
      </c>
      <c r="M5795" s="13"/>
      <c r="N5795" s="17">
        <f t="shared" si="191"/>
        <v>1661.17</v>
      </c>
      <c r="O5795" s="17">
        <f t="shared" si="191"/>
        <v>0</v>
      </c>
      <c r="P5795" s="17">
        <f t="shared" si="190"/>
        <v>1661.17</v>
      </c>
      <c r="Q5795" t="str">
        <f>A5795&amp;"-"&amp;B5795&amp;"-"&amp;D5795</f>
        <v>NOVEMBER-MJ2-L6</v>
      </c>
    </row>
    <row r="5796" spans="1:17" x14ac:dyDescent="0.25">
      <c r="A5796" t="s">
        <v>401</v>
      </c>
      <c r="B5796" s="13" t="s">
        <v>26</v>
      </c>
      <c r="C5796" s="13" t="s">
        <v>226</v>
      </c>
      <c r="D5796" s="14" t="s">
        <v>163</v>
      </c>
      <c r="E5796" s="13" t="s">
        <v>61</v>
      </c>
      <c r="F5796" s="13" t="s">
        <v>1969</v>
      </c>
      <c r="G5796" s="13">
        <v>0.73</v>
      </c>
      <c r="H5796" s="15">
        <v>2014</v>
      </c>
      <c r="I5796" s="16">
        <v>1470.2200000000003</v>
      </c>
      <c r="J5796" s="16">
        <v>1293.1530925324678</v>
      </c>
      <c r="K5796" s="16">
        <v>177.06690746753253</v>
      </c>
      <c r="L5796" s="13">
        <v>1.33</v>
      </c>
      <c r="M5796" s="13"/>
      <c r="N5796" s="17">
        <f t="shared" si="191"/>
        <v>2678.6200000000003</v>
      </c>
      <c r="O5796" s="17">
        <f t="shared" si="191"/>
        <v>0</v>
      </c>
      <c r="P5796" s="17">
        <f t="shared" si="190"/>
        <v>2678.6200000000003</v>
      </c>
      <c r="Q5796" t="str">
        <f>A5796&amp;"-"&amp;B5796&amp;"-"&amp;D5796</f>
        <v>NOVEMBER-MJ2-L6</v>
      </c>
    </row>
    <row r="5797" spans="1:17" x14ac:dyDescent="0.25">
      <c r="A5797" t="s">
        <v>401</v>
      </c>
      <c r="B5797" s="13" t="s">
        <v>26</v>
      </c>
      <c r="C5797" s="13" t="s">
        <v>226</v>
      </c>
      <c r="D5797" s="14" t="s">
        <v>163</v>
      </c>
      <c r="E5797" s="13" t="s">
        <v>61</v>
      </c>
      <c r="F5797" s="13" t="s">
        <v>1777</v>
      </c>
      <c r="G5797" s="13">
        <v>0.83</v>
      </c>
      <c r="H5797" s="15">
        <v>353</v>
      </c>
      <c r="I5797" s="16">
        <v>292.99</v>
      </c>
      <c r="J5797" s="16">
        <v>217.91676410311726</v>
      </c>
      <c r="K5797" s="16">
        <v>75.073235896882764</v>
      </c>
      <c r="L5797" s="13">
        <v>2.13</v>
      </c>
      <c r="M5797" s="13"/>
      <c r="N5797" s="17">
        <f t="shared" si="191"/>
        <v>751.89</v>
      </c>
      <c r="O5797" s="17">
        <f t="shared" si="191"/>
        <v>0</v>
      </c>
      <c r="P5797" s="17">
        <f t="shared" si="190"/>
        <v>751.89</v>
      </c>
      <c r="Q5797" t="str">
        <f>A5797&amp;"-"&amp;B5797&amp;"-"&amp;D5797</f>
        <v>NOVEMBER-MJ2-L6</v>
      </c>
    </row>
    <row r="5798" spans="1:17" x14ac:dyDescent="0.25">
      <c r="A5798" t="s">
        <v>401</v>
      </c>
      <c r="B5798" s="13" t="s">
        <v>26</v>
      </c>
      <c r="C5798" s="13" t="s">
        <v>226</v>
      </c>
      <c r="D5798" s="14" t="s">
        <v>163</v>
      </c>
      <c r="E5798" s="13" t="s">
        <v>61</v>
      </c>
      <c r="F5798" s="13" t="s">
        <v>1970</v>
      </c>
      <c r="G5798" s="13">
        <v>0.82999999999999985</v>
      </c>
      <c r="H5798" s="15">
        <v>2557</v>
      </c>
      <c r="I5798" s="16">
        <v>2122.31</v>
      </c>
      <c r="J5798" s="16">
        <v>1423.1040175198611</v>
      </c>
      <c r="K5798" s="16">
        <v>699.2059824801388</v>
      </c>
      <c r="L5798" s="13">
        <v>2.13</v>
      </c>
      <c r="M5798" s="13"/>
      <c r="N5798" s="17">
        <f t="shared" si="191"/>
        <v>5446.41</v>
      </c>
      <c r="O5798" s="17">
        <f t="shared" si="191"/>
        <v>0</v>
      </c>
      <c r="P5798" s="17">
        <f t="shared" si="190"/>
        <v>5446.41</v>
      </c>
      <c r="Q5798" t="str">
        <f>A5798&amp;"-"&amp;B5798&amp;"-"&amp;D5798</f>
        <v>NOVEMBER-MJ2-L6</v>
      </c>
    </row>
    <row r="5799" spans="1:17" x14ac:dyDescent="0.25">
      <c r="A5799" t="s">
        <v>401</v>
      </c>
      <c r="B5799" s="13" t="s">
        <v>26</v>
      </c>
      <c r="C5799" s="13" t="s">
        <v>226</v>
      </c>
      <c r="D5799" s="14" t="s">
        <v>163</v>
      </c>
      <c r="E5799" s="13" t="s">
        <v>61</v>
      </c>
      <c r="F5799" s="13" t="s">
        <v>1971</v>
      </c>
      <c r="G5799" s="13">
        <v>0.76000000000000012</v>
      </c>
      <c r="H5799" s="15">
        <v>35</v>
      </c>
      <c r="I5799" s="16">
        <v>26.6</v>
      </c>
      <c r="J5799" s="16">
        <v>32.256944040289724</v>
      </c>
      <c r="K5799" s="16">
        <v>-5.6569440402897282</v>
      </c>
      <c r="L5799" s="13">
        <v>1.94</v>
      </c>
      <c r="M5799" s="13"/>
      <c r="N5799" s="17">
        <f t="shared" si="191"/>
        <v>67.899999999999991</v>
      </c>
      <c r="O5799" s="17">
        <f t="shared" si="191"/>
        <v>0</v>
      </c>
      <c r="P5799" s="17">
        <f t="shared" si="190"/>
        <v>67.899999999999991</v>
      </c>
      <c r="Q5799" t="str">
        <f>A5799&amp;"-"&amp;B5799&amp;"-"&amp;D5799</f>
        <v>NOVEMBER-MJ2-L6</v>
      </c>
    </row>
    <row r="5800" spans="1:17" x14ac:dyDescent="0.25">
      <c r="A5800" t="s">
        <v>401</v>
      </c>
      <c r="B5800" s="13" t="s">
        <v>26</v>
      </c>
      <c r="C5800" s="13" t="s">
        <v>226</v>
      </c>
      <c r="D5800" s="14" t="s">
        <v>163</v>
      </c>
      <c r="E5800" s="13" t="s">
        <v>61</v>
      </c>
      <c r="F5800" s="13" t="s">
        <v>1798</v>
      </c>
      <c r="G5800" s="13">
        <v>1.19</v>
      </c>
      <c r="H5800" s="15">
        <v>397</v>
      </c>
      <c r="I5800" s="16">
        <v>472.43</v>
      </c>
      <c r="J5800" s="16">
        <v>272.94624511328573</v>
      </c>
      <c r="K5800" s="16">
        <v>199.48375488671431</v>
      </c>
      <c r="L5800" s="13">
        <v>2.87</v>
      </c>
      <c r="M5800" s="13"/>
      <c r="N5800" s="17">
        <f t="shared" si="191"/>
        <v>1139.3900000000001</v>
      </c>
      <c r="O5800" s="17">
        <f t="shared" si="191"/>
        <v>0</v>
      </c>
      <c r="P5800" s="17">
        <f t="shared" si="190"/>
        <v>1139.3900000000001</v>
      </c>
      <c r="Q5800" t="str">
        <f>A5800&amp;"-"&amp;B5800&amp;"-"&amp;D5800</f>
        <v>NOVEMBER-MJ2-L6</v>
      </c>
    </row>
    <row r="5801" spans="1:17" x14ac:dyDescent="0.25">
      <c r="A5801" t="s">
        <v>401</v>
      </c>
      <c r="B5801" s="13" t="s">
        <v>26</v>
      </c>
      <c r="C5801" s="13" t="s">
        <v>226</v>
      </c>
      <c r="D5801" s="14" t="s">
        <v>163</v>
      </c>
      <c r="E5801" s="13" t="s">
        <v>61</v>
      </c>
      <c r="F5801" s="13" t="s">
        <v>1939</v>
      </c>
      <c r="G5801" s="13">
        <v>0.79</v>
      </c>
      <c r="H5801" s="15">
        <v>722</v>
      </c>
      <c r="I5801" s="16">
        <v>570.38</v>
      </c>
      <c r="J5801" s="16">
        <v>469.88672727272728</v>
      </c>
      <c r="K5801" s="16">
        <v>100.49327272727275</v>
      </c>
      <c r="L5801" s="13">
        <v>2</v>
      </c>
      <c r="M5801" s="13"/>
      <c r="N5801" s="17">
        <f t="shared" si="191"/>
        <v>1444</v>
      </c>
      <c r="O5801" s="17">
        <f t="shared" si="191"/>
        <v>0</v>
      </c>
      <c r="P5801" s="17">
        <f t="shared" si="190"/>
        <v>1444</v>
      </c>
      <c r="Q5801" t="str">
        <f>A5801&amp;"-"&amp;B5801&amp;"-"&amp;D5801</f>
        <v>NOVEMBER-MJ2-L6</v>
      </c>
    </row>
    <row r="5802" spans="1:17" x14ac:dyDescent="0.25">
      <c r="A5802" t="s">
        <v>401</v>
      </c>
      <c r="B5802" s="13" t="s">
        <v>26</v>
      </c>
      <c r="C5802" s="13" t="s">
        <v>226</v>
      </c>
      <c r="D5802" s="14" t="s">
        <v>163</v>
      </c>
      <c r="E5802" s="13" t="s">
        <v>61</v>
      </c>
      <c r="F5802" s="13" t="s">
        <v>1941</v>
      </c>
      <c r="G5802" s="13">
        <v>0.77</v>
      </c>
      <c r="H5802" s="15">
        <v>236</v>
      </c>
      <c r="I5802" s="16">
        <v>181.72</v>
      </c>
      <c r="J5802" s="16">
        <v>147.43563636363635</v>
      </c>
      <c r="K5802" s="16">
        <v>34.284363636363629</v>
      </c>
      <c r="L5802" s="13">
        <v>2.15</v>
      </c>
      <c r="M5802" s="13"/>
      <c r="N5802" s="17">
        <f t="shared" si="191"/>
        <v>507.4</v>
      </c>
      <c r="O5802" s="17">
        <f t="shared" si="191"/>
        <v>0</v>
      </c>
      <c r="P5802" s="17">
        <f t="shared" si="190"/>
        <v>507.4</v>
      </c>
      <c r="Q5802" t="str">
        <f>A5802&amp;"-"&amp;B5802&amp;"-"&amp;D5802</f>
        <v>NOVEMBER-MJ2-L6</v>
      </c>
    </row>
    <row r="5803" spans="1:17" x14ac:dyDescent="0.25">
      <c r="A5803" t="s">
        <v>401</v>
      </c>
      <c r="B5803" s="13" t="s">
        <v>26</v>
      </c>
      <c r="C5803" s="13" t="s">
        <v>226</v>
      </c>
      <c r="D5803" s="14" t="s">
        <v>163</v>
      </c>
      <c r="E5803" s="13" t="s">
        <v>61</v>
      </c>
      <c r="F5803" s="13" t="s">
        <v>1954</v>
      </c>
      <c r="G5803" s="13">
        <v>0.83</v>
      </c>
      <c r="H5803" s="15">
        <v>4280</v>
      </c>
      <c r="I5803" s="16">
        <v>3552.4</v>
      </c>
      <c r="J5803" s="16">
        <v>3006.1038136369139</v>
      </c>
      <c r="K5803" s="16">
        <v>546.29618636308624</v>
      </c>
      <c r="L5803" s="13">
        <v>2.13</v>
      </c>
      <c r="M5803" s="13"/>
      <c r="N5803" s="17">
        <f t="shared" si="191"/>
        <v>9116.4</v>
      </c>
      <c r="O5803" s="17">
        <f t="shared" si="191"/>
        <v>0</v>
      </c>
      <c r="P5803" s="17">
        <f t="shared" si="190"/>
        <v>9116.4</v>
      </c>
      <c r="Q5803" t="str">
        <f>A5803&amp;"-"&amp;B5803&amp;"-"&amp;D5803</f>
        <v>NOVEMBER-MJ2-L6</v>
      </c>
    </row>
    <row r="5804" spans="1:17" x14ac:dyDescent="0.25">
      <c r="A5804" t="s">
        <v>401</v>
      </c>
      <c r="B5804" s="13" t="s">
        <v>26</v>
      </c>
      <c r="C5804" s="13" t="s">
        <v>226</v>
      </c>
      <c r="D5804" s="14" t="s">
        <v>163</v>
      </c>
      <c r="E5804" s="13" t="s">
        <v>61</v>
      </c>
      <c r="F5804" s="13" t="s">
        <v>1955</v>
      </c>
      <c r="G5804" s="13">
        <v>0.77999999999999992</v>
      </c>
      <c r="H5804" s="15">
        <v>55</v>
      </c>
      <c r="I5804" s="16">
        <v>42.9</v>
      </c>
      <c r="J5804" s="16">
        <v>33.093028531093651</v>
      </c>
      <c r="K5804" s="16">
        <v>9.806971468906351</v>
      </c>
      <c r="L5804" s="13">
        <v>2.29</v>
      </c>
      <c r="M5804" s="13"/>
      <c r="N5804" s="17">
        <f t="shared" si="191"/>
        <v>125.95</v>
      </c>
      <c r="O5804" s="17">
        <f t="shared" si="191"/>
        <v>0</v>
      </c>
      <c r="P5804" s="17">
        <f t="shared" si="190"/>
        <v>125.95</v>
      </c>
      <c r="Q5804" t="str">
        <f>A5804&amp;"-"&amp;B5804&amp;"-"&amp;D5804</f>
        <v>NOVEMBER-MJ2-L6</v>
      </c>
    </row>
    <row r="5805" spans="1:17" x14ac:dyDescent="0.25">
      <c r="A5805" t="s">
        <v>401</v>
      </c>
      <c r="B5805" s="13" t="s">
        <v>26</v>
      </c>
      <c r="C5805" s="13" t="s">
        <v>226</v>
      </c>
      <c r="D5805" s="14" t="s">
        <v>163</v>
      </c>
      <c r="E5805" s="13" t="s">
        <v>61</v>
      </c>
      <c r="F5805" s="13" t="s">
        <v>1799</v>
      </c>
      <c r="G5805" s="13">
        <v>0.83</v>
      </c>
      <c r="H5805" s="15">
        <v>125</v>
      </c>
      <c r="I5805" s="16">
        <v>103.75</v>
      </c>
      <c r="J5805" s="16">
        <v>72.739726027397253</v>
      </c>
      <c r="K5805" s="16">
        <v>31.010273972602747</v>
      </c>
      <c r="L5805" s="13">
        <v>2.13</v>
      </c>
      <c r="M5805" s="13"/>
      <c r="N5805" s="17">
        <f t="shared" si="191"/>
        <v>266.25</v>
      </c>
      <c r="O5805" s="17">
        <f t="shared" si="191"/>
        <v>0</v>
      </c>
      <c r="P5805" s="17">
        <f t="shared" si="190"/>
        <v>266.25</v>
      </c>
      <c r="Q5805" t="str">
        <f>A5805&amp;"-"&amp;B5805&amp;"-"&amp;D5805</f>
        <v>NOVEMBER-MJ2-L6</v>
      </c>
    </row>
    <row r="5806" spans="1:17" x14ac:dyDescent="0.25">
      <c r="A5806" t="s">
        <v>401</v>
      </c>
      <c r="B5806" s="13" t="s">
        <v>26</v>
      </c>
      <c r="C5806" s="13" t="s">
        <v>226</v>
      </c>
      <c r="D5806" s="14" t="s">
        <v>163</v>
      </c>
      <c r="E5806" s="13" t="s">
        <v>61</v>
      </c>
      <c r="F5806" s="13" t="s">
        <v>1801</v>
      </c>
      <c r="G5806" s="13">
        <v>0.76</v>
      </c>
      <c r="H5806" s="15">
        <v>1685</v>
      </c>
      <c r="I5806" s="16">
        <v>1280.5999999999999</v>
      </c>
      <c r="J5806" s="16">
        <v>1010.8569190535491</v>
      </c>
      <c r="K5806" s="16">
        <v>269.74308094645073</v>
      </c>
      <c r="L5806" s="13">
        <v>1.94</v>
      </c>
      <c r="M5806" s="13"/>
      <c r="N5806" s="17">
        <f t="shared" si="191"/>
        <v>3268.9</v>
      </c>
      <c r="O5806" s="17">
        <f t="shared" si="191"/>
        <v>0</v>
      </c>
      <c r="P5806" s="17">
        <f t="shared" si="190"/>
        <v>3268.9</v>
      </c>
      <c r="Q5806" t="str">
        <f>A5806&amp;"-"&amp;B5806&amp;"-"&amp;D5806</f>
        <v>NOVEMBER-MJ2-L6</v>
      </c>
    </row>
    <row r="5807" spans="1:17" x14ac:dyDescent="0.25">
      <c r="A5807" t="s">
        <v>401</v>
      </c>
      <c r="B5807" s="13" t="s">
        <v>26</v>
      </c>
      <c r="C5807" s="13" t="s">
        <v>226</v>
      </c>
      <c r="D5807" s="14" t="s">
        <v>163</v>
      </c>
      <c r="E5807" s="13" t="s">
        <v>61</v>
      </c>
      <c r="F5807" s="13" t="s">
        <v>1957</v>
      </c>
      <c r="G5807" s="13">
        <v>0.76</v>
      </c>
      <c r="H5807" s="15">
        <v>370</v>
      </c>
      <c r="I5807" s="16">
        <v>281.20000000000005</v>
      </c>
      <c r="J5807" s="16">
        <v>237.51182202232474</v>
      </c>
      <c r="K5807" s="16">
        <v>43.688177977675281</v>
      </c>
      <c r="L5807" s="13">
        <v>1.94</v>
      </c>
      <c r="M5807" s="13"/>
      <c r="N5807" s="17">
        <f t="shared" si="191"/>
        <v>717.8</v>
      </c>
      <c r="O5807" s="17">
        <f t="shared" si="191"/>
        <v>0</v>
      </c>
      <c r="P5807" s="17">
        <f t="shared" si="190"/>
        <v>717.8</v>
      </c>
      <c r="Q5807" t="str">
        <f>A5807&amp;"-"&amp;B5807&amp;"-"&amp;D5807</f>
        <v>NOVEMBER-MJ2-L6</v>
      </c>
    </row>
    <row r="5808" spans="1:17" x14ac:dyDescent="0.25">
      <c r="A5808" t="s">
        <v>401</v>
      </c>
      <c r="B5808" s="13" t="s">
        <v>26</v>
      </c>
      <c r="C5808" s="13" t="s">
        <v>226</v>
      </c>
      <c r="D5808" s="14" t="s">
        <v>163</v>
      </c>
      <c r="E5808" s="13" t="s">
        <v>61</v>
      </c>
      <c r="F5808" s="13" t="s">
        <v>1972</v>
      </c>
      <c r="G5808" s="13">
        <v>0.69</v>
      </c>
      <c r="H5808" s="15">
        <v>926</v>
      </c>
      <c r="I5808" s="16">
        <v>638.94000000000005</v>
      </c>
      <c r="J5808" s="16">
        <v>738.69442322383497</v>
      </c>
      <c r="K5808" s="16">
        <v>-99.754423223834948</v>
      </c>
      <c r="L5808" s="13">
        <v>2.0699999999999998</v>
      </c>
      <c r="M5808" s="13"/>
      <c r="N5808" s="17">
        <f t="shared" si="191"/>
        <v>1916.82</v>
      </c>
      <c r="O5808" s="17">
        <f t="shared" si="191"/>
        <v>0</v>
      </c>
      <c r="P5808" s="17">
        <f t="shared" si="190"/>
        <v>1916.82</v>
      </c>
      <c r="Q5808" t="str">
        <f>A5808&amp;"-"&amp;B5808&amp;"-"&amp;D5808</f>
        <v>NOVEMBER-MJ2-L6</v>
      </c>
    </row>
    <row r="5809" spans="1:17" x14ac:dyDescent="0.25">
      <c r="A5809" t="s">
        <v>401</v>
      </c>
      <c r="B5809" s="13" t="s">
        <v>26</v>
      </c>
      <c r="C5809" s="13" t="s">
        <v>226</v>
      </c>
      <c r="D5809" s="14" t="s">
        <v>163</v>
      </c>
      <c r="E5809" s="13" t="s">
        <v>61</v>
      </c>
      <c r="F5809" s="13" t="s">
        <v>1788</v>
      </c>
      <c r="G5809" s="13">
        <v>0.83</v>
      </c>
      <c r="H5809" s="15">
        <v>160</v>
      </c>
      <c r="I5809" s="16">
        <v>132.80000000000001</v>
      </c>
      <c r="J5809" s="16">
        <v>119.96430898192521</v>
      </c>
      <c r="K5809" s="16">
        <v>12.835691018074797</v>
      </c>
      <c r="L5809" s="13">
        <v>2.13</v>
      </c>
      <c r="M5809" s="13"/>
      <c r="N5809" s="17">
        <f t="shared" si="191"/>
        <v>340.79999999999995</v>
      </c>
      <c r="O5809" s="17">
        <f t="shared" si="191"/>
        <v>0</v>
      </c>
      <c r="P5809" s="17">
        <f t="shared" si="190"/>
        <v>340.79999999999995</v>
      </c>
      <c r="Q5809" t="str">
        <f>A5809&amp;"-"&amp;B5809&amp;"-"&amp;D5809</f>
        <v>NOVEMBER-MJ2-L6</v>
      </c>
    </row>
    <row r="5810" spans="1:17" x14ac:dyDescent="0.25">
      <c r="A5810" t="s">
        <v>401</v>
      </c>
      <c r="B5810" s="13" t="s">
        <v>26</v>
      </c>
      <c r="C5810" s="13" t="s">
        <v>226</v>
      </c>
      <c r="D5810" s="14" t="s">
        <v>163</v>
      </c>
      <c r="E5810" s="13" t="s">
        <v>61</v>
      </c>
      <c r="F5810" s="13" t="s">
        <v>1973</v>
      </c>
      <c r="G5810" s="13">
        <v>0.83</v>
      </c>
      <c r="H5810" s="15">
        <v>3154</v>
      </c>
      <c r="I5810" s="16">
        <v>2617.8200000000006</v>
      </c>
      <c r="J5810" s="16">
        <v>1872.4824567260455</v>
      </c>
      <c r="K5810" s="16">
        <v>745.33754327395434</v>
      </c>
      <c r="L5810" s="13">
        <v>2.13</v>
      </c>
      <c r="M5810" s="13"/>
      <c r="N5810" s="17">
        <f t="shared" si="191"/>
        <v>6718.0199999999995</v>
      </c>
      <c r="O5810" s="17">
        <f t="shared" si="191"/>
        <v>0</v>
      </c>
      <c r="P5810" s="17">
        <f t="shared" si="190"/>
        <v>6718.0199999999995</v>
      </c>
      <c r="Q5810" t="str">
        <f>A5810&amp;"-"&amp;B5810&amp;"-"&amp;D5810</f>
        <v>NOVEMBER-MJ2-L6</v>
      </c>
    </row>
    <row r="5811" spans="1:17" x14ac:dyDescent="0.25">
      <c r="A5811" t="s">
        <v>401</v>
      </c>
      <c r="B5811" s="13" t="s">
        <v>26</v>
      </c>
      <c r="C5811" s="13" t="s">
        <v>226</v>
      </c>
      <c r="D5811" s="14" t="s">
        <v>163</v>
      </c>
      <c r="E5811" s="13" t="s">
        <v>61</v>
      </c>
      <c r="F5811" s="13" t="s">
        <v>1755</v>
      </c>
      <c r="G5811" s="13">
        <v>0.83</v>
      </c>
      <c r="H5811" s="15">
        <v>247</v>
      </c>
      <c r="I5811" s="16">
        <v>205.01</v>
      </c>
      <c r="J5811" s="16">
        <v>185.3996246359616</v>
      </c>
      <c r="K5811" s="16">
        <v>19.61037536403839</v>
      </c>
      <c r="L5811" s="13">
        <v>2.13</v>
      </c>
      <c r="M5811" s="13"/>
      <c r="N5811" s="17">
        <f t="shared" si="191"/>
        <v>526.11</v>
      </c>
      <c r="O5811" s="17">
        <f t="shared" si="191"/>
        <v>0</v>
      </c>
      <c r="P5811" s="17">
        <f t="shared" si="190"/>
        <v>526.11</v>
      </c>
      <c r="Q5811" t="str">
        <f>A5811&amp;"-"&amp;B5811&amp;"-"&amp;D5811</f>
        <v>NOVEMBER-MJ2-L6</v>
      </c>
    </row>
    <row r="5812" spans="1:17" x14ac:dyDescent="0.25">
      <c r="A5812" t="s">
        <v>401</v>
      </c>
      <c r="B5812" s="13" t="s">
        <v>26</v>
      </c>
      <c r="C5812" s="13" t="s">
        <v>226</v>
      </c>
      <c r="D5812" s="14" t="s">
        <v>163</v>
      </c>
      <c r="E5812" s="13" t="s">
        <v>61</v>
      </c>
      <c r="F5812" s="13" t="s">
        <v>1974</v>
      </c>
      <c r="G5812" s="13">
        <v>0.83</v>
      </c>
      <c r="H5812" s="15">
        <v>3607</v>
      </c>
      <c r="I5812" s="16">
        <v>2993.8099999999995</v>
      </c>
      <c r="J5812" s="16">
        <v>2363.8324901532255</v>
      </c>
      <c r="K5812" s="16">
        <v>629.97750984677418</v>
      </c>
      <c r="L5812" s="13">
        <v>2.13</v>
      </c>
      <c r="M5812" s="13"/>
      <c r="N5812" s="17">
        <f t="shared" si="191"/>
        <v>7682.91</v>
      </c>
      <c r="O5812" s="17">
        <f t="shared" si="191"/>
        <v>0</v>
      </c>
      <c r="P5812" s="17">
        <f t="shared" si="190"/>
        <v>7682.91</v>
      </c>
      <c r="Q5812" t="str">
        <f>A5812&amp;"-"&amp;B5812&amp;"-"&amp;D5812</f>
        <v>NOVEMBER-MJ2-L6</v>
      </c>
    </row>
    <row r="5813" spans="1:17" x14ac:dyDescent="0.25">
      <c r="A5813" t="s">
        <v>401</v>
      </c>
      <c r="B5813" s="13" t="s">
        <v>26</v>
      </c>
      <c r="C5813" s="13" t="s">
        <v>226</v>
      </c>
      <c r="D5813" s="14" t="s">
        <v>163</v>
      </c>
      <c r="E5813" s="13" t="s">
        <v>61</v>
      </c>
      <c r="F5813" s="13" t="s">
        <v>1958</v>
      </c>
      <c r="G5813" s="13">
        <v>0.65</v>
      </c>
      <c r="H5813" s="15">
        <v>3202</v>
      </c>
      <c r="I5813" s="16">
        <v>2081.3000000000002</v>
      </c>
      <c r="J5813" s="16">
        <v>1676.779180024022</v>
      </c>
      <c r="K5813" s="16">
        <v>404.52081997597787</v>
      </c>
      <c r="L5813" s="13">
        <v>1.66</v>
      </c>
      <c r="M5813" s="13"/>
      <c r="N5813" s="17">
        <f t="shared" si="191"/>
        <v>5315.32</v>
      </c>
      <c r="O5813" s="17">
        <f t="shared" si="191"/>
        <v>0</v>
      </c>
      <c r="P5813" s="17">
        <f t="shared" si="190"/>
        <v>5315.32</v>
      </c>
      <c r="Q5813" t="str">
        <f>A5813&amp;"-"&amp;B5813&amp;"-"&amp;D5813</f>
        <v>NOVEMBER-MJ2-L6</v>
      </c>
    </row>
    <row r="5814" spans="1:17" x14ac:dyDescent="0.25">
      <c r="A5814" t="s">
        <v>401</v>
      </c>
      <c r="B5814" s="13" t="s">
        <v>26</v>
      </c>
      <c r="C5814" s="13" t="s">
        <v>226</v>
      </c>
      <c r="D5814" s="14" t="s">
        <v>163</v>
      </c>
      <c r="E5814" s="13" t="s">
        <v>61</v>
      </c>
      <c r="F5814" s="13" t="s">
        <v>1975</v>
      </c>
      <c r="G5814" s="13">
        <v>0.65</v>
      </c>
      <c r="H5814" s="15">
        <v>1591</v>
      </c>
      <c r="I5814" s="16">
        <v>1034.1500000000001</v>
      </c>
      <c r="J5814" s="16">
        <v>919.56031063047817</v>
      </c>
      <c r="K5814" s="16">
        <v>114.58968936952185</v>
      </c>
      <c r="L5814" s="13">
        <v>1.66</v>
      </c>
      <c r="M5814" s="13"/>
      <c r="N5814" s="17">
        <f t="shared" si="191"/>
        <v>2641.06</v>
      </c>
      <c r="O5814" s="17">
        <f t="shared" si="191"/>
        <v>0</v>
      </c>
      <c r="P5814" s="17">
        <f t="shared" si="190"/>
        <v>2641.06</v>
      </c>
      <c r="Q5814" t="str">
        <f>A5814&amp;"-"&amp;B5814&amp;"-"&amp;D5814</f>
        <v>NOVEMBER-MJ2-L6</v>
      </c>
    </row>
    <row r="5815" spans="1:17" x14ac:dyDescent="0.25">
      <c r="A5815" t="s">
        <v>401</v>
      </c>
      <c r="B5815" s="13" t="s">
        <v>26</v>
      </c>
      <c r="C5815" s="13" t="s">
        <v>226</v>
      </c>
      <c r="D5815" s="14" t="s">
        <v>163</v>
      </c>
      <c r="E5815" s="13" t="s">
        <v>61</v>
      </c>
      <c r="F5815" s="13" t="s">
        <v>1976</v>
      </c>
      <c r="G5815" s="13">
        <v>1.03</v>
      </c>
      <c r="H5815" s="15">
        <v>1106</v>
      </c>
      <c r="I5815" s="16">
        <v>1139.1799999999998</v>
      </c>
      <c r="J5815" s="16">
        <v>1004.089453811589</v>
      </c>
      <c r="K5815" s="16">
        <v>135.09054618841094</v>
      </c>
      <c r="L5815" s="13">
        <v>2.4900000000000002</v>
      </c>
      <c r="M5815" s="13"/>
      <c r="N5815" s="17">
        <f t="shared" si="191"/>
        <v>2753.94</v>
      </c>
      <c r="O5815" s="17">
        <f t="shared" si="191"/>
        <v>0</v>
      </c>
      <c r="P5815" s="17">
        <f t="shared" si="190"/>
        <v>2753.94</v>
      </c>
      <c r="Q5815" t="str">
        <f>A5815&amp;"-"&amp;B5815&amp;"-"&amp;D5815</f>
        <v>NOVEMBER-MJ2-L6</v>
      </c>
    </row>
    <row r="5816" spans="1:17" x14ac:dyDescent="0.25">
      <c r="A5816" t="s">
        <v>401</v>
      </c>
      <c r="B5816" s="13" t="s">
        <v>26</v>
      </c>
      <c r="C5816" s="13" t="s">
        <v>226</v>
      </c>
      <c r="D5816" s="14" t="s">
        <v>164</v>
      </c>
      <c r="E5816" s="13" t="s">
        <v>61</v>
      </c>
      <c r="F5816" s="13" t="s">
        <v>1963</v>
      </c>
      <c r="G5816" s="13">
        <v>0.68</v>
      </c>
      <c r="H5816" s="15">
        <v>792</v>
      </c>
      <c r="I5816" s="16">
        <v>538.55999999999995</v>
      </c>
      <c r="J5816" s="16">
        <v>680.2867213028569</v>
      </c>
      <c r="K5816" s="16">
        <v>-141.72672130285687</v>
      </c>
      <c r="L5816" s="13">
        <v>1.69</v>
      </c>
      <c r="M5816" s="13"/>
      <c r="N5816" s="17">
        <f t="shared" si="191"/>
        <v>1338.48</v>
      </c>
      <c r="O5816" s="17">
        <f t="shared" si="191"/>
        <v>0</v>
      </c>
      <c r="P5816" s="17">
        <f t="shared" si="190"/>
        <v>1338.48</v>
      </c>
      <c r="Q5816" t="str">
        <f>A5816&amp;"-"&amp;B5816&amp;"-"&amp;D5816</f>
        <v>NOVEMBER-MJ2-L7</v>
      </c>
    </row>
    <row r="5817" spans="1:17" x14ac:dyDescent="0.25">
      <c r="A5817" t="s">
        <v>401</v>
      </c>
      <c r="B5817" s="13" t="s">
        <v>26</v>
      </c>
      <c r="C5817" s="13" t="s">
        <v>226</v>
      </c>
      <c r="D5817" s="14" t="s">
        <v>164</v>
      </c>
      <c r="E5817" s="13" t="s">
        <v>61</v>
      </c>
      <c r="F5817" s="13" t="s">
        <v>1977</v>
      </c>
      <c r="G5817" s="13">
        <v>0.65</v>
      </c>
      <c r="H5817" s="15">
        <v>776</v>
      </c>
      <c r="I5817" s="16">
        <v>504.40000000000003</v>
      </c>
      <c r="J5817" s="16">
        <v>525.03311286992835</v>
      </c>
      <c r="K5817" s="16">
        <v>-20.633112869928357</v>
      </c>
      <c r="L5817" s="13">
        <v>1.81</v>
      </c>
      <c r="M5817" s="13"/>
      <c r="N5817" s="17">
        <f t="shared" si="191"/>
        <v>1404.56</v>
      </c>
      <c r="O5817" s="17">
        <f t="shared" si="191"/>
        <v>0</v>
      </c>
      <c r="P5817" s="17">
        <f t="shared" si="190"/>
        <v>1404.56</v>
      </c>
      <c r="Q5817" t="str">
        <f>A5817&amp;"-"&amp;B5817&amp;"-"&amp;D5817</f>
        <v>NOVEMBER-MJ2-L7</v>
      </c>
    </row>
    <row r="5818" spans="1:17" x14ac:dyDescent="0.25">
      <c r="A5818" t="s">
        <v>401</v>
      </c>
      <c r="B5818" s="13" t="s">
        <v>26</v>
      </c>
      <c r="C5818" s="13" t="s">
        <v>226</v>
      </c>
      <c r="D5818" s="14" t="s">
        <v>164</v>
      </c>
      <c r="E5818" s="13" t="s">
        <v>61</v>
      </c>
      <c r="F5818" s="13" t="s">
        <v>1964</v>
      </c>
      <c r="G5818" s="13">
        <v>1.03</v>
      </c>
      <c r="H5818" s="15">
        <v>471</v>
      </c>
      <c r="I5818" s="16">
        <v>485.13</v>
      </c>
      <c r="J5818" s="16">
        <v>415.06775469322565</v>
      </c>
      <c r="K5818" s="16">
        <v>70.062245306774372</v>
      </c>
      <c r="L5818" s="13">
        <v>2.31</v>
      </c>
      <c r="M5818" s="13"/>
      <c r="N5818" s="17">
        <f t="shared" si="191"/>
        <v>1088.01</v>
      </c>
      <c r="O5818" s="17">
        <f t="shared" si="191"/>
        <v>0</v>
      </c>
      <c r="P5818" s="17">
        <f t="shared" si="190"/>
        <v>1088.01</v>
      </c>
      <c r="Q5818" t="str">
        <f>A5818&amp;"-"&amp;B5818&amp;"-"&amp;D5818</f>
        <v>NOVEMBER-MJ2-L7</v>
      </c>
    </row>
    <row r="5819" spans="1:17" x14ac:dyDescent="0.25">
      <c r="A5819" t="s">
        <v>401</v>
      </c>
      <c r="B5819" s="13" t="s">
        <v>26</v>
      </c>
      <c r="C5819" s="13" t="s">
        <v>226</v>
      </c>
      <c r="D5819" s="14" t="s">
        <v>164</v>
      </c>
      <c r="E5819" s="13" t="s">
        <v>61</v>
      </c>
      <c r="F5819" s="13" t="s">
        <v>1965</v>
      </c>
      <c r="G5819" s="13">
        <v>0.74</v>
      </c>
      <c r="H5819" s="15">
        <v>952</v>
      </c>
      <c r="I5819" s="16">
        <v>704.4799999999999</v>
      </c>
      <c r="J5819" s="16">
        <v>525.66824863061743</v>
      </c>
      <c r="K5819" s="16">
        <v>178.81175136938251</v>
      </c>
      <c r="L5819" s="13">
        <v>1.36</v>
      </c>
      <c r="M5819" s="13"/>
      <c r="N5819" s="17">
        <f t="shared" si="191"/>
        <v>1294.72</v>
      </c>
      <c r="O5819" s="17">
        <f t="shared" si="191"/>
        <v>0</v>
      </c>
      <c r="P5819" s="17">
        <f t="shared" si="190"/>
        <v>1294.72</v>
      </c>
      <c r="Q5819" t="str">
        <f>A5819&amp;"-"&amp;B5819&amp;"-"&amp;D5819</f>
        <v>NOVEMBER-MJ2-L7</v>
      </c>
    </row>
    <row r="5820" spans="1:17" x14ac:dyDescent="0.25">
      <c r="A5820" t="s">
        <v>401</v>
      </c>
      <c r="B5820" s="13" t="s">
        <v>26</v>
      </c>
      <c r="C5820" s="13" t="s">
        <v>226</v>
      </c>
      <c r="D5820" s="14" t="s">
        <v>164</v>
      </c>
      <c r="E5820" s="13" t="s">
        <v>61</v>
      </c>
      <c r="F5820" s="13" t="s">
        <v>1966</v>
      </c>
      <c r="G5820" s="13">
        <v>0.7400000000000001</v>
      </c>
      <c r="H5820" s="15">
        <v>1764</v>
      </c>
      <c r="I5820" s="16">
        <v>1305.3600000000001</v>
      </c>
      <c r="J5820" s="16">
        <v>1073.2457684301221</v>
      </c>
      <c r="K5820" s="16">
        <v>232.11423156987817</v>
      </c>
      <c r="L5820" s="13">
        <v>1.36</v>
      </c>
      <c r="M5820" s="13"/>
      <c r="N5820" s="17">
        <f t="shared" si="191"/>
        <v>2399.04</v>
      </c>
      <c r="O5820" s="17">
        <f t="shared" si="191"/>
        <v>0</v>
      </c>
      <c r="P5820" s="17">
        <f t="shared" si="190"/>
        <v>2399.04</v>
      </c>
      <c r="Q5820" t="str">
        <f>A5820&amp;"-"&amp;B5820&amp;"-"&amp;D5820</f>
        <v>NOVEMBER-MJ2-L7</v>
      </c>
    </row>
    <row r="5821" spans="1:17" x14ac:dyDescent="0.25">
      <c r="A5821" t="s">
        <v>401</v>
      </c>
      <c r="B5821" s="13" t="s">
        <v>26</v>
      </c>
      <c r="C5821" s="13" t="s">
        <v>226</v>
      </c>
      <c r="D5821" s="14" t="s">
        <v>164</v>
      </c>
      <c r="E5821" s="13" t="s">
        <v>61</v>
      </c>
      <c r="F5821" s="13" t="s">
        <v>1927</v>
      </c>
      <c r="G5821" s="13">
        <v>0.71</v>
      </c>
      <c r="H5821" s="15">
        <v>1223</v>
      </c>
      <c r="I5821" s="16">
        <v>868.33</v>
      </c>
      <c r="J5821" s="16">
        <v>581.36372917914923</v>
      </c>
      <c r="K5821" s="16">
        <v>286.96627082085081</v>
      </c>
      <c r="L5821" s="13">
        <v>1.29</v>
      </c>
      <c r="M5821" s="13"/>
      <c r="N5821" s="17">
        <f t="shared" si="191"/>
        <v>1577.67</v>
      </c>
      <c r="O5821" s="17">
        <f t="shared" si="191"/>
        <v>0</v>
      </c>
      <c r="P5821" s="17">
        <f t="shared" si="190"/>
        <v>1577.67</v>
      </c>
      <c r="Q5821" t="str">
        <f>A5821&amp;"-"&amp;B5821&amp;"-"&amp;D5821</f>
        <v>NOVEMBER-MJ2-L7</v>
      </c>
    </row>
    <row r="5822" spans="1:17" x14ac:dyDescent="0.25">
      <c r="A5822" t="s">
        <v>401</v>
      </c>
      <c r="B5822" s="13" t="s">
        <v>26</v>
      </c>
      <c r="C5822" s="13" t="s">
        <v>226</v>
      </c>
      <c r="D5822" s="14" t="s">
        <v>164</v>
      </c>
      <c r="E5822" s="13" t="s">
        <v>61</v>
      </c>
      <c r="F5822" s="13" t="s">
        <v>1967</v>
      </c>
      <c r="G5822" s="13">
        <v>0.68</v>
      </c>
      <c r="H5822" s="15">
        <v>2107</v>
      </c>
      <c r="I5822" s="16">
        <v>1432.76</v>
      </c>
      <c r="J5822" s="16">
        <v>1599.9766409947376</v>
      </c>
      <c r="K5822" s="16">
        <v>-167.21664099473776</v>
      </c>
      <c r="L5822" s="13">
        <v>1.7</v>
      </c>
      <c r="M5822" s="13"/>
      <c r="N5822" s="17">
        <f t="shared" si="191"/>
        <v>3581.9</v>
      </c>
      <c r="O5822" s="17">
        <f t="shared" si="191"/>
        <v>0</v>
      </c>
      <c r="P5822" s="17">
        <f t="shared" si="190"/>
        <v>3581.9</v>
      </c>
      <c r="Q5822" t="str">
        <f>A5822&amp;"-"&amp;B5822&amp;"-"&amp;D5822</f>
        <v>NOVEMBER-MJ2-L7</v>
      </c>
    </row>
    <row r="5823" spans="1:17" x14ac:dyDescent="0.25">
      <c r="A5823" t="s">
        <v>401</v>
      </c>
      <c r="B5823" s="13" t="s">
        <v>26</v>
      </c>
      <c r="C5823" s="13" t="s">
        <v>226</v>
      </c>
      <c r="D5823" s="14" t="s">
        <v>164</v>
      </c>
      <c r="E5823" s="13" t="s">
        <v>61</v>
      </c>
      <c r="F5823" s="13" t="s">
        <v>1968</v>
      </c>
      <c r="G5823" s="13">
        <v>0.72999999999999987</v>
      </c>
      <c r="H5823" s="15">
        <v>1248</v>
      </c>
      <c r="I5823" s="16">
        <v>911.04</v>
      </c>
      <c r="J5823" s="16">
        <v>867.44639985702361</v>
      </c>
      <c r="K5823" s="16">
        <v>43.593600142976314</v>
      </c>
      <c r="L5823" s="13">
        <v>1.33</v>
      </c>
      <c r="M5823" s="13"/>
      <c r="N5823" s="17">
        <f t="shared" si="191"/>
        <v>1659.8400000000001</v>
      </c>
      <c r="O5823" s="17">
        <f t="shared" si="191"/>
        <v>0</v>
      </c>
      <c r="P5823" s="17">
        <f t="shared" si="190"/>
        <v>1659.8400000000001</v>
      </c>
      <c r="Q5823" t="str">
        <f>A5823&amp;"-"&amp;B5823&amp;"-"&amp;D5823</f>
        <v>NOVEMBER-MJ2-L7</v>
      </c>
    </row>
    <row r="5824" spans="1:17" x14ac:dyDescent="0.25">
      <c r="A5824" t="s">
        <v>401</v>
      </c>
      <c r="B5824" s="13" t="s">
        <v>26</v>
      </c>
      <c r="C5824" s="13" t="s">
        <v>226</v>
      </c>
      <c r="D5824" s="14" t="s">
        <v>164</v>
      </c>
      <c r="E5824" s="13" t="s">
        <v>61</v>
      </c>
      <c r="F5824" s="13" t="s">
        <v>1969</v>
      </c>
      <c r="G5824" s="13">
        <v>0.73</v>
      </c>
      <c r="H5824" s="15">
        <v>2015</v>
      </c>
      <c r="I5824" s="16">
        <v>1470.9500000000003</v>
      </c>
      <c r="J5824" s="16">
        <v>1293.796728896104</v>
      </c>
      <c r="K5824" s="16">
        <v>177.15327110389615</v>
      </c>
      <c r="L5824" s="13">
        <v>1.33</v>
      </c>
      <c r="M5824" s="13"/>
      <c r="N5824" s="17">
        <f t="shared" si="191"/>
        <v>2679.9500000000003</v>
      </c>
      <c r="O5824" s="17">
        <f t="shared" si="191"/>
        <v>0</v>
      </c>
      <c r="P5824" s="17">
        <f t="shared" si="190"/>
        <v>2679.9500000000003</v>
      </c>
      <c r="Q5824" t="str">
        <f>A5824&amp;"-"&amp;B5824&amp;"-"&amp;D5824</f>
        <v>NOVEMBER-MJ2-L7</v>
      </c>
    </row>
    <row r="5825" spans="1:17" x14ac:dyDescent="0.25">
      <c r="A5825" t="s">
        <v>401</v>
      </c>
      <c r="B5825" s="13" t="s">
        <v>26</v>
      </c>
      <c r="C5825" s="13" t="s">
        <v>226</v>
      </c>
      <c r="D5825" s="14" t="s">
        <v>164</v>
      </c>
      <c r="E5825" s="13" t="s">
        <v>61</v>
      </c>
      <c r="F5825" s="13" t="s">
        <v>1777</v>
      </c>
      <c r="G5825" s="13">
        <v>0.83</v>
      </c>
      <c r="H5825" s="15">
        <v>354</v>
      </c>
      <c r="I5825" s="16">
        <v>293.82</v>
      </c>
      <c r="J5825" s="16">
        <v>218.46944343327908</v>
      </c>
      <c r="K5825" s="16">
        <v>75.350556566720925</v>
      </c>
      <c r="L5825" s="13">
        <v>2.13</v>
      </c>
      <c r="M5825" s="13"/>
      <c r="N5825" s="17">
        <f t="shared" si="191"/>
        <v>754.02</v>
      </c>
      <c r="O5825" s="17">
        <f t="shared" si="191"/>
        <v>0</v>
      </c>
      <c r="P5825" s="17">
        <f t="shared" si="190"/>
        <v>754.02</v>
      </c>
      <c r="Q5825" t="str">
        <f>A5825&amp;"-"&amp;B5825&amp;"-"&amp;D5825</f>
        <v>NOVEMBER-MJ2-L7</v>
      </c>
    </row>
    <row r="5826" spans="1:17" x14ac:dyDescent="0.25">
      <c r="A5826" t="s">
        <v>401</v>
      </c>
      <c r="B5826" s="13" t="s">
        <v>26</v>
      </c>
      <c r="C5826" s="13" t="s">
        <v>226</v>
      </c>
      <c r="D5826" s="14" t="s">
        <v>164</v>
      </c>
      <c r="E5826" s="13" t="s">
        <v>61</v>
      </c>
      <c r="F5826" s="13" t="s">
        <v>1970</v>
      </c>
      <c r="G5826" s="13">
        <v>0.82999999999999985</v>
      </c>
      <c r="H5826" s="15">
        <v>2558</v>
      </c>
      <c r="I5826" s="16">
        <v>2123.14</v>
      </c>
      <c r="J5826" s="16">
        <v>1424.1250109610044</v>
      </c>
      <c r="K5826" s="16">
        <v>699.01498903899562</v>
      </c>
      <c r="L5826" s="13">
        <v>2.13</v>
      </c>
      <c r="M5826" s="13"/>
      <c r="N5826" s="17">
        <f t="shared" si="191"/>
        <v>5448.54</v>
      </c>
      <c r="O5826" s="17">
        <f t="shared" si="191"/>
        <v>0</v>
      </c>
      <c r="P5826" s="17">
        <f t="shared" ref="P5826:P5889" si="192">N5826+O5826</f>
        <v>5448.54</v>
      </c>
      <c r="Q5826" t="str">
        <f>A5826&amp;"-"&amp;B5826&amp;"-"&amp;D5826</f>
        <v>NOVEMBER-MJ2-L7</v>
      </c>
    </row>
    <row r="5827" spans="1:17" x14ac:dyDescent="0.25">
      <c r="A5827" t="s">
        <v>401</v>
      </c>
      <c r="B5827" s="13" t="s">
        <v>26</v>
      </c>
      <c r="C5827" s="13" t="s">
        <v>226</v>
      </c>
      <c r="D5827" s="14" t="s">
        <v>164</v>
      </c>
      <c r="E5827" s="13" t="s">
        <v>61</v>
      </c>
      <c r="F5827" s="13" t="s">
        <v>1971</v>
      </c>
      <c r="G5827" s="13">
        <v>0.76000000000000012</v>
      </c>
      <c r="H5827" s="15">
        <v>35</v>
      </c>
      <c r="I5827" s="16">
        <v>26.6</v>
      </c>
      <c r="J5827" s="16">
        <v>32.196286640926857</v>
      </c>
      <c r="K5827" s="16">
        <v>-5.5962866409268592</v>
      </c>
      <c r="L5827" s="13">
        <v>1.94</v>
      </c>
      <c r="M5827" s="13"/>
      <c r="N5827" s="17">
        <f t="shared" si="191"/>
        <v>67.899999999999991</v>
      </c>
      <c r="O5827" s="17">
        <f t="shared" si="191"/>
        <v>0</v>
      </c>
      <c r="P5827" s="17">
        <f t="shared" si="192"/>
        <v>67.899999999999991</v>
      </c>
      <c r="Q5827" t="str">
        <f>A5827&amp;"-"&amp;B5827&amp;"-"&amp;D5827</f>
        <v>NOVEMBER-MJ2-L7</v>
      </c>
    </row>
    <row r="5828" spans="1:17" x14ac:dyDescent="0.25">
      <c r="A5828" t="s">
        <v>401</v>
      </c>
      <c r="B5828" s="13" t="s">
        <v>26</v>
      </c>
      <c r="C5828" s="13" t="s">
        <v>226</v>
      </c>
      <c r="D5828" s="14" t="s">
        <v>164</v>
      </c>
      <c r="E5828" s="13" t="s">
        <v>61</v>
      </c>
      <c r="F5828" s="13" t="s">
        <v>1798</v>
      </c>
      <c r="G5828" s="13">
        <v>1.19</v>
      </c>
      <c r="H5828" s="15">
        <v>396</v>
      </c>
      <c r="I5828" s="16">
        <v>471.24</v>
      </c>
      <c r="J5828" s="16">
        <v>272.32754808428734</v>
      </c>
      <c r="K5828" s="16">
        <v>198.91245191571272</v>
      </c>
      <c r="L5828" s="13">
        <v>2.87</v>
      </c>
      <c r="M5828" s="13"/>
      <c r="N5828" s="17">
        <f t="shared" si="191"/>
        <v>1136.52</v>
      </c>
      <c r="O5828" s="17">
        <f t="shared" si="191"/>
        <v>0</v>
      </c>
      <c r="P5828" s="17">
        <f t="shared" si="192"/>
        <v>1136.52</v>
      </c>
      <c r="Q5828" t="str">
        <f>A5828&amp;"-"&amp;B5828&amp;"-"&amp;D5828</f>
        <v>NOVEMBER-MJ2-L7</v>
      </c>
    </row>
    <row r="5829" spans="1:17" x14ac:dyDescent="0.25">
      <c r="A5829" t="s">
        <v>401</v>
      </c>
      <c r="B5829" s="13" t="s">
        <v>26</v>
      </c>
      <c r="C5829" s="13" t="s">
        <v>226</v>
      </c>
      <c r="D5829" s="14" t="s">
        <v>164</v>
      </c>
      <c r="E5829" s="13" t="s">
        <v>61</v>
      </c>
      <c r="F5829" s="13" t="s">
        <v>1939</v>
      </c>
      <c r="G5829" s="13">
        <v>0.79</v>
      </c>
      <c r="H5829" s="15">
        <v>722</v>
      </c>
      <c r="I5829" s="16">
        <v>570.38</v>
      </c>
      <c r="J5829" s="16">
        <v>469.71509090909092</v>
      </c>
      <c r="K5829" s="16">
        <v>100.66490909090913</v>
      </c>
      <c r="L5829" s="13">
        <v>2</v>
      </c>
      <c r="M5829" s="13"/>
      <c r="N5829" s="17">
        <f t="shared" si="191"/>
        <v>1444</v>
      </c>
      <c r="O5829" s="17">
        <f t="shared" si="191"/>
        <v>0</v>
      </c>
      <c r="P5829" s="17">
        <f t="shared" si="192"/>
        <v>1444</v>
      </c>
      <c r="Q5829" t="str">
        <f>A5829&amp;"-"&amp;B5829&amp;"-"&amp;D5829</f>
        <v>NOVEMBER-MJ2-L7</v>
      </c>
    </row>
    <row r="5830" spans="1:17" x14ac:dyDescent="0.25">
      <c r="A5830" t="s">
        <v>401</v>
      </c>
      <c r="B5830" s="13" t="s">
        <v>26</v>
      </c>
      <c r="C5830" s="13" t="s">
        <v>226</v>
      </c>
      <c r="D5830" s="14" t="s">
        <v>164</v>
      </c>
      <c r="E5830" s="13" t="s">
        <v>61</v>
      </c>
      <c r="F5830" s="13" t="s">
        <v>1941</v>
      </c>
      <c r="G5830" s="13">
        <v>0.77</v>
      </c>
      <c r="H5830" s="15">
        <v>236</v>
      </c>
      <c r="I5830" s="16">
        <v>181.72</v>
      </c>
      <c r="J5830" s="16">
        <v>147.43563636363635</v>
      </c>
      <c r="K5830" s="16">
        <v>34.284363636363629</v>
      </c>
      <c r="L5830" s="13">
        <v>2.15</v>
      </c>
      <c r="M5830" s="13"/>
      <c r="N5830" s="17">
        <f t="shared" si="191"/>
        <v>507.4</v>
      </c>
      <c r="O5830" s="17">
        <f t="shared" si="191"/>
        <v>0</v>
      </c>
      <c r="P5830" s="17">
        <f t="shared" si="192"/>
        <v>507.4</v>
      </c>
      <c r="Q5830" t="str">
        <f>A5830&amp;"-"&amp;B5830&amp;"-"&amp;D5830</f>
        <v>NOVEMBER-MJ2-L7</v>
      </c>
    </row>
    <row r="5831" spans="1:17" x14ac:dyDescent="0.25">
      <c r="A5831" t="s">
        <v>401</v>
      </c>
      <c r="B5831" s="13" t="s">
        <v>26</v>
      </c>
      <c r="C5831" s="13" t="s">
        <v>226</v>
      </c>
      <c r="D5831" s="14" t="s">
        <v>164</v>
      </c>
      <c r="E5831" s="13" t="s">
        <v>61</v>
      </c>
      <c r="F5831" s="13" t="s">
        <v>1954</v>
      </c>
      <c r="G5831" s="13">
        <v>0.83</v>
      </c>
      <c r="H5831" s="15">
        <v>4282</v>
      </c>
      <c r="I5831" s="16">
        <v>3554.0600000000004</v>
      </c>
      <c r="J5831" s="16">
        <v>3007.3293678087693</v>
      </c>
      <c r="K5831" s="16">
        <v>546.7306321912306</v>
      </c>
      <c r="L5831" s="13">
        <v>2.13</v>
      </c>
      <c r="M5831" s="13"/>
      <c r="N5831" s="17">
        <f t="shared" si="191"/>
        <v>9120.66</v>
      </c>
      <c r="O5831" s="17">
        <f t="shared" si="191"/>
        <v>0</v>
      </c>
      <c r="P5831" s="17">
        <f t="shared" si="192"/>
        <v>9120.66</v>
      </c>
      <c r="Q5831" t="str">
        <f>A5831&amp;"-"&amp;B5831&amp;"-"&amp;D5831</f>
        <v>NOVEMBER-MJ2-L7</v>
      </c>
    </row>
    <row r="5832" spans="1:17" x14ac:dyDescent="0.25">
      <c r="A5832" t="s">
        <v>401</v>
      </c>
      <c r="B5832" s="13" t="s">
        <v>26</v>
      </c>
      <c r="C5832" s="13" t="s">
        <v>226</v>
      </c>
      <c r="D5832" s="14" t="s">
        <v>164</v>
      </c>
      <c r="E5832" s="13" t="s">
        <v>61</v>
      </c>
      <c r="F5832" s="13" t="s">
        <v>1955</v>
      </c>
      <c r="G5832" s="13">
        <v>0.77999999999999992</v>
      </c>
      <c r="H5832" s="15">
        <v>54</v>
      </c>
      <c r="I5832" s="16">
        <v>42.12</v>
      </c>
      <c r="J5832" s="16">
        <v>32.51111072287447</v>
      </c>
      <c r="K5832" s="16">
        <v>9.6088892771255274</v>
      </c>
      <c r="L5832" s="13">
        <v>2.29</v>
      </c>
      <c r="M5832" s="13"/>
      <c r="N5832" s="17">
        <f t="shared" si="191"/>
        <v>123.66</v>
      </c>
      <c r="O5832" s="17">
        <f t="shared" si="191"/>
        <v>0</v>
      </c>
      <c r="P5832" s="17">
        <f t="shared" si="192"/>
        <v>123.66</v>
      </c>
      <c r="Q5832" t="str">
        <f>A5832&amp;"-"&amp;B5832&amp;"-"&amp;D5832</f>
        <v>NOVEMBER-MJ2-L7</v>
      </c>
    </row>
    <row r="5833" spans="1:17" x14ac:dyDescent="0.25">
      <c r="A5833" t="s">
        <v>401</v>
      </c>
      <c r="B5833" s="13" t="s">
        <v>26</v>
      </c>
      <c r="C5833" s="13" t="s">
        <v>226</v>
      </c>
      <c r="D5833" s="14" t="s">
        <v>164</v>
      </c>
      <c r="E5833" s="13" t="s">
        <v>61</v>
      </c>
      <c r="F5833" s="13" t="s">
        <v>1799</v>
      </c>
      <c r="G5833" s="13">
        <v>0.83</v>
      </c>
      <c r="H5833" s="15">
        <v>125</v>
      </c>
      <c r="I5833" s="16">
        <v>103.75</v>
      </c>
      <c r="J5833" s="16">
        <v>72.739726027397253</v>
      </c>
      <c r="K5833" s="16">
        <v>31.010273972602747</v>
      </c>
      <c r="L5833" s="13">
        <v>2.13</v>
      </c>
      <c r="M5833" s="13"/>
      <c r="N5833" s="17">
        <f t="shared" si="191"/>
        <v>266.25</v>
      </c>
      <c r="O5833" s="17">
        <f t="shared" si="191"/>
        <v>0</v>
      </c>
      <c r="P5833" s="17">
        <f t="shared" si="192"/>
        <v>266.25</v>
      </c>
      <c r="Q5833" t="str">
        <f>A5833&amp;"-"&amp;B5833&amp;"-"&amp;D5833</f>
        <v>NOVEMBER-MJ2-L7</v>
      </c>
    </row>
    <row r="5834" spans="1:17" x14ac:dyDescent="0.25">
      <c r="A5834" t="s">
        <v>401</v>
      </c>
      <c r="B5834" s="13" t="s">
        <v>26</v>
      </c>
      <c r="C5834" s="13" t="s">
        <v>226</v>
      </c>
      <c r="D5834" s="14" t="s">
        <v>164</v>
      </c>
      <c r="E5834" s="13" t="s">
        <v>61</v>
      </c>
      <c r="F5834" s="13" t="s">
        <v>1801</v>
      </c>
      <c r="G5834" s="13">
        <v>0.76</v>
      </c>
      <c r="H5834" s="15">
        <v>1685</v>
      </c>
      <c r="I5834" s="16">
        <v>1280.5999999999999</v>
      </c>
      <c r="J5834" s="16">
        <v>1010.8936982743284</v>
      </c>
      <c r="K5834" s="16">
        <v>269.70630172567149</v>
      </c>
      <c r="L5834" s="13">
        <v>1.94</v>
      </c>
      <c r="M5834" s="13"/>
      <c r="N5834" s="17">
        <f t="shared" si="191"/>
        <v>3268.9</v>
      </c>
      <c r="O5834" s="17">
        <f t="shared" si="191"/>
        <v>0</v>
      </c>
      <c r="P5834" s="17">
        <f t="shared" si="192"/>
        <v>3268.9</v>
      </c>
      <c r="Q5834" t="str">
        <f>A5834&amp;"-"&amp;B5834&amp;"-"&amp;D5834</f>
        <v>NOVEMBER-MJ2-L7</v>
      </c>
    </row>
    <row r="5835" spans="1:17" x14ac:dyDescent="0.25">
      <c r="A5835" t="s">
        <v>401</v>
      </c>
      <c r="B5835" s="13" t="s">
        <v>26</v>
      </c>
      <c r="C5835" s="13" t="s">
        <v>226</v>
      </c>
      <c r="D5835" s="14" t="s">
        <v>164</v>
      </c>
      <c r="E5835" s="13" t="s">
        <v>61</v>
      </c>
      <c r="F5835" s="13" t="s">
        <v>1957</v>
      </c>
      <c r="G5835" s="13">
        <v>0.76</v>
      </c>
      <c r="H5835" s="15">
        <v>369</v>
      </c>
      <c r="I5835" s="16">
        <v>280.44</v>
      </c>
      <c r="J5835" s="16">
        <v>236.73046327286812</v>
      </c>
      <c r="K5835" s="16">
        <v>43.709536727131848</v>
      </c>
      <c r="L5835" s="13">
        <v>1.94</v>
      </c>
      <c r="M5835" s="13"/>
      <c r="N5835" s="17">
        <f t="shared" si="191"/>
        <v>715.86</v>
      </c>
      <c r="O5835" s="17">
        <f t="shared" si="191"/>
        <v>0</v>
      </c>
      <c r="P5835" s="17">
        <f t="shared" si="192"/>
        <v>715.86</v>
      </c>
      <c r="Q5835" t="str">
        <f>A5835&amp;"-"&amp;B5835&amp;"-"&amp;D5835</f>
        <v>NOVEMBER-MJ2-L7</v>
      </c>
    </row>
    <row r="5836" spans="1:17" x14ac:dyDescent="0.25">
      <c r="A5836" t="s">
        <v>401</v>
      </c>
      <c r="B5836" s="13" t="s">
        <v>26</v>
      </c>
      <c r="C5836" s="13" t="s">
        <v>226</v>
      </c>
      <c r="D5836" s="14" t="s">
        <v>164</v>
      </c>
      <c r="E5836" s="13" t="s">
        <v>61</v>
      </c>
      <c r="F5836" s="13" t="s">
        <v>1972</v>
      </c>
      <c r="G5836" s="13">
        <v>0.69</v>
      </c>
      <c r="H5836" s="15">
        <v>926</v>
      </c>
      <c r="I5836" s="16">
        <v>638.94000000000005</v>
      </c>
      <c r="J5836" s="16">
        <v>739.22226855713097</v>
      </c>
      <c r="K5836" s="16">
        <v>-100.28226855713095</v>
      </c>
      <c r="L5836" s="13">
        <v>2.0699999999999998</v>
      </c>
      <c r="M5836" s="13"/>
      <c r="N5836" s="17">
        <f t="shared" si="191"/>
        <v>1916.82</v>
      </c>
      <c r="O5836" s="17">
        <f t="shared" si="191"/>
        <v>0</v>
      </c>
      <c r="P5836" s="17">
        <f t="shared" si="192"/>
        <v>1916.82</v>
      </c>
      <c r="Q5836" t="str">
        <f>A5836&amp;"-"&amp;B5836&amp;"-"&amp;D5836</f>
        <v>NOVEMBER-MJ2-L7</v>
      </c>
    </row>
    <row r="5837" spans="1:17" x14ac:dyDescent="0.25">
      <c r="A5837" t="s">
        <v>401</v>
      </c>
      <c r="B5837" s="13" t="s">
        <v>26</v>
      </c>
      <c r="C5837" s="13" t="s">
        <v>226</v>
      </c>
      <c r="D5837" s="14" t="s">
        <v>164</v>
      </c>
      <c r="E5837" s="13" t="s">
        <v>61</v>
      </c>
      <c r="F5837" s="13" t="s">
        <v>1788</v>
      </c>
      <c r="G5837" s="13">
        <v>0.83</v>
      </c>
      <c r="H5837" s="15">
        <v>160</v>
      </c>
      <c r="I5837" s="16">
        <v>132.80000000000001</v>
      </c>
      <c r="J5837" s="16">
        <v>120.26441859510352</v>
      </c>
      <c r="K5837" s="16">
        <v>12.535581404896483</v>
      </c>
      <c r="L5837" s="13">
        <v>2.13</v>
      </c>
      <c r="M5837" s="13"/>
      <c r="N5837" s="17">
        <f t="shared" si="191"/>
        <v>340.79999999999995</v>
      </c>
      <c r="O5837" s="17">
        <f t="shared" si="191"/>
        <v>0</v>
      </c>
      <c r="P5837" s="17">
        <f t="shared" si="192"/>
        <v>340.79999999999995</v>
      </c>
      <c r="Q5837" t="str">
        <f>A5837&amp;"-"&amp;B5837&amp;"-"&amp;D5837</f>
        <v>NOVEMBER-MJ2-L7</v>
      </c>
    </row>
    <row r="5838" spans="1:17" x14ac:dyDescent="0.25">
      <c r="A5838" t="s">
        <v>401</v>
      </c>
      <c r="B5838" s="13" t="s">
        <v>26</v>
      </c>
      <c r="C5838" s="13" t="s">
        <v>226</v>
      </c>
      <c r="D5838" s="14" t="s">
        <v>164</v>
      </c>
      <c r="E5838" s="13" t="s">
        <v>61</v>
      </c>
      <c r="F5838" s="13" t="s">
        <v>1973</v>
      </c>
      <c r="G5838" s="13">
        <v>0.83</v>
      </c>
      <c r="H5838" s="15">
        <v>3156</v>
      </c>
      <c r="I5838" s="16">
        <v>2619.4800000000005</v>
      </c>
      <c r="J5838" s="16">
        <v>1873.9870504682351</v>
      </c>
      <c r="K5838" s="16">
        <v>745.49294953176457</v>
      </c>
      <c r="L5838" s="13">
        <v>2.13</v>
      </c>
      <c r="M5838" s="13"/>
      <c r="N5838" s="17">
        <f t="shared" si="191"/>
        <v>6722.28</v>
      </c>
      <c r="O5838" s="17">
        <f t="shared" si="191"/>
        <v>0</v>
      </c>
      <c r="P5838" s="17">
        <f t="shared" si="192"/>
        <v>6722.28</v>
      </c>
      <c r="Q5838" t="str">
        <f>A5838&amp;"-"&amp;B5838&amp;"-"&amp;D5838</f>
        <v>NOVEMBER-MJ2-L7</v>
      </c>
    </row>
    <row r="5839" spans="1:17" x14ac:dyDescent="0.25">
      <c r="A5839" t="s">
        <v>401</v>
      </c>
      <c r="B5839" s="13" t="s">
        <v>26</v>
      </c>
      <c r="C5839" s="13" t="s">
        <v>226</v>
      </c>
      <c r="D5839" s="14" t="s">
        <v>164</v>
      </c>
      <c r="E5839" s="13" t="s">
        <v>61</v>
      </c>
      <c r="F5839" s="13" t="s">
        <v>1755</v>
      </c>
      <c r="G5839" s="13">
        <v>0.83</v>
      </c>
      <c r="H5839" s="15">
        <v>248</v>
      </c>
      <c r="I5839" s="16">
        <v>205.83999999999997</v>
      </c>
      <c r="J5839" s="16">
        <v>185.88408085065618</v>
      </c>
      <c r="K5839" s="16">
        <v>19.955919149343799</v>
      </c>
      <c r="L5839" s="13">
        <v>2.13</v>
      </c>
      <c r="M5839" s="13"/>
      <c r="N5839" s="17">
        <f t="shared" si="191"/>
        <v>528.24</v>
      </c>
      <c r="O5839" s="17">
        <f t="shared" si="191"/>
        <v>0</v>
      </c>
      <c r="P5839" s="17">
        <f t="shared" si="192"/>
        <v>528.24</v>
      </c>
      <c r="Q5839" t="str">
        <f>A5839&amp;"-"&amp;B5839&amp;"-"&amp;D5839</f>
        <v>NOVEMBER-MJ2-L7</v>
      </c>
    </row>
    <row r="5840" spans="1:17" x14ac:dyDescent="0.25">
      <c r="A5840" t="s">
        <v>401</v>
      </c>
      <c r="B5840" s="13" t="s">
        <v>26</v>
      </c>
      <c r="C5840" s="13" t="s">
        <v>226</v>
      </c>
      <c r="D5840" s="14" t="s">
        <v>164</v>
      </c>
      <c r="E5840" s="13" t="s">
        <v>61</v>
      </c>
      <c r="F5840" s="13" t="s">
        <v>1974</v>
      </c>
      <c r="G5840" s="13">
        <v>0.83</v>
      </c>
      <c r="H5840" s="15">
        <v>3605</v>
      </c>
      <c r="I5840" s="16">
        <v>2992.1499999999996</v>
      </c>
      <c r="J5840" s="16">
        <v>2361.487562801728</v>
      </c>
      <c r="K5840" s="16">
        <v>630.66243719827173</v>
      </c>
      <c r="L5840" s="13">
        <v>2.13</v>
      </c>
      <c r="M5840" s="13"/>
      <c r="N5840" s="17">
        <f t="shared" si="191"/>
        <v>7678.65</v>
      </c>
      <c r="O5840" s="17">
        <f t="shared" si="191"/>
        <v>0</v>
      </c>
      <c r="P5840" s="17">
        <f t="shared" si="192"/>
        <v>7678.65</v>
      </c>
      <c r="Q5840" t="str">
        <f>A5840&amp;"-"&amp;B5840&amp;"-"&amp;D5840</f>
        <v>NOVEMBER-MJ2-L7</v>
      </c>
    </row>
    <row r="5841" spans="1:17" x14ac:dyDescent="0.25">
      <c r="A5841" t="s">
        <v>401</v>
      </c>
      <c r="B5841" s="13" t="s">
        <v>26</v>
      </c>
      <c r="C5841" s="13" t="s">
        <v>226</v>
      </c>
      <c r="D5841" s="14" t="s">
        <v>164</v>
      </c>
      <c r="E5841" s="13" t="s">
        <v>61</v>
      </c>
      <c r="F5841" s="13" t="s">
        <v>1958</v>
      </c>
      <c r="G5841" s="13">
        <v>0.65</v>
      </c>
      <c r="H5841" s="15">
        <v>3203</v>
      </c>
      <c r="I5841" s="16">
        <v>2081.9499999999998</v>
      </c>
      <c r="J5841" s="16">
        <v>1677.3019090153095</v>
      </c>
      <c r="K5841" s="16">
        <v>404.64809098469061</v>
      </c>
      <c r="L5841" s="13">
        <v>1.66</v>
      </c>
      <c r="M5841" s="13"/>
      <c r="N5841" s="17">
        <f t="shared" si="191"/>
        <v>5316.98</v>
      </c>
      <c r="O5841" s="17">
        <f t="shared" si="191"/>
        <v>0</v>
      </c>
      <c r="P5841" s="17">
        <f t="shared" si="192"/>
        <v>5316.98</v>
      </c>
      <c r="Q5841" t="str">
        <f>A5841&amp;"-"&amp;B5841&amp;"-"&amp;D5841</f>
        <v>NOVEMBER-MJ2-L7</v>
      </c>
    </row>
    <row r="5842" spans="1:17" x14ac:dyDescent="0.25">
      <c r="A5842" t="s">
        <v>401</v>
      </c>
      <c r="B5842" s="13" t="s">
        <v>26</v>
      </c>
      <c r="C5842" s="13" t="s">
        <v>226</v>
      </c>
      <c r="D5842" s="14" t="s">
        <v>164</v>
      </c>
      <c r="E5842" s="13" t="s">
        <v>61</v>
      </c>
      <c r="F5842" s="13" t="s">
        <v>1975</v>
      </c>
      <c r="G5842" s="13">
        <v>0.65</v>
      </c>
      <c r="H5842" s="15">
        <v>1589</v>
      </c>
      <c r="I5842" s="16">
        <v>1032.8499999999999</v>
      </c>
      <c r="J5842" s="16">
        <v>917.65430136317434</v>
      </c>
      <c r="K5842" s="16">
        <v>115.19569863682564</v>
      </c>
      <c r="L5842" s="13">
        <v>1.66</v>
      </c>
      <c r="M5842" s="13"/>
      <c r="N5842" s="17">
        <f t="shared" si="191"/>
        <v>2637.74</v>
      </c>
      <c r="O5842" s="17">
        <f t="shared" si="191"/>
        <v>0</v>
      </c>
      <c r="P5842" s="17">
        <f t="shared" si="192"/>
        <v>2637.74</v>
      </c>
      <c r="Q5842" t="str">
        <f>A5842&amp;"-"&amp;B5842&amp;"-"&amp;D5842</f>
        <v>NOVEMBER-MJ2-L7</v>
      </c>
    </row>
    <row r="5843" spans="1:17" x14ac:dyDescent="0.25">
      <c r="A5843" t="s">
        <v>401</v>
      </c>
      <c r="B5843" s="13" t="s">
        <v>26</v>
      </c>
      <c r="C5843" s="13" t="s">
        <v>226</v>
      </c>
      <c r="D5843" s="14" t="s">
        <v>164</v>
      </c>
      <c r="E5843" s="13" t="s">
        <v>61</v>
      </c>
      <c r="F5843" s="13" t="s">
        <v>1976</v>
      </c>
      <c r="G5843" s="13">
        <v>1.03</v>
      </c>
      <c r="H5843" s="15">
        <v>1104</v>
      </c>
      <c r="I5843" s="16">
        <v>1137.1199999999999</v>
      </c>
      <c r="J5843" s="16">
        <v>1001.8399209964348</v>
      </c>
      <c r="K5843" s="16">
        <v>135.28007900356522</v>
      </c>
      <c r="L5843" s="13">
        <v>2.4900000000000002</v>
      </c>
      <c r="M5843" s="13"/>
      <c r="N5843" s="17">
        <f t="shared" si="191"/>
        <v>2748.96</v>
      </c>
      <c r="O5843" s="17">
        <f t="shared" si="191"/>
        <v>0</v>
      </c>
      <c r="P5843" s="17">
        <f t="shared" si="192"/>
        <v>2748.96</v>
      </c>
      <c r="Q5843" t="str">
        <f>A5843&amp;"-"&amp;B5843&amp;"-"&amp;D5843</f>
        <v>NOVEMBER-MJ2-L7</v>
      </c>
    </row>
    <row r="5844" spans="1:17" x14ac:dyDescent="0.25">
      <c r="A5844" t="s">
        <v>401</v>
      </c>
      <c r="B5844" s="13" t="s">
        <v>26</v>
      </c>
      <c r="C5844" s="13" t="s">
        <v>226</v>
      </c>
      <c r="D5844" s="14" t="s">
        <v>198</v>
      </c>
      <c r="E5844" s="13" t="s">
        <v>61</v>
      </c>
      <c r="F5844" s="13" t="s">
        <v>1931</v>
      </c>
      <c r="G5844" s="13">
        <v>0.68</v>
      </c>
      <c r="H5844" s="15">
        <v>1253</v>
      </c>
      <c r="I5844" s="16">
        <v>852.04000000000008</v>
      </c>
      <c r="J5844" s="16">
        <v>794.88810103329502</v>
      </c>
      <c r="K5844" s="16">
        <v>57.151898966704984</v>
      </c>
      <c r="L5844" s="13">
        <v>1.69</v>
      </c>
      <c r="M5844" s="13"/>
      <c r="N5844" s="17">
        <f t="shared" si="191"/>
        <v>2117.5699999999997</v>
      </c>
      <c r="O5844" s="17">
        <f t="shared" si="191"/>
        <v>0</v>
      </c>
      <c r="P5844" s="17">
        <f t="shared" si="192"/>
        <v>2117.5699999999997</v>
      </c>
      <c r="Q5844" t="str">
        <f>A5844&amp;"-"&amp;B5844&amp;"-"&amp;D5844</f>
        <v>NOVEMBER-MJ2-L8</v>
      </c>
    </row>
    <row r="5845" spans="1:17" x14ac:dyDescent="0.25">
      <c r="A5845" t="s">
        <v>401</v>
      </c>
      <c r="B5845" s="13" t="s">
        <v>26</v>
      </c>
      <c r="C5845" s="13" t="s">
        <v>226</v>
      </c>
      <c r="D5845" s="14" t="s">
        <v>198</v>
      </c>
      <c r="E5845" s="13" t="s">
        <v>61</v>
      </c>
      <c r="F5845" s="13" t="s">
        <v>1932</v>
      </c>
      <c r="G5845" s="13">
        <v>0.68</v>
      </c>
      <c r="H5845" s="15">
        <v>1165</v>
      </c>
      <c r="I5845" s="16">
        <v>792.2</v>
      </c>
      <c r="J5845" s="16">
        <v>868.23157894736846</v>
      </c>
      <c r="K5845" s="16">
        <v>-76.031578947368416</v>
      </c>
      <c r="L5845" s="13">
        <v>1.7</v>
      </c>
      <c r="M5845" s="13"/>
      <c r="N5845" s="17">
        <f t="shared" si="191"/>
        <v>1980.5</v>
      </c>
      <c r="O5845" s="17">
        <f t="shared" si="191"/>
        <v>0</v>
      </c>
      <c r="P5845" s="17">
        <f t="shared" si="192"/>
        <v>1980.5</v>
      </c>
      <c r="Q5845" t="str">
        <f>A5845&amp;"-"&amp;B5845&amp;"-"&amp;D5845</f>
        <v>NOVEMBER-MJ2-L8</v>
      </c>
    </row>
    <row r="5846" spans="1:17" x14ac:dyDescent="0.25">
      <c r="A5846" t="s">
        <v>401</v>
      </c>
      <c r="B5846" s="13" t="s">
        <v>26</v>
      </c>
      <c r="C5846" s="13" t="s">
        <v>226</v>
      </c>
      <c r="D5846" s="14" t="s">
        <v>198</v>
      </c>
      <c r="E5846" s="13" t="s">
        <v>61</v>
      </c>
      <c r="F5846" s="13" t="s">
        <v>1933</v>
      </c>
      <c r="G5846" s="13">
        <v>0.68</v>
      </c>
      <c r="H5846" s="15">
        <v>1714</v>
      </c>
      <c r="I5846" s="16">
        <v>1165.52</v>
      </c>
      <c r="J5846" s="16">
        <v>1165.3685747919626</v>
      </c>
      <c r="K5846" s="16">
        <v>0.15142520803732396</v>
      </c>
      <c r="L5846" s="13">
        <v>1.7</v>
      </c>
      <c r="M5846" s="13"/>
      <c r="N5846" s="17">
        <f t="shared" si="191"/>
        <v>2913.7999999999997</v>
      </c>
      <c r="O5846" s="17">
        <f t="shared" si="191"/>
        <v>0</v>
      </c>
      <c r="P5846" s="17">
        <f t="shared" si="192"/>
        <v>2913.7999999999997</v>
      </c>
      <c r="Q5846" t="str">
        <f>A5846&amp;"-"&amp;B5846&amp;"-"&amp;D5846</f>
        <v>NOVEMBER-MJ2-L8</v>
      </c>
    </row>
    <row r="5847" spans="1:17" x14ac:dyDescent="0.25">
      <c r="A5847" t="s">
        <v>401</v>
      </c>
      <c r="B5847" s="13" t="s">
        <v>26</v>
      </c>
      <c r="C5847" s="13" t="s">
        <v>226</v>
      </c>
      <c r="D5847" s="14" t="s">
        <v>198</v>
      </c>
      <c r="E5847" s="13" t="s">
        <v>61</v>
      </c>
      <c r="F5847" s="13" t="s">
        <v>1934</v>
      </c>
      <c r="G5847" s="13">
        <v>0.79</v>
      </c>
      <c r="H5847" s="15">
        <v>1896</v>
      </c>
      <c r="I5847" s="16">
        <v>1497.84</v>
      </c>
      <c r="J5847" s="16">
        <v>1201.7328590695276</v>
      </c>
      <c r="K5847" s="16">
        <v>296.10714093047233</v>
      </c>
      <c r="L5847" s="13">
        <v>2</v>
      </c>
      <c r="M5847" s="13"/>
      <c r="N5847" s="17">
        <f t="shared" ref="N5847:O5896" si="193">$H5847*L5847</f>
        <v>3792</v>
      </c>
      <c r="O5847" s="17">
        <f t="shared" si="193"/>
        <v>0</v>
      </c>
      <c r="P5847" s="17">
        <f t="shared" si="192"/>
        <v>3792</v>
      </c>
      <c r="Q5847" t="str">
        <f>A5847&amp;"-"&amp;B5847&amp;"-"&amp;D5847</f>
        <v>NOVEMBER-MJ2-L8</v>
      </c>
    </row>
    <row r="5848" spans="1:17" x14ac:dyDescent="0.25">
      <c r="A5848" t="s">
        <v>401</v>
      </c>
      <c r="B5848" s="13" t="s">
        <v>26</v>
      </c>
      <c r="C5848" s="13" t="s">
        <v>226</v>
      </c>
      <c r="D5848" s="14" t="s">
        <v>198</v>
      </c>
      <c r="E5848" s="13" t="s">
        <v>61</v>
      </c>
      <c r="F5848" s="13" t="s">
        <v>1978</v>
      </c>
      <c r="G5848" s="13">
        <v>0.81</v>
      </c>
      <c r="H5848" s="15">
        <v>715</v>
      </c>
      <c r="I5848" s="16">
        <v>579.14999999999986</v>
      </c>
      <c r="J5848" s="16">
        <v>497.75642966551857</v>
      </c>
      <c r="K5848" s="16">
        <v>81.39357033448141</v>
      </c>
      <c r="L5848" s="13">
        <v>2.21</v>
      </c>
      <c r="M5848" s="13"/>
      <c r="N5848" s="17">
        <f t="shared" si="193"/>
        <v>1580.1499999999999</v>
      </c>
      <c r="O5848" s="17">
        <f t="shared" si="193"/>
        <v>0</v>
      </c>
      <c r="P5848" s="17">
        <f t="shared" si="192"/>
        <v>1580.1499999999999</v>
      </c>
      <c r="Q5848" t="str">
        <f>A5848&amp;"-"&amp;B5848&amp;"-"&amp;D5848</f>
        <v>NOVEMBER-MJ2-L8</v>
      </c>
    </row>
    <row r="5849" spans="1:17" x14ac:dyDescent="0.25">
      <c r="A5849" t="s">
        <v>401</v>
      </c>
      <c r="B5849" s="13" t="s">
        <v>26</v>
      </c>
      <c r="C5849" s="13" t="s">
        <v>226</v>
      </c>
      <c r="D5849" s="14" t="s">
        <v>198</v>
      </c>
      <c r="E5849" s="13" t="s">
        <v>61</v>
      </c>
      <c r="F5849" s="13" t="s">
        <v>1935</v>
      </c>
      <c r="G5849" s="13">
        <v>0.79999999999999993</v>
      </c>
      <c r="H5849" s="15">
        <v>5035</v>
      </c>
      <c r="I5849" s="16">
        <v>4028.0000000000005</v>
      </c>
      <c r="J5849" s="16">
        <v>3272.5942761179449</v>
      </c>
      <c r="K5849" s="16">
        <v>755.40572388205555</v>
      </c>
      <c r="L5849" s="13">
        <v>2.0699999999999998</v>
      </c>
      <c r="M5849" s="13"/>
      <c r="N5849" s="17">
        <f t="shared" si="193"/>
        <v>10422.449999999999</v>
      </c>
      <c r="O5849" s="17">
        <f t="shared" si="193"/>
        <v>0</v>
      </c>
      <c r="P5849" s="17">
        <f t="shared" si="192"/>
        <v>10422.449999999999</v>
      </c>
      <c r="Q5849" t="str">
        <f>A5849&amp;"-"&amp;B5849&amp;"-"&amp;D5849</f>
        <v>NOVEMBER-MJ2-L8</v>
      </c>
    </row>
    <row r="5850" spans="1:17" x14ac:dyDescent="0.25">
      <c r="A5850" t="s">
        <v>401</v>
      </c>
      <c r="B5850" s="13" t="s">
        <v>26</v>
      </c>
      <c r="C5850" s="13" t="s">
        <v>226</v>
      </c>
      <c r="D5850" s="14" t="s">
        <v>198</v>
      </c>
      <c r="E5850" s="13" t="s">
        <v>61</v>
      </c>
      <c r="F5850" s="13" t="s">
        <v>1936</v>
      </c>
      <c r="G5850" s="13">
        <v>0.79999999999999993</v>
      </c>
      <c r="H5850" s="15">
        <v>2053</v>
      </c>
      <c r="I5850" s="16">
        <v>1642.3999999999999</v>
      </c>
      <c r="J5850" s="16">
        <v>1336.9765298430536</v>
      </c>
      <c r="K5850" s="16">
        <v>305.42347015694645</v>
      </c>
      <c r="L5850" s="13">
        <v>2.0699999999999998</v>
      </c>
      <c r="M5850" s="13"/>
      <c r="N5850" s="17">
        <f t="shared" si="193"/>
        <v>4249.71</v>
      </c>
      <c r="O5850" s="17">
        <f t="shared" si="193"/>
        <v>0</v>
      </c>
      <c r="P5850" s="17">
        <f t="shared" si="192"/>
        <v>4249.71</v>
      </c>
      <c r="Q5850" t="str">
        <f>A5850&amp;"-"&amp;B5850&amp;"-"&amp;D5850</f>
        <v>NOVEMBER-MJ2-L8</v>
      </c>
    </row>
    <row r="5851" spans="1:17" x14ac:dyDescent="0.25">
      <c r="A5851" t="s">
        <v>401</v>
      </c>
      <c r="B5851" s="13" t="s">
        <v>26</v>
      </c>
      <c r="C5851" s="13" t="s">
        <v>226</v>
      </c>
      <c r="D5851" s="14" t="s">
        <v>198</v>
      </c>
      <c r="E5851" s="13" t="s">
        <v>61</v>
      </c>
      <c r="F5851" s="13" t="s">
        <v>1937</v>
      </c>
      <c r="G5851" s="13">
        <v>0.77999999999999992</v>
      </c>
      <c r="H5851" s="15">
        <v>212</v>
      </c>
      <c r="I5851" s="16">
        <v>165.36</v>
      </c>
      <c r="J5851" s="16">
        <v>144.82759299580675</v>
      </c>
      <c r="K5851" s="16">
        <v>20.532407004193264</v>
      </c>
      <c r="L5851" s="13">
        <v>2.2200000000000002</v>
      </c>
      <c r="M5851" s="13"/>
      <c r="N5851" s="17">
        <f t="shared" si="193"/>
        <v>470.64000000000004</v>
      </c>
      <c r="O5851" s="17">
        <f t="shared" si="193"/>
        <v>0</v>
      </c>
      <c r="P5851" s="17">
        <f t="shared" si="192"/>
        <v>470.64000000000004</v>
      </c>
      <c r="Q5851" t="str">
        <f>A5851&amp;"-"&amp;B5851&amp;"-"&amp;D5851</f>
        <v>NOVEMBER-MJ2-L8</v>
      </c>
    </row>
    <row r="5852" spans="1:17" x14ac:dyDescent="0.25">
      <c r="A5852" t="s">
        <v>401</v>
      </c>
      <c r="B5852" s="13" t="s">
        <v>26</v>
      </c>
      <c r="C5852" s="13" t="s">
        <v>226</v>
      </c>
      <c r="D5852" s="14" t="s">
        <v>198</v>
      </c>
      <c r="E5852" s="13" t="s">
        <v>61</v>
      </c>
      <c r="F5852" s="13" t="s">
        <v>1938</v>
      </c>
      <c r="G5852" s="13">
        <v>0.78</v>
      </c>
      <c r="H5852" s="15">
        <v>147</v>
      </c>
      <c r="I5852" s="16">
        <v>114.66</v>
      </c>
      <c r="J5852" s="16">
        <v>91.885815185403175</v>
      </c>
      <c r="K5852" s="16">
        <v>22.774184814596822</v>
      </c>
      <c r="L5852" s="13">
        <v>2.2200000000000002</v>
      </c>
      <c r="M5852" s="13"/>
      <c r="N5852" s="17">
        <f t="shared" si="193"/>
        <v>326.34000000000003</v>
      </c>
      <c r="O5852" s="17">
        <f t="shared" si="193"/>
        <v>0</v>
      </c>
      <c r="P5852" s="17">
        <f t="shared" si="192"/>
        <v>326.34000000000003</v>
      </c>
      <c r="Q5852" t="str">
        <f>A5852&amp;"-"&amp;B5852&amp;"-"&amp;D5852</f>
        <v>NOVEMBER-MJ2-L8</v>
      </c>
    </row>
    <row r="5853" spans="1:17" x14ac:dyDescent="0.25">
      <c r="A5853" t="s">
        <v>401</v>
      </c>
      <c r="B5853" s="13" t="s">
        <v>26</v>
      </c>
      <c r="C5853" s="13" t="s">
        <v>226</v>
      </c>
      <c r="D5853" s="14" t="s">
        <v>198</v>
      </c>
      <c r="E5853" s="13" t="s">
        <v>61</v>
      </c>
      <c r="F5853" s="13" t="s">
        <v>1939</v>
      </c>
      <c r="G5853" s="13">
        <v>0.79</v>
      </c>
      <c r="H5853" s="15">
        <v>670</v>
      </c>
      <c r="I5853" s="16">
        <v>529.29999999999995</v>
      </c>
      <c r="J5853" s="16">
        <v>488.98386068410008</v>
      </c>
      <c r="K5853" s="16">
        <v>40.316139315899946</v>
      </c>
      <c r="L5853" s="13">
        <v>2</v>
      </c>
      <c r="M5853" s="13"/>
      <c r="N5853" s="17">
        <f t="shared" si="193"/>
        <v>1340</v>
      </c>
      <c r="O5853" s="17">
        <f t="shared" si="193"/>
        <v>0</v>
      </c>
      <c r="P5853" s="17">
        <f t="shared" si="192"/>
        <v>1340</v>
      </c>
      <c r="Q5853" t="str">
        <f>A5853&amp;"-"&amp;B5853&amp;"-"&amp;D5853</f>
        <v>NOVEMBER-MJ2-L8</v>
      </c>
    </row>
    <row r="5854" spans="1:17" x14ac:dyDescent="0.25">
      <c r="A5854" t="s">
        <v>401</v>
      </c>
      <c r="B5854" s="13" t="s">
        <v>26</v>
      </c>
      <c r="C5854" s="13" t="s">
        <v>226</v>
      </c>
      <c r="D5854" s="14" t="s">
        <v>198</v>
      </c>
      <c r="E5854" s="13" t="s">
        <v>61</v>
      </c>
      <c r="F5854" s="13" t="s">
        <v>1940</v>
      </c>
      <c r="G5854" s="13">
        <v>0.79</v>
      </c>
      <c r="H5854" s="15">
        <v>535</v>
      </c>
      <c r="I5854" s="16">
        <v>422.65</v>
      </c>
      <c r="J5854" s="16">
        <v>339.20597014925374</v>
      </c>
      <c r="K5854" s="16">
        <v>83.444029850746233</v>
      </c>
      <c r="L5854" s="13">
        <v>2</v>
      </c>
      <c r="M5854" s="13"/>
      <c r="N5854" s="17">
        <f t="shared" si="193"/>
        <v>1070</v>
      </c>
      <c r="O5854" s="17">
        <f t="shared" si="193"/>
        <v>0</v>
      </c>
      <c r="P5854" s="17">
        <f t="shared" si="192"/>
        <v>1070</v>
      </c>
      <c r="Q5854" t="str">
        <f>A5854&amp;"-"&amp;B5854&amp;"-"&amp;D5854</f>
        <v>NOVEMBER-MJ2-L8</v>
      </c>
    </row>
    <row r="5855" spans="1:17" x14ac:dyDescent="0.25">
      <c r="A5855" t="s">
        <v>401</v>
      </c>
      <c r="B5855" s="13" t="s">
        <v>26</v>
      </c>
      <c r="C5855" s="13" t="s">
        <v>226</v>
      </c>
      <c r="D5855" s="14" t="s">
        <v>198</v>
      </c>
      <c r="E5855" s="13" t="s">
        <v>61</v>
      </c>
      <c r="F5855" s="13" t="s">
        <v>1768</v>
      </c>
      <c r="G5855" s="13">
        <v>0.81</v>
      </c>
      <c r="H5855" s="15">
        <v>1604</v>
      </c>
      <c r="I5855" s="16">
        <v>1299.24</v>
      </c>
      <c r="J5855" s="16">
        <v>1043.7056304821831</v>
      </c>
      <c r="K5855" s="16">
        <v>255.53436951781708</v>
      </c>
      <c r="L5855" s="13">
        <v>2.21</v>
      </c>
      <c r="M5855" s="13"/>
      <c r="N5855" s="17">
        <f t="shared" si="193"/>
        <v>3544.84</v>
      </c>
      <c r="O5855" s="17">
        <f t="shared" si="193"/>
        <v>0</v>
      </c>
      <c r="P5855" s="17">
        <f t="shared" si="192"/>
        <v>3544.84</v>
      </c>
      <c r="Q5855" t="str">
        <f>A5855&amp;"-"&amp;B5855&amp;"-"&amp;D5855</f>
        <v>NOVEMBER-MJ2-L8</v>
      </c>
    </row>
    <row r="5856" spans="1:17" x14ac:dyDescent="0.25">
      <c r="A5856" t="s">
        <v>401</v>
      </c>
      <c r="B5856" s="13" t="s">
        <v>26</v>
      </c>
      <c r="C5856" s="13" t="s">
        <v>226</v>
      </c>
      <c r="D5856" s="14" t="s">
        <v>198</v>
      </c>
      <c r="E5856" s="13" t="s">
        <v>61</v>
      </c>
      <c r="F5856" s="13" t="s">
        <v>1942</v>
      </c>
      <c r="G5856" s="13">
        <v>0.81</v>
      </c>
      <c r="H5856" s="15">
        <v>1252</v>
      </c>
      <c r="I5856" s="16">
        <v>1014.1200000000001</v>
      </c>
      <c r="J5856" s="16">
        <v>827.82157782515992</v>
      </c>
      <c r="K5856" s="16">
        <v>186.29842217484014</v>
      </c>
      <c r="L5856" s="13">
        <v>2.21</v>
      </c>
      <c r="M5856" s="13"/>
      <c r="N5856" s="17">
        <f t="shared" si="193"/>
        <v>2766.92</v>
      </c>
      <c r="O5856" s="17">
        <f t="shared" si="193"/>
        <v>0</v>
      </c>
      <c r="P5856" s="17">
        <f t="shared" si="192"/>
        <v>2766.92</v>
      </c>
      <c r="Q5856" t="str">
        <f>A5856&amp;"-"&amp;B5856&amp;"-"&amp;D5856</f>
        <v>NOVEMBER-MJ2-L8</v>
      </c>
    </row>
    <row r="5857" spans="1:17" x14ac:dyDescent="0.25">
      <c r="A5857" t="s">
        <v>401</v>
      </c>
      <c r="B5857" s="13" t="s">
        <v>26</v>
      </c>
      <c r="C5857" s="13" t="s">
        <v>226</v>
      </c>
      <c r="D5857" s="14" t="s">
        <v>198</v>
      </c>
      <c r="E5857" s="13" t="s">
        <v>61</v>
      </c>
      <c r="F5857" s="13" t="s">
        <v>1943</v>
      </c>
      <c r="G5857" s="13">
        <v>0.81</v>
      </c>
      <c r="H5857" s="15">
        <v>668</v>
      </c>
      <c r="I5857" s="16">
        <v>541.08000000000004</v>
      </c>
      <c r="J5857" s="16">
        <v>437.25021165685519</v>
      </c>
      <c r="K5857" s="16">
        <v>103.8297883431448</v>
      </c>
      <c r="L5857" s="13">
        <v>2.21</v>
      </c>
      <c r="M5857" s="13"/>
      <c r="N5857" s="17">
        <f t="shared" si="193"/>
        <v>1476.28</v>
      </c>
      <c r="O5857" s="17">
        <f t="shared" si="193"/>
        <v>0</v>
      </c>
      <c r="P5857" s="17">
        <f t="shared" si="192"/>
        <v>1476.28</v>
      </c>
      <c r="Q5857" t="str">
        <f>A5857&amp;"-"&amp;B5857&amp;"-"&amp;D5857</f>
        <v>NOVEMBER-MJ2-L8</v>
      </c>
    </row>
    <row r="5858" spans="1:17" x14ac:dyDescent="0.25">
      <c r="A5858" t="s">
        <v>401</v>
      </c>
      <c r="B5858" s="13" t="s">
        <v>26</v>
      </c>
      <c r="C5858" s="13" t="s">
        <v>226</v>
      </c>
      <c r="D5858" s="14" t="s">
        <v>198</v>
      </c>
      <c r="E5858" s="13" t="s">
        <v>61</v>
      </c>
      <c r="F5858" s="13" t="s">
        <v>1944</v>
      </c>
      <c r="G5858" s="13">
        <v>0.79999999999999993</v>
      </c>
      <c r="H5858" s="15">
        <v>1194</v>
      </c>
      <c r="I5858" s="16">
        <v>955.2</v>
      </c>
      <c r="J5858" s="16">
        <v>774.93438588434333</v>
      </c>
      <c r="K5858" s="16">
        <v>180.26561411565655</v>
      </c>
      <c r="L5858" s="13">
        <v>2.0699999999999998</v>
      </c>
      <c r="M5858" s="13"/>
      <c r="N5858" s="17">
        <f t="shared" si="193"/>
        <v>2471.58</v>
      </c>
      <c r="O5858" s="17">
        <f t="shared" si="193"/>
        <v>0</v>
      </c>
      <c r="P5858" s="17">
        <f t="shared" si="192"/>
        <v>2471.58</v>
      </c>
      <c r="Q5858" t="str">
        <f>A5858&amp;"-"&amp;B5858&amp;"-"&amp;D5858</f>
        <v>NOVEMBER-MJ2-L8</v>
      </c>
    </row>
    <row r="5859" spans="1:17" x14ac:dyDescent="0.25">
      <c r="A5859" t="s">
        <v>401</v>
      </c>
      <c r="B5859" s="13" t="s">
        <v>26</v>
      </c>
      <c r="C5859" s="13" t="s">
        <v>226</v>
      </c>
      <c r="D5859" s="14" t="s">
        <v>198</v>
      </c>
      <c r="E5859" s="13" t="s">
        <v>61</v>
      </c>
      <c r="F5859" s="13" t="s">
        <v>1945</v>
      </c>
      <c r="G5859" s="13">
        <v>0.78</v>
      </c>
      <c r="H5859" s="15">
        <v>325</v>
      </c>
      <c r="I5859" s="16">
        <v>253.5</v>
      </c>
      <c r="J5859" s="16">
        <v>212.4</v>
      </c>
      <c r="K5859" s="16">
        <v>41.099999999999994</v>
      </c>
      <c r="L5859" s="13">
        <v>2.2200000000000002</v>
      </c>
      <c r="M5859" s="13"/>
      <c r="N5859" s="17">
        <f t="shared" si="193"/>
        <v>721.50000000000011</v>
      </c>
      <c r="O5859" s="17">
        <f t="shared" si="193"/>
        <v>0</v>
      </c>
      <c r="P5859" s="17">
        <f t="shared" si="192"/>
        <v>721.50000000000011</v>
      </c>
      <c r="Q5859" t="str">
        <f>A5859&amp;"-"&amp;B5859&amp;"-"&amp;D5859</f>
        <v>NOVEMBER-MJ2-L8</v>
      </c>
    </row>
    <row r="5860" spans="1:17" x14ac:dyDescent="0.25">
      <c r="A5860" t="s">
        <v>401</v>
      </c>
      <c r="B5860" s="13" t="s">
        <v>26</v>
      </c>
      <c r="C5860" s="13" t="s">
        <v>226</v>
      </c>
      <c r="D5860" s="14" t="s">
        <v>198</v>
      </c>
      <c r="E5860" s="13" t="s">
        <v>61</v>
      </c>
      <c r="F5860" s="13" t="s">
        <v>1946</v>
      </c>
      <c r="G5860" s="13">
        <v>0.79</v>
      </c>
      <c r="H5860" s="15">
        <v>3</v>
      </c>
      <c r="I5860" s="16">
        <v>2.37</v>
      </c>
      <c r="J5860" s="16">
        <v>2.1015831134564644</v>
      </c>
      <c r="K5860" s="16">
        <v>0.26841688654353568</v>
      </c>
      <c r="L5860" s="13">
        <v>2</v>
      </c>
      <c r="M5860" s="13"/>
      <c r="N5860" s="17">
        <f t="shared" si="193"/>
        <v>6</v>
      </c>
      <c r="O5860" s="17">
        <f t="shared" si="193"/>
        <v>0</v>
      </c>
      <c r="P5860" s="17">
        <f t="shared" si="192"/>
        <v>6</v>
      </c>
      <c r="Q5860" t="str">
        <f>A5860&amp;"-"&amp;B5860&amp;"-"&amp;D5860</f>
        <v>NOVEMBER-MJ2-L8</v>
      </c>
    </row>
    <row r="5861" spans="1:17" x14ac:dyDescent="0.25">
      <c r="A5861" t="s">
        <v>401</v>
      </c>
      <c r="B5861" s="13" t="s">
        <v>26</v>
      </c>
      <c r="C5861" s="13" t="s">
        <v>226</v>
      </c>
      <c r="D5861" s="14" t="s">
        <v>198</v>
      </c>
      <c r="E5861" s="13" t="s">
        <v>61</v>
      </c>
      <c r="F5861" s="13" t="s">
        <v>1947</v>
      </c>
      <c r="G5861" s="13">
        <v>0.81</v>
      </c>
      <c r="H5861" s="15">
        <v>79</v>
      </c>
      <c r="I5861" s="16">
        <v>63.989999999999995</v>
      </c>
      <c r="J5861" s="16">
        <v>49.387046742545273</v>
      </c>
      <c r="K5861" s="16">
        <v>14.602953257454725</v>
      </c>
      <c r="L5861" s="13">
        <v>2.21</v>
      </c>
      <c r="M5861" s="13"/>
      <c r="N5861" s="17">
        <f t="shared" si="193"/>
        <v>174.59</v>
      </c>
      <c r="O5861" s="17">
        <f t="shared" si="193"/>
        <v>0</v>
      </c>
      <c r="P5861" s="17">
        <f t="shared" si="192"/>
        <v>174.59</v>
      </c>
      <c r="Q5861" t="str">
        <f>A5861&amp;"-"&amp;B5861&amp;"-"&amp;D5861</f>
        <v>NOVEMBER-MJ2-L8</v>
      </c>
    </row>
    <row r="5862" spans="1:17" x14ac:dyDescent="0.25">
      <c r="A5862" t="s">
        <v>401</v>
      </c>
      <c r="B5862" s="13" t="s">
        <v>26</v>
      </c>
      <c r="C5862" s="13" t="s">
        <v>226</v>
      </c>
      <c r="D5862" s="14" t="s">
        <v>198</v>
      </c>
      <c r="E5862" s="13" t="s">
        <v>61</v>
      </c>
      <c r="F5862" s="13" t="s">
        <v>1948</v>
      </c>
      <c r="G5862" s="13">
        <v>0.83</v>
      </c>
      <c r="H5862" s="15">
        <v>4165</v>
      </c>
      <c r="I5862" s="16">
        <v>3456.95</v>
      </c>
      <c r="J5862" s="16">
        <v>2710.288455152373</v>
      </c>
      <c r="K5862" s="16">
        <v>746.66154484762706</v>
      </c>
      <c r="L5862" s="13">
        <v>2.13</v>
      </c>
      <c r="M5862" s="13"/>
      <c r="N5862" s="17">
        <f t="shared" si="193"/>
        <v>8871.4499999999989</v>
      </c>
      <c r="O5862" s="17">
        <f t="shared" si="193"/>
        <v>0</v>
      </c>
      <c r="P5862" s="17">
        <f t="shared" si="192"/>
        <v>8871.4499999999989</v>
      </c>
      <c r="Q5862" t="str">
        <f>A5862&amp;"-"&amp;B5862&amp;"-"&amp;D5862</f>
        <v>NOVEMBER-MJ2-L8</v>
      </c>
    </row>
    <row r="5863" spans="1:17" x14ac:dyDescent="0.25">
      <c r="A5863" t="s">
        <v>401</v>
      </c>
      <c r="B5863" s="13" t="s">
        <v>26</v>
      </c>
      <c r="C5863" s="13" t="s">
        <v>226</v>
      </c>
      <c r="D5863" s="14" t="s">
        <v>198</v>
      </c>
      <c r="E5863" s="13" t="s">
        <v>61</v>
      </c>
      <c r="F5863" s="13" t="s">
        <v>1979</v>
      </c>
      <c r="G5863" s="13">
        <v>0.78</v>
      </c>
      <c r="H5863" s="15">
        <v>638</v>
      </c>
      <c r="I5863" s="16">
        <v>497.64</v>
      </c>
      <c r="J5863" s="16">
        <v>405.50851258220769</v>
      </c>
      <c r="K5863" s="16">
        <v>92.131487417792329</v>
      </c>
      <c r="L5863" s="13">
        <v>2.29</v>
      </c>
      <c r="M5863" s="13"/>
      <c r="N5863" s="17">
        <f t="shared" si="193"/>
        <v>1461.02</v>
      </c>
      <c r="O5863" s="17">
        <f t="shared" si="193"/>
        <v>0</v>
      </c>
      <c r="P5863" s="17">
        <f t="shared" si="192"/>
        <v>1461.02</v>
      </c>
      <c r="Q5863" t="str">
        <f>A5863&amp;"-"&amp;B5863&amp;"-"&amp;D5863</f>
        <v>NOVEMBER-MJ2-L8</v>
      </c>
    </row>
    <row r="5864" spans="1:17" x14ac:dyDescent="0.25">
      <c r="A5864" t="s">
        <v>401</v>
      </c>
      <c r="B5864" s="13" t="s">
        <v>26</v>
      </c>
      <c r="C5864" s="13" t="s">
        <v>226</v>
      </c>
      <c r="D5864" s="14" t="s">
        <v>198</v>
      </c>
      <c r="E5864" s="13" t="s">
        <v>61</v>
      </c>
      <c r="F5864" s="13" t="s">
        <v>1949</v>
      </c>
      <c r="G5864" s="13">
        <v>0.79</v>
      </c>
      <c r="H5864" s="15">
        <v>1380</v>
      </c>
      <c r="I5864" s="16">
        <v>1090.2</v>
      </c>
      <c r="J5864" s="16">
        <v>913.51754274529094</v>
      </c>
      <c r="K5864" s="16">
        <v>176.68245725470896</v>
      </c>
      <c r="L5864" s="13">
        <v>2</v>
      </c>
      <c r="M5864" s="13"/>
      <c r="N5864" s="17">
        <f t="shared" si="193"/>
        <v>2760</v>
      </c>
      <c r="O5864" s="17">
        <f t="shared" si="193"/>
        <v>0</v>
      </c>
      <c r="P5864" s="17">
        <f t="shared" si="192"/>
        <v>2760</v>
      </c>
      <c r="Q5864" t="str">
        <f>A5864&amp;"-"&amp;B5864&amp;"-"&amp;D5864</f>
        <v>NOVEMBER-MJ2-L8</v>
      </c>
    </row>
    <row r="5865" spans="1:17" x14ac:dyDescent="0.25">
      <c r="A5865" t="s">
        <v>401</v>
      </c>
      <c r="B5865" s="13" t="s">
        <v>26</v>
      </c>
      <c r="C5865" s="13" t="s">
        <v>226</v>
      </c>
      <c r="D5865" s="14" t="s">
        <v>198</v>
      </c>
      <c r="E5865" s="13" t="s">
        <v>61</v>
      </c>
      <c r="F5865" s="13" t="s">
        <v>1773</v>
      </c>
      <c r="G5865" s="13">
        <v>0.79999999999999993</v>
      </c>
      <c r="H5865" s="15">
        <v>1337</v>
      </c>
      <c r="I5865" s="16">
        <v>1069.6000000000001</v>
      </c>
      <c r="J5865" s="16">
        <v>883.97881025488175</v>
      </c>
      <c r="K5865" s="16">
        <v>185.6211897451183</v>
      </c>
      <c r="L5865" s="13">
        <v>2.0699999999999998</v>
      </c>
      <c r="M5865" s="13"/>
      <c r="N5865" s="17">
        <f t="shared" si="193"/>
        <v>2767.5899999999997</v>
      </c>
      <c r="O5865" s="17">
        <f t="shared" si="193"/>
        <v>0</v>
      </c>
      <c r="P5865" s="17">
        <f t="shared" si="192"/>
        <v>2767.5899999999997</v>
      </c>
      <c r="Q5865" t="str">
        <f>A5865&amp;"-"&amp;B5865&amp;"-"&amp;D5865</f>
        <v>NOVEMBER-MJ2-L8</v>
      </c>
    </row>
    <row r="5866" spans="1:17" x14ac:dyDescent="0.25">
      <c r="A5866" t="s">
        <v>401</v>
      </c>
      <c r="B5866" s="13" t="s">
        <v>26</v>
      </c>
      <c r="C5866" s="13" t="s">
        <v>226</v>
      </c>
      <c r="D5866" s="14" t="s">
        <v>198</v>
      </c>
      <c r="E5866" s="13" t="s">
        <v>61</v>
      </c>
      <c r="F5866" s="13" t="s">
        <v>1950</v>
      </c>
      <c r="G5866" s="13">
        <v>0.79999999999999993</v>
      </c>
      <c r="H5866" s="15">
        <v>862</v>
      </c>
      <c r="I5866" s="16">
        <v>689.59999999999991</v>
      </c>
      <c r="J5866" s="16">
        <v>557.15793246922442</v>
      </c>
      <c r="K5866" s="16">
        <v>132.44206753077552</v>
      </c>
      <c r="L5866" s="13">
        <v>2.0699999999999998</v>
      </c>
      <c r="M5866" s="13"/>
      <c r="N5866" s="17">
        <f t="shared" si="193"/>
        <v>1784.34</v>
      </c>
      <c r="O5866" s="17">
        <f t="shared" si="193"/>
        <v>0</v>
      </c>
      <c r="P5866" s="17">
        <f t="shared" si="192"/>
        <v>1784.34</v>
      </c>
      <c r="Q5866" t="str">
        <f>A5866&amp;"-"&amp;B5866&amp;"-"&amp;D5866</f>
        <v>NOVEMBER-MJ2-L8</v>
      </c>
    </row>
    <row r="5867" spans="1:17" x14ac:dyDescent="0.25">
      <c r="A5867" t="s">
        <v>401</v>
      </c>
      <c r="B5867" s="13" t="s">
        <v>26</v>
      </c>
      <c r="C5867" s="13" t="s">
        <v>226</v>
      </c>
      <c r="D5867" s="14" t="s">
        <v>198</v>
      </c>
      <c r="E5867" s="13" t="s">
        <v>61</v>
      </c>
      <c r="F5867" s="13" t="s">
        <v>1775</v>
      </c>
      <c r="G5867" s="13">
        <v>0.78000000000000014</v>
      </c>
      <c r="H5867" s="15">
        <v>621</v>
      </c>
      <c r="I5867" s="16">
        <v>484.38</v>
      </c>
      <c r="J5867" s="16">
        <v>406.8658334973556</v>
      </c>
      <c r="K5867" s="16">
        <v>77.514166502644429</v>
      </c>
      <c r="L5867" s="13">
        <v>2.2200000000000002</v>
      </c>
      <c r="M5867" s="13"/>
      <c r="N5867" s="17">
        <f t="shared" si="193"/>
        <v>1378.6200000000001</v>
      </c>
      <c r="O5867" s="17">
        <f t="shared" si="193"/>
        <v>0</v>
      </c>
      <c r="P5867" s="17">
        <f t="shared" si="192"/>
        <v>1378.6200000000001</v>
      </c>
      <c r="Q5867" t="str">
        <f>A5867&amp;"-"&amp;B5867&amp;"-"&amp;D5867</f>
        <v>NOVEMBER-MJ2-L8</v>
      </c>
    </row>
    <row r="5868" spans="1:17" x14ac:dyDescent="0.25">
      <c r="A5868" t="s">
        <v>401</v>
      </c>
      <c r="B5868" s="13" t="s">
        <v>26</v>
      </c>
      <c r="C5868" s="13" t="s">
        <v>226</v>
      </c>
      <c r="D5868" s="14" t="s">
        <v>198</v>
      </c>
      <c r="E5868" s="13" t="s">
        <v>61</v>
      </c>
      <c r="F5868" s="13" t="s">
        <v>1951</v>
      </c>
      <c r="G5868" s="13">
        <v>1.07</v>
      </c>
      <c r="H5868" s="15">
        <v>1015</v>
      </c>
      <c r="I5868" s="16">
        <v>1086.05</v>
      </c>
      <c r="J5868" s="16">
        <v>663.34153846153845</v>
      </c>
      <c r="K5868" s="16">
        <v>422.70846153846151</v>
      </c>
      <c r="L5868" s="13">
        <v>2.57</v>
      </c>
      <c r="M5868" s="13"/>
      <c r="N5868" s="17">
        <f t="shared" si="193"/>
        <v>2608.5499999999997</v>
      </c>
      <c r="O5868" s="17">
        <f t="shared" si="193"/>
        <v>0</v>
      </c>
      <c r="P5868" s="17">
        <f t="shared" si="192"/>
        <v>2608.5499999999997</v>
      </c>
      <c r="Q5868" t="str">
        <f>A5868&amp;"-"&amp;B5868&amp;"-"&amp;D5868</f>
        <v>NOVEMBER-MJ2-L8</v>
      </c>
    </row>
    <row r="5869" spans="1:17" x14ac:dyDescent="0.25">
      <c r="A5869" t="s">
        <v>401</v>
      </c>
      <c r="B5869" s="13" t="s">
        <v>26</v>
      </c>
      <c r="C5869" s="13" t="s">
        <v>226</v>
      </c>
      <c r="D5869" s="14" t="s">
        <v>198</v>
      </c>
      <c r="E5869" s="13" t="s">
        <v>61</v>
      </c>
      <c r="F5869" s="13" t="s">
        <v>1952</v>
      </c>
      <c r="G5869" s="13">
        <v>0.65</v>
      </c>
      <c r="H5869" s="15">
        <v>3771</v>
      </c>
      <c r="I5869" s="16">
        <v>2451.15</v>
      </c>
      <c r="J5869" s="16">
        <v>2211.2893506493506</v>
      </c>
      <c r="K5869" s="16">
        <v>239.86064935064923</v>
      </c>
      <c r="L5869" s="13">
        <v>1.66</v>
      </c>
      <c r="M5869" s="13"/>
      <c r="N5869" s="17">
        <f t="shared" si="193"/>
        <v>6259.86</v>
      </c>
      <c r="O5869" s="17">
        <f t="shared" si="193"/>
        <v>0</v>
      </c>
      <c r="P5869" s="17">
        <f t="shared" si="192"/>
        <v>6259.86</v>
      </c>
      <c r="Q5869" t="str">
        <f>A5869&amp;"-"&amp;B5869&amp;"-"&amp;D5869</f>
        <v>NOVEMBER-MJ2-L8</v>
      </c>
    </row>
    <row r="5870" spans="1:17" x14ac:dyDescent="0.25">
      <c r="A5870" t="s">
        <v>401</v>
      </c>
      <c r="B5870" s="13" t="s">
        <v>26</v>
      </c>
      <c r="C5870" s="13" t="s">
        <v>226</v>
      </c>
      <c r="D5870" s="14" t="s">
        <v>199</v>
      </c>
      <c r="E5870" s="13" t="s">
        <v>61</v>
      </c>
      <c r="F5870" s="13" t="s">
        <v>1931</v>
      </c>
      <c r="G5870" s="13">
        <v>0.68</v>
      </c>
      <c r="H5870" s="15">
        <v>1252</v>
      </c>
      <c r="I5870" s="16">
        <v>851.36000000000013</v>
      </c>
      <c r="J5870" s="16">
        <v>794.23456257175656</v>
      </c>
      <c r="K5870" s="16">
        <v>57.125437428243444</v>
      </c>
      <c r="L5870" s="13">
        <v>1.69</v>
      </c>
      <c r="M5870" s="13"/>
      <c r="N5870" s="17">
        <f t="shared" si="193"/>
        <v>2115.88</v>
      </c>
      <c r="O5870" s="17">
        <f t="shared" si="193"/>
        <v>0</v>
      </c>
      <c r="P5870" s="17">
        <f t="shared" si="192"/>
        <v>2115.88</v>
      </c>
      <c r="Q5870" t="str">
        <f>A5870&amp;"-"&amp;B5870&amp;"-"&amp;D5870</f>
        <v>NOVEMBER-MJ2-L9</v>
      </c>
    </row>
    <row r="5871" spans="1:17" x14ac:dyDescent="0.25">
      <c r="A5871" t="s">
        <v>401</v>
      </c>
      <c r="B5871" s="13" t="s">
        <v>26</v>
      </c>
      <c r="C5871" s="13" t="s">
        <v>226</v>
      </c>
      <c r="D5871" s="14" t="s">
        <v>199</v>
      </c>
      <c r="E5871" s="13" t="s">
        <v>61</v>
      </c>
      <c r="F5871" s="13" t="s">
        <v>1932</v>
      </c>
      <c r="G5871" s="13">
        <v>0.68</v>
      </c>
      <c r="H5871" s="15">
        <v>1166</v>
      </c>
      <c r="I5871" s="16">
        <v>792.88</v>
      </c>
      <c r="J5871" s="16">
        <v>868.97684210526313</v>
      </c>
      <c r="K5871" s="16">
        <v>-76.096842105263136</v>
      </c>
      <c r="L5871" s="13">
        <v>1.7</v>
      </c>
      <c r="M5871" s="13"/>
      <c r="N5871" s="17">
        <f t="shared" si="193"/>
        <v>1982.2</v>
      </c>
      <c r="O5871" s="17">
        <f t="shared" si="193"/>
        <v>0</v>
      </c>
      <c r="P5871" s="17">
        <f t="shared" si="192"/>
        <v>1982.2</v>
      </c>
      <c r="Q5871" t="str">
        <f>A5871&amp;"-"&amp;B5871&amp;"-"&amp;D5871</f>
        <v>NOVEMBER-MJ2-L9</v>
      </c>
    </row>
    <row r="5872" spans="1:17" x14ac:dyDescent="0.25">
      <c r="A5872" t="s">
        <v>401</v>
      </c>
      <c r="B5872" s="13" t="s">
        <v>26</v>
      </c>
      <c r="C5872" s="13" t="s">
        <v>226</v>
      </c>
      <c r="D5872" s="14" t="s">
        <v>199</v>
      </c>
      <c r="E5872" s="13" t="s">
        <v>61</v>
      </c>
      <c r="F5872" s="13" t="s">
        <v>1933</v>
      </c>
      <c r="G5872" s="13">
        <v>0.68</v>
      </c>
      <c r="H5872" s="15">
        <v>1716</v>
      </c>
      <c r="I5872" s="16">
        <v>1166.8800000000001</v>
      </c>
      <c r="J5872" s="16">
        <v>1166.7226409579866</v>
      </c>
      <c r="K5872" s="16">
        <v>0.15735904201335416</v>
      </c>
      <c r="L5872" s="13">
        <v>1.7</v>
      </c>
      <c r="M5872" s="13"/>
      <c r="N5872" s="17">
        <f t="shared" si="193"/>
        <v>2917.2</v>
      </c>
      <c r="O5872" s="17">
        <f t="shared" si="193"/>
        <v>0</v>
      </c>
      <c r="P5872" s="17">
        <f t="shared" si="192"/>
        <v>2917.2</v>
      </c>
      <c r="Q5872" t="str">
        <f>A5872&amp;"-"&amp;B5872&amp;"-"&amp;D5872</f>
        <v>NOVEMBER-MJ2-L9</v>
      </c>
    </row>
    <row r="5873" spans="1:17" x14ac:dyDescent="0.25">
      <c r="A5873" t="s">
        <v>401</v>
      </c>
      <c r="B5873" s="13" t="s">
        <v>26</v>
      </c>
      <c r="C5873" s="13" t="s">
        <v>226</v>
      </c>
      <c r="D5873" s="14" t="s">
        <v>199</v>
      </c>
      <c r="E5873" s="13" t="s">
        <v>61</v>
      </c>
      <c r="F5873" s="13" t="s">
        <v>1934</v>
      </c>
      <c r="G5873" s="13">
        <v>0.79</v>
      </c>
      <c r="H5873" s="15">
        <v>1896</v>
      </c>
      <c r="I5873" s="16">
        <v>1497.84</v>
      </c>
      <c r="J5873" s="16">
        <v>1201.0186873690159</v>
      </c>
      <c r="K5873" s="16">
        <v>296.82131263098427</v>
      </c>
      <c r="L5873" s="13">
        <v>2</v>
      </c>
      <c r="M5873" s="13"/>
      <c r="N5873" s="17">
        <f t="shared" si="193"/>
        <v>3792</v>
      </c>
      <c r="O5873" s="17">
        <f t="shared" si="193"/>
        <v>0</v>
      </c>
      <c r="P5873" s="17">
        <f t="shared" si="192"/>
        <v>3792</v>
      </c>
      <c r="Q5873" t="str">
        <f>A5873&amp;"-"&amp;B5873&amp;"-"&amp;D5873</f>
        <v>NOVEMBER-MJ2-L9</v>
      </c>
    </row>
    <row r="5874" spans="1:17" x14ac:dyDescent="0.25">
      <c r="A5874" t="s">
        <v>401</v>
      </c>
      <c r="B5874" s="13" t="s">
        <v>26</v>
      </c>
      <c r="C5874" s="13" t="s">
        <v>226</v>
      </c>
      <c r="D5874" s="14" t="s">
        <v>199</v>
      </c>
      <c r="E5874" s="13" t="s">
        <v>61</v>
      </c>
      <c r="F5874" s="13" t="s">
        <v>1978</v>
      </c>
      <c r="G5874" s="13">
        <v>0.81</v>
      </c>
      <c r="H5874" s="15">
        <v>717</v>
      </c>
      <c r="I5874" s="16">
        <v>580.7700000000001</v>
      </c>
      <c r="J5874" s="16">
        <v>499.0859210551771</v>
      </c>
      <c r="K5874" s="16">
        <v>81.6840789448229</v>
      </c>
      <c r="L5874" s="13">
        <v>2.21</v>
      </c>
      <c r="M5874" s="13"/>
      <c r="N5874" s="17">
        <f t="shared" si="193"/>
        <v>1584.57</v>
      </c>
      <c r="O5874" s="17">
        <f t="shared" si="193"/>
        <v>0</v>
      </c>
      <c r="P5874" s="17">
        <f t="shared" si="192"/>
        <v>1584.57</v>
      </c>
      <c r="Q5874" t="str">
        <f>A5874&amp;"-"&amp;B5874&amp;"-"&amp;D5874</f>
        <v>NOVEMBER-MJ2-L9</v>
      </c>
    </row>
    <row r="5875" spans="1:17" x14ac:dyDescent="0.25">
      <c r="A5875" t="s">
        <v>401</v>
      </c>
      <c r="B5875" s="13" t="s">
        <v>26</v>
      </c>
      <c r="C5875" s="13" t="s">
        <v>226</v>
      </c>
      <c r="D5875" s="14" t="s">
        <v>199</v>
      </c>
      <c r="E5875" s="13" t="s">
        <v>61</v>
      </c>
      <c r="F5875" s="13" t="s">
        <v>1935</v>
      </c>
      <c r="G5875" s="13">
        <v>0.79999999999999993</v>
      </c>
      <c r="H5875" s="15">
        <v>5034</v>
      </c>
      <c r="I5875" s="16">
        <v>4027.2</v>
      </c>
      <c r="J5875" s="16">
        <v>3271.9682313306639</v>
      </c>
      <c r="K5875" s="16">
        <v>755.23176866933636</v>
      </c>
      <c r="L5875" s="13">
        <v>2.0699999999999998</v>
      </c>
      <c r="M5875" s="13"/>
      <c r="N5875" s="17">
        <f t="shared" si="193"/>
        <v>10420.379999999999</v>
      </c>
      <c r="O5875" s="17">
        <f t="shared" si="193"/>
        <v>0</v>
      </c>
      <c r="P5875" s="17">
        <f t="shared" si="192"/>
        <v>10420.379999999999</v>
      </c>
      <c r="Q5875" t="str">
        <f>A5875&amp;"-"&amp;B5875&amp;"-"&amp;D5875</f>
        <v>NOVEMBER-MJ2-L9</v>
      </c>
    </row>
    <row r="5876" spans="1:17" x14ac:dyDescent="0.25">
      <c r="A5876" t="s">
        <v>401</v>
      </c>
      <c r="B5876" s="13" t="s">
        <v>26</v>
      </c>
      <c r="C5876" s="13" t="s">
        <v>226</v>
      </c>
      <c r="D5876" s="14" t="s">
        <v>199</v>
      </c>
      <c r="E5876" s="13" t="s">
        <v>61</v>
      </c>
      <c r="F5876" s="13" t="s">
        <v>1936</v>
      </c>
      <c r="G5876" s="13">
        <v>0.79999999999999993</v>
      </c>
      <c r="H5876" s="15">
        <v>2055</v>
      </c>
      <c r="I5876" s="16">
        <v>1644.0000000000002</v>
      </c>
      <c r="J5876" s="16">
        <v>1337.9846808840427</v>
      </c>
      <c r="K5876" s="16">
        <v>306.01531911595748</v>
      </c>
      <c r="L5876" s="13">
        <v>2.0699999999999998</v>
      </c>
      <c r="M5876" s="13"/>
      <c r="N5876" s="17">
        <f t="shared" si="193"/>
        <v>4253.8499999999995</v>
      </c>
      <c r="O5876" s="17">
        <f t="shared" si="193"/>
        <v>0</v>
      </c>
      <c r="P5876" s="17">
        <f t="shared" si="192"/>
        <v>4253.8499999999995</v>
      </c>
      <c r="Q5876" t="str">
        <f>A5876&amp;"-"&amp;B5876&amp;"-"&amp;D5876</f>
        <v>NOVEMBER-MJ2-L9</v>
      </c>
    </row>
    <row r="5877" spans="1:17" x14ac:dyDescent="0.25">
      <c r="A5877" t="s">
        <v>401</v>
      </c>
      <c r="B5877" s="13" t="s">
        <v>26</v>
      </c>
      <c r="C5877" s="13" t="s">
        <v>226</v>
      </c>
      <c r="D5877" s="14" t="s">
        <v>199</v>
      </c>
      <c r="E5877" s="13" t="s">
        <v>61</v>
      </c>
      <c r="F5877" s="13" t="s">
        <v>1937</v>
      </c>
      <c r="G5877" s="13">
        <v>0.78</v>
      </c>
      <c r="H5877" s="15">
        <v>213</v>
      </c>
      <c r="I5877" s="16">
        <v>166.14000000000001</v>
      </c>
      <c r="J5877" s="16">
        <v>145.34072665323217</v>
      </c>
      <c r="K5877" s="16">
        <v>20.799273346767819</v>
      </c>
      <c r="L5877" s="13">
        <v>2.2200000000000002</v>
      </c>
      <c r="M5877" s="13"/>
      <c r="N5877" s="17">
        <f t="shared" si="193"/>
        <v>472.86</v>
      </c>
      <c r="O5877" s="17">
        <f t="shared" si="193"/>
        <v>0</v>
      </c>
      <c r="P5877" s="17">
        <f t="shared" si="192"/>
        <v>472.86</v>
      </c>
      <c r="Q5877" t="str">
        <f>A5877&amp;"-"&amp;B5877&amp;"-"&amp;D5877</f>
        <v>NOVEMBER-MJ2-L9</v>
      </c>
    </row>
    <row r="5878" spans="1:17" x14ac:dyDescent="0.25">
      <c r="A5878" t="s">
        <v>401</v>
      </c>
      <c r="B5878" s="13" t="s">
        <v>26</v>
      </c>
      <c r="C5878" s="13" t="s">
        <v>226</v>
      </c>
      <c r="D5878" s="14" t="s">
        <v>199</v>
      </c>
      <c r="E5878" s="13" t="s">
        <v>61</v>
      </c>
      <c r="F5878" s="13" t="s">
        <v>1938</v>
      </c>
      <c r="G5878" s="13">
        <v>0.78</v>
      </c>
      <c r="H5878" s="15">
        <v>148</v>
      </c>
      <c r="I5878" s="16">
        <v>115.44</v>
      </c>
      <c r="J5878" s="16">
        <v>92.402116402116405</v>
      </c>
      <c r="K5878" s="16">
        <v>23.037883597883592</v>
      </c>
      <c r="L5878" s="13">
        <v>2.2200000000000002</v>
      </c>
      <c r="M5878" s="13"/>
      <c r="N5878" s="17">
        <f t="shared" si="193"/>
        <v>328.56</v>
      </c>
      <c r="O5878" s="17">
        <f t="shared" si="193"/>
        <v>0</v>
      </c>
      <c r="P5878" s="17">
        <f t="shared" si="192"/>
        <v>328.56</v>
      </c>
      <c r="Q5878" t="str">
        <f>A5878&amp;"-"&amp;B5878&amp;"-"&amp;D5878</f>
        <v>NOVEMBER-MJ2-L9</v>
      </c>
    </row>
    <row r="5879" spans="1:17" x14ac:dyDescent="0.25">
      <c r="A5879" t="s">
        <v>401</v>
      </c>
      <c r="B5879" s="13" t="s">
        <v>26</v>
      </c>
      <c r="C5879" s="13" t="s">
        <v>226</v>
      </c>
      <c r="D5879" s="14" t="s">
        <v>199</v>
      </c>
      <c r="E5879" s="13" t="s">
        <v>61</v>
      </c>
      <c r="F5879" s="13" t="s">
        <v>1939</v>
      </c>
      <c r="G5879" s="13">
        <v>0.79</v>
      </c>
      <c r="H5879" s="15">
        <v>669</v>
      </c>
      <c r="I5879" s="16">
        <v>528.51</v>
      </c>
      <c r="J5879" s="16">
        <v>488.28746724147709</v>
      </c>
      <c r="K5879" s="16">
        <v>40.222532758522888</v>
      </c>
      <c r="L5879" s="13">
        <v>2</v>
      </c>
      <c r="M5879" s="13"/>
      <c r="N5879" s="17">
        <f t="shared" si="193"/>
        <v>1338</v>
      </c>
      <c r="O5879" s="17">
        <f t="shared" si="193"/>
        <v>0</v>
      </c>
      <c r="P5879" s="17">
        <f t="shared" si="192"/>
        <v>1338</v>
      </c>
      <c r="Q5879" t="str">
        <f>A5879&amp;"-"&amp;B5879&amp;"-"&amp;D5879</f>
        <v>NOVEMBER-MJ2-L9</v>
      </c>
    </row>
    <row r="5880" spans="1:17" x14ac:dyDescent="0.25">
      <c r="A5880" t="s">
        <v>401</v>
      </c>
      <c r="B5880" s="13" t="s">
        <v>26</v>
      </c>
      <c r="C5880" s="13" t="s">
        <v>226</v>
      </c>
      <c r="D5880" s="14" t="s">
        <v>199</v>
      </c>
      <c r="E5880" s="13" t="s">
        <v>61</v>
      </c>
      <c r="F5880" s="13" t="s">
        <v>1940</v>
      </c>
      <c r="G5880" s="13">
        <v>0.79</v>
      </c>
      <c r="H5880" s="15">
        <v>535</v>
      </c>
      <c r="I5880" s="16">
        <v>422.65</v>
      </c>
      <c r="J5880" s="16">
        <v>339.20597014925374</v>
      </c>
      <c r="K5880" s="16">
        <v>83.444029850746233</v>
      </c>
      <c r="L5880" s="13">
        <v>2</v>
      </c>
      <c r="M5880" s="13"/>
      <c r="N5880" s="17">
        <f t="shared" si="193"/>
        <v>1070</v>
      </c>
      <c r="O5880" s="17">
        <f t="shared" si="193"/>
        <v>0</v>
      </c>
      <c r="P5880" s="17">
        <f t="shared" si="192"/>
        <v>1070</v>
      </c>
      <c r="Q5880" t="str">
        <f>A5880&amp;"-"&amp;B5880&amp;"-"&amp;D5880</f>
        <v>NOVEMBER-MJ2-L9</v>
      </c>
    </row>
    <row r="5881" spans="1:17" x14ac:dyDescent="0.25">
      <c r="A5881" t="s">
        <v>401</v>
      </c>
      <c r="B5881" s="13" t="s">
        <v>26</v>
      </c>
      <c r="C5881" s="13" t="s">
        <v>226</v>
      </c>
      <c r="D5881" s="14" t="s">
        <v>199</v>
      </c>
      <c r="E5881" s="13" t="s">
        <v>61</v>
      </c>
      <c r="F5881" s="13" t="s">
        <v>1768</v>
      </c>
      <c r="G5881" s="13">
        <v>0.81</v>
      </c>
      <c r="H5881" s="15">
        <v>1605</v>
      </c>
      <c r="I5881" s="16">
        <v>1300.0500000000002</v>
      </c>
      <c r="J5881" s="16">
        <v>1044.2894103945928</v>
      </c>
      <c r="K5881" s="16">
        <v>255.76058960540735</v>
      </c>
      <c r="L5881" s="13">
        <v>2.21</v>
      </c>
      <c r="M5881" s="13"/>
      <c r="N5881" s="17">
        <f t="shared" si="193"/>
        <v>3547.0499999999997</v>
      </c>
      <c r="O5881" s="17">
        <f t="shared" si="193"/>
        <v>0</v>
      </c>
      <c r="P5881" s="17">
        <f t="shared" si="192"/>
        <v>3547.0499999999997</v>
      </c>
      <c r="Q5881" t="str">
        <f>A5881&amp;"-"&amp;B5881&amp;"-"&amp;D5881</f>
        <v>NOVEMBER-MJ2-L9</v>
      </c>
    </row>
    <row r="5882" spans="1:17" x14ac:dyDescent="0.25">
      <c r="A5882" t="s">
        <v>401</v>
      </c>
      <c r="B5882" s="13" t="s">
        <v>26</v>
      </c>
      <c r="C5882" s="13" t="s">
        <v>226</v>
      </c>
      <c r="D5882" s="14" t="s">
        <v>199</v>
      </c>
      <c r="E5882" s="13" t="s">
        <v>61</v>
      </c>
      <c r="F5882" s="13" t="s">
        <v>1942</v>
      </c>
      <c r="G5882" s="13">
        <v>0.81</v>
      </c>
      <c r="H5882" s="15">
        <v>1253</v>
      </c>
      <c r="I5882" s="16">
        <v>1014.9300000000001</v>
      </c>
      <c r="J5882" s="16">
        <v>828.45560767590621</v>
      </c>
      <c r="K5882" s="16">
        <v>186.47439232409386</v>
      </c>
      <c r="L5882" s="13">
        <v>2.21</v>
      </c>
      <c r="M5882" s="13"/>
      <c r="N5882" s="17">
        <f t="shared" si="193"/>
        <v>2769.13</v>
      </c>
      <c r="O5882" s="17">
        <f t="shared" si="193"/>
        <v>0</v>
      </c>
      <c r="P5882" s="17">
        <f t="shared" si="192"/>
        <v>2769.13</v>
      </c>
      <c r="Q5882" t="str">
        <f>A5882&amp;"-"&amp;B5882&amp;"-"&amp;D5882</f>
        <v>NOVEMBER-MJ2-L9</v>
      </c>
    </row>
    <row r="5883" spans="1:17" x14ac:dyDescent="0.25">
      <c r="A5883" t="s">
        <v>401</v>
      </c>
      <c r="B5883" s="13" t="s">
        <v>26</v>
      </c>
      <c r="C5883" s="13" t="s">
        <v>226</v>
      </c>
      <c r="D5883" s="14" t="s">
        <v>199</v>
      </c>
      <c r="E5883" s="13" t="s">
        <v>61</v>
      </c>
      <c r="F5883" s="13" t="s">
        <v>1943</v>
      </c>
      <c r="G5883" s="13">
        <v>0.81</v>
      </c>
      <c r="H5883" s="15">
        <v>667</v>
      </c>
      <c r="I5883" s="16">
        <v>540.27</v>
      </c>
      <c r="J5883" s="16">
        <v>436.6985233451669</v>
      </c>
      <c r="K5883" s="16">
        <v>103.57147665483311</v>
      </c>
      <c r="L5883" s="13">
        <v>2.21</v>
      </c>
      <c r="M5883" s="13"/>
      <c r="N5883" s="17">
        <f t="shared" si="193"/>
        <v>1474.07</v>
      </c>
      <c r="O5883" s="17">
        <f t="shared" si="193"/>
        <v>0</v>
      </c>
      <c r="P5883" s="17">
        <f t="shared" si="192"/>
        <v>1474.07</v>
      </c>
      <c r="Q5883" t="str">
        <f>A5883&amp;"-"&amp;B5883&amp;"-"&amp;D5883</f>
        <v>NOVEMBER-MJ2-L9</v>
      </c>
    </row>
    <row r="5884" spans="1:17" x14ac:dyDescent="0.25">
      <c r="A5884" t="s">
        <v>401</v>
      </c>
      <c r="B5884" s="13" t="s">
        <v>26</v>
      </c>
      <c r="C5884" s="13" t="s">
        <v>226</v>
      </c>
      <c r="D5884" s="14" t="s">
        <v>199</v>
      </c>
      <c r="E5884" s="13" t="s">
        <v>61</v>
      </c>
      <c r="F5884" s="13" t="s">
        <v>1944</v>
      </c>
      <c r="G5884" s="13">
        <v>0.79999999999999993</v>
      </c>
      <c r="H5884" s="15">
        <v>1195</v>
      </c>
      <c r="I5884" s="16">
        <v>956</v>
      </c>
      <c r="J5884" s="16">
        <v>775.47669103873329</v>
      </c>
      <c r="K5884" s="16">
        <v>180.52330896126657</v>
      </c>
      <c r="L5884" s="13">
        <v>2.0699999999999998</v>
      </c>
      <c r="M5884" s="13"/>
      <c r="N5884" s="17">
        <f t="shared" si="193"/>
        <v>2473.6499999999996</v>
      </c>
      <c r="O5884" s="17">
        <f t="shared" si="193"/>
        <v>0</v>
      </c>
      <c r="P5884" s="17">
        <f t="shared" si="192"/>
        <v>2473.6499999999996</v>
      </c>
      <c r="Q5884" t="str">
        <f>A5884&amp;"-"&amp;B5884&amp;"-"&amp;D5884</f>
        <v>NOVEMBER-MJ2-L9</v>
      </c>
    </row>
    <row r="5885" spans="1:17" x14ac:dyDescent="0.25">
      <c r="A5885" t="s">
        <v>401</v>
      </c>
      <c r="B5885" s="13" t="s">
        <v>26</v>
      </c>
      <c r="C5885" s="13" t="s">
        <v>226</v>
      </c>
      <c r="D5885" s="14" t="s">
        <v>199</v>
      </c>
      <c r="E5885" s="13" t="s">
        <v>61</v>
      </c>
      <c r="F5885" s="13" t="s">
        <v>1945</v>
      </c>
      <c r="G5885" s="13">
        <v>0.78</v>
      </c>
      <c r="H5885" s="15">
        <v>326</v>
      </c>
      <c r="I5885" s="16">
        <v>254.28</v>
      </c>
      <c r="J5885" s="16">
        <v>213.05353846153847</v>
      </c>
      <c r="K5885" s="16">
        <v>41.226461538461535</v>
      </c>
      <c r="L5885" s="13">
        <v>2.2200000000000002</v>
      </c>
      <c r="M5885" s="13"/>
      <c r="N5885" s="17">
        <f t="shared" si="193"/>
        <v>723.72</v>
      </c>
      <c r="O5885" s="17">
        <f t="shared" si="193"/>
        <v>0</v>
      </c>
      <c r="P5885" s="17">
        <f t="shared" si="192"/>
        <v>723.72</v>
      </c>
      <c r="Q5885" t="str">
        <f>A5885&amp;"-"&amp;B5885&amp;"-"&amp;D5885</f>
        <v>NOVEMBER-MJ2-L9</v>
      </c>
    </row>
    <row r="5886" spans="1:17" x14ac:dyDescent="0.25">
      <c r="A5886" t="s">
        <v>401</v>
      </c>
      <c r="B5886" s="13" t="s">
        <v>26</v>
      </c>
      <c r="C5886" s="13" t="s">
        <v>226</v>
      </c>
      <c r="D5886" s="14" t="s">
        <v>199</v>
      </c>
      <c r="E5886" s="13" t="s">
        <v>61</v>
      </c>
      <c r="F5886" s="13" t="s">
        <v>1946</v>
      </c>
      <c r="G5886" s="13">
        <v>0.79</v>
      </c>
      <c r="H5886" s="15">
        <v>2</v>
      </c>
      <c r="I5886" s="16">
        <v>1.58</v>
      </c>
      <c r="J5886" s="16">
        <v>1.4010554089709761</v>
      </c>
      <c r="K5886" s="16">
        <v>0.17894459102902394</v>
      </c>
      <c r="L5886" s="13">
        <v>2</v>
      </c>
      <c r="M5886" s="13"/>
      <c r="N5886" s="17">
        <f t="shared" si="193"/>
        <v>4</v>
      </c>
      <c r="O5886" s="17">
        <f t="shared" si="193"/>
        <v>0</v>
      </c>
      <c r="P5886" s="17">
        <f t="shared" si="192"/>
        <v>4</v>
      </c>
      <c r="Q5886" t="str">
        <f>A5886&amp;"-"&amp;B5886&amp;"-"&amp;D5886</f>
        <v>NOVEMBER-MJ2-L9</v>
      </c>
    </row>
    <row r="5887" spans="1:17" x14ac:dyDescent="0.25">
      <c r="A5887" t="s">
        <v>401</v>
      </c>
      <c r="B5887" s="13" t="s">
        <v>26</v>
      </c>
      <c r="C5887" s="13" t="s">
        <v>226</v>
      </c>
      <c r="D5887" s="14" t="s">
        <v>199</v>
      </c>
      <c r="E5887" s="13" t="s">
        <v>61</v>
      </c>
      <c r="F5887" s="13" t="s">
        <v>1947</v>
      </c>
      <c r="G5887" s="13">
        <v>0.81</v>
      </c>
      <c r="H5887" s="15">
        <v>79</v>
      </c>
      <c r="I5887" s="16">
        <v>63.99</v>
      </c>
      <c r="J5887" s="16">
        <v>49.384643800643801</v>
      </c>
      <c r="K5887" s="16">
        <v>14.605356199356205</v>
      </c>
      <c r="L5887" s="13">
        <v>2.21</v>
      </c>
      <c r="M5887" s="13"/>
      <c r="N5887" s="17">
        <f t="shared" si="193"/>
        <v>174.59</v>
      </c>
      <c r="O5887" s="17">
        <f t="shared" si="193"/>
        <v>0</v>
      </c>
      <c r="P5887" s="17">
        <f t="shared" si="192"/>
        <v>174.59</v>
      </c>
      <c r="Q5887" t="str">
        <f>A5887&amp;"-"&amp;B5887&amp;"-"&amp;D5887</f>
        <v>NOVEMBER-MJ2-L9</v>
      </c>
    </row>
    <row r="5888" spans="1:17" x14ac:dyDescent="0.25">
      <c r="A5888" t="s">
        <v>401</v>
      </c>
      <c r="B5888" s="13" t="s">
        <v>26</v>
      </c>
      <c r="C5888" s="13" t="s">
        <v>226</v>
      </c>
      <c r="D5888" s="14" t="s">
        <v>199</v>
      </c>
      <c r="E5888" s="13" t="s">
        <v>61</v>
      </c>
      <c r="F5888" s="13" t="s">
        <v>1948</v>
      </c>
      <c r="G5888" s="13">
        <v>0.83</v>
      </c>
      <c r="H5888" s="15">
        <v>4164</v>
      </c>
      <c r="I5888" s="16">
        <v>3456.1199999999994</v>
      </c>
      <c r="J5888" s="16">
        <v>2709.5901812374254</v>
      </c>
      <c r="K5888" s="16">
        <v>746.52981876257445</v>
      </c>
      <c r="L5888" s="13">
        <v>2.13</v>
      </c>
      <c r="M5888" s="13"/>
      <c r="N5888" s="17">
        <f t="shared" si="193"/>
        <v>8869.32</v>
      </c>
      <c r="O5888" s="17">
        <f t="shared" si="193"/>
        <v>0</v>
      </c>
      <c r="P5888" s="17">
        <f t="shared" si="192"/>
        <v>8869.32</v>
      </c>
      <c r="Q5888" t="str">
        <f>A5888&amp;"-"&amp;B5888&amp;"-"&amp;D5888</f>
        <v>NOVEMBER-MJ2-L9</v>
      </c>
    </row>
    <row r="5889" spans="1:17" x14ac:dyDescent="0.25">
      <c r="A5889" t="s">
        <v>401</v>
      </c>
      <c r="B5889" s="13" t="s">
        <v>26</v>
      </c>
      <c r="C5889" s="13" t="s">
        <v>226</v>
      </c>
      <c r="D5889" s="14" t="s">
        <v>199</v>
      </c>
      <c r="E5889" s="13" t="s">
        <v>61</v>
      </c>
      <c r="F5889" s="13" t="s">
        <v>1979</v>
      </c>
      <c r="G5889" s="13">
        <v>0.78</v>
      </c>
      <c r="H5889" s="15">
        <v>637</v>
      </c>
      <c r="I5889" s="16">
        <v>496.86</v>
      </c>
      <c r="J5889" s="16">
        <v>404.87448273146146</v>
      </c>
      <c r="K5889" s="16">
        <v>91.985517268538587</v>
      </c>
      <c r="L5889" s="13">
        <v>2.29</v>
      </c>
      <c r="M5889" s="13"/>
      <c r="N5889" s="17">
        <f t="shared" si="193"/>
        <v>1458.73</v>
      </c>
      <c r="O5889" s="17">
        <f t="shared" si="193"/>
        <v>0</v>
      </c>
      <c r="P5889" s="17">
        <f t="shared" si="192"/>
        <v>1458.73</v>
      </c>
      <c r="Q5889" t="str">
        <f>A5889&amp;"-"&amp;B5889&amp;"-"&amp;D5889</f>
        <v>NOVEMBER-MJ2-L9</v>
      </c>
    </row>
    <row r="5890" spans="1:17" x14ac:dyDescent="0.25">
      <c r="A5890" t="s">
        <v>401</v>
      </c>
      <c r="B5890" s="13" t="s">
        <v>26</v>
      </c>
      <c r="C5890" s="13" t="s">
        <v>226</v>
      </c>
      <c r="D5890" s="14" t="s">
        <v>199</v>
      </c>
      <c r="E5890" s="13" t="s">
        <v>61</v>
      </c>
      <c r="F5890" s="13" t="s">
        <v>1949</v>
      </c>
      <c r="G5890" s="13">
        <v>0.79</v>
      </c>
      <c r="H5890" s="15">
        <v>1382</v>
      </c>
      <c r="I5890" s="16">
        <v>1091.7800000000002</v>
      </c>
      <c r="J5890" s="16">
        <v>914.84984651098489</v>
      </c>
      <c r="K5890" s="16">
        <v>176.93015348901508</v>
      </c>
      <c r="L5890" s="13">
        <v>2</v>
      </c>
      <c r="M5890" s="13"/>
      <c r="N5890" s="17">
        <f t="shared" si="193"/>
        <v>2764</v>
      </c>
      <c r="O5890" s="17">
        <f t="shared" si="193"/>
        <v>0</v>
      </c>
      <c r="P5890" s="17">
        <f t="shared" ref="P5890:P5953" si="194">N5890+O5890</f>
        <v>2764</v>
      </c>
      <c r="Q5890" t="str">
        <f>A5890&amp;"-"&amp;B5890&amp;"-"&amp;D5890</f>
        <v>NOVEMBER-MJ2-L9</v>
      </c>
    </row>
    <row r="5891" spans="1:17" x14ac:dyDescent="0.25">
      <c r="A5891" t="s">
        <v>401</v>
      </c>
      <c r="B5891" s="13" t="s">
        <v>26</v>
      </c>
      <c r="C5891" s="13" t="s">
        <v>226</v>
      </c>
      <c r="D5891" s="14" t="s">
        <v>199</v>
      </c>
      <c r="E5891" s="13" t="s">
        <v>61</v>
      </c>
      <c r="F5891" s="13" t="s">
        <v>1773</v>
      </c>
      <c r="G5891" s="13">
        <v>0.79999999999999993</v>
      </c>
      <c r="H5891" s="15">
        <v>1338</v>
      </c>
      <c r="I5891" s="16">
        <v>1070.4000000000001</v>
      </c>
      <c r="J5891" s="16">
        <v>884.625107207263</v>
      </c>
      <c r="K5891" s="16">
        <v>185.77489279273686</v>
      </c>
      <c r="L5891" s="13">
        <v>2.0699999999999998</v>
      </c>
      <c r="M5891" s="13"/>
      <c r="N5891" s="17">
        <f t="shared" si="193"/>
        <v>2769.66</v>
      </c>
      <c r="O5891" s="17">
        <f t="shared" si="193"/>
        <v>0</v>
      </c>
      <c r="P5891" s="17">
        <f t="shared" si="194"/>
        <v>2769.66</v>
      </c>
      <c r="Q5891" t="str">
        <f>A5891&amp;"-"&amp;B5891&amp;"-"&amp;D5891</f>
        <v>NOVEMBER-MJ2-L9</v>
      </c>
    </row>
    <row r="5892" spans="1:17" x14ac:dyDescent="0.25">
      <c r="A5892" t="s">
        <v>401</v>
      </c>
      <c r="B5892" s="13" t="s">
        <v>26</v>
      </c>
      <c r="C5892" s="13" t="s">
        <v>226</v>
      </c>
      <c r="D5892" s="14" t="s">
        <v>199</v>
      </c>
      <c r="E5892" s="13" t="s">
        <v>61</v>
      </c>
      <c r="F5892" s="13" t="s">
        <v>1950</v>
      </c>
      <c r="G5892" s="13">
        <v>0.79999999999999993</v>
      </c>
      <c r="H5892" s="15">
        <v>858</v>
      </c>
      <c r="I5892" s="16">
        <v>686.40000000000009</v>
      </c>
      <c r="J5892" s="16">
        <v>554.42845669090445</v>
      </c>
      <c r="K5892" s="16">
        <v>131.97154330909558</v>
      </c>
      <c r="L5892" s="13">
        <v>2.0699999999999998</v>
      </c>
      <c r="M5892" s="13"/>
      <c r="N5892" s="17">
        <f t="shared" si="193"/>
        <v>1776.06</v>
      </c>
      <c r="O5892" s="17">
        <f t="shared" si="193"/>
        <v>0</v>
      </c>
      <c r="P5892" s="17">
        <f t="shared" si="194"/>
        <v>1776.06</v>
      </c>
      <c r="Q5892" t="str">
        <f>A5892&amp;"-"&amp;B5892&amp;"-"&amp;D5892</f>
        <v>NOVEMBER-MJ2-L9</v>
      </c>
    </row>
    <row r="5893" spans="1:17" x14ac:dyDescent="0.25">
      <c r="A5893" t="s">
        <v>401</v>
      </c>
      <c r="B5893" s="13" t="s">
        <v>26</v>
      </c>
      <c r="C5893" s="13" t="s">
        <v>226</v>
      </c>
      <c r="D5893" s="14" t="s">
        <v>199</v>
      </c>
      <c r="E5893" s="13" t="s">
        <v>61</v>
      </c>
      <c r="F5893" s="13" t="s">
        <v>1775</v>
      </c>
      <c r="G5893" s="13">
        <v>0.78000000000000014</v>
      </c>
      <c r="H5893" s="15">
        <v>619</v>
      </c>
      <c r="I5893" s="16">
        <v>482.82000000000005</v>
      </c>
      <c r="J5893" s="16">
        <v>405.56540797722249</v>
      </c>
      <c r="K5893" s="16">
        <v>77.254592022777558</v>
      </c>
      <c r="L5893" s="13">
        <v>2.2200000000000002</v>
      </c>
      <c r="M5893" s="13"/>
      <c r="N5893" s="17">
        <f t="shared" si="193"/>
        <v>1374.18</v>
      </c>
      <c r="O5893" s="17">
        <f t="shared" si="193"/>
        <v>0</v>
      </c>
      <c r="P5893" s="17">
        <f t="shared" si="194"/>
        <v>1374.18</v>
      </c>
      <c r="Q5893" t="str">
        <f>A5893&amp;"-"&amp;B5893&amp;"-"&amp;D5893</f>
        <v>NOVEMBER-MJ2-L9</v>
      </c>
    </row>
    <row r="5894" spans="1:17" x14ac:dyDescent="0.25">
      <c r="A5894" t="s">
        <v>401</v>
      </c>
      <c r="B5894" s="13" t="s">
        <v>26</v>
      </c>
      <c r="C5894" s="13" t="s">
        <v>226</v>
      </c>
      <c r="D5894" s="14" t="s">
        <v>199</v>
      </c>
      <c r="E5894" s="13" t="s">
        <v>61</v>
      </c>
      <c r="F5894" s="13" t="s">
        <v>1951</v>
      </c>
      <c r="G5894" s="13">
        <v>1.07</v>
      </c>
      <c r="H5894" s="15">
        <v>1015</v>
      </c>
      <c r="I5894" s="16">
        <v>1086.05</v>
      </c>
      <c r="J5894" s="16">
        <v>663.34153846153845</v>
      </c>
      <c r="K5894" s="16">
        <v>422.70846153846151</v>
      </c>
      <c r="L5894" s="13">
        <v>2.57</v>
      </c>
      <c r="M5894" s="13"/>
      <c r="N5894" s="17">
        <f t="shared" si="193"/>
        <v>2608.5499999999997</v>
      </c>
      <c r="O5894" s="17">
        <f t="shared" si="193"/>
        <v>0</v>
      </c>
      <c r="P5894" s="17">
        <f t="shared" si="194"/>
        <v>2608.5499999999997</v>
      </c>
      <c r="Q5894" t="str">
        <f>A5894&amp;"-"&amp;B5894&amp;"-"&amp;D5894</f>
        <v>NOVEMBER-MJ2-L9</v>
      </c>
    </row>
    <row r="5895" spans="1:17" x14ac:dyDescent="0.25">
      <c r="A5895" t="s">
        <v>401</v>
      </c>
      <c r="B5895" s="13" t="s">
        <v>26</v>
      </c>
      <c r="C5895" s="13" t="s">
        <v>226</v>
      </c>
      <c r="D5895" s="14" t="s">
        <v>199</v>
      </c>
      <c r="E5895" s="13" t="s">
        <v>61</v>
      </c>
      <c r="F5895" s="13" t="s">
        <v>1952</v>
      </c>
      <c r="G5895" s="13">
        <v>0.65</v>
      </c>
      <c r="H5895" s="15">
        <v>3770</v>
      </c>
      <c r="I5895" s="16">
        <v>2450.5</v>
      </c>
      <c r="J5895" s="16">
        <v>2210.7376623376622</v>
      </c>
      <c r="K5895" s="16">
        <v>239.76233766233764</v>
      </c>
      <c r="L5895" s="13">
        <v>1.66</v>
      </c>
      <c r="M5895" s="13"/>
      <c r="N5895" s="17">
        <f t="shared" si="193"/>
        <v>6258.2</v>
      </c>
      <c r="O5895" s="17">
        <f t="shared" si="193"/>
        <v>0</v>
      </c>
      <c r="P5895" s="17">
        <f t="shared" si="194"/>
        <v>6258.2</v>
      </c>
      <c r="Q5895" t="str">
        <f>A5895&amp;"-"&amp;B5895&amp;"-"&amp;D5895</f>
        <v>NOVEMBER-MJ2-L9</v>
      </c>
    </row>
    <row r="5896" spans="1:17" x14ac:dyDescent="0.25">
      <c r="A5896" t="s">
        <v>402</v>
      </c>
      <c r="B5896" s="13" t="s">
        <v>18</v>
      </c>
      <c r="C5896" s="13" t="s">
        <v>43</v>
      </c>
      <c r="D5896" s="14" t="s">
        <v>44</v>
      </c>
      <c r="E5896" s="13" t="s">
        <v>71</v>
      </c>
      <c r="F5896" s="13" t="s">
        <v>1803</v>
      </c>
      <c r="G5896" s="13">
        <v>3.9599999999999982</v>
      </c>
      <c r="H5896" s="15">
        <v>3408</v>
      </c>
      <c r="I5896" s="16">
        <v>13495.679999999997</v>
      </c>
      <c r="J5896" s="16">
        <v>15486.450000000003</v>
      </c>
      <c r="K5896" s="16">
        <v>-1990.77</v>
      </c>
      <c r="L5896" s="13"/>
      <c r="M5896" s="13">
        <v>4.45</v>
      </c>
      <c r="N5896" s="17">
        <f t="shared" si="193"/>
        <v>0</v>
      </c>
      <c r="O5896" s="17">
        <f t="shared" si="193"/>
        <v>15165.6</v>
      </c>
      <c r="P5896" s="17">
        <f t="shared" si="194"/>
        <v>15165.6</v>
      </c>
      <c r="Q5896" t="str">
        <f>A5896&amp;"-"&amp;B5896&amp;"-"&amp;D5896</f>
        <v>DESEMBER-CBA-L1</v>
      </c>
    </row>
    <row r="5897" spans="1:17" x14ac:dyDescent="0.25">
      <c r="A5897" t="s">
        <v>402</v>
      </c>
      <c r="B5897" s="13" t="s">
        <v>18</v>
      </c>
      <c r="C5897" s="13" t="s">
        <v>43</v>
      </c>
      <c r="D5897" s="14" t="s">
        <v>50</v>
      </c>
      <c r="E5897" s="13" t="s">
        <v>45</v>
      </c>
      <c r="F5897" s="13" t="s">
        <v>1805</v>
      </c>
      <c r="G5897" s="13">
        <v>3.0600000000000009</v>
      </c>
      <c r="H5897" s="15">
        <v>4361</v>
      </c>
      <c r="I5897" s="16">
        <v>13344.66</v>
      </c>
      <c r="J5897" s="16">
        <v>15358.700000000003</v>
      </c>
      <c r="K5897" s="16">
        <v>-2014.0400000000004</v>
      </c>
      <c r="L5897" s="13"/>
      <c r="M5897" s="13">
        <v>3.45</v>
      </c>
      <c r="N5897" s="17">
        <f t="shared" ref="N5897:O5955" si="195">$H5897*L5897</f>
        <v>0</v>
      </c>
      <c r="O5897" s="17">
        <f t="shared" si="195"/>
        <v>15045.45</v>
      </c>
      <c r="P5897" s="17">
        <f t="shared" si="194"/>
        <v>15045.45</v>
      </c>
      <c r="Q5897" t="str">
        <f>A5897&amp;"-"&amp;B5897&amp;"-"&amp;D5897</f>
        <v>DESEMBER-CBA-L2</v>
      </c>
    </row>
    <row r="5898" spans="1:17" x14ac:dyDescent="0.25">
      <c r="A5898" t="s">
        <v>402</v>
      </c>
      <c r="B5898" s="13" t="s">
        <v>18</v>
      </c>
      <c r="C5898" s="13" t="s">
        <v>43</v>
      </c>
      <c r="D5898" s="14" t="s">
        <v>50</v>
      </c>
      <c r="E5898" s="13" t="s">
        <v>77</v>
      </c>
      <c r="F5898" s="13" t="s">
        <v>1980</v>
      </c>
      <c r="G5898" s="13">
        <v>2.95</v>
      </c>
      <c r="H5898" s="15">
        <v>19</v>
      </c>
      <c r="I5898" s="16">
        <v>56.05</v>
      </c>
      <c r="J5898" s="16">
        <v>86.6875</v>
      </c>
      <c r="K5898" s="16">
        <v>-30.637500000000003</v>
      </c>
      <c r="L5898" s="13"/>
      <c r="M5898" s="13">
        <v>3.25</v>
      </c>
      <c r="N5898" s="17">
        <f t="shared" si="195"/>
        <v>0</v>
      </c>
      <c r="O5898" s="17">
        <f t="shared" si="195"/>
        <v>61.75</v>
      </c>
      <c r="P5898" s="17">
        <f t="shared" si="194"/>
        <v>61.75</v>
      </c>
      <c r="Q5898" t="str">
        <f>A5898&amp;"-"&amp;B5898&amp;"-"&amp;D5898</f>
        <v>DESEMBER-CBA-L2</v>
      </c>
    </row>
    <row r="5899" spans="1:17" x14ac:dyDescent="0.25">
      <c r="A5899" t="s">
        <v>402</v>
      </c>
      <c r="B5899" s="13" t="s">
        <v>18</v>
      </c>
      <c r="C5899" s="13" t="s">
        <v>43</v>
      </c>
      <c r="D5899" s="14" t="s">
        <v>56</v>
      </c>
      <c r="E5899" s="13" t="s">
        <v>77</v>
      </c>
      <c r="F5899" s="13" t="s">
        <v>1980</v>
      </c>
      <c r="G5899" s="13">
        <v>2.9500000000000011</v>
      </c>
      <c r="H5899" s="15">
        <v>3634</v>
      </c>
      <c r="I5899" s="16">
        <v>10720.3</v>
      </c>
      <c r="J5899" s="16">
        <v>15486.450000000003</v>
      </c>
      <c r="K5899" s="16">
        <v>-4766.1499999999996</v>
      </c>
      <c r="L5899" s="13"/>
      <c r="M5899" s="13">
        <v>3.25</v>
      </c>
      <c r="N5899" s="17">
        <f t="shared" si="195"/>
        <v>0</v>
      </c>
      <c r="O5899" s="17">
        <f t="shared" si="195"/>
        <v>11810.5</v>
      </c>
      <c r="P5899" s="17">
        <f t="shared" si="194"/>
        <v>11810.5</v>
      </c>
      <c r="Q5899" t="str">
        <f>A5899&amp;"-"&amp;B5899&amp;"-"&amp;D5899</f>
        <v>DESEMBER-CBA-L3</v>
      </c>
    </row>
    <row r="5900" spans="1:17" x14ac:dyDescent="0.25">
      <c r="A5900" t="s">
        <v>402</v>
      </c>
      <c r="B5900" s="13" t="s">
        <v>18</v>
      </c>
      <c r="C5900" s="13" t="s">
        <v>955</v>
      </c>
      <c r="D5900" s="14" t="s">
        <v>50</v>
      </c>
      <c r="E5900" s="13" t="s">
        <v>58</v>
      </c>
      <c r="F5900" s="13" t="s">
        <v>1629</v>
      </c>
      <c r="G5900" s="13">
        <v>2.66</v>
      </c>
      <c r="H5900" s="15">
        <v>8</v>
      </c>
      <c r="I5900" s="16">
        <v>21.28</v>
      </c>
      <c r="J5900" s="16">
        <v>36.5</v>
      </c>
      <c r="K5900" s="16">
        <v>-15.219999999999999</v>
      </c>
      <c r="L5900" s="13"/>
      <c r="M5900" s="13">
        <v>3.2</v>
      </c>
      <c r="N5900" s="17">
        <f t="shared" si="195"/>
        <v>0</v>
      </c>
      <c r="O5900" s="17">
        <f t="shared" si="195"/>
        <v>25.6</v>
      </c>
      <c r="P5900" s="17">
        <f t="shared" si="194"/>
        <v>25.6</v>
      </c>
      <c r="Q5900" t="str">
        <f>A5900&amp;"-"&amp;B5900&amp;"-"&amp;D5900</f>
        <v>DESEMBER-CBA-L2</v>
      </c>
    </row>
    <row r="5901" spans="1:17" x14ac:dyDescent="0.25">
      <c r="A5901" t="s">
        <v>402</v>
      </c>
      <c r="B5901" s="13" t="s">
        <v>18</v>
      </c>
      <c r="C5901" s="13" t="s">
        <v>955</v>
      </c>
      <c r="D5901" s="14" t="s">
        <v>50</v>
      </c>
      <c r="E5901" s="13" t="s">
        <v>58</v>
      </c>
      <c r="F5901" s="13" t="s">
        <v>1630</v>
      </c>
      <c r="G5901" s="13">
        <v>2.66</v>
      </c>
      <c r="H5901" s="15">
        <v>1</v>
      </c>
      <c r="I5901" s="16">
        <v>2.66</v>
      </c>
      <c r="J5901" s="16">
        <v>4.5625</v>
      </c>
      <c r="K5901" s="16">
        <v>-1.9024999999999999</v>
      </c>
      <c r="L5901" s="13"/>
      <c r="M5901" s="13">
        <v>3.2</v>
      </c>
      <c r="N5901" s="17">
        <f t="shared" si="195"/>
        <v>0</v>
      </c>
      <c r="O5901" s="17">
        <f t="shared" si="195"/>
        <v>3.2</v>
      </c>
      <c r="P5901" s="17">
        <f t="shared" si="194"/>
        <v>3.2</v>
      </c>
      <c r="Q5901" t="str">
        <f>A5901&amp;"-"&amp;B5901&amp;"-"&amp;D5901</f>
        <v>DESEMBER-CBA-L2</v>
      </c>
    </row>
    <row r="5902" spans="1:17" x14ac:dyDescent="0.25">
      <c r="A5902" t="s">
        <v>402</v>
      </c>
      <c r="B5902" s="13" t="s">
        <v>19</v>
      </c>
      <c r="C5902" s="13" t="s">
        <v>70</v>
      </c>
      <c r="D5902" s="14" t="s">
        <v>44</v>
      </c>
      <c r="E5902" s="13" t="s">
        <v>71</v>
      </c>
      <c r="F5902" s="13" t="s">
        <v>1810</v>
      </c>
      <c r="G5902" s="13">
        <v>5</v>
      </c>
      <c r="H5902" s="15">
        <v>497</v>
      </c>
      <c r="I5902" s="16">
        <v>2485</v>
      </c>
      <c r="J5902" s="16">
        <v>2328.2563959955505</v>
      </c>
      <c r="K5902" s="16">
        <v>156.7436040044494</v>
      </c>
      <c r="L5902" s="13">
        <v>11.98</v>
      </c>
      <c r="M5902" s="13"/>
      <c r="N5902" s="17">
        <f t="shared" si="195"/>
        <v>5954.06</v>
      </c>
      <c r="O5902" s="17">
        <f t="shared" si="195"/>
        <v>0</v>
      </c>
      <c r="P5902" s="17">
        <f t="shared" si="194"/>
        <v>5954.06</v>
      </c>
      <c r="Q5902" t="str">
        <f>A5902&amp;"-"&amp;B5902&amp;"-"&amp;D5902</f>
        <v>DESEMBER-CHW-L1</v>
      </c>
    </row>
    <row r="5903" spans="1:17" x14ac:dyDescent="0.25">
      <c r="A5903" t="s">
        <v>402</v>
      </c>
      <c r="B5903" s="13" t="s">
        <v>19</v>
      </c>
      <c r="C5903" s="13" t="s">
        <v>70</v>
      </c>
      <c r="D5903" s="14" t="s">
        <v>44</v>
      </c>
      <c r="E5903" s="13" t="s">
        <v>77</v>
      </c>
      <c r="F5903" s="13" t="s">
        <v>1981</v>
      </c>
      <c r="G5903" s="13">
        <v>3.7000000000000006</v>
      </c>
      <c r="H5903" s="15">
        <v>401</v>
      </c>
      <c r="I5903" s="16">
        <v>1483.7</v>
      </c>
      <c r="J5903" s="16">
        <v>1165.0409126671912</v>
      </c>
      <c r="K5903" s="16">
        <v>318.65908733280884</v>
      </c>
      <c r="L5903" s="13">
        <v>10.050000000000001</v>
      </c>
      <c r="M5903" s="13"/>
      <c r="N5903" s="17">
        <f t="shared" si="195"/>
        <v>4030.05</v>
      </c>
      <c r="O5903" s="17">
        <f t="shared" si="195"/>
        <v>0</v>
      </c>
      <c r="P5903" s="17">
        <f t="shared" si="194"/>
        <v>4030.05</v>
      </c>
      <c r="Q5903" t="str">
        <f>A5903&amp;"-"&amp;B5903&amp;"-"&amp;D5903</f>
        <v>DESEMBER-CHW-L1</v>
      </c>
    </row>
    <row r="5904" spans="1:17" x14ac:dyDescent="0.25">
      <c r="A5904" t="s">
        <v>402</v>
      </c>
      <c r="B5904" s="13" t="s">
        <v>19</v>
      </c>
      <c r="C5904" s="13" t="s">
        <v>70</v>
      </c>
      <c r="D5904" s="14" t="s">
        <v>44</v>
      </c>
      <c r="E5904" s="13" t="s">
        <v>77</v>
      </c>
      <c r="F5904" s="13" t="s">
        <v>1982</v>
      </c>
      <c r="G5904" s="13">
        <v>3.7</v>
      </c>
      <c r="H5904" s="15">
        <v>633</v>
      </c>
      <c r="I5904" s="16">
        <v>2342.1</v>
      </c>
      <c r="J5904" s="16">
        <v>1442.4833333333336</v>
      </c>
      <c r="K5904" s="16">
        <v>899.61666666666656</v>
      </c>
      <c r="L5904" s="13">
        <v>7.33</v>
      </c>
      <c r="M5904" s="13"/>
      <c r="N5904" s="17">
        <f t="shared" si="195"/>
        <v>4639.8900000000003</v>
      </c>
      <c r="O5904" s="17">
        <f t="shared" si="195"/>
        <v>0</v>
      </c>
      <c r="P5904" s="17">
        <f t="shared" si="194"/>
        <v>4639.8900000000003</v>
      </c>
      <c r="Q5904" t="str">
        <f>A5904&amp;"-"&amp;B5904&amp;"-"&amp;D5904</f>
        <v>DESEMBER-CHW-L1</v>
      </c>
    </row>
    <row r="5905" spans="1:17" x14ac:dyDescent="0.25">
      <c r="A5905" t="s">
        <v>402</v>
      </c>
      <c r="B5905" s="13" t="s">
        <v>19</v>
      </c>
      <c r="C5905" s="13" t="s">
        <v>70</v>
      </c>
      <c r="D5905" s="14" t="s">
        <v>44</v>
      </c>
      <c r="E5905" s="13" t="s">
        <v>77</v>
      </c>
      <c r="F5905" s="13" t="s">
        <v>1983</v>
      </c>
      <c r="G5905" s="13">
        <v>3.6999999999999997</v>
      </c>
      <c r="H5905" s="15">
        <v>1631</v>
      </c>
      <c r="I5905" s="16">
        <v>6034.7000000000007</v>
      </c>
      <c r="J5905" s="16">
        <v>2600.2809523809524</v>
      </c>
      <c r="K5905" s="16">
        <v>3434.4190476190479</v>
      </c>
      <c r="L5905" s="13">
        <v>7.48</v>
      </c>
      <c r="M5905" s="13"/>
      <c r="N5905" s="17">
        <f t="shared" si="195"/>
        <v>12199.880000000001</v>
      </c>
      <c r="O5905" s="17">
        <f t="shared" si="195"/>
        <v>0</v>
      </c>
      <c r="P5905" s="17">
        <f t="shared" si="194"/>
        <v>12199.880000000001</v>
      </c>
      <c r="Q5905" t="str">
        <f>A5905&amp;"-"&amp;B5905&amp;"-"&amp;D5905</f>
        <v>DESEMBER-CHW-L1</v>
      </c>
    </row>
    <row r="5906" spans="1:17" x14ac:dyDescent="0.25">
      <c r="A5906" t="s">
        <v>402</v>
      </c>
      <c r="B5906" s="13" t="s">
        <v>19</v>
      </c>
      <c r="C5906" s="13" t="s">
        <v>70</v>
      </c>
      <c r="D5906" s="14" t="s">
        <v>44</v>
      </c>
      <c r="E5906" s="13" t="s">
        <v>77</v>
      </c>
      <c r="F5906" s="13" t="s">
        <v>1984</v>
      </c>
      <c r="G5906" s="13">
        <v>3.6999999999999997</v>
      </c>
      <c r="H5906" s="15">
        <v>1697</v>
      </c>
      <c r="I5906" s="16">
        <v>6278.9</v>
      </c>
      <c r="J5906" s="16">
        <v>2770.3857142857141</v>
      </c>
      <c r="K5906" s="16">
        <v>3508.514285714286</v>
      </c>
      <c r="L5906" s="13">
        <v>7.16</v>
      </c>
      <c r="M5906" s="13"/>
      <c r="N5906" s="17">
        <f t="shared" si="195"/>
        <v>12150.52</v>
      </c>
      <c r="O5906" s="17">
        <f t="shared" si="195"/>
        <v>0</v>
      </c>
      <c r="P5906" s="17">
        <f t="shared" si="194"/>
        <v>12150.52</v>
      </c>
      <c r="Q5906" t="str">
        <f>A5906&amp;"-"&amp;B5906&amp;"-"&amp;D5906</f>
        <v>DESEMBER-CHW-L1</v>
      </c>
    </row>
    <row r="5907" spans="1:17" x14ac:dyDescent="0.25">
      <c r="A5907" t="s">
        <v>402</v>
      </c>
      <c r="B5907" s="13" t="s">
        <v>19</v>
      </c>
      <c r="C5907" s="13" t="s">
        <v>70</v>
      </c>
      <c r="D5907" s="14" t="s">
        <v>44</v>
      </c>
      <c r="E5907" s="13" t="s">
        <v>77</v>
      </c>
      <c r="F5907" s="13" t="s">
        <v>1985</v>
      </c>
      <c r="G5907" s="13">
        <v>3.7</v>
      </c>
      <c r="H5907" s="15">
        <v>99</v>
      </c>
      <c r="I5907" s="16">
        <v>366.3</v>
      </c>
      <c r="J5907" s="16">
        <v>262.35000000000002</v>
      </c>
      <c r="K5907" s="16">
        <v>103.94999999999999</v>
      </c>
      <c r="L5907" s="13">
        <v>8.2100000000000009</v>
      </c>
      <c r="M5907" s="13"/>
      <c r="N5907" s="17">
        <f t="shared" si="195"/>
        <v>812.79000000000008</v>
      </c>
      <c r="O5907" s="17">
        <f t="shared" si="195"/>
        <v>0</v>
      </c>
      <c r="P5907" s="17">
        <f t="shared" si="194"/>
        <v>812.79000000000008</v>
      </c>
      <c r="Q5907" t="str">
        <f>A5907&amp;"-"&amp;B5907&amp;"-"&amp;D5907</f>
        <v>DESEMBER-CHW-L1</v>
      </c>
    </row>
    <row r="5908" spans="1:17" x14ac:dyDescent="0.25">
      <c r="A5908" t="s">
        <v>402</v>
      </c>
      <c r="B5908" s="13" t="s">
        <v>19</v>
      </c>
      <c r="C5908" s="13" t="s">
        <v>70</v>
      </c>
      <c r="D5908" s="14" t="s">
        <v>44</v>
      </c>
      <c r="E5908" s="13" t="s">
        <v>77</v>
      </c>
      <c r="F5908" s="13" t="s">
        <v>1122</v>
      </c>
      <c r="G5908" s="13">
        <v>2.75</v>
      </c>
      <c r="H5908" s="15">
        <v>9</v>
      </c>
      <c r="I5908" s="16">
        <v>24.75</v>
      </c>
      <c r="J5908" s="16">
        <v>31.202691337258202</v>
      </c>
      <c r="K5908" s="16">
        <v>-6.4526913372581998</v>
      </c>
      <c r="L5908" s="13">
        <v>6.9</v>
      </c>
      <c r="M5908" s="13"/>
      <c r="N5908" s="17">
        <f t="shared" si="195"/>
        <v>62.1</v>
      </c>
      <c r="O5908" s="17">
        <f t="shared" si="195"/>
        <v>0</v>
      </c>
      <c r="P5908" s="17">
        <f t="shared" si="194"/>
        <v>62.1</v>
      </c>
      <c r="Q5908" t="str">
        <f>A5908&amp;"-"&amp;B5908&amp;"-"&amp;D5908</f>
        <v>DESEMBER-CHW-L1</v>
      </c>
    </row>
    <row r="5909" spans="1:17" x14ac:dyDescent="0.25">
      <c r="A5909" t="s">
        <v>402</v>
      </c>
      <c r="B5909" s="13" t="s">
        <v>19</v>
      </c>
      <c r="C5909" s="13" t="s">
        <v>70</v>
      </c>
      <c r="D5909" s="14" t="s">
        <v>50</v>
      </c>
      <c r="E5909" s="13" t="s">
        <v>73</v>
      </c>
      <c r="F5909" s="13" t="s">
        <v>1426</v>
      </c>
      <c r="G5909" s="13">
        <v>4.5</v>
      </c>
      <c r="H5909" s="15">
        <v>1</v>
      </c>
      <c r="I5909" s="16">
        <v>4.5</v>
      </c>
      <c r="J5909" s="16">
        <v>1.8928571428571428</v>
      </c>
      <c r="K5909" s="16">
        <v>2.6071428571428572</v>
      </c>
      <c r="L5909" s="13">
        <v>9.5299999999999994</v>
      </c>
      <c r="M5909" s="13"/>
      <c r="N5909" s="17">
        <f t="shared" si="195"/>
        <v>9.5299999999999994</v>
      </c>
      <c r="O5909" s="17">
        <f t="shared" si="195"/>
        <v>0</v>
      </c>
      <c r="P5909" s="17">
        <f t="shared" si="194"/>
        <v>9.5299999999999994</v>
      </c>
      <c r="Q5909" t="str">
        <f>A5909&amp;"-"&amp;B5909&amp;"-"&amp;D5909</f>
        <v>DESEMBER-CHW-L2</v>
      </c>
    </row>
    <row r="5910" spans="1:17" x14ac:dyDescent="0.25">
      <c r="A5910" t="s">
        <v>402</v>
      </c>
      <c r="B5910" s="13" t="s">
        <v>19</v>
      </c>
      <c r="C5910" s="13" t="s">
        <v>70</v>
      </c>
      <c r="D5910" s="14" t="s">
        <v>50</v>
      </c>
      <c r="E5910" s="13" t="s">
        <v>73</v>
      </c>
      <c r="F5910" s="13" t="s">
        <v>1986</v>
      </c>
      <c r="G5910" s="13">
        <v>4.5</v>
      </c>
      <c r="H5910" s="15">
        <v>183</v>
      </c>
      <c r="I5910" s="16">
        <v>823.5</v>
      </c>
      <c r="J5910" s="16">
        <v>496.78896103896102</v>
      </c>
      <c r="K5910" s="16">
        <v>326.71103896103898</v>
      </c>
      <c r="L5910" s="13">
        <v>10.9</v>
      </c>
      <c r="M5910" s="13"/>
      <c r="N5910" s="17">
        <f t="shared" si="195"/>
        <v>1994.7</v>
      </c>
      <c r="O5910" s="17">
        <f t="shared" si="195"/>
        <v>0</v>
      </c>
      <c r="P5910" s="17">
        <f t="shared" si="194"/>
        <v>1994.7</v>
      </c>
      <c r="Q5910" t="str">
        <f>A5910&amp;"-"&amp;B5910&amp;"-"&amp;D5910</f>
        <v>DESEMBER-CHW-L2</v>
      </c>
    </row>
    <row r="5911" spans="1:17" x14ac:dyDescent="0.25">
      <c r="A5911" t="s">
        <v>402</v>
      </c>
      <c r="B5911" s="13" t="s">
        <v>19</v>
      </c>
      <c r="C5911" s="13" t="s">
        <v>70</v>
      </c>
      <c r="D5911" s="14" t="s">
        <v>50</v>
      </c>
      <c r="E5911" s="13" t="s">
        <v>73</v>
      </c>
      <c r="F5911" s="13" t="s">
        <v>1987</v>
      </c>
      <c r="G5911" s="13">
        <v>4.7</v>
      </c>
      <c r="H5911" s="15">
        <v>340</v>
      </c>
      <c r="I5911" s="16">
        <v>1597.9999999999998</v>
      </c>
      <c r="J5911" s="16">
        <v>942.98701298701292</v>
      </c>
      <c r="K5911" s="16">
        <v>655.01298701298697</v>
      </c>
      <c r="L5911" s="13">
        <v>11.39</v>
      </c>
      <c r="M5911" s="13"/>
      <c r="N5911" s="17">
        <f t="shared" si="195"/>
        <v>3872.6000000000004</v>
      </c>
      <c r="O5911" s="17">
        <f t="shared" si="195"/>
        <v>0</v>
      </c>
      <c r="P5911" s="17">
        <f t="shared" si="194"/>
        <v>3872.6000000000004</v>
      </c>
      <c r="Q5911" t="str">
        <f>A5911&amp;"-"&amp;B5911&amp;"-"&amp;D5911</f>
        <v>DESEMBER-CHW-L2</v>
      </c>
    </row>
    <row r="5912" spans="1:17" x14ac:dyDescent="0.25">
      <c r="A5912" t="s">
        <v>402</v>
      </c>
      <c r="B5912" s="13" t="s">
        <v>19</v>
      </c>
      <c r="C5912" s="13" t="s">
        <v>70</v>
      </c>
      <c r="D5912" s="14" t="s">
        <v>50</v>
      </c>
      <c r="E5912" s="13" t="s">
        <v>73</v>
      </c>
      <c r="F5912" s="13" t="s">
        <v>1125</v>
      </c>
      <c r="G5912" s="13">
        <v>4.5</v>
      </c>
      <c r="H5912" s="15">
        <v>70</v>
      </c>
      <c r="I5912" s="16">
        <v>315</v>
      </c>
      <c r="J5912" s="16">
        <v>132.5</v>
      </c>
      <c r="K5912" s="16">
        <v>182.5</v>
      </c>
      <c r="L5912" s="13">
        <v>10.220000000000001</v>
      </c>
      <c r="M5912" s="13"/>
      <c r="N5912" s="17">
        <f t="shared" si="195"/>
        <v>715.40000000000009</v>
      </c>
      <c r="O5912" s="17">
        <f t="shared" si="195"/>
        <v>0</v>
      </c>
      <c r="P5912" s="17">
        <f t="shared" si="194"/>
        <v>715.40000000000009</v>
      </c>
      <c r="Q5912" t="str">
        <f>A5912&amp;"-"&amp;B5912&amp;"-"&amp;D5912</f>
        <v>DESEMBER-CHW-L2</v>
      </c>
    </row>
    <row r="5913" spans="1:17" x14ac:dyDescent="0.25">
      <c r="A5913" t="s">
        <v>402</v>
      </c>
      <c r="B5913" s="13" t="s">
        <v>19</v>
      </c>
      <c r="C5913" s="13" t="s">
        <v>70</v>
      </c>
      <c r="D5913" s="14" t="s">
        <v>50</v>
      </c>
      <c r="E5913" s="13" t="s">
        <v>73</v>
      </c>
      <c r="F5913" s="13" t="s">
        <v>1988</v>
      </c>
      <c r="G5913" s="13">
        <v>4.5</v>
      </c>
      <c r="H5913" s="15">
        <v>458</v>
      </c>
      <c r="I5913" s="16">
        <v>2061</v>
      </c>
      <c r="J5913" s="16">
        <v>1295.8341317365271</v>
      </c>
      <c r="K5913" s="16">
        <v>765.16586826347304</v>
      </c>
      <c r="L5913" s="13">
        <v>9.48</v>
      </c>
      <c r="M5913" s="13"/>
      <c r="N5913" s="17">
        <f t="shared" si="195"/>
        <v>4341.84</v>
      </c>
      <c r="O5913" s="17">
        <f t="shared" si="195"/>
        <v>0</v>
      </c>
      <c r="P5913" s="17">
        <f t="shared" si="194"/>
        <v>4341.84</v>
      </c>
      <c r="Q5913" t="str">
        <f>A5913&amp;"-"&amp;B5913&amp;"-"&amp;D5913</f>
        <v>DESEMBER-CHW-L2</v>
      </c>
    </row>
    <row r="5914" spans="1:17" x14ac:dyDescent="0.25">
      <c r="A5914" t="s">
        <v>402</v>
      </c>
      <c r="B5914" s="13" t="s">
        <v>19</v>
      </c>
      <c r="C5914" s="13" t="s">
        <v>70</v>
      </c>
      <c r="D5914" s="14" t="s">
        <v>50</v>
      </c>
      <c r="E5914" s="13" t="s">
        <v>73</v>
      </c>
      <c r="F5914" s="13" t="s">
        <v>1126</v>
      </c>
      <c r="G5914" s="13">
        <v>4.5</v>
      </c>
      <c r="H5914" s="15">
        <v>103</v>
      </c>
      <c r="I5914" s="16">
        <v>463.5</v>
      </c>
      <c r="J5914" s="16">
        <v>275.12200577200582</v>
      </c>
      <c r="K5914" s="16">
        <v>188.37799422799421</v>
      </c>
      <c r="L5914" s="13">
        <v>9.48</v>
      </c>
      <c r="M5914" s="13"/>
      <c r="N5914" s="17">
        <f t="shared" si="195"/>
        <v>976.44</v>
      </c>
      <c r="O5914" s="17">
        <f t="shared" si="195"/>
        <v>0</v>
      </c>
      <c r="P5914" s="17">
        <f t="shared" si="194"/>
        <v>976.44</v>
      </c>
      <c r="Q5914" t="str">
        <f>A5914&amp;"-"&amp;B5914&amp;"-"&amp;D5914</f>
        <v>DESEMBER-CHW-L2</v>
      </c>
    </row>
    <row r="5915" spans="1:17" x14ac:dyDescent="0.25">
      <c r="A5915" t="s">
        <v>402</v>
      </c>
      <c r="B5915" s="13" t="s">
        <v>19</v>
      </c>
      <c r="C5915" s="13" t="s">
        <v>70</v>
      </c>
      <c r="D5915" s="14" t="s">
        <v>50</v>
      </c>
      <c r="E5915" s="13" t="s">
        <v>73</v>
      </c>
      <c r="F5915" s="13" t="s">
        <v>1989</v>
      </c>
      <c r="G5915" s="13">
        <v>4.5</v>
      </c>
      <c r="H5915" s="15">
        <v>1111</v>
      </c>
      <c r="I5915" s="16">
        <v>4999.5</v>
      </c>
      <c r="J5915" s="16">
        <v>2448.7070707070707</v>
      </c>
      <c r="K5915" s="16">
        <v>2550.7929292929293</v>
      </c>
      <c r="L5915" s="13">
        <v>10</v>
      </c>
      <c r="M5915" s="13"/>
      <c r="N5915" s="17">
        <f t="shared" si="195"/>
        <v>11110</v>
      </c>
      <c r="O5915" s="17">
        <f t="shared" si="195"/>
        <v>0</v>
      </c>
      <c r="P5915" s="17">
        <f t="shared" si="194"/>
        <v>11110</v>
      </c>
      <c r="Q5915" t="str">
        <f>A5915&amp;"-"&amp;B5915&amp;"-"&amp;D5915</f>
        <v>DESEMBER-CHW-L2</v>
      </c>
    </row>
    <row r="5916" spans="1:17" x14ac:dyDescent="0.25">
      <c r="A5916" t="s">
        <v>402</v>
      </c>
      <c r="B5916" s="13" t="s">
        <v>19</v>
      </c>
      <c r="C5916" s="13" t="s">
        <v>70</v>
      </c>
      <c r="D5916" s="14" t="s">
        <v>50</v>
      </c>
      <c r="E5916" s="13" t="s">
        <v>73</v>
      </c>
      <c r="F5916" s="13" t="s">
        <v>1013</v>
      </c>
      <c r="G5916" s="13">
        <v>4.5</v>
      </c>
      <c r="H5916" s="15">
        <v>31</v>
      </c>
      <c r="I5916" s="16">
        <v>139.5</v>
      </c>
      <c r="J5916" s="16">
        <v>80.628066378066379</v>
      </c>
      <c r="K5916" s="16">
        <v>58.871933621933621</v>
      </c>
      <c r="L5916" s="13">
        <v>10</v>
      </c>
      <c r="M5916" s="13"/>
      <c r="N5916" s="17">
        <f t="shared" si="195"/>
        <v>310</v>
      </c>
      <c r="O5916" s="17">
        <f t="shared" si="195"/>
        <v>0</v>
      </c>
      <c r="P5916" s="17">
        <f t="shared" si="194"/>
        <v>310</v>
      </c>
      <c r="Q5916" t="str">
        <f>A5916&amp;"-"&amp;B5916&amp;"-"&amp;D5916</f>
        <v>DESEMBER-CHW-L2</v>
      </c>
    </row>
    <row r="5917" spans="1:17" x14ac:dyDescent="0.25">
      <c r="A5917" t="s">
        <v>402</v>
      </c>
      <c r="B5917" s="13" t="s">
        <v>19</v>
      </c>
      <c r="C5917" s="13" t="s">
        <v>70</v>
      </c>
      <c r="D5917" s="14" t="s">
        <v>50</v>
      </c>
      <c r="E5917" s="13" t="s">
        <v>73</v>
      </c>
      <c r="F5917" s="13" t="s">
        <v>1014</v>
      </c>
      <c r="G5917" s="13">
        <v>4.5</v>
      </c>
      <c r="H5917" s="15">
        <v>53</v>
      </c>
      <c r="I5917" s="16">
        <v>238.5</v>
      </c>
      <c r="J5917" s="16">
        <v>147.71086398631309</v>
      </c>
      <c r="K5917" s="16">
        <v>90.789136013686914</v>
      </c>
      <c r="L5917" s="13">
        <v>11.05</v>
      </c>
      <c r="M5917" s="13"/>
      <c r="N5917" s="17">
        <f t="shared" si="195"/>
        <v>585.65000000000009</v>
      </c>
      <c r="O5917" s="17">
        <f t="shared" si="195"/>
        <v>0</v>
      </c>
      <c r="P5917" s="17">
        <f t="shared" si="194"/>
        <v>585.65000000000009</v>
      </c>
      <c r="Q5917" t="str">
        <f>A5917&amp;"-"&amp;B5917&amp;"-"&amp;D5917</f>
        <v>DESEMBER-CHW-L2</v>
      </c>
    </row>
    <row r="5918" spans="1:17" x14ac:dyDescent="0.25">
      <c r="A5918" t="s">
        <v>402</v>
      </c>
      <c r="B5918" s="13" t="s">
        <v>19</v>
      </c>
      <c r="C5918" s="13" t="s">
        <v>70</v>
      </c>
      <c r="D5918" s="14" t="s">
        <v>50</v>
      </c>
      <c r="E5918" s="13" t="s">
        <v>73</v>
      </c>
      <c r="F5918" s="13" t="s">
        <v>1990</v>
      </c>
      <c r="G5918" s="13">
        <v>4.5</v>
      </c>
      <c r="H5918" s="15">
        <v>1692</v>
      </c>
      <c r="I5918" s="16">
        <v>7614</v>
      </c>
      <c r="J5918" s="16">
        <v>3392</v>
      </c>
      <c r="K5918" s="16">
        <v>4222</v>
      </c>
      <c r="L5918" s="13">
        <v>10.82</v>
      </c>
      <c r="M5918" s="13"/>
      <c r="N5918" s="17">
        <f t="shared" si="195"/>
        <v>18307.439999999999</v>
      </c>
      <c r="O5918" s="17">
        <f t="shared" si="195"/>
        <v>0</v>
      </c>
      <c r="P5918" s="17">
        <f t="shared" si="194"/>
        <v>18307.439999999999</v>
      </c>
      <c r="Q5918" t="str">
        <f>A5918&amp;"-"&amp;B5918&amp;"-"&amp;D5918</f>
        <v>DESEMBER-CHW-L2</v>
      </c>
    </row>
    <row r="5919" spans="1:17" x14ac:dyDescent="0.25">
      <c r="A5919" t="s">
        <v>402</v>
      </c>
      <c r="B5919" s="13" t="s">
        <v>19</v>
      </c>
      <c r="C5919" s="13" t="s">
        <v>70</v>
      </c>
      <c r="D5919" s="14" t="s">
        <v>50</v>
      </c>
      <c r="E5919" s="13" t="s">
        <v>73</v>
      </c>
      <c r="F5919" s="13" t="s">
        <v>830</v>
      </c>
      <c r="G5919" s="13">
        <v>4.5</v>
      </c>
      <c r="H5919" s="15">
        <v>20</v>
      </c>
      <c r="I5919" s="16">
        <v>90</v>
      </c>
      <c r="J5919" s="16">
        <v>62.192258340461933</v>
      </c>
      <c r="K5919" s="16">
        <v>27.80774165953807</v>
      </c>
      <c r="L5919" s="13">
        <v>11.12</v>
      </c>
      <c r="M5919" s="13"/>
      <c r="N5919" s="17">
        <f t="shared" si="195"/>
        <v>222.39999999999998</v>
      </c>
      <c r="O5919" s="17">
        <f t="shared" si="195"/>
        <v>0</v>
      </c>
      <c r="P5919" s="17">
        <f t="shared" si="194"/>
        <v>222.39999999999998</v>
      </c>
      <c r="Q5919" t="str">
        <f>A5919&amp;"-"&amp;B5919&amp;"-"&amp;D5919</f>
        <v>DESEMBER-CHW-L2</v>
      </c>
    </row>
    <row r="5920" spans="1:17" x14ac:dyDescent="0.25">
      <c r="A5920" t="s">
        <v>402</v>
      </c>
      <c r="B5920" s="13" t="s">
        <v>19</v>
      </c>
      <c r="C5920" s="13" t="s">
        <v>70</v>
      </c>
      <c r="D5920" s="14" t="s">
        <v>50</v>
      </c>
      <c r="E5920" s="13" t="s">
        <v>73</v>
      </c>
      <c r="F5920" s="13" t="s">
        <v>1127</v>
      </c>
      <c r="G5920" s="13">
        <v>4.5</v>
      </c>
      <c r="H5920" s="15">
        <v>31</v>
      </c>
      <c r="I5920" s="16">
        <v>139.5</v>
      </c>
      <c r="J5920" s="16">
        <v>95.241317365269452</v>
      </c>
      <c r="K5920" s="16">
        <v>44.25868263473054</v>
      </c>
      <c r="L5920" s="13">
        <v>11.17</v>
      </c>
      <c r="M5920" s="13"/>
      <c r="N5920" s="17">
        <f t="shared" si="195"/>
        <v>346.27</v>
      </c>
      <c r="O5920" s="17">
        <f t="shared" si="195"/>
        <v>0</v>
      </c>
      <c r="P5920" s="17">
        <f t="shared" si="194"/>
        <v>346.27</v>
      </c>
      <c r="Q5920" t="str">
        <f>A5920&amp;"-"&amp;B5920&amp;"-"&amp;D5920</f>
        <v>DESEMBER-CHW-L2</v>
      </c>
    </row>
    <row r="5921" spans="1:17" x14ac:dyDescent="0.25">
      <c r="A5921" t="s">
        <v>402</v>
      </c>
      <c r="B5921" s="13" t="s">
        <v>19</v>
      </c>
      <c r="C5921" s="13" t="s">
        <v>70</v>
      </c>
      <c r="D5921" s="14" t="s">
        <v>50</v>
      </c>
      <c r="E5921" s="13" t="s">
        <v>73</v>
      </c>
      <c r="F5921" s="13" t="s">
        <v>1822</v>
      </c>
      <c r="G5921" s="13">
        <v>4.5</v>
      </c>
      <c r="H5921" s="15">
        <v>1</v>
      </c>
      <c r="I5921" s="16">
        <v>4.5</v>
      </c>
      <c r="J5921" s="16">
        <v>1.8928571428571428</v>
      </c>
      <c r="K5921" s="16">
        <v>2.6071428571428572</v>
      </c>
      <c r="L5921" s="13">
        <v>13.57</v>
      </c>
      <c r="M5921" s="13"/>
      <c r="N5921" s="17">
        <f t="shared" si="195"/>
        <v>13.57</v>
      </c>
      <c r="O5921" s="17">
        <f t="shared" si="195"/>
        <v>0</v>
      </c>
      <c r="P5921" s="17">
        <f t="shared" si="194"/>
        <v>13.57</v>
      </c>
      <c r="Q5921" t="str">
        <f>A5921&amp;"-"&amp;B5921&amp;"-"&amp;D5921</f>
        <v>DESEMBER-CHW-L2</v>
      </c>
    </row>
    <row r="5922" spans="1:17" x14ac:dyDescent="0.25">
      <c r="A5922" t="s">
        <v>402</v>
      </c>
      <c r="B5922" s="13" t="s">
        <v>19</v>
      </c>
      <c r="C5922" s="13" t="s">
        <v>70</v>
      </c>
      <c r="D5922" s="14" t="s">
        <v>50</v>
      </c>
      <c r="E5922" s="13" t="s">
        <v>77</v>
      </c>
      <c r="F5922" s="13" t="s">
        <v>1991</v>
      </c>
      <c r="G5922" s="13">
        <v>3.7</v>
      </c>
      <c r="H5922" s="15">
        <v>212</v>
      </c>
      <c r="I5922" s="16">
        <v>784.4</v>
      </c>
      <c r="J5922" s="16">
        <v>603.75259740259742</v>
      </c>
      <c r="K5922" s="16">
        <v>180.64740259740253</v>
      </c>
      <c r="L5922" s="13">
        <v>7.77</v>
      </c>
      <c r="M5922" s="13"/>
      <c r="N5922" s="17">
        <f t="shared" si="195"/>
        <v>1647.24</v>
      </c>
      <c r="O5922" s="17">
        <f t="shared" si="195"/>
        <v>0</v>
      </c>
      <c r="P5922" s="17">
        <f t="shared" si="194"/>
        <v>1647.24</v>
      </c>
      <c r="Q5922" t="str">
        <f>A5922&amp;"-"&amp;B5922&amp;"-"&amp;D5922</f>
        <v>DESEMBER-CHW-L2</v>
      </c>
    </row>
    <row r="5923" spans="1:17" x14ac:dyDescent="0.25">
      <c r="A5923" t="s">
        <v>402</v>
      </c>
      <c r="B5923" s="13" t="s">
        <v>19</v>
      </c>
      <c r="C5923" s="13" t="s">
        <v>70</v>
      </c>
      <c r="D5923" s="14" t="s">
        <v>50</v>
      </c>
      <c r="E5923" s="13" t="s">
        <v>77</v>
      </c>
      <c r="F5923" s="13" t="s">
        <v>1992</v>
      </c>
      <c r="G5923" s="13">
        <v>3.7</v>
      </c>
      <c r="H5923" s="15">
        <v>132</v>
      </c>
      <c r="I5923" s="16">
        <v>488.4</v>
      </c>
      <c r="J5923" s="16">
        <v>349.8</v>
      </c>
      <c r="K5923" s="16">
        <v>138.59999999999997</v>
      </c>
      <c r="L5923" s="13">
        <v>9.26</v>
      </c>
      <c r="M5923" s="13"/>
      <c r="N5923" s="17">
        <f t="shared" si="195"/>
        <v>1222.32</v>
      </c>
      <c r="O5923" s="17">
        <f t="shared" si="195"/>
        <v>0</v>
      </c>
      <c r="P5923" s="17">
        <f t="shared" si="194"/>
        <v>1222.32</v>
      </c>
      <c r="Q5923" t="str">
        <f>A5923&amp;"-"&amp;B5923&amp;"-"&amp;D5923</f>
        <v>DESEMBER-CHW-L2</v>
      </c>
    </row>
    <row r="5924" spans="1:17" x14ac:dyDescent="0.25">
      <c r="A5924" t="s">
        <v>402</v>
      </c>
      <c r="B5924" s="13" t="s">
        <v>19</v>
      </c>
      <c r="C5924" s="13" t="s">
        <v>70</v>
      </c>
      <c r="D5924" s="14" t="s">
        <v>50</v>
      </c>
      <c r="E5924" s="13" t="s">
        <v>77</v>
      </c>
      <c r="F5924" s="13" t="s">
        <v>1993</v>
      </c>
      <c r="G5924" s="13">
        <v>3.7</v>
      </c>
      <c r="H5924" s="15">
        <v>103</v>
      </c>
      <c r="I5924" s="16">
        <v>381.1</v>
      </c>
      <c r="J5924" s="16">
        <v>272.95</v>
      </c>
      <c r="K5924" s="16">
        <v>108.15000000000003</v>
      </c>
      <c r="L5924" s="13">
        <v>8.2200000000000006</v>
      </c>
      <c r="M5924" s="13"/>
      <c r="N5924" s="17">
        <f t="shared" si="195"/>
        <v>846.66000000000008</v>
      </c>
      <c r="O5924" s="17">
        <f t="shared" si="195"/>
        <v>0</v>
      </c>
      <c r="P5924" s="17">
        <f t="shared" si="194"/>
        <v>846.66000000000008</v>
      </c>
      <c r="Q5924" t="str">
        <f>A5924&amp;"-"&amp;B5924&amp;"-"&amp;D5924</f>
        <v>DESEMBER-CHW-L2</v>
      </c>
    </row>
    <row r="5925" spans="1:17" x14ac:dyDescent="0.25">
      <c r="A5925" t="s">
        <v>402</v>
      </c>
      <c r="B5925" s="13" t="s">
        <v>19</v>
      </c>
      <c r="C5925" s="13" t="s">
        <v>70</v>
      </c>
      <c r="D5925" s="14" t="s">
        <v>56</v>
      </c>
      <c r="E5925" s="13" t="s">
        <v>71</v>
      </c>
      <c r="F5925" s="13" t="s">
        <v>1826</v>
      </c>
      <c r="G5925" s="13">
        <v>5</v>
      </c>
      <c r="H5925" s="15">
        <v>5</v>
      </c>
      <c r="I5925" s="16">
        <v>25</v>
      </c>
      <c r="J5925" s="16">
        <v>42.741935483870968</v>
      </c>
      <c r="K5925" s="16">
        <v>-17.741935483870968</v>
      </c>
      <c r="L5925" s="13">
        <v>11.96</v>
      </c>
      <c r="M5925" s="13"/>
      <c r="N5925" s="17">
        <f t="shared" si="195"/>
        <v>59.800000000000004</v>
      </c>
      <c r="O5925" s="17">
        <f t="shared" si="195"/>
        <v>0</v>
      </c>
      <c r="P5925" s="17">
        <f t="shared" si="194"/>
        <v>59.800000000000004</v>
      </c>
      <c r="Q5925" t="str">
        <f>A5925&amp;"-"&amp;B5925&amp;"-"&amp;D5925</f>
        <v>DESEMBER-CHW-L3</v>
      </c>
    </row>
    <row r="5926" spans="1:17" x14ac:dyDescent="0.25">
      <c r="A5926" t="s">
        <v>402</v>
      </c>
      <c r="B5926" s="13" t="s">
        <v>19</v>
      </c>
      <c r="C5926" s="13" t="s">
        <v>70</v>
      </c>
      <c r="D5926" s="14" t="s">
        <v>56</v>
      </c>
      <c r="E5926" s="13" t="s">
        <v>71</v>
      </c>
      <c r="F5926" s="13" t="s">
        <v>1128</v>
      </c>
      <c r="G5926" s="13">
        <v>5</v>
      </c>
      <c r="H5926" s="15">
        <v>16</v>
      </c>
      <c r="I5926" s="16">
        <v>80</v>
      </c>
      <c r="J5926" s="16">
        <v>118.60887096774194</v>
      </c>
      <c r="K5926" s="16">
        <v>-38.608870967741936</v>
      </c>
      <c r="L5926" s="13">
        <v>11.96</v>
      </c>
      <c r="M5926" s="13"/>
      <c r="N5926" s="17">
        <f t="shared" si="195"/>
        <v>191.36</v>
      </c>
      <c r="O5926" s="17">
        <f t="shared" si="195"/>
        <v>0</v>
      </c>
      <c r="P5926" s="17">
        <f t="shared" si="194"/>
        <v>191.36</v>
      </c>
      <c r="Q5926" t="str">
        <f>A5926&amp;"-"&amp;B5926&amp;"-"&amp;D5926</f>
        <v>DESEMBER-CHW-L3</v>
      </c>
    </row>
    <row r="5927" spans="1:17" x14ac:dyDescent="0.25">
      <c r="A5927" t="s">
        <v>402</v>
      </c>
      <c r="B5927" s="13" t="s">
        <v>19</v>
      </c>
      <c r="C5927" s="13" t="s">
        <v>70</v>
      </c>
      <c r="D5927" s="14" t="s">
        <v>56</v>
      </c>
      <c r="E5927" s="13" t="s">
        <v>71</v>
      </c>
      <c r="F5927" s="13" t="s">
        <v>1994</v>
      </c>
      <c r="G5927" s="13">
        <v>5</v>
      </c>
      <c r="H5927" s="15">
        <v>405</v>
      </c>
      <c r="I5927" s="16">
        <v>2025</v>
      </c>
      <c r="J5927" s="16">
        <v>1752.5880730050935</v>
      </c>
      <c r="K5927" s="16">
        <v>272.41192699490665</v>
      </c>
      <c r="L5927" s="13">
        <v>11.91</v>
      </c>
      <c r="M5927" s="13"/>
      <c r="N5927" s="17">
        <f t="shared" si="195"/>
        <v>4823.55</v>
      </c>
      <c r="O5927" s="17">
        <f t="shared" si="195"/>
        <v>0</v>
      </c>
      <c r="P5927" s="17">
        <f t="shared" si="194"/>
        <v>4823.55</v>
      </c>
      <c r="Q5927" t="str">
        <f>A5927&amp;"-"&amp;B5927&amp;"-"&amp;D5927</f>
        <v>DESEMBER-CHW-L3</v>
      </c>
    </row>
    <row r="5928" spans="1:17" x14ac:dyDescent="0.25">
      <c r="A5928" t="s">
        <v>402</v>
      </c>
      <c r="B5928" s="13" t="s">
        <v>19</v>
      </c>
      <c r="C5928" s="13" t="s">
        <v>70</v>
      </c>
      <c r="D5928" s="14" t="s">
        <v>56</v>
      </c>
      <c r="E5928" s="13" t="s">
        <v>71</v>
      </c>
      <c r="F5928" s="13" t="s">
        <v>1252</v>
      </c>
      <c r="G5928" s="13">
        <v>4.8</v>
      </c>
      <c r="H5928" s="15">
        <v>25</v>
      </c>
      <c r="I5928" s="16">
        <v>120</v>
      </c>
      <c r="J5928" s="16">
        <v>228.44827586206895</v>
      </c>
      <c r="K5928" s="16">
        <v>-108.44827586206895</v>
      </c>
      <c r="L5928" s="13">
        <v>12.19</v>
      </c>
      <c r="M5928" s="13"/>
      <c r="N5928" s="17">
        <f t="shared" si="195"/>
        <v>304.75</v>
      </c>
      <c r="O5928" s="17">
        <f t="shared" si="195"/>
        <v>0</v>
      </c>
      <c r="P5928" s="17">
        <f t="shared" si="194"/>
        <v>304.75</v>
      </c>
      <c r="Q5928" t="str">
        <f>A5928&amp;"-"&amp;B5928&amp;"-"&amp;D5928</f>
        <v>DESEMBER-CHW-L3</v>
      </c>
    </row>
    <row r="5929" spans="1:17" x14ac:dyDescent="0.25">
      <c r="A5929" t="s">
        <v>402</v>
      </c>
      <c r="B5929" s="13" t="s">
        <v>19</v>
      </c>
      <c r="C5929" s="13" t="s">
        <v>70</v>
      </c>
      <c r="D5929" s="14" t="s">
        <v>56</v>
      </c>
      <c r="E5929" s="13" t="s">
        <v>71</v>
      </c>
      <c r="F5929" s="13" t="s">
        <v>1253</v>
      </c>
      <c r="G5929" s="13">
        <v>5</v>
      </c>
      <c r="H5929" s="15">
        <v>38</v>
      </c>
      <c r="I5929" s="16">
        <v>190</v>
      </c>
      <c r="J5929" s="16">
        <v>375.7741027445461</v>
      </c>
      <c r="K5929" s="16">
        <v>-185.7741027445461</v>
      </c>
      <c r="L5929" s="13">
        <v>11.98</v>
      </c>
      <c r="M5929" s="13"/>
      <c r="N5929" s="17">
        <f t="shared" si="195"/>
        <v>455.24</v>
      </c>
      <c r="O5929" s="17">
        <f t="shared" si="195"/>
        <v>0</v>
      </c>
      <c r="P5929" s="17">
        <f t="shared" si="194"/>
        <v>455.24</v>
      </c>
      <c r="Q5929" t="str">
        <f>A5929&amp;"-"&amp;B5929&amp;"-"&amp;D5929</f>
        <v>DESEMBER-CHW-L3</v>
      </c>
    </row>
    <row r="5930" spans="1:17" x14ac:dyDescent="0.25">
      <c r="A5930" t="s">
        <v>402</v>
      </c>
      <c r="B5930" s="13" t="s">
        <v>19</v>
      </c>
      <c r="C5930" s="13" t="s">
        <v>70</v>
      </c>
      <c r="D5930" s="14" t="s">
        <v>56</v>
      </c>
      <c r="E5930" s="13" t="s">
        <v>71</v>
      </c>
      <c r="F5930" s="13" t="s">
        <v>1018</v>
      </c>
      <c r="G5930" s="13">
        <v>5</v>
      </c>
      <c r="H5930" s="15">
        <v>11</v>
      </c>
      <c r="I5930" s="16">
        <v>55</v>
      </c>
      <c r="J5930" s="16">
        <v>100.51724137931033</v>
      </c>
      <c r="K5930" s="16">
        <v>-45.517241379310335</v>
      </c>
      <c r="L5930" s="13">
        <v>11.62</v>
      </c>
      <c r="M5930" s="13"/>
      <c r="N5930" s="17">
        <f t="shared" si="195"/>
        <v>127.82</v>
      </c>
      <c r="O5930" s="17">
        <f t="shared" si="195"/>
        <v>0</v>
      </c>
      <c r="P5930" s="17">
        <f t="shared" si="194"/>
        <v>127.82</v>
      </c>
      <c r="Q5930" t="str">
        <f>A5930&amp;"-"&amp;B5930&amp;"-"&amp;D5930</f>
        <v>DESEMBER-CHW-L3</v>
      </c>
    </row>
    <row r="5931" spans="1:17" x14ac:dyDescent="0.25">
      <c r="A5931" t="s">
        <v>402</v>
      </c>
      <c r="B5931" s="13" t="s">
        <v>19</v>
      </c>
      <c r="C5931" s="13" t="s">
        <v>70</v>
      </c>
      <c r="D5931" s="14" t="s">
        <v>56</v>
      </c>
      <c r="E5931" s="13" t="s">
        <v>71</v>
      </c>
      <c r="F5931" s="13" t="s">
        <v>1019</v>
      </c>
      <c r="G5931" s="13">
        <v>5</v>
      </c>
      <c r="H5931" s="15">
        <v>20</v>
      </c>
      <c r="I5931" s="16">
        <v>100</v>
      </c>
      <c r="J5931" s="16">
        <v>92.982456140350877</v>
      </c>
      <c r="K5931" s="16">
        <v>7.0175438596491233</v>
      </c>
      <c r="L5931" s="13">
        <v>11.18</v>
      </c>
      <c r="M5931" s="13"/>
      <c r="N5931" s="17">
        <f t="shared" si="195"/>
        <v>223.6</v>
      </c>
      <c r="O5931" s="17">
        <f t="shared" si="195"/>
        <v>0</v>
      </c>
      <c r="P5931" s="17">
        <f t="shared" si="194"/>
        <v>223.6</v>
      </c>
      <c r="Q5931" t="str">
        <f>A5931&amp;"-"&amp;B5931&amp;"-"&amp;D5931</f>
        <v>DESEMBER-CHW-L3</v>
      </c>
    </row>
    <row r="5932" spans="1:17" x14ac:dyDescent="0.25">
      <c r="A5932" t="s">
        <v>402</v>
      </c>
      <c r="B5932" s="13" t="s">
        <v>19</v>
      </c>
      <c r="C5932" s="13" t="s">
        <v>70</v>
      </c>
      <c r="D5932" s="14" t="s">
        <v>56</v>
      </c>
      <c r="E5932" s="13" t="s">
        <v>71</v>
      </c>
      <c r="F5932" s="13" t="s">
        <v>1655</v>
      </c>
      <c r="G5932" s="13">
        <v>5</v>
      </c>
      <c r="H5932" s="15">
        <v>54</v>
      </c>
      <c r="I5932" s="16">
        <v>270</v>
      </c>
      <c r="J5932" s="16">
        <v>240.59210526315789</v>
      </c>
      <c r="K5932" s="16">
        <v>29.40789473684211</v>
      </c>
      <c r="L5932" s="13">
        <v>12.02</v>
      </c>
      <c r="M5932" s="13"/>
      <c r="N5932" s="17">
        <f t="shared" si="195"/>
        <v>649.07999999999993</v>
      </c>
      <c r="O5932" s="17">
        <f t="shared" si="195"/>
        <v>0</v>
      </c>
      <c r="P5932" s="17">
        <f t="shared" si="194"/>
        <v>649.07999999999993</v>
      </c>
      <c r="Q5932" t="str">
        <f>A5932&amp;"-"&amp;B5932&amp;"-"&amp;D5932</f>
        <v>DESEMBER-CHW-L3</v>
      </c>
    </row>
    <row r="5933" spans="1:17" x14ac:dyDescent="0.25">
      <c r="A5933" t="s">
        <v>402</v>
      </c>
      <c r="B5933" s="13" t="s">
        <v>19</v>
      </c>
      <c r="C5933" s="13" t="s">
        <v>70</v>
      </c>
      <c r="D5933" s="14" t="s">
        <v>56</v>
      </c>
      <c r="E5933" s="13" t="s">
        <v>71</v>
      </c>
      <c r="F5933" s="13" t="s">
        <v>1995</v>
      </c>
      <c r="G5933" s="13">
        <v>4.8</v>
      </c>
      <c r="H5933" s="15">
        <v>360</v>
      </c>
      <c r="I5933" s="16">
        <v>1728</v>
      </c>
      <c r="J5933" s="16">
        <v>1788.75</v>
      </c>
      <c r="K5933" s="16">
        <v>-60.749999999999972</v>
      </c>
      <c r="L5933" s="13">
        <v>13.1</v>
      </c>
      <c r="M5933" s="13"/>
      <c r="N5933" s="17">
        <f t="shared" si="195"/>
        <v>4716</v>
      </c>
      <c r="O5933" s="17">
        <f t="shared" si="195"/>
        <v>0</v>
      </c>
      <c r="P5933" s="17">
        <f t="shared" si="194"/>
        <v>4716</v>
      </c>
      <c r="Q5933" t="str">
        <f>A5933&amp;"-"&amp;B5933&amp;"-"&amp;D5933</f>
        <v>DESEMBER-CHW-L3</v>
      </c>
    </row>
    <row r="5934" spans="1:17" x14ac:dyDescent="0.25">
      <c r="A5934" t="s">
        <v>402</v>
      </c>
      <c r="B5934" s="13" t="s">
        <v>19</v>
      </c>
      <c r="C5934" s="13" t="s">
        <v>70</v>
      </c>
      <c r="D5934" s="14" t="s">
        <v>56</v>
      </c>
      <c r="E5934" s="13" t="s">
        <v>71</v>
      </c>
      <c r="F5934" s="13" t="s">
        <v>1131</v>
      </c>
      <c r="G5934" s="13">
        <v>4.8</v>
      </c>
      <c r="H5934" s="15">
        <v>2</v>
      </c>
      <c r="I5934" s="16">
        <v>9.6</v>
      </c>
      <c r="J5934" s="16">
        <v>21.632653061224488</v>
      </c>
      <c r="K5934" s="16">
        <v>-12.032653061224488</v>
      </c>
      <c r="L5934" s="13">
        <v>13.1</v>
      </c>
      <c r="M5934" s="13"/>
      <c r="N5934" s="17">
        <f t="shared" si="195"/>
        <v>26.2</v>
      </c>
      <c r="O5934" s="17">
        <f t="shared" si="195"/>
        <v>0</v>
      </c>
      <c r="P5934" s="17">
        <f t="shared" si="194"/>
        <v>26.2</v>
      </c>
      <c r="Q5934" t="str">
        <f>A5934&amp;"-"&amp;B5934&amp;"-"&amp;D5934</f>
        <v>DESEMBER-CHW-L3</v>
      </c>
    </row>
    <row r="5935" spans="1:17" x14ac:dyDescent="0.25">
      <c r="A5935" t="s">
        <v>402</v>
      </c>
      <c r="B5935" s="13" t="s">
        <v>19</v>
      </c>
      <c r="C5935" s="13" t="s">
        <v>70</v>
      </c>
      <c r="D5935" s="14" t="s">
        <v>56</v>
      </c>
      <c r="E5935" s="13" t="s">
        <v>71</v>
      </c>
      <c r="F5935" s="13" t="s">
        <v>1829</v>
      </c>
      <c r="G5935" s="13">
        <v>4.8</v>
      </c>
      <c r="H5935" s="15">
        <v>3</v>
      </c>
      <c r="I5935" s="16">
        <v>14.4</v>
      </c>
      <c r="J5935" s="16">
        <v>32.448979591836732</v>
      </c>
      <c r="K5935" s="16">
        <v>-18.048979591836734</v>
      </c>
      <c r="L5935" s="13">
        <v>12.56</v>
      </c>
      <c r="M5935" s="13"/>
      <c r="N5935" s="17">
        <f t="shared" si="195"/>
        <v>37.68</v>
      </c>
      <c r="O5935" s="17">
        <f t="shared" si="195"/>
        <v>0</v>
      </c>
      <c r="P5935" s="17">
        <f t="shared" si="194"/>
        <v>37.68</v>
      </c>
      <c r="Q5935" t="str">
        <f>A5935&amp;"-"&amp;B5935&amp;"-"&amp;D5935</f>
        <v>DESEMBER-CHW-L3</v>
      </c>
    </row>
    <row r="5936" spans="1:17" x14ac:dyDescent="0.25">
      <c r="A5936" t="s">
        <v>402</v>
      </c>
      <c r="B5936" s="13" t="s">
        <v>19</v>
      </c>
      <c r="C5936" s="13" t="s">
        <v>70</v>
      </c>
      <c r="D5936" s="14" t="s">
        <v>56</v>
      </c>
      <c r="E5936" s="13" t="s">
        <v>71</v>
      </c>
      <c r="F5936" s="13" t="s">
        <v>1830</v>
      </c>
      <c r="G5936" s="13">
        <v>4.8</v>
      </c>
      <c r="H5936" s="15">
        <v>286</v>
      </c>
      <c r="I5936" s="16">
        <v>1372.8</v>
      </c>
      <c r="J5936" s="16">
        <v>1636.5035733018619</v>
      </c>
      <c r="K5936" s="16">
        <v>-263.70357330186198</v>
      </c>
      <c r="L5936" s="13">
        <v>13.49</v>
      </c>
      <c r="M5936" s="13"/>
      <c r="N5936" s="17">
        <f t="shared" si="195"/>
        <v>3858.14</v>
      </c>
      <c r="O5936" s="17">
        <f t="shared" si="195"/>
        <v>0</v>
      </c>
      <c r="P5936" s="17">
        <f t="shared" si="194"/>
        <v>3858.14</v>
      </c>
      <c r="Q5936" t="str">
        <f>A5936&amp;"-"&amp;B5936&amp;"-"&amp;D5936</f>
        <v>DESEMBER-CHW-L3</v>
      </c>
    </row>
    <row r="5937" spans="1:17" x14ac:dyDescent="0.25">
      <c r="A5937" t="s">
        <v>402</v>
      </c>
      <c r="B5937" s="13" t="s">
        <v>19</v>
      </c>
      <c r="C5937" s="13" t="s">
        <v>70</v>
      </c>
      <c r="D5937" s="14" t="s">
        <v>56</v>
      </c>
      <c r="E5937" s="13" t="s">
        <v>71</v>
      </c>
      <c r="F5937" s="13" t="s">
        <v>1996</v>
      </c>
      <c r="G5937" s="13">
        <v>4.8</v>
      </c>
      <c r="H5937" s="15">
        <v>277</v>
      </c>
      <c r="I5937" s="16">
        <v>1329.6</v>
      </c>
      <c r="J5937" s="16">
        <v>1400.5246525045898</v>
      </c>
      <c r="K5937" s="16">
        <v>-70.924652504589531</v>
      </c>
      <c r="L5937" s="13">
        <v>12.7</v>
      </c>
      <c r="M5937" s="13"/>
      <c r="N5937" s="17">
        <f t="shared" si="195"/>
        <v>3517.8999999999996</v>
      </c>
      <c r="O5937" s="17">
        <f t="shared" si="195"/>
        <v>0</v>
      </c>
      <c r="P5937" s="17">
        <f t="shared" si="194"/>
        <v>3517.8999999999996</v>
      </c>
      <c r="Q5937" t="str">
        <f>A5937&amp;"-"&amp;B5937&amp;"-"&amp;D5937</f>
        <v>DESEMBER-CHW-L3</v>
      </c>
    </row>
    <row r="5938" spans="1:17" x14ac:dyDescent="0.25">
      <c r="A5938" t="s">
        <v>402</v>
      </c>
      <c r="B5938" s="13" t="s">
        <v>19</v>
      </c>
      <c r="C5938" s="13" t="s">
        <v>70</v>
      </c>
      <c r="D5938" s="14" t="s">
        <v>56</v>
      </c>
      <c r="E5938" s="13" t="s">
        <v>71</v>
      </c>
      <c r="F5938" s="13" t="s">
        <v>1656</v>
      </c>
      <c r="G5938" s="13">
        <v>5</v>
      </c>
      <c r="H5938" s="15">
        <v>28</v>
      </c>
      <c r="I5938" s="16">
        <v>140</v>
      </c>
      <c r="J5938" s="16">
        <v>301.17874736101334</v>
      </c>
      <c r="K5938" s="16">
        <v>-161.17874736101336</v>
      </c>
      <c r="L5938" s="13">
        <v>13</v>
      </c>
      <c r="M5938" s="13"/>
      <c r="N5938" s="17">
        <f t="shared" si="195"/>
        <v>364</v>
      </c>
      <c r="O5938" s="17">
        <f t="shared" si="195"/>
        <v>0</v>
      </c>
      <c r="P5938" s="17">
        <f t="shared" si="194"/>
        <v>364</v>
      </c>
      <c r="Q5938" t="str">
        <f>A5938&amp;"-"&amp;B5938&amp;"-"&amp;D5938</f>
        <v>DESEMBER-CHW-L3</v>
      </c>
    </row>
    <row r="5939" spans="1:17" x14ac:dyDescent="0.25">
      <c r="A5939" t="s">
        <v>402</v>
      </c>
      <c r="B5939" s="13" t="s">
        <v>19</v>
      </c>
      <c r="C5939" s="13" t="s">
        <v>70</v>
      </c>
      <c r="D5939" s="14" t="s">
        <v>56</v>
      </c>
      <c r="E5939" s="13" t="s">
        <v>71</v>
      </c>
      <c r="F5939" s="13" t="s">
        <v>1997</v>
      </c>
      <c r="G5939" s="13">
        <v>5</v>
      </c>
      <c r="H5939" s="15">
        <v>119</v>
      </c>
      <c r="I5939" s="16">
        <v>595</v>
      </c>
      <c r="J5939" s="16">
        <v>618.33333333333337</v>
      </c>
      <c r="K5939" s="16">
        <v>-23.333333333333329</v>
      </c>
      <c r="L5939" s="13">
        <v>14.13</v>
      </c>
      <c r="M5939" s="13"/>
      <c r="N5939" s="17">
        <f t="shared" si="195"/>
        <v>1681.47</v>
      </c>
      <c r="O5939" s="17">
        <f t="shared" si="195"/>
        <v>0</v>
      </c>
      <c r="P5939" s="17">
        <f t="shared" si="194"/>
        <v>1681.47</v>
      </c>
      <c r="Q5939" t="str">
        <f>A5939&amp;"-"&amp;B5939&amp;"-"&amp;D5939</f>
        <v>DESEMBER-CHW-L3</v>
      </c>
    </row>
    <row r="5940" spans="1:17" x14ac:dyDescent="0.25">
      <c r="A5940" t="s">
        <v>402</v>
      </c>
      <c r="B5940" s="13" t="s">
        <v>19</v>
      </c>
      <c r="C5940" s="13" t="s">
        <v>70</v>
      </c>
      <c r="D5940" s="14" t="s">
        <v>56</v>
      </c>
      <c r="E5940" s="13" t="s">
        <v>71</v>
      </c>
      <c r="F5940" s="13" t="s">
        <v>1833</v>
      </c>
      <c r="G5940" s="13">
        <v>5</v>
      </c>
      <c r="H5940" s="15">
        <v>32</v>
      </c>
      <c r="I5940" s="16">
        <v>160</v>
      </c>
      <c r="J5940" s="16">
        <v>141.33333333333334</v>
      </c>
      <c r="K5940" s="16">
        <v>18.666666666666657</v>
      </c>
      <c r="L5940" s="13">
        <v>12.31</v>
      </c>
      <c r="M5940" s="13"/>
      <c r="N5940" s="17">
        <f t="shared" si="195"/>
        <v>393.92</v>
      </c>
      <c r="O5940" s="17">
        <f t="shared" si="195"/>
        <v>0</v>
      </c>
      <c r="P5940" s="17">
        <f t="shared" si="194"/>
        <v>393.92</v>
      </c>
      <c r="Q5940" t="str">
        <f>A5940&amp;"-"&amp;B5940&amp;"-"&amp;D5940</f>
        <v>DESEMBER-CHW-L3</v>
      </c>
    </row>
    <row r="5941" spans="1:17" x14ac:dyDescent="0.25">
      <c r="A5941" t="s">
        <v>402</v>
      </c>
      <c r="B5941" s="13" t="s">
        <v>19</v>
      </c>
      <c r="C5941" s="13" t="s">
        <v>70</v>
      </c>
      <c r="D5941" s="14" t="s">
        <v>56</v>
      </c>
      <c r="E5941" s="13" t="s">
        <v>71</v>
      </c>
      <c r="F5941" s="13" t="s">
        <v>1998</v>
      </c>
      <c r="G5941" s="13">
        <v>5</v>
      </c>
      <c r="H5941" s="15">
        <v>291</v>
      </c>
      <c r="I5941" s="16">
        <v>1455</v>
      </c>
      <c r="J5941" s="16">
        <v>1707.041666666667</v>
      </c>
      <c r="K5941" s="16">
        <v>-252.04166666666669</v>
      </c>
      <c r="L5941" s="13">
        <v>15.14</v>
      </c>
      <c r="M5941" s="13"/>
      <c r="N5941" s="17">
        <f t="shared" si="195"/>
        <v>4405.74</v>
      </c>
      <c r="O5941" s="17">
        <f t="shared" si="195"/>
        <v>0</v>
      </c>
      <c r="P5941" s="17">
        <f t="shared" si="194"/>
        <v>4405.74</v>
      </c>
      <c r="Q5941" t="str">
        <f>A5941&amp;"-"&amp;B5941&amp;"-"&amp;D5941</f>
        <v>DESEMBER-CHW-L3</v>
      </c>
    </row>
    <row r="5942" spans="1:17" x14ac:dyDescent="0.25">
      <c r="A5942" t="s">
        <v>402</v>
      </c>
      <c r="B5942" s="13" t="s">
        <v>19</v>
      </c>
      <c r="C5942" s="13" t="s">
        <v>70</v>
      </c>
      <c r="D5942" s="14" t="s">
        <v>158</v>
      </c>
      <c r="E5942" s="13" t="s">
        <v>77</v>
      </c>
      <c r="F5942" s="13" t="s">
        <v>1999</v>
      </c>
      <c r="G5942" s="13">
        <v>3.7</v>
      </c>
      <c r="H5942" s="15">
        <v>704</v>
      </c>
      <c r="I5942" s="16">
        <v>2604.8000000000002</v>
      </c>
      <c r="J5942" s="16">
        <v>2650</v>
      </c>
      <c r="K5942" s="16">
        <v>-45.200000000000045</v>
      </c>
      <c r="L5942" s="13">
        <v>8.16</v>
      </c>
      <c r="M5942" s="13"/>
      <c r="N5942" s="17">
        <f t="shared" si="195"/>
        <v>5744.64</v>
      </c>
      <c r="O5942" s="17">
        <f t="shared" si="195"/>
        <v>0</v>
      </c>
      <c r="P5942" s="17">
        <f t="shared" si="194"/>
        <v>5744.64</v>
      </c>
      <c r="Q5942" t="str">
        <f>A5942&amp;"-"&amp;B5942&amp;"-"&amp;D5942</f>
        <v>DESEMBER-CHW-L4</v>
      </c>
    </row>
    <row r="5943" spans="1:17" x14ac:dyDescent="0.25">
      <c r="A5943" t="s">
        <v>402</v>
      </c>
      <c r="B5943" s="13" t="s">
        <v>19</v>
      </c>
      <c r="C5943" s="13" t="s">
        <v>70</v>
      </c>
      <c r="D5943" s="14" t="s">
        <v>158</v>
      </c>
      <c r="E5943" s="13" t="s">
        <v>142</v>
      </c>
      <c r="F5943" s="13" t="s">
        <v>2000</v>
      </c>
      <c r="G5943" s="13">
        <v>1.65</v>
      </c>
      <c r="H5943" s="15">
        <v>3984</v>
      </c>
      <c r="I5943" s="16">
        <v>6573.5999999999995</v>
      </c>
      <c r="J5943" s="16">
        <v>5135.7</v>
      </c>
      <c r="K5943" s="16">
        <v>1437.9</v>
      </c>
      <c r="L5943" s="13">
        <v>5.88</v>
      </c>
      <c r="M5943" s="13"/>
      <c r="N5943" s="17">
        <f t="shared" si="195"/>
        <v>23425.919999999998</v>
      </c>
      <c r="O5943" s="17">
        <f t="shared" si="195"/>
        <v>0</v>
      </c>
      <c r="P5943" s="17">
        <f t="shared" si="194"/>
        <v>23425.919999999998</v>
      </c>
      <c r="Q5943" t="str">
        <f>A5943&amp;"-"&amp;B5943&amp;"-"&amp;D5943</f>
        <v>DESEMBER-CHW-L4</v>
      </c>
    </row>
    <row r="5944" spans="1:17" x14ac:dyDescent="0.25">
      <c r="A5944" t="s">
        <v>402</v>
      </c>
      <c r="B5944" s="13" t="s">
        <v>19</v>
      </c>
      <c r="C5944" s="13" t="s">
        <v>70</v>
      </c>
      <c r="D5944" s="14" t="s">
        <v>158</v>
      </c>
      <c r="E5944" s="13" t="s">
        <v>142</v>
      </c>
      <c r="F5944" s="13" t="s">
        <v>1837</v>
      </c>
      <c r="G5944" s="13">
        <v>1.65</v>
      </c>
      <c r="H5944" s="15">
        <v>1139</v>
      </c>
      <c r="I5944" s="16">
        <v>1879.35</v>
      </c>
      <c r="J5944" s="16">
        <v>1975.0011337868482</v>
      </c>
      <c r="K5944" s="16">
        <v>-95.651133786848163</v>
      </c>
      <c r="L5944" s="13">
        <v>6.04</v>
      </c>
      <c r="M5944" s="13"/>
      <c r="N5944" s="17">
        <f t="shared" si="195"/>
        <v>6879.56</v>
      </c>
      <c r="O5944" s="17">
        <f t="shared" si="195"/>
        <v>0</v>
      </c>
      <c r="P5944" s="17">
        <f t="shared" si="194"/>
        <v>6879.56</v>
      </c>
      <c r="Q5944" t="str">
        <f>A5944&amp;"-"&amp;B5944&amp;"-"&amp;D5944</f>
        <v>DESEMBER-CHW-L4</v>
      </c>
    </row>
    <row r="5945" spans="1:17" x14ac:dyDescent="0.25">
      <c r="A5945" t="s">
        <v>402</v>
      </c>
      <c r="B5945" s="13" t="s">
        <v>19</v>
      </c>
      <c r="C5945" s="13" t="s">
        <v>70</v>
      </c>
      <c r="D5945" s="14" t="s">
        <v>158</v>
      </c>
      <c r="E5945" s="13" t="s">
        <v>142</v>
      </c>
      <c r="F5945" s="13" t="s">
        <v>1664</v>
      </c>
      <c r="G5945" s="13">
        <v>1.5</v>
      </c>
      <c r="H5945" s="15">
        <v>63</v>
      </c>
      <c r="I5945" s="16">
        <v>94.5</v>
      </c>
      <c r="J5945" s="16">
        <v>101.73356009070295</v>
      </c>
      <c r="K5945" s="16">
        <v>-7.2335600907029516</v>
      </c>
      <c r="L5945" s="13">
        <v>6.61</v>
      </c>
      <c r="M5945" s="13"/>
      <c r="N5945" s="17">
        <f t="shared" si="195"/>
        <v>416.43</v>
      </c>
      <c r="O5945" s="17">
        <f t="shared" si="195"/>
        <v>0</v>
      </c>
      <c r="P5945" s="17">
        <f t="shared" si="194"/>
        <v>416.43</v>
      </c>
      <c r="Q5945" t="str">
        <f>A5945&amp;"-"&amp;B5945&amp;"-"&amp;D5945</f>
        <v>DESEMBER-CHW-L4</v>
      </c>
    </row>
    <row r="5946" spans="1:17" x14ac:dyDescent="0.25">
      <c r="A5946" t="s">
        <v>402</v>
      </c>
      <c r="B5946" s="13" t="s">
        <v>19</v>
      </c>
      <c r="C5946" s="13" t="s">
        <v>70</v>
      </c>
      <c r="D5946" s="14" t="s">
        <v>158</v>
      </c>
      <c r="E5946" s="13" t="s">
        <v>142</v>
      </c>
      <c r="F5946" s="13" t="s">
        <v>1665</v>
      </c>
      <c r="G5946" s="13">
        <v>1.5</v>
      </c>
      <c r="H5946" s="15">
        <v>20</v>
      </c>
      <c r="I5946" s="16">
        <v>30</v>
      </c>
      <c r="J5946" s="16">
        <v>43.265306122448976</v>
      </c>
      <c r="K5946" s="16">
        <v>-13.265306122448976</v>
      </c>
      <c r="L5946" s="13">
        <v>6.5</v>
      </c>
      <c r="M5946" s="13"/>
      <c r="N5946" s="17">
        <f t="shared" si="195"/>
        <v>130</v>
      </c>
      <c r="O5946" s="17">
        <f t="shared" si="195"/>
        <v>0</v>
      </c>
      <c r="P5946" s="17">
        <f t="shared" si="194"/>
        <v>130</v>
      </c>
      <c r="Q5946" t="str">
        <f>A5946&amp;"-"&amp;B5946&amp;"-"&amp;D5946</f>
        <v>DESEMBER-CHW-L4</v>
      </c>
    </row>
    <row r="5947" spans="1:17" x14ac:dyDescent="0.25">
      <c r="A5947" t="s">
        <v>402</v>
      </c>
      <c r="B5947" s="13" t="s">
        <v>19</v>
      </c>
      <c r="C5947" s="13" t="s">
        <v>70</v>
      </c>
      <c r="D5947" s="14" t="s">
        <v>158</v>
      </c>
      <c r="E5947" s="13" t="s">
        <v>142</v>
      </c>
      <c r="F5947" s="13" t="s">
        <v>1840</v>
      </c>
      <c r="G5947" s="13">
        <v>1.5</v>
      </c>
      <c r="H5947" s="15">
        <v>25</v>
      </c>
      <c r="I5947" s="16">
        <v>37.5</v>
      </c>
      <c r="J5947" s="16">
        <v>33.125</v>
      </c>
      <c r="K5947" s="16">
        <v>4.375</v>
      </c>
      <c r="L5947" s="13">
        <v>5.95</v>
      </c>
      <c r="M5947" s="13"/>
      <c r="N5947" s="17">
        <f t="shared" si="195"/>
        <v>148.75</v>
      </c>
      <c r="O5947" s="17">
        <f t="shared" si="195"/>
        <v>0</v>
      </c>
      <c r="P5947" s="17">
        <f t="shared" si="194"/>
        <v>148.75</v>
      </c>
      <c r="Q5947" t="str">
        <f>A5947&amp;"-"&amp;B5947&amp;"-"&amp;D5947</f>
        <v>DESEMBER-CHW-L4</v>
      </c>
    </row>
    <row r="5948" spans="1:17" x14ac:dyDescent="0.25">
      <c r="A5948" t="s">
        <v>402</v>
      </c>
      <c r="B5948" s="13" t="s">
        <v>19</v>
      </c>
      <c r="C5948" s="13" t="s">
        <v>70</v>
      </c>
      <c r="D5948" s="14" t="s">
        <v>158</v>
      </c>
      <c r="E5948" s="13" t="s">
        <v>142</v>
      </c>
      <c r="F5948" s="13" t="s">
        <v>1841</v>
      </c>
      <c r="G5948" s="13">
        <v>1.5</v>
      </c>
      <c r="H5948" s="15">
        <v>99</v>
      </c>
      <c r="I5948" s="16">
        <v>148.5</v>
      </c>
      <c r="J5948" s="16">
        <v>131.17500000000001</v>
      </c>
      <c r="K5948" s="16">
        <v>17.324999999999996</v>
      </c>
      <c r="L5948" s="13">
        <v>6.25</v>
      </c>
      <c r="M5948" s="13"/>
      <c r="N5948" s="17">
        <f t="shared" si="195"/>
        <v>618.75</v>
      </c>
      <c r="O5948" s="17">
        <f t="shared" si="195"/>
        <v>0</v>
      </c>
      <c r="P5948" s="17">
        <f t="shared" si="194"/>
        <v>618.75</v>
      </c>
      <c r="Q5948" t="str">
        <f>A5948&amp;"-"&amp;B5948&amp;"-"&amp;D5948</f>
        <v>DESEMBER-CHW-L4</v>
      </c>
    </row>
    <row r="5949" spans="1:17" x14ac:dyDescent="0.25">
      <c r="A5949" t="s">
        <v>402</v>
      </c>
      <c r="B5949" s="13" t="s">
        <v>19</v>
      </c>
      <c r="C5949" s="13" t="s">
        <v>70</v>
      </c>
      <c r="D5949" s="14" t="s">
        <v>158</v>
      </c>
      <c r="E5949" s="13" t="s">
        <v>142</v>
      </c>
      <c r="F5949" s="13" t="s">
        <v>1022</v>
      </c>
      <c r="G5949" s="13">
        <v>1.5</v>
      </c>
      <c r="H5949" s="15">
        <v>14</v>
      </c>
      <c r="I5949" s="16">
        <v>21</v>
      </c>
      <c r="J5949" s="16">
        <v>224.84848484848484</v>
      </c>
      <c r="K5949" s="16">
        <v>-203.84848484848484</v>
      </c>
      <c r="L5949" s="13">
        <v>5.42</v>
      </c>
      <c r="M5949" s="13"/>
      <c r="N5949" s="17">
        <f t="shared" si="195"/>
        <v>75.88</v>
      </c>
      <c r="O5949" s="17">
        <f t="shared" si="195"/>
        <v>0</v>
      </c>
      <c r="P5949" s="17">
        <f t="shared" si="194"/>
        <v>75.88</v>
      </c>
      <c r="Q5949" t="str">
        <f>A5949&amp;"-"&amp;B5949&amp;"-"&amp;D5949</f>
        <v>DESEMBER-CHW-L4</v>
      </c>
    </row>
    <row r="5950" spans="1:17" x14ac:dyDescent="0.25">
      <c r="A5950" t="s">
        <v>402</v>
      </c>
      <c r="B5950" s="13" t="s">
        <v>19</v>
      </c>
      <c r="C5950" s="13" t="s">
        <v>70</v>
      </c>
      <c r="D5950" s="14" t="s">
        <v>158</v>
      </c>
      <c r="E5950" s="13" t="s">
        <v>142</v>
      </c>
      <c r="F5950" s="13" t="s">
        <v>1443</v>
      </c>
      <c r="G5950" s="13">
        <v>1.5</v>
      </c>
      <c r="H5950" s="15">
        <v>12</v>
      </c>
      <c r="I5950" s="16">
        <v>18</v>
      </c>
      <c r="J5950" s="16">
        <v>192.72727272727272</v>
      </c>
      <c r="K5950" s="16">
        <v>-174.72727272727272</v>
      </c>
      <c r="L5950" s="13">
        <v>5.98</v>
      </c>
      <c r="M5950" s="13"/>
      <c r="N5950" s="17">
        <f t="shared" si="195"/>
        <v>71.760000000000005</v>
      </c>
      <c r="O5950" s="17">
        <f t="shared" si="195"/>
        <v>0</v>
      </c>
      <c r="P5950" s="17">
        <f t="shared" si="194"/>
        <v>71.760000000000005</v>
      </c>
      <c r="Q5950" t="str">
        <f>A5950&amp;"-"&amp;B5950&amp;"-"&amp;D5950</f>
        <v>DESEMBER-CHW-L4</v>
      </c>
    </row>
    <row r="5951" spans="1:17" x14ac:dyDescent="0.25">
      <c r="A5951" t="s">
        <v>402</v>
      </c>
      <c r="B5951" s="13" t="s">
        <v>19</v>
      </c>
      <c r="C5951" s="13" t="s">
        <v>70</v>
      </c>
      <c r="D5951" s="14" t="s">
        <v>158</v>
      </c>
      <c r="E5951" s="13" t="s">
        <v>142</v>
      </c>
      <c r="F5951" s="13" t="s">
        <v>1447</v>
      </c>
      <c r="G5951" s="13">
        <v>1.6</v>
      </c>
      <c r="H5951" s="15">
        <v>7</v>
      </c>
      <c r="I5951" s="16">
        <v>11.2</v>
      </c>
      <c r="J5951" s="16">
        <v>112.42424242424242</v>
      </c>
      <c r="K5951" s="16">
        <v>-101.22424242424242</v>
      </c>
      <c r="L5951" s="13">
        <v>6.71</v>
      </c>
      <c r="M5951" s="13"/>
      <c r="N5951" s="17">
        <f t="shared" si="195"/>
        <v>46.97</v>
      </c>
      <c r="O5951" s="17">
        <f t="shared" si="195"/>
        <v>0</v>
      </c>
      <c r="P5951" s="17">
        <f t="shared" si="194"/>
        <v>46.97</v>
      </c>
      <c r="Q5951" t="str">
        <f>A5951&amp;"-"&amp;B5951&amp;"-"&amp;D5951</f>
        <v>DESEMBER-CHW-L4</v>
      </c>
    </row>
    <row r="5952" spans="1:17" x14ac:dyDescent="0.25">
      <c r="A5952" t="s">
        <v>402</v>
      </c>
      <c r="B5952" s="13" t="s">
        <v>20</v>
      </c>
      <c r="C5952" s="13" t="s">
        <v>70</v>
      </c>
      <c r="D5952" s="14" t="s">
        <v>56</v>
      </c>
      <c r="E5952" s="13" t="s">
        <v>71</v>
      </c>
      <c r="F5952" s="13" t="s">
        <v>1128</v>
      </c>
      <c r="G5952" s="13">
        <v>5</v>
      </c>
      <c r="H5952" s="15">
        <v>113</v>
      </c>
      <c r="I5952" s="16">
        <v>565</v>
      </c>
      <c r="J5952" s="16">
        <v>728.46831402831413</v>
      </c>
      <c r="K5952" s="16">
        <v>-163.46831402831407</v>
      </c>
      <c r="L5952" s="13">
        <v>11.96</v>
      </c>
      <c r="M5952" s="13"/>
      <c r="N5952" s="17">
        <f t="shared" si="195"/>
        <v>1351.48</v>
      </c>
      <c r="O5952" s="17">
        <f t="shared" si="195"/>
        <v>0</v>
      </c>
      <c r="P5952" s="17">
        <f t="shared" si="194"/>
        <v>1351.48</v>
      </c>
      <c r="Q5952" t="str">
        <f>A5952&amp;"-"&amp;B5952&amp;"-"&amp;D5952</f>
        <v>DESEMBER-CJL-L3</v>
      </c>
    </row>
    <row r="5953" spans="1:17" x14ac:dyDescent="0.25">
      <c r="A5953" t="s">
        <v>402</v>
      </c>
      <c r="B5953" s="13" t="s">
        <v>20</v>
      </c>
      <c r="C5953" s="13" t="s">
        <v>70</v>
      </c>
      <c r="D5953" s="14" t="s">
        <v>56</v>
      </c>
      <c r="E5953" s="13" t="s">
        <v>71</v>
      </c>
      <c r="F5953" s="13" t="s">
        <v>1436</v>
      </c>
      <c r="G5953" s="13">
        <v>5</v>
      </c>
      <c r="H5953" s="15">
        <v>1</v>
      </c>
      <c r="I5953" s="16">
        <v>5</v>
      </c>
      <c r="J5953" s="16">
        <v>6.2428571428571429</v>
      </c>
      <c r="K5953" s="16">
        <v>-1.2428571428571429</v>
      </c>
      <c r="L5953" s="13">
        <v>15.48</v>
      </c>
      <c r="M5953" s="13"/>
      <c r="N5953" s="17">
        <f t="shared" si="195"/>
        <v>15.48</v>
      </c>
      <c r="O5953" s="17">
        <f t="shared" si="195"/>
        <v>0</v>
      </c>
      <c r="P5953" s="17">
        <f t="shared" si="194"/>
        <v>15.48</v>
      </c>
      <c r="Q5953" t="str">
        <f>A5953&amp;"-"&amp;B5953&amp;"-"&amp;D5953</f>
        <v>DESEMBER-CJL-L3</v>
      </c>
    </row>
    <row r="5954" spans="1:17" x14ac:dyDescent="0.25">
      <c r="A5954" t="s">
        <v>402</v>
      </c>
      <c r="B5954" s="13" t="s">
        <v>20</v>
      </c>
      <c r="C5954" s="13" t="s">
        <v>70</v>
      </c>
      <c r="D5954" s="14" t="s">
        <v>56</v>
      </c>
      <c r="E5954" s="13" t="s">
        <v>71</v>
      </c>
      <c r="F5954" s="13" t="s">
        <v>1677</v>
      </c>
      <c r="G5954" s="13">
        <v>5</v>
      </c>
      <c r="H5954" s="15">
        <v>27</v>
      </c>
      <c r="I5954" s="16">
        <v>135</v>
      </c>
      <c r="J5954" s="16">
        <v>124.2</v>
      </c>
      <c r="K5954" s="16">
        <v>10.799999999999997</v>
      </c>
      <c r="L5954" s="13">
        <v>13.82</v>
      </c>
      <c r="M5954" s="13"/>
      <c r="N5954" s="17">
        <f t="shared" si="195"/>
        <v>373.14</v>
      </c>
      <c r="O5954" s="17">
        <f t="shared" si="195"/>
        <v>0</v>
      </c>
      <c r="P5954" s="17">
        <f t="shared" ref="P5954:P6017" si="196">N5954+O5954</f>
        <v>373.14</v>
      </c>
      <c r="Q5954" t="str">
        <f>A5954&amp;"-"&amp;B5954&amp;"-"&amp;D5954</f>
        <v>DESEMBER-CJL-L3</v>
      </c>
    </row>
    <row r="5955" spans="1:17" x14ac:dyDescent="0.25">
      <c r="A5955" t="s">
        <v>402</v>
      </c>
      <c r="B5955" s="13" t="s">
        <v>20</v>
      </c>
      <c r="C5955" s="13" t="s">
        <v>70</v>
      </c>
      <c r="D5955" s="14" t="s">
        <v>56</v>
      </c>
      <c r="E5955" s="13" t="s">
        <v>71</v>
      </c>
      <c r="F5955" s="13" t="s">
        <v>1438</v>
      </c>
      <c r="G5955" s="13">
        <v>5</v>
      </c>
      <c r="H5955" s="15">
        <v>55</v>
      </c>
      <c r="I5955" s="16">
        <v>275</v>
      </c>
      <c r="J5955" s="16">
        <v>240.35000000000002</v>
      </c>
      <c r="K5955" s="16">
        <v>34.649999999999977</v>
      </c>
      <c r="L5955" s="13">
        <v>12.59</v>
      </c>
      <c r="M5955" s="13"/>
      <c r="N5955" s="17">
        <f t="shared" si="195"/>
        <v>692.45</v>
      </c>
      <c r="O5955" s="17">
        <f t="shared" si="195"/>
        <v>0</v>
      </c>
      <c r="P5955" s="17">
        <f t="shared" si="196"/>
        <v>692.45</v>
      </c>
      <c r="Q5955" t="str">
        <f>A5955&amp;"-"&amp;B5955&amp;"-"&amp;D5955</f>
        <v>DESEMBER-CJL-L3</v>
      </c>
    </row>
    <row r="5956" spans="1:17" x14ac:dyDescent="0.25">
      <c r="A5956" t="s">
        <v>402</v>
      </c>
      <c r="B5956" s="13" t="s">
        <v>20</v>
      </c>
      <c r="C5956" s="13" t="s">
        <v>70</v>
      </c>
      <c r="D5956" s="14" t="s">
        <v>56</v>
      </c>
      <c r="E5956" s="13" t="s">
        <v>71</v>
      </c>
      <c r="F5956" s="13" t="s">
        <v>1252</v>
      </c>
      <c r="G5956" s="13">
        <v>4.8</v>
      </c>
      <c r="H5956" s="15">
        <v>1</v>
      </c>
      <c r="I5956" s="16">
        <v>4.8</v>
      </c>
      <c r="J5956" s="16">
        <v>4.5999999999999996</v>
      </c>
      <c r="K5956" s="16">
        <v>0.20000000000000018</v>
      </c>
      <c r="L5956" s="13">
        <v>12.19</v>
      </c>
      <c r="M5956" s="13"/>
      <c r="N5956" s="17">
        <f t="shared" ref="N5956:O6015" si="197">$H5956*L5956</f>
        <v>12.19</v>
      </c>
      <c r="O5956" s="17">
        <f t="shared" si="197"/>
        <v>0</v>
      </c>
      <c r="P5956" s="17">
        <f t="shared" si="196"/>
        <v>12.19</v>
      </c>
      <c r="Q5956" t="str">
        <f>A5956&amp;"-"&amp;B5956&amp;"-"&amp;D5956</f>
        <v>DESEMBER-CJL-L3</v>
      </c>
    </row>
    <row r="5957" spans="1:17" x14ac:dyDescent="0.25">
      <c r="A5957" t="s">
        <v>402</v>
      </c>
      <c r="B5957" s="13" t="s">
        <v>20</v>
      </c>
      <c r="C5957" s="13" t="s">
        <v>70</v>
      </c>
      <c r="D5957" s="14" t="s">
        <v>56</v>
      </c>
      <c r="E5957" s="13" t="s">
        <v>71</v>
      </c>
      <c r="F5957" s="13" t="s">
        <v>2001</v>
      </c>
      <c r="G5957" s="13">
        <v>4.8</v>
      </c>
      <c r="H5957" s="15">
        <v>500</v>
      </c>
      <c r="I5957" s="16">
        <v>2400</v>
      </c>
      <c r="J5957" s="16">
        <v>2223.87</v>
      </c>
      <c r="K5957" s="16">
        <v>176.12999999999997</v>
      </c>
      <c r="L5957" s="13">
        <v>10.81</v>
      </c>
      <c r="M5957" s="13"/>
      <c r="N5957" s="17">
        <f t="shared" si="197"/>
        <v>5405</v>
      </c>
      <c r="O5957" s="17">
        <f t="shared" si="197"/>
        <v>0</v>
      </c>
      <c r="P5957" s="17">
        <f t="shared" si="196"/>
        <v>5405</v>
      </c>
      <c r="Q5957" t="str">
        <f>A5957&amp;"-"&amp;B5957&amp;"-"&amp;D5957</f>
        <v>DESEMBER-CJL-L3</v>
      </c>
    </row>
    <row r="5958" spans="1:17" x14ac:dyDescent="0.25">
      <c r="A5958" t="s">
        <v>402</v>
      </c>
      <c r="B5958" s="13" t="s">
        <v>20</v>
      </c>
      <c r="C5958" s="13" t="s">
        <v>70</v>
      </c>
      <c r="D5958" s="14" t="s">
        <v>56</v>
      </c>
      <c r="E5958" s="13" t="s">
        <v>71</v>
      </c>
      <c r="F5958" s="13" t="s">
        <v>1253</v>
      </c>
      <c r="G5958" s="13">
        <v>5</v>
      </c>
      <c r="H5958" s="15">
        <v>44</v>
      </c>
      <c r="I5958" s="16">
        <v>220</v>
      </c>
      <c r="J5958" s="16">
        <v>192.28</v>
      </c>
      <c r="K5958" s="16">
        <v>27.72</v>
      </c>
      <c r="L5958" s="13">
        <v>11.98</v>
      </c>
      <c r="M5958" s="13"/>
      <c r="N5958" s="17">
        <f t="shared" si="197"/>
        <v>527.12</v>
      </c>
      <c r="O5958" s="17">
        <f t="shared" si="197"/>
        <v>0</v>
      </c>
      <c r="P5958" s="17">
        <f t="shared" si="196"/>
        <v>527.12</v>
      </c>
      <c r="Q5958" t="str">
        <f>A5958&amp;"-"&amp;B5958&amp;"-"&amp;D5958</f>
        <v>DESEMBER-CJL-L3</v>
      </c>
    </row>
    <row r="5959" spans="1:17" x14ac:dyDescent="0.25">
      <c r="A5959" t="s">
        <v>402</v>
      </c>
      <c r="B5959" s="13" t="s">
        <v>20</v>
      </c>
      <c r="C5959" s="13" t="s">
        <v>70</v>
      </c>
      <c r="D5959" s="14" t="s">
        <v>56</v>
      </c>
      <c r="E5959" s="13" t="s">
        <v>71</v>
      </c>
      <c r="F5959" s="13" t="s">
        <v>1846</v>
      </c>
      <c r="G5959" s="13">
        <v>5</v>
      </c>
      <c r="H5959" s="15">
        <v>66</v>
      </c>
      <c r="I5959" s="16">
        <v>330</v>
      </c>
      <c r="J5959" s="16">
        <v>303.14</v>
      </c>
      <c r="K5959" s="16">
        <v>26.860000000000021</v>
      </c>
      <c r="L5959" s="13">
        <v>10.32</v>
      </c>
      <c r="M5959" s="13"/>
      <c r="N5959" s="17">
        <f t="shared" si="197"/>
        <v>681.12</v>
      </c>
      <c r="O5959" s="17">
        <f t="shared" si="197"/>
        <v>0</v>
      </c>
      <c r="P5959" s="17">
        <f t="shared" si="196"/>
        <v>681.12</v>
      </c>
      <c r="Q5959" t="str">
        <f>A5959&amp;"-"&amp;B5959&amp;"-"&amp;D5959</f>
        <v>DESEMBER-CJL-L3</v>
      </c>
    </row>
    <row r="5960" spans="1:17" x14ac:dyDescent="0.25">
      <c r="A5960" t="s">
        <v>402</v>
      </c>
      <c r="B5960" s="13" t="s">
        <v>20</v>
      </c>
      <c r="C5960" s="13" t="s">
        <v>70</v>
      </c>
      <c r="D5960" s="14" t="s">
        <v>56</v>
      </c>
      <c r="E5960" s="13" t="s">
        <v>71</v>
      </c>
      <c r="F5960" s="13" t="s">
        <v>1017</v>
      </c>
      <c r="G5960" s="13">
        <v>5</v>
      </c>
      <c r="H5960" s="15">
        <v>10</v>
      </c>
      <c r="I5960" s="16">
        <v>50</v>
      </c>
      <c r="J5960" s="16">
        <v>43.7</v>
      </c>
      <c r="K5960" s="16">
        <v>6.2999999999999972</v>
      </c>
      <c r="L5960" s="13">
        <v>10.78</v>
      </c>
      <c r="M5960" s="13"/>
      <c r="N5960" s="17">
        <f t="shared" si="197"/>
        <v>107.8</v>
      </c>
      <c r="O5960" s="17">
        <f t="shared" si="197"/>
        <v>0</v>
      </c>
      <c r="P5960" s="17">
        <f t="shared" si="196"/>
        <v>107.8</v>
      </c>
      <c r="Q5960" t="str">
        <f>A5960&amp;"-"&amp;B5960&amp;"-"&amp;D5960</f>
        <v>DESEMBER-CJL-L3</v>
      </c>
    </row>
    <row r="5961" spans="1:17" x14ac:dyDescent="0.25">
      <c r="A5961" t="s">
        <v>402</v>
      </c>
      <c r="B5961" s="13" t="s">
        <v>20</v>
      </c>
      <c r="C5961" s="13" t="s">
        <v>70</v>
      </c>
      <c r="D5961" s="14" t="s">
        <v>56</v>
      </c>
      <c r="E5961" s="13" t="s">
        <v>71</v>
      </c>
      <c r="F5961" s="13" t="s">
        <v>1018</v>
      </c>
      <c r="G5961" s="13">
        <v>5</v>
      </c>
      <c r="H5961" s="15">
        <v>20</v>
      </c>
      <c r="I5961" s="16">
        <v>100</v>
      </c>
      <c r="J5961" s="16">
        <v>89.272857142857148</v>
      </c>
      <c r="K5961" s="16">
        <v>10.727142857142855</v>
      </c>
      <c r="L5961" s="13">
        <v>11.62</v>
      </c>
      <c r="M5961" s="13"/>
      <c r="N5961" s="17">
        <f t="shared" si="197"/>
        <v>232.39999999999998</v>
      </c>
      <c r="O5961" s="17">
        <f t="shared" si="197"/>
        <v>0</v>
      </c>
      <c r="P5961" s="17">
        <f t="shared" si="196"/>
        <v>232.39999999999998</v>
      </c>
      <c r="Q5961" t="str">
        <f>A5961&amp;"-"&amp;B5961&amp;"-"&amp;D5961</f>
        <v>DESEMBER-CJL-L3</v>
      </c>
    </row>
    <row r="5962" spans="1:17" x14ac:dyDescent="0.25">
      <c r="A5962" t="s">
        <v>402</v>
      </c>
      <c r="B5962" s="13" t="s">
        <v>20</v>
      </c>
      <c r="C5962" s="13" t="s">
        <v>70</v>
      </c>
      <c r="D5962" s="14" t="s">
        <v>56</v>
      </c>
      <c r="E5962" s="13" t="s">
        <v>71</v>
      </c>
      <c r="F5962" s="13" t="s">
        <v>1019</v>
      </c>
      <c r="G5962" s="13">
        <v>5</v>
      </c>
      <c r="H5962" s="15">
        <v>76</v>
      </c>
      <c r="I5962" s="16">
        <v>380</v>
      </c>
      <c r="J5962" s="16">
        <v>598.41441441441441</v>
      </c>
      <c r="K5962" s="16">
        <v>-218.41441441441441</v>
      </c>
      <c r="L5962" s="13">
        <v>11.18</v>
      </c>
      <c r="M5962" s="13"/>
      <c r="N5962" s="17">
        <f t="shared" si="197"/>
        <v>849.68</v>
      </c>
      <c r="O5962" s="17">
        <f t="shared" si="197"/>
        <v>0</v>
      </c>
      <c r="P5962" s="17">
        <f t="shared" si="196"/>
        <v>849.68</v>
      </c>
      <c r="Q5962" t="str">
        <f>A5962&amp;"-"&amp;B5962&amp;"-"&amp;D5962</f>
        <v>DESEMBER-CJL-L3</v>
      </c>
    </row>
    <row r="5963" spans="1:17" x14ac:dyDescent="0.25">
      <c r="A5963" t="s">
        <v>402</v>
      </c>
      <c r="B5963" s="13" t="s">
        <v>20</v>
      </c>
      <c r="C5963" s="13" t="s">
        <v>70</v>
      </c>
      <c r="D5963" s="14" t="s">
        <v>56</v>
      </c>
      <c r="E5963" s="13" t="s">
        <v>71</v>
      </c>
      <c r="F5963" s="13" t="s">
        <v>2002</v>
      </c>
      <c r="G5963" s="13">
        <v>5</v>
      </c>
      <c r="H5963" s="15">
        <v>350</v>
      </c>
      <c r="I5963" s="16">
        <v>1750</v>
      </c>
      <c r="J5963" s="16">
        <v>1574.8100000000002</v>
      </c>
      <c r="K5963" s="16">
        <v>175.18999999999997</v>
      </c>
      <c r="L5963" s="13">
        <v>11.99</v>
      </c>
      <c r="M5963" s="13"/>
      <c r="N5963" s="17">
        <f t="shared" si="197"/>
        <v>4196.5</v>
      </c>
      <c r="O5963" s="17">
        <f t="shared" si="197"/>
        <v>0</v>
      </c>
      <c r="P5963" s="17">
        <f t="shared" si="196"/>
        <v>4196.5</v>
      </c>
      <c r="Q5963" t="str">
        <f>A5963&amp;"-"&amp;B5963&amp;"-"&amp;D5963</f>
        <v>DESEMBER-CJL-L3</v>
      </c>
    </row>
    <row r="5964" spans="1:17" x14ac:dyDescent="0.25">
      <c r="A5964" t="s">
        <v>402</v>
      </c>
      <c r="B5964" s="13" t="s">
        <v>20</v>
      </c>
      <c r="C5964" s="13" t="s">
        <v>70</v>
      </c>
      <c r="D5964" s="14" t="s">
        <v>56</v>
      </c>
      <c r="E5964" s="13" t="s">
        <v>71</v>
      </c>
      <c r="F5964" s="13" t="s">
        <v>1131</v>
      </c>
      <c r="G5964" s="13">
        <v>4.8</v>
      </c>
      <c r="H5964" s="15">
        <v>65</v>
      </c>
      <c r="I5964" s="16">
        <v>312</v>
      </c>
      <c r="J5964" s="16">
        <v>284.05</v>
      </c>
      <c r="K5964" s="16">
        <v>27.950000000000003</v>
      </c>
      <c r="L5964" s="13">
        <v>13.1</v>
      </c>
      <c r="M5964" s="13"/>
      <c r="N5964" s="17">
        <f t="shared" si="197"/>
        <v>851.5</v>
      </c>
      <c r="O5964" s="17">
        <f t="shared" si="197"/>
        <v>0</v>
      </c>
      <c r="P5964" s="17">
        <f t="shared" si="196"/>
        <v>851.5</v>
      </c>
      <c r="Q5964" t="str">
        <f>A5964&amp;"-"&amp;B5964&amp;"-"&amp;D5964</f>
        <v>DESEMBER-CJL-L3</v>
      </c>
    </row>
    <row r="5965" spans="1:17" x14ac:dyDescent="0.25">
      <c r="A5965" t="s">
        <v>402</v>
      </c>
      <c r="B5965" s="13" t="s">
        <v>20</v>
      </c>
      <c r="C5965" s="13" t="s">
        <v>70</v>
      </c>
      <c r="D5965" s="14" t="s">
        <v>56</v>
      </c>
      <c r="E5965" s="13" t="s">
        <v>71</v>
      </c>
      <c r="F5965" s="13" t="s">
        <v>2003</v>
      </c>
      <c r="G5965" s="13">
        <v>5</v>
      </c>
      <c r="H5965" s="15">
        <v>107</v>
      </c>
      <c r="I5965" s="16">
        <v>535</v>
      </c>
      <c r="J5965" s="16">
        <v>493.61285714285714</v>
      </c>
      <c r="K5965" s="16">
        <v>41.387142857142855</v>
      </c>
      <c r="L5965" s="13">
        <v>11.98</v>
      </c>
      <c r="M5965" s="13"/>
      <c r="N5965" s="17">
        <f t="shared" si="197"/>
        <v>1281.8600000000001</v>
      </c>
      <c r="O5965" s="17">
        <f t="shared" si="197"/>
        <v>0</v>
      </c>
      <c r="P5965" s="17">
        <f t="shared" si="196"/>
        <v>1281.8600000000001</v>
      </c>
      <c r="Q5965" t="str">
        <f>A5965&amp;"-"&amp;B5965&amp;"-"&amp;D5965</f>
        <v>DESEMBER-CJL-L3</v>
      </c>
    </row>
    <row r="5966" spans="1:17" x14ac:dyDescent="0.25">
      <c r="A5966" t="s">
        <v>402</v>
      </c>
      <c r="B5966" s="13" t="s">
        <v>20</v>
      </c>
      <c r="C5966" s="13" t="s">
        <v>70</v>
      </c>
      <c r="D5966" s="14" t="s">
        <v>56</v>
      </c>
      <c r="E5966" s="13" t="s">
        <v>71</v>
      </c>
      <c r="F5966" s="13" t="s">
        <v>1020</v>
      </c>
      <c r="G5966" s="13">
        <v>5</v>
      </c>
      <c r="H5966" s="15">
        <v>107</v>
      </c>
      <c r="I5966" s="16">
        <v>535</v>
      </c>
      <c r="J5966" s="16">
        <v>498.74774774774772</v>
      </c>
      <c r="K5966" s="16">
        <v>36.252252252252255</v>
      </c>
      <c r="L5966" s="13">
        <v>11.98</v>
      </c>
      <c r="M5966" s="13"/>
      <c r="N5966" s="17">
        <f t="shared" si="197"/>
        <v>1281.8600000000001</v>
      </c>
      <c r="O5966" s="17">
        <f t="shared" si="197"/>
        <v>0</v>
      </c>
      <c r="P5966" s="17">
        <f t="shared" si="196"/>
        <v>1281.8600000000001</v>
      </c>
      <c r="Q5966" t="str">
        <f>A5966&amp;"-"&amp;B5966&amp;"-"&amp;D5966</f>
        <v>DESEMBER-CJL-L3</v>
      </c>
    </row>
    <row r="5967" spans="1:17" x14ac:dyDescent="0.25">
      <c r="A5967" t="s">
        <v>402</v>
      </c>
      <c r="B5967" s="13" t="s">
        <v>20</v>
      </c>
      <c r="C5967" s="13" t="s">
        <v>70</v>
      </c>
      <c r="D5967" s="14" t="s">
        <v>56</v>
      </c>
      <c r="E5967" s="13" t="s">
        <v>71</v>
      </c>
      <c r="F5967" s="13" t="s">
        <v>1848</v>
      </c>
      <c r="G5967" s="13">
        <v>5</v>
      </c>
      <c r="H5967" s="15">
        <v>1317</v>
      </c>
      <c r="I5967" s="16">
        <v>6585</v>
      </c>
      <c r="J5967" s="16">
        <v>6122.6</v>
      </c>
      <c r="K5967" s="16">
        <v>462.40000000000009</v>
      </c>
      <c r="L5967" s="13">
        <v>11.73</v>
      </c>
      <c r="M5967" s="13"/>
      <c r="N5967" s="17">
        <f t="shared" si="197"/>
        <v>15448.41</v>
      </c>
      <c r="O5967" s="17">
        <f t="shared" si="197"/>
        <v>0</v>
      </c>
      <c r="P5967" s="17">
        <f t="shared" si="196"/>
        <v>15448.41</v>
      </c>
      <c r="Q5967" t="str">
        <f>A5967&amp;"-"&amp;B5967&amp;"-"&amp;D5967</f>
        <v>DESEMBER-CJL-L3</v>
      </c>
    </row>
    <row r="5968" spans="1:17" x14ac:dyDescent="0.25">
      <c r="A5968" t="s">
        <v>402</v>
      </c>
      <c r="B5968" s="13" t="s">
        <v>20</v>
      </c>
      <c r="C5968" s="13" t="s">
        <v>70</v>
      </c>
      <c r="D5968" s="14" t="s">
        <v>56</v>
      </c>
      <c r="E5968" s="13" t="s">
        <v>71</v>
      </c>
      <c r="F5968" s="13" t="s">
        <v>1439</v>
      </c>
      <c r="G5968" s="13">
        <v>5</v>
      </c>
      <c r="H5968" s="15">
        <v>64</v>
      </c>
      <c r="I5968" s="16">
        <v>320</v>
      </c>
      <c r="J5968" s="16">
        <v>294.39999999999998</v>
      </c>
      <c r="K5968" s="16">
        <v>25.599999999999994</v>
      </c>
      <c r="L5968" s="13">
        <v>11.73</v>
      </c>
      <c r="M5968" s="13"/>
      <c r="N5968" s="17">
        <f t="shared" si="197"/>
        <v>750.72</v>
      </c>
      <c r="O5968" s="17">
        <f t="shared" si="197"/>
        <v>0</v>
      </c>
      <c r="P5968" s="17">
        <f t="shared" si="196"/>
        <v>750.72</v>
      </c>
      <c r="Q5968" t="str">
        <f>A5968&amp;"-"&amp;B5968&amp;"-"&amp;D5968</f>
        <v>DESEMBER-CJL-L3</v>
      </c>
    </row>
    <row r="5969" spans="1:17" x14ac:dyDescent="0.25">
      <c r="A5969" t="s">
        <v>402</v>
      </c>
      <c r="B5969" s="13" t="s">
        <v>20</v>
      </c>
      <c r="C5969" s="13" t="s">
        <v>70</v>
      </c>
      <c r="D5969" s="14" t="s">
        <v>56</v>
      </c>
      <c r="E5969" s="13" t="s">
        <v>71</v>
      </c>
      <c r="F5969" s="13" t="s">
        <v>1246</v>
      </c>
      <c r="G5969" s="13">
        <v>5</v>
      </c>
      <c r="H5969" s="15">
        <v>347</v>
      </c>
      <c r="I5969" s="16">
        <v>1735</v>
      </c>
      <c r="J5969" s="16">
        <v>1904.6409523809525</v>
      </c>
      <c r="K5969" s="16">
        <v>-169.6409523809524</v>
      </c>
      <c r="L5969" s="13">
        <v>12.66</v>
      </c>
      <c r="M5969" s="13"/>
      <c r="N5969" s="17">
        <f t="shared" si="197"/>
        <v>4393.0200000000004</v>
      </c>
      <c r="O5969" s="17">
        <f t="shared" si="197"/>
        <v>0</v>
      </c>
      <c r="P5969" s="17">
        <f t="shared" si="196"/>
        <v>4393.0200000000004</v>
      </c>
      <c r="Q5969" t="str">
        <f>A5969&amp;"-"&amp;B5969&amp;"-"&amp;D5969</f>
        <v>DESEMBER-CJL-L3</v>
      </c>
    </row>
    <row r="5970" spans="1:17" x14ac:dyDescent="0.25">
      <c r="A5970" t="s">
        <v>402</v>
      </c>
      <c r="B5970" s="13" t="s">
        <v>20</v>
      </c>
      <c r="C5970" s="13" t="s">
        <v>70</v>
      </c>
      <c r="D5970" s="14" t="s">
        <v>56</v>
      </c>
      <c r="E5970" s="13" t="s">
        <v>71</v>
      </c>
      <c r="F5970" s="13" t="s">
        <v>1850</v>
      </c>
      <c r="G5970" s="13">
        <v>5</v>
      </c>
      <c r="H5970" s="15">
        <v>1</v>
      </c>
      <c r="I5970" s="16">
        <v>5</v>
      </c>
      <c r="J5970" s="16">
        <v>4.5999999999999996</v>
      </c>
      <c r="K5970" s="16">
        <v>0.40000000000000036</v>
      </c>
      <c r="L5970" s="13">
        <v>13.02</v>
      </c>
      <c r="M5970" s="13"/>
      <c r="N5970" s="17">
        <f t="shared" si="197"/>
        <v>13.02</v>
      </c>
      <c r="O5970" s="17">
        <f t="shared" si="197"/>
        <v>0</v>
      </c>
      <c r="P5970" s="17">
        <f t="shared" si="196"/>
        <v>13.02</v>
      </c>
      <c r="Q5970" t="str">
        <f>A5970&amp;"-"&amp;B5970&amp;"-"&amp;D5970</f>
        <v>DESEMBER-CJL-L3</v>
      </c>
    </row>
    <row r="5971" spans="1:17" x14ac:dyDescent="0.25">
      <c r="A5971" t="s">
        <v>402</v>
      </c>
      <c r="B5971" s="13" t="s">
        <v>22</v>
      </c>
      <c r="C5971" s="13" t="s">
        <v>154</v>
      </c>
      <c r="D5971" s="14" t="s">
        <v>50</v>
      </c>
      <c r="E5971" s="13" t="s">
        <v>155</v>
      </c>
      <c r="F5971" s="13" t="s">
        <v>2004</v>
      </c>
      <c r="G5971" s="13">
        <v>0.52</v>
      </c>
      <c r="H5971" s="15">
        <v>1762</v>
      </c>
      <c r="I5971" s="16">
        <v>916.24</v>
      </c>
      <c r="J5971" s="16">
        <v>803.63532352941172</v>
      </c>
      <c r="K5971" s="16">
        <v>112.6046764705882</v>
      </c>
      <c r="L5971" s="13">
        <v>1.47</v>
      </c>
      <c r="M5971" s="13"/>
      <c r="N5971" s="17">
        <f t="shared" si="197"/>
        <v>2590.14</v>
      </c>
      <c r="O5971" s="17">
        <f t="shared" si="197"/>
        <v>0</v>
      </c>
      <c r="P5971" s="17">
        <f t="shared" si="196"/>
        <v>2590.14</v>
      </c>
      <c r="Q5971" t="str">
        <f>A5971&amp;"-"&amp;B5971&amp;"-"&amp;D5971</f>
        <v>DESEMBER-CNJ2-L2</v>
      </c>
    </row>
    <row r="5972" spans="1:17" x14ac:dyDescent="0.25">
      <c r="A5972" t="s">
        <v>402</v>
      </c>
      <c r="B5972" s="13" t="s">
        <v>22</v>
      </c>
      <c r="C5972" s="13" t="s">
        <v>154</v>
      </c>
      <c r="D5972" s="14" t="s">
        <v>50</v>
      </c>
      <c r="E5972" s="13" t="s">
        <v>155</v>
      </c>
      <c r="F5972" s="13" t="s">
        <v>2005</v>
      </c>
      <c r="G5972" s="13">
        <v>0.52</v>
      </c>
      <c r="H5972" s="15">
        <v>45</v>
      </c>
      <c r="I5972" s="16">
        <v>23.4</v>
      </c>
      <c r="J5972" s="16">
        <v>25.671212686567163</v>
      </c>
      <c r="K5972" s="16">
        <v>-2.2712126865671625</v>
      </c>
      <c r="L5972" s="13">
        <v>1.42</v>
      </c>
      <c r="M5972" s="13"/>
      <c r="N5972" s="17">
        <f t="shared" si="197"/>
        <v>63.9</v>
      </c>
      <c r="O5972" s="17">
        <f t="shared" si="197"/>
        <v>0</v>
      </c>
      <c r="P5972" s="17">
        <f t="shared" si="196"/>
        <v>63.9</v>
      </c>
      <c r="Q5972" t="str">
        <f>A5972&amp;"-"&amp;B5972&amp;"-"&amp;D5972</f>
        <v>DESEMBER-CNJ2-L2</v>
      </c>
    </row>
    <row r="5973" spans="1:17" x14ac:dyDescent="0.25">
      <c r="A5973" t="s">
        <v>402</v>
      </c>
      <c r="B5973" s="13" t="s">
        <v>22</v>
      </c>
      <c r="C5973" s="13" t="s">
        <v>154</v>
      </c>
      <c r="D5973" s="14" t="s">
        <v>50</v>
      </c>
      <c r="E5973" s="13" t="s">
        <v>155</v>
      </c>
      <c r="F5973" s="13" t="s">
        <v>2006</v>
      </c>
      <c r="G5973" s="13">
        <v>0.52</v>
      </c>
      <c r="H5973" s="15">
        <v>890</v>
      </c>
      <c r="I5973" s="16">
        <v>462.79999999999995</v>
      </c>
      <c r="J5973" s="16">
        <v>426.28873946444253</v>
      </c>
      <c r="K5973" s="16">
        <v>36.511260535557483</v>
      </c>
      <c r="L5973" s="13">
        <v>1.42</v>
      </c>
      <c r="M5973" s="13"/>
      <c r="N5973" s="17">
        <f t="shared" si="197"/>
        <v>1263.8</v>
      </c>
      <c r="O5973" s="17">
        <f t="shared" si="197"/>
        <v>0</v>
      </c>
      <c r="P5973" s="17">
        <f t="shared" si="196"/>
        <v>1263.8</v>
      </c>
      <c r="Q5973" t="str">
        <f>A5973&amp;"-"&amp;B5973&amp;"-"&amp;D5973</f>
        <v>DESEMBER-CNJ2-L2</v>
      </c>
    </row>
    <row r="5974" spans="1:17" x14ac:dyDescent="0.25">
      <c r="A5974" t="s">
        <v>402</v>
      </c>
      <c r="B5974" s="13" t="s">
        <v>22</v>
      </c>
      <c r="C5974" s="13" t="s">
        <v>154</v>
      </c>
      <c r="D5974" s="14" t="s">
        <v>50</v>
      </c>
      <c r="E5974" s="13" t="s">
        <v>155</v>
      </c>
      <c r="F5974" s="13" t="s">
        <v>2007</v>
      </c>
      <c r="G5974" s="13">
        <v>0.52</v>
      </c>
      <c r="H5974" s="15">
        <v>145</v>
      </c>
      <c r="I5974" s="16">
        <v>75.400000000000006</v>
      </c>
      <c r="J5974" s="16">
        <v>68.646838235294112</v>
      </c>
      <c r="K5974" s="16">
        <v>6.7531617647058884</v>
      </c>
      <c r="L5974" s="13">
        <v>1.42</v>
      </c>
      <c r="M5974" s="13"/>
      <c r="N5974" s="17">
        <f t="shared" si="197"/>
        <v>205.89999999999998</v>
      </c>
      <c r="O5974" s="17">
        <f t="shared" si="197"/>
        <v>0</v>
      </c>
      <c r="P5974" s="17">
        <f t="shared" si="196"/>
        <v>205.89999999999998</v>
      </c>
      <c r="Q5974" t="str">
        <f>A5974&amp;"-"&amp;B5974&amp;"-"&amp;D5974</f>
        <v>DESEMBER-CNJ2-L2</v>
      </c>
    </row>
    <row r="5975" spans="1:17" x14ac:dyDescent="0.25">
      <c r="A5975" t="s">
        <v>402</v>
      </c>
      <c r="B5975" s="13" t="s">
        <v>22</v>
      </c>
      <c r="C5975" s="13" t="s">
        <v>154</v>
      </c>
      <c r="D5975" s="14" t="s">
        <v>50</v>
      </c>
      <c r="E5975" s="13" t="s">
        <v>155</v>
      </c>
      <c r="F5975" s="13" t="s">
        <v>2008</v>
      </c>
      <c r="G5975" s="13">
        <v>0.52</v>
      </c>
      <c r="H5975" s="15">
        <v>798</v>
      </c>
      <c r="I5975" s="16">
        <v>414.96000000000004</v>
      </c>
      <c r="J5975" s="16">
        <v>368.97313235294115</v>
      </c>
      <c r="K5975" s="16">
        <v>45.98686764705883</v>
      </c>
      <c r="L5975" s="13">
        <v>1.42</v>
      </c>
      <c r="M5975" s="13"/>
      <c r="N5975" s="17">
        <f t="shared" si="197"/>
        <v>1133.1599999999999</v>
      </c>
      <c r="O5975" s="17">
        <f t="shared" si="197"/>
        <v>0</v>
      </c>
      <c r="P5975" s="17">
        <f t="shared" si="196"/>
        <v>1133.1599999999999</v>
      </c>
      <c r="Q5975" t="str">
        <f>A5975&amp;"-"&amp;B5975&amp;"-"&amp;D5975</f>
        <v>DESEMBER-CNJ2-L2</v>
      </c>
    </row>
    <row r="5976" spans="1:17" x14ac:dyDescent="0.25">
      <c r="A5976" t="s">
        <v>402</v>
      </c>
      <c r="B5976" s="13" t="s">
        <v>22</v>
      </c>
      <c r="C5976" s="13" t="s">
        <v>154</v>
      </c>
      <c r="D5976" s="14" t="s">
        <v>50</v>
      </c>
      <c r="E5976" s="13" t="s">
        <v>155</v>
      </c>
      <c r="F5976" s="13" t="s">
        <v>2009</v>
      </c>
      <c r="G5976" s="13">
        <v>0.52</v>
      </c>
      <c r="H5976" s="15">
        <v>1011</v>
      </c>
      <c r="I5976" s="16">
        <v>525.72</v>
      </c>
      <c r="J5976" s="16">
        <v>606.69659888059698</v>
      </c>
      <c r="K5976" s="16">
        <v>-80.97659888059701</v>
      </c>
      <c r="L5976" s="13">
        <v>1.42</v>
      </c>
      <c r="M5976" s="13"/>
      <c r="N5976" s="17">
        <f t="shared" si="197"/>
        <v>1435.62</v>
      </c>
      <c r="O5976" s="17">
        <f t="shared" si="197"/>
        <v>0</v>
      </c>
      <c r="P5976" s="17">
        <f t="shared" si="196"/>
        <v>1435.62</v>
      </c>
      <c r="Q5976" t="str">
        <f>A5976&amp;"-"&amp;B5976&amp;"-"&amp;D5976</f>
        <v>DESEMBER-CNJ2-L2</v>
      </c>
    </row>
    <row r="5977" spans="1:17" x14ac:dyDescent="0.25">
      <c r="A5977" t="s">
        <v>402</v>
      </c>
      <c r="B5977" s="13" t="s">
        <v>22</v>
      </c>
      <c r="C5977" s="13" t="s">
        <v>154</v>
      </c>
      <c r="D5977" s="14" t="s">
        <v>50</v>
      </c>
      <c r="E5977" s="13" t="s">
        <v>155</v>
      </c>
      <c r="F5977" s="13" t="s">
        <v>2010</v>
      </c>
      <c r="G5977" s="13">
        <v>0.52</v>
      </c>
      <c r="H5977" s="15">
        <v>255</v>
      </c>
      <c r="I5977" s="16">
        <v>132.6</v>
      </c>
      <c r="J5977" s="16">
        <v>170.41223507462686</v>
      </c>
      <c r="K5977" s="16">
        <v>-37.812235074626876</v>
      </c>
      <c r="L5977" s="13">
        <v>1.42</v>
      </c>
      <c r="M5977" s="13"/>
      <c r="N5977" s="17">
        <f t="shared" si="197"/>
        <v>362.09999999999997</v>
      </c>
      <c r="O5977" s="17">
        <f t="shared" si="197"/>
        <v>0</v>
      </c>
      <c r="P5977" s="17">
        <f t="shared" si="196"/>
        <v>362.09999999999997</v>
      </c>
      <c r="Q5977" t="str">
        <f>A5977&amp;"-"&amp;B5977&amp;"-"&amp;D5977</f>
        <v>DESEMBER-CNJ2-L2</v>
      </c>
    </row>
    <row r="5978" spans="1:17" x14ac:dyDescent="0.25">
      <c r="A5978" t="s">
        <v>402</v>
      </c>
      <c r="B5978" s="13" t="s">
        <v>22</v>
      </c>
      <c r="C5978" s="13" t="s">
        <v>154</v>
      </c>
      <c r="D5978" s="14" t="s">
        <v>50</v>
      </c>
      <c r="E5978" s="13" t="s">
        <v>155</v>
      </c>
      <c r="F5978" s="13" t="s">
        <v>2011</v>
      </c>
      <c r="G5978" s="13">
        <v>0.52</v>
      </c>
      <c r="H5978" s="15">
        <v>114</v>
      </c>
      <c r="I5978" s="16">
        <v>59.28</v>
      </c>
      <c r="J5978" s="16">
        <v>296.08257462686566</v>
      </c>
      <c r="K5978" s="16">
        <v>-236.80257462686566</v>
      </c>
      <c r="L5978" s="13">
        <v>1.42</v>
      </c>
      <c r="M5978" s="13"/>
      <c r="N5978" s="17">
        <f t="shared" si="197"/>
        <v>161.88</v>
      </c>
      <c r="O5978" s="17">
        <f t="shared" si="197"/>
        <v>0</v>
      </c>
      <c r="P5978" s="17">
        <f t="shared" si="196"/>
        <v>161.88</v>
      </c>
      <c r="Q5978" t="str">
        <f>A5978&amp;"-"&amp;B5978&amp;"-"&amp;D5978</f>
        <v>DESEMBER-CNJ2-L2</v>
      </c>
    </row>
    <row r="5979" spans="1:17" x14ac:dyDescent="0.25">
      <c r="A5979" t="s">
        <v>402</v>
      </c>
      <c r="B5979" s="13" t="s">
        <v>22</v>
      </c>
      <c r="C5979" s="13" t="s">
        <v>154</v>
      </c>
      <c r="D5979" s="14" t="s">
        <v>50</v>
      </c>
      <c r="E5979" s="13" t="s">
        <v>155</v>
      </c>
      <c r="F5979" s="13" t="s">
        <v>2012</v>
      </c>
      <c r="G5979" s="13">
        <v>0.52</v>
      </c>
      <c r="H5979" s="15">
        <v>30</v>
      </c>
      <c r="I5979" s="16">
        <v>15.600000000000001</v>
      </c>
      <c r="J5979" s="16">
        <v>18.316735074626866</v>
      </c>
      <c r="K5979" s="16">
        <v>-2.7167350746268655</v>
      </c>
      <c r="L5979" s="13">
        <v>1.42</v>
      </c>
      <c r="M5979" s="13"/>
      <c r="N5979" s="17">
        <f t="shared" si="197"/>
        <v>42.599999999999994</v>
      </c>
      <c r="O5979" s="17">
        <f t="shared" si="197"/>
        <v>0</v>
      </c>
      <c r="P5979" s="17">
        <f t="shared" si="196"/>
        <v>42.599999999999994</v>
      </c>
      <c r="Q5979" t="str">
        <f>A5979&amp;"-"&amp;B5979&amp;"-"&amp;D5979</f>
        <v>DESEMBER-CNJ2-L2</v>
      </c>
    </row>
    <row r="5980" spans="1:17" x14ac:dyDescent="0.25">
      <c r="A5980" t="s">
        <v>402</v>
      </c>
      <c r="B5980" s="13" t="s">
        <v>22</v>
      </c>
      <c r="C5980" s="13" t="s">
        <v>154</v>
      </c>
      <c r="D5980" s="14" t="s">
        <v>50</v>
      </c>
      <c r="E5980" s="13" t="s">
        <v>155</v>
      </c>
      <c r="F5980" s="13" t="s">
        <v>2013</v>
      </c>
      <c r="G5980" s="13">
        <v>0.52</v>
      </c>
      <c r="H5980" s="15">
        <v>60</v>
      </c>
      <c r="I5980" s="16">
        <v>31.2</v>
      </c>
      <c r="J5980" s="16">
        <v>38.437360074626866</v>
      </c>
      <c r="K5980" s="16">
        <v>-7.2373600746268663</v>
      </c>
      <c r="L5980" s="13">
        <v>1.42</v>
      </c>
      <c r="M5980" s="13"/>
      <c r="N5980" s="17">
        <f t="shared" si="197"/>
        <v>85.199999999999989</v>
      </c>
      <c r="O5980" s="17">
        <f t="shared" si="197"/>
        <v>0</v>
      </c>
      <c r="P5980" s="17">
        <f t="shared" si="196"/>
        <v>85.199999999999989</v>
      </c>
      <c r="Q5980" t="str">
        <f>A5980&amp;"-"&amp;B5980&amp;"-"&amp;D5980</f>
        <v>DESEMBER-CNJ2-L2</v>
      </c>
    </row>
    <row r="5981" spans="1:17" x14ac:dyDescent="0.25">
      <c r="A5981" t="s">
        <v>402</v>
      </c>
      <c r="B5981" s="13" t="s">
        <v>22</v>
      </c>
      <c r="C5981" s="13" t="s">
        <v>154</v>
      </c>
      <c r="D5981" s="14" t="s">
        <v>50</v>
      </c>
      <c r="E5981" s="13" t="s">
        <v>155</v>
      </c>
      <c r="F5981" s="13" t="s">
        <v>2014</v>
      </c>
      <c r="G5981" s="13">
        <v>0.52</v>
      </c>
      <c r="H5981" s="15">
        <v>360</v>
      </c>
      <c r="I5981" s="16">
        <v>187.2</v>
      </c>
      <c r="J5981" s="16">
        <v>170.43352941176471</v>
      </c>
      <c r="K5981" s="16">
        <v>16.766470588235293</v>
      </c>
      <c r="L5981" s="13">
        <v>1.42</v>
      </c>
      <c r="M5981" s="13"/>
      <c r="N5981" s="17">
        <f t="shared" si="197"/>
        <v>511.2</v>
      </c>
      <c r="O5981" s="17">
        <f t="shared" si="197"/>
        <v>0</v>
      </c>
      <c r="P5981" s="17">
        <f t="shared" si="196"/>
        <v>511.2</v>
      </c>
      <c r="Q5981" t="str">
        <f>A5981&amp;"-"&amp;B5981&amp;"-"&amp;D5981</f>
        <v>DESEMBER-CNJ2-L2</v>
      </c>
    </row>
    <row r="5982" spans="1:17" x14ac:dyDescent="0.25">
      <c r="A5982" t="s">
        <v>402</v>
      </c>
      <c r="B5982" s="13" t="s">
        <v>22</v>
      </c>
      <c r="C5982" s="13" t="s">
        <v>154</v>
      </c>
      <c r="D5982" s="14" t="s">
        <v>50</v>
      </c>
      <c r="E5982" s="13" t="s">
        <v>155</v>
      </c>
      <c r="F5982" s="13" t="s">
        <v>2015</v>
      </c>
      <c r="G5982" s="13">
        <v>0.52</v>
      </c>
      <c r="H5982" s="15">
        <v>2160</v>
      </c>
      <c r="I5982" s="16">
        <v>1123.1999999999998</v>
      </c>
      <c r="J5982" s="16">
        <v>995.3257205882353</v>
      </c>
      <c r="K5982" s="16">
        <v>127.87427941176476</v>
      </c>
      <c r="L5982" s="13">
        <v>1.42</v>
      </c>
      <c r="M5982" s="13"/>
      <c r="N5982" s="17">
        <f t="shared" si="197"/>
        <v>3067.2</v>
      </c>
      <c r="O5982" s="17">
        <f t="shared" si="197"/>
        <v>0</v>
      </c>
      <c r="P5982" s="17">
        <f t="shared" si="196"/>
        <v>3067.2</v>
      </c>
      <c r="Q5982" t="str">
        <f>A5982&amp;"-"&amp;B5982&amp;"-"&amp;D5982</f>
        <v>DESEMBER-CNJ2-L2</v>
      </c>
    </row>
    <row r="5983" spans="1:17" x14ac:dyDescent="0.25">
      <c r="A5983" t="s">
        <v>402</v>
      </c>
      <c r="B5983" s="13" t="s">
        <v>22</v>
      </c>
      <c r="C5983" s="13" t="s">
        <v>154</v>
      </c>
      <c r="D5983" s="14" t="s">
        <v>50</v>
      </c>
      <c r="E5983" s="13" t="s">
        <v>155</v>
      </c>
      <c r="F5983" s="13" t="s">
        <v>2016</v>
      </c>
      <c r="G5983" s="13">
        <v>0.52</v>
      </c>
      <c r="H5983" s="15">
        <v>6355</v>
      </c>
      <c r="I5983" s="16">
        <v>3304.5999999999995</v>
      </c>
      <c r="J5983" s="16">
        <v>2405.2460694591605</v>
      </c>
      <c r="K5983" s="16">
        <v>899.35393054083966</v>
      </c>
      <c r="L5983" s="13">
        <v>1.42</v>
      </c>
      <c r="M5983" s="13"/>
      <c r="N5983" s="17">
        <f t="shared" si="197"/>
        <v>9024.1</v>
      </c>
      <c r="O5983" s="17">
        <f t="shared" si="197"/>
        <v>0</v>
      </c>
      <c r="P5983" s="17">
        <f t="shared" si="196"/>
        <v>9024.1</v>
      </c>
      <c r="Q5983" t="str">
        <f>A5983&amp;"-"&amp;B5983&amp;"-"&amp;D5983</f>
        <v>DESEMBER-CNJ2-L2</v>
      </c>
    </row>
    <row r="5984" spans="1:17" x14ac:dyDescent="0.25">
      <c r="A5984" t="s">
        <v>402</v>
      </c>
      <c r="B5984" s="13" t="s">
        <v>22</v>
      </c>
      <c r="C5984" s="13" t="s">
        <v>154</v>
      </c>
      <c r="D5984" s="14" t="s">
        <v>50</v>
      </c>
      <c r="E5984" s="13" t="s">
        <v>155</v>
      </c>
      <c r="F5984" s="13" t="s">
        <v>2017</v>
      </c>
      <c r="G5984" s="13">
        <v>0.52</v>
      </c>
      <c r="H5984" s="15">
        <v>135</v>
      </c>
      <c r="I5984" s="16">
        <v>70.199999999999989</v>
      </c>
      <c r="J5984" s="16">
        <v>49.225701805474657</v>
      </c>
      <c r="K5984" s="16">
        <v>20.974298194525336</v>
      </c>
      <c r="L5984" s="13">
        <v>1.42</v>
      </c>
      <c r="M5984" s="13"/>
      <c r="N5984" s="17">
        <f t="shared" si="197"/>
        <v>191.7</v>
      </c>
      <c r="O5984" s="17">
        <f t="shared" si="197"/>
        <v>0</v>
      </c>
      <c r="P5984" s="17">
        <f t="shared" si="196"/>
        <v>191.7</v>
      </c>
      <c r="Q5984" t="str">
        <f>A5984&amp;"-"&amp;B5984&amp;"-"&amp;D5984</f>
        <v>DESEMBER-CNJ2-L2</v>
      </c>
    </row>
    <row r="5985" spans="1:17" x14ac:dyDescent="0.25">
      <c r="A5985" t="s">
        <v>402</v>
      </c>
      <c r="B5985" s="13" t="s">
        <v>22</v>
      </c>
      <c r="C5985" s="13" t="s">
        <v>154</v>
      </c>
      <c r="D5985" s="14" t="s">
        <v>50</v>
      </c>
      <c r="E5985" s="13" t="s">
        <v>155</v>
      </c>
      <c r="F5985" s="13" t="s">
        <v>2018</v>
      </c>
      <c r="G5985" s="13">
        <v>0.52</v>
      </c>
      <c r="H5985" s="15">
        <v>108</v>
      </c>
      <c r="I5985" s="16">
        <v>56.16</v>
      </c>
      <c r="J5985" s="16">
        <v>35.843168316831679</v>
      </c>
      <c r="K5985" s="16">
        <v>20.316831683168317</v>
      </c>
      <c r="L5985" s="13">
        <v>1.42</v>
      </c>
      <c r="M5985" s="13"/>
      <c r="N5985" s="17">
        <f t="shared" si="197"/>
        <v>153.35999999999999</v>
      </c>
      <c r="O5985" s="17">
        <f t="shared" si="197"/>
        <v>0</v>
      </c>
      <c r="P5985" s="17">
        <f t="shared" si="196"/>
        <v>153.35999999999999</v>
      </c>
      <c r="Q5985" t="str">
        <f>A5985&amp;"-"&amp;B5985&amp;"-"&amp;D5985</f>
        <v>DESEMBER-CNJ2-L2</v>
      </c>
    </row>
    <row r="5986" spans="1:17" x14ac:dyDescent="0.25">
      <c r="A5986" t="s">
        <v>402</v>
      </c>
      <c r="B5986" s="13" t="s">
        <v>22</v>
      </c>
      <c r="C5986" s="13" t="s">
        <v>154</v>
      </c>
      <c r="D5986" s="14" t="s">
        <v>50</v>
      </c>
      <c r="E5986" s="13" t="s">
        <v>155</v>
      </c>
      <c r="F5986" s="13" t="s">
        <v>2019</v>
      </c>
      <c r="G5986" s="13">
        <v>0.52</v>
      </c>
      <c r="H5986" s="15">
        <v>80</v>
      </c>
      <c r="I5986" s="16">
        <v>41.6</v>
      </c>
      <c r="J5986" s="16">
        <v>29.170786255096097</v>
      </c>
      <c r="K5986" s="16">
        <v>12.429213744903905</v>
      </c>
      <c r="L5986" s="13">
        <v>1.42</v>
      </c>
      <c r="M5986" s="13"/>
      <c r="N5986" s="17">
        <f t="shared" si="197"/>
        <v>113.6</v>
      </c>
      <c r="O5986" s="17">
        <f t="shared" si="197"/>
        <v>0</v>
      </c>
      <c r="P5986" s="17">
        <f t="shared" si="196"/>
        <v>113.6</v>
      </c>
      <c r="Q5986" t="str">
        <f>A5986&amp;"-"&amp;B5986&amp;"-"&amp;D5986</f>
        <v>DESEMBER-CNJ2-L2</v>
      </c>
    </row>
    <row r="5987" spans="1:17" x14ac:dyDescent="0.25">
      <c r="A5987" t="s">
        <v>402</v>
      </c>
      <c r="B5987" s="13" t="s">
        <v>22</v>
      </c>
      <c r="C5987" s="13" t="s">
        <v>154</v>
      </c>
      <c r="D5987" s="14" t="s">
        <v>50</v>
      </c>
      <c r="E5987" s="13" t="s">
        <v>155</v>
      </c>
      <c r="F5987" s="13" t="s">
        <v>2020</v>
      </c>
      <c r="G5987" s="13">
        <v>0.52</v>
      </c>
      <c r="H5987" s="15">
        <v>96</v>
      </c>
      <c r="I5987" s="16">
        <v>49.92</v>
      </c>
      <c r="J5987" s="16">
        <v>31.860594059405937</v>
      </c>
      <c r="K5987" s="16">
        <v>18.059405940594065</v>
      </c>
      <c r="L5987" s="13">
        <v>1.42</v>
      </c>
      <c r="M5987" s="13"/>
      <c r="N5987" s="17">
        <f t="shared" si="197"/>
        <v>136.32</v>
      </c>
      <c r="O5987" s="17">
        <f t="shared" si="197"/>
        <v>0</v>
      </c>
      <c r="P5987" s="17">
        <f t="shared" si="196"/>
        <v>136.32</v>
      </c>
      <c r="Q5987" t="str">
        <f>A5987&amp;"-"&amp;B5987&amp;"-"&amp;D5987</f>
        <v>DESEMBER-CNJ2-L2</v>
      </c>
    </row>
    <row r="5988" spans="1:17" x14ac:dyDescent="0.25">
      <c r="A5988" t="s">
        <v>402</v>
      </c>
      <c r="B5988" s="13" t="s">
        <v>22</v>
      </c>
      <c r="C5988" s="13" t="s">
        <v>154</v>
      </c>
      <c r="D5988" s="14" t="s">
        <v>164</v>
      </c>
      <c r="E5988" s="13" t="s">
        <v>155</v>
      </c>
      <c r="F5988" s="13" t="s">
        <v>2004</v>
      </c>
      <c r="G5988" s="13">
        <v>0.52</v>
      </c>
      <c r="H5988" s="15">
        <v>997</v>
      </c>
      <c r="I5988" s="16">
        <v>518.44000000000005</v>
      </c>
      <c r="J5988" s="16">
        <v>1059.6315</v>
      </c>
      <c r="K5988" s="16">
        <v>-541.19149999999991</v>
      </c>
      <c r="L5988" s="13">
        <v>1.47</v>
      </c>
      <c r="M5988" s="13"/>
      <c r="N5988" s="17">
        <f t="shared" si="197"/>
        <v>1465.59</v>
      </c>
      <c r="O5988" s="17">
        <f t="shared" si="197"/>
        <v>0</v>
      </c>
      <c r="P5988" s="17">
        <f t="shared" si="196"/>
        <v>1465.59</v>
      </c>
      <c r="Q5988" t="str">
        <f>A5988&amp;"-"&amp;B5988&amp;"-"&amp;D5988</f>
        <v>DESEMBER-CNJ2-L7</v>
      </c>
    </row>
    <row r="5989" spans="1:17" x14ac:dyDescent="0.25">
      <c r="A5989" t="s">
        <v>402</v>
      </c>
      <c r="B5989" s="13" t="s">
        <v>22</v>
      </c>
      <c r="C5989" s="13" t="s">
        <v>154</v>
      </c>
      <c r="D5989" s="14" t="s">
        <v>164</v>
      </c>
      <c r="E5989" s="13" t="s">
        <v>155</v>
      </c>
      <c r="F5989" s="13" t="s">
        <v>2006</v>
      </c>
      <c r="G5989" s="13">
        <v>0.52</v>
      </c>
      <c r="H5989" s="15">
        <v>104</v>
      </c>
      <c r="I5989" s="16">
        <v>54.08</v>
      </c>
      <c r="J5989" s="16">
        <v>488.41034210526317</v>
      </c>
      <c r="K5989" s="16">
        <v>-434.33034210526318</v>
      </c>
      <c r="L5989" s="13">
        <v>1.42</v>
      </c>
      <c r="M5989" s="13"/>
      <c r="N5989" s="17">
        <f t="shared" si="197"/>
        <v>147.68</v>
      </c>
      <c r="O5989" s="17">
        <f t="shared" si="197"/>
        <v>0</v>
      </c>
      <c r="P5989" s="17">
        <f t="shared" si="196"/>
        <v>147.68</v>
      </c>
      <c r="Q5989" t="str">
        <f>A5989&amp;"-"&amp;B5989&amp;"-"&amp;D5989</f>
        <v>DESEMBER-CNJ2-L7</v>
      </c>
    </row>
    <row r="5990" spans="1:17" x14ac:dyDescent="0.25">
      <c r="A5990" t="s">
        <v>402</v>
      </c>
      <c r="B5990" s="13" t="s">
        <v>22</v>
      </c>
      <c r="C5990" s="13" t="s">
        <v>154</v>
      </c>
      <c r="D5990" s="14" t="s">
        <v>164</v>
      </c>
      <c r="E5990" s="13" t="s">
        <v>155</v>
      </c>
      <c r="F5990" s="13" t="s">
        <v>2008</v>
      </c>
      <c r="G5990" s="13">
        <v>0.52</v>
      </c>
      <c r="H5990" s="15">
        <v>65</v>
      </c>
      <c r="I5990" s="16">
        <v>33.799999999999997</v>
      </c>
      <c r="J5990" s="16">
        <v>70.244249999999994</v>
      </c>
      <c r="K5990" s="16">
        <v>-36.444249999999997</v>
      </c>
      <c r="L5990" s="13">
        <v>1.42</v>
      </c>
      <c r="M5990" s="13"/>
      <c r="N5990" s="17">
        <f t="shared" si="197"/>
        <v>92.3</v>
      </c>
      <c r="O5990" s="17">
        <f t="shared" si="197"/>
        <v>0</v>
      </c>
      <c r="P5990" s="17">
        <f t="shared" si="196"/>
        <v>92.3</v>
      </c>
      <c r="Q5990" t="str">
        <f>A5990&amp;"-"&amp;B5990&amp;"-"&amp;D5990</f>
        <v>DESEMBER-CNJ2-L7</v>
      </c>
    </row>
    <row r="5991" spans="1:17" x14ac:dyDescent="0.25">
      <c r="A5991" t="s">
        <v>402</v>
      </c>
      <c r="B5991" s="13" t="s">
        <v>22</v>
      </c>
      <c r="C5991" s="13" t="s">
        <v>154</v>
      </c>
      <c r="D5991" s="14" t="s">
        <v>164</v>
      </c>
      <c r="E5991" s="13" t="s">
        <v>155</v>
      </c>
      <c r="F5991" s="13" t="s">
        <v>2009</v>
      </c>
      <c r="G5991" s="13">
        <v>0.52</v>
      </c>
      <c r="H5991" s="15">
        <v>114</v>
      </c>
      <c r="I5991" s="16">
        <v>59.28</v>
      </c>
      <c r="J5991" s="16">
        <v>127.95075</v>
      </c>
      <c r="K5991" s="16">
        <v>-68.670749999999998</v>
      </c>
      <c r="L5991" s="13">
        <v>1.42</v>
      </c>
      <c r="M5991" s="13"/>
      <c r="N5991" s="17">
        <f t="shared" si="197"/>
        <v>161.88</v>
      </c>
      <c r="O5991" s="17">
        <f t="shared" si="197"/>
        <v>0</v>
      </c>
      <c r="P5991" s="17">
        <f t="shared" si="196"/>
        <v>161.88</v>
      </c>
      <c r="Q5991" t="str">
        <f>A5991&amp;"-"&amp;B5991&amp;"-"&amp;D5991</f>
        <v>DESEMBER-CNJ2-L7</v>
      </c>
    </row>
    <row r="5992" spans="1:17" x14ac:dyDescent="0.25">
      <c r="A5992" t="s">
        <v>402</v>
      </c>
      <c r="B5992" s="13" t="s">
        <v>22</v>
      </c>
      <c r="C5992" s="13" t="s">
        <v>43</v>
      </c>
      <c r="D5992" s="14" t="s">
        <v>44</v>
      </c>
      <c r="E5992" s="13" t="s">
        <v>165</v>
      </c>
      <c r="F5992" s="13" t="s">
        <v>1858</v>
      </c>
      <c r="G5992" s="13">
        <v>1.85</v>
      </c>
      <c r="H5992" s="15">
        <v>85</v>
      </c>
      <c r="I5992" s="16">
        <v>157.25</v>
      </c>
      <c r="J5992" s="16">
        <v>469.29</v>
      </c>
      <c r="K5992" s="16">
        <v>-312.04000000000002</v>
      </c>
      <c r="L5992" s="13"/>
      <c r="M5992" s="13">
        <v>1.95</v>
      </c>
      <c r="N5992" s="17">
        <f t="shared" si="197"/>
        <v>0</v>
      </c>
      <c r="O5992" s="17">
        <f t="shared" si="197"/>
        <v>165.75</v>
      </c>
      <c r="P5992" s="17">
        <f t="shared" si="196"/>
        <v>165.75</v>
      </c>
      <c r="Q5992" t="str">
        <f>A5992&amp;"-"&amp;B5992&amp;"-"&amp;D5992</f>
        <v>DESEMBER-CNJ2-L1</v>
      </c>
    </row>
    <row r="5993" spans="1:17" x14ac:dyDescent="0.25">
      <c r="A5993" t="s">
        <v>402</v>
      </c>
      <c r="B5993" s="13" t="s">
        <v>22</v>
      </c>
      <c r="C5993" s="13" t="s">
        <v>43</v>
      </c>
      <c r="D5993" s="14" t="s">
        <v>44</v>
      </c>
      <c r="E5993" s="13" t="s">
        <v>71</v>
      </c>
      <c r="F5993" s="13" t="s">
        <v>1862</v>
      </c>
      <c r="G5993" s="13">
        <v>3.6700000000000004</v>
      </c>
      <c r="H5993" s="15">
        <v>909</v>
      </c>
      <c r="I5993" s="16">
        <v>3336.03</v>
      </c>
      <c r="J5993" s="16">
        <v>3754.29</v>
      </c>
      <c r="K5993" s="16">
        <v>-418.25999999999993</v>
      </c>
      <c r="L5993" s="13"/>
      <c r="M5993" s="13">
        <v>3.8</v>
      </c>
      <c r="N5993" s="17">
        <f t="shared" si="197"/>
        <v>0</v>
      </c>
      <c r="O5993" s="17">
        <f t="shared" si="197"/>
        <v>3454.2</v>
      </c>
      <c r="P5993" s="17">
        <f t="shared" si="196"/>
        <v>3454.2</v>
      </c>
      <c r="Q5993" t="str">
        <f>A5993&amp;"-"&amp;B5993&amp;"-"&amp;D5993</f>
        <v>DESEMBER-CNJ2-L1</v>
      </c>
    </row>
    <row r="5994" spans="1:17" x14ac:dyDescent="0.25">
      <c r="A5994" t="s">
        <v>402</v>
      </c>
      <c r="B5994" s="13" t="s">
        <v>22</v>
      </c>
      <c r="C5994" s="13" t="s">
        <v>43</v>
      </c>
      <c r="D5994" s="14" t="s">
        <v>44</v>
      </c>
      <c r="E5994" s="13" t="s">
        <v>58</v>
      </c>
      <c r="F5994" s="13" t="s">
        <v>2021</v>
      </c>
      <c r="G5994" s="13">
        <v>3.5200000000000014</v>
      </c>
      <c r="H5994" s="15">
        <v>1655</v>
      </c>
      <c r="I5994" s="16">
        <v>5825.6</v>
      </c>
      <c r="J5994" s="16">
        <v>11262.87</v>
      </c>
      <c r="K5994" s="16">
        <v>-5437.2699999999986</v>
      </c>
      <c r="L5994" s="13"/>
      <c r="M5994" s="13">
        <v>3.65</v>
      </c>
      <c r="N5994" s="17">
        <f t="shared" si="197"/>
        <v>0</v>
      </c>
      <c r="O5994" s="17">
        <f t="shared" si="197"/>
        <v>6040.75</v>
      </c>
      <c r="P5994" s="17">
        <f t="shared" si="196"/>
        <v>6040.75</v>
      </c>
      <c r="Q5994" t="str">
        <f>A5994&amp;"-"&amp;B5994&amp;"-"&amp;D5994</f>
        <v>DESEMBER-CNJ2-L1</v>
      </c>
    </row>
    <row r="5995" spans="1:17" x14ac:dyDescent="0.25">
      <c r="A5995" t="s">
        <v>402</v>
      </c>
      <c r="B5995" s="13" t="s">
        <v>22</v>
      </c>
      <c r="C5995" s="13" t="s">
        <v>43</v>
      </c>
      <c r="D5995" s="14" t="s">
        <v>50</v>
      </c>
      <c r="E5995" s="13" t="s">
        <v>1271</v>
      </c>
      <c r="F5995" s="13" t="s">
        <v>2022</v>
      </c>
      <c r="G5995" s="13">
        <v>0.34</v>
      </c>
      <c r="H5995" s="15">
        <v>2109</v>
      </c>
      <c r="I5995" s="16">
        <v>717.06</v>
      </c>
      <c r="J5995" s="16">
        <v>874.43368010403117</v>
      </c>
      <c r="K5995" s="16">
        <v>-157.37368010403119</v>
      </c>
      <c r="L5995" s="13"/>
      <c r="M5995" s="13">
        <v>0.35</v>
      </c>
      <c r="N5995" s="17">
        <f t="shared" si="197"/>
        <v>0</v>
      </c>
      <c r="O5995" s="17">
        <f t="shared" si="197"/>
        <v>738.15</v>
      </c>
      <c r="P5995" s="17">
        <f t="shared" si="196"/>
        <v>738.15</v>
      </c>
      <c r="Q5995" t="str">
        <f>A5995&amp;"-"&amp;B5995&amp;"-"&amp;D5995</f>
        <v>DESEMBER-CNJ2-L2</v>
      </c>
    </row>
    <row r="5996" spans="1:17" x14ac:dyDescent="0.25">
      <c r="A5996" t="s">
        <v>402</v>
      </c>
      <c r="B5996" s="13" t="s">
        <v>22</v>
      </c>
      <c r="C5996" s="13" t="s">
        <v>43</v>
      </c>
      <c r="D5996" s="14" t="s">
        <v>56</v>
      </c>
      <c r="E5996" s="13" t="s">
        <v>305</v>
      </c>
      <c r="F5996" s="13" t="s">
        <v>1696</v>
      </c>
      <c r="G5996" s="13">
        <v>2.78</v>
      </c>
      <c r="H5996" s="15">
        <v>55</v>
      </c>
      <c r="I5996" s="16">
        <v>152.9</v>
      </c>
      <c r="J5996" s="16">
        <v>84.034883720930239</v>
      </c>
      <c r="K5996" s="16">
        <v>68.865116279069767</v>
      </c>
      <c r="L5996" s="13"/>
      <c r="M5996" s="13">
        <v>2.95</v>
      </c>
      <c r="N5996" s="17">
        <f t="shared" si="197"/>
        <v>0</v>
      </c>
      <c r="O5996" s="17">
        <f t="shared" si="197"/>
        <v>162.25</v>
      </c>
      <c r="P5996" s="17">
        <f t="shared" si="196"/>
        <v>162.25</v>
      </c>
      <c r="Q5996" t="str">
        <f>A5996&amp;"-"&amp;B5996&amp;"-"&amp;D5996</f>
        <v>DESEMBER-CNJ2-L3</v>
      </c>
    </row>
    <row r="5997" spans="1:17" x14ac:dyDescent="0.25">
      <c r="A5997" t="s">
        <v>402</v>
      </c>
      <c r="B5997" s="13" t="s">
        <v>22</v>
      </c>
      <c r="C5997" s="13" t="s">
        <v>43</v>
      </c>
      <c r="D5997" s="14" t="s">
        <v>56</v>
      </c>
      <c r="E5997" s="13" t="s">
        <v>179</v>
      </c>
      <c r="F5997" s="13" t="s">
        <v>2023</v>
      </c>
      <c r="G5997" s="13">
        <v>1.54</v>
      </c>
      <c r="H5997" s="15">
        <v>986</v>
      </c>
      <c r="I5997" s="16">
        <v>1518.44</v>
      </c>
      <c r="J5997" s="16">
        <v>1423.7406593406592</v>
      </c>
      <c r="K5997" s="16">
        <v>94.699340659340805</v>
      </c>
      <c r="L5997" s="13"/>
      <c r="M5997" s="13">
        <v>1.65</v>
      </c>
      <c r="N5997" s="17">
        <f t="shared" si="197"/>
        <v>0</v>
      </c>
      <c r="O5997" s="17">
        <f t="shared" si="197"/>
        <v>1626.8999999999999</v>
      </c>
      <c r="P5997" s="17">
        <f t="shared" si="196"/>
        <v>1626.8999999999999</v>
      </c>
      <c r="Q5997" t="str">
        <f>A5997&amp;"-"&amp;B5997&amp;"-"&amp;D5997</f>
        <v>DESEMBER-CNJ2-L3</v>
      </c>
    </row>
    <row r="5998" spans="1:17" x14ac:dyDescent="0.25">
      <c r="A5998" t="s">
        <v>402</v>
      </c>
      <c r="B5998" s="13" t="s">
        <v>22</v>
      </c>
      <c r="C5998" s="13" t="s">
        <v>43</v>
      </c>
      <c r="D5998" s="14" t="s">
        <v>56</v>
      </c>
      <c r="E5998" s="13" t="s">
        <v>179</v>
      </c>
      <c r="F5998" s="13" t="s">
        <v>2024</v>
      </c>
      <c r="G5998" s="13">
        <v>1.54</v>
      </c>
      <c r="H5998" s="15">
        <v>860</v>
      </c>
      <c r="I5998" s="16">
        <v>1324.4</v>
      </c>
      <c r="J5998" s="16">
        <v>1191.2680219780218</v>
      </c>
      <c r="K5998" s="16">
        <v>133.13197802197806</v>
      </c>
      <c r="L5998" s="13"/>
      <c r="M5998" s="13">
        <v>1.65</v>
      </c>
      <c r="N5998" s="17">
        <f t="shared" si="197"/>
        <v>0</v>
      </c>
      <c r="O5998" s="17">
        <f t="shared" si="197"/>
        <v>1419</v>
      </c>
      <c r="P5998" s="17">
        <f t="shared" si="196"/>
        <v>1419</v>
      </c>
      <c r="Q5998" t="str">
        <f>A5998&amp;"-"&amp;B5998&amp;"-"&amp;D5998</f>
        <v>DESEMBER-CNJ2-L3</v>
      </c>
    </row>
    <row r="5999" spans="1:17" x14ac:dyDescent="0.25">
      <c r="A5999" t="s">
        <v>402</v>
      </c>
      <c r="B5999" s="13" t="s">
        <v>22</v>
      </c>
      <c r="C5999" s="13" t="s">
        <v>43</v>
      </c>
      <c r="D5999" s="14" t="s">
        <v>56</v>
      </c>
      <c r="E5999" s="13" t="s">
        <v>179</v>
      </c>
      <c r="F5999" s="13" t="s">
        <v>2025</v>
      </c>
      <c r="G5999" s="13">
        <v>1.54</v>
      </c>
      <c r="H5999" s="15">
        <v>2264</v>
      </c>
      <c r="I5999" s="16">
        <v>3486.56</v>
      </c>
      <c r="J5999" s="16">
        <v>3264.4841840659342</v>
      </c>
      <c r="K5999" s="16">
        <v>222.07581593406613</v>
      </c>
      <c r="L5999" s="13"/>
      <c r="M5999" s="13">
        <v>1.65</v>
      </c>
      <c r="N5999" s="17">
        <f t="shared" si="197"/>
        <v>0</v>
      </c>
      <c r="O5999" s="17">
        <f t="shared" si="197"/>
        <v>3735.6</v>
      </c>
      <c r="P5999" s="17">
        <f t="shared" si="196"/>
        <v>3735.6</v>
      </c>
      <c r="Q5999" t="str">
        <f>A5999&amp;"-"&amp;B5999&amp;"-"&amp;D5999</f>
        <v>DESEMBER-CNJ2-L3</v>
      </c>
    </row>
    <row r="6000" spans="1:17" x14ac:dyDescent="0.25">
      <c r="A6000" t="s">
        <v>402</v>
      </c>
      <c r="B6000" s="13" t="s">
        <v>22</v>
      </c>
      <c r="C6000" s="13" t="s">
        <v>43</v>
      </c>
      <c r="D6000" s="14" t="s">
        <v>56</v>
      </c>
      <c r="E6000" s="13" t="s">
        <v>179</v>
      </c>
      <c r="F6000" s="13" t="s">
        <v>1806</v>
      </c>
      <c r="G6000" s="13">
        <v>1.54</v>
      </c>
      <c r="H6000" s="15">
        <v>305</v>
      </c>
      <c r="I6000" s="16">
        <v>469.7</v>
      </c>
      <c r="J6000" s="16">
        <v>440.40659340659346</v>
      </c>
      <c r="K6000" s="16">
        <v>29.293406593406544</v>
      </c>
      <c r="L6000" s="13"/>
      <c r="M6000" s="13">
        <v>1.65</v>
      </c>
      <c r="N6000" s="17">
        <f t="shared" si="197"/>
        <v>0</v>
      </c>
      <c r="O6000" s="17">
        <f t="shared" si="197"/>
        <v>503.25</v>
      </c>
      <c r="P6000" s="17">
        <f t="shared" si="196"/>
        <v>503.25</v>
      </c>
      <c r="Q6000" t="str">
        <f>A6000&amp;"-"&amp;B6000&amp;"-"&amp;D6000</f>
        <v>DESEMBER-CNJ2-L3</v>
      </c>
    </row>
    <row r="6001" spans="1:17" x14ac:dyDescent="0.25">
      <c r="A6001" t="s">
        <v>402</v>
      </c>
      <c r="B6001" s="13" t="s">
        <v>22</v>
      </c>
      <c r="C6001" s="13" t="s">
        <v>43</v>
      </c>
      <c r="D6001" s="14" t="s">
        <v>56</v>
      </c>
      <c r="E6001" s="13" t="s">
        <v>179</v>
      </c>
      <c r="F6001" s="13" t="s">
        <v>1866</v>
      </c>
      <c r="G6001" s="13">
        <v>1.54</v>
      </c>
      <c r="H6001" s="15">
        <v>1688</v>
      </c>
      <c r="I6001" s="16">
        <v>2599.52</v>
      </c>
      <c r="J6001" s="16">
        <v>2472.0561052900584</v>
      </c>
      <c r="K6001" s="16">
        <v>127.46389470994131</v>
      </c>
      <c r="L6001" s="13"/>
      <c r="M6001" s="13">
        <v>1.65</v>
      </c>
      <c r="N6001" s="17">
        <f t="shared" si="197"/>
        <v>0</v>
      </c>
      <c r="O6001" s="17">
        <f t="shared" si="197"/>
        <v>2785.2</v>
      </c>
      <c r="P6001" s="17">
        <f t="shared" si="196"/>
        <v>2785.2</v>
      </c>
      <c r="Q6001" t="str">
        <f>A6001&amp;"-"&amp;B6001&amp;"-"&amp;D6001</f>
        <v>DESEMBER-CNJ2-L3</v>
      </c>
    </row>
    <row r="6002" spans="1:17" x14ac:dyDescent="0.25">
      <c r="A6002" t="s">
        <v>402</v>
      </c>
      <c r="B6002" s="13" t="s">
        <v>22</v>
      </c>
      <c r="C6002" s="13" t="s">
        <v>43</v>
      </c>
      <c r="D6002" s="14" t="s">
        <v>56</v>
      </c>
      <c r="E6002" s="13" t="s">
        <v>179</v>
      </c>
      <c r="F6002" s="13" t="s">
        <v>2026</v>
      </c>
      <c r="G6002" s="13">
        <v>1.54</v>
      </c>
      <c r="H6002" s="15">
        <v>602</v>
      </c>
      <c r="I6002" s="16">
        <v>927.07999999999993</v>
      </c>
      <c r="J6002" s="16">
        <v>837.21</v>
      </c>
      <c r="K6002" s="16">
        <v>89.869999999999948</v>
      </c>
      <c r="L6002" s="13"/>
      <c r="M6002" s="13">
        <v>1.65</v>
      </c>
      <c r="N6002" s="17">
        <f t="shared" si="197"/>
        <v>0</v>
      </c>
      <c r="O6002" s="17">
        <f t="shared" si="197"/>
        <v>993.3</v>
      </c>
      <c r="P6002" s="17">
        <f t="shared" si="196"/>
        <v>993.3</v>
      </c>
      <c r="Q6002" t="str">
        <f>A6002&amp;"-"&amp;B6002&amp;"-"&amp;D6002</f>
        <v>DESEMBER-CNJ2-L3</v>
      </c>
    </row>
    <row r="6003" spans="1:17" x14ac:dyDescent="0.25">
      <c r="A6003" t="s">
        <v>402</v>
      </c>
      <c r="B6003" s="13" t="s">
        <v>22</v>
      </c>
      <c r="C6003" s="13" t="s">
        <v>43</v>
      </c>
      <c r="D6003" s="14" t="s">
        <v>56</v>
      </c>
      <c r="E6003" s="13" t="s">
        <v>179</v>
      </c>
      <c r="F6003" s="13" t="s">
        <v>1808</v>
      </c>
      <c r="G6003" s="13">
        <v>1.5400000000000003</v>
      </c>
      <c r="H6003" s="15">
        <v>2584</v>
      </c>
      <c r="I6003" s="16">
        <v>3979.36</v>
      </c>
      <c r="J6003" s="16">
        <v>3630.1140659340658</v>
      </c>
      <c r="K6003" s="16">
        <v>349.24593406593414</v>
      </c>
      <c r="L6003" s="13"/>
      <c r="M6003" s="13">
        <v>1.65</v>
      </c>
      <c r="N6003" s="17">
        <f t="shared" si="197"/>
        <v>0</v>
      </c>
      <c r="O6003" s="17">
        <f t="shared" si="197"/>
        <v>4263.5999999999995</v>
      </c>
      <c r="P6003" s="17">
        <f t="shared" si="196"/>
        <v>4263.5999999999995</v>
      </c>
      <c r="Q6003" t="str">
        <f>A6003&amp;"-"&amp;B6003&amp;"-"&amp;D6003</f>
        <v>DESEMBER-CNJ2-L3</v>
      </c>
    </row>
    <row r="6004" spans="1:17" x14ac:dyDescent="0.25">
      <c r="A6004" t="s">
        <v>402</v>
      </c>
      <c r="B6004" s="13" t="s">
        <v>22</v>
      </c>
      <c r="C6004" s="13" t="s">
        <v>43</v>
      </c>
      <c r="D6004" s="14" t="s">
        <v>56</v>
      </c>
      <c r="E6004" s="13" t="s">
        <v>179</v>
      </c>
      <c r="F6004" s="13" t="s">
        <v>2027</v>
      </c>
      <c r="G6004" s="13">
        <v>1.54</v>
      </c>
      <c r="H6004" s="15">
        <v>1516</v>
      </c>
      <c r="I6004" s="16">
        <v>2334.6400000000003</v>
      </c>
      <c r="J6004" s="16">
        <v>2143.1354862637363</v>
      </c>
      <c r="K6004" s="16">
        <v>191.50451373626379</v>
      </c>
      <c r="L6004" s="13"/>
      <c r="M6004" s="13">
        <v>1.65</v>
      </c>
      <c r="N6004" s="17">
        <f t="shared" si="197"/>
        <v>0</v>
      </c>
      <c r="O6004" s="17">
        <f t="shared" si="197"/>
        <v>2501.4</v>
      </c>
      <c r="P6004" s="17">
        <f t="shared" si="196"/>
        <v>2501.4</v>
      </c>
      <c r="Q6004" t="str">
        <f>A6004&amp;"-"&amp;B6004&amp;"-"&amp;D6004</f>
        <v>DESEMBER-CNJ2-L3</v>
      </c>
    </row>
    <row r="6005" spans="1:17" x14ac:dyDescent="0.25">
      <c r="A6005" t="s">
        <v>402</v>
      </c>
      <c r="B6005" s="13" t="s">
        <v>22</v>
      </c>
      <c r="C6005" s="13" t="s">
        <v>43</v>
      </c>
      <c r="D6005" s="14" t="s">
        <v>158</v>
      </c>
      <c r="E6005" s="13" t="s">
        <v>58</v>
      </c>
      <c r="F6005" s="13" t="s">
        <v>1864</v>
      </c>
      <c r="G6005" s="13">
        <v>1.49</v>
      </c>
      <c r="H6005" s="15">
        <v>2402</v>
      </c>
      <c r="I6005" s="16">
        <v>3578.98</v>
      </c>
      <c r="J6005" s="16">
        <v>3205.0380000000005</v>
      </c>
      <c r="K6005" s="16">
        <v>373.94199999999995</v>
      </c>
      <c r="L6005" s="13"/>
      <c r="M6005" s="13">
        <v>1.6</v>
      </c>
      <c r="N6005" s="17">
        <f t="shared" si="197"/>
        <v>0</v>
      </c>
      <c r="O6005" s="17">
        <f t="shared" si="197"/>
        <v>3843.2000000000003</v>
      </c>
      <c r="P6005" s="17">
        <f t="shared" si="196"/>
        <v>3843.2000000000003</v>
      </c>
      <c r="Q6005" t="str">
        <f>A6005&amp;"-"&amp;B6005&amp;"-"&amp;D6005</f>
        <v>DESEMBER-CNJ2-L4</v>
      </c>
    </row>
    <row r="6006" spans="1:17" x14ac:dyDescent="0.25">
      <c r="A6006" t="s">
        <v>402</v>
      </c>
      <c r="B6006" s="13" t="s">
        <v>22</v>
      </c>
      <c r="C6006" s="13" t="s">
        <v>43</v>
      </c>
      <c r="D6006" s="14" t="s">
        <v>158</v>
      </c>
      <c r="E6006" s="13" t="s">
        <v>58</v>
      </c>
      <c r="F6006" s="13" t="s">
        <v>1869</v>
      </c>
      <c r="G6006" s="13">
        <v>1.49</v>
      </c>
      <c r="H6006" s="15">
        <v>2</v>
      </c>
      <c r="I6006" s="16">
        <v>2.98</v>
      </c>
      <c r="J6006" s="16">
        <v>3.2285012285012282</v>
      </c>
      <c r="K6006" s="16">
        <v>-0.24850122850122824</v>
      </c>
      <c r="L6006" s="13"/>
      <c r="M6006" s="13">
        <v>1.6</v>
      </c>
      <c r="N6006" s="17">
        <f t="shared" si="197"/>
        <v>0</v>
      </c>
      <c r="O6006" s="17">
        <f t="shared" si="197"/>
        <v>3.2</v>
      </c>
      <c r="P6006" s="17">
        <f t="shared" si="196"/>
        <v>3.2</v>
      </c>
      <c r="Q6006" t="str">
        <f>A6006&amp;"-"&amp;B6006&amp;"-"&amp;D6006</f>
        <v>DESEMBER-CNJ2-L4</v>
      </c>
    </row>
    <row r="6007" spans="1:17" x14ac:dyDescent="0.25">
      <c r="A6007" t="s">
        <v>402</v>
      </c>
      <c r="B6007" s="13" t="s">
        <v>22</v>
      </c>
      <c r="C6007" s="13" t="s">
        <v>43</v>
      </c>
      <c r="D6007" s="14" t="s">
        <v>158</v>
      </c>
      <c r="E6007" s="13" t="s">
        <v>58</v>
      </c>
      <c r="F6007" s="13" t="s">
        <v>1870</v>
      </c>
      <c r="G6007" s="13">
        <v>1.49</v>
      </c>
      <c r="H6007" s="15">
        <v>2643</v>
      </c>
      <c r="I6007" s="16">
        <v>3938.07</v>
      </c>
      <c r="J6007" s="16">
        <v>4633.3559999999998</v>
      </c>
      <c r="K6007" s="16">
        <v>-695.28599999999994</v>
      </c>
      <c r="L6007" s="13"/>
      <c r="M6007" s="13">
        <v>1.6</v>
      </c>
      <c r="N6007" s="17">
        <f t="shared" si="197"/>
        <v>0</v>
      </c>
      <c r="O6007" s="17">
        <f t="shared" si="197"/>
        <v>4228.8</v>
      </c>
      <c r="P6007" s="17">
        <f t="shared" si="196"/>
        <v>4228.8</v>
      </c>
      <c r="Q6007" t="str">
        <f>A6007&amp;"-"&amp;B6007&amp;"-"&amp;D6007</f>
        <v>DESEMBER-CNJ2-L4</v>
      </c>
    </row>
    <row r="6008" spans="1:17" x14ac:dyDescent="0.25">
      <c r="A6008" t="s">
        <v>402</v>
      </c>
      <c r="B6008" s="13" t="s">
        <v>22</v>
      </c>
      <c r="C6008" s="13" t="s">
        <v>43</v>
      </c>
      <c r="D6008" s="14" t="s">
        <v>158</v>
      </c>
      <c r="E6008" s="13" t="s">
        <v>58</v>
      </c>
      <c r="F6008" s="13" t="s">
        <v>2028</v>
      </c>
      <c r="G6008" s="13">
        <v>1.49</v>
      </c>
      <c r="H6008" s="15">
        <v>2474</v>
      </c>
      <c r="I6008" s="16">
        <v>3686.26</v>
      </c>
      <c r="J6008" s="16">
        <v>3421.2474987714991</v>
      </c>
      <c r="K6008" s="16">
        <v>265.01250122850132</v>
      </c>
      <c r="L6008" s="13"/>
      <c r="M6008" s="13">
        <v>1.6</v>
      </c>
      <c r="N6008" s="17">
        <f t="shared" si="197"/>
        <v>0</v>
      </c>
      <c r="O6008" s="17">
        <f t="shared" si="197"/>
        <v>3958.4</v>
      </c>
      <c r="P6008" s="17">
        <f t="shared" si="196"/>
        <v>3958.4</v>
      </c>
      <c r="Q6008" t="str">
        <f>A6008&amp;"-"&amp;B6008&amp;"-"&amp;D6008</f>
        <v>DESEMBER-CNJ2-L4</v>
      </c>
    </row>
    <row r="6009" spans="1:17" x14ac:dyDescent="0.25">
      <c r="A6009" t="s">
        <v>402</v>
      </c>
      <c r="B6009" s="13" t="s">
        <v>22</v>
      </c>
      <c r="C6009" s="13" t="s">
        <v>201</v>
      </c>
      <c r="D6009" s="14" t="s">
        <v>158</v>
      </c>
      <c r="E6009" s="13" t="s">
        <v>58</v>
      </c>
      <c r="F6009" s="13" t="s">
        <v>2029</v>
      </c>
      <c r="G6009" s="13">
        <v>0.77000000000000013</v>
      </c>
      <c r="H6009" s="15">
        <v>2800</v>
      </c>
      <c r="I6009" s="16">
        <v>2156</v>
      </c>
      <c r="J6009" s="16">
        <v>4223.58</v>
      </c>
      <c r="K6009" s="16">
        <v>-2067.5800000000004</v>
      </c>
      <c r="L6009" s="13">
        <v>1.75</v>
      </c>
      <c r="M6009" s="13"/>
      <c r="N6009" s="17">
        <f t="shared" si="197"/>
        <v>4900</v>
      </c>
      <c r="O6009" s="17">
        <f t="shared" si="197"/>
        <v>0</v>
      </c>
      <c r="P6009" s="17">
        <f t="shared" si="196"/>
        <v>4900</v>
      </c>
      <c r="Q6009" t="str">
        <f>A6009&amp;"-"&amp;B6009&amp;"-"&amp;D6009</f>
        <v>DESEMBER-CNJ2-L4</v>
      </c>
    </row>
    <row r="6010" spans="1:17" x14ac:dyDescent="0.25">
      <c r="A6010" t="s">
        <v>402</v>
      </c>
      <c r="B6010" s="13" t="s">
        <v>22</v>
      </c>
      <c r="C6010" s="13" t="s">
        <v>201</v>
      </c>
      <c r="D6010" s="14" t="s">
        <v>160</v>
      </c>
      <c r="E6010" s="13" t="s">
        <v>58</v>
      </c>
      <c r="F6010" s="13" t="s">
        <v>1871</v>
      </c>
      <c r="G6010" s="13">
        <v>0.7599999999999999</v>
      </c>
      <c r="H6010" s="15">
        <v>4770</v>
      </c>
      <c r="I6010" s="16">
        <v>3625.2</v>
      </c>
      <c r="J6010" s="16">
        <v>3754.29</v>
      </c>
      <c r="K6010" s="16">
        <v>-129.09000000000003</v>
      </c>
      <c r="L6010" s="13">
        <v>1.4</v>
      </c>
      <c r="M6010" s="13"/>
      <c r="N6010" s="17">
        <f t="shared" si="197"/>
        <v>6678</v>
      </c>
      <c r="O6010" s="17">
        <f t="shared" si="197"/>
        <v>0</v>
      </c>
      <c r="P6010" s="17">
        <f t="shared" si="196"/>
        <v>6678</v>
      </c>
      <c r="Q6010" t="str">
        <f>A6010&amp;"-"&amp;B6010&amp;"-"&amp;D6010</f>
        <v>DESEMBER-CNJ2-L5</v>
      </c>
    </row>
    <row r="6011" spans="1:17" x14ac:dyDescent="0.25">
      <c r="A6011" t="s">
        <v>402</v>
      </c>
      <c r="B6011" s="13" t="s">
        <v>22</v>
      </c>
      <c r="C6011" s="13" t="s">
        <v>201</v>
      </c>
      <c r="D6011" s="14" t="s">
        <v>160</v>
      </c>
      <c r="E6011" s="13" t="s">
        <v>58</v>
      </c>
      <c r="F6011" s="13" t="s">
        <v>2029</v>
      </c>
      <c r="G6011" s="13">
        <v>0.7699999999999998</v>
      </c>
      <c r="H6011" s="15">
        <v>9420</v>
      </c>
      <c r="I6011" s="16">
        <v>7253.4000000000005</v>
      </c>
      <c r="J6011" s="16">
        <v>11732.160000000002</v>
      </c>
      <c r="K6011" s="16">
        <v>-4478.7599999999993</v>
      </c>
      <c r="L6011" s="13">
        <v>1.75</v>
      </c>
      <c r="M6011" s="13"/>
      <c r="N6011" s="17">
        <f t="shared" si="197"/>
        <v>16485</v>
      </c>
      <c r="O6011" s="17">
        <f t="shared" si="197"/>
        <v>0</v>
      </c>
      <c r="P6011" s="17">
        <f t="shared" si="196"/>
        <v>16485</v>
      </c>
      <c r="Q6011" t="str">
        <f>A6011&amp;"-"&amp;B6011&amp;"-"&amp;D6011</f>
        <v>DESEMBER-CNJ2-L5</v>
      </c>
    </row>
    <row r="6012" spans="1:17" x14ac:dyDescent="0.25">
      <c r="A6012" t="s">
        <v>402</v>
      </c>
      <c r="B6012" s="13" t="s">
        <v>22</v>
      </c>
      <c r="C6012" s="13" t="s">
        <v>201</v>
      </c>
      <c r="D6012" s="14" t="s">
        <v>163</v>
      </c>
      <c r="E6012" s="13" t="s">
        <v>58</v>
      </c>
      <c r="F6012" s="13" t="s">
        <v>1871</v>
      </c>
      <c r="G6012" s="13">
        <v>0.7599999999999999</v>
      </c>
      <c r="H6012" s="15">
        <v>6420</v>
      </c>
      <c r="I6012" s="16">
        <v>4879.2</v>
      </c>
      <c r="J6012" s="16">
        <v>4411.29</v>
      </c>
      <c r="K6012" s="16">
        <v>467.91</v>
      </c>
      <c r="L6012" s="13">
        <v>1.4</v>
      </c>
      <c r="M6012" s="13"/>
      <c r="N6012" s="17">
        <f t="shared" si="197"/>
        <v>8988</v>
      </c>
      <c r="O6012" s="17">
        <f t="shared" si="197"/>
        <v>0</v>
      </c>
      <c r="P6012" s="17">
        <f t="shared" si="196"/>
        <v>8988</v>
      </c>
      <c r="Q6012" t="str">
        <f>A6012&amp;"-"&amp;B6012&amp;"-"&amp;D6012</f>
        <v>DESEMBER-CNJ2-L6</v>
      </c>
    </row>
    <row r="6013" spans="1:17" x14ac:dyDescent="0.25">
      <c r="A6013" t="s">
        <v>402</v>
      </c>
      <c r="B6013" s="13" t="s">
        <v>22</v>
      </c>
      <c r="C6013" s="13" t="s">
        <v>201</v>
      </c>
      <c r="D6013" s="14" t="s">
        <v>163</v>
      </c>
      <c r="E6013" s="13" t="s">
        <v>58</v>
      </c>
      <c r="F6013" s="13" t="s">
        <v>2029</v>
      </c>
      <c r="G6013" s="13">
        <v>0.7699999999999998</v>
      </c>
      <c r="H6013" s="15">
        <v>7795</v>
      </c>
      <c r="I6013" s="16">
        <v>6002.15</v>
      </c>
      <c r="J6013" s="16">
        <v>11075.16</v>
      </c>
      <c r="K6013" s="16">
        <v>-5073.01</v>
      </c>
      <c r="L6013" s="13">
        <v>1.75</v>
      </c>
      <c r="M6013" s="13"/>
      <c r="N6013" s="17">
        <f t="shared" si="197"/>
        <v>13641.25</v>
      </c>
      <c r="O6013" s="17">
        <f t="shared" si="197"/>
        <v>0</v>
      </c>
      <c r="P6013" s="17">
        <f t="shared" si="196"/>
        <v>13641.25</v>
      </c>
      <c r="Q6013" t="str">
        <f>A6013&amp;"-"&amp;B6013&amp;"-"&amp;D6013</f>
        <v>DESEMBER-CNJ2-L6</v>
      </c>
    </row>
    <row r="6014" spans="1:17" x14ac:dyDescent="0.25">
      <c r="A6014" t="s">
        <v>402</v>
      </c>
      <c r="B6014" s="13" t="s">
        <v>22</v>
      </c>
      <c r="C6014" s="13" t="s">
        <v>201</v>
      </c>
      <c r="D6014" s="14" t="s">
        <v>164</v>
      </c>
      <c r="E6014" s="13" t="s">
        <v>58</v>
      </c>
      <c r="F6014" s="13" t="s">
        <v>1871</v>
      </c>
      <c r="G6014" s="13">
        <v>0.7599999999999999</v>
      </c>
      <c r="H6014" s="15">
        <v>5740</v>
      </c>
      <c r="I6014" s="16">
        <v>4362.3999999999996</v>
      </c>
      <c r="J6014" s="16">
        <v>6194.58</v>
      </c>
      <c r="K6014" s="16">
        <v>-1832.18</v>
      </c>
      <c r="L6014" s="13">
        <v>1.4</v>
      </c>
      <c r="M6014" s="13"/>
      <c r="N6014" s="17">
        <f t="shared" si="197"/>
        <v>8035.9999999999991</v>
      </c>
      <c r="O6014" s="17">
        <f t="shared" si="197"/>
        <v>0</v>
      </c>
      <c r="P6014" s="17">
        <f t="shared" si="196"/>
        <v>8035.9999999999991</v>
      </c>
      <c r="Q6014" t="str">
        <f>A6014&amp;"-"&amp;B6014&amp;"-"&amp;D6014</f>
        <v>DESEMBER-CNJ2-L7</v>
      </c>
    </row>
    <row r="6015" spans="1:17" x14ac:dyDescent="0.25">
      <c r="A6015" t="s">
        <v>402</v>
      </c>
      <c r="B6015" s="13" t="s">
        <v>22</v>
      </c>
      <c r="C6015" s="13" t="s">
        <v>201</v>
      </c>
      <c r="D6015" s="14" t="s">
        <v>164</v>
      </c>
      <c r="E6015" s="13" t="s">
        <v>58</v>
      </c>
      <c r="F6015" s="13" t="s">
        <v>2029</v>
      </c>
      <c r="G6015" s="13">
        <v>0.7699999999999998</v>
      </c>
      <c r="H6015" s="15">
        <v>2948</v>
      </c>
      <c r="I6015" s="16">
        <v>2269.96</v>
      </c>
      <c r="J6015" s="16">
        <v>7545.6331578947365</v>
      </c>
      <c r="K6015" s="16">
        <v>-5275.6731578947365</v>
      </c>
      <c r="L6015" s="13">
        <v>1.75</v>
      </c>
      <c r="M6015" s="13"/>
      <c r="N6015" s="17">
        <f t="shared" si="197"/>
        <v>5159</v>
      </c>
      <c r="O6015" s="17">
        <f t="shared" si="197"/>
        <v>0</v>
      </c>
      <c r="P6015" s="17">
        <f t="shared" si="196"/>
        <v>5159</v>
      </c>
      <c r="Q6015" t="str">
        <f>A6015&amp;"-"&amp;B6015&amp;"-"&amp;D6015</f>
        <v>DESEMBER-CNJ2-L7</v>
      </c>
    </row>
    <row r="6016" spans="1:17" x14ac:dyDescent="0.25">
      <c r="A6016" t="s">
        <v>402</v>
      </c>
      <c r="B6016" s="13" t="s">
        <v>23</v>
      </c>
      <c r="C6016" s="13" t="s">
        <v>185</v>
      </c>
      <c r="D6016" s="14" t="s">
        <v>164</v>
      </c>
      <c r="E6016" s="13" t="s">
        <v>77</v>
      </c>
      <c r="F6016" s="13" t="s">
        <v>1512</v>
      </c>
      <c r="G6016" s="13">
        <v>1.83</v>
      </c>
      <c r="H6016" s="15">
        <v>48</v>
      </c>
      <c r="I6016" s="16">
        <v>87.84</v>
      </c>
      <c r="J6016" s="16">
        <v>46.916666666666664</v>
      </c>
      <c r="K6016" s="16">
        <v>40.923333333333339</v>
      </c>
      <c r="L6016" s="13">
        <v>3.62</v>
      </c>
      <c r="M6016" s="13"/>
      <c r="N6016" s="17">
        <f t="shared" ref="N6016:O6072" si="198">$H6016*L6016</f>
        <v>173.76</v>
      </c>
      <c r="O6016" s="17">
        <f t="shared" si="198"/>
        <v>0</v>
      </c>
      <c r="P6016" s="17">
        <f t="shared" si="196"/>
        <v>173.76</v>
      </c>
      <c r="Q6016" t="str">
        <f>A6016&amp;"-"&amp;B6016&amp;"-"&amp;D6016</f>
        <v>DESEMBER-CVA-L7</v>
      </c>
    </row>
    <row r="6017" spans="1:17" x14ac:dyDescent="0.25">
      <c r="A6017" t="s">
        <v>402</v>
      </c>
      <c r="B6017" s="13" t="s">
        <v>23</v>
      </c>
      <c r="C6017" s="13" t="s">
        <v>201</v>
      </c>
      <c r="D6017" s="14" t="s">
        <v>44</v>
      </c>
      <c r="E6017" s="13" t="s">
        <v>58</v>
      </c>
      <c r="F6017" s="13" t="s">
        <v>1874</v>
      </c>
      <c r="G6017" s="13">
        <v>0.7599999999999999</v>
      </c>
      <c r="H6017" s="15">
        <v>3812</v>
      </c>
      <c r="I6017" s="16">
        <v>2897.12</v>
      </c>
      <c r="J6017" s="16">
        <v>3738.2812639405201</v>
      </c>
      <c r="K6017" s="16">
        <v>-841.16126394052037</v>
      </c>
      <c r="L6017" s="13">
        <v>1.6</v>
      </c>
      <c r="M6017" s="13"/>
      <c r="N6017" s="17">
        <f t="shared" si="198"/>
        <v>6099.2000000000007</v>
      </c>
      <c r="O6017" s="17">
        <f t="shared" si="198"/>
        <v>0</v>
      </c>
      <c r="P6017" s="17">
        <f t="shared" si="196"/>
        <v>6099.2000000000007</v>
      </c>
      <c r="Q6017" t="str">
        <f>A6017&amp;"-"&amp;B6017&amp;"-"&amp;D6017</f>
        <v>DESEMBER-CVA-L1</v>
      </c>
    </row>
    <row r="6018" spans="1:17" x14ac:dyDescent="0.25">
      <c r="A6018" t="s">
        <v>402</v>
      </c>
      <c r="B6018" s="13" t="s">
        <v>23</v>
      </c>
      <c r="C6018" s="13" t="s">
        <v>201</v>
      </c>
      <c r="D6018" s="14" t="s">
        <v>44</v>
      </c>
      <c r="E6018" s="13" t="s">
        <v>58</v>
      </c>
      <c r="F6018" s="13" t="s">
        <v>2030</v>
      </c>
      <c r="G6018" s="13">
        <v>0.7599999999999999</v>
      </c>
      <c r="H6018" s="15">
        <v>6813</v>
      </c>
      <c r="I6018" s="16">
        <v>5177.8799999999992</v>
      </c>
      <c r="J6018" s="16">
        <v>7441.2787360594803</v>
      </c>
      <c r="K6018" s="16">
        <v>-2263.3987360594801</v>
      </c>
      <c r="L6018" s="13">
        <v>1.89</v>
      </c>
      <c r="M6018" s="13"/>
      <c r="N6018" s="17">
        <f t="shared" si="198"/>
        <v>12876.57</v>
      </c>
      <c r="O6018" s="17">
        <f t="shared" si="198"/>
        <v>0</v>
      </c>
      <c r="P6018" s="17">
        <f t="shared" ref="P6018:P6081" si="199">N6018+O6018</f>
        <v>12876.57</v>
      </c>
      <c r="Q6018" t="str">
        <f>A6018&amp;"-"&amp;B6018&amp;"-"&amp;D6018</f>
        <v>DESEMBER-CVA-L1</v>
      </c>
    </row>
    <row r="6019" spans="1:17" x14ac:dyDescent="0.25">
      <c r="A6019" t="s">
        <v>402</v>
      </c>
      <c r="B6019" s="13" t="s">
        <v>23</v>
      </c>
      <c r="C6019" s="13" t="s">
        <v>201</v>
      </c>
      <c r="D6019" s="14" t="s">
        <v>44</v>
      </c>
      <c r="E6019" s="13" t="s">
        <v>124</v>
      </c>
      <c r="F6019" s="13" t="s">
        <v>2031</v>
      </c>
      <c r="G6019" s="13">
        <v>0.9</v>
      </c>
      <c r="H6019" s="15">
        <v>1269</v>
      </c>
      <c r="I6019" s="16">
        <v>1142.0999999999999</v>
      </c>
      <c r="J6019" s="16">
        <v>2252</v>
      </c>
      <c r="K6019" s="16">
        <v>-1109.9000000000001</v>
      </c>
      <c r="L6019" s="13">
        <v>1.76</v>
      </c>
      <c r="M6019" s="13"/>
      <c r="N6019" s="17">
        <f t="shared" si="198"/>
        <v>2233.44</v>
      </c>
      <c r="O6019" s="17">
        <f t="shared" si="198"/>
        <v>0</v>
      </c>
      <c r="P6019" s="17">
        <f t="shared" si="199"/>
        <v>2233.44</v>
      </c>
      <c r="Q6019" t="str">
        <f>A6019&amp;"-"&amp;B6019&amp;"-"&amp;D6019</f>
        <v>DESEMBER-CVA-L1</v>
      </c>
    </row>
    <row r="6020" spans="1:17" x14ac:dyDescent="0.25">
      <c r="A6020" t="s">
        <v>402</v>
      </c>
      <c r="B6020" s="13" t="s">
        <v>23</v>
      </c>
      <c r="C6020" s="13" t="s">
        <v>201</v>
      </c>
      <c r="D6020" s="14" t="s">
        <v>301</v>
      </c>
      <c r="E6020" s="13" t="s">
        <v>58</v>
      </c>
      <c r="F6020" s="13" t="s">
        <v>2032</v>
      </c>
      <c r="G6020" s="13">
        <v>0.52</v>
      </c>
      <c r="H6020" s="15">
        <v>3542</v>
      </c>
      <c r="I6020" s="16">
        <v>1841.8400000000001</v>
      </c>
      <c r="J6020" s="16">
        <v>4077.3620744680848</v>
      </c>
      <c r="K6020" s="16">
        <v>-2235.5220744680851</v>
      </c>
      <c r="L6020" s="13">
        <v>1.6</v>
      </c>
      <c r="M6020" s="13"/>
      <c r="N6020" s="17">
        <f t="shared" si="198"/>
        <v>5667.2000000000007</v>
      </c>
      <c r="O6020" s="17">
        <f t="shared" si="198"/>
        <v>0</v>
      </c>
      <c r="P6020" s="17">
        <f t="shared" si="199"/>
        <v>5667.2000000000007</v>
      </c>
      <c r="Q6020" t="str">
        <f>A6020&amp;"-"&amp;B6020&amp;"-"&amp;D6020</f>
        <v>DESEMBER-CVA-L10</v>
      </c>
    </row>
    <row r="6021" spans="1:17" x14ac:dyDescent="0.25">
      <c r="A6021" t="s">
        <v>402</v>
      </c>
      <c r="B6021" s="13" t="s">
        <v>23</v>
      </c>
      <c r="C6021" s="13" t="s">
        <v>201</v>
      </c>
      <c r="D6021" s="14" t="s">
        <v>301</v>
      </c>
      <c r="E6021" s="13" t="s">
        <v>58</v>
      </c>
      <c r="F6021" s="13" t="s">
        <v>2033</v>
      </c>
      <c r="G6021" s="13">
        <v>0.52</v>
      </c>
      <c r="H6021" s="15">
        <v>1895</v>
      </c>
      <c r="I6021" s="16">
        <v>985.4</v>
      </c>
      <c r="J6021" s="16">
        <v>1391.7779255319149</v>
      </c>
      <c r="K6021" s="16">
        <v>-406.37792553191491</v>
      </c>
      <c r="L6021" s="13">
        <v>1.5</v>
      </c>
      <c r="M6021" s="13"/>
      <c r="N6021" s="17">
        <f t="shared" si="198"/>
        <v>2842.5</v>
      </c>
      <c r="O6021" s="17">
        <f t="shared" si="198"/>
        <v>0</v>
      </c>
      <c r="P6021" s="17">
        <f t="shared" si="199"/>
        <v>2842.5</v>
      </c>
      <c r="Q6021" t="str">
        <f>A6021&amp;"-"&amp;B6021&amp;"-"&amp;D6021</f>
        <v>DESEMBER-CVA-L10</v>
      </c>
    </row>
    <row r="6022" spans="1:17" x14ac:dyDescent="0.25">
      <c r="A6022" t="s">
        <v>402</v>
      </c>
      <c r="B6022" s="13" t="s">
        <v>23</v>
      </c>
      <c r="C6022" s="13" t="s">
        <v>201</v>
      </c>
      <c r="D6022" s="14" t="s">
        <v>301</v>
      </c>
      <c r="E6022" s="13" t="s">
        <v>58</v>
      </c>
      <c r="F6022" s="13" t="s">
        <v>1874</v>
      </c>
      <c r="G6022" s="13">
        <v>0.7599999999999999</v>
      </c>
      <c r="H6022" s="15">
        <v>7946</v>
      </c>
      <c r="I6022" s="16">
        <v>6038.9600000000009</v>
      </c>
      <c r="J6022" s="16">
        <v>7962.42</v>
      </c>
      <c r="K6022" s="16">
        <v>-1923.4599999999996</v>
      </c>
      <c r="L6022" s="13">
        <v>1.6</v>
      </c>
      <c r="M6022" s="13"/>
      <c r="N6022" s="17">
        <f t="shared" si="198"/>
        <v>12713.6</v>
      </c>
      <c r="O6022" s="17">
        <f t="shared" si="198"/>
        <v>0</v>
      </c>
      <c r="P6022" s="17">
        <f t="shared" si="199"/>
        <v>12713.6</v>
      </c>
      <c r="Q6022" t="str">
        <f>A6022&amp;"-"&amp;B6022&amp;"-"&amp;D6022</f>
        <v>DESEMBER-CVA-L10</v>
      </c>
    </row>
    <row r="6023" spans="1:17" x14ac:dyDescent="0.25">
      <c r="A6023" t="s">
        <v>402</v>
      </c>
      <c r="B6023" s="13" t="s">
        <v>23</v>
      </c>
      <c r="C6023" s="13" t="s">
        <v>201</v>
      </c>
      <c r="D6023" s="14" t="s">
        <v>50</v>
      </c>
      <c r="E6023" s="13" t="s">
        <v>58</v>
      </c>
      <c r="F6023" s="13" t="s">
        <v>1874</v>
      </c>
      <c r="G6023" s="13">
        <v>0.7599999999999999</v>
      </c>
      <c r="H6023" s="15">
        <v>3924</v>
      </c>
      <c r="I6023" s="16">
        <v>2982.24</v>
      </c>
      <c r="J6023" s="16">
        <v>3780.14</v>
      </c>
      <c r="K6023" s="16">
        <v>-797.90000000000009</v>
      </c>
      <c r="L6023" s="13">
        <v>1.6</v>
      </c>
      <c r="M6023" s="13"/>
      <c r="N6023" s="17">
        <f t="shared" si="198"/>
        <v>6278.4000000000005</v>
      </c>
      <c r="O6023" s="17">
        <f t="shared" si="198"/>
        <v>0</v>
      </c>
      <c r="P6023" s="17">
        <f t="shared" si="199"/>
        <v>6278.4000000000005</v>
      </c>
      <c r="Q6023" t="str">
        <f>A6023&amp;"-"&amp;B6023&amp;"-"&amp;D6023</f>
        <v>DESEMBER-CVA-L2</v>
      </c>
    </row>
    <row r="6024" spans="1:17" x14ac:dyDescent="0.25">
      <c r="A6024" t="s">
        <v>402</v>
      </c>
      <c r="B6024" s="13" t="s">
        <v>23</v>
      </c>
      <c r="C6024" s="13" t="s">
        <v>201</v>
      </c>
      <c r="D6024" s="14" t="s">
        <v>50</v>
      </c>
      <c r="E6024" s="13" t="s">
        <v>58</v>
      </c>
      <c r="F6024" s="13" t="s">
        <v>2030</v>
      </c>
      <c r="G6024" s="13">
        <v>0.7599999999999999</v>
      </c>
      <c r="H6024" s="15">
        <v>6875</v>
      </c>
      <c r="I6024" s="16">
        <v>5225</v>
      </c>
      <c r="J6024" s="16">
        <v>7399.42</v>
      </c>
      <c r="K6024" s="16">
        <v>-2174.4200000000005</v>
      </c>
      <c r="L6024" s="13">
        <v>1.89</v>
      </c>
      <c r="M6024" s="13"/>
      <c r="N6024" s="17">
        <f t="shared" si="198"/>
        <v>12993.75</v>
      </c>
      <c r="O6024" s="17">
        <f t="shared" si="198"/>
        <v>0</v>
      </c>
      <c r="P6024" s="17">
        <f t="shared" si="199"/>
        <v>12993.75</v>
      </c>
      <c r="Q6024" t="str">
        <f>A6024&amp;"-"&amp;B6024&amp;"-"&amp;D6024</f>
        <v>DESEMBER-CVA-L2</v>
      </c>
    </row>
    <row r="6025" spans="1:17" x14ac:dyDescent="0.25">
      <c r="A6025" t="s">
        <v>402</v>
      </c>
      <c r="B6025" s="13" t="s">
        <v>23</v>
      </c>
      <c r="C6025" s="13" t="s">
        <v>201</v>
      </c>
      <c r="D6025" s="14" t="s">
        <v>50</v>
      </c>
      <c r="E6025" s="13" t="s">
        <v>124</v>
      </c>
      <c r="F6025" s="13" t="s">
        <v>2031</v>
      </c>
      <c r="G6025" s="13">
        <v>0.9</v>
      </c>
      <c r="H6025" s="15">
        <v>1744</v>
      </c>
      <c r="I6025" s="16">
        <v>1569.6</v>
      </c>
      <c r="J6025" s="16">
        <v>2252</v>
      </c>
      <c r="K6025" s="16">
        <v>-682.4</v>
      </c>
      <c r="L6025" s="13">
        <v>1.76</v>
      </c>
      <c r="M6025" s="13"/>
      <c r="N6025" s="17">
        <f t="shared" si="198"/>
        <v>3069.44</v>
      </c>
      <c r="O6025" s="17">
        <f t="shared" si="198"/>
        <v>0</v>
      </c>
      <c r="P6025" s="17">
        <f t="shared" si="199"/>
        <v>3069.44</v>
      </c>
      <c r="Q6025" t="str">
        <f>A6025&amp;"-"&amp;B6025&amp;"-"&amp;D6025</f>
        <v>DESEMBER-CVA-L2</v>
      </c>
    </row>
    <row r="6026" spans="1:17" x14ac:dyDescent="0.25">
      <c r="A6026" t="s">
        <v>402</v>
      </c>
      <c r="B6026" s="13" t="s">
        <v>23</v>
      </c>
      <c r="C6026" s="13" t="s">
        <v>201</v>
      </c>
      <c r="D6026" s="14" t="s">
        <v>56</v>
      </c>
      <c r="E6026" s="13" t="s">
        <v>58</v>
      </c>
      <c r="F6026" s="13" t="s">
        <v>1874</v>
      </c>
      <c r="G6026" s="13">
        <v>0.76</v>
      </c>
      <c r="H6026" s="15">
        <v>11982</v>
      </c>
      <c r="I6026" s="16">
        <v>9106.32</v>
      </c>
      <c r="J6026" s="16">
        <v>11742.56</v>
      </c>
      <c r="K6026" s="16">
        <v>-2636.24</v>
      </c>
      <c r="L6026" s="13">
        <v>1.6</v>
      </c>
      <c r="M6026" s="13"/>
      <c r="N6026" s="17">
        <f t="shared" si="198"/>
        <v>19171.2</v>
      </c>
      <c r="O6026" s="17">
        <f t="shared" si="198"/>
        <v>0</v>
      </c>
      <c r="P6026" s="17">
        <f t="shared" si="199"/>
        <v>19171.2</v>
      </c>
      <c r="Q6026" t="str">
        <f>A6026&amp;"-"&amp;B6026&amp;"-"&amp;D6026</f>
        <v>DESEMBER-CVA-L3</v>
      </c>
    </row>
    <row r="6027" spans="1:17" x14ac:dyDescent="0.25">
      <c r="A6027" t="s">
        <v>402</v>
      </c>
      <c r="B6027" s="13" t="s">
        <v>23</v>
      </c>
      <c r="C6027" s="13" t="s">
        <v>201</v>
      </c>
      <c r="D6027" s="14" t="s">
        <v>56</v>
      </c>
      <c r="E6027" s="13" t="s">
        <v>58</v>
      </c>
      <c r="F6027" s="13" t="s">
        <v>2030</v>
      </c>
      <c r="G6027" s="13">
        <v>0.76</v>
      </c>
      <c r="H6027" s="15">
        <v>490</v>
      </c>
      <c r="I6027" s="16">
        <v>372.4</v>
      </c>
      <c r="J6027" s="16">
        <v>563</v>
      </c>
      <c r="K6027" s="16">
        <v>-190.60000000000002</v>
      </c>
      <c r="L6027" s="13">
        <v>1.89</v>
      </c>
      <c r="M6027" s="13"/>
      <c r="N6027" s="17">
        <f t="shared" si="198"/>
        <v>926.09999999999991</v>
      </c>
      <c r="O6027" s="17">
        <f t="shared" si="198"/>
        <v>0</v>
      </c>
      <c r="P6027" s="17">
        <f t="shared" si="199"/>
        <v>926.09999999999991</v>
      </c>
      <c r="Q6027" t="str">
        <f>A6027&amp;"-"&amp;B6027&amp;"-"&amp;D6027</f>
        <v>DESEMBER-CVA-L3</v>
      </c>
    </row>
    <row r="6028" spans="1:17" x14ac:dyDescent="0.25">
      <c r="A6028" t="s">
        <v>402</v>
      </c>
      <c r="B6028" s="13" t="s">
        <v>23</v>
      </c>
      <c r="C6028" s="13" t="s">
        <v>201</v>
      </c>
      <c r="D6028" s="14" t="s">
        <v>56</v>
      </c>
      <c r="E6028" s="13" t="s">
        <v>124</v>
      </c>
      <c r="F6028" s="13" t="s">
        <v>2034</v>
      </c>
      <c r="G6028" s="13">
        <v>0.9</v>
      </c>
      <c r="H6028" s="15">
        <v>470</v>
      </c>
      <c r="I6028" s="16">
        <v>423</v>
      </c>
      <c r="J6028" s="16">
        <v>1126</v>
      </c>
      <c r="K6028" s="16">
        <v>-703</v>
      </c>
      <c r="L6028" s="13">
        <v>1.76</v>
      </c>
      <c r="M6028" s="13"/>
      <c r="N6028" s="17">
        <f t="shared" si="198"/>
        <v>827.2</v>
      </c>
      <c r="O6028" s="17">
        <f t="shared" si="198"/>
        <v>0</v>
      </c>
      <c r="P6028" s="17">
        <f t="shared" si="199"/>
        <v>827.2</v>
      </c>
      <c r="Q6028" t="str">
        <f>A6028&amp;"-"&amp;B6028&amp;"-"&amp;D6028</f>
        <v>DESEMBER-CVA-L3</v>
      </c>
    </row>
    <row r="6029" spans="1:17" x14ac:dyDescent="0.25">
      <c r="A6029" t="s">
        <v>402</v>
      </c>
      <c r="B6029" s="13" t="s">
        <v>23</v>
      </c>
      <c r="C6029" s="13" t="s">
        <v>201</v>
      </c>
      <c r="D6029" s="14" t="s">
        <v>158</v>
      </c>
      <c r="E6029" s="13" t="s">
        <v>58</v>
      </c>
      <c r="F6029" s="13" t="s">
        <v>1874</v>
      </c>
      <c r="G6029" s="13">
        <v>0.76000000000000012</v>
      </c>
      <c r="H6029" s="15">
        <v>11678</v>
      </c>
      <c r="I6029" s="16">
        <v>8875.2800000000007</v>
      </c>
      <c r="J6029" s="16">
        <v>11702.11715827338</v>
      </c>
      <c r="K6029" s="16">
        <v>-2826.8371582733812</v>
      </c>
      <c r="L6029" s="13">
        <v>1.6</v>
      </c>
      <c r="M6029" s="13"/>
      <c r="N6029" s="17">
        <f t="shared" si="198"/>
        <v>18684.8</v>
      </c>
      <c r="O6029" s="17">
        <f t="shared" si="198"/>
        <v>0</v>
      </c>
      <c r="P6029" s="17">
        <f t="shared" si="199"/>
        <v>18684.8</v>
      </c>
      <c r="Q6029" t="str">
        <f>A6029&amp;"-"&amp;B6029&amp;"-"&amp;D6029</f>
        <v>DESEMBER-CVA-L4</v>
      </c>
    </row>
    <row r="6030" spans="1:17" x14ac:dyDescent="0.25">
      <c r="A6030" t="s">
        <v>402</v>
      </c>
      <c r="B6030" s="13" t="s">
        <v>23</v>
      </c>
      <c r="C6030" s="13" t="s">
        <v>201</v>
      </c>
      <c r="D6030" s="14" t="s">
        <v>158</v>
      </c>
      <c r="E6030" s="13" t="s">
        <v>58</v>
      </c>
      <c r="F6030" s="13" t="s">
        <v>2030</v>
      </c>
      <c r="G6030" s="13">
        <v>0.76</v>
      </c>
      <c r="H6030" s="15">
        <v>335</v>
      </c>
      <c r="I6030" s="16">
        <v>254.6</v>
      </c>
      <c r="J6030" s="16">
        <v>603.44284172661878</v>
      </c>
      <c r="K6030" s="16">
        <v>-348.84284172661881</v>
      </c>
      <c r="L6030" s="13">
        <v>1.89</v>
      </c>
      <c r="M6030" s="13"/>
      <c r="N6030" s="17">
        <f t="shared" si="198"/>
        <v>633.15</v>
      </c>
      <c r="O6030" s="17">
        <f t="shared" si="198"/>
        <v>0</v>
      </c>
      <c r="P6030" s="17">
        <f t="shared" si="199"/>
        <v>633.15</v>
      </c>
      <c r="Q6030" t="str">
        <f>A6030&amp;"-"&amp;B6030&amp;"-"&amp;D6030</f>
        <v>DESEMBER-CVA-L4</v>
      </c>
    </row>
    <row r="6031" spans="1:17" x14ac:dyDescent="0.25">
      <c r="A6031" t="s">
        <v>402</v>
      </c>
      <c r="B6031" s="13" t="s">
        <v>23</v>
      </c>
      <c r="C6031" s="13" t="s">
        <v>201</v>
      </c>
      <c r="D6031" s="14" t="s">
        <v>158</v>
      </c>
      <c r="E6031" s="13" t="s">
        <v>124</v>
      </c>
      <c r="F6031" s="13" t="s">
        <v>2034</v>
      </c>
      <c r="G6031" s="13">
        <v>0.9</v>
      </c>
      <c r="H6031" s="15">
        <v>705</v>
      </c>
      <c r="I6031" s="16">
        <v>634.5</v>
      </c>
      <c r="J6031" s="16">
        <v>1126</v>
      </c>
      <c r="K6031" s="16">
        <v>-491.5</v>
      </c>
      <c r="L6031" s="13">
        <v>1.76</v>
      </c>
      <c r="M6031" s="13"/>
      <c r="N6031" s="17">
        <f t="shared" si="198"/>
        <v>1240.8</v>
      </c>
      <c r="O6031" s="17">
        <f t="shared" si="198"/>
        <v>0</v>
      </c>
      <c r="P6031" s="17">
        <f t="shared" si="199"/>
        <v>1240.8</v>
      </c>
      <c r="Q6031" t="str">
        <f>A6031&amp;"-"&amp;B6031&amp;"-"&amp;D6031</f>
        <v>DESEMBER-CVA-L4</v>
      </c>
    </row>
    <row r="6032" spans="1:17" x14ac:dyDescent="0.25">
      <c r="A6032" t="s">
        <v>402</v>
      </c>
      <c r="B6032" s="13" t="s">
        <v>23</v>
      </c>
      <c r="C6032" s="13" t="s">
        <v>201</v>
      </c>
      <c r="D6032" s="14" t="s">
        <v>160</v>
      </c>
      <c r="E6032" s="13" t="s">
        <v>191</v>
      </c>
      <c r="F6032" s="13" t="s">
        <v>1155</v>
      </c>
      <c r="G6032" s="13">
        <v>0.33</v>
      </c>
      <c r="H6032" s="15">
        <v>2197</v>
      </c>
      <c r="I6032" s="16">
        <v>725.01</v>
      </c>
      <c r="J6032" s="16">
        <v>1237.4025215889465</v>
      </c>
      <c r="K6032" s="16">
        <v>-512.39252158894647</v>
      </c>
      <c r="L6032" s="13">
        <v>1.1499999999999999</v>
      </c>
      <c r="M6032" s="13"/>
      <c r="N6032" s="17">
        <f t="shared" si="198"/>
        <v>2526.5499999999997</v>
      </c>
      <c r="O6032" s="17">
        <f t="shared" si="198"/>
        <v>0</v>
      </c>
      <c r="P6032" s="17">
        <f t="shared" si="199"/>
        <v>2526.5499999999997</v>
      </c>
      <c r="Q6032" t="str">
        <f>A6032&amp;"-"&amp;B6032&amp;"-"&amp;D6032</f>
        <v>DESEMBER-CVA-L5</v>
      </c>
    </row>
    <row r="6033" spans="1:17" x14ac:dyDescent="0.25">
      <c r="A6033" t="s">
        <v>402</v>
      </c>
      <c r="B6033" s="13" t="s">
        <v>23</v>
      </c>
      <c r="C6033" s="13" t="s">
        <v>201</v>
      </c>
      <c r="D6033" s="14" t="s">
        <v>160</v>
      </c>
      <c r="E6033" s="13" t="s">
        <v>58</v>
      </c>
      <c r="F6033" s="13" t="s">
        <v>1874</v>
      </c>
      <c r="G6033" s="13">
        <v>0.7599999999999999</v>
      </c>
      <c r="H6033" s="15">
        <v>9452</v>
      </c>
      <c r="I6033" s="16">
        <v>7183.52</v>
      </c>
      <c r="J6033" s="16">
        <v>8816.1574784110544</v>
      </c>
      <c r="K6033" s="16">
        <v>-1632.6374784110535</v>
      </c>
      <c r="L6033" s="13">
        <v>1.6</v>
      </c>
      <c r="M6033" s="13"/>
      <c r="N6033" s="17">
        <f t="shared" si="198"/>
        <v>15123.2</v>
      </c>
      <c r="O6033" s="17">
        <f t="shared" si="198"/>
        <v>0</v>
      </c>
      <c r="P6033" s="17">
        <f t="shared" si="199"/>
        <v>15123.2</v>
      </c>
      <c r="Q6033" t="str">
        <f>A6033&amp;"-"&amp;B6033&amp;"-"&amp;D6033</f>
        <v>DESEMBER-CVA-L5</v>
      </c>
    </row>
    <row r="6034" spans="1:17" x14ac:dyDescent="0.25">
      <c r="A6034" t="s">
        <v>402</v>
      </c>
      <c r="B6034" s="13" t="s">
        <v>23</v>
      </c>
      <c r="C6034" s="13" t="s">
        <v>201</v>
      </c>
      <c r="D6034" s="14" t="s">
        <v>160</v>
      </c>
      <c r="E6034" s="13" t="s">
        <v>124</v>
      </c>
      <c r="F6034" s="13" t="s">
        <v>2031</v>
      </c>
      <c r="G6034" s="13">
        <v>0.9</v>
      </c>
      <c r="H6034" s="15">
        <v>1690</v>
      </c>
      <c r="I6034" s="16">
        <v>1521</v>
      </c>
      <c r="J6034" s="16">
        <v>2252</v>
      </c>
      <c r="K6034" s="16">
        <v>-731</v>
      </c>
      <c r="L6034" s="13">
        <v>1.76</v>
      </c>
      <c r="M6034" s="13"/>
      <c r="N6034" s="17">
        <f t="shared" si="198"/>
        <v>2974.4</v>
      </c>
      <c r="O6034" s="17">
        <f t="shared" si="198"/>
        <v>0</v>
      </c>
      <c r="P6034" s="17">
        <f t="shared" si="199"/>
        <v>2974.4</v>
      </c>
      <c r="Q6034" t="str">
        <f>A6034&amp;"-"&amp;B6034&amp;"-"&amp;D6034</f>
        <v>DESEMBER-CVA-L5</v>
      </c>
    </row>
    <row r="6035" spans="1:17" x14ac:dyDescent="0.25">
      <c r="A6035" t="s">
        <v>402</v>
      </c>
      <c r="B6035" s="13" t="s">
        <v>23</v>
      </c>
      <c r="C6035" s="13" t="s">
        <v>201</v>
      </c>
      <c r="D6035" s="14" t="s">
        <v>163</v>
      </c>
      <c r="E6035" s="13" t="s">
        <v>191</v>
      </c>
      <c r="F6035" s="13" t="s">
        <v>1155</v>
      </c>
      <c r="G6035" s="13">
        <v>0.33</v>
      </c>
      <c r="H6035" s="15">
        <v>3658</v>
      </c>
      <c r="I6035" s="16">
        <v>1207.1400000000001</v>
      </c>
      <c r="J6035" s="16">
        <v>2057.7416949152544</v>
      </c>
      <c r="K6035" s="16">
        <v>-850.60169491525426</v>
      </c>
      <c r="L6035" s="13">
        <v>1.1499999999999999</v>
      </c>
      <c r="M6035" s="13"/>
      <c r="N6035" s="17">
        <f t="shared" si="198"/>
        <v>4206.7</v>
      </c>
      <c r="O6035" s="17">
        <f t="shared" si="198"/>
        <v>0</v>
      </c>
      <c r="P6035" s="17">
        <f t="shared" si="199"/>
        <v>4206.7</v>
      </c>
      <c r="Q6035" t="str">
        <f>A6035&amp;"-"&amp;B6035&amp;"-"&amp;D6035</f>
        <v>DESEMBER-CVA-L6</v>
      </c>
    </row>
    <row r="6036" spans="1:17" x14ac:dyDescent="0.25">
      <c r="A6036" t="s">
        <v>402</v>
      </c>
      <c r="B6036" s="13" t="s">
        <v>23</v>
      </c>
      <c r="C6036" s="13" t="s">
        <v>201</v>
      </c>
      <c r="D6036" s="14" t="s">
        <v>163</v>
      </c>
      <c r="E6036" s="13" t="s">
        <v>58</v>
      </c>
      <c r="F6036" s="13" t="s">
        <v>1874</v>
      </c>
      <c r="G6036" s="13">
        <v>0.7599999999999999</v>
      </c>
      <c r="H6036" s="15">
        <v>10017</v>
      </c>
      <c r="I6036" s="16">
        <v>7612.92</v>
      </c>
      <c r="J6036" s="16">
        <v>9684.8183050847456</v>
      </c>
      <c r="K6036" s="16">
        <v>-2071.898305084746</v>
      </c>
      <c r="L6036" s="13">
        <v>1.6</v>
      </c>
      <c r="M6036" s="13"/>
      <c r="N6036" s="17">
        <f t="shared" si="198"/>
        <v>16027.2</v>
      </c>
      <c r="O6036" s="17">
        <f t="shared" si="198"/>
        <v>0</v>
      </c>
      <c r="P6036" s="17">
        <f t="shared" si="199"/>
        <v>16027.2</v>
      </c>
      <c r="Q6036" t="str">
        <f>A6036&amp;"-"&amp;B6036&amp;"-"&amp;D6036</f>
        <v>DESEMBER-CVA-L6</v>
      </c>
    </row>
    <row r="6037" spans="1:17" x14ac:dyDescent="0.25">
      <c r="A6037" t="s">
        <v>402</v>
      </c>
      <c r="B6037" s="13" t="s">
        <v>23</v>
      </c>
      <c r="C6037" s="13" t="s">
        <v>201</v>
      </c>
      <c r="D6037" s="14" t="s">
        <v>163</v>
      </c>
      <c r="E6037" s="13" t="s">
        <v>124</v>
      </c>
      <c r="F6037" s="13" t="s">
        <v>2031</v>
      </c>
      <c r="G6037" s="13">
        <v>0.9</v>
      </c>
      <c r="H6037" s="15">
        <v>817</v>
      </c>
      <c r="I6037" s="16">
        <v>735.3</v>
      </c>
      <c r="J6037" s="16">
        <v>1689</v>
      </c>
      <c r="K6037" s="16">
        <v>-953.7</v>
      </c>
      <c r="L6037" s="13">
        <v>1.76</v>
      </c>
      <c r="M6037" s="13"/>
      <c r="N6037" s="17">
        <f t="shared" si="198"/>
        <v>1437.92</v>
      </c>
      <c r="O6037" s="17">
        <f t="shared" si="198"/>
        <v>0</v>
      </c>
      <c r="P6037" s="17">
        <f t="shared" si="199"/>
        <v>1437.92</v>
      </c>
      <c r="Q6037" t="str">
        <f>A6037&amp;"-"&amp;B6037&amp;"-"&amp;D6037</f>
        <v>DESEMBER-CVA-L6</v>
      </c>
    </row>
    <row r="6038" spans="1:17" x14ac:dyDescent="0.25">
      <c r="A6038" t="s">
        <v>402</v>
      </c>
      <c r="B6038" s="13" t="s">
        <v>23</v>
      </c>
      <c r="C6038" s="13" t="s">
        <v>201</v>
      </c>
      <c r="D6038" s="14" t="s">
        <v>164</v>
      </c>
      <c r="E6038" s="13" t="s">
        <v>58</v>
      </c>
      <c r="F6038" s="13" t="s">
        <v>2032</v>
      </c>
      <c r="G6038" s="13">
        <v>0.51999999999999991</v>
      </c>
      <c r="H6038" s="15">
        <v>6799</v>
      </c>
      <c r="I6038" s="16">
        <v>3535.48</v>
      </c>
      <c r="J6038" s="16">
        <v>6032.1399999999994</v>
      </c>
      <c r="K6038" s="16">
        <v>-2496.66</v>
      </c>
      <c r="L6038" s="13">
        <v>1.6</v>
      </c>
      <c r="M6038" s="13"/>
      <c r="N6038" s="17">
        <f t="shared" si="198"/>
        <v>10878.400000000001</v>
      </c>
      <c r="O6038" s="17">
        <f t="shared" si="198"/>
        <v>0</v>
      </c>
      <c r="P6038" s="17">
        <f t="shared" si="199"/>
        <v>10878.400000000001</v>
      </c>
      <c r="Q6038" t="str">
        <f>A6038&amp;"-"&amp;B6038&amp;"-"&amp;D6038</f>
        <v>DESEMBER-CVA-L7</v>
      </c>
    </row>
    <row r="6039" spans="1:17" x14ac:dyDescent="0.25">
      <c r="A6039" t="s">
        <v>402</v>
      </c>
      <c r="B6039" s="13" t="s">
        <v>23</v>
      </c>
      <c r="C6039" s="13" t="s">
        <v>201</v>
      </c>
      <c r="D6039" s="14" t="s">
        <v>164</v>
      </c>
      <c r="E6039" s="13" t="s">
        <v>58</v>
      </c>
      <c r="F6039" s="13" t="s">
        <v>1874</v>
      </c>
      <c r="G6039" s="13">
        <v>0.7599999999999999</v>
      </c>
      <c r="H6039" s="15">
        <v>2315</v>
      </c>
      <c r="I6039" s="16">
        <v>1759.3999999999999</v>
      </c>
      <c r="J6039" s="16">
        <v>3170.2233333333334</v>
      </c>
      <c r="K6039" s="16">
        <v>-1410.8233333333333</v>
      </c>
      <c r="L6039" s="13">
        <v>1.6</v>
      </c>
      <c r="M6039" s="13"/>
      <c r="N6039" s="17">
        <f t="shared" si="198"/>
        <v>3704</v>
      </c>
      <c r="O6039" s="17">
        <f t="shared" si="198"/>
        <v>0</v>
      </c>
      <c r="P6039" s="17">
        <f t="shared" si="199"/>
        <v>3704</v>
      </c>
      <c r="Q6039" t="str">
        <f>A6039&amp;"-"&amp;B6039&amp;"-"&amp;D6039</f>
        <v>DESEMBER-CVA-L7</v>
      </c>
    </row>
    <row r="6040" spans="1:17" x14ac:dyDescent="0.25">
      <c r="A6040" t="s">
        <v>402</v>
      </c>
      <c r="B6040" s="13" t="s">
        <v>23</v>
      </c>
      <c r="C6040" s="13" t="s">
        <v>201</v>
      </c>
      <c r="D6040" s="14" t="s">
        <v>164</v>
      </c>
      <c r="E6040" s="13" t="s">
        <v>58</v>
      </c>
      <c r="F6040" s="13" t="s">
        <v>2030</v>
      </c>
      <c r="G6040" s="13">
        <v>0.7599999999999999</v>
      </c>
      <c r="H6040" s="15">
        <v>3128</v>
      </c>
      <c r="I6040" s="16">
        <v>2377.2799999999997</v>
      </c>
      <c r="J6040" s="16">
        <v>3217.14</v>
      </c>
      <c r="K6040" s="16">
        <v>-839.86000000000013</v>
      </c>
      <c r="L6040" s="13">
        <v>1.89</v>
      </c>
      <c r="M6040" s="13"/>
      <c r="N6040" s="17">
        <f t="shared" si="198"/>
        <v>5911.92</v>
      </c>
      <c r="O6040" s="17">
        <f t="shared" si="198"/>
        <v>0</v>
      </c>
      <c r="P6040" s="17">
        <f t="shared" si="199"/>
        <v>5911.92</v>
      </c>
      <c r="Q6040" t="str">
        <f>A6040&amp;"-"&amp;B6040&amp;"-"&amp;D6040</f>
        <v>DESEMBER-CVA-L7</v>
      </c>
    </row>
    <row r="6041" spans="1:17" x14ac:dyDescent="0.25">
      <c r="A6041" t="s">
        <v>402</v>
      </c>
      <c r="B6041" s="13" t="s">
        <v>23</v>
      </c>
      <c r="C6041" s="13" t="s">
        <v>201</v>
      </c>
      <c r="D6041" s="14" t="s">
        <v>198</v>
      </c>
      <c r="E6041" s="13" t="s">
        <v>58</v>
      </c>
      <c r="F6041" s="13" t="s">
        <v>2032</v>
      </c>
      <c r="G6041" s="13">
        <v>0.51999999999999991</v>
      </c>
      <c r="H6041" s="15">
        <v>5788</v>
      </c>
      <c r="I6041" s="16">
        <v>3009.76</v>
      </c>
      <c r="J6041" s="16">
        <v>5543.8236734693874</v>
      </c>
      <c r="K6041" s="16">
        <v>-2534.0636734693876</v>
      </c>
      <c r="L6041" s="13">
        <v>1.6</v>
      </c>
      <c r="M6041" s="13"/>
      <c r="N6041" s="17">
        <f t="shared" si="198"/>
        <v>9260.8000000000011</v>
      </c>
      <c r="O6041" s="17">
        <f t="shared" si="198"/>
        <v>0</v>
      </c>
      <c r="P6041" s="17">
        <f t="shared" si="199"/>
        <v>9260.8000000000011</v>
      </c>
      <c r="Q6041" t="str">
        <f>A6041&amp;"-"&amp;B6041&amp;"-"&amp;D6041</f>
        <v>DESEMBER-CVA-L8</v>
      </c>
    </row>
    <row r="6042" spans="1:17" x14ac:dyDescent="0.25">
      <c r="A6042" t="s">
        <v>402</v>
      </c>
      <c r="B6042" s="13" t="s">
        <v>23</v>
      </c>
      <c r="C6042" s="13" t="s">
        <v>201</v>
      </c>
      <c r="D6042" s="14" t="s">
        <v>198</v>
      </c>
      <c r="E6042" s="13" t="s">
        <v>58</v>
      </c>
      <c r="F6042" s="13" t="s">
        <v>2033</v>
      </c>
      <c r="G6042" s="13">
        <v>0.52</v>
      </c>
      <c r="H6042" s="15">
        <v>595</v>
      </c>
      <c r="I6042" s="16">
        <v>309.39999999999998</v>
      </c>
      <c r="J6042" s="16">
        <v>488.31632653061223</v>
      </c>
      <c r="K6042" s="16">
        <v>-178.91632653061225</v>
      </c>
      <c r="L6042" s="13">
        <v>1.5</v>
      </c>
      <c r="M6042" s="13"/>
      <c r="N6042" s="17">
        <f t="shared" si="198"/>
        <v>892.5</v>
      </c>
      <c r="O6042" s="17">
        <f t="shared" si="198"/>
        <v>0</v>
      </c>
      <c r="P6042" s="17">
        <f t="shared" si="199"/>
        <v>892.5</v>
      </c>
      <c r="Q6042" t="str">
        <f>A6042&amp;"-"&amp;B6042&amp;"-"&amp;D6042</f>
        <v>DESEMBER-CVA-L8</v>
      </c>
    </row>
    <row r="6043" spans="1:17" x14ac:dyDescent="0.25">
      <c r="A6043" t="s">
        <v>402</v>
      </c>
      <c r="B6043" s="13" t="s">
        <v>23</v>
      </c>
      <c r="C6043" s="13" t="s">
        <v>201</v>
      </c>
      <c r="D6043" s="14" t="s">
        <v>198</v>
      </c>
      <c r="E6043" s="13" t="s">
        <v>58</v>
      </c>
      <c r="F6043" s="13" t="s">
        <v>1874</v>
      </c>
      <c r="G6043" s="13">
        <v>0.7599999999999999</v>
      </c>
      <c r="H6043" s="15">
        <v>2655</v>
      </c>
      <c r="I6043" s="16">
        <v>2017.8000000000002</v>
      </c>
      <c r="J6043" s="16">
        <v>3217.14</v>
      </c>
      <c r="K6043" s="16">
        <v>-1199.3400000000001</v>
      </c>
      <c r="L6043" s="13">
        <v>1.6</v>
      </c>
      <c r="M6043" s="13"/>
      <c r="N6043" s="17">
        <f t="shared" si="198"/>
        <v>4248</v>
      </c>
      <c r="O6043" s="17">
        <f t="shared" si="198"/>
        <v>0</v>
      </c>
      <c r="P6043" s="17">
        <f t="shared" si="199"/>
        <v>4248</v>
      </c>
      <c r="Q6043" t="str">
        <f>A6043&amp;"-"&amp;B6043&amp;"-"&amp;D6043</f>
        <v>DESEMBER-CVA-L8</v>
      </c>
    </row>
    <row r="6044" spans="1:17" x14ac:dyDescent="0.25">
      <c r="A6044" t="s">
        <v>402</v>
      </c>
      <c r="B6044" s="13" t="s">
        <v>23</v>
      </c>
      <c r="C6044" s="13" t="s">
        <v>201</v>
      </c>
      <c r="D6044" s="14" t="s">
        <v>198</v>
      </c>
      <c r="E6044" s="13" t="s">
        <v>58</v>
      </c>
      <c r="F6044" s="13" t="s">
        <v>2030</v>
      </c>
      <c r="G6044" s="13">
        <v>0.7599999999999999</v>
      </c>
      <c r="H6044" s="15">
        <v>2941</v>
      </c>
      <c r="I6044" s="16">
        <v>2235.16</v>
      </c>
      <c r="J6044" s="16">
        <v>3217.14</v>
      </c>
      <c r="K6044" s="16">
        <v>-981.98</v>
      </c>
      <c r="L6044" s="13">
        <v>1.89</v>
      </c>
      <c r="M6044" s="13"/>
      <c r="N6044" s="17">
        <f t="shared" si="198"/>
        <v>5558.49</v>
      </c>
      <c r="O6044" s="17">
        <f t="shared" si="198"/>
        <v>0</v>
      </c>
      <c r="P6044" s="17">
        <f t="shared" si="199"/>
        <v>5558.49</v>
      </c>
      <c r="Q6044" t="str">
        <f>A6044&amp;"-"&amp;B6044&amp;"-"&amp;D6044</f>
        <v>DESEMBER-CVA-L8</v>
      </c>
    </row>
    <row r="6045" spans="1:17" x14ac:dyDescent="0.25">
      <c r="A6045" t="s">
        <v>402</v>
      </c>
      <c r="B6045" s="13" t="s">
        <v>23</v>
      </c>
      <c r="C6045" s="13" t="s">
        <v>201</v>
      </c>
      <c r="D6045" s="14" t="s">
        <v>199</v>
      </c>
      <c r="E6045" s="13" t="s">
        <v>58</v>
      </c>
      <c r="F6045" s="13" t="s">
        <v>2032</v>
      </c>
      <c r="G6045" s="13">
        <v>0.52</v>
      </c>
      <c r="H6045" s="15">
        <v>3658</v>
      </c>
      <c r="I6045" s="16">
        <v>1902.16</v>
      </c>
      <c r="J6045" s="16">
        <v>4343.1399999999994</v>
      </c>
      <c r="K6045" s="16">
        <v>-2440.9800000000005</v>
      </c>
      <c r="L6045" s="13">
        <v>1.6</v>
      </c>
      <c r="M6045" s="13"/>
      <c r="N6045" s="17">
        <f t="shared" si="198"/>
        <v>5852.8</v>
      </c>
      <c r="O6045" s="17">
        <f t="shared" si="198"/>
        <v>0</v>
      </c>
      <c r="P6045" s="17">
        <f t="shared" si="199"/>
        <v>5852.8</v>
      </c>
      <c r="Q6045" t="str">
        <f>A6045&amp;"-"&amp;B6045&amp;"-"&amp;D6045</f>
        <v>DESEMBER-CVA-L9</v>
      </c>
    </row>
    <row r="6046" spans="1:17" x14ac:dyDescent="0.25">
      <c r="A6046" t="s">
        <v>402</v>
      </c>
      <c r="B6046" s="13" t="s">
        <v>23</v>
      </c>
      <c r="C6046" s="13" t="s">
        <v>201</v>
      </c>
      <c r="D6046" s="14" t="s">
        <v>199</v>
      </c>
      <c r="E6046" s="13" t="s">
        <v>58</v>
      </c>
      <c r="F6046" s="13" t="s">
        <v>2033</v>
      </c>
      <c r="G6046" s="13">
        <v>0.52</v>
      </c>
      <c r="H6046" s="15">
        <v>1115</v>
      </c>
      <c r="I6046" s="16">
        <v>579.79999999999995</v>
      </c>
      <c r="J6046" s="16">
        <v>1126</v>
      </c>
      <c r="K6046" s="16">
        <v>-546.20000000000005</v>
      </c>
      <c r="L6046" s="13">
        <v>1.5</v>
      </c>
      <c r="M6046" s="13"/>
      <c r="N6046" s="17">
        <f t="shared" si="198"/>
        <v>1672.5</v>
      </c>
      <c r="O6046" s="17">
        <f t="shared" si="198"/>
        <v>0</v>
      </c>
      <c r="P6046" s="17">
        <f t="shared" si="199"/>
        <v>1672.5</v>
      </c>
      <c r="Q6046" t="str">
        <f>A6046&amp;"-"&amp;B6046&amp;"-"&amp;D6046</f>
        <v>DESEMBER-CVA-L9</v>
      </c>
    </row>
    <row r="6047" spans="1:17" x14ac:dyDescent="0.25">
      <c r="A6047" t="s">
        <v>402</v>
      </c>
      <c r="B6047" s="13" t="s">
        <v>23</v>
      </c>
      <c r="C6047" s="13" t="s">
        <v>201</v>
      </c>
      <c r="D6047" s="14" t="s">
        <v>199</v>
      </c>
      <c r="E6047" s="13" t="s">
        <v>58</v>
      </c>
      <c r="F6047" s="13" t="s">
        <v>1874</v>
      </c>
      <c r="G6047" s="13">
        <v>0.7599999999999999</v>
      </c>
      <c r="H6047" s="15">
        <v>6154</v>
      </c>
      <c r="I6047" s="16">
        <v>4677.04</v>
      </c>
      <c r="J6047" s="16">
        <v>7399.42</v>
      </c>
      <c r="K6047" s="16">
        <v>-2722.38</v>
      </c>
      <c r="L6047" s="13">
        <v>1.6</v>
      </c>
      <c r="M6047" s="13"/>
      <c r="N6047" s="17">
        <f t="shared" si="198"/>
        <v>9846.4000000000015</v>
      </c>
      <c r="O6047" s="17">
        <f t="shared" si="198"/>
        <v>0</v>
      </c>
      <c r="P6047" s="17">
        <f t="shared" si="199"/>
        <v>9846.4000000000015</v>
      </c>
      <c r="Q6047" t="str">
        <f>A6047&amp;"-"&amp;B6047&amp;"-"&amp;D6047</f>
        <v>DESEMBER-CVA-L9</v>
      </c>
    </row>
    <row r="6048" spans="1:17" x14ac:dyDescent="0.25">
      <c r="A6048" t="s">
        <v>402</v>
      </c>
      <c r="B6048" s="13" t="s">
        <v>27</v>
      </c>
      <c r="C6048" s="13" t="s">
        <v>201</v>
      </c>
      <c r="D6048" s="14" t="s">
        <v>44</v>
      </c>
      <c r="E6048" s="13" t="s">
        <v>58</v>
      </c>
      <c r="F6048" s="13" t="s">
        <v>1874</v>
      </c>
      <c r="G6048" s="13">
        <v>0.7599999999999999</v>
      </c>
      <c r="H6048" s="15">
        <v>3901</v>
      </c>
      <c r="I6048" s="16">
        <v>2964.7599999999998</v>
      </c>
      <c r="J6048" s="16">
        <v>0</v>
      </c>
      <c r="K6048" s="16">
        <v>2964.7599999999998</v>
      </c>
      <c r="L6048" s="13">
        <v>1.6</v>
      </c>
      <c r="M6048" s="13"/>
      <c r="N6048" s="17">
        <f t="shared" si="198"/>
        <v>6241.6</v>
      </c>
      <c r="O6048" s="17">
        <f t="shared" si="198"/>
        <v>0</v>
      </c>
      <c r="P6048" s="17">
        <f t="shared" si="199"/>
        <v>6241.6</v>
      </c>
      <c r="Q6048" t="str">
        <f>A6048&amp;"-"&amp;B6048&amp;"-"&amp;D6048</f>
        <v>DESEMBER-CVA2-L1</v>
      </c>
    </row>
    <row r="6049" spans="1:17" x14ac:dyDescent="0.25">
      <c r="A6049" t="s">
        <v>402</v>
      </c>
      <c r="B6049" s="13" t="s">
        <v>27</v>
      </c>
      <c r="C6049" s="13" t="s">
        <v>201</v>
      </c>
      <c r="D6049" s="14" t="s">
        <v>50</v>
      </c>
      <c r="E6049" s="13" t="s">
        <v>58</v>
      </c>
      <c r="F6049" s="13" t="s">
        <v>1874</v>
      </c>
      <c r="G6049" s="13">
        <v>0.7599999999999999</v>
      </c>
      <c r="H6049" s="15">
        <v>4199</v>
      </c>
      <c r="I6049" s="16">
        <v>3191.24</v>
      </c>
      <c r="J6049" s="16">
        <v>0</v>
      </c>
      <c r="K6049" s="16">
        <v>3191.24</v>
      </c>
      <c r="L6049" s="13">
        <v>1.6</v>
      </c>
      <c r="M6049" s="13"/>
      <c r="N6049" s="17">
        <f t="shared" si="198"/>
        <v>6718.4000000000005</v>
      </c>
      <c r="O6049" s="17">
        <f t="shared" si="198"/>
        <v>0</v>
      </c>
      <c r="P6049" s="17">
        <f t="shared" si="199"/>
        <v>6718.4000000000005</v>
      </c>
      <c r="Q6049" t="str">
        <f>A6049&amp;"-"&amp;B6049&amp;"-"&amp;D6049</f>
        <v>DESEMBER-CVA2-L2</v>
      </c>
    </row>
    <row r="6050" spans="1:17" x14ac:dyDescent="0.25">
      <c r="A6050" t="s">
        <v>402</v>
      </c>
      <c r="B6050" s="13" t="s">
        <v>24</v>
      </c>
      <c r="C6050" s="13" t="s">
        <v>226</v>
      </c>
      <c r="D6050" s="14" t="s">
        <v>219</v>
      </c>
      <c r="E6050" s="13" t="s">
        <v>61</v>
      </c>
      <c r="F6050" s="13" t="s">
        <v>2035</v>
      </c>
      <c r="G6050" s="13">
        <v>0.68</v>
      </c>
      <c r="H6050" s="15">
        <v>1627</v>
      </c>
      <c r="I6050" s="16">
        <v>1106.3599999999999</v>
      </c>
      <c r="J6050" s="16">
        <v>591.79357285252854</v>
      </c>
      <c r="K6050" s="16">
        <v>514.56642714747147</v>
      </c>
      <c r="L6050" s="13">
        <v>1.61</v>
      </c>
      <c r="M6050" s="13"/>
      <c r="N6050" s="17">
        <f t="shared" si="198"/>
        <v>2619.4700000000003</v>
      </c>
      <c r="O6050" s="17">
        <f t="shared" si="198"/>
        <v>0</v>
      </c>
      <c r="P6050" s="17">
        <f t="shared" si="199"/>
        <v>2619.4700000000003</v>
      </c>
      <c r="Q6050" t="str">
        <f>A6050&amp;"-"&amp;B6050&amp;"-"&amp;D6050</f>
        <v>DESEMBER-KLB-L1A</v>
      </c>
    </row>
    <row r="6051" spans="1:17" x14ac:dyDescent="0.25">
      <c r="A6051" t="s">
        <v>402</v>
      </c>
      <c r="B6051" s="13" t="s">
        <v>24</v>
      </c>
      <c r="C6051" s="13" t="s">
        <v>226</v>
      </c>
      <c r="D6051" s="14" t="s">
        <v>219</v>
      </c>
      <c r="E6051" s="13" t="s">
        <v>61</v>
      </c>
      <c r="F6051" s="13" t="s">
        <v>2036</v>
      </c>
      <c r="G6051" s="13">
        <v>0.67999999999999994</v>
      </c>
      <c r="H6051" s="15">
        <v>16259</v>
      </c>
      <c r="I6051" s="16">
        <v>11056.12</v>
      </c>
      <c r="J6051" s="16">
        <v>5692.5176993192345</v>
      </c>
      <c r="K6051" s="16">
        <v>5363.6023006807645</v>
      </c>
      <c r="L6051" s="13">
        <v>1.69</v>
      </c>
      <c r="M6051" s="13"/>
      <c r="N6051" s="17">
        <f t="shared" si="198"/>
        <v>27477.71</v>
      </c>
      <c r="O6051" s="17">
        <f t="shared" si="198"/>
        <v>0</v>
      </c>
      <c r="P6051" s="17">
        <f t="shared" si="199"/>
        <v>27477.71</v>
      </c>
      <c r="Q6051" t="str">
        <f>A6051&amp;"-"&amp;B6051&amp;"-"&amp;D6051</f>
        <v>DESEMBER-KLB-L1A</v>
      </c>
    </row>
    <row r="6052" spans="1:17" x14ac:dyDescent="0.25">
      <c r="A6052" t="s">
        <v>402</v>
      </c>
      <c r="B6052" s="13" t="s">
        <v>24</v>
      </c>
      <c r="C6052" s="13" t="s">
        <v>226</v>
      </c>
      <c r="D6052" s="14" t="s">
        <v>219</v>
      </c>
      <c r="E6052" s="13" t="s">
        <v>61</v>
      </c>
      <c r="F6052" s="13" t="s">
        <v>1885</v>
      </c>
      <c r="G6052" s="13">
        <v>0.68</v>
      </c>
      <c r="H6052" s="15">
        <v>218</v>
      </c>
      <c r="I6052" s="16">
        <v>148.24000000000004</v>
      </c>
      <c r="J6052" s="16">
        <v>89.173915244631814</v>
      </c>
      <c r="K6052" s="16">
        <v>59.066084755368195</v>
      </c>
      <c r="L6052" s="13">
        <v>1.69</v>
      </c>
      <c r="M6052" s="13"/>
      <c r="N6052" s="17">
        <f t="shared" si="198"/>
        <v>368.42</v>
      </c>
      <c r="O6052" s="17">
        <f t="shared" si="198"/>
        <v>0</v>
      </c>
      <c r="P6052" s="17">
        <f t="shared" si="199"/>
        <v>368.42</v>
      </c>
      <c r="Q6052" t="str">
        <f>A6052&amp;"-"&amp;B6052&amp;"-"&amp;D6052</f>
        <v>DESEMBER-KLB-L1A</v>
      </c>
    </row>
    <row r="6053" spans="1:17" x14ac:dyDescent="0.25">
      <c r="A6053" t="s">
        <v>402</v>
      </c>
      <c r="B6053" s="13" t="s">
        <v>24</v>
      </c>
      <c r="C6053" s="13" t="s">
        <v>226</v>
      </c>
      <c r="D6053" s="14" t="s">
        <v>219</v>
      </c>
      <c r="E6053" s="13" t="s">
        <v>61</v>
      </c>
      <c r="F6053" s="13" t="s">
        <v>1890</v>
      </c>
      <c r="G6053" s="13">
        <v>0.65</v>
      </c>
      <c r="H6053" s="15">
        <v>1590</v>
      </c>
      <c r="I6053" s="16">
        <v>1033.5</v>
      </c>
      <c r="J6053" s="16">
        <v>669.3217192002337</v>
      </c>
      <c r="K6053" s="16">
        <v>364.1782807997663</v>
      </c>
      <c r="L6053" s="13">
        <v>1.81</v>
      </c>
      <c r="M6053" s="13"/>
      <c r="N6053" s="17">
        <f t="shared" si="198"/>
        <v>2877.9</v>
      </c>
      <c r="O6053" s="17">
        <f t="shared" si="198"/>
        <v>0</v>
      </c>
      <c r="P6053" s="17">
        <f t="shared" si="199"/>
        <v>2877.9</v>
      </c>
      <c r="Q6053" t="str">
        <f>A6053&amp;"-"&amp;B6053&amp;"-"&amp;D6053</f>
        <v>DESEMBER-KLB-L1A</v>
      </c>
    </row>
    <row r="6054" spans="1:17" x14ac:dyDescent="0.25">
      <c r="A6054" t="s">
        <v>402</v>
      </c>
      <c r="B6054" s="13" t="s">
        <v>24</v>
      </c>
      <c r="C6054" s="13" t="s">
        <v>226</v>
      </c>
      <c r="D6054" s="14" t="s">
        <v>219</v>
      </c>
      <c r="E6054" s="13" t="s">
        <v>61</v>
      </c>
      <c r="F6054" s="13" t="s">
        <v>2037</v>
      </c>
      <c r="G6054" s="13">
        <v>0.68</v>
      </c>
      <c r="H6054" s="15">
        <v>2280</v>
      </c>
      <c r="I6054" s="16">
        <v>1550.4</v>
      </c>
      <c r="J6054" s="16">
        <v>807.91304347826087</v>
      </c>
      <c r="K6054" s="16">
        <v>742.48695652173922</v>
      </c>
      <c r="L6054" s="13">
        <v>1.69</v>
      </c>
      <c r="M6054" s="13"/>
      <c r="N6054" s="17">
        <f t="shared" si="198"/>
        <v>3853.2</v>
      </c>
      <c r="O6054" s="17">
        <f t="shared" si="198"/>
        <v>0</v>
      </c>
      <c r="P6054" s="17">
        <f t="shared" si="199"/>
        <v>3853.2</v>
      </c>
      <c r="Q6054" t="str">
        <f>A6054&amp;"-"&amp;B6054&amp;"-"&amp;D6054</f>
        <v>DESEMBER-KLB-L1A</v>
      </c>
    </row>
    <row r="6055" spans="1:17" x14ac:dyDescent="0.25">
      <c r="A6055" t="s">
        <v>402</v>
      </c>
      <c r="B6055" s="13" t="s">
        <v>24</v>
      </c>
      <c r="C6055" s="13" t="s">
        <v>226</v>
      </c>
      <c r="D6055" s="14" t="s">
        <v>219</v>
      </c>
      <c r="E6055" s="13" t="s">
        <v>61</v>
      </c>
      <c r="F6055" s="13" t="s">
        <v>2038</v>
      </c>
      <c r="G6055" s="13">
        <v>0.68</v>
      </c>
      <c r="H6055" s="15">
        <v>1733</v>
      </c>
      <c r="I6055" s="16">
        <v>1178.4399999999998</v>
      </c>
      <c r="J6055" s="16">
        <v>685.27310220208085</v>
      </c>
      <c r="K6055" s="16">
        <v>493.16689779791921</v>
      </c>
      <c r="L6055" s="13">
        <v>1.61</v>
      </c>
      <c r="M6055" s="13"/>
      <c r="N6055" s="17">
        <f t="shared" si="198"/>
        <v>2790.13</v>
      </c>
      <c r="O6055" s="17">
        <f t="shared" si="198"/>
        <v>0</v>
      </c>
      <c r="P6055" s="17">
        <f t="shared" si="199"/>
        <v>2790.13</v>
      </c>
      <c r="Q6055" t="str">
        <f>A6055&amp;"-"&amp;B6055&amp;"-"&amp;D6055</f>
        <v>DESEMBER-KLB-L1A</v>
      </c>
    </row>
    <row r="6056" spans="1:17" x14ac:dyDescent="0.25">
      <c r="A6056" t="s">
        <v>402</v>
      </c>
      <c r="B6056" s="13" t="s">
        <v>24</v>
      </c>
      <c r="C6056" s="13" t="s">
        <v>226</v>
      </c>
      <c r="D6056" s="14" t="s">
        <v>219</v>
      </c>
      <c r="E6056" s="13" t="s">
        <v>61</v>
      </c>
      <c r="F6056" s="13" t="s">
        <v>2039</v>
      </c>
      <c r="G6056" s="13">
        <v>0.68</v>
      </c>
      <c r="H6056" s="15">
        <v>868</v>
      </c>
      <c r="I6056" s="16">
        <v>590.24</v>
      </c>
      <c r="J6056" s="16">
        <v>358.84147600769694</v>
      </c>
      <c r="K6056" s="16">
        <v>231.39852399230304</v>
      </c>
      <c r="L6056" s="13">
        <v>1.63</v>
      </c>
      <c r="M6056" s="13"/>
      <c r="N6056" s="17">
        <f t="shared" si="198"/>
        <v>1414.84</v>
      </c>
      <c r="O6056" s="17">
        <f t="shared" si="198"/>
        <v>0</v>
      </c>
      <c r="P6056" s="17">
        <f t="shared" si="199"/>
        <v>1414.84</v>
      </c>
      <c r="Q6056" t="str">
        <f>A6056&amp;"-"&amp;B6056&amp;"-"&amp;D6056</f>
        <v>DESEMBER-KLB-L1A</v>
      </c>
    </row>
    <row r="6057" spans="1:17" x14ac:dyDescent="0.25">
      <c r="A6057" t="s">
        <v>402</v>
      </c>
      <c r="B6057" s="13" t="s">
        <v>24</v>
      </c>
      <c r="C6057" s="13" t="s">
        <v>226</v>
      </c>
      <c r="D6057" s="14" t="s">
        <v>219</v>
      </c>
      <c r="E6057" s="13" t="s">
        <v>61</v>
      </c>
      <c r="F6057" s="13" t="s">
        <v>1888</v>
      </c>
      <c r="G6057" s="13">
        <v>0.7</v>
      </c>
      <c r="H6057" s="15">
        <v>170</v>
      </c>
      <c r="I6057" s="16">
        <v>119</v>
      </c>
      <c r="J6057" s="16">
        <v>71.602067183462523</v>
      </c>
      <c r="K6057" s="16">
        <v>47.397932816537477</v>
      </c>
      <c r="L6057" s="13">
        <v>1.76</v>
      </c>
      <c r="M6057" s="13"/>
      <c r="N6057" s="17">
        <f t="shared" si="198"/>
        <v>299.2</v>
      </c>
      <c r="O6057" s="17">
        <f t="shared" si="198"/>
        <v>0</v>
      </c>
      <c r="P6057" s="17">
        <f t="shared" si="199"/>
        <v>299.2</v>
      </c>
      <c r="Q6057" t="str">
        <f>A6057&amp;"-"&amp;B6057&amp;"-"&amp;D6057</f>
        <v>DESEMBER-KLB-L1A</v>
      </c>
    </row>
    <row r="6058" spans="1:17" x14ac:dyDescent="0.25">
      <c r="A6058" t="s">
        <v>402</v>
      </c>
      <c r="B6058" s="13" t="s">
        <v>24</v>
      </c>
      <c r="C6058" s="13" t="s">
        <v>226</v>
      </c>
      <c r="D6058" s="14" t="s">
        <v>219</v>
      </c>
      <c r="E6058" s="13" t="s">
        <v>61</v>
      </c>
      <c r="F6058" s="13" t="s">
        <v>2040</v>
      </c>
      <c r="G6058" s="13">
        <v>0.65</v>
      </c>
      <c r="H6058" s="15">
        <v>2490</v>
      </c>
      <c r="I6058" s="16">
        <v>1618.5000000000002</v>
      </c>
      <c r="J6058" s="16">
        <v>812.74470612816265</v>
      </c>
      <c r="K6058" s="16">
        <v>805.75529387183735</v>
      </c>
      <c r="L6058" s="13">
        <v>1.66</v>
      </c>
      <c r="M6058" s="13"/>
      <c r="N6058" s="17">
        <f t="shared" si="198"/>
        <v>4133.3999999999996</v>
      </c>
      <c r="O6058" s="17">
        <f t="shared" si="198"/>
        <v>0</v>
      </c>
      <c r="P6058" s="17">
        <f t="shared" si="199"/>
        <v>4133.3999999999996</v>
      </c>
      <c r="Q6058" t="str">
        <f>A6058&amp;"-"&amp;B6058&amp;"-"&amp;D6058</f>
        <v>DESEMBER-KLB-L1A</v>
      </c>
    </row>
    <row r="6059" spans="1:17" x14ac:dyDescent="0.25">
      <c r="A6059" t="s">
        <v>402</v>
      </c>
      <c r="B6059" s="13" t="s">
        <v>24</v>
      </c>
      <c r="C6059" s="13" t="s">
        <v>226</v>
      </c>
      <c r="D6059" s="14" t="s">
        <v>219</v>
      </c>
      <c r="E6059" s="13" t="s">
        <v>61</v>
      </c>
      <c r="F6059" s="13" t="s">
        <v>2041</v>
      </c>
      <c r="G6059" s="13">
        <v>0.65</v>
      </c>
      <c r="H6059" s="15">
        <v>2344</v>
      </c>
      <c r="I6059" s="16">
        <v>1523.6</v>
      </c>
      <c r="J6059" s="16">
        <v>824.90985324947587</v>
      </c>
      <c r="K6059" s="16">
        <v>698.69014675052415</v>
      </c>
      <c r="L6059" s="13">
        <v>1.64</v>
      </c>
      <c r="M6059" s="13"/>
      <c r="N6059" s="17">
        <f t="shared" si="198"/>
        <v>3844.16</v>
      </c>
      <c r="O6059" s="17">
        <f t="shared" si="198"/>
        <v>0</v>
      </c>
      <c r="P6059" s="17">
        <f t="shared" si="199"/>
        <v>3844.16</v>
      </c>
      <c r="Q6059" t="str">
        <f>A6059&amp;"-"&amp;B6059&amp;"-"&amp;D6059</f>
        <v>DESEMBER-KLB-L1A</v>
      </c>
    </row>
    <row r="6060" spans="1:17" x14ac:dyDescent="0.25">
      <c r="A6060" t="s">
        <v>402</v>
      </c>
      <c r="B6060" s="13" t="s">
        <v>24</v>
      </c>
      <c r="C6060" s="13" t="s">
        <v>226</v>
      </c>
      <c r="D6060" s="14" t="s">
        <v>219</v>
      </c>
      <c r="E6060" s="13" t="s">
        <v>61</v>
      </c>
      <c r="F6060" s="13" t="s">
        <v>2042</v>
      </c>
      <c r="G6060" s="13">
        <v>0.65</v>
      </c>
      <c r="H6060" s="15">
        <v>2356</v>
      </c>
      <c r="I6060" s="16">
        <v>1531.4</v>
      </c>
      <c r="J6060" s="16">
        <v>819.36730096149984</v>
      </c>
      <c r="K6060" s="16">
        <v>712.03269903850025</v>
      </c>
      <c r="L6060" s="13">
        <v>1.64</v>
      </c>
      <c r="M6060" s="13"/>
      <c r="N6060" s="17">
        <f t="shared" si="198"/>
        <v>3863.8399999999997</v>
      </c>
      <c r="O6060" s="17">
        <f t="shared" si="198"/>
        <v>0</v>
      </c>
      <c r="P6060" s="17">
        <f t="shared" si="199"/>
        <v>3863.8399999999997</v>
      </c>
      <c r="Q6060" t="str">
        <f>A6060&amp;"-"&amp;B6060&amp;"-"&amp;D6060</f>
        <v>DESEMBER-KLB-L1A</v>
      </c>
    </row>
    <row r="6061" spans="1:17" x14ac:dyDescent="0.25">
      <c r="A6061" t="s">
        <v>402</v>
      </c>
      <c r="B6061" s="13" t="s">
        <v>24</v>
      </c>
      <c r="C6061" s="13" t="s">
        <v>226</v>
      </c>
      <c r="D6061" s="14" t="s">
        <v>219</v>
      </c>
      <c r="E6061" s="13" t="s">
        <v>61</v>
      </c>
      <c r="F6061" s="13" t="s">
        <v>2043</v>
      </c>
      <c r="G6061" s="13">
        <v>0.65</v>
      </c>
      <c r="H6061" s="15">
        <v>7269</v>
      </c>
      <c r="I6061" s="16">
        <v>4724.8500000000004</v>
      </c>
      <c r="J6061" s="16">
        <v>2430.8119510271686</v>
      </c>
      <c r="K6061" s="16">
        <v>2294.0380489728313</v>
      </c>
      <c r="L6061" s="13">
        <v>1.66</v>
      </c>
      <c r="M6061" s="13"/>
      <c r="N6061" s="17">
        <f t="shared" si="198"/>
        <v>12066.539999999999</v>
      </c>
      <c r="O6061" s="17">
        <f t="shared" si="198"/>
        <v>0</v>
      </c>
      <c r="P6061" s="17">
        <f t="shared" si="199"/>
        <v>12066.539999999999</v>
      </c>
      <c r="Q6061" t="str">
        <f>A6061&amp;"-"&amp;B6061&amp;"-"&amp;D6061</f>
        <v>DESEMBER-KLB-L1A</v>
      </c>
    </row>
    <row r="6062" spans="1:17" x14ac:dyDescent="0.25">
      <c r="A6062" t="s">
        <v>402</v>
      </c>
      <c r="B6062" s="13" t="s">
        <v>24</v>
      </c>
      <c r="C6062" s="13" t="s">
        <v>226</v>
      </c>
      <c r="D6062" s="14" t="s">
        <v>219</v>
      </c>
      <c r="E6062" s="13" t="s">
        <v>61</v>
      </c>
      <c r="F6062" s="13" t="s">
        <v>2044</v>
      </c>
      <c r="G6062" s="13">
        <v>0.65</v>
      </c>
      <c r="H6062" s="15">
        <v>2000</v>
      </c>
      <c r="I6062" s="16">
        <v>1300</v>
      </c>
      <c r="J6062" s="16">
        <v>810.94527363184079</v>
      </c>
      <c r="K6062" s="16">
        <v>489.05472636815921</v>
      </c>
      <c r="L6062" s="13">
        <v>1.64</v>
      </c>
      <c r="M6062" s="13"/>
      <c r="N6062" s="17">
        <f t="shared" si="198"/>
        <v>3280</v>
      </c>
      <c r="O6062" s="17">
        <f t="shared" si="198"/>
        <v>0</v>
      </c>
      <c r="P6062" s="17">
        <f t="shared" si="199"/>
        <v>3280</v>
      </c>
      <c r="Q6062" t="str">
        <f>A6062&amp;"-"&amp;B6062&amp;"-"&amp;D6062</f>
        <v>DESEMBER-KLB-L1A</v>
      </c>
    </row>
    <row r="6063" spans="1:17" x14ac:dyDescent="0.25">
      <c r="A6063" t="s">
        <v>402</v>
      </c>
      <c r="B6063" s="13" t="s">
        <v>24</v>
      </c>
      <c r="C6063" s="13" t="s">
        <v>226</v>
      </c>
      <c r="D6063" s="14" t="s">
        <v>219</v>
      </c>
      <c r="E6063" s="13" t="s">
        <v>61</v>
      </c>
      <c r="F6063" s="13" t="s">
        <v>2045</v>
      </c>
      <c r="G6063" s="13">
        <v>0.65</v>
      </c>
      <c r="H6063" s="15">
        <v>4720</v>
      </c>
      <c r="I6063" s="16">
        <v>3068</v>
      </c>
      <c r="J6063" s="16">
        <v>1634.7843195137229</v>
      </c>
      <c r="K6063" s="16">
        <v>1433.2156804862773</v>
      </c>
      <c r="L6063" s="13">
        <v>1.64</v>
      </c>
      <c r="M6063" s="13"/>
      <c r="N6063" s="17">
        <f t="shared" si="198"/>
        <v>7740.7999999999993</v>
      </c>
      <c r="O6063" s="17">
        <f t="shared" si="198"/>
        <v>0</v>
      </c>
      <c r="P6063" s="17">
        <f t="shared" si="199"/>
        <v>7740.7999999999993</v>
      </c>
      <c r="Q6063" t="str">
        <f>A6063&amp;"-"&amp;B6063&amp;"-"&amp;D6063</f>
        <v>DESEMBER-KLB-L1A</v>
      </c>
    </row>
    <row r="6064" spans="1:17" x14ac:dyDescent="0.25">
      <c r="A6064" t="s">
        <v>402</v>
      </c>
      <c r="B6064" s="13" t="s">
        <v>24</v>
      </c>
      <c r="C6064" s="13" t="s">
        <v>226</v>
      </c>
      <c r="D6064" s="14" t="s">
        <v>221</v>
      </c>
      <c r="E6064" s="13" t="s">
        <v>61</v>
      </c>
      <c r="F6064" s="13" t="s">
        <v>2035</v>
      </c>
      <c r="G6064" s="13">
        <v>0.68</v>
      </c>
      <c r="H6064" s="15">
        <v>1635</v>
      </c>
      <c r="I6064" s="16">
        <v>1111.8000000000002</v>
      </c>
      <c r="J6064" s="16">
        <v>555.52349774283562</v>
      </c>
      <c r="K6064" s="16">
        <v>556.27650225716445</v>
      </c>
      <c r="L6064" s="13">
        <v>1.61</v>
      </c>
      <c r="M6064" s="13"/>
      <c r="N6064" s="17">
        <f t="shared" si="198"/>
        <v>2632.3500000000004</v>
      </c>
      <c r="O6064" s="17">
        <f t="shared" si="198"/>
        <v>0</v>
      </c>
      <c r="P6064" s="17">
        <f t="shared" si="199"/>
        <v>2632.3500000000004</v>
      </c>
      <c r="Q6064" t="str">
        <f>A6064&amp;"-"&amp;B6064&amp;"-"&amp;D6064</f>
        <v>DESEMBER-KLB-L1B</v>
      </c>
    </row>
    <row r="6065" spans="1:17" x14ac:dyDescent="0.25">
      <c r="A6065" t="s">
        <v>402</v>
      </c>
      <c r="B6065" s="13" t="s">
        <v>24</v>
      </c>
      <c r="C6065" s="13" t="s">
        <v>226</v>
      </c>
      <c r="D6065" s="14" t="s">
        <v>221</v>
      </c>
      <c r="E6065" s="13" t="s">
        <v>61</v>
      </c>
      <c r="F6065" s="13" t="s">
        <v>2036</v>
      </c>
      <c r="G6065" s="13">
        <v>0.67999999999999994</v>
      </c>
      <c r="H6065" s="15">
        <v>13876</v>
      </c>
      <c r="I6065" s="16">
        <v>9435.68</v>
      </c>
      <c r="J6065" s="16">
        <v>4949.1606763817081</v>
      </c>
      <c r="K6065" s="16">
        <v>4486.5193236182922</v>
      </c>
      <c r="L6065" s="13">
        <v>1.69</v>
      </c>
      <c r="M6065" s="13"/>
      <c r="N6065" s="17">
        <f t="shared" si="198"/>
        <v>23450.44</v>
      </c>
      <c r="O6065" s="17">
        <f t="shared" si="198"/>
        <v>0</v>
      </c>
      <c r="P6065" s="17">
        <f t="shared" si="199"/>
        <v>23450.44</v>
      </c>
      <c r="Q6065" t="str">
        <f>A6065&amp;"-"&amp;B6065&amp;"-"&amp;D6065</f>
        <v>DESEMBER-KLB-L1B</v>
      </c>
    </row>
    <row r="6066" spans="1:17" x14ac:dyDescent="0.25">
      <c r="A6066" t="s">
        <v>402</v>
      </c>
      <c r="B6066" s="13" t="s">
        <v>24</v>
      </c>
      <c r="C6066" s="13" t="s">
        <v>226</v>
      </c>
      <c r="D6066" s="14" t="s">
        <v>221</v>
      </c>
      <c r="E6066" s="13" t="s">
        <v>61</v>
      </c>
      <c r="F6066" s="13" t="s">
        <v>1885</v>
      </c>
      <c r="G6066" s="13">
        <v>0.68</v>
      </c>
      <c r="H6066" s="15">
        <v>135</v>
      </c>
      <c r="I6066" s="16">
        <v>91.800000000000011</v>
      </c>
      <c r="J6066" s="16">
        <v>49.698948139184111</v>
      </c>
      <c r="K6066" s="16">
        <v>42.101051860815893</v>
      </c>
      <c r="L6066" s="13">
        <v>1.69</v>
      </c>
      <c r="M6066" s="13"/>
      <c r="N6066" s="17">
        <f t="shared" si="198"/>
        <v>228.15</v>
      </c>
      <c r="O6066" s="17">
        <f t="shared" si="198"/>
        <v>0</v>
      </c>
      <c r="P6066" s="17">
        <f t="shared" si="199"/>
        <v>228.15</v>
      </c>
      <c r="Q6066" t="str">
        <f>A6066&amp;"-"&amp;B6066&amp;"-"&amp;D6066</f>
        <v>DESEMBER-KLB-L1B</v>
      </c>
    </row>
    <row r="6067" spans="1:17" x14ac:dyDescent="0.25">
      <c r="A6067" t="s">
        <v>402</v>
      </c>
      <c r="B6067" s="13" t="s">
        <v>24</v>
      </c>
      <c r="C6067" s="13" t="s">
        <v>226</v>
      </c>
      <c r="D6067" s="14" t="s">
        <v>221</v>
      </c>
      <c r="E6067" s="13" t="s">
        <v>61</v>
      </c>
      <c r="F6067" s="13" t="s">
        <v>1890</v>
      </c>
      <c r="G6067" s="13">
        <v>0.65</v>
      </c>
      <c r="H6067" s="15">
        <v>330</v>
      </c>
      <c r="I6067" s="16">
        <v>214.5</v>
      </c>
      <c r="J6067" s="16">
        <v>129.92753623188403</v>
      </c>
      <c r="K6067" s="16">
        <v>84.572463768115966</v>
      </c>
      <c r="L6067" s="13">
        <v>1.81</v>
      </c>
      <c r="M6067" s="13"/>
      <c r="N6067" s="17">
        <f t="shared" si="198"/>
        <v>597.30000000000007</v>
      </c>
      <c r="O6067" s="17">
        <f t="shared" si="198"/>
        <v>0</v>
      </c>
      <c r="P6067" s="17">
        <f t="shared" si="199"/>
        <v>597.30000000000007</v>
      </c>
      <c r="Q6067" t="str">
        <f>A6067&amp;"-"&amp;B6067&amp;"-"&amp;D6067</f>
        <v>DESEMBER-KLB-L1B</v>
      </c>
    </row>
    <row r="6068" spans="1:17" x14ac:dyDescent="0.25">
      <c r="A6068" t="s">
        <v>402</v>
      </c>
      <c r="B6068" s="13" t="s">
        <v>24</v>
      </c>
      <c r="C6068" s="13" t="s">
        <v>226</v>
      </c>
      <c r="D6068" s="14" t="s">
        <v>221</v>
      </c>
      <c r="E6068" s="13" t="s">
        <v>61</v>
      </c>
      <c r="F6068" s="13" t="s">
        <v>2037</v>
      </c>
      <c r="G6068" s="13">
        <v>0.68</v>
      </c>
      <c r="H6068" s="15">
        <v>3460</v>
      </c>
      <c r="I6068" s="16">
        <v>2352.8000000000002</v>
      </c>
      <c r="J6068" s="16">
        <v>1174.2099792099793</v>
      </c>
      <c r="K6068" s="16">
        <v>1178.5900207900208</v>
      </c>
      <c r="L6068" s="13">
        <v>1.69</v>
      </c>
      <c r="M6068" s="13"/>
      <c r="N6068" s="17">
        <f t="shared" si="198"/>
        <v>5847.4</v>
      </c>
      <c r="O6068" s="17">
        <f t="shared" si="198"/>
        <v>0</v>
      </c>
      <c r="P6068" s="17">
        <f t="shared" si="199"/>
        <v>5847.4</v>
      </c>
      <c r="Q6068" t="str">
        <f>A6068&amp;"-"&amp;B6068&amp;"-"&amp;D6068</f>
        <v>DESEMBER-KLB-L1B</v>
      </c>
    </row>
    <row r="6069" spans="1:17" x14ac:dyDescent="0.25">
      <c r="A6069" t="s">
        <v>402</v>
      </c>
      <c r="B6069" s="13" t="s">
        <v>24</v>
      </c>
      <c r="C6069" s="13" t="s">
        <v>226</v>
      </c>
      <c r="D6069" s="14" t="s">
        <v>221</v>
      </c>
      <c r="E6069" s="13" t="s">
        <v>61</v>
      </c>
      <c r="F6069" s="13" t="s">
        <v>2038</v>
      </c>
      <c r="G6069" s="13">
        <v>0.68</v>
      </c>
      <c r="H6069" s="15">
        <v>4236</v>
      </c>
      <c r="I6069" s="16">
        <v>2880.48</v>
      </c>
      <c r="J6069" s="16">
        <v>1620.9785048524609</v>
      </c>
      <c r="K6069" s="16">
        <v>1259.5014951475389</v>
      </c>
      <c r="L6069" s="13">
        <v>1.61</v>
      </c>
      <c r="M6069" s="13"/>
      <c r="N6069" s="17">
        <f t="shared" si="198"/>
        <v>6819.96</v>
      </c>
      <c r="O6069" s="17">
        <f t="shared" si="198"/>
        <v>0</v>
      </c>
      <c r="P6069" s="17">
        <f t="shared" si="199"/>
        <v>6819.96</v>
      </c>
      <c r="Q6069" t="str">
        <f>A6069&amp;"-"&amp;B6069&amp;"-"&amp;D6069</f>
        <v>DESEMBER-KLB-L1B</v>
      </c>
    </row>
    <row r="6070" spans="1:17" x14ac:dyDescent="0.25">
      <c r="A6070" t="s">
        <v>402</v>
      </c>
      <c r="B6070" s="13" t="s">
        <v>24</v>
      </c>
      <c r="C6070" s="13" t="s">
        <v>226</v>
      </c>
      <c r="D6070" s="14" t="s">
        <v>221</v>
      </c>
      <c r="E6070" s="13" t="s">
        <v>61</v>
      </c>
      <c r="F6070" s="13" t="s">
        <v>2039</v>
      </c>
      <c r="G6070" s="13">
        <v>0.68</v>
      </c>
      <c r="H6070" s="15">
        <v>916</v>
      </c>
      <c r="I6070" s="16">
        <v>622.87999999999988</v>
      </c>
      <c r="J6070" s="16">
        <v>354.0452515474762</v>
      </c>
      <c r="K6070" s="16">
        <v>268.8347484525238</v>
      </c>
      <c r="L6070" s="13">
        <v>1.63</v>
      </c>
      <c r="M6070" s="13"/>
      <c r="N6070" s="17">
        <f t="shared" si="198"/>
        <v>1493.08</v>
      </c>
      <c r="O6070" s="17">
        <f t="shared" si="198"/>
        <v>0</v>
      </c>
      <c r="P6070" s="17">
        <f t="shared" si="199"/>
        <v>1493.08</v>
      </c>
      <c r="Q6070" t="str">
        <f>A6070&amp;"-"&amp;B6070&amp;"-"&amp;D6070</f>
        <v>DESEMBER-KLB-L1B</v>
      </c>
    </row>
    <row r="6071" spans="1:17" x14ac:dyDescent="0.25">
      <c r="A6071" t="s">
        <v>402</v>
      </c>
      <c r="B6071" s="13" t="s">
        <v>24</v>
      </c>
      <c r="C6071" s="13" t="s">
        <v>226</v>
      </c>
      <c r="D6071" s="14" t="s">
        <v>221</v>
      </c>
      <c r="E6071" s="13" t="s">
        <v>61</v>
      </c>
      <c r="F6071" s="13" t="s">
        <v>1888</v>
      </c>
      <c r="G6071" s="13">
        <v>0.7</v>
      </c>
      <c r="H6071" s="15">
        <v>130</v>
      </c>
      <c r="I6071" s="16">
        <v>91</v>
      </c>
      <c r="J6071" s="16">
        <v>43.156822810590633</v>
      </c>
      <c r="K6071" s="16">
        <v>47.843177189409367</v>
      </c>
      <c r="L6071" s="13">
        <v>1.76</v>
      </c>
      <c r="M6071" s="13"/>
      <c r="N6071" s="17">
        <f t="shared" si="198"/>
        <v>228.8</v>
      </c>
      <c r="O6071" s="17">
        <f t="shared" si="198"/>
        <v>0</v>
      </c>
      <c r="P6071" s="17">
        <f t="shared" si="199"/>
        <v>228.8</v>
      </c>
      <c r="Q6071" t="str">
        <f>A6071&amp;"-"&amp;B6071&amp;"-"&amp;D6071</f>
        <v>DESEMBER-KLB-L1B</v>
      </c>
    </row>
    <row r="6072" spans="1:17" x14ac:dyDescent="0.25">
      <c r="A6072" t="s">
        <v>402</v>
      </c>
      <c r="B6072" s="13" t="s">
        <v>24</v>
      </c>
      <c r="C6072" s="13" t="s">
        <v>226</v>
      </c>
      <c r="D6072" s="14" t="s">
        <v>221</v>
      </c>
      <c r="E6072" s="13" t="s">
        <v>61</v>
      </c>
      <c r="F6072" s="13" t="s">
        <v>2040</v>
      </c>
      <c r="G6072" s="13">
        <v>0.65</v>
      </c>
      <c r="H6072" s="15">
        <v>3050</v>
      </c>
      <c r="I6072" s="16">
        <v>1982.5</v>
      </c>
      <c r="J6072" s="16">
        <v>1032.4447942955858</v>
      </c>
      <c r="K6072" s="16">
        <v>950.05520570441411</v>
      </c>
      <c r="L6072" s="13">
        <v>1.66</v>
      </c>
      <c r="M6072" s="13"/>
      <c r="N6072" s="17">
        <f t="shared" si="198"/>
        <v>5063</v>
      </c>
      <c r="O6072" s="17">
        <f t="shared" si="198"/>
        <v>0</v>
      </c>
      <c r="P6072" s="17">
        <f t="shared" si="199"/>
        <v>5063</v>
      </c>
      <c r="Q6072" t="str">
        <f>A6072&amp;"-"&amp;B6072&amp;"-"&amp;D6072</f>
        <v>DESEMBER-KLB-L1B</v>
      </c>
    </row>
    <row r="6073" spans="1:17" x14ac:dyDescent="0.25">
      <c r="A6073" t="s">
        <v>402</v>
      </c>
      <c r="B6073" s="13" t="s">
        <v>24</v>
      </c>
      <c r="C6073" s="13" t="s">
        <v>226</v>
      </c>
      <c r="D6073" s="14" t="s">
        <v>221</v>
      </c>
      <c r="E6073" s="13" t="s">
        <v>61</v>
      </c>
      <c r="F6073" s="13" t="s">
        <v>2041</v>
      </c>
      <c r="G6073" s="13">
        <v>0.65</v>
      </c>
      <c r="H6073" s="15">
        <v>1775</v>
      </c>
      <c r="I6073" s="16">
        <v>1153.75</v>
      </c>
      <c r="J6073" s="16">
        <v>651.56084520055106</v>
      </c>
      <c r="K6073" s="16">
        <v>502.18915479944894</v>
      </c>
      <c r="L6073" s="13">
        <v>1.64</v>
      </c>
      <c r="M6073" s="13"/>
      <c r="N6073" s="17">
        <f t="shared" ref="N6073:O6134" si="200">$H6073*L6073</f>
        <v>2911</v>
      </c>
      <c r="O6073" s="17">
        <f t="shared" si="200"/>
        <v>0</v>
      </c>
      <c r="P6073" s="17">
        <f t="shared" si="199"/>
        <v>2911</v>
      </c>
      <c r="Q6073" t="str">
        <f>A6073&amp;"-"&amp;B6073&amp;"-"&amp;D6073</f>
        <v>DESEMBER-KLB-L1B</v>
      </c>
    </row>
    <row r="6074" spans="1:17" x14ac:dyDescent="0.25">
      <c r="A6074" t="s">
        <v>402</v>
      </c>
      <c r="B6074" s="13" t="s">
        <v>24</v>
      </c>
      <c r="C6074" s="13" t="s">
        <v>226</v>
      </c>
      <c r="D6074" s="14" t="s">
        <v>221</v>
      </c>
      <c r="E6074" s="13" t="s">
        <v>61</v>
      </c>
      <c r="F6074" s="13" t="s">
        <v>2042</v>
      </c>
      <c r="G6074" s="13">
        <v>0.65</v>
      </c>
      <c r="H6074" s="15">
        <v>6130</v>
      </c>
      <c r="I6074" s="16">
        <v>3984.5</v>
      </c>
      <c r="J6074" s="16">
        <v>2257.9459684731469</v>
      </c>
      <c r="K6074" s="16">
        <v>1726.5540315268531</v>
      </c>
      <c r="L6074" s="13">
        <v>1.64</v>
      </c>
      <c r="M6074" s="13"/>
      <c r="N6074" s="17">
        <f t="shared" si="200"/>
        <v>10053.199999999999</v>
      </c>
      <c r="O6074" s="17">
        <f t="shared" si="200"/>
        <v>0</v>
      </c>
      <c r="P6074" s="17">
        <f t="shared" si="199"/>
        <v>10053.199999999999</v>
      </c>
      <c r="Q6074" t="str">
        <f>A6074&amp;"-"&amp;B6074&amp;"-"&amp;D6074</f>
        <v>DESEMBER-KLB-L1B</v>
      </c>
    </row>
    <row r="6075" spans="1:17" x14ac:dyDescent="0.25">
      <c r="A6075" t="s">
        <v>402</v>
      </c>
      <c r="B6075" s="13" t="s">
        <v>24</v>
      </c>
      <c r="C6075" s="13" t="s">
        <v>226</v>
      </c>
      <c r="D6075" s="14" t="s">
        <v>221</v>
      </c>
      <c r="E6075" s="13" t="s">
        <v>61</v>
      </c>
      <c r="F6075" s="13" t="s">
        <v>2043</v>
      </c>
      <c r="G6075" s="13">
        <v>0.65</v>
      </c>
      <c r="H6075" s="15">
        <v>3225</v>
      </c>
      <c r="I6075" s="16">
        <v>2096.25</v>
      </c>
      <c r="J6075" s="16">
        <v>1068.9543336565396</v>
      </c>
      <c r="K6075" s="16">
        <v>1027.2956663434604</v>
      </c>
      <c r="L6075" s="13">
        <v>1.66</v>
      </c>
      <c r="M6075" s="13"/>
      <c r="N6075" s="17">
        <f t="shared" si="200"/>
        <v>5353.5</v>
      </c>
      <c r="O6075" s="17">
        <f t="shared" si="200"/>
        <v>0</v>
      </c>
      <c r="P6075" s="17">
        <f t="shared" si="199"/>
        <v>5353.5</v>
      </c>
      <c r="Q6075" t="str">
        <f>A6075&amp;"-"&amp;B6075&amp;"-"&amp;D6075</f>
        <v>DESEMBER-KLB-L1B</v>
      </c>
    </row>
    <row r="6076" spans="1:17" x14ac:dyDescent="0.25">
      <c r="A6076" t="s">
        <v>402</v>
      </c>
      <c r="B6076" s="13" t="s">
        <v>24</v>
      </c>
      <c r="C6076" s="13" t="s">
        <v>226</v>
      </c>
      <c r="D6076" s="14" t="s">
        <v>221</v>
      </c>
      <c r="E6076" s="13" t="s">
        <v>61</v>
      </c>
      <c r="F6076" s="13" t="s">
        <v>2044</v>
      </c>
      <c r="G6076" s="13">
        <v>0.65</v>
      </c>
      <c r="H6076" s="15">
        <v>2240</v>
      </c>
      <c r="I6076" s="16">
        <v>1456</v>
      </c>
      <c r="J6076" s="16">
        <v>791.42027417027418</v>
      </c>
      <c r="K6076" s="16">
        <v>664.57972582972582</v>
      </c>
      <c r="L6076" s="13">
        <v>1.64</v>
      </c>
      <c r="M6076" s="13"/>
      <c r="N6076" s="17">
        <f t="shared" si="200"/>
        <v>3673.6</v>
      </c>
      <c r="O6076" s="17">
        <f t="shared" si="200"/>
        <v>0</v>
      </c>
      <c r="P6076" s="17">
        <f t="shared" si="199"/>
        <v>3673.6</v>
      </c>
      <c r="Q6076" t="str">
        <f>A6076&amp;"-"&amp;B6076&amp;"-"&amp;D6076</f>
        <v>DESEMBER-KLB-L1B</v>
      </c>
    </row>
    <row r="6077" spans="1:17" x14ac:dyDescent="0.25">
      <c r="A6077" t="s">
        <v>402</v>
      </c>
      <c r="B6077" s="13" t="s">
        <v>24</v>
      </c>
      <c r="C6077" s="13" t="s">
        <v>226</v>
      </c>
      <c r="D6077" s="14" t="s">
        <v>221</v>
      </c>
      <c r="E6077" s="13" t="s">
        <v>61</v>
      </c>
      <c r="F6077" s="13" t="s">
        <v>2045</v>
      </c>
      <c r="G6077" s="13">
        <v>0.65</v>
      </c>
      <c r="H6077" s="15">
        <v>4775</v>
      </c>
      <c r="I6077" s="16">
        <v>3103.75</v>
      </c>
      <c r="J6077" s="16">
        <v>1620.9725672877846</v>
      </c>
      <c r="K6077" s="16">
        <v>1482.7774327122154</v>
      </c>
      <c r="L6077" s="13">
        <v>1.64</v>
      </c>
      <c r="M6077" s="13"/>
      <c r="N6077" s="17">
        <f t="shared" si="200"/>
        <v>7830.9999999999991</v>
      </c>
      <c r="O6077" s="17">
        <f t="shared" si="200"/>
        <v>0</v>
      </c>
      <c r="P6077" s="17">
        <f t="shared" si="199"/>
        <v>7830.9999999999991</v>
      </c>
      <c r="Q6077" t="str">
        <f>A6077&amp;"-"&amp;B6077&amp;"-"&amp;D6077</f>
        <v>DESEMBER-KLB-L1B</v>
      </c>
    </row>
    <row r="6078" spans="1:17" x14ac:dyDescent="0.25">
      <c r="A6078" t="s">
        <v>402</v>
      </c>
      <c r="B6078" s="13" t="s">
        <v>24</v>
      </c>
      <c r="C6078" s="13" t="s">
        <v>226</v>
      </c>
      <c r="D6078" s="14" t="s">
        <v>222</v>
      </c>
      <c r="E6078" s="13" t="s">
        <v>61</v>
      </c>
      <c r="F6078" s="13" t="s">
        <v>2035</v>
      </c>
      <c r="G6078" s="13">
        <v>0.68</v>
      </c>
      <c r="H6078" s="15">
        <v>1885</v>
      </c>
      <c r="I6078" s="16">
        <v>1281.8000000000002</v>
      </c>
      <c r="J6078" s="16">
        <v>765.58275703978518</v>
      </c>
      <c r="K6078" s="16">
        <v>516.21724296021489</v>
      </c>
      <c r="L6078" s="13">
        <v>1.61</v>
      </c>
      <c r="M6078" s="13"/>
      <c r="N6078" s="17">
        <f t="shared" si="200"/>
        <v>3034.8500000000004</v>
      </c>
      <c r="O6078" s="17">
        <f t="shared" si="200"/>
        <v>0</v>
      </c>
      <c r="P6078" s="17">
        <f t="shared" si="199"/>
        <v>3034.8500000000004</v>
      </c>
      <c r="Q6078" t="str">
        <f>A6078&amp;"-"&amp;B6078&amp;"-"&amp;D6078</f>
        <v>DESEMBER-KLB-L2A</v>
      </c>
    </row>
    <row r="6079" spans="1:17" x14ac:dyDescent="0.25">
      <c r="A6079" t="s">
        <v>402</v>
      </c>
      <c r="B6079" s="13" t="s">
        <v>24</v>
      </c>
      <c r="C6079" s="13" t="s">
        <v>226</v>
      </c>
      <c r="D6079" s="14" t="s">
        <v>222</v>
      </c>
      <c r="E6079" s="13" t="s">
        <v>61</v>
      </c>
      <c r="F6079" s="13" t="s">
        <v>2036</v>
      </c>
      <c r="G6079" s="13">
        <v>0.68</v>
      </c>
      <c r="H6079" s="15">
        <v>10865</v>
      </c>
      <c r="I6079" s="16">
        <v>7388.1999999999989</v>
      </c>
      <c r="J6079" s="16">
        <v>4108.2388129482097</v>
      </c>
      <c r="K6079" s="16">
        <v>3279.9611870517906</v>
      </c>
      <c r="L6079" s="13">
        <v>1.69</v>
      </c>
      <c r="M6079" s="13"/>
      <c r="N6079" s="17">
        <f t="shared" si="200"/>
        <v>18361.849999999999</v>
      </c>
      <c r="O6079" s="17">
        <f t="shared" si="200"/>
        <v>0</v>
      </c>
      <c r="P6079" s="17">
        <f t="shared" si="199"/>
        <v>18361.849999999999</v>
      </c>
      <c r="Q6079" t="str">
        <f>A6079&amp;"-"&amp;B6079&amp;"-"&amp;D6079</f>
        <v>DESEMBER-KLB-L2A</v>
      </c>
    </row>
    <row r="6080" spans="1:17" x14ac:dyDescent="0.25">
      <c r="A6080" t="s">
        <v>402</v>
      </c>
      <c r="B6080" s="13" t="s">
        <v>24</v>
      </c>
      <c r="C6080" s="13" t="s">
        <v>226</v>
      </c>
      <c r="D6080" s="14" t="s">
        <v>222</v>
      </c>
      <c r="E6080" s="13" t="s">
        <v>61</v>
      </c>
      <c r="F6080" s="13" t="s">
        <v>1885</v>
      </c>
      <c r="G6080" s="13">
        <v>0.68</v>
      </c>
      <c r="H6080" s="15">
        <v>2280</v>
      </c>
      <c r="I6080" s="16">
        <v>1550.4</v>
      </c>
      <c r="J6080" s="16">
        <v>898.13579566568694</v>
      </c>
      <c r="K6080" s="16">
        <v>652.26420433431304</v>
      </c>
      <c r="L6080" s="13">
        <v>1.69</v>
      </c>
      <c r="M6080" s="13"/>
      <c r="N6080" s="17">
        <f t="shared" si="200"/>
        <v>3853.2</v>
      </c>
      <c r="O6080" s="17">
        <f t="shared" si="200"/>
        <v>0</v>
      </c>
      <c r="P6080" s="17">
        <f t="shared" si="199"/>
        <v>3853.2</v>
      </c>
      <c r="Q6080" t="str">
        <f>A6080&amp;"-"&amp;B6080&amp;"-"&amp;D6080</f>
        <v>DESEMBER-KLB-L2A</v>
      </c>
    </row>
    <row r="6081" spans="1:17" x14ac:dyDescent="0.25">
      <c r="A6081" t="s">
        <v>402</v>
      </c>
      <c r="B6081" s="13" t="s">
        <v>24</v>
      </c>
      <c r="C6081" s="13" t="s">
        <v>226</v>
      </c>
      <c r="D6081" s="14" t="s">
        <v>222</v>
      </c>
      <c r="E6081" s="13" t="s">
        <v>61</v>
      </c>
      <c r="F6081" s="13" t="s">
        <v>2037</v>
      </c>
      <c r="G6081" s="13">
        <v>0.68</v>
      </c>
      <c r="H6081" s="15">
        <v>1935</v>
      </c>
      <c r="I6081" s="16">
        <v>1315.8</v>
      </c>
      <c r="J6081" s="16">
        <v>754.55741626794259</v>
      </c>
      <c r="K6081" s="16">
        <v>561.24258373205737</v>
      </c>
      <c r="L6081" s="13">
        <v>1.69</v>
      </c>
      <c r="M6081" s="13"/>
      <c r="N6081" s="17">
        <f t="shared" si="200"/>
        <v>3270.15</v>
      </c>
      <c r="O6081" s="17">
        <f t="shared" si="200"/>
        <v>0</v>
      </c>
      <c r="P6081" s="17">
        <f t="shared" si="199"/>
        <v>3270.15</v>
      </c>
      <c r="Q6081" t="str">
        <f>A6081&amp;"-"&amp;B6081&amp;"-"&amp;D6081</f>
        <v>DESEMBER-KLB-L2A</v>
      </c>
    </row>
    <row r="6082" spans="1:17" x14ac:dyDescent="0.25">
      <c r="A6082" t="s">
        <v>402</v>
      </c>
      <c r="B6082" s="13" t="s">
        <v>24</v>
      </c>
      <c r="C6082" s="13" t="s">
        <v>226</v>
      </c>
      <c r="D6082" s="14" t="s">
        <v>222</v>
      </c>
      <c r="E6082" s="13" t="s">
        <v>61</v>
      </c>
      <c r="F6082" s="13" t="s">
        <v>2038</v>
      </c>
      <c r="G6082" s="13">
        <v>0.68</v>
      </c>
      <c r="H6082" s="15">
        <v>3456</v>
      </c>
      <c r="I6082" s="16">
        <v>2350.08</v>
      </c>
      <c r="J6082" s="16">
        <v>1355.0915047967162</v>
      </c>
      <c r="K6082" s="16">
        <v>994.98849520328395</v>
      </c>
      <c r="L6082" s="13">
        <v>1.61</v>
      </c>
      <c r="M6082" s="13"/>
      <c r="N6082" s="17">
        <f t="shared" si="200"/>
        <v>5564.1600000000008</v>
      </c>
      <c r="O6082" s="17">
        <f t="shared" si="200"/>
        <v>0</v>
      </c>
      <c r="P6082" s="17">
        <f t="shared" ref="P6082:P6145" si="201">N6082+O6082</f>
        <v>5564.1600000000008</v>
      </c>
      <c r="Q6082" t="str">
        <f>A6082&amp;"-"&amp;B6082&amp;"-"&amp;D6082</f>
        <v>DESEMBER-KLB-L2A</v>
      </c>
    </row>
    <row r="6083" spans="1:17" x14ac:dyDescent="0.25">
      <c r="A6083" t="s">
        <v>402</v>
      </c>
      <c r="B6083" s="13" t="s">
        <v>24</v>
      </c>
      <c r="C6083" s="13" t="s">
        <v>226</v>
      </c>
      <c r="D6083" s="14" t="s">
        <v>222</v>
      </c>
      <c r="E6083" s="13" t="s">
        <v>61</v>
      </c>
      <c r="F6083" s="13" t="s">
        <v>2039</v>
      </c>
      <c r="G6083" s="13">
        <v>0.68</v>
      </c>
      <c r="H6083" s="15">
        <v>724</v>
      </c>
      <c r="I6083" s="16">
        <v>492.32</v>
      </c>
      <c r="J6083" s="16">
        <v>280.39484560570071</v>
      </c>
      <c r="K6083" s="16">
        <v>211.92515439429928</v>
      </c>
      <c r="L6083" s="13">
        <v>1.63</v>
      </c>
      <c r="M6083" s="13"/>
      <c r="N6083" s="17">
        <f t="shared" si="200"/>
        <v>1180.1199999999999</v>
      </c>
      <c r="O6083" s="17">
        <f t="shared" si="200"/>
        <v>0</v>
      </c>
      <c r="P6083" s="17">
        <f t="shared" si="201"/>
        <v>1180.1199999999999</v>
      </c>
      <c r="Q6083" t="str">
        <f>A6083&amp;"-"&amp;B6083&amp;"-"&amp;D6083</f>
        <v>DESEMBER-KLB-L2A</v>
      </c>
    </row>
    <row r="6084" spans="1:17" x14ac:dyDescent="0.25">
      <c r="A6084" t="s">
        <v>402</v>
      </c>
      <c r="B6084" s="13" t="s">
        <v>24</v>
      </c>
      <c r="C6084" s="13" t="s">
        <v>226</v>
      </c>
      <c r="D6084" s="14" t="s">
        <v>222</v>
      </c>
      <c r="E6084" s="13" t="s">
        <v>61</v>
      </c>
      <c r="F6084" s="13" t="s">
        <v>2040</v>
      </c>
      <c r="G6084" s="13">
        <v>0.65</v>
      </c>
      <c r="H6084" s="15">
        <v>1725</v>
      </c>
      <c r="I6084" s="16">
        <v>1121.25</v>
      </c>
      <c r="J6084" s="16">
        <v>667.00730485107988</v>
      </c>
      <c r="K6084" s="16">
        <v>454.24269514892018</v>
      </c>
      <c r="L6084" s="13">
        <v>1.66</v>
      </c>
      <c r="M6084" s="13"/>
      <c r="N6084" s="17">
        <f t="shared" si="200"/>
        <v>2863.5</v>
      </c>
      <c r="O6084" s="17">
        <f t="shared" si="200"/>
        <v>0</v>
      </c>
      <c r="P6084" s="17">
        <f t="shared" si="201"/>
        <v>2863.5</v>
      </c>
      <c r="Q6084" t="str">
        <f>A6084&amp;"-"&amp;B6084&amp;"-"&amp;D6084</f>
        <v>DESEMBER-KLB-L2A</v>
      </c>
    </row>
    <row r="6085" spans="1:17" x14ac:dyDescent="0.25">
      <c r="A6085" t="s">
        <v>402</v>
      </c>
      <c r="B6085" s="13" t="s">
        <v>24</v>
      </c>
      <c r="C6085" s="13" t="s">
        <v>226</v>
      </c>
      <c r="D6085" s="14" t="s">
        <v>222</v>
      </c>
      <c r="E6085" s="13" t="s">
        <v>61</v>
      </c>
      <c r="F6085" s="13" t="s">
        <v>2041</v>
      </c>
      <c r="G6085" s="13">
        <v>0.65</v>
      </c>
      <c r="H6085" s="15">
        <v>4605</v>
      </c>
      <c r="I6085" s="16">
        <v>2993.25</v>
      </c>
      <c r="J6085" s="16">
        <v>1711.114210744106</v>
      </c>
      <c r="K6085" s="16">
        <v>1282.135789255894</v>
      </c>
      <c r="L6085" s="13">
        <v>1.64</v>
      </c>
      <c r="M6085" s="13"/>
      <c r="N6085" s="17">
        <f t="shared" si="200"/>
        <v>7552.2</v>
      </c>
      <c r="O6085" s="17">
        <f t="shared" si="200"/>
        <v>0</v>
      </c>
      <c r="P6085" s="17">
        <f t="shared" si="201"/>
        <v>7552.2</v>
      </c>
      <c r="Q6085" t="str">
        <f>A6085&amp;"-"&amp;B6085&amp;"-"&amp;D6085</f>
        <v>DESEMBER-KLB-L2A</v>
      </c>
    </row>
    <row r="6086" spans="1:17" x14ac:dyDescent="0.25">
      <c r="A6086" t="s">
        <v>402</v>
      </c>
      <c r="B6086" s="13" t="s">
        <v>24</v>
      </c>
      <c r="C6086" s="13" t="s">
        <v>226</v>
      </c>
      <c r="D6086" s="14" t="s">
        <v>222</v>
      </c>
      <c r="E6086" s="13" t="s">
        <v>61</v>
      </c>
      <c r="F6086" s="13" t="s">
        <v>2046</v>
      </c>
      <c r="G6086" s="13">
        <v>0.65</v>
      </c>
      <c r="H6086" s="15">
        <v>8220</v>
      </c>
      <c r="I6086" s="16">
        <v>5343</v>
      </c>
      <c r="J6086" s="16">
        <v>3052.1382280557837</v>
      </c>
      <c r="K6086" s="16">
        <v>2290.8617719442163</v>
      </c>
      <c r="L6086" s="13">
        <v>1.66</v>
      </c>
      <c r="M6086" s="13"/>
      <c r="N6086" s="17">
        <f t="shared" si="200"/>
        <v>13645.199999999999</v>
      </c>
      <c r="O6086" s="17">
        <f t="shared" si="200"/>
        <v>0</v>
      </c>
      <c r="P6086" s="17">
        <f t="shared" si="201"/>
        <v>13645.199999999999</v>
      </c>
      <c r="Q6086" t="str">
        <f>A6086&amp;"-"&amp;B6086&amp;"-"&amp;D6086</f>
        <v>DESEMBER-KLB-L2A</v>
      </c>
    </row>
    <row r="6087" spans="1:17" x14ac:dyDescent="0.25">
      <c r="A6087" t="s">
        <v>402</v>
      </c>
      <c r="B6087" s="13" t="s">
        <v>24</v>
      </c>
      <c r="C6087" s="13" t="s">
        <v>226</v>
      </c>
      <c r="D6087" s="14" t="s">
        <v>222</v>
      </c>
      <c r="E6087" s="13" t="s">
        <v>61</v>
      </c>
      <c r="F6087" s="13" t="s">
        <v>2044</v>
      </c>
      <c r="G6087" s="13">
        <v>0.65</v>
      </c>
      <c r="H6087" s="15">
        <v>4335</v>
      </c>
      <c r="I6087" s="16">
        <v>2817.75</v>
      </c>
      <c r="J6087" s="16">
        <v>1584.8678212616169</v>
      </c>
      <c r="K6087" s="16">
        <v>1232.8821787383831</v>
      </c>
      <c r="L6087" s="13">
        <v>1.64</v>
      </c>
      <c r="M6087" s="13"/>
      <c r="N6087" s="17">
        <f t="shared" si="200"/>
        <v>7109.4</v>
      </c>
      <c r="O6087" s="17">
        <f t="shared" si="200"/>
        <v>0</v>
      </c>
      <c r="P6087" s="17">
        <f t="shared" si="201"/>
        <v>7109.4</v>
      </c>
      <c r="Q6087" t="str">
        <f>A6087&amp;"-"&amp;B6087&amp;"-"&amp;D6087</f>
        <v>DESEMBER-KLB-L2A</v>
      </c>
    </row>
    <row r="6088" spans="1:17" x14ac:dyDescent="0.25">
      <c r="A6088" t="s">
        <v>402</v>
      </c>
      <c r="B6088" s="13" t="s">
        <v>24</v>
      </c>
      <c r="C6088" s="13" t="s">
        <v>226</v>
      </c>
      <c r="D6088" s="14" t="s">
        <v>222</v>
      </c>
      <c r="E6088" s="13" t="s">
        <v>61</v>
      </c>
      <c r="F6088" s="13" t="s">
        <v>2045</v>
      </c>
      <c r="G6088" s="13">
        <v>0.65</v>
      </c>
      <c r="H6088" s="15">
        <v>2945</v>
      </c>
      <c r="I6088" s="16">
        <v>1914.25</v>
      </c>
      <c r="J6088" s="16">
        <v>1122.8713027633726</v>
      </c>
      <c r="K6088" s="16">
        <v>791.37869723662754</v>
      </c>
      <c r="L6088" s="13">
        <v>1.64</v>
      </c>
      <c r="M6088" s="13"/>
      <c r="N6088" s="17">
        <f t="shared" si="200"/>
        <v>4829.7999999999993</v>
      </c>
      <c r="O6088" s="17">
        <f t="shared" si="200"/>
        <v>0</v>
      </c>
      <c r="P6088" s="17">
        <f t="shared" si="201"/>
        <v>4829.7999999999993</v>
      </c>
      <c r="Q6088" t="str">
        <f>A6088&amp;"-"&amp;B6088&amp;"-"&amp;D6088</f>
        <v>DESEMBER-KLB-L2A</v>
      </c>
    </row>
    <row r="6089" spans="1:17" x14ac:dyDescent="0.25">
      <c r="A6089" t="s">
        <v>402</v>
      </c>
      <c r="B6089" s="13" t="s">
        <v>24</v>
      </c>
      <c r="C6089" s="13" t="s">
        <v>226</v>
      </c>
      <c r="D6089" s="14" t="s">
        <v>223</v>
      </c>
      <c r="E6089" s="13" t="s">
        <v>61</v>
      </c>
      <c r="F6089" s="13" t="s">
        <v>2035</v>
      </c>
      <c r="G6089" s="13">
        <v>0.68</v>
      </c>
      <c r="H6089" s="15">
        <v>1375</v>
      </c>
      <c r="I6089" s="16">
        <v>935</v>
      </c>
      <c r="J6089" s="16">
        <v>607.3848238482384</v>
      </c>
      <c r="K6089" s="16">
        <v>327.6151761517616</v>
      </c>
      <c r="L6089" s="13">
        <v>1.61</v>
      </c>
      <c r="M6089" s="13"/>
      <c r="N6089" s="17">
        <f t="shared" si="200"/>
        <v>2213.75</v>
      </c>
      <c r="O6089" s="17">
        <f t="shared" si="200"/>
        <v>0</v>
      </c>
      <c r="P6089" s="17">
        <f t="shared" si="201"/>
        <v>2213.75</v>
      </c>
      <c r="Q6089" t="str">
        <f>A6089&amp;"-"&amp;B6089&amp;"-"&amp;D6089</f>
        <v>DESEMBER-KLB-L2B</v>
      </c>
    </row>
    <row r="6090" spans="1:17" x14ac:dyDescent="0.25">
      <c r="A6090" t="s">
        <v>402</v>
      </c>
      <c r="B6090" s="13" t="s">
        <v>24</v>
      </c>
      <c r="C6090" s="13" t="s">
        <v>226</v>
      </c>
      <c r="D6090" s="14" t="s">
        <v>223</v>
      </c>
      <c r="E6090" s="13" t="s">
        <v>61</v>
      </c>
      <c r="F6090" s="13" t="s">
        <v>2036</v>
      </c>
      <c r="G6090" s="13">
        <v>0.68</v>
      </c>
      <c r="H6090" s="15">
        <v>8045</v>
      </c>
      <c r="I6090" s="16">
        <v>5470.5999999999995</v>
      </c>
      <c r="J6090" s="16">
        <v>3074.8459787839975</v>
      </c>
      <c r="K6090" s="16">
        <v>2395.7540212160029</v>
      </c>
      <c r="L6090" s="13">
        <v>1.69</v>
      </c>
      <c r="M6090" s="13"/>
      <c r="N6090" s="17">
        <f t="shared" si="200"/>
        <v>13596.05</v>
      </c>
      <c r="O6090" s="17">
        <f t="shared" si="200"/>
        <v>0</v>
      </c>
      <c r="P6090" s="17">
        <f t="shared" si="201"/>
        <v>13596.05</v>
      </c>
      <c r="Q6090" t="str">
        <f>A6090&amp;"-"&amp;B6090&amp;"-"&amp;D6090</f>
        <v>DESEMBER-KLB-L2B</v>
      </c>
    </row>
    <row r="6091" spans="1:17" x14ac:dyDescent="0.25">
      <c r="A6091" t="s">
        <v>402</v>
      </c>
      <c r="B6091" s="13" t="s">
        <v>24</v>
      </c>
      <c r="C6091" s="13" t="s">
        <v>226</v>
      </c>
      <c r="D6091" s="14" t="s">
        <v>223</v>
      </c>
      <c r="E6091" s="13" t="s">
        <v>61</v>
      </c>
      <c r="F6091" s="13" t="s">
        <v>1885</v>
      </c>
      <c r="G6091" s="13">
        <v>0.68</v>
      </c>
      <c r="H6091" s="15">
        <v>1260</v>
      </c>
      <c r="I6091" s="16">
        <v>856.8</v>
      </c>
      <c r="J6091" s="16">
        <v>631.77829629595635</v>
      </c>
      <c r="K6091" s="16">
        <v>225.02170370404357</v>
      </c>
      <c r="L6091" s="13">
        <v>1.69</v>
      </c>
      <c r="M6091" s="13"/>
      <c r="N6091" s="17">
        <f t="shared" si="200"/>
        <v>2129.4</v>
      </c>
      <c r="O6091" s="17">
        <f t="shared" si="200"/>
        <v>0</v>
      </c>
      <c r="P6091" s="17">
        <f t="shared" si="201"/>
        <v>2129.4</v>
      </c>
      <c r="Q6091" t="str">
        <f>A6091&amp;"-"&amp;B6091&amp;"-"&amp;D6091</f>
        <v>DESEMBER-KLB-L2B</v>
      </c>
    </row>
    <row r="6092" spans="1:17" x14ac:dyDescent="0.25">
      <c r="A6092" t="s">
        <v>402</v>
      </c>
      <c r="B6092" s="13" t="s">
        <v>24</v>
      </c>
      <c r="C6092" s="13" t="s">
        <v>226</v>
      </c>
      <c r="D6092" s="14" t="s">
        <v>223</v>
      </c>
      <c r="E6092" s="13" t="s">
        <v>61</v>
      </c>
      <c r="F6092" s="13" t="s">
        <v>2037</v>
      </c>
      <c r="G6092" s="13">
        <v>0.68</v>
      </c>
      <c r="H6092" s="15">
        <v>3435</v>
      </c>
      <c r="I6092" s="16">
        <v>2335.8000000000002</v>
      </c>
      <c r="J6092" s="16">
        <v>1362.8503562945368</v>
      </c>
      <c r="K6092" s="16">
        <v>972.94964370546313</v>
      </c>
      <c r="L6092" s="13">
        <v>1.69</v>
      </c>
      <c r="M6092" s="13"/>
      <c r="N6092" s="17">
        <f t="shared" si="200"/>
        <v>5805.15</v>
      </c>
      <c r="O6092" s="17">
        <f t="shared" si="200"/>
        <v>0</v>
      </c>
      <c r="P6092" s="17">
        <f t="shared" si="201"/>
        <v>5805.15</v>
      </c>
      <c r="Q6092" t="str">
        <f>A6092&amp;"-"&amp;B6092&amp;"-"&amp;D6092</f>
        <v>DESEMBER-KLB-L2B</v>
      </c>
    </row>
    <row r="6093" spans="1:17" x14ac:dyDescent="0.25">
      <c r="A6093" t="s">
        <v>402</v>
      </c>
      <c r="B6093" s="13" t="s">
        <v>24</v>
      </c>
      <c r="C6093" s="13" t="s">
        <v>226</v>
      </c>
      <c r="D6093" s="14" t="s">
        <v>223</v>
      </c>
      <c r="E6093" s="13" t="s">
        <v>61</v>
      </c>
      <c r="F6093" s="13" t="s">
        <v>2038</v>
      </c>
      <c r="G6093" s="13">
        <v>0.68</v>
      </c>
      <c r="H6093" s="15">
        <v>2510</v>
      </c>
      <c r="I6093" s="16">
        <v>1706.8</v>
      </c>
      <c r="J6093" s="16">
        <v>1018.4186991869918</v>
      </c>
      <c r="K6093" s="16">
        <v>688.38130081300801</v>
      </c>
      <c r="L6093" s="13">
        <v>1.61</v>
      </c>
      <c r="M6093" s="13"/>
      <c r="N6093" s="17">
        <f t="shared" si="200"/>
        <v>4041.1000000000004</v>
      </c>
      <c r="O6093" s="17">
        <f t="shared" si="200"/>
        <v>0</v>
      </c>
      <c r="P6093" s="17">
        <f t="shared" si="201"/>
        <v>4041.1000000000004</v>
      </c>
      <c r="Q6093" t="str">
        <f>A6093&amp;"-"&amp;B6093&amp;"-"&amp;D6093</f>
        <v>DESEMBER-KLB-L2B</v>
      </c>
    </row>
    <row r="6094" spans="1:17" x14ac:dyDescent="0.25">
      <c r="A6094" t="s">
        <v>402</v>
      </c>
      <c r="B6094" s="13" t="s">
        <v>24</v>
      </c>
      <c r="C6094" s="13" t="s">
        <v>226</v>
      </c>
      <c r="D6094" s="14" t="s">
        <v>223</v>
      </c>
      <c r="E6094" s="13" t="s">
        <v>61</v>
      </c>
      <c r="F6094" s="13" t="s">
        <v>2039</v>
      </c>
      <c r="G6094" s="13">
        <v>0.68</v>
      </c>
      <c r="H6094" s="15">
        <v>1060</v>
      </c>
      <c r="I6094" s="16">
        <v>720.8</v>
      </c>
      <c r="J6094" s="16">
        <v>452.30366492146601</v>
      </c>
      <c r="K6094" s="16">
        <v>268.49633507853395</v>
      </c>
      <c r="L6094" s="13">
        <v>1.63</v>
      </c>
      <c r="M6094" s="13"/>
      <c r="N6094" s="17">
        <f t="shared" si="200"/>
        <v>1727.8</v>
      </c>
      <c r="O6094" s="17">
        <f t="shared" si="200"/>
        <v>0</v>
      </c>
      <c r="P6094" s="17">
        <f t="shared" si="201"/>
        <v>1727.8</v>
      </c>
      <c r="Q6094" t="str">
        <f>A6094&amp;"-"&amp;B6094&amp;"-"&amp;D6094</f>
        <v>DESEMBER-KLB-L2B</v>
      </c>
    </row>
    <row r="6095" spans="1:17" x14ac:dyDescent="0.25">
      <c r="A6095" t="s">
        <v>402</v>
      </c>
      <c r="B6095" s="13" t="s">
        <v>24</v>
      </c>
      <c r="C6095" s="13" t="s">
        <v>226</v>
      </c>
      <c r="D6095" s="14" t="s">
        <v>223</v>
      </c>
      <c r="E6095" s="13" t="s">
        <v>61</v>
      </c>
      <c r="F6095" s="13" t="s">
        <v>2040</v>
      </c>
      <c r="G6095" s="13">
        <v>0.65</v>
      </c>
      <c r="H6095" s="15">
        <v>3815</v>
      </c>
      <c r="I6095" s="16">
        <v>2479.75</v>
      </c>
      <c r="J6095" s="16">
        <v>1619.957038099793</v>
      </c>
      <c r="K6095" s="16">
        <v>859.79296190020727</v>
      </c>
      <c r="L6095" s="13">
        <v>1.66</v>
      </c>
      <c r="M6095" s="13"/>
      <c r="N6095" s="17">
        <f t="shared" si="200"/>
        <v>6332.9</v>
      </c>
      <c r="O6095" s="17">
        <f t="shared" si="200"/>
        <v>0</v>
      </c>
      <c r="P6095" s="17">
        <f t="shared" si="201"/>
        <v>6332.9</v>
      </c>
      <c r="Q6095" t="str">
        <f>A6095&amp;"-"&amp;B6095&amp;"-"&amp;D6095</f>
        <v>DESEMBER-KLB-L2B</v>
      </c>
    </row>
    <row r="6096" spans="1:17" x14ac:dyDescent="0.25">
      <c r="A6096" t="s">
        <v>402</v>
      </c>
      <c r="B6096" s="13" t="s">
        <v>24</v>
      </c>
      <c r="C6096" s="13" t="s">
        <v>226</v>
      </c>
      <c r="D6096" s="14" t="s">
        <v>223</v>
      </c>
      <c r="E6096" s="13" t="s">
        <v>61</v>
      </c>
      <c r="F6096" s="13" t="s">
        <v>2041</v>
      </c>
      <c r="G6096" s="13">
        <v>0.65</v>
      </c>
      <c r="H6096" s="15">
        <v>3670</v>
      </c>
      <c r="I6096" s="16">
        <v>2385.5</v>
      </c>
      <c r="J6096" s="16">
        <v>1642.2391263135087</v>
      </c>
      <c r="K6096" s="16">
        <v>743.26087368649121</v>
      </c>
      <c r="L6096" s="13">
        <v>1.64</v>
      </c>
      <c r="M6096" s="13"/>
      <c r="N6096" s="17">
        <f t="shared" si="200"/>
        <v>6018.7999999999993</v>
      </c>
      <c r="O6096" s="17">
        <f t="shared" si="200"/>
        <v>0</v>
      </c>
      <c r="P6096" s="17">
        <f t="shared" si="201"/>
        <v>6018.7999999999993</v>
      </c>
      <c r="Q6096" t="str">
        <f>A6096&amp;"-"&amp;B6096&amp;"-"&amp;D6096</f>
        <v>DESEMBER-KLB-L2B</v>
      </c>
    </row>
    <row r="6097" spans="1:17" x14ac:dyDescent="0.25">
      <c r="A6097" t="s">
        <v>402</v>
      </c>
      <c r="B6097" s="13" t="s">
        <v>24</v>
      </c>
      <c r="C6097" s="13" t="s">
        <v>226</v>
      </c>
      <c r="D6097" s="14" t="s">
        <v>223</v>
      </c>
      <c r="E6097" s="13" t="s">
        <v>61</v>
      </c>
      <c r="F6097" s="13" t="s">
        <v>2046</v>
      </c>
      <c r="G6097" s="13">
        <v>0.65</v>
      </c>
      <c r="H6097" s="15">
        <v>7655</v>
      </c>
      <c r="I6097" s="16">
        <v>4975.75</v>
      </c>
      <c r="J6097" s="16">
        <v>3256.0106919579425</v>
      </c>
      <c r="K6097" s="16">
        <v>1719.7393080420572</v>
      </c>
      <c r="L6097" s="13">
        <v>1.66</v>
      </c>
      <c r="M6097" s="13"/>
      <c r="N6097" s="17">
        <f t="shared" si="200"/>
        <v>12707.3</v>
      </c>
      <c r="O6097" s="17">
        <f t="shared" si="200"/>
        <v>0</v>
      </c>
      <c r="P6097" s="17">
        <f t="shared" si="201"/>
        <v>12707.3</v>
      </c>
      <c r="Q6097" t="str">
        <f>A6097&amp;"-"&amp;B6097&amp;"-"&amp;D6097</f>
        <v>DESEMBER-KLB-L2B</v>
      </c>
    </row>
    <row r="6098" spans="1:17" x14ac:dyDescent="0.25">
      <c r="A6098" t="s">
        <v>402</v>
      </c>
      <c r="B6098" s="13" t="s">
        <v>24</v>
      </c>
      <c r="C6098" s="13" t="s">
        <v>226</v>
      </c>
      <c r="D6098" s="14" t="s">
        <v>223</v>
      </c>
      <c r="E6098" s="13" t="s">
        <v>61</v>
      </c>
      <c r="F6098" s="13" t="s">
        <v>2044</v>
      </c>
      <c r="G6098" s="13">
        <v>0.65</v>
      </c>
      <c r="H6098" s="15">
        <v>4155</v>
      </c>
      <c r="I6098" s="16">
        <v>2700.75</v>
      </c>
      <c r="J6098" s="16">
        <v>1821.7262818504596</v>
      </c>
      <c r="K6098" s="16">
        <v>879.02371814954051</v>
      </c>
      <c r="L6098" s="13">
        <v>1.64</v>
      </c>
      <c r="M6098" s="13"/>
      <c r="N6098" s="17">
        <f t="shared" si="200"/>
        <v>6814.2</v>
      </c>
      <c r="O6098" s="17">
        <f t="shared" si="200"/>
        <v>0</v>
      </c>
      <c r="P6098" s="17">
        <f t="shared" si="201"/>
        <v>6814.2</v>
      </c>
      <c r="Q6098" t="str">
        <f>A6098&amp;"-"&amp;B6098&amp;"-"&amp;D6098</f>
        <v>DESEMBER-KLB-L2B</v>
      </c>
    </row>
    <row r="6099" spans="1:17" x14ac:dyDescent="0.25">
      <c r="A6099" t="s">
        <v>402</v>
      </c>
      <c r="B6099" s="13" t="s">
        <v>24</v>
      </c>
      <c r="C6099" s="13" t="s">
        <v>226</v>
      </c>
      <c r="D6099" s="14" t="s">
        <v>223</v>
      </c>
      <c r="E6099" s="13" t="s">
        <v>61</v>
      </c>
      <c r="F6099" s="13" t="s">
        <v>2045</v>
      </c>
      <c r="G6099" s="13">
        <v>0.65</v>
      </c>
      <c r="H6099" s="15">
        <v>1805</v>
      </c>
      <c r="I6099" s="16">
        <v>1173.25</v>
      </c>
      <c r="J6099" s="16">
        <v>812.48504244710955</v>
      </c>
      <c r="K6099" s="16">
        <v>360.76495755289045</v>
      </c>
      <c r="L6099" s="13">
        <v>1.64</v>
      </c>
      <c r="M6099" s="13"/>
      <c r="N6099" s="17">
        <f t="shared" si="200"/>
        <v>2960.2</v>
      </c>
      <c r="O6099" s="17">
        <f t="shared" si="200"/>
        <v>0</v>
      </c>
      <c r="P6099" s="17">
        <f t="shared" si="201"/>
        <v>2960.2</v>
      </c>
      <c r="Q6099" t="str">
        <f>A6099&amp;"-"&amp;B6099&amp;"-"&amp;D6099</f>
        <v>DESEMBER-KLB-L2B</v>
      </c>
    </row>
    <row r="6100" spans="1:17" x14ac:dyDescent="0.25">
      <c r="A6100" t="s">
        <v>402</v>
      </c>
      <c r="B6100" s="13" t="s">
        <v>24</v>
      </c>
      <c r="C6100" s="13" t="s">
        <v>226</v>
      </c>
      <c r="D6100" s="14" t="s">
        <v>224</v>
      </c>
      <c r="E6100" s="13" t="s">
        <v>61</v>
      </c>
      <c r="F6100" s="13" t="s">
        <v>2035</v>
      </c>
      <c r="G6100" s="13">
        <v>0.68</v>
      </c>
      <c r="H6100" s="15">
        <v>50</v>
      </c>
      <c r="I6100" s="16">
        <v>34</v>
      </c>
      <c r="J6100" s="16">
        <v>16.979166666666664</v>
      </c>
      <c r="K6100" s="16">
        <v>17.020833333333336</v>
      </c>
      <c r="L6100" s="13">
        <v>1.61</v>
      </c>
      <c r="M6100" s="13"/>
      <c r="N6100" s="17">
        <f t="shared" si="200"/>
        <v>80.5</v>
      </c>
      <c r="O6100" s="17">
        <f t="shared" si="200"/>
        <v>0</v>
      </c>
      <c r="P6100" s="17">
        <f t="shared" si="201"/>
        <v>80.5</v>
      </c>
      <c r="Q6100" t="str">
        <f>A6100&amp;"-"&amp;B6100&amp;"-"&amp;D6100</f>
        <v>DESEMBER-KLB-L3A</v>
      </c>
    </row>
    <row r="6101" spans="1:17" x14ac:dyDescent="0.25">
      <c r="A6101" t="s">
        <v>402</v>
      </c>
      <c r="B6101" s="13" t="s">
        <v>24</v>
      </c>
      <c r="C6101" s="13" t="s">
        <v>226</v>
      </c>
      <c r="D6101" s="14" t="s">
        <v>224</v>
      </c>
      <c r="E6101" s="13" t="s">
        <v>61</v>
      </c>
      <c r="F6101" s="13" t="s">
        <v>2036</v>
      </c>
      <c r="G6101" s="13">
        <v>0.68</v>
      </c>
      <c r="H6101" s="15">
        <v>13595</v>
      </c>
      <c r="I6101" s="16">
        <v>9244.6</v>
      </c>
      <c r="J6101" s="16">
        <v>4773.4717286274035</v>
      </c>
      <c r="K6101" s="16">
        <v>4471.1282713725959</v>
      </c>
      <c r="L6101" s="13">
        <v>1.69</v>
      </c>
      <c r="M6101" s="13"/>
      <c r="N6101" s="17">
        <f t="shared" si="200"/>
        <v>22975.55</v>
      </c>
      <c r="O6101" s="17">
        <f t="shared" si="200"/>
        <v>0</v>
      </c>
      <c r="P6101" s="17">
        <f t="shared" si="201"/>
        <v>22975.55</v>
      </c>
      <c r="Q6101" t="str">
        <f>A6101&amp;"-"&amp;B6101&amp;"-"&amp;D6101</f>
        <v>DESEMBER-KLB-L3A</v>
      </c>
    </row>
    <row r="6102" spans="1:17" x14ac:dyDescent="0.25">
      <c r="A6102" t="s">
        <v>402</v>
      </c>
      <c r="B6102" s="13" t="s">
        <v>24</v>
      </c>
      <c r="C6102" s="13" t="s">
        <v>226</v>
      </c>
      <c r="D6102" s="14" t="s">
        <v>224</v>
      </c>
      <c r="E6102" s="13" t="s">
        <v>61</v>
      </c>
      <c r="F6102" s="13" t="s">
        <v>1885</v>
      </c>
      <c r="G6102" s="13">
        <v>0.68</v>
      </c>
      <c r="H6102" s="15">
        <v>2490</v>
      </c>
      <c r="I6102" s="16">
        <v>1693.2</v>
      </c>
      <c r="J6102" s="16">
        <v>883.15882777132333</v>
      </c>
      <c r="K6102" s="16">
        <v>810.04117222867683</v>
      </c>
      <c r="L6102" s="13">
        <v>1.69</v>
      </c>
      <c r="M6102" s="13"/>
      <c r="N6102" s="17">
        <f t="shared" si="200"/>
        <v>4208.0999999999995</v>
      </c>
      <c r="O6102" s="17">
        <f t="shared" si="200"/>
        <v>0</v>
      </c>
      <c r="P6102" s="17">
        <f t="shared" si="201"/>
        <v>4208.0999999999995</v>
      </c>
      <c r="Q6102" t="str">
        <f>A6102&amp;"-"&amp;B6102&amp;"-"&amp;D6102</f>
        <v>DESEMBER-KLB-L3A</v>
      </c>
    </row>
    <row r="6103" spans="1:17" x14ac:dyDescent="0.25">
      <c r="A6103" t="s">
        <v>402</v>
      </c>
      <c r="B6103" s="13" t="s">
        <v>24</v>
      </c>
      <c r="C6103" s="13" t="s">
        <v>226</v>
      </c>
      <c r="D6103" s="14" t="s">
        <v>224</v>
      </c>
      <c r="E6103" s="13" t="s">
        <v>61</v>
      </c>
      <c r="F6103" s="13" t="s">
        <v>2047</v>
      </c>
      <c r="G6103" s="13">
        <v>0.65</v>
      </c>
      <c r="H6103" s="15">
        <v>195</v>
      </c>
      <c r="I6103" s="16">
        <v>126.75</v>
      </c>
      <c r="J6103" s="16">
        <v>72.073725918050627</v>
      </c>
      <c r="K6103" s="16">
        <v>54.676274081949366</v>
      </c>
      <c r="L6103" s="13">
        <v>1.81</v>
      </c>
      <c r="M6103" s="13"/>
      <c r="N6103" s="17">
        <f t="shared" si="200"/>
        <v>352.95</v>
      </c>
      <c r="O6103" s="17">
        <f t="shared" si="200"/>
        <v>0</v>
      </c>
      <c r="P6103" s="17">
        <f t="shared" si="201"/>
        <v>352.95</v>
      </c>
      <c r="Q6103" t="str">
        <f>A6103&amp;"-"&amp;B6103&amp;"-"&amp;D6103</f>
        <v>DESEMBER-KLB-L3A</v>
      </c>
    </row>
    <row r="6104" spans="1:17" x14ac:dyDescent="0.25">
      <c r="A6104" t="s">
        <v>402</v>
      </c>
      <c r="B6104" s="13" t="s">
        <v>24</v>
      </c>
      <c r="C6104" s="13" t="s">
        <v>226</v>
      </c>
      <c r="D6104" s="14" t="s">
        <v>224</v>
      </c>
      <c r="E6104" s="13" t="s">
        <v>61</v>
      </c>
      <c r="F6104" s="13" t="s">
        <v>2037</v>
      </c>
      <c r="G6104" s="13">
        <v>0.68</v>
      </c>
      <c r="H6104" s="15">
        <v>2260</v>
      </c>
      <c r="I6104" s="16">
        <v>1536.8</v>
      </c>
      <c r="J6104" s="16">
        <v>815</v>
      </c>
      <c r="K6104" s="16">
        <v>721.8</v>
      </c>
      <c r="L6104" s="13">
        <v>1.69</v>
      </c>
      <c r="M6104" s="13"/>
      <c r="N6104" s="17">
        <f t="shared" si="200"/>
        <v>3819.4</v>
      </c>
      <c r="O6104" s="17">
        <f t="shared" si="200"/>
        <v>0</v>
      </c>
      <c r="P6104" s="17">
        <f t="shared" si="201"/>
        <v>3819.4</v>
      </c>
      <c r="Q6104" t="str">
        <f>A6104&amp;"-"&amp;B6104&amp;"-"&amp;D6104</f>
        <v>DESEMBER-KLB-L3A</v>
      </c>
    </row>
    <row r="6105" spans="1:17" x14ac:dyDescent="0.25">
      <c r="A6105" t="s">
        <v>402</v>
      </c>
      <c r="B6105" s="13" t="s">
        <v>24</v>
      </c>
      <c r="C6105" s="13" t="s">
        <v>226</v>
      </c>
      <c r="D6105" s="14" t="s">
        <v>224</v>
      </c>
      <c r="E6105" s="13" t="s">
        <v>61</v>
      </c>
      <c r="F6105" s="13" t="s">
        <v>2038</v>
      </c>
      <c r="G6105" s="13">
        <v>0.68</v>
      </c>
      <c r="H6105" s="15">
        <v>2875</v>
      </c>
      <c r="I6105" s="16">
        <v>1955</v>
      </c>
      <c r="J6105" s="16">
        <v>997.22981164147177</v>
      </c>
      <c r="K6105" s="16">
        <v>957.77018835852834</v>
      </c>
      <c r="L6105" s="13">
        <v>1.61</v>
      </c>
      <c r="M6105" s="13"/>
      <c r="N6105" s="17">
        <f t="shared" si="200"/>
        <v>4628.75</v>
      </c>
      <c r="O6105" s="17">
        <f t="shared" si="200"/>
        <v>0</v>
      </c>
      <c r="P6105" s="17">
        <f t="shared" si="201"/>
        <v>4628.75</v>
      </c>
      <c r="Q6105" t="str">
        <f>A6105&amp;"-"&amp;B6105&amp;"-"&amp;D6105</f>
        <v>DESEMBER-KLB-L3A</v>
      </c>
    </row>
    <row r="6106" spans="1:17" x14ac:dyDescent="0.25">
      <c r="A6106" t="s">
        <v>402</v>
      </c>
      <c r="B6106" s="13" t="s">
        <v>24</v>
      </c>
      <c r="C6106" s="13" t="s">
        <v>226</v>
      </c>
      <c r="D6106" s="14" t="s">
        <v>224</v>
      </c>
      <c r="E6106" s="13" t="s">
        <v>61</v>
      </c>
      <c r="F6106" s="13" t="s">
        <v>2039</v>
      </c>
      <c r="G6106" s="13">
        <v>0.68</v>
      </c>
      <c r="H6106" s="15">
        <v>1655</v>
      </c>
      <c r="I6106" s="16">
        <v>1125.4000000000001</v>
      </c>
      <c r="J6106" s="16">
        <v>614.4018171464071</v>
      </c>
      <c r="K6106" s="16">
        <v>510.99818285359299</v>
      </c>
      <c r="L6106" s="13">
        <v>1.63</v>
      </c>
      <c r="M6106" s="13"/>
      <c r="N6106" s="17">
        <f t="shared" si="200"/>
        <v>2697.6499999999996</v>
      </c>
      <c r="O6106" s="17">
        <f t="shared" si="200"/>
        <v>0</v>
      </c>
      <c r="P6106" s="17">
        <f t="shared" si="201"/>
        <v>2697.6499999999996</v>
      </c>
      <c r="Q6106" t="str">
        <f>A6106&amp;"-"&amp;B6106&amp;"-"&amp;D6106</f>
        <v>DESEMBER-KLB-L3A</v>
      </c>
    </row>
    <row r="6107" spans="1:17" x14ac:dyDescent="0.25">
      <c r="A6107" t="s">
        <v>402</v>
      </c>
      <c r="B6107" s="13" t="s">
        <v>24</v>
      </c>
      <c r="C6107" s="13" t="s">
        <v>226</v>
      </c>
      <c r="D6107" s="14" t="s">
        <v>224</v>
      </c>
      <c r="E6107" s="13" t="s">
        <v>61</v>
      </c>
      <c r="F6107" s="13" t="s">
        <v>2040</v>
      </c>
      <c r="G6107" s="13">
        <v>0.65</v>
      </c>
      <c r="H6107" s="15">
        <v>2250</v>
      </c>
      <c r="I6107" s="16">
        <v>1462.5</v>
      </c>
      <c r="J6107" s="16">
        <v>747.97205957230142</v>
      </c>
      <c r="K6107" s="16">
        <v>714.52794042769858</v>
      </c>
      <c r="L6107" s="13">
        <v>1.66</v>
      </c>
      <c r="M6107" s="13"/>
      <c r="N6107" s="17">
        <f t="shared" si="200"/>
        <v>3735</v>
      </c>
      <c r="O6107" s="17">
        <f t="shared" si="200"/>
        <v>0</v>
      </c>
      <c r="P6107" s="17">
        <f t="shared" si="201"/>
        <v>3735</v>
      </c>
      <c r="Q6107" t="str">
        <f>A6107&amp;"-"&amp;B6107&amp;"-"&amp;D6107</f>
        <v>DESEMBER-KLB-L3A</v>
      </c>
    </row>
    <row r="6108" spans="1:17" x14ac:dyDescent="0.25">
      <c r="A6108" t="s">
        <v>402</v>
      </c>
      <c r="B6108" s="13" t="s">
        <v>24</v>
      </c>
      <c r="C6108" s="13" t="s">
        <v>226</v>
      </c>
      <c r="D6108" s="14" t="s">
        <v>224</v>
      </c>
      <c r="E6108" s="13" t="s">
        <v>61</v>
      </c>
      <c r="F6108" s="13" t="s">
        <v>2041</v>
      </c>
      <c r="G6108" s="13">
        <v>0.65</v>
      </c>
      <c r="H6108" s="15">
        <v>1785</v>
      </c>
      <c r="I6108" s="16">
        <v>1160.25</v>
      </c>
      <c r="J6108" s="16">
        <v>639.2309317298965</v>
      </c>
      <c r="K6108" s="16">
        <v>521.0190682701035</v>
      </c>
      <c r="L6108" s="13">
        <v>1.64</v>
      </c>
      <c r="M6108" s="13"/>
      <c r="N6108" s="17">
        <f t="shared" si="200"/>
        <v>2927.3999999999996</v>
      </c>
      <c r="O6108" s="17">
        <f t="shared" si="200"/>
        <v>0</v>
      </c>
      <c r="P6108" s="17">
        <f t="shared" si="201"/>
        <v>2927.3999999999996</v>
      </c>
      <c r="Q6108" t="str">
        <f>A6108&amp;"-"&amp;B6108&amp;"-"&amp;D6108</f>
        <v>DESEMBER-KLB-L3A</v>
      </c>
    </row>
    <row r="6109" spans="1:17" x14ac:dyDescent="0.25">
      <c r="A6109" t="s">
        <v>402</v>
      </c>
      <c r="B6109" s="13" t="s">
        <v>24</v>
      </c>
      <c r="C6109" s="13" t="s">
        <v>226</v>
      </c>
      <c r="D6109" s="14" t="s">
        <v>224</v>
      </c>
      <c r="E6109" s="13" t="s">
        <v>61</v>
      </c>
      <c r="F6109" s="13" t="s">
        <v>2042</v>
      </c>
      <c r="G6109" s="13">
        <v>0.65</v>
      </c>
      <c r="H6109" s="15">
        <v>3955</v>
      </c>
      <c r="I6109" s="16">
        <v>2570.75</v>
      </c>
      <c r="J6109" s="16">
        <v>1420.5846082026046</v>
      </c>
      <c r="K6109" s="16">
        <v>1150.1653917973954</v>
      </c>
      <c r="L6109" s="13">
        <v>1.64</v>
      </c>
      <c r="M6109" s="13"/>
      <c r="N6109" s="17">
        <f t="shared" si="200"/>
        <v>6486.2</v>
      </c>
      <c r="O6109" s="17">
        <f t="shared" si="200"/>
        <v>0</v>
      </c>
      <c r="P6109" s="17">
        <f t="shared" si="201"/>
        <v>6486.2</v>
      </c>
      <c r="Q6109" t="str">
        <f>A6109&amp;"-"&amp;B6109&amp;"-"&amp;D6109</f>
        <v>DESEMBER-KLB-L3A</v>
      </c>
    </row>
    <row r="6110" spans="1:17" x14ac:dyDescent="0.25">
      <c r="A6110" t="s">
        <v>402</v>
      </c>
      <c r="B6110" s="13" t="s">
        <v>24</v>
      </c>
      <c r="C6110" s="13" t="s">
        <v>226</v>
      </c>
      <c r="D6110" s="14" t="s">
        <v>224</v>
      </c>
      <c r="E6110" s="13" t="s">
        <v>61</v>
      </c>
      <c r="F6110" s="13" t="s">
        <v>2046</v>
      </c>
      <c r="G6110" s="13">
        <v>0.65</v>
      </c>
      <c r="H6110" s="15">
        <v>7400</v>
      </c>
      <c r="I6110" s="16">
        <v>4810</v>
      </c>
      <c r="J6110" s="16">
        <v>2506.49125564509</v>
      </c>
      <c r="K6110" s="16">
        <v>2303.50874435491</v>
      </c>
      <c r="L6110" s="13">
        <v>1.66</v>
      </c>
      <c r="M6110" s="13"/>
      <c r="N6110" s="17">
        <f t="shared" si="200"/>
        <v>12284</v>
      </c>
      <c r="O6110" s="17">
        <f t="shared" si="200"/>
        <v>0</v>
      </c>
      <c r="P6110" s="17">
        <f t="shared" si="201"/>
        <v>12284</v>
      </c>
      <c r="Q6110" t="str">
        <f>A6110&amp;"-"&amp;B6110&amp;"-"&amp;D6110</f>
        <v>DESEMBER-KLB-L3A</v>
      </c>
    </row>
    <row r="6111" spans="1:17" x14ac:dyDescent="0.25">
      <c r="A6111" t="s">
        <v>402</v>
      </c>
      <c r="B6111" s="13" t="s">
        <v>24</v>
      </c>
      <c r="C6111" s="13" t="s">
        <v>226</v>
      </c>
      <c r="D6111" s="14" t="s">
        <v>224</v>
      </c>
      <c r="E6111" s="13" t="s">
        <v>61</v>
      </c>
      <c r="F6111" s="13" t="s">
        <v>2043</v>
      </c>
      <c r="G6111" s="13">
        <v>0.65</v>
      </c>
      <c r="H6111" s="15">
        <v>2970</v>
      </c>
      <c r="I6111" s="16">
        <v>1930.5</v>
      </c>
      <c r="J6111" s="16">
        <v>1095.3508801758173</v>
      </c>
      <c r="K6111" s="16">
        <v>835.14911982418278</v>
      </c>
      <c r="L6111" s="13">
        <v>1.66</v>
      </c>
      <c r="M6111" s="13"/>
      <c r="N6111" s="17">
        <f t="shared" si="200"/>
        <v>4930.2</v>
      </c>
      <c r="O6111" s="17">
        <f t="shared" si="200"/>
        <v>0</v>
      </c>
      <c r="P6111" s="17">
        <f t="shared" si="201"/>
        <v>4930.2</v>
      </c>
      <c r="Q6111" t="str">
        <f>A6111&amp;"-"&amp;B6111&amp;"-"&amp;D6111</f>
        <v>DESEMBER-KLB-L3A</v>
      </c>
    </row>
    <row r="6112" spans="1:17" x14ac:dyDescent="0.25">
      <c r="A6112" t="s">
        <v>402</v>
      </c>
      <c r="B6112" s="13" t="s">
        <v>24</v>
      </c>
      <c r="C6112" s="13" t="s">
        <v>226</v>
      </c>
      <c r="D6112" s="14" t="s">
        <v>224</v>
      </c>
      <c r="E6112" s="13" t="s">
        <v>61</v>
      </c>
      <c r="F6112" s="13" t="s">
        <v>2044</v>
      </c>
      <c r="G6112" s="13">
        <v>0.65</v>
      </c>
      <c r="H6112" s="15">
        <v>2080</v>
      </c>
      <c r="I6112" s="16">
        <v>1352</v>
      </c>
      <c r="J6112" s="16">
        <v>739.41359202662943</v>
      </c>
      <c r="K6112" s="16">
        <v>612.58640797337057</v>
      </c>
      <c r="L6112" s="13">
        <v>1.64</v>
      </c>
      <c r="M6112" s="13"/>
      <c r="N6112" s="17">
        <f t="shared" si="200"/>
        <v>3411.2</v>
      </c>
      <c r="O6112" s="17">
        <f t="shared" si="200"/>
        <v>0</v>
      </c>
      <c r="P6112" s="17">
        <f t="shared" si="201"/>
        <v>3411.2</v>
      </c>
      <c r="Q6112" t="str">
        <f>A6112&amp;"-"&amp;B6112&amp;"-"&amp;D6112</f>
        <v>DESEMBER-KLB-L3A</v>
      </c>
    </row>
    <row r="6113" spans="1:17" x14ac:dyDescent="0.25">
      <c r="A6113" t="s">
        <v>402</v>
      </c>
      <c r="B6113" s="13" t="s">
        <v>24</v>
      </c>
      <c r="C6113" s="13" t="s">
        <v>226</v>
      </c>
      <c r="D6113" s="14" t="s">
        <v>224</v>
      </c>
      <c r="E6113" s="13" t="s">
        <v>61</v>
      </c>
      <c r="F6113" s="13" t="s">
        <v>2045</v>
      </c>
      <c r="G6113" s="13">
        <v>0.65</v>
      </c>
      <c r="H6113" s="15">
        <v>2755</v>
      </c>
      <c r="I6113" s="16">
        <v>1790.75</v>
      </c>
      <c r="J6113" s="16">
        <v>978.64159487633765</v>
      </c>
      <c r="K6113" s="16">
        <v>812.10840512366235</v>
      </c>
      <c r="L6113" s="13">
        <v>1.64</v>
      </c>
      <c r="M6113" s="13"/>
      <c r="N6113" s="17">
        <f t="shared" si="200"/>
        <v>4518.2</v>
      </c>
      <c r="O6113" s="17">
        <f t="shared" si="200"/>
        <v>0</v>
      </c>
      <c r="P6113" s="17">
        <f t="shared" si="201"/>
        <v>4518.2</v>
      </c>
      <c r="Q6113" t="str">
        <f>A6113&amp;"-"&amp;B6113&amp;"-"&amp;D6113</f>
        <v>DESEMBER-KLB-L3A</v>
      </c>
    </row>
    <row r="6114" spans="1:17" x14ac:dyDescent="0.25">
      <c r="A6114" t="s">
        <v>402</v>
      </c>
      <c r="B6114" s="13" t="s">
        <v>24</v>
      </c>
      <c r="C6114" s="13" t="s">
        <v>226</v>
      </c>
      <c r="D6114" s="14" t="s">
        <v>225</v>
      </c>
      <c r="E6114" s="13" t="s">
        <v>61</v>
      </c>
      <c r="F6114" s="13" t="s">
        <v>2035</v>
      </c>
      <c r="G6114" s="13">
        <v>0.68</v>
      </c>
      <c r="H6114" s="15">
        <v>3205</v>
      </c>
      <c r="I6114" s="16">
        <v>2179.3999999999996</v>
      </c>
      <c r="J6114" s="16">
        <v>1093.4583333333335</v>
      </c>
      <c r="K6114" s="16">
        <v>1085.9416666666666</v>
      </c>
      <c r="L6114" s="13">
        <v>1.61</v>
      </c>
      <c r="M6114" s="13"/>
      <c r="N6114" s="17">
        <f t="shared" si="200"/>
        <v>5160.05</v>
      </c>
      <c r="O6114" s="17">
        <f t="shared" si="200"/>
        <v>0</v>
      </c>
      <c r="P6114" s="17">
        <f t="shared" si="201"/>
        <v>5160.05</v>
      </c>
      <c r="Q6114" t="str">
        <f>A6114&amp;"-"&amp;B6114&amp;"-"&amp;D6114</f>
        <v>DESEMBER-KLB-L3B</v>
      </c>
    </row>
    <row r="6115" spans="1:17" x14ac:dyDescent="0.25">
      <c r="A6115" t="s">
        <v>402</v>
      </c>
      <c r="B6115" s="13" t="s">
        <v>24</v>
      </c>
      <c r="C6115" s="13" t="s">
        <v>226</v>
      </c>
      <c r="D6115" s="14" t="s">
        <v>225</v>
      </c>
      <c r="E6115" s="13" t="s">
        <v>61</v>
      </c>
      <c r="F6115" s="13" t="s">
        <v>2036</v>
      </c>
      <c r="G6115" s="13">
        <v>0.68</v>
      </c>
      <c r="H6115" s="15">
        <v>10995</v>
      </c>
      <c r="I6115" s="16">
        <v>7476.6</v>
      </c>
      <c r="J6115" s="16">
        <v>3763.9917736043153</v>
      </c>
      <c r="K6115" s="16">
        <v>3712.6082263956851</v>
      </c>
      <c r="L6115" s="13">
        <v>1.69</v>
      </c>
      <c r="M6115" s="13"/>
      <c r="N6115" s="17">
        <f t="shared" si="200"/>
        <v>18581.55</v>
      </c>
      <c r="O6115" s="17">
        <f t="shared" si="200"/>
        <v>0</v>
      </c>
      <c r="P6115" s="17">
        <f t="shared" si="201"/>
        <v>18581.55</v>
      </c>
      <c r="Q6115" t="str">
        <f>A6115&amp;"-"&amp;B6115&amp;"-"&amp;D6115</f>
        <v>DESEMBER-KLB-L3B</v>
      </c>
    </row>
    <row r="6116" spans="1:17" x14ac:dyDescent="0.25">
      <c r="A6116" t="s">
        <v>402</v>
      </c>
      <c r="B6116" s="13" t="s">
        <v>24</v>
      </c>
      <c r="C6116" s="13" t="s">
        <v>226</v>
      </c>
      <c r="D6116" s="14" t="s">
        <v>225</v>
      </c>
      <c r="E6116" s="13" t="s">
        <v>61</v>
      </c>
      <c r="F6116" s="13" t="s">
        <v>1885</v>
      </c>
      <c r="G6116" s="13">
        <v>0.68</v>
      </c>
      <c r="H6116" s="15">
        <v>1775</v>
      </c>
      <c r="I6116" s="16">
        <v>1207</v>
      </c>
      <c r="J6116" s="16">
        <v>630.0439337474121</v>
      </c>
      <c r="K6116" s="16">
        <v>576.9560662525879</v>
      </c>
      <c r="L6116" s="13">
        <v>1.69</v>
      </c>
      <c r="M6116" s="13"/>
      <c r="N6116" s="17">
        <f t="shared" si="200"/>
        <v>2999.75</v>
      </c>
      <c r="O6116" s="17">
        <f t="shared" si="200"/>
        <v>0</v>
      </c>
      <c r="P6116" s="17">
        <f t="shared" si="201"/>
        <v>2999.75</v>
      </c>
      <c r="Q6116" t="str">
        <f>A6116&amp;"-"&amp;B6116&amp;"-"&amp;D6116</f>
        <v>DESEMBER-KLB-L3B</v>
      </c>
    </row>
    <row r="6117" spans="1:17" x14ac:dyDescent="0.25">
      <c r="A6117" t="s">
        <v>402</v>
      </c>
      <c r="B6117" s="13" t="s">
        <v>24</v>
      </c>
      <c r="C6117" s="13" t="s">
        <v>226</v>
      </c>
      <c r="D6117" s="14" t="s">
        <v>225</v>
      </c>
      <c r="E6117" s="13" t="s">
        <v>61</v>
      </c>
      <c r="F6117" s="13" t="s">
        <v>2047</v>
      </c>
      <c r="G6117" s="13">
        <v>0.65</v>
      </c>
      <c r="H6117" s="15">
        <v>1585</v>
      </c>
      <c r="I6117" s="16">
        <v>1030.25</v>
      </c>
      <c r="J6117" s="16">
        <v>586.56019611463535</v>
      </c>
      <c r="K6117" s="16">
        <v>443.68980388536454</v>
      </c>
      <c r="L6117" s="13">
        <v>1.81</v>
      </c>
      <c r="M6117" s="13"/>
      <c r="N6117" s="17">
        <f t="shared" si="200"/>
        <v>2868.85</v>
      </c>
      <c r="O6117" s="17">
        <f t="shared" si="200"/>
        <v>0</v>
      </c>
      <c r="P6117" s="17">
        <f t="shared" si="201"/>
        <v>2868.85</v>
      </c>
      <c r="Q6117" t="str">
        <f>A6117&amp;"-"&amp;B6117&amp;"-"&amp;D6117</f>
        <v>DESEMBER-KLB-L3B</v>
      </c>
    </row>
    <row r="6118" spans="1:17" x14ac:dyDescent="0.25">
      <c r="A6118" t="s">
        <v>402</v>
      </c>
      <c r="B6118" s="13" t="s">
        <v>24</v>
      </c>
      <c r="C6118" s="13" t="s">
        <v>226</v>
      </c>
      <c r="D6118" s="14" t="s">
        <v>225</v>
      </c>
      <c r="E6118" s="13" t="s">
        <v>61</v>
      </c>
      <c r="F6118" s="13" t="s">
        <v>2037</v>
      </c>
      <c r="G6118" s="13">
        <v>0.68</v>
      </c>
      <c r="H6118" s="15">
        <v>3545</v>
      </c>
      <c r="I6118" s="16">
        <v>2410.6</v>
      </c>
      <c r="J6118" s="16">
        <v>1184.0881147540983</v>
      </c>
      <c r="K6118" s="16">
        <v>1226.5118852459018</v>
      </c>
      <c r="L6118" s="13">
        <v>1.69</v>
      </c>
      <c r="M6118" s="13"/>
      <c r="N6118" s="17">
        <f t="shared" si="200"/>
        <v>5991.05</v>
      </c>
      <c r="O6118" s="17">
        <f t="shared" si="200"/>
        <v>0</v>
      </c>
      <c r="P6118" s="17">
        <f t="shared" si="201"/>
        <v>5991.05</v>
      </c>
      <c r="Q6118" t="str">
        <f>A6118&amp;"-"&amp;B6118&amp;"-"&amp;D6118</f>
        <v>DESEMBER-KLB-L3B</v>
      </c>
    </row>
    <row r="6119" spans="1:17" x14ac:dyDescent="0.25">
      <c r="A6119" t="s">
        <v>402</v>
      </c>
      <c r="B6119" s="13" t="s">
        <v>24</v>
      </c>
      <c r="C6119" s="13" t="s">
        <v>226</v>
      </c>
      <c r="D6119" s="14" t="s">
        <v>225</v>
      </c>
      <c r="E6119" s="13" t="s">
        <v>61</v>
      </c>
      <c r="F6119" s="13" t="s">
        <v>2038</v>
      </c>
      <c r="G6119" s="13">
        <v>0.68</v>
      </c>
      <c r="H6119" s="15">
        <v>3095</v>
      </c>
      <c r="I6119" s="16">
        <v>2104.6</v>
      </c>
      <c r="J6119" s="16">
        <v>1066.3968473451328</v>
      </c>
      <c r="K6119" s="16">
        <v>1038.2031526548674</v>
      </c>
      <c r="L6119" s="13">
        <v>1.61</v>
      </c>
      <c r="M6119" s="13"/>
      <c r="N6119" s="17">
        <f t="shared" si="200"/>
        <v>4982.9500000000007</v>
      </c>
      <c r="O6119" s="17">
        <f t="shared" si="200"/>
        <v>0</v>
      </c>
      <c r="P6119" s="17">
        <f t="shared" si="201"/>
        <v>4982.9500000000007</v>
      </c>
      <c r="Q6119" t="str">
        <f>A6119&amp;"-"&amp;B6119&amp;"-"&amp;D6119</f>
        <v>DESEMBER-KLB-L3B</v>
      </c>
    </row>
    <row r="6120" spans="1:17" x14ac:dyDescent="0.25">
      <c r="A6120" t="s">
        <v>402</v>
      </c>
      <c r="B6120" s="13" t="s">
        <v>24</v>
      </c>
      <c r="C6120" s="13" t="s">
        <v>226</v>
      </c>
      <c r="D6120" s="14" t="s">
        <v>225</v>
      </c>
      <c r="E6120" s="13" t="s">
        <v>61</v>
      </c>
      <c r="F6120" s="13" t="s">
        <v>2039</v>
      </c>
      <c r="G6120" s="13">
        <v>0.68</v>
      </c>
      <c r="H6120" s="15">
        <v>125</v>
      </c>
      <c r="I6120" s="16">
        <v>85</v>
      </c>
      <c r="J6120" s="16">
        <v>46.30681818181818</v>
      </c>
      <c r="K6120" s="16">
        <v>38.69318181818182</v>
      </c>
      <c r="L6120" s="13">
        <v>1.63</v>
      </c>
      <c r="M6120" s="13"/>
      <c r="N6120" s="17">
        <f t="shared" si="200"/>
        <v>203.75</v>
      </c>
      <c r="O6120" s="17">
        <f t="shared" si="200"/>
        <v>0</v>
      </c>
      <c r="P6120" s="17">
        <f t="shared" si="201"/>
        <v>203.75</v>
      </c>
      <c r="Q6120" t="str">
        <f>A6120&amp;"-"&amp;B6120&amp;"-"&amp;D6120</f>
        <v>DESEMBER-KLB-L3B</v>
      </c>
    </row>
    <row r="6121" spans="1:17" x14ac:dyDescent="0.25">
      <c r="A6121" t="s">
        <v>402</v>
      </c>
      <c r="B6121" s="13" t="s">
        <v>24</v>
      </c>
      <c r="C6121" s="13" t="s">
        <v>226</v>
      </c>
      <c r="D6121" s="14" t="s">
        <v>225</v>
      </c>
      <c r="E6121" s="13" t="s">
        <v>61</v>
      </c>
      <c r="F6121" s="13" t="s">
        <v>2040</v>
      </c>
      <c r="G6121" s="13">
        <v>0.65</v>
      </c>
      <c r="H6121" s="15">
        <v>3290</v>
      </c>
      <c r="I6121" s="16">
        <v>2138.5</v>
      </c>
      <c r="J6121" s="16">
        <v>1122.2369462025317</v>
      </c>
      <c r="K6121" s="16">
        <v>1016.2630537974684</v>
      </c>
      <c r="L6121" s="13">
        <v>1.66</v>
      </c>
      <c r="M6121" s="13"/>
      <c r="N6121" s="17">
        <f t="shared" si="200"/>
        <v>5461.4</v>
      </c>
      <c r="O6121" s="17">
        <f t="shared" si="200"/>
        <v>0</v>
      </c>
      <c r="P6121" s="17">
        <f t="shared" si="201"/>
        <v>5461.4</v>
      </c>
      <c r="Q6121" t="str">
        <f>A6121&amp;"-"&amp;B6121&amp;"-"&amp;D6121</f>
        <v>DESEMBER-KLB-L3B</v>
      </c>
    </row>
    <row r="6122" spans="1:17" x14ac:dyDescent="0.25">
      <c r="A6122" t="s">
        <v>402</v>
      </c>
      <c r="B6122" s="13" t="s">
        <v>24</v>
      </c>
      <c r="C6122" s="13" t="s">
        <v>226</v>
      </c>
      <c r="D6122" s="14" t="s">
        <v>225</v>
      </c>
      <c r="E6122" s="13" t="s">
        <v>61</v>
      </c>
      <c r="F6122" s="13" t="s">
        <v>2041</v>
      </c>
      <c r="G6122" s="13">
        <v>0.65</v>
      </c>
      <c r="H6122" s="15">
        <v>2355</v>
      </c>
      <c r="I6122" s="16">
        <v>1530.75</v>
      </c>
      <c r="J6122" s="16">
        <v>832.82161125319703</v>
      </c>
      <c r="K6122" s="16">
        <v>697.92838874680297</v>
      </c>
      <c r="L6122" s="13">
        <v>1.64</v>
      </c>
      <c r="M6122" s="13"/>
      <c r="N6122" s="17">
        <f t="shared" si="200"/>
        <v>3862.2</v>
      </c>
      <c r="O6122" s="17">
        <f t="shared" si="200"/>
        <v>0</v>
      </c>
      <c r="P6122" s="17">
        <f t="shared" si="201"/>
        <v>3862.2</v>
      </c>
      <c r="Q6122" t="str">
        <f>A6122&amp;"-"&amp;B6122&amp;"-"&amp;D6122</f>
        <v>DESEMBER-KLB-L3B</v>
      </c>
    </row>
    <row r="6123" spans="1:17" x14ac:dyDescent="0.25">
      <c r="A6123" t="s">
        <v>402</v>
      </c>
      <c r="B6123" s="13" t="s">
        <v>24</v>
      </c>
      <c r="C6123" s="13" t="s">
        <v>226</v>
      </c>
      <c r="D6123" s="14" t="s">
        <v>225</v>
      </c>
      <c r="E6123" s="13" t="s">
        <v>61</v>
      </c>
      <c r="F6123" s="13" t="s">
        <v>2042</v>
      </c>
      <c r="G6123" s="13">
        <v>0.65</v>
      </c>
      <c r="H6123" s="15">
        <v>4240</v>
      </c>
      <c r="I6123" s="16">
        <v>2756</v>
      </c>
      <c r="J6123" s="16">
        <v>1670.148030538302</v>
      </c>
      <c r="K6123" s="16">
        <v>1085.851969461698</v>
      </c>
      <c r="L6123" s="13">
        <v>1.64</v>
      </c>
      <c r="M6123" s="13"/>
      <c r="N6123" s="17">
        <f t="shared" si="200"/>
        <v>6953.5999999999995</v>
      </c>
      <c r="O6123" s="17">
        <f t="shared" si="200"/>
        <v>0</v>
      </c>
      <c r="P6123" s="17">
        <f t="shared" si="201"/>
        <v>6953.5999999999995</v>
      </c>
      <c r="Q6123" t="str">
        <f>A6123&amp;"-"&amp;B6123&amp;"-"&amp;D6123</f>
        <v>DESEMBER-KLB-L3B</v>
      </c>
    </row>
    <row r="6124" spans="1:17" x14ac:dyDescent="0.25">
      <c r="A6124" t="s">
        <v>402</v>
      </c>
      <c r="B6124" s="13" t="s">
        <v>24</v>
      </c>
      <c r="C6124" s="13" t="s">
        <v>226</v>
      </c>
      <c r="D6124" s="14" t="s">
        <v>225</v>
      </c>
      <c r="E6124" s="13" t="s">
        <v>61</v>
      </c>
      <c r="F6124" s="13" t="s">
        <v>2046</v>
      </c>
      <c r="G6124" s="13">
        <v>0.65</v>
      </c>
      <c r="H6124" s="15">
        <v>5450</v>
      </c>
      <c r="I6124" s="16">
        <v>3542.5</v>
      </c>
      <c r="J6124" s="16">
        <v>1852.3402642950641</v>
      </c>
      <c r="K6124" s="16">
        <v>1690.1597357049359</v>
      </c>
      <c r="L6124" s="13">
        <v>1.66</v>
      </c>
      <c r="M6124" s="13"/>
      <c r="N6124" s="17">
        <f t="shared" si="200"/>
        <v>9047</v>
      </c>
      <c r="O6124" s="17">
        <f t="shared" si="200"/>
        <v>0</v>
      </c>
      <c r="P6124" s="17">
        <f t="shared" si="201"/>
        <v>9047</v>
      </c>
      <c r="Q6124" t="str">
        <f>A6124&amp;"-"&amp;B6124&amp;"-"&amp;D6124</f>
        <v>DESEMBER-KLB-L3B</v>
      </c>
    </row>
    <row r="6125" spans="1:17" x14ac:dyDescent="0.25">
      <c r="A6125" t="s">
        <v>402</v>
      </c>
      <c r="B6125" s="13" t="s">
        <v>24</v>
      </c>
      <c r="C6125" s="13" t="s">
        <v>226</v>
      </c>
      <c r="D6125" s="14" t="s">
        <v>225</v>
      </c>
      <c r="E6125" s="13" t="s">
        <v>61</v>
      </c>
      <c r="F6125" s="13" t="s">
        <v>2043</v>
      </c>
      <c r="G6125" s="13">
        <v>0.65</v>
      </c>
      <c r="H6125" s="15">
        <v>2282</v>
      </c>
      <c r="I6125" s="16">
        <v>1483.3</v>
      </c>
      <c r="J6125" s="16">
        <v>781.38099926162931</v>
      </c>
      <c r="K6125" s="16">
        <v>701.91900073837076</v>
      </c>
      <c r="L6125" s="13">
        <v>1.66</v>
      </c>
      <c r="M6125" s="13"/>
      <c r="N6125" s="17">
        <f t="shared" si="200"/>
        <v>3788.12</v>
      </c>
      <c r="O6125" s="17">
        <f t="shared" si="200"/>
        <v>0</v>
      </c>
      <c r="P6125" s="17">
        <f t="shared" si="201"/>
        <v>3788.12</v>
      </c>
      <c r="Q6125" t="str">
        <f>A6125&amp;"-"&amp;B6125&amp;"-"&amp;D6125</f>
        <v>DESEMBER-KLB-L3B</v>
      </c>
    </row>
    <row r="6126" spans="1:17" x14ac:dyDescent="0.25">
      <c r="A6126" t="s">
        <v>402</v>
      </c>
      <c r="B6126" s="13" t="s">
        <v>24</v>
      </c>
      <c r="C6126" s="13" t="s">
        <v>226</v>
      </c>
      <c r="D6126" s="14" t="s">
        <v>225</v>
      </c>
      <c r="E6126" s="13" t="s">
        <v>61</v>
      </c>
      <c r="F6126" s="13" t="s">
        <v>2044</v>
      </c>
      <c r="G6126" s="13">
        <v>0.65</v>
      </c>
      <c r="H6126" s="15">
        <v>2588</v>
      </c>
      <c r="I6126" s="16">
        <v>1682.2</v>
      </c>
      <c r="J6126" s="16">
        <v>990.95061348397826</v>
      </c>
      <c r="K6126" s="16">
        <v>691.24938651602167</v>
      </c>
      <c r="L6126" s="13">
        <v>1.64</v>
      </c>
      <c r="M6126" s="13"/>
      <c r="N6126" s="17">
        <f t="shared" si="200"/>
        <v>4244.32</v>
      </c>
      <c r="O6126" s="17">
        <f t="shared" si="200"/>
        <v>0</v>
      </c>
      <c r="P6126" s="17">
        <f t="shared" si="201"/>
        <v>4244.32</v>
      </c>
      <c r="Q6126" t="str">
        <f>A6126&amp;"-"&amp;B6126&amp;"-"&amp;D6126</f>
        <v>DESEMBER-KLB-L3B</v>
      </c>
    </row>
    <row r="6127" spans="1:17" x14ac:dyDescent="0.25">
      <c r="A6127" t="s">
        <v>402</v>
      </c>
      <c r="B6127" s="13" t="s">
        <v>24</v>
      </c>
      <c r="C6127" s="13" t="s">
        <v>226</v>
      </c>
      <c r="D6127" s="14" t="s">
        <v>225</v>
      </c>
      <c r="E6127" s="13" t="s">
        <v>61</v>
      </c>
      <c r="F6127" s="13" t="s">
        <v>2045</v>
      </c>
      <c r="G6127" s="13">
        <v>0.65</v>
      </c>
      <c r="H6127" s="15">
        <v>1992</v>
      </c>
      <c r="I6127" s="16">
        <v>1294.8</v>
      </c>
      <c r="J6127" s="16">
        <v>679.2755178845523</v>
      </c>
      <c r="K6127" s="16">
        <v>615.52448211544765</v>
      </c>
      <c r="L6127" s="13">
        <v>1.64</v>
      </c>
      <c r="M6127" s="13"/>
      <c r="N6127" s="17">
        <f t="shared" si="200"/>
        <v>3266.8799999999997</v>
      </c>
      <c r="O6127" s="17">
        <f t="shared" si="200"/>
        <v>0</v>
      </c>
      <c r="P6127" s="17">
        <f t="shared" si="201"/>
        <v>3266.8799999999997</v>
      </c>
      <c r="Q6127" t="str">
        <f>A6127&amp;"-"&amp;B6127&amp;"-"&amp;D6127</f>
        <v>DESEMBER-KLB-L3B</v>
      </c>
    </row>
    <row r="6128" spans="1:17" x14ac:dyDescent="0.25">
      <c r="A6128" t="s">
        <v>402</v>
      </c>
      <c r="B6128" s="13" t="s">
        <v>25</v>
      </c>
      <c r="C6128" s="13" t="s">
        <v>226</v>
      </c>
      <c r="D6128" s="14" t="s">
        <v>44</v>
      </c>
      <c r="E6128" s="13" t="s">
        <v>61</v>
      </c>
      <c r="F6128" s="13" t="s">
        <v>1899</v>
      </c>
      <c r="G6128" s="13">
        <v>1.03</v>
      </c>
      <c r="H6128" s="15">
        <v>144</v>
      </c>
      <c r="I6128" s="16">
        <v>148.32</v>
      </c>
      <c r="J6128" s="16">
        <v>88.148038490007409</v>
      </c>
      <c r="K6128" s="16">
        <v>60.171961509992585</v>
      </c>
      <c r="L6128" s="13">
        <v>2.31</v>
      </c>
      <c r="M6128" s="13"/>
      <c r="N6128" s="17">
        <f t="shared" si="200"/>
        <v>332.64</v>
      </c>
      <c r="O6128" s="17">
        <f t="shared" si="200"/>
        <v>0</v>
      </c>
      <c r="P6128" s="17">
        <f t="shared" si="201"/>
        <v>332.64</v>
      </c>
      <c r="Q6128" t="str">
        <f>A6128&amp;"-"&amp;B6128&amp;"-"&amp;D6128</f>
        <v>DESEMBER-MJ1-L1</v>
      </c>
    </row>
    <row r="6129" spans="1:17" x14ac:dyDescent="0.25">
      <c r="A6129" t="s">
        <v>402</v>
      </c>
      <c r="B6129" s="13" t="s">
        <v>25</v>
      </c>
      <c r="C6129" s="13" t="s">
        <v>226</v>
      </c>
      <c r="D6129" s="14" t="s">
        <v>44</v>
      </c>
      <c r="E6129" s="13" t="s">
        <v>61</v>
      </c>
      <c r="F6129" s="13" t="s">
        <v>2048</v>
      </c>
      <c r="G6129" s="13">
        <v>0.68</v>
      </c>
      <c r="H6129" s="15">
        <v>8718</v>
      </c>
      <c r="I6129" s="16">
        <v>5928.2399999999989</v>
      </c>
      <c r="J6129" s="16">
        <v>3568.8386160925579</v>
      </c>
      <c r="K6129" s="16">
        <v>2359.4013839074419</v>
      </c>
      <c r="L6129" s="13">
        <v>1.61</v>
      </c>
      <c r="M6129" s="13"/>
      <c r="N6129" s="17">
        <f t="shared" si="200"/>
        <v>14035.980000000001</v>
      </c>
      <c r="O6129" s="17">
        <f t="shared" si="200"/>
        <v>0</v>
      </c>
      <c r="P6129" s="17">
        <f t="shared" si="201"/>
        <v>14035.980000000001</v>
      </c>
      <c r="Q6129" t="str">
        <f>A6129&amp;"-"&amp;B6129&amp;"-"&amp;D6129</f>
        <v>DESEMBER-MJ1-L1</v>
      </c>
    </row>
    <row r="6130" spans="1:17" x14ac:dyDescent="0.25">
      <c r="A6130" t="s">
        <v>402</v>
      </c>
      <c r="B6130" s="13" t="s">
        <v>25</v>
      </c>
      <c r="C6130" s="13" t="s">
        <v>226</v>
      </c>
      <c r="D6130" s="14" t="s">
        <v>44</v>
      </c>
      <c r="E6130" s="13" t="s">
        <v>61</v>
      </c>
      <c r="F6130" s="13" t="s">
        <v>2049</v>
      </c>
      <c r="G6130" s="13">
        <v>1.03</v>
      </c>
      <c r="H6130" s="15">
        <v>21</v>
      </c>
      <c r="I6130" s="16">
        <v>21.63</v>
      </c>
      <c r="J6130" s="16">
        <v>16.185461323392357</v>
      </c>
      <c r="K6130" s="16">
        <v>5.4445386766076425</v>
      </c>
      <c r="L6130" s="13">
        <v>2.31</v>
      </c>
      <c r="M6130" s="13"/>
      <c r="N6130" s="17">
        <f t="shared" si="200"/>
        <v>48.51</v>
      </c>
      <c r="O6130" s="17">
        <f t="shared" si="200"/>
        <v>0</v>
      </c>
      <c r="P6130" s="17">
        <f t="shared" si="201"/>
        <v>48.51</v>
      </c>
      <c r="Q6130" t="str">
        <f>A6130&amp;"-"&amp;B6130&amp;"-"&amp;D6130</f>
        <v>DESEMBER-MJ1-L1</v>
      </c>
    </row>
    <row r="6131" spans="1:17" x14ac:dyDescent="0.25">
      <c r="A6131" t="s">
        <v>402</v>
      </c>
      <c r="B6131" s="13" t="s">
        <v>25</v>
      </c>
      <c r="C6131" s="13" t="s">
        <v>226</v>
      </c>
      <c r="D6131" s="14" t="s">
        <v>44</v>
      </c>
      <c r="E6131" s="13" t="s">
        <v>61</v>
      </c>
      <c r="F6131" s="13" t="s">
        <v>2050</v>
      </c>
      <c r="G6131" s="13">
        <v>0.7400000000000001</v>
      </c>
      <c r="H6131" s="15">
        <v>8117</v>
      </c>
      <c r="I6131" s="16">
        <v>6006.579999999999</v>
      </c>
      <c r="J6131" s="16">
        <v>3548.1908228654725</v>
      </c>
      <c r="K6131" s="16">
        <v>2458.3891771345266</v>
      </c>
      <c r="L6131" s="13">
        <v>1.36</v>
      </c>
      <c r="M6131" s="13"/>
      <c r="N6131" s="17">
        <f t="shared" si="200"/>
        <v>11039.12</v>
      </c>
      <c r="O6131" s="17">
        <f t="shared" si="200"/>
        <v>0</v>
      </c>
      <c r="P6131" s="17">
        <f t="shared" si="201"/>
        <v>11039.12</v>
      </c>
      <c r="Q6131" t="str">
        <f>A6131&amp;"-"&amp;B6131&amp;"-"&amp;D6131</f>
        <v>DESEMBER-MJ1-L1</v>
      </c>
    </row>
    <row r="6132" spans="1:17" x14ac:dyDescent="0.25">
      <c r="A6132" t="s">
        <v>402</v>
      </c>
      <c r="B6132" s="13" t="s">
        <v>25</v>
      </c>
      <c r="C6132" s="13" t="s">
        <v>226</v>
      </c>
      <c r="D6132" s="14" t="s">
        <v>44</v>
      </c>
      <c r="E6132" s="13" t="s">
        <v>61</v>
      </c>
      <c r="F6132" s="13" t="s">
        <v>2051</v>
      </c>
      <c r="G6132" s="13">
        <v>0.7400000000000001</v>
      </c>
      <c r="H6132" s="15">
        <v>4997</v>
      </c>
      <c r="I6132" s="16">
        <v>3697.78</v>
      </c>
      <c r="J6132" s="16">
        <v>2676.5460768070125</v>
      </c>
      <c r="K6132" s="16">
        <v>1021.2339231929876</v>
      </c>
      <c r="L6132" s="13">
        <v>1.36</v>
      </c>
      <c r="M6132" s="13"/>
      <c r="N6132" s="17">
        <f t="shared" si="200"/>
        <v>6795.92</v>
      </c>
      <c r="O6132" s="17">
        <f t="shared" si="200"/>
        <v>0</v>
      </c>
      <c r="P6132" s="17">
        <f t="shared" si="201"/>
        <v>6795.92</v>
      </c>
      <c r="Q6132" t="str">
        <f>A6132&amp;"-"&amp;B6132&amp;"-"&amp;D6132</f>
        <v>DESEMBER-MJ1-L1</v>
      </c>
    </row>
    <row r="6133" spans="1:17" x14ac:dyDescent="0.25">
      <c r="A6133" t="s">
        <v>402</v>
      </c>
      <c r="B6133" s="13" t="s">
        <v>25</v>
      </c>
      <c r="C6133" s="13" t="s">
        <v>226</v>
      </c>
      <c r="D6133" s="14" t="s">
        <v>44</v>
      </c>
      <c r="E6133" s="13" t="s">
        <v>61</v>
      </c>
      <c r="F6133" s="13" t="s">
        <v>2052</v>
      </c>
      <c r="G6133" s="13">
        <v>0.68</v>
      </c>
      <c r="H6133" s="15">
        <v>1052</v>
      </c>
      <c r="I6133" s="16">
        <v>715.36</v>
      </c>
      <c r="J6133" s="16">
        <v>810.81453867660764</v>
      </c>
      <c r="K6133" s="16">
        <v>-95.454538676607626</v>
      </c>
      <c r="L6133" s="13">
        <v>1.63</v>
      </c>
      <c r="M6133" s="13"/>
      <c r="N6133" s="17">
        <f t="shared" si="200"/>
        <v>1714.76</v>
      </c>
      <c r="O6133" s="17">
        <f t="shared" si="200"/>
        <v>0</v>
      </c>
      <c r="P6133" s="17">
        <f t="shared" si="201"/>
        <v>1714.76</v>
      </c>
      <c r="Q6133" t="str">
        <f>A6133&amp;"-"&amp;B6133&amp;"-"&amp;D6133</f>
        <v>DESEMBER-MJ1-L1</v>
      </c>
    </row>
    <row r="6134" spans="1:17" x14ac:dyDescent="0.25">
      <c r="A6134" t="s">
        <v>402</v>
      </c>
      <c r="B6134" s="13" t="s">
        <v>25</v>
      </c>
      <c r="C6134" s="13" t="s">
        <v>226</v>
      </c>
      <c r="D6134" s="14" t="s">
        <v>44</v>
      </c>
      <c r="E6134" s="13" t="s">
        <v>61</v>
      </c>
      <c r="F6134" s="13" t="s">
        <v>1900</v>
      </c>
      <c r="G6134" s="13">
        <v>0.68</v>
      </c>
      <c r="H6134" s="15">
        <v>389</v>
      </c>
      <c r="I6134" s="16">
        <v>264.52</v>
      </c>
      <c r="J6134" s="16">
        <v>238.12213175425612</v>
      </c>
      <c r="K6134" s="16">
        <v>26.397868245743865</v>
      </c>
      <c r="L6134" s="13">
        <v>1.7</v>
      </c>
      <c r="M6134" s="13"/>
      <c r="N6134" s="17">
        <f t="shared" si="200"/>
        <v>661.3</v>
      </c>
      <c r="O6134" s="17">
        <f t="shared" si="200"/>
        <v>0</v>
      </c>
      <c r="P6134" s="17">
        <f t="shared" si="201"/>
        <v>661.3</v>
      </c>
      <c r="Q6134" t="str">
        <f>A6134&amp;"-"&amp;B6134&amp;"-"&amp;D6134</f>
        <v>DESEMBER-MJ1-L1</v>
      </c>
    </row>
    <row r="6135" spans="1:17" x14ac:dyDescent="0.25">
      <c r="A6135" t="s">
        <v>402</v>
      </c>
      <c r="B6135" s="13" t="s">
        <v>25</v>
      </c>
      <c r="C6135" s="13" t="s">
        <v>226</v>
      </c>
      <c r="D6135" s="14" t="s">
        <v>44</v>
      </c>
      <c r="E6135" s="13" t="s">
        <v>61</v>
      </c>
      <c r="F6135" s="13" t="s">
        <v>1903</v>
      </c>
      <c r="G6135" s="13">
        <v>0.73</v>
      </c>
      <c r="H6135" s="15">
        <v>52</v>
      </c>
      <c r="I6135" s="16">
        <v>37.96</v>
      </c>
      <c r="J6135" s="16">
        <v>31.831236121391562</v>
      </c>
      <c r="K6135" s="16">
        <v>6.1287638786084386</v>
      </c>
      <c r="L6135" s="13">
        <v>1.33</v>
      </c>
      <c r="M6135" s="13"/>
      <c r="N6135" s="17">
        <f t="shared" ref="N6135:O6194" si="202">$H6135*L6135</f>
        <v>69.16</v>
      </c>
      <c r="O6135" s="17">
        <f t="shared" si="202"/>
        <v>0</v>
      </c>
      <c r="P6135" s="17">
        <f t="shared" si="201"/>
        <v>69.16</v>
      </c>
      <c r="Q6135" t="str">
        <f>A6135&amp;"-"&amp;B6135&amp;"-"&amp;D6135</f>
        <v>DESEMBER-MJ1-L1</v>
      </c>
    </row>
    <row r="6136" spans="1:17" x14ac:dyDescent="0.25">
      <c r="A6136" t="s">
        <v>402</v>
      </c>
      <c r="B6136" s="13" t="s">
        <v>25</v>
      </c>
      <c r="C6136" s="13" t="s">
        <v>226</v>
      </c>
      <c r="D6136" s="14" t="s">
        <v>44</v>
      </c>
      <c r="E6136" s="13" t="s">
        <v>61</v>
      </c>
      <c r="F6136" s="13" t="s">
        <v>2053</v>
      </c>
      <c r="G6136" s="13">
        <v>0.92999999999999994</v>
      </c>
      <c r="H6136" s="15">
        <v>4807</v>
      </c>
      <c r="I6136" s="16">
        <v>4470.5099999999993</v>
      </c>
      <c r="J6136" s="16">
        <v>1846.9901212519105</v>
      </c>
      <c r="K6136" s="16">
        <v>2623.5198787480899</v>
      </c>
      <c r="L6136" s="13">
        <v>2.2200000000000002</v>
      </c>
      <c r="M6136" s="13"/>
      <c r="N6136" s="17">
        <f t="shared" si="202"/>
        <v>10671.54</v>
      </c>
      <c r="O6136" s="17">
        <f t="shared" si="202"/>
        <v>0</v>
      </c>
      <c r="P6136" s="17">
        <f t="shared" si="201"/>
        <v>10671.54</v>
      </c>
      <c r="Q6136" t="str">
        <f>A6136&amp;"-"&amp;B6136&amp;"-"&amp;D6136</f>
        <v>DESEMBER-MJ1-L1</v>
      </c>
    </row>
    <row r="6137" spans="1:17" x14ac:dyDescent="0.25">
      <c r="A6137" t="s">
        <v>402</v>
      </c>
      <c r="B6137" s="13" t="s">
        <v>25</v>
      </c>
      <c r="C6137" s="13" t="s">
        <v>226</v>
      </c>
      <c r="D6137" s="14" t="s">
        <v>44</v>
      </c>
      <c r="E6137" s="13" t="s">
        <v>61</v>
      </c>
      <c r="F6137" s="13" t="s">
        <v>2054</v>
      </c>
      <c r="G6137" s="13">
        <v>0.93</v>
      </c>
      <c r="H6137" s="15">
        <v>349</v>
      </c>
      <c r="I6137" s="16">
        <v>324.57</v>
      </c>
      <c r="J6137" s="16">
        <v>130.50019346710275</v>
      </c>
      <c r="K6137" s="16">
        <v>194.06980653289725</v>
      </c>
      <c r="L6137" s="13">
        <v>2.42</v>
      </c>
      <c r="M6137" s="13"/>
      <c r="N6137" s="17">
        <f t="shared" si="202"/>
        <v>844.57999999999993</v>
      </c>
      <c r="O6137" s="17">
        <f t="shared" si="202"/>
        <v>0</v>
      </c>
      <c r="P6137" s="17">
        <f t="shared" si="201"/>
        <v>844.57999999999993</v>
      </c>
      <c r="Q6137" t="str">
        <f>A6137&amp;"-"&amp;B6137&amp;"-"&amp;D6137</f>
        <v>DESEMBER-MJ1-L1</v>
      </c>
    </row>
    <row r="6138" spans="1:17" x14ac:dyDescent="0.25">
      <c r="A6138" t="s">
        <v>402</v>
      </c>
      <c r="B6138" s="13" t="s">
        <v>25</v>
      </c>
      <c r="C6138" s="13" t="s">
        <v>226</v>
      </c>
      <c r="D6138" s="14" t="s">
        <v>44</v>
      </c>
      <c r="E6138" s="13" t="s">
        <v>61</v>
      </c>
      <c r="F6138" s="13" t="s">
        <v>1905</v>
      </c>
      <c r="G6138" s="13">
        <v>0.93</v>
      </c>
      <c r="H6138" s="15">
        <v>324</v>
      </c>
      <c r="I6138" s="16">
        <v>301.32</v>
      </c>
      <c r="J6138" s="16">
        <v>198.33308660251666</v>
      </c>
      <c r="K6138" s="16">
        <v>102.98691339748333</v>
      </c>
      <c r="L6138" s="13">
        <v>2.2200000000000002</v>
      </c>
      <c r="M6138" s="13"/>
      <c r="N6138" s="17">
        <f t="shared" si="202"/>
        <v>719.28000000000009</v>
      </c>
      <c r="O6138" s="17">
        <f t="shared" si="202"/>
        <v>0</v>
      </c>
      <c r="P6138" s="17">
        <f t="shared" si="201"/>
        <v>719.28000000000009</v>
      </c>
      <c r="Q6138" t="str">
        <f>A6138&amp;"-"&amp;B6138&amp;"-"&amp;D6138</f>
        <v>DESEMBER-MJ1-L1</v>
      </c>
    </row>
    <row r="6139" spans="1:17" x14ac:dyDescent="0.25">
      <c r="A6139" t="s">
        <v>402</v>
      </c>
      <c r="B6139" s="13" t="s">
        <v>25</v>
      </c>
      <c r="C6139" s="13" t="s">
        <v>226</v>
      </c>
      <c r="D6139" s="14" t="s">
        <v>44</v>
      </c>
      <c r="E6139" s="13" t="s">
        <v>61</v>
      </c>
      <c r="F6139" s="13" t="s">
        <v>2055</v>
      </c>
      <c r="G6139" s="13">
        <v>0.93</v>
      </c>
      <c r="H6139" s="15">
        <v>1966</v>
      </c>
      <c r="I6139" s="16">
        <v>1828.38</v>
      </c>
      <c r="J6139" s="16">
        <v>803.23999731007189</v>
      </c>
      <c r="K6139" s="16">
        <v>1025.1400026899282</v>
      </c>
      <c r="L6139" s="13">
        <v>2.2200000000000002</v>
      </c>
      <c r="M6139" s="13"/>
      <c r="N6139" s="17">
        <f t="shared" si="202"/>
        <v>4364.5200000000004</v>
      </c>
      <c r="O6139" s="17">
        <f t="shared" si="202"/>
        <v>0</v>
      </c>
      <c r="P6139" s="17">
        <f t="shared" si="201"/>
        <v>4364.5200000000004</v>
      </c>
      <c r="Q6139" t="str">
        <f>A6139&amp;"-"&amp;B6139&amp;"-"&amp;D6139</f>
        <v>DESEMBER-MJ1-L1</v>
      </c>
    </row>
    <row r="6140" spans="1:17" x14ac:dyDescent="0.25">
      <c r="A6140" t="s">
        <v>402</v>
      </c>
      <c r="B6140" s="13" t="s">
        <v>25</v>
      </c>
      <c r="C6140" s="13" t="s">
        <v>226</v>
      </c>
      <c r="D6140" s="14" t="s">
        <v>44</v>
      </c>
      <c r="E6140" s="13" t="s">
        <v>61</v>
      </c>
      <c r="F6140" s="13" t="s">
        <v>2056</v>
      </c>
      <c r="G6140" s="13">
        <v>0.93</v>
      </c>
      <c r="H6140" s="15">
        <v>123</v>
      </c>
      <c r="I6140" s="16">
        <v>114.39</v>
      </c>
      <c r="J6140" s="16">
        <v>47.981603773584908</v>
      </c>
      <c r="K6140" s="16">
        <v>66.408396226415093</v>
      </c>
      <c r="L6140" s="13">
        <v>2.42</v>
      </c>
      <c r="M6140" s="13"/>
      <c r="N6140" s="17">
        <f t="shared" si="202"/>
        <v>297.65999999999997</v>
      </c>
      <c r="O6140" s="17">
        <f t="shared" si="202"/>
        <v>0</v>
      </c>
      <c r="P6140" s="17">
        <f t="shared" si="201"/>
        <v>297.65999999999997</v>
      </c>
      <c r="Q6140" t="str">
        <f>A6140&amp;"-"&amp;B6140&amp;"-"&amp;D6140</f>
        <v>DESEMBER-MJ1-L1</v>
      </c>
    </row>
    <row r="6141" spans="1:17" x14ac:dyDescent="0.25">
      <c r="A6141" t="s">
        <v>402</v>
      </c>
      <c r="B6141" s="13" t="s">
        <v>25</v>
      </c>
      <c r="C6141" s="13" t="s">
        <v>226</v>
      </c>
      <c r="D6141" s="14" t="s">
        <v>44</v>
      </c>
      <c r="E6141" s="13" t="s">
        <v>61</v>
      </c>
      <c r="F6141" s="13" t="s">
        <v>2057</v>
      </c>
      <c r="G6141" s="13">
        <v>0.92999999999999994</v>
      </c>
      <c r="H6141" s="15">
        <v>6016</v>
      </c>
      <c r="I6141" s="16">
        <v>5594.88</v>
      </c>
      <c r="J6141" s="16">
        <v>2534.2780754641149</v>
      </c>
      <c r="K6141" s="16">
        <v>3060.6019245358848</v>
      </c>
      <c r="L6141" s="13">
        <v>2.2200000000000002</v>
      </c>
      <c r="M6141" s="13"/>
      <c r="N6141" s="17">
        <f t="shared" si="202"/>
        <v>13355.52</v>
      </c>
      <c r="O6141" s="17">
        <f t="shared" si="202"/>
        <v>0</v>
      </c>
      <c r="P6141" s="17">
        <f t="shared" si="201"/>
        <v>13355.52</v>
      </c>
      <c r="Q6141" t="str">
        <f>A6141&amp;"-"&amp;B6141&amp;"-"&amp;D6141</f>
        <v>DESEMBER-MJ1-L1</v>
      </c>
    </row>
    <row r="6142" spans="1:17" x14ac:dyDescent="0.25">
      <c r="A6142" t="s">
        <v>402</v>
      </c>
      <c r="B6142" s="13" t="s">
        <v>25</v>
      </c>
      <c r="C6142" s="13" t="s">
        <v>226</v>
      </c>
      <c r="D6142" s="14" t="s">
        <v>287</v>
      </c>
      <c r="E6142" s="13" t="s">
        <v>61</v>
      </c>
      <c r="F6142" s="13" t="s">
        <v>2048</v>
      </c>
      <c r="G6142" s="13">
        <v>0.68</v>
      </c>
      <c r="H6142" s="15">
        <v>1700</v>
      </c>
      <c r="I6142" s="16">
        <v>1156</v>
      </c>
      <c r="J6142" s="16">
        <v>1408.976240607712</v>
      </c>
      <c r="K6142" s="16">
        <v>-252.97624060771193</v>
      </c>
      <c r="L6142" s="13">
        <v>1.61</v>
      </c>
      <c r="M6142" s="13"/>
      <c r="N6142" s="17">
        <f t="shared" si="202"/>
        <v>2737</v>
      </c>
      <c r="O6142" s="17">
        <f t="shared" si="202"/>
        <v>0</v>
      </c>
      <c r="P6142" s="17">
        <f t="shared" si="201"/>
        <v>2737</v>
      </c>
      <c r="Q6142" t="str">
        <f>A6142&amp;"-"&amp;B6142&amp;"-"&amp;D6142</f>
        <v>DESEMBER-MJ1-L11</v>
      </c>
    </row>
    <row r="6143" spans="1:17" x14ac:dyDescent="0.25">
      <c r="A6143" t="s">
        <v>402</v>
      </c>
      <c r="B6143" s="13" t="s">
        <v>25</v>
      </c>
      <c r="C6143" s="13" t="s">
        <v>226</v>
      </c>
      <c r="D6143" s="14" t="s">
        <v>287</v>
      </c>
      <c r="E6143" s="13" t="s">
        <v>61</v>
      </c>
      <c r="F6143" s="13" t="s">
        <v>2052</v>
      </c>
      <c r="G6143" s="13">
        <v>0.68</v>
      </c>
      <c r="H6143" s="15">
        <v>927</v>
      </c>
      <c r="I6143" s="16">
        <v>630.36</v>
      </c>
      <c r="J6143" s="16">
        <v>827</v>
      </c>
      <c r="K6143" s="16">
        <v>-196.64</v>
      </c>
      <c r="L6143" s="13">
        <v>1.63</v>
      </c>
      <c r="M6143" s="13"/>
      <c r="N6143" s="17">
        <f t="shared" si="202"/>
        <v>1511.01</v>
      </c>
      <c r="O6143" s="17">
        <f t="shared" si="202"/>
        <v>0</v>
      </c>
      <c r="P6143" s="17">
        <f t="shared" si="201"/>
        <v>1511.01</v>
      </c>
      <c r="Q6143" t="str">
        <f>A6143&amp;"-"&amp;B6143&amp;"-"&amp;D6143</f>
        <v>DESEMBER-MJ1-L11</v>
      </c>
    </row>
    <row r="6144" spans="1:17" x14ac:dyDescent="0.25">
      <c r="A6144" t="s">
        <v>402</v>
      </c>
      <c r="B6144" s="13" t="s">
        <v>25</v>
      </c>
      <c r="C6144" s="13" t="s">
        <v>226</v>
      </c>
      <c r="D6144" s="14" t="s">
        <v>287</v>
      </c>
      <c r="E6144" s="13" t="s">
        <v>1907</v>
      </c>
      <c r="F6144" s="13" t="s">
        <v>2058</v>
      </c>
      <c r="G6144" s="13">
        <v>1.37</v>
      </c>
      <c r="H6144" s="15">
        <v>281</v>
      </c>
      <c r="I6144" s="16">
        <v>384.97</v>
      </c>
      <c r="J6144" s="16">
        <v>245.02375939228801</v>
      </c>
      <c r="K6144" s="16">
        <v>139.94624060771201</v>
      </c>
      <c r="L6144" s="13">
        <v>3.7</v>
      </c>
      <c r="M6144" s="13"/>
      <c r="N6144" s="17">
        <f t="shared" si="202"/>
        <v>1039.7</v>
      </c>
      <c r="O6144" s="17">
        <f t="shared" si="202"/>
        <v>0</v>
      </c>
      <c r="P6144" s="17">
        <f t="shared" si="201"/>
        <v>1039.7</v>
      </c>
      <c r="Q6144" t="str">
        <f>A6144&amp;"-"&amp;B6144&amp;"-"&amp;D6144</f>
        <v>DESEMBER-MJ1-L11</v>
      </c>
    </row>
    <row r="6145" spans="1:17" x14ac:dyDescent="0.25">
      <c r="A6145" t="s">
        <v>402</v>
      </c>
      <c r="B6145" s="13" t="s">
        <v>25</v>
      </c>
      <c r="C6145" s="13" t="s">
        <v>226</v>
      </c>
      <c r="D6145" s="14" t="s">
        <v>287</v>
      </c>
      <c r="E6145" s="13" t="s">
        <v>713</v>
      </c>
      <c r="F6145" s="13" t="s">
        <v>1910</v>
      </c>
      <c r="G6145" s="13">
        <v>1.24</v>
      </c>
      <c r="H6145" s="15">
        <v>638</v>
      </c>
      <c r="I6145" s="16">
        <v>791.12</v>
      </c>
      <c r="J6145" s="16">
        <v>2227.6702517684325</v>
      </c>
      <c r="K6145" s="16">
        <v>-1436.5502517684326</v>
      </c>
      <c r="L6145" s="13">
        <v>3.18</v>
      </c>
      <c r="M6145" s="13"/>
      <c r="N6145" s="17">
        <f t="shared" si="202"/>
        <v>2028.8400000000001</v>
      </c>
      <c r="O6145" s="17">
        <f t="shared" si="202"/>
        <v>0</v>
      </c>
      <c r="P6145" s="17">
        <f t="shared" si="201"/>
        <v>2028.8400000000001</v>
      </c>
      <c r="Q6145" t="str">
        <f>A6145&amp;"-"&amp;B6145&amp;"-"&amp;D6145</f>
        <v>DESEMBER-MJ1-L11</v>
      </c>
    </row>
    <row r="6146" spans="1:17" x14ac:dyDescent="0.25">
      <c r="A6146" t="s">
        <v>402</v>
      </c>
      <c r="B6146" s="13" t="s">
        <v>25</v>
      </c>
      <c r="C6146" s="13" t="s">
        <v>226</v>
      </c>
      <c r="D6146" s="14" t="s">
        <v>287</v>
      </c>
      <c r="E6146" s="13" t="s">
        <v>713</v>
      </c>
      <c r="F6146" s="13" t="s">
        <v>2059</v>
      </c>
      <c r="G6146" s="13">
        <v>1.24</v>
      </c>
      <c r="H6146" s="15">
        <v>3546</v>
      </c>
      <c r="I6146" s="16">
        <v>4397.04</v>
      </c>
      <c r="J6146" s="16">
        <v>2450.6125350434731</v>
      </c>
      <c r="K6146" s="16">
        <v>1946.4274649565268</v>
      </c>
      <c r="L6146" s="13">
        <v>3.18</v>
      </c>
      <c r="M6146" s="13"/>
      <c r="N6146" s="17">
        <f t="shared" si="202"/>
        <v>11276.28</v>
      </c>
      <c r="O6146" s="17">
        <f t="shared" si="202"/>
        <v>0</v>
      </c>
      <c r="P6146" s="17">
        <f t="shared" ref="P6146:P6209" si="203">N6146+O6146</f>
        <v>11276.28</v>
      </c>
      <c r="Q6146" t="str">
        <f>A6146&amp;"-"&amp;B6146&amp;"-"&amp;D6146</f>
        <v>DESEMBER-MJ1-L11</v>
      </c>
    </row>
    <row r="6147" spans="1:17" x14ac:dyDescent="0.25">
      <c r="A6147" t="s">
        <v>402</v>
      </c>
      <c r="B6147" s="13" t="s">
        <v>25</v>
      </c>
      <c r="C6147" s="13" t="s">
        <v>226</v>
      </c>
      <c r="D6147" s="14" t="s">
        <v>287</v>
      </c>
      <c r="E6147" s="13" t="s">
        <v>713</v>
      </c>
      <c r="F6147" s="13" t="s">
        <v>1912</v>
      </c>
      <c r="G6147" s="13">
        <v>1.24</v>
      </c>
      <c r="H6147" s="15">
        <v>1602</v>
      </c>
      <c r="I6147" s="16">
        <v>1986.48</v>
      </c>
      <c r="J6147" s="16">
        <v>1110.7172131880936</v>
      </c>
      <c r="K6147" s="16">
        <v>875.76278681190615</v>
      </c>
      <c r="L6147" s="13">
        <v>3.18</v>
      </c>
      <c r="M6147" s="13"/>
      <c r="N6147" s="17">
        <f t="shared" si="202"/>
        <v>5094.3600000000006</v>
      </c>
      <c r="O6147" s="17">
        <f t="shared" si="202"/>
        <v>0</v>
      </c>
      <c r="P6147" s="17">
        <f t="shared" si="203"/>
        <v>5094.3600000000006</v>
      </c>
      <c r="Q6147" t="str">
        <f>A6147&amp;"-"&amp;B6147&amp;"-"&amp;D6147</f>
        <v>DESEMBER-MJ1-L11</v>
      </c>
    </row>
    <row r="6148" spans="1:17" x14ac:dyDescent="0.25">
      <c r="A6148" t="s">
        <v>402</v>
      </c>
      <c r="B6148" s="13" t="s">
        <v>25</v>
      </c>
      <c r="C6148" s="13" t="s">
        <v>226</v>
      </c>
      <c r="D6148" s="14" t="s">
        <v>310</v>
      </c>
      <c r="E6148" s="13" t="s">
        <v>61</v>
      </c>
      <c r="F6148" s="13" t="s">
        <v>2048</v>
      </c>
      <c r="G6148" s="13">
        <v>0.68</v>
      </c>
      <c r="H6148" s="15">
        <v>5749</v>
      </c>
      <c r="I6148" s="16">
        <v>3909.3199999999997</v>
      </c>
      <c r="J6148" s="16">
        <v>3629.2053657529559</v>
      </c>
      <c r="K6148" s="16">
        <v>280.11463424704414</v>
      </c>
      <c r="L6148" s="13">
        <v>1.61</v>
      </c>
      <c r="M6148" s="13"/>
      <c r="N6148" s="17">
        <f t="shared" si="202"/>
        <v>9255.8900000000012</v>
      </c>
      <c r="O6148" s="17">
        <f t="shared" si="202"/>
        <v>0</v>
      </c>
      <c r="P6148" s="17">
        <f t="shared" si="203"/>
        <v>9255.8900000000012</v>
      </c>
      <c r="Q6148" t="str">
        <f>A6148&amp;"-"&amp;B6148&amp;"-"&amp;D6148</f>
        <v>DESEMBER-MJ1-L12</v>
      </c>
    </row>
    <row r="6149" spans="1:17" x14ac:dyDescent="0.25">
      <c r="A6149" t="s">
        <v>402</v>
      </c>
      <c r="B6149" s="13" t="s">
        <v>25</v>
      </c>
      <c r="C6149" s="13" t="s">
        <v>226</v>
      </c>
      <c r="D6149" s="14" t="s">
        <v>310</v>
      </c>
      <c r="E6149" s="13" t="s">
        <v>61</v>
      </c>
      <c r="F6149" s="13" t="s">
        <v>2050</v>
      </c>
      <c r="G6149" s="13">
        <v>0.73999999999999988</v>
      </c>
      <c r="H6149" s="15">
        <v>1800</v>
      </c>
      <c r="I6149" s="16">
        <v>1332</v>
      </c>
      <c r="J6149" s="16">
        <v>1619.3353293413174</v>
      </c>
      <c r="K6149" s="16">
        <v>-287.33532934131733</v>
      </c>
      <c r="L6149" s="13">
        <v>1.36</v>
      </c>
      <c r="M6149" s="13"/>
      <c r="N6149" s="17">
        <f t="shared" si="202"/>
        <v>2448</v>
      </c>
      <c r="O6149" s="17">
        <f t="shared" si="202"/>
        <v>0</v>
      </c>
      <c r="P6149" s="17">
        <f t="shared" si="203"/>
        <v>2448</v>
      </c>
      <c r="Q6149" t="str">
        <f>A6149&amp;"-"&amp;B6149&amp;"-"&amp;D6149</f>
        <v>DESEMBER-MJ1-L12</v>
      </c>
    </row>
    <row r="6150" spans="1:17" x14ac:dyDescent="0.25">
      <c r="A6150" t="s">
        <v>402</v>
      </c>
      <c r="B6150" s="13" t="s">
        <v>25</v>
      </c>
      <c r="C6150" s="13" t="s">
        <v>226</v>
      </c>
      <c r="D6150" s="14" t="s">
        <v>310</v>
      </c>
      <c r="E6150" s="13" t="s">
        <v>61</v>
      </c>
      <c r="F6150" s="13" t="s">
        <v>2051</v>
      </c>
      <c r="G6150" s="13">
        <v>0.73999999999999988</v>
      </c>
      <c r="H6150" s="15">
        <v>2490</v>
      </c>
      <c r="I6150" s="16">
        <v>1842.6</v>
      </c>
      <c r="J6150" s="16">
        <v>2481</v>
      </c>
      <c r="K6150" s="16">
        <v>-638.4</v>
      </c>
      <c r="L6150" s="13">
        <v>1.36</v>
      </c>
      <c r="M6150" s="13"/>
      <c r="N6150" s="17">
        <f t="shared" si="202"/>
        <v>3386.4</v>
      </c>
      <c r="O6150" s="17">
        <f t="shared" si="202"/>
        <v>0</v>
      </c>
      <c r="P6150" s="17">
        <f t="shared" si="203"/>
        <v>3386.4</v>
      </c>
      <c r="Q6150" t="str">
        <f>A6150&amp;"-"&amp;B6150&amp;"-"&amp;D6150</f>
        <v>DESEMBER-MJ1-L12</v>
      </c>
    </row>
    <row r="6151" spans="1:17" x14ac:dyDescent="0.25">
      <c r="A6151" t="s">
        <v>402</v>
      </c>
      <c r="B6151" s="13" t="s">
        <v>25</v>
      </c>
      <c r="C6151" s="13" t="s">
        <v>226</v>
      </c>
      <c r="D6151" s="14" t="s">
        <v>310</v>
      </c>
      <c r="E6151" s="13" t="s">
        <v>61</v>
      </c>
      <c r="F6151" s="13" t="s">
        <v>2052</v>
      </c>
      <c r="G6151" s="13">
        <v>0.68</v>
      </c>
      <c r="H6151" s="15">
        <v>1440</v>
      </c>
      <c r="I6151" s="16">
        <v>979.2</v>
      </c>
      <c r="J6151" s="16">
        <v>827</v>
      </c>
      <c r="K6151" s="16">
        <v>152.20000000000005</v>
      </c>
      <c r="L6151" s="13">
        <v>1.63</v>
      </c>
      <c r="M6151" s="13"/>
      <c r="N6151" s="17">
        <f t="shared" si="202"/>
        <v>2347.1999999999998</v>
      </c>
      <c r="O6151" s="17">
        <f t="shared" si="202"/>
        <v>0</v>
      </c>
      <c r="P6151" s="17">
        <f t="shared" si="203"/>
        <v>2347.1999999999998</v>
      </c>
      <c r="Q6151" t="str">
        <f>A6151&amp;"-"&amp;B6151&amp;"-"&amp;D6151</f>
        <v>DESEMBER-MJ1-L12</v>
      </c>
    </row>
    <row r="6152" spans="1:17" x14ac:dyDescent="0.25">
      <c r="A6152" t="s">
        <v>402</v>
      </c>
      <c r="B6152" s="13" t="s">
        <v>25</v>
      </c>
      <c r="C6152" s="13" t="s">
        <v>226</v>
      </c>
      <c r="D6152" s="14" t="s">
        <v>310</v>
      </c>
      <c r="E6152" s="13" t="s">
        <v>61</v>
      </c>
      <c r="F6152" s="13" t="s">
        <v>1901</v>
      </c>
      <c r="G6152" s="13">
        <v>0.73</v>
      </c>
      <c r="H6152" s="15">
        <v>423</v>
      </c>
      <c r="I6152" s="16">
        <v>308.79000000000002</v>
      </c>
      <c r="J6152" s="16">
        <v>613.72105263157891</v>
      </c>
      <c r="K6152" s="16">
        <v>-304.93105263157889</v>
      </c>
      <c r="L6152" s="13">
        <v>1.33</v>
      </c>
      <c r="M6152" s="13"/>
      <c r="N6152" s="17">
        <f t="shared" si="202"/>
        <v>562.59</v>
      </c>
      <c r="O6152" s="17">
        <f t="shared" si="202"/>
        <v>0</v>
      </c>
      <c r="P6152" s="17">
        <f t="shared" si="203"/>
        <v>562.59</v>
      </c>
      <c r="Q6152" t="str">
        <f>A6152&amp;"-"&amp;B6152&amp;"-"&amp;D6152</f>
        <v>DESEMBER-MJ1-L12</v>
      </c>
    </row>
    <row r="6153" spans="1:17" x14ac:dyDescent="0.25">
      <c r="A6153" t="s">
        <v>402</v>
      </c>
      <c r="B6153" s="13" t="s">
        <v>25</v>
      </c>
      <c r="C6153" s="13" t="s">
        <v>226</v>
      </c>
      <c r="D6153" s="14" t="s">
        <v>310</v>
      </c>
      <c r="E6153" s="13" t="s">
        <v>61</v>
      </c>
      <c r="F6153" s="13" t="s">
        <v>1903</v>
      </c>
      <c r="G6153" s="13">
        <v>0.73</v>
      </c>
      <c r="H6153" s="15">
        <v>147</v>
      </c>
      <c r="I6153" s="16">
        <v>107.31</v>
      </c>
      <c r="J6153" s="16">
        <v>213.27894736842109</v>
      </c>
      <c r="K6153" s="16">
        <v>-105.96894736842108</v>
      </c>
      <c r="L6153" s="13">
        <v>1.33</v>
      </c>
      <c r="M6153" s="13"/>
      <c r="N6153" s="17">
        <f t="shared" si="202"/>
        <v>195.51000000000002</v>
      </c>
      <c r="O6153" s="17">
        <f t="shared" si="202"/>
        <v>0</v>
      </c>
      <c r="P6153" s="17">
        <f t="shared" si="203"/>
        <v>195.51000000000002</v>
      </c>
      <c r="Q6153" t="str">
        <f>A6153&amp;"-"&amp;B6153&amp;"-"&amp;D6153</f>
        <v>DESEMBER-MJ1-L12</v>
      </c>
    </row>
    <row r="6154" spans="1:17" x14ac:dyDescent="0.25">
      <c r="A6154" t="s">
        <v>402</v>
      </c>
      <c r="B6154" s="13" t="s">
        <v>25</v>
      </c>
      <c r="C6154" s="13" t="s">
        <v>226</v>
      </c>
      <c r="D6154" s="14" t="s">
        <v>310</v>
      </c>
      <c r="E6154" s="13" t="s">
        <v>61</v>
      </c>
      <c r="F6154" s="13" t="s">
        <v>2053</v>
      </c>
      <c r="G6154" s="13">
        <v>0.93</v>
      </c>
      <c r="H6154" s="15">
        <v>1707</v>
      </c>
      <c r="I6154" s="16">
        <v>1587.51</v>
      </c>
      <c r="J6154" s="16">
        <v>1409.8517608548764</v>
      </c>
      <c r="K6154" s="16">
        <v>177.65823914512367</v>
      </c>
      <c r="L6154" s="13">
        <v>2.2200000000000002</v>
      </c>
      <c r="M6154" s="13"/>
      <c r="N6154" s="17">
        <f t="shared" si="202"/>
        <v>3789.5400000000004</v>
      </c>
      <c r="O6154" s="17">
        <f t="shared" si="202"/>
        <v>0</v>
      </c>
      <c r="P6154" s="17">
        <f t="shared" si="203"/>
        <v>3789.5400000000004</v>
      </c>
      <c r="Q6154" t="str">
        <f>A6154&amp;"-"&amp;B6154&amp;"-"&amp;D6154</f>
        <v>DESEMBER-MJ1-L12</v>
      </c>
    </row>
    <row r="6155" spans="1:17" x14ac:dyDescent="0.25">
      <c r="A6155" t="s">
        <v>402</v>
      </c>
      <c r="B6155" s="13" t="s">
        <v>25</v>
      </c>
      <c r="C6155" s="13" t="s">
        <v>226</v>
      </c>
      <c r="D6155" s="14" t="s">
        <v>310</v>
      </c>
      <c r="E6155" s="13" t="s">
        <v>61</v>
      </c>
      <c r="F6155" s="13" t="s">
        <v>2054</v>
      </c>
      <c r="G6155" s="13">
        <v>0.93</v>
      </c>
      <c r="H6155" s="15">
        <v>885</v>
      </c>
      <c r="I6155" s="16">
        <v>823.04999999999984</v>
      </c>
      <c r="J6155" s="16">
        <v>973.95581538861973</v>
      </c>
      <c r="K6155" s="16">
        <v>-150.90581538861969</v>
      </c>
      <c r="L6155" s="13">
        <v>2.42</v>
      </c>
      <c r="M6155" s="13"/>
      <c r="N6155" s="17">
        <f t="shared" si="202"/>
        <v>2141.6999999999998</v>
      </c>
      <c r="O6155" s="17">
        <f t="shared" si="202"/>
        <v>0</v>
      </c>
      <c r="P6155" s="17">
        <f t="shared" si="203"/>
        <v>2141.6999999999998</v>
      </c>
      <c r="Q6155" t="str">
        <f>A6155&amp;"-"&amp;B6155&amp;"-"&amp;D6155</f>
        <v>DESEMBER-MJ1-L12</v>
      </c>
    </row>
    <row r="6156" spans="1:17" x14ac:dyDescent="0.25">
      <c r="A6156" t="s">
        <v>402</v>
      </c>
      <c r="B6156" s="13" t="s">
        <v>25</v>
      </c>
      <c r="C6156" s="13" t="s">
        <v>226</v>
      </c>
      <c r="D6156" s="14" t="s">
        <v>310</v>
      </c>
      <c r="E6156" s="13" t="s">
        <v>61</v>
      </c>
      <c r="F6156" s="13" t="s">
        <v>2055</v>
      </c>
      <c r="G6156" s="13">
        <v>0.93</v>
      </c>
      <c r="H6156" s="15">
        <v>3119</v>
      </c>
      <c r="I6156" s="16">
        <v>2900.67</v>
      </c>
      <c r="J6156" s="16">
        <v>2239.4253143208589</v>
      </c>
      <c r="K6156" s="16">
        <v>661.24468567914118</v>
      </c>
      <c r="L6156" s="13">
        <v>2.2200000000000002</v>
      </c>
      <c r="M6156" s="13"/>
      <c r="N6156" s="17">
        <f t="shared" si="202"/>
        <v>6924.18</v>
      </c>
      <c r="O6156" s="17">
        <f t="shared" si="202"/>
        <v>0</v>
      </c>
      <c r="P6156" s="17">
        <f t="shared" si="203"/>
        <v>6924.18</v>
      </c>
      <c r="Q6156" t="str">
        <f>A6156&amp;"-"&amp;B6156&amp;"-"&amp;D6156</f>
        <v>DESEMBER-MJ1-L12</v>
      </c>
    </row>
    <row r="6157" spans="1:17" x14ac:dyDescent="0.25">
      <c r="A6157" t="s">
        <v>402</v>
      </c>
      <c r="B6157" s="13" t="s">
        <v>25</v>
      </c>
      <c r="C6157" s="13" t="s">
        <v>226</v>
      </c>
      <c r="D6157" s="14" t="s">
        <v>310</v>
      </c>
      <c r="E6157" s="13" t="s">
        <v>61</v>
      </c>
      <c r="F6157" s="13" t="s">
        <v>2056</v>
      </c>
      <c r="G6157" s="13">
        <v>0.93</v>
      </c>
      <c r="H6157" s="15">
        <v>298</v>
      </c>
      <c r="I6157" s="16">
        <v>277.14</v>
      </c>
      <c r="J6157" s="16">
        <v>207.57710983725596</v>
      </c>
      <c r="K6157" s="16">
        <v>69.562890162744026</v>
      </c>
      <c r="L6157" s="13">
        <v>2.42</v>
      </c>
      <c r="M6157" s="13"/>
      <c r="N6157" s="17">
        <f t="shared" si="202"/>
        <v>721.16</v>
      </c>
      <c r="O6157" s="17">
        <f t="shared" si="202"/>
        <v>0</v>
      </c>
      <c r="P6157" s="17">
        <f t="shared" si="203"/>
        <v>721.16</v>
      </c>
      <c r="Q6157" t="str">
        <f>A6157&amp;"-"&amp;B6157&amp;"-"&amp;D6157</f>
        <v>DESEMBER-MJ1-L12</v>
      </c>
    </row>
    <row r="6158" spans="1:17" x14ac:dyDescent="0.25">
      <c r="A6158" t="s">
        <v>402</v>
      </c>
      <c r="B6158" s="13" t="s">
        <v>25</v>
      </c>
      <c r="C6158" s="13" t="s">
        <v>226</v>
      </c>
      <c r="D6158" s="14" t="s">
        <v>310</v>
      </c>
      <c r="E6158" s="13" t="s">
        <v>61</v>
      </c>
      <c r="F6158" s="13" t="s">
        <v>2057</v>
      </c>
      <c r="G6158" s="13">
        <v>0.92999999999999994</v>
      </c>
      <c r="H6158" s="15">
        <v>2577</v>
      </c>
      <c r="I6158" s="16">
        <v>2396.6099999999997</v>
      </c>
      <c r="J6158" s="16">
        <v>2325.6493045041166</v>
      </c>
      <c r="K6158" s="16">
        <v>70.960695495883854</v>
      </c>
      <c r="L6158" s="13">
        <v>2.2200000000000002</v>
      </c>
      <c r="M6158" s="13"/>
      <c r="N6158" s="17">
        <f t="shared" si="202"/>
        <v>5720.9400000000005</v>
      </c>
      <c r="O6158" s="17">
        <f t="shared" si="202"/>
        <v>0</v>
      </c>
      <c r="P6158" s="17">
        <f t="shared" si="203"/>
        <v>5720.9400000000005</v>
      </c>
      <c r="Q6158" t="str">
        <f>A6158&amp;"-"&amp;B6158&amp;"-"&amp;D6158</f>
        <v>DESEMBER-MJ1-L12</v>
      </c>
    </row>
    <row r="6159" spans="1:17" x14ac:dyDescent="0.25">
      <c r="A6159" t="s">
        <v>402</v>
      </c>
      <c r="B6159" s="13" t="s">
        <v>25</v>
      </c>
      <c r="C6159" s="13" t="s">
        <v>226</v>
      </c>
      <c r="D6159" s="14" t="s">
        <v>158</v>
      </c>
      <c r="E6159" s="13" t="s">
        <v>1907</v>
      </c>
      <c r="F6159" s="13" t="s">
        <v>1909</v>
      </c>
      <c r="G6159" s="13">
        <v>1.37</v>
      </c>
      <c r="H6159" s="15">
        <v>707</v>
      </c>
      <c r="I6159" s="16">
        <v>968.59</v>
      </c>
      <c r="J6159" s="16">
        <v>585.30151620947629</v>
      </c>
      <c r="K6159" s="16">
        <v>383.28848379052374</v>
      </c>
      <c r="L6159" s="13">
        <v>3.7</v>
      </c>
      <c r="M6159" s="13"/>
      <c r="N6159" s="17">
        <f t="shared" si="202"/>
        <v>2615.9</v>
      </c>
      <c r="O6159" s="17">
        <f t="shared" si="202"/>
        <v>0</v>
      </c>
      <c r="P6159" s="17">
        <f t="shared" si="203"/>
        <v>2615.9</v>
      </c>
      <c r="Q6159" t="str">
        <f>A6159&amp;"-"&amp;B6159&amp;"-"&amp;D6159</f>
        <v>DESEMBER-MJ1-L4</v>
      </c>
    </row>
    <row r="6160" spans="1:17" x14ac:dyDescent="0.25">
      <c r="A6160" t="s">
        <v>402</v>
      </c>
      <c r="B6160" s="13" t="s">
        <v>25</v>
      </c>
      <c r="C6160" s="13" t="s">
        <v>226</v>
      </c>
      <c r="D6160" s="14" t="s">
        <v>158</v>
      </c>
      <c r="E6160" s="13" t="s">
        <v>1907</v>
      </c>
      <c r="F6160" s="13" t="s">
        <v>2058</v>
      </c>
      <c r="G6160" s="13">
        <v>1.37</v>
      </c>
      <c r="H6160" s="15">
        <v>2386</v>
      </c>
      <c r="I6160" s="16">
        <v>3268.8199999999997</v>
      </c>
      <c r="J6160" s="16">
        <v>2998.9304376712885</v>
      </c>
      <c r="K6160" s="16">
        <v>269.88956232871146</v>
      </c>
      <c r="L6160" s="13">
        <v>3.7</v>
      </c>
      <c r="M6160" s="13"/>
      <c r="N6160" s="17">
        <f t="shared" si="202"/>
        <v>8828.2000000000007</v>
      </c>
      <c r="O6160" s="17">
        <f t="shared" si="202"/>
        <v>0</v>
      </c>
      <c r="P6160" s="17">
        <f t="shared" si="203"/>
        <v>8828.2000000000007</v>
      </c>
      <c r="Q6160" t="str">
        <f>A6160&amp;"-"&amp;B6160&amp;"-"&amp;D6160</f>
        <v>DESEMBER-MJ1-L4</v>
      </c>
    </row>
    <row r="6161" spans="1:17" x14ac:dyDescent="0.25">
      <c r="A6161" t="s">
        <v>402</v>
      </c>
      <c r="B6161" s="13" t="s">
        <v>25</v>
      </c>
      <c r="C6161" s="13" t="s">
        <v>226</v>
      </c>
      <c r="D6161" s="14" t="s">
        <v>158</v>
      </c>
      <c r="E6161" s="13" t="s">
        <v>713</v>
      </c>
      <c r="F6161" s="13" t="s">
        <v>1910</v>
      </c>
      <c r="G6161" s="13">
        <v>1.24</v>
      </c>
      <c r="H6161" s="15">
        <v>165</v>
      </c>
      <c r="I6161" s="16">
        <v>204.6</v>
      </c>
      <c r="J6161" s="16">
        <v>129.95714285714286</v>
      </c>
      <c r="K6161" s="16">
        <v>74.642857142857139</v>
      </c>
      <c r="L6161" s="13">
        <v>3.18</v>
      </c>
      <c r="M6161" s="13"/>
      <c r="N6161" s="17">
        <f t="shared" si="202"/>
        <v>524.70000000000005</v>
      </c>
      <c r="O6161" s="17">
        <f t="shared" si="202"/>
        <v>0</v>
      </c>
      <c r="P6161" s="17">
        <f t="shared" si="203"/>
        <v>524.70000000000005</v>
      </c>
      <c r="Q6161" t="str">
        <f>A6161&amp;"-"&amp;B6161&amp;"-"&amp;D6161</f>
        <v>DESEMBER-MJ1-L4</v>
      </c>
    </row>
    <row r="6162" spans="1:17" x14ac:dyDescent="0.25">
      <c r="A6162" t="s">
        <v>402</v>
      </c>
      <c r="B6162" s="13" t="s">
        <v>25</v>
      </c>
      <c r="C6162" s="13" t="s">
        <v>226</v>
      </c>
      <c r="D6162" s="14" t="s">
        <v>158</v>
      </c>
      <c r="E6162" s="13" t="s">
        <v>713</v>
      </c>
      <c r="F6162" s="13" t="s">
        <v>2059</v>
      </c>
      <c r="G6162" s="13">
        <v>1.24</v>
      </c>
      <c r="H6162" s="15">
        <v>827</v>
      </c>
      <c r="I6162" s="16">
        <v>1025.48</v>
      </c>
      <c r="J6162" s="16">
        <v>839.0366175478066</v>
      </c>
      <c r="K6162" s="16">
        <v>186.44338245219345</v>
      </c>
      <c r="L6162" s="13">
        <v>3.18</v>
      </c>
      <c r="M6162" s="13"/>
      <c r="N6162" s="17">
        <f t="shared" si="202"/>
        <v>2629.86</v>
      </c>
      <c r="O6162" s="17">
        <f t="shared" si="202"/>
        <v>0</v>
      </c>
      <c r="P6162" s="17">
        <f t="shared" si="203"/>
        <v>2629.86</v>
      </c>
      <c r="Q6162" t="str">
        <f>A6162&amp;"-"&amp;B6162&amp;"-"&amp;D6162</f>
        <v>DESEMBER-MJ1-L4</v>
      </c>
    </row>
    <row r="6163" spans="1:17" x14ac:dyDescent="0.25">
      <c r="A6163" t="s">
        <v>402</v>
      </c>
      <c r="B6163" s="13" t="s">
        <v>25</v>
      </c>
      <c r="C6163" s="13" t="s">
        <v>226</v>
      </c>
      <c r="D6163" s="14" t="s">
        <v>158</v>
      </c>
      <c r="E6163" s="13" t="s">
        <v>713</v>
      </c>
      <c r="F6163" s="13" t="s">
        <v>1912</v>
      </c>
      <c r="G6163" s="13">
        <v>1.24</v>
      </c>
      <c r="H6163" s="15">
        <v>1619</v>
      </c>
      <c r="I6163" s="16">
        <v>2007.56</v>
      </c>
      <c r="J6163" s="16">
        <v>1235.7742857142857</v>
      </c>
      <c r="K6163" s="16">
        <v>771.78571428571422</v>
      </c>
      <c r="L6163" s="13">
        <v>3.18</v>
      </c>
      <c r="M6163" s="13"/>
      <c r="N6163" s="17">
        <f t="shared" si="202"/>
        <v>5148.42</v>
      </c>
      <c r="O6163" s="17">
        <f t="shared" si="202"/>
        <v>0</v>
      </c>
      <c r="P6163" s="17">
        <f t="shared" si="203"/>
        <v>5148.42</v>
      </c>
      <c r="Q6163" t="str">
        <f>A6163&amp;"-"&amp;B6163&amp;"-"&amp;D6163</f>
        <v>DESEMBER-MJ1-L4</v>
      </c>
    </row>
    <row r="6164" spans="1:17" x14ac:dyDescent="0.25">
      <c r="A6164" t="s">
        <v>402</v>
      </c>
      <c r="B6164" s="13" t="s">
        <v>25</v>
      </c>
      <c r="C6164" s="13" t="s">
        <v>286</v>
      </c>
      <c r="D6164" s="14" t="s">
        <v>287</v>
      </c>
      <c r="E6164" s="13" t="s">
        <v>73</v>
      </c>
      <c r="F6164" s="13" t="s">
        <v>2060</v>
      </c>
      <c r="G6164" s="13">
        <v>5.7</v>
      </c>
      <c r="H6164" s="15">
        <v>432</v>
      </c>
      <c r="I6164" s="16">
        <v>2462.4</v>
      </c>
      <c r="J6164" s="16">
        <v>4135</v>
      </c>
      <c r="K6164" s="16">
        <v>-1672.6</v>
      </c>
      <c r="L6164" s="13"/>
      <c r="M6164" s="13">
        <v>5.7</v>
      </c>
      <c r="N6164" s="17">
        <f t="shared" si="202"/>
        <v>0</v>
      </c>
      <c r="O6164" s="17">
        <f t="shared" si="202"/>
        <v>2462.4</v>
      </c>
      <c r="P6164" s="17">
        <f t="shared" si="203"/>
        <v>2462.4</v>
      </c>
      <c r="Q6164" t="str">
        <f>A6164&amp;"-"&amp;B6164&amp;"-"&amp;D6164</f>
        <v>DESEMBER-MJ1-L11</v>
      </c>
    </row>
    <row r="6165" spans="1:17" x14ac:dyDescent="0.25">
      <c r="A6165" t="s">
        <v>402</v>
      </c>
      <c r="B6165" s="13" t="s">
        <v>25</v>
      </c>
      <c r="C6165" s="13" t="s">
        <v>286</v>
      </c>
      <c r="D6165" s="14" t="s">
        <v>287</v>
      </c>
      <c r="E6165" s="13" t="s">
        <v>73</v>
      </c>
      <c r="F6165" s="13" t="s">
        <v>2061</v>
      </c>
      <c r="G6165" s="13">
        <v>5.7</v>
      </c>
      <c r="H6165" s="15">
        <v>371</v>
      </c>
      <c r="I6165" s="16">
        <v>2114.6999999999998</v>
      </c>
      <c r="J6165" s="16">
        <v>4135</v>
      </c>
      <c r="K6165" s="16">
        <v>-2020.3000000000002</v>
      </c>
      <c r="L6165" s="13"/>
      <c r="M6165" s="13">
        <v>5.7</v>
      </c>
      <c r="N6165" s="17">
        <f t="shared" si="202"/>
        <v>0</v>
      </c>
      <c r="O6165" s="17">
        <f t="shared" si="202"/>
        <v>2114.7000000000003</v>
      </c>
      <c r="P6165" s="17">
        <f t="shared" si="203"/>
        <v>2114.7000000000003</v>
      </c>
      <c r="Q6165" t="str">
        <f>A6165&amp;"-"&amp;B6165&amp;"-"&amp;D6165</f>
        <v>DESEMBER-MJ1-L11</v>
      </c>
    </row>
    <row r="6166" spans="1:17" x14ac:dyDescent="0.25">
      <c r="A6166" t="s">
        <v>402</v>
      </c>
      <c r="B6166" s="13" t="s">
        <v>25</v>
      </c>
      <c r="C6166" s="13" t="s">
        <v>286</v>
      </c>
      <c r="D6166" s="14" t="s">
        <v>50</v>
      </c>
      <c r="E6166" s="13" t="s">
        <v>73</v>
      </c>
      <c r="F6166" s="13" t="s">
        <v>2061</v>
      </c>
      <c r="G6166" s="13">
        <v>5.7</v>
      </c>
      <c r="H6166" s="15">
        <v>789</v>
      </c>
      <c r="I6166" s="16">
        <v>4497.3</v>
      </c>
      <c r="J6166" s="16">
        <v>3765.9490749888096</v>
      </c>
      <c r="K6166" s="16">
        <v>731.3509250111905</v>
      </c>
      <c r="L6166" s="13"/>
      <c r="M6166" s="13">
        <v>5.7</v>
      </c>
      <c r="N6166" s="17">
        <f t="shared" si="202"/>
        <v>0</v>
      </c>
      <c r="O6166" s="17">
        <f t="shared" si="202"/>
        <v>4497.3</v>
      </c>
      <c r="P6166" s="17">
        <f t="shared" si="203"/>
        <v>4497.3</v>
      </c>
      <c r="Q6166" t="str">
        <f>A6166&amp;"-"&amp;B6166&amp;"-"&amp;D6166</f>
        <v>DESEMBER-MJ1-L2</v>
      </c>
    </row>
    <row r="6167" spans="1:17" x14ac:dyDescent="0.25">
      <c r="A6167" t="s">
        <v>402</v>
      </c>
      <c r="B6167" s="13" t="s">
        <v>25</v>
      </c>
      <c r="C6167" s="13" t="s">
        <v>286</v>
      </c>
      <c r="D6167" s="14" t="s">
        <v>50</v>
      </c>
      <c r="E6167" s="13" t="s">
        <v>73</v>
      </c>
      <c r="F6167" s="13" t="s">
        <v>1914</v>
      </c>
      <c r="G6167" s="13">
        <v>5.700000000000002</v>
      </c>
      <c r="H6167" s="15">
        <v>952</v>
      </c>
      <c r="I6167" s="16">
        <v>5426.4000000000005</v>
      </c>
      <c r="J6167" s="16">
        <v>4720.0702533035965</v>
      </c>
      <c r="K6167" s="16">
        <v>706.32974669640248</v>
      </c>
      <c r="L6167" s="13"/>
      <c r="M6167" s="13">
        <v>5.7</v>
      </c>
      <c r="N6167" s="17">
        <f t="shared" si="202"/>
        <v>0</v>
      </c>
      <c r="O6167" s="17">
        <f t="shared" si="202"/>
        <v>5426.4000000000005</v>
      </c>
      <c r="P6167" s="17">
        <f t="shared" si="203"/>
        <v>5426.4000000000005</v>
      </c>
      <c r="Q6167" t="str">
        <f>A6167&amp;"-"&amp;B6167&amp;"-"&amp;D6167</f>
        <v>DESEMBER-MJ1-L2</v>
      </c>
    </row>
    <row r="6168" spans="1:17" x14ac:dyDescent="0.25">
      <c r="A6168" t="s">
        <v>402</v>
      </c>
      <c r="B6168" s="13" t="s">
        <v>25</v>
      </c>
      <c r="C6168" s="13" t="s">
        <v>286</v>
      </c>
      <c r="D6168" s="14" t="s">
        <v>50</v>
      </c>
      <c r="E6168" s="13" t="s">
        <v>288</v>
      </c>
      <c r="F6168" s="13" t="s">
        <v>2062</v>
      </c>
      <c r="G6168" s="13">
        <v>5.35</v>
      </c>
      <c r="H6168" s="15">
        <v>3</v>
      </c>
      <c r="I6168" s="16">
        <v>16.05</v>
      </c>
      <c r="J6168" s="16">
        <v>13.783333333333333</v>
      </c>
      <c r="K6168" s="16">
        <v>2.2666666666666675</v>
      </c>
      <c r="L6168" s="13"/>
      <c r="M6168" s="13">
        <v>5.55</v>
      </c>
      <c r="N6168" s="17">
        <f t="shared" si="202"/>
        <v>0</v>
      </c>
      <c r="O6168" s="17">
        <f t="shared" si="202"/>
        <v>16.649999999999999</v>
      </c>
      <c r="P6168" s="17">
        <f t="shared" si="203"/>
        <v>16.649999999999999</v>
      </c>
      <c r="Q6168" t="str">
        <f>A6168&amp;"-"&amp;B6168&amp;"-"&amp;D6168</f>
        <v>DESEMBER-MJ1-L2</v>
      </c>
    </row>
    <row r="6169" spans="1:17" x14ac:dyDescent="0.25">
      <c r="A6169" t="s">
        <v>402</v>
      </c>
      <c r="B6169" s="13" t="s">
        <v>25</v>
      </c>
      <c r="C6169" s="13" t="s">
        <v>286</v>
      </c>
      <c r="D6169" s="14" t="s">
        <v>50</v>
      </c>
      <c r="E6169" s="13" t="s">
        <v>77</v>
      </c>
      <c r="F6169" s="13" t="s">
        <v>1916</v>
      </c>
      <c r="G6169" s="13">
        <v>4.75</v>
      </c>
      <c r="H6169" s="15">
        <v>301</v>
      </c>
      <c r="I6169" s="16">
        <v>1429.75</v>
      </c>
      <c r="J6169" s="16">
        <v>1326.1110898187392</v>
      </c>
      <c r="K6169" s="16">
        <v>103.63891018126085</v>
      </c>
      <c r="L6169" s="13"/>
      <c r="M6169" s="13">
        <v>4.75</v>
      </c>
      <c r="N6169" s="17">
        <f t="shared" si="202"/>
        <v>0</v>
      </c>
      <c r="O6169" s="17">
        <f t="shared" si="202"/>
        <v>1429.75</v>
      </c>
      <c r="P6169" s="17">
        <f t="shared" si="203"/>
        <v>1429.75</v>
      </c>
      <c r="Q6169" t="str">
        <f>A6169&amp;"-"&amp;B6169&amp;"-"&amp;D6169</f>
        <v>DESEMBER-MJ1-L2</v>
      </c>
    </row>
    <row r="6170" spans="1:17" x14ac:dyDescent="0.25">
      <c r="A6170" t="s">
        <v>402</v>
      </c>
      <c r="B6170" s="13" t="s">
        <v>25</v>
      </c>
      <c r="C6170" s="13" t="s">
        <v>286</v>
      </c>
      <c r="D6170" s="14" t="s">
        <v>50</v>
      </c>
      <c r="E6170" s="13" t="s">
        <v>77</v>
      </c>
      <c r="F6170" s="13" t="s">
        <v>2063</v>
      </c>
      <c r="G6170" s="13">
        <v>4.75</v>
      </c>
      <c r="H6170" s="15">
        <v>1676</v>
      </c>
      <c r="I6170" s="16">
        <v>7961</v>
      </c>
      <c r="J6170" s="16">
        <v>6714.0862485555208</v>
      </c>
      <c r="K6170" s="16">
        <v>1246.9137514444794</v>
      </c>
      <c r="L6170" s="13"/>
      <c r="M6170" s="13">
        <v>4.75</v>
      </c>
      <c r="N6170" s="17">
        <f t="shared" si="202"/>
        <v>0</v>
      </c>
      <c r="O6170" s="17">
        <f t="shared" si="202"/>
        <v>7961</v>
      </c>
      <c r="P6170" s="17">
        <f t="shared" si="203"/>
        <v>7961</v>
      </c>
      <c r="Q6170" t="str">
        <f>A6170&amp;"-"&amp;B6170&amp;"-"&amp;D6170</f>
        <v>DESEMBER-MJ1-L2</v>
      </c>
    </row>
    <row r="6171" spans="1:17" x14ac:dyDescent="0.25">
      <c r="A6171" t="s">
        <v>402</v>
      </c>
      <c r="B6171" s="13" t="s">
        <v>25</v>
      </c>
      <c r="C6171" s="13" t="s">
        <v>286</v>
      </c>
      <c r="D6171" s="14" t="s">
        <v>56</v>
      </c>
      <c r="E6171" s="13" t="s">
        <v>1917</v>
      </c>
      <c r="F6171" s="13" t="s">
        <v>1918</v>
      </c>
      <c r="G6171" s="13">
        <v>1.5</v>
      </c>
      <c r="H6171" s="15">
        <v>641</v>
      </c>
      <c r="I6171" s="16">
        <v>961.5</v>
      </c>
      <c r="J6171" s="16">
        <v>1898.9479200274022</v>
      </c>
      <c r="K6171" s="16">
        <v>-937.44792002740223</v>
      </c>
      <c r="L6171" s="13"/>
      <c r="M6171" s="13">
        <v>1.5</v>
      </c>
      <c r="N6171" s="17">
        <f t="shared" si="202"/>
        <v>0</v>
      </c>
      <c r="O6171" s="17">
        <f t="shared" si="202"/>
        <v>961.5</v>
      </c>
      <c r="P6171" s="17">
        <f t="shared" si="203"/>
        <v>961.5</v>
      </c>
      <c r="Q6171" t="str">
        <f>A6171&amp;"-"&amp;B6171&amp;"-"&amp;D6171</f>
        <v>DESEMBER-MJ1-L3</v>
      </c>
    </row>
    <row r="6172" spans="1:17" x14ac:dyDescent="0.25">
      <c r="A6172" t="s">
        <v>402</v>
      </c>
      <c r="B6172" s="13" t="s">
        <v>25</v>
      </c>
      <c r="C6172" s="13" t="s">
        <v>286</v>
      </c>
      <c r="D6172" s="14" t="s">
        <v>56</v>
      </c>
      <c r="E6172" s="13" t="s">
        <v>73</v>
      </c>
      <c r="F6172" s="13" t="s">
        <v>1749</v>
      </c>
      <c r="G6172" s="13">
        <v>5.7</v>
      </c>
      <c r="H6172" s="15">
        <v>7</v>
      </c>
      <c r="I6172" s="16">
        <v>39.9</v>
      </c>
      <c r="J6172" s="16">
        <v>15.928549238894067</v>
      </c>
      <c r="K6172" s="16">
        <v>23.971450761105931</v>
      </c>
      <c r="L6172" s="13"/>
      <c r="M6172" s="13">
        <v>5.7</v>
      </c>
      <c r="N6172" s="17">
        <f t="shared" si="202"/>
        <v>0</v>
      </c>
      <c r="O6172" s="17">
        <f t="shared" si="202"/>
        <v>39.9</v>
      </c>
      <c r="P6172" s="17">
        <f t="shared" si="203"/>
        <v>39.9</v>
      </c>
      <c r="Q6172" t="str">
        <f>A6172&amp;"-"&amp;B6172&amp;"-"&amp;D6172</f>
        <v>DESEMBER-MJ1-L3</v>
      </c>
    </row>
    <row r="6173" spans="1:17" x14ac:dyDescent="0.25">
      <c r="A6173" t="s">
        <v>402</v>
      </c>
      <c r="B6173" s="13" t="s">
        <v>25</v>
      </c>
      <c r="C6173" s="13" t="s">
        <v>286</v>
      </c>
      <c r="D6173" s="14" t="s">
        <v>56</v>
      </c>
      <c r="E6173" s="13" t="s">
        <v>73</v>
      </c>
      <c r="F6173" s="13" t="s">
        <v>2060</v>
      </c>
      <c r="G6173" s="13">
        <v>5.7000000000000011</v>
      </c>
      <c r="H6173" s="15">
        <v>781</v>
      </c>
      <c r="I6173" s="16">
        <v>4451.7000000000007</v>
      </c>
      <c r="J6173" s="16">
        <v>4523.4522287806167</v>
      </c>
      <c r="K6173" s="16">
        <v>-71.752228780616164</v>
      </c>
      <c r="L6173" s="13"/>
      <c r="M6173" s="13">
        <v>5.7</v>
      </c>
      <c r="N6173" s="17">
        <f t="shared" si="202"/>
        <v>0</v>
      </c>
      <c r="O6173" s="17">
        <f t="shared" si="202"/>
        <v>4451.7</v>
      </c>
      <c r="P6173" s="17">
        <f t="shared" si="203"/>
        <v>4451.7</v>
      </c>
      <c r="Q6173" t="str">
        <f>A6173&amp;"-"&amp;B6173&amp;"-"&amp;D6173</f>
        <v>DESEMBER-MJ1-L3</v>
      </c>
    </row>
    <row r="6174" spans="1:17" x14ac:dyDescent="0.25">
      <c r="A6174" t="s">
        <v>402</v>
      </c>
      <c r="B6174" s="13" t="s">
        <v>25</v>
      </c>
      <c r="C6174" s="13" t="s">
        <v>286</v>
      </c>
      <c r="D6174" s="14" t="s">
        <v>56</v>
      </c>
      <c r="E6174" s="13" t="s">
        <v>73</v>
      </c>
      <c r="F6174" s="13" t="s">
        <v>2064</v>
      </c>
      <c r="G6174" s="13">
        <v>5.7</v>
      </c>
      <c r="H6174" s="15">
        <v>628</v>
      </c>
      <c r="I6174" s="16">
        <v>3579.6000000000004</v>
      </c>
      <c r="J6174" s="16">
        <v>2605.4397825308015</v>
      </c>
      <c r="K6174" s="16">
        <v>974.16021746919876</v>
      </c>
      <c r="L6174" s="13"/>
      <c r="M6174" s="13">
        <v>5.7</v>
      </c>
      <c r="N6174" s="17">
        <f t="shared" si="202"/>
        <v>0</v>
      </c>
      <c r="O6174" s="17">
        <f t="shared" si="202"/>
        <v>3579.6</v>
      </c>
      <c r="P6174" s="17">
        <f t="shared" si="203"/>
        <v>3579.6</v>
      </c>
      <c r="Q6174" t="str">
        <f>A6174&amp;"-"&amp;B6174&amp;"-"&amp;D6174</f>
        <v>DESEMBER-MJ1-L3</v>
      </c>
    </row>
    <row r="6175" spans="1:17" x14ac:dyDescent="0.25">
      <c r="A6175" t="s">
        <v>402</v>
      </c>
      <c r="B6175" s="13" t="s">
        <v>25</v>
      </c>
      <c r="C6175" s="13" t="s">
        <v>286</v>
      </c>
      <c r="D6175" s="14" t="s">
        <v>56</v>
      </c>
      <c r="E6175" s="13" t="s">
        <v>73</v>
      </c>
      <c r="F6175" s="13" t="s">
        <v>1914</v>
      </c>
      <c r="G6175" s="13">
        <v>5.7</v>
      </c>
      <c r="H6175" s="15">
        <v>382</v>
      </c>
      <c r="I6175" s="16">
        <v>2177.4</v>
      </c>
      <c r="J6175" s="16">
        <v>2113.4444444444443</v>
      </c>
      <c r="K6175" s="16">
        <v>63.95555555555552</v>
      </c>
      <c r="L6175" s="13"/>
      <c r="M6175" s="13">
        <v>5.7</v>
      </c>
      <c r="N6175" s="17">
        <f t="shared" si="202"/>
        <v>0</v>
      </c>
      <c r="O6175" s="17">
        <f t="shared" si="202"/>
        <v>2177.4</v>
      </c>
      <c r="P6175" s="17">
        <f t="shared" si="203"/>
        <v>2177.4</v>
      </c>
      <c r="Q6175" t="str">
        <f>A6175&amp;"-"&amp;B6175&amp;"-"&amp;D6175</f>
        <v>DESEMBER-MJ1-L3</v>
      </c>
    </row>
    <row r="6176" spans="1:17" x14ac:dyDescent="0.25">
      <c r="A6176" t="s">
        <v>402</v>
      </c>
      <c r="B6176" s="13" t="s">
        <v>25</v>
      </c>
      <c r="C6176" s="13" t="s">
        <v>286</v>
      </c>
      <c r="D6176" s="14" t="s">
        <v>56</v>
      </c>
      <c r="E6176" s="13" t="s">
        <v>288</v>
      </c>
      <c r="F6176" s="13" t="s">
        <v>2062</v>
      </c>
      <c r="G6176" s="13">
        <v>5.3500000000000005</v>
      </c>
      <c r="H6176" s="15">
        <v>827</v>
      </c>
      <c r="I6176" s="16">
        <v>4424.45</v>
      </c>
      <c r="J6176" s="16">
        <v>2402.5409204203916</v>
      </c>
      <c r="K6176" s="16">
        <v>2021.9090795796085</v>
      </c>
      <c r="L6176" s="13"/>
      <c r="M6176" s="13">
        <v>5.55</v>
      </c>
      <c r="N6176" s="17">
        <f t="shared" si="202"/>
        <v>0</v>
      </c>
      <c r="O6176" s="17">
        <f t="shared" si="202"/>
        <v>4589.8499999999995</v>
      </c>
      <c r="P6176" s="17">
        <f t="shared" si="203"/>
        <v>4589.8499999999995</v>
      </c>
      <c r="Q6176" t="str">
        <f>A6176&amp;"-"&amp;B6176&amp;"-"&amp;D6176</f>
        <v>DESEMBER-MJ1-L3</v>
      </c>
    </row>
    <row r="6177" spans="1:17" x14ac:dyDescent="0.25">
      <c r="A6177" t="s">
        <v>402</v>
      </c>
      <c r="B6177" s="13" t="s">
        <v>25</v>
      </c>
      <c r="C6177" s="13" t="s">
        <v>286</v>
      </c>
      <c r="D6177" s="14" t="s">
        <v>56</v>
      </c>
      <c r="E6177" s="13" t="s">
        <v>77</v>
      </c>
      <c r="F6177" s="13" t="s">
        <v>1915</v>
      </c>
      <c r="G6177" s="13">
        <v>4.75</v>
      </c>
      <c r="H6177" s="15">
        <v>15</v>
      </c>
      <c r="I6177" s="16">
        <v>71.25</v>
      </c>
      <c r="J6177" s="16">
        <v>67.418478260869563</v>
      </c>
      <c r="K6177" s="16">
        <v>3.8315217391304373</v>
      </c>
      <c r="L6177" s="13"/>
      <c r="M6177" s="13">
        <v>4.75</v>
      </c>
      <c r="N6177" s="17">
        <f t="shared" si="202"/>
        <v>0</v>
      </c>
      <c r="O6177" s="17">
        <f t="shared" si="202"/>
        <v>71.25</v>
      </c>
      <c r="P6177" s="17">
        <f t="shared" si="203"/>
        <v>71.25</v>
      </c>
      <c r="Q6177" t="str">
        <f>A6177&amp;"-"&amp;B6177&amp;"-"&amp;D6177</f>
        <v>DESEMBER-MJ1-L3</v>
      </c>
    </row>
    <row r="6178" spans="1:17" x14ac:dyDescent="0.25">
      <c r="A6178" t="s">
        <v>402</v>
      </c>
      <c r="B6178" s="13" t="s">
        <v>25</v>
      </c>
      <c r="C6178" s="13" t="s">
        <v>286</v>
      </c>
      <c r="D6178" s="14" t="s">
        <v>56</v>
      </c>
      <c r="E6178" s="13" t="s">
        <v>77</v>
      </c>
      <c r="F6178" s="13" t="s">
        <v>1916</v>
      </c>
      <c r="G6178" s="13">
        <v>4.75</v>
      </c>
      <c r="H6178" s="15">
        <v>14</v>
      </c>
      <c r="I6178" s="16">
        <v>66.5</v>
      </c>
      <c r="J6178" s="16">
        <v>94.130081300813004</v>
      </c>
      <c r="K6178" s="16">
        <v>-27.630081300813004</v>
      </c>
      <c r="L6178" s="13"/>
      <c r="M6178" s="13">
        <v>4.75</v>
      </c>
      <c r="N6178" s="17">
        <f t="shared" si="202"/>
        <v>0</v>
      </c>
      <c r="O6178" s="17">
        <f t="shared" si="202"/>
        <v>66.5</v>
      </c>
      <c r="P6178" s="17">
        <f t="shared" si="203"/>
        <v>66.5</v>
      </c>
      <c r="Q6178" t="str">
        <f>A6178&amp;"-"&amp;B6178&amp;"-"&amp;D6178</f>
        <v>DESEMBER-MJ1-L3</v>
      </c>
    </row>
    <row r="6179" spans="1:17" x14ac:dyDescent="0.25">
      <c r="A6179" t="s">
        <v>402</v>
      </c>
      <c r="B6179" s="13" t="s">
        <v>25</v>
      </c>
      <c r="C6179" s="13" t="s">
        <v>286</v>
      </c>
      <c r="D6179" s="14" t="s">
        <v>56</v>
      </c>
      <c r="E6179" s="13" t="s">
        <v>77</v>
      </c>
      <c r="F6179" s="13" t="s">
        <v>1919</v>
      </c>
      <c r="G6179" s="13">
        <v>4.75</v>
      </c>
      <c r="H6179" s="15">
        <v>82</v>
      </c>
      <c r="I6179" s="16">
        <v>389.5</v>
      </c>
      <c r="J6179" s="16">
        <v>430.05435096556914</v>
      </c>
      <c r="K6179" s="16">
        <v>-40.554350965569114</v>
      </c>
      <c r="L6179" s="13"/>
      <c r="M6179" s="13">
        <v>4.75</v>
      </c>
      <c r="N6179" s="17">
        <f t="shared" si="202"/>
        <v>0</v>
      </c>
      <c r="O6179" s="17">
        <f t="shared" si="202"/>
        <v>389.5</v>
      </c>
      <c r="P6179" s="17">
        <f t="shared" si="203"/>
        <v>389.5</v>
      </c>
      <c r="Q6179" t="str">
        <f>A6179&amp;"-"&amp;B6179&amp;"-"&amp;D6179</f>
        <v>DESEMBER-MJ1-L3</v>
      </c>
    </row>
    <row r="6180" spans="1:17" x14ac:dyDescent="0.25">
      <c r="A6180" t="s">
        <v>402</v>
      </c>
      <c r="B6180" s="13" t="s">
        <v>25</v>
      </c>
      <c r="C6180" s="13" t="s">
        <v>286</v>
      </c>
      <c r="D6180" s="14" t="s">
        <v>56</v>
      </c>
      <c r="E6180" s="13" t="s">
        <v>77</v>
      </c>
      <c r="F6180" s="13" t="s">
        <v>1920</v>
      </c>
      <c r="G6180" s="13">
        <v>4.75</v>
      </c>
      <c r="H6180" s="15">
        <v>668</v>
      </c>
      <c r="I6180" s="16">
        <v>3173</v>
      </c>
      <c r="J6180" s="16">
        <v>2388.6432440301983</v>
      </c>
      <c r="K6180" s="16">
        <v>784.35675596980127</v>
      </c>
      <c r="L6180" s="13"/>
      <c r="M6180" s="13">
        <v>4.75</v>
      </c>
      <c r="N6180" s="17">
        <f t="shared" si="202"/>
        <v>0</v>
      </c>
      <c r="O6180" s="17">
        <f t="shared" si="202"/>
        <v>3173</v>
      </c>
      <c r="P6180" s="17">
        <f t="shared" si="203"/>
        <v>3173</v>
      </c>
      <c r="Q6180" t="str">
        <f>A6180&amp;"-"&amp;B6180&amp;"-"&amp;D6180</f>
        <v>DESEMBER-MJ1-L3</v>
      </c>
    </row>
    <row r="6181" spans="1:17" x14ac:dyDescent="0.25">
      <c r="A6181" t="s">
        <v>402</v>
      </c>
      <c r="B6181" s="13" t="s">
        <v>25</v>
      </c>
      <c r="C6181" s="13" t="s">
        <v>286</v>
      </c>
      <c r="D6181" s="14" t="s">
        <v>158</v>
      </c>
      <c r="E6181" s="13" t="s">
        <v>73</v>
      </c>
      <c r="F6181" s="13" t="s">
        <v>2061</v>
      </c>
      <c r="G6181" s="13">
        <v>5.7</v>
      </c>
      <c r="H6181" s="15">
        <v>510</v>
      </c>
      <c r="I6181" s="16">
        <v>2907.0000000000005</v>
      </c>
      <c r="J6181" s="16">
        <v>3967.601563610519</v>
      </c>
      <c r="K6181" s="16">
        <v>-1060.601563610519</v>
      </c>
      <c r="L6181" s="13"/>
      <c r="M6181" s="13">
        <v>5.7</v>
      </c>
      <c r="N6181" s="17">
        <f t="shared" si="202"/>
        <v>0</v>
      </c>
      <c r="O6181" s="17">
        <f t="shared" si="202"/>
        <v>2907</v>
      </c>
      <c r="P6181" s="17">
        <f t="shared" si="203"/>
        <v>2907</v>
      </c>
      <c r="Q6181" t="str">
        <f>A6181&amp;"-"&amp;B6181&amp;"-"&amp;D6181</f>
        <v>DESEMBER-MJ1-L4</v>
      </c>
    </row>
    <row r="6182" spans="1:17" x14ac:dyDescent="0.25">
      <c r="A6182" t="s">
        <v>402</v>
      </c>
      <c r="B6182" s="13" t="s">
        <v>25</v>
      </c>
      <c r="C6182" s="13" t="s">
        <v>286</v>
      </c>
      <c r="D6182" s="14" t="s">
        <v>158</v>
      </c>
      <c r="E6182" s="13" t="s">
        <v>73</v>
      </c>
      <c r="F6182" s="13" t="s">
        <v>1914</v>
      </c>
      <c r="G6182" s="13">
        <v>5.7</v>
      </c>
      <c r="H6182" s="15">
        <v>220</v>
      </c>
      <c r="I6182" s="16">
        <v>1254</v>
      </c>
      <c r="J6182" s="16">
        <v>2417.9904761904759</v>
      </c>
      <c r="K6182" s="16">
        <v>-1163.9904761904761</v>
      </c>
      <c r="L6182" s="13"/>
      <c r="M6182" s="13">
        <v>5.7</v>
      </c>
      <c r="N6182" s="17">
        <f t="shared" si="202"/>
        <v>0</v>
      </c>
      <c r="O6182" s="17">
        <f t="shared" si="202"/>
        <v>1254</v>
      </c>
      <c r="P6182" s="17">
        <f t="shared" si="203"/>
        <v>1254</v>
      </c>
      <c r="Q6182" t="str">
        <f>A6182&amp;"-"&amp;B6182&amp;"-"&amp;D6182</f>
        <v>DESEMBER-MJ1-L4</v>
      </c>
    </row>
    <row r="6183" spans="1:17" x14ac:dyDescent="0.25">
      <c r="A6183" t="s">
        <v>402</v>
      </c>
      <c r="B6183" s="13" t="s">
        <v>25</v>
      </c>
      <c r="C6183" s="13" t="s">
        <v>286</v>
      </c>
      <c r="D6183" s="14" t="s">
        <v>158</v>
      </c>
      <c r="E6183" s="13" t="s">
        <v>77</v>
      </c>
      <c r="F6183" s="13" t="s">
        <v>1916</v>
      </c>
      <c r="G6183" s="13">
        <v>4.75</v>
      </c>
      <c r="H6183" s="15">
        <v>56</v>
      </c>
      <c r="I6183" s="16">
        <v>266</v>
      </c>
      <c r="J6183" s="16">
        <v>230.40796019900498</v>
      </c>
      <c r="K6183" s="16">
        <v>35.592039800995025</v>
      </c>
      <c r="L6183" s="13"/>
      <c r="M6183" s="13">
        <v>4.75</v>
      </c>
      <c r="N6183" s="17">
        <f t="shared" si="202"/>
        <v>0</v>
      </c>
      <c r="O6183" s="17">
        <f t="shared" si="202"/>
        <v>266</v>
      </c>
      <c r="P6183" s="17">
        <f t="shared" si="203"/>
        <v>266</v>
      </c>
      <c r="Q6183" t="str">
        <f>A6183&amp;"-"&amp;B6183&amp;"-"&amp;D6183</f>
        <v>DESEMBER-MJ1-L4</v>
      </c>
    </row>
    <row r="6184" spans="1:17" x14ac:dyDescent="0.25">
      <c r="A6184" t="s">
        <v>402</v>
      </c>
      <c r="B6184" s="13" t="s">
        <v>25</v>
      </c>
      <c r="C6184" s="13" t="s">
        <v>2065</v>
      </c>
      <c r="D6184" s="14" t="s">
        <v>158</v>
      </c>
      <c r="E6184" s="13" t="s">
        <v>167</v>
      </c>
      <c r="F6184" s="13" t="s">
        <v>2066</v>
      </c>
      <c r="G6184" s="13">
        <v>7.7200000000000006</v>
      </c>
      <c r="H6184" s="15">
        <v>347</v>
      </c>
      <c r="I6184" s="16">
        <v>2678.8399999999997</v>
      </c>
      <c r="J6184" s="16">
        <v>4135</v>
      </c>
      <c r="K6184" s="16">
        <v>-1456.1600000000003</v>
      </c>
      <c r="L6184" s="13">
        <v>17.27</v>
      </c>
      <c r="M6184" s="13"/>
      <c r="N6184" s="17">
        <f t="shared" si="202"/>
        <v>5992.69</v>
      </c>
      <c r="O6184" s="17">
        <f t="shared" si="202"/>
        <v>0</v>
      </c>
      <c r="P6184" s="17">
        <f t="shared" si="203"/>
        <v>5992.69</v>
      </c>
      <c r="Q6184" t="str">
        <f>A6184&amp;"-"&amp;B6184&amp;"-"&amp;D6184</f>
        <v>DESEMBER-MJ1-L4</v>
      </c>
    </row>
    <row r="6185" spans="1:17" x14ac:dyDescent="0.25">
      <c r="A6185" t="s">
        <v>402</v>
      </c>
      <c r="B6185" s="13" t="s">
        <v>25</v>
      </c>
      <c r="C6185" s="13" t="s">
        <v>1921</v>
      </c>
      <c r="D6185" s="14" t="s">
        <v>160</v>
      </c>
      <c r="E6185" s="13" t="s">
        <v>953</v>
      </c>
      <c r="F6185" s="13" t="s">
        <v>2067</v>
      </c>
      <c r="G6185" s="13">
        <v>15.94</v>
      </c>
      <c r="H6185" s="15">
        <v>233</v>
      </c>
      <c r="I6185" s="16">
        <v>3714.02</v>
      </c>
      <c r="J6185" s="16">
        <v>2956.5250000000001</v>
      </c>
      <c r="K6185" s="16">
        <v>757.495</v>
      </c>
      <c r="L6185" s="13"/>
      <c r="M6185" s="13"/>
      <c r="N6185" s="17">
        <f t="shared" si="202"/>
        <v>0</v>
      </c>
      <c r="O6185" s="17">
        <f t="shared" si="202"/>
        <v>0</v>
      </c>
      <c r="P6185" s="17">
        <f t="shared" si="203"/>
        <v>0</v>
      </c>
      <c r="Q6185" t="str">
        <f>A6185&amp;"-"&amp;B6185&amp;"-"&amp;D6185</f>
        <v>DESEMBER-MJ1-L5</v>
      </c>
    </row>
    <row r="6186" spans="1:17" x14ac:dyDescent="0.25">
      <c r="A6186" t="s">
        <v>402</v>
      </c>
      <c r="B6186" s="13" t="s">
        <v>25</v>
      </c>
      <c r="C6186" s="13" t="s">
        <v>1921</v>
      </c>
      <c r="D6186" s="14" t="s">
        <v>163</v>
      </c>
      <c r="E6186" s="13" t="s">
        <v>953</v>
      </c>
      <c r="F6186" s="13" t="s">
        <v>2067</v>
      </c>
      <c r="G6186" s="13">
        <v>15.94</v>
      </c>
      <c r="H6186" s="15">
        <v>232</v>
      </c>
      <c r="I6186" s="16">
        <v>3698.0800000000004</v>
      </c>
      <c r="J6186" s="16">
        <v>2956.5250000000001</v>
      </c>
      <c r="K6186" s="16">
        <v>741.55500000000006</v>
      </c>
      <c r="L6186" s="13"/>
      <c r="M6186" s="13"/>
      <c r="N6186" s="17">
        <f t="shared" si="202"/>
        <v>0</v>
      </c>
      <c r="O6186" s="17">
        <f t="shared" si="202"/>
        <v>0</v>
      </c>
      <c r="P6186" s="17">
        <f t="shared" si="203"/>
        <v>0</v>
      </c>
      <c r="Q6186" t="str">
        <f>A6186&amp;"-"&amp;B6186&amp;"-"&amp;D6186</f>
        <v>DESEMBER-MJ1-L6</v>
      </c>
    </row>
    <row r="6187" spans="1:17" x14ac:dyDescent="0.25">
      <c r="A6187" t="s">
        <v>402</v>
      </c>
      <c r="B6187" s="13" t="s">
        <v>25</v>
      </c>
      <c r="C6187" s="13" t="s">
        <v>952</v>
      </c>
      <c r="D6187" s="14" t="s">
        <v>160</v>
      </c>
      <c r="E6187" s="13" t="s">
        <v>953</v>
      </c>
      <c r="F6187" s="13" t="s">
        <v>2068</v>
      </c>
      <c r="G6187" s="13">
        <v>12.47</v>
      </c>
      <c r="H6187" s="15">
        <v>243</v>
      </c>
      <c r="I6187" s="16">
        <v>3030.21</v>
      </c>
      <c r="J6187" s="16">
        <v>4135</v>
      </c>
      <c r="K6187" s="16">
        <v>-1104.79</v>
      </c>
      <c r="L6187" s="13"/>
      <c r="M6187" s="13">
        <v>20.239999999999998</v>
      </c>
      <c r="N6187" s="17">
        <f t="shared" si="202"/>
        <v>0</v>
      </c>
      <c r="O6187" s="17">
        <f t="shared" si="202"/>
        <v>4918.32</v>
      </c>
      <c r="P6187" s="17">
        <f t="shared" si="203"/>
        <v>4918.32</v>
      </c>
      <c r="Q6187" t="str">
        <f>A6187&amp;"-"&amp;B6187&amp;"-"&amp;D6187</f>
        <v>DESEMBER-MJ1-L5</v>
      </c>
    </row>
    <row r="6188" spans="1:17" x14ac:dyDescent="0.25">
      <c r="A6188" t="s">
        <v>402</v>
      </c>
      <c r="B6188" s="13" t="s">
        <v>25</v>
      </c>
      <c r="C6188" s="13" t="s">
        <v>952</v>
      </c>
      <c r="D6188" s="14" t="s">
        <v>160</v>
      </c>
      <c r="E6188" s="13" t="s">
        <v>953</v>
      </c>
      <c r="F6188" s="13" t="s">
        <v>2069</v>
      </c>
      <c r="G6188" s="13">
        <v>15.94</v>
      </c>
      <c r="H6188" s="15">
        <v>499</v>
      </c>
      <c r="I6188" s="16">
        <v>7954.06</v>
      </c>
      <c r="J6188" s="16">
        <v>5272.125</v>
      </c>
      <c r="K6188" s="16">
        <v>2681.9350000000004</v>
      </c>
      <c r="L6188" s="13"/>
      <c r="M6188" s="13">
        <v>28.92</v>
      </c>
      <c r="N6188" s="17">
        <f t="shared" si="202"/>
        <v>0</v>
      </c>
      <c r="O6188" s="17">
        <f t="shared" si="202"/>
        <v>14431.080000000002</v>
      </c>
      <c r="P6188" s="17">
        <f t="shared" si="203"/>
        <v>14431.080000000002</v>
      </c>
      <c r="Q6188" t="str">
        <f>A6188&amp;"-"&amp;B6188&amp;"-"&amp;D6188</f>
        <v>DESEMBER-MJ1-L5</v>
      </c>
    </row>
    <row r="6189" spans="1:17" x14ac:dyDescent="0.25">
      <c r="A6189" t="s">
        <v>402</v>
      </c>
      <c r="B6189" s="13" t="s">
        <v>25</v>
      </c>
      <c r="C6189" s="13" t="s">
        <v>952</v>
      </c>
      <c r="D6189" s="14" t="s">
        <v>160</v>
      </c>
      <c r="E6189" s="13" t="s">
        <v>953</v>
      </c>
      <c r="F6189" s="13" t="s">
        <v>2070</v>
      </c>
      <c r="G6189" s="13">
        <v>15.94</v>
      </c>
      <c r="H6189" s="15">
        <v>126</v>
      </c>
      <c r="I6189" s="16">
        <v>2008.4399999999998</v>
      </c>
      <c r="J6189" s="16">
        <v>1326.1612727027514</v>
      </c>
      <c r="K6189" s="16">
        <v>682.27872729724868</v>
      </c>
      <c r="L6189" s="13"/>
      <c r="M6189" s="13">
        <v>28.92</v>
      </c>
      <c r="N6189" s="17">
        <f t="shared" si="202"/>
        <v>0</v>
      </c>
      <c r="O6189" s="17">
        <f t="shared" si="202"/>
        <v>3643.92</v>
      </c>
      <c r="P6189" s="17">
        <f t="shared" si="203"/>
        <v>3643.92</v>
      </c>
      <c r="Q6189" t="str">
        <f>A6189&amp;"-"&amp;B6189&amp;"-"&amp;D6189</f>
        <v>DESEMBER-MJ1-L5</v>
      </c>
    </row>
    <row r="6190" spans="1:17" x14ac:dyDescent="0.25">
      <c r="A6190" t="s">
        <v>402</v>
      </c>
      <c r="B6190" s="13" t="s">
        <v>25</v>
      </c>
      <c r="C6190" s="13" t="s">
        <v>952</v>
      </c>
      <c r="D6190" s="14" t="s">
        <v>160</v>
      </c>
      <c r="E6190" s="13" t="s">
        <v>953</v>
      </c>
      <c r="F6190" s="13" t="s">
        <v>1924</v>
      </c>
      <c r="G6190" s="13">
        <v>15.94</v>
      </c>
      <c r="H6190" s="15">
        <v>42</v>
      </c>
      <c r="I6190" s="16">
        <v>669.48</v>
      </c>
      <c r="J6190" s="16">
        <v>434.17499999999995</v>
      </c>
      <c r="K6190" s="16">
        <v>235.30500000000001</v>
      </c>
      <c r="L6190" s="13"/>
      <c r="M6190" s="13">
        <v>28.92</v>
      </c>
      <c r="N6190" s="17">
        <f t="shared" si="202"/>
        <v>0</v>
      </c>
      <c r="O6190" s="17">
        <f t="shared" si="202"/>
        <v>1214.6400000000001</v>
      </c>
      <c r="P6190" s="17">
        <f t="shared" si="203"/>
        <v>1214.6400000000001</v>
      </c>
      <c r="Q6190" t="str">
        <f>A6190&amp;"-"&amp;B6190&amp;"-"&amp;D6190</f>
        <v>DESEMBER-MJ1-L5</v>
      </c>
    </row>
    <row r="6191" spans="1:17" x14ac:dyDescent="0.25">
      <c r="A6191" t="s">
        <v>402</v>
      </c>
      <c r="B6191" s="13" t="s">
        <v>25</v>
      </c>
      <c r="C6191" s="13" t="s">
        <v>952</v>
      </c>
      <c r="D6191" s="14" t="s">
        <v>160</v>
      </c>
      <c r="E6191" s="13" t="s">
        <v>953</v>
      </c>
      <c r="F6191" s="13" t="s">
        <v>2071</v>
      </c>
      <c r="G6191" s="13">
        <v>15.94</v>
      </c>
      <c r="H6191" s="15">
        <v>204</v>
      </c>
      <c r="I6191" s="16">
        <v>3251.76</v>
      </c>
      <c r="J6191" s="16">
        <v>2416.0137272972488</v>
      </c>
      <c r="K6191" s="16">
        <v>835.7462727027513</v>
      </c>
      <c r="L6191" s="13"/>
      <c r="M6191" s="13">
        <v>28.92</v>
      </c>
      <c r="N6191" s="17">
        <f t="shared" si="202"/>
        <v>0</v>
      </c>
      <c r="O6191" s="17">
        <f t="shared" si="202"/>
        <v>5899.68</v>
      </c>
      <c r="P6191" s="17">
        <f t="shared" si="203"/>
        <v>5899.68</v>
      </c>
      <c r="Q6191" t="str">
        <f>A6191&amp;"-"&amp;B6191&amp;"-"&amp;D6191</f>
        <v>DESEMBER-MJ1-L5</v>
      </c>
    </row>
    <row r="6192" spans="1:17" x14ac:dyDescent="0.25">
      <c r="A6192" t="s">
        <v>402</v>
      </c>
      <c r="B6192" s="13" t="s">
        <v>25</v>
      </c>
      <c r="C6192" s="13" t="s">
        <v>952</v>
      </c>
      <c r="D6192" s="14" t="s">
        <v>163</v>
      </c>
      <c r="E6192" s="13" t="s">
        <v>953</v>
      </c>
      <c r="F6192" s="13" t="s">
        <v>2068</v>
      </c>
      <c r="G6192" s="13">
        <v>12.47</v>
      </c>
      <c r="H6192" s="15">
        <v>243</v>
      </c>
      <c r="I6192" s="16">
        <v>3030.21</v>
      </c>
      <c r="J6192" s="16">
        <v>4135</v>
      </c>
      <c r="K6192" s="16">
        <v>-1104.79</v>
      </c>
      <c r="L6192" s="13"/>
      <c r="M6192" s="13">
        <v>20.239999999999998</v>
      </c>
      <c r="N6192" s="17">
        <f t="shared" si="202"/>
        <v>0</v>
      </c>
      <c r="O6192" s="17">
        <f t="shared" si="202"/>
        <v>4918.32</v>
      </c>
      <c r="P6192" s="17">
        <f t="shared" si="203"/>
        <v>4918.32</v>
      </c>
      <c r="Q6192" t="str">
        <f>A6192&amp;"-"&amp;B6192&amp;"-"&amp;D6192</f>
        <v>DESEMBER-MJ1-L6</v>
      </c>
    </row>
    <row r="6193" spans="1:17" x14ac:dyDescent="0.25">
      <c r="A6193" t="s">
        <v>402</v>
      </c>
      <c r="B6193" s="13" t="s">
        <v>25</v>
      </c>
      <c r="C6193" s="13" t="s">
        <v>952</v>
      </c>
      <c r="D6193" s="14" t="s">
        <v>163</v>
      </c>
      <c r="E6193" s="13" t="s">
        <v>953</v>
      </c>
      <c r="F6193" s="13" t="s">
        <v>2069</v>
      </c>
      <c r="G6193" s="13">
        <v>15.94</v>
      </c>
      <c r="H6193" s="15">
        <v>501</v>
      </c>
      <c r="I6193" s="16">
        <v>7985.9400000000005</v>
      </c>
      <c r="J6193" s="16">
        <v>5272.6292682926833</v>
      </c>
      <c r="K6193" s="16">
        <v>2713.3107317073177</v>
      </c>
      <c r="L6193" s="13"/>
      <c r="M6193" s="13">
        <v>28.92</v>
      </c>
      <c r="N6193" s="17">
        <f t="shared" si="202"/>
        <v>0</v>
      </c>
      <c r="O6193" s="17">
        <f t="shared" si="202"/>
        <v>14488.92</v>
      </c>
      <c r="P6193" s="17">
        <f t="shared" si="203"/>
        <v>14488.92</v>
      </c>
      <c r="Q6193" t="str">
        <f>A6193&amp;"-"&amp;B6193&amp;"-"&amp;D6193</f>
        <v>DESEMBER-MJ1-L6</v>
      </c>
    </row>
    <row r="6194" spans="1:17" x14ac:dyDescent="0.25">
      <c r="A6194" t="s">
        <v>402</v>
      </c>
      <c r="B6194" s="13" t="s">
        <v>25</v>
      </c>
      <c r="C6194" s="13" t="s">
        <v>952</v>
      </c>
      <c r="D6194" s="14" t="s">
        <v>163</v>
      </c>
      <c r="E6194" s="13" t="s">
        <v>953</v>
      </c>
      <c r="F6194" s="13" t="s">
        <v>2070</v>
      </c>
      <c r="G6194" s="13">
        <v>15.94</v>
      </c>
      <c r="H6194" s="15">
        <v>155</v>
      </c>
      <c r="I6194" s="16">
        <v>2470.7000000000003</v>
      </c>
      <c r="J6194" s="16">
        <v>1622.1200689990476</v>
      </c>
      <c r="K6194" s="16">
        <v>848.57993100095246</v>
      </c>
      <c r="L6194" s="13"/>
      <c r="M6194" s="13">
        <v>28.92</v>
      </c>
      <c r="N6194" s="17">
        <f t="shared" si="202"/>
        <v>0</v>
      </c>
      <c r="O6194" s="17">
        <f t="shared" si="202"/>
        <v>4482.6000000000004</v>
      </c>
      <c r="P6194" s="17">
        <f t="shared" si="203"/>
        <v>4482.6000000000004</v>
      </c>
      <c r="Q6194" t="str">
        <f>A6194&amp;"-"&amp;B6194&amp;"-"&amp;D6194</f>
        <v>DESEMBER-MJ1-L6</v>
      </c>
    </row>
    <row r="6195" spans="1:17" x14ac:dyDescent="0.25">
      <c r="A6195" t="s">
        <v>402</v>
      </c>
      <c r="B6195" s="13" t="s">
        <v>25</v>
      </c>
      <c r="C6195" s="13" t="s">
        <v>952</v>
      </c>
      <c r="D6195" s="14" t="s">
        <v>163</v>
      </c>
      <c r="E6195" s="13" t="s">
        <v>953</v>
      </c>
      <c r="F6195" s="13" t="s">
        <v>1924</v>
      </c>
      <c r="G6195" s="13">
        <v>15.94</v>
      </c>
      <c r="H6195" s="15">
        <v>14</v>
      </c>
      <c r="I6195" s="16">
        <v>223.16</v>
      </c>
      <c r="J6195" s="16">
        <v>142.93827160493825</v>
      </c>
      <c r="K6195" s="16">
        <v>80.221728395061746</v>
      </c>
      <c r="L6195" s="13"/>
      <c r="M6195" s="13">
        <v>28.92</v>
      </c>
      <c r="N6195" s="17">
        <f t="shared" ref="N6195:O6256" si="204">$H6195*L6195</f>
        <v>0</v>
      </c>
      <c r="O6195" s="17">
        <f t="shared" si="204"/>
        <v>404.88</v>
      </c>
      <c r="P6195" s="17">
        <f t="shared" si="203"/>
        <v>404.88</v>
      </c>
      <c r="Q6195" t="str">
        <f>A6195&amp;"-"&amp;B6195&amp;"-"&amp;D6195</f>
        <v>DESEMBER-MJ1-L6</v>
      </c>
    </row>
    <row r="6196" spans="1:17" x14ac:dyDescent="0.25">
      <c r="A6196" t="s">
        <v>402</v>
      </c>
      <c r="B6196" s="13" t="s">
        <v>25</v>
      </c>
      <c r="C6196" s="13" t="s">
        <v>952</v>
      </c>
      <c r="D6196" s="14" t="s">
        <v>163</v>
      </c>
      <c r="E6196" s="13" t="s">
        <v>953</v>
      </c>
      <c r="F6196" s="13" t="s">
        <v>2071</v>
      </c>
      <c r="G6196" s="13">
        <v>15.94</v>
      </c>
      <c r="H6196" s="15">
        <v>204</v>
      </c>
      <c r="I6196" s="16">
        <v>3251.76</v>
      </c>
      <c r="J6196" s="16">
        <v>2410.7873911033312</v>
      </c>
      <c r="K6196" s="16">
        <v>840.97260889666893</v>
      </c>
      <c r="L6196" s="13"/>
      <c r="M6196" s="13">
        <v>28.92</v>
      </c>
      <c r="N6196" s="17">
        <f t="shared" si="204"/>
        <v>0</v>
      </c>
      <c r="O6196" s="17">
        <f t="shared" si="204"/>
        <v>5899.68</v>
      </c>
      <c r="P6196" s="17">
        <f t="shared" si="203"/>
        <v>5899.68</v>
      </c>
      <c r="Q6196" t="str">
        <f>A6196&amp;"-"&amp;B6196&amp;"-"&amp;D6196</f>
        <v>DESEMBER-MJ1-L6</v>
      </c>
    </row>
    <row r="6197" spans="1:17" x14ac:dyDescent="0.25">
      <c r="A6197" t="s">
        <v>402</v>
      </c>
      <c r="B6197" s="13" t="s">
        <v>26</v>
      </c>
      <c r="C6197" s="13" t="s">
        <v>226</v>
      </c>
      <c r="D6197" s="14" t="s">
        <v>44</v>
      </c>
      <c r="E6197" s="13" t="s">
        <v>61</v>
      </c>
      <c r="F6197" s="13" t="s">
        <v>1926</v>
      </c>
      <c r="G6197" s="13">
        <v>0.71</v>
      </c>
      <c r="H6197" s="15">
        <v>64</v>
      </c>
      <c r="I6197" s="16">
        <v>45.44</v>
      </c>
      <c r="J6197" s="16">
        <v>25.13487071977638</v>
      </c>
      <c r="K6197" s="16">
        <v>20.305129280223618</v>
      </c>
      <c r="L6197" s="13">
        <v>1.29</v>
      </c>
      <c r="M6197" s="13"/>
      <c r="N6197" s="17">
        <f t="shared" si="204"/>
        <v>82.56</v>
      </c>
      <c r="O6197" s="17">
        <f t="shared" si="204"/>
        <v>0</v>
      </c>
      <c r="P6197" s="17">
        <f t="shared" si="203"/>
        <v>82.56</v>
      </c>
      <c r="Q6197" t="str">
        <f>A6197&amp;"-"&amp;B6197&amp;"-"&amp;D6197</f>
        <v>DESEMBER-MJ2-L1</v>
      </c>
    </row>
    <row r="6198" spans="1:17" x14ac:dyDescent="0.25">
      <c r="A6198" t="s">
        <v>402</v>
      </c>
      <c r="B6198" s="13" t="s">
        <v>26</v>
      </c>
      <c r="C6198" s="13" t="s">
        <v>226</v>
      </c>
      <c r="D6198" s="14" t="s">
        <v>44</v>
      </c>
      <c r="E6198" s="13" t="s">
        <v>61</v>
      </c>
      <c r="F6198" s="13" t="s">
        <v>1927</v>
      </c>
      <c r="G6198" s="13">
        <v>0.71</v>
      </c>
      <c r="H6198" s="15">
        <v>101</v>
      </c>
      <c r="I6198" s="16">
        <v>71.709999999999994</v>
      </c>
      <c r="J6198" s="16">
        <v>39.6659678546471</v>
      </c>
      <c r="K6198" s="16">
        <v>32.044032145352894</v>
      </c>
      <c r="L6198" s="13">
        <v>1.29</v>
      </c>
      <c r="M6198" s="13"/>
      <c r="N6198" s="17">
        <f t="shared" si="204"/>
        <v>130.29</v>
      </c>
      <c r="O6198" s="17">
        <f t="shared" si="204"/>
        <v>0</v>
      </c>
      <c r="P6198" s="17">
        <f t="shared" si="203"/>
        <v>130.29</v>
      </c>
      <c r="Q6198" t="str">
        <f>A6198&amp;"-"&amp;B6198&amp;"-"&amp;D6198</f>
        <v>DESEMBER-MJ2-L1</v>
      </c>
    </row>
    <row r="6199" spans="1:17" x14ac:dyDescent="0.25">
      <c r="A6199" t="s">
        <v>402</v>
      </c>
      <c r="B6199" s="13" t="s">
        <v>26</v>
      </c>
      <c r="C6199" s="13" t="s">
        <v>226</v>
      </c>
      <c r="D6199" s="14" t="s">
        <v>44</v>
      </c>
      <c r="E6199" s="13" t="s">
        <v>61</v>
      </c>
      <c r="F6199" s="13" t="s">
        <v>2072</v>
      </c>
      <c r="G6199" s="13">
        <v>0.71</v>
      </c>
      <c r="H6199" s="15">
        <v>4147</v>
      </c>
      <c r="I6199" s="16">
        <v>2944.37</v>
      </c>
      <c r="J6199" s="16">
        <v>2396.3737482846595</v>
      </c>
      <c r="K6199" s="16">
        <v>547.99625171534012</v>
      </c>
      <c r="L6199" s="13">
        <v>1.29</v>
      </c>
      <c r="M6199" s="13"/>
      <c r="N6199" s="17">
        <f t="shared" si="204"/>
        <v>5349.63</v>
      </c>
      <c r="O6199" s="17">
        <f t="shared" si="204"/>
        <v>0</v>
      </c>
      <c r="P6199" s="17">
        <f t="shared" si="203"/>
        <v>5349.63</v>
      </c>
      <c r="Q6199" t="str">
        <f>A6199&amp;"-"&amp;B6199&amp;"-"&amp;D6199</f>
        <v>DESEMBER-MJ2-L1</v>
      </c>
    </row>
    <row r="6200" spans="1:17" x14ac:dyDescent="0.25">
      <c r="A6200" t="s">
        <v>402</v>
      </c>
      <c r="B6200" s="13" t="s">
        <v>26</v>
      </c>
      <c r="C6200" s="13" t="s">
        <v>226</v>
      </c>
      <c r="D6200" s="14" t="s">
        <v>44</v>
      </c>
      <c r="E6200" s="13" t="s">
        <v>61</v>
      </c>
      <c r="F6200" s="13" t="s">
        <v>2073</v>
      </c>
      <c r="G6200" s="13">
        <v>0.71</v>
      </c>
      <c r="H6200" s="15">
        <v>8676</v>
      </c>
      <c r="I6200" s="16">
        <v>6159.9599999999991</v>
      </c>
      <c r="J6200" s="16">
        <v>3330.2350524274252</v>
      </c>
      <c r="K6200" s="16">
        <v>2829.7249475725744</v>
      </c>
      <c r="L6200" s="13">
        <v>1.29</v>
      </c>
      <c r="M6200" s="13"/>
      <c r="N6200" s="17">
        <f t="shared" si="204"/>
        <v>11192.04</v>
      </c>
      <c r="O6200" s="17">
        <f t="shared" si="204"/>
        <v>0</v>
      </c>
      <c r="P6200" s="17">
        <f t="shared" si="203"/>
        <v>11192.04</v>
      </c>
      <c r="Q6200" t="str">
        <f>A6200&amp;"-"&amp;B6200&amp;"-"&amp;D6200</f>
        <v>DESEMBER-MJ2-L1</v>
      </c>
    </row>
    <row r="6201" spans="1:17" x14ac:dyDescent="0.25">
      <c r="A6201" t="s">
        <v>402</v>
      </c>
      <c r="B6201" s="13" t="s">
        <v>26</v>
      </c>
      <c r="C6201" s="13" t="s">
        <v>226</v>
      </c>
      <c r="D6201" s="14" t="s">
        <v>44</v>
      </c>
      <c r="E6201" s="13" t="s">
        <v>61</v>
      </c>
      <c r="F6201" s="13" t="s">
        <v>1928</v>
      </c>
      <c r="G6201" s="13">
        <v>0.71</v>
      </c>
      <c r="H6201" s="15">
        <v>19</v>
      </c>
      <c r="I6201" s="16">
        <v>13.49</v>
      </c>
      <c r="J6201" s="16">
        <v>7.4619147449336127</v>
      </c>
      <c r="K6201" s="16">
        <v>6.0280852550663875</v>
      </c>
      <c r="L6201" s="13">
        <v>1.29</v>
      </c>
      <c r="M6201" s="13"/>
      <c r="N6201" s="17">
        <f t="shared" si="204"/>
        <v>24.51</v>
      </c>
      <c r="O6201" s="17">
        <f t="shared" si="204"/>
        <v>0</v>
      </c>
      <c r="P6201" s="17">
        <f t="shared" si="203"/>
        <v>24.51</v>
      </c>
      <c r="Q6201" t="str">
        <f>A6201&amp;"-"&amp;B6201&amp;"-"&amp;D6201</f>
        <v>DESEMBER-MJ2-L1</v>
      </c>
    </row>
    <row r="6202" spans="1:17" x14ac:dyDescent="0.25">
      <c r="A6202" t="s">
        <v>402</v>
      </c>
      <c r="B6202" s="13" t="s">
        <v>26</v>
      </c>
      <c r="C6202" s="13" t="s">
        <v>226</v>
      </c>
      <c r="D6202" s="14" t="s">
        <v>44</v>
      </c>
      <c r="E6202" s="13" t="s">
        <v>61</v>
      </c>
      <c r="F6202" s="13" t="s">
        <v>1929</v>
      </c>
      <c r="G6202" s="13">
        <v>0.71</v>
      </c>
      <c r="H6202" s="15">
        <v>7497</v>
      </c>
      <c r="I6202" s="16">
        <v>5322.8700000000008</v>
      </c>
      <c r="J6202" s="16">
        <v>3067.8340127091301</v>
      </c>
      <c r="K6202" s="16">
        <v>2255.0359872908703</v>
      </c>
      <c r="L6202" s="13">
        <v>1.29</v>
      </c>
      <c r="M6202" s="13"/>
      <c r="N6202" s="17">
        <f t="shared" si="204"/>
        <v>9671.130000000001</v>
      </c>
      <c r="O6202" s="17">
        <f t="shared" si="204"/>
        <v>0</v>
      </c>
      <c r="P6202" s="17">
        <f t="shared" si="203"/>
        <v>9671.130000000001</v>
      </c>
      <c r="Q6202" t="str">
        <f>A6202&amp;"-"&amp;B6202&amp;"-"&amp;D6202</f>
        <v>DESEMBER-MJ2-L1</v>
      </c>
    </row>
    <row r="6203" spans="1:17" x14ac:dyDescent="0.25">
      <c r="A6203" t="s">
        <v>402</v>
      </c>
      <c r="B6203" s="13" t="s">
        <v>26</v>
      </c>
      <c r="C6203" s="13" t="s">
        <v>226</v>
      </c>
      <c r="D6203" s="14" t="s">
        <v>44</v>
      </c>
      <c r="E6203" s="13" t="s">
        <v>61</v>
      </c>
      <c r="F6203" s="13" t="s">
        <v>1930</v>
      </c>
      <c r="G6203" s="13">
        <v>0.71</v>
      </c>
      <c r="H6203" s="15">
        <v>78</v>
      </c>
      <c r="I6203" s="16">
        <v>55.38</v>
      </c>
      <c r="J6203" s="16">
        <v>30.633123689727462</v>
      </c>
      <c r="K6203" s="16">
        <v>24.74687631027254</v>
      </c>
      <c r="L6203" s="13">
        <v>1.29</v>
      </c>
      <c r="M6203" s="13"/>
      <c r="N6203" s="17">
        <f t="shared" si="204"/>
        <v>100.62</v>
      </c>
      <c r="O6203" s="17">
        <f t="shared" si="204"/>
        <v>0</v>
      </c>
      <c r="P6203" s="17">
        <f t="shared" si="203"/>
        <v>100.62</v>
      </c>
      <c r="Q6203" t="str">
        <f>A6203&amp;"-"&amp;B6203&amp;"-"&amp;D6203</f>
        <v>DESEMBER-MJ2-L1</v>
      </c>
    </row>
    <row r="6204" spans="1:17" x14ac:dyDescent="0.25">
      <c r="A6204" t="s">
        <v>402</v>
      </c>
      <c r="B6204" s="13" t="s">
        <v>26</v>
      </c>
      <c r="C6204" s="13" t="s">
        <v>226</v>
      </c>
      <c r="D6204" s="14" t="s">
        <v>44</v>
      </c>
      <c r="E6204" s="13" t="s">
        <v>61</v>
      </c>
      <c r="F6204" s="13" t="s">
        <v>2074</v>
      </c>
      <c r="G6204" s="13">
        <v>0.71</v>
      </c>
      <c r="H6204" s="15">
        <v>9809</v>
      </c>
      <c r="I6204" s="16">
        <v>6964.3900000000012</v>
      </c>
      <c r="J6204" s="16">
        <v>3933.0424296837759</v>
      </c>
      <c r="K6204" s="16">
        <v>3031.3475703162239</v>
      </c>
      <c r="L6204" s="13">
        <v>1.29</v>
      </c>
      <c r="M6204" s="13"/>
      <c r="N6204" s="17">
        <f t="shared" si="204"/>
        <v>12653.61</v>
      </c>
      <c r="O6204" s="17">
        <f t="shared" si="204"/>
        <v>0</v>
      </c>
      <c r="P6204" s="17">
        <f t="shared" si="203"/>
        <v>12653.61</v>
      </c>
      <c r="Q6204" t="str">
        <f>A6204&amp;"-"&amp;B6204&amp;"-"&amp;D6204</f>
        <v>DESEMBER-MJ2-L1</v>
      </c>
    </row>
    <row r="6205" spans="1:17" x14ac:dyDescent="0.25">
      <c r="A6205" t="s">
        <v>402</v>
      </c>
      <c r="B6205" s="13" t="s">
        <v>26</v>
      </c>
      <c r="C6205" s="13" t="s">
        <v>226</v>
      </c>
      <c r="D6205" s="14" t="s">
        <v>44</v>
      </c>
      <c r="E6205" s="13" t="s">
        <v>61</v>
      </c>
      <c r="F6205" s="13" t="s">
        <v>2075</v>
      </c>
      <c r="G6205" s="13">
        <v>0.73000000000000009</v>
      </c>
      <c r="H6205" s="15">
        <v>6383</v>
      </c>
      <c r="I6205" s="16">
        <v>4659.59</v>
      </c>
      <c r="J6205" s="16">
        <v>2667.4793563190615</v>
      </c>
      <c r="K6205" s="16">
        <v>1992.1106436809382</v>
      </c>
      <c r="L6205" s="13">
        <v>1.33</v>
      </c>
      <c r="M6205" s="13"/>
      <c r="N6205" s="17">
        <f t="shared" si="204"/>
        <v>8489.3900000000012</v>
      </c>
      <c r="O6205" s="17">
        <f t="shared" si="204"/>
        <v>0</v>
      </c>
      <c r="P6205" s="17">
        <f t="shared" si="203"/>
        <v>8489.3900000000012</v>
      </c>
      <c r="Q6205" t="str">
        <f>A6205&amp;"-"&amp;B6205&amp;"-"&amp;D6205</f>
        <v>DESEMBER-MJ2-L1</v>
      </c>
    </row>
    <row r="6206" spans="1:17" x14ac:dyDescent="0.25">
      <c r="A6206" t="s">
        <v>402</v>
      </c>
      <c r="B6206" s="13" t="s">
        <v>26</v>
      </c>
      <c r="C6206" s="13" t="s">
        <v>226</v>
      </c>
      <c r="D6206" s="14" t="s">
        <v>44</v>
      </c>
      <c r="E6206" s="13" t="s">
        <v>61</v>
      </c>
      <c r="F6206" s="13" t="s">
        <v>2076</v>
      </c>
      <c r="G6206" s="13">
        <v>0.65</v>
      </c>
      <c r="H6206" s="15">
        <v>16035</v>
      </c>
      <c r="I6206" s="16">
        <v>10422.75</v>
      </c>
      <c r="J6206" s="16">
        <v>6982.1395235668633</v>
      </c>
      <c r="K6206" s="16">
        <v>3440.6104764331371</v>
      </c>
      <c r="L6206" s="13">
        <v>1.66</v>
      </c>
      <c r="M6206" s="13"/>
      <c r="N6206" s="17">
        <f t="shared" si="204"/>
        <v>26618.1</v>
      </c>
      <c r="O6206" s="17">
        <f t="shared" si="204"/>
        <v>0</v>
      </c>
      <c r="P6206" s="17">
        <f t="shared" si="203"/>
        <v>26618.1</v>
      </c>
      <c r="Q6206" t="str">
        <f>A6206&amp;"-"&amp;B6206&amp;"-"&amp;D6206</f>
        <v>DESEMBER-MJ2-L1</v>
      </c>
    </row>
    <row r="6207" spans="1:17" x14ac:dyDescent="0.25">
      <c r="A6207" t="s">
        <v>402</v>
      </c>
      <c r="B6207" s="13" t="s">
        <v>26</v>
      </c>
      <c r="C6207" s="13" t="s">
        <v>226</v>
      </c>
      <c r="D6207" s="14" t="s">
        <v>301</v>
      </c>
      <c r="E6207" s="13" t="s">
        <v>61</v>
      </c>
      <c r="F6207" s="13" t="s">
        <v>1931</v>
      </c>
      <c r="G6207" s="13">
        <v>0.68</v>
      </c>
      <c r="H6207" s="15">
        <v>37</v>
      </c>
      <c r="I6207" s="16">
        <v>25.16</v>
      </c>
      <c r="J6207" s="16">
        <v>22.383207750269108</v>
      </c>
      <c r="K6207" s="16">
        <v>2.7767922497308923</v>
      </c>
      <c r="L6207" s="13">
        <v>1.69</v>
      </c>
      <c r="M6207" s="13"/>
      <c r="N6207" s="17">
        <f t="shared" si="204"/>
        <v>62.53</v>
      </c>
      <c r="O6207" s="17">
        <f t="shared" si="204"/>
        <v>0</v>
      </c>
      <c r="P6207" s="17">
        <f t="shared" si="203"/>
        <v>62.53</v>
      </c>
      <c r="Q6207" t="str">
        <f>A6207&amp;"-"&amp;B6207&amp;"-"&amp;D6207</f>
        <v>DESEMBER-MJ2-L10</v>
      </c>
    </row>
    <row r="6208" spans="1:17" x14ac:dyDescent="0.25">
      <c r="A6208" t="s">
        <v>402</v>
      </c>
      <c r="B6208" s="13" t="s">
        <v>26</v>
      </c>
      <c r="C6208" s="13" t="s">
        <v>226</v>
      </c>
      <c r="D6208" s="14" t="s">
        <v>301</v>
      </c>
      <c r="E6208" s="13" t="s">
        <v>61</v>
      </c>
      <c r="F6208" s="13" t="s">
        <v>2077</v>
      </c>
      <c r="G6208" s="13">
        <v>0.68</v>
      </c>
      <c r="H6208" s="15">
        <v>3930</v>
      </c>
      <c r="I6208" s="16">
        <v>2672.4</v>
      </c>
      <c r="J6208" s="16">
        <v>2582.1748805722505</v>
      </c>
      <c r="K6208" s="16">
        <v>90.225119427749547</v>
      </c>
      <c r="L6208" s="13">
        <v>1.61</v>
      </c>
      <c r="M6208" s="13"/>
      <c r="N6208" s="17">
        <f t="shared" si="204"/>
        <v>6327.3</v>
      </c>
      <c r="O6208" s="17">
        <f t="shared" si="204"/>
        <v>0</v>
      </c>
      <c r="P6208" s="17">
        <f t="shared" si="203"/>
        <v>6327.3</v>
      </c>
      <c r="Q6208" t="str">
        <f>A6208&amp;"-"&amp;B6208&amp;"-"&amp;D6208</f>
        <v>DESEMBER-MJ2-L10</v>
      </c>
    </row>
    <row r="6209" spans="1:17" x14ac:dyDescent="0.25">
      <c r="A6209" t="s">
        <v>402</v>
      </c>
      <c r="B6209" s="13" t="s">
        <v>26</v>
      </c>
      <c r="C6209" s="13" t="s">
        <v>226</v>
      </c>
      <c r="D6209" s="14" t="s">
        <v>301</v>
      </c>
      <c r="E6209" s="13" t="s">
        <v>61</v>
      </c>
      <c r="F6209" s="13" t="s">
        <v>2078</v>
      </c>
      <c r="G6209" s="13">
        <v>0.68</v>
      </c>
      <c r="H6209" s="15">
        <v>535</v>
      </c>
      <c r="I6209" s="16">
        <v>363.8</v>
      </c>
      <c r="J6209" s="16">
        <v>336.10388363628812</v>
      </c>
      <c r="K6209" s="16">
        <v>27.696116363711877</v>
      </c>
      <c r="L6209" s="13">
        <v>1.72</v>
      </c>
      <c r="M6209" s="13"/>
      <c r="N6209" s="17">
        <f t="shared" si="204"/>
        <v>920.19999999999993</v>
      </c>
      <c r="O6209" s="17">
        <f t="shared" si="204"/>
        <v>0</v>
      </c>
      <c r="P6209" s="17">
        <f t="shared" si="203"/>
        <v>920.19999999999993</v>
      </c>
      <c r="Q6209" t="str">
        <f>A6209&amp;"-"&amp;B6209&amp;"-"&amp;D6209</f>
        <v>DESEMBER-MJ2-L10</v>
      </c>
    </row>
    <row r="6210" spans="1:17" x14ac:dyDescent="0.25">
      <c r="A6210" t="s">
        <v>402</v>
      </c>
      <c r="B6210" s="13" t="s">
        <v>26</v>
      </c>
      <c r="C6210" s="13" t="s">
        <v>226</v>
      </c>
      <c r="D6210" s="14" t="s">
        <v>301</v>
      </c>
      <c r="E6210" s="13" t="s">
        <v>61</v>
      </c>
      <c r="F6210" s="13" t="s">
        <v>2079</v>
      </c>
      <c r="G6210" s="13">
        <v>0.68</v>
      </c>
      <c r="H6210" s="15">
        <v>1105</v>
      </c>
      <c r="I6210" s="16">
        <v>751.4</v>
      </c>
      <c r="J6210" s="16">
        <v>710.05853469250485</v>
      </c>
      <c r="K6210" s="16">
        <v>41.341465307495071</v>
      </c>
      <c r="L6210" s="13">
        <v>1.7</v>
      </c>
      <c r="M6210" s="13"/>
      <c r="N6210" s="17">
        <f t="shared" si="204"/>
        <v>1878.5</v>
      </c>
      <c r="O6210" s="17">
        <f t="shared" si="204"/>
        <v>0</v>
      </c>
      <c r="P6210" s="17">
        <f t="shared" ref="P6210:P6273" si="205">N6210+O6210</f>
        <v>1878.5</v>
      </c>
      <c r="Q6210" t="str">
        <f>A6210&amp;"-"&amp;B6210&amp;"-"&amp;D6210</f>
        <v>DESEMBER-MJ2-L10</v>
      </c>
    </row>
    <row r="6211" spans="1:17" x14ac:dyDescent="0.25">
      <c r="A6211" t="s">
        <v>402</v>
      </c>
      <c r="B6211" s="13" t="s">
        <v>26</v>
      </c>
      <c r="C6211" s="13" t="s">
        <v>226</v>
      </c>
      <c r="D6211" s="14" t="s">
        <v>301</v>
      </c>
      <c r="E6211" s="13" t="s">
        <v>61</v>
      </c>
      <c r="F6211" s="13" t="s">
        <v>1932</v>
      </c>
      <c r="G6211" s="13">
        <v>0.68</v>
      </c>
      <c r="H6211" s="15">
        <v>658</v>
      </c>
      <c r="I6211" s="16">
        <v>447.44</v>
      </c>
      <c r="J6211" s="16">
        <v>429.59988619749856</v>
      </c>
      <c r="K6211" s="16">
        <v>17.840113802501442</v>
      </c>
      <c r="L6211" s="13">
        <v>1.7</v>
      </c>
      <c r="M6211" s="13"/>
      <c r="N6211" s="17">
        <f t="shared" si="204"/>
        <v>1118.5999999999999</v>
      </c>
      <c r="O6211" s="17">
        <f t="shared" si="204"/>
        <v>0</v>
      </c>
      <c r="P6211" s="17">
        <f t="shared" si="205"/>
        <v>1118.5999999999999</v>
      </c>
      <c r="Q6211" t="str">
        <f>A6211&amp;"-"&amp;B6211&amp;"-"&amp;D6211</f>
        <v>DESEMBER-MJ2-L10</v>
      </c>
    </row>
    <row r="6212" spans="1:17" x14ac:dyDescent="0.25">
      <c r="A6212" t="s">
        <v>402</v>
      </c>
      <c r="B6212" s="13" t="s">
        <v>26</v>
      </c>
      <c r="C6212" s="13" t="s">
        <v>226</v>
      </c>
      <c r="D6212" s="14" t="s">
        <v>301</v>
      </c>
      <c r="E6212" s="13" t="s">
        <v>61</v>
      </c>
      <c r="F6212" s="13" t="s">
        <v>1933</v>
      </c>
      <c r="G6212" s="13">
        <v>0.68</v>
      </c>
      <c r="H6212" s="15">
        <v>94</v>
      </c>
      <c r="I6212" s="16">
        <v>63.92</v>
      </c>
      <c r="J6212" s="16">
        <v>59.334847347891596</v>
      </c>
      <c r="K6212" s="16">
        <v>4.5851526521084107</v>
      </c>
      <c r="L6212" s="13">
        <v>1.7</v>
      </c>
      <c r="M6212" s="13"/>
      <c r="N6212" s="17">
        <f t="shared" si="204"/>
        <v>159.79999999999998</v>
      </c>
      <c r="O6212" s="17">
        <f t="shared" si="204"/>
        <v>0</v>
      </c>
      <c r="P6212" s="17">
        <f t="shared" si="205"/>
        <v>159.79999999999998</v>
      </c>
      <c r="Q6212" t="str">
        <f>A6212&amp;"-"&amp;B6212&amp;"-"&amp;D6212</f>
        <v>DESEMBER-MJ2-L10</v>
      </c>
    </row>
    <row r="6213" spans="1:17" x14ac:dyDescent="0.25">
      <c r="A6213" t="s">
        <v>402</v>
      </c>
      <c r="B6213" s="13" t="s">
        <v>26</v>
      </c>
      <c r="C6213" s="13" t="s">
        <v>226</v>
      </c>
      <c r="D6213" s="14" t="s">
        <v>301</v>
      </c>
      <c r="E6213" s="13" t="s">
        <v>61</v>
      </c>
      <c r="F6213" s="13" t="s">
        <v>2080</v>
      </c>
      <c r="G6213" s="13">
        <v>0.83</v>
      </c>
      <c r="H6213" s="15">
        <v>970</v>
      </c>
      <c r="I6213" s="16">
        <v>805.10000000000014</v>
      </c>
      <c r="J6213" s="16">
        <v>730.33614208671906</v>
      </c>
      <c r="K6213" s="16">
        <v>74.763857913281015</v>
      </c>
      <c r="L6213" s="13">
        <v>2.13</v>
      </c>
      <c r="M6213" s="13"/>
      <c r="N6213" s="17">
        <f t="shared" si="204"/>
        <v>2066.1</v>
      </c>
      <c r="O6213" s="17">
        <f t="shared" si="204"/>
        <v>0</v>
      </c>
      <c r="P6213" s="17">
        <f t="shared" si="205"/>
        <v>2066.1</v>
      </c>
      <c r="Q6213" t="str">
        <f>A6213&amp;"-"&amp;B6213&amp;"-"&amp;D6213</f>
        <v>DESEMBER-MJ2-L10</v>
      </c>
    </row>
    <row r="6214" spans="1:17" x14ac:dyDescent="0.25">
      <c r="A6214" t="s">
        <v>402</v>
      </c>
      <c r="B6214" s="13" t="s">
        <v>26</v>
      </c>
      <c r="C6214" s="13" t="s">
        <v>226</v>
      </c>
      <c r="D6214" s="14" t="s">
        <v>301</v>
      </c>
      <c r="E6214" s="13" t="s">
        <v>61</v>
      </c>
      <c r="F6214" s="13" t="s">
        <v>1934</v>
      </c>
      <c r="G6214" s="13">
        <v>0.79</v>
      </c>
      <c r="H6214" s="15">
        <v>12</v>
      </c>
      <c r="I6214" s="16">
        <v>9.48</v>
      </c>
      <c r="J6214" s="16">
        <v>9.1506105834464044</v>
      </c>
      <c r="K6214" s="16">
        <v>0.32938941655359599</v>
      </c>
      <c r="L6214" s="13">
        <v>2</v>
      </c>
      <c r="M6214" s="13"/>
      <c r="N6214" s="17">
        <f t="shared" si="204"/>
        <v>24</v>
      </c>
      <c r="O6214" s="17">
        <f t="shared" si="204"/>
        <v>0</v>
      </c>
      <c r="P6214" s="17">
        <f t="shared" si="205"/>
        <v>24</v>
      </c>
      <c r="Q6214" t="str">
        <f>A6214&amp;"-"&amp;B6214&amp;"-"&amp;D6214</f>
        <v>DESEMBER-MJ2-L10</v>
      </c>
    </row>
    <row r="6215" spans="1:17" x14ac:dyDescent="0.25">
      <c r="A6215" t="s">
        <v>402</v>
      </c>
      <c r="B6215" s="13" t="s">
        <v>26</v>
      </c>
      <c r="C6215" s="13" t="s">
        <v>226</v>
      </c>
      <c r="D6215" s="14" t="s">
        <v>301</v>
      </c>
      <c r="E6215" s="13" t="s">
        <v>61</v>
      </c>
      <c r="F6215" s="13" t="s">
        <v>2081</v>
      </c>
      <c r="G6215" s="13">
        <v>0.79</v>
      </c>
      <c r="H6215" s="15">
        <v>1693</v>
      </c>
      <c r="I6215" s="16">
        <v>1337.4699999999998</v>
      </c>
      <c r="J6215" s="16">
        <v>1118.4243681736832</v>
      </c>
      <c r="K6215" s="16">
        <v>219.04563182631671</v>
      </c>
      <c r="L6215" s="13">
        <v>2</v>
      </c>
      <c r="M6215" s="13"/>
      <c r="N6215" s="17">
        <f t="shared" si="204"/>
        <v>3386</v>
      </c>
      <c r="O6215" s="17">
        <f t="shared" si="204"/>
        <v>0</v>
      </c>
      <c r="P6215" s="17">
        <f t="shared" si="205"/>
        <v>3386</v>
      </c>
      <c r="Q6215" t="str">
        <f>A6215&amp;"-"&amp;B6215&amp;"-"&amp;D6215</f>
        <v>DESEMBER-MJ2-L10</v>
      </c>
    </row>
    <row r="6216" spans="1:17" x14ac:dyDescent="0.25">
      <c r="A6216" t="s">
        <v>402</v>
      </c>
      <c r="B6216" s="13" t="s">
        <v>26</v>
      </c>
      <c r="C6216" s="13" t="s">
        <v>226</v>
      </c>
      <c r="D6216" s="14" t="s">
        <v>301</v>
      </c>
      <c r="E6216" s="13" t="s">
        <v>61</v>
      </c>
      <c r="F6216" s="13" t="s">
        <v>1978</v>
      </c>
      <c r="G6216" s="13">
        <v>0.81</v>
      </c>
      <c r="H6216" s="15">
        <v>2</v>
      </c>
      <c r="I6216" s="16">
        <v>1.62</v>
      </c>
      <c r="J6216" s="16">
        <v>1.2488888888888889</v>
      </c>
      <c r="K6216" s="16">
        <v>0.37111111111111117</v>
      </c>
      <c r="L6216" s="13">
        <v>2.21</v>
      </c>
      <c r="M6216" s="13"/>
      <c r="N6216" s="17">
        <f t="shared" si="204"/>
        <v>4.42</v>
      </c>
      <c r="O6216" s="17">
        <f t="shared" si="204"/>
        <v>0</v>
      </c>
      <c r="P6216" s="17">
        <f t="shared" si="205"/>
        <v>4.42</v>
      </c>
      <c r="Q6216" t="str">
        <f>A6216&amp;"-"&amp;B6216&amp;"-"&amp;D6216</f>
        <v>DESEMBER-MJ2-L10</v>
      </c>
    </row>
    <row r="6217" spans="1:17" x14ac:dyDescent="0.25">
      <c r="A6217" t="s">
        <v>402</v>
      </c>
      <c r="B6217" s="13" t="s">
        <v>26</v>
      </c>
      <c r="C6217" s="13" t="s">
        <v>226</v>
      </c>
      <c r="D6217" s="14" t="s">
        <v>301</v>
      </c>
      <c r="E6217" s="13" t="s">
        <v>61</v>
      </c>
      <c r="F6217" s="13" t="s">
        <v>1940</v>
      </c>
      <c r="G6217" s="13">
        <v>0.79</v>
      </c>
      <c r="H6217" s="15">
        <v>260</v>
      </c>
      <c r="I6217" s="16">
        <v>205.4</v>
      </c>
      <c r="J6217" s="16">
        <v>177.1151515151515</v>
      </c>
      <c r="K6217" s="16">
        <v>28.28484848484851</v>
      </c>
      <c r="L6217" s="13">
        <v>2</v>
      </c>
      <c r="M6217" s="13"/>
      <c r="N6217" s="17">
        <f t="shared" si="204"/>
        <v>520</v>
      </c>
      <c r="O6217" s="17">
        <f t="shared" si="204"/>
        <v>0</v>
      </c>
      <c r="P6217" s="17">
        <f t="shared" si="205"/>
        <v>520</v>
      </c>
      <c r="Q6217" t="str">
        <f>A6217&amp;"-"&amp;B6217&amp;"-"&amp;D6217</f>
        <v>DESEMBER-MJ2-L10</v>
      </c>
    </row>
    <row r="6218" spans="1:17" x14ac:dyDescent="0.25">
      <c r="A6218" t="s">
        <v>402</v>
      </c>
      <c r="B6218" s="13" t="s">
        <v>26</v>
      </c>
      <c r="C6218" s="13" t="s">
        <v>226</v>
      </c>
      <c r="D6218" s="14" t="s">
        <v>301</v>
      </c>
      <c r="E6218" s="13" t="s">
        <v>61</v>
      </c>
      <c r="F6218" s="13" t="s">
        <v>2082</v>
      </c>
      <c r="G6218" s="13">
        <v>0.79</v>
      </c>
      <c r="H6218" s="15">
        <v>2333</v>
      </c>
      <c r="I6218" s="16">
        <v>1843.07</v>
      </c>
      <c r="J6218" s="16">
        <v>1605.6201779173209</v>
      </c>
      <c r="K6218" s="16">
        <v>237.44982208267908</v>
      </c>
      <c r="L6218" s="13">
        <v>2</v>
      </c>
      <c r="M6218" s="13"/>
      <c r="N6218" s="17">
        <f t="shared" si="204"/>
        <v>4666</v>
      </c>
      <c r="O6218" s="17">
        <f t="shared" si="204"/>
        <v>0</v>
      </c>
      <c r="P6218" s="17">
        <f t="shared" si="205"/>
        <v>4666</v>
      </c>
      <c r="Q6218" t="str">
        <f>A6218&amp;"-"&amp;B6218&amp;"-"&amp;D6218</f>
        <v>DESEMBER-MJ2-L10</v>
      </c>
    </row>
    <row r="6219" spans="1:17" x14ac:dyDescent="0.25">
      <c r="A6219" t="s">
        <v>402</v>
      </c>
      <c r="B6219" s="13" t="s">
        <v>26</v>
      </c>
      <c r="C6219" s="13" t="s">
        <v>226</v>
      </c>
      <c r="D6219" s="14" t="s">
        <v>301</v>
      </c>
      <c r="E6219" s="13" t="s">
        <v>61</v>
      </c>
      <c r="F6219" s="13" t="s">
        <v>2083</v>
      </c>
      <c r="G6219" s="13">
        <v>0.77</v>
      </c>
      <c r="H6219" s="15">
        <v>269</v>
      </c>
      <c r="I6219" s="16">
        <v>207.12999999999997</v>
      </c>
      <c r="J6219" s="16">
        <v>169.4245722975233</v>
      </c>
      <c r="K6219" s="16">
        <v>37.70542770247674</v>
      </c>
      <c r="L6219" s="13">
        <v>2.15</v>
      </c>
      <c r="M6219" s="13"/>
      <c r="N6219" s="17">
        <f t="shared" si="204"/>
        <v>578.35</v>
      </c>
      <c r="O6219" s="17">
        <f t="shared" si="204"/>
        <v>0</v>
      </c>
      <c r="P6219" s="17">
        <f t="shared" si="205"/>
        <v>578.35</v>
      </c>
      <c r="Q6219" t="str">
        <f>A6219&amp;"-"&amp;B6219&amp;"-"&amp;D6219</f>
        <v>DESEMBER-MJ2-L10</v>
      </c>
    </row>
    <row r="6220" spans="1:17" x14ac:dyDescent="0.25">
      <c r="A6220" t="s">
        <v>402</v>
      </c>
      <c r="B6220" s="13" t="s">
        <v>26</v>
      </c>
      <c r="C6220" s="13" t="s">
        <v>226</v>
      </c>
      <c r="D6220" s="14" t="s">
        <v>301</v>
      </c>
      <c r="E6220" s="13" t="s">
        <v>61</v>
      </c>
      <c r="F6220" s="13" t="s">
        <v>1942</v>
      </c>
      <c r="G6220" s="13">
        <v>0.81</v>
      </c>
      <c r="H6220" s="15">
        <v>3</v>
      </c>
      <c r="I6220" s="16">
        <v>2.4300000000000002</v>
      </c>
      <c r="J6220" s="16">
        <v>1.8733333333333335</v>
      </c>
      <c r="K6220" s="16">
        <v>0.55666666666666664</v>
      </c>
      <c r="L6220" s="13">
        <v>2.21</v>
      </c>
      <c r="M6220" s="13"/>
      <c r="N6220" s="17">
        <f t="shared" si="204"/>
        <v>6.63</v>
      </c>
      <c r="O6220" s="17">
        <f t="shared" si="204"/>
        <v>0</v>
      </c>
      <c r="P6220" s="17">
        <f t="shared" si="205"/>
        <v>6.63</v>
      </c>
      <c r="Q6220" t="str">
        <f>A6220&amp;"-"&amp;B6220&amp;"-"&amp;D6220</f>
        <v>DESEMBER-MJ2-L10</v>
      </c>
    </row>
    <row r="6221" spans="1:17" x14ac:dyDescent="0.25">
      <c r="A6221" t="s">
        <v>402</v>
      </c>
      <c r="B6221" s="13" t="s">
        <v>26</v>
      </c>
      <c r="C6221" s="13" t="s">
        <v>226</v>
      </c>
      <c r="D6221" s="14" t="s">
        <v>301</v>
      </c>
      <c r="E6221" s="13" t="s">
        <v>61</v>
      </c>
      <c r="F6221" s="13" t="s">
        <v>1943</v>
      </c>
      <c r="G6221" s="13">
        <v>0.81</v>
      </c>
      <c r="H6221" s="15">
        <v>100</v>
      </c>
      <c r="I6221" s="16">
        <v>81</v>
      </c>
      <c r="J6221" s="16">
        <v>62.444444444444443</v>
      </c>
      <c r="K6221" s="16">
        <v>18.555555555555557</v>
      </c>
      <c r="L6221" s="13">
        <v>2.21</v>
      </c>
      <c r="M6221" s="13"/>
      <c r="N6221" s="17">
        <f t="shared" si="204"/>
        <v>221</v>
      </c>
      <c r="O6221" s="17">
        <f t="shared" si="204"/>
        <v>0</v>
      </c>
      <c r="P6221" s="17">
        <f t="shared" si="205"/>
        <v>221</v>
      </c>
      <c r="Q6221" t="str">
        <f>A6221&amp;"-"&amp;B6221&amp;"-"&amp;D6221</f>
        <v>DESEMBER-MJ2-L10</v>
      </c>
    </row>
    <row r="6222" spans="1:17" x14ac:dyDescent="0.25">
      <c r="A6222" t="s">
        <v>402</v>
      </c>
      <c r="B6222" s="13" t="s">
        <v>26</v>
      </c>
      <c r="C6222" s="13" t="s">
        <v>226</v>
      </c>
      <c r="D6222" s="14" t="s">
        <v>301</v>
      </c>
      <c r="E6222" s="13" t="s">
        <v>61</v>
      </c>
      <c r="F6222" s="13" t="s">
        <v>2084</v>
      </c>
      <c r="G6222" s="13">
        <v>0.8</v>
      </c>
      <c r="H6222" s="15">
        <v>2522</v>
      </c>
      <c r="I6222" s="16">
        <v>2017.6</v>
      </c>
      <c r="J6222" s="16">
        <v>1721.9477231819305</v>
      </c>
      <c r="K6222" s="16">
        <v>295.65227681806971</v>
      </c>
      <c r="L6222" s="13">
        <v>2.0699999999999998</v>
      </c>
      <c r="M6222" s="13"/>
      <c r="N6222" s="17">
        <f t="shared" si="204"/>
        <v>5220.54</v>
      </c>
      <c r="O6222" s="17">
        <f t="shared" si="204"/>
        <v>0</v>
      </c>
      <c r="P6222" s="17">
        <f t="shared" si="205"/>
        <v>5220.54</v>
      </c>
      <c r="Q6222" t="str">
        <f>A6222&amp;"-"&amp;B6222&amp;"-"&amp;D6222</f>
        <v>DESEMBER-MJ2-L10</v>
      </c>
    </row>
    <row r="6223" spans="1:17" x14ac:dyDescent="0.25">
      <c r="A6223" t="s">
        <v>402</v>
      </c>
      <c r="B6223" s="13" t="s">
        <v>26</v>
      </c>
      <c r="C6223" s="13" t="s">
        <v>226</v>
      </c>
      <c r="D6223" s="14" t="s">
        <v>301</v>
      </c>
      <c r="E6223" s="13" t="s">
        <v>61</v>
      </c>
      <c r="F6223" s="13" t="s">
        <v>1945</v>
      </c>
      <c r="G6223" s="13">
        <v>0.78</v>
      </c>
      <c r="H6223" s="15">
        <v>15</v>
      </c>
      <c r="I6223" s="16">
        <v>11.7</v>
      </c>
      <c r="J6223" s="16">
        <v>10.752551020408163</v>
      </c>
      <c r="K6223" s="16">
        <v>0.9474489795918366</v>
      </c>
      <c r="L6223" s="13">
        <v>2.2200000000000002</v>
      </c>
      <c r="M6223" s="13"/>
      <c r="N6223" s="17">
        <f t="shared" si="204"/>
        <v>33.300000000000004</v>
      </c>
      <c r="O6223" s="17">
        <f t="shared" si="204"/>
        <v>0</v>
      </c>
      <c r="P6223" s="17">
        <f t="shared" si="205"/>
        <v>33.300000000000004</v>
      </c>
      <c r="Q6223" t="str">
        <f>A6223&amp;"-"&amp;B6223&amp;"-"&amp;D6223</f>
        <v>DESEMBER-MJ2-L10</v>
      </c>
    </row>
    <row r="6224" spans="1:17" x14ac:dyDescent="0.25">
      <c r="A6224" t="s">
        <v>402</v>
      </c>
      <c r="B6224" s="13" t="s">
        <v>26</v>
      </c>
      <c r="C6224" s="13" t="s">
        <v>226</v>
      </c>
      <c r="D6224" s="14" t="s">
        <v>301</v>
      </c>
      <c r="E6224" s="13" t="s">
        <v>61</v>
      </c>
      <c r="F6224" s="13" t="s">
        <v>2085</v>
      </c>
      <c r="G6224" s="13">
        <v>0.77999999999999992</v>
      </c>
      <c r="H6224" s="15">
        <v>646</v>
      </c>
      <c r="I6224" s="16">
        <v>503.88</v>
      </c>
      <c r="J6224" s="16">
        <v>444.33612171868879</v>
      </c>
      <c r="K6224" s="16">
        <v>59.54387828131123</v>
      </c>
      <c r="L6224" s="13">
        <v>2.2200000000000002</v>
      </c>
      <c r="M6224" s="13"/>
      <c r="N6224" s="17">
        <f t="shared" si="204"/>
        <v>1434.1200000000001</v>
      </c>
      <c r="O6224" s="17">
        <f t="shared" si="204"/>
        <v>0</v>
      </c>
      <c r="P6224" s="17">
        <f t="shared" si="205"/>
        <v>1434.1200000000001</v>
      </c>
      <c r="Q6224" t="str">
        <f>A6224&amp;"-"&amp;B6224&amp;"-"&amp;D6224</f>
        <v>DESEMBER-MJ2-L10</v>
      </c>
    </row>
    <row r="6225" spans="1:17" x14ac:dyDescent="0.25">
      <c r="A6225" t="s">
        <v>402</v>
      </c>
      <c r="B6225" s="13" t="s">
        <v>26</v>
      </c>
      <c r="C6225" s="13" t="s">
        <v>226</v>
      </c>
      <c r="D6225" s="14" t="s">
        <v>301</v>
      </c>
      <c r="E6225" s="13" t="s">
        <v>61</v>
      </c>
      <c r="F6225" s="13" t="s">
        <v>1946</v>
      </c>
      <c r="G6225" s="13">
        <v>0.79</v>
      </c>
      <c r="H6225" s="15">
        <v>280</v>
      </c>
      <c r="I6225" s="16">
        <v>221.19999999999996</v>
      </c>
      <c r="J6225" s="16">
        <v>195.56753231543973</v>
      </c>
      <c r="K6225" s="16">
        <v>25.632467684560247</v>
      </c>
      <c r="L6225" s="13">
        <v>2</v>
      </c>
      <c r="M6225" s="13"/>
      <c r="N6225" s="17">
        <f t="shared" si="204"/>
        <v>560</v>
      </c>
      <c r="O6225" s="17">
        <f t="shared" si="204"/>
        <v>0</v>
      </c>
      <c r="P6225" s="17">
        <f t="shared" si="205"/>
        <v>560</v>
      </c>
      <c r="Q6225" t="str">
        <f>A6225&amp;"-"&amp;B6225&amp;"-"&amp;D6225</f>
        <v>DESEMBER-MJ2-L10</v>
      </c>
    </row>
    <row r="6226" spans="1:17" x14ac:dyDescent="0.25">
      <c r="A6226" t="s">
        <v>402</v>
      </c>
      <c r="B6226" s="13" t="s">
        <v>26</v>
      </c>
      <c r="C6226" s="13" t="s">
        <v>226</v>
      </c>
      <c r="D6226" s="14" t="s">
        <v>301</v>
      </c>
      <c r="E6226" s="13" t="s">
        <v>61</v>
      </c>
      <c r="F6226" s="13" t="s">
        <v>2086</v>
      </c>
      <c r="G6226" s="13">
        <v>0.79</v>
      </c>
      <c r="H6226" s="15">
        <v>1285</v>
      </c>
      <c r="I6226" s="16">
        <v>1015.1499999999999</v>
      </c>
      <c r="J6226" s="16">
        <v>1007.4859041370404</v>
      </c>
      <c r="K6226" s="16">
        <v>7.6640958629594138</v>
      </c>
      <c r="L6226" s="13">
        <v>2</v>
      </c>
      <c r="M6226" s="13"/>
      <c r="N6226" s="17">
        <f t="shared" si="204"/>
        <v>2570</v>
      </c>
      <c r="O6226" s="17">
        <f t="shared" si="204"/>
        <v>0</v>
      </c>
      <c r="P6226" s="17">
        <f t="shared" si="205"/>
        <v>2570</v>
      </c>
      <c r="Q6226" t="str">
        <f>A6226&amp;"-"&amp;B6226&amp;"-"&amp;D6226</f>
        <v>DESEMBER-MJ2-L10</v>
      </c>
    </row>
    <row r="6227" spans="1:17" x14ac:dyDescent="0.25">
      <c r="A6227" t="s">
        <v>402</v>
      </c>
      <c r="B6227" s="13" t="s">
        <v>26</v>
      </c>
      <c r="C6227" s="13" t="s">
        <v>226</v>
      </c>
      <c r="D6227" s="14" t="s">
        <v>301</v>
      </c>
      <c r="E6227" s="13" t="s">
        <v>61</v>
      </c>
      <c r="F6227" s="13" t="s">
        <v>2087</v>
      </c>
      <c r="G6227" s="13">
        <v>0.77</v>
      </c>
      <c r="H6227" s="15">
        <v>271</v>
      </c>
      <c r="I6227" s="16">
        <v>208.67000000000002</v>
      </c>
      <c r="J6227" s="16">
        <v>233.94994036940216</v>
      </c>
      <c r="K6227" s="16">
        <v>-25.279940369402148</v>
      </c>
      <c r="L6227" s="13">
        <v>2.15</v>
      </c>
      <c r="M6227" s="13"/>
      <c r="N6227" s="17">
        <f t="shared" si="204"/>
        <v>582.65</v>
      </c>
      <c r="O6227" s="17">
        <f t="shared" si="204"/>
        <v>0</v>
      </c>
      <c r="P6227" s="17">
        <f t="shared" si="205"/>
        <v>582.65</v>
      </c>
      <c r="Q6227" t="str">
        <f>A6227&amp;"-"&amp;B6227&amp;"-"&amp;D6227</f>
        <v>DESEMBER-MJ2-L10</v>
      </c>
    </row>
    <row r="6228" spans="1:17" x14ac:dyDescent="0.25">
      <c r="A6228" t="s">
        <v>402</v>
      </c>
      <c r="B6228" s="13" t="s">
        <v>26</v>
      </c>
      <c r="C6228" s="13" t="s">
        <v>226</v>
      </c>
      <c r="D6228" s="14" t="s">
        <v>301</v>
      </c>
      <c r="E6228" s="13" t="s">
        <v>61</v>
      </c>
      <c r="F6228" s="13" t="s">
        <v>1947</v>
      </c>
      <c r="G6228" s="13">
        <v>0.81</v>
      </c>
      <c r="H6228" s="15">
        <v>33</v>
      </c>
      <c r="I6228" s="16">
        <v>26.73</v>
      </c>
      <c r="J6228" s="16">
        <v>20.606666666666666</v>
      </c>
      <c r="K6228" s="16">
        <v>6.1233333333333348</v>
      </c>
      <c r="L6228" s="13">
        <v>2.21</v>
      </c>
      <c r="M6228" s="13"/>
      <c r="N6228" s="17">
        <f t="shared" si="204"/>
        <v>72.929999999999993</v>
      </c>
      <c r="O6228" s="17">
        <f t="shared" si="204"/>
        <v>0</v>
      </c>
      <c r="P6228" s="17">
        <f t="shared" si="205"/>
        <v>72.929999999999993</v>
      </c>
      <c r="Q6228" t="str">
        <f>A6228&amp;"-"&amp;B6228&amp;"-"&amp;D6228</f>
        <v>DESEMBER-MJ2-L10</v>
      </c>
    </row>
    <row r="6229" spans="1:17" x14ac:dyDescent="0.25">
      <c r="A6229" t="s">
        <v>402</v>
      </c>
      <c r="B6229" s="13" t="s">
        <v>26</v>
      </c>
      <c r="C6229" s="13" t="s">
        <v>226</v>
      </c>
      <c r="D6229" s="14" t="s">
        <v>301</v>
      </c>
      <c r="E6229" s="13" t="s">
        <v>61</v>
      </c>
      <c r="F6229" s="13" t="s">
        <v>2088</v>
      </c>
      <c r="G6229" s="13">
        <v>0.82999999999999985</v>
      </c>
      <c r="H6229" s="15">
        <v>1957</v>
      </c>
      <c r="I6229" s="16">
        <v>1624.3100000000002</v>
      </c>
      <c r="J6229" s="16">
        <v>1385.3074913439571</v>
      </c>
      <c r="K6229" s="16">
        <v>239.00250865604312</v>
      </c>
      <c r="L6229" s="13">
        <v>2.13</v>
      </c>
      <c r="M6229" s="13"/>
      <c r="N6229" s="17">
        <f t="shared" si="204"/>
        <v>4168.41</v>
      </c>
      <c r="O6229" s="17">
        <f t="shared" si="204"/>
        <v>0</v>
      </c>
      <c r="P6229" s="17">
        <f t="shared" si="205"/>
        <v>4168.41</v>
      </c>
      <c r="Q6229" t="str">
        <f>A6229&amp;"-"&amp;B6229&amp;"-"&amp;D6229</f>
        <v>DESEMBER-MJ2-L10</v>
      </c>
    </row>
    <row r="6230" spans="1:17" x14ac:dyDescent="0.25">
      <c r="A6230" t="s">
        <v>402</v>
      </c>
      <c r="B6230" s="13" t="s">
        <v>26</v>
      </c>
      <c r="C6230" s="13" t="s">
        <v>226</v>
      </c>
      <c r="D6230" s="14" t="s">
        <v>301</v>
      </c>
      <c r="E6230" s="13" t="s">
        <v>61</v>
      </c>
      <c r="F6230" s="13" t="s">
        <v>2089</v>
      </c>
      <c r="G6230" s="13">
        <v>0.78</v>
      </c>
      <c r="H6230" s="15">
        <v>249</v>
      </c>
      <c r="I6230" s="16">
        <v>194.22</v>
      </c>
      <c r="J6230" s="16">
        <v>184.27751233777073</v>
      </c>
      <c r="K6230" s="16">
        <v>9.9424876622292366</v>
      </c>
      <c r="L6230" s="13">
        <v>2.29</v>
      </c>
      <c r="M6230" s="13"/>
      <c r="N6230" s="17">
        <f t="shared" si="204"/>
        <v>570.21</v>
      </c>
      <c r="O6230" s="17">
        <f t="shared" si="204"/>
        <v>0</v>
      </c>
      <c r="P6230" s="17">
        <f t="shared" si="205"/>
        <v>570.21</v>
      </c>
      <c r="Q6230" t="str">
        <f>A6230&amp;"-"&amp;B6230&amp;"-"&amp;D6230</f>
        <v>DESEMBER-MJ2-L10</v>
      </c>
    </row>
    <row r="6231" spans="1:17" x14ac:dyDescent="0.25">
      <c r="A6231" t="s">
        <v>402</v>
      </c>
      <c r="B6231" s="13" t="s">
        <v>26</v>
      </c>
      <c r="C6231" s="13" t="s">
        <v>226</v>
      </c>
      <c r="D6231" s="14" t="s">
        <v>301</v>
      </c>
      <c r="E6231" s="13" t="s">
        <v>61</v>
      </c>
      <c r="F6231" s="13" t="s">
        <v>1950</v>
      </c>
      <c r="G6231" s="13">
        <v>0.8</v>
      </c>
      <c r="H6231" s="15">
        <v>75</v>
      </c>
      <c r="I6231" s="16">
        <v>60</v>
      </c>
      <c r="J6231" s="16">
        <v>54.647925529050667</v>
      </c>
      <c r="K6231" s="16">
        <v>5.3520744709493329</v>
      </c>
      <c r="L6231" s="13">
        <v>2.0699999999999998</v>
      </c>
      <c r="M6231" s="13"/>
      <c r="N6231" s="17">
        <f t="shared" si="204"/>
        <v>155.25</v>
      </c>
      <c r="O6231" s="17">
        <f t="shared" si="204"/>
        <v>0</v>
      </c>
      <c r="P6231" s="17">
        <f t="shared" si="205"/>
        <v>155.25</v>
      </c>
      <c r="Q6231" t="str">
        <f>A6231&amp;"-"&amp;B6231&amp;"-"&amp;D6231</f>
        <v>DESEMBER-MJ2-L10</v>
      </c>
    </row>
    <row r="6232" spans="1:17" x14ac:dyDescent="0.25">
      <c r="A6232" t="s">
        <v>402</v>
      </c>
      <c r="B6232" s="13" t="s">
        <v>26</v>
      </c>
      <c r="C6232" s="13" t="s">
        <v>226</v>
      </c>
      <c r="D6232" s="14" t="s">
        <v>301</v>
      </c>
      <c r="E6232" s="13" t="s">
        <v>61</v>
      </c>
      <c r="F6232" s="13" t="s">
        <v>2090</v>
      </c>
      <c r="G6232" s="13">
        <v>0.80000000000000016</v>
      </c>
      <c r="H6232" s="15">
        <v>681</v>
      </c>
      <c r="I6232" s="16">
        <v>544.79999999999995</v>
      </c>
      <c r="J6232" s="16">
        <v>443.28075006272269</v>
      </c>
      <c r="K6232" s="16">
        <v>101.51924993727732</v>
      </c>
      <c r="L6232" s="13">
        <v>2.0699999999999998</v>
      </c>
      <c r="M6232" s="13"/>
      <c r="N6232" s="17">
        <f t="shared" si="204"/>
        <v>1409.6699999999998</v>
      </c>
      <c r="O6232" s="17">
        <f t="shared" si="204"/>
        <v>0</v>
      </c>
      <c r="P6232" s="17">
        <f t="shared" si="205"/>
        <v>1409.6699999999998</v>
      </c>
      <c r="Q6232" t="str">
        <f>A6232&amp;"-"&amp;B6232&amp;"-"&amp;D6232</f>
        <v>DESEMBER-MJ2-L10</v>
      </c>
    </row>
    <row r="6233" spans="1:17" x14ac:dyDescent="0.25">
      <c r="A6233" t="s">
        <v>402</v>
      </c>
      <c r="B6233" s="13" t="s">
        <v>26</v>
      </c>
      <c r="C6233" s="13" t="s">
        <v>226</v>
      </c>
      <c r="D6233" s="14" t="s">
        <v>301</v>
      </c>
      <c r="E6233" s="13" t="s">
        <v>61</v>
      </c>
      <c r="F6233" s="13" t="s">
        <v>2091</v>
      </c>
      <c r="G6233" s="13">
        <v>0.78</v>
      </c>
      <c r="H6233" s="15">
        <v>222</v>
      </c>
      <c r="I6233" s="16">
        <v>173.16</v>
      </c>
      <c r="J6233" s="16">
        <v>149.04311064278187</v>
      </c>
      <c r="K6233" s="16">
        <v>24.11688935721812</v>
      </c>
      <c r="L6233" s="13">
        <v>2.2200000000000002</v>
      </c>
      <c r="M6233" s="13"/>
      <c r="N6233" s="17">
        <f t="shared" si="204"/>
        <v>492.84000000000003</v>
      </c>
      <c r="O6233" s="17">
        <f t="shared" si="204"/>
        <v>0</v>
      </c>
      <c r="P6233" s="17">
        <f t="shared" si="205"/>
        <v>492.84000000000003</v>
      </c>
      <c r="Q6233" t="str">
        <f>A6233&amp;"-"&amp;B6233&amp;"-"&amp;D6233</f>
        <v>DESEMBER-MJ2-L10</v>
      </c>
    </row>
    <row r="6234" spans="1:17" x14ac:dyDescent="0.25">
      <c r="A6234" t="s">
        <v>402</v>
      </c>
      <c r="B6234" s="13" t="s">
        <v>26</v>
      </c>
      <c r="C6234" s="13" t="s">
        <v>226</v>
      </c>
      <c r="D6234" s="14" t="s">
        <v>301</v>
      </c>
      <c r="E6234" s="13" t="s">
        <v>61</v>
      </c>
      <c r="F6234" s="13" t="s">
        <v>2092</v>
      </c>
      <c r="G6234" s="13">
        <v>0.82999999999999985</v>
      </c>
      <c r="H6234" s="15">
        <v>4142</v>
      </c>
      <c r="I6234" s="16">
        <v>3437.8599999999997</v>
      </c>
      <c r="J6234" s="16">
        <v>2974.0980188351909</v>
      </c>
      <c r="K6234" s="16">
        <v>463.76198116480884</v>
      </c>
      <c r="L6234" s="13">
        <v>2.13</v>
      </c>
      <c r="M6234" s="13"/>
      <c r="N6234" s="17">
        <f t="shared" si="204"/>
        <v>8822.4599999999991</v>
      </c>
      <c r="O6234" s="17">
        <f t="shared" si="204"/>
        <v>0</v>
      </c>
      <c r="P6234" s="17">
        <f t="shared" si="205"/>
        <v>8822.4599999999991</v>
      </c>
      <c r="Q6234" t="str">
        <f>A6234&amp;"-"&amp;B6234&amp;"-"&amp;D6234</f>
        <v>DESEMBER-MJ2-L10</v>
      </c>
    </row>
    <row r="6235" spans="1:17" x14ac:dyDescent="0.25">
      <c r="A6235" t="s">
        <v>402</v>
      </c>
      <c r="B6235" s="13" t="s">
        <v>26</v>
      </c>
      <c r="C6235" s="13" t="s">
        <v>226</v>
      </c>
      <c r="D6235" s="14" t="s">
        <v>301</v>
      </c>
      <c r="E6235" s="13" t="s">
        <v>61</v>
      </c>
      <c r="F6235" s="13" t="s">
        <v>2093</v>
      </c>
      <c r="G6235" s="13">
        <v>0.65</v>
      </c>
      <c r="H6235" s="15">
        <v>4482</v>
      </c>
      <c r="I6235" s="16">
        <v>2913.3</v>
      </c>
      <c r="J6235" s="16">
        <v>2541.0266726119494</v>
      </c>
      <c r="K6235" s="16">
        <v>372.27332738805023</v>
      </c>
      <c r="L6235" s="13">
        <v>1.66</v>
      </c>
      <c r="M6235" s="13"/>
      <c r="N6235" s="17">
        <f t="shared" si="204"/>
        <v>7440.12</v>
      </c>
      <c r="O6235" s="17">
        <f t="shared" si="204"/>
        <v>0</v>
      </c>
      <c r="P6235" s="17">
        <f t="shared" si="205"/>
        <v>7440.12</v>
      </c>
      <c r="Q6235" t="str">
        <f>A6235&amp;"-"&amp;B6235&amp;"-"&amp;D6235</f>
        <v>DESEMBER-MJ2-L10</v>
      </c>
    </row>
    <row r="6236" spans="1:17" x14ac:dyDescent="0.25">
      <c r="A6236" t="s">
        <v>402</v>
      </c>
      <c r="B6236" s="13" t="s">
        <v>26</v>
      </c>
      <c r="C6236" s="13" t="s">
        <v>226</v>
      </c>
      <c r="D6236" s="14" t="s">
        <v>301</v>
      </c>
      <c r="E6236" s="13" t="s">
        <v>61</v>
      </c>
      <c r="F6236" s="13" t="s">
        <v>1952</v>
      </c>
      <c r="G6236" s="13">
        <v>0.65</v>
      </c>
      <c r="H6236" s="15">
        <v>262</v>
      </c>
      <c r="I6236" s="16">
        <v>170.3</v>
      </c>
      <c r="J6236" s="16">
        <v>163.60444444444443</v>
      </c>
      <c r="K6236" s="16">
        <v>6.6955555555555861</v>
      </c>
      <c r="L6236" s="13">
        <v>1.66</v>
      </c>
      <c r="M6236" s="13"/>
      <c r="N6236" s="17">
        <f t="shared" si="204"/>
        <v>434.91999999999996</v>
      </c>
      <c r="O6236" s="17">
        <f t="shared" si="204"/>
        <v>0</v>
      </c>
      <c r="P6236" s="17">
        <f t="shared" si="205"/>
        <v>434.91999999999996</v>
      </c>
      <c r="Q6236" t="str">
        <f>A6236&amp;"-"&amp;B6236&amp;"-"&amp;D6236</f>
        <v>DESEMBER-MJ2-L10</v>
      </c>
    </row>
    <row r="6237" spans="1:17" x14ac:dyDescent="0.25">
      <c r="A6237" t="s">
        <v>402</v>
      </c>
      <c r="B6237" s="13" t="s">
        <v>26</v>
      </c>
      <c r="C6237" s="13" t="s">
        <v>226</v>
      </c>
      <c r="D6237" s="14" t="s">
        <v>301</v>
      </c>
      <c r="E6237" s="13" t="s">
        <v>61</v>
      </c>
      <c r="F6237" s="13" t="s">
        <v>2094</v>
      </c>
      <c r="G6237" s="13">
        <v>0.65</v>
      </c>
      <c r="H6237" s="15">
        <v>1722</v>
      </c>
      <c r="I6237" s="16">
        <v>1119.3</v>
      </c>
      <c r="J6237" s="16">
        <v>1028.1025378191662</v>
      </c>
      <c r="K6237" s="16">
        <v>91.197462180833924</v>
      </c>
      <c r="L6237" s="13">
        <v>1.66</v>
      </c>
      <c r="M6237" s="13"/>
      <c r="N6237" s="17">
        <f t="shared" si="204"/>
        <v>2858.52</v>
      </c>
      <c r="O6237" s="17">
        <f t="shared" si="204"/>
        <v>0</v>
      </c>
      <c r="P6237" s="17">
        <f t="shared" si="205"/>
        <v>2858.52</v>
      </c>
      <c r="Q6237" t="str">
        <f>A6237&amp;"-"&amp;B6237&amp;"-"&amp;D6237</f>
        <v>DESEMBER-MJ2-L10</v>
      </c>
    </row>
    <row r="6238" spans="1:17" x14ac:dyDescent="0.25">
      <c r="A6238" t="s">
        <v>402</v>
      </c>
      <c r="B6238" s="13" t="s">
        <v>26</v>
      </c>
      <c r="C6238" s="13" t="s">
        <v>226</v>
      </c>
      <c r="D6238" s="14" t="s">
        <v>301</v>
      </c>
      <c r="E6238" s="13" t="s">
        <v>61</v>
      </c>
      <c r="F6238" s="13" t="s">
        <v>2095</v>
      </c>
      <c r="G6238" s="13">
        <v>0.65</v>
      </c>
      <c r="H6238" s="15">
        <v>2997</v>
      </c>
      <c r="I6238" s="16">
        <v>1948.05</v>
      </c>
      <c r="J6238" s="16">
        <v>1906.6721675261758</v>
      </c>
      <c r="K6238" s="16">
        <v>41.377832473824128</v>
      </c>
      <c r="L6238" s="13">
        <v>1.64</v>
      </c>
      <c r="M6238" s="13"/>
      <c r="N6238" s="17">
        <f t="shared" si="204"/>
        <v>4915.08</v>
      </c>
      <c r="O6238" s="17">
        <f t="shared" si="204"/>
        <v>0</v>
      </c>
      <c r="P6238" s="17">
        <f t="shared" si="205"/>
        <v>4915.08</v>
      </c>
      <c r="Q6238" t="str">
        <f>A6238&amp;"-"&amp;B6238&amp;"-"&amp;D6238</f>
        <v>DESEMBER-MJ2-L10</v>
      </c>
    </row>
    <row r="6239" spans="1:17" x14ac:dyDescent="0.25">
      <c r="A6239" t="s">
        <v>402</v>
      </c>
      <c r="B6239" s="13" t="s">
        <v>26</v>
      </c>
      <c r="C6239" s="13" t="s">
        <v>226</v>
      </c>
      <c r="D6239" s="14" t="s">
        <v>287</v>
      </c>
      <c r="E6239" s="13" t="s">
        <v>61</v>
      </c>
      <c r="F6239" s="13" t="s">
        <v>1931</v>
      </c>
      <c r="G6239" s="13">
        <v>0.68</v>
      </c>
      <c r="H6239" s="15">
        <v>37</v>
      </c>
      <c r="I6239" s="16">
        <v>25.16</v>
      </c>
      <c r="J6239" s="16">
        <v>22.383207750269108</v>
      </c>
      <c r="K6239" s="16">
        <v>2.7767922497308923</v>
      </c>
      <c r="L6239" s="13">
        <v>1.69</v>
      </c>
      <c r="M6239" s="13"/>
      <c r="N6239" s="17">
        <f t="shared" si="204"/>
        <v>62.53</v>
      </c>
      <c r="O6239" s="17">
        <f t="shared" si="204"/>
        <v>0</v>
      </c>
      <c r="P6239" s="17">
        <f t="shared" si="205"/>
        <v>62.53</v>
      </c>
      <c r="Q6239" t="str">
        <f>A6239&amp;"-"&amp;B6239&amp;"-"&amp;D6239</f>
        <v>DESEMBER-MJ2-L11</v>
      </c>
    </row>
    <row r="6240" spans="1:17" x14ac:dyDescent="0.25">
      <c r="A6240" t="s">
        <v>402</v>
      </c>
      <c r="B6240" s="13" t="s">
        <v>26</v>
      </c>
      <c r="C6240" s="13" t="s">
        <v>226</v>
      </c>
      <c r="D6240" s="14" t="s">
        <v>287</v>
      </c>
      <c r="E6240" s="13" t="s">
        <v>61</v>
      </c>
      <c r="F6240" s="13" t="s">
        <v>2077</v>
      </c>
      <c r="G6240" s="13">
        <v>0.68</v>
      </c>
      <c r="H6240" s="15">
        <v>3933</v>
      </c>
      <c r="I6240" s="16">
        <v>2674.44</v>
      </c>
      <c r="J6240" s="16">
        <v>2583.5873422170562</v>
      </c>
      <c r="K6240" s="16">
        <v>90.852657782943695</v>
      </c>
      <c r="L6240" s="13">
        <v>1.61</v>
      </c>
      <c r="M6240" s="13"/>
      <c r="N6240" s="17">
        <f t="shared" si="204"/>
        <v>6332.13</v>
      </c>
      <c r="O6240" s="17">
        <f t="shared" si="204"/>
        <v>0</v>
      </c>
      <c r="P6240" s="17">
        <f t="shared" si="205"/>
        <v>6332.13</v>
      </c>
      <c r="Q6240" t="str">
        <f>A6240&amp;"-"&amp;B6240&amp;"-"&amp;D6240</f>
        <v>DESEMBER-MJ2-L11</v>
      </c>
    </row>
    <row r="6241" spans="1:17" x14ac:dyDescent="0.25">
      <c r="A6241" t="s">
        <v>402</v>
      </c>
      <c r="B6241" s="13" t="s">
        <v>26</v>
      </c>
      <c r="C6241" s="13" t="s">
        <v>226</v>
      </c>
      <c r="D6241" s="14" t="s">
        <v>287</v>
      </c>
      <c r="E6241" s="13" t="s">
        <v>61</v>
      </c>
      <c r="F6241" s="13" t="s">
        <v>2078</v>
      </c>
      <c r="G6241" s="13">
        <v>0.68</v>
      </c>
      <c r="H6241" s="15">
        <v>535</v>
      </c>
      <c r="I6241" s="16">
        <v>363.8</v>
      </c>
      <c r="J6241" s="16">
        <v>336.09946494711738</v>
      </c>
      <c r="K6241" s="16">
        <v>27.700535052882596</v>
      </c>
      <c r="L6241" s="13">
        <v>1.72</v>
      </c>
      <c r="M6241" s="13"/>
      <c r="N6241" s="17">
        <f t="shared" si="204"/>
        <v>920.19999999999993</v>
      </c>
      <c r="O6241" s="17">
        <f t="shared" si="204"/>
        <v>0</v>
      </c>
      <c r="P6241" s="17">
        <f t="shared" si="205"/>
        <v>920.19999999999993</v>
      </c>
      <c r="Q6241" t="str">
        <f>A6241&amp;"-"&amp;B6241&amp;"-"&amp;D6241</f>
        <v>DESEMBER-MJ2-L11</v>
      </c>
    </row>
    <row r="6242" spans="1:17" x14ac:dyDescent="0.25">
      <c r="A6242" t="s">
        <v>402</v>
      </c>
      <c r="B6242" s="13" t="s">
        <v>26</v>
      </c>
      <c r="C6242" s="13" t="s">
        <v>226</v>
      </c>
      <c r="D6242" s="14" t="s">
        <v>287</v>
      </c>
      <c r="E6242" s="13" t="s">
        <v>61</v>
      </c>
      <c r="F6242" s="13" t="s">
        <v>2079</v>
      </c>
      <c r="G6242" s="13">
        <v>0.68</v>
      </c>
      <c r="H6242" s="15">
        <v>1105</v>
      </c>
      <c r="I6242" s="16">
        <v>751.4</v>
      </c>
      <c r="J6242" s="16">
        <v>710.09940821513703</v>
      </c>
      <c r="K6242" s="16">
        <v>41.300591784862888</v>
      </c>
      <c r="L6242" s="13">
        <v>1.7</v>
      </c>
      <c r="M6242" s="13"/>
      <c r="N6242" s="17">
        <f t="shared" si="204"/>
        <v>1878.5</v>
      </c>
      <c r="O6242" s="17">
        <f t="shared" si="204"/>
        <v>0</v>
      </c>
      <c r="P6242" s="17">
        <f t="shared" si="205"/>
        <v>1878.5</v>
      </c>
      <c r="Q6242" t="str">
        <f>A6242&amp;"-"&amp;B6242&amp;"-"&amp;D6242</f>
        <v>DESEMBER-MJ2-L11</v>
      </c>
    </row>
    <row r="6243" spans="1:17" x14ac:dyDescent="0.25">
      <c r="A6243" t="s">
        <v>402</v>
      </c>
      <c r="B6243" s="13" t="s">
        <v>26</v>
      </c>
      <c r="C6243" s="13" t="s">
        <v>226</v>
      </c>
      <c r="D6243" s="14" t="s">
        <v>287</v>
      </c>
      <c r="E6243" s="13" t="s">
        <v>61</v>
      </c>
      <c r="F6243" s="13" t="s">
        <v>1932</v>
      </c>
      <c r="G6243" s="13">
        <v>0.68</v>
      </c>
      <c r="H6243" s="15">
        <v>657</v>
      </c>
      <c r="I6243" s="16">
        <v>446.76</v>
      </c>
      <c r="J6243" s="16">
        <v>428.62218076442593</v>
      </c>
      <c r="K6243" s="16">
        <v>18.137819235574081</v>
      </c>
      <c r="L6243" s="13">
        <v>1.7</v>
      </c>
      <c r="M6243" s="13"/>
      <c r="N6243" s="17">
        <f t="shared" si="204"/>
        <v>1116.8999999999999</v>
      </c>
      <c r="O6243" s="17">
        <f t="shared" si="204"/>
        <v>0</v>
      </c>
      <c r="P6243" s="17">
        <f t="shared" si="205"/>
        <v>1116.8999999999999</v>
      </c>
      <c r="Q6243" t="str">
        <f>A6243&amp;"-"&amp;B6243&amp;"-"&amp;D6243</f>
        <v>DESEMBER-MJ2-L11</v>
      </c>
    </row>
    <row r="6244" spans="1:17" x14ac:dyDescent="0.25">
      <c r="A6244" t="s">
        <v>402</v>
      </c>
      <c r="B6244" s="13" t="s">
        <v>26</v>
      </c>
      <c r="C6244" s="13" t="s">
        <v>226</v>
      </c>
      <c r="D6244" s="14" t="s">
        <v>287</v>
      </c>
      <c r="E6244" s="13" t="s">
        <v>61</v>
      </c>
      <c r="F6244" s="13" t="s">
        <v>1933</v>
      </c>
      <c r="G6244" s="13">
        <v>0.68</v>
      </c>
      <c r="H6244" s="15">
        <v>92</v>
      </c>
      <c r="I6244" s="16">
        <v>62.56</v>
      </c>
      <c r="J6244" s="16">
        <v>58.050190666534611</v>
      </c>
      <c r="K6244" s="16">
        <v>4.509809333465391</v>
      </c>
      <c r="L6244" s="13">
        <v>1.7</v>
      </c>
      <c r="M6244" s="13"/>
      <c r="N6244" s="17">
        <f t="shared" si="204"/>
        <v>156.4</v>
      </c>
      <c r="O6244" s="17">
        <f t="shared" si="204"/>
        <v>0</v>
      </c>
      <c r="P6244" s="17">
        <f t="shared" si="205"/>
        <v>156.4</v>
      </c>
      <c r="Q6244" t="str">
        <f>A6244&amp;"-"&amp;B6244&amp;"-"&amp;D6244</f>
        <v>DESEMBER-MJ2-L11</v>
      </c>
    </row>
    <row r="6245" spans="1:17" x14ac:dyDescent="0.25">
      <c r="A6245" t="s">
        <v>402</v>
      </c>
      <c r="B6245" s="13" t="s">
        <v>26</v>
      </c>
      <c r="C6245" s="13" t="s">
        <v>226</v>
      </c>
      <c r="D6245" s="14" t="s">
        <v>287</v>
      </c>
      <c r="E6245" s="13" t="s">
        <v>61</v>
      </c>
      <c r="F6245" s="13" t="s">
        <v>2080</v>
      </c>
      <c r="G6245" s="13">
        <v>0.83</v>
      </c>
      <c r="H6245" s="15">
        <v>971</v>
      </c>
      <c r="I6245" s="16">
        <v>805.93000000000006</v>
      </c>
      <c r="J6245" s="16">
        <v>730.63961148855424</v>
      </c>
      <c r="K6245" s="16">
        <v>75.290388511445769</v>
      </c>
      <c r="L6245" s="13">
        <v>2.13</v>
      </c>
      <c r="M6245" s="13"/>
      <c r="N6245" s="17">
        <f t="shared" si="204"/>
        <v>2068.23</v>
      </c>
      <c r="O6245" s="17">
        <f t="shared" si="204"/>
        <v>0</v>
      </c>
      <c r="P6245" s="17">
        <f t="shared" si="205"/>
        <v>2068.23</v>
      </c>
      <c r="Q6245" t="str">
        <f>A6245&amp;"-"&amp;B6245&amp;"-"&amp;D6245</f>
        <v>DESEMBER-MJ2-L11</v>
      </c>
    </row>
    <row r="6246" spans="1:17" x14ac:dyDescent="0.25">
      <c r="A6246" t="s">
        <v>402</v>
      </c>
      <c r="B6246" s="13" t="s">
        <v>26</v>
      </c>
      <c r="C6246" s="13" t="s">
        <v>226</v>
      </c>
      <c r="D6246" s="14" t="s">
        <v>287</v>
      </c>
      <c r="E6246" s="13" t="s">
        <v>61</v>
      </c>
      <c r="F6246" s="13" t="s">
        <v>1934</v>
      </c>
      <c r="G6246" s="13">
        <v>0.79</v>
      </c>
      <c r="H6246" s="15">
        <v>12</v>
      </c>
      <c r="I6246" s="16">
        <v>9.48</v>
      </c>
      <c r="J6246" s="16">
        <v>9.1444067796610167</v>
      </c>
      <c r="K6246" s="16">
        <v>0.33559322033898376</v>
      </c>
      <c r="L6246" s="13">
        <v>2</v>
      </c>
      <c r="M6246" s="13"/>
      <c r="N6246" s="17">
        <f t="shared" si="204"/>
        <v>24</v>
      </c>
      <c r="O6246" s="17">
        <f t="shared" si="204"/>
        <v>0</v>
      </c>
      <c r="P6246" s="17">
        <f t="shared" si="205"/>
        <v>24</v>
      </c>
      <c r="Q6246" t="str">
        <f>A6246&amp;"-"&amp;B6246&amp;"-"&amp;D6246</f>
        <v>DESEMBER-MJ2-L11</v>
      </c>
    </row>
    <row r="6247" spans="1:17" x14ac:dyDescent="0.25">
      <c r="A6247" t="s">
        <v>402</v>
      </c>
      <c r="B6247" s="13" t="s">
        <v>26</v>
      </c>
      <c r="C6247" s="13" t="s">
        <v>226</v>
      </c>
      <c r="D6247" s="14" t="s">
        <v>287</v>
      </c>
      <c r="E6247" s="13" t="s">
        <v>61</v>
      </c>
      <c r="F6247" s="13" t="s">
        <v>2081</v>
      </c>
      <c r="G6247" s="13">
        <v>0.79</v>
      </c>
      <c r="H6247" s="15">
        <v>1692</v>
      </c>
      <c r="I6247" s="16">
        <v>1336.6799999999998</v>
      </c>
      <c r="J6247" s="16">
        <v>1117.3973522731308</v>
      </c>
      <c r="K6247" s="16">
        <v>219.28264772686907</v>
      </c>
      <c r="L6247" s="13">
        <v>2</v>
      </c>
      <c r="M6247" s="13"/>
      <c r="N6247" s="17">
        <f t="shared" si="204"/>
        <v>3384</v>
      </c>
      <c r="O6247" s="17">
        <f t="shared" si="204"/>
        <v>0</v>
      </c>
      <c r="P6247" s="17">
        <f t="shared" si="205"/>
        <v>3384</v>
      </c>
      <c r="Q6247" t="str">
        <f>A6247&amp;"-"&amp;B6247&amp;"-"&amp;D6247</f>
        <v>DESEMBER-MJ2-L11</v>
      </c>
    </row>
    <row r="6248" spans="1:17" x14ac:dyDescent="0.25">
      <c r="A6248" t="s">
        <v>402</v>
      </c>
      <c r="B6248" s="13" t="s">
        <v>26</v>
      </c>
      <c r="C6248" s="13" t="s">
        <v>226</v>
      </c>
      <c r="D6248" s="14" t="s">
        <v>287</v>
      </c>
      <c r="E6248" s="13" t="s">
        <v>61</v>
      </c>
      <c r="F6248" s="13" t="s">
        <v>1978</v>
      </c>
      <c r="G6248" s="13">
        <v>0.81</v>
      </c>
      <c r="H6248" s="15">
        <v>2</v>
      </c>
      <c r="I6248" s="16">
        <v>1.62</v>
      </c>
      <c r="J6248" s="16">
        <v>1.2488888888888889</v>
      </c>
      <c r="K6248" s="16">
        <v>0.37111111111111117</v>
      </c>
      <c r="L6248" s="13">
        <v>2.21</v>
      </c>
      <c r="M6248" s="13"/>
      <c r="N6248" s="17">
        <f t="shared" si="204"/>
        <v>4.42</v>
      </c>
      <c r="O6248" s="17">
        <f t="shared" si="204"/>
        <v>0</v>
      </c>
      <c r="P6248" s="17">
        <f t="shared" si="205"/>
        <v>4.42</v>
      </c>
      <c r="Q6248" t="str">
        <f>A6248&amp;"-"&amp;B6248&amp;"-"&amp;D6248</f>
        <v>DESEMBER-MJ2-L11</v>
      </c>
    </row>
    <row r="6249" spans="1:17" x14ac:dyDescent="0.25">
      <c r="A6249" t="s">
        <v>402</v>
      </c>
      <c r="B6249" s="13" t="s">
        <v>26</v>
      </c>
      <c r="C6249" s="13" t="s">
        <v>226</v>
      </c>
      <c r="D6249" s="14" t="s">
        <v>287</v>
      </c>
      <c r="E6249" s="13" t="s">
        <v>61</v>
      </c>
      <c r="F6249" s="13" t="s">
        <v>1940</v>
      </c>
      <c r="G6249" s="13">
        <v>0.79</v>
      </c>
      <c r="H6249" s="15">
        <v>260</v>
      </c>
      <c r="I6249" s="16">
        <v>205.4</v>
      </c>
      <c r="J6249" s="16">
        <v>177.1151515151515</v>
      </c>
      <c r="K6249" s="16">
        <v>28.28484848484851</v>
      </c>
      <c r="L6249" s="13">
        <v>2</v>
      </c>
      <c r="M6249" s="13"/>
      <c r="N6249" s="17">
        <f t="shared" si="204"/>
        <v>520</v>
      </c>
      <c r="O6249" s="17">
        <f t="shared" si="204"/>
        <v>0</v>
      </c>
      <c r="P6249" s="17">
        <f t="shared" si="205"/>
        <v>520</v>
      </c>
      <c r="Q6249" t="str">
        <f>A6249&amp;"-"&amp;B6249&amp;"-"&amp;D6249</f>
        <v>DESEMBER-MJ2-L11</v>
      </c>
    </row>
    <row r="6250" spans="1:17" x14ac:dyDescent="0.25">
      <c r="A6250" t="s">
        <v>402</v>
      </c>
      <c r="B6250" s="13" t="s">
        <v>26</v>
      </c>
      <c r="C6250" s="13" t="s">
        <v>226</v>
      </c>
      <c r="D6250" s="14" t="s">
        <v>287</v>
      </c>
      <c r="E6250" s="13" t="s">
        <v>61</v>
      </c>
      <c r="F6250" s="13" t="s">
        <v>2082</v>
      </c>
      <c r="G6250" s="13">
        <v>0.79</v>
      </c>
      <c r="H6250" s="15">
        <v>2332</v>
      </c>
      <c r="I6250" s="16">
        <v>1842.28</v>
      </c>
      <c r="J6250" s="16">
        <v>1604.6134205477065</v>
      </c>
      <c r="K6250" s="16">
        <v>237.66657945229372</v>
      </c>
      <c r="L6250" s="13">
        <v>2</v>
      </c>
      <c r="M6250" s="13"/>
      <c r="N6250" s="17">
        <f t="shared" si="204"/>
        <v>4664</v>
      </c>
      <c r="O6250" s="17">
        <f t="shared" si="204"/>
        <v>0</v>
      </c>
      <c r="P6250" s="17">
        <f t="shared" si="205"/>
        <v>4664</v>
      </c>
      <c r="Q6250" t="str">
        <f>A6250&amp;"-"&amp;B6250&amp;"-"&amp;D6250</f>
        <v>DESEMBER-MJ2-L11</v>
      </c>
    </row>
    <row r="6251" spans="1:17" x14ac:dyDescent="0.25">
      <c r="A6251" t="s">
        <v>402</v>
      </c>
      <c r="B6251" s="13" t="s">
        <v>26</v>
      </c>
      <c r="C6251" s="13" t="s">
        <v>226</v>
      </c>
      <c r="D6251" s="14" t="s">
        <v>287</v>
      </c>
      <c r="E6251" s="13" t="s">
        <v>61</v>
      </c>
      <c r="F6251" s="13" t="s">
        <v>2083</v>
      </c>
      <c r="G6251" s="13">
        <v>0.77</v>
      </c>
      <c r="H6251" s="15">
        <v>272</v>
      </c>
      <c r="I6251" s="16">
        <v>209.44</v>
      </c>
      <c r="J6251" s="16">
        <v>171.36761909643656</v>
      </c>
      <c r="K6251" s="16">
        <v>38.072380903563463</v>
      </c>
      <c r="L6251" s="13">
        <v>2.15</v>
      </c>
      <c r="M6251" s="13"/>
      <c r="N6251" s="17">
        <f t="shared" si="204"/>
        <v>584.79999999999995</v>
      </c>
      <c r="O6251" s="17">
        <f t="shared" si="204"/>
        <v>0</v>
      </c>
      <c r="P6251" s="17">
        <f t="shared" si="205"/>
        <v>584.79999999999995</v>
      </c>
      <c r="Q6251" t="str">
        <f>A6251&amp;"-"&amp;B6251&amp;"-"&amp;D6251</f>
        <v>DESEMBER-MJ2-L11</v>
      </c>
    </row>
    <row r="6252" spans="1:17" x14ac:dyDescent="0.25">
      <c r="A6252" t="s">
        <v>402</v>
      </c>
      <c r="B6252" s="13" t="s">
        <v>26</v>
      </c>
      <c r="C6252" s="13" t="s">
        <v>226</v>
      </c>
      <c r="D6252" s="14" t="s">
        <v>287</v>
      </c>
      <c r="E6252" s="13" t="s">
        <v>61</v>
      </c>
      <c r="F6252" s="13" t="s">
        <v>1942</v>
      </c>
      <c r="G6252" s="13">
        <v>0.81</v>
      </c>
      <c r="H6252" s="15">
        <v>3</v>
      </c>
      <c r="I6252" s="16">
        <v>2.4300000000000002</v>
      </c>
      <c r="J6252" s="16">
        <v>1.8733333333333335</v>
      </c>
      <c r="K6252" s="16">
        <v>0.55666666666666664</v>
      </c>
      <c r="L6252" s="13">
        <v>2.21</v>
      </c>
      <c r="M6252" s="13"/>
      <c r="N6252" s="17">
        <f t="shared" si="204"/>
        <v>6.63</v>
      </c>
      <c r="O6252" s="17">
        <f t="shared" si="204"/>
        <v>0</v>
      </c>
      <c r="P6252" s="17">
        <f t="shared" si="205"/>
        <v>6.63</v>
      </c>
      <c r="Q6252" t="str">
        <f>A6252&amp;"-"&amp;B6252&amp;"-"&amp;D6252</f>
        <v>DESEMBER-MJ2-L11</v>
      </c>
    </row>
    <row r="6253" spans="1:17" x14ac:dyDescent="0.25">
      <c r="A6253" t="s">
        <v>402</v>
      </c>
      <c r="B6253" s="13" t="s">
        <v>26</v>
      </c>
      <c r="C6253" s="13" t="s">
        <v>226</v>
      </c>
      <c r="D6253" s="14" t="s">
        <v>287</v>
      </c>
      <c r="E6253" s="13" t="s">
        <v>61</v>
      </c>
      <c r="F6253" s="13" t="s">
        <v>1943</v>
      </c>
      <c r="G6253" s="13">
        <v>0.81</v>
      </c>
      <c r="H6253" s="15">
        <v>101</v>
      </c>
      <c r="I6253" s="16">
        <v>81.81</v>
      </c>
      <c r="J6253" s="16">
        <v>63.068888888888893</v>
      </c>
      <c r="K6253" s="16">
        <v>18.74111111111111</v>
      </c>
      <c r="L6253" s="13">
        <v>2.21</v>
      </c>
      <c r="M6253" s="13"/>
      <c r="N6253" s="17">
        <f t="shared" si="204"/>
        <v>223.21</v>
      </c>
      <c r="O6253" s="17">
        <f t="shared" si="204"/>
        <v>0</v>
      </c>
      <c r="P6253" s="17">
        <f t="shared" si="205"/>
        <v>223.21</v>
      </c>
      <c r="Q6253" t="str">
        <f>A6253&amp;"-"&amp;B6253&amp;"-"&amp;D6253</f>
        <v>DESEMBER-MJ2-L11</v>
      </c>
    </row>
    <row r="6254" spans="1:17" x14ac:dyDescent="0.25">
      <c r="A6254" t="s">
        <v>402</v>
      </c>
      <c r="B6254" s="13" t="s">
        <v>26</v>
      </c>
      <c r="C6254" s="13" t="s">
        <v>226</v>
      </c>
      <c r="D6254" s="14" t="s">
        <v>287</v>
      </c>
      <c r="E6254" s="13" t="s">
        <v>61</v>
      </c>
      <c r="F6254" s="13" t="s">
        <v>2084</v>
      </c>
      <c r="G6254" s="13">
        <v>0.8</v>
      </c>
      <c r="H6254" s="15">
        <v>2523</v>
      </c>
      <c r="I6254" s="16">
        <v>2018.4</v>
      </c>
      <c r="J6254" s="16">
        <v>1722.6070345079759</v>
      </c>
      <c r="K6254" s="16">
        <v>295.79296549202422</v>
      </c>
      <c r="L6254" s="13">
        <v>2.0699999999999998</v>
      </c>
      <c r="M6254" s="13"/>
      <c r="N6254" s="17">
        <f t="shared" si="204"/>
        <v>5222.6099999999997</v>
      </c>
      <c r="O6254" s="17">
        <f t="shared" si="204"/>
        <v>0</v>
      </c>
      <c r="P6254" s="17">
        <f t="shared" si="205"/>
        <v>5222.6099999999997</v>
      </c>
      <c r="Q6254" t="str">
        <f>A6254&amp;"-"&amp;B6254&amp;"-"&amp;D6254</f>
        <v>DESEMBER-MJ2-L11</v>
      </c>
    </row>
    <row r="6255" spans="1:17" x14ac:dyDescent="0.25">
      <c r="A6255" t="s">
        <v>402</v>
      </c>
      <c r="B6255" s="13" t="s">
        <v>26</v>
      </c>
      <c r="C6255" s="13" t="s">
        <v>226</v>
      </c>
      <c r="D6255" s="14" t="s">
        <v>287</v>
      </c>
      <c r="E6255" s="13" t="s">
        <v>61</v>
      </c>
      <c r="F6255" s="13" t="s">
        <v>1945</v>
      </c>
      <c r="G6255" s="13">
        <v>0.78</v>
      </c>
      <c r="H6255" s="15">
        <v>14</v>
      </c>
      <c r="I6255" s="16">
        <v>10.92</v>
      </c>
      <c r="J6255" s="16">
        <v>10.035714285714285</v>
      </c>
      <c r="K6255" s="16">
        <v>0.88428571428571523</v>
      </c>
      <c r="L6255" s="13">
        <v>2.2200000000000002</v>
      </c>
      <c r="M6255" s="13"/>
      <c r="N6255" s="17">
        <f t="shared" si="204"/>
        <v>31.080000000000002</v>
      </c>
      <c r="O6255" s="17">
        <f t="shared" si="204"/>
        <v>0</v>
      </c>
      <c r="P6255" s="17">
        <f t="shared" si="205"/>
        <v>31.080000000000002</v>
      </c>
      <c r="Q6255" t="str">
        <f>A6255&amp;"-"&amp;B6255&amp;"-"&amp;D6255</f>
        <v>DESEMBER-MJ2-L11</v>
      </c>
    </row>
    <row r="6256" spans="1:17" x14ac:dyDescent="0.25">
      <c r="A6256" t="s">
        <v>402</v>
      </c>
      <c r="B6256" s="13" t="s">
        <v>26</v>
      </c>
      <c r="C6256" s="13" t="s">
        <v>226</v>
      </c>
      <c r="D6256" s="14" t="s">
        <v>287</v>
      </c>
      <c r="E6256" s="13" t="s">
        <v>61</v>
      </c>
      <c r="F6256" s="13" t="s">
        <v>2085</v>
      </c>
      <c r="G6256" s="13">
        <v>0.77999999999999992</v>
      </c>
      <c r="H6256" s="15">
        <v>644</v>
      </c>
      <c r="I6256" s="16">
        <v>502.31999999999994</v>
      </c>
      <c r="J6256" s="16">
        <v>443.01818602312721</v>
      </c>
      <c r="K6256" s="16">
        <v>59.301813976872751</v>
      </c>
      <c r="L6256" s="13">
        <v>2.2200000000000002</v>
      </c>
      <c r="M6256" s="13"/>
      <c r="N6256" s="17">
        <f t="shared" si="204"/>
        <v>1429.68</v>
      </c>
      <c r="O6256" s="17">
        <f t="shared" si="204"/>
        <v>0</v>
      </c>
      <c r="P6256" s="17">
        <f t="shared" si="205"/>
        <v>1429.68</v>
      </c>
      <c r="Q6256" t="str">
        <f>A6256&amp;"-"&amp;B6256&amp;"-"&amp;D6256</f>
        <v>DESEMBER-MJ2-L11</v>
      </c>
    </row>
    <row r="6257" spans="1:17" x14ac:dyDescent="0.25">
      <c r="A6257" t="s">
        <v>402</v>
      </c>
      <c r="B6257" s="13" t="s">
        <v>26</v>
      </c>
      <c r="C6257" s="13" t="s">
        <v>226</v>
      </c>
      <c r="D6257" s="14" t="s">
        <v>287</v>
      </c>
      <c r="E6257" s="13" t="s">
        <v>61</v>
      </c>
      <c r="F6257" s="13" t="s">
        <v>1946</v>
      </c>
      <c r="G6257" s="13">
        <v>0.79</v>
      </c>
      <c r="H6257" s="15">
        <v>280</v>
      </c>
      <c r="I6257" s="16">
        <v>221.20000000000002</v>
      </c>
      <c r="J6257" s="16">
        <v>195.59459124855567</v>
      </c>
      <c r="K6257" s="16">
        <v>25.605408751444322</v>
      </c>
      <c r="L6257" s="13">
        <v>2</v>
      </c>
      <c r="M6257" s="13"/>
      <c r="N6257" s="17">
        <f t="shared" ref="N6257:O6320" si="206">$H6257*L6257</f>
        <v>560</v>
      </c>
      <c r="O6257" s="17">
        <f t="shared" si="206"/>
        <v>0</v>
      </c>
      <c r="P6257" s="17">
        <f t="shared" si="205"/>
        <v>560</v>
      </c>
      <c r="Q6257" t="str">
        <f>A6257&amp;"-"&amp;B6257&amp;"-"&amp;D6257</f>
        <v>DESEMBER-MJ2-L11</v>
      </c>
    </row>
    <row r="6258" spans="1:17" x14ac:dyDescent="0.25">
      <c r="A6258" t="s">
        <v>402</v>
      </c>
      <c r="B6258" s="13" t="s">
        <v>26</v>
      </c>
      <c r="C6258" s="13" t="s">
        <v>226</v>
      </c>
      <c r="D6258" s="14" t="s">
        <v>287</v>
      </c>
      <c r="E6258" s="13" t="s">
        <v>61</v>
      </c>
      <c r="F6258" s="13" t="s">
        <v>2086</v>
      </c>
      <c r="G6258" s="13">
        <v>0.79</v>
      </c>
      <c r="H6258" s="15">
        <v>1284</v>
      </c>
      <c r="I6258" s="16">
        <v>1014.36</v>
      </c>
      <c r="J6258" s="16">
        <v>1007.1740591521861</v>
      </c>
      <c r="K6258" s="16">
        <v>7.185940847813864</v>
      </c>
      <c r="L6258" s="13">
        <v>2</v>
      </c>
      <c r="M6258" s="13"/>
      <c r="N6258" s="17">
        <f t="shared" si="206"/>
        <v>2568</v>
      </c>
      <c r="O6258" s="17">
        <f t="shared" si="206"/>
        <v>0</v>
      </c>
      <c r="P6258" s="17">
        <f t="shared" si="205"/>
        <v>2568</v>
      </c>
      <c r="Q6258" t="str">
        <f>A6258&amp;"-"&amp;B6258&amp;"-"&amp;D6258</f>
        <v>DESEMBER-MJ2-L11</v>
      </c>
    </row>
    <row r="6259" spans="1:17" x14ac:dyDescent="0.25">
      <c r="A6259" t="s">
        <v>402</v>
      </c>
      <c r="B6259" s="13" t="s">
        <v>26</v>
      </c>
      <c r="C6259" s="13" t="s">
        <v>226</v>
      </c>
      <c r="D6259" s="14" t="s">
        <v>287</v>
      </c>
      <c r="E6259" s="13" t="s">
        <v>61</v>
      </c>
      <c r="F6259" s="13" t="s">
        <v>2087</v>
      </c>
      <c r="G6259" s="13">
        <v>0.77</v>
      </c>
      <c r="H6259" s="15">
        <v>272</v>
      </c>
      <c r="I6259" s="16">
        <v>209.44000000000003</v>
      </c>
      <c r="J6259" s="16">
        <v>234.86749138981031</v>
      </c>
      <c r="K6259" s="16">
        <v>-25.427491389810292</v>
      </c>
      <c r="L6259" s="13">
        <v>2.15</v>
      </c>
      <c r="M6259" s="13"/>
      <c r="N6259" s="17">
        <f t="shared" si="206"/>
        <v>584.79999999999995</v>
      </c>
      <c r="O6259" s="17">
        <f t="shared" si="206"/>
        <v>0</v>
      </c>
      <c r="P6259" s="17">
        <f t="shared" si="205"/>
        <v>584.79999999999995</v>
      </c>
      <c r="Q6259" t="str">
        <f>A6259&amp;"-"&amp;B6259&amp;"-"&amp;D6259</f>
        <v>DESEMBER-MJ2-L11</v>
      </c>
    </row>
    <row r="6260" spans="1:17" x14ac:dyDescent="0.25">
      <c r="A6260" t="s">
        <v>402</v>
      </c>
      <c r="B6260" s="13" t="s">
        <v>26</v>
      </c>
      <c r="C6260" s="13" t="s">
        <v>226</v>
      </c>
      <c r="D6260" s="14" t="s">
        <v>287</v>
      </c>
      <c r="E6260" s="13" t="s">
        <v>61</v>
      </c>
      <c r="F6260" s="13" t="s">
        <v>1947</v>
      </c>
      <c r="G6260" s="13">
        <v>0.81</v>
      </c>
      <c r="H6260" s="15">
        <v>33</v>
      </c>
      <c r="I6260" s="16">
        <v>26.73</v>
      </c>
      <c r="J6260" s="16">
        <v>20.606666666666666</v>
      </c>
      <c r="K6260" s="16">
        <v>6.1233333333333348</v>
      </c>
      <c r="L6260" s="13">
        <v>2.21</v>
      </c>
      <c r="M6260" s="13"/>
      <c r="N6260" s="17">
        <f t="shared" si="206"/>
        <v>72.929999999999993</v>
      </c>
      <c r="O6260" s="17">
        <f t="shared" si="206"/>
        <v>0</v>
      </c>
      <c r="P6260" s="17">
        <f t="shared" si="205"/>
        <v>72.929999999999993</v>
      </c>
      <c r="Q6260" t="str">
        <f>A6260&amp;"-"&amp;B6260&amp;"-"&amp;D6260</f>
        <v>DESEMBER-MJ2-L11</v>
      </c>
    </row>
    <row r="6261" spans="1:17" x14ac:dyDescent="0.25">
      <c r="A6261" t="s">
        <v>402</v>
      </c>
      <c r="B6261" s="13" t="s">
        <v>26</v>
      </c>
      <c r="C6261" s="13" t="s">
        <v>226</v>
      </c>
      <c r="D6261" s="14" t="s">
        <v>287</v>
      </c>
      <c r="E6261" s="13" t="s">
        <v>61</v>
      </c>
      <c r="F6261" s="13" t="s">
        <v>2088</v>
      </c>
      <c r="G6261" s="13">
        <v>0.82999999999999985</v>
      </c>
      <c r="H6261" s="15">
        <v>1958</v>
      </c>
      <c r="I6261" s="16">
        <v>1625.1399999999999</v>
      </c>
      <c r="J6261" s="16">
        <v>1385.8826027556001</v>
      </c>
      <c r="K6261" s="16">
        <v>239.25739724440007</v>
      </c>
      <c r="L6261" s="13">
        <v>2.13</v>
      </c>
      <c r="M6261" s="13"/>
      <c r="N6261" s="17">
        <f t="shared" si="206"/>
        <v>4170.54</v>
      </c>
      <c r="O6261" s="17">
        <f t="shared" si="206"/>
        <v>0</v>
      </c>
      <c r="P6261" s="17">
        <f t="shared" si="205"/>
        <v>4170.54</v>
      </c>
      <c r="Q6261" t="str">
        <f>A6261&amp;"-"&amp;B6261&amp;"-"&amp;D6261</f>
        <v>DESEMBER-MJ2-L11</v>
      </c>
    </row>
    <row r="6262" spans="1:17" x14ac:dyDescent="0.25">
      <c r="A6262" t="s">
        <v>402</v>
      </c>
      <c r="B6262" s="13" t="s">
        <v>26</v>
      </c>
      <c r="C6262" s="13" t="s">
        <v>226</v>
      </c>
      <c r="D6262" s="14" t="s">
        <v>287</v>
      </c>
      <c r="E6262" s="13" t="s">
        <v>61</v>
      </c>
      <c r="F6262" s="13" t="s">
        <v>2089</v>
      </c>
      <c r="G6262" s="13">
        <v>0.78</v>
      </c>
      <c r="H6262" s="15">
        <v>250</v>
      </c>
      <c r="I6262" s="16">
        <v>195</v>
      </c>
      <c r="J6262" s="16">
        <v>184.83083475472912</v>
      </c>
      <c r="K6262" s="16">
        <v>10.169165245270857</v>
      </c>
      <c r="L6262" s="13">
        <v>2.29</v>
      </c>
      <c r="M6262" s="13"/>
      <c r="N6262" s="17">
        <f t="shared" si="206"/>
        <v>572.5</v>
      </c>
      <c r="O6262" s="17">
        <f t="shared" si="206"/>
        <v>0</v>
      </c>
      <c r="P6262" s="17">
        <f t="shared" si="205"/>
        <v>572.5</v>
      </c>
      <c r="Q6262" t="str">
        <f>A6262&amp;"-"&amp;B6262&amp;"-"&amp;D6262</f>
        <v>DESEMBER-MJ2-L11</v>
      </c>
    </row>
    <row r="6263" spans="1:17" x14ac:dyDescent="0.25">
      <c r="A6263" t="s">
        <v>402</v>
      </c>
      <c r="B6263" s="13" t="s">
        <v>26</v>
      </c>
      <c r="C6263" s="13" t="s">
        <v>226</v>
      </c>
      <c r="D6263" s="14" t="s">
        <v>287</v>
      </c>
      <c r="E6263" s="13" t="s">
        <v>61</v>
      </c>
      <c r="F6263" s="13" t="s">
        <v>1950</v>
      </c>
      <c r="G6263" s="13">
        <v>0.8</v>
      </c>
      <c r="H6263" s="15">
        <v>76</v>
      </c>
      <c r="I6263" s="16">
        <v>60.8</v>
      </c>
      <c r="J6263" s="16">
        <v>55.37126679940269</v>
      </c>
      <c r="K6263" s="16">
        <v>5.4287332005973141</v>
      </c>
      <c r="L6263" s="13">
        <v>2.0699999999999998</v>
      </c>
      <c r="M6263" s="13"/>
      <c r="N6263" s="17">
        <f t="shared" si="206"/>
        <v>157.32</v>
      </c>
      <c r="O6263" s="17">
        <f t="shared" si="206"/>
        <v>0</v>
      </c>
      <c r="P6263" s="17">
        <f t="shared" si="205"/>
        <v>157.32</v>
      </c>
      <c r="Q6263" t="str">
        <f>A6263&amp;"-"&amp;B6263&amp;"-"&amp;D6263</f>
        <v>DESEMBER-MJ2-L11</v>
      </c>
    </row>
    <row r="6264" spans="1:17" x14ac:dyDescent="0.25">
      <c r="A6264" t="s">
        <v>402</v>
      </c>
      <c r="B6264" s="13" t="s">
        <v>26</v>
      </c>
      <c r="C6264" s="13" t="s">
        <v>226</v>
      </c>
      <c r="D6264" s="14" t="s">
        <v>287</v>
      </c>
      <c r="E6264" s="13" t="s">
        <v>61</v>
      </c>
      <c r="F6264" s="13" t="s">
        <v>2090</v>
      </c>
      <c r="G6264" s="13">
        <v>0.80000000000000016</v>
      </c>
      <c r="H6264" s="15">
        <v>679</v>
      </c>
      <c r="I6264" s="16">
        <v>543.20000000000005</v>
      </c>
      <c r="J6264" s="16">
        <v>441.67229136307066</v>
      </c>
      <c r="K6264" s="16">
        <v>101.52770863692936</v>
      </c>
      <c r="L6264" s="13">
        <v>2.0699999999999998</v>
      </c>
      <c r="M6264" s="13"/>
      <c r="N6264" s="17">
        <f t="shared" si="206"/>
        <v>1405.53</v>
      </c>
      <c r="O6264" s="17">
        <f t="shared" si="206"/>
        <v>0</v>
      </c>
      <c r="P6264" s="17">
        <f t="shared" si="205"/>
        <v>1405.53</v>
      </c>
      <c r="Q6264" t="str">
        <f>A6264&amp;"-"&amp;B6264&amp;"-"&amp;D6264</f>
        <v>DESEMBER-MJ2-L11</v>
      </c>
    </row>
    <row r="6265" spans="1:17" x14ac:dyDescent="0.25">
      <c r="A6265" t="s">
        <v>402</v>
      </c>
      <c r="B6265" s="13" t="s">
        <v>26</v>
      </c>
      <c r="C6265" s="13" t="s">
        <v>226</v>
      </c>
      <c r="D6265" s="14" t="s">
        <v>287</v>
      </c>
      <c r="E6265" s="13" t="s">
        <v>61</v>
      </c>
      <c r="F6265" s="13" t="s">
        <v>2091</v>
      </c>
      <c r="G6265" s="13">
        <v>0.78</v>
      </c>
      <c r="H6265" s="15">
        <v>223</v>
      </c>
      <c r="I6265" s="16">
        <v>173.94</v>
      </c>
      <c r="J6265" s="16">
        <v>149.70186528588354</v>
      </c>
      <c r="K6265" s="16">
        <v>24.238134714116455</v>
      </c>
      <c r="L6265" s="13">
        <v>2.2200000000000002</v>
      </c>
      <c r="M6265" s="13"/>
      <c r="N6265" s="17">
        <f t="shared" si="206"/>
        <v>495.06000000000006</v>
      </c>
      <c r="O6265" s="17">
        <f t="shared" si="206"/>
        <v>0</v>
      </c>
      <c r="P6265" s="17">
        <f t="shared" si="205"/>
        <v>495.06000000000006</v>
      </c>
      <c r="Q6265" t="str">
        <f>A6265&amp;"-"&amp;B6265&amp;"-"&amp;D6265</f>
        <v>DESEMBER-MJ2-L11</v>
      </c>
    </row>
    <row r="6266" spans="1:17" x14ac:dyDescent="0.25">
      <c r="A6266" t="s">
        <v>402</v>
      </c>
      <c r="B6266" s="13" t="s">
        <v>26</v>
      </c>
      <c r="C6266" s="13" t="s">
        <v>226</v>
      </c>
      <c r="D6266" s="14" t="s">
        <v>287</v>
      </c>
      <c r="E6266" s="13" t="s">
        <v>61</v>
      </c>
      <c r="F6266" s="13" t="s">
        <v>2092</v>
      </c>
      <c r="G6266" s="13">
        <v>0.82999999999999985</v>
      </c>
      <c r="H6266" s="15">
        <v>4143</v>
      </c>
      <c r="I6266" s="16">
        <v>3438.69</v>
      </c>
      <c r="J6266" s="16">
        <v>2973.9405988768758</v>
      </c>
      <c r="K6266" s="16">
        <v>464.7494011231239</v>
      </c>
      <c r="L6266" s="13">
        <v>2.13</v>
      </c>
      <c r="M6266" s="13"/>
      <c r="N6266" s="17">
        <f t="shared" si="206"/>
        <v>8824.59</v>
      </c>
      <c r="O6266" s="17">
        <f t="shared" si="206"/>
        <v>0</v>
      </c>
      <c r="P6266" s="17">
        <f t="shared" si="205"/>
        <v>8824.59</v>
      </c>
      <c r="Q6266" t="str">
        <f>A6266&amp;"-"&amp;B6266&amp;"-"&amp;D6266</f>
        <v>DESEMBER-MJ2-L11</v>
      </c>
    </row>
    <row r="6267" spans="1:17" x14ac:dyDescent="0.25">
      <c r="A6267" t="s">
        <v>402</v>
      </c>
      <c r="B6267" s="13" t="s">
        <v>26</v>
      </c>
      <c r="C6267" s="13" t="s">
        <v>226</v>
      </c>
      <c r="D6267" s="14" t="s">
        <v>287</v>
      </c>
      <c r="E6267" s="13" t="s">
        <v>61</v>
      </c>
      <c r="F6267" s="13" t="s">
        <v>2093</v>
      </c>
      <c r="G6267" s="13">
        <v>0.65</v>
      </c>
      <c r="H6267" s="15">
        <v>4483</v>
      </c>
      <c r="I6267" s="16">
        <v>2913.95</v>
      </c>
      <c r="J6267" s="16">
        <v>2541.6316241727677</v>
      </c>
      <c r="K6267" s="16">
        <v>372.3183758272321</v>
      </c>
      <c r="L6267" s="13">
        <v>1.66</v>
      </c>
      <c r="M6267" s="13"/>
      <c r="N6267" s="17">
        <f t="shared" si="206"/>
        <v>7441.78</v>
      </c>
      <c r="O6267" s="17">
        <f t="shared" si="206"/>
        <v>0</v>
      </c>
      <c r="P6267" s="17">
        <f t="shared" si="205"/>
        <v>7441.78</v>
      </c>
      <c r="Q6267" t="str">
        <f>A6267&amp;"-"&amp;B6267&amp;"-"&amp;D6267</f>
        <v>DESEMBER-MJ2-L11</v>
      </c>
    </row>
    <row r="6268" spans="1:17" x14ac:dyDescent="0.25">
      <c r="A6268" t="s">
        <v>402</v>
      </c>
      <c r="B6268" s="13" t="s">
        <v>26</v>
      </c>
      <c r="C6268" s="13" t="s">
        <v>226</v>
      </c>
      <c r="D6268" s="14" t="s">
        <v>287</v>
      </c>
      <c r="E6268" s="13" t="s">
        <v>61</v>
      </c>
      <c r="F6268" s="13" t="s">
        <v>1952</v>
      </c>
      <c r="G6268" s="13">
        <v>0.65</v>
      </c>
      <c r="H6268" s="15">
        <v>261</v>
      </c>
      <c r="I6268" s="16">
        <v>169.65</v>
      </c>
      <c r="J6268" s="16">
        <v>162.97999999999999</v>
      </c>
      <c r="K6268" s="16">
        <v>6.6700000000000159</v>
      </c>
      <c r="L6268" s="13">
        <v>1.66</v>
      </c>
      <c r="M6268" s="13"/>
      <c r="N6268" s="17">
        <f t="shared" si="206"/>
        <v>433.26</v>
      </c>
      <c r="O6268" s="17">
        <f t="shared" si="206"/>
        <v>0</v>
      </c>
      <c r="P6268" s="17">
        <f t="shared" si="205"/>
        <v>433.26</v>
      </c>
      <c r="Q6268" t="str">
        <f>A6268&amp;"-"&amp;B6268&amp;"-"&amp;D6268</f>
        <v>DESEMBER-MJ2-L11</v>
      </c>
    </row>
    <row r="6269" spans="1:17" x14ac:dyDescent="0.25">
      <c r="A6269" t="s">
        <v>402</v>
      </c>
      <c r="B6269" s="13" t="s">
        <v>26</v>
      </c>
      <c r="C6269" s="13" t="s">
        <v>226</v>
      </c>
      <c r="D6269" s="14" t="s">
        <v>287</v>
      </c>
      <c r="E6269" s="13" t="s">
        <v>61</v>
      </c>
      <c r="F6269" s="13" t="s">
        <v>2094</v>
      </c>
      <c r="G6269" s="13">
        <v>0.65</v>
      </c>
      <c r="H6269" s="15">
        <v>1721</v>
      </c>
      <c r="I6269" s="16">
        <v>1118.6499999999999</v>
      </c>
      <c r="J6269" s="16">
        <v>1027.4087106586721</v>
      </c>
      <c r="K6269" s="16">
        <v>91.241289341327743</v>
      </c>
      <c r="L6269" s="13">
        <v>1.66</v>
      </c>
      <c r="M6269" s="13"/>
      <c r="N6269" s="17">
        <f t="shared" si="206"/>
        <v>2856.8599999999997</v>
      </c>
      <c r="O6269" s="17">
        <f t="shared" si="206"/>
        <v>0</v>
      </c>
      <c r="P6269" s="17">
        <f t="shared" si="205"/>
        <v>2856.8599999999997</v>
      </c>
      <c r="Q6269" t="str">
        <f>A6269&amp;"-"&amp;B6269&amp;"-"&amp;D6269</f>
        <v>DESEMBER-MJ2-L11</v>
      </c>
    </row>
    <row r="6270" spans="1:17" x14ac:dyDescent="0.25">
      <c r="A6270" t="s">
        <v>402</v>
      </c>
      <c r="B6270" s="13" t="s">
        <v>26</v>
      </c>
      <c r="C6270" s="13" t="s">
        <v>226</v>
      </c>
      <c r="D6270" s="14" t="s">
        <v>287</v>
      </c>
      <c r="E6270" s="13" t="s">
        <v>61</v>
      </c>
      <c r="F6270" s="13" t="s">
        <v>2095</v>
      </c>
      <c r="G6270" s="13">
        <v>0.65</v>
      </c>
      <c r="H6270" s="15">
        <v>2998</v>
      </c>
      <c r="I6270" s="16">
        <v>1948.7</v>
      </c>
      <c r="J6270" s="16">
        <v>1907.3659946866699</v>
      </c>
      <c r="K6270" s="16">
        <v>41.334005313330181</v>
      </c>
      <c r="L6270" s="13">
        <v>1.64</v>
      </c>
      <c r="M6270" s="13"/>
      <c r="N6270" s="17">
        <f t="shared" si="206"/>
        <v>4916.7199999999993</v>
      </c>
      <c r="O6270" s="17">
        <f t="shared" si="206"/>
        <v>0</v>
      </c>
      <c r="P6270" s="17">
        <f t="shared" si="205"/>
        <v>4916.7199999999993</v>
      </c>
      <c r="Q6270" t="str">
        <f>A6270&amp;"-"&amp;B6270&amp;"-"&amp;D6270</f>
        <v>DESEMBER-MJ2-L11</v>
      </c>
    </row>
    <row r="6271" spans="1:17" x14ac:dyDescent="0.25">
      <c r="A6271" t="s">
        <v>402</v>
      </c>
      <c r="B6271" s="13" t="s">
        <v>26</v>
      </c>
      <c r="C6271" s="13" t="s">
        <v>226</v>
      </c>
      <c r="D6271" s="14" t="s">
        <v>310</v>
      </c>
      <c r="E6271" s="13" t="s">
        <v>61</v>
      </c>
      <c r="F6271" s="13" t="s">
        <v>2096</v>
      </c>
      <c r="G6271" s="13">
        <v>0.79</v>
      </c>
      <c r="H6271" s="15">
        <v>9115</v>
      </c>
      <c r="I6271" s="16">
        <v>7200.8499999999995</v>
      </c>
      <c r="J6271" s="16">
        <v>5512.7429879443825</v>
      </c>
      <c r="K6271" s="16">
        <v>1688.1070120556169</v>
      </c>
      <c r="L6271" s="13">
        <v>1.86</v>
      </c>
      <c r="M6271" s="13"/>
      <c r="N6271" s="17">
        <f t="shared" si="206"/>
        <v>16953.900000000001</v>
      </c>
      <c r="O6271" s="17">
        <f t="shared" si="206"/>
        <v>0</v>
      </c>
      <c r="P6271" s="17">
        <f t="shared" si="205"/>
        <v>16953.900000000001</v>
      </c>
      <c r="Q6271" t="str">
        <f>A6271&amp;"-"&amp;B6271&amp;"-"&amp;D6271</f>
        <v>DESEMBER-MJ2-L12</v>
      </c>
    </row>
    <row r="6272" spans="1:17" x14ac:dyDescent="0.25">
      <c r="A6272" t="s">
        <v>402</v>
      </c>
      <c r="B6272" s="13" t="s">
        <v>26</v>
      </c>
      <c r="C6272" s="13" t="s">
        <v>226</v>
      </c>
      <c r="D6272" s="14" t="s">
        <v>310</v>
      </c>
      <c r="E6272" s="13" t="s">
        <v>61</v>
      </c>
      <c r="F6272" s="13" t="s">
        <v>2097</v>
      </c>
      <c r="G6272" s="13">
        <v>0.79</v>
      </c>
      <c r="H6272" s="15">
        <v>803</v>
      </c>
      <c r="I6272" s="16">
        <v>634.37</v>
      </c>
      <c r="J6272" s="16">
        <v>490.42171312076096</v>
      </c>
      <c r="K6272" s="16">
        <v>143.94828687923908</v>
      </c>
      <c r="L6272" s="13">
        <v>1.99</v>
      </c>
      <c r="M6272" s="13"/>
      <c r="N6272" s="17">
        <f t="shared" si="206"/>
        <v>1597.97</v>
      </c>
      <c r="O6272" s="17">
        <f t="shared" si="206"/>
        <v>0</v>
      </c>
      <c r="P6272" s="17">
        <f t="shared" si="205"/>
        <v>1597.97</v>
      </c>
      <c r="Q6272" t="str">
        <f>A6272&amp;"-"&amp;B6272&amp;"-"&amp;D6272</f>
        <v>DESEMBER-MJ2-L12</v>
      </c>
    </row>
    <row r="6273" spans="1:17" x14ac:dyDescent="0.25">
      <c r="A6273" t="s">
        <v>402</v>
      </c>
      <c r="B6273" s="13" t="s">
        <v>26</v>
      </c>
      <c r="C6273" s="13" t="s">
        <v>226</v>
      </c>
      <c r="D6273" s="14" t="s">
        <v>310</v>
      </c>
      <c r="E6273" s="13" t="s">
        <v>61</v>
      </c>
      <c r="F6273" s="13" t="s">
        <v>2098</v>
      </c>
      <c r="G6273" s="13">
        <v>0.79</v>
      </c>
      <c r="H6273" s="15">
        <v>552</v>
      </c>
      <c r="I6273" s="16">
        <v>436.08</v>
      </c>
      <c r="J6273" s="16">
        <v>344.50194336479734</v>
      </c>
      <c r="K6273" s="16">
        <v>91.578056635202643</v>
      </c>
      <c r="L6273" s="13">
        <v>1.86</v>
      </c>
      <c r="M6273" s="13"/>
      <c r="N6273" s="17">
        <f t="shared" si="206"/>
        <v>1026.72</v>
      </c>
      <c r="O6273" s="17">
        <f t="shared" si="206"/>
        <v>0</v>
      </c>
      <c r="P6273" s="17">
        <f t="shared" si="205"/>
        <v>1026.72</v>
      </c>
      <c r="Q6273" t="str">
        <f>A6273&amp;"-"&amp;B6273&amp;"-"&amp;D6273</f>
        <v>DESEMBER-MJ2-L12</v>
      </c>
    </row>
    <row r="6274" spans="1:17" x14ac:dyDescent="0.25">
      <c r="A6274" t="s">
        <v>402</v>
      </c>
      <c r="B6274" s="13" t="s">
        <v>26</v>
      </c>
      <c r="C6274" s="13" t="s">
        <v>226</v>
      </c>
      <c r="D6274" s="14" t="s">
        <v>310</v>
      </c>
      <c r="E6274" s="13" t="s">
        <v>61</v>
      </c>
      <c r="F6274" s="13" t="s">
        <v>1953</v>
      </c>
      <c r="G6274" s="13">
        <v>0.67999999999999983</v>
      </c>
      <c r="H6274" s="15">
        <v>4761</v>
      </c>
      <c r="I6274" s="16">
        <v>3237.48</v>
      </c>
      <c r="J6274" s="16">
        <v>3243.165116747281</v>
      </c>
      <c r="K6274" s="16">
        <v>-5.6851167472811746</v>
      </c>
      <c r="L6274" s="13">
        <v>1.69</v>
      </c>
      <c r="M6274" s="13"/>
      <c r="N6274" s="17">
        <f t="shared" si="206"/>
        <v>8046.09</v>
      </c>
      <c r="O6274" s="17">
        <f t="shared" si="206"/>
        <v>0</v>
      </c>
      <c r="P6274" s="17">
        <f t="shared" ref="P6274:P6337" si="207">N6274+O6274</f>
        <v>8046.09</v>
      </c>
      <c r="Q6274" t="str">
        <f>A6274&amp;"-"&amp;B6274&amp;"-"&amp;D6274</f>
        <v>DESEMBER-MJ2-L12</v>
      </c>
    </row>
    <row r="6275" spans="1:17" x14ac:dyDescent="0.25">
      <c r="A6275" t="s">
        <v>402</v>
      </c>
      <c r="B6275" s="13" t="s">
        <v>26</v>
      </c>
      <c r="C6275" s="13" t="s">
        <v>226</v>
      </c>
      <c r="D6275" s="14" t="s">
        <v>310</v>
      </c>
      <c r="E6275" s="13" t="s">
        <v>61</v>
      </c>
      <c r="F6275" s="13" t="s">
        <v>2099</v>
      </c>
      <c r="G6275" s="13">
        <v>0.67999999999999983</v>
      </c>
      <c r="H6275" s="15">
        <v>8107</v>
      </c>
      <c r="I6275" s="16">
        <v>5512.7600000000011</v>
      </c>
      <c r="J6275" s="16">
        <v>5544.9964976222027</v>
      </c>
      <c r="K6275" s="16">
        <v>-32.236497622203288</v>
      </c>
      <c r="L6275" s="13">
        <v>1.69</v>
      </c>
      <c r="M6275" s="13"/>
      <c r="N6275" s="17">
        <f t="shared" si="206"/>
        <v>13700.83</v>
      </c>
      <c r="O6275" s="17">
        <f t="shared" si="206"/>
        <v>0</v>
      </c>
      <c r="P6275" s="17">
        <f t="shared" si="207"/>
        <v>13700.83</v>
      </c>
      <c r="Q6275" t="str">
        <f>A6275&amp;"-"&amp;B6275&amp;"-"&amp;D6275</f>
        <v>DESEMBER-MJ2-L12</v>
      </c>
    </row>
    <row r="6276" spans="1:17" x14ac:dyDescent="0.25">
      <c r="A6276" t="s">
        <v>402</v>
      </c>
      <c r="B6276" s="13" t="s">
        <v>26</v>
      </c>
      <c r="C6276" s="13" t="s">
        <v>226</v>
      </c>
      <c r="D6276" s="14" t="s">
        <v>310</v>
      </c>
      <c r="E6276" s="13" t="s">
        <v>61</v>
      </c>
      <c r="F6276" s="13" t="s">
        <v>2100</v>
      </c>
      <c r="G6276" s="13">
        <v>0.7599999999999999</v>
      </c>
      <c r="H6276" s="15">
        <v>5184</v>
      </c>
      <c r="I6276" s="16">
        <v>3939.8400000000006</v>
      </c>
      <c r="J6276" s="16">
        <v>3990.0477573580206</v>
      </c>
      <c r="K6276" s="16">
        <v>-50.207757358020515</v>
      </c>
      <c r="L6276" s="13">
        <v>1.94</v>
      </c>
      <c r="M6276" s="13"/>
      <c r="N6276" s="17">
        <f t="shared" si="206"/>
        <v>10056.959999999999</v>
      </c>
      <c r="O6276" s="17">
        <f t="shared" si="206"/>
        <v>0</v>
      </c>
      <c r="P6276" s="17">
        <f t="shared" si="207"/>
        <v>10056.959999999999</v>
      </c>
      <c r="Q6276" t="str">
        <f>A6276&amp;"-"&amp;B6276&amp;"-"&amp;D6276</f>
        <v>DESEMBER-MJ2-L12</v>
      </c>
    </row>
    <row r="6277" spans="1:17" x14ac:dyDescent="0.25">
      <c r="A6277" t="s">
        <v>402</v>
      </c>
      <c r="B6277" s="13" t="s">
        <v>26</v>
      </c>
      <c r="C6277" s="13" t="s">
        <v>226</v>
      </c>
      <c r="D6277" s="14" t="s">
        <v>310</v>
      </c>
      <c r="E6277" s="13" t="s">
        <v>61</v>
      </c>
      <c r="F6277" s="13" t="s">
        <v>2101</v>
      </c>
      <c r="G6277" s="13">
        <v>0.76</v>
      </c>
      <c r="H6277" s="15">
        <v>271</v>
      </c>
      <c r="I6277" s="16">
        <v>205.95999999999998</v>
      </c>
      <c r="J6277" s="16">
        <v>163.68231189890056</v>
      </c>
      <c r="K6277" s="16">
        <v>42.277688101099429</v>
      </c>
      <c r="L6277" s="13">
        <v>2.0699999999999998</v>
      </c>
      <c r="M6277" s="13"/>
      <c r="N6277" s="17">
        <f t="shared" si="206"/>
        <v>560.96999999999991</v>
      </c>
      <c r="O6277" s="17">
        <f t="shared" si="206"/>
        <v>0</v>
      </c>
      <c r="P6277" s="17">
        <f t="shared" si="207"/>
        <v>560.96999999999991</v>
      </c>
      <c r="Q6277" t="str">
        <f>A6277&amp;"-"&amp;B6277&amp;"-"&amp;D6277</f>
        <v>DESEMBER-MJ2-L12</v>
      </c>
    </row>
    <row r="6278" spans="1:17" x14ac:dyDescent="0.25">
      <c r="A6278" t="s">
        <v>402</v>
      </c>
      <c r="B6278" s="13" t="s">
        <v>26</v>
      </c>
      <c r="C6278" s="13" t="s">
        <v>226</v>
      </c>
      <c r="D6278" s="14" t="s">
        <v>310</v>
      </c>
      <c r="E6278" s="13" t="s">
        <v>61</v>
      </c>
      <c r="F6278" s="13" t="s">
        <v>2102</v>
      </c>
      <c r="G6278" s="13">
        <v>1.1899999999999997</v>
      </c>
      <c r="H6278" s="15">
        <v>2433</v>
      </c>
      <c r="I6278" s="16">
        <v>2895.2700000000004</v>
      </c>
      <c r="J6278" s="16">
        <v>1828.2545502187052</v>
      </c>
      <c r="K6278" s="16">
        <v>1067.0154497812948</v>
      </c>
      <c r="L6278" s="13">
        <v>2.87</v>
      </c>
      <c r="M6278" s="13"/>
      <c r="N6278" s="17">
        <f t="shared" si="206"/>
        <v>6982.71</v>
      </c>
      <c r="O6278" s="17">
        <f t="shared" si="206"/>
        <v>0</v>
      </c>
      <c r="P6278" s="17">
        <f t="shared" si="207"/>
        <v>6982.71</v>
      </c>
      <c r="Q6278" t="str">
        <f>A6278&amp;"-"&amp;B6278&amp;"-"&amp;D6278</f>
        <v>DESEMBER-MJ2-L12</v>
      </c>
    </row>
    <row r="6279" spans="1:17" x14ac:dyDescent="0.25">
      <c r="A6279" t="s">
        <v>402</v>
      </c>
      <c r="B6279" s="13" t="s">
        <v>26</v>
      </c>
      <c r="C6279" s="13" t="s">
        <v>226</v>
      </c>
      <c r="D6279" s="14" t="s">
        <v>310</v>
      </c>
      <c r="E6279" s="13" t="s">
        <v>61</v>
      </c>
      <c r="F6279" s="13" t="s">
        <v>1957</v>
      </c>
      <c r="G6279" s="13">
        <v>0.76</v>
      </c>
      <c r="H6279" s="15">
        <v>24</v>
      </c>
      <c r="I6279" s="16">
        <v>18.240000000000002</v>
      </c>
      <c r="J6279" s="16">
        <v>16.209222514844683</v>
      </c>
      <c r="K6279" s="16">
        <v>2.0307774851553173</v>
      </c>
      <c r="L6279" s="13">
        <v>1.94</v>
      </c>
      <c r="M6279" s="13"/>
      <c r="N6279" s="17">
        <f t="shared" si="206"/>
        <v>46.56</v>
      </c>
      <c r="O6279" s="17">
        <f t="shared" si="206"/>
        <v>0</v>
      </c>
      <c r="P6279" s="17">
        <f t="shared" si="207"/>
        <v>46.56</v>
      </c>
      <c r="Q6279" t="str">
        <f>A6279&amp;"-"&amp;B6279&amp;"-"&amp;D6279</f>
        <v>DESEMBER-MJ2-L12</v>
      </c>
    </row>
    <row r="6280" spans="1:17" x14ac:dyDescent="0.25">
      <c r="A6280" t="s">
        <v>402</v>
      </c>
      <c r="B6280" s="13" t="s">
        <v>26</v>
      </c>
      <c r="C6280" s="13" t="s">
        <v>226</v>
      </c>
      <c r="D6280" s="14" t="s">
        <v>310</v>
      </c>
      <c r="E6280" s="13" t="s">
        <v>61</v>
      </c>
      <c r="F6280" s="13" t="s">
        <v>2103</v>
      </c>
      <c r="G6280" s="13">
        <v>0.7599999999999999</v>
      </c>
      <c r="H6280" s="15">
        <v>1784</v>
      </c>
      <c r="I6280" s="16">
        <v>1355.84</v>
      </c>
      <c r="J6280" s="16">
        <v>1216.6681646968289</v>
      </c>
      <c r="K6280" s="16">
        <v>139.17183530317106</v>
      </c>
      <c r="L6280" s="13">
        <v>1.94</v>
      </c>
      <c r="M6280" s="13"/>
      <c r="N6280" s="17">
        <f t="shared" si="206"/>
        <v>3460.96</v>
      </c>
      <c r="O6280" s="17">
        <f t="shared" si="206"/>
        <v>0</v>
      </c>
      <c r="P6280" s="17">
        <f t="shared" si="207"/>
        <v>3460.96</v>
      </c>
      <c r="Q6280" t="str">
        <f>A6280&amp;"-"&amp;B6280&amp;"-"&amp;D6280</f>
        <v>DESEMBER-MJ2-L12</v>
      </c>
    </row>
    <row r="6281" spans="1:17" x14ac:dyDescent="0.25">
      <c r="A6281" t="s">
        <v>402</v>
      </c>
      <c r="B6281" s="13" t="s">
        <v>26</v>
      </c>
      <c r="C6281" s="13" t="s">
        <v>226</v>
      </c>
      <c r="D6281" s="14" t="s">
        <v>310</v>
      </c>
      <c r="E6281" s="13" t="s">
        <v>61</v>
      </c>
      <c r="F6281" s="13" t="s">
        <v>1958</v>
      </c>
      <c r="G6281" s="13">
        <v>0.65</v>
      </c>
      <c r="H6281" s="15">
        <v>102</v>
      </c>
      <c r="I6281" s="16">
        <v>66.3</v>
      </c>
      <c r="J6281" s="16">
        <v>67.638938053097348</v>
      </c>
      <c r="K6281" s="16">
        <v>-1.3389380530973511</v>
      </c>
      <c r="L6281" s="13">
        <v>1.66</v>
      </c>
      <c r="M6281" s="13"/>
      <c r="N6281" s="17">
        <f t="shared" si="206"/>
        <v>169.32</v>
      </c>
      <c r="O6281" s="17">
        <f t="shared" si="206"/>
        <v>0</v>
      </c>
      <c r="P6281" s="17">
        <f t="shared" si="207"/>
        <v>169.32</v>
      </c>
      <c r="Q6281" t="str">
        <f>A6281&amp;"-"&amp;B6281&amp;"-"&amp;D6281</f>
        <v>DESEMBER-MJ2-L12</v>
      </c>
    </row>
    <row r="6282" spans="1:17" x14ac:dyDescent="0.25">
      <c r="A6282" t="s">
        <v>402</v>
      </c>
      <c r="B6282" s="13" t="s">
        <v>26</v>
      </c>
      <c r="C6282" s="13" t="s">
        <v>226</v>
      </c>
      <c r="D6282" s="14" t="s">
        <v>310</v>
      </c>
      <c r="E6282" s="13" t="s">
        <v>61</v>
      </c>
      <c r="F6282" s="13" t="s">
        <v>1952</v>
      </c>
      <c r="G6282" s="13">
        <v>0.65</v>
      </c>
      <c r="H6282" s="15">
        <v>93</v>
      </c>
      <c r="I6282" s="16">
        <v>60.45</v>
      </c>
      <c r="J6282" s="16">
        <v>61.670796460176987</v>
      </c>
      <c r="K6282" s="16">
        <v>-1.2207964601769845</v>
      </c>
      <c r="L6282" s="13">
        <v>1.66</v>
      </c>
      <c r="M6282" s="13"/>
      <c r="N6282" s="17">
        <f t="shared" si="206"/>
        <v>154.38</v>
      </c>
      <c r="O6282" s="17">
        <f t="shared" si="206"/>
        <v>0</v>
      </c>
      <c r="P6282" s="17">
        <f t="shared" si="207"/>
        <v>154.38</v>
      </c>
      <c r="Q6282" t="str">
        <f>A6282&amp;"-"&amp;B6282&amp;"-"&amp;D6282</f>
        <v>DESEMBER-MJ2-L12</v>
      </c>
    </row>
    <row r="6283" spans="1:17" x14ac:dyDescent="0.25">
      <c r="A6283" t="s">
        <v>402</v>
      </c>
      <c r="B6283" s="13" t="s">
        <v>26</v>
      </c>
      <c r="C6283" s="13" t="s">
        <v>226</v>
      </c>
      <c r="D6283" s="14" t="s">
        <v>320</v>
      </c>
      <c r="E6283" s="13" t="s">
        <v>61</v>
      </c>
      <c r="F6283" s="13" t="s">
        <v>2096</v>
      </c>
      <c r="G6283" s="13">
        <v>0.79</v>
      </c>
      <c r="H6283" s="15">
        <v>9118</v>
      </c>
      <c r="I6283" s="16">
        <v>7203.2199999999993</v>
      </c>
      <c r="J6283" s="16">
        <v>5515.499315548931</v>
      </c>
      <c r="K6283" s="16">
        <v>1687.7206844510692</v>
      </c>
      <c r="L6283" s="13">
        <v>1.86</v>
      </c>
      <c r="M6283" s="13"/>
      <c r="N6283" s="17">
        <f t="shared" si="206"/>
        <v>16959.48</v>
      </c>
      <c r="O6283" s="17">
        <f t="shared" si="206"/>
        <v>0</v>
      </c>
      <c r="P6283" s="17">
        <f t="shared" si="207"/>
        <v>16959.48</v>
      </c>
      <c r="Q6283" t="str">
        <f>A6283&amp;"-"&amp;B6283&amp;"-"&amp;D6283</f>
        <v>DESEMBER-MJ2-L13</v>
      </c>
    </row>
    <row r="6284" spans="1:17" x14ac:dyDescent="0.25">
      <c r="A6284" t="s">
        <v>402</v>
      </c>
      <c r="B6284" s="13" t="s">
        <v>26</v>
      </c>
      <c r="C6284" s="13" t="s">
        <v>226</v>
      </c>
      <c r="D6284" s="14" t="s">
        <v>320</v>
      </c>
      <c r="E6284" s="13" t="s">
        <v>61</v>
      </c>
      <c r="F6284" s="13" t="s">
        <v>2097</v>
      </c>
      <c r="G6284" s="13">
        <v>0.79</v>
      </c>
      <c r="H6284" s="15">
        <v>804</v>
      </c>
      <c r="I6284" s="16">
        <v>635.16</v>
      </c>
      <c r="J6284" s="16">
        <v>491.05368553459118</v>
      </c>
      <c r="K6284" s="16">
        <v>144.10631446540876</v>
      </c>
      <c r="L6284" s="13">
        <v>1.99</v>
      </c>
      <c r="M6284" s="13"/>
      <c r="N6284" s="17">
        <f t="shared" si="206"/>
        <v>1599.96</v>
      </c>
      <c r="O6284" s="17">
        <f t="shared" si="206"/>
        <v>0</v>
      </c>
      <c r="P6284" s="17">
        <f t="shared" si="207"/>
        <v>1599.96</v>
      </c>
      <c r="Q6284" t="str">
        <f>A6284&amp;"-"&amp;B6284&amp;"-"&amp;D6284</f>
        <v>DESEMBER-MJ2-L13</v>
      </c>
    </row>
    <row r="6285" spans="1:17" x14ac:dyDescent="0.25">
      <c r="A6285" t="s">
        <v>402</v>
      </c>
      <c r="B6285" s="13" t="s">
        <v>26</v>
      </c>
      <c r="C6285" s="13" t="s">
        <v>226</v>
      </c>
      <c r="D6285" s="14" t="s">
        <v>320</v>
      </c>
      <c r="E6285" s="13" t="s">
        <v>61</v>
      </c>
      <c r="F6285" s="13" t="s">
        <v>2098</v>
      </c>
      <c r="G6285" s="13">
        <v>0.79</v>
      </c>
      <c r="H6285" s="15">
        <v>551</v>
      </c>
      <c r="I6285" s="16">
        <v>435.29</v>
      </c>
      <c r="J6285" s="16">
        <v>343.68701442841285</v>
      </c>
      <c r="K6285" s="16">
        <v>91.602985571587169</v>
      </c>
      <c r="L6285" s="13">
        <v>1.86</v>
      </c>
      <c r="M6285" s="13"/>
      <c r="N6285" s="17">
        <f t="shared" si="206"/>
        <v>1024.8600000000001</v>
      </c>
      <c r="O6285" s="17">
        <f t="shared" si="206"/>
        <v>0</v>
      </c>
      <c r="P6285" s="17">
        <f t="shared" si="207"/>
        <v>1024.8600000000001</v>
      </c>
      <c r="Q6285" t="str">
        <f>A6285&amp;"-"&amp;B6285&amp;"-"&amp;D6285</f>
        <v>DESEMBER-MJ2-L13</v>
      </c>
    </row>
    <row r="6286" spans="1:17" x14ac:dyDescent="0.25">
      <c r="A6286" t="s">
        <v>402</v>
      </c>
      <c r="B6286" s="13" t="s">
        <v>26</v>
      </c>
      <c r="C6286" s="13" t="s">
        <v>226</v>
      </c>
      <c r="D6286" s="14" t="s">
        <v>320</v>
      </c>
      <c r="E6286" s="13" t="s">
        <v>61</v>
      </c>
      <c r="F6286" s="13" t="s">
        <v>1953</v>
      </c>
      <c r="G6286" s="13">
        <v>0.67999999999999983</v>
      </c>
      <c r="H6286" s="15">
        <v>4762</v>
      </c>
      <c r="I6286" s="16">
        <v>3238.16</v>
      </c>
      <c r="J6286" s="16">
        <v>3243.0269219854808</v>
      </c>
      <c r="K6286" s="16">
        <v>-4.8669219854813797</v>
      </c>
      <c r="L6286" s="13">
        <v>1.69</v>
      </c>
      <c r="M6286" s="13"/>
      <c r="N6286" s="17">
        <f t="shared" si="206"/>
        <v>8047.78</v>
      </c>
      <c r="O6286" s="17">
        <f t="shared" si="206"/>
        <v>0</v>
      </c>
      <c r="P6286" s="17">
        <f t="shared" si="207"/>
        <v>8047.78</v>
      </c>
      <c r="Q6286" t="str">
        <f>A6286&amp;"-"&amp;B6286&amp;"-"&amp;D6286</f>
        <v>DESEMBER-MJ2-L13</v>
      </c>
    </row>
    <row r="6287" spans="1:17" x14ac:dyDescent="0.25">
      <c r="A6287" t="s">
        <v>402</v>
      </c>
      <c r="B6287" s="13" t="s">
        <v>26</v>
      </c>
      <c r="C6287" s="13" t="s">
        <v>226</v>
      </c>
      <c r="D6287" s="14" t="s">
        <v>320</v>
      </c>
      <c r="E6287" s="13" t="s">
        <v>61</v>
      </c>
      <c r="F6287" s="13" t="s">
        <v>2099</v>
      </c>
      <c r="G6287" s="13">
        <v>0.67999999999999983</v>
      </c>
      <c r="H6287" s="15">
        <v>8108</v>
      </c>
      <c r="I6287" s="16">
        <v>5513.44</v>
      </c>
      <c r="J6287" s="16">
        <v>5544.8254948417216</v>
      </c>
      <c r="K6287" s="16">
        <v>-31.385494841723272</v>
      </c>
      <c r="L6287" s="13">
        <v>1.69</v>
      </c>
      <c r="M6287" s="13"/>
      <c r="N6287" s="17">
        <f t="shared" si="206"/>
        <v>13702.52</v>
      </c>
      <c r="O6287" s="17">
        <f t="shared" si="206"/>
        <v>0</v>
      </c>
      <c r="P6287" s="17">
        <f t="shared" si="207"/>
        <v>13702.52</v>
      </c>
      <c r="Q6287" t="str">
        <f>A6287&amp;"-"&amp;B6287&amp;"-"&amp;D6287</f>
        <v>DESEMBER-MJ2-L13</v>
      </c>
    </row>
    <row r="6288" spans="1:17" x14ac:dyDescent="0.25">
      <c r="A6288" t="s">
        <v>402</v>
      </c>
      <c r="B6288" s="13" t="s">
        <v>26</v>
      </c>
      <c r="C6288" s="13" t="s">
        <v>226</v>
      </c>
      <c r="D6288" s="14" t="s">
        <v>320</v>
      </c>
      <c r="E6288" s="13" t="s">
        <v>61</v>
      </c>
      <c r="F6288" s="13" t="s">
        <v>2100</v>
      </c>
      <c r="G6288" s="13">
        <v>0.7599999999999999</v>
      </c>
      <c r="H6288" s="15">
        <v>5185</v>
      </c>
      <c r="I6288" s="16">
        <v>3940.6</v>
      </c>
      <c r="J6288" s="16">
        <v>3990.2032773601627</v>
      </c>
      <c r="K6288" s="16">
        <v>-49.603277360162835</v>
      </c>
      <c r="L6288" s="13">
        <v>1.94</v>
      </c>
      <c r="M6288" s="13"/>
      <c r="N6288" s="17">
        <f t="shared" si="206"/>
        <v>10058.9</v>
      </c>
      <c r="O6288" s="17">
        <f t="shared" si="206"/>
        <v>0</v>
      </c>
      <c r="P6288" s="17">
        <f t="shared" si="207"/>
        <v>10058.9</v>
      </c>
      <c r="Q6288" t="str">
        <f>A6288&amp;"-"&amp;B6288&amp;"-"&amp;D6288</f>
        <v>DESEMBER-MJ2-L13</v>
      </c>
    </row>
    <row r="6289" spans="1:17" x14ac:dyDescent="0.25">
      <c r="A6289" t="s">
        <v>402</v>
      </c>
      <c r="B6289" s="13" t="s">
        <v>26</v>
      </c>
      <c r="C6289" s="13" t="s">
        <v>226</v>
      </c>
      <c r="D6289" s="14" t="s">
        <v>320</v>
      </c>
      <c r="E6289" s="13" t="s">
        <v>61</v>
      </c>
      <c r="F6289" s="13" t="s">
        <v>2101</v>
      </c>
      <c r="G6289" s="13">
        <v>0.76</v>
      </c>
      <c r="H6289" s="15">
        <v>270</v>
      </c>
      <c r="I6289" s="16">
        <v>205.2</v>
      </c>
      <c r="J6289" s="16">
        <v>163.08097083607871</v>
      </c>
      <c r="K6289" s="16">
        <v>42.119029163921304</v>
      </c>
      <c r="L6289" s="13">
        <v>2.0699999999999998</v>
      </c>
      <c r="M6289" s="13"/>
      <c r="N6289" s="17">
        <f t="shared" si="206"/>
        <v>558.9</v>
      </c>
      <c r="O6289" s="17">
        <f t="shared" si="206"/>
        <v>0</v>
      </c>
      <c r="P6289" s="17">
        <f t="shared" si="207"/>
        <v>558.9</v>
      </c>
      <c r="Q6289" t="str">
        <f>A6289&amp;"-"&amp;B6289&amp;"-"&amp;D6289</f>
        <v>DESEMBER-MJ2-L13</v>
      </c>
    </row>
    <row r="6290" spans="1:17" x14ac:dyDescent="0.25">
      <c r="A6290" t="s">
        <v>402</v>
      </c>
      <c r="B6290" s="13" t="s">
        <v>26</v>
      </c>
      <c r="C6290" s="13" t="s">
        <v>226</v>
      </c>
      <c r="D6290" s="14" t="s">
        <v>320</v>
      </c>
      <c r="E6290" s="13" t="s">
        <v>61</v>
      </c>
      <c r="F6290" s="13" t="s">
        <v>2102</v>
      </c>
      <c r="G6290" s="13">
        <v>1.1899999999999997</v>
      </c>
      <c r="H6290" s="15">
        <v>2433</v>
      </c>
      <c r="I6290" s="16">
        <v>2895.27</v>
      </c>
      <c r="J6290" s="16">
        <v>1827.8022577615654</v>
      </c>
      <c r="K6290" s="16">
        <v>1067.4677422384348</v>
      </c>
      <c r="L6290" s="13">
        <v>2.87</v>
      </c>
      <c r="M6290" s="13"/>
      <c r="N6290" s="17">
        <f t="shared" si="206"/>
        <v>6982.71</v>
      </c>
      <c r="O6290" s="17">
        <f t="shared" si="206"/>
        <v>0</v>
      </c>
      <c r="P6290" s="17">
        <f t="shared" si="207"/>
        <v>6982.71</v>
      </c>
      <c r="Q6290" t="str">
        <f>A6290&amp;"-"&amp;B6290&amp;"-"&amp;D6290</f>
        <v>DESEMBER-MJ2-L13</v>
      </c>
    </row>
    <row r="6291" spans="1:17" x14ac:dyDescent="0.25">
      <c r="A6291" t="s">
        <v>402</v>
      </c>
      <c r="B6291" s="13" t="s">
        <v>26</v>
      </c>
      <c r="C6291" s="13" t="s">
        <v>226</v>
      </c>
      <c r="D6291" s="14" t="s">
        <v>320</v>
      </c>
      <c r="E6291" s="13" t="s">
        <v>61</v>
      </c>
      <c r="F6291" s="13" t="s">
        <v>1957</v>
      </c>
      <c r="G6291" s="13">
        <v>0.76</v>
      </c>
      <c r="H6291" s="15">
        <v>24</v>
      </c>
      <c r="I6291" s="16">
        <v>18.240000000000002</v>
      </c>
      <c r="J6291" s="16">
        <v>16.173939769120775</v>
      </c>
      <c r="K6291" s="16">
        <v>2.0660602308792253</v>
      </c>
      <c r="L6291" s="13">
        <v>1.94</v>
      </c>
      <c r="M6291" s="13"/>
      <c r="N6291" s="17">
        <f t="shared" si="206"/>
        <v>46.56</v>
      </c>
      <c r="O6291" s="17">
        <f t="shared" si="206"/>
        <v>0</v>
      </c>
      <c r="P6291" s="17">
        <f t="shared" si="207"/>
        <v>46.56</v>
      </c>
      <c r="Q6291" t="str">
        <f>A6291&amp;"-"&amp;B6291&amp;"-"&amp;D6291</f>
        <v>DESEMBER-MJ2-L13</v>
      </c>
    </row>
    <row r="6292" spans="1:17" x14ac:dyDescent="0.25">
      <c r="A6292" t="s">
        <v>402</v>
      </c>
      <c r="B6292" s="13" t="s">
        <v>26</v>
      </c>
      <c r="C6292" s="13" t="s">
        <v>226</v>
      </c>
      <c r="D6292" s="14" t="s">
        <v>320</v>
      </c>
      <c r="E6292" s="13" t="s">
        <v>61</v>
      </c>
      <c r="F6292" s="13" t="s">
        <v>2103</v>
      </c>
      <c r="G6292" s="13">
        <v>0.7599999999999999</v>
      </c>
      <c r="H6292" s="15">
        <v>1783</v>
      </c>
      <c r="I6292" s="16">
        <v>1355.08</v>
      </c>
      <c r="J6292" s="16">
        <v>1216.0763672169517</v>
      </c>
      <c r="K6292" s="16">
        <v>139.00363278304826</v>
      </c>
      <c r="L6292" s="13">
        <v>1.94</v>
      </c>
      <c r="M6292" s="13"/>
      <c r="N6292" s="17">
        <f t="shared" si="206"/>
        <v>3459.02</v>
      </c>
      <c r="O6292" s="17">
        <f t="shared" si="206"/>
        <v>0</v>
      </c>
      <c r="P6292" s="17">
        <f t="shared" si="207"/>
        <v>3459.02</v>
      </c>
      <c r="Q6292" t="str">
        <f>A6292&amp;"-"&amp;B6292&amp;"-"&amp;D6292</f>
        <v>DESEMBER-MJ2-L13</v>
      </c>
    </row>
    <row r="6293" spans="1:17" x14ac:dyDescent="0.25">
      <c r="A6293" t="s">
        <v>402</v>
      </c>
      <c r="B6293" s="13" t="s">
        <v>26</v>
      </c>
      <c r="C6293" s="13" t="s">
        <v>226</v>
      </c>
      <c r="D6293" s="14" t="s">
        <v>320</v>
      </c>
      <c r="E6293" s="13" t="s">
        <v>61</v>
      </c>
      <c r="F6293" s="13" t="s">
        <v>1958</v>
      </c>
      <c r="G6293" s="13">
        <v>0.65</v>
      </c>
      <c r="H6293" s="15">
        <v>101</v>
      </c>
      <c r="I6293" s="16">
        <v>65.650000000000006</v>
      </c>
      <c r="J6293" s="16">
        <v>66.936320754716988</v>
      </c>
      <c r="K6293" s="16">
        <v>-1.2863207547169822</v>
      </c>
      <c r="L6293" s="13">
        <v>1.66</v>
      </c>
      <c r="M6293" s="13"/>
      <c r="N6293" s="17">
        <f t="shared" si="206"/>
        <v>167.66</v>
      </c>
      <c r="O6293" s="17">
        <f t="shared" si="206"/>
        <v>0</v>
      </c>
      <c r="P6293" s="17">
        <f t="shared" si="207"/>
        <v>167.66</v>
      </c>
      <c r="Q6293" t="str">
        <f>A6293&amp;"-"&amp;B6293&amp;"-"&amp;D6293</f>
        <v>DESEMBER-MJ2-L13</v>
      </c>
    </row>
    <row r="6294" spans="1:17" x14ac:dyDescent="0.25">
      <c r="A6294" t="s">
        <v>402</v>
      </c>
      <c r="B6294" s="13" t="s">
        <v>26</v>
      </c>
      <c r="C6294" s="13" t="s">
        <v>226</v>
      </c>
      <c r="D6294" s="14" t="s">
        <v>320</v>
      </c>
      <c r="E6294" s="13" t="s">
        <v>61</v>
      </c>
      <c r="F6294" s="13" t="s">
        <v>1952</v>
      </c>
      <c r="G6294" s="13">
        <v>0.65</v>
      </c>
      <c r="H6294" s="15">
        <v>93</v>
      </c>
      <c r="I6294" s="16">
        <v>60.45</v>
      </c>
      <c r="J6294" s="16">
        <v>61.634433962264154</v>
      </c>
      <c r="K6294" s="16">
        <v>-1.1844339622641513</v>
      </c>
      <c r="L6294" s="13">
        <v>1.66</v>
      </c>
      <c r="M6294" s="13"/>
      <c r="N6294" s="17">
        <f t="shared" si="206"/>
        <v>154.38</v>
      </c>
      <c r="O6294" s="17">
        <f t="shared" si="206"/>
        <v>0</v>
      </c>
      <c r="P6294" s="17">
        <f t="shared" si="207"/>
        <v>154.38</v>
      </c>
      <c r="Q6294" t="str">
        <f>A6294&amp;"-"&amp;B6294&amp;"-"&amp;D6294</f>
        <v>DESEMBER-MJ2-L13</v>
      </c>
    </row>
    <row r="6295" spans="1:17" x14ac:dyDescent="0.25">
      <c r="A6295" t="s">
        <v>402</v>
      </c>
      <c r="B6295" s="13" t="s">
        <v>26</v>
      </c>
      <c r="C6295" s="13" t="s">
        <v>226</v>
      </c>
      <c r="D6295" s="14" t="s">
        <v>50</v>
      </c>
      <c r="E6295" s="13" t="s">
        <v>61</v>
      </c>
      <c r="F6295" s="13" t="s">
        <v>1931</v>
      </c>
      <c r="G6295" s="13">
        <v>0.67999999999999994</v>
      </c>
      <c r="H6295" s="15">
        <v>2105</v>
      </c>
      <c r="I6295" s="16">
        <v>1431.4000000000003</v>
      </c>
      <c r="J6295" s="16">
        <v>1281.2404063599258</v>
      </c>
      <c r="K6295" s="16">
        <v>150.15959364007401</v>
      </c>
      <c r="L6295" s="13">
        <v>1.69</v>
      </c>
      <c r="M6295" s="13"/>
      <c r="N6295" s="17">
        <f t="shared" si="206"/>
        <v>3557.45</v>
      </c>
      <c r="O6295" s="17">
        <f t="shared" si="206"/>
        <v>0</v>
      </c>
      <c r="P6295" s="17">
        <f t="shared" si="207"/>
        <v>3557.45</v>
      </c>
      <c r="Q6295" t="str">
        <f>A6295&amp;"-"&amp;B6295&amp;"-"&amp;D6295</f>
        <v>DESEMBER-MJ2-L2</v>
      </c>
    </row>
    <row r="6296" spans="1:17" x14ac:dyDescent="0.25">
      <c r="A6296" t="s">
        <v>402</v>
      </c>
      <c r="B6296" s="13" t="s">
        <v>26</v>
      </c>
      <c r="C6296" s="13" t="s">
        <v>226</v>
      </c>
      <c r="D6296" s="14" t="s">
        <v>50</v>
      </c>
      <c r="E6296" s="13" t="s">
        <v>61</v>
      </c>
      <c r="F6296" s="13" t="s">
        <v>2104</v>
      </c>
      <c r="G6296" s="13">
        <v>0.67999999999999994</v>
      </c>
      <c r="H6296" s="15">
        <v>7995</v>
      </c>
      <c r="I6296" s="16">
        <v>5436.5999999999995</v>
      </c>
      <c r="J6296" s="16">
        <v>4783.9303082352399</v>
      </c>
      <c r="K6296" s="16">
        <v>652.66969176475902</v>
      </c>
      <c r="L6296" s="13">
        <v>1.69</v>
      </c>
      <c r="M6296" s="13"/>
      <c r="N6296" s="17">
        <f t="shared" si="206"/>
        <v>13511.55</v>
      </c>
      <c r="O6296" s="17">
        <f t="shared" si="206"/>
        <v>0</v>
      </c>
      <c r="P6296" s="17">
        <f t="shared" si="207"/>
        <v>13511.55</v>
      </c>
      <c r="Q6296" t="str">
        <f>A6296&amp;"-"&amp;B6296&amp;"-"&amp;D6296</f>
        <v>DESEMBER-MJ2-L2</v>
      </c>
    </row>
    <row r="6297" spans="1:17" x14ac:dyDescent="0.25">
      <c r="A6297" t="s">
        <v>402</v>
      </c>
      <c r="B6297" s="13" t="s">
        <v>26</v>
      </c>
      <c r="C6297" s="13" t="s">
        <v>226</v>
      </c>
      <c r="D6297" s="14" t="s">
        <v>50</v>
      </c>
      <c r="E6297" s="13" t="s">
        <v>61</v>
      </c>
      <c r="F6297" s="13" t="s">
        <v>2105</v>
      </c>
      <c r="G6297" s="13">
        <v>0.65</v>
      </c>
      <c r="H6297" s="15">
        <v>540</v>
      </c>
      <c r="I6297" s="16">
        <v>350.99999999999994</v>
      </c>
      <c r="J6297" s="16">
        <v>330.39924705689168</v>
      </c>
      <c r="K6297" s="16">
        <v>20.600752943108368</v>
      </c>
      <c r="L6297" s="13">
        <v>1.81</v>
      </c>
      <c r="M6297" s="13"/>
      <c r="N6297" s="17">
        <f t="shared" si="206"/>
        <v>977.4</v>
      </c>
      <c r="O6297" s="17">
        <f t="shared" si="206"/>
        <v>0</v>
      </c>
      <c r="P6297" s="17">
        <f t="shared" si="207"/>
        <v>977.4</v>
      </c>
      <c r="Q6297" t="str">
        <f>A6297&amp;"-"&amp;B6297&amp;"-"&amp;D6297</f>
        <v>DESEMBER-MJ2-L2</v>
      </c>
    </row>
    <row r="6298" spans="1:17" x14ac:dyDescent="0.25">
      <c r="A6298" t="s">
        <v>402</v>
      </c>
      <c r="B6298" s="13" t="s">
        <v>26</v>
      </c>
      <c r="C6298" s="13" t="s">
        <v>226</v>
      </c>
      <c r="D6298" s="14" t="s">
        <v>50</v>
      </c>
      <c r="E6298" s="13" t="s">
        <v>61</v>
      </c>
      <c r="F6298" s="13" t="s">
        <v>1959</v>
      </c>
      <c r="G6298" s="13">
        <v>0.71</v>
      </c>
      <c r="H6298" s="15">
        <v>136</v>
      </c>
      <c r="I6298" s="16">
        <v>96.56</v>
      </c>
      <c r="J6298" s="16">
        <v>78.151329243353786</v>
      </c>
      <c r="K6298" s="16">
        <v>18.408670756646217</v>
      </c>
      <c r="L6298" s="13">
        <v>1.29</v>
      </c>
      <c r="M6298" s="13"/>
      <c r="N6298" s="17">
        <f t="shared" si="206"/>
        <v>175.44</v>
      </c>
      <c r="O6298" s="17">
        <f t="shared" si="206"/>
        <v>0</v>
      </c>
      <c r="P6298" s="17">
        <f t="shared" si="207"/>
        <v>175.44</v>
      </c>
      <c r="Q6298" t="str">
        <f>A6298&amp;"-"&amp;B6298&amp;"-"&amp;D6298</f>
        <v>DESEMBER-MJ2-L2</v>
      </c>
    </row>
    <row r="6299" spans="1:17" x14ac:dyDescent="0.25">
      <c r="A6299" t="s">
        <v>402</v>
      </c>
      <c r="B6299" s="13" t="s">
        <v>26</v>
      </c>
      <c r="C6299" s="13" t="s">
        <v>226</v>
      </c>
      <c r="D6299" s="14" t="s">
        <v>50</v>
      </c>
      <c r="E6299" s="13" t="s">
        <v>61</v>
      </c>
      <c r="F6299" s="13" t="s">
        <v>2106</v>
      </c>
      <c r="G6299" s="13">
        <v>0.7</v>
      </c>
      <c r="H6299" s="15">
        <v>1785</v>
      </c>
      <c r="I6299" s="16">
        <v>1249.5</v>
      </c>
      <c r="J6299" s="16">
        <v>1307.007675969639</v>
      </c>
      <c r="K6299" s="16">
        <v>-57.507675969639038</v>
      </c>
      <c r="L6299" s="13">
        <v>1.76</v>
      </c>
      <c r="M6299" s="13"/>
      <c r="N6299" s="17">
        <f t="shared" si="206"/>
        <v>3141.6</v>
      </c>
      <c r="O6299" s="17">
        <f t="shared" si="206"/>
        <v>0</v>
      </c>
      <c r="P6299" s="17">
        <f t="shared" si="207"/>
        <v>3141.6</v>
      </c>
      <c r="Q6299" t="str">
        <f>A6299&amp;"-"&amp;B6299&amp;"-"&amp;D6299</f>
        <v>DESEMBER-MJ2-L2</v>
      </c>
    </row>
    <row r="6300" spans="1:17" x14ac:dyDescent="0.25">
      <c r="A6300" t="s">
        <v>402</v>
      </c>
      <c r="B6300" s="13" t="s">
        <v>26</v>
      </c>
      <c r="C6300" s="13" t="s">
        <v>226</v>
      </c>
      <c r="D6300" s="14" t="s">
        <v>50</v>
      </c>
      <c r="E6300" s="13" t="s">
        <v>61</v>
      </c>
      <c r="F6300" s="13" t="s">
        <v>2107</v>
      </c>
      <c r="G6300" s="13">
        <v>0.68</v>
      </c>
      <c r="H6300" s="15">
        <v>269</v>
      </c>
      <c r="I6300" s="16">
        <v>182.92000000000002</v>
      </c>
      <c r="J6300" s="16">
        <v>189.27734063755287</v>
      </c>
      <c r="K6300" s="16">
        <v>-6.357340637552868</v>
      </c>
      <c r="L6300" s="13">
        <v>1.88</v>
      </c>
      <c r="M6300" s="13"/>
      <c r="N6300" s="17">
        <f t="shared" si="206"/>
        <v>505.71999999999997</v>
      </c>
      <c r="O6300" s="17">
        <f t="shared" si="206"/>
        <v>0</v>
      </c>
      <c r="P6300" s="17">
        <f t="shared" si="207"/>
        <v>505.71999999999997</v>
      </c>
      <c r="Q6300" t="str">
        <f>A6300&amp;"-"&amp;B6300&amp;"-"&amp;D6300</f>
        <v>DESEMBER-MJ2-L2</v>
      </c>
    </row>
    <row r="6301" spans="1:17" x14ac:dyDescent="0.25">
      <c r="A6301" t="s">
        <v>402</v>
      </c>
      <c r="B6301" s="13" t="s">
        <v>26</v>
      </c>
      <c r="C6301" s="13" t="s">
        <v>226</v>
      </c>
      <c r="D6301" s="14" t="s">
        <v>50</v>
      </c>
      <c r="E6301" s="13" t="s">
        <v>61</v>
      </c>
      <c r="F6301" s="13" t="s">
        <v>2108</v>
      </c>
      <c r="G6301" s="13">
        <v>0.76</v>
      </c>
      <c r="H6301" s="15">
        <v>1620</v>
      </c>
      <c r="I6301" s="16">
        <v>1231.1999999999998</v>
      </c>
      <c r="J6301" s="16">
        <v>1107.4490395284495</v>
      </c>
      <c r="K6301" s="16">
        <v>123.75096047155077</v>
      </c>
      <c r="L6301" s="13">
        <v>1.94</v>
      </c>
      <c r="M6301" s="13"/>
      <c r="N6301" s="17">
        <f t="shared" si="206"/>
        <v>3142.7999999999997</v>
      </c>
      <c r="O6301" s="17">
        <f t="shared" si="206"/>
        <v>0</v>
      </c>
      <c r="P6301" s="17">
        <f t="shared" si="207"/>
        <v>3142.7999999999997</v>
      </c>
      <c r="Q6301" t="str">
        <f>A6301&amp;"-"&amp;B6301&amp;"-"&amp;D6301</f>
        <v>DESEMBER-MJ2-L2</v>
      </c>
    </row>
    <row r="6302" spans="1:17" x14ac:dyDescent="0.25">
      <c r="A6302" t="s">
        <v>402</v>
      </c>
      <c r="B6302" s="13" t="s">
        <v>26</v>
      </c>
      <c r="C6302" s="13" t="s">
        <v>226</v>
      </c>
      <c r="D6302" s="14" t="s">
        <v>50</v>
      </c>
      <c r="E6302" s="13" t="s">
        <v>61</v>
      </c>
      <c r="F6302" s="13" t="s">
        <v>2109</v>
      </c>
      <c r="G6302" s="13">
        <v>0.76000000000000012</v>
      </c>
      <c r="H6302" s="15">
        <v>270</v>
      </c>
      <c r="I6302" s="16">
        <v>205.20000000000002</v>
      </c>
      <c r="J6302" s="16">
        <v>197.68185205738402</v>
      </c>
      <c r="K6302" s="16">
        <v>7.5181479426159958</v>
      </c>
      <c r="L6302" s="13">
        <v>2.0699999999999998</v>
      </c>
      <c r="M6302" s="13"/>
      <c r="N6302" s="17">
        <f t="shared" si="206"/>
        <v>558.9</v>
      </c>
      <c r="O6302" s="17">
        <f t="shared" si="206"/>
        <v>0</v>
      </c>
      <c r="P6302" s="17">
        <f t="shared" si="207"/>
        <v>558.9</v>
      </c>
      <c r="Q6302" t="str">
        <f>A6302&amp;"-"&amp;B6302&amp;"-"&amp;D6302</f>
        <v>DESEMBER-MJ2-L2</v>
      </c>
    </row>
    <row r="6303" spans="1:17" x14ac:dyDescent="0.25">
      <c r="A6303" t="s">
        <v>402</v>
      </c>
      <c r="B6303" s="13" t="s">
        <v>26</v>
      </c>
      <c r="C6303" s="13" t="s">
        <v>226</v>
      </c>
      <c r="D6303" s="14" t="s">
        <v>50</v>
      </c>
      <c r="E6303" s="13" t="s">
        <v>61</v>
      </c>
      <c r="F6303" s="13" t="s">
        <v>2110</v>
      </c>
      <c r="G6303" s="13">
        <v>0.83</v>
      </c>
      <c r="H6303" s="15">
        <v>8079</v>
      </c>
      <c r="I6303" s="16">
        <v>6705.5699999999988</v>
      </c>
      <c r="J6303" s="16">
        <v>5411.4233744145922</v>
      </c>
      <c r="K6303" s="16">
        <v>1294.146625585407</v>
      </c>
      <c r="L6303" s="13">
        <v>2.13</v>
      </c>
      <c r="M6303" s="13"/>
      <c r="N6303" s="17">
        <f t="shared" si="206"/>
        <v>17208.27</v>
      </c>
      <c r="O6303" s="17">
        <f t="shared" si="206"/>
        <v>0</v>
      </c>
      <c r="P6303" s="17">
        <f t="shared" si="207"/>
        <v>17208.27</v>
      </c>
      <c r="Q6303" t="str">
        <f>A6303&amp;"-"&amp;B6303&amp;"-"&amp;D6303</f>
        <v>DESEMBER-MJ2-L2</v>
      </c>
    </row>
    <row r="6304" spans="1:17" x14ac:dyDescent="0.25">
      <c r="A6304" t="s">
        <v>402</v>
      </c>
      <c r="B6304" s="13" t="s">
        <v>26</v>
      </c>
      <c r="C6304" s="13" t="s">
        <v>226</v>
      </c>
      <c r="D6304" s="14" t="s">
        <v>50</v>
      </c>
      <c r="E6304" s="13" t="s">
        <v>61</v>
      </c>
      <c r="F6304" s="13" t="s">
        <v>1962</v>
      </c>
      <c r="G6304" s="13">
        <v>0.7</v>
      </c>
      <c r="H6304" s="15">
        <v>276</v>
      </c>
      <c r="I6304" s="16">
        <v>193.2</v>
      </c>
      <c r="J6304" s="16">
        <v>201.1828793774319</v>
      </c>
      <c r="K6304" s="16">
        <v>-7.9828793774319138</v>
      </c>
      <c r="L6304" s="13">
        <v>1.76</v>
      </c>
      <c r="M6304" s="13"/>
      <c r="N6304" s="17">
        <f t="shared" si="206"/>
        <v>485.76</v>
      </c>
      <c r="O6304" s="17">
        <f t="shared" si="206"/>
        <v>0</v>
      </c>
      <c r="P6304" s="17">
        <f t="shared" si="207"/>
        <v>485.76</v>
      </c>
      <c r="Q6304" t="str">
        <f>A6304&amp;"-"&amp;B6304&amp;"-"&amp;D6304</f>
        <v>DESEMBER-MJ2-L2</v>
      </c>
    </row>
    <row r="6305" spans="1:17" x14ac:dyDescent="0.25">
      <c r="A6305" t="s">
        <v>402</v>
      </c>
      <c r="B6305" s="13" t="s">
        <v>26</v>
      </c>
      <c r="C6305" s="13" t="s">
        <v>226</v>
      </c>
      <c r="D6305" s="14" t="s">
        <v>50</v>
      </c>
      <c r="E6305" s="13" t="s">
        <v>61</v>
      </c>
      <c r="F6305" s="13" t="s">
        <v>2111</v>
      </c>
      <c r="G6305" s="13">
        <v>0.70000000000000007</v>
      </c>
      <c r="H6305" s="15">
        <v>4651</v>
      </c>
      <c r="I6305" s="16">
        <v>3255.7000000000003</v>
      </c>
      <c r="J6305" s="16">
        <v>3227.0053569303295</v>
      </c>
      <c r="K6305" s="16">
        <v>28.694643069670782</v>
      </c>
      <c r="L6305" s="13">
        <v>1.76</v>
      </c>
      <c r="M6305" s="13"/>
      <c r="N6305" s="17">
        <f t="shared" si="206"/>
        <v>8185.76</v>
      </c>
      <c r="O6305" s="17">
        <f t="shared" si="206"/>
        <v>0</v>
      </c>
      <c r="P6305" s="17">
        <f t="shared" si="207"/>
        <v>8185.76</v>
      </c>
      <c r="Q6305" t="str">
        <f>A6305&amp;"-"&amp;B6305&amp;"-"&amp;D6305</f>
        <v>DESEMBER-MJ2-L2</v>
      </c>
    </row>
    <row r="6306" spans="1:17" x14ac:dyDescent="0.25">
      <c r="A6306" t="s">
        <v>402</v>
      </c>
      <c r="B6306" s="13" t="s">
        <v>26</v>
      </c>
      <c r="C6306" s="13" t="s">
        <v>226</v>
      </c>
      <c r="D6306" s="14" t="s">
        <v>50</v>
      </c>
      <c r="E6306" s="13" t="s">
        <v>61</v>
      </c>
      <c r="F6306" s="13" t="s">
        <v>2112</v>
      </c>
      <c r="G6306" s="13">
        <v>0.82999999999999985</v>
      </c>
      <c r="H6306" s="15">
        <v>6897</v>
      </c>
      <c r="I6306" s="16">
        <v>5724.51</v>
      </c>
      <c r="J6306" s="16">
        <v>4273.308449902911</v>
      </c>
      <c r="K6306" s="16">
        <v>1451.201550097089</v>
      </c>
      <c r="L6306" s="13">
        <v>2.13</v>
      </c>
      <c r="M6306" s="13"/>
      <c r="N6306" s="17">
        <f t="shared" si="206"/>
        <v>14690.609999999999</v>
      </c>
      <c r="O6306" s="17">
        <f t="shared" si="206"/>
        <v>0</v>
      </c>
      <c r="P6306" s="17">
        <f t="shared" si="207"/>
        <v>14690.609999999999</v>
      </c>
      <c r="Q6306" t="str">
        <f>A6306&amp;"-"&amp;B6306&amp;"-"&amp;D6306</f>
        <v>DESEMBER-MJ2-L2</v>
      </c>
    </row>
    <row r="6307" spans="1:17" x14ac:dyDescent="0.25">
      <c r="A6307" t="s">
        <v>402</v>
      </c>
      <c r="B6307" s="13" t="s">
        <v>26</v>
      </c>
      <c r="C6307" s="13" t="s">
        <v>226</v>
      </c>
      <c r="D6307" s="14" t="s">
        <v>50</v>
      </c>
      <c r="E6307" s="13" t="s">
        <v>61</v>
      </c>
      <c r="F6307" s="13" t="s">
        <v>1958</v>
      </c>
      <c r="G6307" s="13">
        <v>0.65</v>
      </c>
      <c r="H6307" s="15">
        <v>37</v>
      </c>
      <c r="I6307" s="16">
        <v>24.05</v>
      </c>
      <c r="J6307" s="16">
        <v>21.261758691206545</v>
      </c>
      <c r="K6307" s="16">
        <v>2.7882413087934559</v>
      </c>
      <c r="L6307" s="13">
        <v>1.66</v>
      </c>
      <c r="M6307" s="13"/>
      <c r="N6307" s="17">
        <f t="shared" si="206"/>
        <v>61.419999999999995</v>
      </c>
      <c r="O6307" s="17">
        <f t="shared" si="206"/>
        <v>0</v>
      </c>
      <c r="P6307" s="17">
        <f t="shared" si="207"/>
        <v>61.419999999999995</v>
      </c>
      <c r="Q6307" t="str">
        <f>A6307&amp;"-"&amp;B6307&amp;"-"&amp;D6307</f>
        <v>DESEMBER-MJ2-L2</v>
      </c>
    </row>
    <row r="6308" spans="1:17" x14ac:dyDescent="0.25">
      <c r="A6308" t="s">
        <v>402</v>
      </c>
      <c r="B6308" s="13" t="s">
        <v>26</v>
      </c>
      <c r="C6308" s="13" t="s">
        <v>226</v>
      </c>
      <c r="D6308" s="14" t="s">
        <v>50</v>
      </c>
      <c r="E6308" s="13" t="s">
        <v>61</v>
      </c>
      <c r="F6308" s="13" t="s">
        <v>1952</v>
      </c>
      <c r="G6308" s="13">
        <v>0.65</v>
      </c>
      <c r="H6308" s="15">
        <v>123</v>
      </c>
      <c r="I6308" s="16">
        <v>79.95</v>
      </c>
      <c r="J6308" s="16">
        <v>70.680981595092021</v>
      </c>
      <c r="K6308" s="16">
        <v>9.2690184049079818</v>
      </c>
      <c r="L6308" s="13">
        <v>1.66</v>
      </c>
      <c r="M6308" s="13"/>
      <c r="N6308" s="17">
        <f t="shared" si="206"/>
        <v>204.17999999999998</v>
      </c>
      <c r="O6308" s="17">
        <f t="shared" si="206"/>
        <v>0</v>
      </c>
      <c r="P6308" s="17">
        <f t="shared" si="207"/>
        <v>204.17999999999998</v>
      </c>
      <c r="Q6308" t="str">
        <f>A6308&amp;"-"&amp;B6308&amp;"-"&amp;D6308</f>
        <v>DESEMBER-MJ2-L2</v>
      </c>
    </row>
    <row r="6309" spans="1:17" x14ac:dyDescent="0.25">
      <c r="A6309" t="s">
        <v>402</v>
      </c>
      <c r="B6309" s="13" t="s">
        <v>26</v>
      </c>
      <c r="C6309" s="13" t="s">
        <v>226</v>
      </c>
      <c r="D6309" s="14" t="s">
        <v>56</v>
      </c>
      <c r="E6309" s="13" t="s">
        <v>61</v>
      </c>
      <c r="F6309" s="13" t="s">
        <v>1931</v>
      </c>
      <c r="G6309" s="13">
        <v>0.67999999999999994</v>
      </c>
      <c r="H6309" s="15">
        <v>2104</v>
      </c>
      <c r="I6309" s="16">
        <v>1430.72</v>
      </c>
      <c r="J6309" s="16">
        <v>1280.4642370670763</v>
      </c>
      <c r="K6309" s="16">
        <v>150.2557629329238</v>
      </c>
      <c r="L6309" s="13">
        <v>1.69</v>
      </c>
      <c r="M6309" s="13"/>
      <c r="N6309" s="17">
        <f t="shared" si="206"/>
        <v>3555.7599999999998</v>
      </c>
      <c r="O6309" s="17">
        <f t="shared" si="206"/>
        <v>0</v>
      </c>
      <c r="P6309" s="17">
        <f t="shared" si="207"/>
        <v>3555.7599999999998</v>
      </c>
      <c r="Q6309" t="str">
        <f>A6309&amp;"-"&amp;B6309&amp;"-"&amp;D6309</f>
        <v>DESEMBER-MJ2-L3</v>
      </c>
    </row>
    <row r="6310" spans="1:17" x14ac:dyDescent="0.25">
      <c r="A6310" t="s">
        <v>402</v>
      </c>
      <c r="B6310" s="13" t="s">
        <v>26</v>
      </c>
      <c r="C6310" s="13" t="s">
        <v>226</v>
      </c>
      <c r="D6310" s="14" t="s">
        <v>56</v>
      </c>
      <c r="E6310" s="13" t="s">
        <v>61</v>
      </c>
      <c r="F6310" s="13" t="s">
        <v>2104</v>
      </c>
      <c r="G6310" s="13">
        <v>0.67999999999999994</v>
      </c>
      <c r="H6310" s="15">
        <v>8001</v>
      </c>
      <c r="I6310" s="16">
        <v>5440.6799999999985</v>
      </c>
      <c r="J6310" s="16">
        <v>4785.6843141978143</v>
      </c>
      <c r="K6310" s="16">
        <v>654.99568580218568</v>
      </c>
      <c r="L6310" s="13">
        <v>1.69</v>
      </c>
      <c r="M6310" s="13"/>
      <c r="N6310" s="17">
        <f t="shared" si="206"/>
        <v>13521.689999999999</v>
      </c>
      <c r="O6310" s="17">
        <f t="shared" si="206"/>
        <v>0</v>
      </c>
      <c r="P6310" s="17">
        <f t="shared" si="207"/>
        <v>13521.689999999999</v>
      </c>
      <c r="Q6310" t="str">
        <f>A6310&amp;"-"&amp;B6310&amp;"-"&amp;D6310</f>
        <v>DESEMBER-MJ2-L3</v>
      </c>
    </row>
    <row r="6311" spans="1:17" x14ac:dyDescent="0.25">
      <c r="A6311" t="s">
        <v>402</v>
      </c>
      <c r="B6311" s="13" t="s">
        <v>26</v>
      </c>
      <c r="C6311" s="13" t="s">
        <v>226</v>
      </c>
      <c r="D6311" s="14" t="s">
        <v>56</v>
      </c>
      <c r="E6311" s="13" t="s">
        <v>61</v>
      </c>
      <c r="F6311" s="13" t="s">
        <v>2105</v>
      </c>
      <c r="G6311" s="13">
        <v>0.65</v>
      </c>
      <c r="H6311" s="15">
        <v>541</v>
      </c>
      <c r="I6311" s="16">
        <v>351.65</v>
      </c>
      <c r="J6311" s="16">
        <v>330.92386537577994</v>
      </c>
      <c r="K6311" s="16">
        <v>20.726134624220062</v>
      </c>
      <c r="L6311" s="13">
        <v>1.81</v>
      </c>
      <c r="M6311" s="13"/>
      <c r="N6311" s="17">
        <f t="shared" si="206"/>
        <v>979.21</v>
      </c>
      <c r="O6311" s="17">
        <f t="shared" si="206"/>
        <v>0</v>
      </c>
      <c r="P6311" s="17">
        <f t="shared" si="207"/>
        <v>979.21</v>
      </c>
      <c r="Q6311" t="str">
        <f>A6311&amp;"-"&amp;B6311&amp;"-"&amp;D6311</f>
        <v>DESEMBER-MJ2-L3</v>
      </c>
    </row>
    <row r="6312" spans="1:17" x14ac:dyDescent="0.25">
      <c r="A6312" t="s">
        <v>402</v>
      </c>
      <c r="B6312" s="13" t="s">
        <v>26</v>
      </c>
      <c r="C6312" s="13" t="s">
        <v>226</v>
      </c>
      <c r="D6312" s="14" t="s">
        <v>56</v>
      </c>
      <c r="E6312" s="13" t="s">
        <v>61</v>
      </c>
      <c r="F6312" s="13" t="s">
        <v>1959</v>
      </c>
      <c r="G6312" s="13">
        <v>0.71</v>
      </c>
      <c r="H6312" s="15">
        <v>136</v>
      </c>
      <c r="I6312" s="16">
        <v>96.56</v>
      </c>
      <c r="J6312" s="16">
        <v>78.151329243353786</v>
      </c>
      <c r="K6312" s="16">
        <v>18.408670756646217</v>
      </c>
      <c r="L6312" s="13">
        <v>1.29</v>
      </c>
      <c r="M6312" s="13"/>
      <c r="N6312" s="17">
        <f t="shared" si="206"/>
        <v>175.44</v>
      </c>
      <c r="O6312" s="17">
        <f t="shared" si="206"/>
        <v>0</v>
      </c>
      <c r="P6312" s="17">
        <f t="shared" si="207"/>
        <v>175.44</v>
      </c>
      <c r="Q6312" t="str">
        <f>A6312&amp;"-"&amp;B6312&amp;"-"&amp;D6312</f>
        <v>DESEMBER-MJ2-L3</v>
      </c>
    </row>
    <row r="6313" spans="1:17" x14ac:dyDescent="0.25">
      <c r="A6313" t="s">
        <v>402</v>
      </c>
      <c r="B6313" s="13" t="s">
        <v>26</v>
      </c>
      <c r="C6313" s="13" t="s">
        <v>226</v>
      </c>
      <c r="D6313" s="14" t="s">
        <v>56</v>
      </c>
      <c r="E6313" s="13" t="s">
        <v>61</v>
      </c>
      <c r="F6313" s="13" t="s">
        <v>2106</v>
      </c>
      <c r="G6313" s="13">
        <v>0.7</v>
      </c>
      <c r="H6313" s="15">
        <v>1783</v>
      </c>
      <c r="I6313" s="16">
        <v>1248.0999999999999</v>
      </c>
      <c r="J6313" s="16">
        <v>1304.7543456725746</v>
      </c>
      <c r="K6313" s="16">
        <v>-56.654345672574564</v>
      </c>
      <c r="L6313" s="13">
        <v>1.76</v>
      </c>
      <c r="M6313" s="13"/>
      <c r="N6313" s="17">
        <f t="shared" si="206"/>
        <v>3138.08</v>
      </c>
      <c r="O6313" s="17">
        <f t="shared" si="206"/>
        <v>0</v>
      </c>
      <c r="P6313" s="17">
        <f t="shared" si="207"/>
        <v>3138.08</v>
      </c>
      <c r="Q6313" t="str">
        <f>A6313&amp;"-"&amp;B6313&amp;"-"&amp;D6313</f>
        <v>DESEMBER-MJ2-L3</v>
      </c>
    </row>
    <row r="6314" spans="1:17" x14ac:dyDescent="0.25">
      <c r="A6314" t="s">
        <v>402</v>
      </c>
      <c r="B6314" s="13" t="s">
        <v>26</v>
      </c>
      <c r="C6314" s="13" t="s">
        <v>226</v>
      </c>
      <c r="D6314" s="14" t="s">
        <v>56</v>
      </c>
      <c r="E6314" s="13" t="s">
        <v>61</v>
      </c>
      <c r="F6314" s="13" t="s">
        <v>2107</v>
      </c>
      <c r="G6314" s="13">
        <v>0.68</v>
      </c>
      <c r="H6314" s="15">
        <v>271</v>
      </c>
      <c r="I6314" s="16">
        <v>184.28000000000003</v>
      </c>
      <c r="J6314" s="16">
        <v>190.40542203360124</v>
      </c>
      <c r="K6314" s="16">
        <v>-6.1254220336012359</v>
      </c>
      <c r="L6314" s="13">
        <v>1.88</v>
      </c>
      <c r="M6314" s="13"/>
      <c r="N6314" s="17">
        <f t="shared" si="206"/>
        <v>509.47999999999996</v>
      </c>
      <c r="O6314" s="17">
        <f t="shared" si="206"/>
        <v>0</v>
      </c>
      <c r="P6314" s="17">
        <f t="shared" si="207"/>
        <v>509.47999999999996</v>
      </c>
      <c r="Q6314" t="str">
        <f>A6314&amp;"-"&amp;B6314&amp;"-"&amp;D6314</f>
        <v>DESEMBER-MJ2-L3</v>
      </c>
    </row>
    <row r="6315" spans="1:17" x14ac:dyDescent="0.25">
      <c r="A6315" t="s">
        <v>402</v>
      </c>
      <c r="B6315" s="13" t="s">
        <v>26</v>
      </c>
      <c r="C6315" s="13" t="s">
        <v>226</v>
      </c>
      <c r="D6315" s="14" t="s">
        <v>56</v>
      </c>
      <c r="E6315" s="13" t="s">
        <v>61</v>
      </c>
      <c r="F6315" s="13" t="s">
        <v>2108</v>
      </c>
      <c r="G6315" s="13">
        <v>0.76</v>
      </c>
      <c r="H6315" s="15">
        <v>1620</v>
      </c>
      <c r="I6315" s="16">
        <v>1231.1999999999998</v>
      </c>
      <c r="J6315" s="16">
        <v>1106.4762969099961</v>
      </c>
      <c r="K6315" s="16">
        <v>124.72370309000392</v>
      </c>
      <c r="L6315" s="13">
        <v>1.94</v>
      </c>
      <c r="M6315" s="13"/>
      <c r="N6315" s="17">
        <f t="shared" si="206"/>
        <v>3142.7999999999997</v>
      </c>
      <c r="O6315" s="17">
        <f t="shared" si="206"/>
        <v>0</v>
      </c>
      <c r="P6315" s="17">
        <f t="shared" si="207"/>
        <v>3142.7999999999997</v>
      </c>
      <c r="Q6315" t="str">
        <f>A6315&amp;"-"&amp;B6315&amp;"-"&amp;D6315</f>
        <v>DESEMBER-MJ2-L3</v>
      </c>
    </row>
    <row r="6316" spans="1:17" x14ac:dyDescent="0.25">
      <c r="A6316" t="s">
        <v>402</v>
      </c>
      <c r="B6316" s="13" t="s">
        <v>26</v>
      </c>
      <c r="C6316" s="13" t="s">
        <v>226</v>
      </c>
      <c r="D6316" s="14" t="s">
        <v>56</v>
      </c>
      <c r="E6316" s="13" t="s">
        <v>61</v>
      </c>
      <c r="F6316" s="13" t="s">
        <v>2109</v>
      </c>
      <c r="G6316" s="13">
        <v>0.76000000000000012</v>
      </c>
      <c r="H6316" s="15">
        <v>270</v>
      </c>
      <c r="I6316" s="16">
        <v>205.20000000000002</v>
      </c>
      <c r="J6316" s="16">
        <v>198.48630643679604</v>
      </c>
      <c r="K6316" s="16">
        <v>6.7136935632039858</v>
      </c>
      <c r="L6316" s="13">
        <v>2.0699999999999998</v>
      </c>
      <c r="M6316" s="13"/>
      <c r="N6316" s="17">
        <f t="shared" si="206"/>
        <v>558.9</v>
      </c>
      <c r="O6316" s="17">
        <f t="shared" si="206"/>
        <v>0</v>
      </c>
      <c r="P6316" s="17">
        <f t="shared" si="207"/>
        <v>558.9</v>
      </c>
      <c r="Q6316" t="str">
        <f>A6316&amp;"-"&amp;B6316&amp;"-"&amp;D6316</f>
        <v>DESEMBER-MJ2-L3</v>
      </c>
    </row>
    <row r="6317" spans="1:17" x14ac:dyDescent="0.25">
      <c r="A6317" t="s">
        <v>402</v>
      </c>
      <c r="B6317" s="13" t="s">
        <v>26</v>
      </c>
      <c r="C6317" s="13" t="s">
        <v>226</v>
      </c>
      <c r="D6317" s="14" t="s">
        <v>56</v>
      </c>
      <c r="E6317" s="13" t="s">
        <v>61</v>
      </c>
      <c r="F6317" s="13" t="s">
        <v>2110</v>
      </c>
      <c r="G6317" s="13">
        <v>0.83</v>
      </c>
      <c r="H6317" s="15">
        <v>8079</v>
      </c>
      <c r="I6317" s="16">
        <v>6705.57</v>
      </c>
      <c r="J6317" s="16">
        <v>5410.6482540594034</v>
      </c>
      <c r="K6317" s="16">
        <v>1294.9217459405961</v>
      </c>
      <c r="L6317" s="13">
        <v>2.13</v>
      </c>
      <c r="M6317" s="13"/>
      <c r="N6317" s="17">
        <f t="shared" si="206"/>
        <v>17208.27</v>
      </c>
      <c r="O6317" s="17">
        <f t="shared" si="206"/>
        <v>0</v>
      </c>
      <c r="P6317" s="17">
        <f t="shared" si="207"/>
        <v>17208.27</v>
      </c>
      <c r="Q6317" t="str">
        <f>A6317&amp;"-"&amp;B6317&amp;"-"&amp;D6317</f>
        <v>DESEMBER-MJ2-L3</v>
      </c>
    </row>
    <row r="6318" spans="1:17" x14ac:dyDescent="0.25">
      <c r="A6318" t="s">
        <v>402</v>
      </c>
      <c r="B6318" s="13" t="s">
        <v>26</v>
      </c>
      <c r="C6318" s="13" t="s">
        <v>226</v>
      </c>
      <c r="D6318" s="14" t="s">
        <v>56</v>
      </c>
      <c r="E6318" s="13" t="s">
        <v>61</v>
      </c>
      <c r="F6318" s="13" t="s">
        <v>1962</v>
      </c>
      <c r="G6318" s="13">
        <v>0.7</v>
      </c>
      <c r="H6318" s="15">
        <v>276</v>
      </c>
      <c r="I6318" s="16">
        <v>193.2</v>
      </c>
      <c r="J6318" s="16">
        <v>201.05249513933896</v>
      </c>
      <c r="K6318" s="16">
        <v>-7.8524951393389699</v>
      </c>
      <c r="L6318" s="13">
        <v>1.76</v>
      </c>
      <c r="M6318" s="13"/>
      <c r="N6318" s="17">
        <f t="shared" si="206"/>
        <v>485.76</v>
      </c>
      <c r="O6318" s="17">
        <f t="shared" si="206"/>
        <v>0</v>
      </c>
      <c r="P6318" s="17">
        <f t="shared" si="207"/>
        <v>485.76</v>
      </c>
      <c r="Q6318" t="str">
        <f>A6318&amp;"-"&amp;B6318&amp;"-"&amp;D6318</f>
        <v>DESEMBER-MJ2-L3</v>
      </c>
    </row>
    <row r="6319" spans="1:17" x14ac:dyDescent="0.25">
      <c r="A6319" t="s">
        <v>402</v>
      </c>
      <c r="B6319" s="13" t="s">
        <v>26</v>
      </c>
      <c r="C6319" s="13" t="s">
        <v>226</v>
      </c>
      <c r="D6319" s="14" t="s">
        <v>56</v>
      </c>
      <c r="E6319" s="13" t="s">
        <v>61</v>
      </c>
      <c r="F6319" s="13" t="s">
        <v>2111</v>
      </c>
      <c r="G6319" s="13">
        <v>0.70000000000000007</v>
      </c>
      <c r="H6319" s="15">
        <v>4653</v>
      </c>
      <c r="I6319" s="16">
        <v>3257.1000000000004</v>
      </c>
      <c r="J6319" s="16">
        <v>3227.8405146132695</v>
      </c>
      <c r="K6319" s="16">
        <v>29.259485386730411</v>
      </c>
      <c r="L6319" s="13">
        <v>1.76</v>
      </c>
      <c r="M6319" s="13"/>
      <c r="N6319" s="17">
        <f t="shared" si="206"/>
        <v>8189.28</v>
      </c>
      <c r="O6319" s="17">
        <f t="shared" si="206"/>
        <v>0</v>
      </c>
      <c r="P6319" s="17">
        <f t="shared" si="207"/>
        <v>8189.28</v>
      </c>
      <c r="Q6319" t="str">
        <f>A6319&amp;"-"&amp;B6319&amp;"-"&amp;D6319</f>
        <v>DESEMBER-MJ2-L3</v>
      </c>
    </row>
    <row r="6320" spans="1:17" x14ac:dyDescent="0.25">
      <c r="A6320" t="s">
        <v>402</v>
      </c>
      <c r="B6320" s="13" t="s">
        <v>26</v>
      </c>
      <c r="C6320" s="13" t="s">
        <v>226</v>
      </c>
      <c r="D6320" s="14" t="s">
        <v>56</v>
      </c>
      <c r="E6320" s="13" t="s">
        <v>61</v>
      </c>
      <c r="F6320" s="13" t="s">
        <v>2112</v>
      </c>
      <c r="G6320" s="13">
        <v>0.82999999999999985</v>
      </c>
      <c r="H6320" s="15">
        <v>6897</v>
      </c>
      <c r="I6320" s="16">
        <v>5724.51</v>
      </c>
      <c r="J6320" s="16">
        <v>4273.7445210914866</v>
      </c>
      <c r="K6320" s="16">
        <v>1450.7654789085138</v>
      </c>
      <c r="L6320" s="13">
        <v>2.13</v>
      </c>
      <c r="M6320" s="13"/>
      <c r="N6320" s="17">
        <f t="shared" si="206"/>
        <v>14690.609999999999</v>
      </c>
      <c r="O6320" s="17">
        <f t="shared" si="206"/>
        <v>0</v>
      </c>
      <c r="P6320" s="17">
        <f t="shared" si="207"/>
        <v>14690.609999999999</v>
      </c>
      <c r="Q6320" t="str">
        <f>A6320&amp;"-"&amp;B6320&amp;"-"&amp;D6320</f>
        <v>DESEMBER-MJ2-L3</v>
      </c>
    </row>
    <row r="6321" spans="1:17" x14ac:dyDescent="0.25">
      <c r="A6321" t="s">
        <v>402</v>
      </c>
      <c r="B6321" s="13" t="s">
        <v>26</v>
      </c>
      <c r="C6321" s="13" t="s">
        <v>226</v>
      </c>
      <c r="D6321" s="14" t="s">
        <v>56</v>
      </c>
      <c r="E6321" s="13" t="s">
        <v>61</v>
      </c>
      <c r="F6321" s="13" t="s">
        <v>1958</v>
      </c>
      <c r="G6321" s="13">
        <v>0.65</v>
      </c>
      <c r="H6321" s="15">
        <v>37</v>
      </c>
      <c r="I6321" s="16">
        <v>24.05</v>
      </c>
      <c r="J6321" s="16">
        <v>21.261758691206545</v>
      </c>
      <c r="K6321" s="16">
        <v>2.7882413087934559</v>
      </c>
      <c r="L6321" s="13">
        <v>1.66</v>
      </c>
      <c r="M6321" s="13"/>
      <c r="N6321" s="17">
        <f t="shared" ref="N6321:O6384" si="208">$H6321*L6321</f>
        <v>61.419999999999995</v>
      </c>
      <c r="O6321" s="17">
        <f t="shared" si="208"/>
        <v>0</v>
      </c>
      <c r="P6321" s="17">
        <f t="shared" si="207"/>
        <v>61.419999999999995</v>
      </c>
      <c r="Q6321" t="str">
        <f>A6321&amp;"-"&amp;B6321&amp;"-"&amp;D6321</f>
        <v>DESEMBER-MJ2-L3</v>
      </c>
    </row>
    <row r="6322" spans="1:17" x14ac:dyDescent="0.25">
      <c r="A6322" t="s">
        <v>402</v>
      </c>
      <c r="B6322" s="13" t="s">
        <v>26</v>
      </c>
      <c r="C6322" s="13" t="s">
        <v>226</v>
      </c>
      <c r="D6322" s="14" t="s">
        <v>56</v>
      </c>
      <c r="E6322" s="13" t="s">
        <v>61</v>
      </c>
      <c r="F6322" s="13" t="s">
        <v>1952</v>
      </c>
      <c r="G6322" s="13">
        <v>0.65</v>
      </c>
      <c r="H6322" s="15">
        <v>122</v>
      </c>
      <c r="I6322" s="16">
        <v>79.3</v>
      </c>
      <c r="J6322" s="16">
        <v>70.106339468302664</v>
      </c>
      <c r="K6322" s="16">
        <v>9.1936605316973328</v>
      </c>
      <c r="L6322" s="13">
        <v>1.66</v>
      </c>
      <c r="M6322" s="13"/>
      <c r="N6322" s="17">
        <f t="shared" si="208"/>
        <v>202.51999999999998</v>
      </c>
      <c r="O6322" s="17">
        <f t="shared" si="208"/>
        <v>0</v>
      </c>
      <c r="P6322" s="17">
        <f t="shared" si="207"/>
        <v>202.51999999999998</v>
      </c>
      <c r="Q6322" t="str">
        <f>A6322&amp;"-"&amp;B6322&amp;"-"&amp;D6322</f>
        <v>DESEMBER-MJ2-L3</v>
      </c>
    </row>
    <row r="6323" spans="1:17" x14ac:dyDescent="0.25">
      <c r="A6323" t="s">
        <v>402</v>
      </c>
      <c r="B6323" s="13" t="s">
        <v>26</v>
      </c>
      <c r="C6323" s="13" t="s">
        <v>226</v>
      </c>
      <c r="D6323" s="14" t="s">
        <v>158</v>
      </c>
      <c r="E6323" s="13" t="s">
        <v>61</v>
      </c>
      <c r="F6323" s="13" t="s">
        <v>2113</v>
      </c>
      <c r="G6323" s="13">
        <v>0.79</v>
      </c>
      <c r="H6323" s="15">
        <v>1765</v>
      </c>
      <c r="I6323" s="16">
        <v>1394.35</v>
      </c>
      <c r="J6323" s="16">
        <v>1134.3907293215059</v>
      </c>
      <c r="K6323" s="16">
        <v>259.95927067849425</v>
      </c>
      <c r="L6323" s="13">
        <v>1.86</v>
      </c>
      <c r="M6323" s="13"/>
      <c r="N6323" s="17">
        <f t="shared" si="208"/>
        <v>3282.9</v>
      </c>
      <c r="O6323" s="17">
        <f t="shared" si="208"/>
        <v>0</v>
      </c>
      <c r="P6323" s="17">
        <f t="shared" si="207"/>
        <v>3282.9</v>
      </c>
      <c r="Q6323" t="str">
        <f>A6323&amp;"-"&amp;B6323&amp;"-"&amp;D6323</f>
        <v>DESEMBER-MJ2-L4</v>
      </c>
    </row>
    <row r="6324" spans="1:17" x14ac:dyDescent="0.25">
      <c r="A6324" t="s">
        <v>402</v>
      </c>
      <c r="B6324" s="13" t="s">
        <v>26</v>
      </c>
      <c r="C6324" s="13" t="s">
        <v>226</v>
      </c>
      <c r="D6324" s="14" t="s">
        <v>158</v>
      </c>
      <c r="E6324" s="13" t="s">
        <v>61</v>
      </c>
      <c r="F6324" s="13" t="s">
        <v>2114</v>
      </c>
      <c r="G6324" s="13">
        <v>0.79</v>
      </c>
      <c r="H6324" s="15">
        <v>2090</v>
      </c>
      <c r="I6324" s="16">
        <v>1651.1</v>
      </c>
      <c r="J6324" s="16">
        <v>1221.4305509994433</v>
      </c>
      <c r="K6324" s="16">
        <v>429.66944900055688</v>
      </c>
      <c r="L6324" s="13">
        <v>1.86</v>
      </c>
      <c r="M6324" s="13"/>
      <c r="N6324" s="17">
        <f t="shared" si="208"/>
        <v>3887.4</v>
      </c>
      <c r="O6324" s="17">
        <f t="shared" si="208"/>
        <v>0</v>
      </c>
      <c r="P6324" s="17">
        <f t="shared" si="207"/>
        <v>3887.4</v>
      </c>
      <c r="Q6324" t="str">
        <f>A6324&amp;"-"&amp;B6324&amp;"-"&amp;D6324</f>
        <v>DESEMBER-MJ2-L4</v>
      </c>
    </row>
    <row r="6325" spans="1:17" x14ac:dyDescent="0.25">
      <c r="A6325" t="s">
        <v>402</v>
      </c>
      <c r="B6325" s="13" t="s">
        <v>26</v>
      </c>
      <c r="C6325" s="13" t="s">
        <v>226</v>
      </c>
      <c r="D6325" s="14" t="s">
        <v>158</v>
      </c>
      <c r="E6325" s="13" t="s">
        <v>61</v>
      </c>
      <c r="F6325" s="13" t="s">
        <v>2115</v>
      </c>
      <c r="G6325" s="13">
        <v>0.79</v>
      </c>
      <c r="H6325" s="15">
        <v>882</v>
      </c>
      <c r="I6325" s="16">
        <v>696.78</v>
      </c>
      <c r="J6325" s="16">
        <v>649.44193974168843</v>
      </c>
      <c r="K6325" s="16">
        <v>47.338060258311636</v>
      </c>
      <c r="L6325" s="13">
        <v>1.86</v>
      </c>
      <c r="M6325" s="13"/>
      <c r="N6325" s="17">
        <f t="shared" si="208"/>
        <v>1640.52</v>
      </c>
      <c r="O6325" s="17">
        <f t="shared" si="208"/>
        <v>0</v>
      </c>
      <c r="P6325" s="17">
        <f t="shared" si="207"/>
        <v>1640.52</v>
      </c>
      <c r="Q6325" t="str">
        <f>A6325&amp;"-"&amp;B6325&amp;"-"&amp;D6325</f>
        <v>DESEMBER-MJ2-L4</v>
      </c>
    </row>
    <row r="6326" spans="1:17" x14ac:dyDescent="0.25">
      <c r="A6326" t="s">
        <v>402</v>
      </c>
      <c r="B6326" s="13" t="s">
        <v>26</v>
      </c>
      <c r="C6326" s="13" t="s">
        <v>226</v>
      </c>
      <c r="D6326" s="14" t="s">
        <v>158</v>
      </c>
      <c r="E6326" s="13" t="s">
        <v>61</v>
      </c>
      <c r="F6326" s="13" t="s">
        <v>2116</v>
      </c>
      <c r="G6326" s="13">
        <v>0.79</v>
      </c>
      <c r="H6326" s="15">
        <v>540</v>
      </c>
      <c r="I6326" s="16">
        <v>426.59999999999997</v>
      </c>
      <c r="J6326" s="16">
        <v>350.02630323522214</v>
      </c>
      <c r="K6326" s="16">
        <v>76.57369676477785</v>
      </c>
      <c r="L6326" s="13">
        <v>1.99</v>
      </c>
      <c r="M6326" s="13"/>
      <c r="N6326" s="17">
        <f t="shared" si="208"/>
        <v>1074.5999999999999</v>
      </c>
      <c r="O6326" s="17">
        <f t="shared" si="208"/>
        <v>0</v>
      </c>
      <c r="P6326" s="17">
        <f t="shared" si="207"/>
        <v>1074.5999999999999</v>
      </c>
      <c r="Q6326" t="str">
        <f>A6326&amp;"-"&amp;B6326&amp;"-"&amp;D6326</f>
        <v>DESEMBER-MJ2-L4</v>
      </c>
    </row>
    <row r="6327" spans="1:17" x14ac:dyDescent="0.25">
      <c r="A6327" t="s">
        <v>402</v>
      </c>
      <c r="B6327" s="13" t="s">
        <v>26</v>
      </c>
      <c r="C6327" s="13" t="s">
        <v>226</v>
      </c>
      <c r="D6327" s="14" t="s">
        <v>158</v>
      </c>
      <c r="E6327" s="13" t="s">
        <v>61</v>
      </c>
      <c r="F6327" s="13" t="s">
        <v>2117</v>
      </c>
      <c r="G6327" s="13">
        <v>0.79</v>
      </c>
      <c r="H6327" s="15">
        <v>2134</v>
      </c>
      <c r="I6327" s="16">
        <v>1685.8600000000001</v>
      </c>
      <c r="J6327" s="16">
        <v>1616.64991664524</v>
      </c>
      <c r="K6327" s="16">
        <v>69.210083354760371</v>
      </c>
      <c r="L6327" s="13">
        <v>1.86</v>
      </c>
      <c r="M6327" s="13"/>
      <c r="N6327" s="17">
        <f t="shared" si="208"/>
        <v>3969.2400000000002</v>
      </c>
      <c r="O6327" s="17">
        <f t="shared" si="208"/>
        <v>0</v>
      </c>
      <c r="P6327" s="17">
        <f t="shared" si="207"/>
        <v>3969.2400000000002</v>
      </c>
      <c r="Q6327" t="str">
        <f>A6327&amp;"-"&amp;B6327&amp;"-"&amp;D6327</f>
        <v>DESEMBER-MJ2-L4</v>
      </c>
    </row>
    <row r="6328" spans="1:17" x14ac:dyDescent="0.25">
      <c r="A6328" t="s">
        <v>402</v>
      </c>
      <c r="B6328" s="13" t="s">
        <v>26</v>
      </c>
      <c r="C6328" s="13" t="s">
        <v>226</v>
      </c>
      <c r="D6328" s="14" t="s">
        <v>158</v>
      </c>
      <c r="E6328" s="13" t="s">
        <v>61</v>
      </c>
      <c r="F6328" s="13" t="s">
        <v>1963</v>
      </c>
      <c r="G6328" s="13">
        <v>0.68</v>
      </c>
      <c r="H6328" s="15">
        <v>548</v>
      </c>
      <c r="I6328" s="16">
        <v>372.64</v>
      </c>
      <c r="J6328" s="16">
        <v>375.20000941819706</v>
      </c>
      <c r="K6328" s="16">
        <v>-2.5600094181971045</v>
      </c>
      <c r="L6328" s="13">
        <v>1.69</v>
      </c>
      <c r="M6328" s="13"/>
      <c r="N6328" s="17">
        <f t="shared" si="208"/>
        <v>926.12</v>
      </c>
      <c r="O6328" s="17">
        <f t="shared" si="208"/>
        <v>0</v>
      </c>
      <c r="P6328" s="17">
        <f t="shared" si="207"/>
        <v>926.12</v>
      </c>
      <c r="Q6328" t="str">
        <f>A6328&amp;"-"&amp;B6328&amp;"-"&amp;D6328</f>
        <v>DESEMBER-MJ2-L4</v>
      </c>
    </row>
    <row r="6329" spans="1:17" x14ac:dyDescent="0.25">
      <c r="A6329" t="s">
        <v>402</v>
      </c>
      <c r="B6329" s="13" t="s">
        <v>26</v>
      </c>
      <c r="C6329" s="13" t="s">
        <v>226</v>
      </c>
      <c r="D6329" s="14" t="s">
        <v>158</v>
      </c>
      <c r="E6329" s="13" t="s">
        <v>61</v>
      </c>
      <c r="F6329" s="13" t="s">
        <v>1977</v>
      </c>
      <c r="G6329" s="13">
        <v>0.65</v>
      </c>
      <c r="H6329" s="15">
        <v>453</v>
      </c>
      <c r="I6329" s="16">
        <v>294.45</v>
      </c>
      <c r="J6329" s="16">
        <v>344.21388733318804</v>
      </c>
      <c r="K6329" s="16">
        <v>-49.763887333187995</v>
      </c>
      <c r="L6329" s="13">
        <v>1.81</v>
      </c>
      <c r="M6329" s="13"/>
      <c r="N6329" s="17">
        <f t="shared" si="208"/>
        <v>819.93000000000006</v>
      </c>
      <c r="O6329" s="17">
        <f t="shared" si="208"/>
        <v>0</v>
      </c>
      <c r="P6329" s="17">
        <f t="shared" si="207"/>
        <v>819.93000000000006</v>
      </c>
      <c r="Q6329" t="str">
        <f>A6329&amp;"-"&amp;B6329&amp;"-"&amp;D6329</f>
        <v>DESEMBER-MJ2-L4</v>
      </c>
    </row>
    <row r="6330" spans="1:17" x14ac:dyDescent="0.25">
      <c r="A6330" t="s">
        <v>402</v>
      </c>
      <c r="B6330" s="13" t="s">
        <v>26</v>
      </c>
      <c r="C6330" s="13" t="s">
        <v>226</v>
      </c>
      <c r="D6330" s="14" t="s">
        <v>158</v>
      </c>
      <c r="E6330" s="13" t="s">
        <v>61</v>
      </c>
      <c r="F6330" s="13" t="s">
        <v>1964</v>
      </c>
      <c r="G6330" s="13">
        <v>1.03</v>
      </c>
      <c r="H6330" s="15">
        <v>166</v>
      </c>
      <c r="I6330" s="16">
        <v>170.98</v>
      </c>
      <c r="J6330" s="16">
        <v>101.92575755767605</v>
      </c>
      <c r="K6330" s="16">
        <v>69.054242442323968</v>
      </c>
      <c r="L6330" s="13">
        <v>2.31</v>
      </c>
      <c r="M6330" s="13"/>
      <c r="N6330" s="17">
        <f t="shared" si="208"/>
        <v>383.46000000000004</v>
      </c>
      <c r="O6330" s="17">
        <f t="shared" si="208"/>
        <v>0</v>
      </c>
      <c r="P6330" s="17">
        <f t="shared" si="207"/>
        <v>383.46000000000004</v>
      </c>
      <c r="Q6330" t="str">
        <f>A6330&amp;"-"&amp;B6330&amp;"-"&amp;D6330</f>
        <v>DESEMBER-MJ2-L4</v>
      </c>
    </row>
    <row r="6331" spans="1:17" x14ac:dyDescent="0.25">
      <c r="A6331" t="s">
        <v>402</v>
      </c>
      <c r="B6331" s="13" t="s">
        <v>26</v>
      </c>
      <c r="C6331" s="13" t="s">
        <v>226</v>
      </c>
      <c r="D6331" s="14" t="s">
        <v>158</v>
      </c>
      <c r="E6331" s="13" t="s">
        <v>61</v>
      </c>
      <c r="F6331" s="13" t="s">
        <v>2118</v>
      </c>
      <c r="G6331" s="13">
        <v>0.74</v>
      </c>
      <c r="H6331" s="15">
        <v>4264</v>
      </c>
      <c r="I6331" s="16">
        <v>3155.36</v>
      </c>
      <c r="J6331" s="16">
        <v>2301.2667771180072</v>
      </c>
      <c r="K6331" s="16">
        <v>854.0932228819928</v>
      </c>
      <c r="L6331" s="13">
        <v>1.36</v>
      </c>
      <c r="M6331" s="13"/>
      <c r="N6331" s="17">
        <f t="shared" si="208"/>
        <v>5799.04</v>
      </c>
      <c r="O6331" s="17">
        <f t="shared" si="208"/>
        <v>0</v>
      </c>
      <c r="P6331" s="17">
        <f t="shared" si="207"/>
        <v>5799.04</v>
      </c>
      <c r="Q6331" t="str">
        <f>A6331&amp;"-"&amp;B6331&amp;"-"&amp;D6331</f>
        <v>DESEMBER-MJ2-L4</v>
      </c>
    </row>
    <row r="6332" spans="1:17" x14ac:dyDescent="0.25">
      <c r="A6332" t="s">
        <v>402</v>
      </c>
      <c r="B6332" s="13" t="s">
        <v>26</v>
      </c>
      <c r="C6332" s="13" t="s">
        <v>226</v>
      </c>
      <c r="D6332" s="14" t="s">
        <v>158</v>
      </c>
      <c r="E6332" s="13" t="s">
        <v>61</v>
      </c>
      <c r="F6332" s="13" t="s">
        <v>1927</v>
      </c>
      <c r="G6332" s="13">
        <v>0.71</v>
      </c>
      <c r="H6332" s="15">
        <v>55</v>
      </c>
      <c r="I6332" s="16">
        <v>39.049999999999997</v>
      </c>
      <c r="J6332" s="16">
        <v>33.597826086956523</v>
      </c>
      <c r="K6332" s="16">
        <v>5.4521739130434739</v>
      </c>
      <c r="L6332" s="13">
        <v>1.29</v>
      </c>
      <c r="M6332" s="13"/>
      <c r="N6332" s="17">
        <f t="shared" si="208"/>
        <v>70.95</v>
      </c>
      <c r="O6332" s="17">
        <f t="shared" si="208"/>
        <v>0</v>
      </c>
      <c r="P6332" s="17">
        <f t="shared" si="207"/>
        <v>70.95</v>
      </c>
      <c r="Q6332" t="str">
        <f>A6332&amp;"-"&amp;B6332&amp;"-"&amp;D6332</f>
        <v>DESEMBER-MJ2-L4</v>
      </c>
    </row>
    <row r="6333" spans="1:17" x14ac:dyDescent="0.25">
      <c r="A6333" t="s">
        <v>402</v>
      </c>
      <c r="B6333" s="13" t="s">
        <v>26</v>
      </c>
      <c r="C6333" s="13" t="s">
        <v>226</v>
      </c>
      <c r="D6333" s="14" t="s">
        <v>158</v>
      </c>
      <c r="E6333" s="13" t="s">
        <v>61</v>
      </c>
      <c r="F6333" s="13" t="s">
        <v>2072</v>
      </c>
      <c r="G6333" s="13">
        <v>0.71</v>
      </c>
      <c r="H6333" s="15">
        <v>1922</v>
      </c>
      <c r="I6333" s="16">
        <v>1364.62</v>
      </c>
      <c r="J6333" s="16">
        <v>1104.8876177101761</v>
      </c>
      <c r="K6333" s="16">
        <v>259.73238228982376</v>
      </c>
      <c r="L6333" s="13">
        <v>1.29</v>
      </c>
      <c r="M6333" s="13"/>
      <c r="N6333" s="17">
        <f t="shared" si="208"/>
        <v>2479.38</v>
      </c>
      <c r="O6333" s="17">
        <f t="shared" si="208"/>
        <v>0</v>
      </c>
      <c r="P6333" s="17">
        <f t="shared" si="207"/>
        <v>2479.38</v>
      </c>
      <c r="Q6333" t="str">
        <f>A6333&amp;"-"&amp;B6333&amp;"-"&amp;D6333</f>
        <v>DESEMBER-MJ2-L4</v>
      </c>
    </row>
    <row r="6334" spans="1:17" x14ac:dyDescent="0.25">
      <c r="A6334" t="s">
        <v>402</v>
      </c>
      <c r="B6334" s="13" t="s">
        <v>26</v>
      </c>
      <c r="C6334" s="13" t="s">
        <v>226</v>
      </c>
      <c r="D6334" s="14" t="s">
        <v>158</v>
      </c>
      <c r="E6334" s="13" t="s">
        <v>61</v>
      </c>
      <c r="F6334" s="13" t="s">
        <v>2119</v>
      </c>
      <c r="G6334" s="13">
        <v>0.71</v>
      </c>
      <c r="H6334" s="15">
        <v>3218</v>
      </c>
      <c r="I6334" s="16">
        <v>2284.7800000000002</v>
      </c>
      <c r="J6334" s="16">
        <v>1494.0907910445321</v>
      </c>
      <c r="K6334" s="16">
        <v>790.68920895546808</v>
      </c>
      <c r="L6334" s="13">
        <v>1.29</v>
      </c>
      <c r="M6334" s="13"/>
      <c r="N6334" s="17">
        <f t="shared" si="208"/>
        <v>4151.22</v>
      </c>
      <c r="O6334" s="17">
        <f t="shared" si="208"/>
        <v>0</v>
      </c>
      <c r="P6334" s="17">
        <f t="shared" si="207"/>
        <v>4151.22</v>
      </c>
      <c r="Q6334" t="str">
        <f>A6334&amp;"-"&amp;B6334&amp;"-"&amp;D6334</f>
        <v>DESEMBER-MJ2-L4</v>
      </c>
    </row>
    <row r="6335" spans="1:17" x14ac:dyDescent="0.25">
      <c r="A6335" t="s">
        <v>402</v>
      </c>
      <c r="B6335" s="13" t="s">
        <v>26</v>
      </c>
      <c r="C6335" s="13" t="s">
        <v>226</v>
      </c>
      <c r="D6335" s="14" t="s">
        <v>158</v>
      </c>
      <c r="E6335" s="13" t="s">
        <v>61</v>
      </c>
      <c r="F6335" s="13" t="s">
        <v>1967</v>
      </c>
      <c r="G6335" s="13">
        <v>0.68</v>
      </c>
      <c r="H6335" s="15">
        <v>103</v>
      </c>
      <c r="I6335" s="16">
        <v>70.040000000000006</v>
      </c>
      <c r="J6335" s="16">
        <v>64.282065519156021</v>
      </c>
      <c r="K6335" s="16">
        <v>5.7579344808439856</v>
      </c>
      <c r="L6335" s="13">
        <v>1.7</v>
      </c>
      <c r="M6335" s="13"/>
      <c r="N6335" s="17">
        <f t="shared" si="208"/>
        <v>175.1</v>
      </c>
      <c r="O6335" s="17">
        <f t="shared" si="208"/>
        <v>0</v>
      </c>
      <c r="P6335" s="17">
        <f t="shared" si="207"/>
        <v>175.1</v>
      </c>
      <c r="Q6335" t="str">
        <f>A6335&amp;"-"&amp;B6335&amp;"-"&amp;D6335</f>
        <v>DESEMBER-MJ2-L4</v>
      </c>
    </row>
    <row r="6336" spans="1:17" x14ac:dyDescent="0.25">
      <c r="A6336" t="s">
        <v>402</v>
      </c>
      <c r="B6336" s="13" t="s">
        <v>26</v>
      </c>
      <c r="C6336" s="13" t="s">
        <v>226</v>
      </c>
      <c r="D6336" s="14" t="s">
        <v>158</v>
      </c>
      <c r="E6336" s="13" t="s">
        <v>61</v>
      </c>
      <c r="F6336" s="13" t="s">
        <v>2120</v>
      </c>
      <c r="G6336" s="13">
        <v>0.73</v>
      </c>
      <c r="H6336" s="15">
        <v>1378</v>
      </c>
      <c r="I6336" s="16">
        <v>1005.94</v>
      </c>
      <c r="J6336" s="16">
        <v>944.36516761627456</v>
      </c>
      <c r="K6336" s="16">
        <v>61.57483238372545</v>
      </c>
      <c r="L6336" s="13">
        <v>1.33</v>
      </c>
      <c r="M6336" s="13"/>
      <c r="N6336" s="17">
        <f t="shared" si="208"/>
        <v>1832.74</v>
      </c>
      <c r="O6336" s="17">
        <f t="shared" si="208"/>
        <v>0</v>
      </c>
      <c r="P6336" s="17">
        <f t="shared" si="207"/>
        <v>1832.74</v>
      </c>
      <c r="Q6336" t="str">
        <f>A6336&amp;"-"&amp;B6336&amp;"-"&amp;D6336</f>
        <v>DESEMBER-MJ2-L4</v>
      </c>
    </row>
    <row r="6337" spans="1:17" x14ac:dyDescent="0.25">
      <c r="A6337" t="s">
        <v>402</v>
      </c>
      <c r="B6337" s="13" t="s">
        <v>26</v>
      </c>
      <c r="C6337" s="13" t="s">
        <v>226</v>
      </c>
      <c r="D6337" s="14" t="s">
        <v>158</v>
      </c>
      <c r="E6337" s="13" t="s">
        <v>61</v>
      </c>
      <c r="F6337" s="13" t="s">
        <v>2075</v>
      </c>
      <c r="G6337" s="13">
        <v>0.73</v>
      </c>
      <c r="H6337" s="15">
        <v>745</v>
      </c>
      <c r="I6337" s="16">
        <v>543.84999999999991</v>
      </c>
      <c r="J6337" s="16">
        <v>492.88057854911563</v>
      </c>
      <c r="K6337" s="16">
        <v>50.96942145088434</v>
      </c>
      <c r="L6337" s="13">
        <v>1.33</v>
      </c>
      <c r="M6337" s="13"/>
      <c r="N6337" s="17">
        <f t="shared" si="208"/>
        <v>990.85</v>
      </c>
      <c r="O6337" s="17">
        <f t="shared" si="208"/>
        <v>0</v>
      </c>
      <c r="P6337" s="17">
        <f t="shared" si="207"/>
        <v>990.85</v>
      </c>
      <c r="Q6337" t="str">
        <f>A6337&amp;"-"&amp;B6337&amp;"-"&amp;D6337</f>
        <v>DESEMBER-MJ2-L4</v>
      </c>
    </row>
    <row r="6338" spans="1:17" x14ac:dyDescent="0.25">
      <c r="A6338" t="s">
        <v>402</v>
      </c>
      <c r="B6338" s="13" t="s">
        <v>26</v>
      </c>
      <c r="C6338" s="13" t="s">
        <v>226</v>
      </c>
      <c r="D6338" s="14" t="s">
        <v>158</v>
      </c>
      <c r="E6338" s="13" t="s">
        <v>61</v>
      </c>
      <c r="F6338" s="13" t="s">
        <v>2121</v>
      </c>
      <c r="G6338" s="13">
        <v>0.72999999999999987</v>
      </c>
      <c r="H6338" s="15">
        <v>2078</v>
      </c>
      <c r="I6338" s="16">
        <v>1516.9400000000003</v>
      </c>
      <c r="J6338" s="16">
        <v>1413.1568092836169</v>
      </c>
      <c r="K6338" s="16">
        <v>103.78319071638296</v>
      </c>
      <c r="L6338" s="13">
        <v>1.33</v>
      </c>
      <c r="M6338" s="13"/>
      <c r="N6338" s="17">
        <f t="shared" si="208"/>
        <v>2763.7400000000002</v>
      </c>
      <c r="O6338" s="17">
        <f t="shared" si="208"/>
        <v>0</v>
      </c>
      <c r="P6338" s="17">
        <f t="shared" ref="P6338:P6401" si="209">N6338+O6338</f>
        <v>2763.7400000000002</v>
      </c>
      <c r="Q6338" t="str">
        <f>A6338&amp;"-"&amp;B6338&amp;"-"&amp;D6338</f>
        <v>DESEMBER-MJ2-L4</v>
      </c>
    </row>
    <row r="6339" spans="1:17" x14ac:dyDescent="0.25">
      <c r="A6339" t="s">
        <v>402</v>
      </c>
      <c r="B6339" s="13" t="s">
        <v>26</v>
      </c>
      <c r="C6339" s="13" t="s">
        <v>226</v>
      </c>
      <c r="D6339" s="14" t="s">
        <v>158</v>
      </c>
      <c r="E6339" s="13" t="s">
        <v>61</v>
      </c>
      <c r="F6339" s="13" t="s">
        <v>2122</v>
      </c>
      <c r="G6339" s="13">
        <v>0.73</v>
      </c>
      <c r="H6339" s="15">
        <v>2121</v>
      </c>
      <c r="I6339" s="16">
        <v>1548.33</v>
      </c>
      <c r="J6339" s="16">
        <v>1327.4237835347917</v>
      </c>
      <c r="K6339" s="16">
        <v>220.90621646520825</v>
      </c>
      <c r="L6339" s="13">
        <v>1.33</v>
      </c>
      <c r="M6339" s="13"/>
      <c r="N6339" s="17">
        <f t="shared" si="208"/>
        <v>2820.9300000000003</v>
      </c>
      <c r="O6339" s="17">
        <f t="shared" si="208"/>
        <v>0</v>
      </c>
      <c r="P6339" s="17">
        <f t="shared" si="209"/>
        <v>2820.9300000000003</v>
      </c>
      <c r="Q6339" t="str">
        <f>A6339&amp;"-"&amp;B6339&amp;"-"&amp;D6339</f>
        <v>DESEMBER-MJ2-L4</v>
      </c>
    </row>
    <row r="6340" spans="1:17" x14ac:dyDescent="0.25">
      <c r="A6340" t="s">
        <v>402</v>
      </c>
      <c r="B6340" s="13" t="s">
        <v>26</v>
      </c>
      <c r="C6340" s="13" t="s">
        <v>226</v>
      </c>
      <c r="D6340" s="14" t="s">
        <v>158</v>
      </c>
      <c r="E6340" s="13" t="s">
        <v>61</v>
      </c>
      <c r="F6340" s="13" t="s">
        <v>1970</v>
      </c>
      <c r="G6340" s="13">
        <v>0.83</v>
      </c>
      <c r="H6340" s="15">
        <v>137</v>
      </c>
      <c r="I6340" s="16">
        <v>113.71</v>
      </c>
      <c r="J6340" s="16">
        <v>105.76098901098901</v>
      </c>
      <c r="K6340" s="16">
        <v>7.9490109890109863</v>
      </c>
      <c r="L6340" s="13">
        <v>2.13</v>
      </c>
      <c r="M6340" s="13"/>
      <c r="N6340" s="17">
        <f t="shared" si="208"/>
        <v>291.81</v>
      </c>
      <c r="O6340" s="17">
        <f t="shared" si="208"/>
        <v>0</v>
      </c>
      <c r="P6340" s="17">
        <f t="shared" si="209"/>
        <v>291.81</v>
      </c>
      <c r="Q6340" t="str">
        <f>A6340&amp;"-"&amp;B6340&amp;"-"&amp;D6340</f>
        <v>DESEMBER-MJ2-L4</v>
      </c>
    </row>
    <row r="6341" spans="1:17" x14ac:dyDescent="0.25">
      <c r="A6341" t="s">
        <v>402</v>
      </c>
      <c r="B6341" s="13" t="s">
        <v>26</v>
      </c>
      <c r="C6341" s="13" t="s">
        <v>226</v>
      </c>
      <c r="D6341" s="14" t="s">
        <v>158</v>
      </c>
      <c r="E6341" s="13" t="s">
        <v>61</v>
      </c>
      <c r="F6341" s="13" t="s">
        <v>1971</v>
      </c>
      <c r="G6341" s="13">
        <v>0.76</v>
      </c>
      <c r="H6341" s="15">
        <v>34</v>
      </c>
      <c r="I6341" s="16">
        <v>25.84</v>
      </c>
      <c r="J6341" s="16">
        <v>24.692031022914033</v>
      </c>
      <c r="K6341" s="16">
        <v>1.1479689770859662</v>
      </c>
      <c r="L6341" s="13">
        <v>1.94</v>
      </c>
      <c r="M6341" s="13"/>
      <c r="N6341" s="17">
        <f t="shared" si="208"/>
        <v>65.959999999999994</v>
      </c>
      <c r="O6341" s="17">
        <f t="shared" si="208"/>
        <v>0</v>
      </c>
      <c r="P6341" s="17">
        <f t="shared" si="209"/>
        <v>65.959999999999994</v>
      </c>
      <c r="Q6341" t="str">
        <f>A6341&amp;"-"&amp;B6341&amp;"-"&amp;D6341</f>
        <v>DESEMBER-MJ2-L4</v>
      </c>
    </row>
    <row r="6342" spans="1:17" x14ac:dyDescent="0.25">
      <c r="A6342" t="s">
        <v>402</v>
      </c>
      <c r="B6342" s="13" t="s">
        <v>26</v>
      </c>
      <c r="C6342" s="13" t="s">
        <v>226</v>
      </c>
      <c r="D6342" s="14" t="s">
        <v>158</v>
      </c>
      <c r="E6342" s="13" t="s">
        <v>61</v>
      </c>
      <c r="F6342" s="13" t="s">
        <v>2123</v>
      </c>
      <c r="G6342" s="13">
        <v>0.83</v>
      </c>
      <c r="H6342" s="15">
        <v>2599</v>
      </c>
      <c r="I6342" s="16">
        <v>2157.17</v>
      </c>
      <c r="J6342" s="16">
        <v>1586.7723128940863</v>
      </c>
      <c r="K6342" s="16">
        <v>570.39768710591397</v>
      </c>
      <c r="L6342" s="13">
        <v>2.13</v>
      </c>
      <c r="M6342" s="13"/>
      <c r="N6342" s="17">
        <f t="shared" si="208"/>
        <v>5535.87</v>
      </c>
      <c r="O6342" s="17">
        <f t="shared" si="208"/>
        <v>0</v>
      </c>
      <c r="P6342" s="17">
        <f t="shared" si="209"/>
        <v>5535.87</v>
      </c>
      <c r="Q6342" t="str">
        <f>A6342&amp;"-"&amp;B6342&amp;"-"&amp;D6342</f>
        <v>DESEMBER-MJ2-L4</v>
      </c>
    </row>
    <row r="6343" spans="1:17" x14ac:dyDescent="0.25">
      <c r="A6343" t="s">
        <v>402</v>
      </c>
      <c r="B6343" s="13" t="s">
        <v>26</v>
      </c>
      <c r="C6343" s="13" t="s">
        <v>226</v>
      </c>
      <c r="D6343" s="14" t="s">
        <v>158</v>
      </c>
      <c r="E6343" s="13" t="s">
        <v>61</v>
      </c>
      <c r="F6343" s="13" t="s">
        <v>2124</v>
      </c>
      <c r="G6343" s="13">
        <v>0.78</v>
      </c>
      <c r="H6343" s="15">
        <v>909</v>
      </c>
      <c r="I6343" s="16">
        <v>709.02</v>
      </c>
      <c r="J6343" s="16">
        <v>555.93524307428629</v>
      </c>
      <c r="K6343" s="16">
        <v>153.0847569257138</v>
      </c>
      <c r="L6343" s="13">
        <v>2.29</v>
      </c>
      <c r="M6343" s="13"/>
      <c r="N6343" s="17">
        <f t="shared" si="208"/>
        <v>2081.61</v>
      </c>
      <c r="O6343" s="17">
        <f t="shared" si="208"/>
        <v>0</v>
      </c>
      <c r="P6343" s="17">
        <f t="shared" si="209"/>
        <v>2081.61</v>
      </c>
      <c r="Q6343" t="str">
        <f>A6343&amp;"-"&amp;B6343&amp;"-"&amp;D6343</f>
        <v>DESEMBER-MJ2-L4</v>
      </c>
    </row>
    <row r="6344" spans="1:17" x14ac:dyDescent="0.25">
      <c r="A6344" t="s">
        <v>402</v>
      </c>
      <c r="B6344" s="13" t="s">
        <v>26</v>
      </c>
      <c r="C6344" s="13" t="s">
        <v>226</v>
      </c>
      <c r="D6344" s="14" t="s">
        <v>158</v>
      </c>
      <c r="E6344" s="13" t="s">
        <v>61</v>
      </c>
      <c r="F6344" s="13" t="s">
        <v>1957</v>
      </c>
      <c r="G6344" s="13">
        <v>0.76</v>
      </c>
      <c r="H6344" s="15">
        <v>7</v>
      </c>
      <c r="I6344" s="16">
        <v>5.32</v>
      </c>
      <c r="J6344" s="16">
        <v>5.183135704874835</v>
      </c>
      <c r="K6344" s="16">
        <v>0.13686429512516529</v>
      </c>
      <c r="L6344" s="13">
        <v>1.94</v>
      </c>
      <c r="M6344" s="13"/>
      <c r="N6344" s="17">
        <f t="shared" si="208"/>
        <v>13.58</v>
      </c>
      <c r="O6344" s="17">
        <f t="shared" si="208"/>
        <v>0</v>
      </c>
      <c r="P6344" s="17">
        <f t="shared" si="209"/>
        <v>13.58</v>
      </c>
      <c r="Q6344" t="str">
        <f>A6344&amp;"-"&amp;B6344&amp;"-"&amp;D6344</f>
        <v>DESEMBER-MJ2-L4</v>
      </c>
    </row>
    <row r="6345" spans="1:17" x14ac:dyDescent="0.25">
      <c r="A6345" t="s">
        <v>402</v>
      </c>
      <c r="B6345" s="13" t="s">
        <v>26</v>
      </c>
      <c r="C6345" s="13" t="s">
        <v>226</v>
      </c>
      <c r="D6345" s="14" t="s">
        <v>158</v>
      </c>
      <c r="E6345" s="13" t="s">
        <v>61</v>
      </c>
      <c r="F6345" s="13" t="s">
        <v>1973</v>
      </c>
      <c r="G6345" s="13">
        <v>0.83</v>
      </c>
      <c r="H6345" s="15">
        <v>133</v>
      </c>
      <c r="I6345" s="16">
        <v>110.38999999999999</v>
      </c>
      <c r="J6345" s="16">
        <v>100.93892339544513</v>
      </c>
      <c r="K6345" s="16">
        <v>9.4510766045548635</v>
      </c>
      <c r="L6345" s="13">
        <v>2.13</v>
      </c>
      <c r="M6345" s="13"/>
      <c r="N6345" s="17">
        <f t="shared" si="208"/>
        <v>283.28999999999996</v>
      </c>
      <c r="O6345" s="17">
        <f t="shared" si="208"/>
        <v>0</v>
      </c>
      <c r="P6345" s="17">
        <f t="shared" si="209"/>
        <v>283.28999999999996</v>
      </c>
      <c r="Q6345" t="str">
        <f>A6345&amp;"-"&amp;B6345&amp;"-"&amp;D6345</f>
        <v>DESEMBER-MJ2-L4</v>
      </c>
    </row>
    <row r="6346" spans="1:17" x14ac:dyDescent="0.25">
      <c r="A6346" t="s">
        <v>402</v>
      </c>
      <c r="B6346" s="13" t="s">
        <v>26</v>
      </c>
      <c r="C6346" s="13" t="s">
        <v>226</v>
      </c>
      <c r="D6346" s="14" t="s">
        <v>158</v>
      </c>
      <c r="E6346" s="13" t="s">
        <v>61</v>
      </c>
      <c r="F6346" s="13" t="s">
        <v>1974</v>
      </c>
      <c r="G6346" s="13">
        <v>0.83</v>
      </c>
      <c r="H6346" s="15">
        <v>621</v>
      </c>
      <c r="I6346" s="16">
        <v>515.42999999999995</v>
      </c>
      <c r="J6346" s="16">
        <v>479.39835164835165</v>
      </c>
      <c r="K6346" s="16">
        <v>36.0316483516483</v>
      </c>
      <c r="L6346" s="13">
        <v>2.13</v>
      </c>
      <c r="M6346" s="13"/>
      <c r="N6346" s="17">
        <f t="shared" si="208"/>
        <v>1322.73</v>
      </c>
      <c r="O6346" s="17">
        <f t="shared" si="208"/>
        <v>0</v>
      </c>
      <c r="P6346" s="17">
        <f t="shared" si="209"/>
        <v>1322.73</v>
      </c>
      <c r="Q6346" t="str">
        <f>A6346&amp;"-"&amp;B6346&amp;"-"&amp;D6346</f>
        <v>DESEMBER-MJ2-L4</v>
      </c>
    </row>
    <row r="6347" spans="1:17" x14ac:dyDescent="0.25">
      <c r="A6347" t="s">
        <v>402</v>
      </c>
      <c r="B6347" s="13" t="s">
        <v>26</v>
      </c>
      <c r="C6347" s="13" t="s">
        <v>226</v>
      </c>
      <c r="D6347" s="14" t="s">
        <v>158</v>
      </c>
      <c r="E6347" s="13" t="s">
        <v>61</v>
      </c>
      <c r="F6347" s="13" t="s">
        <v>2093</v>
      </c>
      <c r="G6347" s="13">
        <v>0.65</v>
      </c>
      <c r="H6347" s="15">
        <v>3199</v>
      </c>
      <c r="I6347" s="16">
        <v>2079.35</v>
      </c>
      <c r="J6347" s="16">
        <v>1897.7873430436966</v>
      </c>
      <c r="K6347" s="16">
        <v>181.56265695630339</v>
      </c>
      <c r="L6347" s="13">
        <v>1.66</v>
      </c>
      <c r="M6347" s="13"/>
      <c r="N6347" s="17">
        <f t="shared" si="208"/>
        <v>5310.34</v>
      </c>
      <c r="O6347" s="17">
        <f t="shared" si="208"/>
        <v>0</v>
      </c>
      <c r="P6347" s="17">
        <f t="shared" si="209"/>
        <v>5310.34</v>
      </c>
      <c r="Q6347" t="str">
        <f>A6347&amp;"-"&amp;B6347&amp;"-"&amp;D6347</f>
        <v>DESEMBER-MJ2-L4</v>
      </c>
    </row>
    <row r="6348" spans="1:17" x14ac:dyDescent="0.25">
      <c r="A6348" t="s">
        <v>402</v>
      </c>
      <c r="B6348" s="13" t="s">
        <v>26</v>
      </c>
      <c r="C6348" s="13" t="s">
        <v>226</v>
      </c>
      <c r="D6348" s="14" t="s">
        <v>158</v>
      </c>
      <c r="E6348" s="13" t="s">
        <v>61</v>
      </c>
      <c r="F6348" s="13" t="s">
        <v>2094</v>
      </c>
      <c r="G6348" s="13">
        <v>0.65</v>
      </c>
      <c r="H6348" s="15">
        <v>2259</v>
      </c>
      <c r="I6348" s="16">
        <v>1468.3500000000001</v>
      </c>
      <c r="J6348" s="16">
        <v>1298.7165276166982</v>
      </c>
      <c r="K6348" s="16">
        <v>169.63347238330181</v>
      </c>
      <c r="L6348" s="13">
        <v>1.66</v>
      </c>
      <c r="M6348" s="13"/>
      <c r="N6348" s="17">
        <f t="shared" si="208"/>
        <v>3749.9399999999996</v>
      </c>
      <c r="O6348" s="17">
        <f t="shared" si="208"/>
        <v>0</v>
      </c>
      <c r="P6348" s="17">
        <f t="shared" si="209"/>
        <v>3749.9399999999996</v>
      </c>
      <c r="Q6348" t="str">
        <f>A6348&amp;"-"&amp;B6348&amp;"-"&amp;D6348</f>
        <v>DESEMBER-MJ2-L4</v>
      </c>
    </row>
    <row r="6349" spans="1:17" x14ac:dyDescent="0.25">
      <c r="A6349" t="s">
        <v>402</v>
      </c>
      <c r="B6349" s="13" t="s">
        <v>26</v>
      </c>
      <c r="C6349" s="13" t="s">
        <v>226</v>
      </c>
      <c r="D6349" s="14" t="s">
        <v>158</v>
      </c>
      <c r="E6349" s="13" t="s">
        <v>61</v>
      </c>
      <c r="F6349" s="13" t="s">
        <v>2125</v>
      </c>
      <c r="G6349" s="13">
        <v>1.03</v>
      </c>
      <c r="H6349" s="15">
        <v>562</v>
      </c>
      <c r="I6349" s="16">
        <v>578.86</v>
      </c>
      <c r="J6349" s="16">
        <v>433.54042915180088</v>
      </c>
      <c r="K6349" s="16">
        <v>145.31957084819908</v>
      </c>
      <c r="L6349" s="13">
        <v>2.4900000000000002</v>
      </c>
      <c r="M6349" s="13"/>
      <c r="N6349" s="17">
        <f t="shared" si="208"/>
        <v>1399.38</v>
      </c>
      <c r="O6349" s="17">
        <f t="shared" si="208"/>
        <v>0</v>
      </c>
      <c r="P6349" s="17">
        <f t="shared" si="209"/>
        <v>1399.38</v>
      </c>
      <c r="Q6349" t="str">
        <f>A6349&amp;"-"&amp;B6349&amp;"-"&amp;D6349</f>
        <v>DESEMBER-MJ2-L4</v>
      </c>
    </row>
    <row r="6350" spans="1:17" x14ac:dyDescent="0.25">
      <c r="A6350" t="s">
        <v>402</v>
      </c>
      <c r="B6350" s="13" t="s">
        <v>26</v>
      </c>
      <c r="C6350" s="13" t="s">
        <v>226</v>
      </c>
      <c r="D6350" s="14" t="s">
        <v>158</v>
      </c>
      <c r="E6350" s="13" t="s">
        <v>61</v>
      </c>
      <c r="F6350" s="13" t="s">
        <v>2126</v>
      </c>
      <c r="G6350" s="13">
        <v>1.03</v>
      </c>
      <c r="H6350" s="15">
        <v>1367</v>
      </c>
      <c r="I6350" s="16">
        <v>1408.01</v>
      </c>
      <c r="J6350" s="16">
        <v>1022.0442027220697</v>
      </c>
      <c r="K6350" s="16">
        <v>385.96579727793016</v>
      </c>
      <c r="L6350" s="13">
        <v>2.42</v>
      </c>
      <c r="M6350" s="13"/>
      <c r="N6350" s="17">
        <f t="shared" si="208"/>
        <v>3308.14</v>
      </c>
      <c r="O6350" s="17">
        <f t="shared" si="208"/>
        <v>0</v>
      </c>
      <c r="P6350" s="17">
        <f t="shared" si="209"/>
        <v>3308.14</v>
      </c>
      <c r="Q6350" t="str">
        <f>A6350&amp;"-"&amp;B6350&amp;"-"&amp;D6350</f>
        <v>DESEMBER-MJ2-L4</v>
      </c>
    </row>
    <row r="6351" spans="1:17" x14ac:dyDescent="0.25">
      <c r="A6351" t="s">
        <v>402</v>
      </c>
      <c r="B6351" s="13" t="s">
        <v>26</v>
      </c>
      <c r="C6351" s="13" t="s">
        <v>226</v>
      </c>
      <c r="D6351" s="14" t="s">
        <v>160</v>
      </c>
      <c r="E6351" s="13" t="s">
        <v>61</v>
      </c>
      <c r="F6351" s="13" t="s">
        <v>2113</v>
      </c>
      <c r="G6351" s="13">
        <v>0.79</v>
      </c>
      <c r="H6351" s="15">
        <v>1764</v>
      </c>
      <c r="I6351" s="16">
        <v>1393.5600000000002</v>
      </c>
      <c r="J6351" s="16">
        <v>1133.7336588058406</v>
      </c>
      <c r="K6351" s="16">
        <v>259.82634119415934</v>
      </c>
      <c r="L6351" s="13">
        <v>1.86</v>
      </c>
      <c r="M6351" s="13"/>
      <c r="N6351" s="17">
        <f t="shared" si="208"/>
        <v>3281.04</v>
      </c>
      <c r="O6351" s="17">
        <f t="shared" si="208"/>
        <v>0</v>
      </c>
      <c r="P6351" s="17">
        <f t="shared" si="209"/>
        <v>3281.04</v>
      </c>
      <c r="Q6351" t="str">
        <f>A6351&amp;"-"&amp;B6351&amp;"-"&amp;D6351</f>
        <v>DESEMBER-MJ2-L5</v>
      </c>
    </row>
    <row r="6352" spans="1:17" x14ac:dyDescent="0.25">
      <c r="A6352" t="s">
        <v>402</v>
      </c>
      <c r="B6352" s="13" t="s">
        <v>26</v>
      </c>
      <c r="C6352" s="13" t="s">
        <v>226</v>
      </c>
      <c r="D6352" s="14" t="s">
        <v>160</v>
      </c>
      <c r="E6352" s="13" t="s">
        <v>61</v>
      </c>
      <c r="F6352" s="13" t="s">
        <v>2114</v>
      </c>
      <c r="G6352" s="13">
        <v>0.79</v>
      </c>
      <c r="H6352" s="15">
        <v>2090</v>
      </c>
      <c r="I6352" s="16">
        <v>1651.1</v>
      </c>
      <c r="J6352" s="16">
        <v>1221.1179649311691</v>
      </c>
      <c r="K6352" s="16">
        <v>429.98203506883095</v>
      </c>
      <c r="L6352" s="13">
        <v>1.86</v>
      </c>
      <c r="M6352" s="13"/>
      <c r="N6352" s="17">
        <f t="shared" si="208"/>
        <v>3887.4</v>
      </c>
      <c r="O6352" s="17">
        <f t="shared" si="208"/>
        <v>0</v>
      </c>
      <c r="P6352" s="17">
        <f t="shared" si="209"/>
        <v>3887.4</v>
      </c>
      <c r="Q6352" t="str">
        <f>A6352&amp;"-"&amp;B6352&amp;"-"&amp;D6352</f>
        <v>DESEMBER-MJ2-L5</v>
      </c>
    </row>
    <row r="6353" spans="1:17" x14ac:dyDescent="0.25">
      <c r="A6353" t="s">
        <v>402</v>
      </c>
      <c r="B6353" s="13" t="s">
        <v>26</v>
      </c>
      <c r="C6353" s="13" t="s">
        <v>226</v>
      </c>
      <c r="D6353" s="14" t="s">
        <v>160</v>
      </c>
      <c r="E6353" s="13" t="s">
        <v>61</v>
      </c>
      <c r="F6353" s="13" t="s">
        <v>2115</v>
      </c>
      <c r="G6353" s="13">
        <v>0.79</v>
      </c>
      <c r="H6353" s="15">
        <v>880</v>
      </c>
      <c r="I6353" s="16">
        <v>695.19999999999993</v>
      </c>
      <c r="J6353" s="16">
        <v>648.06227564795142</v>
      </c>
      <c r="K6353" s="16">
        <v>47.137724352048721</v>
      </c>
      <c r="L6353" s="13">
        <v>1.86</v>
      </c>
      <c r="M6353" s="13"/>
      <c r="N6353" s="17">
        <f t="shared" si="208"/>
        <v>1636.8000000000002</v>
      </c>
      <c r="O6353" s="17">
        <f t="shared" si="208"/>
        <v>0</v>
      </c>
      <c r="P6353" s="17">
        <f t="shared" si="209"/>
        <v>1636.8000000000002</v>
      </c>
      <c r="Q6353" t="str">
        <f>A6353&amp;"-"&amp;B6353&amp;"-"&amp;D6353</f>
        <v>DESEMBER-MJ2-L5</v>
      </c>
    </row>
    <row r="6354" spans="1:17" x14ac:dyDescent="0.25">
      <c r="A6354" t="s">
        <v>402</v>
      </c>
      <c r="B6354" s="13" t="s">
        <v>26</v>
      </c>
      <c r="C6354" s="13" t="s">
        <v>226</v>
      </c>
      <c r="D6354" s="14" t="s">
        <v>160</v>
      </c>
      <c r="E6354" s="13" t="s">
        <v>61</v>
      </c>
      <c r="F6354" s="13" t="s">
        <v>2116</v>
      </c>
      <c r="G6354" s="13">
        <v>0.79</v>
      </c>
      <c r="H6354" s="15">
        <v>542</v>
      </c>
      <c r="I6354" s="16">
        <v>428.18</v>
      </c>
      <c r="J6354" s="16">
        <v>351.45602174121893</v>
      </c>
      <c r="K6354" s="16">
        <v>76.723978258781074</v>
      </c>
      <c r="L6354" s="13">
        <v>1.99</v>
      </c>
      <c r="M6354" s="13"/>
      <c r="N6354" s="17">
        <f t="shared" si="208"/>
        <v>1078.58</v>
      </c>
      <c r="O6354" s="17">
        <f t="shared" si="208"/>
        <v>0</v>
      </c>
      <c r="P6354" s="17">
        <f t="shared" si="209"/>
        <v>1078.58</v>
      </c>
      <c r="Q6354" t="str">
        <f>A6354&amp;"-"&amp;B6354&amp;"-"&amp;D6354</f>
        <v>DESEMBER-MJ2-L5</v>
      </c>
    </row>
    <row r="6355" spans="1:17" x14ac:dyDescent="0.25">
      <c r="A6355" t="s">
        <v>402</v>
      </c>
      <c r="B6355" s="13" t="s">
        <v>26</v>
      </c>
      <c r="C6355" s="13" t="s">
        <v>226</v>
      </c>
      <c r="D6355" s="14" t="s">
        <v>160</v>
      </c>
      <c r="E6355" s="13" t="s">
        <v>61</v>
      </c>
      <c r="F6355" s="13" t="s">
        <v>2117</v>
      </c>
      <c r="G6355" s="13">
        <v>0.79</v>
      </c>
      <c r="H6355" s="15">
        <v>2137</v>
      </c>
      <c r="I6355" s="16">
        <v>1688.23</v>
      </c>
      <c r="J6355" s="16">
        <v>1618.6933974695457</v>
      </c>
      <c r="K6355" s="16">
        <v>69.536602530454388</v>
      </c>
      <c r="L6355" s="13">
        <v>1.86</v>
      </c>
      <c r="M6355" s="13"/>
      <c r="N6355" s="17">
        <f t="shared" si="208"/>
        <v>3974.82</v>
      </c>
      <c r="O6355" s="17">
        <f t="shared" si="208"/>
        <v>0</v>
      </c>
      <c r="P6355" s="17">
        <f t="shared" si="209"/>
        <v>3974.82</v>
      </c>
      <c r="Q6355" t="str">
        <f>A6355&amp;"-"&amp;B6355&amp;"-"&amp;D6355</f>
        <v>DESEMBER-MJ2-L5</v>
      </c>
    </row>
    <row r="6356" spans="1:17" x14ac:dyDescent="0.25">
      <c r="A6356" t="s">
        <v>402</v>
      </c>
      <c r="B6356" s="13" t="s">
        <v>26</v>
      </c>
      <c r="C6356" s="13" t="s">
        <v>226</v>
      </c>
      <c r="D6356" s="14" t="s">
        <v>160</v>
      </c>
      <c r="E6356" s="13" t="s">
        <v>61</v>
      </c>
      <c r="F6356" s="13" t="s">
        <v>1963</v>
      </c>
      <c r="G6356" s="13">
        <v>0.68</v>
      </c>
      <c r="H6356" s="15">
        <v>549</v>
      </c>
      <c r="I6356" s="16">
        <v>373.32</v>
      </c>
      <c r="J6356" s="16">
        <v>375.80494702753612</v>
      </c>
      <c r="K6356" s="16">
        <v>-2.4849470275360979</v>
      </c>
      <c r="L6356" s="13">
        <v>1.69</v>
      </c>
      <c r="M6356" s="13"/>
      <c r="N6356" s="17">
        <f t="shared" si="208"/>
        <v>927.81</v>
      </c>
      <c r="O6356" s="17">
        <f t="shared" si="208"/>
        <v>0</v>
      </c>
      <c r="P6356" s="17">
        <f t="shared" si="209"/>
        <v>927.81</v>
      </c>
      <c r="Q6356" t="str">
        <f>A6356&amp;"-"&amp;B6356&amp;"-"&amp;D6356</f>
        <v>DESEMBER-MJ2-L5</v>
      </c>
    </row>
    <row r="6357" spans="1:17" x14ac:dyDescent="0.25">
      <c r="A6357" t="s">
        <v>402</v>
      </c>
      <c r="B6357" s="13" t="s">
        <v>26</v>
      </c>
      <c r="C6357" s="13" t="s">
        <v>226</v>
      </c>
      <c r="D6357" s="14" t="s">
        <v>160</v>
      </c>
      <c r="E6357" s="13" t="s">
        <v>61</v>
      </c>
      <c r="F6357" s="13" t="s">
        <v>1977</v>
      </c>
      <c r="G6357" s="13">
        <v>0.65</v>
      </c>
      <c r="H6357" s="15">
        <v>454</v>
      </c>
      <c r="I6357" s="16">
        <v>295.10000000000002</v>
      </c>
      <c r="J6357" s="16">
        <v>344.82794130862771</v>
      </c>
      <c r="K6357" s="16">
        <v>-49.727941308627706</v>
      </c>
      <c r="L6357" s="13">
        <v>1.81</v>
      </c>
      <c r="M6357" s="13"/>
      <c r="N6357" s="17">
        <f t="shared" si="208"/>
        <v>821.74</v>
      </c>
      <c r="O6357" s="17">
        <f t="shared" si="208"/>
        <v>0</v>
      </c>
      <c r="P6357" s="17">
        <f t="shared" si="209"/>
        <v>821.74</v>
      </c>
      <c r="Q6357" t="str">
        <f>A6357&amp;"-"&amp;B6357&amp;"-"&amp;D6357</f>
        <v>DESEMBER-MJ2-L5</v>
      </c>
    </row>
    <row r="6358" spans="1:17" x14ac:dyDescent="0.25">
      <c r="A6358" t="s">
        <v>402</v>
      </c>
      <c r="B6358" s="13" t="s">
        <v>26</v>
      </c>
      <c r="C6358" s="13" t="s">
        <v>226</v>
      </c>
      <c r="D6358" s="14" t="s">
        <v>160</v>
      </c>
      <c r="E6358" s="13" t="s">
        <v>61</v>
      </c>
      <c r="F6358" s="13" t="s">
        <v>1964</v>
      </c>
      <c r="G6358" s="13">
        <v>1.03</v>
      </c>
      <c r="H6358" s="15">
        <v>164</v>
      </c>
      <c r="I6358" s="16">
        <v>168.92000000000002</v>
      </c>
      <c r="J6358" s="16">
        <v>100.52376930389762</v>
      </c>
      <c r="K6358" s="16">
        <v>68.396230696102378</v>
      </c>
      <c r="L6358" s="13">
        <v>2.31</v>
      </c>
      <c r="M6358" s="13"/>
      <c r="N6358" s="17">
        <f t="shared" si="208"/>
        <v>378.84000000000003</v>
      </c>
      <c r="O6358" s="17">
        <f t="shared" si="208"/>
        <v>0</v>
      </c>
      <c r="P6358" s="17">
        <f t="shared" si="209"/>
        <v>378.84000000000003</v>
      </c>
      <c r="Q6358" t="str">
        <f>A6358&amp;"-"&amp;B6358&amp;"-"&amp;D6358</f>
        <v>DESEMBER-MJ2-L5</v>
      </c>
    </row>
    <row r="6359" spans="1:17" x14ac:dyDescent="0.25">
      <c r="A6359" t="s">
        <v>402</v>
      </c>
      <c r="B6359" s="13" t="s">
        <v>26</v>
      </c>
      <c r="C6359" s="13" t="s">
        <v>226</v>
      </c>
      <c r="D6359" s="14" t="s">
        <v>160</v>
      </c>
      <c r="E6359" s="13" t="s">
        <v>61</v>
      </c>
      <c r="F6359" s="13" t="s">
        <v>2118</v>
      </c>
      <c r="G6359" s="13">
        <v>0.74</v>
      </c>
      <c r="H6359" s="15">
        <v>4266</v>
      </c>
      <c r="I6359" s="16">
        <v>3156.84</v>
      </c>
      <c r="J6359" s="16">
        <v>2302.1770503938828</v>
      </c>
      <c r="K6359" s="16">
        <v>854.66294960611663</v>
      </c>
      <c r="L6359" s="13">
        <v>1.36</v>
      </c>
      <c r="M6359" s="13"/>
      <c r="N6359" s="17">
        <f t="shared" si="208"/>
        <v>5801.76</v>
      </c>
      <c r="O6359" s="17">
        <f t="shared" si="208"/>
        <v>0</v>
      </c>
      <c r="P6359" s="17">
        <f t="shared" si="209"/>
        <v>5801.76</v>
      </c>
      <c r="Q6359" t="str">
        <f>A6359&amp;"-"&amp;B6359&amp;"-"&amp;D6359</f>
        <v>DESEMBER-MJ2-L5</v>
      </c>
    </row>
    <row r="6360" spans="1:17" x14ac:dyDescent="0.25">
      <c r="A6360" t="s">
        <v>402</v>
      </c>
      <c r="B6360" s="13" t="s">
        <v>26</v>
      </c>
      <c r="C6360" s="13" t="s">
        <v>226</v>
      </c>
      <c r="D6360" s="14" t="s">
        <v>160</v>
      </c>
      <c r="E6360" s="13" t="s">
        <v>61</v>
      </c>
      <c r="F6360" s="13" t="s">
        <v>1927</v>
      </c>
      <c r="G6360" s="13">
        <v>0.71</v>
      </c>
      <c r="H6360" s="15">
        <v>55</v>
      </c>
      <c r="I6360" s="16">
        <v>39.049999999999997</v>
      </c>
      <c r="J6360" s="16">
        <v>33.597826086956523</v>
      </c>
      <c r="K6360" s="16">
        <v>5.4521739130434739</v>
      </c>
      <c r="L6360" s="13">
        <v>1.29</v>
      </c>
      <c r="M6360" s="13"/>
      <c r="N6360" s="17">
        <f t="shared" si="208"/>
        <v>70.95</v>
      </c>
      <c r="O6360" s="17">
        <f t="shared" si="208"/>
        <v>0</v>
      </c>
      <c r="P6360" s="17">
        <f t="shared" si="209"/>
        <v>70.95</v>
      </c>
      <c r="Q6360" t="str">
        <f>A6360&amp;"-"&amp;B6360&amp;"-"&amp;D6360</f>
        <v>DESEMBER-MJ2-L5</v>
      </c>
    </row>
    <row r="6361" spans="1:17" x14ac:dyDescent="0.25">
      <c r="A6361" t="s">
        <v>402</v>
      </c>
      <c r="B6361" s="13" t="s">
        <v>26</v>
      </c>
      <c r="C6361" s="13" t="s">
        <v>226</v>
      </c>
      <c r="D6361" s="14" t="s">
        <v>160</v>
      </c>
      <c r="E6361" s="13" t="s">
        <v>61</v>
      </c>
      <c r="F6361" s="13" t="s">
        <v>2072</v>
      </c>
      <c r="G6361" s="13">
        <v>0.71</v>
      </c>
      <c r="H6361" s="15">
        <v>1923</v>
      </c>
      <c r="I6361" s="16">
        <v>1365.33</v>
      </c>
      <c r="J6361" s="16">
        <v>1105.0226566459121</v>
      </c>
      <c r="K6361" s="16">
        <v>260.30734335408789</v>
      </c>
      <c r="L6361" s="13">
        <v>1.29</v>
      </c>
      <c r="M6361" s="13"/>
      <c r="N6361" s="17">
        <f t="shared" si="208"/>
        <v>2480.67</v>
      </c>
      <c r="O6361" s="17">
        <f t="shared" si="208"/>
        <v>0</v>
      </c>
      <c r="P6361" s="17">
        <f t="shared" si="209"/>
        <v>2480.67</v>
      </c>
      <c r="Q6361" t="str">
        <f>A6361&amp;"-"&amp;B6361&amp;"-"&amp;D6361</f>
        <v>DESEMBER-MJ2-L5</v>
      </c>
    </row>
    <row r="6362" spans="1:17" x14ac:dyDescent="0.25">
      <c r="A6362" t="s">
        <v>402</v>
      </c>
      <c r="B6362" s="13" t="s">
        <v>26</v>
      </c>
      <c r="C6362" s="13" t="s">
        <v>226</v>
      </c>
      <c r="D6362" s="14" t="s">
        <v>160</v>
      </c>
      <c r="E6362" s="13" t="s">
        <v>61</v>
      </c>
      <c r="F6362" s="13" t="s">
        <v>2119</v>
      </c>
      <c r="G6362" s="13">
        <v>0.71</v>
      </c>
      <c r="H6362" s="15">
        <v>3217</v>
      </c>
      <c r="I6362" s="16">
        <v>2284.0700000000002</v>
      </c>
      <c r="J6362" s="16">
        <v>1493.6588156409962</v>
      </c>
      <c r="K6362" s="16">
        <v>790.41118435900376</v>
      </c>
      <c r="L6362" s="13">
        <v>1.29</v>
      </c>
      <c r="M6362" s="13"/>
      <c r="N6362" s="17">
        <f t="shared" si="208"/>
        <v>4149.93</v>
      </c>
      <c r="O6362" s="17">
        <f t="shared" si="208"/>
        <v>0</v>
      </c>
      <c r="P6362" s="17">
        <f t="shared" si="209"/>
        <v>4149.93</v>
      </c>
      <c r="Q6362" t="str">
        <f>A6362&amp;"-"&amp;B6362&amp;"-"&amp;D6362</f>
        <v>DESEMBER-MJ2-L5</v>
      </c>
    </row>
    <row r="6363" spans="1:17" x14ac:dyDescent="0.25">
      <c r="A6363" t="s">
        <v>402</v>
      </c>
      <c r="B6363" s="13" t="s">
        <v>26</v>
      </c>
      <c r="C6363" s="13" t="s">
        <v>226</v>
      </c>
      <c r="D6363" s="14" t="s">
        <v>160</v>
      </c>
      <c r="E6363" s="13" t="s">
        <v>61</v>
      </c>
      <c r="F6363" s="13" t="s">
        <v>1967</v>
      </c>
      <c r="G6363" s="13">
        <v>0.68</v>
      </c>
      <c r="H6363" s="15">
        <v>102</v>
      </c>
      <c r="I6363" s="16">
        <v>69.36</v>
      </c>
      <c r="J6363" s="16">
        <v>63.622641509433961</v>
      </c>
      <c r="K6363" s="16">
        <v>5.737358490566038</v>
      </c>
      <c r="L6363" s="13">
        <v>1.7</v>
      </c>
      <c r="M6363" s="13"/>
      <c r="N6363" s="17">
        <f t="shared" si="208"/>
        <v>173.4</v>
      </c>
      <c r="O6363" s="17">
        <f t="shared" si="208"/>
        <v>0</v>
      </c>
      <c r="P6363" s="17">
        <f t="shared" si="209"/>
        <v>173.4</v>
      </c>
      <c r="Q6363" t="str">
        <f>A6363&amp;"-"&amp;B6363&amp;"-"&amp;D6363</f>
        <v>DESEMBER-MJ2-L5</v>
      </c>
    </row>
    <row r="6364" spans="1:17" x14ac:dyDescent="0.25">
      <c r="A6364" t="s">
        <v>402</v>
      </c>
      <c r="B6364" s="13" t="s">
        <v>26</v>
      </c>
      <c r="C6364" s="13" t="s">
        <v>226</v>
      </c>
      <c r="D6364" s="14" t="s">
        <v>160</v>
      </c>
      <c r="E6364" s="13" t="s">
        <v>61</v>
      </c>
      <c r="F6364" s="13" t="s">
        <v>2120</v>
      </c>
      <c r="G6364" s="13">
        <v>0.73</v>
      </c>
      <c r="H6364" s="15">
        <v>1377</v>
      </c>
      <c r="I6364" s="16">
        <v>1005.21</v>
      </c>
      <c r="J6364" s="16">
        <v>943.55151321638823</v>
      </c>
      <c r="K6364" s="16">
        <v>61.658486783611728</v>
      </c>
      <c r="L6364" s="13">
        <v>1.33</v>
      </c>
      <c r="M6364" s="13"/>
      <c r="N6364" s="17">
        <f t="shared" si="208"/>
        <v>1831.41</v>
      </c>
      <c r="O6364" s="17">
        <f t="shared" si="208"/>
        <v>0</v>
      </c>
      <c r="P6364" s="17">
        <f t="shared" si="209"/>
        <v>1831.41</v>
      </c>
      <c r="Q6364" t="str">
        <f>A6364&amp;"-"&amp;B6364&amp;"-"&amp;D6364</f>
        <v>DESEMBER-MJ2-L5</v>
      </c>
    </row>
    <row r="6365" spans="1:17" x14ac:dyDescent="0.25">
      <c r="A6365" t="s">
        <v>402</v>
      </c>
      <c r="B6365" s="13" t="s">
        <v>26</v>
      </c>
      <c r="C6365" s="13" t="s">
        <v>226</v>
      </c>
      <c r="D6365" s="14" t="s">
        <v>160</v>
      </c>
      <c r="E6365" s="13" t="s">
        <v>61</v>
      </c>
      <c r="F6365" s="13" t="s">
        <v>2075</v>
      </c>
      <c r="G6365" s="13">
        <v>0.73</v>
      </c>
      <c r="H6365" s="15">
        <v>745</v>
      </c>
      <c r="I6365" s="16">
        <v>543.85</v>
      </c>
      <c r="J6365" s="16">
        <v>492.87877924767645</v>
      </c>
      <c r="K6365" s="16">
        <v>50.971220752323539</v>
      </c>
      <c r="L6365" s="13">
        <v>1.33</v>
      </c>
      <c r="M6365" s="13"/>
      <c r="N6365" s="17">
        <f t="shared" si="208"/>
        <v>990.85</v>
      </c>
      <c r="O6365" s="17">
        <f t="shared" si="208"/>
        <v>0</v>
      </c>
      <c r="P6365" s="17">
        <f t="shared" si="209"/>
        <v>990.85</v>
      </c>
      <c r="Q6365" t="str">
        <f>A6365&amp;"-"&amp;B6365&amp;"-"&amp;D6365</f>
        <v>DESEMBER-MJ2-L5</v>
      </c>
    </row>
    <row r="6366" spans="1:17" x14ac:dyDescent="0.25">
      <c r="A6366" t="s">
        <v>402</v>
      </c>
      <c r="B6366" s="13" t="s">
        <v>26</v>
      </c>
      <c r="C6366" s="13" t="s">
        <v>226</v>
      </c>
      <c r="D6366" s="14" t="s">
        <v>160</v>
      </c>
      <c r="E6366" s="13" t="s">
        <v>61</v>
      </c>
      <c r="F6366" s="13" t="s">
        <v>2121</v>
      </c>
      <c r="G6366" s="13">
        <v>0.72999999999999987</v>
      </c>
      <c r="H6366" s="15">
        <v>2082</v>
      </c>
      <c r="I6366" s="16">
        <v>1519.8600000000004</v>
      </c>
      <c r="J6366" s="16">
        <v>1415.3595475663851</v>
      </c>
      <c r="K6366" s="16">
        <v>104.50045243361478</v>
      </c>
      <c r="L6366" s="13">
        <v>1.33</v>
      </c>
      <c r="M6366" s="13"/>
      <c r="N6366" s="17">
        <f t="shared" si="208"/>
        <v>2769.06</v>
      </c>
      <c r="O6366" s="17">
        <f t="shared" si="208"/>
        <v>0</v>
      </c>
      <c r="P6366" s="17">
        <f t="shared" si="209"/>
        <v>2769.06</v>
      </c>
      <c r="Q6366" t="str">
        <f>A6366&amp;"-"&amp;B6366&amp;"-"&amp;D6366</f>
        <v>DESEMBER-MJ2-L5</v>
      </c>
    </row>
    <row r="6367" spans="1:17" x14ac:dyDescent="0.25">
      <c r="A6367" t="s">
        <v>402</v>
      </c>
      <c r="B6367" s="13" t="s">
        <v>26</v>
      </c>
      <c r="C6367" s="13" t="s">
        <v>226</v>
      </c>
      <c r="D6367" s="14" t="s">
        <v>160</v>
      </c>
      <c r="E6367" s="13" t="s">
        <v>61</v>
      </c>
      <c r="F6367" s="13" t="s">
        <v>2122</v>
      </c>
      <c r="G6367" s="13">
        <v>0.73</v>
      </c>
      <c r="H6367" s="15">
        <v>2120</v>
      </c>
      <c r="I6367" s="16">
        <v>1547.6</v>
      </c>
      <c r="J6367" s="16">
        <v>1326.253544975948</v>
      </c>
      <c r="K6367" s="16">
        <v>221.34645502405192</v>
      </c>
      <c r="L6367" s="13">
        <v>1.33</v>
      </c>
      <c r="M6367" s="13"/>
      <c r="N6367" s="17">
        <f t="shared" si="208"/>
        <v>2819.6000000000004</v>
      </c>
      <c r="O6367" s="17">
        <f t="shared" si="208"/>
        <v>0</v>
      </c>
      <c r="P6367" s="17">
        <f t="shared" si="209"/>
        <v>2819.6000000000004</v>
      </c>
      <c r="Q6367" t="str">
        <f>A6367&amp;"-"&amp;B6367&amp;"-"&amp;D6367</f>
        <v>DESEMBER-MJ2-L5</v>
      </c>
    </row>
    <row r="6368" spans="1:17" x14ac:dyDescent="0.25">
      <c r="A6368" t="s">
        <v>402</v>
      </c>
      <c r="B6368" s="13" t="s">
        <v>26</v>
      </c>
      <c r="C6368" s="13" t="s">
        <v>226</v>
      </c>
      <c r="D6368" s="14" t="s">
        <v>160</v>
      </c>
      <c r="E6368" s="13" t="s">
        <v>61</v>
      </c>
      <c r="F6368" s="13" t="s">
        <v>1970</v>
      </c>
      <c r="G6368" s="13">
        <v>0.83</v>
      </c>
      <c r="H6368" s="15">
        <v>137</v>
      </c>
      <c r="I6368" s="16">
        <v>113.71</v>
      </c>
      <c r="J6368" s="16">
        <v>105.76098901098901</v>
      </c>
      <c r="K6368" s="16">
        <v>7.9490109890109863</v>
      </c>
      <c r="L6368" s="13">
        <v>2.13</v>
      </c>
      <c r="M6368" s="13"/>
      <c r="N6368" s="17">
        <f t="shared" si="208"/>
        <v>291.81</v>
      </c>
      <c r="O6368" s="17">
        <f t="shared" si="208"/>
        <v>0</v>
      </c>
      <c r="P6368" s="17">
        <f t="shared" si="209"/>
        <v>291.81</v>
      </c>
      <c r="Q6368" t="str">
        <f>A6368&amp;"-"&amp;B6368&amp;"-"&amp;D6368</f>
        <v>DESEMBER-MJ2-L5</v>
      </c>
    </row>
    <row r="6369" spans="1:17" x14ac:dyDescent="0.25">
      <c r="A6369" t="s">
        <v>402</v>
      </c>
      <c r="B6369" s="13" t="s">
        <v>26</v>
      </c>
      <c r="C6369" s="13" t="s">
        <v>226</v>
      </c>
      <c r="D6369" s="14" t="s">
        <v>160</v>
      </c>
      <c r="E6369" s="13" t="s">
        <v>61</v>
      </c>
      <c r="F6369" s="13" t="s">
        <v>1971</v>
      </c>
      <c r="G6369" s="13">
        <v>0.76</v>
      </c>
      <c r="H6369" s="15">
        <v>32</v>
      </c>
      <c r="I6369" s="16">
        <v>24.32</v>
      </c>
      <c r="J6369" s="16">
        <v>23.372201621775805</v>
      </c>
      <c r="K6369" s="16">
        <v>0.94779837822419544</v>
      </c>
      <c r="L6369" s="13">
        <v>1.94</v>
      </c>
      <c r="M6369" s="13"/>
      <c r="N6369" s="17">
        <f t="shared" si="208"/>
        <v>62.08</v>
      </c>
      <c r="O6369" s="17">
        <f t="shared" si="208"/>
        <v>0</v>
      </c>
      <c r="P6369" s="17">
        <f t="shared" si="209"/>
        <v>62.08</v>
      </c>
      <c r="Q6369" t="str">
        <f>A6369&amp;"-"&amp;B6369&amp;"-"&amp;D6369</f>
        <v>DESEMBER-MJ2-L5</v>
      </c>
    </row>
    <row r="6370" spans="1:17" x14ac:dyDescent="0.25">
      <c r="A6370" t="s">
        <v>402</v>
      </c>
      <c r="B6370" s="13" t="s">
        <v>26</v>
      </c>
      <c r="C6370" s="13" t="s">
        <v>226</v>
      </c>
      <c r="D6370" s="14" t="s">
        <v>160</v>
      </c>
      <c r="E6370" s="13" t="s">
        <v>61</v>
      </c>
      <c r="F6370" s="13" t="s">
        <v>2123</v>
      </c>
      <c r="G6370" s="13">
        <v>0.83</v>
      </c>
      <c r="H6370" s="15">
        <v>2598</v>
      </c>
      <c r="I6370" s="16">
        <v>2156.34</v>
      </c>
      <c r="J6370" s="16">
        <v>1585.8258943928456</v>
      </c>
      <c r="K6370" s="16">
        <v>570.51410560715453</v>
      </c>
      <c r="L6370" s="13">
        <v>2.13</v>
      </c>
      <c r="M6370" s="13"/>
      <c r="N6370" s="17">
        <f t="shared" si="208"/>
        <v>5533.74</v>
      </c>
      <c r="O6370" s="17">
        <f t="shared" si="208"/>
        <v>0</v>
      </c>
      <c r="P6370" s="17">
        <f t="shared" si="209"/>
        <v>5533.74</v>
      </c>
      <c r="Q6370" t="str">
        <f>A6370&amp;"-"&amp;B6370&amp;"-"&amp;D6370</f>
        <v>DESEMBER-MJ2-L5</v>
      </c>
    </row>
    <row r="6371" spans="1:17" x14ac:dyDescent="0.25">
      <c r="A6371" t="s">
        <v>402</v>
      </c>
      <c r="B6371" s="13" t="s">
        <v>26</v>
      </c>
      <c r="C6371" s="13" t="s">
        <v>226</v>
      </c>
      <c r="D6371" s="14" t="s">
        <v>160</v>
      </c>
      <c r="E6371" s="13" t="s">
        <v>61</v>
      </c>
      <c r="F6371" s="13" t="s">
        <v>2124</v>
      </c>
      <c r="G6371" s="13">
        <v>0.78</v>
      </c>
      <c r="H6371" s="15">
        <v>911</v>
      </c>
      <c r="I6371" s="16">
        <v>710.58</v>
      </c>
      <c r="J6371" s="16">
        <v>556.88166157552689</v>
      </c>
      <c r="K6371" s="16">
        <v>153.69833842447315</v>
      </c>
      <c r="L6371" s="13">
        <v>2.29</v>
      </c>
      <c r="M6371" s="13"/>
      <c r="N6371" s="17">
        <f t="shared" si="208"/>
        <v>2086.19</v>
      </c>
      <c r="O6371" s="17">
        <f t="shared" si="208"/>
        <v>0</v>
      </c>
      <c r="P6371" s="17">
        <f t="shared" si="209"/>
        <v>2086.19</v>
      </c>
      <c r="Q6371" t="str">
        <f>A6371&amp;"-"&amp;B6371&amp;"-"&amp;D6371</f>
        <v>DESEMBER-MJ2-L5</v>
      </c>
    </row>
    <row r="6372" spans="1:17" x14ac:dyDescent="0.25">
      <c r="A6372" t="s">
        <v>402</v>
      </c>
      <c r="B6372" s="13" t="s">
        <v>26</v>
      </c>
      <c r="C6372" s="13" t="s">
        <v>226</v>
      </c>
      <c r="D6372" s="14" t="s">
        <v>160</v>
      </c>
      <c r="E6372" s="13" t="s">
        <v>61</v>
      </c>
      <c r="F6372" s="13" t="s">
        <v>1957</v>
      </c>
      <c r="G6372" s="13">
        <v>0.76</v>
      </c>
      <c r="H6372" s="15">
        <v>8</v>
      </c>
      <c r="I6372" s="16">
        <v>6.08</v>
      </c>
      <c r="J6372" s="16">
        <v>5.9235836627140976</v>
      </c>
      <c r="K6372" s="16">
        <v>0.15641633728590243</v>
      </c>
      <c r="L6372" s="13">
        <v>1.94</v>
      </c>
      <c r="M6372" s="13"/>
      <c r="N6372" s="17">
        <f t="shared" si="208"/>
        <v>15.52</v>
      </c>
      <c r="O6372" s="17">
        <f t="shared" si="208"/>
        <v>0</v>
      </c>
      <c r="P6372" s="17">
        <f t="shared" si="209"/>
        <v>15.52</v>
      </c>
      <c r="Q6372" t="str">
        <f>A6372&amp;"-"&amp;B6372&amp;"-"&amp;D6372</f>
        <v>DESEMBER-MJ2-L5</v>
      </c>
    </row>
    <row r="6373" spans="1:17" x14ac:dyDescent="0.25">
      <c r="A6373" t="s">
        <v>402</v>
      </c>
      <c r="B6373" s="13" t="s">
        <v>26</v>
      </c>
      <c r="C6373" s="13" t="s">
        <v>226</v>
      </c>
      <c r="D6373" s="14" t="s">
        <v>160</v>
      </c>
      <c r="E6373" s="13" t="s">
        <v>61</v>
      </c>
      <c r="F6373" s="13" t="s">
        <v>1973</v>
      </c>
      <c r="G6373" s="13">
        <v>0.83</v>
      </c>
      <c r="H6373" s="15">
        <v>132</v>
      </c>
      <c r="I6373" s="16">
        <v>109.56</v>
      </c>
      <c r="J6373" s="16">
        <v>100.16694537346712</v>
      </c>
      <c r="K6373" s="16">
        <v>9.39305462653288</v>
      </c>
      <c r="L6373" s="13">
        <v>2.13</v>
      </c>
      <c r="M6373" s="13"/>
      <c r="N6373" s="17">
        <f t="shared" si="208"/>
        <v>281.15999999999997</v>
      </c>
      <c r="O6373" s="17">
        <f t="shared" si="208"/>
        <v>0</v>
      </c>
      <c r="P6373" s="17">
        <f t="shared" si="209"/>
        <v>281.15999999999997</v>
      </c>
      <c r="Q6373" t="str">
        <f>A6373&amp;"-"&amp;B6373&amp;"-"&amp;D6373</f>
        <v>DESEMBER-MJ2-L5</v>
      </c>
    </row>
    <row r="6374" spans="1:17" x14ac:dyDescent="0.25">
      <c r="A6374" t="s">
        <v>402</v>
      </c>
      <c r="B6374" s="13" t="s">
        <v>26</v>
      </c>
      <c r="C6374" s="13" t="s">
        <v>226</v>
      </c>
      <c r="D6374" s="14" t="s">
        <v>160</v>
      </c>
      <c r="E6374" s="13" t="s">
        <v>61</v>
      </c>
      <c r="F6374" s="13" t="s">
        <v>1974</v>
      </c>
      <c r="G6374" s="13">
        <v>0.83</v>
      </c>
      <c r="H6374" s="15">
        <v>622</v>
      </c>
      <c r="I6374" s="16">
        <v>516.26</v>
      </c>
      <c r="J6374" s="16">
        <v>480.17032967032964</v>
      </c>
      <c r="K6374" s="16">
        <v>36.089670329670355</v>
      </c>
      <c r="L6374" s="13">
        <v>2.13</v>
      </c>
      <c r="M6374" s="13"/>
      <c r="N6374" s="17">
        <f t="shared" si="208"/>
        <v>1324.86</v>
      </c>
      <c r="O6374" s="17">
        <f t="shared" si="208"/>
        <v>0</v>
      </c>
      <c r="P6374" s="17">
        <f t="shared" si="209"/>
        <v>1324.86</v>
      </c>
      <c r="Q6374" t="str">
        <f>A6374&amp;"-"&amp;B6374&amp;"-"&amp;D6374</f>
        <v>DESEMBER-MJ2-L5</v>
      </c>
    </row>
    <row r="6375" spans="1:17" x14ac:dyDescent="0.25">
      <c r="A6375" t="s">
        <v>402</v>
      </c>
      <c r="B6375" s="13" t="s">
        <v>26</v>
      </c>
      <c r="C6375" s="13" t="s">
        <v>226</v>
      </c>
      <c r="D6375" s="14" t="s">
        <v>160</v>
      </c>
      <c r="E6375" s="13" t="s">
        <v>61</v>
      </c>
      <c r="F6375" s="13" t="s">
        <v>2093</v>
      </c>
      <c r="G6375" s="13">
        <v>0.65</v>
      </c>
      <c r="H6375" s="15">
        <v>3199</v>
      </c>
      <c r="I6375" s="16">
        <v>2079.35</v>
      </c>
      <c r="J6375" s="16">
        <v>1897.2613322624366</v>
      </c>
      <c r="K6375" s="16">
        <v>182.08866773756336</v>
      </c>
      <c r="L6375" s="13">
        <v>1.66</v>
      </c>
      <c r="M6375" s="13"/>
      <c r="N6375" s="17">
        <f t="shared" si="208"/>
        <v>5310.34</v>
      </c>
      <c r="O6375" s="17">
        <f t="shared" si="208"/>
        <v>0</v>
      </c>
      <c r="P6375" s="17">
        <f t="shared" si="209"/>
        <v>5310.34</v>
      </c>
      <c r="Q6375" t="str">
        <f>A6375&amp;"-"&amp;B6375&amp;"-"&amp;D6375</f>
        <v>DESEMBER-MJ2-L5</v>
      </c>
    </row>
    <row r="6376" spans="1:17" x14ac:dyDescent="0.25">
      <c r="A6376" t="s">
        <v>402</v>
      </c>
      <c r="B6376" s="13" t="s">
        <v>26</v>
      </c>
      <c r="C6376" s="13" t="s">
        <v>226</v>
      </c>
      <c r="D6376" s="14" t="s">
        <v>160</v>
      </c>
      <c r="E6376" s="13" t="s">
        <v>61</v>
      </c>
      <c r="F6376" s="13" t="s">
        <v>2094</v>
      </c>
      <c r="G6376" s="13">
        <v>0.65</v>
      </c>
      <c r="H6376" s="15">
        <v>2257</v>
      </c>
      <c r="I6376" s="16">
        <v>1467.05</v>
      </c>
      <c r="J6376" s="16">
        <v>1297.8035111294464</v>
      </c>
      <c r="K6376" s="16">
        <v>169.24648887055349</v>
      </c>
      <c r="L6376" s="13">
        <v>1.66</v>
      </c>
      <c r="M6376" s="13"/>
      <c r="N6376" s="17">
        <f t="shared" si="208"/>
        <v>3746.62</v>
      </c>
      <c r="O6376" s="17">
        <f t="shared" si="208"/>
        <v>0</v>
      </c>
      <c r="P6376" s="17">
        <f t="shared" si="209"/>
        <v>3746.62</v>
      </c>
      <c r="Q6376" t="str">
        <f>A6376&amp;"-"&amp;B6376&amp;"-"&amp;D6376</f>
        <v>DESEMBER-MJ2-L5</v>
      </c>
    </row>
    <row r="6377" spans="1:17" x14ac:dyDescent="0.25">
      <c r="A6377" t="s">
        <v>402</v>
      </c>
      <c r="B6377" s="13" t="s">
        <v>26</v>
      </c>
      <c r="C6377" s="13" t="s">
        <v>226</v>
      </c>
      <c r="D6377" s="14" t="s">
        <v>160</v>
      </c>
      <c r="E6377" s="13" t="s">
        <v>61</v>
      </c>
      <c r="F6377" s="13" t="s">
        <v>2125</v>
      </c>
      <c r="G6377" s="13">
        <v>1.03</v>
      </c>
      <c r="H6377" s="15">
        <v>563</v>
      </c>
      <c r="I6377" s="16">
        <v>579.89</v>
      </c>
      <c r="J6377" s="16">
        <v>434.07064540147098</v>
      </c>
      <c r="K6377" s="16">
        <v>145.819354598529</v>
      </c>
      <c r="L6377" s="13">
        <v>2.4900000000000002</v>
      </c>
      <c r="M6377" s="13"/>
      <c r="N6377" s="17">
        <f t="shared" si="208"/>
        <v>1401.8700000000001</v>
      </c>
      <c r="O6377" s="17">
        <f t="shared" si="208"/>
        <v>0</v>
      </c>
      <c r="P6377" s="17">
        <f t="shared" si="209"/>
        <v>1401.8700000000001</v>
      </c>
      <c r="Q6377" t="str">
        <f>A6377&amp;"-"&amp;B6377&amp;"-"&amp;D6377</f>
        <v>DESEMBER-MJ2-L5</v>
      </c>
    </row>
    <row r="6378" spans="1:17" x14ac:dyDescent="0.25">
      <c r="A6378" t="s">
        <v>402</v>
      </c>
      <c r="B6378" s="13" t="s">
        <v>26</v>
      </c>
      <c r="C6378" s="13" t="s">
        <v>226</v>
      </c>
      <c r="D6378" s="14" t="s">
        <v>160</v>
      </c>
      <c r="E6378" s="13" t="s">
        <v>61</v>
      </c>
      <c r="F6378" s="13" t="s">
        <v>2126</v>
      </c>
      <c r="G6378" s="13">
        <v>1.03</v>
      </c>
      <c r="H6378" s="15">
        <v>1368</v>
      </c>
      <c r="I6378" s="16">
        <v>1409.0400000000002</v>
      </c>
      <c r="J6378" s="16">
        <v>1022.4205543796303</v>
      </c>
      <c r="K6378" s="16">
        <v>386.61944562036979</v>
      </c>
      <c r="L6378" s="13">
        <v>2.42</v>
      </c>
      <c r="M6378" s="13"/>
      <c r="N6378" s="17">
        <f t="shared" si="208"/>
        <v>3310.56</v>
      </c>
      <c r="O6378" s="17">
        <f t="shared" si="208"/>
        <v>0</v>
      </c>
      <c r="P6378" s="17">
        <f t="shared" si="209"/>
        <v>3310.56</v>
      </c>
      <c r="Q6378" t="str">
        <f>A6378&amp;"-"&amp;B6378&amp;"-"&amp;D6378</f>
        <v>DESEMBER-MJ2-L5</v>
      </c>
    </row>
    <row r="6379" spans="1:17" x14ac:dyDescent="0.25">
      <c r="A6379" t="s">
        <v>402</v>
      </c>
      <c r="B6379" s="13" t="s">
        <v>26</v>
      </c>
      <c r="C6379" s="13" t="s">
        <v>226</v>
      </c>
      <c r="D6379" s="14" t="s">
        <v>163</v>
      </c>
      <c r="E6379" s="13" t="s">
        <v>61</v>
      </c>
      <c r="F6379" s="13" t="s">
        <v>2113</v>
      </c>
      <c r="G6379" s="13">
        <v>0.79</v>
      </c>
      <c r="H6379" s="15">
        <v>810</v>
      </c>
      <c r="I6379" s="16">
        <v>639.9</v>
      </c>
      <c r="J6379" s="16">
        <v>456.40709588687957</v>
      </c>
      <c r="K6379" s="16">
        <v>183.49290411312037</v>
      </c>
      <c r="L6379" s="13">
        <v>1.86</v>
      </c>
      <c r="M6379" s="13"/>
      <c r="N6379" s="17">
        <f t="shared" si="208"/>
        <v>1506.6000000000001</v>
      </c>
      <c r="O6379" s="17">
        <f t="shared" si="208"/>
        <v>0</v>
      </c>
      <c r="P6379" s="17">
        <f t="shared" si="209"/>
        <v>1506.6000000000001</v>
      </c>
      <c r="Q6379" t="str">
        <f>A6379&amp;"-"&amp;B6379&amp;"-"&amp;D6379</f>
        <v>DESEMBER-MJ2-L6</v>
      </c>
    </row>
    <row r="6380" spans="1:17" x14ac:dyDescent="0.25">
      <c r="A6380" t="s">
        <v>402</v>
      </c>
      <c r="B6380" s="13" t="s">
        <v>26</v>
      </c>
      <c r="C6380" s="13" t="s">
        <v>226</v>
      </c>
      <c r="D6380" s="14" t="s">
        <v>163</v>
      </c>
      <c r="E6380" s="13" t="s">
        <v>61</v>
      </c>
      <c r="F6380" s="13" t="s">
        <v>2114</v>
      </c>
      <c r="G6380" s="13">
        <v>0.79</v>
      </c>
      <c r="H6380" s="15">
        <v>5490</v>
      </c>
      <c r="I6380" s="16">
        <v>4337.0999999999995</v>
      </c>
      <c r="J6380" s="16">
        <v>3227.3788979052324</v>
      </c>
      <c r="K6380" s="16">
        <v>1109.7211020947677</v>
      </c>
      <c r="L6380" s="13">
        <v>1.86</v>
      </c>
      <c r="M6380" s="13"/>
      <c r="N6380" s="17">
        <f t="shared" si="208"/>
        <v>10211.4</v>
      </c>
      <c r="O6380" s="17">
        <f t="shared" si="208"/>
        <v>0</v>
      </c>
      <c r="P6380" s="17">
        <f t="shared" si="209"/>
        <v>10211.4</v>
      </c>
      <c r="Q6380" t="str">
        <f>A6380&amp;"-"&amp;B6380&amp;"-"&amp;D6380</f>
        <v>DESEMBER-MJ2-L6</v>
      </c>
    </row>
    <row r="6381" spans="1:17" x14ac:dyDescent="0.25">
      <c r="A6381" t="s">
        <v>402</v>
      </c>
      <c r="B6381" s="13" t="s">
        <v>26</v>
      </c>
      <c r="C6381" s="13" t="s">
        <v>226</v>
      </c>
      <c r="D6381" s="14" t="s">
        <v>163</v>
      </c>
      <c r="E6381" s="13" t="s">
        <v>61</v>
      </c>
      <c r="F6381" s="13" t="s">
        <v>2115</v>
      </c>
      <c r="G6381" s="13">
        <v>0.79</v>
      </c>
      <c r="H6381" s="15">
        <v>1627</v>
      </c>
      <c r="I6381" s="16">
        <v>1285.3300000000002</v>
      </c>
      <c r="J6381" s="16">
        <v>1163.0218867924527</v>
      </c>
      <c r="K6381" s="16">
        <v>122.30811320754728</v>
      </c>
      <c r="L6381" s="13">
        <v>1.86</v>
      </c>
      <c r="M6381" s="13"/>
      <c r="N6381" s="17">
        <f t="shared" si="208"/>
        <v>3026.2200000000003</v>
      </c>
      <c r="O6381" s="17">
        <f t="shared" si="208"/>
        <v>0</v>
      </c>
      <c r="P6381" s="17">
        <f t="shared" si="209"/>
        <v>3026.2200000000003</v>
      </c>
      <c r="Q6381" t="str">
        <f>A6381&amp;"-"&amp;B6381&amp;"-"&amp;D6381</f>
        <v>DESEMBER-MJ2-L6</v>
      </c>
    </row>
    <row r="6382" spans="1:17" x14ac:dyDescent="0.25">
      <c r="A6382" t="s">
        <v>402</v>
      </c>
      <c r="B6382" s="13" t="s">
        <v>26</v>
      </c>
      <c r="C6382" s="13" t="s">
        <v>226</v>
      </c>
      <c r="D6382" s="14" t="s">
        <v>163</v>
      </c>
      <c r="E6382" s="13" t="s">
        <v>61</v>
      </c>
      <c r="F6382" s="13" t="s">
        <v>2116</v>
      </c>
      <c r="G6382" s="13">
        <v>0.79</v>
      </c>
      <c r="H6382" s="15">
        <v>5</v>
      </c>
      <c r="I6382" s="16">
        <v>3.95</v>
      </c>
      <c r="J6382" s="16">
        <v>2.9578947368421051</v>
      </c>
      <c r="K6382" s="16">
        <v>0.99210526315789505</v>
      </c>
      <c r="L6382" s="13">
        <v>1.99</v>
      </c>
      <c r="M6382" s="13"/>
      <c r="N6382" s="17">
        <f t="shared" si="208"/>
        <v>9.9499999999999993</v>
      </c>
      <c r="O6382" s="17">
        <f t="shared" si="208"/>
        <v>0</v>
      </c>
      <c r="P6382" s="17">
        <f t="shared" si="209"/>
        <v>9.9499999999999993</v>
      </c>
      <c r="Q6382" t="str">
        <f>A6382&amp;"-"&amp;B6382&amp;"-"&amp;D6382</f>
        <v>DESEMBER-MJ2-L6</v>
      </c>
    </row>
    <row r="6383" spans="1:17" x14ac:dyDescent="0.25">
      <c r="A6383" t="s">
        <v>402</v>
      </c>
      <c r="B6383" s="13" t="s">
        <v>26</v>
      </c>
      <c r="C6383" s="13" t="s">
        <v>226</v>
      </c>
      <c r="D6383" s="14" t="s">
        <v>163</v>
      </c>
      <c r="E6383" s="13" t="s">
        <v>61</v>
      </c>
      <c r="F6383" s="13" t="s">
        <v>2117</v>
      </c>
      <c r="G6383" s="13">
        <v>0.79</v>
      </c>
      <c r="H6383" s="15">
        <v>1200</v>
      </c>
      <c r="I6383" s="16">
        <v>948</v>
      </c>
      <c r="J6383" s="16">
        <v>674.56170396964831</v>
      </c>
      <c r="K6383" s="16">
        <v>273.43829603035164</v>
      </c>
      <c r="L6383" s="13">
        <v>1.86</v>
      </c>
      <c r="M6383" s="13"/>
      <c r="N6383" s="17">
        <f t="shared" si="208"/>
        <v>2232</v>
      </c>
      <c r="O6383" s="17">
        <f t="shared" si="208"/>
        <v>0</v>
      </c>
      <c r="P6383" s="17">
        <f t="shared" si="209"/>
        <v>2232</v>
      </c>
      <c r="Q6383" t="str">
        <f>A6383&amp;"-"&amp;B6383&amp;"-"&amp;D6383</f>
        <v>DESEMBER-MJ2-L6</v>
      </c>
    </row>
    <row r="6384" spans="1:17" x14ac:dyDescent="0.25">
      <c r="A6384" t="s">
        <v>402</v>
      </c>
      <c r="B6384" s="13" t="s">
        <v>26</v>
      </c>
      <c r="C6384" s="13" t="s">
        <v>226</v>
      </c>
      <c r="D6384" s="14" t="s">
        <v>163</v>
      </c>
      <c r="E6384" s="13" t="s">
        <v>61</v>
      </c>
      <c r="F6384" s="13" t="s">
        <v>1963</v>
      </c>
      <c r="G6384" s="13">
        <v>0.68</v>
      </c>
      <c r="H6384" s="15">
        <v>42</v>
      </c>
      <c r="I6384" s="16">
        <v>28.56</v>
      </c>
      <c r="J6384" s="16">
        <v>26.653639374709797</v>
      </c>
      <c r="K6384" s="16">
        <v>1.9063606252902041</v>
      </c>
      <c r="L6384" s="13">
        <v>1.69</v>
      </c>
      <c r="M6384" s="13"/>
      <c r="N6384" s="17">
        <f t="shared" si="208"/>
        <v>70.98</v>
      </c>
      <c r="O6384" s="17">
        <f t="shared" si="208"/>
        <v>0</v>
      </c>
      <c r="P6384" s="17">
        <f t="shared" si="209"/>
        <v>70.98</v>
      </c>
      <c r="Q6384" t="str">
        <f>A6384&amp;"-"&amp;B6384&amp;"-"&amp;D6384</f>
        <v>DESEMBER-MJ2-L6</v>
      </c>
    </row>
    <row r="6385" spans="1:17" x14ac:dyDescent="0.25">
      <c r="A6385" t="s">
        <v>402</v>
      </c>
      <c r="B6385" s="13" t="s">
        <v>26</v>
      </c>
      <c r="C6385" s="13" t="s">
        <v>226</v>
      </c>
      <c r="D6385" s="14" t="s">
        <v>163</v>
      </c>
      <c r="E6385" s="13" t="s">
        <v>61</v>
      </c>
      <c r="F6385" s="13" t="s">
        <v>1977</v>
      </c>
      <c r="G6385" s="13">
        <v>0.65</v>
      </c>
      <c r="H6385" s="15">
        <v>12</v>
      </c>
      <c r="I6385" s="16">
        <v>7.8</v>
      </c>
      <c r="J6385" s="16">
        <v>7.7074285714285713</v>
      </c>
      <c r="K6385" s="16">
        <v>9.2571428571428527E-2</v>
      </c>
      <c r="L6385" s="13">
        <v>1.81</v>
      </c>
      <c r="M6385" s="13"/>
      <c r="N6385" s="17">
        <f t="shared" ref="N6385:O6448" si="210">$H6385*L6385</f>
        <v>21.72</v>
      </c>
      <c r="O6385" s="17">
        <f t="shared" si="210"/>
        <v>0</v>
      </c>
      <c r="P6385" s="17">
        <f t="shared" si="209"/>
        <v>21.72</v>
      </c>
      <c r="Q6385" t="str">
        <f>A6385&amp;"-"&amp;B6385&amp;"-"&amp;D6385</f>
        <v>DESEMBER-MJ2-L6</v>
      </c>
    </row>
    <row r="6386" spans="1:17" x14ac:dyDescent="0.25">
      <c r="A6386" t="s">
        <v>402</v>
      </c>
      <c r="B6386" s="13" t="s">
        <v>26</v>
      </c>
      <c r="C6386" s="13" t="s">
        <v>226</v>
      </c>
      <c r="D6386" s="14" t="s">
        <v>163</v>
      </c>
      <c r="E6386" s="13" t="s">
        <v>61</v>
      </c>
      <c r="F6386" s="13" t="s">
        <v>1964</v>
      </c>
      <c r="G6386" s="13">
        <v>1.03</v>
      </c>
      <c r="H6386" s="15">
        <v>214</v>
      </c>
      <c r="I6386" s="16">
        <v>220.42</v>
      </c>
      <c r="J6386" s="16">
        <v>124.14365246330301</v>
      </c>
      <c r="K6386" s="16">
        <v>96.276347536696974</v>
      </c>
      <c r="L6386" s="13">
        <v>2.31</v>
      </c>
      <c r="M6386" s="13"/>
      <c r="N6386" s="17">
        <f t="shared" si="210"/>
        <v>494.34000000000003</v>
      </c>
      <c r="O6386" s="17">
        <f t="shared" si="210"/>
        <v>0</v>
      </c>
      <c r="P6386" s="17">
        <f t="shared" si="209"/>
        <v>494.34000000000003</v>
      </c>
      <c r="Q6386" t="str">
        <f>A6386&amp;"-"&amp;B6386&amp;"-"&amp;D6386</f>
        <v>DESEMBER-MJ2-L6</v>
      </c>
    </row>
    <row r="6387" spans="1:17" x14ac:dyDescent="0.25">
      <c r="A6387" t="s">
        <v>402</v>
      </c>
      <c r="B6387" s="13" t="s">
        <v>26</v>
      </c>
      <c r="C6387" s="13" t="s">
        <v>226</v>
      </c>
      <c r="D6387" s="14" t="s">
        <v>163</v>
      </c>
      <c r="E6387" s="13" t="s">
        <v>61</v>
      </c>
      <c r="F6387" s="13" t="s">
        <v>1965</v>
      </c>
      <c r="G6387" s="13">
        <v>0.74</v>
      </c>
      <c r="H6387" s="15">
        <v>39</v>
      </c>
      <c r="I6387" s="16">
        <v>28.86</v>
      </c>
      <c r="J6387" s="16">
        <v>19.719298245614034</v>
      </c>
      <c r="K6387" s="16">
        <v>9.1407017543859652</v>
      </c>
      <c r="L6387" s="13">
        <v>1.36</v>
      </c>
      <c r="M6387" s="13"/>
      <c r="N6387" s="17">
        <f t="shared" si="210"/>
        <v>53.040000000000006</v>
      </c>
      <c r="O6387" s="17">
        <f t="shared" si="210"/>
        <v>0</v>
      </c>
      <c r="P6387" s="17">
        <f t="shared" si="209"/>
        <v>53.040000000000006</v>
      </c>
      <c r="Q6387" t="str">
        <f>A6387&amp;"-"&amp;B6387&amp;"-"&amp;D6387</f>
        <v>DESEMBER-MJ2-L6</v>
      </c>
    </row>
    <row r="6388" spans="1:17" x14ac:dyDescent="0.25">
      <c r="A6388" t="s">
        <v>402</v>
      </c>
      <c r="B6388" s="13" t="s">
        <v>26</v>
      </c>
      <c r="C6388" s="13" t="s">
        <v>226</v>
      </c>
      <c r="D6388" s="14" t="s">
        <v>163</v>
      </c>
      <c r="E6388" s="13" t="s">
        <v>61</v>
      </c>
      <c r="F6388" s="13" t="s">
        <v>1966</v>
      </c>
      <c r="G6388" s="13">
        <v>0.74</v>
      </c>
      <c r="H6388" s="15">
        <v>63</v>
      </c>
      <c r="I6388" s="16">
        <v>46.62</v>
      </c>
      <c r="J6388" s="16">
        <v>31.854251012145749</v>
      </c>
      <c r="K6388" s="16">
        <v>14.765748987854248</v>
      </c>
      <c r="L6388" s="13">
        <v>1.36</v>
      </c>
      <c r="M6388" s="13"/>
      <c r="N6388" s="17">
        <f t="shared" si="210"/>
        <v>85.68</v>
      </c>
      <c r="O6388" s="17">
        <f t="shared" si="210"/>
        <v>0</v>
      </c>
      <c r="P6388" s="17">
        <f t="shared" si="209"/>
        <v>85.68</v>
      </c>
      <c r="Q6388" t="str">
        <f>A6388&amp;"-"&amp;B6388&amp;"-"&amp;D6388</f>
        <v>DESEMBER-MJ2-L6</v>
      </c>
    </row>
    <row r="6389" spans="1:17" x14ac:dyDescent="0.25">
      <c r="A6389" t="s">
        <v>402</v>
      </c>
      <c r="B6389" s="13" t="s">
        <v>26</v>
      </c>
      <c r="C6389" s="13" t="s">
        <v>226</v>
      </c>
      <c r="D6389" s="14" t="s">
        <v>163</v>
      </c>
      <c r="E6389" s="13" t="s">
        <v>61</v>
      </c>
      <c r="F6389" s="13" t="s">
        <v>2118</v>
      </c>
      <c r="G6389" s="13">
        <v>0.74</v>
      </c>
      <c r="H6389" s="15">
        <v>3711</v>
      </c>
      <c r="I6389" s="16">
        <v>2746.1400000000003</v>
      </c>
      <c r="J6389" s="16">
        <v>2049.0792655661844</v>
      </c>
      <c r="K6389" s="16">
        <v>697.06073443381558</v>
      </c>
      <c r="L6389" s="13">
        <v>1.36</v>
      </c>
      <c r="M6389" s="13"/>
      <c r="N6389" s="17">
        <f t="shared" si="210"/>
        <v>5046.96</v>
      </c>
      <c r="O6389" s="17">
        <f t="shared" si="210"/>
        <v>0</v>
      </c>
      <c r="P6389" s="17">
        <f t="shared" si="209"/>
        <v>5046.96</v>
      </c>
      <c r="Q6389" t="str">
        <f>A6389&amp;"-"&amp;B6389&amp;"-"&amp;D6389</f>
        <v>DESEMBER-MJ2-L6</v>
      </c>
    </row>
    <row r="6390" spans="1:17" x14ac:dyDescent="0.25">
      <c r="A6390" t="s">
        <v>402</v>
      </c>
      <c r="B6390" s="13" t="s">
        <v>26</v>
      </c>
      <c r="C6390" s="13" t="s">
        <v>226</v>
      </c>
      <c r="D6390" s="14" t="s">
        <v>163</v>
      </c>
      <c r="E6390" s="13" t="s">
        <v>61</v>
      </c>
      <c r="F6390" s="13" t="s">
        <v>1927</v>
      </c>
      <c r="G6390" s="13">
        <v>0.71</v>
      </c>
      <c r="H6390" s="15">
        <v>84</v>
      </c>
      <c r="I6390" s="16">
        <v>59.64</v>
      </c>
      <c r="J6390" s="16">
        <v>42.472334682861003</v>
      </c>
      <c r="K6390" s="16">
        <v>17.167665317138997</v>
      </c>
      <c r="L6390" s="13">
        <v>1.29</v>
      </c>
      <c r="M6390" s="13"/>
      <c r="N6390" s="17">
        <f t="shared" si="210"/>
        <v>108.36</v>
      </c>
      <c r="O6390" s="17">
        <f t="shared" si="210"/>
        <v>0</v>
      </c>
      <c r="P6390" s="17">
        <f t="shared" si="209"/>
        <v>108.36</v>
      </c>
      <c r="Q6390" t="str">
        <f>A6390&amp;"-"&amp;B6390&amp;"-"&amp;D6390</f>
        <v>DESEMBER-MJ2-L6</v>
      </c>
    </row>
    <row r="6391" spans="1:17" x14ac:dyDescent="0.25">
      <c r="A6391" t="s">
        <v>402</v>
      </c>
      <c r="B6391" s="13" t="s">
        <v>26</v>
      </c>
      <c r="C6391" s="13" t="s">
        <v>226</v>
      </c>
      <c r="D6391" s="14" t="s">
        <v>163</v>
      </c>
      <c r="E6391" s="13" t="s">
        <v>61</v>
      </c>
      <c r="F6391" s="13" t="s">
        <v>2072</v>
      </c>
      <c r="G6391" s="13">
        <v>0.71</v>
      </c>
      <c r="H6391" s="15">
        <v>4326</v>
      </c>
      <c r="I6391" s="16">
        <v>3071.46</v>
      </c>
      <c r="J6391" s="16">
        <v>2640.8708574168354</v>
      </c>
      <c r="K6391" s="16">
        <v>430.58914258316491</v>
      </c>
      <c r="L6391" s="13">
        <v>1.29</v>
      </c>
      <c r="M6391" s="13"/>
      <c r="N6391" s="17">
        <f t="shared" si="210"/>
        <v>5580.54</v>
      </c>
      <c r="O6391" s="17">
        <f t="shared" si="210"/>
        <v>0</v>
      </c>
      <c r="P6391" s="17">
        <f t="shared" si="209"/>
        <v>5580.54</v>
      </c>
      <c r="Q6391" t="str">
        <f>A6391&amp;"-"&amp;B6391&amp;"-"&amp;D6391</f>
        <v>DESEMBER-MJ2-L6</v>
      </c>
    </row>
    <row r="6392" spans="1:17" x14ac:dyDescent="0.25">
      <c r="A6392" t="s">
        <v>402</v>
      </c>
      <c r="B6392" s="13" t="s">
        <v>26</v>
      </c>
      <c r="C6392" s="13" t="s">
        <v>226</v>
      </c>
      <c r="D6392" s="14" t="s">
        <v>163</v>
      </c>
      <c r="E6392" s="13" t="s">
        <v>61</v>
      </c>
      <c r="F6392" s="13" t="s">
        <v>2119</v>
      </c>
      <c r="G6392" s="13">
        <v>0.71</v>
      </c>
      <c r="H6392" s="15">
        <v>3958</v>
      </c>
      <c r="I6392" s="16">
        <v>2810.1800000000003</v>
      </c>
      <c r="J6392" s="16">
        <v>1724.8633838962235</v>
      </c>
      <c r="K6392" s="16">
        <v>1085.3166161037768</v>
      </c>
      <c r="L6392" s="13">
        <v>1.29</v>
      </c>
      <c r="M6392" s="13"/>
      <c r="N6392" s="17">
        <f t="shared" si="210"/>
        <v>5105.82</v>
      </c>
      <c r="O6392" s="17">
        <f t="shared" si="210"/>
        <v>0</v>
      </c>
      <c r="P6392" s="17">
        <f t="shared" si="209"/>
        <v>5105.82</v>
      </c>
      <c r="Q6392" t="str">
        <f>A6392&amp;"-"&amp;B6392&amp;"-"&amp;D6392</f>
        <v>DESEMBER-MJ2-L6</v>
      </c>
    </row>
    <row r="6393" spans="1:17" x14ac:dyDescent="0.25">
      <c r="A6393" t="s">
        <v>402</v>
      </c>
      <c r="B6393" s="13" t="s">
        <v>26</v>
      </c>
      <c r="C6393" s="13" t="s">
        <v>226</v>
      </c>
      <c r="D6393" s="14" t="s">
        <v>163</v>
      </c>
      <c r="E6393" s="13" t="s">
        <v>61</v>
      </c>
      <c r="F6393" s="13" t="s">
        <v>1967</v>
      </c>
      <c r="G6393" s="13">
        <v>0.68</v>
      </c>
      <c r="H6393" s="15">
        <v>165</v>
      </c>
      <c r="I6393" s="16">
        <v>112.20000000000002</v>
      </c>
      <c r="J6393" s="16">
        <v>105.41365753234108</v>
      </c>
      <c r="K6393" s="16">
        <v>6.7863424676589199</v>
      </c>
      <c r="L6393" s="13">
        <v>1.7</v>
      </c>
      <c r="M6393" s="13"/>
      <c r="N6393" s="17">
        <f t="shared" si="210"/>
        <v>280.5</v>
      </c>
      <c r="O6393" s="17">
        <f t="shared" si="210"/>
        <v>0</v>
      </c>
      <c r="P6393" s="17">
        <f t="shared" si="209"/>
        <v>280.5</v>
      </c>
      <c r="Q6393" t="str">
        <f>A6393&amp;"-"&amp;B6393&amp;"-"&amp;D6393</f>
        <v>DESEMBER-MJ2-L6</v>
      </c>
    </row>
    <row r="6394" spans="1:17" x14ac:dyDescent="0.25">
      <c r="A6394" t="s">
        <v>402</v>
      </c>
      <c r="B6394" s="13" t="s">
        <v>26</v>
      </c>
      <c r="C6394" s="13" t="s">
        <v>226</v>
      </c>
      <c r="D6394" s="14" t="s">
        <v>163</v>
      </c>
      <c r="E6394" s="13" t="s">
        <v>61</v>
      </c>
      <c r="F6394" s="13" t="s">
        <v>2120</v>
      </c>
      <c r="G6394" s="13">
        <v>0.73</v>
      </c>
      <c r="H6394" s="15">
        <v>1126</v>
      </c>
      <c r="I6394" s="16">
        <v>821.98</v>
      </c>
      <c r="J6394" s="16">
        <v>784.11350540020226</v>
      </c>
      <c r="K6394" s="16">
        <v>37.866494599797825</v>
      </c>
      <c r="L6394" s="13">
        <v>1.33</v>
      </c>
      <c r="M6394" s="13"/>
      <c r="N6394" s="17">
        <f t="shared" si="210"/>
        <v>1497.5800000000002</v>
      </c>
      <c r="O6394" s="17">
        <f t="shared" si="210"/>
        <v>0</v>
      </c>
      <c r="P6394" s="17">
        <f t="shared" si="209"/>
        <v>1497.5800000000002</v>
      </c>
      <c r="Q6394" t="str">
        <f>A6394&amp;"-"&amp;B6394&amp;"-"&amp;D6394</f>
        <v>DESEMBER-MJ2-L6</v>
      </c>
    </row>
    <row r="6395" spans="1:17" x14ac:dyDescent="0.25">
      <c r="A6395" t="s">
        <v>402</v>
      </c>
      <c r="B6395" s="13" t="s">
        <v>26</v>
      </c>
      <c r="C6395" s="13" t="s">
        <v>226</v>
      </c>
      <c r="D6395" s="14" t="s">
        <v>163</v>
      </c>
      <c r="E6395" s="13" t="s">
        <v>61</v>
      </c>
      <c r="F6395" s="13" t="s">
        <v>2075</v>
      </c>
      <c r="G6395" s="13">
        <v>0.73</v>
      </c>
      <c r="H6395" s="15">
        <v>298</v>
      </c>
      <c r="I6395" s="16">
        <v>217.54</v>
      </c>
      <c r="J6395" s="16">
        <v>185.98584795321636</v>
      </c>
      <c r="K6395" s="16">
        <v>31.554152046783621</v>
      </c>
      <c r="L6395" s="13">
        <v>1.33</v>
      </c>
      <c r="M6395" s="13"/>
      <c r="N6395" s="17">
        <f t="shared" si="210"/>
        <v>396.34000000000003</v>
      </c>
      <c r="O6395" s="17">
        <f t="shared" si="210"/>
        <v>0</v>
      </c>
      <c r="P6395" s="17">
        <f t="shared" si="209"/>
        <v>396.34000000000003</v>
      </c>
      <c r="Q6395" t="str">
        <f>A6395&amp;"-"&amp;B6395&amp;"-"&amp;D6395</f>
        <v>DESEMBER-MJ2-L6</v>
      </c>
    </row>
    <row r="6396" spans="1:17" x14ac:dyDescent="0.25">
      <c r="A6396" t="s">
        <v>402</v>
      </c>
      <c r="B6396" s="13" t="s">
        <v>26</v>
      </c>
      <c r="C6396" s="13" t="s">
        <v>226</v>
      </c>
      <c r="D6396" s="14" t="s">
        <v>163</v>
      </c>
      <c r="E6396" s="13" t="s">
        <v>61</v>
      </c>
      <c r="F6396" s="13" t="s">
        <v>2121</v>
      </c>
      <c r="G6396" s="13">
        <v>0.72999999999999987</v>
      </c>
      <c r="H6396" s="15">
        <v>3143</v>
      </c>
      <c r="I6396" s="16">
        <v>2294.39</v>
      </c>
      <c r="J6396" s="16">
        <v>2163.9565848203606</v>
      </c>
      <c r="K6396" s="16">
        <v>130.43341517963921</v>
      </c>
      <c r="L6396" s="13">
        <v>1.33</v>
      </c>
      <c r="M6396" s="13"/>
      <c r="N6396" s="17">
        <f t="shared" si="210"/>
        <v>4180.1900000000005</v>
      </c>
      <c r="O6396" s="17">
        <f t="shared" si="210"/>
        <v>0</v>
      </c>
      <c r="P6396" s="17">
        <f t="shared" si="209"/>
        <v>4180.1900000000005</v>
      </c>
      <c r="Q6396" t="str">
        <f>A6396&amp;"-"&amp;B6396&amp;"-"&amp;D6396</f>
        <v>DESEMBER-MJ2-L6</v>
      </c>
    </row>
    <row r="6397" spans="1:17" x14ac:dyDescent="0.25">
      <c r="A6397" t="s">
        <v>402</v>
      </c>
      <c r="B6397" s="13" t="s">
        <v>26</v>
      </c>
      <c r="C6397" s="13" t="s">
        <v>226</v>
      </c>
      <c r="D6397" s="14" t="s">
        <v>163</v>
      </c>
      <c r="E6397" s="13" t="s">
        <v>61</v>
      </c>
      <c r="F6397" s="13" t="s">
        <v>2122</v>
      </c>
      <c r="G6397" s="13">
        <v>0.73</v>
      </c>
      <c r="H6397" s="15">
        <v>1027</v>
      </c>
      <c r="I6397" s="16">
        <v>749.71</v>
      </c>
      <c r="J6397" s="16">
        <v>665.26381341107867</v>
      </c>
      <c r="K6397" s="16">
        <v>84.44618658892125</v>
      </c>
      <c r="L6397" s="13">
        <v>1.33</v>
      </c>
      <c r="M6397" s="13"/>
      <c r="N6397" s="17">
        <f t="shared" si="210"/>
        <v>1365.91</v>
      </c>
      <c r="O6397" s="17">
        <f t="shared" si="210"/>
        <v>0</v>
      </c>
      <c r="P6397" s="17">
        <f t="shared" si="209"/>
        <v>1365.91</v>
      </c>
      <c r="Q6397" t="str">
        <f>A6397&amp;"-"&amp;B6397&amp;"-"&amp;D6397</f>
        <v>DESEMBER-MJ2-L6</v>
      </c>
    </row>
    <row r="6398" spans="1:17" x14ac:dyDescent="0.25">
      <c r="A6398" t="s">
        <v>402</v>
      </c>
      <c r="B6398" s="13" t="s">
        <v>26</v>
      </c>
      <c r="C6398" s="13" t="s">
        <v>226</v>
      </c>
      <c r="D6398" s="14" t="s">
        <v>163</v>
      </c>
      <c r="E6398" s="13" t="s">
        <v>61</v>
      </c>
      <c r="F6398" s="13" t="s">
        <v>1971</v>
      </c>
      <c r="G6398" s="13">
        <v>0.76</v>
      </c>
      <c r="H6398" s="15">
        <v>113</v>
      </c>
      <c r="I6398" s="16">
        <v>85.88</v>
      </c>
      <c r="J6398" s="16">
        <v>68.478405243878925</v>
      </c>
      <c r="K6398" s="16">
        <v>17.401594756121071</v>
      </c>
      <c r="L6398" s="13">
        <v>1.94</v>
      </c>
      <c r="M6398" s="13"/>
      <c r="N6398" s="17">
        <f t="shared" si="210"/>
        <v>219.22</v>
      </c>
      <c r="O6398" s="17">
        <f t="shared" si="210"/>
        <v>0</v>
      </c>
      <c r="P6398" s="17">
        <f t="shared" si="209"/>
        <v>219.22</v>
      </c>
      <c r="Q6398" t="str">
        <f>A6398&amp;"-"&amp;B6398&amp;"-"&amp;D6398</f>
        <v>DESEMBER-MJ2-L6</v>
      </c>
    </row>
    <row r="6399" spans="1:17" x14ac:dyDescent="0.25">
      <c r="A6399" t="s">
        <v>402</v>
      </c>
      <c r="B6399" s="13" t="s">
        <v>26</v>
      </c>
      <c r="C6399" s="13" t="s">
        <v>226</v>
      </c>
      <c r="D6399" s="14" t="s">
        <v>163</v>
      </c>
      <c r="E6399" s="13" t="s">
        <v>61</v>
      </c>
      <c r="F6399" s="13" t="s">
        <v>2123</v>
      </c>
      <c r="G6399" s="13">
        <v>0.82999999999999985</v>
      </c>
      <c r="H6399" s="15">
        <v>3667</v>
      </c>
      <c r="I6399" s="16">
        <v>3043.61</v>
      </c>
      <c r="J6399" s="16">
        <v>2063.4546074715358</v>
      </c>
      <c r="K6399" s="16">
        <v>980.15539252846452</v>
      </c>
      <c r="L6399" s="13">
        <v>2.13</v>
      </c>
      <c r="M6399" s="13"/>
      <c r="N6399" s="17">
        <f t="shared" si="210"/>
        <v>7810.71</v>
      </c>
      <c r="O6399" s="17">
        <f t="shared" si="210"/>
        <v>0</v>
      </c>
      <c r="P6399" s="17">
        <f t="shared" si="209"/>
        <v>7810.71</v>
      </c>
      <c r="Q6399" t="str">
        <f>A6399&amp;"-"&amp;B6399&amp;"-"&amp;D6399</f>
        <v>DESEMBER-MJ2-L6</v>
      </c>
    </row>
    <row r="6400" spans="1:17" x14ac:dyDescent="0.25">
      <c r="A6400" t="s">
        <v>402</v>
      </c>
      <c r="B6400" s="13" t="s">
        <v>26</v>
      </c>
      <c r="C6400" s="13" t="s">
        <v>226</v>
      </c>
      <c r="D6400" s="14" t="s">
        <v>163</v>
      </c>
      <c r="E6400" s="13" t="s">
        <v>61</v>
      </c>
      <c r="F6400" s="13" t="s">
        <v>2124</v>
      </c>
      <c r="G6400" s="13">
        <v>0.78</v>
      </c>
      <c r="H6400" s="15">
        <v>8</v>
      </c>
      <c r="I6400" s="16">
        <v>6.24</v>
      </c>
      <c r="J6400" s="16">
        <v>5.2431486880466469</v>
      </c>
      <c r="K6400" s="16">
        <v>0.9968513119533533</v>
      </c>
      <c r="L6400" s="13">
        <v>2.29</v>
      </c>
      <c r="M6400" s="13"/>
      <c r="N6400" s="17">
        <f t="shared" si="210"/>
        <v>18.32</v>
      </c>
      <c r="O6400" s="17">
        <f t="shared" si="210"/>
        <v>0</v>
      </c>
      <c r="P6400" s="17">
        <f t="shared" si="209"/>
        <v>18.32</v>
      </c>
      <c r="Q6400" t="str">
        <f>A6400&amp;"-"&amp;B6400&amp;"-"&amp;D6400</f>
        <v>DESEMBER-MJ2-L6</v>
      </c>
    </row>
    <row r="6401" spans="1:17" x14ac:dyDescent="0.25">
      <c r="A6401" t="s">
        <v>402</v>
      </c>
      <c r="B6401" s="13" t="s">
        <v>26</v>
      </c>
      <c r="C6401" s="13" t="s">
        <v>226</v>
      </c>
      <c r="D6401" s="14" t="s">
        <v>163</v>
      </c>
      <c r="E6401" s="13" t="s">
        <v>61</v>
      </c>
      <c r="F6401" s="13" t="s">
        <v>1958</v>
      </c>
      <c r="G6401" s="13">
        <v>0.65</v>
      </c>
      <c r="H6401" s="15">
        <v>145</v>
      </c>
      <c r="I6401" s="16">
        <v>94.25</v>
      </c>
      <c r="J6401" s="16">
        <v>73.315339631129106</v>
      </c>
      <c r="K6401" s="16">
        <v>20.934660368870894</v>
      </c>
      <c r="L6401" s="13">
        <v>1.66</v>
      </c>
      <c r="M6401" s="13"/>
      <c r="N6401" s="17">
        <f t="shared" si="210"/>
        <v>240.7</v>
      </c>
      <c r="O6401" s="17">
        <f t="shared" si="210"/>
        <v>0</v>
      </c>
      <c r="P6401" s="17">
        <f t="shared" si="209"/>
        <v>240.7</v>
      </c>
      <c r="Q6401" t="str">
        <f>A6401&amp;"-"&amp;B6401&amp;"-"&amp;D6401</f>
        <v>DESEMBER-MJ2-L6</v>
      </c>
    </row>
    <row r="6402" spans="1:17" x14ac:dyDescent="0.25">
      <c r="A6402" t="s">
        <v>402</v>
      </c>
      <c r="B6402" s="13" t="s">
        <v>26</v>
      </c>
      <c r="C6402" s="13" t="s">
        <v>226</v>
      </c>
      <c r="D6402" s="14" t="s">
        <v>163</v>
      </c>
      <c r="E6402" s="13" t="s">
        <v>61</v>
      </c>
      <c r="F6402" s="13" t="s">
        <v>2093</v>
      </c>
      <c r="G6402" s="13">
        <v>0.65</v>
      </c>
      <c r="H6402" s="15">
        <v>1726</v>
      </c>
      <c r="I6402" s="16">
        <v>1121.9000000000001</v>
      </c>
      <c r="J6402" s="16">
        <v>1124.3342892953497</v>
      </c>
      <c r="K6402" s="16">
        <v>-2.4342892953496715</v>
      </c>
      <c r="L6402" s="13">
        <v>1.66</v>
      </c>
      <c r="M6402" s="13"/>
      <c r="N6402" s="17">
        <f t="shared" si="210"/>
        <v>2865.16</v>
      </c>
      <c r="O6402" s="17">
        <f t="shared" si="210"/>
        <v>0</v>
      </c>
      <c r="P6402" s="17">
        <f t="shared" ref="P6402:P6465" si="211">N6402+O6402</f>
        <v>2865.16</v>
      </c>
      <c r="Q6402" t="str">
        <f>A6402&amp;"-"&amp;B6402&amp;"-"&amp;D6402</f>
        <v>DESEMBER-MJ2-L6</v>
      </c>
    </row>
    <row r="6403" spans="1:17" x14ac:dyDescent="0.25">
      <c r="A6403" t="s">
        <v>402</v>
      </c>
      <c r="B6403" s="13" t="s">
        <v>26</v>
      </c>
      <c r="C6403" s="13" t="s">
        <v>226</v>
      </c>
      <c r="D6403" s="14" t="s">
        <v>163</v>
      </c>
      <c r="E6403" s="13" t="s">
        <v>61</v>
      </c>
      <c r="F6403" s="13" t="s">
        <v>1975</v>
      </c>
      <c r="G6403" s="13">
        <v>0.65</v>
      </c>
      <c r="H6403" s="15">
        <v>114</v>
      </c>
      <c r="I6403" s="16">
        <v>74.099999999999994</v>
      </c>
      <c r="J6403" s="16">
        <v>57.641025641025642</v>
      </c>
      <c r="K6403" s="16">
        <v>16.458974358974352</v>
      </c>
      <c r="L6403" s="13">
        <v>1.66</v>
      </c>
      <c r="M6403" s="13"/>
      <c r="N6403" s="17">
        <f t="shared" si="210"/>
        <v>189.23999999999998</v>
      </c>
      <c r="O6403" s="17">
        <f t="shared" si="210"/>
        <v>0</v>
      </c>
      <c r="P6403" s="17">
        <f t="shared" si="211"/>
        <v>189.23999999999998</v>
      </c>
      <c r="Q6403" t="str">
        <f>A6403&amp;"-"&amp;B6403&amp;"-"&amp;D6403</f>
        <v>DESEMBER-MJ2-L6</v>
      </c>
    </row>
    <row r="6404" spans="1:17" x14ac:dyDescent="0.25">
      <c r="A6404" t="s">
        <v>402</v>
      </c>
      <c r="B6404" s="13" t="s">
        <v>26</v>
      </c>
      <c r="C6404" s="13" t="s">
        <v>226</v>
      </c>
      <c r="D6404" s="14" t="s">
        <v>163</v>
      </c>
      <c r="E6404" s="13" t="s">
        <v>61</v>
      </c>
      <c r="F6404" s="13" t="s">
        <v>2094</v>
      </c>
      <c r="G6404" s="13">
        <v>0.65</v>
      </c>
      <c r="H6404" s="15">
        <v>2622</v>
      </c>
      <c r="I6404" s="16">
        <v>1704.3</v>
      </c>
      <c r="J6404" s="16">
        <v>1574.8422455012903</v>
      </c>
      <c r="K6404" s="16">
        <v>129.45775449870962</v>
      </c>
      <c r="L6404" s="13">
        <v>1.66</v>
      </c>
      <c r="M6404" s="13"/>
      <c r="N6404" s="17">
        <f t="shared" si="210"/>
        <v>4352.5199999999995</v>
      </c>
      <c r="O6404" s="17">
        <f t="shared" si="210"/>
        <v>0</v>
      </c>
      <c r="P6404" s="17">
        <f t="shared" si="211"/>
        <v>4352.5199999999995</v>
      </c>
      <c r="Q6404" t="str">
        <f>A6404&amp;"-"&amp;B6404&amp;"-"&amp;D6404</f>
        <v>DESEMBER-MJ2-L6</v>
      </c>
    </row>
    <row r="6405" spans="1:17" x14ac:dyDescent="0.25">
      <c r="A6405" t="s">
        <v>402</v>
      </c>
      <c r="B6405" s="13" t="s">
        <v>26</v>
      </c>
      <c r="C6405" s="13" t="s">
        <v>226</v>
      </c>
      <c r="D6405" s="14" t="s">
        <v>163</v>
      </c>
      <c r="E6405" s="13" t="s">
        <v>61</v>
      </c>
      <c r="F6405" s="13" t="s">
        <v>2125</v>
      </c>
      <c r="G6405" s="13">
        <v>1.03</v>
      </c>
      <c r="H6405" s="15">
        <v>770</v>
      </c>
      <c r="I6405" s="16">
        <v>793.09999999999991</v>
      </c>
      <c r="J6405" s="16">
        <v>555.69905302779807</v>
      </c>
      <c r="K6405" s="16">
        <v>237.40094697220201</v>
      </c>
      <c r="L6405" s="13">
        <v>2.4900000000000002</v>
      </c>
      <c r="M6405" s="13"/>
      <c r="N6405" s="17">
        <f t="shared" si="210"/>
        <v>1917.3000000000002</v>
      </c>
      <c r="O6405" s="17">
        <f t="shared" si="210"/>
        <v>0</v>
      </c>
      <c r="P6405" s="17">
        <f t="shared" si="211"/>
        <v>1917.3000000000002</v>
      </c>
      <c r="Q6405" t="str">
        <f>A6405&amp;"-"&amp;B6405&amp;"-"&amp;D6405</f>
        <v>DESEMBER-MJ2-L6</v>
      </c>
    </row>
    <row r="6406" spans="1:17" x14ac:dyDescent="0.25">
      <c r="A6406" t="s">
        <v>402</v>
      </c>
      <c r="B6406" s="13" t="s">
        <v>26</v>
      </c>
      <c r="C6406" s="13" t="s">
        <v>226</v>
      </c>
      <c r="D6406" s="14" t="s">
        <v>163</v>
      </c>
      <c r="E6406" s="13" t="s">
        <v>61</v>
      </c>
      <c r="F6406" s="13" t="s">
        <v>2126</v>
      </c>
      <c r="G6406" s="13">
        <v>1.03</v>
      </c>
      <c r="H6406" s="15">
        <v>869</v>
      </c>
      <c r="I6406" s="16">
        <v>895.07</v>
      </c>
      <c r="J6406" s="16">
        <v>860.56688586238658</v>
      </c>
      <c r="K6406" s="16">
        <v>34.503114137613515</v>
      </c>
      <c r="L6406" s="13">
        <v>2.42</v>
      </c>
      <c r="M6406" s="13"/>
      <c r="N6406" s="17">
        <f t="shared" si="210"/>
        <v>2102.98</v>
      </c>
      <c r="O6406" s="17">
        <f t="shared" si="210"/>
        <v>0</v>
      </c>
      <c r="P6406" s="17">
        <f t="shared" si="211"/>
        <v>2102.98</v>
      </c>
      <c r="Q6406" t="str">
        <f>A6406&amp;"-"&amp;B6406&amp;"-"&amp;D6406</f>
        <v>DESEMBER-MJ2-L6</v>
      </c>
    </row>
    <row r="6407" spans="1:17" x14ac:dyDescent="0.25">
      <c r="A6407" t="s">
        <v>402</v>
      </c>
      <c r="B6407" s="13" t="s">
        <v>26</v>
      </c>
      <c r="C6407" s="13" t="s">
        <v>226</v>
      </c>
      <c r="D6407" s="14" t="s">
        <v>164</v>
      </c>
      <c r="E6407" s="13" t="s">
        <v>61</v>
      </c>
      <c r="F6407" s="13" t="s">
        <v>2113</v>
      </c>
      <c r="G6407" s="13">
        <v>0.79</v>
      </c>
      <c r="H6407" s="15">
        <v>808</v>
      </c>
      <c r="I6407" s="16">
        <v>638.31999999999994</v>
      </c>
      <c r="J6407" s="16">
        <v>454.4717384104631</v>
      </c>
      <c r="K6407" s="16">
        <v>183.84826158953695</v>
      </c>
      <c r="L6407" s="13">
        <v>1.86</v>
      </c>
      <c r="M6407" s="13"/>
      <c r="N6407" s="17">
        <f t="shared" si="210"/>
        <v>1502.88</v>
      </c>
      <c r="O6407" s="17">
        <f t="shared" si="210"/>
        <v>0</v>
      </c>
      <c r="P6407" s="17">
        <f t="shared" si="211"/>
        <v>1502.88</v>
      </c>
      <c r="Q6407" t="str">
        <f>A6407&amp;"-"&amp;B6407&amp;"-"&amp;D6407</f>
        <v>DESEMBER-MJ2-L7</v>
      </c>
    </row>
    <row r="6408" spans="1:17" x14ac:dyDescent="0.25">
      <c r="A6408" t="s">
        <v>402</v>
      </c>
      <c r="B6408" s="13" t="s">
        <v>26</v>
      </c>
      <c r="C6408" s="13" t="s">
        <v>226</v>
      </c>
      <c r="D6408" s="14" t="s">
        <v>164</v>
      </c>
      <c r="E6408" s="13" t="s">
        <v>61</v>
      </c>
      <c r="F6408" s="13" t="s">
        <v>2114</v>
      </c>
      <c r="G6408" s="13">
        <v>0.79</v>
      </c>
      <c r="H6408" s="15">
        <v>5492</v>
      </c>
      <c r="I6408" s="16">
        <v>4338.68</v>
      </c>
      <c r="J6408" s="16">
        <v>3228.6845537573054</v>
      </c>
      <c r="K6408" s="16">
        <v>1109.995446242694</v>
      </c>
      <c r="L6408" s="13">
        <v>1.86</v>
      </c>
      <c r="M6408" s="13"/>
      <c r="N6408" s="17">
        <f t="shared" si="210"/>
        <v>10215.120000000001</v>
      </c>
      <c r="O6408" s="17">
        <f t="shared" si="210"/>
        <v>0</v>
      </c>
      <c r="P6408" s="17">
        <f t="shared" si="211"/>
        <v>10215.120000000001</v>
      </c>
      <c r="Q6408" t="str">
        <f>A6408&amp;"-"&amp;B6408&amp;"-"&amp;D6408</f>
        <v>DESEMBER-MJ2-L7</v>
      </c>
    </row>
    <row r="6409" spans="1:17" x14ac:dyDescent="0.25">
      <c r="A6409" t="s">
        <v>402</v>
      </c>
      <c r="B6409" s="13" t="s">
        <v>26</v>
      </c>
      <c r="C6409" s="13" t="s">
        <v>226</v>
      </c>
      <c r="D6409" s="14" t="s">
        <v>164</v>
      </c>
      <c r="E6409" s="13" t="s">
        <v>61</v>
      </c>
      <c r="F6409" s="13" t="s">
        <v>2115</v>
      </c>
      <c r="G6409" s="13">
        <v>0.79</v>
      </c>
      <c r="H6409" s="15">
        <v>1629</v>
      </c>
      <c r="I6409" s="16">
        <v>1286.9100000000001</v>
      </c>
      <c r="J6409" s="16">
        <v>1163.4460377358491</v>
      </c>
      <c r="K6409" s="16">
        <v>123.46396226415099</v>
      </c>
      <c r="L6409" s="13">
        <v>1.86</v>
      </c>
      <c r="M6409" s="13"/>
      <c r="N6409" s="17">
        <f t="shared" si="210"/>
        <v>3029.94</v>
      </c>
      <c r="O6409" s="17">
        <f t="shared" si="210"/>
        <v>0</v>
      </c>
      <c r="P6409" s="17">
        <f t="shared" si="211"/>
        <v>3029.94</v>
      </c>
      <c r="Q6409" t="str">
        <f>A6409&amp;"-"&amp;B6409&amp;"-"&amp;D6409</f>
        <v>DESEMBER-MJ2-L7</v>
      </c>
    </row>
    <row r="6410" spans="1:17" x14ac:dyDescent="0.25">
      <c r="A6410" t="s">
        <v>402</v>
      </c>
      <c r="B6410" s="13" t="s">
        <v>26</v>
      </c>
      <c r="C6410" s="13" t="s">
        <v>226</v>
      </c>
      <c r="D6410" s="14" t="s">
        <v>164</v>
      </c>
      <c r="E6410" s="13" t="s">
        <v>61</v>
      </c>
      <c r="F6410" s="13" t="s">
        <v>2116</v>
      </c>
      <c r="G6410" s="13">
        <v>0.79</v>
      </c>
      <c r="H6410" s="15">
        <v>5</v>
      </c>
      <c r="I6410" s="16">
        <v>3.95</v>
      </c>
      <c r="J6410" s="16">
        <v>2.9578947368421051</v>
      </c>
      <c r="K6410" s="16">
        <v>0.99210526315789505</v>
      </c>
      <c r="L6410" s="13">
        <v>1.99</v>
      </c>
      <c r="M6410" s="13"/>
      <c r="N6410" s="17">
        <f t="shared" si="210"/>
        <v>9.9499999999999993</v>
      </c>
      <c r="O6410" s="17">
        <f t="shared" si="210"/>
        <v>0</v>
      </c>
      <c r="P6410" s="17">
        <f t="shared" si="211"/>
        <v>9.9499999999999993</v>
      </c>
      <c r="Q6410" t="str">
        <f>A6410&amp;"-"&amp;B6410&amp;"-"&amp;D6410</f>
        <v>DESEMBER-MJ2-L7</v>
      </c>
    </row>
    <row r="6411" spans="1:17" x14ac:dyDescent="0.25">
      <c r="A6411" t="s">
        <v>402</v>
      </c>
      <c r="B6411" s="13" t="s">
        <v>26</v>
      </c>
      <c r="C6411" s="13" t="s">
        <v>226</v>
      </c>
      <c r="D6411" s="14" t="s">
        <v>164</v>
      </c>
      <c r="E6411" s="13" t="s">
        <v>61</v>
      </c>
      <c r="F6411" s="13" t="s">
        <v>2117</v>
      </c>
      <c r="G6411" s="13">
        <v>0.79</v>
      </c>
      <c r="H6411" s="15">
        <v>1200</v>
      </c>
      <c r="I6411" s="16">
        <v>948</v>
      </c>
      <c r="J6411" s="16">
        <v>674.7291319736205</v>
      </c>
      <c r="K6411" s="16">
        <v>273.27086802637945</v>
      </c>
      <c r="L6411" s="13">
        <v>1.86</v>
      </c>
      <c r="M6411" s="13"/>
      <c r="N6411" s="17">
        <f t="shared" si="210"/>
        <v>2232</v>
      </c>
      <c r="O6411" s="17">
        <f t="shared" si="210"/>
        <v>0</v>
      </c>
      <c r="P6411" s="17">
        <f t="shared" si="211"/>
        <v>2232</v>
      </c>
      <c r="Q6411" t="str">
        <f>A6411&amp;"-"&amp;B6411&amp;"-"&amp;D6411</f>
        <v>DESEMBER-MJ2-L7</v>
      </c>
    </row>
    <row r="6412" spans="1:17" x14ac:dyDescent="0.25">
      <c r="A6412" t="s">
        <v>402</v>
      </c>
      <c r="B6412" s="13" t="s">
        <v>26</v>
      </c>
      <c r="C6412" s="13" t="s">
        <v>226</v>
      </c>
      <c r="D6412" s="14" t="s">
        <v>164</v>
      </c>
      <c r="E6412" s="13" t="s">
        <v>61</v>
      </c>
      <c r="F6412" s="13" t="s">
        <v>1963</v>
      </c>
      <c r="G6412" s="13">
        <v>0.68</v>
      </c>
      <c r="H6412" s="15">
        <v>41</v>
      </c>
      <c r="I6412" s="16">
        <v>27.88</v>
      </c>
      <c r="J6412" s="16">
        <v>25.918080714983944</v>
      </c>
      <c r="K6412" s="16">
        <v>1.9619192850160576</v>
      </c>
      <c r="L6412" s="13">
        <v>1.69</v>
      </c>
      <c r="M6412" s="13"/>
      <c r="N6412" s="17">
        <f t="shared" si="210"/>
        <v>69.289999999999992</v>
      </c>
      <c r="O6412" s="17">
        <f t="shared" si="210"/>
        <v>0</v>
      </c>
      <c r="P6412" s="17">
        <f t="shared" si="211"/>
        <v>69.289999999999992</v>
      </c>
      <c r="Q6412" t="str">
        <f>A6412&amp;"-"&amp;B6412&amp;"-"&amp;D6412</f>
        <v>DESEMBER-MJ2-L7</v>
      </c>
    </row>
    <row r="6413" spans="1:17" x14ac:dyDescent="0.25">
      <c r="A6413" t="s">
        <v>402</v>
      </c>
      <c r="B6413" s="13" t="s">
        <v>26</v>
      </c>
      <c r="C6413" s="13" t="s">
        <v>226</v>
      </c>
      <c r="D6413" s="14" t="s">
        <v>164</v>
      </c>
      <c r="E6413" s="13" t="s">
        <v>61</v>
      </c>
      <c r="F6413" s="13" t="s">
        <v>1977</v>
      </c>
      <c r="G6413" s="13">
        <v>0.65</v>
      </c>
      <c r="H6413" s="15">
        <v>13</v>
      </c>
      <c r="I6413" s="16">
        <v>8.4499999999999993</v>
      </c>
      <c r="J6413" s="16">
        <v>8.3497142857142848</v>
      </c>
      <c r="K6413" s="16">
        <v>0.10028571428571453</v>
      </c>
      <c r="L6413" s="13">
        <v>1.81</v>
      </c>
      <c r="M6413" s="13"/>
      <c r="N6413" s="17">
        <f t="shared" si="210"/>
        <v>23.53</v>
      </c>
      <c r="O6413" s="17">
        <f t="shared" si="210"/>
        <v>0</v>
      </c>
      <c r="P6413" s="17">
        <f t="shared" si="211"/>
        <v>23.53</v>
      </c>
      <c r="Q6413" t="str">
        <f>A6413&amp;"-"&amp;B6413&amp;"-"&amp;D6413</f>
        <v>DESEMBER-MJ2-L7</v>
      </c>
    </row>
    <row r="6414" spans="1:17" x14ac:dyDescent="0.25">
      <c r="A6414" t="s">
        <v>402</v>
      </c>
      <c r="B6414" s="13" t="s">
        <v>26</v>
      </c>
      <c r="C6414" s="13" t="s">
        <v>226</v>
      </c>
      <c r="D6414" s="14" t="s">
        <v>164</v>
      </c>
      <c r="E6414" s="13" t="s">
        <v>61</v>
      </c>
      <c r="F6414" s="13" t="s">
        <v>1964</v>
      </c>
      <c r="G6414" s="13">
        <v>1.03</v>
      </c>
      <c r="H6414" s="15">
        <v>214</v>
      </c>
      <c r="I6414" s="16">
        <v>220.42000000000002</v>
      </c>
      <c r="J6414" s="16">
        <v>124.22371728720442</v>
      </c>
      <c r="K6414" s="16">
        <v>96.196282712795593</v>
      </c>
      <c r="L6414" s="13">
        <v>2.31</v>
      </c>
      <c r="M6414" s="13"/>
      <c r="N6414" s="17">
        <f t="shared" si="210"/>
        <v>494.34000000000003</v>
      </c>
      <c r="O6414" s="17">
        <f t="shared" si="210"/>
        <v>0</v>
      </c>
      <c r="P6414" s="17">
        <f t="shared" si="211"/>
        <v>494.34000000000003</v>
      </c>
      <c r="Q6414" t="str">
        <f>A6414&amp;"-"&amp;B6414&amp;"-"&amp;D6414</f>
        <v>DESEMBER-MJ2-L7</v>
      </c>
    </row>
    <row r="6415" spans="1:17" x14ac:dyDescent="0.25">
      <c r="A6415" t="s">
        <v>402</v>
      </c>
      <c r="B6415" s="13" t="s">
        <v>26</v>
      </c>
      <c r="C6415" s="13" t="s">
        <v>226</v>
      </c>
      <c r="D6415" s="14" t="s">
        <v>164</v>
      </c>
      <c r="E6415" s="13" t="s">
        <v>61</v>
      </c>
      <c r="F6415" s="13" t="s">
        <v>1965</v>
      </c>
      <c r="G6415" s="13">
        <v>0.74</v>
      </c>
      <c r="H6415" s="15">
        <v>38</v>
      </c>
      <c r="I6415" s="16">
        <v>28.12</v>
      </c>
      <c r="J6415" s="16">
        <v>19.213675213675216</v>
      </c>
      <c r="K6415" s="16">
        <v>8.9063247863247845</v>
      </c>
      <c r="L6415" s="13">
        <v>1.36</v>
      </c>
      <c r="M6415" s="13"/>
      <c r="N6415" s="17">
        <f t="shared" si="210"/>
        <v>51.680000000000007</v>
      </c>
      <c r="O6415" s="17">
        <f t="shared" si="210"/>
        <v>0</v>
      </c>
      <c r="P6415" s="17">
        <f t="shared" si="211"/>
        <v>51.680000000000007</v>
      </c>
      <c r="Q6415" t="str">
        <f>A6415&amp;"-"&amp;B6415&amp;"-"&amp;D6415</f>
        <v>DESEMBER-MJ2-L7</v>
      </c>
    </row>
    <row r="6416" spans="1:17" x14ac:dyDescent="0.25">
      <c r="A6416" t="s">
        <v>402</v>
      </c>
      <c r="B6416" s="13" t="s">
        <v>26</v>
      </c>
      <c r="C6416" s="13" t="s">
        <v>226</v>
      </c>
      <c r="D6416" s="14" t="s">
        <v>164</v>
      </c>
      <c r="E6416" s="13" t="s">
        <v>61</v>
      </c>
      <c r="F6416" s="13" t="s">
        <v>1966</v>
      </c>
      <c r="G6416" s="13">
        <v>0.74</v>
      </c>
      <c r="H6416" s="15">
        <v>64</v>
      </c>
      <c r="I6416" s="16">
        <v>47.36</v>
      </c>
      <c r="J6416" s="16">
        <v>32.35987404408457</v>
      </c>
      <c r="K6416" s="16">
        <v>15.000125955915429</v>
      </c>
      <c r="L6416" s="13">
        <v>1.36</v>
      </c>
      <c r="M6416" s="13"/>
      <c r="N6416" s="17">
        <f t="shared" si="210"/>
        <v>87.04</v>
      </c>
      <c r="O6416" s="17">
        <f t="shared" si="210"/>
        <v>0</v>
      </c>
      <c r="P6416" s="17">
        <f t="shared" si="211"/>
        <v>87.04</v>
      </c>
      <c r="Q6416" t="str">
        <f>A6416&amp;"-"&amp;B6416&amp;"-"&amp;D6416</f>
        <v>DESEMBER-MJ2-L7</v>
      </c>
    </row>
    <row r="6417" spans="1:17" x14ac:dyDescent="0.25">
      <c r="A6417" t="s">
        <v>402</v>
      </c>
      <c r="B6417" s="13" t="s">
        <v>26</v>
      </c>
      <c r="C6417" s="13" t="s">
        <v>226</v>
      </c>
      <c r="D6417" s="14" t="s">
        <v>164</v>
      </c>
      <c r="E6417" s="13" t="s">
        <v>61</v>
      </c>
      <c r="F6417" s="13" t="s">
        <v>2118</v>
      </c>
      <c r="G6417" s="13">
        <v>0.74</v>
      </c>
      <c r="H6417" s="15">
        <v>3711</v>
      </c>
      <c r="I6417" s="16">
        <v>2746.1400000000003</v>
      </c>
      <c r="J6417" s="16">
        <v>2049.5564561217025</v>
      </c>
      <c r="K6417" s="16">
        <v>696.58354387829797</v>
      </c>
      <c r="L6417" s="13">
        <v>1.36</v>
      </c>
      <c r="M6417" s="13"/>
      <c r="N6417" s="17">
        <f t="shared" si="210"/>
        <v>5046.96</v>
      </c>
      <c r="O6417" s="17">
        <f t="shared" si="210"/>
        <v>0</v>
      </c>
      <c r="P6417" s="17">
        <f t="shared" si="211"/>
        <v>5046.96</v>
      </c>
      <c r="Q6417" t="str">
        <f>A6417&amp;"-"&amp;B6417&amp;"-"&amp;D6417</f>
        <v>DESEMBER-MJ2-L7</v>
      </c>
    </row>
    <row r="6418" spans="1:17" x14ac:dyDescent="0.25">
      <c r="A6418" t="s">
        <v>402</v>
      </c>
      <c r="B6418" s="13" t="s">
        <v>26</v>
      </c>
      <c r="C6418" s="13" t="s">
        <v>226</v>
      </c>
      <c r="D6418" s="14" t="s">
        <v>164</v>
      </c>
      <c r="E6418" s="13" t="s">
        <v>61</v>
      </c>
      <c r="F6418" s="13" t="s">
        <v>1927</v>
      </c>
      <c r="G6418" s="13">
        <v>0.71</v>
      </c>
      <c r="H6418" s="15">
        <v>83</v>
      </c>
      <c r="I6418" s="16">
        <v>58.93</v>
      </c>
      <c r="J6418" s="16">
        <v>41.966711650922178</v>
      </c>
      <c r="K6418" s="16">
        <v>16.963288349077821</v>
      </c>
      <c r="L6418" s="13">
        <v>1.29</v>
      </c>
      <c r="M6418" s="13"/>
      <c r="N6418" s="17">
        <f t="shared" si="210"/>
        <v>107.07000000000001</v>
      </c>
      <c r="O6418" s="17">
        <f t="shared" si="210"/>
        <v>0</v>
      </c>
      <c r="P6418" s="17">
        <f t="shared" si="211"/>
        <v>107.07000000000001</v>
      </c>
      <c r="Q6418" t="str">
        <f>A6418&amp;"-"&amp;B6418&amp;"-"&amp;D6418</f>
        <v>DESEMBER-MJ2-L7</v>
      </c>
    </row>
    <row r="6419" spans="1:17" x14ac:dyDescent="0.25">
      <c r="A6419" t="s">
        <v>402</v>
      </c>
      <c r="B6419" s="13" t="s">
        <v>26</v>
      </c>
      <c r="C6419" s="13" t="s">
        <v>226</v>
      </c>
      <c r="D6419" s="14" t="s">
        <v>164</v>
      </c>
      <c r="E6419" s="13" t="s">
        <v>61</v>
      </c>
      <c r="F6419" s="13" t="s">
        <v>2072</v>
      </c>
      <c r="G6419" s="13">
        <v>0.71</v>
      </c>
      <c r="H6419" s="15">
        <v>4326</v>
      </c>
      <c r="I6419" s="16">
        <v>3071.4599999999996</v>
      </c>
      <c r="J6419" s="16">
        <v>2640.753717561814</v>
      </c>
      <c r="K6419" s="16">
        <v>430.70628243818607</v>
      </c>
      <c r="L6419" s="13">
        <v>1.29</v>
      </c>
      <c r="M6419" s="13"/>
      <c r="N6419" s="17">
        <f t="shared" si="210"/>
        <v>5580.54</v>
      </c>
      <c r="O6419" s="17">
        <f t="shared" si="210"/>
        <v>0</v>
      </c>
      <c r="P6419" s="17">
        <f t="shared" si="211"/>
        <v>5580.54</v>
      </c>
      <c r="Q6419" t="str">
        <f>A6419&amp;"-"&amp;B6419&amp;"-"&amp;D6419</f>
        <v>DESEMBER-MJ2-L7</v>
      </c>
    </row>
    <row r="6420" spans="1:17" x14ac:dyDescent="0.25">
      <c r="A6420" t="s">
        <v>402</v>
      </c>
      <c r="B6420" s="13" t="s">
        <v>26</v>
      </c>
      <c r="C6420" s="13" t="s">
        <v>226</v>
      </c>
      <c r="D6420" s="14" t="s">
        <v>164</v>
      </c>
      <c r="E6420" s="13" t="s">
        <v>61</v>
      </c>
      <c r="F6420" s="13" t="s">
        <v>2119</v>
      </c>
      <c r="G6420" s="13">
        <v>0.71</v>
      </c>
      <c r="H6420" s="15">
        <v>3957</v>
      </c>
      <c r="I6420" s="16">
        <v>2809.4700000000003</v>
      </c>
      <c r="J6420" s="16">
        <v>1724.6823800066204</v>
      </c>
      <c r="K6420" s="16">
        <v>1084.7876199933798</v>
      </c>
      <c r="L6420" s="13">
        <v>1.29</v>
      </c>
      <c r="M6420" s="13"/>
      <c r="N6420" s="17">
        <f t="shared" si="210"/>
        <v>5104.53</v>
      </c>
      <c r="O6420" s="17">
        <f t="shared" si="210"/>
        <v>0</v>
      </c>
      <c r="P6420" s="17">
        <f t="shared" si="211"/>
        <v>5104.53</v>
      </c>
      <c r="Q6420" t="str">
        <f>A6420&amp;"-"&amp;B6420&amp;"-"&amp;D6420</f>
        <v>DESEMBER-MJ2-L7</v>
      </c>
    </row>
    <row r="6421" spans="1:17" x14ac:dyDescent="0.25">
      <c r="A6421" t="s">
        <v>402</v>
      </c>
      <c r="B6421" s="13" t="s">
        <v>26</v>
      </c>
      <c r="C6421" s="13" t="s">
        <v>226</v>
      </c>
      <c r="D6421" s="14" t="s">
        <v>164</v>
      </c>
      <c r="E6421" s="13" t="s">
        <v>61</v>
      </c>
      <c r="F6421" s="13" t="s">
        <v>1967</v>
      </c>
      <c r="G6421" s="13">
        <v>0.68</v>
      </c>
      <c r="H6421" s="15">
        <v>165</v>
      </c>
      <c r="I6421" s="16">
        <v>112.2</v>
      </c>
      <c r="J6421" s="16">
        <v>105.47953299021653</v>
      </c>
      <c r="K6421" s="16">
        <v>6.7204670097834631</v>
      </c>
      <c r="L6421" s="13">
        <v>1.7</v>
      </c>
      <c r="M6421" s="13"/>
      <c r="N6421" s="17">
        <f t="shared" si="210"/>
        <v>280.5</v>
      </c>
      <c r="O6421" s="17">
        <f t="shared" si="210"/>
        <v>0</v>
      </c>
      <c r="P6421" s="17">
        <f t="shared" si="211"/>
        <v>280.5</v>
      </c>
      <c r="Q6421" t="str">
        <f>A6421&amp;"-"&amp;B6421&amp;"-"&amp;D6421</f>
        <v>DESEMBER-MJ2-L7</v>
      </c>
    </row>
    <row r="6422" spans="1:17" x14ac:dyDescent="0.25">
      <c r="A6422" t="s">
        <v>402</v>
      </c>
      <c r="B6422" s="13" t="s">
        <v>26</v>
      </c>
      <c r="C6422" s="13" t="s">
        <v>226</v>
      </c>
      <c r="D6422" s="14" t="s">
        <v>164</v>
      </c>
      <c r="E6422" s="13" t="s">
        <v>61</v>
      </c>
      <c r="F6422" s="13" t="s">
        <v>2120</v>
      </c>
      <c r="G6422" s="13">
        <v>0.73</v>
      </c>
      <c r="H6422" s="15">
        <v>1126</v>
      </c>
      <c r="I6422" s="16">
        <v>821.98</v>
      </c>
      <c r="J6422" s="16">
        <v>783.62951803300075</v>
      </c>
      <c r="K6422" s="16">
        <v>38.350481966999332</v>
      </c>
      <c r="L6422" s="13">
        <v>1.33</v>
      </c>
      <c r="M6422" s="13"/>
      <c r="N6422" s="17">
        <f t="shared" si="210"/>
        <v>1497.5800000000002</v>
      </c>
      <c r="O6422" s="17">
        <f t="shared" si="210"/>
        <v>0</v>
      </c>
      <c r="P6422" s="17">
        <f t="shared" si="211"/>
        <v>1497.5800000000002</v>
      </c>
      <c r="Q6422" t="str">
        <f>A6422&amp;"-"&amp;B6422&amp;"-"&amp;D6422</f>
        <v>DESEMBER-MJ2-L7</v>
      </c>
    </row>
    <row r="6423" spans="1:17" x14ac:dyDescent="0.25">
      <c r="A6423" t="s">
        <v>402</v>
      </c>
      <c r="B6423" s="13" t="s">
        <v>26</v>
      </c>
      <c r="C6423" s="13" t="s">
        <v>226</v>
      </c>
      <c r="D6423" s="14" t="s">
        <v>164</v>
      </c>
      <c r="E6423" s="13" t="s">
        <v>61</v>
      </c>
      <c r="F6423" s="13" t="s">
        <v>2075</v>
      </c>
      <c r="G6423" s="13">
        <v>0.73</v>
      </c>
      <c r="H6423" s="15">
        <v>297</v>
      </c>
      <c r="I6423" s="16">
        <v>216.81</v>
      </c>
      <c r="J6423" s="16">
        <v>185.39426900584795</v>
      </c>
      <c r="K6423" s="16">
        <v>31.415730994152042</v>
      </c>
      <c r="L6423" s="13">
        <v>1.33</v>
      </c>
      <c r="M6423" s="13"/>
      <c r="N6423" s="17">
        <f t="shared" si="210"/>
        <v>395.01000000000005</v>
      </c>
      <c r="O6423" s="17">
        <f t="shared" si="210"/>
        <v>0</v>
      </c>
      <c r="P6423" s="17">
        <f t="shared" si="211"/>
        <v>395.01000000000005</v>
      </c>
      <c r="Q6423" t="str">
        <f>A6423&amp;"-"&amp;B6423&amp;"-"&amp;D6423</f>
        <v>DESEMBER-MJ2-L7</v>
      </c>
    </row>
    <row r="6424" spans="1:17" x14ac:dyDescent="0.25">
      <c r="A6424" t="s">
        <v>402</v>
      </c>
      <c r="B6424" s="13" t="s">
        <v>26</v>
      </c>
      <c r="C6424" s="13" t="s">
        <v>226</v>
      </c>
      <c r="D6424" s="14" t="s">
        <v>164</v>
      </c>
      <c r="E6424" s="13" t="s">
        <v>61</v>
      </c>
      <c r="F6424" s="13" t="s">
        <v>2121</v>
      </c>
      <c r="G6424" s="13">
        <v>0.72999999999999987</v>
      </c>
      <c r="H6424" s="15">
        <v>3144</v>
      </c>
      <c r="I6424" s="16">
        <v>2295.12</v>
      </c>
      <c r="J6424" s="16">
        <v>2163.834969384141</v>
      </c>
      <c r="K6424" s="16">
        <v>131.28503061585877</v>
      </c>
      <c r="L6424" s="13">
        <v>1.33</v>
      </c>
      <c r="M6424" s="13"/>
      <c r="N6424" s="17">
        <f t="shared" si="210"/>
        <v>4181.5200000000004</v>
      </c>
      <c r="O6424" s="17">
        <f t="shared" si="210"/>
        <v>0</v>
      </c>
      <c r="P6424" s="17">
        <f t="shared" si="211"/>
        <v>4181.5200000000004</v>
      </c>
      <c r="Q6424" t="str">
        <f>A6424&amp;"-"&amp;B6424&amp;"-"&amp;D6424</f>
        <v>DESEMBER-MJ2-L7</v>
      </c>
    </row>
    <row r="6425" spans="1:17" x14ac:dyDescent="0.25">
      <c r="A6425" t="s">
        <v>402</v>
      </c>
      <c r="B6425" s="13" t="s">
        <v>26</v>
      </c>
      <c r="C6425" s="13" t="s">
        <v>226</v>
      </c>
      <c r="D6425" s="14" t="s">
        <v>164</v>
      </c>
      <c r="E6425" s="13" t="s">
        <v>61</v>
      </c>
      <c r="F6425" s="13" t="s">
        <v>2122</v>
      </c>
      <c r="G6425" s="13">
        <v>0.73</v>
      </c>
      <c r="H6425" s="15">
        <v>1026</v>
      </c>
      <c r="I6425" s="16">
        <v>748.98</v>
      </c>
      <c r="J6425" s="16">
        <v>664.45729736929741</v>
      </c>
      <c r="K6425" s="16">
        <v>84.522702630702554</v>
      </c>
      <c r="L6425" s="13">
        <v>1.33</v>
      </c>
      <c r="M6425" s="13"/>
      <c r="N6425" s="17">
        <f t="shared" si="210"/>
        <v>1364.5800000000002</v>
      </c>
      <c r="O6425" s="17">
        <f t="shared" si="210"/>
        <v>0</v>
      </c>
      <c r="P6425" s="17">
        <f t="shared" si="211"/>
        <v>1364.5800000000002</v>
      </c>
      <c r="Q6425" t="str">
        <f>A6425&amp;"-"&amp;B6425&amp;"-"&amp;D6425</f>
        <v>DESEMBER-MJ2-L7</v>
      </c>
    </row>
    <row r="6426" spans="1:17" x14ac:dyDescent="0.25">
      <c r="A6426" t="s">
        <v>402</v>
      </c>
      <c r="B6426" s="13" t="s">
        <v>26</v>
      </c>
      <c r="C6426" s="13" t="s">
        <v>226</v>
      </c>
      <c r="D6426" s="14" t="s">
        <v>164</v>
      </c>
      <c r="E6426" s="13" t="s">
        <v>61</v>
      </c>
      <c r="F6426" s="13" t="s">
        <v>1971</v>
      </c>
      <c r="G6426" s="13">
        <v>0.76</v>
      </c>
      <c r="H6426" s="15">
        <v>112</v>
      </c>
      <c r="I6426" s="16">
        <v>85.12</v>
      </c>
      <c r="J6426" s="16">
        <v>67.836119529593205</v>
      </c>
      <c r="K6426" s="16">
        <v>17.283880470406793</v>
      </c>
      <c r="L6426" s="13">
        <v>1.94</v>
      </c>
      <c r="M6426" s="13"/>
      <c r="N6426" s="17">
        <f t="shared" si="210"/>
        <v>217.28</v>
      </c>
      <c r="O6426" s="17">
        <f t="shared" si="210"/>
        <v>0</v>
      </c>
      <c r="P6426" s="17">
        <f t="shared" si="211"/>
        <v>217.28</v>
      </c>
      <c r="Q6426" t="str">
        <f>A6426&amp;"-"&amp;B6426&amp;"-"&amp;D6426</f>
        <v>DESEMBER-MJ2-L7</v>
      </c>
    </row>
    <row r="6427" spans="1:17" x14ac:dyDescent="0.25">
      <c r="A6427" t="s">
        <v>402</v>
      </c>
      <c r="B6427" s="13" t="s">
        <v>26</v>
      </c>
      <c r="C6427" s="13" t="s">
        <v>226</v>
      </c>
      <c r="D6427" s="14" t="s">
        <v>164</v>
      </c>
      <c r="E6427" s="13" t="s">
        <v>61</v>
      </c>
      <c r="F6427" s="13" t="s">
        <v>2123</v>
      </c>
      <c r="G6427" s="13">
        <v>0.82999999999999985</v>
      </c>
      <c r="H6427" s="15">
        <v>3669</v>
      </c>
      <c r="I6427" s="16">
        <v>3045.27</v>
      </c>
      <c r="J6427" s="16">
        <v>2064.5961456087771</v>
      </c>
      <c r="K6427" s="16">
        <v>980.67385439122279</v>
      </c>
      <c r="L6427" s="13">
        <v>2.13</v>
      </c>
      <c r="M6427" s="13"/>
      <c r="N6427" s="17">
        <f t="shared" si="210"/>
        <v>7814.9699999999993</v>
      </c>
      <c r="O6427" s="17">
        <f t="shared" si="210"/>
        <v>0</v>
      </c>
      <c r="P6427" s="17">
        <f t="shared" si="211"/>
        <v>7814.9699999999993</v>
      </c>
      <c r="Q6427" t="str">
        <f>A6427&amp;"-"&amp;B6427&amp;"-"&amp;D6427</f>
        <v>DESEMBER-MJ2-L7</v>
      </c>
    </row>
    <row r="6428" spans="1:17" x14ac:dyDescent="0.25">
      <c r="A6428" t="s">
        <v>402</v>
      </c>
      <c r="B6428" s="13" t="s">
        <v>26</v>
      </c>
      <c r="C6428" s="13" t="s">
        <v>226</v>
      </c>
      <c r="D6428" s="14" t="s">
        <v>164</v>
      </c>
      <c r="E6428" s="13" t="s">
        <v>61</v>
      </c>
      <c r="F6428" s="13" t="s">
        <v>2124</v>
      </c>
      <c r="G6428" s="13">
        <v>0.78</v>
      </c>
      <c r="H6428" s="15">
        <v>8</v>
      </c>
      <c r="I6428" s="16">
        <v>6.24</v>
      </c>
      <c r="J6428" s="16">
        <v>5.2400932400932403</v>
      </c>
      <c r="K6428" s="16">
        <v>0.99990675990675992</v>
      </c>
      <c r="L6428" s="13">
        <v>2.29</v>
      </c>
      <c r="M6428" s="13"/>
      <c r="N6428" s="17">
        <f t="shared" si="210"/>
        <v>18.32</v>
      </c>
      <c r="O6428" s="17">
        <f t="shared" si="210"/>
        <v>0</v>
      </c>
      <c r="P6428" s="17">
        <f t="shared" si="211"/>
        <v>18.32</v>
      </c>
      <c r="Q6428" t="str">
        <f>A6428&amp;"-"&amp;B6428&amp;"-"&amp;D6428</f>
        <v>DESEMBER-MJ2-L7</v>
      </c>
    </row>
    <row r="6429" spans="1:17" x14ac:dyDescent="0.25">
      <c r="A6429" t="s">
        <v>402</v>
      </c>
      <c r="B6429" s="13" t="s">
        <v>26</v>
      </c>
      <c r="C6429" s="13" t="s">
        <v>226</v>
      </c>
      <c r="D6429" s="14" t="s">
        <v>164</v>
      </c>
      <c r="E6429" s="13" t="s">
        <v>61</v>
      </c>
      <c r="F6429" s="13" t="s">
        <v>1958</v>
      </c>
      <c r="G6429" s="13">
        <v>0.65</v>
      </c>
      <c r="H6429" s="15">
        <v>144</v>
      </c>
      <c r="I6429" s="16">
        <v>93.6</v>
      </c>
      <c r="J6429" s="16">
        <v>72.809716599190281</v>
      </c>
      <c r="K6429" s="16">
        <v>20.790283400809713</v>
      </c>
      <c r="L6429" s="13">
        <v>1.66</v>
      </c>
      <c r="M6429" s="13"/>
      <c r="N6429" s="17">
        <f t="shared" si="210"/>
        <v>239.04</v>
      </c>
      <c r="O6429" s="17">
        <f t="shared" si="210"/>
        <v>0</v>
      </c>
      <c r="P6429" s="17">
        <f t="shared" si="211"/>
        <v>239.04</v>
      </c>
      <c r="Q6429" t="str">
        <f>A6429&amp;"-"&amp;B6429&amp;"-"&amp;D6429</f>
        <v>DESEMBER-MJ2-L7</v>
      </c>
    </row>
    <row r="6430" spans="1:17" x14ac:dyDescent="0.25">
      <c r="A6430" t="s">
        <v>402</v>
      </c>
      <c r="B6430" s="13" t="s">
        <v>26</v>
      </c>
      <c r="C6430" s="13" t="s">
        <v>226</v>
      </c>
      <c r="D6430" s="14" t="s">
        <v>164</v>
      </c>
      <c r="E6430" s="13" t="s">
        <v>61</v>
      </c>
      <c r="F6430" s="13" t="s">
        <v>2093</v>
      </c>
      <c r="G6430" s="13">
        <v>0.65</v>
      </c>
      <c r="H6430" s="15">
        <v>1725</v>
      </c>
      <c r="I6430" s="16">
        <v>1121.25</v>
      </c>
      <c r="J6430" s="16">
        <v>1123.1079733533163</v>
      </c>
      <c r="K6430" s="16">
        <v>-1.857973353316325</v>
      </c>
      <c r="L6430" s="13">
        <v>1.66</v>
      </c>
      <c r="M6430" s="13"/>
      <c r="N6430" s="17">
        <f t="shared" si="210"/>
        <v>2863.5</v>
      </c>
      <c r="O6430" s="17">
        <f t="shared" si="210"/>
        <v>0</v>
      </c>
      <c r="P6430" s="17">
        <f t="shared" si="211"/>
        <v>2863.5</v>
      </c>
      <c r="Q6430" t="str">
        <f>A6430&amp;"-"&amp;B6430&amp;"-"&amp;D6430</f>
        <v>DESEMBER-MJ2-L7</v>
      </c>
    </row>
    <row r="6431" spans="1:17" x14ac:dyDescent="0.25">
      <c r="A6431" t="s">
        <v>402</v>
      </c>
      <c r="B6431" s="13" t="s">
        <v>26</v>
      </c>
      <c r="C6431" s="13" t="s">
        <v>226</v>
      </c>
      <c r="D6431" s="14" t="s">
        <v>164</v>
      </c>
      <c r="E6431" s="13" t="s">
        <v>61</v>
      </c>
      <c r="F6431" s="13" t="s">
        <v>1975</v>
      </c>
      <c r="G6431" s="13">
        <v>0.65</v>
      </c>
      <c r="H6431" s="15">
        <v>115</v>
      </c>
      <c r="I6431" s="16">
        <v>74.75</v>
      </c>
      <c r="J6431" s="16">
        <v>58.146648672964467</v>
      </c>
      <c r="K6431" s="16">
        <v>16.603351327035533</v>
      </c>
      <c r="L6431" s="13">
        <v>1.66</v>
      </c>
      <c r="M6431" s="13"/>
      <c r="N6431" s="17">
        <f t="shared" si="210"/>
        <v>190.89999999999998</v>
      </c>
      <c r="O6431" s="17">
        <f t="shared" si="210"/>
        <v>0</v>
      </c>
      <c r="P6431" s="17">
        <f t="shared" si="211"/>
        <v>190.89999999999998</v>
      </c>
      <c r="Q6431" t="str">
        <f>A6431&amp;"-"&amp;B6431&amp;"-"&amp;D6431</f>
        <v>DESEMBER-MJ2-L7</v>
      </c>
    </row>
    <row r="6432" spans="1:17" x14ac:dyDescent="0.25">
      <c r="A6432" t="s">
        <v>402</v>
      </c>
      <c r="B6432" s="13" t="s">
        <v>26</v>
      </c>
      <c r="C6432" s="13" t="s">
        <v>226</v>
      </c>
      <c r="D6432" s="14" t="s">
        <v>164</v>
      </c>
      <c r="E6432" s="13" t="s">
        <v>61</v>
      </c>
      <c r="F6432" s="13" t="s">
        <v>2094</v>
      </c>
      <c r="G6432" s="13">
        <v>0.65</v>
      </c>
      <c r="H6432" s="15">
        <v>2621</v>
      </c>
      <c r="I6432" s="16">
        <v>1703.6499999999999</v>
      </c>
      <c r="J6432" s="16">
        <v>1574.082702254876</v>
      </c>
      <c r="K6432" s="16">
        <v>129.56729774512374</v>
      </c>
      <c r="L6432" s="13">
        <v>1.66</v>
      </c>
      <c r="M6432" s="13"/>
      <c r="N6432" s="17">
        <f t="shared" si="210"/>
        <v>4350.8599999999997</v>
      </c>
      <c r="O6432" s="17">
        <f t="shared" si="210"/>
        <v>0</v>
      </c>
      <c r="P6432" s="17">
        <f t="shared" si="211"/>
        <v>4350.8599999999997</v>
      </c>
      <c r="Q6432" t="str">
        <f>A6432&amp;"-"&amp;B6432&amp;"-"&amp;D6432</f>
        <v>DESEMBER-MJ2-L7</v>
      </c>
    </row>
    <row r="6433" spans="1:17" x14ac:dyDescent="0.25">
      <c r="A6433" t="s">
        <v>402</v>
      </c>
      <c r="B6433" s="13" t="s">
        <v>26</v>
      </c>
      <c r="C6433" s="13" t="s">
        <v>226</v>
      </c>
      <c r="D6433" s="14" t="s">
        <v>164</v>
      </c>
      <c r="E6433" s="13" t="s">
        <v>61</v>
      </c>
      <c r="F6433" s="13" t="s">
        <v>2125</v>
      </c>
      <c r="G6433" s="13">
        <v>1.03</v>
      </c>
      <c r="H6433" s="15">
        <v>770</v>
      </c>
      <c r="I6433" s="16">
        <v>793.09999999999991</v>
      </c>
      <c r="J6433" s="16">
        <v>556.25952805768077</v>
      </c>
      <c r="K6433" s="16">
        <v>236.84047194231914</v>
      </c>
      <c r="L6433" s="13">
        <v>2.4900000000000002</v>
      </c>
      <c r="M6433" s="13"/>
      <c r="N6433" s="17">
        <f t="shared" si="210"/>
        <v>1917.3000000000002</v>
      </c>
      <c r="O6433" s="17">
        <f t="shared" si="210"/>
        <v>0</v>
      </c>
      <c r="P6433" s="17">
        <f t="shared" si="211"/>
        <v>1917.3000000000002</v>
      </c>
      <c r="Q6433" t="str">
        <f>A6433&amp;"-"&amp;B6433&amp;"-"&amp;D6433</f>
        <v>DESEMBER-MJ2-L7</v>
      </c>
    </row>
    <row r="6434" spans="1:17" x14ac:dyDescent="0.25">
      <c r="A6434" t="s">
        <v>402</v>
      </c>
      <c r="B6434" s="13" t="s">
        <v>26</v>
      </c>
      <c r="C6434" s="13" t="s">
        <v>226</v>
      </c>
      <c r="D6434" s="14" t="s">
        <v>164</v>
      </c>
      <c r="E6434" s="13" t="s">
        <v>61</v>
      </c>
      <c r="F6434" s="13" t="s">
        <v>2126</v>
      </c>
      <c r="G6434" s="13">
        <v>1.03</v>
      </c>
      <c r="H6434" s="15">
        <v>873</v>
      </c>
      <c r="I6434" s="16">
        <v>899.18999999999994</v>
      </c>
      <c r="J6434" s="16">
        <v>863.81180240020319</v>
      </c>
      <c r="K6434" s="16">
        <v>35.378197599796955</v>
      </c>
      <c r="L6434" s="13">
        <v>2.42</v>
      </c>
      <c r="M6434" s="13"/>
      <c r="N6434" s="17">
        <f t="shared" si="210"/>
        <v>2112.66</v>
      </c>
      <c r="O6434" s="17">
        <f t="shared" si="210"/>
        <v>0</v>
      </c>
      <c r="P6434" s="17">
        <f t="shared" si="211"/>
        <v>2112.66</v>
      </c>
      <c r="Q6434" t="str">
        <f>A6434&amp;"-"&amp;B6434&amp;"-"&amp;D6434</f>
        <v>DESEMBER-MJ2-L7</v>
      </c>
    </row>
    <row r="6435" spans="1:17" x14ac:dyDescent="0.25">
      <c r="A6435" t="s">
        <v>402</v>
      </c>
      <c r="B6435" s="13" t="s">
        <v>26</v>
      </c>
      <c r="C6435" s="13" t="s">
        <v>226</v>
      </c>
      <c r="D6435" s="14" t="s">
        <v>198</v>
      </c>
      <c r="E6435" s="13" t="s">
        <v>61</v>
      </c>
      <c r="F6435" s="13" t="s">
        <v>2127</v>
      </c>
      <c r="G6435" s="13">
        <v>0.79</v>
      </c>
      <c r="H6435" s="15">
        <v>222</v>
      </c>
      <c r="I6435" s="16">
        <v>175.38</v>
      </c>
      <c r="J6435" s="16">
        <v>142.58742857142857</v>
      </c>
      <c r="K6435" s="16">
        <v>32.792571428571421</v>
      </c>
      <c r="L6435" s="13">
        <v>1.86</v>
      </c>
      <c r="M6435" s="13"/>
      <c r="N6435" s="17">
        <f t="shared" si="210"/>
        <v>412.92</v>
      </c>
      <c r="O6435" s="17">
        <f t="shared" si="210"/>
        <v>0</v>
      </c>
      <c r="P6435" s="17">
        <f t="shared" si="211"/>
        <v>412.92</v>
      </c>
      <c r="Q6435" t="str">
        <f>A6435&amp;"-"&amp;B6435&amp;"-"&amp;D6435</f>
        <v>DESEMBER-MJ2-L8</v>
      </c>
    </row>
    <row r="6436" spans="1:17" x14ac:dyDescent="0.25">
      <c r="A6436" t="s">
        <v>402</v>
      </c>
      <c r="B6436" s="13" t="s">
        <v>26</v>
      </c>
      <c r="C6436" s="13" t="s">
        <v>226</v>
      </c>
      <c r="D6436" s="14" t="s">
        <v>198</v>
      </c>
      <c r="E6436" s="13" t="s">
        <v>61</v>
      </c>
      <c r="F6436" s="13" t="s">
        <v>1931</v>
      </c>
      <c r="G6436" s="13">
        <v>0.67999999999999994</v>
      </c>
      <c r="H6436" s="15">
        <v>145</v>
      </c>
      <c r="I6436" s="16">
        <v>98.600000000000023</v>
      </c>
      <c r="J6436" s="16">
        <v>99.869167353506214</v>
      </c>
      <c r="K6436" s="16">
        <v>-1.2691673535062136</v>
      </c>
      <c r="L6436" s="13">
        <v>1.69</v>
      </c>
      <c r="M6436" s="13"/>
      <c r="N6436" s="17">
        <f t="shared" si="210"/>
        <v>245.04999999999998</v>
      </c>
      <c r="O6436" s="17">
        <f t="shared" si="210"/>
        <v>0</v>
      </c>
      <c r="P6436" s="17">
        <f t="shared" si="211"/>
        <v>245.04999999999998</v>
      </c>
      <c r="Q6436" t="str">
        <f>A6436&amp;"-"&amp;B6436&amp;"-"&amp;D6436</f>
        <v>DESEMBER-MJ2-L8</v>
      </c>
    </row>
    <row r="6437" spans="1:17" x14ac:dyDescent="0.25">
      <c r="A6437" t="s">
        <v>402</v>
      </c>
      <c r="B6437" s="13" t="s">
        <v>26</v>
      </c>
      <c r="C6437" s="13" t="s">
        <v>226</v>
      </c>
      <c r="D6437" s="14" t="s">
        <v>198</v>
      </c>
      <c r="E6437" s="13" t="s">
        <v>61</v>
      </c>
      <c r="F6437" s="13" t="s">
        <v>2077</v>
      </c>
      <c r="G6437" s="13">
        <v>0.67999999999999994</v>
      </c>
      <c r="H6437" s="15">
        <v>3917</v>
      </c>
      <c r="I6437" s="16">
        <v>2663.5600000000004</v>
      </c>
      <c r="J6437" s="16">
        <v>2448.9451580924979</v>
      </c>
      <c r="K6437" s="16">
        <v>214.61484190750195</v>
      </c>
      <c r="L6437" s="13">
        <v>1.61</v>
      </c>
      <c r="M6437" s="13"/>
      <c r="N6437" s="17">
        <f t="shared" si="210"/>
        <v>6306.3700000000008</v>
      </c>
      <c r="O6437" s="17">
        <f t="shared" si="210"/>
        <v>0</v>
      </c>
      <c r="P6437" s="17">
        <f t="shared" si="211"/>
        <v>6306.3700000000008</v>
      </c>
      <c r="Q6437" t="str">
        <f>A6437&amp;"-"&amp;B6437&amp;"-"&amp;D6437</f>
        <v>DESEMBER-MJ2-L8</v>
      </c>
    </row>
    <row r="6438" spans="1:17" x14ac:dyDescent="0.25">
      <c r="A6438" t="s">
        <v>402</v>
      </c>
      <c r="B6438" s="13" t="s">
        <v>26</v>
      </c>
      <c r="C6438" s="13" t="s">
        <v>226</v>
      </c>
      <c r="D6438" s="14" t="s">
        <v>198</v>
      </c>
      <c r="E6438" s="13" t="s">
        <v>61</v>
      </c>
      <c r="F6438" s="13" t="s">
        <v>2079</v>
      </c>
      <c r="G6438" s="13">
        <v>0.67999999999999994</v>
      </c>
      <c r="H6438" s="15">
        <v>2449</v>
      </c>
      <c r="I6438" s="16">
        <v>1665.32</v>
      </c>
      <c r="J6438" s="16">
        <v>1657.4496252571214</v>
      </c>
      <c r="K6438" s="16">
        <v>7.870374742878635</v>
      </c>
      <c r="L6438" s="13">
        <v>1.7</v>
      </c>
      <c r="M6438" s="13"/>
      <c r="N6438" s="17">
        <f t="shared" si="210"/>
        <v>4163.3</v>
      </c>
      <c r="O6438" s="17">
        <f t="shared" si="210"/>
        <v>0</v>
      </c>
      <c r="P6438" s="17">
        <f t="shared" si="211"/>
        <v>4163.3</v>
      </c>
      <c r="Q6438" t="str">
        <f>A6438&amp;"-"&amp;B6438&amp;"-"&amp;D6438</f>
        <v>DESEMBER-MJ2-L8</v>
      </c>
    </row>
    <row r="6439" spans="1:17" x14ac:dyDescent="0.25">
      <c r="A6439" t="s">
        <v>402</v>
      </c>
      <c r="B6439" s="13" t="s">
        <v>26</v>
      </c>
      <c r="C6439" s="13" t="s">
        <v>226</v>
      </c>
      <c r="D6439" s="14" t="s">
        <v>198</v>
      </c>
      <c r="E6439" s="13" t="s">
        <v>61</v>
      </c>
      <c r="F6439" s="13" t="s">
        <v>1932</v>
      </c>
      <c r="G6439" s="13">
        <v>0.68</v>
      </c>
      <c r="H6439" s="15">
        <v>239</v>
      </c>
      <c r="I6439" s="16">
        <v>162.52000000000001</v>
      </c>
      <c r="J6439" s="16">
        <v>178.95654953475645</v>
      </c>
      <c r="K6439" s="16">
        <v>-16.436549534756434</v>
      </c>
      <c r="L6439" s="13">
        <v>1.7</v>
      </c>
      <c r="M6439" s="13"/>
      <c r="N6439" s="17">
        <f t="shared" si="210"/>
        <v>406.3</v>
      </c>
      <c r="O6439" s="17">
        <f t="shared" si="210"/>
        <v>0</v>
      </c>
      <c r="P6439" s="17">
        <f t="shared" si="211"/>
        <v>406.3</v>
      </c>
      <c r="Q6439" t="str">
        <f>A6439&amp;"-"&amp;B6439&amp;"-"&amp;D6439</f>
        <v>DESEMBER-MJ2-L8</v>
      </c>
    </row>
    <row r="6440" spans="1:17" x14ac:dyDescent="0.25">
      <c r="A6440" t="s">
        <v>402</v>
      </c>
      <c r="B6440" s="13" t="s">
        <v>26</v>
      </c>
      <c r="C6440" s="13" t="s">
        <v>226</v>
      </c>
      <c r="D6440" s="14" t="s">
        <v>198</v>
      </c>
      <c r="E6440" s="13" t="s">
        <v>61</v>
      </c>
      <c r="F6440" s="13" t="s">
        <v>1933</v>
      </c>
      <c r="G6440" s="13">
        <v>0.68</v>
      </c>
      <c r="H6440" s="15">
        <v>494</v>
      </c>
      <c r="I6440" s="16">
        <v>335.92</v>
      </c>
      <c r="J6440" s="16">
        <v>348.67587253930685</v>
      </c>
      <c r="K6440" s="16">
        <v>-12.755872539306871</v>
      </c>
      <c r="L6440" s="13">
        <v>1.7</v>
      </c>
      <c r="M6440" s="13"/>
      <c r="N6440" s="17">
        <f t="shared" si="210"/>
        <v>839.8</v>
      </c>
      <c r="O6440" s="17">
        <f t="shared" si="210"/>
        <v>0</v>
      </c>
      <c r="P6440" s="17">
        <f t="shared" si="211"/>
        <v>839.8</v>
      </c>
      <c r="Q6440" t="str">
        <f>A6440&amp;"-"&amp;B6440&amp;"-"&amp;D6440</f>
        <v>DESEMBER-MJ2-L8</v>
      </c>
    </row>
    <row r="6441" spans="1:17" x14ac:dyDescent="0.25">
      <c r="A6441" t="s">
        <v>402</v>
      </c>
      <c r="B6441" s="13" t="s">
        <v>26</v>
      </c>
      <c r="C6441" s="13" t="s">
        <v>226</v>
      </c>
      <c r="D6441" s="14" t="s">
        <v>198</v>
      </c>
      <c r="E6441" s="13" t="s">
        <v>61</v>
      </c>
      <c r="F6441" s="13" t="s">
        <v>2080</v>
      </c>
      <c r="G6441" s="13">
        <v>0.82999999999999985</v>
      </c>
      <c r="H6441" s="15">
        <v>1514</v>
      </c>
      <c r="I6441" s="16">
        <v>1256.6200000000001</v>
      </c>
      <c r="J6441" s="16">
        <v>1050.2700000886812</v>
      </c>
      <c r="K6441" s="16">
        <v>206.34999991131886</v>
      </c>
      <c r="L6441" s="13">
        <v>2.13</v>
      </c>
      <c r="M6441" s="13"/>
      <c r="N6441" s="17">
        <f t="shared" si="210"/>
        <v>3224.8199999999997</v>
      </c>
      <c r="O6441" s="17">
        <f t="shared" si="210"/>
        <v>0</v>
      </c>
      <c r="P6441" s="17">
        <f t="shared" si="211"/>
        <v>3224.8199999999997</v>
      </c>
      <c r="Q6441" t="str">
        <f>A6441&amp;"-"&amp;B6441&amp;"-"&amp;D6441</f>
        <v>DESEMBER-MJ2-L8</v>
      </c>
    </row>
    <row r="6442" spans="1:17" x14ac:dyDescent="0.25">
      <c r="A6442" t="s">
        <v>402</v>
      </c>
      <c r="B6442" s="13" t="s">
        <v>26</v>
      </c>
      <c r="C6442" s="13" t="s">
        <v>226</v>
      </c>
      <c r="D6442" s="14" t="s">
        <v>198</v>
      </c>
      <c r="E6442" s="13" t="s">
        <v>61</v>
      </c>
      <c r="F6442" s="13" t="s">
        <v>1934</v>
      </c>
      <c r="G6442" s="13">
        <v>0.79</v>
      </c>
      <c r="H6442" s="15">
        <v>285</v>
      </c>
      <c r="I6442" s="16">
        <v>225.15</v>
      </c>
      <c r="J6442" s="16">
        <v>200.44457318216817</v>
      </c>
      <c r="K6442" s="16">
        <v>24.705426817831817</v>
      </c>
      <c r="L6442" s="13">
        <v>2</v>
      </c>
      <c r="M6442" s="13"/>
      <c r="N6442" s="17">
        <f t="shared" si="210"/>
        <v>570</v>
      </c>
      <c r="O6442" s="17">
        <f t="shared" si="210"/>
        <v>0</v>
      </c>
      <c r="P6442" s="17">
        <f t="shared" si="211"/>
        <v>570</v>
      </c>
      <c r="Q6442" t="str">
        <f>A6442&amp;"-"&amp;B6442&amp;"-"&amp;D6442</f>
        <v>DESEMBER-MJ2-L8</v>
      </c>
    </row>
    <row r="6443" spans="1:17" x14ac:dyDescent="0.25">
      <c r="A6443" t="s">
        <v>402</v>
      </c>
      <c r="B6443" s="13" t="s">
        <v>26</v>
      </c>
      <c r="C6443" s="13" t="s">
        <v>226</v>
      </c>
      <c r="D6443" s="14" t="s">
        <v>198</v>
      </c>
      <c r="E6443" s="13" t="s">
        <v>61</v>
      </c>
      <c r="F6443" s="13" t="s">
        <v>2081</v>
      </c>
      <c r="G6443" s="13">
        <v>0.79</v>
      </c>
      <c r="H6443" s="15">
        <v>2754</v>
      </c>
      <c r="I6443" s="16">
        <v>2175.66</v>
      </c>
      <c r="J6443" s="16">
        <v>1881.7044613675303</v>
      </c>
      <c r="K6443" s="16">
        <v>293.95553863246994</v>
      </c>
      <c r="L6443" s="13">
        <v>2</v>
      </c>
      <c r="M6443" s="13"/>
      <c r="N6443" s="17">
        <f t="shared" si="210"/>
        <v>5508</v>
      </c>
      <c r="O6443" s="17">
        <f t="shared" si="210"/>
        <v>0</v>
      </c>
      <c r="P6443" s="17">
        <f t="shared" si="211"/>
        <v>5508</v>
      </c>
      <c r="Q6443" t="str">
        <f>A6443&amp;"-"&amp;B6443&amp;"-"&amp;D6443</f>
        <v>DESEMBER-MJ2-L8</v>
      </c>
    </row>
    <row r="6444" spans="1:17" x14ac:dyDescent="0.25">
      <c r="A6444" t="s">
        <v>402</v>
      </c>
      <c r="B6444" s="13" t="s">
        <v>26</v>
      </c>
      <c r="C6444" s="13" t="s">
        <v>226</v>
      </c>
      <c r="D6444" s="14" t="s">
        <v>198</v>
      </c>
      <c r="E6444" s="13" t="s">
        <v>61</v>
      </c>
      <c r="F6444" s="13" t="s">
        <v>1936</v>
      </c>
      <c r="G6444" s="13">
        <v>0.8</v>
      </c>
      <c r="H6444" s="15">
        <v>77</v>
      </c>
      <c r="I6444" s="16">
        <v>61.6</v>
      </c>
      <c r="J6444" s="16">
        <v>50.910588235294121</v>
      </c>
      <c r="K6444" s="16">
        <v>10.689411764705881</v>
      </c>
      <c r="L6444" s="13">
        <v>2.0699999999999998</v>
      </c>
      <c r="M6444" s="13"/>
      <c r="N6444" s="17">
        <f t="shared" si="210"/>
        <v>159.38999999999999</v>
      </c>
      <c r="O6444" s="17">
        <f t="shared" si="210"/>
        <v>0</v>
      </c>
      <c r="P6444" s="17">
        <f t="shared" si="211"/>
        <v>159.38999999999999</v>
      </c>
      <c r="Q6444" t="str">
        <f>A6444&amp;"-"&amp;B6444&amp;"-"&amp;D6444</f>
        <v>DESEMBER-MJ2-L8</v>
      </c>
    </row>
    <row r="6445" spans="1:17" x14ac:dyDescent="0.25">
      <c r="A6445" t="s">
        <v>402</v>
      </c>
      <c r="B6445" s="13" t="s">
        <v>26</v>
      </c>
      <c r="C6445" s="13" t="s">
        <v>226</v>
      </c>
      <c r="D6445" s="14" t="s">
        <v>198</v>
      </c>
      <c r="E6445" s="13" t="s">
        <v>61</v>
      </c>
      <c r="F6445" s="13" t="s">
        <v>1940</v>
      </c>
      <c r="G6445" s="13">
        <v>0.79</v>
      </c>
      <c r="H6445" s="15">
        <v>103</v>
      </c>
      <c r="I6445" s="16">
        <v>81.37</v>
      </c>
      <c r="J6445" s="16">
        <v>78.08570114942529</v>
      </c>
      <c r="K6445" s="16">
        <v>3.2842988505747073</v>
      </c>
      <c r="L6445" s="13">
        <v>2</v>
      </c>
      <c r="M6445" s="13"/>
      <c r="N6445" s="17">
        <f t="shared" si="210"/>
        <v>206</v>
      </c>
      <c r="O6445" s="17">
        <f t="shared" si="210"/>
        <v>0</v>
      </c>
      <c r="P6445" s="17">
        <f t="shared" si="211"/>
        <v>206</v>
      </c>
      <c r="Q6445" t="str">
        <f>A6445&amp;"-"&amp;B6445&amp;"-"&amp;D6445</f>
        <v>DESEMBER-MJ2-L8</v>
      </c>
    </row>
    <row r="6446" spans="1:17" x14ac:dyDescent="0.25">
      <c r="A6446" t="s">
        <v>402</v>
      </c>
      <c r="B6446" s="13" t="s">
        <v>26</v>
      </c>
      <c r="C6446" s="13" t="s">
        <v>226</v>
      </c>
      <c r="D6446" s="14" t="s">
        <v>198</v>
      </c>
      <c r="E6446" s="13" t="s">
        <v>61</v>
      </c>
      <c r="F6446" s="13" t="s">
        <v>2082</v>
      </c>
      <c r="G6446" s="13">
        <v>0.79</v>
      </c>
      <c r="H6446" s="15">
        <v>226</v>
      </c>
      <c r="I6446" s="16">
        <v>178.54</v>
      </c>
      <c r="J6446" s="16">
        <v>138.223099429635</v>
      </c>
      <c r="K6446" s="16">
        <v>40.316900570365014</v>
      </c>
      <c r="L6446" s="13">
        <v>2</v>
      </c>
      <c r="M6446" s="13"/>
      <c r="N6446" s="17">
        <f t="shared" si="210"/>
        <v>452</v>
      </c>
      <c r="O6446" s="17">
        <f t="shared" si="210"/>
        <v>0</v>
      </c>
      <c r="P6446" s="17">
        <f t="shared" si="211"/>
        <v>452</v>
      </c>
      <c r="Q6446" t="str">
        <f>A6446&amp;"-"&amp;B6446&amp;"-"&amp;D6446</f>
        <v>DESEMBER-MJ2-L8</v>
      </c>
    </row>
    <row r="6447" spans="1:17" x14ac:dyDescent="0.25">
      <c r="A6447" t="s">
        <v>402</v>
      </c>
      <c r="B6447" s="13" t="s">
        <v>26</v>
      </c>
      <c r="C6447" s="13" t="s">
        <v>226</v>
      </c>
      <c r="D6447" s="14" t="s">
        <v>198</v>
      </c>
      <c r="E6447" s="13" t="s">
        <v>61</v>
      </c>
      <c r="F6447" s="13" t="s">
        <v>2083</v>
      </c>
      <c r="G6447" s="13">
        <v>0.77</v>
      </c>
      <c r="H6447" s="15">
        <v>7</v>
      </c>
      <c r="I6447" s="16">
        <v>5.39</v>
      </c>
      <c r="J6447" s="16">
        <v>4.3112328767123289</v>
      </c>
      <c r="K6447" s="16">
        <v>1.0787671232876708</v>
      </c>
      <c r="L6447" s="13">
        <v>2.15</v>
      </c>
      <c r="M6447" s="13"/>
      <c r="N6447" s="17">
        <f t="shared" si="210"/>
        <v>15.049999999999999</v>
      </c>
      <c r="O6447" s="17">
        <f t="shared" si="210"/>
        <v>0</v>
      </c>
      <c r="P6447" s="17">
        <f t="shared" si="211"/>
        <v>15.049999999999999</v>
      </c>
      <c r="Q6447" t="str">
        <f>A6447&amp;"-"&amp;B6447&amp;"-"&amp;D6447</f>
        <v>DESEMBER-MJ2-L8</v>
      </c>
    </row>
    <row r="6448" spans="1:17" x14ac:dyDescent="0.25">
      <c r="A6448" t="s">
        <v>402</v>
      </c>
      <c r="B6448" s="13" t="s">
        <v>26</v>
      </c>
      <c r="C6448" s="13" t="s">
        <v>226</v>
      </c>
      <c r="D6448" s="14" t="s">
        <v>198</v>
      </c>
      <c r="E6448" s="13" t="s">
        <v>61</v>
      </c>
      <c r="F6448" s="13" t="s">
        <v>1944</v>
      </c>
      <c r="G6448" s="13">
        <v>0.8</v>
      </c>
      <c r="H6448" s="15">
        <v>108</v>
      </c>
      <c r="I6448" s="16">
        <v>86.4</v>
      </c>
      <c r="J6448" s="16">
        <v>71.407058823529411</v>
      </c>
      <c r="K6448" s="16">
        <v>14.992941176470595</v>
      </c>
      <c r="L6448" s="13">
        <v>2.0699999999999998</v>
      </c>
      <c r="M6448" s="13"/>
      <c r="N6448" s="17">
        <f t="shared" si="210"/>
        <v>223.55999999999997</v>
      </c>
      <c r="O6448" s="17">
        <f t="shared" si="210"/>
        <v>0</v>
      </c>
      <c r="P6448" s="17">
        <f t="shared" si="211"/>
        <v>223.55999999999997</v>
      </c>
      <c r="Q6448" t="str">
        <f>A6448&amp;"-"&amp;B6448&amp;"-"&amp;D6448</f>
        <v>DESEMBER-MJ2-L8</v>
      </c>
    </row>
    <row r="6449" spans="1:17" x14ac:dyDescent="0.25">
      <c r="A6449" t="s">
        <v>402</v>
      </c>
      <c r="B6449" s="13" t="s">
        <v>26</v>
      </c>
      <c r="C6449" s="13" t="s">
        <v>226</v>
      </c>
      <c r="D6449" s="14" t="s">
        <v>198</v>
      </c>
      <c r="E6449" s="13" t="s">
        <v>61</v>
      </c>
      <c r="F6449" s="13" t="s">
        <v>2084</v>
      </c>
      <c r="G6449" s="13">
        <v>0.79999999999999993</v>
      </c>
      <c r="H6449" s="15">
        <v>2655</v>
      </c>
      <c r="I6449" s="16">
        <v>2124</v>
      </c>
      <c r="J6449" s="16">
        <v>1829.1588276741038</v>
      </c>
      <c r="K6449" s="16">
        <v>294.84117232589608</v>
      </c>
      <c r="L6449" s="13">
        <v>2.0699999999999998</v>
      </c>
      <c r="M6449" s="13"/>
      <c r="N6449" s="17">
        <f t="shared" ref="N6449:O6493" si="212">$H6449*L6449</f>
        <v>5495.8499999999995</v>
      </c>
      <c r="O6449" s="17">
        <f t="shared" si="212"/>
        <v>0</v>
      </c>
      <c r="P6449" s="17">
        <f t="shared" si="211"/>
        <v>5495.8499999999995</v>
      </c>
      <c r="Q6449" t="str">
        <f>A6449&amp;"-"&amp;B6449&amp;"-"&amp;D6449</f>
        <v>DESEMBER-MJ2-L8</v>
      </c>
    </row>
    <row r="6450" spans="1:17" x14ac:dyDescent="0.25">
      <c r="A6450" t="s">
        <v>402</v>
      </c>
      <c r="B6450" s="13" t="s">
        <v>26</v>
      </c>
      <c r="C6450" s="13" t="s">
        <v>226</v>
      </c>
      <c r="D6450" s="14" t="s">
        <v>198</v>
      </c>
      <c r="E6450" s="13" t="s">
        <v>61</v>
      </c>
      <c r="F6450" s="13" t="s">
        <v>2085</v>
      </c>
      <c r="G6450" s="13">
        <v>0.78</v>
      </c>
      <c r="H6450" s="15">
        <v>136</v>
      </c>
      <c r="I6450" s="16">
        <v>106.08</v>
      </c>
      <c r="J6450" s="16">
        <v>91.620217692326548</v>
      </c>
      <c r="K6450" s="16">
        <v>14.459782307673455</v>
      </c>
      <c r="L6450" s="13">
        <v>2.2200000000000002</v>
      </c>
      <c r="M6450" s="13"/>
      <c r="N6450" s="17">
        <f t="shared" si="212"/>
        <v>301.92</v>
      </c>
      <c r="O6450" s="17">
        <f t="shared" si="212"/>
        <v>0</v>
      </c>
      <c r="P6450" s="17">
        <f t="shared" si="211"/>
        <v>301.92</v>
      </c>
      <c r="Q6450" t="str">
        <f>A6450&amp;"-"&amp;B6450&amp;"-"&amp;D6450</f>
        <v>DESEMBER-MJ2-L8</v>
      </c>
    </row>
    <row r="6451" spans="1:17" x14ac:dyDescent="0.25">
      <c r="A6451" t="s">
        <v>402</v>
      </c>
      <c r="B6451" s="13" t="s">
        <v>26</v>
      </c>
      <c r="C6451" s="13" t="s">
        <v>226</v>
      </c>
      <c r="D6451" s="14" t="s">
        <v>198</v>
      </c>
      <c r="E6451" s="13" t="s">
        <v>61</v>
      </c>
      <c r="F6451" s="13" t="s">
        <v>1946</v>
      </c>
      <c r="G6451" s="13">
        <v>0.79</v>
      </c>
      <c r="H6451" s="15">
        <v>170</v>
      </c>
      <c r="I6451" s="16">
        <v>134.30000000000001</v>
      </c>
      <c r="J6451" s="16">
        <v>129.9280951366097</v>
      </c>
      <c r="K6451" s="16">
        <v>4.3719048633903039</v>
      </c>
      <c r="L6451" s="13">
        <v>2</v>
      </c>
      <c r="M6451" s="13"/>
      <c r="N6451" s="17">
        <f t="shared" si="212"/>
        <v>340</v>
      </c>
      <c r="O6451" s="17">
        <f t="shared" si="212"/>
        <v>0</v>
      </c>
      <c r="P6451" s="17">
        <f t="shared" si="211"/>
        <v>340</v>
      </c>
      <c r="Q6451" t="str">
        <f>A6451&amp;"-"&amp;B6451&amp;"-"&amp;D6451</f>
        <v>DESEMBER-MJ2-L8</v>
      </c>
    </row>
    <row r="6452" spans="1:17" x14ac:dyDescent="0.25">
      <c r="A6452" t="s">
        <v>402</v>
      </c>
      <c r="B6452" s="13" t="s">
        <v>26</v>
      </c>
      <c r="C6452" s="13" t="s">
        <v>226</v>
      </c>
      <c r="D6452" s="14" t="s">
        <v>198</v>
      </c>
      <c r="E6452" s="13" t="s">
        <v>61</v>
      </c>
      <c r="F6452" s="13" t="s">
        <v>2086</v>
      </c>
      <c r="G6452" s="13">
        <v>0.79</v>
      </c>
      <c r="H6452" s="15">
        <v>1608</v>
      </c>
      <c r="I6452" s="16">
        <v>1270.3200000000002</v>
      </c>
      <c r="J6452" s="16">
        <v>1119.1905224455909</v>
      </c>
      <c r="K6452" s="16">
        <v>151.12947755440911</v>
      </c>
      <c r="L6452" s="13">
        <v>2</v>
      </c>
      <c r="M6452" s="13"/>
      <c r="N6452" s="17">
        <f t="shared" si="212"/>
        <v>3216</v>
      </c>
      <c r="O6452" s="17">
        <f t="shared" si="212"/>
        <v>0</v>
      </c>
      <c r="P6452" s="17">
        <f t="shared" si="211"/>
        <v>3216</v>
      </c>
      <c r="Q6452" t="str">
        <f>A6452&amp;"-"&amp;B6452&amp;"-"&amp;D6452</f>
        <v>DESEMBER-MJ2-L8</v>
      </c>
    </row>
    <row r="6453" spans="1:17" x14ac:dyDescent="0.25">
      <c r="A6453" t="s">
        <v>402</v>
      </c>
      <c r="B6453" s="13" t="s">
        <v>26</v>
      </c>
      <c r="C6453" s="13" t="s">
        <v>226</v>
      </c>
      <c r="D6453" s="14" t="s">
        <v>198</v>
      </c>
      <c r="E6453" s="13" t="s">
        <v>61</v>
      </c>
      <c r="F6453" s="13" t="s">
        <v>2087</v>
      </c>
      <c r="G6453" s="13">
        <v>0.77</v>
      </c>
      <c r="H6453" s="15">
        <v>8</v>
      </c>
      <c r="I6453" s="16">
        <v>6.16</v>
      </c>
      <c r="J6453" s="16">
        <v>4.9955555555555557</v>
      </c>
      <c r="K6453" s="16">
        <v>1.1644444444444444</v>
      </c>
      <c r="L6453" s="13">
        <v>2.15</v>
      </c>
      <c r="M6453" s="13"/>
      <c r="N6453" s="17">
        <f t="shared" si="212"/>
        <v>17.2</v>
      </c>
      <c r="O6453" s="17">
        <f t="shared" si="212"/>
        <v>0</v>
      </c>
      <c r="P6453" s="17">
        <f t="shared" si="211"/>
        <v>17.2</v>
      </c>
      <c r="Q6453" t="str">
        <f>A6453&amp;"-"&amp;B6453&amp;"-"&amp;D6453</f>
        <v>DESEMBER-MJ2-L8</v>
      </c>
    </row>
    <row r="6454" spans="1:17" x14ac:dyDescent="0.25">
      <c r="A6454" t="s">
        <v>402</v>
      </c>
      <c r="B6454" s="13" t="s">
        <v>26</v>
      </c>
      <c r="C6454" s="13" t="s">
        <v>226</v>
      </c>
      <c r="D6454" s="14" t="s">
        <v>198</v>
      </c>
      <c r="E6454" s="13" t="s">
        <v>61</v>
      </c>
      <c r="F6454" s="13" t="s">
        <v>2088</v>
      </c>
      <c r="G6454" s="13">
        <v>0.83</v>
      </c>
      <c r="H6454" s="15">
        <v>3064</v>
      </c>
      <c r="I6454" s="16">
        <v>2543.1199999999994</v>
      </c>
      <c r="J6454" s="16">
        <v>2244.8854937377068</v>
      </c>
      <c r="K6454" s="16">
        <v>298.23450626229305</v>
      </c>
      <c r="L6454" s="13">
        <v>2.13</v>
      </c>
      <c r="M6454" s="13"/>
      <c r="N6454" s="17">
        <f t="shared" si="212"/>
        <v>6526.32</v>
      </c>
      <c r="O6454" s="17">
        <f t="shared" si="212"/>
        <v>0</v>
      </c>
      <c r="P6454" s="17">
        <f t="shared" si="211"/>
        <v>6526.32</v>
      </c>
      <c r="Q6454" t="str">
        <f>A6454&amp;"-"&amp;B6454&amp;"-"&amp;D6454</f>
        <v>DESEMBER-MJ2-L8</v>
      </c>
    </row>
    <row r="6455" spans="1:17" x14ac:dyDescent="0.25">
      <c r="A6455" t="s">
        <v>402</v>
      </c>
      <c r="B6455" s="13" t="s">
        <v>26</v>
      </c>
      <c r="C6455" s="13" t="s">
        <v>226</v>
      </c>
      <c r="D6455" s="14" t="s">
        <v>198</v>
      </c>
      <c r="E6455" s="13" t="s">
        <v>61</v>
      </c>
      <c r="F6455" s="13" t="s">
        <v>2089</v>
      </c>
      <c r="G6455" s="13">
        <v>0.78</v>
      </c>
      <c r="H6455" s="15">
        <v>20</v>
      </c>
      <c r="I6455" s="16">
        <v>15.6</v>
      </c>
      <c r="J6455" s="16">
        <v>13.704575761489217</v>
      </c>
      <c r="K6455" s="16">
        <v>1.8954242385107829</v>
      </c>
      <c r="L6455" s="13">
        <v>2.29</v>
      </c>
      <c r="M6455" s="13"/>
      <c r="N6455" s="17">
        <f t="shared" si="212"/>
        <v>45.8</v>
      </c>
      <c r="O6455" s="17">
        <f t="shared" si="212"/>
        <v>0</v>
      </c>
      <c r="P6455" s="17">
        <f t="shared" si="211"/>
        <v>45.8</v>
      </c>
      <c r="Q6455" t="str">
        <f>A6455&amp;"-"&amp;B6455&amp;"-"&amp;D6455</f>
        <v>DESEMBER-MJ2-L8</v>
      </c>
    </row>
    <row r="6456" spans="1:17" x14ac:dyDescent="0.25">
      <c r="A6456" t="s">
        <v>402</v>
      </c>
      <c r="B6456" s="13" t="s">
        <v>26</v>
      </c>
      <c r="C6456" s="13" t="s">
        <v>226</v>
      </c>
      <c r="D6456" s="14" t="s">
        <v>198</v>
      </c>
      <c r="E6456" s="13" t="s">
        <v>61</v>
      </c>
      <c r="F6456" s="13" t="s">
        <v>1949</v>
      </c>
      <c r="G6456" s="13">
        <v>0.79</v>
      </c>
      <c r="H6456" s="15">
        <v>1143</v>
      </c>
      <c r="I6456" s="16">
        <v>902.96999999999991</v>
      </c>
      <c r="J6456" s="16">
        <v>823.86339647778664</v>
      </c>
      <c r="K6456" s="16">
        <v>79.106603522213291</v>
      </c>
      <c r="L6456" s="13">
        <v>2</v>
      </c>
      <c r="M6456" s="13"/>
      <c r="N6456" s="17">
        <f t="shared" si="212"/>
        <v>2286</v>
      </c>
      <c r="O6456" s="17">
        <f t="shared" si="212"/>
        <v>0</v>
      </c>
      <c r="P6456" s="17">
        <f t="shared" si="211"/>
        <v>2286</v>
      </c>
      <c r="Q6456" t="str">
        <f>A6456&amp;"-"&amp;B6456&amp;"-"&amp;D6456</f>
        <v>DESEMBER-MJ2-L8</v>
      </c>
    </row>
    <row r="6457" spans="1:17" x14ac:dyDescent="0.25">
      <c r="A6457" t="s">
        <v>402</v>
      </c>
      <c r="B6457" s="13" t="s">
        <v>26</v>
      </c>
      <c r="C6457" s="13" t="s">
        <v>226</v>
      </c>
      <c r="D6457" s="14" t="s">
        <v>198</v>
      </c>
      <c r="E6457" s="13" t="s">
        <v>61</v>
      </c>
      <c r="F6457" s="13" t="s">
        <v>1950</v>
      </c>
      <c r="G6457" s="13">
        <v>0.8</v>
      </c>
      <c r="H6457" s="15">
        <v>55</v>
      </c>
      <c r="I6457" s="16">
        <v>44</v>
      </c>
      <c r="J6457" s="16">
        <v>36.364705882352943</v>
      </c>
      <c r="K6457" s="16">
        <v>7.6352941176470566</v>
      </c>
      <c r="L6457" s="13">
        <v>2.0699999999999998</v>
      </c>
      <c r="M6457" s="13"/>
      <c r="N6457" s="17">
        <f t="shared" si="212"/>
        <v>113.85</v>
      </c>
      <c r="O6457" s="17">
        <f t="shared" si="212"/>
        <v>0</v>
      </c>
      <c r="P6457" s="17">
        <f t="shared" si="211"/>
        <v>113.85</v>
      </c>
      <c r="Q6457" t="str">
        <f>A6457&amp;"-"&amp;B6457&amp;"-"&amp;D6457</f>
        <v>DESEMBER-MJ2-L8</v>
      </c>
    </row>
    <row r="6458" spans="1:17" x14ac:dyDescent="0.25">
      <c r="A6458" t="s">
        <v>402</v>
      </c>
      <c r="B6458" s="13" t="s">
        <v>26</v>
      </c>
      <c r="C6458" s="13" t="s">
        <v>226</v>
      </c>
      <c r="D6458" s="14" t="s">
        <v>198</v>
      </c>
      <c r="E6458" s="13" t="s">
        <v>61</v>
      </c>
      <c r="F6458" s="13" t="s">
        <v>2090</v>
      </c>
      <c r="G6458" s="13">
        <v>0.79999999999999993</v>
      </c>
      <c r="H6458" s="15">
        <v>1373</v>
      </c>
      <c r="I6458" s="16">
        <v>1098.4000000000001</v>
      </c>
      <c r="J6458" s="16">
        <v>896.44170044218163</v>
      </c>
      <c r="K6458" s="16">
        <v>201.95829955781824</v>
      </c>
      <c r="L6458" s="13">
        <v>2.0699999999999998</v>
      </c>
      <c r="M6458" s="13"/>
      <c r="N6458" s="17">
        <f t="shared" si="212"/>
        <v>2842.1099999999997</v>
      </c>
      <c r="O6458" s="17">
        <f t="shared" si="212"/>
        <v>0</v>
      </c>
      <c r="P6458" s="17">
        <f t="shared" si="211"/>
        <v>2842.1099999999997</v>
      </c>
      <c r="Q6458" t="str">
        <f>A6458&amp;"-"&amp;B6458&amp;"-"&amp;D6458</f>
        <v>DESEMBER-MJ2-L8</v>
      </c>
    </row>
    <row r="6459" spans="1:17" x14ac:dyDescent="0.25">
      <c r="A6459" t="s">
        <v>402</v>
      </c>
      <c r="B6459" s="13" t="s">
        <v>26</v>
      </c>
      <c r="C6459" s="13" t="s">
        <v>226</v>
      </c>
      <c r="D6459" s="14" t="s">
        <v>198</v>
      </c>
      <c r="E6459" s="13" t="s">
        <v>61</v>
      </c>
      <c r="F6459" s="13" t="s">
        <v>2091</v>
      </c>
      <c r="G6459" s="13">
        <v>0.78</v>
      </c>
      <c r="H6459" s="15">
        <v>56</v>
      </c>
      <c r="I6459" s="16">
        <v>43.68</v>
      </c>
      <c r="J6459" s="16">
        <v>35.039908225848805</v>
      </c>
      <c r="K6459" s="16">
        <v>8.6400917741512018</v>
      </c>
      <c r="L6459" s="13">
        <v>2.2200000000000002</v>
      </c>
      <c r="M6459" s="13"/>
      <c r="N6459" s="17">
        <f t="shared" si="212"/>
        <v>124.32000000000001</v>
      </c>
      <c r="O6459" s="17">
        <f t="shared" si="212"/>
        <v>0</v>
      </c>
      <c r="P6459" s="17">
        <f t="shared" si="211"/>
        <v>124.32000000000001</v>
      </c>
      <c r="Q6459" t="str">
        <f>A6459&amp;"-"&amp;B6459&amp;"-"&amp;D6459</f>
        <v>DESEMBER-MJ2-L8</v>
      </c>
    </row>
    <row r="6460" spans="1:17" x14ac:dyDescent="0.25">
      <c r="A6460" t="s">
        <v>402</v>
      </c>
      <c r="B6460" s="13" t="s">
        <v>26</v>
      </c>
      <c r="C6460" s="13" t="s">
        <v>226</v>
      </c>
      <c r="D6460" s="14" t="s">
        <v>198</v>
      </c>
      <c r="E6460" s="13" t="s">
        <v>61</v>
      </c>
      <c r="F6460" s="13" t="s">
        <v>2092</v>
      </c>
      <c r="G6460" s="13">
        <v>0.83</v>
      </c>
      <c r="H6460" s="15">
        <v>1687</v>
      </c>
      <c r="I6460" s="16">
        <v>1400.21</v>
      </c>
      <c r="J6460" s="16">
        <v>1161.093883270232</v>
      </c>
      <c r="K6460" s="16">
        <v>239.11611672976807</v>
      </c>
      <c r="L6460" s="13">
        <v>2.13</v>
      </c>
      <c r="M6460" s="13"/>
      <c r="N6460" s="17">
        <f t="shared" si="212"/>
        <v>3593.31</v>
      </c>
      <c r="O6460" s="17">
        <f t="shared" si="212"/>
        <v>0</v>
      </c>
      <c r="P6460" s="17">
        <f t="shared" si="211"/>
        <v>3593.31</v>
      </c>
      <c r="Q6460" t="str">
        <f>A6460&amp;"-"&amp;B6460&amp;"-"&amp;D6460</f>
        <v>DESEMBER-MJ2-L8</v>
      </c>
    </row>
    <row r="6461" spans="1:17" x14ac:dyDescent="0.25">
      <c r="A6461" t="s">
        <v>402</v>
      </c>
      <c r="B6461" s="13" t="s">
        <v>26</v>
      </c>
      <c r="C6461" s="13" t="s">
        <v>226</v>
      </c>
      <c r="D6461" s="14" t="s">
        <v>198</v>
      </c>
      <c r="E6461" s="13" t="s">
        <v>61</v>
      </c>
      <c r="F6461" s="13" t="s">
        <v>2093</v>
      </c>
      <c r="G6461" s="13">
        <v>0.65</v>
      </c>
      <c r="H6461" s="15">
        <v>5204</v>
      </c>
      <c r="I6461" s="16">
        <v>3382.5999999999995</v>
      </c>
      <c r="J6461" s="16">
        <v>2969.3618615931591</v>
      </c>
      <c r="K6461" s="16">
        <v>413.23813840684102</v>
      </c>
      <c r="L6461" s="13">
        <v>1.66</v>
      </c>
      <c r="M6461" s="13"/>
      <c r="N6461" s="17">
        <f t="shared" si="212"/>
        <v>8638.64</v>
      </c>
      <c r="O6461" s="17">
        <f t="shared" si="212"/>
        <v>0</v>
      </c>
      <c r="P6461" s="17">
        <f t="shared" si="211"/>
        <v>8638.64</v>
      </c>
      <c r="Q6461" t="str">
        <f>A6461&amp;"-"&amp;B6461&amp;"-"&amp;D6461</f>
        <v>DESEMBER-MJ2-L8</v>
      </c>
    </row>
    <row r="6462" spans="1:17" x14ac:dyDescent="0.25">
      <c r="A6462" t="s">
        <v>402</v>
      </c>
      <c r="B6462" s="13" t="s">
        <v>26</v>
      </c>
      <c r="C6462" s="13" t="s">
        <v>226</v>
      </c>
      <c r="D6462" s="14" t="s">
        <v>198</v>
      </c>
      <c r="E6462" s="13" t="s">
        <v>61</v>
      </c>
      <c r="F6462" s="13" t="s">
        <v>2094</v>
      </c>
      <c r="G6462" s="13">
        <v>0.65</v>
      </c>
      <c r="H6462" s="15">
        <v>3167</v>
      </c>
      <c r="I6462" s="16">
        <v>2058.5499999999997</v>
      </c>
      <c r="J6462" s="16">
        <v>1899.0021681748919</v>
      </c>
      <c r="K6462" s="16">
        <v>159.54783182510798</v>
      </c>
      <c r="L6462" s="13">
        <v>1.66</v>
      </c>
      <c r="M6462" s="13"/>
      <c r="N6462" s="17">
        <f t="shared" si="212"/>
        <v>5257.2199999999993</v>
      </c>
      <c r="O6462" s="17">
        <f t="shared" si="212"/>
        <v>0</v>
      </c>
      <c r="P6462" s="17">
        <f t="shared" si="211"/>
        <v>5257.2199999999993</v>
      </c>
      <c r="Q6462" t="str">
        <f>A6462&amp;"-"&amp;B6462&amp;"-"&amp;D6462</f>
        <v>DESEMBER-MJ2-L8</v>
      </c>
    </row>
    <row r="6463" spans="1:17" x14ac:dyDescent="0.25">
      <c r="A6463" t="s">
        <v>402</v>
      </c>
      <c r="B6463" s="13" t="s">
        <v>26</v>
      </c>
      <c r="C6463" s="13" t="s">
        <v>226</v>
      </c>
      <c r="D6463" s="14" t="s">
        <v>198</v>
      </c>
      <c r="E6463" s="13" t="s">
        <v>61</v>
      </c>
      <c r="F6463" s="13" t="s">
        <v>2095</v>
      </c>
      <c r="G6463" s="13">
        <v>0.65</v>
      </c>
      <c r="H6463" s="15">
        <v>1360</v>
      </c>
      <c r="I6463" s="16">
        <v>884</v>
      </c>
      <c r="J6463" s="16">
        <v>873.50857142857137</v>
      </c>
      <c r="K6463" s="16">
        <v>10.491428571428628</v>
      </c>
      <c r="L6463" s="13">
        <v>1.64</v>
      </c>
      <c r="M6463" s="13"/>
      <c r="N6463" s="17">
        <f t="shared" si="212"/>
        <v>2230.4</v>
      </c>
      <c r="O6463" s="17">
        <f t="shared" si="212"/>
        <v>0</v>
      </c>
      <c r="P6463" s="17">
        <f t="shared" si="211"/>
        <v>2230.4</v>
      </c>
      <c r="Q6463" t="str">
        <f>A6463&amp;"-"&amp;B6463&amp;"-"&amp;D6463</f>
        <v>DESEMBER-MJ2-L8</v>
      </c>
    </row>
    <row r="6464" spans="1:17" x14ac:dyDescent="0.25">
      <c r="A6464" t="s">
        <v>402</v>
      </c>
      <c r="B6464" s="13" t="s">
        <v>26</v>
      </c>
      <c r="C6464" s="13" t="s">
        <v>226</v>
      </c>
      <c r="D6464" s="14" t="s">
        <v>199</v>
      </c>
      <c r="E6464" s="13" t="s">
        <v>61</v>
      </c>
      <c r="F6464" s="13" t="s">
        <v>2127</v>
      </c>
      <c r="G6464" s="13">
        <v>0.79</v>
      </c>
      <c r="H6464" s="15">
        <v>223</v>
      </c>
      <c r="I6464" s="16">
        <v>176.17</v>
      </c>
      <c r="J6464" s="16">
        <v>143.22971428571427</v>
      </c>
      <c r="K6464" s="16">
        <v>32.940285714285721</v>
      </c>
      <c r="L6464" s="13">
        <v>1.86</v>
      </c>
      <c r="M6464" s="13"/>
      <c r="N6464" s="17">
        <f t="shared" si="212"/>
        <v>414.78000000000003</v>
      </c>
      <c r="O6464" s="17">
        <f t="shared" si="212"/>
        <v>0</v>
      </c>
      <c r="P6464" s="17">
        <f t="shared" si="211"/>
        <v>414.78000000000003</v>
      </c>
      <c r="Q6464" t="str">
        <f>A6464&amp;"-"&amp;B6464&amp;"-"&amp;D6464</f>
        <v>DESEMBER-MJ2-L9</v>
      </c>
    </row>
    <row r="6465" spans="1:17" x14ac:dyDescent="0.25">
      <c r="A6465" t="s">
        <v>402</v>
      </c>
      <c r="B6465" s="13" t="s">
        <v>26</v>
      </c>
      <c r="C6465" s="13" t="s">
        <v>226</v>
      </c>
      <c r="D6465" s="14" t="s">
        <v>199</v>
      </c>
      <c r="E6465" s="13" t="s">
        <v>61</v>
      </c>
      <c r="F6465" s="13" t="s">
        <v>1931</v>
      </c>
      <c r="G6465" s="13">
        <v>0.67999999999999994</v>
      </c>
      <c r="H6465" s="15">
        <v>145</v>
      </c>
      <c r="I6465" s="16">
        <v>98.600000000000009</v>
      </c>
      <c r="J6465" s="16">
        <v>99.854246065038865</v>
      </c>
      <c r="K6465" s="16">
        <v>-1.2542460650388638</v>
      </c>
      <c r="L6465" s="13">
        <v>1.69</v>
      </c>
      <c r="M6465" s="13"/>
      <c r="N6465" s="17">
        <f t="shared" si="212"/>
        <v>245.04999999999998</v>
      </c>
      <c r="O6465" s="17">
        <f t="shared" si="212"/>
        <v>0</v>
      </c>
      <c r="P6465" s="17">
        <f t="shared" si="211"/>
        <v>245.04999999999998</v>
      </c>
      <c r="Q6465" t="str">
        <f>A6465&amp;"-"&amp;B6465&amp;"-"&amp;D6465</f>
        <v>DESEMBER-MJ2-L9</v>
      </c>
    </row>
    <row r="6466" spans="1:17" x14ac:dyDescent="0.25">
      <c r="A6466" t="s">
        <v>402</v>
      </c>
      <c r="B6466" s="13" t="s">
        <v>26</v>
      </c>
      <c r="C6466" s="13" t="s">
        <v>226</v>
      </c>
      <c r="D6466" s="14" t="s">
        <v>199</v>
      </c>
      <c r="E6466" s="13" t="s">
        <v>61</v>
      </c>
      <c r="F6466" s="13" t="s">
        <v>2077</v>
      </c>
      <c r="G6466" s="13">
        <v>0.67999999999999994</v>
      </c>
      <c r="H6466" s="15">
        <v>3915</v>
      </c>
      <c r="I6466" s="16">
        <v>2662.2000000000003</v>
      </c>
      <c r="J6466" s="16">
        <v>2447.8144904161127</v>
      </c>
      <c r="K6466" s="16">
        <v>214.38550958388714</v>
      </c>
      <c r="L6466" s="13">
        <v>1.61</v>
      </c>
      <c r="M6466" s="13"/>
      <c r="N6466" s="17">
        <f t="shared" si="212"/>
        <v>6303.1500000000005</v>
      </c>
      <c r="O6466" s="17">
        <f t="shared" si="212"/>
        <v>0</v>
      </c>
      <c r="P6466" s="17">
        <f t="shared" ref="P6466:P6493" si="213">N6466+O6466</f>
        <v>6303.1500000000005</v>
      </c>
      <c r="Q6466" t="str">
        <f>A6466&amp;"-"&amp;B6466&amp;"-"&amp;D6466</f>
        <v>DESEMBER-MJ2-L9</v>
      </c>
    </row>
    <row r="6467" spans="1:17" x14ac:dyDescent="0.25">
      <c r="A6467" t="s">
        <v>402</v>
      </c>
      <c r="B6467" s="13" t="s">
        <v>26</v>
      </c>
      <c r="C6467" s="13" t="s">
        <v>226</v>
      </c>
      <c r="D6467" s="14" t="s">
        <v>199</v>
      </c>
      <c r="E6467" s="13" t="s">
        <v>61</v>
      </c>
      <c r="F6467" s="13" t="s">
        <v>2079</v>
      </c>
      <c r="G6467" s="13">
        <v>0.67999999999999994</v>
      </c>
      <c r="H6467" s="15">
        <v>2449</v>
      </c>
      <c r="I6467" s="16">
        <v>1665.32</v>
      </c>
      <c r="J6467" s="16">
        <v>1657.3250430504233</v>
      </c>
      <c r="K6467" s="16">
        <v>7.9949569495765571</v>
      </c>
      <c r="L6467" s="13">
        <v>1.7</v>
      </c>
      <c r="M6467" s="13"/>
      <c r="N6467" s="17">
        <f t="shared" si="212"/>
        <v>4163.3</v>
      </c>
      <c r="O6467" s="17">
        <f t="shared" si="212"/>
        <v>0</v>
      </c>
      <c r="P6467" s="17">
        <f t="shared" si="213"/>
        <v>4163.3</v>
      </c>
      <c r="Q6467" t="str">
        <f>A6467&amp;"-"&amp;B6467&amp;"-"&amp;D6467</f>
        <v>DESEMBER-MJ2-L9</v>
      </c>
    </row>
    <row r="6468" spans="1:17" x14ac:dyDescent="0.25">
      <c r="A6468" t="s">
        <v>402</v>
      </c>
      <c r="B6468" s="13" t="s">
        <v>26</v>
      </c>
      <c r="C6468" s="13" t="s">
        <v>226</v>
      </c>
      <c r="D6468" s="14" t="s">
        <v>199</v>
      </c>
      <c r="E6468" s="13" t="s">
        <v>61</v>
      </c>
      <c r="F6468" s="13" t="s">
        <v>1932</v>
      </c>
      <c r="G6468" s="13">
        <v>0.68</v>
      </c>
      <c r="H6468" s="15">
        <v>241</v>
      </c>
      <c r="I6468" s="16">
        <v>163.88000000000002</v>
      </c>
      <c r="J6468" s="16">
        <v>180.34816858237551</v>
      </c>
      <c r="K6468" s="16">
        <v>-16.46816858237548</v>
      </c>
      <c r="L6468" s="13">
        <v>1.7</v>
      </c>
      <c r="M6468" s="13"/>
      <c r="N6468" s="17">
        <f t="shared" si="212"/>
        <v>409.7</v>
      </c>
      <c r="O6468" s="17">
        <f t="shared" si="212"/>
        <v>0</v>
      </c>
      <c r="P6468" s="17">
        <f t="shared" si="213"/>
        <v>409.7</v>
      </c>
      <c r="Q6468" t="str">
        <f>A6468&amp;"-"&amp;B6468&amp;"-"&amp;D6468</f>
        <v>DESEMBER-MJ2-L9</v>
      </c>
    </row>
    <row r="6469" spans="1:17" x14ac:dyDescent="0.25">
      <c r="A6469" t="s">
        <v>402</v>
      </c>
      <c r="B6469" s="13" t="s">
        <v>26</v>
      </c>
      <c r="C6469" s="13" t="s">
        <v>226</v>
      </c>
      <c r="D6469" s="14" t="s">
        <v>199</v>
      </c>
      <c r="E6469" s="13" t="s">
        <v>61</v>
      </c>
      <c r="F6469" s="13" t="s">
        <v>1933</v>
      </c>
      <c r="G6469" s="13">
        <v>0.68</v>
      </c>
      <c r="H6469" s="15">
        <v>491</v>
      </c>
      <c r="I6469" s="16">
        <v>333.88</v>
      </c>
      <c r="J6469" s="16">
        <v>346.08265804685578</v>
      </c>
      <c r="K6469" s="16">
        <v>-12.202658046855786</v>
      </c>
      <c r="L6469" s="13">
        <v>1.7</v>
      </c>
      <c r="M6469" s="13"/>
      <c r="N6469" s="17">
        <f t="shared" si="212"/>
        <v>834.69999999999993</v>
      </c>
      <c r="O6469" s="17">
        <f t="shared" si="212"/>
        <v>0</v>
      </c>
      <c r="P6469" s="17">
        <f t="shared" si="213"/>
        <v>834.69999999999993</v>
      </c>
      <c r="Q6469" t="str">
        <f>A6469&amp;"-"&amp;B6469&amp;"-"&amp;D6469</f>
        <v>DESEMBER-MJ2-L9</v>
      </c>
    </row>
    <row r="6470" spans="1:17" x14ac:dyDescent="0.25">
      <c r="A6470" t="s">
        <v>402</v>
      </c>
      <c r="B6470" s="13" t="s">
        <v>26</v>
      </c>
      <c r="C6470" s="13" t="s">
        <v>226</v>
      </c>
      <c r="D6470" s="14" t="s">
        <v>199</v>
      </c>
      <c r="E6470" s="13" t="s">
        <v>61</v>
      </c>
      <c r="F6470" s="13" t="s">
        <v>2080</v>
      </c>
      <c r="G6470" s="13">
        <v>0.82999999999999985</v>
      </c>
      <c r="H6470" s="15">
        <v>1513</v>
      </c>
      <c r="I6470" s="16">
        <v>1255.79</v>
      </c>
      <c r="J6470" s="16">
        <v>1048.3002439728409</v>
      </c>
      <c r="K6470" s="16">
        <v>207.48975602715916</v>
      </c>
      <c r="L6470" s="13">
        <v>2.13</v>
      </c>
      <c r="M6470" s="13"/>
      <c r="N6470" s="17">
        <f t="shared" si="212"/>
        <v>3222.69</v>
      </c>
      <c r="O6470" s="17">
        <f t="shared" si="212"/>
        <v>0</v>
      </c>
      <c r="P6470" s="17">
        <f t="shared" si="213"/>
        <v>3222.69</v>
      </c>
      <c r="Q6470" t="str">
        <f>A6470&amp;"-"&amp;B6470&amp;"-"&amp;D6470</f>
        <v>DESEMBER-MJ2-L9</v>
      </c>
    </row>
    <row r="6471" spans="1:17" x14ac:dyDescent="0.25">
      <c r="A6471" t="s">
        <v>402</v>
      </c>
      <c r="B6471" s="13" t="s">
        <v>26</v>
      </c>
      <c r="C6471" s="13" t="s">
        <v>226</v>
      </c>
      <c r="D6471" s="14" t="s">
        <v>199</v>
      </c>
      <c r="E6471" s="13" t="s">
        <v>61</v>
      </c>
      <c r="F6471" s="13" t="s">
        <v>1934</v>
      </c>
      <c r="G6471" s="13">
        <v>0.79</v>
      </c>
      <c r="H6471" s="15">
        <v>285</v>
      </c>
      <c r="I6471" s="16">
        <v>225.15</v>
      </c>
      <c r="J6471" s="16">
        <v>200.47551018820664</v>
      </c>
      <c r="K6471" s="16">
        <v>24.674489811793361</v>
      </c>
      <c r="L6471" s="13">
        <v>2</v>
      </c>
      <c r="M6471" s="13"/>
      <c r="N6471" s="17">
        <f t="shared" si="212"/>
        <v>570</v>
      </c>
      <c r="O6471" s="17">
        <f t="shared" si="212"/>
        <v>0</v>
      </c>
      <c r="P6471" s="17">
        <f t="shared" si="213"/>
        <v>570</v>
      </c>
      <c r="Q6471" t="str">
        <f>A6471&amp;"-"&amp;B6471&amp;"-"&amp;D6471</f>
        <v>DESEMBER-MJ2-L9</v>
      </c>
    </row>
    <row r="6472" spans="1:17" x14ac:dyDescent="0.25">
      <c r="A6472" t="s">
        <v>402</v>
      </c>
      <c r="B6472" s="13" t="s">
        <v>26</v>
      </c>
      <c r="C6472" s="13" t="s">
        <v>226</v>
      </c>
      <c r="D6472" s="14" t="s">
        <v>199</v>
      </c>
      <c r="E6472" s="13" t="s">
        <v>61</v>
      </c>
      <c r="F6472" s="13" t="s">
        <v>2081</v>
      </c>
      <c r="G6472" s="13">
        <v>0.79</v>
      </c>
      <c r="H6472" s="15">
        <v>2756</v>
      </c>
      <c r="I6472" s="16">
        <v>2177.2399999999998</v>
      </c>
      <c r="J6472" s="16">
        <v>1883.008087276746</v>
      </c>
      <c r="K6472" s="16">
        <v>294.23191272325397</v>
      </c>
      <c r="L6472" s="13">
        <v>2</v>
      </c>
      <c r="M6472" s="13"/>
      <c r="N6472" s="17">
        <f t="shared" si="212"/>
        <v>5512</v>
      </c>
      <c r="O6472" s="17">
        <f t="shared" si="212"/>
        <v>0</v>
      </c>
      <c r="P6472" s="17">
        <f t="shared" si="213"/>
        <v>5512</v>
      </c>
      <c r="Q6472" t="str">
        <f>A6472&amp;"-"&amp;B6472&amp;"-"&amp;D6472</f>
        <v>DESEMBER-MJ2-L9</v>
      </c>
    </row>
    <row r="6473" spans="1:17" x14ac:dyDescent="0.25">
      <c r="A6473" t="s">
        <v>402</v>
      </c>
      <c r="B6473" s="13" t="s">
        <v>26</v>
      </c>
      <c r="C6473" s="13" t="s">
        <v>226</v>
      </c>
      <c r="D6473" s="14" t="s">
        <v>199</v>
      </c>
      <c r="E6473" s="13" t="s">
        <v>61</v>
      </c>
      <c r="F6473" s="13" t="s">
        <v>1936</v>
      </c>
      <c r="G6473" s="13">
        <v>0.8</v>
      </c>
      <c r="H6473" s="15">
        <v>77</v>
      </c>
      <c r="I6473" s="16">
        <v>61.6</v>
      </c>
      <c r="J6473" s="16">
        <v>50.910588235294121</v>
      </c>
      <c r="K6473" s="16">
        <v>10.689411764705881</v>
      </c>
      <c r="L6473" s="13">
        <v>2.0699999999999998</v>
      </c>
      <c r="M6473" s="13"/>
      <c r="N6473" s="17">
        <f t="shared" si="212"/>
        <v>159.38999999999999</v>
      </c>
      <c r="O6473" s="17">
        <f t="shared" si="212"/>
        <v>0</v>
      </c>
      <c r="P6473" s="17">
        <f t="shared" si="213"/>
        <v>159.38999999999999</v>
      </c>
      <c r="Q6473" t="str">
        <f>A6473&amp;"-"&amp;B6473&amp;"-"&amp;D6473</f>
        <v>DESEMBER-MJ2-L9</v>
      </c>
    </row>
    <row r="6474" spans="1:17" x14ac:dyDescent="0.25">
      <c r="A6474" t="s">
        <v>402</v>
      </c>
      <c r="B6474" s="13" t="s">
        <v>26</v>
      </c>
      <c r="C6474" s="13" t="s">
        <v>226</v>
      </c>
      <c r="D6474" s="14" t="s">
        <v>199</v>
      </c>
      <c r="E6474" s="13" t="s">
        <v>61</v>
      </c>
      <c r="F6474" s="13" t="s">
        <v>1940</v>
      </c>
      <c r="G6474" s="13">
        <v>0.79</v>
      </c>
      <c r="H6474" s="15">
        <v>103</v>
      </c>
      <c r="I6474" s="16">
        <v>81.37</v>
      </c>
      <c r="J6474" s="16">
        <v>78.111540229885065</v>
      </c>
      <c r="K6474" s="16">
        <v>3.2584597701149427</v>
      </c>
      <c r="L6474" s="13">
        <v>2</v>
      </c>
      <c r="M6474" s="13"/>
      <c r="N6474" s="17">
        <f t="shared" si="212"/>
        <v>206</v>
      </c>
      <c r="O6474" s="17">
        <f t="shared" si="212"/>
        <v>0</v>
      </c>
      <c r="P6474" s="17">
        <f t="shared" si="213"/>
        <v>206</v>
      </c>
      <c r="Q6474" t="str">
        <f>A6474&amp;"-"&amp;B6474&amp;"-"&amp;D6474</f>
        <v>DESEMBER-MJ2-L9</v>
      </c>
    </row>
    <row r="6475" spans="1:17" x14ac:dyDescent="0.25">
      <c r="A6475" t="s">
        <v>402</v>
      </c>
      <c r="B6475" s="13" t="s">
        <v>26</v>
      </c>
      <c r="C6475" s="13" t="s">
        <v>226</v>
      </c>
      <c r="D6475" s="14" t="s">
        <v>199</v>
      </c>
      <c r="E6475" s="13" t="s">
        <v>61</v>
      </c>
      <c r="F6475" s="13" t="s">
        <v>2082</v>
      </c>
      <c r="G6475" s="13">
        <v>0.79</v>
      </c>
      <c r="H6475" s="15">
        <v>228</v>
      </c>
      <c r="I6475" s="16">
        <v>180.12</v>
      </c>
      <c r="J6475" s="16">
        <v>139.4809247790177</v>
      </c>
      <c r="K6475" s="16">
        <v>40.639075220982321</v>
      </c>
      <c r="L6475" s="13">
        <v>2</v>
      </c>
      <c r="M6475" s="13"/>
      <c r="N6475" s="17">
        <f t="shared" si="212"/>
        <v>456</v>
      </c>
      <c r="O6475" s="17">
        <f t="shared" si="212"/>
        <v>0</v>
      </c>
      <c r="P6475" s="17">
        <f t="shared" si="213"/>
        <v>456</v>
      </c>
      <c r="Q6475" t="str">
        <f>A6475&amp;"-"&amp;B6475&amp;"-"&amp;D6475</f>
        <v>DESEMBER-MJ2-L9</v>
      </c>
    </row>
    <row r="6476" spans="1:17" x14ac:dyDescent="0.25">
      <c r="A6476" t="s">
        <v>402</v>
      </c>
      <c r="B6476" s="13" t="s">
        <v>26</v>
      </c>
      <c r="C6476" s="13" t="s">
        <v>226</v>
      </c>
      <c r="D6476" s="14" t="s">
        <v>199</v>
      </c>
      <c r="E6476" s="13" t="s">
        <v>61</v>
      </c>
      <c r="F6476" s="13" t="s">
        <v>2083</v>
      </c>
      <c r="G6476" s="13">
        <v>0.77</v>
      </c>
      <c r="H6476" s="15">
        <v>7</v>
      </c>
      <c r="I6476" s="16">
        <v>5.39</v>
      </c>
      <c r="J6476" s="16">
        <v>4.3112328767123289</v>
      </c>
      <c r="K6476" s="16">
        <v>1.0787671232876708</v>
      </c>
      <c r="L6476" s="13">
        <v>2.15</v>
      </c>
      <c r="M6476" s="13"/>
      <c r="N6476" s="17">
        <f t="shared" si="212"/>
        <v>15.049999999999999</v>
      </c>
      <c r="O6476" s="17">
        <f t="shared" si="212"/>
        <v>0</v>
      </c>
      <c r="P6476" s="17">
        <f t="shared" si="213"/>
        <v>15.049999999999999</v>
      </c>
      <c r="Q6476" t="str">
        <f>A6476&amp;"-"&amp;B6476&amp;"-"&amp;D6476</f>
        <v>DESEMBER-MJ2-L9</v>
      </c>
    </row>
    <row r="6477" spans="1:17" x14ac:dyDescent="0.25">
      <c r="A6477" t="s">
        <v>402</v>
      </c>
      <c r="B6477" s="13" t="s">
        <v>26</v>
      </c>
      <c r="C6477" s="13" t="s">
        <v>226</v>
      </c>
      <c r="D6477" s="14" t="s">
        <v>199</v>
      </c>
      <c r="E6477" s="13" t="s">
        <v>61</v>
      </c>
      <c r="F6477" s="13" t="s">
        <v>1944</v>
      </c>
      <c r="G6477" s="13">
        <v>0.8</v>
      </c>
      <c r="H6477" s="15">
        <v>108</v>
      </c>
      <c r="I6477" s="16">
        <v>86.4</v>
      </c>
      <c r="J6477" s="16">
        <v>71.407058823529411</v>
      </c>
      <c r="K6477" s="16">
        <v>14.992941176470595</v>
      </c>
      <c r="L6477" s="13">
        <v>2.0699999999999998</v>
      </c>
      <c r="M6477" s="13"/>
      <c r="N6477" s="17">
        <f t="shared" si="212"/>
        <v>223.55999999999997</v>
      </c>
      <c r="O6477" s="17">
        <f t="shared" si="212"/>
        <v>0</v>
      </c>
      <c r="P6477" s="17">
        <f t="shared" si="213"/>
        <v>223.55999999999997</v>
      </c>
      <c r="Q6477" t="str">
        <f>A6477&amp;"-"&amp;B6477&amp;"-"&amp;D6477</f>
        <v>DESEMBER-MJ2-L9</v>
      </c>
    </row>
    <row r="6478" spans="1:17" x14ac:dyDescent="0.25">
      <c r="A6478" t="s">
        <v>402</v>
      </c>
      <c r="B6478" s="13" t="s">
        <v>26</v>
      </c>
      <c r="C6478" s="13" t="s">
        <v>226</v>
      </c>
      <c r="D6478" s="14" t="s">
        <v>199</v>
      </c>
      <c r="E6478" s="13" t="s">
        <v>61</v>
      </c>
      <c r="F6478" s="13" t="s">
        <v>2084</v>
      </c>
      <c r="G6478" s="13">
        <v>0.79999999999999993</v>
      </c>
      <c r="H6478" s="15">
        <v>2659</v>
      </c>
      <c r="I6478" s="16">
        <v>2127.2000000000003</v>
      </c>
      <c r="J6478" s="16">
        <v>1831.7082079828806</v>
      </c>
      <c r="K6478" s="16">
        <v>295.49179201711917</v>
      </c>
      <c r="L6478" s="13">
        <v>2.0699999999999998</v>
      </c>
      <c r="M6478" s="13"/>
      <c r="N6478" s="17">
        <f t="shared" si="212"/>
        <v>5504.1299999999992</v>
      </c>
      <c r="O6478" s="17">
        <f t="shared" si="212"/>
        <v>0</v>
      </c>
      <c r="P6478" s="17">
        <f t="shared" si="213"/>
        <v>5504.1299999999992</v>
      </c>
      <c r="Q6478" t="str">
        <f>A6478&amp;"-"&amp;B6478&amp;"-"&amp;D6478</f>
        <v>DESEMBER-MJ2-L9</v>
      </c>
    </row>
    <row r="6479" spans="1:17" x14ac:dyDescent="0.25">
      <c r="A6479" t="s">
        <v>402</v>
      </c>
      <c r="B6479" s="13" t="s">
        <v>26</v>
      </c>
      <c r="C6479" s="13" t="s">
        <v>226</v>
      </c>
      <c r="D6479" s="14" t="s">
        <v>199</v>
      </c>
      <c r="E6479" s="13" t="s">
        <v>61</v>
      </c>
      <c r="F6479" s="13" t="s">
        <v>2085</v>
      </c>
      <c r="G6479" s="13">
        <v>0.78</v>
      </c>
      <c r="H6479" s="15">
        <v>134</v>
      </c>
      <c r="I6479" s="16">
        <v>104.52</v>
      </c>
      <c r="J6479" s="16">
        <v>90.334633427072859</v>
      </c>
      <c r="K6479" s="16">
        <v>14.185366572927135</v>
      </c>
      <c r="L6479" s="13">
        <v>2.2200000000000002</v>
      </c>
      <c r="M6479" s="13"/>
      <c r="N6479" s="17">
        <f t="shared" si="212"/>
        <v>297.48</v>
      </c>
      <c r="O6479" s="17">
        <f t="shared" si="212"/>
        <v>0</v>
      </c>
      <c r="P6479" s="17">
        <f t="shared" si="213"/>
        <v>297.48</v>
      </c>
      <c r="Q6479" t="str">
        <f>A6479&amp;"-"&amp;B6479&amp;"-"&amp;D6479</f>
        <v>DESEMBER-MJ2-L9</v>
      </c>
    </row>
    <row r="6480" spans="1:17" x14ac:dyDescent="0.25">
      <c r="A6480" t="s">
        <v>402</v>
      </c>
      <c r="B6480" s="13" t="s">
        <v>26</v>
      </c>
      <c r="C6480" s="13" t="s">
        <v>226</v>
      </c>
      <c r="D6480" s="14" t="s">
        <v>199</v>
      </c>
      <c r="E6480" s="13" t="s">
        <v>61</v>
      </c>
      <c r="F6480" s="13" t="s">
        <v>1946</v>
      </c>
      <c r="G6480" s="13">
        <v>0.79</v>
      </c>
      <c r="H6480" s="15">
        <v>171</v>
      </c>
      <c r="I6480" s="16">
        <v>135.09</v>
      </c>
      <c r="J6480" s="16">
        <v>130.59192409964049</v>
      </c>
      <c r="K6480" s="16">
        <v>4.4980759003595026</v>
      </c>
      <c r="L6480" s="13">
        <v>2</v>
      </c>
      <c r="M6480" s="13"/>
      <c r="N6480" s="17">
        <f t="shared" si="212"/>
        <v>342</v>
      </c>
      <c r="O6480" s="17">
        <f t="shared" si="212"/>
        <v>0</v>
      </c>
      <c r="P6480" s="17">
        <f t="shared" si="213"/>
        <v>342</v>
      </c>
      <c r="Q6480" t="str">
        <f>A6480&amp;"-"&amp;B6480&amp;"-"&amp;D6480</f>
        <v>DESEMBER-MJ2-L9</v>
      </c>
    </row>
    <row r="6481" spans="1:17" x14ac:dyDescent="0.25">
      <c r="A6481" t="s">
        <v>402</v>
      </c>
      <c r="B6481" s="13" t="s">
        <v>26</v>
      </c>
      <c r="C6481" s="13" t="s">
        <v>226</v>
      </c>
      <c r="D6481" s="14" t="s">
        <v>199</v>
      </c>
      <c r="E6481" s="13" t="s">
        <v>61</v>
      </c>
      <c r="F6481" s="13" t="s">
        <v>2086</v>
      </c>
      <c r="G6481" s="13">
        <v>0.79</v>
      </c>
      <c r="H6481" s="15">
        <v>1610</v>
      </c>
      <c r="I6481" s="16">
        <v>1271.9000000000001</v>
      </c>
      <c r="J6481" s="16">
        <v>1120.5853853604538</v>
      </c>
      <c r="K6481" s="16">
        <v>151.31461463954616</v>
      </c>
      <c r="L6481" s="13">
        <v>2</v>
      </c>
      <c r="M6481" s="13"/>
      <c r="N6481" s="17">
        <f t="shared" si="212"/>
        <v>3220</v>
      </c>
      <c r="O6481" s="17">
        <f t="shared" si="212"/>
        <v>0</v>
      </c>
      <c r="P6481" s="17">
        <f t="shared" si="213"/>
        <v>3220</v>
      </c>
      <c r="Q6481" t="str">
        <f>A6481&amp;"-"&amp;B6481&amp;"-"&amp;D6481</f>
        <v>DESEMBER-MJ2-L9</v>
      </c>
    </row>
    <row r="6482" spans="1:17" x14ac:dyDescent="0.25">
      <c r="A6482" t="s">
        <v>402</v>
      </c>
      <c r="B6482" s="13" t="s">
        <v>26</v>
      </c>
      <c r="C6482" s="13" t="s">
        <v>226</v>
      </c>
      <c r="D6482" s="14" t="s">
        <v>199</v>
      </c>
      <c r="E6482" s="13" t="s">
        <v>61</v>
      </c>
      <c r="F6482" s="13" t="s">
        <v>2087</v>
      </c>
      <c r="G6482" s="13">
        <v>0.77</v>
      </c>
      <c r="H6482" s="15">
        <v>7</v>
      </c>
      <c r="I6482" s="16">
        <v>5.39</v>
      </c>
      <c r="J6482" s="16">
        <v>4.3711111111111114</v>
      </c>
      <c r="K6482" s="16">
        <v>1.0188888888888883</v>
      </c>
      <c r="L6482" s="13">
        <v>2.15</v>
      </c>
      <c r="M6482" s="13"/>
      <c r="N6482" s="17">
        <f t="shared" si="212"/>
        <v>15.049999999999999</v>
      </c>
      <c r="O6482" s="17">
        <f t="shared" si="212"/>
        <v>0</v>
      </c>
      <c r="P6482" s="17">
        <f t="shared" si="213"/>
        <v>15.049999999999999</v>
      </c>
      <c r="Q6482" t="str">
        <f>A6482&amp;"-"&amp;B6482&amp;"-"&amp;D6482</f>
        <v>DESEMBER-MJ2-L9</v>
      </c>
    </row>
    <row r="6483" spans="1:17" x14ac:dyDescent="0.25">
      <c r="A6483" t="s">
        <v>402</v>
      </c>
      <c r="B6483" s="13" t="s">
        <v>26</v>
      </c>
      <c r="C6483" s="13" t="s">
        <v>226</v>
      </c>
      <c r="D6483" s="14" t="s">
        <v>199</v>
      </c>
      <c r="E6483" s="13" t="s">
        <v>61</v>
      </c>
      <c r="F6483" s="13" t="s">
        <v>2088</v>
      </c>
      <c r="G6483" s="13">
        <v>0.83</v>
      </c>
      <c r="H6483" s="15">
        <v>3062</v>
      </c>
      <c r="I6483" s="16">
        <v>2541.4599999999996</v>
      </c>
      <c r="J6483" s="16">
        <v>2243.6235175223519</v>
      </c>
      <c r="K6483" s="16">
        <v>297.83648247764853</v>
      </c>
      <c r="L6483" s="13">
        <v>2.13</v>
      </c>
      <c r="M6483" s="13"/>
      <c r="N6483" s="17">
        <f t="shared" si="212"/>
        <v>6522.0599999999995</v>
      </c>
      <c r="O6483" s="17">
        <f t="shared" si="212"/>
        <v>0</v>
      </c>
      <c r="P6483" s="17">
        <f t="shared" si="213"/>
        <v>6522.0599999999995</v>
      </c>
      <c r="Q6483" t="str">
        <f>A6483&amp;"-"&amp;B6483&amp;"-"&amp;D6483</f>
        <v>DESEMBER-MJ2-L9</v>
      </c>
    </row>
    <row r="6484" spans="1:17" x14ac:dyDescent="0.25">
      <c r="A6484" t="s">
        <v>402</v>
      </c>
      <c r="B6484" s="13" t="s">
        <v>26</v>
      </c>
      <c r="C6484" s="13" t="s">
        <v>226</v>
      </c>
      <c r="D6484" s="14" t="s">
        <v>199</v>
      </c>
      <c r="E6484" s="13" t="s">
        <v>61</v>
      </c>
      <c r="F6484" s="13" t="s">
        <v>2089</v>
      </c>
      <c r="G6484" s="13">
        <v>0.78</v>
      </c>
      <c r="H6484" s="15">
        <v>20</v>
      </c>
      <c r="I6484" s="16">
        <v>15.600000000000001</v>
      </c>
      <c r="J6484" s="16">
        <v>13.71150220519856</v>
      </c>
      <c r="K6484" s="16">
        <v>1.8884977948014416</v>
      </c>
      <c r="L6484" s="13">
        <v>2.29</v>
      </c>
      <c r="M6484" s="13"/>
      <c r="N6484" s="17">
        <f t="shared" si="212"/>
        <v>45.8</v>
      </c>
      <c r="O6484" s="17">
        <f t="shared" si="212"/>
        <v>0</v>
      </c>
      <c r="P6484" s="17">
        <f t="shared" si="213"/>
        <v>45.8</v>
      </c>
      <c r="Q6484" t="str">
        <f>A6484&amp;"-"&amp;B6484&amp;"-"&amp;D6484</f>
        <v>DESEMBER-MJ2-L9</v>
      </c>
    </row>
    <row r="6485" spans="1:17" x14ac:dyDescent="0.25">
      <c r="A6485" t="s">
        <v>402</v>
      </c>
      <c r="B6485" s="13" t="s">
        <v>26</v>
      </c>
      <c r="C6485" s="13" t="s">
        <v>226</v>
      </c>
      <c r="D6485" s="14" t="s">
        <v>199</v>
      </c>
      <c r="E6485" s="13" t="s">
        <v>61</v>
      </c>
      <c r="F6485" s="13" t="s">
        <v>1949</v>
      </c>
      <c r="G6485" s="13">
        <v>0.79</v>
      </c>
      <c r="H6485" s="15">
        <v>1143</v>
      </c>
      <c r="I6485" s="16">
        <v>902.97000000000014</v>
      </c>
      <c r="J6485" s="16">
        <v>823.81194647405596</v>
      </c>
      <c r="K6485" s="16">
        <v>79.158053525944126</v>
      </c>
      <c r="L6485" s="13">
        <v>2</v>
      </c>
      <c r="M6485" s="13"/>
      <c r="N6485" s="17">
        <f t="shared" si="212"/>
        <v>2286</v>
      </c>
      <c r="O6485" s="17">
        <f t="shared" si="212"/>
        <v>0</v>
      </c>
      <c r="P6485" s="17">
        <f t="shared" si="213"/>
        <v>2286</v>
      </c>
      <c r="Q6485" t="str">
        <f>A6485&amp;"-"&amp;B6485&amp;"-"&amp;D6485</f>
        <v>DESEMBER-MJ2-L9</v>
      </c>
    </row>
    <row r="6486" spans="1:17" x14ac:dyDescent="0.25">
      <c r="A6486" t="s">
        <v>402</v>
      </c>
      <c r="B6486" s="13" t="s">
        <v>26</v>
      </c>
      <c r="C6486" s="13" t="s">
        <v>226</v>
      </c>
      <c r="D6486" s="14" t="s">
        <v>199</v>
      </c>
      <c r="E6486" s="13" t="s">
        <v>61</v>
      </c>
      <c r="F6486" s="13" t="s">
        <v>1950</v>
      </c>
      <c r="G6486" s="13">
        <v>0.8</v>
      </c>
      <c r="H6486" s="15">
        <v>55</v>
      </c>
      <c r="I6486" s="16">
        <v>44</v>
      </c>
      <c r="J6486" s="16">
        <v>36.364705882352943</v>
      </c>
      <c r="K6486" s="16">
        <v>7.6352941176470566</v>
      </c>
      <c r="L6486" s="13">
        <v>2.0699999999999998</v>
      </c>
      <c r="M6486" s="13"/>
      <c r="N6486" s="17">
        <f t="shared" si="212"/>
        <v>113.85</v>
      </c>
      <c r="O6486" s="17">
        <f t="shared" si="212"/>
        <v>0</v>
      </c>
      <c r="P6486" s="17">
        <f t="shared" si="213"/>
        <v>113.85</v>
      </c>
      <c r="Q6486" t="str">
        <f>A6486&amp;"-"&amp;B6486&amp;"-"&amp;D6486</f>
        <v>DESEMBER-MJ2-L9</v>
      </c>
    </row>
    <row r="6487" spans="1:17" x14ac:dyDescent="0.25">
      <c r="A6487" t="s">
        <v>402</v>
      </c>
      <c r="B6487" s="13" t="s">
        <v>26</v>
      </c>
      <c r="C6487" s="13" t="s">
        <v>226</v>
      </c>
      <c r="D6487" s="14" t="s">
        <v>199</v>
      </c>
      <c r="E6487" s="13" t="s">
        <v>61</v>
      </c>
      <c r="F6487" s="13" t="s">
        <v>2090</v>
      </c>
      <c r="G6487" s="13">
        <v>0.79999999999999993</v>
      </c>
      <c r="H6487" s="15">
        <v>1374</v>
      </c>
      <c r="I6487" s="16">
        <v>1099.2</v>
      </c>
      <c r="J6487" s="16">
        <v>897.01230413009955</v>
      </c>
      <c r="K6487" s="16">
        <v>202.18769586990044</v>
      </c>
      <c r="L6487" s="13">
        <v>2.0699999999999998</v>
      </c>
      <c r="M6487" s="13"/>
      <c r="N6487" s="17">
        <f t="shared" si="212"/>
        <v>2844.18</v>
      </c>
      <c r="O6487" s="17">
        <f t="shared" si="212"/>
        <v>0</v>
      </c>
      <c r="P6487" s="17">
        <f t="shared" si="213"/>
        <v>2844.18</v>
      </c>
      <c r="Q6487" t="str">
        <f>A6487&amp;"-"&amp;B6487&amp;"-"&amp;D6487</f>
        <v>DESEMBER-MJ2-L9</v>
      </c>
    </row>
    <row r="6488" spans="1:17" x14ac:dyDescent="0.25">
      <c r="A6488" t="s">
        <v>402</v>
      </c>
      <c r="B6488" s="13" t="s">
        <v>26</v>
      </c>
      <c r="C6488" s="13" t="s">
        <v>226</v>
      </c>
      <c r="D6488" s="14" t="s">
        <v>199</v>
      </c>
      <c r="E6488" s="13" t="s">
        <v>61</v>
      </c>
      <c r="F6488" s="13" t="s">
        <v>2091</v>
      </c>
      <c r="G6488" s="13">
        <v>0.78</v>
      </c>
      <c r="H6488" s="15">
        <v>54</v>
      </c>
      <c r="I6488" s="16">
        <v>42.12</v>
      </c>
      <c r="J6488" s="16">
        <v>33.834735317626198</v>
      </c>
      <c r="K6488" s="16">
        <v>8.2852646823738034</v>
      </c>
      <c r="L6488" s="13">
        <v>2.2200000000000002</v>
      </c>
      <c r="M6488" s="13"/>
      <c r="N6488" s="17">
        <f t="shared" si="212"/>
        <v>119.88000000000001</v>
      </c>
      <c r="O6488" s="17">
        <f t="shared" si="212"/>
        <v>0</v>
      </c>
      <c r="P6488" s="17">
        <f t="shared" si="213"/>
        <v>119.88000000000001</v>
      </c>
      <c r="Q6488" t="str">
        <f>A6488&amp;"-"&amp;B6488&amp;"-"&amp;D6488</f>
        <v>DESEMBER-MJ2-L9</v>
      </c>
    </row>
    <row r="6489" spans="1:17" x14ac:dyDescent="0.25">
      <c r="A6489" t="s">
        <v>402</v>
      </c>
      <c r="B6489" s="13" t="s">
        <v>26</v>
      </c>
      <c r="C6489" s="13" t="s">
        <v>226</v>
      </c>
      <c r="D6489" s="14" t="s">
        <v>199</v>
      </c>
      <c r="E6489" s="13" t="s">
        <v>61</v>
      </c>
      <c r="F6489" s="13" t="s">
        <v>2092</v>
      </c>
      <c r="G6489" s="13">
        <v>0.83</v>
      </c>
      <c r="H6489" s="15">
        <v>1687</v>
      </c>
      <c r="I6489" s="16">
        <v>1400.2100000000003</v>
      </c>
      <c r="J6489" s="16">
        <v>1161.0988592715723</v>
      </c>
      <c r="K6489" s="16">
        <v>239.11114072842759</v>
      </c>
      <c r="L6489" s="13">
        <v>2.13</v>
      </c>
      <c r="M6489" s="13"/>
      <c r="N6489" s="17">
        <f t="shared" si="212"/>
        <v>3593.31</v>
      </c>
      <c r="O6489" s="17">
        <f t="shared" si="212"/>
        <v>0</v>
      </c>
      <c r="P6489" s="17">
        <f t="shared" si="213"/>
        <v>3593.31</v>
      </c>
      <c r="Q6489" t="str">
        <f>A6489&amp;"-"&amp;B6489&amp;"-"&amp;D6489</f>
        <v>DESEMBER-MJ2-L9</v>
      </c>
    </row>
    <row r="6490" spans="1:17" x14ac:dyDescent="0.25">
      <c r="A6490" t="s">
        <v>402</v>
      </c>
      <c r="B6490" s="13" t="s">
        <v>26</v>
      </c>
      <c r="C6490" s="13" t="s">
        <v>226</v>
      </c>
      <c r="D6490" s="14" t="s">
        <v>199</v>
      </c>
      <c r="E6490" s="13" t="s">
        <v>61</v>
      </c>
      <c r="F6490" s="13" t="s">
        <v>2093</v>
      </c>
      <c r="G6490" s="13">
        <v>0.65</v>
      </c>
      <c r="H6490" s="15">
        <v>5206</v>
      </c>
      <c r="I6490" s="16">
        <v>3383.9000000000005</v>
      </c>
      <c r="J6490" s="16">
        <v>2970.4341396591549</v>
      </c>
      <c r="K6490" s="16">
        <v>413.46586034084567</v>
      </c>
      <c r="L6490" s="13">
        <v>1.66</v>
      </c>
      <c r="M6490" s="13"/>
      <c r="N6490" s="17">
        <f t="shared" si="212"/>
        <v>8641.9599999999991</v>
      </c>
      <c r="O6490" s="17">
        <f t="shared" si="212"/>
        <v>0</v>
      </c>
      <c r="P6490" s="17">
        <f t="shared" si="213"/>
        <v>8641.9599999999991</v>
      </c>
      <c r="Q6490" t="str">
        <f>A6490&amp;"-"&amp;B6490&amp;"-"&amp;D6490</f>
        <v>DESEMBER-MJ2-L9</v>
      </c>
    </row>
    <row r="6491" spans="1:17" x14ac:dyDescent="0.25">
      <c r="A6491" t="s">
        <v>402</v>
      </c>
      <c r="B6491" s="13" t="s">
        <v>26</v>
      </c>
      <c r="C6491" s="13" t="s">
        <v>226</v>
      </c>
      <c r="D6491" s="14" t="s">
        <v>199</v>
      </c>
      <c r="E6491" s="13" t="s">
        <v>61</v>
      </c>
      <c r="F6491" s="13" t="s">
        <v>2094</v>
      </c>
      <c r="G6491" s="13">
        <v>0.65</v>
      </c>
      <c r="H6491" s="15">
        <v>3165</v>
      </c>
      <c r="I6491" s="16">
        <v>2057.25</v>
      </c>
      <c r="J6491" s="16">
        <v>1898.3489492991055</v>
      </c>
      <c r="K6491" s="16">
        <v>158.90105070089484</v>
      </c>
      <c r="L6491" s="13">
        <v>1.66</v>
      </c>
      <c r="M6491" s="13"/>
      <c r="N6491" s="17">
        <f t="shared" si="212"/>
        <v>5253.9</v>
      </c>
      <c r="O6491" s="17">
        <f t="shared" si="212"/>
        <v>0</v>
      </c>
      <c r="P6491" s="17">
        <f t="shared" si="213"/>
        <v>5253.9</v>
      </c>
      <c r="Q6491" t="str">
        <f>A6491&amp;"-"&amp;B6491&amp;"-"&amp;D6491</f>
        <v>DESEMBER-MJ2-L9</v>
      </c>
    </row>
    <row r="6492" spans="1:17" x14ac:dyDescent="0.25">
      <c r="A6492" t="s">
        <v>402</v>
      </c>
      <c r="B6492" s="13" t="s">
        <v>26</v>
      </c>
      <c r="C6492" s="13" t="s">
        <v>226</v>
      </c>
      <c r="D6492" s="14" t="s">
        <v>199</v>
      </c>
      <c r="E6492" s="13" t="s">
        <v>61</v>
      </c>
      <c r="F6492" s="13" t="s">
        <v>2095</v>
      </c>
      <c r="G6492" s="13">
        <v>0.65</v>
      </c>
      <c r="H6492" s="15">
        <v>1360</v>
      </c>
      <c r="I6492" s="16">
        <v>884</v>
      </c>
      <c r="J6492" s="16">
        <v>873.50857142857137</v>
      </c>
      <c r="K6492" s="16">
        <v>10.491428571428628</v>
      </c>
      <c r="L6492" s="13">
        <v>1.64</v>
      </c>
      <c r="M6492" s="13"/>
      <c r="N6492" s="17">
        <f t="shared" si="212"/>
        <v>2230.4</v>
      </c>
      <c r="O6492" s="17">
        <f t="shared" si="212"/>
        <v>0</v>
      </c>
      <c r="P6492" s="17">
        <f t="shared" si="213"/>
        <v>2230.4</v>
      </c>
      <c r="Q6492" t="str">
        <f>A6492&amp;"-"&amp;B6492&amp;"-"&amp;D6492</f>
        <v>DESEMBER-MJ2-L9</v>
      </c>
    </row>
    <row r="6493" spans="1:17" x14ac:dyDescent="0.25">
      <c r="D6493" s="18"/>
      <c r="H6493" s="2"/>
      <c r="I6493" s="3"/>
      <c r="J6493" s="3"/>
      <c r="K6493" s="3"/>
      <c r="N6493" s="4"/>
      <c r="O6493" s="4"/>
      <c r="P6493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DF131-2061-448F-9556-C76A1AAA8FCF}">
  <sheetPr codeName="Sheet36"/>
  <dimension ref="A1:A9"/>
  <sheetViews>
    <sheetView workbookViewId="0"/>
  </sheetViews>
  <sheetFormatPr defaultRowHeight="15" x14ac:dyDescent="0.25"/>
  <sheetData>
    <row r="1" spans="1:1" x14ac:dyDescent="0.25">
      <c r="A1" s="13" t="s">
        <v>18</v>
      </c>
    </row>
    <row r="2" spans="1:1" x14ac:dyDescent="0.25">
      <c r="A2" s="13" t="s">
        <v>19</v>
      </c>
    </row>
    <row r="3" spans="1:1" x14ac:dyDescent="0.25">
      <c r="A3" s="13" t="s">
        <v>20</v>
      </c>
    </row>
    <row r="4" spans="1:1" x14ac:dyDescent="0.25">
      <c r="A4" s="13" t="s">
        <v>22</v>
      </c>
    </row>
    <row r="5" spans="1:1" x14ac:dyDescent="0.25">
      <c r="A5" s="13" t="s">
        <v>23</v>
      </c>
    </row>
    <row r="6" spans="1:1" x14ac:dyDescent="0.25">
      <c r="A6" s="13" t="s">
        <v>24</v>
      </c>
    </row>
    <row r="7" spans="1:1" x14ac:dyDescent="0.25">
      <c r="A7" s="13" t="s">
        <v>25</v>
      </c>
    </row>
    <row r="8" spans="1:1" x14ac:dyDescent="0.25">
      <c r="A8" s="13" t="s">
        <v>26</v>
      </c>
    </row>
    <row r="9" spans="1:1" x14ac:dyDescent="0.25">
      <c r="A9" s="13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5E75-21C7-4DB6-8E8D-C8CB06FAC9C2}">
  <sheetPr codeName="Sheet37"/>
  <dimension ref="A1:C10"/>
  <sheetViews>
    <sheetView workbookViewId="0">
      <selection activeCell="F7" sqref="F7"/>
    </sheetView>
  </sheetViews>
  <sheetFormatPr defaultRowHeight="15" x14ac:dyDescent="0.25"/>
  <sheetData>
    <row r="1" spans="1:3" x14ac:dyDescent="0.25">
      <c r="A1" s="14" t="s">
        <v>44</v>
      </c>
      <c r="B1" s="13" t="s">
        <v>43</v>
      </c>
      <c r="C1" s="13" t="s">
        <v>45</v>
      </c>
    </row>
    <row r="2" spans="1:3" x14ac:dyDescent="0.25">
      <c r="A2" s="14" t="s">
        <v>50</v>
      </c>
      <c r="B2" s="13" t="s">
        <v>154</v>
      </c>
      <c r="C2" s="13" t="s">
        <v>47</v>
      </c>
    </row>
    <row r="3" spans="1:3" x14ac:dyDescent="0.25">
      <c r="A3" s="14" t="s">
        <v>56</v>
      </c>
      <c r="B3" s="13" t="s">
        <v>955</v>
      </c>
      <c r="C3" s="13" t="s">
        <v>54</v>
      </c>
    </row>
    <row r="4" spans="1:3" x14ac:dyDescent="0.25">
      <c r="C4" s="13" t="s">
        <v>58</v>
      </c>
    </row>
    <row r="5" spans="1:3" x14ac:dyDescent="0.25">
      <c r="C5" s="13" t="s">
        <v>71</v>
      </c>
    </row>
    <row r="6" spans="1:3" x14ac:dyDescent="0.25">
      <c r="C6" s="13" t="s">
        <v>179</v>
      </c>
    </row>
    <row r="7" spans="1:3" x14ac:dyDescent="0.25">
      <c r="C7" s="13" t="s">
        <v>155</v>
      </c>
    </row>
    <row r="8" spans="1:3" x14ac:dyDescent="0.25">
      <c r="C8" s="13" t="s">
        <v>950</v>
      </c>
    </row>
    <row r="9" spans="1:3" x14ac:dyDescent="0.25">
      <c r="C9" s="13" t="s">
        <v>956</v>
      </c>
    </row>
    <row r="10" spans="1:3" x14ac:dyDescent="0.25">
      <c r="C10" s="13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7BD60-CB06-471D-B937-20C43A422304}">
  <sheetPr codeName="Sheet3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78DA8-A37A-4CB7-B1D4-EF1A487D2923}">
  <sheetPr codeName="Sheet3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6092E-72CE-4CDF-8B2E-8D44284AA678}">
  <sheetPr codeName="Sheet40"/>
  <dimension ref="A5:AK10"/>
  <sheetViews>
    <sheetView workbookViewId="0">
      <selection activeCell="F18" sqref="F18"/>
    </sheetView>
  </sheetViews>
  <sheetFormatPr defaultRowHeight="15" x14ac:dyDescent="0.25"/>
  <sheetData>
    <row r="5" spans="1:37" x14ac:dyDescent="0.25">
      <c r="A5" t="s">
        <v>18</v>
      </c>
    </row>
    <row r="6" spans="1:37" x14ac:dyDescent="0.25">
      <c r="A6" s="6" t="s">
        <v>386</v>
      </c>
      <c r="B6" s="6" t="s">
        <v>388</v>
      </c>
      <c r="C6" s="6"/>
      <c r="D6" s="6"/>
      <c r="E6" s="6" t="s">
        <v>392</v>
      </c>
      <c r="F6" s="6"/>
      <c r="G6" s="6"/>
      <c r="H6" s="6" t="s">
        <v>393</v>
      </c>
      <c r="I6" s="6"/>
      <c r="J6" s="6"/>
      <c r="K6" s="6" t="s">
        <v>394</v>
      </c>
      <c r="L6" s="6"/>
      <c r="M6" s="6"/>
      <c r="N6" s="6" t="s">
        <v>395</v>
      </c>
      <c r="O6" s="6"/>
      <c r="P6" s="6"/>
      <c r="Q6" s="6" t="s">
        <v>396</v>
      </c>
      <c r="R6" s="6"/>
      <c r="S6" s="6"/>
      <c r="T6" s="6" t="s">
        <v>397</v>
      </c>
      <c r="U6" s="6"/>
      <c r="V6" s="6"/>
      <c r="W6" s="6" t="s">
        <v>398</v>
      </c>
      <c r="X6" s="6"/>
      <c r="Y6" s="6"/>
      <c r="Z6" s="6" t="s">
        <v>399</v>
      </c>
      <c r="AA6" s="6"/>
      <c r="AB6" s="6"/>
      <c r="AC6" s="6" t="s">
        <v>400</v>
      </c>
      <c r="AD6" s="6"/>
      <c r="AE6" s="6"/>
      <c r="AF6" s="6" t="s">
        <v>401</v>
      </c>
      <c r="AG6" s="6"/>
      <c r="AH6" s="6"/>
      <c r="AI6" s="6" t="s">
        <v>402</v>
      </c>
      <c r="AJ6" s="6"/>
      <c r="AK6" s="6"/>
    </row>
    <row r="7" spans="1:37" x14ac:dyDescent="0.25">
      <c r="A7" s="6"/>
      <c r="B7" s="5" t="s">
        <v>389</v>
      </c>
      <c r="C7" s="5" t="s">
        <v>390</v>
      </c>
      <c r="D7" s="5" t="s">
        <v>391</v>
      </c>
      <c r="E7" s="5" t="s">
        <v>389</v>
      </c>
      <c r="F7" s="5" t="s">
        <v>390</v>
      </c>
      <c r="G7" s="5" t="s">
        <v>391</v>
      </c>
      <c r="H7" s="5" t="s">
        <v>389</v>
      </c>
      <c r="I7" s="5" t="s">
        <v>390</v>
      </c>
      <c r="J7" s="5" t="s">
        <v>391</v>
      </c>
      <c r="K7" s="5" t="s">
        <v>389</v>
      </c>
      <c r="L7" s="5" t="s">
        <v>390</v>
      </c>
      <c r="M7" s="5" t="s">
        <v>391</v>
      </c>
      <c r="N7" s="5" t="s">
        <v>389</v>
      </c>
      <c r="O7" s="5" t="s">
        <v>390</v>
      </c>
      <c r="P7" s="5" t="s">
        <v>391</v>
      </c>
      <c r="Q7" s="5" t="s">
        <v>389</v>
      </c>
      <c r="R7" s="5" t="s">
        <v>390</v>
      </c>
      <c r="S7" s="5" t="s">
        <v>391</v>
      </c>
      <c r="T7" s="5" t="s">
        <v>389</v>
      </c>
      <c r="U7" s="5" t="s">
        <v>390</v>
      </c>
      <c r="V7" s="5" t="s">
        <v>391</v>
      </c>
      <c r="W7" s="5" t="s">
        <v>389</v>
      </c>
      <c r="X7" s="5" t="s">
        <v>390</v>
      </c>
      <c r="Y7" s="5" t="s">
        <v>391</v>
      </c>
      <c r="Z7" s="5" t="s">
        <v>389</v>
      </c>
      <c r="AA7" s="5" t="s">
        <v>390</v>
      </c>
      <c r="AB7" s="5" t="s">
        <v>391</v>
      </c>
      <c r="AC7" s="5" t="s">
        <v>389</v>
      </c>
      <c r="AD7" s="5" t="s">
        <v>390</v>
      </c>
      <c r="AE7" s="5" t="s">
        <v>391</v>
      </c>
      <c r="AF7" s="5" t="s">
        <v>389</v>
      </c>
      <c r="AG7" s="5" t="s">
        <v>390</v>
      </c>
      <c r="AH7" s="5" t="s">
        <v>391</v>
      </c>
      <c r="AI7" s="5" t="s">
        <v>389</v>
      </c>
      <c r="AJ7" s="5" t="s">
        <v>390</v>
      </c>
      <c r="AK7" s="5" t="s">
        <v>391</v>
      </c>
    </row>
    <row r="8" spans="1:37" x14ac:dyDescent="0.25">
      <c r="A8" t="s">
        <v>44</v>
      </c>
      <c r="B8">
        <f>SUMIF(TEMP1!$Q$2:$Q$6492,"JANUARI"&amp;"-"&amp;CBA!$A$5&amp;"-"&amp;CBA!$A8,TEMP1!$H$2:$H$6492)</f>
        <v>3650</v>
      </c>
      <c r="C8">
        <f>SUMIF(TEMP1!$Q$2:$Q$6492,"JANUARI"&amp;"-"&amp;CBA!$A$5&amp;"-"&amp;CBA!$A8,TEMP1!$J$2:$J$6492)</f>
        <v>16082.559999999998</v>
      </c>
      <c r="D8">
        <f>SUMIF(TEMP1!$Q$2:$Q$6492,"JANUARI"&amp;"-"&amp;CBA!$A$5&amp;"-"&amp;CBA!$A8,TEMP1!$K$2:$K$6492)</f>
        <v>-1224.7599999999998</v>
      </c>
      <c r="E8">
        <f>SUMIF(TEMP1!$Q$2:$Q$6492,"FEBRUARI"&amp;"-"&amp;CBA!$A$5&amp;"-"&amp;CBA!$A8,TEMP1!$H$2:$H$6492)</f>
        <v>3527</v>
      </c>
      <c r="F8">
        <f>SUMIF(TEMP1!$Q$2:$Q$6492,"FEBRUARI"&amp;"-"&amp;CBA!$A$5&amp;"-"&amp;CBA!$A8,TEMP1!$J$2:$J$6492)</f>
        <v>14503.580000000002</v>
      </c>
      <c r="G8">
        <f>SUMIF(TEMP1!$Q$2:$Q$6492,"FEBRUARI"&amp;"-"&amp;CBA!$A$5&amp;"-"&amp;CBA!$A8,TEMP1!$K$2:$K$6492)</f>
        <v>305.88000000000011</v>
      </c>
    </row>
    <row r="9" spans="1:37" x14ac:dyDescent="0.25">
      <c r="A9" t="s">
        <v>50</v>
      </c>
      <c r="B9">
        <f>SUMIF(TEMP1!$Q$2:$Q$6492,"JANUARI"&amp;"-"&amp;CBA!$A$5&amp;"-"&amp;CBA!$A9,TEMP1!$H$2:$H$6492)</f>
        <v>3777</v>
      </c>
      <c r="C9">
        <f>SUMIF(TEMP1!$Q$2:$Q$6492,"JANUARI"&amp;"-"&amp;CBA!$A$5&amp;"-"&amp;CBA!$A9,TEMP1!$J$2:$J$6492)</f>
        <v>16082.56</v>
      </c>
      <c r="D9">
        <f>SUMIF(TEMP1!$Q$2:$Q$6492,"JANUARI"&amp;"-"&amp;CBA!$A$5&amp;"-"&amp;CBA!$A9,TEMP1!$K$2:$K$6492)</f>
        <v>-3293.7300000000005</v>
      </c>
      <c r="E9">
        <f>SUMIF(TEMP1!$Q$2:$Q$6492,"FEBRUARI"&amp;"-"&amp;CBA!$A$5&amp;"-"&amp;CBA!$A9,TEMP1!$H$2:$H$6492)</f>
        <v>3309</v>
      </c>
      <c r="F9">
        <f>SUMIF(TEMP1!$Q$2:$Q$6492,"FEBRUARI"&amp;"-"&amp;CBA!$A$5&amp;"-"&amp;CBA!$A9,TEMP1!$J$2:$J$6492)</f>
        <v>14503.580000000002</v>
      </c>
      <c r="G9">
        <f>SUMIF(TEMP1!$Q$2:$Q$6492,"FEBRUARI"&amp;"-"&amp;CBA!$A$5&amp;"-"&amp;CBA!$A9,TEMP1!$K$2:$K$6492)</f>
        <v>-2517.81</v>
      </c>
    </row>
    <row r="10" spans="1:37" x14ac:dyDescent="0.25">
      <c r="A10" t="s">
        <v>56</v>
      </c>
      <c r="B10">
        <f>SUMIF(TEMP1!$Q$2:$Q$6492,"JANUARI"&amp;"-"&amp;CBA!$A$5&amp;"-"&amp;CBA!$A10,TEMP1!$H$2:$H$6492)</f>
        <v>3821</v>
      </c>
      <c r="C10">
        <f>SUMIF(TEMP1!$Q$2:$Q$6492,"JANUARI"&amp;"-"&amp;CBA!$A$5&amp;"-"&amp;CBA!$A10,TEMP1!$J$2:$J$6492)</f>
        <v>16082.559999999998</v>
      </c>
      <c r="D10">
        <f>SUMIF(TEMP1!$Q$2:$Q$6492,"JANUARI"&amp;"-"&amp;CBA!$A$5&amp;"-"&amp;CBA!$A10,TEMP1!$K$2:$K$6492)</f>
        <v>-5780.5299999999988</v>
      </c>
      <c r="E10">
        <f>SUMIF(TEMP1!$Q$2:$Q$6492,"FEBRUARI"&amp;"-"&amp;CBA!$A$5&amp;"-"&amp;CBA!$A10,TEMP1!$H$2:$H$6492)</f>
        <v>3525</v>
      </c>
      <c r="F10">
        <f>SUMIF(TEMP1!$Q$2:$Q$6492,"FEBRUARI"&amp;"-"&amp;CBA!$A$5&amp;"-"&amp;CBA!$A10,TEMP1!$J$2:$J$6492)</f>
        <v>14503.58</v>
      </c>
      <c r="G10">
        <f>SUMIF(TEMP1!$Q$2:$Q$6492,"FEBRUARI"&amp;"-"&amp;CBA!$A$5&amp;"-"&amp;CBA!$A10,TEMP1!$K$2:$K$6492)</f>
        <v>-2766.2299999999996</v>
      </c>
    </row>
  </sheetData>
  <mergeCells count="13">
    <mergeCell ref="AI6:AK6"/>
    <mergeCell ref="Q6:S6"/>
    <mergeCell ref="T6:V6"/>
    <mergeCell ref="W6:Y6"/>
    <mergeCell ref="Z6:AB6"/>
    <mergeCell ref="AC6:AE6"/>
    <mergeCell ref="AF6:AH6"/>
    <mergeCell ref="A6:A7"/>
    <mergeCell ref="B6:D6"/>
    <mergeCell ref="E6:G6"/>
    <mergeCell ref="H6:J6"/>
    <mergeCell ref="K6:M6"/>
    <mergeCell ref="N6:P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TEMP1</vt:lpstr>
      <vt:lpstr>TEMP2</vt:lpstr>
      <vt:lpstr>TEMP3</vt:lpstr>
      <vt:lpstr>TEMP4</vt:lpstr>
      <vt:lpstr>TEMP5</vt:lpstr>
      <vt:lpstr>CBA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2024-01-24T01:57:07Z</dcterms:created>
  <dcterms:modified xsi:type="dcterms:W3CDTF">2024-01-24T07:00:17Z</dcterms:modified>
</cp:coreProperties>
</file>