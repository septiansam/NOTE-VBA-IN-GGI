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Monitoring Cash Flow\"/>
    </mc:Choice>
  </mc:AlternateContent>
  <xr:revisionPtr revIDLastSave="0" documentId="13_ncr:1_{985CA8B9-7A3B-4BD0-B367-4B119414B7D0}" xr6:coauthVersionLast="47" xr6:coauthVersionMax="47" xr10:uidLastSave="{00000000-0000-0000-0000-000000000000}"/>
  <bookViews>
    <workbookView xWindow="-120" yWindow="-120" windowWidth="20730" windowHeight="11160" tabRatio="654" xr2:uid="{7BFD49F8-0777-42F4-BF3F-5DF683E3A4F9}"/>
  </bookViews>
  <sheets>
    <sheet name="TOMBOL" sheetId="1" r:id="rId1"/>
    <sheet name="CASH FLOW" sheetId="56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2" i="562" l="1"/>
  <c r="BP79" i="562"/>
  <c r="BP83" i="562" s="1"/>
  <c r="AU79" i="562"/>
  <c r="AU83" i="562" s="1"/>
  <c r="AN79" i="562"/>
  <c r="AN83" i="562" s="1"/>
  <c r="Y79" i="562"/>
  <c r="Y83" i="562" s="1"/>
  <c r="R79" i="562"/>
  <c r="R83" i="562" s="1"/>
  <c r="B79" i="562"/>
  <c r="B83" i="562" s="1"/>
  <c r="CK67" i="562"/>
  <c r="CD67" i="562"/>
  <c r="BW67" i="562"/>
  <c r="BO67" i="562"/>
  <c r="BH67" i="562"/>
  <c r="BA67" i="562"/>
  <c r="AT67" i="562"/>
  <c r="AM67" i="562"/>
  <c r="AE67" i="562"/>
  <c r="X67" i="562"/>
  <c r="Q67" i="562"/>
  <c r="J67" i="562"/>
  <c r="CK68" i="562"/>
  <c r="CD68" i="562"/>
  <c r="BW68" i="562"/>
  <c r="BO68" i="562"/>
  <c r="BH68" i="562"/>
  <c r="BA68" i="562"/>
  <c r="AT68" i="562"/>
  <c r="AM68" i="562"/>
  <c r="AE68" i="562"/>
  <c r="X68" i="562"/>
  <c r="Q68" i="562"/>
  <c r="J68" i="562"/>
  <c r="CK69" i="562"/>
  <c r="CD69" i="562"/>
  <c r="BW69" i="562"/>
  <c r="BO69" i="562"/>
  <c r="BH69" i="562"/>
  <c r="BA69" i="562"/>
  <c r="AT69" i="562"/>
  <c r="AM69" i="562"/>
  <c r="AE69" i="562"/>
  <c r="X69" i="562"/>
  <c r="Q69" i="562"/>
  <c r="J69" i="562"/>
  <c r="CK70" i="562"/>
  <c r="CD70" i="562"/>
  <c r="BW70" i="562"/>
  <c r="BO70" i="562"/>
  <c r="BH70" i="562"/>
  <c r="BA70" i="562"/>
  <c r="AT70" i="562"/>
  <c r="AM70" i="562"/>
  <c r="AE70" i="562"/>
  <c r="X70" i="562"/>
  <c r="Q70" i="562"/>
  <c r="J70" i="562"/>
  <c r="CK71" i="562"/>
  <c r="CD71" i="562"/>
  <c r="BW71" i="562"/>
  <c r="BO71" i="562"/>
  <c r="BH71" i="562"/>
  <c r="BA71" i="562"/>
  <c r="AT71" i="562"/>
  <c r="AM71" i="562"/>
  <c r="AE71" i="562"/>
  <c r="X71" i="562"/>
  <c r="Q71" i="562"/>
  <c r="J71" i="562"/>
  <c r="CK72" i="562"/>
  <c r="CD72" i="562"/>
  <c r="BW72" i="562"/>
  <c r="BO72" i="562"/>
  <c r="BH72" i="562"/>
  <c r="BA72" i="562"/>
  <c r="AT72" i="562"/>
  <c r="AM72" i="562"/>
  <c r="AE72" i="562"/>
  <c r="X72" i="562"/>
  <c r="Q72" i="562"/>
  <c r="J72" i="562"/>
  <c r="CK73" i="562"/>
  <c r="CD73" i="562"/>
  <c r="BW73" i="562"/>
  <c r="BO73" i="562"/>
  <c r="BH73" i="562"/>
  <c r="BA73" i="562"/>
  <c r="AT73" i="562"/>
  <c r="AM73" i="562"/>
  <c r="AE73" i="562"/>
  <c r="X73" i="562"/>
  <c r="Q73" i="562"/>
  <c r="J73" i="562"/>
  <c r="CK74" i="562"/>
  <c r="CD74" i="562"/>
  <c r="BW74" i="562"/>
  <c r="BO74" i="562"/>
  <c r="BH74" i="562"/>
  <c r="BA74" i="562"/>
  <c r="AT74" i="562"/>
  <c r="AM74" i="562"/>
  <c r="AE74" i="562"/>
  <c r="X74" i="562"/>
  <c r="Q74" i="562"/>
  <c r="J74" i="562"/>
  <c r="CK75" i="562"/>
  <c r="CD75" i="562"/>
  <c r="BW75" i="562"/>
  <c r="BO75" i="562"/>
  <c r="BH75" i="562"/>
  <c r="BA75" i="562"/>
  <c r="AT75" i="562"/>
  <c r="AM75" i="562"/>
  <c r="AE75" i="562"/>
  <c r="X75" i="562"/>
  <c r="Q75" i="562"/>
  <c r="J75" i="562"/>
  <c r="CK76" i="562"/>
  <c r="CD76" i="562"/>
  <c r="BW76" i="562"/>
  <c r="BO76" i="562"/>
  <c r="BH76" i="562"/>
  <c r="BA76" i="562"/>
  <c r="AT76" i="562"/>
  <c r="AM76" i="562"/>
  <c r="AE76" i="562"/>
  <c r="X76" i="562"/>
  <c r="Q76" i="562"/>
  <c r="J76" i="562"/>
  <c r="CK77" i="562"/>
  <c r="CD77" i="562"/>
  <c r="BW77" i="562"/>
  <c r="BO77" i="562"/>
  <c r="BH77" i="562"/>
  <c r="BA77" i="562"/>
  <c r="BA79" i="562" s="1"/>
  <c r="BA83" i="562" s="1"/>
  <c r="AT77" i="562"/>
  <c r="AM77" i="562"/>
  <c r="AE77" i="562"/>
  <c r="X77" i="562"/>
  <c r="Q77" i="562"/>
  <c r="J77" i="562"/>
  <c r="BX45" i="562"/>
  <c r="BX82" i="562" s="1"/>
  <c r="BB45" i="562"/>
  <c r="BB82" i="562" s="1"/>
  <c r="AU45" i="562"/>
  <c r="AU82" i="562" s="1"/>
  <c r="AN45" i="562"/>
  <c r="AN82" i="562" s="1"/>
  <c r="AF45" i="562"/>
  <c r="AF82" i="562" s="1"/>
  <c r="Y45" i="562"/>
  <c r="Y82" i="562" s="1"/>
  <c r="R45" i="562"/>
  <c r="R82" i="562" s="1"/>
  <c r="K45" i="562"/>
  <c r="K82" i="562" s="1"/>
  <c r="B45" i="562"/>
  <c r="CK33" i="562"/>
  <c r="CD33" i="562"/>
  <c r="BW33" i="562"/>
  <c r="BO33" i="562"/>
  <c r="BH33" i="562"/>
  <c r="BA33" i="562"/>
  <c r="AT33" i="562"/>
  <c r="AM33" i="562"/>
  <c r="AE33" i="562"/>
  <c r="X33" i="562"/>
  <c r="Q33" i="562"/>
  <c r="J33" i="562"/>
  <c r="CK34" i="562"/>
  <c r="CD34" i="562"/>
  <c r="BW34" i="562"/>
  <c r="BO34" i="562"/>
  <c r="BH34" i="562"/>
  <c r="BA34" i="562"/>
  <c r="AT34" i="562"/>
  <c r="AM34" i="562"/>
  <c r="AE34" i="562"/>
  <c r="X34" i="562"/>
  <c r="Q34" i="562"/>
  <c r="J34" i="562"/>
  <c r="CK35" i="562"/>
  <c r="CD35" i="562"/>
  <c r="BW35" i="562"/>
  <c r="BO35" i="562"/>
  <c r="BH35" i="562"/>
  <c r="BA35" i="562"/>
  <c r="AT35" i="562"/>
  <c r="AM35" i="562"/>
  <c r="AE35" i="562"/>
  <c r="X35" i="562"/>
  <c r="Q35" i="562"/>
  <c r="J35" i="562"/>
  <c r="CK36" i="562"/>
  <c r="CD36" i="562"/>
  <c r="BW36" i="562"/>
  <c r="BO36" i="562"/>
  <c r="BH36" i="562"/>
  <c r="BA36" i="562"/>
  <c r="AT36" i="562"/>
  <c r="AM36" i="562"/>
  <c r="AE36" i="562"/>
  <c r="X36" i="562"/>
  <c r="Q36" i="562"/>
  <c r="J36" i="562"/>
  <c r="CK37" i="562"/>
  <c r="CD37" i="562"/>
  <c r="BW37" i="562"/>
  <c r="BO37" i="562"/>
  <c r="BH37" i="562"/>
  <c r="BA37" i="562"/>
  <c r="AT37" i="562"/>
  <c r="AM37" i="562"/>
  <c r="AE37" i="562"/>
  <c r="X37" i="562"/>
  <c r="Q37" i="562"/>
  <c r="J37" i="562"/>
  <c r="CK38" i="562"/>
  <c r="CD38" i="562"/>
  <c r="BW38" i="562"/>
  <c r="BO38" i="562"/>
  <c r="BH38" i="562"/>
  <c r="BA38" i="562"/>
  <c r="AT38" i="562"/>
  <c r="AM38" i="562"/>
  <c r="AE38" i="562"/>
  <c r="X38" i="562"/>
  <c r="Q38" i="562"/>
  <c r="J38" i="562"/>
  <c r="CK39" i="562"/>
  <c r="CD39" i="562"/>
  <c r="BW39" i="562"/>
  <c r="BO39" i="562"/>
  <c r="BH39" i="562"/>
  <c r="BA39" i="562"/>
  <c r="AT39" i="562"/>
  <c r="AM39" i="562"/>
  <c r="AE39" i="562"/>
  <c r="X39" i="562"/>
  <c r="Q39" i="562"/>
  <c r="J39" i="562"/>
  <c r="CK40" i="562"/>
  <c r="CD40" i="562"/>
  <c r="BW40" i="562"/>
  <c r="BO40" i="562"/>
  <c r="BH40" i="562"/>
  <c r="BA40" i="562"/>
  <c r="AT40" i="562"/>
  <c r="AM40" i="562"/>
  <c r="AE40" i="562"/>
  <c r="X40" i="562"/>
  <c r="Q40" i="562"/>
  <c r="J40" i="562"/>
  <c r="CK41" i="562"/>
  <c r="CD41" i="562"/>
  <c r="BW41" i="562"/>
  <c r="BO41" i="562"/>
  <c r="BH41" i="562"/>
  <c r="BA41" i="562"/>
  <c r="AT41" i="562"/>
  <c r="AM41" i="562"/>
  <c r="AE41" i="562"/>
  <c r="X41" i="562"/>
  <c r="Q41" i="562"/>
  <c r="J41" i="562"/>
  <c r="CK42" i="562"/>
  <c r="CD42" i="562"/>
  <c r="BW42" i="562"/>
  <c r="BO42" i="562"/>
  <c r="BH42" i="562"/>
  <c r="BA42" i="562"/>
  <c r="AT42" i="562"/>
  <c r="AM42" i="562"/>
  <c r="AE42" i="562"/>
  <c r="X42" i="562"/>
  <c r="Q42" i="562"/>
  <c r="J42" i="562"/>
  <c r="CK43" i="562"/>
  <c r="CD43" i="562"/>
  <c r="BW43" i="562"/>
  <c r="BO43" i="562"/>
  <c r="BH43" i="562"/>
  <c r="BA43" i="562"/>
  <c r="AT43" i="562"/>
  <c r="AT45" i="562" s="1"/>
  <c r="AT82" i="562" s="1"/>
  <c r="AM43" i="562"/>
  <c r="AE43" i="562"/>
  <c r="X43" i="562"/>
  <c r="Q43" i="562"/>
  <c r="J43" i="562"/>
  <c r="CE62" i="562"/>
  <c r="BX62" i="562"/>
  <c r="BB62" i="562"/>
  <c r="AU62" i="562"/>
  <c r="R62" i="562"/>
  <c r="C62" i="562"/>
  <c r="B62" i="562"/>
  <c r="CK50" i="562"/>
  <c r="CD50" i="562"/>
  <c r="BW50" i="562"/>
  <c r="BO50" i="562"/>
  <c r="BH50" i="562"/>
  <c r="BA50" i="562"/>
  <c r="AT50" i="562"/>
  <c r="AM50" i="562"/>
  <c r="AE50" i="562"/>
  <c r="X50" i="562"/>
  <c r="Q50" i="562"/>
  <c r="J50" i="562"/>
  <c r="CK51" i="562"/>
  <c r="CD51" i="562"/>
  <c r="BW51" i="562"/>
  <c r="BO51" i="562"/>
  <c r="BH51" i="562"/>
  <c r="BA51" i="562"/>
  <c r="AT51" i="562"/>
  <c r="AM51" i="562"/>
  <c r="AE51" i="562"/>
  <c r="X51" i="562"/>
  <c r="Q51" i="562"/>
  <c r="J51" i="562"/>
  <c r="CK52" i="562"/>
  <c r="CD52" i="562"/>
  <c r="BW52" i="562"/>
  <c r="BO52" i="562"/>
  <c r="BH52" i="562"/>
  <c r="BA52" i="562"/>
  <c r="AT52" i="562"/>
  <c r="AM52" i="562"/>
  <c r="AE52" i="562"/>
  <c r="X52" i="562"/>
  <c r="Q52" i="562"/>
  <c r="J52" i="562"/>
  <c r="CK53" i="562"/>
  <c r="CD53" i="562"/>
  <c r="BW53" i="562"/>
  <c r="BO53" i="562"/>
  <c r="BH53" i="562"/>
  <c r="BA53" i="562"/>
  <c r="AT53" i="562"/>
  <c r="AM53" i="562"/>
  <c r="AE53" i="562"/>
  <c r="X53" i="562"/>
  <c r="Q53" i="562"/>
  <c r="J53" i="562"/>
  <c r="CK54" i="562"/>
  <c r="CD54" i="562"/>
  <c r="BW54" i="562"/>
  <c r="BO54" i="562"/>
  <c r="BH54" i="562"/>
  <c r="BA54" i="562"/>
  <c r="AT54" i="562"/>
  <c r="AM54" i="562"/>
  <c r="AE54" i="562"/>
  <c r="X54" i="562"/>
  <c r="Q54" i="562"/>
  <c r="J54" i="562"/>
  <c r="CK55" i="562"/>
  <c r="CD55" i="562"/>
  <c r="BW55" i="562"/>
  <c r="BO55" i="562"/>
  <c r="BH55" i="562"/>
  <c r="BA55" i="562"/>
  <c r="AT55" i="562"/>
  <c r="AM55" i="562"/>
  <c r="AE55" i="562"/>
  <c r="X55" i="562"/>
  <c r="Q55" i="562"/>
  <c r="J55" i="562"/>
  <c r="CK56" i="562"/>
  <c r="CD56" i="562"/>
  <c r="BW56" i="562"/>
  <c r="BO56" i="562"/>
  <c r="BH56" i="562"/>
  <c r="BA56" i="562"/>
  <c r="AT56" i="562"/>
  <c r="AM56" i="562"/>
  <c r="AE56" i="562"/>
  <c r="X56" i="562"/>
  <c r="Q56" i="562"/>
  <c r="J56" i="562"/>
  <c r="CK57" i="562"/>
  <c r="CD57" i="562"/>
  <c r="BW57" i="562"/>
  <c r="BO57" i="562"/>
  <c r="BH57" i="562"/>
  <c r="BA57" i="562"/>
  <c r="AT57" i="562"/>
  <c r="AM57" i="562"/>
  <c r="AE57" i="562"/>
  <c r="X57" i="562"/>
  <c r="Q57" i="562"/>
  <c r="J57" i="562"/>
  <c r="CK58" i="562"/>
  <c r="CD58" i="562"/>
  <c r="BW58" i="562"/>
  <c r="BO58" i="562"/>
  <c r="BH58" i="562"/>
  <c r="BA58" i="562"/>
  <c r="AT58" i="562"/>
  <c r="AM58" i="562"/>
  <c r="AE58" i="562"/>
  <c r="X58" i="562"/>
  <c r="Q58" i="562"/>
  <c r="J58" i="562"/>
  <c r="CK59" i="562"/>
  <c r="CD59" i="562"/>
  <c r="BW59" i="562"/>
  <c r="BO59" i="562"/>
  <c r="BH59" i="562"/>
  <c r="BA59" i="562"/>
  <c r="AT59" i="562"/>
  <c r="AM59" i="562"/>
  <c r="AE59" i="562"/>
  <c r="X59" i="562"/>
  <c r="Q59" i="562"/>
  <c r="J59" i="562"/>
  <c r="CK60" i="562"/>
  <c r="CD60" i="562"/>
  <c r="BW60" i="562"/>
  <c r="BO60" i="562"/>
  <c r="BH60" i="562"/>
  <c r="BA60" i="562"/>
  <c r="BA62" i="562" s="1"/>
  <c r="AT60" i="562"/>
  <c r="AM60" i="562"/>
  <c r="AE60" i="562"/>
  <c r="X60" i="562"/>
  <c r="Q60" i="562"/>
  <c r="J60" i="562"/>
  <c r="BX28" i="562"/>
  <c r="BP28" i="562"/>
  <c r="BI28" i="562"/>
  <c r="BB28" i="562"/>
  <c r="AU28" i="562"/>
  <c r="AN28" i="562"/>
  <c r="Y28" i="562"/>
  <c r="R28" i="562"/>
  <c r="C28" i="562"/>
  <c r="CK16" i="562"/>
  <c r="CD16" i="562"/>
  <c r="BW16" i="562"/>
  <c r="BO16" i="562"/>
  <c r="BH16" i="562"/>
  <c r="BA16" i="562"/>
  <c r="AT16" i="562"/>
  <c r="AM16" i="562"/>
  <c r="AE16" i="562"/>
  <c r="X16" i="562"/>
  <c r="Q16" i="562"/>
  <c r="J16" i="562"/>
  <c r="CK17" i="562"/>
  <c r="CD17" i="562"/>
  <c r="BW17" i="562"/>
  <c r="BO17" i="562"/>
  <c r="BH17" i="562"/>
  <c r="BA17" i="562"/>
  <c r="AT17" i="562"/>
  <c r="AM17" i="562"/>
  <c r="AE17" i="562"/>
  <c r="X17" i="562"/>
  <c r="Q17" i="562"/>
  <c r="J17" i="562"/>
  <c r="CK18" i="562"/>
  <c r="CD18" i="562"/>
  <c r="BW18" i="562"/>
  <c r="BO18" i="562"/>
  <c r="BH18" i="562"/>
  <c r="BA18" i="562"/>
  <c r="AT18" i="562"/>
  <c r="AM18" i="562"/>
  <c r="AE18" i="562"/>
  <c r="X18" i="562"/>
  <c r="Q18" i="562"/>
  <c r="J18" i="562"/>
  <c r="CK19" i="562"/>
  <c r="CD19" i="562"/>
  <c r="BW19" i="562"/>
  <c r="BO19" i="562"/>
  <c r="BH19" i="562"/>
  <c r="BA19" i="562"/>
  <c r="AT19" i="562"/>
  <c r="AM19" i="562"/>
  <c r="AE19" i="562"/>
  <c r="X19" i="562"/>
  <c r="Q19" i="562"/>
  <c r="J19" i="562"/>
  <c r="CK20" i="562"/>
  <c r="CD20" i="562"/>
  <c r="BW20" i="562"/>
  <c r="BO20" i="562"/>
  <c r="BH20" i="562"/>
  <c r="BA20" i="562"/>
  <c r="AT20" i="562"/>
  <c r="AM20" i="562"/>
  <c r="AE20" i="562"/>
  <c r="X20" i="562"/>
  <c r="Q20" i="562"/>
  <c r="J20" i="562"/>
  <c r="CK21" i="562"/>
  <c r="CD21" i="562"/>
  <c r="BW21" i="562"/>
  <c r="BO21" i="562"/>
  <c r="BH21" i="562"/>
  <c r="BA21" i="562"/>
  <c r="AT21" i="562"/>
  <c r="AM21" i="562"/>
  <c r="AE21" i="562"/>
  <c r="X21" i="562"/>
  <c r="Q21" i="562"/>
  <c r="J21" i="562"/>
  <c r="CK22" i="562"/>
  <c r="CD22" i="562"/>
  <c r="BW22" i="562"/>
  <c r="BO22" i="562"/>
  <c r="BH22" i="562"/>
  <c r="BA22" i="562"/>
  <c r="AT22" i="562"/>
  <c r="AM22" i="562"/>
  <c r="AE22" i="562"/>
  <c r="X22" i="562"/>
  <c r="Q22" i="562"/>
  <c r="J22" i="562"/>
  <c r="CK23" i="562"/>
  <c r="CD23" i="562"/>
  <c r="BW23" i="562"/>
  <c r="BO23" i="562"/>
  <c r="BH23" i="562"/>
  <c r="BA23" i="562"/>
  <c r="AT23" i="562"/>
  <c r="AM23" i="562"/>
  <c r="AE23" i="562"/>
  <c r="X23" i="562"/>
  <c r="Q23" i="562"/>
  <c r="J23" i="562"/>
  <c r="CK24" i="562"/>
  <c r="CD24" i="562"/>
  <c r="BW24" i="562"/>
  <c r="BO24" i="562"/>
  <c r="BH24" i="562"/>
  <c r="BA24" i="562"/>
  <c r="AT24" i="562"/>
  <c r="AM24" i="562"/>
  <c r="AE24" i="562"/>
  <c r="X24" i="562"/>
  <c r="Q24" i="562"/>
  <c r="J24" i="562"/>
  <c r="CK25" i="562"/>
  <c r="CD25" i="562"/>
  <c r="BW25" i="562"/>
  <c r="BO25" i="562"/>
  <c r="BH25" i="562"/>
  <c r="BA25" i="562"/>
  <c r="AT25" i="562"/>
  <c r="AM25" i="562"/>
  <c r="AE25" i="562"/>
  <c r="X25" i="562"/>
  <c r="Q25" i="562"/>
  <c r="J25" i="562"/>
  <c r="CK26" i="562"/>
  <c r="CD26" i="562"/>
  <c r="BW26" i="562"/>
  <c r="BO26" i="562"/>
  <c r="BH26" i="562"/>
  <c r="BA26" i="562"/>
  <c r="BA28" i="562" s="1"/>
  <c r="AT26" i="562"/>
  <c r="AM26" i="562"/>
  <c r="AE26" i="562"/>
  <c r="X26" i="562"/>
  <c r="Q26" i="562"/>
  <c r="J26" i="562"/>
  <c r="J28" i="562" s="1"/>
  <c r="D28" i="562"/>
  <c r="E28" i="562"/>
  <c r="F28" i="562"/>
  <c r="G28" i="562"/>
  <c r="H28" i="562"/>
  <c r="I28" i="562"/>
  <c r="K28" i="562"/>
  <c r="L28" i="562"/>
  <c r="M28" i="562"/>
  <c r="N28" i="562"/>
  <c r="O28" i="562"/>
  <c r="P28" i="562"/>
  <c r="S28" i="562"/>
  <c r="T28" i="562"/>
  <c r="U28" i="562"/>
  <c r="V28" i="562"/>
  <c r="W28" i="562"/>
  <c r="Z28" i="562"/>
  <c r="AA28" i="562"/>
  <c r="AB28" i="562"/>
  <c r="AC28" i="562"/>
  <c r="AD28" i="562"/>
  <c r="AF28" i="562"/>
  <c r="AG28" i="562"/>
  <c r="AH28" i="562"/>
  <c r="AI28" i="562"/>
  <c r="AJ28" i="562"/>
  <c r="AK28" i="562"/>
  <c r="AL28" i="562"/>
  <c r="AO28" i="562"/>
  <c r="AP28" i="562"/>
  <c r="AQ28" i="562"/>
  <c r="AR28" i="562"/>
  <c r="AS28" i="562"/>
  <c r="AV28" i="562"/>
  <c r="AW28" i="562"/>
  <c r="AX28" i="562"/>
  <c r="AY28" i="562"/>
  <c r="AZ28" i="562"/>
  <c r="BC28" i="562"/>
  <c r="BD28" i="562"/>
  <c r="BE28" i="562"/>
  <c r="BF28" i="562"/>
  <c r="BG28" i="562"/>
  <c r="BJ28" i="562"/>
  <c r="BK28" i="562"/>
  <c r="BL28" i="562"/>
  <c r="BM28" i="562"/>
  <c r="BN28" i="562"/>
  <c r="BQ28" i="562"/>
  <c r="BR28" i="562"/>
  <c r="BS28" i="562"/>
  <c r="BT28" i="562"/>
  <c r="BU28" i="562"/>
  <c r="BV28" i="562"/>
  <c r="BY28" i="562"/>
  <c r="BZ28" i="562"/>
  <c r="CA28" i="562"/>
  <c r="CB28" i="562"/>
  <c r="CC28" i="562"/>
  <c r="CE28" i="562"/>
  <c r="CF28" i="562"/>
  <c r="CG28" i="562"/>
  <c r="CH28" i="562"/>
  <c r="CI28" i="562"/>
  <c r="CJ28" i="562"/>
  <c r="D62" i="562"/>
  <c r="E62" i="562"/>
  <c r="F62" i="562"/>
  <c r="G62" i="562"/>
  <c r="H62" i="562"/>
  <c r="I62" i="562"/>
  <c r="K62" i="562"/>
  <c r="L62" i="562"/>
  <c r="M62" i="562"/>
  <c r="N62" i="562"/>
  <c r="O62" i="562"/>
  <c r="P62" i="562"/>
  <c r="S62" i="562"/>
  <c r="T62" i="562"/>
  <c r="U62" i="562"/>
  <c r="V62" i="562"/>
  <c r="W62" i="562"/>
  <c r="Y62" i="562"/>
  <c r="Z62" i="562"/>
  <c r="AA62" i="562"/>
  <c r="AB62" i="562"/>
  <c r="AC62" i="562"/>
  <c r="AD62" i="562"/>
  <c r="AF62" i="562"/>
  <c r="AG62" i="562"/>
  <c r="AH62" i="562"/>
  <c r="AI62" i="562"/>
  <c r="AJ62" i="562"/>
  <c r="AK62" i="562"/>
  <c r="AL62" i="562"/>
  <c r="AN62" i="562"/>
  <c r="AO62" i="562"/>
  <c r="AP62" i="562"/>
  <c r="AQ62" i="562"/>
  <c r="AR62" i="562"/>
  <c r="AS62" i="562"/>
  <c r="AV62" i="562"/>
  <c r="AW62" i="562"/>
  <c r="AX62" i="562"/>
  <c r="AY62" i="562"/>
  <c r="AZ62" i="562"/>
  <c r="BC62" i="562"/>
  <c r="BD62" i="562"/>
  <c r="BE62" i="562"/>
  <c r="BF62" i="562"/>
  <c r="BG62" i="562"/>
  <c r="BI62" i="562"/>
  <c r="BJ62" i="562"/>
  <c r="BK62" i="562"/>
  <c r="BL62" i="562"/>
  <c r="BM62" i="562"/>
  <c r="BN62" i="562"/>
  <c r="BP62" i="562"/>
  <c r="BQ62" i="562"/>
  <c r="BR62" i="562"/>
  <c r="BS62" i="562"/>
  <c r="BT62" i="562"/>
  <c r="BU62" i="562"/>
  <c r="BV62" i="562"/>
  <c r="BY62" i="562"/>
  <c r="BZ62" i="562"/>
  <c r="CA62" i="562"/>
  <c r="CB62" i="562"/>
  <c r="CC62" i="562"/>
  <c r="CF62" i="562"/>
  <c r="CG62" i="562"/>
  <c r="CH62" i="562"/>
  <c r="CI62" i="562"/>
  <c r="CJ62" i="562"/>
  <c r="C45" i="562"/>
  <c r="C82" i="562" s="1"/>
  <c r="D45" i="562"/>
  <c r="D82" i="562" s="1"/>
  <c r="E45" i="562"/>
  <c r="E82" i="562" s="1"/>
  <c r="F45" i="562"/>
  <c r="F82" i="562" s="1"/>
  <c r="G45" i="562"/>
  <c r="G82" i="562" s="1"/>
  <c r="H45" i="562"/>
  <c r="H82" i="562" s="1"/>
  <c r="I45" i="562"/>
  <c r="I82" i="562" s="1"/>
  <c r="L45" i="562"/>
  <c r="L82" i="562" s="1"/>
  <c r="M45" i="562"/>
  <c r="M82" i="562" s="1"/>
  <c r="N45" i="562"/>
  <c r="N82" i="562" s="1"/>
  <c r="O45" i="562"/>
  <c r="O82" i="562" s="1"/>
  <c r="P45" i="562"/>
  <c r="P82" i="562" s="1"/>
  <c r="S45" i="562"/>
  <c r="S82" i="562" s="1"/>
  <c r="T45" i="562"/>
  <c r="T82" i="562" s="1"/>
  <c r="U45" i="562"/>
  <c r="U82" i="562" s="1"/>
  <c r="V45" i="562"/>
  <c r="V82" i="562" s="1"/>
  <c r="W45" i="562"/>
  <c r="W82" i="562" s="1"/>
  <c r="Z45" i="562"/>
  <c r="Z82" i="562" s="1"/>
  <c r="AA45" i="562"/>
  <c r="AA82" i="562" s="1"/>
  <c r="AB45" i="562"/>
  <c r="AB82" i="562" s="1"/>
  <c r="AC45" i="562"/>
  <c r="AC82" i="562" s="1"/>
  <c r="AD45" i="562"/>
  <c r="AD82" i="562" s="1"/>
  <c r="AG45" i="562"/>
  <c r="AG82" i="562" s="1"/>
  <c r="AH45" i="562"/>
  <c r="AH82" i="562" s="1"/>
  <c r="AI45" i="562"/>
  <c r="AI82" i="562" s="1"/>
  <c r="AJ45" i="562"/>
  <c r="AJ82" i="562" s="1"/>
  <c r="AJ86" i="562" s="1"/>
  <c r="AK45" i="562"/>
  <c r="AK82" i="562" s="1"/>
  <c r="AL45" i="562"/>
  <c r="AL82" i="562" s="1"/>
  <c r="AO45" i="562"/>
  <c r="AO82" i="562" s="1"/>
  <c r="AP45" i="562"/>
  <c r="AP82" i="562" s="1"/>
  <c r="AQ45" i="562"/>
  <c r="AQ82" i="562" s="1"/>
  <c r="AR45" i="562"/>
  <c r="AR82" i="562" s="1"/>
  <c r="AS45" i="562"/>
  <c r="AS82" i="562" s="1"/>
  <c r="AV45" i="562"/>
  <c r="AV82" i="562" s="1"/>
  <c r="AW45" i="562"/>
  <c r="AW82" i="562" s="1"/>
  <c r="AX45" i="562"/>
  <c r="AX82" i="562" s="1"/>
  <c r="AY45" i="562"/>
  <c r="AY82" i="562" s="1"/>
  <c r="AZ45" i="562"/>
  <c r="AZ82" i="562" s="1"/>
  <c r="BC45" i="562"/>
  <c r="BC82" i="562" s="1"/>
  <c r="BD45" i="562"/>
  <c r="BD82" i="562" s="1"/>
  <c r="BE45" i="562"/>
  <c r="BE82" i="562" s="1"/>
  <c r="BF45" i="562"/>
  <c r="BG45" i="562"/>
  <c r="BG82" i="562" s="1"/>
  <c r="BI45" i="562"/>
  <c r="BI82" i="562" s="1"/>
  <c r="BJ45" i="562"/>
  <c r="BJ82" i="562" s="1"/>
  <c r="BK45" i="562"/>
  <c r="BK82" i="562" s="1"/>
  <c r="BL45" i="562"/>
  <c r="BL82" i="562" s="1"/>
  <c r="BM45" i="562"/>
  <c r="BM82" i="562" s="1"/>
  <c r="BN45" i="562"/>
  <c r="BN82" i="562" s="1"/>
  <c r="BP45" i="562"/>
  <c r="BP82" i="562" s="1"/>
  <c r="BQ45" i="562"/>
  <c r="BQ82" i="562" s="1"/>
  <c r="BR45" i="562"/>
  <c r="BR82" i="562" s="1"/>
  <c r="BS45" i="562"/>
  <c r="BS82" i="562" s="1"/>
  <c r="BT45" i="562"/>
  <c r="BT82" i="562" s="1"/>
  <c r="BU45" i="562"/>
  <c r="BU82" i="562" s="1"/>
  <c r="BV45" i="562"/>
  <c r="BV82" i="562" s="1"/>
  <c r="BY45" i="562"/>
  <c r="BY82" i="562" s="1"/>
  <c r="BZ45" i="562"/>
  <c r="BZ82" i="562" s="1"/>
  <c r="CA45" i="562"/>
  <c r="CA82" i="562" s="1"/>
  <c r="CB45" i="562"/>
  <c r="CC45" i="562"/>
  <c r="CC82" i="562" s="1"/>
  <c r="CD45" i="562"/>
  <c r="CD82" i="562" s="1"/>
  <c r="CE45" i="562"/>
  <c r="CE82" i="562" s="1"/>
  <c r="CF45" i="562"/>
  <c r="CF82" i="562" s="1"/>
  <c r="CG45" i="562"/>
  <c r="CG82" i="562" s="1"/>
  <c r="CH45" i="562"/>
  <c r="CI45" i="562"/>
  <c r="CI82" i="562" s="1"/>
  <c r="CJ45" i="562"/>
  <c r="CJ82" i="562" s="1"/>
  <c r="CK45" i="562"/>
  <c r="CK82" i="562" s="1"/>
  <c r="C79" i="562"/>
  <c r="C83" i="562" s="1"/>
  <c r="D79" i="562"/>
  <c r="D83" i="562" s="1"/>
  <c r="E79" i="562"/>
  <c r="E83" i="562" s="1"/>
  <c r="F79" i="562"/>
  <c r="F83" i="562" s="1"/>
  <c r="G79" i="562"/>
  <c r="G83" i="562" s="1"/>
  <c r="H79" i="562"/>
  <c r="H83" i="562" s="1"/>
  <c r="I79" i="562"/>
  <c r="I83" i="562" s="1"/>
  <c r="K79" i="562"/>
  <c r="K83" i="562" s="1"/>
  <c r="L79" i="562"/>
  <c r="L83" i="562" s="1"/>
  <c r="M79" i="562"/>
  <c r="M83" i="562" s="1"/>
  <c r="N79" i="562"/>
  <c r="N83" i="562" s="1"/>
  <c r="O79" i="562"/>
  <c r="O83" i="562" s="1"/>
  <c r="P79" i="562"/>
  <c r="P83" i="562" s="1"/>
  <c r="S79" i="562"/>
  <c r="S83" i="562" s="1"/>
  <c r="T79" i="562"/>
  <c r="T83" i="562" s="1"/>
  <c r="U79" i="562"/>
  <c r="U83" i="562" s="1"/>
  <c r="V79" i="562"/>
  <c r="V83" i="562" s="1"/>
  <c r="W79" i="562"/>
  <c r="W83" i="562" s="1"/>
  <c r="Z79" i="562"/>
  <c r="Z83" i="562" s="1"/>
  <c r="AA79" i="562"/>
  <c r="AA83" i="562" s="1"/>
  <c r="AB79" i="562"/>
  <c r="AB83" i="562" s="1"/>
  <c r="AC79" i="562"/>
  <c r="AC83" i="562" s="1"/>
  <c r="AD79" i="562"/>
  <c r="AD83" i="562" s="1"/>
  <c r="AF79" i="562"/>
  <c r="AF83" i="562" s="1"/>
  <c r="AG79" i="562"/>
  <c r="AG83" i="562" s="1"/>
  <c r="AH79" i="562"/>
  <c r="AH83" i="562" s="1"/>
  <c r="AI79" i="562"/>
  <c r="AI83" i="562" s="1"/>
  <c r="AJ79" i="562"/>
  <c r="AJ83" i="562" s="1"/>
  <c r="AK79" i="562"/>
  <c r="AK83" i="562" s="1"/>
  <c r="AL79" i="562"/>
  <c r="AL83" i="562" s="1"/>
  <c r="AO79" i="562"/>
  <c r="AO83" i="562" s="1"/>
  <c r="AP79" i="562"/>
  <c r="AP83" i="562" s="1"/>
  <c r="AQ79" i="562"/>
  <c r="AQ83" i="562" s="1"/>
  <c r="AR79" i="562"/>
  <c r="AR83" i="562" s="1"/>
  <c r="AS79" i="562"/>
  <c r="AS83" i="562" s="1"/>
  <c r="AV79" i="562"/>
  <c r="AV83" i="562" s="1"/>
  <c r="AW79" i="562"/>
  <c r="AW83" i="562" s="1"/>
  <c r="AX79" i="562"/>
  <c r="AX83" i="562" s="1"/>
  <c r="AY79" i="562"/>
  <c r="AY83" i="562" s="1"/>
  <c r="AZ79" i="562"/>
  <c r="AZ83" i="562" s="1"/>
  <c r="BB79" i="562"/>
  <c r="BB83" i="562" s="1"/>
  <c r="BC79" i="562"/>
  <c r="BC83" i="562" s="1"/>
  <c r="BD79" i="562"/>
  <c r="BD83" i="562" s="1"/>
  <c r="BE79" i="562"/>
  <c r="BE83" i="562" s="1"/>
  <c r="BF79" i="562"/>
  <c r="BF83" i="562" s="1"/>
  <c r="BG79" i="562"/>
  <c r="BG83" i="562" s="1"/>
  <c r="BI79" i="562"/>
  <c r="BI83" i="562" s="1"/>
  <c r="BJ79" i="562"/>
  <c r="BJ83" i="562" s="1"/>
  <c r="BK79" i="562"/>
  <c r="BK83" i="562" s="1"/>
  <c r="BL79" i="562"/>
  <c r="BL83" i="562" s="1"/>
  <c r="BM79" i="562"/>
  <c r="BM83" i="562" s="1"/>
  <c r="BN79" i="562"/>
  <c r="BN83" i="562" s="1"/>
  <c r="BQ79" i="562"/>
  <c r="BQ83" i="562" s="1"/>
  <c r="BR79" i="562"/>
  <c r="BR83" i="562" s="1"/>
  <c r="BS79" i="562"/>
  <c r="BS83" i="562" s="1"/>
  <c r="BT79" i="562"/>
  <c r="BT83" i="562" s="1"/>
  <c r="BU79" i="562"/>
  <c r="BU83" i="562" s="1"/>
  <c r="BV79" i="562"/>
  <c r="BV83" i="562" s="1"/>
  <c r="BW79" i="562"/>
  <c r="BW83" i="562" s="1"/>
  <c r="BX79" i="562"/>
  <c r="BX83" i="562" s="1"/>
  <c r="BY79" i="562"/>
  <c r="BY83" i="562" s="1"/>
  <c r="BZ79" i="562"/>
  <c r="BZ83" i="562" s="1"/>
  <c r="CA79" i="562"/>
  <c r="CA83" i="562" s="1"/>
  <c r="CB79" i="562"/>
  <c r="CB83" i="562" s="1"/>
  <c r="CC79" i="562"/>
  <c r="CC83" i="562" s="1"/>
  <c r="CD79" i="562"/>
  <c r="CD83" i="562" s="1"/>
  <c r="CE79" i="562"/>
  <c r="CE83" i="562" s="1"/>
  <c r="CF79" i="562"/>
  <c r="CF83" i="562" s="1"/>
  <c r="CG79" i="562"/>
  <c r="CG83" i="562" s="1"/>
  <c r="CH79" i="562"/>
  <c r="CH83" i="562" s="1"/>
  <c r="CI79" i="562"/>
  <c r="CI83" i="562" s="1"/>
  <c r="CJ79" i="562"/>
  <c r="CJ83" i="562" s="1"/>
  <c r="CK79" i="562"/>
  <c r="CK83" i="562" s="1"/>
  <c r="BF82" i="562"/>
  <c r="CB82" i="562"/>
  <c r="CH82" i="562"/>
  <c r="C96" i="562"/>
  <c r="D96" i="562"/>
  <c r="E96" i="562"/>
  <c r="F96" i="562"/>
  <c r="G96" i="562"/>
  <c r="H96" i="562"/>
  <c r="I96" i="562"/>
  <c r="J96" i="562"/>
  <c r="K96" i="562"/>
  <c r="L96" i="562"/>
  <c r="M96" i="562"/>
  <c r="N96" i="562"/>
  <c r="O96" i="562"/>
  <c r="P96" i="562"/>
  <c r="Q96" i="562"/>
  <c r="R96" i="562"/>
  <c r="S96" i="562"/>
  <c r="T96" i="562"/>
  <c r="U96" i="562"/>
  <c r="V96" i="562"/>
  <c r="W96" i="562"/>
  <c r="X96" i="562"/>
  <c r="Y96" i="562"/>
  <c r="Z96" i="562"/>
  <c r="AA96" i="562"/>
  <c r="AB96" i="562"/>
  <c r="AC96" i="562"/>
  <c r="AD96" i="562"/>
  <c r="AE96" i="562"/>
  <c r="AF96" i="562"/>
  <c r="AG96" i="562"/>
  <c r="AH96" i="562"/>
  <c r="AI96" i="562"/>
  <c r="AJ96" i="562"/>
  <c r="AK96" i="562"/>
  <c r="AL96" i="562"/>
  <c r="AM96" i="562"/>
  <c r="AN96" i="562"/>
  <c r="AO96" i="562"/>
  <c r="AP96" i="562"/>
  <c r="AQ96" i="562"/>
  <c r="AR96" i="562"/>
  <c r="AS96" i="562"/>
  <c r="AT96" i="562"/>
  <c r="AU96" i="562"/>
  <c r="AV96" i="562"/>
  <c r="AW96" i="562"/>
  <c r="AX96" i="562"/>
  <c r="AY96" i="562"/>
  <c r="AZ96" i="562"/>
  <c r="BA96" i="562"/>
  <c r="BB96" i="562"/>
  <c r="BC96" i="562"/>
  <c r="BD96" i="562"/>
  <c r="BE96" i="562"/>
  <c r="BF96" i="562"/>
  <c r="BG96" i="562"/>
  <c r="BH96" i="562"/>
  <c r="BI96" i="562"/>
  <c r="BJ96" i="562"/>
  <c r="BK96" i="562"/>
  <c r="BL96" i="562"/>
  <c r="BM96" i="562"/>
  <c r="BN96" i="562"/>
  <c r="BO96" i="562"/>
  <c r="BP96" i="562"/>
  <c r="BQ96" i="562"/>
  <c r="BR96" i="562"/>
  <c r="BS96" i="562"/>
  <c r="BT96" i="562"/>
  <c r="BU96" i="562"/>
  <c r="BV96" i="562"/>
  <c r="BW96" i="562"/>
  <c r="BX96" i="562"/>
  <c r="BY96" i="562"/>
  <c r="BZ96" i="562"/>
  <c r="CA96" i="562"/>
  <c r="CB96" i="562"/>
  <c r="CC96" i="562"/>
  <c r="CD96" i="562"/>
  <c r="CE96" i="562"/>
  <c r="CF96" i="562"/>
  <c r="CG96" i="562"/>
  <c r="CH96" i="562"/>
  <c r="CI96" i="562"/>
  <c r="CJ96" i="562"/>
  <c r="CK96" i="562"/>
  <c r="B96" i="562"/>
  <c r="B28" i="562"/>
  <c r="M3" i="1"/>
  <c r="J79" i="562" l="1"/>
  <c r="J83" i="562" s="1"/>
  <c r="AE79" i="562"/>
  <c r="AE83" i="562" s="1"/>
  <c r="Q79" i="562"/>
  <c r="Q83" i="562" s="1"/>
  <c r="BH79" i="562"/>
  <c r="BH83" i="562" s="1"/>
  <c r="BO79" i="562"/>
  <c r="BO83" i="562" s="1"/>
  <c r="AT79" i="562"/>
  <c r="AT83" i="562" s="1"/>
  <c r="AK87" i="562"/>
  <c r="AM79" i="562"/>
  <c r="AM83" i="562" s="1"/>
  <c r="X79" i="562"/>
  <c r="X83" i="562" s="1"/>
  <c r="BU87" i="562"/>
  <c r="AK86" i="562"/>
  <c r="CC87" i="562"/>
  <c r="BK86" i="562"/>
  <c r="BH45" i="562"/>
  <c r="BH82" i="562" s="1"/>
  <c r="BJ86" i="562"/>
  <c r="M86" i="562"/>
  <c r="BT87" i="562"/>
  <c r="J62" i="562"/>
  <c r="CB87" i="562"/>
  <c r="BR86" i="562"/>
  <c r="BN86" i="562"/>
  <c r="AZ86" i="562"/>
  <c r="U86" i="562"/>
  <c r="CJ87" i="562"/>
  <c r="BF87" i="562"/>
  <c r="D87" i="562"/>
  <c r="AR86" i="562"/>
  <c r="BA45" i="562"/>
  <c r="BA82" i="562" s="1"/>
  <c r="BA86" i="562" s="1"/>
  <c r="X45" i="562"/>
  <c r="X82" i="562" s="1"/>
  <c r="BO45" i="562"/>
  <c r="BO82" i="562" s="1"/>
  <c r="AE45" i="562"/>
  <c r="AE82" i="562" s="1"/>
  <c r="AM45" i="562"/>
  <c r="AM82" i="562" s="1"/>
  <c r="P87" i="562"/>
  <c r="S87" i="562"/>
  <c r="AP86" i="562"/>
  <c r="J45" i="562"/>
  <c r="J82" i="562" s="1"/>
  <c r="J86" i="562" s="1"/>
  <c r="Q45" i="562"/>
  <c r="Q82" i="562" s="1"/>
  <c r="W87" i="562"/>
  <c r="BW45" i="562"/>
  <c r="BW82" i="562" s="1"/>
  <c r="AH87" i="562"/>
  <c r="I87" i="562"/>
  <c r="CI87" i="562"/>
  <c r="CF86" i="562"/>
  <c r="BY86" i="562"/>
  <c r="AI86" i="562"/>
  <c r="AW86" i="562"/>
  <c r="AB86" i="562"/>
  <c r="CD62" i="562"/>
  <c r="CD87" i="562" s="1"/>
  <c r="AY86" i="562"/>
  <c r="BX87" i="562"/>
  <c r="BI87" i="562"/>
  <c r="Y87" i="562"/>
  <c r="L87" i="562"/>
  <c r="BY87" i="562"/>
  <c r="BO62" i="562"/>
  <c r="BZ87" i="562"/>
  <c r="CK62" i="562"/>
  <c r="CK87" i="562" s="1"/>
  <c r="Q62" i="562"/>
  <c r="AG86" i="562"/>
  <c r="X62" i="562"/>
  <c r="BE86" i="562"/>
  <c r="AB87" i="562"/>
  <c r="I86" i="562"/>
  <c r="U87" i="562"/>
  <c r="AW87" i="562"/>
  <c r="G87" i="562"/>
  <c r="AJ87" i="562"/>
  <c r="AJ89" i="562" s="1"/>
  <c r="AJ90" i="562" s="1"/>
  <c r="BR87" i="562"/>
  <c r="BL87" i="562"/>
  <c r="CH86" i="562"/>
  <c r="AE62" i="562"/>
  <c r="BW62" i="562"/>
  <c r="BW87" i="562" s="1"/>
  <c r="AQ87" i="562"/>
  <c r="AT62" i="562"/>
  <c r="C86" i="562"/>
  <c r="BC87" i="562"/>
  <c r="M87" i="562"/>
  <c r="M89" i="562" s="1"/>
  <c r="M90" i="562" s="1"/>
  <c r="AM62" i="562"/>
  <c r="AZ87" i="562"/>
  <c r="AN87" i="562"/>
  <c r="CA86" i="562"/>
  <c r="W86" i="562"/>
  <c r="BH62" i="562"/>
  <c r="BM86" i="562"/>
  <c r="BB87" i="562"/>
  <c r="H86" i="562"/>
  <c r="AO87" i="562"/>
  <c r="V87" i="562"/>
  <c r="O87" i="562"/>
  <c r="AP87" i="562"/>
  <c r="AD86" i="562"/>
  <c r="D86" i="562"/>
  <c r="AX86" i="562"/>
  <c r="BF86" i="562"/>
  <c r="BT86" i="562"/>
  <c r="S86" i="562"/>
  <c r="BD86" i="562"/>
  <c r="P86" i="562"/>
  <c r="C87" i="562"/>
  <c r="BQ86" i="562"/>
  <c r="BC86" i="562"/>
  <c r="AV86" i="562"/>
  <c r="F86" i="562"/>
  <c r="BA87" i="562"/>
  <c r="AC87" i="562"/>
  <c r="E87" i="562"/>
  <c r="BZ86" i="562"/>
  <c r="AQ86" i="562"/>
  <c r="O86" i="562"/>
  <c r="CE86" i="562"/>
  <c r="BS86" i="562"/>
  <c r="AC86" i="562"/>
  <c r="BJ87" i="562"/>
  <c r="AR87" i="562"/>
  <c r="Z87" i="562"/>
  <c r="CC86" i="562"/>
  <c r="BV86" i="562"/>
  <c r="BP86" i="562"/>
  <c r="BI86" i="562"/>
  <c r="BB86" i="562"/>
  <c r="L86" i="562"/>
  <c r="Q28" i="562"/>
  <c r="BX86" i="562"/>
  <c r="BL86" i="562"/>
  <c r="V86" i="562"/>
  <c r="CI86" i="562"/>
  <c r="BU86" i="562"/>
  <c r="BG86" i="562"/>
  <c r="AS86" i="562"/>
  <c r="AL86" i="562"/>
  <c r="AF86" i="562"/>
  <c r="Y86" i="562"/>
  <c r="R86" i="562"/>
  <c r="K86" i="562"/>
  <c r="AN86" i="562"/>
  <c r="AO86" i="562"/>
  <c r="AH86" i="562"/>
  <c r="AA86" i="562"/>
  <c r="T86" i="562"/>
  <c r="CB86" i="562"/>
  <c r="Z86" i="562"/>
  <c r="CE87" i="562"/>
  <c r="BS87" i="562"/>
  <c r="BM87" i="562"/>
  <c r="BG87" i="562"/>
  <c r="AU87" i="562"/>
  <c r="AI87" i="562"/>
  <c r="K87" i="562"/>
  <c r="CG86" i="562"/>
  <c r="CD28" i="562"/>
  <c r="CD86" i="562" s="1"/>
  <c r="AU86" i="562"/>
  <c r="E86" i="562"/>
  <c r="CJ86" i="562"/>
  <c r="CA87" i="562"/>
  <c r="N86" i="562"/>
  <c r="G86" i="562"/>
  <c r="AT28" i="562"/>
  <c r="AT86" i="562" s="1"/>
  <c r="CK28" i="562"/>
  <c r="CK86" i="562" s="1"/>
  <c r="BH28" i="562"/>
  <c r="BH86" i="562" s="1"/>
  <c r="X28" i="562"/>
  <c r="BO28" i="562"/>
  <c r="BQ87" i="562"/>
  <c r="BK87" i="562"/>
  <c r="BE87" i="562"/>
  <c r="AY87" i="562"/>
  <c r="AS87" i="562"/>
  <c r="AG87" i="562"/>
  <c r="AA87" i="562"/>
  <c r="AE28" i="562"/>
  <c r="BW28" i="562"/>
  <c r="AM28" i="562"/>
  <c r="CH87" i="562"/>
  <c r="BV87" i="562"/>
  <c r="BP87" i="562"/>
  <c r="BD87" i="562"/>
  <c r="AX87" i="562"/>
  <c r="AL87" i="562"/>
  <c r="AF87" i="562"/>
  <c r="T87" i="562"/>
  <c r="N87" i="562"/>
  <c r="H87" i="562"/>
  <c r="CG87" i="562"/>
  <c r="CF87" i="562"/>
  <c r="BN87" i="562"/>
  <c r="AV87" i="562"/>
  <c r="AD87" i="562"/>
  <c r="R87" i="562"/>
  <c r="F87" i="562"/>
  <c r="B86" i="562"/>
  <c r="B87" i="562"/>
  <c r="U1" i="1"/>
  <c r="S2" i="1"/>
  <c r="U2" i="1" s="1"/>
  <c r="AE87" i="562" l="1"/>
  <c r="Q87" i="562"/>
  <c r="J87" i="562"/>
  <c r="J89" i="562" s="1"/>
  <c r="J90" i="562" s="1"/>
  <c r="CC89" i="562"/>
  <c r="CC90" i="562" s="1"/>
  <c r="BH87" i="562"/>
  <c r="AK89" i="562"/>
  <c r="AK90" i="562" s="1"/>
  <c r="BK89" i="562"/>
  <c r="BK90" i="562" s="1"/>
  <c r="BO87" i="562"/>
  <c r="AT87" i="562"/>
  <c r="AT89" i="562" s="1"/>
  <c r="AT90" i="562" s="1"/>
  <c r="X87" i="562"/>
  <c r="AM87" i="562"/>
  <c r="BU89" i="562"/>
  <c r="BU90" i="562" s="1"/>
  <c r="AZ89" i="562"/>
  <c r="AZ90" i="562" s="1"/>
  <c r="S89" i="562"/>
  <c r="S90" i="562" s="1"/>
  <c r="D89" i="562"/>
  <c r="D90" i="562" s="1"/>
  <c r="BJ89" i="562"/>
  <c r="BJ90" i="562" s="1"/>
  <c r="BT89" i="562"/>
  <c r="BT90" i="562" s="1"/>
  <c r="U89" i="562"/>
  <c r="U90" i="562" s="1"/>
  <c r="BY89" i="562"/>
  <c r="BY90" i="562" s="1"/>
  <c r="BZ89" i="562"/>
  <c r="BZ90" i="562" s="1"/>
  <c r="CI89" i="562"/>
  <c r="CI90" i="562" s="1"/>
  <c r="CJ89" i="562"/>
  <c r="CJ90" i="562" s="1"/>
  <c r="CB89" i="562"/>
  <c r="CB90" i="562" s="1"/>
  <c r="BF89" i="562"/>
  <c r="BF90" i="562" s="1"/>
  <c r="AR89" i="562"/>
  <c r="AR90" i="562" s="1"/>
  <c r="BR89" i="562"/>
  <c r="BR90" i="562" s="1"/>
  <c r="BN89" i="562"/>
  <c r="BN90" i="562" s="1"/>
  <c r="BO86" i="562"/>
  <c r="I89" i="562"/>
  <c r="I90" i="562" s="1"/>
  <c r="AB89" i="562"/>
  <c r="AB90" i="562" s="1"/>
  <c r="AP89" i="562"/>
  <c r="AP90" i="562" s="1"/>
  <c r="AE86" i="562"/>
  <c r="AE89" i="562" s="1"/>
  <c r="AE90" i="562" s="1"/>
  <c r="X86" i="562"/>
  <c r="P89" i="562"/>
  <c r="P90" i="562" s="1"/>
  <c r="AM86" i="562"/>
  <c r="W89" i="562"/>
  <c r="W90" i="562" s="1"/>
  <c r="CF89" i="562"/>
  <c r="CF90" i="562" s="1"/>
  <c r="AY89" i="562"/>
  <c r="AY90" i="562" s="1"/>
  <c r="Q86" i="562"/>
  <c r="AW89" i="562"/>
  <c r="AW90" i="562" s="1"/>
  <c r="L89" i="562"/>
  <c r="L90" i="562" s="1"/>
  <c r="AI89" i="562"/>
  <c r="AI90" i="562" s="1"/>
  <c r="AH89" i="562"/>
  <c r="AH90" i="562" s="1"/>
  <c r="BI89" i="562"/>
  <c r="BI90" i="562" s="1"/>
  <c r="BW86" i="562"/>
  <c r="BW89" i="562" s="1"/>
  <c r="BW90" i="562" s="1"/>
  <c r="AC89" i="562"/>
  <c r="AC90" i="562" s="1"/>
  <c r="CH89" i="562"/>
  <c r="CH90" i="562" s="1"/>
  <c r="BX89" i="562"/>
  <c r="BX90" i="562" s="1"/>
  <c r="AU89" i="562"/>
  <c r="AU90" i="562" s="1"/>
  <c r="Y89" i="562"/>
  <c r="Y90" i="562" s="1"/>
  <c r="G89" i="562"/>
  <c r="G90" i="562" s="1"/>
  <c r="CD89" i="562"/>
  <c r="CD90" i="562" s="1"/>
  <c r="AG89" i="562"/>
  <c r="AG90" i="562" s="1"/>
  <c r="BC89" i="562"/>
  <c r="BC90" i="562" s="1"/>
  <c r="AA89" i="562"/>
  <c r="AA90" i="562" s="1"/>
  <c r="BE89" i="562"/>
  <c r="BE90" i="562" s="1"/>
  <c r="E89" i="562"/>
  <c r="E90" i="562" s="1"/>
  <c r="BL89" i="562"/>
  <c r="BL90" i="562" s="1"/>
  <c r="AN89" i="562"/>
  <c r="AN90" i="562" s="1"/>
  <c r="AS89" i="562"/>
  <c r="AS90" i="562" s="1"/>
  <c r="BM89" i="562"/>
  <c r="BM90" i="562" s="1"/>
  <c r="AQ89" i="562"/>
  <c r="AQ90" i="562" s="1"/>
  <c r="BV89" i="562"/>
  <c r="BV90" i="562" s="1"/>
  <c r="AO89" i="562"/>
  <c r="AO90" i="562" s="1"/>
  <c r="BG89" i="562"/>
  <c r="BG90" i="562" s="1"/>
  <c r="Z89" i="562"/>
  <c r="Z90" i="562" s="1"/>
  <c r="C89" i="562"/>
  <c r="C90" i="562" s="1"/>
  <c r="AD89" i="562"/>
  <c r="AD90" i="562" s="1"/>
  <c r="H89" i="562"/>
  <c r="H90" i="562" s="1"/>
  <c r="BQ89" i="562"/>
  <c r="BQ90" i="562" s="1"/>
  <c r="CA89" i="562"/>
  <c r="CA90" i="562" s="1"/>
  <c r="BS89" i="562"/>
  <c r="BS90" i="562" s="1"/>
  <c r="BB89" i="562"/>
  <c r="BB90" i="562" s="1"/>
  <c r="AL89" i="562"/>
  <c r="AL90" i="562" s="1"/>
  <c r="V89" i="562"/>
  <c r="V90" i="562" s="1"/>
  <c r="AV89" i="562"/>
  <c r="AV90" i="562" s="1"/>
  <c r="O89" i="562"/>
  <c r="O90" i="562" s="1"/>
  <c r="AX89" i="562"/>
  <c r="AX90" i="562" s="1"/>
  <c r="BD89" i="562"/>
  <c r="BD90" i="562" s="1"/>
  <c r="BH89" i="562"/>
  <c r="BH90" i="562" s="1"/>
  <c r="BA89" i="562"/>
  <c r="BA90" i="562" s="1"/>
  <c r="CK89" i="562"/>
  <c r="CK90" i="562" s="1"/>
  <c r="CE89" i="562"/>
  <c r="CE90" i="562" s="1"/>
  <c r="BP89" i="562"/>
  <c r="BP90" i="562" s="1"/>
  <c r="R89" i="562"/>
  <c r="R90" i="562" s="1"/>
  <c r="K89" i="562"/>
  <c r="K90" i="562" s="1"/>
  <c r="F89" i="562"/>
  <c r="F90" i="562" s="1"/>
  <c r="AF89" i="562"/>
  <c r="AF90" i="562" s="1"/>
  <c r="T89" i="562"/>
  <c r="T90" i="562" s="1"/>
  <c r="N89" i="562"/>
  <c r="N90" i="562" s="1"/>
  <c r="CG89" i="562"/>
  <c r="CG90" i="562" s="1"/>
  <c r="B89" i="562"/>
  <c r="B90" i="562" s="1"/>
  <c r="S3" i="1"/>
  <c r="Q89" i="562" l="1"/>
  <c r="Q90" i="562" s="1"/>
  <c r="AM89" i="562"/>
  <c r="AM90" i="562" s="1"/>
  <c r="BO89" i="562"/>
  <c r="BO90" i="562" s="1"/>
  <c r="X89" i="562"/>
  <c r="X90" i="562" s="1"/>
  <c r="S4" i="1"/>
  <c r="S5" i="1" s="1"/>
  <c r="U5" i="1" s="1"/>
  <c r="U3" i="1"/>
  <c r="S6" i="1" l="1"/>
  <c r="S7" i="1" s="1"/>
  <c r="U4" i="1"/>
  <c r="U6" i="1" l="1"/>
  <c r="U7" i="1"/>
  <c r="S8" i="1"/>
  <c r="S9" i="1" l="1"/>
  <c r="U8" i="1"/>
  <c r="S10" i="1" l="1"/>
  <c r="U9" i="1"/>
  <c r="S11" i="1" l="1"/>
  <c r="U10" i="1"/>
  <c r="U11" i="1" l="1"/>
  <c r="S12" i="1"/>
  <c r="U12" i="1" s="1"/>
</calcChain>
</file>

<file path=xl/sharedStrings.xml><?xml version="1.0" encoding="utf-8"?>
<sst xmlns="http://schemas.openxmlformats.org/spreadsheetml/2006/main" count="126" uniqueCount="71">
  <si>
    <t>File Buku Bank USD</t>
  </si>
  <si>
    <t>Lokasi File</t>
  </si>
  <si>
    <t>Nama File</t>
  </si>
  <si>
    <t>Type File</t>
  </si>
  <si>
    <t>BUKU BANK GGI USD 2022</t>
  </si>
  <si>
    <t>.xls</t>
  </si>
  <si>
    <t>YEAR :</t>
  </si>
  <si>
    <t>MONTH</t>
  </si>
  <si>
    <t>Total</t>
  </si>
  <si>
    <t>DESEMBER</t>
  </si>
  <si>
    <t>NOVEMBER</t>
  </si>
  <si>
    <t>OKTOBER</t>
  </si>
  <si>
    <t>SEPTEMBER</t>
  </si>
  <si>
    <t>AGUSTUS</t>
  </si>
  <si>
    <t>JULI</t>
  </si>
  <si>
    <t>JUNI</t>
  </si>
  <si>
    <t>MEI</t>
  </si>
  <si>
    <t>APRIL</t>
  </si>
  <si>
    <t>MARET</t>
  </si>
  <si>
    <t>FEBRUARI</t>
  </si>
  <si>
    <t>JANUARI</t>
  </si>
  <si>
    <t>AVG 2021</t>
  </si>
  <si>
    <t>Actual Sales</t>
  </si>
  <si>
    <t>EXPORT</t>
  </si>
  <si>
    <t>CMT</t>
  </si>
  <si>
    <t>LOCAL USD</t>
  </si>
  <si>
    <t>_CASH IN USD_</t>
  </si>
  <si>
    <t>_CASH OUT USD_</t>
  </si>
  <si>
    <t>SALDO AWAL BANK</t>
  </si>
  <si>
    <t>_TOTAL CASH IN USD_</t>
  </si>
  <si>
    <t>_TOTAL CASH OUT USD_</t>
  </si>
  <si>
    <t>_CASH IN IDR_</t>
  </si>
  <si>
    <t>_TOTAL CASH IN IDR_</t>
  </si>
  <si>
    <t>_KURS_</t>
  </si>
  <si>
    <t>_CASH OUT IDR_</t>
  </si>
  <si>
    <t>_TOTAL CASH OUT IDR_</t>
  </si>
  <si>
    <t>_KURS CASH IN IDR_</t>
  </si>
  <si>
    <t>_KURS CASH OUT IDR_</t>
  </si>
  <si>
    <t>_TOTAL CASH IN ALL_</t>
  </si>
  <si>
    <t>_TOTAL CASH OUT ALL_</t>
  </si>
  <si>
    <t>_BALANCE CASH IN-OUT_</t>
  </si>
  <si>
    <t>_AKUMULASI_</t>
  </si>
  <si>
    <t>_SISA PLAFON NIAGA_</t>
  </si>
  <si>
    <t>USD</t>
  </si>
  <si>
    <t>IDR</t>
  </si>
  <si>
    <t>_BANK SALDO AKHIR_</t>
  </si>
  <si>
    <t>_LOAN USD NIAGA _</t>
  </si>
  <si>
    <t>_LOAN IDR NIAGA_</t>
  </si>
  <si>
    <t>_TOTAL LOAN NIAGA_</t>
  </si>
  <si>
    <t>CASH FLOW GGI 2022</t>
  </si>
  <si>
    <t>O</t>
  </si>
  <si>
    <t>H&amp;M</t>
  </si>
  <si>
    <t>F</t>
  </si>
  <si>
    <t>Teijin</t>
  </si>
  <si>
    <t>Internal</t>
  </si>
  <si>
    <t>A</t>
  </si>
  <si>
    <t>Mar</t>
  </si>
  <si>
    <t>Stylem</t>
  </si>
  <si>
    <t>NAIGAI</t>
  </si>
  <si>
    <t>JD PENNEY</t>
  </si>
  <si>
    <t>BLANK</t>
  </si>
  <si>
    <t>File Buku Bank IDR</t>
  </si>
  <si>
    <t>BUKU BANK GGI IDR 2022</t>
  </si>
  <si>
    <t>INTERNAL</t>
  </si>
  <si>
    <t>Interlining</t>
  </si>
  <si>
    <t>Restitusi</t>
  </si>
  <si>
    <t>Sal</t>
  </si>
  <si>
    <t>Refund Sal</t>
  </si>
  <si>
    <t>Referensi Bank</t>
  </si>
  <si>
    <t>Investasi</t>
  </si>
  <si>
    <t>\\10.8.0.35\rpa$\RPA Excel Template\Accounting Finance\Santy\Monitoring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</si>
</sst>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43" fontId="3" fillId="0" borderId="0" applyFill="0" applyBorder="0" applyAlignment="0" applyProtection="0"/>
    <xf numFmtId="43" fontId="4" fillId="0" borderId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/>
    <xf numFmtId="0" fontId="1" fillId="3" borderId="1" xfId="0" applyFont="1" applyFill="1" applyBorder="1" applyAlignment="1">
      <alignment horizontal="right"/>
    </xf>
    <xf numFmtId="14" fontId="0" fillId="0" borderId="0" xfId="0" applyNumberFormat="1"/>
    <xf numFmtId="0" fontId="0" fillId="0" borderId="2" xfId="0" applyBorder="1"/>
    <xf numFmtId="0" fontId="1" fillId="0" borderId="1" xfId="0" applyFont="1" applyBorder="1"/>
    <xf numFmtId="0" fontId="1" fillId="0" borderId="2" xfId="0" applyFont="1" applyBorder="1"/>
    <xf numFmtId="0" fontId="1" fillId="2" borderId="0" xfId="0" applyFont="1" applyFill="1"/>
    <xf numFmtId="0" fontId="1" fillId="2" borderId="2" xfId="0" applyFont="1" applyFill="1" applyBorder="1"/>
    <xf numFmtId="0" fontId="1" fillId="0" borderId="4" xfId="0" applyFont="1" applyBorder="1"/>
    <xf numFmtId="0" fontId="1" fillId="0" borderId="3" xfId="0" applyFont="1" applyBorder="1"/>
    <xf numFmtId="43" fontId="1" fillId="0" borderId="4" xfId="5" applyFont="1" applyBorder="1" applyAlignment="1">
      <alignment horizontal="center" vertical="center"/>
    </xf>
    <xf numFmtId="43" fontId="0" fillId="0" borderId="0" xfId="5" applyFont="1"/>
    <xf numFmtId="43" fontId="0" fillId="0" borderId="2" xfId="5" applyFont="1" applyBorder="1" applyAlignment="1">
      <alignment horizontal="center" vertical="center"/>
    </xf>
    <xf numFmtId="43" fontId="0" fillId="2" borderId="2" xfId="5" applyFont="1" applyFill="1" applyBorder="1" applyAlignment="1">
      <alignment horizontal="center" vertical="center"/>
    </xf>
    <xf numFmtId="43" fontId="0" fillId="0" borderId="3" xfId="5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7">
    <cellStyle name="Comma" xfId="5" builtinId="3"/>
    <cellStyle name="Comma 2" xfId="3" xr:uid="{3B5D54A2-6E8E-4DF3-BF11-563909EB5749}"/>
    <cellStyle name="Comma 3" xfId="4" xr:uid="{D110B296-E484-471E-9091-DB675659A38F}"/>
    <cellStyle name="Comma 4" xfId="6" xr:uid="{2989C3EB-1280-470F-B9B7-B2D8189D2D83}"/>
    <cellStyle name="Excel Built-in Normal" xfId="1" xr:uid="{3EF04C23-1A9A-46E4-B90C-91802AFC3B99}"/>
    <cellStyle name="Normal" xfId="0" builtinId="0"/>
    <cellStyle name="Normal 2" xfId="2" xr:uid="{967D3C3F-7DAC-4A28-B2B3-52597F1094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66675</xdr:rowOff>
    </xdr:from>
    <xdr:to>
      <xdr:col>2</xdr:col>
      <xdr:colOff>542925</xdr:colOff>
      <xdr:row>3</xdr:row>
      <xdr:rowOff>133350</xdr:rowOff>
    </xdr:to>
    <xdr:sp macro="[0]!PROCESSCASHFL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0F6615-D765-47C1-AAF7-AC629F3D18DA}"/>
            </a:ext>
          </a:extLst>
        </xdr:cNvPr>
        <xdr:cNvSpPr/>
      </xdr:nvSpPr>
      <xdr:spPr>
        <a:xfrm>
          <a:off x="676275" y="257175"/>
          <a:ext cx="1085850" cy="447675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9</xdr:col>
      <xdr:colOff>57150</xdr:colOff>
      <xdr:row>2</xdr:row>
      <xdr:rowOff>47625</xdr:rowOff>
    </xdr:from>
    <xdr:to>
      <xdr:col>10</xdr:col>
      <xdr:colOff>819150</xdr:colOff>
      <xdr:row>4</xdr:row>
      <xdr:rowOff>161925</xdr:rowOff>
    </xdr:to>
    <xdr:sp macro="[0]!CREATENEWTAB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95127C-2B0B-4EB3-AC00-821978ABD876}"/>
            </a:ext>
          </a:extLst>
        </xdr:cNvPr>
        <xdr:cNvSpPr/>
      </xdr:nvSpPr>
      <xdr:spPr>
        <a:xfrm>
          <a:off x="7486650" y="428625"/>
          <a:ext cx="1200150" cy="4953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CREATE</a:t>
          </a:r>
          <a:r>
            <a:rPr lang="en-ID" sz="1100" baseline="0"/>
            <a:t> NEW TABEL</a:t>
          </a:r>
          <a:endParaRPr lang="en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D906-1AA4-4EC9-9FB9-9F1209F0EFC9}">
  <sheetPr codeName="Sheet1"/>
  <dimension ref="E1:U12"/>
  <sheetViews>
    <sheetView tabSelected="1" workbookViewId="0">
      <selection activeCell="G14" sqref="G14"/>
    </sheetView>
  </sheetViews>
  <sheetFormatPr defaultRowHeight="15" x14ac:dyDescent="0.25"/>
  <cols>
    <col min="5" max="5" width="10.140625" bestFit="1" customWidth="1"/>
    <col min="6" max="6" width="79.5703125" bestFit="1" customWidth="1"/>
    <col min="10" max="10" width="6.5703125" bestFit="1" customWidth="1"/>
    <col min="11" max="11" width="12.85546875" customWidth="1"/>
    <col min="13" max="13" width="10.7109375" hidden="1" customWidth="1"/>
    <col min="14" max="15" width="9.140625" hidden="1" customWidth="1"/>
    <col min="16" max="16" width="11.140625" hidden="1" customWidth="1"/>
    <col min="17" max="21" width="9.140625" hidden="1" customWidth="1"/>
    <col min="22" max="22" width="9.140625" customWidth="1"/>
  </cols>
  <sheetData>
    <row r="1" spans="5:21" x14ac:dyDescent="0.25">
      <c r="M1" s="5">
        <v>44562</v>
      </c>
      <c r="O1">
        <v>1</v>
      </c>
      <c r="P1" t="s">
        <v>20</v>
      </c>
      <c r="Q1">
        <v>6</v>
      </c>
      <c r="R1">
        <v>3</v>
      </c>
      <c r="S1">
        <v>3</v>
      </c>
      <c r="T1">
        <v>1</v>
      </c>
      <c r="U1">
        <f>Q1+S1+1</f>
        <v>10</v>
      </c>
    </row>
    <row r="2" spans="5:21" x14ac:dyDescent="0.25">
      <c r="E2" s="19" t="s">
        <v>0</v>
      </c>
      <c r="F2" s="19"/>
      <c r="J2" s="4" t="s">
        <v>6</v>
      </c>
      <c r="K2" s="1">
        <v>2022</v>
      </c>
      <c r="M2" s="5">
        <v>44927</v>
      </c>
      <c r="O2">
        <v>2</v>
      </c>
      <c r="P2" t="s">
        <v>19</v>
      </c>
      <c r="Q2">
        <v>5</v>
      </c>
      <c r="R2">
        <v>2</v>
      </c>
      <c r="S2">
        <f t="shared" ref="S2:S12" si="0">Q1+S1+R2</f>
        <v>11</v>
      </c>
      <c r="T2">
        <v>6</v>
      </c>
      <c r="U2">
        <f t="shared" ref="U2:U12" si="1">Q2+S2+1</f>
        <v>17</v>
      </c>
    </row>
    <row r="3" spans="5:21" x14ac:dyDescent="0.25">
      <c r="E3" s="3" t="s">
        <v>1</v>
      </c>
      <c r="F3" s="2" t="s">
        <v>70</v>
      </c>
      <c r="M3">
        <f>M2-M1</f>
        <v>365</v>
      </c>
      <c r="O3">
        <v>3</v>
      </c>
      <c r="P3" t="s">
        <v>18</v>
      </c>
      <c r="Q3">
        <v>5</v>
      </c>
      <c r="R3">
        <v>2</v>
      </c>
      <c r="S3">
        <f t="shared" si="0"/>
        <v>18</v>
      </c>
      <c r="T3">
        <v>10</v>
      </c>
      <c r="U3">
        <f>Q3+S3+1</f>
        <v>24</v>
      </c>
    </row>
    <row r="4" spans="5:21" x14ac:dyDescent="0.25">
      <c r="E4" s="3" t="s">
        <v>2</v>
      </c>
      <c r="F4" s="2" t="s">
        <v>4</v>
      </c>
      <c r="O4">
        <v>4</v>
      </c>
      <c r="P4" t="s">
        <v>17</v>
      </c>
      <c r="Q4">
        <v>5</v>
      </c>
      <c r="R4">
        <v>2</v>
      </c>
      <c r="S4">
        <f t="shared" si="0"/>
        <v>25</v>
      </c>
      <c r="T4">
        <v>14</v>
      </c>
      <c r="U4">
        <f t="shared" si="1"/>
        <v>31</v>
      </c>
    </row>
    <row r="5" spans="5:21" x14ac:dyDescent="0.25">
      <c r="E5" s="3" t="s">
        <v>3</v>
      </c>
      <c r="F5" s="2" t="s">
        <v>5</v>
      </c>
      <c r="O5">
        <v>5</v>
      </c>
      <c r="P5" t="s">
        <v>16</v>
      </c>
      <c r="Q5">
        <v>6</v>
      </c>
      <c r="R5">
        <v>2</v>
      </c>
      <c r="S5">
        <f>Q4+S4+R5</f>
        <v>32</v>
      </c>
      <c r="T5">
        <v>18</v>
      </c>
      <c r="U5">
        <f t="shared" si="1"/>
        <v>39</v>
      </c>
    </row>
    <row r="6" spans="5:21" x14ac:dyDescent="0.25">
      <c r="O6">
        <v>6</v>
      </c>
      <c r="P6" t="s">
        <v>15</v>
      </c>
      <c r="Q6">
        <v>5</v>
      </c>
      <c r="R6">
        <v>2</v>
      </c>
      <c r="S6">
        <f t="shared" si="0"/>
        <v>40</v>
      </c>
      <c r="T6">
        <v>23</v>
      </c>
      <c r="U6">
        <f t="shared" si="1"/>
        <v>46</v>
      </c>
    </row>
    <row r="7" spans="5:21" x14ac:dyDescent="0.25">
      <c r="O7">
        <v>7</v>
      </c>
      <c r="P7" t="s">
        <v>14</v>
      </c>
      <c r="Q7">
        <v>5</v>
      </c>
      <c r="R7">
        <v>2</v>
      </c>
      <c r="S7">
        <f t="shared" si="0"/>
        <v>47</v>
      </c>
      <c r="T7">
        <v>27</v>
      </c>
      <c r="U7">
        <f t="shared" si="1"/>
        <v>53</v>
      </c>
    </row>
    <row r="8" spans="5:21" x14ac:dyDescent="0.25">
      <c r="E8" s="19" t="s">
        <v>61</v>
      </c>
      <c r="F8" s="19"/>
      <c r="O8">
        <v>8</v>
      </c>
      <c r="P8" t="s">
        <v>13</v>
      </c>
      <c r="Q8">
        <v>5</v>
      </c>
      <c r="R8">
        <v>2</v>
      </c>
      <c r="S8">
        <f t="shared" si="0"/>
        <v>54</v>
      </c>
      <c r="T8">
        <v>32</v>
      </c>
      <c r="U8">
        <f t="shared" si="1"/>
        <v>60</v>
      </c>
    </row>
    <row r="9" spans="5:21" x14ac:dyDescent="0.25">
      <c r="E9" s="3" t="s">
        <v>1</v>
      </c>
      <c r="F9" s="2" t="s">
        <v>70</v>
      </c>
      <c r="O9">
        <v>9</v>
      </c>
      <c r="P9" t="s">
        <v>12</v>
      </c>
      <c r="Q9">
        <v>5</v>
      </c>
      <c r="R9">
        <v>2</v>
      </c>
      <c r="S9">
        <f t="shared" si="0"/>
        <v>61</v>
      </c>
      <c r="T9">
        <v>36</v>
      </c>
      <c r="U9">
        <f t="shared" si="1"/>
        <v>67</v>
      </c>
    </row>
    <row r="10" spans="5:21" x14ac:dyDescent="0.25">
      <c r="E10" s="3" t="s">
        <v>2</v>
      </c>
      <c r="F10" s="2" t="s">
        <v>62</v>
      </c>
      <c r="O10">
        <v>10</v>
      </c>
      <c r="P10" t="s">
        <v>11</v>
      </c>
      <c r="Q10">
        <v>6</v>
      </c>
      <c r="R10">
        <v>2</v>
      </c>
      <c r="S10">
        <f t="shared" si="0"/>
        <v>68</v>
      </c>
      <c r="T10">
        <v>40</v>
      </c>
      <c r="U10">
        <f t="shared" si="1"/>
        <v>75</v>
      </c>
    </row>
    <row r="11" spans="5:21" x14ac:dyDescent="0.25">
      <c r="E11" s="3" t="s">
        <v>3</v>
      </c>
      <c r="F11" s="2" t="s">
        <v>5</v>
      </c>
      <c r="O11">
        <v>11</v>
      </c>
      <c r="P11" t="s">
        <v>10</v>
      </c>
      <c r="Q11">
        <v>5</v>
      </c>
      <c r="R11">
        <v>2</v>
      </c>
      <c r="S11">
        <f t="shared" si="0"/>
        <v>76</v>
      </c>
      <c r="T11">
        <v>45</v>
      </c>
      <c r="U11">
        <f t="shared" si="1"/>
        <v>82</v>
      </c>
    </row>
    <row r="12" spans="5:21" x14ac:dyDescent="0.25">
      <c r="O12">
        <v>12</v>
      </c>
      <c r="P12" t="s">
        <v>9</v>
      </c>
      <c r="Q12">
        <v>5</v>
      </c>
      <c r="R12">
        <v>2</v>
      </c>
      <c r="S12">
        <f t="shared" si="0"/>
        <v>83</v>
      </c>
      <c r="T12">
        <v>49</v>
      </c>
      <c r="U12">
        <f t="shared" si="1"/>
        <v>89</v>
      </c>
    </row>
  </sheetData>
  <mergeCells count="2">
    <mergeCell ref="E2:F2"/>
    <mergeCell ref="E8:F8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99FBE-DB96-4C93-B913-D087F152733D}">
  <sheetPr codeName="Sheet49"/>
  <dimension ref="A1:CZ300"/>
  <sheetViews>
    <sheetView workbookViewId="0">
      <pane xSplit="2" ySplit="4" topLeftCell="C17" activePane="bottomRight" state="frozen"/>
      <selection pane="topRight" activeCell="C1" sqref="C1"/>
      <selection pane="bottomLeft" activeCell="A5" sqref="A5"/>
      <selection pane="bottomRight" activeCell="E29" sqref="E29"/>
    </sheetView>
  </sheetViews>
  <sheetFormatPr defaultRowHeight="15" x14ac:dyDescent="0.25"/>
  <cols>
    <col min="1" max="1" width="23.7109375" bestFit="1" customWidth="1"/>
    <col min="2" max="2" width="9.5703125" bestFit="1" customWidth="1"/>
    <col min="3" max="3" width="5.140625" bestFit="1" customWidth="1"/>
    <col min="4" max="4" width="10.5703125" bestFit="1" customWidth="1"/>
    <col min="5" max="7" width="16.85546875" bestFit="1" customWidth="1"/>
    <col min="8" max="8" width="18" bestFit="1" customWidth="1"/>
    <col min="9" max="9" width="16.85546875" bestFit="1" customWidth="1"/>
    <col min="10" max="10" width="18" bestFit="1" customWidth="1"/>
    <col min="11" max="11" width="5.140625" bestFit="1" customWidth="1"/>
    <col min="12" max="14" width="16.85546875" bestFit="1" customWidth="1"/>
    <col min="15" max="15" width="14.28515625" bestFit="1" customWidth="1"/>
    <col min="16" max="16" width="5.140625" bestFit="1" customWidth="1"/>
    <col min="17" max="17" width="18" bestFit="1" customWidth="1"/>
    <col min="18" max="23" width="5.140625" bestFit="1" customWidth="1"/>
    <col min="24" max="24" width="5.5703125" bestFit="1" customWidth="1"/>
    <col min="25" max="30" width="5.140625" bestFit="1" customWidth="1"/>
    <col min="31" max="31" width="5.5703125" bestFit="1" customWidth="1"/>
    <col min="32" max="38" width="5.140625" bestFit="1" customWidth="1"/>
    <col min="39" max="39" width="5.5703125" bestFit="1" customWidth="1"/>
    <col min="40" max="45" width="5.140625" bestFit="1" customWidth="1"/>
    <col min="46" max="46" width="5.5703125" bestFit="1" customWidth="1"/>
    <col min="47" max="52" width="5.140625" bestFit="1" customWidth="1"/>
    <col min="53" max="53" width="5.5703125" bestFit="1" customWidth="1"/>
    <col min="54" max="59" width="5.140625" bestFit="1" customWidth="1"/>
    <col min="60" max="60" width="5.5703125" bestFit="1" customWidth="1"/>
    <col min="61" max="66" width="5.140625" bestFit="1" customWidth="1"/>
    <col min="67" max="67" width="5.5703125" bestFit="1" customWidth="1"/>
    <col min="68" max="74" width="5.140625" bestFit="1" customWidth="1"/>
    <col min="75" max="75" width="5.5703125" bestFit="1" customWidth="1"/>
    <col min="76" max="81" width="5.140625" bestFit="1" customWidth="1"/>
    <col min="82" max="82" width="5.5703125" bestFit="1" customWidth="1"/>
    <col min="83" max="88" width="5.140625" bestFit="1" customWidth="1"/>
    <col min="89" max="89" width="5.5703125" bestFit="1" customWidth="1"/>
  </cols>
  <sheetData>
    <row r="1" spans="1:104" x14ac:dyDescent="0.25">
      <c r="A1" s="9" t="s">
        <v>49</v>
      </c>
    </row>
    <row r="3" spans="1:104" x14ac:dyDescent="0.25">
      <c r="A3" s="7" t="s">
        <v>7</v>
      </c>
      <c r="B3" s="18" t="s">
        <v>21</v>
      </c>
      <c r="C3" s="20" t="s">
        <v>20</v>
      </c>
      <c r="D3" s="20"/>
      <c r="E3" s="20"/>
      <c r="F3" s="20"/>
      <c r="G3" s="20"/>
      <c r="H3" s="20"/>
      <c r="I3" s="20"/>
      <c r="J3" s="20"/>
      <c r="K3" s="20" t="s">
        <v>19</v>
      </c>
      <c r="L3" s="20"/>
      <c r="M3" s="20"/>
      <c r="N3" s="20"/>
      <c r="O3" s="20"/>
      <c r="P3" s="20"/>
      <c r="Q3" s="20"/>
      <c r="R3" s="20" t="s">
        <v>18</v>
      </c>
      <c r="S3" s="20"/>
      <c r="T3" s="20"/>
      <c r="U3" s="20"/>
      <c r="V3" s="20"/>
      <c r="W3" s="20"/>
      <c r="X3" s="20"/>
      <c r="Y3" s="20" t="s">
        <v>17</v>
      </c>
      <c r="Z3" s="20"/>
      <c r="AA3" s="20"/>
      <c r="AB3" s="20"/>
      <c r="AC3" s="20"/>
      <c r="AD3" s="20"/>
      <c r="AE3" s="20"/>
      <c r="AF3" s="20" t="s">
        <v>16</v>
      </c>
      <c r="AG3" s="20"/>
      <c r="AH3" s="20"/>
      <c r="AI3" s="20"/>
      <c r="AJ3" s="20"/>
      <c r="AK3" s="20"/>
      <c r="AL3" s="20"/>
      <c r="AM3" s="20"/>
      <c r="AN3" s="20" t="s">
        <v>15</v>
      </c>
      <c r="AO3" s="20"/>
      <c r="AP3" s="20"/>
      <c r="AQ3" s="20"/>
      <c r="AR3" s="20"/>
      <c r="AS3" s="20"/>
      <c r="AT3" s="20"/>
      <c r="AU3" s="20" t="s">
        <v>14</v>
      </c>
      <c r="AV3" s="20"/>
      <c r="AW3" s="20"/>
      <c r="AX3" s="20"/>
      <c r="AY3" s="20"/>
      <c r="AZ3" s="20"/>
      <c r="BA3" s="20"/>
      <c r="BB3" s="20" t="s">
        <v>13</v>
      </c>
      <c r="BC3" s="20"/>
      <c r="BD3" s="20"/>
      <c r="BE3" s="20"/>
      <c r="BF3" s="20"/>
      <c r="BG3" s="20"/>
      <c r="BH3" s="20"/>
      <c r="BI3" s="20" t="s">
        <v>12</v>
      </c>
      <c r="BJ3" s="20"/>
      <c r="BK3" s="20"/>
      <c r="BL3" s="20"/>
      <c r="BM3" s="20"/>
      <c r="BN3" s="20"/>
      <c r="BO3" s="20"/>
      <c r="BP3" s="20" t="s">
        <v>11</v>
      </c>
      <c r="BQ3" s="20"/>
      <c r="BR3" s="20"/>
      <c r="BS3" s="20"/>
      <c r="BT3" s="20"/>
      <c r="BU3" s="20"/>
      <c r="BV3" s="20"/>
      <c r="BW3" s="20"/>
      <c r="BX3" s="20" t="s">
        <v>10</v>
      </c>
      <c r="BY3" s="20"/>
      <c r="BZ3" s="20"/>
      <c r="CA3" s="20"/>
      <c r="CB3" s="20"/>
      <c r="CC3" s="20"/>
      <c r="CD3" s="20"/>
      <c r="CE3" s="20" t="s">
        <v>9</v>
      </c>
      <c r="CF3" s="20"/>
      <c r="CG3" s="20"/>
      <c r="CH3" s="20"/>
      <c r="CI3" s="20"/>
      <c r="CJ3" s="20"/>
      <c r="CK3" s="20"/>
    </row>
    <row r="4" spans="1:104" x14ac:dyDescent="0.25">
      <c r="A4" s="7" t="s">
        <v>22</v>
      </c>
      <c r="B4" s="18" t="s">
        <v>8</v>
      </c>
      <c r="C4" s="18"/>
      <c r="D4" s="18">
        <v>1</v>
      </c>
      <c r="E4" s="18">
        <v>2</v>
      </c>
      <c r="F4" s="18">
        <v>3</v>
      </c>
      <c r="G4" s="18">
        <v>4</v>
      </c>
      <c r="H4" s="18">
        <v>5</v>
      </c>
      <c r="I4" s="18">
        <v>6</v>
      </c>
      <c r="J4" s="18" t="s">
        <v>8</v>
      </c>
      <c r="K4" s="18"/>
      <c r="L4" s="18">
        <v>6</v>
      </c>
      <c r="M4" s="18">
        <v>7</v>
      </c>
      <c r="N4" s="18">
        <v>8</v>
      </c>
      <c r="O4" s="18">
        <v>9</v>
      </c>
      <c r="P4" s="18">
        <v>10</v>
      </c>
      <c r="Q4" s="18" t="s">
        <v>8</v>
      </c>
      <c r="R4" s="18"/>
      <c r="S4" s="18">
        <v>10</v>
      </c>
      <c r="T4" s="18">
        <v>11</v>
      </c>
      <c r="U4" s="18">
        <v>12</v>
      </c>
      <c r="V4" s="18">
        <v>13</v>
      </c>
      <c r="W4" s="18">
        <v>14</v>
      </c>
      <c r="X4" s="18" t="s">
        <v>8</v>
      </c>
      <c r="Y4" s="18"/>
      <c r="Z4" s="18">
        <v>14</v>
      </c>
      <c r="AA4" s="18">
        <v>15</v>
      </c>
      <c r="AB4" s="18">
        <v>16</v>
      </c>
      <c r="AC4" s="18">
        <v>17</v>
      </c>
      <c r="AD4" s="18">
        <v>18</v>
      </c>
      <c r="AE4" s="18" t="s">
        <v>8</v>
      </c>
      <c r="AF4" s="18"/>
      <c r="AG4" s="18">
        <v>18</v>
      </c>
      <c r="AH4" s="18">
        <v>19</v>
      </c>
      <c r="AI4" s="18">
        <v>20</v>
      </c>
      <c r="AJ4" s="18">
        <v>21</v>
      </c>
      <c r="AK4" s="18">
        <v>22</v>
      </c>
      <c r="AL4" s="18">
        <v>23</v>
      </c>
      <c r="AM4" s="18" t="s">
        <v>8</v>
      </c>
      <c r="AN4" s="18"/>
      <c r="AO4" s="18">
        <v>23</v>
      </c>
      <c r="AP4" s="18">
        <v>24</v>
      </c>
      <c r="AQ4" s="18">
        <v>25</v>
      </c>
      <c r="AR4" s="18">
        <v>26</v>
      </c>
      <c r="AS4" s="18">
        <v>27</v>
      </c>
      <c r="AT4" s="18" t="s">
        <v>8</v>
      </c>
      <c r="AU4" s="18"/>
      <c r="AV4" s="18">
        <v>27</v>
      </c>
      <c r="AW4" s="18">
        <v>28</v>
      </c>
      <c r="AX4" s="18">
        <v>29</v>
      </c>
      <c r="AY4" s="18">
        <v>30</v>
      </c>
      <c r="AZ4" s="18">
        <v>31</v>
      </c>
      <c r="BA4" s="18" t="s">
        <v>8</v>
      </c>
      <c r="BB4" s="18"/>
      <c r="BC4" s="18">
        <v>32</v>
      </c>
      <c r="BD4" s="18">
        <v>33</v>
      </c>
      <c r="BE4" s="18">
        <v>34</v>
      </c>
      <c r="BF4" s="18">
        <v>35</v>
      </c>
      <c r="BG4" s="18">
        <v>36</v>
      </c>
      <c r="BH4" s="18" t="s">
        <v>8</v>
      </c>
      <c r="BI4" s="18"/>
      <c r="BJ4" s="18">
        <v>36</v>
      </c>
      <c r="BK4" s="18">
        <v>37</v>
      </c>
      <c r="BL4" s="18">
        <v>38</v>
      </c>
      <c r="BM4" s="18">
        <v>39</v>
      </c>
      <c r="BN4" s="18">
        <v>40</v>
      </c>
      <c r="BO4" s="18" t="s">
        <v>8</v>
      </c>
      <c r="BP4" s="18"/>
      <c r="BQ4" s="18">
        <v>40</v>
      </c>
      <c r="BR4" s="18">
        <v>41</v>
      </c>
      <c r="BS4" s="18">
        <v>42</v>
      </c>
      <c r="BT4" s="18">
        <v>43</v>
      </c>
      <c r="BU4" s="18">
        <v>44</v>
      </c>
      <c r="BV4" s="18">
        <v>45</v>
      </c>
      <c r="BW4" s="18" t="s">
        <v>8</v>
      </c>
      <c r="BX4" s="18"/>
      <c r="BY4" s="18">
        <v>45</v>
      </c>
      <c r="BZ4" s="18">
        <v>46</v>
      </c>
      <c r="CA4" s="18">
        <v>47</v>
      </c>
      <c r="CB4" s="18">
        <v>48</v>
      </c>
      <c r="CC4" s="18">
        <v>49</v>
      </c>
      <c r="CD4" s="18" t="s">
        <v>8</v>
      </c>
      <c r="CE4" s="18"/>
      <c r="CF4" s="18">
        <v>49</v>
      </c>
      <c r="CG4" s="18">
        <v>50</v>
      </c>
      <c r="CH4" s="18">
        <v>51</v>
      </c>
      <c r="CI4" s="18">
        <v>52</v>
      </c>
      <c r="CJ4" s="18">
        <v>53</v>
      </c>
      <c r="CK4" s="18" t="s">
        <v>8</v>
      </c>
    </row>
    <row r="5" spans="1:104" x14ac:dyDescent="0.25">
      <c r="A5" s="11" t="s">
        <v>23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</row>
    <row r="6" spans="1:104" x14ac:dyDescent="0.25">
      <c r="A6" s="8" t="s">
        <v>24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</row>
    <row r="7" spans="1:104" x14ac:dyDescent="0.25">
      <c r="A7" s="8" t="s">
        <v>25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</row>
    <row r="8" spans="1:104" x14ac:dyDescent="0.25">
      <c r="A8" s="6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</row>
    <row r="9" spans="1:104" x14ac:dyDescent="0.25">
      <c r="A9" s="6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</row>
    <row r="10" spans="1:104" x14ac:dyDescent="0.25">
      <c r="A10" s="6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</row>
    <row r="11" spans="1:104" x14ac:dyDescent="0.25">
      <c r="A11" s="8" t="s">
        <v>28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</row>
    <row r="12" spans="1:104" x14ac:dyDescent="0.25">
      <c r="A12" s="6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</row>
    <row r="13" spans="1:104" x14ac:dyDescent="0.25">
      <c r="A13" s="6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</row>
    <row r="14" spans="1:104" x14ac:dyDescent="0.25">
      <c r="A14" s="6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</row>
    <row r="15" spans="1:104" x14ac:dyDescent="0.25">
      <c r="A15" s="8" t="s">
        <v>26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</row>
    <row r="16" spans="1:104" x14ac:dyDescent="0.25">
      <c r="A16" s="8" t="s">
        <v>60</v>
      </c>
      <c r="B16" s="15"/>
      <c r="C16" s="15"/>
      <c r="D16" s="15">
        <v>0</v>
      </c>
      <c r="E16" s="15">
        <v>653406.78</v>
      </c>
      <c r="F16" s="15">
        <v>1257067.6100000001</v>
      </c>
      <c r="G16" s="15">
        <v>130636.68</v>
      </c>
      <c r="H16" s="15">
        <v>106166.29</v>
      </c>
      <c r="I16" s="15">
        <v>5.0999999999999996</v>
      </c>
      <c r="J16" s="15">
        <f t="shared" ref="J16:J26" si="0">SUM(D16:I16)</f>
        <v>2147282.46</v>
      </c>
      <c r="K16" s="15"/>
      <c r="L16" s="15">
        <v>1228766.3500000001</v>
      </c>
      <c r="M16" s="15">
        <v>1663580.7200000002</v>
      </c>
      <c r="N16" s="15">
        <v>131887.54</v>
      </c>
      <c r="O16" s="15">
        <v>0</v>
      </c>
      <c r="P16" s="15"/>
      <c r="Q16" s="15">
        <f t="shared" ref="Q16:Q26" si="1">SUM(L16:P16)</f>
        <v>3024234.6100000003</v>
      </c>
      <c r="R16" s="15"/>
      <c r="S16" s="15"/>
      <c r="T16" s="15"/>
      <c r="U16" s="15"/>
      <c r="V16" s="15"/>
      <c r="W16" s="15"/>
      <c r="X16" s="15">
        <f t="shared" ref="X16:X26" si="2">SUM(S16:W16)</f>
        <v>0</v>
      </c>
      <c r="Y16" s="15"/>
      <c r="Z16" s="15"/>
      <c r="AA16" s="15"/>
      <c r="AB16" s="15"/>
      <c r="AC16" s="15"/>
      <c r="AD16" s="15"/>
      <c r="AE16" s="15">
        <f t="shared" ref="AE16:AE26" si="3">SUM(Z16:AD16)</f>
        <v>0</v>
      </c>
      <c r="AF16" s="15"/>
      <c r="AG16" s="15"/>
      <c r="AH16" s="15"/>
      <c r="AI16" s="15"/>
      <c r="AJ16" s="15"/>
      <c r="AK16" s="15"/>
      <c r="AL16" s="15"/>
      <c r="AM16" s="15">
        <f t="shared" ref="AM16:AM26" si="4">SUM(AG16:AL16)</f>
        <v>0</v>
      </c>
      <c r="AN16" s="15"/>
      <c r="AO16" s="15"/>
      <c r="AP16" s="15"/>
      <c r="AQ16" s="15"/>
      <c r="AR16" s="15"/>
      <c r="AS16" s="15"/>
      <c r="AT16" s="15">
        <f t="shared" ref="AT16:AT26" si="5">SUM(AO16:AS16)</f>
        <v>0</v>
      </c>
      <c r="AU16" s="15"/>
      <c r="AV16" s="15"/>
      <c r="AW16" s="15"/>
      <c r="AX16" s="15"/>
      <c r="AY16" s="15"/>
      <c r="AZ16" s="15"/>
      <c r="BA16" s="15">
        <f t="shared" ref="BA16:BA26" si="6">SUM(AV16:AZ16)</f>
        <v>0</v>
      </c>
      <c r="BB16" s="15"/>
      <c r="BC16" s="15"/>
      <c r="BD16" s="15"/>
      <c r="BE16" s="15"/>
      <c r="BF16" s="15"/>
      <c r="BG16" s="15"/>
      <c r="BH16" s="15">
        <f t="shared" ref="BH16:BH26" si="7">SUM(BC16:BG16)</f>
        <v>0</v>
      </c>
      <c r="BI16" s="15"/>
      <c r="BJ16" s="15"/>
      <c r="BK16" s="15"/>
      <c r="BL16" s="15"/>
      <c r="BM16" s="15"/>
      <c r="BN16" s="15"/>
      <c r="BO16" s="15">
        <f t="shared" ref="BO16:BO26" si="8">SUM(BJ16:BN16)</f>
        <v>0</v>
      </c>
      <c r="BP16" s="15"/>
      <c r="BQ16" s="15"/>
      <c r="BR16" s="15"/>
      <c r="BS16" s="15"/>
      <c r="BT16" s="15"/>
      <c r="BU16" s="15"/>
      <c r="BV16" s="15"/>
      <c r="BW16" s="15">
        <f t="shared" ref="BW16:BW26" si="9">SUM(BQ16:BV16)</f>
        <v>0</v>
      </c>
      <c r="BX16" s="15"/>
      <c r="BY16" s="15"/>
      <c r="BZ16" s="15"/>
      <c r="CA16" s="15"/>
      <c r="CB16" s="15"/>
      <c r="CC16" s="15"/>
      <c r="CD16" s="15">
        <f t="shared" ref="CD16:CD26" si="10">SUM(BY16:CC16)</f>
        <v>0</v>
      </c>
      <c r="CE16" s="15"/>
      <c r="CF16" s="15"/>
      <c r="CG16" s="15"/>
      <c r="CH16" s="15"/>
      <c r="CI16" s="15"/>
      <c r="CJ16" s="15"/>
      <c r="CK16" s="15">
        <f t="shared" ref="CK16:CK26" si="11">SUM(CF16:CJ16)</f>
        <v>0</v>
      </c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</row>
    <row r="17" spans="1:104" x14ac:dyDescent="0.25">
      <c r="A17" s="8" t="s">
        <v>50</v>
      </c>
      <c r="B17" s="15"/>
      <c r="C17" s="15"/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70.53</v>
      </c>
      <c r="J17" s="15">
        <f t="shared" si="0"/>
        <v>70.53</v>
      </c>
      <c r="K17" s="15"/>
      <c r="L17" s="15">
        <v>0</v>
      </c>
      <c r="M17" s="15">
        <v>0</v>
      </c>
      <c r="N17" s="15">
        <v>0</v>
      </c>
      <c r="O17" s="15">
        <v>0</v>
      </c>
      <c r="P17" s="15"/>
      <c r="Q17" s="15">
        <f t="shared" si="1"/>
        <v>0</v>
      </c>
      <c r="R17" s="15"/>
      <c r="S17" s="15"/>
      <c r="T17" s="15"/>
      <c r="U17" s="15"/>
      <c r="V17" s="15"/>
      <c r="W17" s="15"/>
      <c r="X17" s="15">
        <f t="shared" si="2"/>
        <v>0</v>
      </c>
      <c r="Y17" s="15"/>
      <c r="Z17" s="15"/>
      <c r="AA17" s="15"/>
      <c r="AB17" s="15"/>
      <c r="AC17" s="15"/>
      <c r="AD17" s="15"/>
      <c r="AE17" s="15">
        <f t="shared" si="3"/>
        <v>0</v>
      </c>
      <c r="AF17" s="15"/>
      <c r="AG17" s="15"/>
      <c r="AH17" s="15"/>
      <c r="AI17" s="15"/>
      <c r="AJ17" s="15"/>
      <c r="AK17" s="15"/>
      <c r="AL17" s="15"/>
      <c r="AM17" s="15">
        <f t="shared" si="4"/>
        <v>0</v>
      </c>
      <c r="AN17" s="15"/>
      <c r="AO17" s="15"/>
      <c r="AP17" s="15"/>
      <c r="AQ17" s="15"/>
      <c r="AR17" s="15"/>
      <c r="AS17" s="15"/>
      <c r="AT17" s="15">
        <f t="shared" si="5"/>
        <v>0</v>
      </c>
      <c r="AU17" s="15"/>
      <c r="AV17" s="15"/>
      <c r="AW17" s="15"/>
      <c r="AX17" s="15"/>
      <c r="AY17" s="15"/>
      <c r="AZ17" s="15"/>
      <c r="BA17" s="15">
        <f t="shared" si="6"/>
        <v>0</v>
      </c>
      <c r="BB17" s="15"/>
      <c r="BC17" s="15"/>
      <c r="BD17" s="15"/>
      <c r="BE17" s="15"/>
      <c r="BF17" s="15"/>
      <c r="BG17" s="15"/>
      <c r="BH17" s="15">
        <f t="shared" si="7"/>
        <v>0</v>
      </c>
      <c r="BI17" s="15"/>
      <c r="BJ17" s="15"/>
      <c r="BK17" s="15"/>
      <c r="BL17" s="15"/>
      <c r="BM17" s="15"/>
      <c r="BN17" s="15"/>
      <c r="BO17" s="15">
        <f t="shared" si="8"/>
        <v>0</v>
      </c>
      <c r="BP17" s="15"/>
      <c r="BQ17" s="15"/>
      <c r="BR17" s="15"/>
      <c r="BS17" s="15"/>
      <c r="BT17" s="15"/>
      <c r="BU17" s="15"/>
      <c r="BV17" s="15"/>
      <c r="BW17" s="15">
        <f t="shared" si="9"/>
        <v>0</v>
      </c>
      <c r="BX17" s="15"/>
      <c r="BY17" s="15"/>
      <c r="BZ17" s="15"/>
      <c r="CA17" s="15"/>
      <c r="CB17" s="15"/>
      <c r="CC17" s="15"/>
      <c r="CD17" s="15">
        <f t="shared" si="10"/>
        <v>0</v>
      </c>
      <c r="CE17" s="15"/>
      <c r="CF17" s="15"/>
      <c r="CG17" s="15"/>
      <c r="CH17" s="15"/>
      <c r="CI17" s="15"/>
      <c r="CJ17" s="15"/>
      <c r="CK17" s="15">
        <f t="shared" si="11"/>
        <v>0</v>
      </c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</row>
    <row r="18" spans="1:104" x14ac:dyDescent="0.25">
      <c r="A18" s="8" t="s">
        <v>51</v>
      </c>
      <c r="B18" s="15"/>
      <c r="C18" s="15"/>
      <c r="D18" s="15">
        <v>0</v>
      </c>
      <c r="E18" s="15">
        <v>129297.05</v>
      </c>
      <c r="F18" s="15">
        <v>120966.44</v>
      </c>
      <c r="G18" s="15">
        <v>24987.88</v>
      </c>
      <c r="H18" s="15">
        <v>121587.48999999999</v>
      </c>
      <c r="I18" s="15">
        <v>0</v>
      </c>
      <c r="J18" s="15">
        <f t="shared" si="0"/>
        <v>396838.86</v>
      </c>
      <c r="K18" s="15"/>
      <c r="L18" s="15">
        <v>0</v>
      </c>
      <c r="M18" s="15">
        <v>0</v>
      </c>
      <c r="N18" s="15">
        <v>0</v>
      </c>
      <c r="O18" s="15">
        <v>0</v>
      </c>
      <c r="P18" s="15"/>
      <c r="Q18" s="15">
        <f t="shared" si="1"/>
        <v>0</v>
      </c>
      <c r="R18" s="15"/>
      <c r="S18" s="15"/>
      <c r="T18" s="15"/>
      <c r="U18" s="15"/>
      <c r="V18" s="15"/>
      <c r="W18" s="15"/>
      <c r="X18" s="15">
        <f t="shared" si="2"/>
        <v>0</v>
      </c>
      <c r="Y18" s="15"/>
      <c r="Z18" s="15"/>
      <c r="AA18" s="15"/>
      <c r="AB18" s="15"/>
      <c r="AC18" s="15"/>
      <c r="AD18" s="15"/>
      <c r="AE18" s="15">
        <f t="shared" si="3"/>
        <v>0</v>
      </c>
      <c r="AF18" s="15"/>
      <c r="AG18" s="15"/>
      <c r="AH18" s="15"/>
      <c r="AI18" s="15"/>
      <c r="AJ18" s="15"/>
      <c r="AK18" s="15"/>
      <c r="AL18" s="15"/>
      <c r="AM18" s="15">
        <f t="shared" si="4"/>
        <v>0</v>
      </c>
      <c r="AN18" s="15"/>
      <c r="AO18" s="15"/>
      <c r="AP18" s="15"/>
      <c r="AQ18" s="15"/>
      <c r="AR18" s="15"/>
      <c r="AS18" s="15"/>
      <c r="AT18" s="15">
        <f t="shared" si="5"/>
        <v>0</v>
      </c>
      <c r="AU18" s="15"/>
      <c r="AV18" s="15"/>
      <c r="AW18" s="15"/>
      <c r="AX18" s="15"/>
      <c r="AY18" s="15"/>
      <c r="AZ18" s="15"/>
      <c r="BA18" s="15">
        <f t="shared" si="6"/>
        <v>0</v>
      </c>
      <c r="BB18" s="15"/>
      <c r="BC18" s="15"/>
      <c r="BD18" s="15"/>
      <c r="BE18" s="15"/>
      <c r="BF18" s="15"/>
      <c r="BG18" s="15"/>
      <c r="BH18" s="15">
        <f t="shared" si="7"/>
        <v>0</v>
      </c>
      <c r="BI18" s="15"/>
      <c r="BJ18" s="15"/>
      <c r="BK18" s="15"/>
      <c r="BL18" s="15"/>
      <c r="BM18" s="15"/>
      <c r="BN18" s="15"/>
      <c r="BO18" s="15">
        <f t="shared" si="8"/>
        <v>0</v>
      </c>
      <c r="BP18" s="15"/>
      <c r="BQ18" s="15"/>
      <c r="BR18" s="15"/>
      <c r="BS18" s="15"/>
      <c r="BT18" s="15"/>
      <c r="BU18" s="15"/>
      <c r="BV18" s="15"/>
      <c r="BW18" s="15">
        <f t="shared" si="9"/>
        <v>0</v>
      </c>
      <c r="BX18" s="15"/>
      <c r="BY18" s="15"/>
      <c r="BZ18" s="15"/>
      <c r="CA18" s="15"/>
      <c r="CB18" s="15"/>
      <c r="CC18" s="15"/>
      <c r="CD18" s="15">
        <f t="shared" si="10"/>
        <v>0</v>
      </c>
      <c r="CE18" s="15"/>
      <c r="CF18" s="15"/>
      <c r="CG18" s="15"/>
      <c r="CH18" s="15"/>
      <c r="CI18" s="15"/>
      <c r="CJ18" s="15"/>
      <c r="CK18" s="15">
        <f t="shared" si="11"/>
        <v>0</v>
      </c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</row>
    <row r="19" spans="1:104" x14ac:dyDescent="0.25">
      <c r="A19" s="8" t="s">
        <v>52</v>
      </c>
      <c r="B19" s="15"/>
      <c r="C19" s="15"/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f t="shared" si="0"/>
        <v>0</v>
      </c>
      <c r="K19" s="15"/>
      <c r="L19" s="15">
        <v>0</v>
      </c>
      <c r="M19" s="15">
        <v>0</v>
      </c>
      <c r="N19" s="15">
        <v>0</v>
      </c>
      <c r="O19" s="15">
        <v>0</v>
      </c>
      <c r="P19" s="15"/>
      <c r="Q19" s="15">
        <f t="shared" si="1"/>
        <v>0</v>
      </c>
      <c r="R19" s="15"/>
      <c r="S19" s="15"/>
      <c r="T19" s="15"/>
      <c r="U19" s="15"/>
      <c r="V19" s="15"/>
      <c r="W19" s="15"/>
      <c r="X19" s="15">
        <f t="shared" si="2"/>
        <v>0</v>
      </c>
      <c r="Y19" s="15"/>
      <c r="Z19" s="15"/>
      <c r="AA19" s="15"/>
      <c r="AB19" s="15"/>
      <c r="AC19" s="15"/>
      <c r="AD19" s="15"/>
      <c r="AE19" s="15">
        <f t="shared" si="3"/>
        <v>0</v>
      </c>
      <c r="AF19" s="15"/>
      <c r="AG19" s="15"/>
      <c r="AH19" s="15"/>
      <c r="AI19" s="15"/>
      <c r="AJ19" s="15"/>
      <c r="AK19" s="15"/>
      <c r="AL19" s="15"/>
      <c r="AM19" s="15">
        <f t="shared" si="4"/>
        <v>0</v>
      </c>
      <c r="AN19" s="15"/>
      <c r="AO19" s="15"/>
      <c r="AP19" s="15"/>
      <c r="AQ19" s="15"/>
      <c r="AR19" s="15"/>
      <c r="AS19" s="15"/>
      <c r="AT19" s="15">
        <f t="shared" si="5"/>
        <v>0</v>
      </c>
      <c r="AU19" s="15"/>
      <c r="AV19" s="15"/>
      <c r="AW19" s="15"/>
      <c r="AX19" s="15"/>
      <c r="AY19" s="15"/>
      <c r="AZ19" s="15"/>
      <c r="BA19" s="15">
        <f t="shared" si="6"/>
        <v>0</v>
      </c>
      <c r="BB19" s="15"/>
      <c r="BC19" s="15"/>
      <c r="BD19" s="15"/>
      <c r="BE19" s="15"/>
      <c r="BF19" s="15"/>
      <c r="BG19" s="15"/>
      <c r="BH19" s="15">
        <f t="shared" si="7"/>
        <v>0</v>
      </c>
      <c r="BI19" s="15"/>
      <c r="BJ19" s="15"/>
      <c r="BK19" s="15"/>
      <c r="BL19" s="15"/>
      <c r="BM19" s="15"/>
      <c r="BN19" s="15"/>
      <c r="BO19" s="15">
        <f t="shared" si="8"/>
        <v>0</v>
      </c>
      <c r="BP19" s="15"/>
      <c r="BQ19" s="15"/>
      <c r="BR19" s="15"/>
      <c r="BS19" s="15"/>
      <c r="BT19" s="15"/>
      <c r="BU19" s="15"/>
      <c r="BV19" s="15"/>
      <c r="BW19" s="15">
        <f t="shared" si="9"/>
        <v>0</v>
      </c>
      <c r="BX19" s="15"/>
      <c r="BY19" s="15"/>
      <c r="BZ19" s="15"/>
      <c r="CA19" s="15"/>
      <c r="CB19" s="15"/>
      <c r="CC19" s="15"/>
      <c r="CD19" s="15">
        <f t="shared" si="10"/>
        <v>0</v>
      </c>
      <c r="CE19" s="15"/>
      <c r="CF19" s="15"/>
      <c r="CG19" s="15"/>
      <c r="CH19" s="15"/>
      <c r="CI19" s="15"/>
      <c r="CJ19" s="15"/>
      <c r="CK19" s="15">
        <f t="shared" si="11"/>
        <v>0</v>
      </c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</row>
    <row r="20" spans="1:104" x14ac:dyDescent="0.25">
      <c r="A20" s="8" t="s">
        <v>53</v>
      </c>
      <c r="B20" s="15"/>
      <c r="C20" s="15"/>
      <c r="D20" s="15">
        <v>0</v>
      </c>
      <c r="E20" s="15">
        <v>41481.15</v>
      </c>
      <c r="F20" s="15">
        <v>0</v>
      </c>
      <c r="G20" s="15">
        <v>0</v>
      </c>
      <c r="H20" s="15">
        <v>2092.65</v>
      </c>
      <c r="I20" s="15">
        <v>0</v>
      </c>
      <c r="J20" s="15">
        <f t="shared" si="0"/>
        <v>43573.8</v>
      </c>
      <c r="K20" s="15"/>
      <c r="L20" s="15">
        <v>0</v>
      </c>
      <c r="M20" s="15">
        <v>0</v>
      </c>
      <c r="N20" s="15">
        <v>0</v>
      </c>
      <c r="O20" s="15">
        <v>0</v>
      </c>
      <c r="P20" s="15"/>
      <c r="Q20" s="15">
        <f t="shared" si="1"/>
        <v>0</v>
      </c>
      <c r="R20" s="15"/>
      <c r="S20" s="15"/>
      <c r="T20" s="15"/>
      <c r="U20" s="15"/>
      <c r="V20" s="15"/>
      <c r="W20" s="15"/>
      <c r="X20" s="15">
        <f t="shared" si="2"/>
        <v>0</v>
      </c>
      <c r="Y20" s="15"/>
      <c r="Z20" s="15"/>
      <c r="AA20" s="15"/>
      <c r="AB20" s="15"/>
      <c r="AC20" s="15"/>
      <c r="AD20" s="15"/>
      <c r="AE20" s="15">
        <f t="shared" si="3"/>
        <v>0</v>
      </c>
      <c r="AF20" s="15"/>
      <c r="AG20" s="15"/>
      <c r="AH20" s="15"/>
      <c r="AI20" s="15"/>
      <c r="AJ20" s="15"/>
      <c r="AK20" s="15"/>
      <c r="AL20" s="15"/>
      <c r="AM20" s="15">
        <f t="shared" si="4"/>
        <v>0</v>
      </c>
      <c r="AN20" s="15"/>
      <c r="AO20" s="15"/>
      <c r="AP20" s="15"/>
      <c r="AQ20" s="15"/>
      <c r="AR20" s="15"/>
      <c r="AS20" s="15"/>
      <c r="AT20" s="15">
        <f t="shared" si="5"/>
        <v>0</v>
      </c>
      <c r="AU20" s="15"/>
      <c r="AV20" s="15"/>
      <c r="AW20" s="15"/>
      <c r="AX20" s="15"/>
      <c r="AY20" s="15"/>
      <c r="AZ20" s="15"/>
      <c r="BA20" s="15">
        <f t="shared" si="6"/>
        <v>0</v>
      </c>
      <c r="BB20" s="15"/>
      <c r="BC20" s="15"/>
      <c r="BD20" s="15"/>
      <c r="BE20" s="15"/>
      <c r="BF20" s="15"/>
      <c r="BG20" s="15"/>
      <c r="BH20" s="15">
        <f t="shared" si="7"/>
        <v>0</v>
      </c>
      <c r="BI20" s="15"/>
      <c r="BJ20" s="15"/>
      <c r="BK20" s="15"/>
      <c r="BL20" s="15"/>
      <c r="BM20" s="15"/>
      <c r="BN20" s="15"/>
      <c r="BO20" s="15">
        <f t="shared" si="8"/>
        <v>0</v>
      </c>
      <c r="BP20" s="15"/>
      <c r="BQ20" s="15"/>
      <c r="BR20" s="15"/>
      <c r="BS20" s="15"/>
      <c r="BT20" s="15"/>
      <c r="BU20" s="15"/>
      <c r="BV20" s="15"/>
      <c r="BW20" s="15">
        <f t="shared" si="9"/>
        <v>0</v>
      </c>
      <c r="BX20" s="15"/>
      <c r="BY20" s="15"/>
      <c r="BZ20" s="15"/>
      <c r="CA20" s="15"/>
      <c r="CB20" s="15"/>
      <c r="CC20" s="15"/>
      <c r="CD20" s="15">
        <f t="shared" si="10"/>
        <v>0</v>
      </c>
      <c r="CE20" s="15"/>
      <c r="CF20" s="15"/>
      <c r="CG20" s="15"/>
      <c r="CH20" s="15"/>
      <c r="CI20" s="15"/>
      <c r="CJ20" s="15"/>
      <c r="CK20" s="15">
        <f t="shared" si="11"/>
        <v>0</v>
      </c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</row>
    <row r="21" spans="1:104" x14ac:dyDescent="0.25">
      <c r="A21" s="8" t="s">
        <v>54</v>
      </c>
      <c r="B21" s="15"/>
      <c r="C21" s="15"/>
      <c r="D21" s="15">
        <v>0</v>
      </c>
      <c r="E21" s="15">
        <v>1060000</v>
      </c>
      <c r="F21" s="15">
        <v>1252000</v>
      </c>
      <c r="G21" s="15">
        <v>0</v>
      </c>
      <c r="H21" s="15">
        <v>236000</v>
      </c>
      <c r="I21" s="15">
        <v>0</v>
      </c>
      <c r="J21" s="15">
        <f t="shared" si="0"/>
        <v>2548000</v>
      </c>
      <c r="K21" s="15"/>
      <c r="L21" s="15">
        <v>0</v>
      </c>
      <c r="M21" s="15">
        <v>0</v>
      </c>
      <c r="N21" s="15">
        <v>0</v>
      </c>
      <c r="O21" s="15">
        <v>0</v>
      </c>
      <c r="P21" s="15"/>
      <c r="Q21" s="15">
        <f t="shared" si="1"/>
        <v>0</v>
      </c>
      <c r="R21" s="15"/>
      <c r="S21" s="15"/>
      <c r="T21" s="15"/>
      <c r="U21" s="15"/>
      <c r="V21" s="15"/>
      <c r="W21" s="15"/>
      <c r="X21" s="15">
        <f t="shared" si="2"/>
        <v>0</v>
      </c>
      <c r="Y21" s="15"/>
      <c r="Z21" s="15"/>
      <c r="AA21" s="15"/>
      <c r="AB21" s="15"/>
      <c r="AC21" s="15"/>
      <c r="AD21" s="15"/>
      <c r="AE21" s="15">
        <f t="shared" si="3"/>
        <v>0</v>
      </c>
      <c r="AF21" s="15"/>
      <c r="AG21" s="15"/>
      <c r="AH21" s="15"/>
      <c r="AI21" s="15"/>
      <c r="AJ21" s="15"/>
      <c r="AK21" s="15"/>
      <c r="AL21" s="15"/>
      <c r="AM21" s="15">
        <f t="shared" si="4"/>
        <v>0</v>
      </c>
      <c r="AN21" s="15"/>
      <c r="AO21" s="15"/>
      <c r="AP21" s="15"/>
      <c r="AQ21" s="15"/>
      <c r="AR21" s="15"/>
      <c r="AS21" s="15"/>
      <c r="AT21" s="15">
        <f t="shared" si="5"/>
        <v>0</v>
      </c>
      <c r="AU21" s="15"/>
      <c r="AV21" s="15"/>
      <c r="AW21" s="15"/>
      <c r="AX21" s="15"/>
      <c r="AY21" s="15"/>
      <c r="AZ21" s="15"/>
      <c r="BA21" s="15">
        <f t="shared" si="6"/>
        <v>0</v>
      </c>
      <c r="BB21" s="15"/>
      <c r="BC21" s="15"/>
      <c r="BD21" s="15"/>
      <c r="BE21" s="15"/>
      <c r="BF21" s="15"/>
      <c r="BG21" s="15"/>
      <c r="BH21" s="15">
        <f t="shared" si="7"/>
        <v>0</v>
      </c>
      <c r="BI21" s="15"/>
      <c r="BJ21" s="15"/>
      <c r="BK21" s="15"/>
      <c r="BL21" s="15"/>
      <c r="BM21" s="15"/>
      <c r="BN21" s="15"/>
      <c r="BO21" s="15">
        <f t="shared" si="8"/>
        <v>0</v>
      </c>
      <c r="BP21" s="15"/>
      <c r="BQ21" s="15"/>
      <c r="BR21" s="15"/>
      <c r="BS21" s="15"/>
      <c r="BT21" s="15"/>
      <c r="BU21" s="15"/>
      <c r="BV21" s="15"/>
      <c r="BW21" s="15">
        <f t="shared" si="9"/>
        <v>0</v>
      </c>
      <c r="BX21" s="15"/>
      <c r="BY21" s="15"/>
      <c r="BZ21" s="15"/>
      <c r="CA21" s="15"/>
      <c r="CB21" s="15"/>
      <c r="CC21" s="15"/>
      <c r="CD21" s="15">
        <f t="shared" si="10"/>
        <v>0</v>
      </c>
      <c r="CE21" s="15"/>
      <c r="CF21" s="15"/>
      <c r="CG21" s="15"/>
      <c r="CH21" s="15"/>
      <c r="CI21" s="15"/>
      <c r="CJ21" s="15"/>
      <c r="CK21" s="15">
        <f t="shared" si="11"/>
        <v>0</v>
      </c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</row>
    <row r="22" spans="1:104" x14ac:dyDescent="0.25">
      <c r="A22" s="8" t="s">
        <v>55</v>
      </c>
      <c r="B22" s="15"/>
      <c r="C22" s="15"/>
      <c r="D22" s="15">
        <v>0</v>
      </c>
      <c r="E22" s="15">
        <v>0</v>
      </c>
      <c r="F22" s="15">
        <v>0</v>
      </c>
      <c r="G22" s="15">
        <v>0</v>
      </c>
      <c r="H22" s="15">
        <v>11381.37</v>
      </c>
      <c r="I22" s="15">
        <v>0</v>
      </c>
      <c r="J22" s="15">
        <f t="shared" si="0"/>
        <v>11381.37</v>
      </c>
      <c r="K22" s="15"/>
      <c r="L22" s="15">
        <v>0</v>
      </c>
      <c r="M22" s="15">
        <v>0</v>
      </c>
      <c r="N22" s="15">
        <v>0</v>
      </c>
      <c r="O22" s="15">
        <v>0</v>
      </c>
      <c r="P22" s="15"/>
      <c r="Q22" s="15">
        <f t="shared" si="1"/>
        <v>0</v>
      </c>
      <c r="R22" s="15"/>
      <c r="S22" s="15"/>
      <c r="T22" s="15"/>
      <c r="U22" s="15"/>
      <c r="V22" s="15"/>
      <c r="W22" s="15"/>
      <c r="X22" s="15">
        <f t="shared" si="2"/>
        <v>0</v>
      </c>
      <c r="Y22" s="15"/>
      <c r="Z22" s="15"/>
      <c r="AA22" s="15"/>
      <c r="AB22" s="15"/>
      <c r="AC22" s="15"/>
      <c r="AD22" s="15"/>
      <c r="AE22" s="15">
        <f t="shared" si="3"/>
        <v>0</v>
      </c>
      <c r="AF22" s="15"/>
      <c r="AG22" s="15"/>
      <c r="AH22" s="15"/>
      <c r="AI22" s="15"/>
      <c r="AJ22" s="15"/>
      <c r="AK22" s="15"/>
      <c r="AL22" s="15"/>
      <c r="AM22" s="15">
        <f t="shared" si="4"/>
        <v>0</v>
      </c>
      <c r="AN22" s="15"/>
      <c r="AO22" s="15"/>
      <c r="AP22" s="15"/>
      <c r="AQ22" s="15"/>
      <c r="AR22" s="15"/>
      <c r="AS22" s="15"/>
      <c r="AT22" s="15">
        <f t="shared" si="5"/>
        <v>0</v>
      </c>
      <c r="AU22" s="15"/>
      <c r="AV22" s="15"/>
      <c r="AW22" s="15"/>
      <c r="AX22" s="15"/>
      <c r="AY22" s="15"/>
      <c r="AZ22" s="15"/>
      <c r="BA22" s="15">
        <f t="shared" si="6"/>
        <v>0</v>
      </c>
      <c r="BB22" s="15"/>
      <c r="BC22" s="15"/>
      <c r="BD22" s="15"/>
      <c r="BE22" s="15"/>
      <c r="BF22" s="15"/>
      <c r="BG22" s="15"/>
      <c r="BH22" s="15">
        <f t="shared" si="7"/>
        <v>0</v>
      </c>
      <c r="BI22" s="15"/>
      <c r="BJ22" s="15"/>
      <c r="BK22" s="15"/>
      <c r="BL22" s="15"/>
      <c r="BM22" s="15"/>
      <c r="BN22" s="15"/>
      <c r="BO22" s="15">
        <f t="shared" si="8"/>
        <v>0</v>
      </c>
      <c r="BP22" s="15"/>
      <c r="BQ22" s="15"/>
      <c r="BR22" s="15"/>
      <c r="BS22" s="15"/>
      <c r="BT22" s="15"/>
      <c r="BU22" s="15"/>
      <c r="BV22" s="15"/>
      <c r="BW22" s="15">
        <f t="shared" si="9"/>
        <v>0</v>
      </c>
      <c r="BX22" s="15"/>
      <c r="BY22" s="15"/>
      <c r="BZ22" s="15"/>
      <c r="CA22" s="15"/>
      <c r="CB22" s="15"/>
      <c r="CC22" s="15"/>
      <c r="CD22" s="15">
        <f t="shared" si="10"/>
        <v>0</v>
      </c>
      <c r="CE22" s="15"/>
      <c r="CF22" s="15"/>
      <c r="CG22" s="15"/>
      <c r="CH22" s="15"/>
      <c r="CI22" s="15"/>
      <c r="CJ22" s="15"/>
      <c r="CK22" s="15">
        <f t="shared" si="11"/>
        <v>0</v>
      </c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</row>
    <row r="23" spans="1:104" x14ac:dyDescent="0.25">
      <c r="A23" s="8" t="s">
        <v>56</v>
      </c>
      <c r="B23" s="15"/>
      <c r="C23" s="15"/>
      <c r="D23" s="15">
        <v>0</v>
      </c>
      <c r="E23" s="15">
        <v>0</v>
      </c>
      <c r="F23" s="15">
        <v>105366.72</v>
      </c>
      <c r="G23" s="15">
        <v>16610.439999999999</v>
      </c>
      <c r="H23" s="15">
        <v>5658.76</v>
      </c>
      <c r="I23" s="15">
        <v>0</v>
      </c>
      <c r="J23" s="15">
        <f t="shared" si="0"/>
        <v>127635.92</v>
      </c>
      <c r="K23" s="15"/>
      <c r="L23" s="15">
        <v>0</v>
      </c>
      <c r="M23" s="15">
        <v>0</v>
      </c>
      <c r="N23" s="15">
        <v>0</v>
      </c>
      <c r="O23" s="15">
        <v>0</v>
      </c>
      <c r="P23" s="15"/>
      <c r="Q23" s="15">
        <f t="shared" si="1"/>
        <v>0</v>
      </c>
      <c r="R23" s="15"/>
      <c r="S23" s="15"/>
      <c r="T23" s="15"/>
      <c r="U23" s="15"/>
      <c r="V23" s="15"/>
      <c r="W23" s="15"/>
      <c r="X23" s="15">
        <f t="shared" si="2"/>
        <v>0</v>
      </c>
      <c r="Y23" s="15"/>
      <c r="Z23" s="15"/>
      <c r="AA23" s="15"/>
      <c r="AB23" s="15"/>
      <c r="AC23" s="15"/>
      <c r="AD23" s="15"/>
      <c r="AE23" s="15">
        <f t="shared" si="3"/>
        <v>0</v>
      </c>
      <c r="AF23" s="15"/>
      <c r="AG23" s="15"/>
      <c r="AH23" s="15"/>
      <c r="AI23" s="15"/>
      <c r="AJ23" s="15"/>
      <c r="AK23" s="15"/>
      <c r="AL23" s="15"/>
      <c r="AM23" s="15">
        <f t="shared" si="4"/>
        <v>0</v>
      </c>
      <c r="AN23" s="15"/>
      <c r="AO23" s="15"/>
      <c r="AP23" s="15"/>
      <c r="AQ23" s="15"/>
      <c r="AR23" s="15"/>
      <c r="AS23" s="15"/>
      <c r="AT23" s="15">
        <f t="shared" si="5"/>
        <v>0</v>
      </c>
      <c r="AU23" s="15"/>
      <c r="AV23" s="15"/>
      <c r="AW23" s="15"/>
      <c r="AX23" s="15"/>
      <c r="AY23" s="15"/>
      <c r="AZ23" s="15"/>
      <c r="BA23" s="15">
        <f t="shared" si="6"/>
        <v>0</v>
      </c>
      <c r="BB23" s="15"/>
      <c r="BC23" s="15"/>
      <c r="BD23" s="15"/>
      <c r="BE23" s="15"/>
      <c r="BF23" s="15"/>
      <c r="BG23" s="15"/>
      <c r="BH23" s="15">
        <f t="shared" si="7"/>
        <v>0</v>
      </c>
      <c r="BI23" s="15"/>
      <c r="BJ23" s="15"/>
      <c r="BK23" s="15"/>
      <c r="BL23" s="15"/>
      <c r="BM23" s="15"/>
      <c r="BN23" s="15"/>
      <c r="BO23" s="15">
        <f t="shared" si="8"/>
        <v>0</v>
      </c>
      <c r="BP23" s="15"/>
      <c r="BQ23" s="15"/>
      <c r="BR23" s="15"/>
      <c r="BS23" s="15"/>
      <c r="BT23" s="15"/>
      <c r="BU23" s="15"/>
      <c r="BV23" s="15"/>
      <c r="BW23" s="15">
        <f t="shared" si="9"/>
        <v>0</v>
      </c>
      <c r="BX23" s="15"/>
      <c r="BY23" s="15"/>
      <c r="BZ23" s="15"/>
      <c r="CA23" s="15"/>
      <c r="CB23" s="15"/>
      <c r="CC23" s="15"/>
      <c r="CD23" s="15">
        <f t="shared" si="10"/>
        <v>0</v>
      </c>
      <c r="CE23" s="15"/>
      <c r="CF23" s="15"/>
      <c r="CG23" s="15"/>
      <c r="CH23" s="15"/>
      <c r="CI23" s="15"/>
      <c r="CJ23" s="15"/>
      <c r="CK23" s="15">
        <f t="shared" si="11"/>
        <v>0</v>
      </c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</row>
    <row r="24" spans="1:104" x14ac:dyDescent="0.25">
      <c r="A24" s="8" t="s">
        <v>57</v>
      </c>
      <c r="B24" s="15"/>
      <c r="C24" s="15"/>
      <c r="D24" s="15">
        <v>0</v>
      </c>
      <c r="E24" s="15">
        <v>0</v>
      </c>
      <c r="F24" s="15">
        <v>0</v>
      </c>
      <c r="G24" s="15">
        <v>114516</v>
      </c>
      <c r="H24" s="15">
        <v>0</v>
      </c>
      <c r="I24" s="15">
        <v>0</v>
      </c>
      <c r="J24" s="15">
        <f t="shared" si="0"/>
        <v>114516</v>
      </c>
      <c r="K24" s="15"/>
      <c r="L24" s="15">
        <v>0</v>
      </c>
      <c r="M24" s="15">
        <v>0</v>
      </c>
      <c r="N24" s="15">
        <v>0</v>
      </c>
      <c r="O24" s="15">
        <v>0</v>
      </c>
      <c r="P24" s="15"/>
      <c r="Q24" s="15">
        <f t="shared" si="1"/>
        <v>0</v>
      </c>
      <c r="R24" s="15"/>
      <c r="S24" s="15"/>
      <c r="T24" s="15"/>
      <c r="U24" s="15"/>
      <c r="V24" s="15"/>
      <c r="W24" s="15"/>
      <c r="X24" s="15">
        <f t="shared" si="2"/>
        <v>0</v>
      </c>
      <c r="Y24" s="15"/>
      <c r="Z24" s="15"/>
      <c r="AA24" s="15"/>
      <c r="AB24" s="15"/>
      <c r="AC24" s="15"/>
      <c r="AD24" s="15"/>
      <c r="AE24" s="15">
        <f t="shared" si="3"/>
        <v>0</v>
      </c>
      <c r="AF24" s="15"/>
      <c r="AG24" s="15"/>
      <c r="AH24" s="15"/>
      <c r="AI24" s="15"/>
      <c r="AJ24" s="15"/>
      <c r="AK24" s="15"/>
      <c r="AL24" s="15"/>
      <c r="AM24" s="15">
        <f t="shared" si="4"/>
        <v>0</v>
      </c>
      <c r="AN24" s="15"/>
      <c r="AO24" s="15"/>
      <c r="AP24" s="15"/>
      <c r="AQ24" s="15"/>
      <c r="AR24" s="15"/>
      <c r="AS24" s="15"/>
      <c r="AT24" s="15">
        <f t="shared" si="5"/>
        <v>0</v>
      </c>
      <c r="AU24" s="15"/>
      <c r="AV24" s="15"/>
      <c r="AW24" s="15"/>
      <c r="AX24" s="15"/>
      <c r="AY24" s="15"/>
      <c r="AZ24" s="15"/>
      <c r="BA24" s="15">
        <f t="shared" si="6"/>
        <v>0</v>
      </c>
      <c r="BB24" s="15"/>
      <c r="BC24" s="15"/>
      <c r="BD24" s="15"/>
      <c r="BE24" s="15"/>
      <c r="BF24" s="15"/>
      <c r="BG24" s="15"/>
      <c r="BH24" s="15">
        <f t="shared" si="7"/>
        <v>0</v>
      </c>
      <c r="BI24" s="15"/>
      <c r="BJ24" s="15"/>
      <c r="BK24" s="15"/>
      <c r="BL24" s="15"/>
      <c r="BM24" s="15"/>
      <c r="BN24" s="15"/>
      <c r="BO24" s="15">
        <f t="shared" si="8"/>
        <v>0</v>
      </c>
      <c r="BP24" s="15"/>
      <c r="BQ24" s="15"/>
      <c r="BR24" s="15"/>
      <c r="BS24" s="15"/>
      <c r="BT24" s="15"/>
      <c r="BU24" s="15"/>
      <c r="BV24" s="15"/>
      <c r="BW24" s="15">
        <f t="shared" si="9"/>
        <v>0</v>
      </c>
      <c r="BX24" s="15"/>
      <c r="BY24" s="15"/>
      <c r="BZ24" s="15"/>
      <c r="CA24" s="15"/>
      <c r="CB24" s="15"/>
      <c r="CC24" s="15"/>
      <c r="CD24" s="15">
        <f t="shared" si="10"/>
        <v>0</v>
      </c>
      <c r="CE24" s="15"/>
      <c r="CF24" s="15"/>
      <c r="CG24" s="15"/>
      <c r="CH24" s="15"/>
      <c r="CI24" s="15"/>
      <c r="CJ24" s="15"/>
      <c r="CK24" s="15">
        <f t="shared" si="11"/>
        <v>0</v>
      </c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</row>
    <row r="25" spans="1:104" x14ac:dyDescent="0.25">
      <c r="A25" s="8" t="s">
        <v>58</v>
      </c>
      <c r="B25" s="15"/>
      <c r="C25" s="15"/>
      <c r="D25" s="15">
        <v>0</v>
      </c>
      <c r="E25" s="15">
        <v>0</v>
      </c>
      <c r="F25" s="15">
        <v>0</v>
      </c>
      <c r="G25" s="15">
        <v>0</v>
      </c>
      <c r="H25" s="15">
        <v>495.07</v>
      </c>
      <c r="I25" s="15">
        <v>0</v>
      </c>
      <c r="J25" s="15">
        <f t="shared" si="0"/>
        <v>495.07</v>
      </c>
      <c r="K25" s="15"/>
      <c r="L25" s="15">
        <v>0</v>
      </c>
      <c r="M25" s="15">
        <v>0</v>
      </c>
      <c r="N25" s="15">
        <v>0</v>
      </c>
      <c r="O25" s="15">
        <v>0</v>
      </c>
      <c r="P25" s="15"/>
      <c r="Q25" s="15">
        <f t="shared" si="1"/>
        <v>0</v>
      </c>
      <c r="R25" s="15"/>
      <c r="S25" s="15"/>
      <c r="T25" s="15"/>
      <c r="U25" s="15"/>
      <c r="V25" s="15"/>
      <c r="W25" s="15"/>
      <c r="X25" s="15">
        <f t="shared" si="2"/>
        <v>0</v>
      </c>
      <c r="Y25" s="15"/>
      <c r="Z25" s="15"/>
      <c r="AA25" s="15"/>
      <c r="AB25" s="15"/>
      <c r="AC25" s="15"/>
      <c r="AD25" s="15"/>
      <c r="AE25" s="15">
        <f t="shared" si="3"/>
        <v>0</v>
      </c>
      <c r="AF25" s="15"/>
      <c r="AG25" s="15"/>
      <c r="AH25" s="15"/>
      <c r="AI25" s="15"/>
      <c r="AJ25" s="15"/>
      <c r="AK25" s="15"/>
      <c r="AL25" s="15"/>
      <c r="AM25" s="15">
        <f t="shared" si="4"/>
        <v>0</v>
      </c>
      <c r="AN25" s="15"/>
      <c r="AO25" s="15"/>
      <c r="AP25" s="15"/>
      <c r="AQ25" s="15"/>
      <c r="AR25" s="15"/>
      <c r="AS25" s="15"/>
      <c r="AT25" s="15">
        <f t="shared" si="5"/>
        <v>0</v>
      </c>
      <c r="AU25" s="15"/>
      <c r="AV25" s="15"/>
      <c r="AW25" s="15"/>
      <c r="AX25" s="15"/>
      <c r="AY25" s="15"/>
      <c r="AZ25" s="15"/>
      <c r="BA25" s="15">
        <f t="shared" si="6"/>
        <v>0</v>
      </c>
      <c r="BB25" s="15"/>
      <c r="BC25" s="15"/>
      <c r="BD25" s="15"/>
      <c r="BE25" s="15"/>
      <c r="BF25" s="15"/>
      <c r="BG25" s="15"/>
      <c r="BH25" s="15">
        <f t="shared" si="7"/>
        <v>0</v>
      </c>
      <c r="BI25" s="15"/>
      <c r="BJ25" s="15"/>
      <c r="BK25" s="15"/>
      <c r="BL25" s="15"/>
      <c r="BM25" s="15"/>
      <c r="BN25" s="15"/>
      <c r="BO25" s="15">
        <f t="shared" si="8"/>
        <v>0</v>
      </c>
      <c r="BP25" s="15"/>
      <c r="BQ25" s="15"/>
      <c r="BR25" s="15"/>
      <c r="BS25" s="15"/>
      <c r="BT25" s="15"/>
      <c r="BU25" s="15"/>
      <c r="BV25" s="15"/>
      <c r="BW25" s="15">
        <f t="shared" si="9"/>
        <v>0</v>
      </c>
      <c r="BX25" s="15"/>
      <c r="BY25" s="15"/>
      <c r="BZ25" s="15"/>
      <c r="CA25" s="15"/>
      <c r="CB25" s="15"/>
      <c r="CC25" s="15"/>
      <c r="CD25" s="15">
        <f t="shared" si="10"/>
        <v>0</v>
      </c>
      <c r="CE25" s="15"/>
      <c r="CF25" s="15"/>
      <c r="CG25" s="15"/>
      <c r="CH25" s="15"/>
      <c r="CI25" s="15"/>
      <c r="CJ25" s="15"/>
      <c r="CK25" s="15">
        <f t="shared" si="11"/>
        <v>0</v>
      </c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</row>
    <row r="26" spans="1:104" x14ac:dyDescent="0.25">
      <c r="A26" s="8" t="s">
        <v>59</v>
      </c>
      <c r="B26" s="15"/>
      <c r="C26" s="15"/>
      <c r="D26" s="15">
        <v>0</v>
      </c>
      <c r="E26" s="15">
        <v>0</v>
      </c>
      <c r="F26" s="15">
        <v>0</v>
      </c>
      <c r="G26" s="15">
        <v>0</v>
      </c>
      <c r="H26" s="15">
        <v>139327.53</v>
      </c>
      <c r="I26" s="15">
        <v>0</v>
      </c>
      <c r="J26" s="15">
        <f t="shared" si="0"/>
        <v>139327.53</v>
      </c>
      <c r="K26" s="15"/>
      <c r="L26" s="15">
        <v>0</v>
      </c>
      <c r="M26" s="15">
        <v>0</v>
      </c>
      <c r="N26" s="15">
        <v>0</v>
      </c>
      <c r="O26" s="15">
        <v>0</v>
      </c>
      <c r="P26" s="15"/>
      <c r="Q26" s="15">
        <f t="shared" si="1"/>
        <v>0</v>
      </c>
      <c r="R26" s="15"/>
      <c r="S26" s="15"/>
      <c r="T26" s="15"/>
      <c r="U26" s="15"/>
      <c r="V26" s="15"/>
      <c r="W26" s="15"/>
      <c r="X26" s="15">
        <f t="shared" si="2"/>
        <v>0</v>
      </c>
      <c r="Y26" s="15"/>
      <c r="Z26" s="15"/>
      <c r="AA26" s="15"/>
      <c r="AB26" s="15"/>
      <c r="AC26" s="15"/>
      <c r="AD26" s="15"/>
      <c r="AE26" s="15">
        <f t="shared" si="3"/>
        <v>0</v>
      </c>
      <c r="AF26" s="15"/>
      <c r="AG26" s="15"/>
      <c r="AH26" s="15"/>
      <c r="AI26" s="15"/>
      <c r="AJ26" s="15"/>
      <c r="AK26" s="15"/>
      <c r="AL26" s="15"/>
      <c r="AM26" s="15">
        <f t="shared" si="4"/>
        <v>0</v>
      </c>
      <c r="AN26" s="15"/>
      <c r="AO26" s="15"/>
      <c r="AP26" s="15"/>
      <c r="AQ26" s="15"/>
      <c r="AR26" s="15"/>
      <c r="AS26" s="15"/>
      <c r="AT26" s="15">
        <f t="shared" si="5"/>
        <v>0</v>
      </c>
      <c r="AU26" s="15"/>
      <c r="AV26" s="15"/>
      <c r="AW26" s="15"/>
      <c r="AX26" s="15"/>
      <c r="AY26" s="15"/>
      <c r="AZ26" s="15"/>
      <c r="BA26" s="15">
        <f t="shared" si="6"/>
        <v>0</v>
      </c>
      <c r="BB26" s="15"/>
      <c r="BC26" s="15"/>
      <c r="BD26" s="15"/>
      <c r="BE26" s="15"/>
      <c r="BF26" s="15"/>
      <c r="BG26" s="15"/>
      <c r="BH26" s="15">
        <f t="shared" si="7"/>
        <v>0</v>
      </c>
      <c r="BI26" s="15"/>
      <c r="BJ26" s="15"/>
      <c r="BK26" s="15"/>
      <c r="BL26" s="15"/>
      <c r="BM26" s="15"/>
      <c r="BN26" s="15"/>
      <c r="BO26" s="15">
        <f t="shared" si="8"/>
        <v>0</v>
      </c>
      <c r="BP26" s="15"/>
      <c r="BQ26" s="15"/>
      <c r="BR26" s="15"/>
      <c r="BS26" s="15"/>
      <c r="BT26" s="15"/>
      <c r="BU26" s="15"/>
      <c r="BV26" s="15"/>
      <c r="BW26" s="15">
        <f t="shared" si="9"/>
        <v>0</v>
      </c>
      <c r="BX26" s="15"/>
      <c r="BY26" s="15"/>
      <c r="BZ26" s="15"/>
      <c r="CA26" s="15"/>
      <c r="CB26" s="15"/>
      <c r="CC26" s="15"/>
      <c r="CD26" s="15">
        <f t="shared" si="10"/>
        <v>0</v>
      </c>
      <c r="CE26" s="15"/>
      <c r="CF26" s="15"/>
      <c r="CG26" s="15"/>
      <c r="CH26" s="15"/>
      <c r="CI26" s="15"/>
      <c r="CJ26" s="15"/>
      <c r="CK26" s="15">
        <f t="shared" si="11"/>
        <v>0</v>
      </c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</row>
    <row r="27" spans="1:104" x14ac:dyDescent="0.25">
      <c r="A27" s="6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</row>
    <row r="28" spans="1:104" x14ac:dyDescent="0.25">
      <c r="A28" s="10" t="s">
        <v>29</v>
      </c>
      <c r="B28" s="16">
        <f>SUM(B15:B27)</f>
        <v>0</v>
      </c>
      <c r="C28" s="16">
        <f t="shared" ref="C28:BN28" si="12">SUM(C15:C27)</f>
        <v>0</v>
      </c>
      <c r="D28" s="16">
        <f t="shared" si="12"/>
        <v>0</v>
      </c>
      <c r="E28" s="16">
        <f t="shared" si="12"/>
        <v>1884184.98</v>
      </c>
      <c r="F28" s="16">
        <f t="shared" si="12"/>
        <v>2735400.77</v>
      </c>
      <c r="G28" s="16">
        <f t="shared" si="12"/>
        <v>286751</v>
      </c>
      <c r="H28" s="16">
        <f t="shared" si="12"/>
        <v>622709.15999999992</v>
      </c>
      <c r="I28" s="16">
        <f t="shared" si="12"/>
        <v>75.63</v>
      </c>
      <c r="J28" s="16">
        <f t="shared" si="12"/>
        <v>5529121.54</v>
      </c>
      <c r="K28" s="16">
        <f t="shared" si="12"/>
        <v>0</v>
      </c>
      <c r="L28" s="16">
        <f t="shared" si="12"/>
        <v>1228766.3500000001</v>
      </c>
      <c r="M28" s="16">
        <f t="shared" si="12"/>
        <v>1663580.7200000002</v>
      </c>
      <c r="N28" s="16">
        <f t="shared" si="12"/>
        <v>131887.54</v>
      </c>
      <c r="O28" s="16">
        <f t="shared" si="12"/>
        <v>0</v>
      </c>
      <c r="P28" s="16">
        <f t="shared" si="12"/>
        <v>0</v>
      </c>
      <c r="Q28" s="16">
        <f t="shared" si="12"/>
        <v>3024234.6100000003</v>
      </c>
      <c r="R28" s="16">
        <f t="shared" si="12"/>
        <v>0</v>
      </c>
      <c r="S28" s="16">
        <f t="shared" si="12"/>
        <v>0</v>
      </c>
      <c r="T28" s="16">
        <f t="shared" si="12"/>
        <v>0</v>
      </c>
      <c r="U28" s="16">
        <f t="shared" si="12"/>
        <v>0</v>
      </c>
      <c r="V28" s="16">
        <f t="shared" si="12"/>
        <v>0</v>
      </c>
      <c r="W28" s="16">
        <f t="shared" si="12"/>
        <v>0</v>
      </c>
      <c r="X28" s="16">
        <f t="shared" si="12"/>
        <v>0</v>
      </c>
      <c r="Y28" s="16">
        <f t="shared" si="12"/>
        <v>0</v>
      </c>
      <c r="Z28" s="16">
        <f t="shared" si="12"/>
        <v>0</v>
      </c>
      <c r="AA28" s="16">
        <f t="shared" si="12"/>
        <v>0</v>
      </c>
      <c r="AB28" s="16">
        <f t="shared" si="12"/>
        <v>0</v>
      </c>
      <c r="AC28" s="16">
        <f t="shared" si="12"/>
        <v>0</v>
      </c>
      <c r="AD28" s="16">
        <f t="shared" si="12"/>
        <v>0</v>
      </c>
      <c r="AE28" s="16">
        <f t="shared" si="12"/>
        <v>0</v>
      </c>
      <c r="AF28" s="16">
        <f t="shared" si="12"/>
        <v>0</v>
      </c>
      <c r="AG28" s="16">
        <f t="shared" si="12"/>
        <v>0</v>
      </c>
      <c r="AH28" s="16">
        <f t="shared" si="12"/>
        <v>0</v>
      </c>
      <c r="AI28" s="16">
        <f t="shared" si="12"/>
        <v>0</v>
      </c>
      <c r="AJ28" s="16">
        <f t="shared" si="12"/>
        <v>0</v>
      </c>
      <c r="AK28" s="16">
        <f t="shared" si="12"/>
        <v>0</v>
      </c>
      <c r="AL28" s="16">
        <f t="shared" si="12"/>
        <v>0</v>
      </c>
      <c r="AM28" s="16">
        <f t="shared" si="12"/>
        <v>0</v>
      </c>
      <c r="AN28" s="16">
        <f t="shared" si="12"/>
        <v>0</v>
      </c>
      <c r="AO28" s="16">
        <f t="shared" si="12"/>
        <v>0</v>
      </c>
      <c r="AP28" s="16">
        <f t="shared" si="12"/>
        <v>0</v>
      </c>
      <c r="AQ28" s="16">
        <f t="shared" si="12"/>
        <v>0</v>
      </c>
      <c r="AR28" s="16">
        <f t="shared" si="12"/>
        <v>0</v>
      </c>
      <c r="AS28" s="16">
        <f t="shared" si="12"/>
        <v>0</v>
      </c>
      <c r="AT28" s="16">
        <f t="shared" si="12"/>
        <v>0</v>
      </c>
      <c r="AU28" s="16">
        <f t="shared" si="12"/>
        <v>0</v>
      </c>
      <c r="AV28" s="16">
        <f t="shared" si="12"/>
        <v>0</v>
      </c>
      <c r="AW28" s="16">
        <f t="shared" si="12"/>
        <v>0</v>
      </c>
      <c r="AX28" s="16">
        <f t="shared" si="12"/>
        <v>0</v>
      </c>
      <c r="AY28" s="16">
        <f t="shared" si="12"/>
        <v>0</v>
      </c>
      <c r="AZ28" s="16">
        <f t="shared" si="12"/>
        <v>0</v>
      </c>
      <c r="BA28" s="16">
        <f t="shared" si="12"/>
        <v>0</v>
      </c>
      <c r="BB28" s="16">
        <f t="shared" si="12"/>
        <v>0</v>
      </c>
      <c r="BC28" s="16">
        <f t="shared" si="12"/>
        <v>0</v>
      </c>
      <c r="BD28" s="16">
        <f t="shared" si="12"/>
        <v>0</v>
      </c>
      <c r="BE28" s="16">
        <f t="shared" si="12"/>
        <v>0</v>
      </c>
      <c r="BF28" s="16">
        <f t="shared" si="12"/>
        <v>0</v>
      </c>
      <c r="BG28" s="16">
        <f t="shared" si="12"/>
        <v>0</v>
      </c>
      <c r="BH28" s="16">
        <f t="shared" si="12"/>
        <v>0</v>
      </c>
      <c r="BI28" s="16">
        <f t="shared" si="12"/>
        <v>0</v>
      </c>
      <c r="BJ28" s="16">
        <f t="shared" si="12"/>
        <v>0</v>
      </c>
      <c r="BK28" s="16">
        <f t="shared" si="12"/>
        <v>0</v>
      </c>
      <c r="BL28" s="16">
        <f t="shared" si="12"/>
        <v>0</v>
      </c>
      <c r="BM28" s="16">
        <f t="shared" si="12"/>
        <v>0</v>
      </c>
      <c r="BN28" s="16">
        <f t="shared" si="12"/>
        <v>0</v>
      </c>
      <c r="BO28" s="16">
        <f t="shared" ref="BO28:CK28" si="13">SUM(BO15:BO27)</f>
        <v>0</v>
      </c>
      <c r="BP28" s="16">
        <f t="shared" si="13"/>
        <v>0</v>
      </c>
      <c r="BQ28" s="16">
        <f t="shared" si="13"/>
        <v>0</v>
      </c>
      <c r="BR28" s="16">
        <f t="shared" si="13"/>
        <v>0</v>
      </c>
      <c r="BS28" s="16">
        <f t="shared" si="13"/>
        <v>0</v>
      </c>
      <c r="BT28" s="16">
        <f t="shared" si="13"/>
        <v>0</v>
      </c>
      <c r="BU28" s="16">
        <f t="shared" si="13"/>
        <v>0</v>
      </c>
      <c r="BV28" s="16">
        <f t="shared" si="13"/>
        <v>0</v>
      </c>
      <c r="BW28" s="16">
        <f t="shared" si="13"/>
        <v>0</v>
      </c>
      <c r="BX28" s="16">
        <f t="shared" si="13"/>
        <v>0</v>
      </c>
      <c r="BY28" s="16">
        <f t="shared" si="13"/>
        <v>0</v>
      </c>
      <c r="BZ28" s="16">
        <f t="shared" si="13"/>
        <v>0</v>
      </c>
      <c r="CA28" s="16">
        <f t="shared" si="13"/>
        <v>0</v>
      </c>
      <c r="CB28" s="16">
        <f t="shared" si="13"/>
        <v>0</v>
      </c>
      <c r="CC28" s="16">
        <f t="shared" si="13"/>
        <v>0</v>
      </c>
      <c r="CD28" s="16">
        <f t="shared" si="13"/>
        <v>0</v>
      </c>
      <c r="CE28" s="16">
        <f t="shared" si="13"/>
        <v>0</v>
      </c>
      <c r="CF28" s="16">
        <f t="shared" si="13"/>
        <v>0</v>
      </c>
      <c r="CG28" s="16">
        <f t="shared" si="13"/>
        <v>0</v>
      </c>
      <c r="CH28" s="16">
        <f t="shared" si="13"/>
        <v>0</v>
      </c>
      <c r="CI28" s="16">
        <f t="shared" si="13"/>
        <v>0</v>
      </c>
      <c r="CJ28" s="16">
        <f t="shared" si="13"/>
        <v>0</v>
      </c>
      <c r="CK28" s="16">
        <f t="shared" si="13"/>
        <v>0</v>
      </c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</row>
    <row r="29" spans="1:104" x14ac:dyDescent="0.25">
      <c r="A29" s="6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</row>
    <row r="30" spans="1:104" x14ac:dyDescent="0.25">
      <c r="A30" s="6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</row>
    <row r="31" spans="1:104" x14ac:dyDescent="0.25">
      <c r="A31" s="6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</row>
    <row r="32" spans="1:104" x14ac:dyDescent="0.25">
      <c r="A32" s="8" t="s">
        <v>31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</row>
    <row r="33" spans="1:104" x14ac:dyDescent="0.25">
      <c r="A33" s="8" t="s">
        <v>60</v>
      </c>
      <c r="B33" s="15"/>
      <c r="C33" s="15"/>
      <c r="D33" s="15">
        <v>0</v>
      </c>
      <c r="E33" s="15">
        <v>60000000</v>
      </c>
      <c r="F33" s="15">
        <v>871958300</v>
      </c>
      <c r="G33" s="15">
        <v>22249975</v>
      </c>
      <c r="H33" s="15">
        <v>1946250490</v>
      </c>
      <c r="I33" s="15">
        <v>16943034.140000001</v>
      </c>
      <c r="J33" s="15">
        <f t="shared" ref="J33:J43" si="14">SUM(D33:I33)</f>
        <v>2917401799.1399999</v>
      </c>
      <c r="K33" s="15"/>
      <c r="L33" s="15">
        <v>0</v>
      </c>
      <c r="M33" s="15">
        <v>294681680</v>
      </c>
      <c r="N33" s="15">
        <v>165721027</v>
      </c>
      <c r="O33" s="15">
        <v>7500000</v>
      </c>
      <c r="P33" s="15"/>
      <c r="Q33" s="15">
        <f t="shared" ref="Q33:Q43" si="15">SUM(L33:P33)</f>
        <v>467902707</v>
      </c>
      <c r="R33" s="15"/>
      <c r="S33" s="15"/>
      <c r="T33" s="15"/>
      <c r="U33" s="15"/>
      <c r="V33" s="15"/>
      <c r="W33" s="15"/>
      <c r="X33" s="15">
        <f t="shared" ref="X33:X43" si="16">SUM(S33:W33)</f>
        <v>0</v>
      </c>
      <c r="Y33" s="15"/>
      <c r="Z33" s="15"/>
      <c r="AA33" s="15"/>
      <c r="AB33" s="15"/>
      <c r="AC33" s="15"/>
      <c r="AD33" s="15"/>
      <c r="AE33" s="15">
        <f t="shared" ref="AE33:AE43" si="17">SUM(Z33:AD33)</f>
        <v>0</v>
      </c>
      <c r="AF33" s="15"/>
      <c r="AG33" s="15"/>
      <c r="AH33" s="15"/>
      <c r="AI33" s="15"/>
      <c r="AJ33" s="15"/>
      <c r="AK33" s="15"/>
      <c r="AL33" s="15"/>
      <c r="AM33" s="15">
        <f t="shared" ref="AM33:AM43" si="18">SUM(AG33:AL33)</f>
        <v>0</v>
      </c>
      <c r="AN33" s="15"/>
      <c r="AO33" s="15"/>
      <c r="AP33" s="15"/>
      <c r="AQ33" s="15"/>
      <c r="AR33" s="15"/>
      <c r="AS33" s="15"/>
      <c r="AT33" s="15">
        <f t="shared" ref="AT33:AT43" si="19">SUM(AO33:AS33)</f>
        <v>0</v>
      </c>
      <c r="AU33" s="15"/>
      <c r="AV33" s="15"/>
      <c r="AW33" s="15"/>
      <c r="AX33" s="15"/>
      <c r="AY33" s="15"/>
      <c r="AZ33" s="15"/>
      <c r="BA33" s="15">
        <f t="shared" ref="BA33:BA43" si="20">SUM(AV33:AZ33)</f>
        <v>0</v>
      </c>
      <c r="BB33" s="15"/>
      <c r="BC33" s="15"/>
      <c r="BD33" s="15"/>
      <c r="BE33" s="15"/>
      <c r="BF33" s="15"/>
      <c r="BG33" s="15"/>
      <c r="BH33" s="15">
        <f t="shared" ref="BH33:BH43" si="21">SUM(BC33:BG33)</f>
        <v>0</v>
      </c>
      <c r="BI33" s="15"/>
      <c r="BJ33" s="15"/>
      <c r="BK33" s="15"/>
      <c r="BL33" s="15"/>
      <c r="BM33" s="15"/>
      <c r="BN33" s="15"/>
      <c r="BO33" s="15">
        <f t="shared" ref="BO33:BO43" si="22">SUM(BJ33:BN33)</f>
        <v>0</v>
      </c>
      <c r="BP33" s="15"/>
      <c r="BQ33" s="15"/>
      <c r="BR33" s="15"/>
      <c r="BS33" s="15"/>
      <c r="BT33" s="15"/>
      <c r="BU33" s="15"/>
      <c r="BV33" s="15"/>
      <c r="BW33" s="15">
        <f t="shared" ref="BW33:BW43" si="23">SUM(BQ33:BV33)</f>
        <v>0</v>
      </c>
      <c r="BX33" s="15"/>
      <c r="BY33" s="15"/>
      <c r="BZ33" s="15"/>
      <c r="CA33" s="15"/>
      <c r="CB33" s="15"/>
      <c r="CC33" s="15"/>
      <c r="CD33" s="15">
        <f t="shared" ref="CD33:CD43" si="24">SUM(BY33:CC33)</f>
        <v>0</v>
      </c>
      <c r="CE33" s="15"/>
      <c r="CF33" s="15"/>
      <c r="CG33" s="15"/>
      <c r="CH33" s="15"/>
      <c r="CI33" s="15"/>
      <c r="CJ33" s="15"/>
      <c r="CK33" s="15">
        <f t="shared" ref="CK33:CK43" si="25">SUM(CF33:CJ33)</f>
        <v>0</v>
      </c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</row>
    <row r="34" spans="1:104" x14ac:dyDescent="0.25">
      <c r="A34" s="8" t="s">
        <v>50</v>
      </c>
      <c r="B34" s="15"/>
      <c r="C34" s="15"/>
      <c r="D34" s="15">
        <v>0</v>
      </c>
      <c r="E34" s="15">
        <v>0</v>
      </c>
      <c r="F34" s="15">
        <v>0</v>
      </c>
      <c r="G34" s="15">
        <v>717500000</v>
      </c>
      <c r="H34" s="15">
        <v>0</v>
      </c>
      <c r="I34" s="15">
        <v>128320.04</v>
      </c>
      <c r="J34" s="15">
        <f t="shared" si="14"/>
        <v>717628320.03999996</v>
      </c>
      <c r="K34" s="15"/>
      <c r="L34" s="15">
        <v>0</v>
      </c>
      <c r="M34" s="15">
        <v>0</v>
      </c>
      <c r="N34" s="15">
        <v>0</v>
      </c>
      <c r="O34" s="15">
        <v>0</v>
      </c>
      <c r="P34" s="15"/>
      <c r="Q34" s="15">
        <f t="shared" si="15"/>
        <v>0</v>
      </c>
      <c r="R34" s="15"/>
      <c r="S34" s="15"/>
      <c r="T34" s="15"/>
      <c r="U34" s="15"/>
      <c r="V34" s="15"/>
      <c r="W34" s="15"/>
      <c r="X34" s="15">
        <f t="shared" si="16"/>
        <v>0</v>
      </c>
      <c r="Y34" s="15"/>
      <c r="Z34" s="15"/>
      <c r="AA34" s="15"/>
      <c r="AB34" s="15"/>
      <c r="AC34" s="15"/>
      <c r="AD34" s="15"/>
      <c r="AE34" s="15">
        <f t="shared" si="17"/>
        <v>0</v>
      </c>
      <c r="AF34" s="15"/>
      <c r="AG34" s="15"/>
      <c r="AH34" s="15"/>
      <c r="AI34" s="15"/>
      <c r="AJ34" s="15"/>
      <c r="AK34" s="15"/>
      <c r="AL34" s="15"/>
      <c r="AM34" s="15">
        <f t="shared" si="18"/>
        <v>0</v>
      </c>
      <c r="AN34" s="15"/>
      <c r="AO34" s="15"/>
      <c r="AP34" s="15"/>
      <c r="AQ34" s="15"/>
      <c r="AR34" s="15"/>
      <c r="AS34" s="15"/>
      <c r="AT34" s="15">
        <f t="shared" si="19"/>
        <v>0</v>
      </c>
      <c r="AU34" s="15"/>
      <c r="AV34" s="15"/>
      <c r="AW34" s="15"/>
      <c r="AX34" s="15"/>
      <c r="AY34" s="15"/>
      <c r="AZ34" s="15"/>
      <c r="BA34" s="15">
        <f t="shared" si="20"/>
        <v>0</v>
      </c>
      <c r="BB34" s="15"/>
      <c r="BC34" s="15"/>
      <c r="BD34" s="15"/>
      <c r="BE34" s="15"/>
      <c r="BF34" s="15"/>
      <c r="BG34" s="15"/>
      <c r="BH34" s="15">
        <f t="shared" si="21"/>
        <v>0</v>
      </c>
      <c r="BI34" s="15"/>
      <c r="BJ34" s="15"/>
      <c r="BK34" s="15"/>
      <c r="BL34" s="15"/>
      <c r="BM34" s="15"/>
      <c r="BN34" s="15"/>
      <c r="BO34" s="15">
        <f t="shared" si="22"/>
        <v>0</v>
      </c>
      <c r="BP34" s="15"/>
      <c r="BQ34" s="15"/>
      <c r="BR34" s="15"/>
      <c r="BS34" s="15"/>
      <c r="BT34" s="15"/>
      <c r="BU34" s="15"/>
      <c r="BV34" s="15"/>
      <c r="BW34" s="15">
        <f t="shared" si="23"/>
        <v>0</v>
      </c>
      <c r="BX34" s="15"/>
      <c r="BY34" s="15"/>
      <c r="BZ34" s="15"/>
      <c r="CA34" s="15"/>
      <c r="CB34" s="15"/>
      <c r="CC34" s="15"/>
      <c r="CD34" s="15">
        <f t="shared" si="24"/>
        <v>0</v>
      </c>
      <c r="CE34" s="15"/>
      <c r="CF34" s="15"/>
      <c r="CG34" s="15"/>
      <c r="CH34" s="15"/>
      <c r="CI34" s="15"/>
      <c r="CJ34" s="15"/>
      <c r="CK34" s="15">
        <f t="shared" si="25"/>
        <v>0</v>
      </c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</row>
    <row r="35" spans="1:104" x14ac:dyDescent="0.25">
      <c r="A35" s="8" t="s">
        <v>52</v>
      </c>
      <c r="B35" s="15"/>
      <c r="C35" s="15"/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f t="shared" si="14"/>
        <v>0</v>
      </c>
      <c r="K35" s="15"/>
      <c r="L35" s="15">
        <v>0</v>
      </c>
      <c r="M35" s="15">
        <v>0</v>
      </c>
      <c r="N35" s="15">
        <v>0</v>
      </c>
      <c r="O35" s="15">
        <v>0</v>
      </c>
      <c r="P35" s="15"/>
      <c r="Q35" s="15">
        <f t="shared" si="15"/>
        <v>0</v>
      </c>
      <c r="R35" s="15"/>
      <c r="S35" s="15"/>
      <c r="T35" s="15"/>
      <c r="U35" s="15"/>
      <c r="V35" s="15"/>
      <c r="W35" s="15"/>
      <c r="X35" s="15">
        <f t="shared" si="16"/>
        <v>0</v>
      </c>
      <c r="Y35" s="15"/>
      <c r="Z35" s="15"/>
      <c r="AA35" s="15"/>
      <c r="AB35" s="15"/>
      <c r="AC35" s="15"/>
      <c r="AD35" s="15"/>
      <c r="AE35" s="15">
        <f t="shared" si="17"/>
        <v>0</v>
      </c>
      <c r="AF35" s="15"/>
      <c r="AG35" s="15"/>
      <c r="AH35" s="15"/>
      <c r="AI35" s="15"/>
      <c r="AJ35" s="15"/>
      <c r="AK35" s="15"/>
      <c r="AL35" s="15"/>
      <c r="AM35" s="15">
        <f t="shared" si="18"/>
        <v>0</v>
      </c>
      <c r="AN35" s="15"/>
      <c r="AO35" s="15"/>
      <c r="AP35" s="15"/>
      <c r="AQ35" s="15"/>
      <c r="AR35" s="15"/>
      <c r="AS35" s="15"/>
      <c r="AT35" s="15">
        <f t="shared" si="19"/>
        <v>0</v>
      </c>
      <c r="AU35" s="15"/>
      <c r="AV35" s="15"/>
      <c r="AW35" s="15"/>
      <c r="AX35" s="15"/>
      <c r="AY35" s="15"/>
      <c r="AZ35" s="15"/>
      <c r="BA35" s="15">
        <f t="shared" si="20"/>
        <v>0</v>
      </c>
      <c r="BB35" s="15"/>
      <c r="BC35" s="15"/>
      <c r="BD35" s="15"/>
      <c r="BE35" s="15"/>
      <c r="BF35" s="15"/>
      <c r="BG35" s="15"/>
      <c r="BH35" s="15">
        <f t="shared" si="21"/>
        <v>0</v>
      </c>
      <c r="BI35" s="15"/>
      <c r="BJ35" s="15"/>
      <c r="BK35" s="15"/>
      <c r="BL35" s="15"/>
      <c r="BM35" s="15"/>
      <c r="BN35" s="15"/>
      <c r="BO35" s="15">
        <f t="shared" si="22"/>
        <v>0</v>
      </c>
      <c r="BP35" s="15"/>
      <c r="BQ35" s="15"/>
      <c r="BR35" s="15"/>
      <c r="BS35" s="15"/>
      <c r="BT35" s="15"/>
      <c r="BU35" s="15"/>
      <c r="BV35" s="15"/>
      <c r="BW35" s="15">
        <f t="shared" si="23"/>
        <v>0</v>
      </c>
      <c r="BX35" s="15"/>
      <c r="BY35" s="15"/>
      <c r="BZ35" s="15"/>
      <c r="CA35" s="15"/>
      <c r="CB35" s="15"/>
      <c r="CC35" s="15"/>
      <c r="CD35" s="15">
        <f t="shared" si="24"/>
        <v>0</v>
      </c>
      <c r="CE35" s="15"/>
      <c r="CF35" s="15"/>
      <c r="CG35" s="15"/>
      <c r="CH35" s="15"/>
      <c r="CI35" s="15"/>
      <c r="CJ35" s="15"/>
      <c r="CK35" s="15">
        <f t="shared" si="25"/>
        <v>0</v>
      </c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</row>
    <row r="36" spans="1:104" x14ac:dyDescent="0.25">
      <c r="A36" s="8" t="s">
        <v>63</v>
      </c>
      <c r="B36" s="15"/>
      <c r="C36" s="15"/>
      <c r="D36" s="15">
        <v>0</v>
      </c>
      <c r="E36" s="15">
        <v>1795325000</v>
      </c>
      <c r="F36" s="15">
        <v>5705650000</v>
      </c>
      <c r="G36" s="15">
        <v>1434000000</v>
      </c>
      <c r="H36" s="15">
        <v>15807400000</v>
      </c>
      <c r="I36" s="15">
        <v>0</v>
      </c>
      <c r="J36" s="15">
        <f t="shared" si="14"/>
        <v>24742375000</v>
      </c>
      <c r="K36" s="15"/>
      <c r="L36" s="15">
        <v>3447500000</v>
      </c>
      <c r="M36" s="15">
        <v>2869600000</v>
      </c>
      <c r="N36" s="15">
        <v>4299150000</v>
      </c>
      <c r="O36" s="15">
        <v>0</v>
      </c>
      <c r="P36" s="15"/>
      <c r="Q36" s="15">
        <f t="shared" si="15"/>
        <v>10616250000</v>
      </c>
      <c r="R36" s="15"/>
      <c r="S36" s="15"/>
      <c r="T36" s="15"/>
      <c r="U36" s="15"/>
      <c r="V36" s="15"/>
      <c r="W36" s="15"/>
      <c r="X36" s="15">
        <f t="shared" si="16"/>
        <v>0</v>
      </c>
      <c r="Y36" s="15"/>
      <c r="Z36" s="15"/>
      <c r="AA36" s="15"/>
      <c r="AB36" s="15"/>
      <c r="AC36" s="15"/>
      <c r="AD36" s="15"/>
      <c r="AE36" s="15">
        <f t="shared" si="17"/>
        <v>0</v>
      </c>
      <c r="AF36" s="15"/>
      <c r="AG36" s="15"/>
      <c r="AH36" s="15"/>
      <c r="AI36" s="15"/>
      <c r="AJ36" s="15"/>
      <c r="AK36" s="15"/>
      <c r="AL36" s="15"/>
      <c r="AM36" s="15">
        <f t="shared" si="18"/>
        <v>0</v>
      </c>
      <c r="AN36" s="15"/>
      <c r="AO36" s="15"/>
      <c r="AP36" s="15"/>
      <c r="AQ36" s="15"/>
      <c r="AR36" s="15"/>
      <c r="AS36" s="15"/>
      <c r="AT36" s="15">
        <f t="shared" si="19"/>
        <v>0</v>
      </c>
      <c r="AU36" s="15"/>
      <c r="AV36" s="15"/>
      <c r="AW36" s="15"/>
      <c r="AX36" s="15"/>
      <c r="AY36" s="15"/>
      <c r="AZ36" s="15"/>
      <c r="BA36" s="15">
        <f t="shared" si="20"/>
        <v>0</v>
      </c>
      <c r="BB36" s="15"/>
      <c r="BC36" s="15"/>
      <c r="BD36" s="15"/>
      <c r="BE36" s="15"/>
      <c r="BF36" s="15"/>
      <c r="BG36" s="15"/>
      <c r="BH36" s="15">
        <f t="shared" si="21"/>
        <v>0</v>
      </c>
      <c r="BI36" s="15"/>
      <c r="BJ36" s="15"/>
      <c r="BK36" s="15"/>
      <c r="BL36" s="15"/>
      <c r="BM36" s="15"/>
      <c r="BN36" s="15"/>
      <c r="BO36" s="15">
        <f t="shared" si="22"/>
        <v>0</v>
      </c>
      <c r="BP36" s="15"/>
      <c r="BQ36" s="15"/>
      <c r="BR36" s="15"/>
      <c r="BS36" s="15"/>
      <c r="BT36" s="15"/>
      <c r="BU36" s="15"/>
      <c r="BV36" s="15"/>
      <c r="BW36" s="15">
        <f t="shared" si="23"/>
        <v>0</v>
      </c>
      <c r="BX36" s="15"/>
      <c r="BY36" s="15"/>
      <c r="BZ36" s="15"/>
      <c r="CA36" s="15"/>
      <c r="CB36" s="15"/>
      <c r="CC36" s="15"/>
      <c r="CD36" s="15">
        <f t="shared" si="24"/>
        <v>0</v>
      </c>
      <c r="CE36" s="15"/>
      <c r="CF36" s="15"/>
      <c r="CG36" s="15"/>
      <c r="CH36" s="15"/>
      <c r="CI36" s="15"/>
      <c r="CJ36" s="15"/>
      <c r="CK36" s="15">
        <f t="shared" si="25"/>
        <v>0</v>
      </c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</row>
    <row r="37" spans="1:104" x14ac:dyDescent="0.25">
      <c r="A37" s="8" t="s">
        <v>55</v>
      </c>
      <c r="B37" s="15"/>
      <c r="C37" s="15"/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f t="shared" si="14"/>
        <v>0</v>
      </c>
      <c r="K37" s="15"/>
      <c r="L37" s="15">
        <v>0</v>
      </c>
      <c r="M37" s="15">
        <v>0</v>
      </c>
      <c r="N37" s="15">
        <v>0</v>
      </c>
      <c r="O37" s="15">
        <v>0</v>
      </c>
      <c r="P37" s="15"/>
      <c r="Q37" s="15">
        <f t="shared" si="15"/>
        <v>0</v>
      </c>
      <c r="R37" s="15"/>
      <c r="S37" s="15"/>
      <c r="T37" s="15"/>
      <c r="U37" s="15"/>
      <c r="V37" s="15"/>
      <c r="W37" s="15"/>
      <c r="X37" s="15">
        <f t="shared" si="16"/>
        <v>0</v>
      </c>
      <c r="Y37" s="15"/>
      <c r="Z37" s="15"/>
      <c r="AA37" s="15"/>
      <c r="AB37" s="15"/>
      <c r="AC37" s="15"/>
      <c r="AD37" s="15"/>
      <c r="AE37" s="15">
        <f t="shared" si="17"/>
        <v>0</v>
      </c>
      <c r="AF37" s="15"/>
      <c r="AG37" s="15"/>
      <c r="AH37" s="15"/>
      <c r="AI37" s="15"/>
      <c r="AJ37" s="15"/>
      <c r="AK37" s="15"/>
      <c r="AL37" s="15"/>
      <c r="AM37" s="15">
        <f t="shared" si="18"/>
        <v>0</v>
      </c>
      <c r="AN37" s="15"/>
      <c r="AO37" s="15"/>
      <c r="AP37" s="15"/>
      <c r="AQ37" s="15"/>
      <c r="AR37" s="15"/>
      <c r="AS37" s="15"/>
      <c r="AT37" s="15">
        <f t="shared" si="19"/>
        <v>0</v>
      </c>
      <c r="AU37" s="15"/>
      <c r="AV37" s="15"/>
      <c r="AW37" s="15"/>
      <c r="AX37" s="15"/>
      <c r="AY37" s="15"/>
      <c r="AZ37" s="15"/>
      <c r="BA37" s="15">
        <f t="shared" si="20"/>
        <v>0</v>
      </c>
      <c r="BB37" s="15"/>
      <c r="BC37" s="15"/>
      <c r="BD37" s="15"/>
      <c r="BE37" s="15"/>
      <c r="BF37" s="15"/>
      <c r="BG37" s="15"/>
      <c r="BH37" s="15">
        <f t="shared" si="21"/>
        <v>0</v>
      </c>
      <c r="BI37" s="15"/>
      <c r="BJ37" s="15"/>
      <c r="BK37" s="15"/>
      <c r="BL37" s="15"/>
      <c r="BM37" s="15"/>
      <c r="BN37" s="15"/>
      <c r="BO37" s="15">
        <f t="shared" si="22"/>
        <v>0</v>
      </c>
      <c r="BP37" s="15"/>
      <c r="BQ37" s="15"/>
      <c r="BR37" s="15"/>
      <c r="BS37" s="15"/>
      <c r="BT37" s="15"/>
      <c r="BU37" s="15"/>
      <c r="BV37" s="15"/>
      <c r="BW37" s="15">
        <f t="shared" si="23"/>
        <v>0</v>
      </c>
      <c r="BX37" s="15"/>
      <c r="BY37" s="15"/>
      <c r="BZ37" s="15"/>
      <c r="CA37" s="15"/>
      <c r="CB37" s="15"/>
      <c r="CC37" s="15"/>
      <c r="CD37" s="15">
        <f t="shared" si="24"/>
        <v>0</v>
      </c>
      <c r="CE37" s="15"/>
      <c r="CF37" s="15"/>
      <c r="CG37" s="15"/>
      <c r="CH37" s="15"/>
      <c r="CI37" s="15"/>
      <c r="CJ37" s="15"/>
      <c r="CK37" s="15">
        <f t="shared" si="25"/>
        <v>0</v>
      </c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</row>
    <row r="38" spans="1:104" x14ac:dyDescent="0.25">
      <c r="A38" s="8" t="s">
        <v>64</v>
      </c>
      <c r="B38" s="15"/>
      <c r="C38" s="15"/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f t="shared" si="14"/>
        <v>0</v>
      </c>
      <c r="K38" s="15"/>
      <c r="L38" s="15">
        <v>0</v>
      </c>
      <c r="M38" s="15">
        <v>0</v>
      </c>
      <c r="N38" s="15">
        <v>0</v>
      </c>
      <c r="O38" s="15">
        <v>0</v>
      </c>
      <c r="P38" s="15"/>
      <c r="Q38" s="15">
        <f t="shared" si="15"/>
        <v>0</v>
      </c>
      <c r="R38" s="15"/>
      <c r="S38" s="15"/>
      <c r="T38" s="15"/>
      <c r="U38" s="15"/>
      <c r="V38" s="15"/>
      <c r="W38" s="15"/>
      <c r="X38" s="15">
        <f t="shared" si="16"/>
        <v>0</v>
      </c>
      <c r="Y38" s="15"/>
      <c r="Z38" s="15"/>
      <c r="AA38" s="15"/>
      <c r="AB38" s="15"/>
      <c r="AC38" s="15"/>
      <c r="AD38" s="15"/>
      <c r="AE38" s="15">
        <f t="shared" si="17"/>
        <v>0</v>
      </c>
      <c r="AF38" s="15"/>
      <c r="AG38" s="15"/>
      <c r="AH38" s="15"/>
      <c r="AI38" s="15"/>
      <c r="AJ38" s="15"/>
      <c r="AK38" s="15"/>
      <c r="AL38" s="15"/>
      <c r="AM38" s="15">
        <f t="shared" si="18"/>
        <v>0</v>
      </c>
      <c r="AN38" s="15"/>
      <c r="AO38" s="15"/>
      <c r="AP38" s="15"/>
      <c r="AQ38" s="15"/>
      <c r="AR38" s="15"/>
      <c r="AS38" s="15"/>
      <c r="AT38" s="15">
        <f t="shared" si="19"/>
        <v>0</v>
      </c>
      <c r="AU38" s="15"/>
      <c r="AV38" s="15"/>
      <c r="AW38" s="15"/>
      <c r="AX38" s="15"/>
      <c r="AY38" s="15"/>
      <c r="AZ38" s="15"/>
      <c r="BA38" s="15">
        <f t="shared" si="20"/>
        <v>0</v>
      </c>
      <c r="BB38" s="15"/>
      <c r="BC38" s="15"/>
      <c r="BD38" s="15"/>
      <c r="BE38" s="15"/>
      <c r="BF38" s="15"/>
      <c r="BG38" s="15"/>
      <c r="BH38" s="15">
        <f t="shared" si="21"/>
        <v>0</v>
      </c>
      <c r="BI38" s="15"/>
      <c r="BJ38" s="15"/>
      <c r="BK38" s="15"/>
      <c r="BL38" s="15"/>
      <c r="BM38" s="15"/>
      <c r="BN38" s="15"/>
      <c r="BO38" s="15">
        <f t="shared" si="22"/>
        <v>0</v>
      </c>
      <c r="BP38" s="15"/>
      <c r="BQ38" s="15"/>
      <c r="BR38" s="15"/>
      <c r="BS38" s="15"/>
      <c r="BT38" s="15"/>
      <c r="BU38" s="15"/>
      <c r="BV38" s="15"/>
      <c r="BW38" s="15">
        <f t="shared" si="23"/>
        <v>0</v>
      </c>
      <c r="BX38" s="15"/>
      <c r="BY38" s="15"/>
      <c r="BZ38" s="15"/>
      <c r="CA38" s="15"/>
      <c r="CB38" s="15"/>
      <c r="CC38" s="15"/>
      <c r="CD38" s="15">
        <f t="shared" si="24"/>
        <v>0</v>
      </c>
      <c r="CE38" s="15"/>
      <c r="CF38" s="15"/>
      <c r="CG38" s="15"/>
      <c r="CH38" s="15"/>
      <c r="CI38" s="15"/>
      <c r="CJ38" s="15"/>
      <c r="CK38" s="15">
        <f t="shared" si="25"/>
        <v>0</v>
      </c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</row>
    <row r="39" spans="1:104" x14ac:dyDescent="0.25">
      <c r="A39" s="8" t="s">
        <v>65</v>
      </c>
      <c r="B39" s="15"/>
      <c r="C39" s="15"/>
      <c r="D39" s="15">
        <v>0</v>
      </c>
      <c r="E39" s="15">
        <v>0</v>
      </c>
      <c r="F39" s="15">
        <v>0</v>
      </c>
      <c r="G39" s="15">
        <v>0</v>
      </c>
      <c r="H39" s="15">
        <v>793004181</v>
      </c>
      <c r="I39" s="15">
        <v>0</v>
      </c>
      <c r="J39" s="15">
        <f t="shared" si="14"/>
        <v>793004181</v>
      </c>
      <c r="K39" s="15"/>
      <c r="L39" s="15">
        <v>0</v>
      </c>
      <c r="M39" s="15">
        <v>0</v>
      </c>
      <c r="N39" s="15">
        <v>0</v>
      </c>
      <c r="O39" s="15">
        <v>0</v>
      </c>
      <c r="P39" s="15"/>
      <c r="Q39" s="15">
        <f t="shared" si="15"/>
        <v>0</v>
      </c>
      <c r="R39" s="15"/>
      <c r="S39" s="15"/>
      <c r="T39" s="15"/>
      <c r="U39" s="15"/>
      <c r="V39" s="15"/>
      <c r="W39" s="15"/>
      <c r="X39" s="15">
        <f t="shared" si="16"/>
        <v>0</v>
      </c>
      <c r="Y39" s="15"/>
      <c r="Z39" s="15"/>
      <c r="AA39" s="15"/>
      <c r="AB39" s="15"/>
      <c r="AC39" s="15"/>
      <c r="AD39" s="15"/>
      <c r="AE39" s="15">
        <f t="shared" si="17"/>
        <v>0</v>
      </c>
      <c r="AF39" s="15"/>
      <c r="AG39" s="15"/>
      <c r="AH39" s="15"/>
      <c r="AI39" s="15"/>
      <c r="AJ39" s="15"/>
      <c r="AK39" s="15"/>
      <c r="AL39" s="15"/>
      <c r="AM39" s="15">
        <f t="shared" si="18"/>
        <v>0</v>
      </c>
      <c r="AN39" s="15"/>
      <c r="AO39" s="15"/>
      <c r="AP39" s="15"/>
      <c r="AQ39" s="15"/>
      <c r="AR39" s="15"/>
      <c r="AS39" s="15"/>
      <c r="AT39" s="15">
        <f t="shared" si="19"/>
        <v>0</v>
      </c>
      <c r="AU39" s="15"/>
      <c r="AV39" s="15"/>
      <c r="AW39" s="15"/>
      <c r="AX39" s="15"/>
      <c r="AY39" s="15"/>
      <c r="AZ39" s="15"/>
      <c r="BA39" s="15">
        <f t="shared" si="20"/>
        <v>0</v>
      </c>
      <c r="BB39" s="15"/>
      <c r="BC39" s="15"/>
      <c r="BD39" s="15"/>
      <c r="BE39" s="15"/>
      <c r="BF39" s="15"/>
      <c r="BG39" s="15"/>
      <c r="BH39" s="15">
        <f t="shared" si="21"/>
        <v>0</v>
      </c>
      <c r="BI39" s="15"/>
      <c r="BJ39" s="15"/>
      <c r="BK39" s="15"/>
      <c r="BL39" s="15"/>
      <c r="BM39" s="15"/>
      <c r="BN39" s="15"/>
      <c r="BO39" s="15">
        <f t="shared" si="22"/>
        <v>0</v>
      </c>
      <c r="BP39" s="15"/>
      <c r="BQ39" s="15"/>
      <c r="BR39" s="15"/>
      <c r="BS39" s="15"/>
      <c r="BT39" s="15"/>
      <c r="BU39" s="15"/>
      <c r="BV39" s="15"/>
      <c r="BW39" s="15">
        <f t="shared" si="23"/>
        <v>0</v>
      </c>
      <c r="BX39" s="15"/>
      <c r="BY39" s="15"/>
      <c r="BZ39" s="15"/>
      <c r="CA39" s="15"/>
      <c r="CB39" s="15"/>
      <c r="CC39" s="15"/>
      <c r="CD39" s="15">
        <f t="shared" si="24"/>
        <v>0</v>
      </c>
      <c r="CE39" s="15"/>
      <c r="CF39" s="15"/>
      <c r="CG39" s="15"/>
      <c r="CH39" s="15"/>
      <c r="CI39" s="15"/>
      <c r="CJ39" s="15"/>
      <c r="CK39" s="15">
        <f t="shared" si="25"/>
        <v>0</v>
      </c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</row>
    <row r="40" spans="1:104" x14ac:dyDescent="0.25">
      <c r="A40" s="8" t="s">
        <v>66</v>
      </c>
      <c r="B40" s="15"/>
      <c r="C40" s="15"/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f t="shared" si="14"/>
        <v>0</v>
      </c>
      <c r="K40" s="15"/>
      <c r="L40" s="15">
        <v>0</v>
      </c>
      <c r="M40" s="15">
        <v>0</v>
      </c>
      <c r="N40" s="15">
        <v>0</v>
      </c>
      <c r="O40" s="15">
        <v>0</v>
      </c>
      <c r="P40" s="15"/>
      <c r="Q40" s="15">
        <f t="shared" si="15"/>
        <v>0</v>
      </c>
      <c r="R40" s="15"/>
      <c r="S40" s="15"/>
      <c r="T40" s="15"/>
      <c r="U40" s="15"/>
      <c r="V40" s="15"/>
      <c r="W40" s="15"/>
      <c r="X40" s="15">
        <f t="shared" si="16"/>
        <v>0</v>
      </c>
      <c r="Y40" s="15"/>
      <c r="Z40" s="15"/>
      <c r="AA40" s="15"/>
      <c r="AB40" s="15"/>
      <c r="AC40" s="15"/>
      <c r="AD40" s="15"/>
      <c r="AE40" s="15">
        <f t="shared" si="17"/>
        <v>0</v>
      </c>
      <c r="AF40" s="15"/>
      <c r="AG40" s="15"/>
      <c r="AH40" s="15"/>
      <c r="AI40" s="15"/>
      <c r="AJ40" s="15"/>
      <c r="AK40" s="15"/>
      <c r="AL40" s="15"/>
      <c r="AM40" s="15">
        <f t="shared" si="18"/>
        <v>0</v>
      </c>
      <c r="AN40" s="15"/>
      <c r="AO40" s="15"/>
      <c r="AP40" s="15"/>
      <c r="AQ40" s="15"/>
      <c r="AR40" s="15"/>
      <c r="AS40" s="15"/>
      <c r="AT40" s="15">
        <f t="shared" si="19"/>
        <v>0</v>
      </c>
      <c r="AU40" s="15"/>
      <c r="AV40" s="15"/>
      <c r="AW40" s="15"/>
      <c r="AX40" s="15"/>
      <c r="AY40" s="15"/>
      <c r="AZ40" s="15"/>
      <c r="BA40" s="15">
        <f t="shared" si="20"/>
        <v>0</v>
      </c>
      <c r="BB40" s="15"/>
      <c r="BC40" s="15"/>
      <c r="BD40" s="15"/>
      <c r="BE40" s="15"/>
      <c r="BF40" s="15"/>
      <c r="BG40" s="15"/>
      <c r="BH40" s="15">
        <f t="shared" si="21"/>
        <v>0</v>
      </c>
      <c r="BI40" s="15"/>
      <c r="BJ40" s="15"/>
      <c r="BK40" s="15"/>
      <c r="BL40" s="15"/>
      <c r="BM40" s="15"/>
      <c r="BN40" s="15"/>
      <c r="BO40" s="15">
        <f t="shared" si="22"/>
        <v>0</v>
      </c>
      <c r="BP40" s="15"/>
      <c r="BQ40" s="15"/>
      <c r="BR40" s="15"/>
      <c r="BS40" s="15"/>
      <c r="BT40" s="15"/>
      <c r="BU40" s="15"/>
      <c r="BV40" s="15"/>
      <c r="BW40" s="15">
        <f t="shared" si="23"/>
        <v>0</v>
      </c>
      <c r="BX40" s="15"/>
      <c r="BY40" s="15"/>
      <c r="BZ40" s="15"/>
      <c r="CA40" s="15"/>
      <c r="CB40" s="15"/>
      <c r="CC40" s="15"/>
      <c r="CD40" s="15">
        <f t="shared" si="24"/>
        <v>0</v>
      </c>
      <c r="CE40" s="15"/>
      <c r="CF40" s="15"/>
      <c r="CG40" s="15"/>
      <c r="CH40" s="15"/>
      <c r="CI40" s="15"/>
      <c r="CJ40" s="15"/>
      <c r="CK40" s="15">
        <f t="shared" si="25"/>
        <v>0</v>
      </c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</row>
    <row r="41" spans="1:104" x14ac:dyDescent="0.25">
      <c r="A41" s="8" t="s">
        <v>67</v>
      </c>
      <c r="B41" s="15"/>
      <c r="C41" s="15"/>
      <c r="D41" s="15">
        <v>0</v>
      </c>
      <c r="E41" s="15">
        <v>0</v>
      </c>
      <c r="F41" s="15">
        <v>0</v>
      </c>
      <c r="G41" s="15">
        <v>0</v>
      </c>
      <c r="H41" s="15">
        <v>17567900</v>
      </c>
      <c r="I41" s="15">
        <v>0</v>
      </c>
      <c r="J41" s="15">
        <f t="shared" si="14"/>
        <v>17567900</v>
      </c>
      <c r="K41" s="15"/>
      <c r="L41" s="15">
        <v>0</v>
      </c>
      <c r="M41" s="15">
        <v>0</v>
      </c>
      <c r="N41" s="15">
        <v>0</v>
      </c>
      <c r="O41" s="15">
        <v>0</v>
      </c>
      <c r="P41" s="15"/>
      <c r="Q41" s="15">
        <f t="shared" si="15"/>
        <v>0</v>
      </c>
      <c r="R41" s="15"/>
      <c r="S41" s="15"/>
      <c r="T41" s="15"/>
      <c r="U41" s="15"/>
      <c r="V41" s="15"/>
      <c r="W41" s="15"/>
      <c r="X41" s="15">
        <f t="shared" si="16"/>
        <v>0</v>
      </c>
      <c r="Y41" s="15"/>
      <c r="Z41" s="15"/>
      <c r="AA41" s="15"/>
      <c r="AB41" s="15"/>
      <c r="AC41" s="15"/>
      <c r="AD41" s="15"/>
      <c r="AE41" s="15">
        <f t="shared" si="17"/>
        <v>0</v>
      </c>
      <c r="AF41" s="15"/>
      <c r="AG41" s="15"/>
      <c r="AH41" s="15"/>
      <c r="AI41" s="15"/>
      <c r="AJ41" s="15"/>
      <c r="AK41" s="15"/>
      <c r="AL41" s="15"/>
      <c r="AM41" s="15">
        <f t="shared" si="18"/>
        <v>0</v>
      </c>
      <c r="AN41" s="15"/>
      <c r="AO41" s="15"/>
      <c r="AP41" s="15"/>
      <c r="AQ41" s="15"/>
      <c r="AR41" s="15"/>
      <c r="AS41" s="15"/>
      <c r="AT41" s="15">
        <f t="shared" si="19"/>
        <v>0</v>
      </c>
      <c r="AU41" s="15"/>
      <c r="AV41" s="15"/>
      <c r="AW41" s="15"/>
      <c r="AX41" s="15"/>
      <c r="AY41" s="15"/>
      <c r="AZ41" s="15"/>
      <c r="BA41" s="15">
        <f t="shared" si="20"/>
        <v>0</v>
      </c>
      <c r="BB41" s="15"/>
      <c r="BC41" s="15"/>
      <c r="BD41" s="15"/>
      <c r="BE41" s="15"/>
      <c r="BF41" s="15"/>
      <c r="BG41" s="15"/>
      <c r="BH41" s="15">
        <f t="shared" si="21"/>
        <v>0</v>
      </c>
      <c r="BI41" s="15"/>
      <c r="BJ41" s="15"/>
      <c r="BK41" s="15"/>
      <c r="BL41" s="15"/>
      <c r="BM41" s="15"/>
      <c r="BN41" s="15"/>
      <c r="BO41" s="15">
        <f t="shared" si="22"/>
        <v>0</v>
      </c>
      <c r="BP41" s="15"/>
      <c r="BQ41" s="15"/>
      <c r="BR41" s="15"/>
      <c r="BS41" s="15"/>
      <c r="BT41" s="15"/>
      <c r="BU41" s="15"/>
      <c r="BV41" s="15"/>
      <c r="BW41" s="15">
        <f t="shared" si="23"/>
        <v>0</v>
      </c>
      <c r="BX41" s="15"/>
      <c r="BY41" s="15"/>
      <c r="BZ41" s="15"/>
      <c r="CA41" s="15"/>
      <c r="CB41" s="15"/>
      <c r="CC41" s="15"/>
      <c r="CD41" s="15">
        <f t="shared" si="24"/>
        <v>0</v>
      </c>
      <c r="CE41" s="15"/>
      <c r="CF41" s="15"/>
      <c r="CG41" s="15"/>
      <c r="CH41" s="15"/>
      <c r="CI41" s="15"/>
      <c r="CJ41" s="15"/>
      <c r="CK41" s="15">
        <f t="shared" si="25"/>
        <v>0</v>
      </c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</row>
    <row r="42" spans="1:104" x14ac:dyDescent="0.25">
      <c r="A42" s="8" t="s">
        <v>68</v>
      </c>
      <c r="B42" s="15"/>
      <c r="C42" s="15"/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f t="shared" si="14"/>
        <v>0</v>
      </c>
      <c r="K42" s="15"/>
      <c r="L42" s="15">
        <v>0</v>
      </c>
      <c r="M42" s="15">
        <v>0</v>
      </c>
      <c r="N42" s="15">
        <v>0</v>
      </c>
      <c r="O42" s="15">
        <v>0</v>
      </c>
      <c r="P42" s="15"/>
      <c r="Q42" s="15">
        <f t="shared" si="15"/>
        <v>0</v>
      </c>
      <c r="R42" s="15"/>
      <c r="S42" s="15"/>
      <c r="T42" s="15"/>
      <c r="U42" s="15"/>
      <c r="V42" s="15"/>
      <c r="W42" s="15"/>
      <c r="X42" s="15">
        <f t="shared" si="16"/>
        <v>0</v>
      </c>
      <c r="Y42" s="15"/>
      <c r="Z42" s="15"/>
      <c r="AA42" s="15"/>
      <c r="AB42" s="15"/>
      <c r="AC42" s="15"/>
      <c r="AD42" s="15"/>
      <c r="AE42" s="15">
        <f t="shared" si="17"/>
        <v>0</v>
      </c>
      <c r="AF42" s="15"/>
      <c r="AG42" s="15"/>
      <c r="AH42" s="15"/>
      <c r="AI42" s="15"/>
      <c r="AJ42" s="15"/>
      <c r="AK42" s="15"/>
      <c r="AL42" s="15"/>
      <c r="AM42" s="15">
        <f t="shared" si="18"/>
        <v>0</v>
      </c>
      <c r="AN42" s="15"/>
      <c r="AO42" s="15"/>
      <c r="AP42" s="15"/>
      <c r="AQ42" s="15"/>
      <c r="AR42" s="15"/>
      <c r="AS42" s="15"/>
      <c r="AT42" s="15">
        <f t="shared" si="19"/>
        <v>0</v>
      </c>
      <c r="AU42" s="15"/>
      <c r="AV42" s="15"/>
      <c r="AW42" s="15"/>
      <c r="AX42" s="15"/>
      <c r="AY42" s="15"/>
      <c r="AZ42" s="15"/>
      <c r="BA42" s="15">
        <f t="shared" si="20"/>
        <v>0</v>
      </c>
      <c r="BB42" s="15"/>
      <c r="BC42" s="15"/>
      <c r="BD42" s="15"/>
      <c r="BE42" s="15"/>
      <c r="BF42" s="15"/>
      <c r="BG42" s="15"/>
      <c r="BH42" s="15">
        <f t="shared" si="21"/>
        <v>0</v>
      </c>
      <c r="BI42" s="15"/>
      <c r="BJ42" s="15"/>
      <c r="BK42" s="15"/>
      <c r="BL42" s="15"/>
      <c r="BM42" s="15"/>
      <c r="BN42" s="15"/>
      <c r="BO42" s="15">
        <f t="shared" si="22"/>
        <v>0</v>
      </c>
      <c r="BP42" s="15"/>
      <c r="BQ42" s="15"/>
      <c r="BR42" s="15"/>
      <c r="BS42" s="15"/>
      <c r="BT42" s="15"/>
      <c r="BU42" s="15"/>
      <c r="BV42" s="15"/>
      <c r="BW42" s="15">
        <f t="shared" si="23"/>
        <v>0</v>
      </c>
      <c r="BX42" s="15"/>
      <c r="BY42" s="15"/>
      <c r="BZ42" s="15"/>
      <c r="CA42" s="15"/>
      <c r="CB42" s="15"/>
      <c r="CC42" s="15"/>
      <c r="CD42" s="15">
        <f t="shared" si="24"/>
        <v>0</v>
      </c>
      <c r="CE42" s="15"/>
      <c r="CF42" s="15"/>
      <c r="CG42" s="15"/>
      <c r="CH42" s="15"/>
      <c r="CI42" s="15"/>
      <c r="CJ42" s="15"/>
      <c r="CK42" s="15">
        <f t="shared" si="25"/>
        <v>0</v>
      </c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</row>
    <row r="43" spans="1:104" x14ac:dyDescent="0.25">
      <c r="A43" s="8" t="s">
        <v>69</v>
      </c>
      <c r="B43" s="15"/>
      <c r="C43" s="15"/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f t="shared" si="14"/>
        <v>0</v>
      </c>
      <c r="K43" s="15"/>
      <c r="L43" s="15">
        <v>0</v>
      </c>
      <c r="M43" s="15">
        <v>0</v>
      </c>
      <c r="N43" s="15">
        <v>0</v>
      </c>
      <c r="O43" s="15">
        <v>0</v>
      </c>
      <c r="P43" s="15"/>
      <c r="Q43" s="15">
        <f t="shared" si="15"/>
        <v>0</v>
      </c>
      <c r="R43" s="15"/>
      <c r="S43" s="15"/>
      <c r="T43" s="15"/>
      <c r="U43" s="15"/>
      <c r="V43" s="15"/>
      <c r="W43" s="15"/>
      <c r="X43" s="15">
        <f t="shared" si="16"/>
        <v>0</v>
      </c>
      <c r="Y43" s="15"/>
      <c r="Z43" s="15"/>
      <c r="AA43" s="15"/>
      <c r="AB43" s="15"/>
      <c r="AC43" s="15"/>
      <c r="AD43" s="15"/>
      <c r="AE43" s="15">
        <f t="shared" si="17"/>
        <v>0</v>
      </c>
      <c r="AF43" s="15"/>
      <c r="AG43" s="15"/>
      <c r="AH43" s="15"/>
      <c r="AI43" s="15"/>
      <c r="AJ43" s="15"/>
      <c r="AK43" s="15"/>
      <c r="AL43" s="15"/>
      <c r="AM43" s="15">
        <f t="shared" si="18"/>
        <v>0</v>
      </c>
      <c r="AN43" s="15"/>
      <c r="AO43" s="15"/>
      <c r="AP43" s="15"/>
      <c r="AQ43" s="15"/>
      <c r="AR43" s="15"/>
      <c r="AS43" s="15"/>
      <c r="AT43" s="15">
        <f t="shared" si="19"/>
        <v>0</v>
      </c>
      <c r="AU43" s="15"/>
      <c r="AV43" s="15"/>
      <c r="AW43" s="15"/>
      <c r="AX43" s="15"/>
      <c r="AY43" s="15"/>
      <c r="AZ43" s="15"/>
      <c r="BA43" s="15">
        <f t="shared" si="20"/>
        <v>0</v>
      </c>
      <c r="BB43" s="15"/>
      <c r="BC43" s="15"/>
      <c r="BD43" s="15"/>
      <c r="BE43" s="15"/>
      <c r="BF43" s="15"/>
      <c r="BG43" s="15"/>
      <c r="BH43" s="15">
        <f t="shared" si="21"/>
        <v>0</v>
      </c>
      <c r="BI43" s="15"/>
      <c r="BJ43" s="15"/>
      <c r="BK43" s="15"/>
      <c r="BL43" s="15"/>
      <c r="BM43" s="15"/>
      <c r="BN43" s="15"/>
      <c r="BO43" s="15">
        <f t="shared" si="22"/>
        <v>0</v>
      </c>
      <c r="BP43" s="15"/>
      <c r="BQ43" s="15"/>
      <c r="BR43" s="15"/>
      <c r="BS43" s="15"/>
      <c r="BT43" s="15"/>
      <c r="BU43" s="15"/>
      <c r="BV43" s="15"/>
      <c r="BW43" s="15">
        <f t="shared" si="23"/>
        <v>0</v>
      </c>
      <c r="BX43" s="15"/>
      <c r="BY43" s="15"/>
      <c r="BZ43" s="15"/>
      <c r="CA43" s="15"/>
      <c r="CB43" s="15"/>
      <c r="CC43" s="15"/>
      <c r="CD43" s="15">
        <f t="shared" si="24"/>
        <v>0</v>
      </c>
      <c r="CE43" s="15"/>
      <c r="CF43" s="15"/>
      <c r="CG43" s="15"/>
      <c r="CH43" s="15"/>
      <c r="CI43" s="15"/>
      <c r="CJ43" s="15"/>
      <c r="CK43" s="15">
        <f t="shared" si="25"/>
        <v>0</v>
      </c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</row>
    <row r="44" spans="1:104" x14ac:dyDescent="0.25">
      <c r="A44" s="6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</row>
    <row r="45" spans="1:104" x14ac:dyDescent="0.25">
      <c r="A45" s="10" t="s">
        <v>32</v>
      </c>
      <c r="B45" s="16">
        <f>SUM(B32:B44)</f>
        <v>0</v>
      </c>
      <c r="C45" s="16">
        <f t="shared" ref="C45:BN45" si="26">SUM(C32:C44)</f>
        <v>0</v>
      </c>
      <c r="D45" s="16">
        <f t="shared" si="26"/>
        <v>0</v>
      </c>
      <c r="E45" s="16">
        <f t="shared" si="26"/>
        <v>1855325000</v>
      </c>
      <c r="F45" s="16">
        <f t="shared" si="26"/>
        <v>6577608300</v>
      </c>
      <c r="G45" s="16">
        <f t="shared" si="26"/>
        <v>2173749975</v>
      </c>
      <c r="H45" s="16">
        <f t="shared" si="26"/>
        <v>18564222571</v>
      </c>
      <c r="I45" s="16">
        <f t="shared" si="26"/>
        <v>17071354.18</v>
      </c>
      <c r="J45" s="16">
        <f t="shared" si="26"/>
        <v>29187977200.18</v>
      </c>
      <c r="K45" s="16">
        <f t="shared" si="26"/>
        <v>0</v>
      </c>
      <c r="L45" s="16">
        <f t="shared" si="26"/>
        <v>3447500000</v>
      </c>
      <c r="M45" s="16">
        <f t="shared" si="26"/>
        <v>3164281680</v>
      </c>
      <c r="N45" s="16">
        <f t="shared" si="26"/>
        <v>4464871027</v>
      </c>
      <c r="O45" s="16">
        <f t="shared" si="26"/>
        <v>7500000</v>
      </c>
      <c r="P45" s="16">
        <f t="shared" si="26"/>
        <v>0</v>
      </c>
      <c r="Q45" s="16">
        <f t="shared" si="26"/>
        <v>11084152707</v>
      </c>
      <c r="R45" s="16">
        <f t="shared" si="26"/>
        <v>0</v>
      </c>
      <c r="S45" s="16">
        <f t="shared" si="26"/>
        <v>0</v>
      </c>
      <c r="T45" s="16">
        <f t="shared" si="26"/>
        <v>0</v>
      </c>
      <c r="U45" s="16">
        <f t="shared" si="26"/>
        <v>0</v>
      </c>
      <c r="V45" s="16">
        <f t="shared" si="26"/>
        <v>0</v>
      </c>
      <c r="W45" s="16">
        <f t="shared" si="26"/>
        <v>0</v>
      </c>
      <c r="X45" s="16">
        <f t="shared" si="26"/>
        <v>0</v>
      </c>
      <c r="Y45" s="16">
        <f t="shared" si="26"/>
        <v>0</v>
      </c>
      <c r="Z45" s="16">
        <f t="shared" si="26"/>
        <v>0</v>
      </c>
      <c r="AA45" s="16">
        <f t="shared" si="26"/>
        <v>0</v>
      </c>
      <c r="AB45" s="16">
        <f t="shared" si="26"/>
        <v>0</v>
      </c>
      <c r="AC45" s="16">
        <f t="shared" si="26"/>
        <v>0</v>
      </c>
      <c r="AD45" s="16">
        <f t="shared" si="26"/>
        <v>0</v>
      </c>
      <c r="AE45" s="16">
        <f t="shared" si="26"/>
        <v>0</v>
      </c>
      <c r="AF45" s="16">
        <f t="shared" si="26"/>
        <v>0</v>
      </c>
      <c r="AG45" s="16">
        <f t="shared" si="26"/>
        <v>0</v>
      </c>
      <c r="AH45" s="16">
        <f t="shared" si="26"/>
        <v>0</v>
      </c>
      <c r="AI45" s="16">
        <f t="shared" si="26"/>
        <v>0</v>
      </c>
      <c r="AJ45" s="16">
        <f t="shared" si="26"/>
        <v>0</v>
      </c>
      <c r="AK45" s="16">
        <f t="shared" si="26"/>
        <v>0</v>
      </c>
      <c r="AL45" s="16">
        <f t="shared" si="26"/>
        <v>0</v>
      </c>
      <c r="AM45" s="16">
        <f t="shared" si="26"/>
        <v>0</v>
      </c>
      <c r="AN45" s="16">
        <f t="shared" si="26"/>
        <v>0</v>
      </c>
      <c r="AO45" s="16">
        <f t="shared" si="26"/>
        <v>0</v>
      </c>
      <c r="AP45" s="16">
        <f t="shared" si="26"/>
        <v>0</v>
      </c>
      <c r="AQ45" s="16">
        <f t="shared" si="26"/>
        <v>0</v>
      </c>
      <c r="AR45" s="16">
        <f t="shared" si="26"/>
        <v>0</v>
      </c>
      <c r="AS45" s="16">
        <f t="shared" si="26"/>
        <v>0</v>
      </c>
      <c r="AT45" s="16">
        <f t="shared" si="26"/>
        <v>0</v>
      </c>
      <c r="AU45" s="16">
        <f t="shared" si="26"/>
        <v>0</v>
      </c>
      <c r="AV45" s="16">
        <f t="shared" si="26"/>
        <v>0</v>
      </c>
      <c r="AW45" s="16">
        <f t="shared" si="26"/>
        <v>0</v>
      </c>
      <c r="AX45" s="16">
        <f t="shared" si="26"/>
        <v>0</v>
      </c>
      <c r="AY45" s="16">
        <f t="shared" si="26"/>
        <v>0</v>
      </c>
      <c r="AZ45" s="16">
        <f t="shared" si="26"/>
        <v>0</v>
      </c>
      <c r="BA45" s="16">
        <f t="shared" si="26"/>
        <v>0</v>
      </c>
      <c r="BB45" s="16">
        <f t="shared" si="26"/>
        <v>0</v>
      </c>
      <c r="BC45" s="16">
        <f t="shared" si="26"/>
        <v>0</v>
      </c>
      <c r="BD45" s="16">
        <f t="shared" si="26"/>
        <v>0</v>
      </c>
      <c r="BE45" s="16">
        <f t="shared" si="26"/>
        <v>0</v>
      </c>
      <c r="BF45" s="16">
        <f t="shared" si="26"/>
        <v>0</v>
      </c>
      <c r="BG45" s="16">
        <f t="shared" si="26"/>
        <v>0</v>
      </c>
      <c r="BH45" s="16">
        <f t="shared" si="26"/>
        <v>0</v>
      </c>
      <c r="BI45" s="16">
        <f t="shared" si="26"/>
        <v>0</v>
      </c>
      <c r="BJ45" s="16">
        <f t="shared" si="26"/>
        <v>0</v>
      </c>
      <c r="BK45" s="16">
        <f t="shared" si="26"/>
        <v>0</v>
      </c>
      <c r="BL45" s="16">
        <f t="shared" si="26"/>
        <v>0</v>
      </c>
      <c r="BM45" s="16">
        <f t="shared" si="26"/>
        <v>0</v>
      </c>
      <c r="BN45" s="16">
        <f t="shared" si="26"/>
        <v>0</v>
      </c>
      <c r="BO45" s="16">
        <f t="shared" ref="BO45:CK45" si="27">SUM(BO32:BO44)</f>
        <v>0</v>
      </c>
      <c r="BP45" s="16">
        <f t="shared" si="27"/>
        <v>0</v>
      </c>
      <c r="BQ45" s="16">
        <f t="shared" si="27"/>
        <v>0</v>
      </c>
      <c r="BR45" s="16">
        <f t="shared" si="27"/>
        <v>0</v>
      </c>
      <c r="BS45" s="16">
        <f t="shared" si="27"/>
        <v>0</v>
      </c>
      <c r="BT45" s="16">
        <f t="shared" si="27"/>
        <v>0</v>
      </c>
      <c r="BU45" s="16">
        <f t="shared" si="27"/>
        <v>0</v>
      </c>
      <c r="BV45" s="16">
        <f t="shared" si="27"/>
        <v>0</v>
      </c>
      <c r="BW45" s="16">
        <f t="shared" si="27"/>
        <v>0</v>
      </c>
      <c r="BX45" s="16">
        <f t="shared" si="27"/>
        <v>0</v>
      </c>
      <c r="BY45" s="16">
        <f t="shared" si="27"/>
        <v>0</v>
      </c>
      <c r="BZ45" s="16">
        <f t="shared" si="27"/>
        <v>0</v>
      </c>
      <c r="CA45" s="16">
        <f t="shared" si="27"/>
        <v>0</v>
      </c>
      <c r="CB45" s="16">
        <f t="shared" si="27"/>
        <v>0</v>
      </c>
      <c r="CC45" s="16">
        <f t="shared" si="27"/>
        <v>0</v>
      </c>
      <c r="CD45" s="16">
        <f t="shared" si="27"/>
        <v>0</v>
      </c>
      <c r="CE45" s="16">
        <f t="shared" si="27"/>
        <v>0</v>
      </c>
      <c r="CF45" s="16">
        <f t="shared" si="27"/>
        <v>0</v>
      </c>
      <c r="CG45" s="16">
        <f t="shared" si="27"/>
        <v>0</v>
      </c>
      <c r="CH45" s="16">
        <f t="shared" si="27"/>
        <v>0</v>
      </c>
      <c r="CI45" s="16">
        <f t="shared" si="27"/>
        <v>0</v>
      </c>
      <c r="CJ45" s="16">
        <f t="shared" si="27"/>
        <v>0</v>
      </c>
      <c r="CK45" s="16">
        <f t="shared" si="27"/>
        <v>0</v>
      </c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</row>
    <row r="46" spans="1:104" x14ac:dyDescent="0.25">
      <c r="A46" s="6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</row>
    <row r="47" spans="1:104" x14ac:dyDescent="0.25">
      <c r="A47" s="6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</row>
    <row r="48" spans="1:104" x14ac:dyDescent="0.25">
      <c r="A48" s="6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</row>
    <row r="49" spans="1:104" x14ac:dyDescent="0.25">
      <c r="A49" s="8" t="s">
        <v>27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</row>
    <row r="50" spans="1:104" x14ac:dyDescent="0.25">
      <c r="A50" s="8" t="s">
        <v>60</v>
      </c>
      <c r="B50" s="15"/>
      <c r="C50" s="15"/>
      <c r="D50" s="15">
        <v>0</v>
      </c>
      <c r="E50" s="15">
        <v>660040</v>
      </c>
      <c r="F50" s="15">
        <v>1252040</v>
      </c>
      <c r="G50" s="15">
        <v>0</v>
      </c>
      <c r="H50" s="15">
        <v>236040</v>
      </c>
      <c r="I50" s="15">
        <v>0.52</v>
      </c>
      <c r="J50" s="15">
        <f t="shared" ref="J50:J60" si="28">SUM(D50:I50)</f>
        <v>2148120.52</v>
      </c>
      <c r="K50" s="15"/>
      <c r="L50" s="15">
        <v>269838.34999999998</v>
      </c>
      <c r="M50" s="15">
        <v>1384921.6</v>
      </c>
      <c r="N50" s="15">
        <v>579197.45000000007</v>
      </c>
      <c r="O50" s="15">
        <v>1355.9</v>
      </c>
      <c r="P50" s="15"/>
      <c r="Q50" s="15">
        <f t="shared" ref="Q50:Q60" si="29">SUM(L50:P50)</f>
        <v>2235313.3000000003</v>
      </c>
      <c r="R50" s="15"/>
      <c r="S50" s="15"/>
      <c r="T50" s="15"/>
      <c r="U50" s="15"/>
      <c r="V50" s="15"/>
      <c r="W50" s="15"/>
      <c r="X50" s="15">
        <f t="shared" ref="X50:X60" si="30">SUM(S50:W50)</f>
        <v>0</v>
      </c>
      <c r="Y50" s="15"/>
      <c r="Z50" s="15"/>
      <c r="AA50" s="15"/>
      <c r="AB50" s="15"/>
      <c r="AC50" s="15"/>
      <c r="AD50" s="15"/>
      <c r="AE50" s="15">
        <f t="shared" ref="AE50:AE60" si="31">SUM(Z50:AD50)</f>
        <v>0</v>
      </c>
      <c r="AF50" s="15"/>
      <c r="AG50" s="15"/>
      <c r="AH50" s="15"/>
      <c r="AI50" s="15"/>
      <c r="AJ50" s="15"/>
      <c r="AK50" s="15"/>
      <c r="AL50" s="15"/>
      <c r="AM50" s="15">
        <f t="shared" ref="AM50:AM60" si="32">SUM(AG50:AL50)</f>
        <v>0</v>
      </c>
      <c r="AN50" s="15"/>
      <c r="AO50" s="15"/>
      <c r="AP50" s="15"/>
      <c r="AQ50" s="15"/>
      <c r="AR50" s="15"/>
      <c r="AS50" s="15"/>
      <c r="AT50" s="15">
        <f t="shared" ref="AT50:AT60" si="33">SUM(AO50:AS50)</f>
        <v>0</v>
      </c>
      <c r="AU50" s="15"/>
      <c r="AV50" s="15"/>
      <c r="AW50" s="15"/>
      <c r="AX50" s="15"/>
      <c r="AY50" s="15"/>
      <c r="AZ50" s="15"/>
      <c r="BA50" s="15">
        <f t="shared" ref="BA50:BA60" si="34">SUM(AV50:AZ50)</f>
        <v>0</v>
      </c>
      <c r="BB50" s="15"/>
      <c r="BC50" s="15"/>
      <c r="BD50" s="15"/>
      <c r="BE50" s="15"/>
      <c r="BF50" s="15"/>
      <c r="BG50" s="15"/>
      <c r="BH50" s="15">
        <f t="shared" ref="BH50:BH60" si="35">SUM(BC50:BG50)</f>
        <v>0</v>
      </c>
      <c r="BI50" s="15"/>
      <c r="BJ50" s="15"/>
      <c r="BK50" s="15"/>
      <c r="BL50" s="15"/>
      <c r="BM50" s="15"/>
      <c r="BN50" s="15"/>
      <c r="BO50" s="15">
        <f t="shared" ref="BO50:BO60" si="36">SUM(BJ50:BN50)</f>
        <v>0</v>
      </c>
      <c r="BP50" s="15"/>
      <c r="BQ50" s="15"/>
      <c r="BR50" s="15"/>
      <c r="BS50" s="15"/>
      <c r="BT50" s="15"/>
      <c r="BU50" s="15"/>
      <c r="BV50" s="15"/>
      <c r="BW50" s="15">
        <f t="shared" ref="BW50:BW60" si="37">SUM(BQ50:BV50)</f>
        <v>0</v>
      </c>
      <c r="BX50" s="15"/>
      <c r="BY50" s="15"/>
      <c r="BZ50" s="15"/>
      <c r="CA50" s="15"/>
      <c r="CB50" s="15"/>
      <c r="CC50" s="15"/>
      <c r="CD50" s="15">
        <f t="shared" ref="CD50:CD60" si="38">SUM(BY50:CC50)</f>
        <v>0</v>
      </c>
      <c r="CE50" s="15"/>
      <c r="CF50" s="15"/>
      <c r="CG50" s="15"/>
      <c r="CH50" s="15"/>
      <c r="CI50" s="15"/>
      <c r="CJ50" s="15"/>
      <c r="CK50" s="15">
        <f t="shared" ref="CK50:CK60" si="39">SUM(CF50:CJ50)</f>
        <v>0</v>
      </c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</row>
    <row r="51" spans="1:104" x14ac:dyDescent="0.25">
      <c r="A51" s="8" t="s">
        <v>50</v>
      </c>
      <c r="B51" s="15"/>
      <c r="C51" s="15"/>
      <c r="D51" s="15">
        <v>1.44</v>
      </c>
      <c r="E51" s="15">
        <v>571.59</v>
      </c>
      <c r="F51" s="15">
        <v>860.16</v>
      </c>
      <c r="G51" s="15">
        <v>16833.729999999996</v>
      </c>
      <c r="H51" s="15">
        <v>1063.3699999999999</v>
      </c>
      <c r="I51" s="15">
        <v>342.65</v>
      </c>
      <c r="J51" s="15">
        <f t="shared" si="28"/>
        <v>19672.939999999995</v>
      </c>
      <c r="K51" s="15"/>
      <c r="L51" s="15">
        <v>0</v>
      </c>
      <c r="M51" s="15">
        <v>0</v>
      </c>
      <c r="N51" s="15">
        <v>0</v>
      </c>
      <c r="O51" s="15">
        <v>0</v>
      </c>
      <c r="P51" s="15"/>
      <c r="Q51" s="15">
        <f t="shared" si="29"/>
        <v>0</v>
      </c>
      <c r="R51" s="15"/>
      <c r="S51" s="15"/>
      <c r="T51" s="15"/>
      <c r="U51" s="15"/>
      <c r="V51" s="15"/>
      <c r="W51" s="15"/>
      <c r="X51" s="15">
        <f t="shared" si="30"/>
        <v>0</v>
      </c>
      <c r="Y51" s="15"/>
      <c r="Z51" s="15"/>
      <c r="AA51" s="15"/>
      <c r="AB51" s="15"/>
      <c r="AC51" s="15"/>
      <c r="AD51" s="15"/>
      <c r="AE51" s="15">
        <f t="shared" si="31"/>
        <v>0</v>
      </c>
      <c r="AF51" s="15"/>
      <c r="AG51" s="15"/>
      <c r="AH51" s="15"/>
      <c r="AI51" s="15"/>
      <c r="AJ51" s="15"/>
      <c r="AK51" s="15"/>
      <c r="AL51" s="15"/>
      <c r="AM51" s="15">
        <f t="shared" si="32"/>
        <v>0</v>
      </c>
      <c r="AN51" s="15"/>
      <c r="AO51" s="15"/>
      <c r="AP51" s="15"/>
      <c r="AQ51" s="15"/>
      <c r="AR51" s="15"/>
      <c r="AS51" s="15"/>
      <c r="AT51" s="15">
        <f t="shared" si="33"/>
        <v>0</v>
      </c>
      <c r="AU51" s="15"/>
      <c r="AV51" s="15"/>
      <c r="AW51" s="15"/>
      <c r="AX51" s="15"/>
      <c r="AY51" s="15"/>
      <c r="AZ51" s="15"/>
      <c r="BA51" s="15">
        <f t="shared" si="34"/>
        <v>0</v>
      </c>
      <c r="BB51" s="15"/>
      <c r="BC51" s="15"/>
      <c r="BD51" s="15"/>
      <c r="BE51" s="15"/>
      <c r="BF51" s="15"/>
      <c r="BG51" s="15"/>
      <c r="BH51" s="15">
        <f t="shared" si="35"/>
        <v>0</v>
      </c>
      <c r="BI51" s="15"/>
      <c r="BJ51" s="15"/>
      <c r="BK51" s="15"/>
      <c r="BL51" s="15"/>
      <c r="BM51" s="15"/>
      <c r="BN51" s="15"/>
      <c r="BO51" s="15">
        <f t="shared" si="36"/>
        <v>0</v>
      </c>
      <c r="BP51" s="15"/>
      <c r="BQ51" s="15"/>
      <c r="BR51" s="15"/>
      <c r="BS51" s="15"/>
      <c r="BT51" s="15"/>
      <c r="BU51" s="15"/>
      <c r="BV51" s="15"/>
      <c r="BW51" s="15">
        <f t="shared" si="37"/>
        <v>0</v>
      </c>
      <c r="BX51" s="15"/>
      <c r="BY51" s="15"/>
      <c r="BZ51" s="15"/>
      <c r="CA51" s="15"/>
      <c r="CB51" s="15"/>
      <c r="CC51" s="15"/>
      <c r="CD51" s="15">
        <f t="shared" si="38"/>
        <v>0</v>
      </c>
      <c r="CE51" s="15"/>
      <c r="CF51" s="15"/>
      <c r="CG51" s="15"/>
      <c r="CH51" s="15"/>
      <c r="CI51" s="15"/>
      <c r="CJ51" s="15"/>
      <c r="CK51" s="15">
        <f t="shared" si="39"/>
        <v>0</v>
      </c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</row>
    <row r="52" spans="1:104" x14ac:dyDescent="0.25">
      <c r="A52" s="8" t="s">
        <v>51</v>
      </c>
      <c r="B52" s="15"/>
      <c r="C52" s="15"/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f t="shared" si="28"/>
        <v>0</v>
      </c>
      <c r="K52" s="15"/>
      <c r="L52" s="15">
        <v>0</v>
      </c>
      <c r="M52" s="15">
        <v>0</v>
      </c>
      <c r="N52" s="15">
        <v>0</v>
      </c>
      <c r="O52" s="15">
        <v>0</v>
      </c>
      <c r="P52" s="15"/>
      <c r="Q52" s="15">
        <f t="shared" si="29"/>
        <v>0</v>
      </c>
      <c r="R52" s="15"/>
      <c r="S52" s="15"/>
      <c r="T52" s="15"/>
      <c r="U52" s="15"/>
      <c r="V52" s="15"/>
      <c r="W52" s="15"/>
      <c r="X52" s="15">
        <f t="shared" si="30"/>
        <v>0</v>
      </c>
      <c r="Y52" s="15"/>
      <c r="Z52" s="15"/>
      <c r="AA52" s="15"/>
      <c r="AB52" s="15"/>
      <c r="AC52" s="15"/>
      <c r="AD52" s="15"/>
      <c r="AE52" s="15">
        <f t="shared" si="31"/>
        <v>0</v>
      </c>
      <c r="AF52" s="15"/>
      <c r="AG52" s="15"/>
      <c r="AH52" s="15"/>
      <c r="AI52" s="15"/>
      <c r="AJ52" s="15"/>
      <c r="AK52" s="15"/>
      <c r="AL52" s="15"/>
      <c r="AM52" s="15">
        <f t="shared" si="32"/>
        <v>0</v>
      </c>
      <c r="AN52" s="15"/>
      <c r="AO52" s="15"/>
      <c r="AP52" s="15"/>
      <c r="AQ52" s="15"/>
      <c r="AR52" s="15"/>
      <c r="AS52" s="15"/>
      <c r="AT52" s="15">
        <f t="shared" si="33"/>
        <v>0</v>
      </c>
      <c r="AU52" s="15"/>
      <c r="AV52" s="15"/>
      <c r="AW52" s="15"/>
      <c r="AX52" s="15"/>
      <c r="AY52" s="15"/>
      <c r="AZ52" s="15"/>
      <c r="BA52" s="15">
        <f t="shared" si="34"/>
        <v>0</v>
      </c>
      <c r="BB52" s="15"/>
      <c r="BC52" s="15"/>
      <c r="BD52" s="15"/>
      <c r="BE52" s="15"/>
      <c r="BF52" s="15"/>
      <c r="BG52" s="15"/>
      <c r="BH52" s="15">
        <f t="shared" si="35"/>
        <v>0</v>
      </c>
      <c r="BI52" s="15"/>
      <c r="BJ52" s="15"/>
      <c r="BK52" s="15"/>
      <c r="BL52" s="15"/>
      <c r="BM52" s="15"/>
      <c r="BN52" s="15"/>
      <c r="BO52" s="15">
        <f t="shared" si="36"/>
        <v>0</v>
      </c>
      <c r="BP52" s="15"/>
      <c r="BQ52" s="15"/>
      <c r="BR52" s="15"/>
      <c r="BS52" s="15"/>
      <c r="BT52" s="15"/>
      <c r="BU52" s="15"/>
      <c r="BV52" s="15"/>
      <c r="BW52" s="15">
        <f t="shared" si="37"/>
        <v>0</v>
      </c>
      <c r="BX52" s="15"/>
      <c r="BY52" s="15"/>
      <c r="BZ52" s="15"/>
      <c r="CA52" s="15"/>
      <c r="CB52" s="15"/>
      <c r="CC52" s="15"/>
      <c r="CD52" s="15">
        <f t="shared" si="38"/>
        <v>0</v>
      </c>
      <c r="CE52" s="15"/>
      <c r="CF52" s="15"/>
      <c r="CG52" s="15"/>
      <c r="CH52" s="15"/>
      <c r="CI52" s="15"/>
      <c r="CJ52" s="15"/>
      <c r="CK52" s="15">
        <f t="shared" si="39"/>
        <v>0</v>
      </c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</row>
    <row r="53" spans="1:104" x14ac:dyDescent="0.25">
      <c r="A53" s="8" t="s">
        <v>52</v>
      </c>
      <c r="B53" s="15"/>
      <c r="C53" s="15"/>
      <c r="D53" s="15">
        <v>0</v>
      </c>
      <c r="E53" s="15">
        <v>397711.92</v>
      </c>
      <c r="F53" s="15">
        <v>177087.44999999998</v>
      </c>
      <c r="G53" s="15">
        <v>434329.08999999997</v>
      </c>
      <c r="H53" s="15">
        <v>62107.69</v>
      </c>
      <c r="I53" s="15">
        <v>0</v>
      </c>
      <c r="J53" s="15">
        <f t="shared" si="28"/>
        <v>1071236.1499999999</v>
      </c>
      <c r="K53" s="15"/>
      <c r="L53" s="15">
        <v>0</v>
      </c>
      <c r="M53" s="15">
        <v>0</v>
      </c>
      <c r="N53" s="15">
        <v>0</v>
      </c>
      <c r="O53" s="15">
        <v>0</v>
      </c>
      <c r="P53" s="15"/>
      <c r="Q53" s="15">
        <f t="shared" si="29"/>
        <v>0</v>
      </c>
      <c r="R53" s="15"/>
      <c r="S53" s="15"/>
      <c r="T53" s="15"/>
      <c r="U53" s="15"/>
      <c r="V53" s="15"/>
      <c r="W53" s="15"/>
      <c r="X53" s="15">
        <f t="shared" si="30"/>
        <v>0</v>
      </c>
      <c r="Y53" s="15"/>
      <c r="Z53" s="15"/>
      <c r="AA53" s="15"/>
      <c r="AB53" s="15"/>
      <c r="AC53" s="15"/>
      <c r="AD53" s="15"/>
      <c r="AE53" s="15">
        <f t="shared" si="31"/>
        <v>0</v>
      </c>
      <c r="AF53" s="15"/>
      <c r="AG53" s="15"/>
      <c r="AH53" s="15"/>
      <c r="AI53" s="15"/>
      <c r="AJ53" s="15"/>
      <c r="AK53" s="15"/>
      <c r="AL53" s="15"/>
      <c r="AM53" s="15">
        <f t="shared" si="32"/>
        <v>0</v>
      </c>
      <c r="AN53" s="15"/>
      <c r="AO53" s="15"/>
      <c r="AP53" s="15"/>
      <c r="AQ53" s="15"/>
      <c r="AR53" s="15"/>
      <c r="AS53" s="15"/>
      <c r="AT53" s="15">
        <f t="shared" si="33"/>
        <v>0</v>
      </c>
      <c r="AU53" s="15"/>
      <c r="AV53" s="15"/>
      <c r="AW53" s="15"/>
      <c r="AX53" s="15"/>
      <c r="AY53" s="15"/>
      <c r="AZ53" s="15"/>
      <c r="BA53" s="15">
        <f t="shared" si="34"/>
        <v>0</v>
      </c>
      <c r="BB53" s="15"/>
      <c r="BC53" s="15"/>
      <c r="BD53" s="15"/>
      <c r="BE53" s="15"/>
      <c r="BF53" s="15"/>
      <c r="BG53" s="15"/>
      <c r="BH53" s="15">
        <f t="shared" si="35"/>
        <v>0</v>
      </c>
      <c r="BI53" s="15"/>
      <c r="BJ53" s="15"/>
      <c r="BK53" s="15"/>
      <c r="BL53" s="15"/>
      <c r="BM53" s="15"/>
      <c r="BN53" s="15"/>
      <c r="BO53" s="15">
        <f t="shared" si="36"/>
        <v>0</v>
      </c>
      <c r="BP53" s="15"/>
      <c r="BQ53" s="15"/>
      <c r="BR53" s="15"/>
      <c r="BS53" s="15"/>
      <c r="BT53" s="15"/>
      <c r="BU53" s="15"/>
      <c r="BV53" s="15"/>
      <c r="BW53" s="15">
        <f t="shared" si="37"/>
        <v>0</v>
      </c>
      <c r="BX53" s="15"/>
      <c r="BY53" s="15"/>
      <c r="BZ53" s="15"/>
      <c r="CA53" s="15"/>
      <c r="CB53" s="15"/>
      <c r="CC53" s="15"/>
      <c r="CD53" s="15">
        <f t="shared" si="38"/>
        <v>0</v>
      </c>
      <c r="CE53" s="15"/>
      <c r="CF53" s="15"/>
      <c r="CG53" s="15"/>
      <c r="CH53" s="15"/>
      <c r="CI53" s="15"/>
      <c r="CJ53" s="15"/>
      <c r="CK53" s="15">
        <f t="shared" si="39"/>
        <v>0</v>
      </c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</row>
    <row r="54" spans="1:104" x14ac:dyDescent="0.25">
      <c r="A54" s="8" t="s">
        <v>53</v>
      </c>
      <c r="B54" s="15"/>
      <c r="C54" s="15"/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f t="shared" si="28"/>
        <v>0</v>
      </c>
      <c r="K54" s="15"/>
      <c r="L54" s="15">
        <v>0</v>
      </c>
      <c r="M54" s="15">
        <v>0</v>
      </c>
      <c r="N54" s="15">
        <v>0</v>
      </c>
      <c r="O54" s="15">
        <v>0</v>
      </c>
      <c r="P54" s="15"/>
      <c r="Q54" s="15">
        <f t="shared" si="29"/>
        <v>0</v>
      </c>
      <c r="R54" s="15"/>
      <c r="S54" s="15"/>
      <c r="T54" s="15"/>
      <c r="U54" s="15"/>
      <c r="V54" s="15"/>
      <c r="W54" s="15"/>
      <c r="X54" s="15">
        <f t="shared" si="30"/>
        <v>0</v>
      </c>
      <c r="Y54" s="15"/>
      <c r="Z54" s="15"/>
      <c r="AA54" s="15"/>
      <c r="AB54" s="15"/>
      <c r="AC54" s="15"/>
      <c r="AD54" s="15"/>
      <c r="AE54" s="15">
        <f t="shared" si="31"/>
        <v>0</v>
      </c>
      <c r="AF54" s="15"/>
      <c r="AG54" s="15"/>
      <c r="AH54" s="15"/>
      <c r="AI54" s="15"/>
      <c r="AJ54" s="15"/>
      <c r="AK54" s="15"/>
      <c r="AL54" s="15"/>
      <c r="AM54" s="15">
        <f t="shared" si="32"/>
        <v>0</v>
      </c>
      <c r="AN54" s="15"/>
      <c r="AO54" s="15"/>
      <c r="AP54" s="15"/>
      <c r="AQ54" s="15"/>
      <c r="AR54" s="15"/>
      <c r="AS54" s="15"/>
      <c r="AT54" s="15">
        <f t="shared" si="33"/>
        <v>0</v>
      </c>
      <c r="AU54" s="15"/>
      <c r="AV54" s="15"/>
      <c r="AW54" s="15"/>
      <c r="AX54" s="15"/>
      <c r="AY54" s="15"/>
      <c r="AZ54" s="15"/>
      <c r="BA54" s="15">
        <f t="shared" si="34"/>
        <v>0</v>
      </c>
      <c r="BB54" s="15"/>
      <c r="BC54" s="15"/>
      <c r="BD54" s="15"/>
      <c r="BE54" s="15"/>
      <c r="BF54" s="15"/>
      <c r="BG54" s="15"/>
      <c r="BH54" s="15">
        <f t="shared" si="35"/>
        <v>0</v>
      </c>
      <c r="BI54" s="15"/>
      <c r="BJ54" s="15"/>
      <c r="BK54" s="15"/>
      <c r="BL54" s="15"/>
      <c r="BM54" s="15"/>
      <c r="BN54" s="15"/>
      <c r="BO54" s="15">
        <f t="shared" si="36"/>
        <v>0</v>
      </c>
      <c r="BP54" s="15"/>
      <c r="BQ54" s="15"/>
      <c r="BR54" s="15"/>
      <c r="BS54" s="15"/>
      <c r="BT54" s="15"/>
      <c r="BU54" s="15"/>
      <c r="BV54" s="15"/>
      <c r="BW54" s="15">
        <f t="shared" si="37"/>
        <v>0</v>
      </c>
      <c r="BX54" s="15"/>
      <c r="BY54" s="15"/>
      <c r="BZ54" s="15"/>
      <c r="CA54" s="15"/>
      <c r="CB54" s="15"/>
      <c r="CC54" s="15"/>
      <c r="CD54" s="15">
        <f t="shared" si="38"/>
        <v>0</v>
      </c>
      <c r="CE54" s="15"/>
      <c r="CF54" s="15"/>
      <c r="CG54" s="15"/>
      <c r="CH54" s="15"/>
      <c r="CI54" s="15"/>
      <c r="CJ54" s="15"/>
      <c r="CK54" s="15">
        <f t="shared" si="39"/>
        <v>0</v>
      </c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</row>
    <row r="55" spans="1:104" x14ac:dyDescent="0.25">
      <c r="A55" s="8" t="s">
        <v>54</v>
      </c>
      <c r="B55" s="15"/>
      <c r="C55" s="15"/>
      <c r="D55" s="15">
        <v>0</v>
      </c>
      <c r="E55" s="15">
        <v>125000</v>
      </c>
      <c r="F55" s="15">
        <v>750000</v>
      </c>
      <c r="G55" s="15">
        <v>150000</v>
      </c>
      <c r="H55" s="15">
        <v>1100000</v>
      </c>
      <c r="I55" s="15">
        <v>0</v>
      </c>
      <c r="J55" s="15">
        <f t="shared" si="28"/>
        <v>2125000</v>
      </c>
      <c r="K55" s="15"/>
      <c r="L55" s="15">
        <v>0</v>
      </c>
      <c r="M55" s="15">
        <v>0</v>
      </c>
      <c r="N55" s="15">
        <v>0</v>
      </c>
      <c r="O55" s="15">
        <v>0</v>
      </c>
      <c r="P55" s="15"/>
      <c r="Q55" s="15">
        <f t="shared" si="29"/>
        <v>0</v>
      </c>
      <c r="R55" s="15"/>
      <c r="S55" s="15"/>
      <c r="T55" s="15"/>
      <c r="U55" s="15"/>
      <c r="V55" s="15"/>
      <c r="W55" s="15"/>
      <c r="X55" s="15">
        <f t="shared" si="30"/>
        <v>0</v>
      </c>
      <c r="Y55" s="15"/>
      <c r="Z55" s="15"/>
      <c r="AA55" s="15"/>
      <c r="AB55" s="15"/>
      <c r="AC55" s="15"/>
      <c r="AD55" s="15"/>
      <c r="AE55" s="15">
        <f t="shared" si="31"/>
        <v>0</v>
      </c>
      <c r="AF55" s="15"/>
      <c r="AG55" s="15"/>
      <c r="AH55" s="15"/>
      <c r="AI55" s="15"/>
      <c r="AJ55" s="15"/>
      <c r="AK55" s="15"/>
      <c r="AL55" s="15"/>
      <c r="AM55" s="15">
        <f t="shared" si="32"/>
        <v>0</v>
      </c>
      <c r="AN55" s="15"/>
      <c r="AO55" s="15"/>
      <c r="AP55" s="15"/>
      <c r="AQ55" s="15"/>
      <c r="AR55" s="15"/>
      <c r="AS55" s="15"/>
      <c r="AT55" s="15">
        <f t="shared" si="33"/>
        <v>0</v>
      </c>
      <c r="AU55" s="15"/>
      <c r="AV55" s="15"/>
      <c r="AW55" s="15"/>
      <c r="AX55" s="15"/>
      <c r="AY55" s="15"/>
      <c r="AZ55" s="15"/>
      <c r="BA55" s="15">
        <f t="shared" si="34"/>
        <v>0</v>
      </c>
      <c r="BB55" s="15"/>
      <c r="BC55" s="15"/>
      <c r="BD55" s="15"/>
      <c r="BE55" s="15"/>
      <c r="BF55" s="15"/>
      <c r="BG55" s="15"/>
      <c r="BH55" s="15">
        <f t="shared" si="35"/>
        <v>0</v>
      </c>
      <c r="BI55" s="15"/>
      <c r="BJ55" s="15"/>
      <c r="BK55" s="15"/>
      <c r="BL55" s="15"/>
      <c r="BM55" s="15"/>
      <c r="BN55" s="15"/>
      <c r="BO55" s="15">
        <f t="shared" si="36"/>
        <v>0</v>
      </c>
      <c r="BP55" s="15"/>
      <c r="BQ55" s="15"/>
      <c r="BR55" s="15"/>
      <c r="BS55" s="15"/>
      <c r="BT55" s="15"/>
      <c r="BU55" s="15"/>
      <c r="BV55" s="15"/>
      <c r="BW55" s="15">
        <f t="shared" si="37"/>
        <v>0</v>
      </c>
      <c r="BX55" s="15"/>
      <c r="BY55" s="15"/>
      <c r="BZ55" s="15"/>
      <c r="CA55" s="15"/>
      <c r="CB55" s="15"/>
      <c r="CC55" s="15"/>
      <c r="CD55" s="15">
        <f t="shared" si="38"/>
        <v>0</v>
      </c>
      <c r="CE55" s="15"/>
      <c r="CF55" s="15"/>
      <c r="CG55" s="15"/>
      <c r="CH55" s="15"/>
      <c r="CI55" s="15"/>
      <c r="CJ55" s="15"/>
      <c r="CK55" s="15">
        <f t="shared" si="39"/>
        <v>0</v>
      </c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</row>
    <row r="56" spans="1:104" x14ac:dyDescent="0.25">
      <c r="A56" s="8" t="s">
        <v>55</v>
      </c>
      <c r="B56" s="15"/>
      <c r="C56" s="15"/>
      <c r="D56" s="15">
        <v>0</v>
      </c>
      <c r="E56" s="15">
        <v>19115.25</v>
      </c>
      <c r="F56" s="15">
        <v>34514.070000000007</v>
      </c>
      <c r="G56" s="15">
        <v>27902.880000000001</v>
      </c>
      <c r="H56" s="15">
        <v>53001.22</v>
      </c>
      <c r="I56" s="15">
        <v>0</v>
      </c>
      <c r="J56" s="15">
        <f t="shared" si="28"/>
        <v>134533.42000000001</v>
      </c>
      <c r="K56" s="15"/>
      <c r="L56" s="15">
        <v>0</v>
      </c>
      <c r="M56" s="15">
        <v>0</v>
      </c>
      <c r="N56" s="15">
        <v>0</v>
      </c>
      <c r="O56" s="15">
        <v>0</v>
      </c>
      <c r="P56" s="15"/>
      <c r="Q56" s="15">
        <f t="shared" si="29"/>
        <v>0</v>
      </c>
      <c r="R56" s="15"/>
      <c r="S56" s="15"/>
      <c r="T56" s="15"/>
      <c r="U56" s="15"/>
      <c r="V56" s="15"/>
      <c r="W56" s="15"/>
      <c r="X56" s="15">
        <f t="shared" si="30"/>
        <v>0</v>
      </c>
      <c r="Y56" s="15"/>
      <c r="Z56" s="15"/>
      <c r="AA56" s="15"/>
      <c r="AB56" s="15"/>
      <c r="AC56" s="15"/>
      <c r="AD56" s="15"/>
      <c r="AE56" s="15">
        <f t="shared" si="31"/>
        <v>0</v>
      </c>
      <c r="AF56" s="15"/>
      <c r="AG56" s="15"/>
      <c r="AH56" s="15"/>
      <c r="AI56" s="15"/>
      <c r="AJ56" s="15"/>
      <c r="AK56" s="15"/>
      <c r="AL56" s="15"/>
      <c r="AM56" s="15">
        <f t="shared" si="32"/>
        <v>0</v>
      </c>
      <c r="AN56" s="15"/>
      <c r="AO56" s="15"/>
      <c r="AP56" s="15"/>
      <c r="AQ56" s="15"/>
      <c r="AR56" s="15"/>
      <c r="AS56" s="15"/>
      <c r="AT56" s="15">
        <f t="shared" si="33"/>
        <v>0</v>
      </c>
      <c r="AU56" s="15"/>
      <c r="AV56" s="15"/>
      <c r="AW56" s="15"/>
      <c r="AX56" s="15"/>
      <c r="AY56" s="15"/>
      <c r="AZ56" s="15"/>
      <c r="BA56" s="15">
        <f t="shared" si="34"/>
        <v>0</v>
      </c>
      <c r="BB56" s="15"/>
      <c r="BC56" s="15"/>
      <c r="BD56" s="15"/>
      <c r="BE56" s="15"/>
      <c r="BF56" s="15"/>
      <c r="BG56" s="15"/>
      <c r="BH56" s="15">
        <f t="shared" si="35"/>
        <v>0</v>
      </c>
      <c r="BI56" s="15"/>
      <c r="BJ56" s="15"/>
      <c r="BK56" s="15"/>
      <c r="BL56" s="15"/>
      <c r="BM56" s="15"/>
      <c r="BN56" s="15"/>
      <c r="BO56" s="15">
        <f t="shared" si="36"/>
        <v>0</v>
      </c>
      <c r="BP56" s="15"/>
      <c r="BQ56" s="15"/>
      <c r="BR56" s="15"/>
      <c r="BS56" s="15"/>
      <c r="BT56" s="15"/>
      <c r="BU56" s="15"/>
      <c r="BV56" s="15"/>
      <c r="BW56" s="15">
        <f t="shared" si="37"/>
        <v>0</v>
      </c>
      <c r="BX56" s="15"/>
      <c r="BY56" s="15"/>
      <c r="BZ56" s="15"/>
      <c r="CA56" s="15"/>
      <c r="CB56" s="15"/>
      <c r="CC56" s="15"/>
      <c r="CD56" s="15">
        <f t="shared" si="38"/>
        <v>0</v>
      </c>
      <c r="CE56" s="15"/>
      <c r="CF56" s="15"/>
      <c r="CG56" s="15"/>
      <c r="CH56" s="15"/>
      <c r="CI56" s="15"/>
      <c r="CJ56" s="15"/>
      <c r="CK56" s="15">
        <f t="shared" si="39"/>
        <v>0</v>
      </c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</row>
    <row r="57" spans="1:104" x14ac:dyDescent="0.25">
      <c r="A57" s="8" t="s">
        <v>56</v>
      </c>
      <c r="B57" s="15"/>
      <c r="C57" s="15"/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f t="shared" si="28"/>
        <v>0</v>
      </c>
      <c r="K57" s="15"/>
      <c r="L57" s="15">
        <v>0</v>
      </c>
      <c r="M57" s="15">
        <v>0</v>
      </c>
      <c r="N57" s="15">
        <v>0</v>
      </c>
      <c r="O57" s="15">
        <v>0</v>
      </c>
      <c r="P57" s="15"/>
      <c r="Q57" s="15">
        <f t="shared" si="29"/>
        <v>0</v>
      </c>
      <c r="R57" s="15"/>
      <c r="S57" s="15"/>
      <c r="T57" s="15"/>
      <c r="U57" s="15"/>
      <c r="V57" s="15"/>
      <c r="W57" s="15"/>
      <c r="X57" s="15">
        <f t="shared" si="30"/>
        <v>0</v>
      </c>
      <c r="Y57" s="15"/>
      <c r="Z57" s="15"/>
      <c r="AA57" s="15"/>
      <c r="AB57" s="15"/>
      <c r="AC57" s="15"/>
      <c r="AD57" s="15"/>
      <c r="AE57" s="15">
        <f t="shared" si="31"/>
        <v>0</v>
      </c>
      <c r="AF57" s="15"/>
      <c r="AG57" s="15"/>
      <c r="AH57" s="15"/>
      <c r="AI57" s="15"/>
      <c r="AJ57" s="15"/>
      <c r="AK57" s="15"/>
      <c r="AL57" s="15"/>
      <c r="AM57" s="15">
        <f t="shared" si="32"/>
        <v>0</v>
      </c>
      <c r="AN57" s="15"/>
      <c r="AO57" s="15"/>
      <c r="AP57" s="15"/>
      <c r="AQ57" s="15"/>
      <c r="AR57" s="15"/>
      <c r="AS57" s="15"/>
      <c r="AT57" s="15">
        <f t="shared" si="33"/>
        <v>0</v>
      </c>
      <c r="AU57" s="15"/>
      <c r="AV57" s="15"/>
      <c r="AW57" s="15"/>
      <c r="AX57" s="15"/>
      <c r="AY57" s="15"/>
      <c r="AZ57" s="15"/>
      <c r="BA57" s="15">
        <f t="shared" si="34"/>
        <v>0</v>
      </c>
      <c r="BB57" s="15"/>
      <c r="BC57" s="15"/>
      <c r="BD57" s="15"/>
      <c r="BE57" s="15"/>
      <c r="BF57" s="15"/>
      <c r="BG57" s="15"/>
      <c r="BH57" s="15">
        <f t="shared" si="35"/>
        <v>0</v>
      </c>
      <c r="BI57" s="15"/>
      <c r="BJ57" s="15"/>
      <c r="BK57" s="15"/>
      <c r="BL57" s="15"/>
      <c r="BM57" s="15"/>
      <c r="BN57" s="15"/>
      <c r="BO57" s="15">
        <f t="shared" si="36"/>
        <v>0</v>
      </c>
      <c r="BP57" s="15"/>
      <c r="BQ57" s="15"/>
      <c r="BR57" s="15"/>
      <c r="BS57" s="15"/>
      <c r="BT57" s="15"/>
      <c r="BU57" s="15"/>
      <c r="BV57" s="15"/>
      <c r="BW57" s="15">
        <f t="shared" si="37"/>
        <v>0</v>
      </c>
      <c r="BX57" s="15"/>
      <c r="BY57" s="15"/>
      <c r="BZ57" s="15"/>
      <c r="CA57" s="15"/>
      <c r="CB57" s="15"/>
      <c r="CC57" s="15"/>
      <c r="CD57" s="15">
        <f t="shared" si="38"/>
        <v>0</v>
      </c>
      <c r="CE57" s="15"/>
      <c r="CF57" s="15"/>
      <c r="CG57" s="15"/>
      <c r="CH57" s="15"/>
      <c r="CI57" s="15"/>
      <c r="CJ57" s="15"/>
      <c r="CK57" s="15">
        <f t="shared" si="39"/>
        <v>0</v>
      </c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</row>
    <row r="58" spans="1:104" x14ac:dyDescent="0.25">
      <c r="A58" s="8" t="s">
        <v>57</v>
      </c>
      <c r="B58" s="15"/>
      <c r="C58" s="15"/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f t="shared" si="28"/>
        <v>0</v>
      </c>
      <c r="K58" s="15"/>
      <c r="L58" s="15">
        <v>0</v>
      </c>
      <c r="M58" s="15">
        <v>0</v>
      </c>
      <c r="N58" s="15">
        <v>0</v>
      </c>
      <c r="O58" s="15">
        <v>0</v>
      </c>
      <c r="P58" s="15"/>
      <c r="Q58" s="15">
        <f t="shared" si="29"/>
        <v>0</v>
      </c>
      <c r="R58" s="15"/>
      <c r="S58" s="15"/>
      <c r="T58" s="15"/>
      <c r="U58" s="15"/>
      <c r="V58" s="15"/>
      <c r="W58" s="15"/>
      <c r="X58" s="15">
        <f t="shared" si="30"/>
        <v>0</v>
      </c>
      <c r="Y58" s="15"/>
      <c r="Z58" s="15"/>
      <c r="AA58" s="15"/>
      <c r="AB58" s="15"/>
      <c r="AC58" s="15"/>
      <c r="AD58" s="15"/>
      <c r="AE58" s="15">
        <f t="shared" si="31"/>
        <v>0</v>
      </c>
      <c r="AF58" s="15"/>
      <c r="AG58" s="15"/>
      <c r="AH58" s="15"/>
      <c r="AI58" s="15"/>
      <c r="AJ58" s="15"/>
      <c r="AK58" s="15"/>
      <c r="AL58" s="15"/>
      <c r="AM58" s="15">
        <f t="shared" si="32"/>
        <v>0</v>
      </c>
      <c r="AN58" s="15"/>
      <c r="AO58" s="15"/>
      <c r="AP58" s="15"/>
      <c r="AQ58" s="15"/>
      <c r="AR58" s="15"/>
      <c r="AS58" s="15"/>
      <c r="AT58" s="15">
        <f t="shared" si="33"/>
        <v>0</v>
      </c>
      <c r="AU58" s="15"/>
      <c r="AV58" s="15"/>
      <c r="AW58" s="15"/>
      <c r="AX58" s="15"/>
      <c r="AY58" s="15"/>
      <c r="AZ58" s="15"/>
      <c r="BA58" s="15">
        <f t="shared" si="34"/>
        <v>0</v>
      </c>
      <c r="BB58" s="15"/>
      <c r="BC58" s="15"/>
      <c r="BD58" s="15"/>
      <c r="BE58" s="15"/>
      <c r="BF58" s="15"/>
      <c r="BG58" s="15"/>
      <c r="BH58" s="15">
        <f t="shared" si="35"/>
        <v>0</v>
      </c>
      <c r="BI58" s="15"/>
      <c r="BJ58" s="15"/>
      <c r="BK58" s="15"/>
      <c r="BL58" s="15"/>
      <c r="BM58" s="15"/>
      <c r="BN58" s="15"/>
      <c r="BO58" s="15">
        <f t="shared" si="36"/>
        <v>0</v>
      </c>
      <c r="BP58" s="15"/>
      <c r="BQ58" s="15"/>
      <c r="BR58" s="15"/>
      <c r="BS58" s="15"/>
      <c r="BT58" s="15"/>
      <c r="BU58" s="15"/>
      <c r="BV58" s="15"/>
      <c r="BW58" s="15">
        <f t="shared" si="37"/>
        <v>0</v>
      </c>
      <c r="BX58" s="15"/>
      <c r="BY58" s="15"/>
      <c r="BZ58" s="15"/>
      <c r="CA58" s="15"/>
      <c r="CB58" s="15"/>
      <c r="CC58" s="15"/>
      <c r="CD58" s="15">
        <f t="shared" si="38"/>
        <v>0</v>
      </c>
      <c r="CE58" s="15"/>
      <c r="CF58" s="15"/>
      <c r="CG58" s="15"/>
      <c r="CH58" s="15"/>
      <c r="CI58" s="15"/>
      <c r="CJ58" s="15"/>
      <c r="CK58" s="15">
        <f t="shared" si="39"/>
        <v>0</v>
      </c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</row>
    <row r="59" spans="1:104" x14ac:dyDescent="0.25">
      <c r="A59" s="8" t="s">
        <v>58</v>
      </c>
      <c r="B59" s="15"/>
      <c r="C59" s="15"/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f t="shared" si="28"/>
        <v>0</v>
      </c>
      <c r="K59" s="15"/>
      <c r="L59" s="15">
        <v>0</v>
      </c>
      <c r="M59" s="15">
        <v>0</v>
      </c>
      <c r="N59" s="15">
        <v>0</v>
      </c>
      <c r="O59" s="15">
        <v>0</v>
      </c>
      <c r="P59" s="15"/>
      <c r="Q59" s="15">
        <f t="shared" si="29"/>
        <v>0</v>
      </c>
      <c r="R59" s="15"/>
      <c r="S59" s="15"/>
      <c r="T59" s="15"/>
      <c r="U59" s="15"/>
      <c r="V59" s="15"/>
      <c r="W59" s="15"/>
      <c r="X59" s="15">
        <f t="shared" si="30"/>
        <v>0</v>
      </c>
      <c r="Y59" s="15"/>
      <c r="Z59" s="15"/>
      <c r="AA59" s="15"/>
      <c r="AB59" s="15"/>
      <c r="AC59" s="15"/>
      <c r="AD59" s="15"/>
      <c r="AE59" s="15">
        <f t="shared" si="31"/>
        <v>0</v>
      </c>
      <c r="AF59" s="15"/>
      <c r="AG59" s="15"/>
      <c r="AH59" s="15"/>
      <c r="AI59" s="15"/>
      <c r="AJ59" s="15"/>
      <c r="AK59" s="15"/>
      <c r="AL59" s="15"/>
      <c r="AM59" s="15">
        <f t="shared" si="32"/>
        <v>0</v>
      </c>
      <c r="AN59" s="15"/>
      <c r="AO59" s="15"/>
      <c r="AP59" s="15"/>
      <c r="AQ59" s="15"/>
      <c r="AR59" s="15"/>
      <c r="AS59" s="15"/>
      <c r="AT59" s="15">
        <f t="shared" si="33"/>
        <v>0</v>
      </c>
      <c r="AU59" s="15"/>
      <c r="AV59" s="15"/>
      <c r="AW59" s="15"/>
      <c r="AX59" s="15"/>
      <c r="AY59" s="15"/>
      <c r="AZ59" s="15"/>
      <c r="BA59" s="15">
        <f t="shared" si="34"/>
        <v>0</v>
      </c>
      <c r="BB59" s="15"/>
      <c r="BC59" s="15"/>
      <c r="BD59" s="15"/>
      <c r="BE59" s="15"/>
      <c r="BF59" s="15"/>
      <c r="BG59" s="15"/>
      <c r="BH59" s="15">
        <f t="shared" si="35"/>
        <v>0</v>
      </c>
      <c r="BI59" s="15"/>
      <c r="BJ59" s="15"/>
      <c r="BK59" s="15"/>
      <c r="BL59" s="15"/>
      <c r="BM59" s="15"/>
      <c r="BN59" s="15"/>
      <c r="BO59" s="15">
        <f t="shared" si="36"/>
        <v>0</v>
      </c>
      <c r="BP59" s="15"/>
      <c r="BQ59" s="15"/>
      <c r="BR59" s="15"/>
      <c r="BS59" s="15"/>
      <c r="BT59" s="15"/>
      <c r="BU59" s="15"/>
      <c r="BV59" s="15"/>
      <c r="BW59" s="15">
        <f t="shared" si="37"/>
        <v>0</v>
      </c>
      <c r="BX59" s="15"/>
      <c r="BY59" s="15"/>
      <c r="BZ59" s="15"/>
      <c r="CA59" s="15"/>
      <c r="CB59" s="15"/>
      <c r="CC59" s="15"/>
      <c r="CD59" s="15">
        <f t="shared" si="38"/>
        <v>0</v>
      </c>
      <c r="CE59" s="15"/>
      <c r="CF59" s="15"/>
      <c r="CG59" s="15"/>
      <c r="CH59" s="15"/>
      <c r="CI59" s="15"/>
      <c r="CJ59" s="15"/>
      <c r="CK59" s="15">
        <f t="shared" si="39"/>
        <v>0</v>
      </c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</row>
    <row r="60" spans="1:104" x14ac:dyDescent="0.25">
      <c r="A60" s="8" t="s">
        <v>59</v>
      </c>
      <c r="B60" s="15"/>
      <c r="C60" s="15"/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f t="shared" si="28"/>
        <v>0</v>
      </c>
      <c r="K60" s="15"/>
      <c r="L60" s="15">
        <v>0</v>
      </c>
      <c r="M60" s="15">
        <v>0</v>
      </c>
      <c r="N60" s="15">
        <v>0</v>
      </c>
      <c r="O60" s="15">
        <v>0</v>
      </c>
      <c r="P60" s="15"/>
      <c r="Q60" s="15">
        <f t="shared" si="29"/>
        <v>0</v>
      </c>
      <c r="R60" s="15"/>
      <c r="S60" s="15"/>
      <c r="T60" s="15"/>
      <c r="U60" s="15"/>
      <c r="V60" s="15"/>
      <c r="W60" s="15"/>
      <c r="X60" s="15">
        <f t="shared" si="30"/>
        <v>0</v>
      </c>
      <c r="Y60" s="15"/>
      <c r="Z60" s="15"/>
      <c r="AA60" s="15"/>
      <c r="AB60" s="15"/>
      <c r="AC60" s="15"/>
      <c r="AD60" s="15"/>
      <c r="AE60" s="15">
        <f t="shared" si="31"/>
        <v>0</v>
      </c>
      <c r="AF60" s="15"/>
      <c r="AG60" s="15"/>
      <c r="AH60" s="15"/>
      <c r="AI60" s="15"/>
      <c r="AJ60" s="15"/>
      <c r="AK60" s="15"/>
      <c r="AL60" s="15"/>
      <c r="AM60" s="15">
        <f t="shared" si="32"/>
        <v>0</v>
      </c>
      <c r="AN60" s="15"/>
      <c r="AO60" s="15"/>
      <c r="AP60" s="15"/>
      <c r="AQ60" s="15"/>
      <c r="AR60" s="15"/>
      <c r="AS60" s="15"/>
      <c r="AT60" s="15">
        <f t="shared" si="33"/>
        <v>0</v>
      </c>
      <c r="AU60" s="15"/>
      <c r="AV60" s="15"/>
      <c r="AW60" s="15"/>
      <c r="AX60" s="15"/>
      <c r="AY60" s="15"/>
      <c r="AZ60" s="15"/>
      <c r="BA60" s="15">
        <f t="shared" si="34"/>
        <v>0</v>
      </c>
      <c r="BB60" s="15"/>
      <c r="BC60" s="15"/>
      <c r="BD60" s="15"/>
      <c r="BE60" s="15"/>
      <c r="BF60" s="15"/>
      <c r="BG60" s="15"/>
      <c r="BH60" s="15">
        <f t="shared" si="35"/>
        <v>0</v>
      </c>
      <c r="BI60" s="15"/>
      <c r="BJ60" s="15"/>
      <c r="BK60" s="15"/>
      <c r="BL60" s="15"/>
      <c r="BM60" s="15"/>
      <c r="BN60" s="15"/>
      <c r="BO60" s="15">
        <f t="shared" si="36"/>
        <v>0</v>
      </c>
      <c r="BP60" s="15"/>
      <c r="BQ60" s="15"/>
      <c r="BR60" s="15"/>
      <c r="BS60" s="15"/>
      <c r="BT60" s="15"/>
      <c r="BU60" s="15"/>
      <c r="BV60" s="15"/>
      <c r="BW60" s="15">
        <f t="shared" si="37"/>
        <v>0</v>
      </c>
      <c r="BX60" s="15"/>
      <c r="BY60" s="15"/>
      <c r="BZ60" s="15"/>
      <c r="CA60" s="15"/>
      <c r="CB60" s="15"/>
      <c r="CC60" s="15"/>
      <c r="CD60" s="15">
        <f t="shared" si="38"/>
        <v>0</v>
      </c>
      <c r="CE60" s="15"/>
      <c r="CF60" s="15"/>
      <c r="CG60" s="15"/>
      <c r="CH60" s="15"/>
      <c r="CI60" s="15"/>
      <c r="CJ60" s="15"/>
      <c r="CK60" s="15">
        <f t="shared" si="39"/>
        <v>0</v>
      </c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</row>
    <row r="61" spans="1:104" x14ac:dyDescent="0.25">
      <c r="A61" s="6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</row>
    <row r="62" spans="1:104" x14ac:dyDescent="0.25">
      <c r="A62" s="10" t="s">
        <v>30</v>
      </c>
      <c r="B62" s="16">
        <f>SUM(B49:B61)</f>
        <v>0</v>
      </c>
      <c r="C62" s="16">
        <f t="shared" ref="C62:BN62" si="40">SUM(C49:C61)</f>
        <v>0</v>
      </c>
      <c r="D62" s="16">
        <f t="shared" si="40"/>
        <v>1.44</v>
      </c>
      <c r="E62" s="16">
        <f t="shared" si="40"/>
        <v>1202438.76</v>
      </c>
      <c r="F62" s="16">
        <f t="shared" si="40"/>
        <v>2214501.6799999997</v>
      </c>
      <c r="G62" s="16">
        <f t="shared" si="40"/>
        <v>629065.69999999995</v>
      </c>
      <c r="H62" s="16">
        <f t="shared" si="40"/>
        <v>1452212.28</v>
      </c>
      <c r="I62" s="16">
        <f t="shared" si="40"/>
        <v>343.16999999999996</v>
      </c>
      <c r="J62" s="16">
        <f t="shared" si="40"/>
        <v>5498563.0299999993</v>
      </c>
      <c r="K62" s="16">
        <f t="shared" si="40"/>
        <v>0</v>
      </c>
      <c r="L62" s="16">
        <f t="shared" si="40"/>
        <v>269838.34999999998</v>
      </c>
      <c r="M62" s="16">
        <f t="shared" si="40"/>
        <v>1384921.6</v>
      </c>
      <c r="N62" s="16">
        <f t="shared" si="40"/>
        <v>579197.45000000007</v>
      </c>
      <c r="O62" s="16">
        <f t="shared" si="40"/>
        <v>1355.9</v>
      </c>
      <c r="P62" s="16">
        <f t="shared" si="40"/>
        <v>0</v>
      </c>
      <c r="Q62" s="16">
        <f t="shared" si="40"/>
        <v>2235313.3000000003</v>
      </c>
      <c r="R62" s="16">
        <f t="shared" si="40"/>
        <v>0</v>
      </c>
      <c r="S62" s="16">
        <f t="shared" si="40"/>
        <v>0</v>
      </c>
      <c r="T62" s="16">
        <f t="shared" si="40"/>
        <v>0</v>
      </c>
      <c r="U62" s="16">
        <f t="shared" si="40"/>
        <v>0</v>
      </c>
      <c r="V62" s="16">
        <f t="shared" si="40"/>
        <v>0</v>
      </c>
      <c r="W62" s="16">
        <f t="shared" si="40"/>
        <v>0</v>
      </c>
      <c r="X62" s="16">
        <f t="shared" si="40"/>
        <v>0</v>
      </c>
      <c r="Y62" s="16">
        <f t="shared" si="40"/>
        <v>0</v>
      </c>
      <c r="Z62" s="16">
        <f t="shared" si="40"/>
        <v>0</v>
      </c>
      <c r="AA62" s="16">
        <f t="shared" si="40"/>
        <v>0</v>
      </c>
      <c r="AB62" s="16">
        <f t="shared" si="40"/>
        <v>0</v>
      </c>
      <c r="AC62" s="16">
        <f t="shared" si="40"/>
        <v>0</v>
      </c>
      <c r="AD62" s="16">
        <f t="shared" si="40"/>
        <v>0</v>
      </c>
      <c r="AE62" s="16">
        <f t="shared" si="40"/>
        <v>0</v>
      </c>
      <c r="AF62" s="16">
        <f t="shared" si="40"/>
        <v>0</v>
      </c>
      <c r="AG62" s="16">
        <f t="shared" si="40"/>
        <v>0</v>
      </c>
      <c r="AH62" s="16">
        <f t="shared" si="40"/>
        <v>0</v>
      </c>
      <c r="AI62" s="16">
        <f t="shared" si="40"/>
        <v>0</v>
      </c>
      <c r="AJ62" s="16">
        <f t="shared" si="40"/>
        <v>0</v>
      </c>
      <c r="AK62" s="16">
        <f t="shared" si="40"/>
        <v>0</v>
      </c>
      <c r="AL62" s="16">
        <f t="shared" si="40"/>
        <v>0</v>
      </c>
      <c r="AM62" s="16">
        <f t="shared" si="40"/>
        <v>0</v>
      </c>
      <c r="AN62" s="16">
        <f t="shared" si="40"/>
        <v>0</v>
      </c>
      <c r="AO62" s="16">
        <f t="shared" si="40"/>
        <v>0</v>
      </c>
      <c r="AP62" s="16">
        <f t="shared" si="40"/>
        <v>0</v>
      </c>
      <c r="AQ62" s="16">
        <f t="shared" si="40"/>
        <v>0</v>
      </c>
      <c r="AR62" s="16">
        <f t="shared" si="40"/>
        <v>0</v>
      </c>
      <c r="AS62" s="16">
        <f t="shared" si="40"/>
        <v>0</v>
      </c>
      <c r="AT62" s="16">
        <f t="shared" si="40"/>
        <v>0</v>
      </c>
      <c r="AU62" s="16">
        <f t="shared" si="40"/>
        <v>0</v>
      </c>
      <c r="AV62" s="16">
        <f t="shared" si="40"/>
        <v>0</v>
      </c>
      <c r="AW62" s="16">
        <f t="shared" si="40"/>
        <v>0</v>
      </c>
      <c r="AX62" s="16">
        <f t="shared" si="40"/>
        <v>0</v>
      </c>
      <c r="AY62" s="16">
        <f t="shared" si="40"/>
        <v>0</v>
      </c>
      <c r="AZ62" s="16">
        <f t="shared" si="40"/>
        <v>0</v>
      </c>
      <c r="BA62" s="16">
        <f t="shared" si="40"/>
        <v>0</v>
      </c>
      <c r="BB62" s="16">
        <f t="shared" si="40"/>
        <v>0</v>
      </c>
      <c r="BC62" s="16">
        <f t="shared" si="40"/>
        <v>0</v>
      </c>
      <c r="BD62" s="16">
        <f t="shared" si="40"/>
        <v>0</v>
      </c>
      <c r="BE62" s="16">
        <f t="shared" si="40"/>
        <v>0</v>
      </c>
      <c r="BF62" s="16">
        <f t="shared" si="40"/>
        <v>0</v>
      </c>
      <c r="BG62" s="16">
        <f t="shared" si="40"/>
        <v>0</v>
      </c>
      <c r="BH62" s="16">
        <f t="shared" si="40"/>
        <v>0</v>
      </c>
      <c r="BI62" s="16">
        <f t="shared" si="40"/>
        <v>0</v>
      </c>
      <c r="BJ62" s="16">
        <f t="shared" si="40"/>
        <v>0</v>
      </c>
      <c r="BK62" s="16">
        <f t="shared" si="40"/>
        <v>0</v>
      </c>
      <c r="BL62" s="16">
        <f t="shared" si="40"/>
        <v>0</v>
      </c>
      <c r="BM62" s="16">
        <f t="shared" si="40"/>
        <v>0</v>
      </c>
      <c r="BN62" s="16">
        <f t="shared" si="40"/>
        <v>0</v>
      </c>
      <c r="BO62" s="16">
        <f t="shared" ref="BO62:CK62" si="41">SUM(BO49:BO61)</f>
        <v>0</v>
      </c>
      <c r="BP62" s="16">
        <f t="shared" si="41"/>
        <v>0</v>
      </c>
      <c r="BQ62" s="16">
        <f t="shared" si="41"/>
        <v>0</v>
      </c>
      <c r="BR62" s="16">
        <f t="shared" si="41"/>
        <v>0</v>
      </c>
      <c r="BS62" s="16">
        <f t="shared" si="41"/>
        <v>0</v>
      </c>
      <c r="BT62" s="16">
        <f t="shared" si="41"/>
        <v>0</v>
      </c>
      <c r="BU62" s="16">
        <f t="shared" si="41"/>
        <v>0</v>
      </c>
      <c r="BV62" s="16">
        <f t="shared" si="41"/>
        <v>0</v>
      </c>
      <c r="BW62" s="16">
        <f t="shared" si="41"/>
        <v>0</v>
      </c>
      <c r="BX62" s="16">
        <f t="shared" si="41"/>
        <v>0</v>
      </c>
      <c r="BY62" s="16">
        <f t="shared" si="41"/>
        <v>0</v>
      </c>
      <c r="BZ62" s="16">
        <f t="shared" si="41"/>
        <v>0</v>
      </c>
      <c r="CA62" s="16">
        <f t="shared" si="41"/>
        <v>0</v>
      </c>
      <c r="CB62" s="16">
        <f t="shared" si="41"/>
        <v>0</v>
      </c>
      <c r="CC62" s="16">
        <f t="shared" si="41"/>
        <v>0</v>
      </c>
      <c r="CD62" s="16">
        <f t="shared" si="41"/>
        <v>0</v>
      </c>
      <c r="CE62" s="16">
        <f t="shared" si="41"/>
        <v>0</v>
      </c>
      <c r="CF62" s="16">
        <f t="shared" si="41"/>
        <v>0</v>
      </c>
      <c r="CG62" s="16">
        <f t="shared" si="41"/>
        <v>0</v>
      </c>
      <c r="CH62" s="16">
        <f t="shared" si="41"/>
        <v>0</v>
      </c>
      <c r="CI62" s="16">
        <f t="shared" si="41"/>
        <v>0</v>
      </c>
      <c r="CJ62" s="16">
        <f t="shared" si="41"/>
        <v>0</v>
      </c>
      <c r="CK62" s="16">
        <f t="shared" si="41"/>
        <v>0</v>
      </c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</row>
    <row r="63" spans="1:104" x14ac:dyDescent="0.25">
      <c r="A63" s="6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</row>
    <row r="64" spans="1:104" x14ac:dyDescent="0.25">
      <c r="A64" s="6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</row>
    <row r="65" spans="1:104" x14ac:dyDescent="0.25">
      <c r="A65" s="6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</row>
    <row r="66" spans="1:104" x14ac:dyDescent="0.25">
      <c r="A66" s="8" t="s">
        <v>34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</row>
    <row r="67" spans="1:104" x14ac:dyDescent="0.25">
      <c r="A67" s="8" t="s">
        <v>60</v>
      </c>
      <c r="B67" s="15"/>
      <c r="C67" s="15"/>
      <c r="D67" s="15">
        <v>0</v>
      </c>
      <c r="E67" s="15">
        <v>200000000</v>
      </c>
      <c r="F67" s="15">
        <v>915876381</v>
      </c>
      <c r="G67" s="15">
        <v>206824490</v>
      </c>
      <c r="H67" s="15">
        <v>1874405700</v>
      </c>
      <c r="I67" s="15">
        <v>106606.82999999999</v>
      </c>
      <c r="J67" s="15">
        <f t="shared" ref="J67:J77" si="42">SUM(D67:I67)</f>
        <v>3197213177.8299999</v>
      </c>
      <c r="K67" s="15"/>
      <c r="L67" s="15">
        <v>0</v>
      </c>
      <c r="M67" s="15">
        <v>206116985.00299999</v>
      </c>
      <c r="N67" s="15">
        <v>9368000</v>
      </c>
      <c r="O67" s="15">
        <v>0</v>
      </c>
      <c r="P67" s="15"/>
      <c r="Q67" s="15">
        <f t="shared" ref="Q67:Q77" si="43">SUM(L67:P67)</f>
        <v>215484985.00299999</v>
      </c>
      <c r="R67" s="15"/>
      <c r="S67" s="15"/>
      <c r="T67" s="15"/>
      <c r="U67" s="15"/>
      <c r="V67" s="15"/>
      <c r="W67" s="15"/>
      <c r="X67" s="15">
        <f t="shared" ref="X67:X77" si="44">SUM(S67:W67)</f>
        <v>0</v>
      </c>
      <c r="Y67" s="15"/>
      <c r="Z67" s="15"/>
      <c r="AA67" s="15"/>
      <c r="AB67" s="15"/>
      <c r="AC67" s="15"/>
      <c r="AD67" s="15"/>
      <c r="AE67" s="15">
        <f t="shared" ref="AE67:AE77" si="45">SUM(Z67:AD67)</f>
        <v>0</v>
      </c>
      <c r="AF67" s="15"/>
      <c r="AG67" s="15"/>
      <c r="AH67" s="15"/>
      <c r="AI67" s="15"/>
      <c r="AJ67" s="15"/>
      <c r="AK67" s="15"/>
      <c r="AL67" s="15"/>
      <c r="AM67" s="15">
        <f t="shared" ref="AM67:AM77" si="46">SUM(AG67:AL67)</f>
        <v>0</v>
      </c>
      <c r="AN67" s="15"/>
      <c r="AO67" s="15"/>
      <c r="AP67" s="15"/>
      <c r="AQ67" s="15"/>
      <c r="AR67" s="15"/>
      <c r="AS67" s="15"/>
      <c r="AT67" s="15">
        <f t="shared" ref="AT67:AT77" si="47">SUM(AO67:AS67)</f>
        <v>0</v>
      </c>
      <c r="AU67" s="15"/>
      <c r="AV67" s="15"/>
      <c r="AW67" s="15"/>
      <c r="AX67" s="15"/>
      <c r="AY67" s="15"/>
      <c r="AZ67" s="15"/>
      <c r="BA67" s="15">
        <f t="shared" ref="BA67:BA77" si="48">SUM(AV67:AZ67)</f>
        <v>0</v>
      </c>
      <c r="BB67" s="15"/>
      <c r="BC67" s="15"/>
      <c r="BD67" s="15"/>
      <c r="BE67" s="15"/>
      <c r="BF67" s="15"/>
      <c r="BG67" s="15"/>
      <c r="BH67" s="15">
        <f t="shared" ref="BH67:BH77" si="49">SUM(BC67:BG67)</f>
        <v>0</v>
      </c>
      <c r="BI67" s="15"/>
      <c r="BJ67" s="15"/>
      <c r="BK67" s="15"/>
      <c r="BL67" s="15"/>
      <c r="BM67" s="15"/>
      <c r="BN67" s="15"/>
      <c r="BO67" s="15">
        <f t="shared" ref="BO67:BO77" si="50">SUM(BJ67:BN67)</f>
        <v>0</v>
      </c>
      <c r="BP67" s="15"/>
      <c r="BQ67" s="15"/>
      <c r="BR67" s="15"/>
      <c r="BS67" s="15"/>
      <c r="BT67" s="15"/>
      <c r="BU67" s="15"/>
      <c r="BV67" s="15"/>
      <c r="BW67" s="15">
        <f t="shared" ref="BW67:BW77" si="51">SUM(BQ67:BV67)</f>
        <v>0</v>
      </c>
      <c r="BX67" s="15"/>
      <c r="BY67" s="15"/>
      <c r="BZ67" s="15"/>
      <c r="CA67" s="15"/>
      <c r="CB67" s="15"/>
      <c r="CC67" s="15"/>
      <c r="CD67" s="15">
        <f t="shared" ref="CD67:CD77" si="52">SUM(BY67:CC67)</f>
        <v>0</v>
      </c>
      <c r="CE67" s="15"/>
      <c r="CF67" s="15"/>
      <c r="CG67" s="15"/>
      <c r="CH67" s="15"/>
      <c r="CI67" s="15"/>
      <c r="CJ67" s="15"/>
      <c r="CK67" s="15">
        <f t="shared" ref="CK67:CK77" si="53">SUM(CF67:CJ67)</f>
        <v>0</v>
      </c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</row>
    <row r="68" spans="1:104" x14ac:dyDescent="0.25">
      <c r="A68" s="8" t="s">
        <v>50</v>
      </c>
      <c r="B68" s="15"/>
      <c r="C68" s="15"/>
      <c r="D68" s="15">
        <v>20000</v>
      </c>
      <c r="E68" s="15">
        <v>978314980.50000012</v>
      </c>
      <c r="F68" s="15">
        <v>4851548434.2399998</v>
      </c>
      <c r="G68" s="15">
        <v>1843523489.9000001</v>
      </c>
      <c r="H68" s="15">
        <v>3884671952.3400002</v>
      </c>
      <c r="I68" s="15">
        <v>2028087332.77</v>
      </c>
      <c r="J68" s="15">
        <f t="shared" si="42"/>
        <v>13586166189.75</v>
      </c>
      <c r="K68" s="15"/>
      <c r="L68" s="15">
        <v>1065518018</v>
      </c>
      <c r="M68" s="15">
        <v>1667252553.6599998</v>
      </c>
      <c r="N68" s="15">
        <v>2254647762</v>
      </c>
      <c r="O68" s="15">
        <v>75387700</v>
      </c>
      <c r="P68" s="15"/>
      <c r="Q68" s="15">
        <f t="shared" si="43"/>
        <v>5062806033.6599998</v>
      </c>
      <c r="R68" s="15"/>
      <c r="S68" s="15"/>
      <c r="T68" s="15"/>
      <c r="U68" s="15"/>
      <c r="V68" s="15"/>
      <c r="W68" s="15"/>
      <c r="X68" s="15">
        <f t="shared" si="44"/>
        <v>0</v>
      </c>
      <c r="Y68" s="15"/>
      <c r="Z68" s="15"/>
      <c r="AA68" s="15"/>
      <c r="AB68" s="15"/>
      <c r="AC68" s="15"/>
      <c r="AD68" s="15"/>
      <c r="AE68" s="15">
        <f t="shared" si="45"/>
        <v>0</v>
      </c>
      <c r="AF68" s="15"/>
      <c r="AG68" s="15"/>
      <c r="AH68" s="15"/>
      <c r="AI68" s="15"/>
      <c r="AJ68" s="15"/>
      <c r="AK68" s="15"/>
      <c r="AL68" s="15"/>
      <c r="AM68" s="15">
        <f t="shared" si="46"/>
        <v>0</v>
      </c>
      <c r="AN68" s="15"/>
      <c r="AO68" s="15"/>
      <c r="AP68" s="15"/>
      <c r="AQ68" s="15"/>
      <c r="AR68" s="15"/>
      <c r="AS68" s="15"/>
      <c r="AT68" s="15">
        <f t="shared" si="47"/>
        <v>0</v>
      </c>
      <c r="AU68" s="15"/>
      <c r="AV68" s="15"/>
      <c r="AW68" s="15"/>
      <c r="AX68" s="15"/>
      <c r="AY68" s="15"/>
      <c r="AZ68" s="15"/>
      <c r="BA68" s="15">
        <f t="shared" si="48"/>
        <v>0</v>
      </c>
      <c r="BB68" s="15"/>
      <c r="BC68" s="15"/>
      <c r="BD68" s="15"/>
      <c r="BE68" s="15"/>
      <c r="BF68" s="15"/>
      <c r="BG68" s="15"/>
      <c r="BH68" s="15">
        <f t="shared" si="49"/>
        <v>0</v>
      </c>
      <c r="BI68" s="15"/>
      <c r="BJ68" s="15"/>
      <c r="BK68" s="15"/>
      <c r="BL68" s="15"/>
      <c r="BM68" s="15"/>
      <c r="BN68" s="15"/>
      <c r="BO68" s="15">
        <f t="shared" si="50"/>
        <v>0</v>
      </c>
      <c r="BP68" s="15"/>
      <c r="BQ68" s="15"/>
      <c r="BR68" s="15"/>
      <c r="BS68" s="15"/>
      <c r="BT68" s="15"/>
      <c r="BU68" s="15"/>
      <c r="BV68" s="15"/>
      <c r="BW68" s="15">
        <f t="shared" si="51"/>
        <v>0</v>
      </c>
      <c r="BX68" s="15"/>
      <c r="BY68" s="15"/>
      <c r="BZ68" s="15"/>
      <c r="CA68" s="15"/>
      <c r="CB68" s="15"/>
      <c r="CC68" s="15"/>
      <c r="CD68" s="15">
        <f t="shared" si="52"/>
        <v>0</v>
      </c>
      <c r="CE68" s="15"/>
      <c r="CF68" s="15"/>
      <c r="CG68" s="15"/>
      <c r="CH68" s="15"/>
      <c r="CI68" s="15"/>
      <c r="CJ68" s="15"/>
      <c r="CK68" s="15">
        <f t="shared" si="53"/>
        <v>0</v>
      </c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</row>
    <row r="69" spans="1:104" x14ac:dyDescent="0.25">
      <c r="A69" s="8" t="s">
        <v>52</v>
      </c>
      <c r="B69" s="15"/>
      <c r="C69" s="15"/>
      <c r="D69" s="15">
        <v>0</v>
      </c>
      <c r="E69" s="15">
        <v>157560374</v>
      </c>
      <c r="F69" s="15">
        <v>0</v>
      </c>
      <c r="G69" s="15">
        <v>0</v>
      </c>
      <c r="H69" s="15">
        <v>21941240</v>
      </c>
      <c r="I69" s="15">
        <v>0</v>
      </c>
      <c r="J69" s="15">
        <f t="shared" si="42"/>
        <v>179501614</v>
      </c>
      <c r="K69" s="15"/>
      <c r="L69" s="15">
        <v>55309394</v>
      </c>
      <c r="M69" s="15">
        <v>268940742</v>
      </c>
      <c r="N69" s="15">
        <v>425651489</v>
      </c>
      <c r="O69" s="15">
        <v>0</v>
      </c>
      <c r="P69" s="15"/>
      <c r="Q69" s="15">
        <f t="shared" si="43"/>
        <v>749901625</v>
      </c>
      <c r="R69" s="15"/>
      <c r="S69" s="15"/>
      <c r="T69" s="15"/>
      <c r="U69" s="15"/>
      <c r="V69" s="15"/>
      <c r="W69" s="15"/>
      <c r="X69" s="15">
        <f t="shared" si="44"/>
        <v>0</v>
      </c>
      <c r="Y69" s="15"/>
      <c r="Z69" s="15"/>
      <c r="AA69" s="15"/>
      <c r="AB69" s="15"/>
      <c r="AC69" s="15"/>
      <c r="AD69" s="15"/>
      <c r="AE69" s="15">
        <f t="shared" si="45"/>
        <v>0</v>
      </c>
      <c r="AF69" s="15"/>
      <c r="AG69" s="15"/>
      <c r="AH69" s="15"/>
      <c r="AI69" s="15"/>
      <c r="AJ69" s="15"/>
      <c r="AK69" s="15"/>
      <c r="AL69" s="15"/>
      <c r="AM69" s="15">
        <f t="shared" si="46"/>
        <v>0</v>
      </c>
      <c r="AN69" s="15"/>
      <c r="AO69" s="15"/>
      <c r="AP69" s="15"/>
      <c r="AQ69" s="15"/>
      <c r="AR69" s="15"/>
      <c r="AS69" s="15"/>
      <c r="AT69" s="15">
        <f t="shared" si="47"/>
        <v>0</v>
      </c>
      <c r="AU69" s="15"/>
      <c r="AV69" s="15"/>
      <c r="AW69" s="15"/>
      <c r="AX69" s="15"/>
      <c r="AY69" s="15"/>
      <c r="AZ69" s="15"/>
      <c r="BA69" s="15">
        <f t="shared" si="48"/>
        <v>0</v>
      </c>
      <c r="BB69" s="15"/>
      <c r="BC69" s="15"/>
      <c r="BD69" s="15"/>
      <c r="BE69" s="15"/>
      <c r="BF69" s="15"/>
      <c r="BG69" s="15"/>
      <c r="BH69" s="15">
        <f t="shared" si="49"/>
        <v>0</v>
      </c>
      <c r="BI69" s="15"/>
      <c r="BJ69" s="15"/>
      <c r="BK69" s="15"/>
      <c r="BL69" s="15"/>
      <c r="BM69" s="15"/>
      <c r="BN69" s="15"/>
      <c r="BO69" s="15">
        <f t="shared" si="50"/>
        <v>0</v>
      </c>
      <c r="BP69" s="15"/>
      <c r="BQ69" s="15"/>
      <c r="BR69" s="15"/>
      <c r="BS69" s="15"/>
      <c r="BT69" s="15"/>
      <c r="BU69" s="15"/>
      <c r="BV69" s="15"/>
      <c r="BW69" s="15">
        <f t="shared" si="51"/>
        <v>0</v>
      </c>
      <c r="BX69" s="15"/>
      <c r="BY69" s="15"/>
      <c r="BZ69" s="15"/>
      <c r="CA69" s="15"/>
      <c r="CB69" s="15"/>
      <c r="CC69" s="15"/>
      <c r="CD69" s="15">
        <f t="shared" si="52"/>
        <v>0</v>
      </c>
      <c r="CE69" s="15"/>
      <c r="CF69" s="15"/>
      <c r="CG69" s="15"/>
      <c r="CH69" s="15"/>
      <c r="CI69" s="15"/>
      <c r="CJ69" s="15"/>
      <c r="CK69" s="15">
        <f t="shared" si="53"/>
        <v>0</v>
      </c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</row>
    <row r="70" spans="1:104" x14ac:dyDescent="0.25">
      <c r="A70" s="8" t="s">
        <v>63</v>
      </c>
      <c r="B70" s="15"/>
      <c r="C70" s="15"/>
      <c r="D70" s="15">
        <v>0</v>
      </c>
      <c r="E70" s="15">
        <v>0</v>
      </c>
      <c r="F70" s="15">
        <v>0</v>
      </c>
      <c r="G70" s="15">
        <v>0</v>
      </c>
      <c r="H70" s="15">
        <v>1565000000</v>
      </c>
      <c r="I70" s="15">
        <v>0</v>
      </c>
      <c r="J70" s="15">
        <f t="shared" si="42"/>
        <v>1565000000</v>
      </c>
      <c r="K70" s="15"/>
      <c r="L70" s="15">
        <v>0</v>
      </c>
      <c r="M70" s="15">
        <v>0</v>
      </c>
      <c r="N70" s="15">
        <v>0</v>
      </c>
      <c r="O70" s="15">
        <v>0</v>
      </c>
      <c r="P70" s="15"/>
      <c r="Q70" s="15">
        <f t="shared" si="43"/>
        <v>0</v>
      </c>
      <c r="R70" s="15"/>
      <c r="S70" s="15"/>
      <c r="T70" s="15"/>
      <c r="U70" s="15"/>
      <c r="V70" s="15"/>
      <c r="W70" s="15"/>
      <c r="X70" s="15">
        <f t="shared" si="44"/>
        <v>0</v>
      </c>
      <c r="Y70" s="15"/>
      <c r="Z70" s="15"/>
      <c r="AA70" s="15"/>
      <c r="AB70" s="15"/>
      <c r="AC70" s="15"/>
      <c r="AD70" s="15"/>
      <c r="AE70" s="15">
        <f t="shared" si="45"/>
        <v>0</v>
      </c>
      <c r="AF70" s="15"/>
      <c r="AG70" s="15"/>
      <c r="AH70" s="15"/>
      <c r="AI70" s="15"/>
      <c r="AJ70" s="15"/>
      <c r="AK70" s="15"/>
      <c r="AL70" s="15"/>
      <c r="AM70" s="15">
        <f t="shared" si="46"/>
        <v>0</v>
      </c>
      <c r="AN70" s="15"/>
      <c r="AO70" s="15"/>
      <c r="AP70" s="15"/>
      <c r="AQ70" s="15"/>
      <c r="AR70" s="15"/>
      <c r="AS70" s="15"/>
      <c r="AT70" s="15">
        <f t="shared" si="47"/>
        <v>0</v>
      </c>
      <c r="AU70" s="15"/>
      <c r="AV70" s="15"/>
      <c r="AW70" s="15"/>
      <c r="AX70" s="15"/>
      <c r="AY70" s="15"/>
      <c r="AZ70" s="15"/>
      <c r="BA70" s="15">
        <f t="shared" si="48"/>
        <v>0</v>
      </c>
      <c r="BB70" s="15"/>
      <c r="BC70" s="15"/>
      <c r="BD70" s="15"/>
      <c r="BE70" s="15"/>
      <c r="BF70" s="15"/>
      <c r="BG70" s="15"/>
      <c r="BH70" s="15">
        <f t="shared" si="49"/>
        <v>0</v>
      </c>
      <c r="BI70" s="15"/>
      <c r="BJ70" s="15"/>
      <c r="BK70" s="15"/>
      <c r="BL70" s="15"/>
      <c r="BM70" s="15"/>
      <c r="BN70" s="15"/>
      <c r="BO70" s="15">
        <f t="shared" si="50"/>
        <v>0</v>
      </c>
      <c r="BP70" s="15"/>
      <c r="BQ70" s="15"/>
      <c r="BR70" s="15"/>
      <c r="BS70" s="15"/>
      <c r="BT70" s="15"/>
      <c r="BU70" s="15"/>
      <c r="BV70" s="15"/>
      <c r="BW70" s="15">
        <f t="shared" si="51"/>
        <v>0</v>
      </c>
      <c r="BX70" s="15"/>
      <c r="BY70" s="15"/>
      <c r="BZ70" s="15"/>
      <c r="CA70" s="15"/>
      <c r="CB70" s="15"/>
      <c r="CC70" s="15"/>
      <c r="CD70" s="15">
        <f t="shared" si="52"/>
        <v>0</v>
      </c>
      <c r="CE70" s="15"/>
      <c r="CF70" s="15"/>
      <c r="CG70" s="15"/>
      <c r="CH70" s="15"/>
      <c r="CI70" s="15"/>
      <c r="CJ70" s="15"/>
      <c r="CK70" s="15">
        <f t="shared" si="53"/>
        <v>0</v>
      </c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</row>
    <row r="71" spans="1:104" x14ac:dyDescent="0.25">
      <c r="A71" s="8" t="s">
        <v>55</v>
      </c>
      <c r="B71" s="15"/>
      <c r="C71" s="15"/>
      <c r="D71" s="15">
        <v>0</v>
      </c>
      <c r="E71" s="15">
        <v>670085025</v>
      </c>
      <c r="F71" s="15">
        <v>641283562</v>
      </c>
      <c r="G71" s="15">
        <v>123023781</v>
      </c>
      <c r="H71" s="15">
        <v>2783662897</v>
      </c>
      <c r="I71" s="15">
        <v>100320</v>
      </c>
      <c r="J71" s="15">
        <f t="shared" si="42"/>
        <v>4218155585</v>
      </c>
      <c r="K71" s="15"/>
      <c r="L71" s="15">
        <v>825722179</v>
      </c>
      <c r="M71" s="15">
        <v>447667795</v>
      </c>
      <c r="N71" s="15">
        <v>1304687620</v>
      </c>
      <c r="O71" s="15">
        <v>7318000</v>
      </c>
      <c r="P71" s="15"/>
      <c r="Q71" s="15">
        <f t="shared" si="43"/>
        <v>2585395594</v>
      </c>
      <c r="R71" s="15"/>
      <c r="S71" s="15"/>
      <c r="T71" s="15"/>
      <c r="U71" s="15"/>
      <c r="V71" s="15"/>
      <c r="W71" s="15"/>
      <c r="X71" s="15">
        <f t="shared" si="44"/>
        <v>0</v>
      </c>
      <c r="Y71" s="15"/>
      <c r="Z71" s="15"/>
      <c r="AA71" s="15"/>
      <c r="AB71" s="15"/>
      <c r="AC71" s="15"/>
      <c r="AD71" s="15"/>
      <c r="AE71" s="15">
        <f t="shared" si="45"/>
        <v>0</v>
      </c>
      <c r="AF71" s="15"/>
      <c r="AG71" s="15"/>
      <c r="AH71" s="15"/>
      <c r="AI71" s="15"/>
      <c r="AJ71" s="15"/>
      <c r="AK71" s="15"/>
      <c r="AL71" s="15"/>
      <c r="AM71" s="15">
        <f t="shared" si="46"/>
        <v>0</v>
      </c>
      <c r="AN71" s="15"/>
      <c r="AO71" s="15"/>
      <c r="AP71" s="15"/>
      <c r="AQ71" s="15"/>
      <c r="AR71" s="15"/>
      <c r="AS71" s="15"/>
      <c r="AT71" s="15">
        <f t="shared" si="47"/>
        <v>0</v>
      </c>
      <c r="AU71" s="15"/>
      <c r="AV71" s="15"/>
      <c r="AW71" s="15"/>
      <c r="AX71" s="15"/>
      <c r="AY71" s="15"/>
      <c r="AZ71" s="15"/>
      <c r="BA71" s="15">
        <f t="shared" si="48"/>
        <v>0</v>
      </c>
      <c r="BB71" s="15"/>
      <c r="BC71" s="15"/>
      <c r="BD71" s="15"/>
      <c r="BE71" s="15"/>
      <c r="BF71" s="15"/>
      <c r="BG71" s="15"/>
      <c r="BH71" s="15">
        <f t="shared" si="49"/>
        <v>0</v>
      </c>
      <c r="BI71" s="15"/>
      <c r="BJ71" s="15"/>
      <c r="BK71" s="15"/>
      <c r="BL71" s="15"/>
      <c r="BM71" s="15"/>
      <c r="BN71" s="15"/>
      <c r="BO71" s="15">
        <f t="shared" si="50"/>
        <v>0</v>
      </c>
      <c r="BP71" s="15"/>
      <c r="BQ71" s="15"/>
      <c r="BR71" s="15"/>
      <c r="BS71" s="15"/>
      <c r="BT71" s="15"/>
      <c r="BU71" s="15"/>
      <c r="BV71" s="15"/>
      <c r="BW71" s="15">
        <f t="shared" si="51"/>
        <v>0</v>
      </c>
      <c r="BX71" s="15"/>
      <c r="BY71" s="15"/>
      <c r="BZ71" s="15"/>
      <c r="CA71" s="15"/>
      <c r="CB71" s="15"/>
      <c r="CC71" s="15"/>
      <c r="CD71" s="15">
        <f t="shared" si="52"/>
        <v>0</v>
      </c>
      <c r="CE71" s="15"/>
      <c r="CF71" s="15"/>
      <c r="CG71" s="15"/>
      <c r="CH71" s="15"/>
      <c r="CI71" s="15"/>
      <c r="CJ71" s="15"/>
      <c r="CK71" s="15">
        <f t="shared" si="53"/>
        <v>0</v>
      </c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</row>
    <row r="72" spans="1:104" x14ac:dyDescent="0.25">
      <c r="A72" s="8" t="s">
        <v>64</v>
      </c>
      <c r="B72" s="15"/>
      <c r="C72" s="15"/>
      <c r="D72" s="15">
        <v>0</v>
      </c>
      <c r="E72" s="15">
        <v>5823055</v>
      </c>
      <c r="F72" s="15">
        <v>0</v>
      </c>
      <c r="G72" s="15">
        <v>37198287</v>
      </c>
      <c r="H72" s="15">
        <v>0</v>
      </c>
      <c r="I72" s="15">
        <v>0</v>
      </c>
      <c r="J72" s="15">
        <f t="shared" si="42"/>
        <v>43021342</v>
      </c>
      <c r="K72" s="15"/>
      <c r="L72" s="15">
        <v>0</v>
      </c>
      <c r="M72" s="15">
        <v>0</v>
      </c>
      <c r="N72" s="15">
        <v>19800000</v>
      </c>
      <c r="O72" s="15">
        <v>0</v>
      </c>
      <c r="P72" s="15"/>
      <c r="Q72" s="15">
        <f t="shared" si="43"/>
        <v>19800000</v>
      </c>
      <c r="R72" s="15"/>
      <c r="S72" s="15"/>
      <c r="T72" s="15"/>
      <c r="U72" s="15"/>
      <c r="V72" s="15"/>
      <c r="W72" s="15"/>
      <c r="X72" s="15">
        <f t="shared" si="44"/>
        <v>0</v>
      </c>
      <c r="Y72" s="15"/>
      <c r="Z72" s="15"/>
      <c r="AA72" s="15"/>
      <c r="AB72" s="15"/>
      <c r="AC72" s="15"/>
      <c r="AD72" s="15"/>
      <c r="AE72" s="15">
        <f t="shared" si="45"/>
        <v>0</v>
      </c>
      <c r="AF72" s="15"/>
      <c r="AG72" s="15"/>
      <c r="AH72" s="15"/>
      <c r="AI72" s="15"/>
      <c r="AJ72" s="15"/>
      <c r="AK72" s="15"/>
      <c r="AL72" s="15"/>
      <c r="AM72" s="15">
        <f t="shared" si="46"/>
        <v>0</v>
      </c>
      <c r="AN72" s="15"/>
      <c r="AO72" s="15"/>
      <c r="AP72" s="15"/>
      <c r="AQ72" s="15"/>
      <c r="AR72" s="15"/>
      <c r="AS72" s="15"/>
      <c r="AT72" s="15">
        <f t="shared" si="47"/>
        <v>0</v>
      </c>
      <c r="AU72" s="15"/>
      <c r="AV72" s="15"/>
      <c r="AW72" s="15"/>
      <c r="AX72" s="15"/>
      <c r="AY72" s="15"/>
      <c r="AZ72" s="15"/>
      <c r="BA72" s="15">
        <f t="shared" si="48"/>
        <v>0</v>
      </c>
      <c r="BB72" s="15"/>
      <c r="BC72" s="15"/>
      <c r="BD72" s="15"/>
      <c r="BE72" s="15"/>
      <c r="BF72" s="15"/>
      <c r="BG72" s="15"/>
      <c r="BH72" s="15">
        <f t="shared" si="49"/>
        <v>0</v>
      </c>
      <c r="BI72" s="15"/>
      <c r="BJ72" s="15"/>
      <c r="BK72" s="15"/>
      <c r="BL72" s="15"/>
      <c r="BM72" s="15"/>
      <c r="BN72" s="15"/>
      <c r="BO72" s="15">
        <f t="shared" si="50"/>
        <v>0</v>
      </c>
      <c r="BP72" s="15"/>
      <c r="BQ72" s="15"/>
      <c r="BR72" s="15"/>
      <c r="BS72" s="15"/>
      <c r="BT72" s="15"/>
      <c r="BU72" s="15"/>
      <c r="BV72" s="15"/>
      <c r="BW72" s="15">
        <f t="shared" si="51"/>
        <v>0</v>
      </c>
      <c r="BX72" s="15"/>
      <c r="BY72" s="15"/>
      <c r="BZ72" s="15"/>
      <c r="CA72" s="15"/>
      <c r="CB72" s="15"/>
      <c r="CC72" s="15"/>
      <c r="CD72" s="15">
        <f t="shared" si="52"/>
        <v>0</v>
      </c>
      <c r="CE72" s="15"/>
      <c r="CF72" s="15"/>
      <c r="CG72" s="15"/>
      <c r="CH72" s="15"/>
      <c r="CI72" s="15"/>
      <c r="CJ72" s="15"/>
      <c r="CK72" s="15">
        <f t="shared" si="53"/>
        <v>0</v>
      </c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</row>
    <row r="73" spans="1:104" x14ac:dyDescent="0.25">
      <c r="A73" s="8" t="s">
        <v>65</v>
      </c>
      <c r="B73" s="15"/>
      <c r="C73" s="15"/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f t="shared" si="42"/>
        <v>0</v>
      </c>
      <c r="K73" s="15"/>
      <c r="L73" s="15">
        <v>0</v>
      </c>
      <c r="M73" s="15">
        <v>0</v>
      </c>
      <c r="N73" s="15">
        <v>0</v>
      </c>
      <c r="O73" s="15">
        <v>0</v>
      </c>
      <c r="P73" s="15"/>
      <c r="Q73" s="15">
        <f t="shared" si="43"/>
        <v>0</v>
      </c>
      <c r="R73" s="15"/>
      <c r="S73" s="15"/>
      <c r="T73" s="15"/>
      <c r="U73" s="15"/>
      <c r="V73" s="15"/>
      <c r="W73" s="15"/>
      <c r="X73" s="15">
        <f t="shared" si="44"/>
        <v>0</v>
      </c>
      <c r="Y73" s="15"/>
      <c r="Z73" s="15"/>
      <c r="AA73" s="15"/>
      <c r="AB73" s="15"/>
      <c r="AC73" s="15"/>
      <c r="AD73" s="15"/>
      <c r="AE73" s="15">
        <f t="shared" si="45"/>
        <v>0</v>
      </c>
      <c r="AF73" s="15"/>
      <c r="AG73" s="15"/>
      <c r="AH73" s="15"/>
      <c r="AI73" s="15"/>
      <c r="AJ73" s="15"/>
      <c r="AK73" s="15"/>
      <c r="AL73" s="15"/>
      <c r="AM73" s="15">
        <f t="shared" si="46"/>
        <v>0</v>
      </c>
      <c r="AN73" s="15"/>
      <c r="AO73" s="15"/>
      <c r="AP73" s="15"/>
      <c r="AQ73" s="15"/>
      <c r="AR73" s="15"/>
      <c r="AS73" s="15"/>
      <c r="AT73" s="15">
        <f t="shared" si="47"/>
        <v>0</v>
      </c>
      <c r="AU73" s="15"/>
      <c r="AV73" s="15"/>
      <c r="AW73" s="15"/>
      <c r="AX73" s="15"/>
      <c r="AY73" s="15"/>
      <c r="AZ73" s="15"/>
      <c r="BA73" s="15">
        <f t="shared" si="48"/>
        <v>0</v>
      </c>
      <c r="BB73" s="15"/>
      <c r="BC73" s="15"/>
      <c r="BD73" s="15"/>
      <c r="BE73" s="15"/>
      <c r="BF73" s="15"/>
      <c r="BG73" s="15"/>
      <c r="BH73" s="15">
        <f t="shared" si="49"/>
        <v>0</v>
      </c>
      <c r="BI73" s="15"/>
      <c r="BJ73" s="15"/>
      <c r="BK73" s="15"/>
      <c r="BL73" s="15"/>
      <c r="BM73" s="15"/>
      <c r="BN73" s="15"/>
      <c r="BO73" s="15">
        <f t="shared" si="50"/>
        <v>0</v>
      </c>
      <c r="BP73" s="15"/>
      <c r="BQ73" s="15"/>
      <c r="BR73" s="15"/>
      <c r="BS73" s="15"/>
      <c r="BT73" s="15"/>
      <c r="BU73" s="15"/>
      <c r="BV73" s="15"/>
      <c r="BW73" s="15">
        <f t="shared" si="51"/>
        <v>0</v>
      </c>
      <c r="BX73" s="15"/>
      <c r="BY73" s="15"/>
      <c r="BZ73" s="15"/>
      <c r="CA73" s="15"/>
      <c r="CB73" s="15"/>
      <c r="CC73" s="15"/>
      <c r="CD73" s="15">
        <f t="shared" si="52"/>
        <v>0</v>
      </c>
      <c r="CE73" s="15"/>
      <c r="CF73" s="15"/>
      <c r="CG73" s="15"/>
      <c r="CH73" s="15"/>
      <c r="CI73" s="15"/>
      <c r="CJ73" s="15"/>
      <c r="CK73" s="15">
        <f t="shared" si="53"/>
        <v>0</v>
      </c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</row>
    <row r="74" spans="1:104" x14ac:dyDescent="0.25">
      <c r="A74" s="8" t="s">
        <v>66</v>
      </c>
      <c r="B74" s="15"/>
      <c r="C74" s="15"/>
      <c r="D74" s="15">
        <v>0</v>
      </c>
      <c r="E74" s="15">
        <v>0</v>
      </c>
      <c r="F74" s="15">
        <v>0</v>
      </c>
      <c r="G74" s="15">
        <v>0</v>
      </c>
      <c r="H74" s="15">
        <v>8054075100</v>
      </c>
      <c r="I74" s="15">
        <v>0</v>
      </c>
      <c r="J74" s="15">
        <f t="shared" si="42"/>
        <v>8054075100</v>
      </c>
      <c r="K74" s="15"/>
      <c r="L74" s="15">
        <v>0</v>
      </c>
      <c r="M74" s="15">
        <v>0</v>
      </c>
      <c r="N74" s="15">
        <v>0</v>
      </c>
      <c r="O74" s="15">
        <v>0</v>
      </c>
      <c r="P74" s="15"/>
      <c r="Q74" s="15">
        <f t="shared" si="43"/>
        <v>0</v>
      </c>
      <c r="R74" s="15"/>
      <c r="S74" s="15"/>
      <c r="T74" s="15"/>
      <c r="U74" s="15"/>
      <c r="V74" s="15"/>
      <c r="W74" s="15"/>
      <c r="X74" s="15">
        <f t="shared" si="44"/>
        <v>0</v>
      </c>
      <c r="Y74" s="15"/>
      <c r="Z74" s="15"/>
      <c r="AA74" s="15"/>
      <c r="AB74" s="15"/>
      <c r="AC74" s="15"/>
      <c r="AD74" s="15"/>
      <c r="AE74" s="15">
        <f t="shared" si="45"/>
        <v>0</v>
      </c>
      <c r="AF74" s="15"/>
      <c r="AG74" s="15"/>
      <c r="AH74" s="15"/>
      <c r="AI74" s="15"/>
      <c r="AJ74" s="15"/>
      <c r="AK74" s="15"/>
      <c r="AL74" s="15"/>
      <c r="AM74" s="15">
        <f t="shared" si="46"/>
        <v>0</v>
      </c>
      <c r="AN74" s="15"/>
      <c r="AO74" s="15"/>
      <c r="AP74" s="15"/>
      <c r="AQ74" s="15"/>
      <c r="AR74" s="15"/>
      <c r="AS74" s="15"/>
      <c r="AT74" s="15">
        <f t="shared" si="47"/>
        <v>0</v>
      </c>
      <c r="AU74" s="15"/>
      <c r="AV74" s="15"/>
      <c r="AW74" s="15"/>
      <c r="AX74" s="15"/>
      <c r="AY74" s="15"/>
      <c r="AZ74" s="15"/>
      <c r="BA74" s="15">
        <f t="shared" si="48"/>
        <v>0</v>
      </c>
      <c r="BB74" s="15"/>
      <c r="BC74" s="15"/>
      <c r="BD74" s="15"/>
      <c r="BE74" s="15"/>
      <c r="BF74" s="15"/>
      <c r="BG74" s="15"/>
      <c r="BH74" s="15">
        <f t="shared" si="49"/>
        <v>0</v>
      </c>
      <c r="BI74" s="15"/>
      <c r="BJ74" s="15"/>
      <c r="BK74" s="15"/>
      <c r="BL74" s="15"/>
      <c r="BM74" s="15"/>
      <c r="BN74" s="15"/>
      <c r="BO74" s="15">
        <f t="shared" si="50"/>
        <v>0</v>
      </c>
      <c r="BP74" s="15"/>
      <c r="BQ74" s="15"/>
      <c r="BR74" s="15"/>
      <c r="BS74" s="15"/>
      <c r="BT74" s="15"/>
      <c r="BU74" s="15"/>
      <c r="BV74" s="15"/>
      <c r="BW74" s="15">
        <f t="shared" si="51"/>
        <v>0</v>
      </c>
      <c r="BX74" s="15"/>
      <c r="BY74" s="15"/>
      <c r="BZ74" s="15"/>
      <c r="CA74" s="15"/>
      <c r="CB74" s="15"/>
      <c r="CC74" s="15"/>
      <c r="CD74" s="15">
        <f t="shared" si="52"/>
        <v>0</v>
      </c>
      <c r="CE74" s="15"/>
      <c r="CF74" s="15"/>
      <c r="CG74" s="15"/>
      <c r="CH74" s="15"/>
      <c r="CI74" s="15"/>
      <c r="CJ74" s="15"/>
      <c r="CK74" s="15">
        <f t="shared" si="53"/>
        <v>0</v>
      </c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</row>
    <row r="75" spans="1:104" x14ac:dyDescent="0.25">
      <c r="A75" s="8" t="s">
        <v>67</v>
      </c>
      <c r="B75" s="15"/>
      <c r="C75" s="15"/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f t="shared" si="42"/>
        <v>0</v>
      </c>
      <c r="K75" s="15"/>
      <c r="L75" s="15">
        <v>0</v>
      </c>
      <c r="M75" s="15">
        <v>0</v>
      </c>
      <c r="N75" s="15">
        <v>0</v>
      </c>
      <c r="O75" s="15">
        <v>0</v>
      </c>
      <c r="P75" s="15"/>
      <c r="Q75" s="15">
        <f t="shared" si="43"/>
        <v>0</v>
      </c>
      <c r="R75" s="15"/>
      <c r="S75" s="15"/>
      <c r="T75" s="15"/>
      <c r="U75" s="15"/>
      <c r="V75" s="15"/>
      <c r="W75" s="15"/>
      <c r="X75" s="15">
        <f t="shared" si="44"/>
        <v>0</v>
      </c>
      <c r="Y75" s="15"/>
      <c r="Z75" s="15"/>
      <c r="AA75" s="15"/>
      <c r="AB75" s="15"/>
      <c r="AC75" s="15"/>
      <c r="AD75" s="15"/>
      <c r="AE75" s="15">
        <f t="shared" si="45"/>
        <v>0</v>
      </c>
      <c r="AF75" s="15"/>
      <c r="AG75" s="15"/>
      <c r="AH75" s="15"/>
      <c r="AI75" s="15"/>
      <c r="AJ75" s="15"/>
      <c r="AK75" s="15"/>
      <c r="AL75" s="15"/>
      <c r="AM75" s="15">
        <f t="shared" si="46"/>
        <v>0</v>
      </c>
      <c r="AN75" s="15"/>
      <c r="AO75" s="15"/>
      <c r="AP75" s="15"/>
      <c r="AQ75" s="15"/>
      <c r="AR75" s="15"/>
      <c r="AS75" s="15"/>
      <c r="AT75" s="15">
        <f t="shared" si="47"/>
        <v>0</v>
      </c>
      <c r="AU75" s="15"/>
      <c r="AV75" s="15"/>
      <c r="AW75" s="15"/>
      <c r="AX75" s="15"/>
      <c r="AY75" s="15"/>
      <c r="AZ75" s="15"/>
      <c r="BA75" s="15">
        <f t="shared" si="48"/>
        <v>0</v>
      </c>
      <c r="BB75" s="15"/>
      <c r="BC75" s="15"/>
      <c r="BD75" s="15"/>
      <c r="BE75" s="15"/>
      <c r="BF75" s="15"/>
      <c r="BG75" s="15"/>
      <c r="BH75" s="15">
        <f t="shared" si="49"/>
        <v>0</v>
      </c>
      <c r="BI75" s="15"/>
      <c r="BJ75" s="15"/>
      <c r="BK75" s="15"/>
      <c r="BL75" s="15"/>
      <c r="BM75" s="15"/>
      <c r="BN75" s="15"/>
      <c r="BO75" s="15">
        <f t="shared" si="50"/>
        <v>0</v>
      </c>
      <c r="BP75" s="15"/>
      <c r="BQ75" s="15"/>
      <c r="BR75" s="15"/>
      <c r="BS75" s="15"/>
      <c r="BT75" s="15"/>
      <c r="BU75" s="15"/>
      <c r="BV75" s="15"/>
      <c r="BW75" s="15">
        <f t="shared" si="51"/>
        <v>0</v>
      </c>
      <c r="BX75" s="15"/>
      <c r="BY75" s="15"/>
      <c r="BZ75" s="15"/>
      <c r="CA75" s="15"/>
      <c r="CB75" s="15"/>
      <c r="CC75" s="15"/>
      <c r="CD75" s="15">
        <f t="shared" si="52"/>
        <v>0</v>
      </c>
      <c r="CE75" s="15"/>
      <c r="CF75" s="15"/>
      <c r="CG75" s="15"/>
      <c r="CH75" s="15"/>
      <c r="CI75" s="15"/>
      <c r="CJ75" s="15"/>
      <c r="CK75" s="15">
        <f t="shared" si="53"/>
        <v>0</v>
      </c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</row>
    <row r="76" spans="1:104" x14ac:dyDescent="0.25">
      <c r="A76" s="8" t="s">
        <v>68</v>
      </c>
      <c r="B76" s="15"/>
      <c r="C76" s="15"/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f t="shared" si="42"/>
        <v>0</v>
      </c>
      <c r="K76" s="15"/>
      <c r="L76" s="15">
        <v>50000</v>
      </c>
      <c r="M76" s="15">
        <v>0</v>
      </c>
      <c r="N76" s="15">
        <v>0</v>
      </c>
      <c r="O76" s="15">
        <v>0</v>
      </c>
      <c r="P76" s="15"/>
      <c r="Q76" s="15">
        <f t="shared" si="43"/>
        <v>50000</v>
      </c>
      <c r="R76" s="15"/>
      <c r="S76" s="15"/>
      <c r="T76" s="15"/>
      <c r="U76" s="15"/>
      <c r="V76" s="15"/>
      <c r="W76" s="15"/>
      <c r="X76" s="15">
        <f t="shared" si="44"/>
        <v>0</v>
      </c>
      <c r="Y76" s="15"/>
      <c r="Z76" s="15"/>
      <c r="AA76" s="15"/>
      <c r="AB76" s="15"/>
      <c r="AC76" s="15"/>
      <c r="AD76" s="15"/>
      <c r="AE76" s="15">
        <f t="shared" si="45"/>
        <v>0</v>
      </c>
      <c r="AF76" s="15"/>
      <c r="AG76" s="15"/>
      <c r="AH76" s="15"/>
      <c r="AI76" s="15"/>
      <c r="AJ76" s="15"/>
      <c r="AK76" s="15"/>
      <c r="AL76" s="15"/>
      <c r="AM76" s="15">
        <f t="shared" si="46"/>
        <v>0</v>
      </c>
      <c r="AN76" s="15"/>
      <c r="AO76" s="15"/>
      <c r="AP76" s="15"/>
      <c r="AQ76" s="15"/>
      <c r="AR76" s="15"/>
      <c r="AS76" s="15"/>
      <c r="AT76" s="15">
        <f t="shared" si="47"/>
        <v>0</v>
      </c>
      <c r="AU76" s="15"/>
      <c r="AV76" s="15"/>
      <c r="AW76" s="15"/>
      <c r="AX76" s="15"/>
      <c r="AY76" s="15"/>
      <c r="AZ76" s="15"/>
      <c r="BA76" s="15">
        <f t="shared" si="48"/>
        <v>0</v>
      </c>
      <c r="BB76" s="15"/>
      <c r="BC76" s="15"/>
      <c r="BD76" s="15"/>
      <c r="BE76" s="15"/>
      <c r="BF76" s="15"/>
      <c r="BG76" s="15"/>
      <c r="BH76" s="15">
        <f t="shared" si="49"/>
        <v>0</v>
      </c>
      <c r="BI76" s="15"/>
      <c r="BJ76" s="15"/>
      <c r="BK76" s="15"/>
      <c r="BL76" s="15"/>
      <c r="BM76" s="15"/>
      <c r="BN76" s="15"/>
      <c r="BO76" s="15">
        <f t="shared" si="50"/>
        <v>0</v>
      </c>
      <c r="BP76" s="15"/>
      <c r="BQ76" s="15"/>
      <c r="BR76" s="15"/>
      <c r="BS76" s="15"/>
      <c r="BT76" s="15"/>
      <c r="BU76" s="15"/>
      <c r="BV76" s="15"/>
      <c r="BW76" s="15">
        <f t="shared" si="51"/>
        <v>0</v>
      </c>
      <c r="BX76" s="15"/>
      <c r="BY76" s="15"/>
      <c r="BZ76" s="15"/>
      <c r="CA76" s="15"/>
      <c r="CB76" s="15"/>
      <c r="CC76" s="15"/>
      <c r="CD76" s="15">
        <f t="shared" si="52"/>
        <v>0</v>
      </c>
      <c r="CE76" s="15"/>
      <c r="CF76" s="15"/>
      <c r="CG76" s="15"/>
      <c r="CH76" s="15"/>
      <c r="CI76" s="15"/>
      <c r="CJ76" s="15"/>
      <c r="CK76" s="15">
        <f t="shared" si="53"/>
        <v>0</v>
      </c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</row>
    <row r="77" spans="1:104" x14ac:dyDescent="0.25">
      <c r="A77" s="8" t="s">
        <v>69</v>
      </c>
      <c r="B77" s="15"/>
      <c r="C77" s="15"/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f t="shared" si="42"/>
        <v>0</v>
      </c>
      <c r="K77" s="15"/>
      <c r="L77" s="15">
        <v>0</v>
      </c>
      <c r="M77" s="15">
        <v>600000</v>
      </c>
      <c r="N77" s="15">
        <v>0</v>
      </c>
      <c r="O77" s="15">
        <v>0</v>
      </c>
      <c r="P77" s="15"/>
      <c r="Q77" s="15">
        <f t="shared" si="43"/>
        <v>600000</v>
      </c>
      <c r="R77" s="15"/>
      <c r="S77" s="15"/>
      <c r="T77" s="15"/>
      <c r="U77" s="15"/>
      <c r="V77" s="15"/>
      <c r="W77" s="15"/>
      <c r="X77" s="15">
        <f t="shared" si="44"/>
        <v>0</v>
      </c>
      <c r="Y77" s="15"/>
      <c r="Z77" s="15"/>
      <c r="AA77" s="15"/>
      <c r="AB77" s="15"/>
      <c r="AC77" s="15"/>
      <c r="AD77" s="15"/>
      <c r="AE77" s="15">
        <f t="shared" si="45"/>
        <v>0</v>
      </c>
      <c r="AF77" s="15"/>
      <c r="AG77" s="15"/>
      <c r="AH77" s="15"/>
      <c r="AI77" s="15"/>
      <c r="AJ77" s="15"/>
      <c r="AK77" s="15"/>
      <c r="AL77" s="15"/>
      <c r="AM77" s="15">
        <f t="shared" si="46"/>
        <v>0</v>
      </c>
      <c r="AN77" s="15"/>
      <c r="AO77" s="15"/>
      <c r="AP77" s="15"/>
      <c r="AQ77" s="15"/>
      <c r="AR77" s="15"/>
      <c r="AS77" s="15"/>
      <c r="AT77" s="15">
        <f t="shared" si="47"/>
        <v>0</v>
      </c>
      <c r="AU77" s="15"/>
      <c r="AV77" s="15"/>
      <c r="AW77" s="15"/>
      <c r="AX77" s="15"/>
      <c r="AY77" s="15"/>
      <c r="AZ77" s="15"/>
      <c r="BA77" s="15">
        <f t="shared" si="48"/>
        <v>0</v>
      </c>
      <c r="BB77" s="15"/>
      <c r="BC77" s="15"/>
      <c r="BD77" s="15"/>
      <c r="BE77" s="15"/>
      <c r="BF77" s="15"/>
      <c r="BG77" s="15"/>
      <c r="BH77" s="15">
        <f t="shared" si="49"/>
        <v>0</v>
      </c>
      <c r="BI77" s="15"/>
      <c r="BJ77" s="15"/>
      <c r="BK77" s="15"/>
      <c r="BL77" s="15"/>
      <c r="BM77" s="15"/>
      <c r="BN77" s="15"/>
      <c r="BO77" s="15">
        <f t="shared" si="50"/>
        <v>0</v>
      </c>
      <c r="BP77" s="15"/>
      <c r="BQ77" s="15"/>
      <c r="BR77" s="15"/>
      <c r="BS77" s="15"/>
      <c r="BT77" s="15"/>
      <c r="BU77" s="15"/>
      <c r="BV77" s="15"/>
      <c r="BW77" s="15">
        <f t="shared" si="51"/>
        <v>0</v>
      </c>
      <c r="BX77" s="15"/>
      <c r="BY77" s="15"/>
      <c r="BZ77" s="15"/>
      <c r="CA77" s="15"/>
      <c r="CB77" s="15"/>
      <c r="CC77" s="15"/>
      <c r="CD77" s="15">
        <f t="shared" si="52"/>
        <v>0</v>
      </c>
      <c r="CE77" s="15"/>
      <c r="CF77" s="15"/>
      <c r="CG77" s="15"/>
      <c r="CH77" s="15"/>
      <c r="CI77" s="15"/>
      <c r="CJ77" s="15"/>
      <c r="CK77" s="15">
        <f t="shared" si="53"/>
        <v>0</v>
      </c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</row>
    <row r="78" spans="1:104" x14ac:dyDescent="0.25">
      <c r="A78" s="6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</row>
    <row r="79" spans="1:104" x14ac:dyDescent="0.25">
      <c r="A79" s="10" t="s">
        <v>35</v>
      </c>
      <c r="B79" s="16">
        <f>SUM(B66:B78)</f>
        <v>0</v>
      </c>
      <c r="C79" s="16">
        <f t="shared" ref="C79:BN79" si="54">SUM(C66:C78)</f>
        <v>0</v>
      </c>
      <c r="D79" s="16">
        <f t="shared" si="54"/>
        <v>20000</v>
      </c>
      <c r="E79" s="16">
        <f t="shared" si="54"/>
        <v>2011783434.5</v>
      </c>
      <c r="F79" s="16">
        <f t="shared" si="54"/>
        <v>6408708377.2399998</v>
      </c>
      <c r="G79" s="16">
        <f t="shared" si="54"/>
        <v>2210570047.9000001</v>
      </c>
      <c r="H79" s="16">
        <f t="shared" si="54"/>
        <v>18183756889.34</v>
      </c>
      <c r="I79" s="16">
        <f t="shared" si="54"/>
        <v>2028294259.5999999</v>
      </c>
      <c r="J79" s="16">
        <f t="shared" si="54"/>
        <v>30843133008.580002</v>
      </c>
      <c r="K79" s="16">
        <f t="shared" si="54"/>
        <v>0</v>
      </c>
      <c r="L79" s="16">
        <f t="shared" si="54"/>
        <v>1946599591</v>
      </c>
      <c r="M79" s="16">
        <f t="shared" si="54"/>
        <v>2590578075.6630001</v>
      </c>
      <c r="N79" s="16">
        <f t="shared" si="54"/>
        <v>4014154871</v>
      </c>
      <c r="O79" s="16">
        <f t="shared" si="54"/>
        <v>82705700</v>
      </c>
      <c r="P79" s="16">
        <f t="shared" si="54"/>
        <v>0</v>
      </c>
      <c r="Q79" s="16">
        <f t="shared" si="54"/>
        <v>8634038237.6630001</v>
      </c>
      <c r="R79" s="16">
        <f t="shared" si="54"/>
        <v>0</v>
      </c>
      <c r="S79" s="16">
        <f t="shared" si="54"/>
        <v>0</v>
      </c>
      <c r="T79" s="16">
        <f t="shared" si="54"/>
        <v>0</v>
      </c>
      <c r="U79" s="16">
        <f t="shared" si="54"/>
        <v>0</v>
      </c>
      <c r="V79" s="16">
        <f t="shared" si="54"/>
        <v>0</v>
      </c>
      <c r="W79" s="16">
        <f t="shared" si="54"/>
        <v>0</v>
      </c>
      <c r="X79" s="16">
        <f t="shared" si="54"/>
        <v>0</v>
      </c>
      <c r="Y79" s="16">
        <f t="shared" si="54"/>
        <v>0</v>
      </c>
      <c r="Z79" s="16">
        <f t="shared" si="54"/>
        <v>0</v>
      </c>
      <c r="AA79" s="16">
        <f t="shared" si="54"/>
        <v>0</v>
      </c>
      <c r="AB79" s="16">
        <f t="shared" si="54"/>
        <v>0</v>
      </c>
      <c r="AC79" s="16">
        <f t="shared" si="54"/>
        <v>0</v>
      </c>
      <c r="AD79" s="16">
        <f t="shared" si="54"/>
        <v>0</v>
      </c>
      <c r="AE79" s="16">
        <f t="shared" si="54"/>
        <v>0</v>
      </c>
      <c r="AF79" s="16">
        <f t="shared" si="54"/>
        <v>0</v>
      </c>
      <c r="AG79" s="16">
        <f t="shared" si="54"/>
        <v>0</v>
      </c>
      <c r="AH79" s="16">
        <f t="shared" si="54"/>
        <v>0</v>
      </c>
      <c r="AI79" s="16">
        <f t="shared" si="54"/>
        <v>0</v>
      </c>
      <c r="AJ79" s="16">
        <f t="shared" si="54"/>
        <v>0</v>
      </c>
      <c r="AK79" s="16">
        <f t="shared" si="54"/>
        <v>0</v>
      </c>
      <c r="AL79" s="16">
        <f t="shared" si="54"/>
        <v>0</v>
      </c>
      <c r="AM79" s="16">
        <f t="shared" si="54"/>
        <v>0</v>
      </c>
      <c r="AN79" s="16">
        <f t="shared" si="54"/>
        <v>0</v>
      </c>
      <c r="AO79" s="16">
        <f t="shared" si="54"/>
        <v>0</v>
      </c>
      <c r="AP79" s="16">
        <f t="shared" si="54"/>
        <v>0</v>
      </c>
      <c r="AQ79" s="16">
        <f t="shared" si="54"/>
        <v>0</v>
      </c>
      <c r="AR79" s="16">
        <f t="shared" si="54"/>
        <v>0</v>
      </c>
      <c r="AS79" s="16">
        <f t="shared" si="54"/>
        <v>0</v>
      </c>
      <c r="AT79" s="16">
        <f t="shared" si="54"/>
        <v>0</v>
      </c>
      <c r="AU79" s="16">
        <f t="shared" si="54"/>
        <v>0</v>
      </c>
      <c r="AV79" s="16">
        <f t="shared" si="54"/>
        <v>0</v>
      </c>
      <c r="AW79" s="16">
        <f t="shared" si="54"/>
        <v>0</v>
      </c>
      <c r="AX79" s="16">
        <f t="shared" si="54"/>
        <v>0</v>
      </c>
      <c r="AY79" s="16">
        <f t="shared" si="54"/>
        <v>0</v>
      </c>
      <c r="AZ79" s="16">
        <f t="shared" si="54"/>
        <v>0</v>
      </c>
      <c r="BA79" s="16">
        <f t="shared" si="54"/>
        <v>0</v>
      </c>
      <c r="BB79" s="16">
        <f t="shared" si="54"/>
        <v>0</v>
      </c>
      <c r="BC79" s="16">
        <f t="shared" si="54"/>
        <v>0</v>
      </c>
      <c r="BD79" s="16">
        <f t="shared" si="54"/>
        <v>0</v>
      </c>
      <c r="BE79" s="16">
        <f t="shared" si="54"/>
        <v>0</v>
      </c>
      <c r="BF79" s="16">
        <f t="shared" si="54"/>
        <v>0</v>
      </c>
      <c r="BG79" s="16">
        <f t="shared" si="54"/>
        <v>0</v>
      </c>
      <c r="BH79" s="16">
        <f t="shared" si="54"/>
        <v>0</v>
      </c>
      <c r="BI79" s="16">
        <f t="shared" si="54"/>
        <v>0</v>
      </c>
      <c r="BJ79" s="16">
        <f t="shared" si="54"/>
        <v>0</v>
      </c>
      <c r="BK79" s="16">
        <f t="shared" si="54"/>
        <v>0</v>
      </c>
      <c r="BL79" s="16">
        <f t="shared" si="54"/>
        <v>0</v>
      </c>
      <c r="BM79" s="16">
        <f t="shared" si="54"/>
        <v>0</v>
      </c>
      <c r="BN79" s="16">
        <f t="shared" si="54"/>
        <v>0</v>
      </c>
      <c r="BO79" s="16">
        <f t="shared" ref="BO79:CK79" si="55">SUM(BO66:BO78)</f>
        <v>0</v>
      </c>
      <c r="BP79" s="16">
        <f t="shared" si="55"/>
        <v>0</v>
      </c>
      <c r="BQ79" s="16">
        <f t="shared" si="55"/>
        <v>0</v>
      </c>
      <c r="BR79" s="16">
        <f t="shared" si="55"/>
        <v>0</v>
      </c>
      <c r="BS79" s="16">
        <f t="shared" si="55"/>
        <v>0</v>
      </c>
      <c r="BT79" s="16">
        <f t="shared" si="55"/>
        <v>0</v>
      </c>
      <c r="BU79" s="16">
        <f t="shared" si="55"/>
        <v>0</v>
      </c>
      <c r="BV79" s="16">
        <f t="shared" si="55"/>
        <v>0</v>
      </c>
      <c r="BW79" s="16">
        <f t="shared" si="55"/>
        <v>0</v>
      </c>
      <c r="BX79" s="16">
        <f t="shared" si="55"/>
        <v>0</v>
      </c>
      <c r="BY79" s="16">
        <f t="shared" si="55"/>
        <v>0</v>
      </c>
      <c r="BZ79" s="16">
        <f t="shared" si="55"/>
        <v>0</v>
      </c>
      <c r="CA79" s="16">
        <f t="shared" si="55"/>
        <v>0</v>
      </c>
      <c r="CB79" s="16">
        <f t="shared" si="55"/>
        <v>0</v>
      </c>
      <c r="CC79" s="16">
        <f t="shared" si="55"/>
        <v>0</v>
      </c>
      <c r="CD79" s="16">
        <f t="shared" si="55"/>
        <v>0</v>
      </c>
      <c r="CE79" s="16">
        <f t="shared" si="55"/>
        <v>0</v>
      </c>
      <c r="CF79" s="16">
        <f t="shared" si="55"/>
        <v>0</v>
      </c>
      <c r="CG79" s="16">
        <f t="shared" si="55"/>
        <v>0</v>
      </c>
      <c r="CH79" s="16">
        <f t="shared" si="55"/>
        <v>0</v>
      </c>
      <c r="CI79" s="16">
        <f t="shared" si="55"/>
        <v>0</v>
      </c>
      <c r="CJ79" s="16">
        <f t="shared" si="55"/>
        <v>0</v>
      </c>
      <c r="CK79" s="16">
        <f t="shared" si="55"/>
        <v>0</v>
      </c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</row>
    <row r="80" spans="1:104" x14ac:dyDescent="0.25">
      <c r="A80" s="6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</row>
    <row r="81" spans="1:104" x14ac:dyDescent="0.25">
      <c r="A81" s="8" t="s">
        <v>33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</row>
    <row r="82" spans="1:104" x14ac:dyDescent="0.25">
      <c r="A82" s="8" t="s">
        <v>36</v>
      </c>
      <c r="B82" s="15">
        <f>IFERROR(B45/B81,)</f>
        <v>0</v>
      </c>
      <c r="C82" s="15">
        <f t="shared" ref="B82:AG82" si="56">IFERROR(C45/C81,)</f>
        <v>0</v>
      </c>
      <c r="D82" s="15">
        <f t="shared" si="56"/>
        <v>0</v>
      </c>
      <c r="E82" s="15">
        <f t="shared" si="56"/>
        <v>0</v>
      </c>
      <c r="F82" s="15">
        <f t="shared" si="56"/>
        <v>0</v>
      </c>
      <c r="G82" s="15">
        <f t="shared" si="56"/>
        <v>0</v>
      </c>
      <c r="H82" s="15">
        <f t="shared" si="56"/>
        <v>0</v>
      </c>
      <c r="I82" s="15">
        <f t="shared" si="56"/>
        <v>0</v>
      </c>
      <c r="J82" s="15">
        <f t="shared" si="56"/>
        <v>0</v>
      </c>
      <c r="K82" s="15">
        <f t="shared" si="56"/>
        <v>0</v>
      </c>
      <c r="L82" s="15">
        <f t="shared" si="56"/>
        <v>0</v>
      </c>
      <c r="M82" s="15">
        <f t="shared" si="56"/>
        <v>0</v>
      </c>
      <c r="N82" s="15">
        <f t="shared" si="56"/>
        <v>0</v>
      </c>
      <c r="O82" s="15">
        <f t="shared" si="56"/>
        <v>0</v>
      </c>
      <c r="P82" s="15">
        <f t="shared" si="56"/>
        <v>0</v>
      </c>
      <c r="Q82" s="15">
        <f t="shared" si="56"/>
        <v>0</v>
      </c>
      <c r="R82" s="15">
        <f t="shared" si="56"/>
        <v>0</v>
      </c>
      <c r="S82" s="15">
        <f t="shared" si="56"/>
        <v>0</v>
      </c>
      <c r="T82" s="15">
        <f t="shared" si="56"/>
        <v>0</v>
      </c>
      <c r="U82" s="15">
        <f t="shared" si="56"/>
        <v>0</v>
      </c>
      <c r="V82" s="15">
        <f t="shared" si="56"/>
        <v>0</v>
      </c>
      <c r="W82" s="15">
        <f t="shared" si="56"/>
        <v>0</v>
      </c>
      <c r="X82" s="15">
        <f t="shared" si="56"/>
        <v>0</v>
      </c>
      <c r="Y82" s="15">
        <f t="shared" si="56"/>
        <v>0</v>
      </c>
      <c r="Z82" s="15">
        <f t="shared" si="56"/>
        <v>0</v>
      </c>
      <c r="AA82" s="15">
        <f t="shared" si="56"/>
        <v>0</v>
      </c>
      <c r="AB82" s="15">
        <f t="shared" si="56"/>
        <v>0</v>
      </c>
      <c r="AC82" s="15">
        <f t="shared" si="56"/>
        <v>0</v>
      </c>
      <c r="AD82" s="15">
        <f t="shared" si="56"/>
        <v>0</v>
      </c>
      <c r="AE82" s="15">
        <f t="shared" si="56"/>
        <v>0</v>
      </c>
      <c r="AF82" s="15">
        <f t="shared" si="56"/>
        <v>0</v>
      </c>
      <c r="AG82" s="15">
        <f t="shared" si="56"/>
        <v>0</v>
      </c>
      <c r="AH82" s="15">
        <f t="shared" ref="AH82:BM82" si="57">IFERROR(AH45/AH81,)</f>
        <v>0</v>
      </c>
      <c r="AI82" s="15">
        <f t="shared" si="57"/>
        <v>0</v>
      </c>
      <c r="AJ82" s="15">
        <f t="shared" si="57"/>
        <v>0</v>
      </c>
      <c r="AK82" s="15">
        <f t="shared" si="57"/>
        <v>0</v>
      </c>
      <c r="AL82" s="15">
        <f t="shared" si="57"/>
        <v>0</v>
      </c>
      <c r="AM82" s="15">
        <f t="shared" si="57"/>
        <v>0</v>
      </c>
      <c r="AN82" s="15">
        <f t="shared" si="57"/>
        <v>0</v>
      </c>
      <c r="AO82" s="15">
        <f t="shared" si="57"/>
        <v>0</v>
      </c>
      <c r="AP82" s="15">
        <f t="shared" si="57"/>
        <v>0</v>
      </c>
      <c r="AQ82" s="15">
        <f t="shared" si="57"/>
        <v>0</v>
      </c>
      <c r="AR82" s="15">
        <f t="shared" si="57"/>
        <v>0</v>
      </c>
      <c r="AS82" s="15">
        <f t="shared" si="57"/>
        <v>0</v>
      </c>
      <c r="AT82" s="15">
        <f t="shared" si="57"/>
        <v>0</v>
      </c>
      <c r="AU82" s="15">
        <f t="shared" si="57"/>
        <v>0</v>
      </c>
      <c r="AV82" s="15">
        <f t="shared" si="57"/>
        <v>0</v>
      </c>
      <c r="AW82" s="15">
        <f t="shared" si="57"/>
        <v>0</v>
      </c>
      <c r="AX82" s="15">
        <f t="shared" si="57"/>
        <v>0</v>
      </c>
      <c r="AY82" s="15">
        <f t="shared" si="57"/>
        <v>0</v>
      </c>
      <c r="AZ82" s="15">
        <f t="shared" si="57"/>
        <v>0</v>
      </c>
      <c r="BA82" s="15">
        <f t="shared" si="57"/>
        <v>0</v>
      </c>
      <c r="BB82" s="15">
        <f t="shared" si="57"/>
        <v>0</v>
      </c>
      <c r="BC82" s="15">
        <f t="shared" si="57"/>
        <v>0</v>
      </c>
      <c r="BD82" s="15">
        <f t="shared" si="57"/>
        <v>0</v>
      </c>
      <c r="BE82" s="15">
        <f t="shared" si="57"/>
        <v>0</v>
      </c>
      <c r="BF82" s="15">
        <f t="shared" si="57"/>
        <v>0</v>
      </c>
      <c r="BG82" s="15">
        <f t="shared" si="57"/>
        <v>0</v>
      </c>
      <c r="BH82" s="15">
        <f t="shared" si="57"/>
        <v>0</v>
      </c>
      <c r="BI82" s="15">
        <f t="shared" si="57"/>
        <v>0</v>
      </c>
      <c r="BJ82" s="15">
        <f t="shared" si="57"/>
        <v>0</v>
      </c>
      <c r="BK82" s="15">
        <f t="shared" si="57"/>
        <v>0</v>
      </c>
      <c r="BL82" s="15">
        <f t="shared" si="57"/>
        <v>0</v>
      </c>
      <c r="BM82" s="15">
        <f t="shared" si="57"/>
        <v>0</v>
      </c>
      <c r="BN82" s="15">
        <f t="shared" ref="BN82:CK82" si="58">IFERROR(BN45/BN81,)</f>
        <v>0</v>
      </c>
      <c r="BO82" s="15">
        <f t="shared" si="58"/>
        <v>0</v>
      </c>
      <c r="BP82" s="15">
        <f t="shared" si="58"/>
        <v>0</v>
      </c>
      <c r="BQ82" s="15">
        <f t="shared" si="58"/>
        <v>0</v>
      </c>
      <c r="BR82" s="15">
        <f t="shared" si="58"/>
        <v>0</v>
      </c>
      <c r="BS82" s="15">
        <f t="shared" si="58"/>
        <v>0</v>
      </c>
      <c r="BT82" s="15">
        <f t="shared" si="58"/>
        <v>0</v>
      </c>
      <c r="BU82" s="15">
        <f t="shared" si="58"/>
        <v>0</v>
      </c>
      <c r="BV82" s="15">
        <f t="shared" si="58"/>
        <v>0</v>
      </c>
      <c r="BW82" s="15">
        <f t="shared" si="58"/>
        <v>0</v>
      </c>
      <c r="BX82" s="15">
        <f t="shared" si="58"/>
        <v>0</v>
      </c>
      <c r="BY82" s="15">
        <f t="shared" si="58"/>
        <v>0</v>
      </c>
      <c r="BZ82" s="15">
        <f t="shared" si="58"/>
        <v>0</v>
      </c>
      <c r="CA82" s="15">
        <f t="shared" si="58"/>
        <v>0</v>
      </c>
      <c r="CB82" s="15">
        <f t="shared" si="58"/>
        <v>0</v>
      </c>
      <c r="CC82" s="15">
        <f t="shared" si="58"/>
        <v>0</v>
      </c>
      <c r="CD82" s="15">
        <f t="shared" si="58"/>
        <v>0</v>
      </c>
      <c r="CE82" s="15">
        <f t="shared" si="58"/>
        <v>0</v>
      </c>
      <c r="CF82" s="15">
        <f t="shared" si="58"/>
        <v>0</v>
      </c>
      <c r="CG82" s="15">
        <f t="shared" si="58"/>
        <v>0</v>
      </c>
      <c r="CH82" s="15">
        <f t="shared" si="58"/>
        <v>0</v>
      </c>
      <c r="CI82" s="15">
        <f t="shared" si="58"/>
        <v>0</v>
      </c>
      <c r="CJ82" s="15">
        <f t="shared" si="58"/>
        <v>0</v>
      </c>
      <c r="CK82" s="15">
        <f t="shared" si="58"/>
        <v>0</v>
      </c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</row>
    <row r="83" spans="1:104" x14ac:dyDescent="0.25">
      <c r="A83" s="8" t="s">
        <v>37</v>
      </c>
      <c r="B83" s="15">
        <f>IFERROR(B79/B81,)</f>
        <v>0</v>
      </c>
      <c r="C83" s="15">
        <f t="shared" ref="C83:BN83" si="59">IFERROR(C79/C81,)</f>
        <v>0</v>
      </c>
      <c r="D83" s="15">
        <f t="shared" si="59"/>
        <v>0</v>
      </c>
      <c r="E83" s="15">
        <f t="shared" si="59"/>
        <v>0</v>
      </c>
      <c r="F83" s="15">
        <f t="shared" si="59"/>
        <v>0</v>
      </c>
      <c r="G83" s="15">
        <f t="shared" si="59"/>
        <v>0</v>
      </c>
      <c r="H83" s="15">
        <f t="shared" si="59"/>
        <v>0</v>
      </c>
      <c r="I83" s="15">
        <f t="shared" si="59"/>
        <v>0</v>
      </c>
      <c r="J83" s="15">
        <f t="shared" si="59"/>
        <v>0</v>
      </c>
      <c r="K83" s="15">
        <f t="shared" si="59"/>
        <v>0</v>
      </c>
      <c r="L83" s="15">
        <f t="shared" si="59"/>
        <v>0</v>
      </c>
      <c r="M83" s="15">
        <f t="shared" si="59"/>
        <v>0</v>
      </c>
      <c r="N83" s="15">
        <f t="shared" si="59"/>
        <v>0</v>
      </c>
      <c r="O83" s="15">
        <f t="shared" si="59"/>
        <v>0</v>
      </c>
      <c r="P83" s="15">
        <f t="shared" si="59"/>
        <v>0</v>
      </c>
      <c r="Q83" s="15">
        <f t="shared" si="59"/>
        <v>0</v>
      </c>
      <c r="R83" s="15">
        <f t="shared" si="59"/>
        <v>0</v>
      </c>
      <c r="S83" s="15">
        <f t="shared" si="59"/>
        <v>0</v>
      </c>
      <c r="T83" s="15">
        <f t="shared" si="59"/>
        <v>0</v>
      </c>
      <c r="U83" s="15">
        <f t="shared" si="59"/>
        <v>0</v>
      </c>
      <c r="V83" s="15">
        <f t="shared" si="59"/>
        <v>0</v>
      </c>
      <c r="W83" s="15">
        <f t="shared" si="59"/>
        <v>0</v>
      </c>
      <c r="X83" s="15">
        <f t="shared" si="59"/>
        <v>0</v>
      </c>
      <c r="Y83" s="15">
        <f t="shared" si="59"/>
        <v>0</v>
      </c>
      <c r="Z83" s="15">
        <f t="shared" si="59"/>
        <v>0</v>
      </c>
      <c r="AA83" s="15">
        <f t="shared" si="59"/>
        <v>0</v>
      </c>
      <c r="AB83" s="15">
        <f t="shared" si="59"/>
        <v>0</v>
      </c>
      <c r="AC83" s="15">
        <f t="shared" si="59"/>
        <v>0</v>
      </c>
      <c r="AD83" s="15">
        <f t="shared" si="59"/>
        <v>0</v>
      </c>
      <c r="AE83" s="15">
        <f t="shared" si="59"/>
        <v>0</v>
      </c>
      <c r="AF83" s="15">
        <f t="shared" si="59"/>
        <v>0</v>
      </c>
      <c r="AG83" s="15">
        <f t="shared" si="59"/>
        <v>0</v>
      </c>
      <c r="AH83" s="15">
        <f t="shared" si="59"/>
        <v>0</v>
      </c>
      <c r="AI83" s="15">
        <f t="shared" si="59"/>
        <v>0</v>
      </c>
      <c r="AJ83" s="15">
        <f t="shared" si="59"/>
        <v>0</v>
      </c>
      <c r="AK83" s="15">
        <f t="shared" si="59"/>
        <v>0</v>
      </c>
      <c r="AL83" s="15">
        <f t="shared" si="59"/>
        <v>0</v>
      </c>
      <c r="AM83" s="15">
        <f t="shared" si="59"/>
        <v>0</v>
      </c>
      <c r="AN83" s="15">
        <f t="shared" si="59"/>
        <v>0</v>
      </c>
      <c r="AO83" s="15">
        <f t="shared" si="59"/>
        <v>0</v>
      </c>
      <c r="AP83" s="15">
        <f t="shared" si="59"/>
        <v>0</v>
      </c>
      <c r="AQ83" s="15">
        <f t="shared" si="59"/>
        <v>0</v>
      </c>
      <c r="AR83" s="15">
        <f t="shared" si="59"/>
        <v>0</v>
      </c>
      <c r="AS83" s="15">
        <f t="shared" si="59"/>
        <v>0</v>
      </c>
      <c r="AT83" s="15">
        <f t="shared" si="59"/>
        <v>0</v>
      </c>
      <c r="AU83" s="15">
        <f t="shared" si="59"/>
        <v>0</v>
      </c>
      <c r="AV83" s="15">
        <f t="shared" si="59"/>
        <v>0</v>
      </c>
      <c r="AW83" s="15">
        <f t="shared" si="59"/>
        <v>0</v>
      </c>
      <c r="AX83" s="15">
        <f t="shared" si="59"/>
        <v>0</v>
      </c>
      <c r="AY83" s="15">
        <f t="shared" si="59"/>
        <v>0</v>
      </c>
      <c r="AZ83" s="15">
        <f t="shared" si="59"/>
        <v>0</v>
      </c>
      <c r="BA83" s="15">
        <f t="shared" si="59"/>
        <v>0</v>
      </c>
      <c r="BB83" s="15">
        <f t="shared" si="59"/>
        <v>0</v>
      </c>
      <c r="BC83" s="15">
        <f t="shared" si="59"/>
        <v>0</v>
      </c>
      <c r="BD83" s="15">
        <f t="shared" si="59"/>
        <v>0</v>
      </c>
      <c r="BE83" s="15">
        <f t="shared" si="59"/>
        <v>0</v>
      </c>
      <c r="BF83" s="15">
        <f t="shared" si="59"/>
        <v>0</v>
      </c>
      <c r="BG83" s="15">
        <f t="shared" si="59"/>
        <v>0</v>
      </c>
      <c r="BH83" s="15">
        <f t="shared" si="59"/>
        <v>0</v>
      </c>
      <c r="BI83" s="15">
        <f t="shared" si="59"/>
        <v>0</v>
      </c>
      <c r="BJ83" s="15">
        <f t="shared" si="59"/>
        <v>0</v>
      </c>
      <c r="BK83" s="15">
        <f t="shared" si="59"/>
        <v>0</v>
      </c>
      <c r="BL83" s="15">
        <f t="shared" si="59"/>
        <v>0</v>
      </c>
      <c r="BM83" s="15">
        <f t="shared" si="59"/>
        <v>0</v>
      </c>
      <c r="BN83" s="15">
        <f t="shared" si="59"/>
        <v>0</v>
      </c>
      <c r="BO83" s="15">
        <f t="shared" ref="BO83:CK83" si="60">IFERROR(BO79/BO81,)</f>
        <v>0</v>
      </c>
      <c r="BP83" s="15">
        <f t="shared" si="60"/>
        <v>0</v>
      </c>
      <c r="BQ83" s="15">
        <f t="shared" si="60"/>
        <v>0</v>
      </c>
      <c r="BR83" s="15">
        <f t="shared" si="60"/>
        <v>0</v>
      </c>
      <c r="BS83" s="15">
        <f t="shared" si="60"/>
        <v>0</v>
      </c>
      <c r="BT83" s="15">
        <f t="shared" si="60"/>
        <v>0</v>
      </c>
      <c r="BU83" s="15">
        <f t="shared" si="60"/>
        <v>0</v>
      </c>
      <c r="BV83" s="15">
        <f t="shared" si="60"/>
        <v>0</v>
      </c>
      <c r="BW83" s="15">
        <f t="shared" si="60"/>
        <v>0</v>
      </c>
      <c r="BX83" s="15">
        <f t="shared" si="60"/>
        <v>0</v>
      </c>
      <c r="BY83" s="15">
        <f t="shared" si="60"/>
        <v>0</v>
      </c>
      <c r="BZ83" s="15">
        <f t="shared" si="60"/>
        <v>0</v>
      </c>
      <c r="CA83" s="15">
        <f t="shared" si="60"/>
        <v>0</v>
      </c>
      <c r="CB83" s="15">
        <f t="shared" si="60"/>
        <v>0</v>
      </c>
      <c r="CC83" s="15">
        <f t="shared" si="60"/>
        <v>0</v>
      </c>
      <c r="CD83" s="15">
        <f t="shared" si="60"/>
        <v>0</v>
      </c>
      <c r="CE83" s="15">
        <f t="shared" si="60"/>
        <v>0</v>
      </c>
      <c r="CF83" s="15">
        <f t="shared" si="60"/>
        <v>0</v>
      </c>
      <c r="CG83" s="15">
        <f t="shared" si="60"/>
        <v>0</v>
      </c>
      <c r="CH83" s="15">
        <f t="shared" si="60"/>
        <v>0</v>
      </c>
      <c r="CI83" s="15">
        <f t="shared" si="60"/>
        <v>0</v>
      </c>
      <c r="CJ83" s="15">
        <f t="shared" si="60"/>
        <v>0</v>
      </c>
      <c r="CK83" s="15">
        <f t="shared" si="60"/>
        <v>0</v>
      </c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</row>
    <row r="84" spans="1:104" x14ac:dyDescent="0.25">
      <c r="A84" s="6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</row>
    <row r="85" spans="1:104" x14ac:dyDescent="0.25">
      <c r="A85" s="6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</row>
    <row r="86" spans="1:104" x14ac:dyDescent="0.25">
      <c r="A86" s="8" t="s">
        <v>38</v>
      </c>
      <c r="B86" s="15">
        <f t="shared" ref="B86:AG86" si="61">B28+B82</f>
        <v>0</v>
      </c>
      <c r="C86" s="15">
        <f t="shared" si="61"/>
        <v>0</v>
      </c>
      <c r="D86" s="15">
        <f t="shared" si="61"/>
        <v>0</v>
      </c>
      <c r="E86" s="15">
        <f t="shared" si="61"/>
        <v>1884184.98</v>
      </c>
      <c r="F86" s="15">
        <f t="shared" si="61"/>
        <v>2735400.77</v>
      </c>
      <c r="G86" s="15">
        <f t="shared" si="61"/>
        <v>286751</v>
      </c>
      <c r="H86" s="15">
        <f t="shared" si="61"/>
        <v>622709.15999999992</v>
      </c>
      <c r="I86" s="15">
        <f t="shared" si="61"/>
        <v>75.63</v>
      </c>
      <c r="J86" s="15">
        <f t="shared" si="61"/>
        <v>5529121.54</v>
      </c>
      <c r="K86" s="15">
        <f t="shared" si="61"/>
        <v>0</v>
      </c>
      <c r="L86" s="15">
        <f t="shared" si="61"/>
        <v>1228766.3500000001</v>
      </c>
      <c r="M86" s="15">
        <f t="shared" si="61"/>
        <v>1663580.7200000002</v>
      </c>
      <c r="N86" s="15">
        <f t="shared" si="61"/>
        <v>131887.54</v>
      </c>
      <c r="O86" s="15">
        <f t="shared" si="61"/>
        <v>0</v>
      </c>
      <c r="P86" s="15">
        <f t="shared" si="61"/>
        <v>0</v>
      </c>
      <c r="Q86" s="15">
        <f t="shared" si="61"/>
        <v>3024234.6100000003</v>
      </c>
      <c r="R86" s="15">
        <f t="shared" si="61"/>
        <v>0</v>
      </c>
      <c r="S86" s="15">
        <f t="shared" si="61"/>
        <v>0</v>
      </c>
      <c r="T86" s="15">
        <f t="shared" si="61"/>
        <v>0</v>
      </c>
      <c r="U86" s="15">
        <f t="shared" si="61"/>
        <v>0</v>
      </c>
      <c r="V86" s="15">
        <f t="shared" si="61"/>
        <v>0</v>
      </c>
      <c r="W86" s="15">
        <f t="shared" si="61"/>
        <v>0</v>
      </c>
      <c r="X86" s="15">
        <f t="shared" si="61"/>
        <v>0</v>
      </c>
      <c r="Y86" s="15">
        <f t="shared" si="61"/>
        <v>0</v>
      </c>
      <c r="Z86" s="15">
        <f t="shared" si="61"/>
        <v>0</v>
      </c>
      <c r="AA86" s="15">
        <f t="shared" si="61"/>
        <v>0</v>
      </c>
      <c r="AB86" s="15">
        <f t="shared" si="61"/>
        <v>0</v>
      </c>
      <c r="AC86" s="15">
        <f t="shared" si="61"/>
        <v>0</v>
      </c>
      <c r="AD86" s="15">
        <f t="shared" si="61"/>
        <v>0</v>
      </c>
      <c r="AE86" s="15">
        <f t="shared" si="61"/>
        <v>0</v>
      </c>
      <c r="AF86" s="15">
        <f t="shared" si="61"/>
        <v>0</v>
      </c>
      <c r="AG86" s="15">
        <f t="shared" si="61"/>
        <v>0</v>
      </c>
      <c r="AH86" s="15">
        <f t="shared" ref="AH86:BM86" si="62">AH28+AH82</f>
        <v>0</v>
      </c>
      <c r="AI86" s="15">
        <f t="shared" si="62"/>
        <v>0</v>
      </c>
      <c r="AJ86" s="15">
        <f t="shared" si="62"/>
        <v>0</v>
      </c>
      <c r="AK86" s="15">
        <f t="shared" si="62"/>
        <v>0</v>
      </c>
      <c r="AL86" s="15">
        <f t="shared" si="62"/>
        <v>0</v>
      </c>
      <c r="AM86" s="15">
        <f t="shared" si="62"/>
        <v>0</v>
      </c>
      <c r="AN86" s="15">
        <f t="shared" si="62"/>
        <v>0</v>
      </c>
      <c r="AO86" s="15">
        <f t="shared" si="62"/>
        <v>0</v>
      </c>
      <c r="AP86" s="15">
        <f t="shared" si="62"/>
        <v>0</v>
      </c>
      <c r="AQ86" s="15">
        <f t="shared" si="62"/>
        <v>0</v>
      </c>
      <c r="AR86" s="15">
        <f t="shared" si="62"/>
        <v>0</v>
      </c>
      <c r="AS86" s="15">
        <f t="shared" si="62"/>
        <v>0</v>
      </c>
      <c r="AT86" s="15">
        <f t="shared" si="62"/>
        <v>0</v>
      </c>
      <c r="AU86" s="15">
        <f t="shared" si="62"/>
        <v>0</v>
      </c>
      <c r="AV86" s="15">
        <f t="shared" si="62"/>
        <v>0</v>
      </c>
      <c r="AW86" s="15">
        <f t="shared" si="62"/>
        <v>0</v>
      </c>
      <c r="AX86" s="15">
        <f t="shared" si="62"/>
        <v>0</v>
      </c>
      <c r="AY86" s="15">
        <f t="shared" si="62"/>
        <v>0</v>
      </c>
      <c r="AZ86" s="15">
        <f t="shared" si="62"/>
        <v>0</v>
      </c>
      <c r="BA86" s="15">
        <f t="shared" si="62"/>
        <v>0</v>
      </c>
      <c r="BB86" s="15">
        <f t="shared" si="62"/>
        <v>0</v>
      </c>
      <c r="BC86" s="15">
        <f t="shared" si="62"/>
        <v>0</v>
      </c>
      <c r="BD86" s="15">
        <f t="shared" si="62"/>
        <v>0</v>
      </c>
      <c r="BE86" s="15">
        <f t="shared" si="62"/>
        <v>0</v>
      </c>
      <c r="BF86" s="15">
        <f t="shared" si="62"/>
        <v>0</v>
      </c>
      <c r="BG86" s="15">
        <f t="shared" si="62"/>
        <v>0</v>
      </c>
      <c r="BH86" s="15">
        <f t="shared" si="62"/>
        <v>0</v>
      </c>
      <c r="BI86" s="15">
        <f t="shared" si="62"/>
        <v>0</v>
      </c>
      <c r="BJ86" s="15">
        <f t="shared" si="62"/>
        <v>0</v>
      </c>
      <c r="BK86" s="15">
        <f t="shared" si="62"/>
        <v>0</v>
      </c>
      <c r="BL86" s="15">
        <f t="shared" si="62"/>
        <v>0</v>
      </c>
      <c r="BM86" s="15">
        <f t="shared" si="62"/>
        <v>0</v>
      </c>
      <c r="BN86" s="15">
        <f t="shared" ref="BN86:CK86" si="63">BN28+BN82</f>
        <v>0</v>
      </c>
      <c r="BO86" s="15">
        <f t="shared" si="63"/>
        <v>0</v>
      </c>
      <c r="BP86" s="15">
        <f t="shared" si="63"/>
        <v>0</v>
      </c>
      <c r="BQ86" s="15">
        <f t="shared" si="63"/>
        <v>0</v>
      </c>
      <c r="BR86" s="15">
        <f t="shared" si="63"/>
        <v>0</v>
      </c>
      <c r="BS86" s="15">
        <f t="shared" si="63"/>
        <v>0</v>
      </c>
      <c r="BT86" s="15">
        <f t="shared" si="63"/>
        <v>0</v>
      </c>
      <c r="BU86" s="15">
        <f t="shared" si="63"/>
        <v>0</v>
      </c>
      <c r="BV86" s="15">
        <f t="shared" si="63"/>
        <v>0</v>
      </c>
      <c r="BW86" s="15">
        <f t="shared" si="63"/>
        <v>0</v>
      </c>
      <c r="BX86" s="15">
        <f t="shared" si="63"/>
        <v>0</v>
      </c>
      <c r="BY86" s="15">
        <f t="shared" si="63"/>
        <v>0</v>
      </c>
      <c r="BZ86" s="15">
        <f t="shared" si="63"/>
        <v>0</v>
      </c>
      <c r="CA86" s="15">
        <f t="shared" si="63"/>
        <v>0</v>
      </c>
      <c r="CB86" s="15">
        <f t="shared" si="63"/>
        <v>0</v>
      </c>
      <c r="CC86" s="15">
        <f t="shared" si="63"/>
        <v>0</v>
      </c>
      <c r="CD86" s="15">
        <f t="shared" si="63"/>
        <v>0</v>
      </c>
      <c r="CE86" s="15">
        <f t="shared" si="63"/>
        <v>0</v>
      </c>
      <c r="CF86" s="15">
        <f t="shared" si="63"/>
        <v>0</v>
      </c>
      <c r="CG86" s="15">
        <f t="shared" si="63"/>
        <v>0</v>
      </c>
      <c r="CH86" s="15">
        <f t="shared" si="63"/>
        <v>0</v>
      </c>
      <c r="CI86" s="15">
        <f t="shared" si="63"/>
        <v>0</v>
      </c>
      <c r="CJ86" s="15">
        <f t="shared" si="63"/>
        <v>0</v>
      </c>
      <c r="CK86" s="15">
        <f t="shared" si="63"/>
        <v>0</v>
      </c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</row>
    <row r="87" spans="1:104" x14ac:dyDescent="0.25">
      <c r="A87" s="8" t="s">
        <v>39</v>
      </c>
      <c r="B87" s="15">
        <f t="shared" ref="B87:AG87" si="64">B62+B83</f>
        <v>0</v>
      </c>
      <c r="C87" s="15">
        <f t="shared" si="64"/>
        <v>0</v>
      </c>
      <c r="D87" s="15">
        <f t="shared" si="64"/>
        <v>1.44</v>
      </c>
      <c r="E87" s="15">
        <f t="shared" si="64"/>
        <v>1202438.76</v>
      </c>
      <c r="F87" s="15">
        <f t="shared" si="64"/>
        <v>2214501.6799999997</v>
      </c>
      <c r="G87" s="15">
        <f t="shared" si="64"/>
        <v>629065.69999999995</v>
      </c>
      <c r="H87" s="15">
        <f t="shared" si="64"/>
        <v>1452212.28</v>
      </c>
      <c r="I87" s="15">
        <f t="shared" si="64"/>
        <v>343.16999999999996</v>
      </c>
      <c r="J87" s="15">
        <f t="shared" si="64"/>
        <v>5498563.0299999993</v>
      </c>
      <c r="K87" s="15">
        <f t="shared" si="64"/>
        <v>0</v>
      </c>
      <c r="L87" s="15">
        <f t="shared" si="64"/>
        <v>269838.34999999998</v>
      </c>
      <c r="M87" s="15">
        <f t="shared" si="64"/>
        <v>1384921.6</v>
      </c>
      <c r="N87" s="15">
        <f t="shared" si="64"/>
        <v>579197.45000000007</v>
      </c>
      <c r="O87" s="15">
        <f t="shared" si="64"/>
        <v>1355.9</v>
      </c>
      <c r="P87" s="15">
        <f t="shared" si="64"/>
        <v>0</v>
      </c>
      <c r="Q87" s="15">
        <f t="shared" si="64"/>
        <v>2235313.3000000003</v>
      </c>
      <c r="R87" s="15">
        <f t="shared" si="64"/>
        <v>0</v>
      </c>
      <c r="S87" s="15">
        <f t="shared" si="64"/>
        <v>0</v>
      </c>
      <c r="T87" s="15">
        <f t="shared" si="64"/>
        <v>0</v>
      </c>
      <c r="U87" s="15">
        <f t="shared" si="64"/>
        <v>0</v>
      </c>
      <c r="V87" s="15">
        <f t="shared" si="64"/>
        <v>0</v>
      </c>
      <c r="W87" s="15">
        <f t="shared" si="64"/>
        <v>0</v>
      </c>
      <c r="X87" s="15">
        <f t="shared" si="64"/>
        <v>0</v>
      </c>
      <c r="Y87" s="15">
        <f t="shared" si="64"/>
        <v>0</v>
      </c>
      <c r="Z87" s="15">
        <f t="shared" si="64"/>
        <v>0</v>
      </c>
      <c r="AA87" s="15">
        <f t="shared" si="64"/>
        <v>0</v>
      </c>
      <c r="AB87" s="15">
        <f t="shared" si="64"/>
        <v>0</v>
      </c>
      <c r="AC87" s="15">
        <f t="shared" si="64"/>
        <v>0</v>
      </c>
      <c r="AD87" s="15">
        <f t="shared" si="64"/>
        <v>0</v>
      </c>
      <c r="AE87" s="15">
        <f t="shared" si="64"/>
        <v>0</v>
      </c>
      <c r="AF87" s="15">
        <f t="shared" si="64"/>
        <v>0</v>
      </c>
      <c r="AG87" s="15">
        <f t="shared" si="64"/>
        <v>0</v>
      </c>
      <c r="AH87" s="15">
        <f t="shared" ref="AH87:BM87" si="65">AH62+AH83</f>
        <v>0</v>
      </c>
      <c r="AI87" s="15">
        <f t="shared" si="65"/>
        <v>0</v>
      </c>
      <c r="AJ87" s="15">
        <f t="shared" si="65"/>
        <v>0</v>
      </c>
      <c r="AK87" s="15">
        <f t="shared" si="65"/>
        <v>0</v>
      </c>
      <c r="AL87" s="15">
        <f t="shared" si="65"/>
        <v>0</v>
      </c>
      <c r="AM87" s="15">
        <f t="shared" si="65"/>
        <v>0</v>
      </c>
      <c r="AN87" s="15">
        <f t="shared" si="65"/>
        <v>0</v>
      </c>
      <c r="AO87" s="15">
        <f t="shared" si="65"/>
        <v>0</v>
      </c>
      <c r="AP87" s="15">
        <f t="shared" si="65"/>
        <v>0</v>
      </c>
      <c r="AQ87" s="15">
        <f t="shared" si="65"/>
        <v>0</v>
      </c>
      <c r="AR87" s="15">
        <f t="shared" si="65"/>
        <v>0</v>
      </c>
      <c r="AS87" s="15">
        <f t="shared" si="65"/>
        <v>0</v>
      </c>
      <c r="AT87" s="15">
        <f t="shared" si="65"/>
        <v>0</v>
      </c>
      <c r="AU87" s="15">
        <f t="shared" si="65"/>
        <v>0</v>
      </c>
      <c r="AV87" s="15">
        <f t="shared" si="65"/>
        <v>0</v>
      </c>
      <c r="AW87" s="15">
        <f t="shared" si="65"/>
        <v>0</v>
      </c>
      <c r="AX87" s="15">
        <f t="shared" si="65"/>
        <v>0</v>
      </c>
      <c r="AY87" s="15">
        <f t="shared" si="65"/>
        <v>0</v>
      </c>
      <c r="AZ87" s="15">
        <f t="shared" si="65"/>
        <v>0</v>
      </c>
      <c r="BA87" s="15">
        <f t="shared" si="65"/>
        <v>0</v>
      </c>
      <c r="BB87" s="15">
        <f t="shared" si="65"/>
        <v>0</v>
      </c>
      <c r="BC87" s="15">
        <f t="shared" si="65"/>
        <v>0</v>
      </c>
      <c r="BD87" s="15">
        <f t="shared" si="65"/>
        <v>0</v>
      </c>
      <c r="BE87" s="15">
        <f t="shared" si="65"/>
        <v>0</v>
      </c>
      <c r="BF87" s="15">
        <f t="shared" si="65"/>
        <v>0</v>
      </c>
      <c r="BG87" s="15">
        <f t="shared" si="65"/>
        <v>0</v>
      </c>
      <c r="BH87" s="15">
        <f t="shared" si="65"/>
        <v>0</v>
      </c>
      <c r="BI87" s="15">
        <f t="shared" si="65"/>
        <v>0</v>
      </c>
      <c r="BJ87" s="15">
        <f t="shared" si="65"/>
        <v>0</v>
      </c>
      <c r="BK87" s="15">
        <f t="shared" si="65"/>
        <v>0</v>
      </c>
      <c r="BL87" s="15">
        <f t="shared" si="65"/>
        <v>0</v>
      </c>
      <c r="BM87" s="15">
        <f t="shared" si="65"/>
        <v>0</v>
      </c>
      <c r="BN87" s="15">
        <f t="shared" ref="BN87:CK87" si="66">BN62+BN83</f>
        <v>0</v>
      </c>
      <c r="BO87" s="15">
        <f t="shared" si="66"/>
        <v>0</v>
      </c>
      <c r="BP87" s="15">
        <f t="shared" si="66"/>
        <v>0</v>
      </c>
      <c r="BQ87" s="15">
        <f t="shared" si="66"/>
        <v>0</v>
      </c>
      <c r="BR87" s="15">
        <f t="shared" si="66"/>
        <v>0</v>
      </c>
      <c r="BS87" s="15">
        <f t="shared" si="66"/>
        <v>0</v>
      </c>
      <c r="BT87" s="15">
        <f t="shared" si="66"/>
        <v>0</v>
      </c>
      <c r="BU87" s="15">
        <f t="shared" si="66"/>
        <v>0</v>
      </c>
      <c r="BV87" s="15">
        <f t="shared" si="66"/>
        <v>0</v>
      </c>
      <c r="BW87" s="15">
        <f t="shared" si="66"/>
        <v>0</v>
      </c>
      <c r="BX87" s="15">
        <f t="shared" si="66"/>
        <v>0</v>
      </c>
      <c r="BY87" s="15">
        <f t="shared" si="66"/>
        <v>0</v>
      </c>
      <c r="BZ87" s="15">
        <f t="shared" si="66"/>
        <v>0</v>
      </c>
      <c r="CA87" s="15">
        <f t="shared" si="66"/>
        <v>0</v>
      </c>
      <c r="CB87" s="15">
        <f t="shared" si="66"/>
        <v>0</v>
      </c>
      <c r="CC87" s="15">
        <f t="shared" si="66"/>
        <v>0</v>
      </c>
      <c r="CD87" s="15">
        <f t="shared" si="66"/>
        <v>0</v>
      </c>
      <c r="CE87" s="15">
        <f t="shared" si="66"/>
        <v>0</v>
      </c>
      <c r="CF87" s="15">
        <f t="shared" si="66"/>
        <v>0</v>
      </c>
      <c r="CG87" s="15">
        <f t="shared" si="66"/>
        <v>0</v>
      </c>
      <c r="CH87" s="15">
        <f t="shared" si="66"/>
        <v>0</v>
      </c>
      <c r="CI87" s="15">
        <f t="shared" si="66"/>
        <v>0</v>
      </c>
      <c r="CJ87" s="15">
        <f t="shared" si="66"/>
        <v>0</v>
      </c>
      <c r="CK87" s="15">
        <f t="shared" si="66"/>
        <v>0</v>
      </c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</row>
    <row r="88" spans="1:104" x14ac:dyDescent="0.25">
      <c r="A88" s="6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</row>
    <row r="89" spans="1:104" x14ac:dyDescent="0.25">
      <c r="A89" s="8" t="s">
        <v>40</v>
      </c>
      <c r="B89" s="15">
        <f>B86-B87</f>
        <v>0</v>
      </c>
      <c r="C89" s="15">
        <f t="shared" ref="C89:BN89" si="67">C86-C87</f>
        <v>0</v>
      </c>
      <c r="D89" s="15">
        <f t="shared" si="67"/>
        <v>-1.44</v>
      </c>
      <c r="E89" s="15">
        <f t="shared" si="67"/>
        <v>681746.22</v>
      </c>
      <c r="F89" s="15">
        <f t="shared" si="67"/>
        <v>520899.09000000032</v>
      </c>
      <c r="G89" s="15">
        <f t="shared" si="67"/>
        <v>-342314.69999999995</v>
      </c>
      <c r="H89" s="15">
        <f t="shared" si="67"/>
        <v>-829503.12000000011</v>
      </c>
      <c r="I89" s="15">
        <f t="shared" si="67"/>
        <v>-267.53999999999996</v>
      </c>
      <c r="J89" s="15">
        <f t="shared" si="67"/>
        <v>30558.510000000708</v>
      </c>
      <c r="K89" s="15">
        <f t="shared" si="67"/>
        <v>0</v>
      </c>
      <c r="L89" s="15">
        <f t="shared" si="67"/>
        <v>958928.00000000012</v>
      </c>
      <c r="M89" s="15">
        <f t="shared" si="67"/>
        <v>278659.12000000011</v>
      </c>
      <c r="N89" s="15">
        <f t="shared" si="67"/>
        <v>-447309.91000000003</v>
      </c>
      <c r="O89" s="15">
        <f t="shared" si="67"/>
        <v>-1355.9</v>
      </c>
      <c r="P89" s="15">
        <f t="shared" si="67"/>
        <v>0</v>
      </c>
      <c r="Q89" s="15">
        <f t="shared" si="67"/>
        <v>788921.31</v>
      </c>
      <c r="R89" s="15">
        <f t="shared" si="67"/>
        <v>0</v>
      </c>
      <c r="S89" s="15">
        <f t="shared" si="67"/>
        <v>0</v>
      </c>
      <c r="T89" s="15">
        <f t="shared" si="67"/>
        <v>0</v>
      </c>
      <c r="U89" s="15">
        <f t="shared" si="67"/>
        <v>0</v>
      </c>
      <c r="V89" s="15">
        <f t="shared" si="67"/>
        <v>0</v>
      </c>
      <c r="W89" s="15">
        <f t="shared" si="67"/>
        <v>0</v>
      </c>
      <c r="X89" s="15">
        <f t="shared" si="67"/>
        <v>0</v>
      </c>
      <c r="Y89" s="15">
        <f t="shared" si="67"/>
        <v>0</v>
      </c>
      <c r="Z89" s="15">
        <f t="shared" si="67"/>
        <v>0</v>
      </c>
      <c r="AA89" s="15">
        <f t="shared" si="67"/>
        <v>0</v>
      </c>
      <c r="AB89" s="15">
        <f t="shared" si="67"/>
        <v>0</v>
      </c>
      <c r="AC89" s="15">
        <f t="shared" si="67"/>
        <v>0</v>
      </c>
      <c r="AD89" s="15">
        <f t="shared" si="67"/>
        <v>0</v>
      </c>
      <c r="AE89" s="15">
        <f t="shared" si="67"/>
        <v>0</v>
      </c>
      <c r="AF89" s="15">
        <f t="shared" si="67"/>
        <v>0</v>
      </c>
      <c r="AG89" s="15">
        <f t="shared" si="67"/>
        <v>0</v>
      </c>
      <c r="AH89" s="15">
        <f t="shared" si="67"/>
        <v>0</v>
      </c>
      <c r="AI89" s="15">
        <f t="shared" si="67"/>
        <v>0</v>
      </c>
      <c r="AJ89" s="15">
        <f t="shared" si="67"/>
        <v>0</v>
      </c>
      <c r="AK89" s="15">
        <f t="shared" si="67"/>
        <v>0</v>
      </c>
      <c r="AL89" s="15">
        <f t="shared" si="67"/>
        <v>0</v>
      </c>
      <c r="AM89" s="15">
        <f t="shared" si="67"/>
        <v>0</v>
      </c>
      <c r="AN89" s="15">
        <f t="shared" si="67"/>
        <v>0</v>
      </c>
      <c r="AO89" s="15">
        <f t="shared" si="67"/>
        <v>0</v>
      </c>
      <c r="AP89" s="15">
        <f t="shared" si="67"/>
        <v>0</v>
      </c>
      <c r="AQ89" s="15">
        <f t="shared" si="67"/>
        <v>0</v>
      </c>
      <c r="AR89" s="15">
        <f t="shared" si="67"/>
        <v>0</v>
      </c>
      <c r="AS89" s="15">
        <f t="shared" si="67"/>
        <v>0</v>
      </c>
      <c r="AT89" s="15">
        <f t="shared" si="67"/>
        <v>0</v>
      </c>
      <c r="AU89" s="15">
        <f t="shared" si="67"/>
        <v>0</v>
      </c>
      <c r="AV89" s="15">
        <f t="shared" si="67"/>
        <v>0</v>
      </c>
      <c r="AW89" s="15">
        <f t="shared" si="67"/>
        <v>0</v>
      </c>
      <c r="AX89" s="15">
        <f t="shared" si="67"/>
        <v>0</v>
      </c>
      <c r="AY89" s="15">
        <f t="shared" si="67"/>
        <v>0</v>
      </c>
      <c r="AZ89" s="15">
        <f t="shared" si="67"/>
        <v>0</v>
      </c>
      <c r="BA89" s="15">
        <f t="shared" si="67"/>
        <v>0</v>
      </c>
      <c r="BB89" s="15">
        <f t="shared" si="67"/>
        <v>0</v>
      </c>
      <c r="BC89" s="15">
        <f t="shared" si="67"/>
        <v>0</v>
      </c>
      <c r="BD89" s="15">
        <f t="shared" si="67"/>
        <v>0</v>
      </c>
      <c r="BE89" s="15">
        <f t="shared" si="67"/>
        <v>0</v>
      </c>
      <c r="BF89" s="15">
        <f t="shared" si="67"/>
        <v>0</v>
      </c>
      <c r="BG89" s="15">
        <f t="shared" si="67"/>
        <v>0</v>
      </c>
      <c r="BH89" s="15">
        <f t="shared" si="67"/>
        <v>0</v>
      </c>
      <c r="BI89" s="15">
        <f t="shared" si="67"/>
        <v>0</v>
      </c>
      <c r="BJ89" s="15">
        <f t="shared" si="67"/>
        <v>0</v>
      </c>
      <c r="BK89" s="15">
        <f t="shared" si="67"/>
        <v>0</v>
      </c>
      <c r="BL89" s="15">
        <f t="shared" si="67"/>
        <v>0</v>
      </c>
      <c r="BM89" s="15">
        <f t="shared" si="67"/>
        <v>0</v>
      </c>
      <c r="BN89" s="15">
        <f t="shared" si="67"/>
        <v>0</v>
      </c>
      <c r="BO89" s="15">
        <f t="shared" ref="BO89:CK89" si="68">BO86-BO87</f>
        <v>0</v>
      </c>
      <c r="BP89" s="15">
        <f t="shared" si="68"/>
        <v>0</v>
      </c>
      <c r="BQ89" s="15">
        <f t="shared" si="68"/>
        <v>0</v>
      </c>
      <c r="BR89" s="15">
        <f t="shared" si="68"/>
        <v>0</v>
      </c>
      <c r="BS89" s="15">
        <f t="shared" si="68"/>
        <v>0</v>
      </c>
      <c r="BT89" s="15">
        <f t="shared" si="68"/>
        <v>0</v>
      </c>
      <c r="BU89" s="15">
        <f t="shared" si="68"/>
        <v>0</v>
      </c>
      <c r="BV89" s="15">
        <f t="shared" si="68"/>
        <v>0</v>
      </c>
      <c r="BW89" s="15">
        <f t="shared" si="68"/>
        <v>0</v>
      </c>
      <c r="BX89" s="15">
        <f t="shared" si="68"/>
        <v>0</v>
      </c>
      <c r="BY89" s="15">
        <f t="shared" si="68"/>
        <v>0</v>
      </c>
      <c r="BZ89" s="15">
        <f t="shared" si="68"/>
        <v>0</v>
      </c>
      <c r="CA89" s="15">
        <f t="shared" si="68"/>
        <v>0</v>
      </c>
      <c r="CB89" s="15">
        <f t="shared" si="68"/>
        <v>0</v>
      </c>
      <c r="CC89" s="15">
        <f t="shared" si="68"/>
        <v>0</v>
      </c>
      <c r="CD89" s="15">
        <f t="shared" si="68"/>
        <v>0</v>
      </c>
      <c r="CE89" s="15">
        <f t="shared" si="68"/>
        <v>0</v>
      </c>
      <c r="CF89" s="15">
        <f t="shared" si="68"/>
        <v>0</v>
      </c>
      <c r="CG89" s="15">
        <f t="shared" si="68"/>
        <v>0</v>
      </c>
      <c r="CH89" s="15">
        <f t="shared" si="68"/>
        <v>0</v>
      </c>
      <c r="CI89" s="15">
        <f t="shared" si="68"/>
        <v>0</v>
      </c>
      <c r="CJ89" s="15">
        <f t="shared" si="68"/>
        <v>0</v>
      </c>
      <c r="CK89" s="15">
        <f t="shared" si="68"/>
        <v>0</v>
      </c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</row>
    <row r="90" spans="1:104" x14ac:dyDescent="0.25">
      <c r="A90" s="8" t="s">
        <v>41</v>
      </c>
      <c r="B90" s="15">
        <f t="shared" ref="B90:AG90" si="69">B11+B89</f>
        <v>0</v>
      </c>
      <c r="C90" s="15">
        <f t="shared" si="69"/>
        <v>0</v>
      </c>
      <c r="D90" s="15">
        <f t="shared" si="69"/>
        <v>-1.44</v>
      </c>
      <c r="E90" s="15">
        <f t="shared" si="69"/>
        <v>681746.22</v>
      </c>
      <c r="F90" s="15">
        <f t="shared" si="69"/>
        <v>520899.09000000032</v>
      </c>
      <c r="G90" s="15">
        <f t="shared" si="69"/>
        <v>-342314.69999999995</v>
      </c>
      <c r="H90" s="15">
        <f t="shared" si="69"/>
        <v>-829503.12000000011</v>
      </c>
      <c r="I90" s="15">
        <f t="shared" si="69"/>
        <v>-267.53999999999996</v>
      </c>
      <c r="J90" s="15">
        <f t="shared" si="69"/>
        <v>30558.510000000708</v>
      </c>
      <c r="K90" s="15">
        <f t="shared" si="69"/>
        <v>0</v>
      </c>
      <c r="L90" s="15">
        <f t="shared" si="69"/>
        <v>958928.00000000012</v>
      </c>
      <c r="M90" s="15">
        <f t="shared" si="69"/>
        <v>278659.12000000011</v>
      </c>
      <c r="N90" s="15">
        <f t="shared" si="69"/>
        <v>-447309.91000000003</v>
      </c>
      <c r="O90" s="15">
        <f t="shared" si="69"/>
        <v>-1355.9</v>
      </c>
      <c r="P90" s="15">
        <f t="shared" si="69"/>
        <v>0</v>
      </c>
      <c r="Q90" s="15">
        <f t="shared" si="69"/>
        <v>788921.31</v>
      </c>
      <c r="R90" s="15">
        <f t="shared" si="69"/>
        <v>0</v>
      </c>
      <c r="S90" s="15">
        <f t="shared" si="69"/>
        <v>0</v>
      </c>
      <c r="T90" s="15">
        <f t="shared" si="69"/>
        <v>0</v>
      </c>
      <c r="U90" s="15">
        <f t="shared" si="69"/>
        <v>0</v>
      </c>
      <c r="V90" s="15">
        <f t="shared" si="69"/>
        <v>0</v>
      </c>
      <c r="W90" s="15">
        <f t="shared" si="69"/>
        <v>0</v>
      </c>
      <c r="X90" s="15">
        <f t="shared" si="69"/>
        <v>0</v>
      </c>
      <c r="Y90" s="15">
        <f t="shared" si="69"/>
        <v>0</v>
      </c>
      <c r="Z90" s="15">
        <f t="shared" si="69"/>
        <v>0</v>
      </c>
      <c r="AA90" s="15">
        <f t="shared" si="69"/>
        <v>0</v>
      </c>
      <c r="AB90" s="15">
        <f t="shared" si="69"/>
        <v>0</v>
      </c>
      <c r="AC90" s="15">
        <f t="shared" si="69"/>
        <v>0</v>
      </c>
      <c r="AD90" s="15">
        <f t="shared" si="69"/>
        <v>0</v>
      </c>
      <c r="AE90" s="15">
        <f t="shared" si="69"/>
        <v>0</v>
      </c>
      <c r="AF90" s="15">
        <f t="shared" si="69"/>
        <v>0</v>
      </c>
      <c r="AG90" s="15">
        <f t="shared" si="69"/>
        <v>0</v>
      </c>
      <c r="AH90" s="15">
        <f t="shared" ref="AH90:BM90" si="70">AH11+AH89</f>
        <v>0</v>
      </c>
      <c r="AI90" s="15">
        <f t="shared" si="70"/>
        <v>0</v>
      </c>
      <c r="AJ90" s="15">
        <f t="shared" si="70"/>
        <v>0</v>
      </c>
      <c r="AK90" s="15">
        <f t="shared" si="70"/>
        <v>0</v>
      </c>
      <c r="AL90" s="15">
        <f t="shared" si="70"/>
        <v>0</v>
      </c>
      <c r="AM90" s="15">
        <f t="shared" si="70"/>
        <v>0</v>
      </c>
      <c r="AN90" s="15">
        <f t="shared" si="70"/>
        <v>0</v>
      </c>
      <c r="AO90" s="15">
        <f t="shared" si="70"/>
        <v>0</v>
      </c>
      <c r="AP90" s="15">
        <f t="shared" si="70"/>
        <v>0</v>
      </c>
      <c r="AQ90" s="15">
        <f t="shared" si="70"/>
        <v>0</v>
      </c>
      <c r="AR90" s="15">
        <f t="shared" si="70"/>
        <v>0</v>
      </c>
      <c r="AS90" s="15">
        <f t="shared" si="70"/>
        <v>0</v>
      </c>
      <c r="AT90" s="15">
        <f t="shared" si="70"/>
        <v>0</v>
      </c>
      <c r="AU90" s="15">
        <f t="shared" si="70"/>
        <v>0</v>
      </c>
      <c r="AV90" s="15">
        <f t="shared" si="70"/>
        <v>0</v>
      </c>
      <c r="AW90" s="15">
        <f t="shared" si="70"/>
        <v>0</v>
      </c>
      <c r="AX90" s="15">
        <f t="shared" si="70"/>
        <v>0</v>
      </c>
      <c r="AY90" s="15">
        <f t="shared" si="70"/>
        <v>0</v>
      </c>
      <c r="AZ90" s="15">
        <f t="shared" si="70"/>
        <v>0</v>
      </c>
      <c r="BA90" s="15">
        <f t="shared" si="70"/>
        <v>0</v>
      </c>
      <c r="BB90" s="15">
        <f t="shared" si="70"/>
        <v>0</v>
      </c>
      <c r="BC90" s="15">
        <f t="shared" si="70"/>
        <v>0</v>
      </c>
      <c r="BD90" s="15">
        <f t="shared" si="70"/>
        <v>0</v>
      </c>
      <c r="BE90" s="15">
        <f t="shared" si="70"/>
        <v>0</v>
      </c>
      <c r="BF90" s="15">
        <f t="shared" si="70"/>
        <v>0</v>
      </c>
      <c r="BG90" s="15">
        <f t="shared" si="70"/>
        <v>0</v>
      </c>
      <c r="BH90" s="15">
        <f t="shared" si="70"/>
        <v>0</v>
      </c>
      <c r="BI90" s="15">
        <f t="shared" si="70"/>
        <v>0</v>
      </c>
      <c r="BJ90" s="15">
        <f t="shared" si="70"/>
        <v>0</v>
      </c>
      <c r="BK90" s="15">
        <f t="shared" si="70"/>
        <v>0</v>
      </c>
      <c r="BL90" s="15">
        <f t="shared" si="70"/>
        <v>0</v>
      </c>
      <c r="BM90" s="15">
        <f t="shared" si="70"/>
        <v>0</v>
      </c>
      <c r="BN90" s="15">
        <f t="shared" ref="BN90:CK90" si="71">BN11+BN89</f>
        <v>0</v>
      </c>
      <c r="BO90" s="15">
        <f t="shared" si="71"/>
        <v>0</v>
      </c>
      <c r="BP90" s="15">
        <f t="shared" si="71"/>
        <v>0</v>
      </c>
      <c r="BQ90" s="15">
        <f t="shared" si="71"/>
        <v>0</v>
      </c>
      <c r="BR90" s="15">
        <f t="shared" si="71"/>
        <v>0</v>
      </c>
      <c r="BS90" s="15">
        <f t="shared" si="71"/>
        <v>0</v>
      </c>
      <c r="BT90" s="15">
        <f t="shared" si="71"/>
        <v>0</v>
      </c>
      <c r="BU90" s="15">
        <f t="shared" si="71"/>
        <v>0</v>
      </c>
      <c r="BV90" s="15">
        <f t="shared" si="71"/>
        <v>0</v>
      </c>
      <c r="BW90" s="15">
        <f t="shared" si="71"/>
        <v>0</v>
      </c>
      <c r="BX90" s="15">
        <f t="shared" si="71"/>
        <v>0</v>
      </c>
      <c r="BY90" s="15">
        <f t="shared" si="71"/>
        <v>0</v>
      </c>
      <c r="BZ90" s="15">
        <f t="shared" si="71"/>
        <v>0</v>
      </c>
      <c r="CA90" s="15">
        <f t="shared" si="71"/>
        <v>0</v>
      </c>
      <c r="CB90" s="15">
        <f t="shared" si="71"/>
        <v>0</v>
      </c>
      <c r="CC90" s="15">
        <f t="shared" si="71"/>
        <v>0</v>
      </c>
      <c r="CD90" s="15">
        <f t="shared" si="71"/>
        <v>0</v>
      </c>
      <c r="CE90" s="15">
        <f t="shared" si="71"/>
        <v>0</v>
      </c>
      <c r="CF90" s="15">
        <f t="shared" si="71"/>
        <v>0</v>
      </c>
      <c r="CG90" s="15">
        <f t="shared" si="71"/>
        <v>0</v>
      </c>
      <c r="CH90" s="15">
        <f t="shared" si="71"/>
        <v>0</v>
      </c>
      <c r="CI90" s="15">
        <f t="shared" si="71"/>
        <v>0</v>
      </c>
      <c r="CJ90" s="15">
        <f t="shared" si="71"/>
        <v>0</v>
      </c>
      <c r="CK90" s="15">
        <f t="shared" si="71"/>
        <v>0</v>
      </c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</row>
    <row r="91" spans="1:104" x14ac:dyDescent="0.25">
      <c r="A91" s="6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</row>
    <row r="92" spans="1:104" x14ac:dyDescent="0.25">
      <c r="A92" s="6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</row>
    <row r="93" spans="1:104" x14ac:dyDescent="0.25">
      <c r="A93" s="8" t="s">
        <v>42</v>
      </c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</row>
    <row r="94" spans="1:104" x14ac:dyDescent="0.25">
      <c r="A94" s="8" t="s">
        <v>43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</row>
    <row r="95" spans="1:104" x14ac:dyDescent="0.25">
      <c r="A95" s="8" t="s">
        <v>44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</row>
    <row r="96" spans="1:104" x14ac:dyDescent="0.25">
      <c r="A96" s="6"/>
      <c r="B96" s="15">
        <f>B94+B95</f>
        <v>0</v>
      </c>
      <c r="C96" s="15">
        <f t="shared" ref="C96:BN96" si="72">C94+C95</f>
        <v>0</v>
      </c>
      <c r="D96" s="15">
        <f t="shared" si="72"/>
        <v>0</v>
      </c>
      <c r="E96" s="15">
        <f t="shared" si="72"/>
        <v>0</v>
      </c>
      <c r="F96" s="15">
        <f t="shared" si="72"/>
        <v>0</v>
      </c>
      <c r="G96" s="15">
        <f t="shared" si="72"/>
        <v>0</v>
      </c>
      <c r="H96" s="15">
        <f t="shared" si="72"/>
        <v>0</v>
      </c>
      <c r="I96" s="15">
        <f t="shared" si="72"/>
        <v>0</v>
      </c>
      <c r="J96" s="15">
        <f t="shared" si="72"/>
        <v>0</v>
      </c>
      <c r="K96" s="15">
        <f t="shared" si="72"/>
        <v>0</v>
      </c>
      <c r="L96" s="15">
        <f t="shared" si="72"/>
        <v>0</v>
      </c>
      <c r="M96" s="15">
        <f t="shared" si="72"/>
        <v>0</v>
      </c>
      <c r="N96" s="15">
        <f t="shared" si="72"/>
        <v>0</v>
      </c>
      <c r="O96" s="15">
        <f t="shared" si="72"/>
        <v>0</v>
      </c>
      <c r="P96" s="15">
        <f t="shared" si="72"/>
        <v>0</v>
      </c>
      <c r="Q96" s="15">
        <f t="shared" si="72"/>
        <v>0</v>
      </c>
      <c r="R96" s="15">
        <f t="shared" si="72"/>
        <v>0</v>
      </c>
      <c r="S96" s="15">
        <f t="shared" si="72"/>
        <v>0</v>
      </c>
      <c r="T96" s="15">
        <f t="shared" si="72"/>
        <v>0</v>
      </c>
      <c r="U96" s="15">
        <f t="shared" si="72"/>
        <v>0</v>
      </c>
      <c r="V96" s="15">
        <f t="shared" si="72"/>
        <v>0</v>
      </c>
      <c r="W96" s="15">
        <f t="shared" si="72"/>
        <v>0</v>
      </c>
      <c r="X96" s="15">
        <f t="shared" si="72"/>
        <v>0</v>
      </c>
      <c r="Y96" s="15">
        <f t="shared" si="72"/>
        <v>0</v>
      </c>
      <c r="Z96" s="15">
        <f t="shared" si="72"/>
        <v>0</v>
      </c>
      <c r="AA96" s="15">
        <f t="shared" si="72"/>
        <v>0</v>
      </c>
      <c r="AB96" s="15">
        <f t="shared" si="72"/>
        <v>0</v>
      </c>
      <c r="AC96" s="15">
        <f t="shared" si="72"/>
        <v>0</v>
      </c>
      <c r="AD96" s="15">
        <f t="shared" si="72"/>
        <v>0</v>
      </c>
      <c r="AE96" s="15">
        <f t="shared" si="72"/>
        <v>0</v>
      </c>
      <c r="AF96" s="15">
        <f t="shared" si="72"/>
        <v>0</v>
      </c>
      <c r="AG96" s="15">
        <f t="shared" si="72"/>
        <v>0</v>
      </c>
      <c r="AH96" s="15">
        <f t="shared" si="72"/>
        <v>0</v>
      </c>
      <c r="AI96" s="15">
        <f t="shared" si="72"/>
        <v>0</v>
      </c>
      <c r="AJ96" s="15">
        <f t="shared" si="72"/>
        <v>0</v>
      </c>
      <c r="AK96" s="15">
        <f t="shared" si="72"/>
        <v>0</v>
      </c>
      <c r="AL96" s="15">
        <f t="shared" si="72"/>
        <v>0</v>
      </c>
      <c r="AM96" s="15">
        <f t="shared" si="72"/>
        <v>0</v>
      </c>
      <c r="AN96" s="15">
        <f t="shared" si="72"/>
        <v>0</v>
      </c>
      <c r="AO96" s="15">
        <f t="shared" si="72"/>
        <v>0</v>
      </c>
      <c r="AP96" s="15">
        <f t="shared" si="72"/>
        <v>0</v>
      </c>
      <c r="AQ96" s="15">
        <f t="shared" si="72"/>
        <v>0</v>
      </c>
      <c r="AR96" s="15">
        <f t="shared" si="72"/>
        <v>0</v>
      </c>
      <c r="AS96" s="15">
        <f t="shared" si="72"/>
        <v>0</v>
      </c>
      <c r="AT96" s="15">
        <f t="shared" si="72"/>
        <v>0</v>
      </c>
      <c r="AU96" s="15">
        <f t="shared" si="72"/>
        <v>0</v>
      </c>
      <c r="AV96" s="15">
        <f t="shared" si="72"/>
        <v>0</v>
      </c>
      <c r="AW96" s="15">
        <f t="shared" si="72"/>
        <v>0</v>
      </c>
      <c r="AX96" s="15">
        <f t="shared" si="72"/>
        <v>0</v>
      </c>
      <c r="AY96" s="15">
        <f t="shared" si="72"/>
        <v>0</v>
      </c>
      <c r="AZ96" s="15">
        <f t="shared" si="72"/>
        <v>0</v>
      </c>
      <c r="BA96" s="15">
        <f t="shared" si="72"/>
        <v>0</v>
      </c>
      <c r="BB96" s="15">
        <f t="shared" si="72"/>
        <v>0</v>
      </c>
      <c r="BC96" s="15">
        <f t="shared" si="72"/>
        <v>0</v>
      </c>
      <c r="BD96" s="15">
        <f t="shared" si="72"/>
        <v>0</v>
      </c>
      <c r="BE96" s="15">
        <f t="shared" si="72"/>
        <v>0</v>
      </c>
      <c r="BF96" s="15">
        <f t="shared" si="72"/>
        <v>0</v>
      </c>
      <c r="BG96" s="15">
        <f t="shared" si="72"/>
        <v>0</v>
      </c>
      <c r="BH96" s="15">
        <f t="shared" si="72"/>
        <v>0</v>
      </c>
      <c r="BI96" s="15">
        <f t="shared" si="72"/>
        <v>0</v>
      </c>
      <c r="BJ96" s="15">
        <f t="shared" si="72"/>
        <v>0</v>
      </c>
      <c r="BK96" s="15">
        <f t="shared" si="72"/>
        <v>0</v>
      </c>
      <c r="BL96" s="15">
        <f t="shared" si="72"/>
        <v>0</v>
      </c>
      <c r="BM96" s="15">
        <f t="shared" si="72"/>
        <v>0</v>
      </c>
      <c r="BN96" s="15">
        <f t="shared" si="72"/>
        <v>0</v>
      </c>
      <c r="BO96" s="15">
        <f t="shared" ref="BO96:CK96" si="73">BO94+BO95</f>
        <v>0</v>
      </c>
      <c r="BP96" s="15">
        <f t="shared" si="73"/>
        <v>0</v>
      </c>
      <c r="BQ96" s="15">
        <f t="shared" si="73"/>
        <v>0</v>
      </c>
      <c r="BR96" s="15">
        <f t="shared" si="73"/>
        <v>0</v>
      </c>
      <c r="BS96" s="15">
        <f t="shared" si="73"/>
        <v>0</v>
      </c>
      <c r="BT96" s="15">
        <f t="shared" si="73"/>
        <v>0</v>
      </c>
      <c r="BU96" s="15">
        <f t="shared" si="73"/>
        <v>0</v>
      </c>
      <c r="BV96" s="15">
        <f t="shared" si="73"/>
        <v>0</v>
      </c>
      <c r="BW96" s="15">
        <f t="shared" si="73"/>
        <v>0</v>
      </c>
      <c r="BX96" s="15">
        <f t="shared" si="73"/>
        <v>0</v>
      </c>
      <c r="BY96" s="15">
        <f t="shared" si="73"/>
        <v>0</v>
      </c>
      <c r="BZ96" s="15">
        <f t="shared" si="73"/>
        <v>0</v>
      </c>
      <c r="CA96" s="15">
        <f t="shared" si="73"/>
        <v>0</v>
      </c>
      <c r="CB96" s="15">
        <f t="shared" si="73"/>
        <v>0</v>
      </c>
      <c r="CC96" s="15">
        <f t="shared" si="73"/>
        <v>0</v>
      </c>
      <c r="CD96" s="15">
        <f t="shared" si="73"/>
        <v>0</v>
      </c>
      <c r="CE96" s="15">
        <f t="shared" si="73"/>
        <v>0</v>
      </c>
      <c r="CF96" s="15">
        <f t="shared" si="73"/>
        <v>0</v>
      </c>
      <c r="CG96" s="15">
        <f t="shared" si="73"/>
        <v>0</v>
      </c>
      <c r="CH96" s="15">
        <f t="shared" si="73"/>
        <v>0</v>
      </c>
      <c r="CI96" s="15">
        <f t="shared" si="73"/>
        <v>0</v>
      </c>
      <c r="CJ96" s="15">
        <f t="shared" si="73"/>
        <v>0</v>
      </c>
      <c r="CK96" s="15">
        <f t="shared" si="73"/>
        <v>0</v>
      </c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</row>
    <row r="97" spans="1:104" x14ac:dyDescent="0.25">
      <c r="A97" s="6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</row>
    <row r="98" spans="1:104" x14ac:dyDescent="0.25">
      <c r="A98" s="6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</row>
    <row r="99" spans="1:104" x14ac:dyDescent="0.25">
      <c r="A99" s="8" t="s">
        <v>45</v>
      </c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</row>
    <row r="100" spans="1:104" x14ac:dyDescent="0.25">
      <c r="A100" s="6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</row>
    <row r="101" spans="1:104" x14ac:dyDescent="0.25">
      <c r="A101" s="6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</row>
    <row r="102" spans="1:104" x14ac:dyDescent="0.25">
      <c r="A102" s="8" t="s">
        <v>46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</row>
    <row r="103" spans="1:104" x14ac:dyDescent="0.25">
      <c r="A103" s="8" t="s">
        <v>47</v>
      </c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</row>
    <row r="104" spans="1:104" x14ac:dyDescent="0.25">
      <c r="A104" s="12" t="s">
        <v>48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</row>
    <row r="105" spans="1:104" x14ac:dyDescent="0.25"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</row>
    <row r="106" spans="1:104" x14ac:dyDescent="0.25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</row>
    <row r="107" spans="1:104" x14ac:dyDescent="0.25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</row>
    <row r="108" spans="1:104" x14ac:dyDescent="0.25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</row>
    <row r="109" spans="1:104" x14ac:dyDescent="0.25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</row>
    <row r="110" spans="1:104" x14ac:dyDescent="0.25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</row>
    <row r="111" spans="1:104" x14ac:dyDescent="0.25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</row>
    <row r="112" spans="1:104" x14ac:dyDescent="0.25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</row>
    <row r="113" spans="2:104" x14ac:dyDescent="0.25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</row>
    <row r="114" spans="2:104" x14ac:dyDescent="0.25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</row>
    <row r="115" spans="2:104" x14ac:dyDescent="0.25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</row>
    <row r="116" spans="2:104" x14ac:dyDescent="0.25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</row>
    <row r="117" spans="2:104" x14ac:dyDescent="0.25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</row>
    <row r="118" spans="2:104" x14ac:dyDescent="0.25"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</row>
    <row r="119" spans="2:104" x14ac:dyDescent="0.25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</row>
    <row r="120" spans="2:104" x14ac:dyDescent="0.25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</row>
    <row r="121" spans="2:104" x14ac:dyDescent="0.25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</row>
    <row r="122" spans="2:104" x14ac:dyDescent="0.25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</row>
    <row r="123" spans="2:104" x14ac:dyDescent="0.25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</row>
    <row r="124" spans="2:104" x14ac:dyDescent="0.25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</row>
    <row r="125" spans="2:104" x14ac:dyDescent="0.25"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</row>
    <row r="126" spans="2:104" x14ac:dyDescent="0.25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</row>
    <row r="127" spans="2:104" x14ac:dyDescent="0.25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</row>
    <row r="128" spans="2:104" x14ac:dyDescent="0.25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</row>
    <row r="129" spans="2:104" x14ac:dyDescent="0.25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</row>
    <row r="130" spans="2:104" x14ac:dyDescent="0.25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</row>
    <row r="131" spans="2:104" x14ac:dyDescent="0.25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</row>
    <row r="132" spans="2:104" x14ac:dyDescent="0.25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</row>
    <row r="133" spans="2:104" x14ac:dyDescent="0.25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</row>
    <row r="134" spans="2:104" x14ac:dyDescent="0.25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</row>
    <row r="135" spans="2:104" x14ac:dyDescent="0.25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</row>
    <row r="136" spans="2:104" x14ac:dyDescent="0.25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</row>
    <row r="137" spans="2:104" x14ac:dyDescent="0.25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</row>
    <row r="138" spans="2:104" x14ac:dyDescent="0.25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</row>
    <row r="139" spans="2:104" x14ac:dyDescent="0.25"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</row>
    <row r="140" spans="2:104" x14ac:dyDescent="0.25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</row>
    <row r="141" spans="2:104" x14ac:dyDescent="0.25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</row>
    <row r="142" spans="2:104" x14ac:dyDescent="0.25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</row>
    <row r="143" spans="2:104" x14ac:dyDescent="0.25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</row>
    <row r="144" spans="2:104" x14ac:dyDescent="0.25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</row>
    <row r="145" spans="2:104" x14ac:dyDescent="0.25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</row>
    <row r="146" spans="2:104" x14ac:dyDescent="0.25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</row>
    <row r="147" spans="2:104" x14ac:dyDescent="0.25"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</row>
    <row r="148" spans="2:104" x14ac:dyDescent="0.25"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</row>
    <row r="149" spans="2:104" x14ac:dyDescent="0.25"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</row>
    <row r="150" spans="2:104" x14ac:dyDescent="0.25"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</row>
    <row r="151" spans="2:104" x14ac:dyDescent="0.25"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</row>
    <row r="152" spans="2:104" x14ac:dyDescent="0.25"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</row>
    <row r="153" spans="2:104" x14ac:dyDescent="0.25"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</row>
    <row r="154" spans="2:104" x14ac:dyDescent="0.25"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</row>
    <row r="155" spans="2:104" x14ac:dyDescent="0.25"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</row>
    <row r="156" spans="2:104" x14ac:dyDescent="0.25"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</row>
    <row r="157" spans="2:104" x14ac:dyDescent="0.25"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</row>
    <row r="158" spans="2:104" x14ac:dyDescent="0.25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</row>
    <row r="159" spans="2:104" x14ac:dyDescent="0.25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</row>
    <row r="160" spans="2:104" x14ac:dyDescent="0.25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</row>
    <row r="161" spans="2:104" x14ac:dyDescent="0.25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</row>
    <row r="162" spans="2:104" x14ac:dyDescent="0.25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</row>
    <row r="163" spans="2:104" x14ac:dyDescent="0.25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</row>
    <row r="164" spans="2:104" x14ac:dyDescent="0.25"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</row>
    <row r="165" spans="2:104" x14ac:dyDescent="0.25"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</row>
    <row r="166" spans="2:104" x14ac:dyDescent="0.25"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</row>
    <row r="167" spans="2:104" x14ac:dyDescent="0.25"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</row>
    <row r="168" spans="2:104" x14ac:dyDescent="0.25"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</row>
    <row r="169" spans="2:104" x14ac:dyDescent="0.25"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</row>
    <row r="170" spans="2:104" x14ac:dyDescent="0.25"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</row>
    <row r="171" spans="2:104" x14ac:dyDescent="0.25"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</row>
    <row r="172" spans="2:104" x14ac:dyDescent="0.25"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</row>
    <row r="173" spans="2:104" x14ac:dyDescent="0.25"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</row>
    <row r="174" spans="2:104" x14ac:dyDescent="0.25"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</row>
    <row r="175" spans="2:104" x14ac:dyDescent="0.25"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</row>
    <row r="176" spans="2:104" x14ac:dyDescent="0.25"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</row>
    <row r="177" spans="2:104" x14ac:dyDescent="0.25"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</row>
    <row r="178" spans="2:104" x14ac:dyDescent="0.25"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</row>
    <row r="179" spans="2:104" x14ac:dyDescent="0.25"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</row>
    <row r="180" spans="2:104" x14ac:dyDescent="0.25"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</row>
    <row r="181" spans="2:104" x14ac:dyDescent="0.25"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</row>
    <row r="182" spans="2:104" x14ac:dyDescent="0.25"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</row>
    <row r="183" spans="2:104" x14ac:dyDescent="0.25"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</row>
    <row r="184" spans="2:104" x14ac:dyDescent="0.25"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</row>
    <row r="185" spans="2:104" x14ac:dyDescent="0.25"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</row>
    <row r="186" spans="2:104" x14ac:dyDescent="0.25"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</row>
    <row r="187" spans="2:104" x14ac:dyDescent="0.25"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</row>
    <row r="188" spans="2:104" x14ac:dyDescent="0.25"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</row>
    <row r="189" spans="2:104" x14ac:dyDescent="0.25"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</row>
    <row r="190" spans="2:104" x14ac:dyDescent="0.25"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</row>
    <row r="191" spans="2:104" x14ac:dyDescent="0.25"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</row>
    <row r="192" spans="2:104" x14ac:dyDescent="0.25"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</row>
    <row r="193" spans="2:104" x14ac:dyDescent="0.25"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</row>
    <row r="194" spans="2:104" x14ac:dyDescent="0.25"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</row>
    <row r="195" spans="2:104" x14ac:dyDescent="0.25"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</row>
    <row r="196" spans="2:104" x14ac:dyDescent="0.25"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</row>
    <row r="197" spans="2:104" x14ac:dyDescent="0.25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</row>
    <row r="198" spans="2:104" x14ac:dyDescent="0.25"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</row>
    <row r="199" spans="2:104" x14ac:dyDescent="0.25"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</row>
    <row r="200" spans="2:104" x14ac:dyDescent="0.25"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</row>
    <row r="201" spans="2:104" x14ac:dyDescent="0.25"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</row>
    <row r="202" spans="2:104" x14ac:dyDescent="0.25"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</row>
    <row r="203" spans="2:104" x14ac:dyDescent="0.25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</row>
    <row r="204" spans="2:104" x14ac:dyDescent="0.25"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</row>
    <row r="205" spans="2:104" x14ac:dyDescent="0.25"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</row>
    <row r="206" spans="2:104" x14ac:dyDescent="0.25"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</row>
    <row r="207" spans="2:104" x14ac:dyDescent="0.25"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</row>
    <row r="208" spans="2:104" x14ac:dyDescent="0.25"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</row>
    <row r="209" spans="2:104" x14ac:dyDescent="0.25"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</row>
    <row r="210" spans="2:104" x14ac:dyDescent="0.25"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</row>
    <row r="211" spans="2:104" x14ac:dyDescent="0.25"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</row>
    <row r="212" spans="2:104" x14ac:dyDescent="0.25"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</row>
    <row r="213" spans="2:104" x14ac:dyDescent="0.25"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</row>
    <row r="214" spans="2:104" x14ac:dyDescent="0.25"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</row>
    <row r="215" spans="2:104" x14ac:dyDescent="0.25"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</row>
    <row r="216" spans="2:104" x14ac:dyDescent="0.25"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</row>
    <row r="217" spans="2:104" x14ac:dyDescent="0.25"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</row>
    <row r="218" spans="2:104" x14ac:dyDescent="0.25"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</row>
    <row r="219" spans="2:104" x14ac:dyDescent="0.25"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</row>
    <row r="220" spans="2:104" x14ac:dyDescent="0.25"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</row>
    <row r="221" spans="2:104" x14ac:dyDescent="0.25"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</row>
    <row r="222" spans="2:104" x14ac:dyDescent="0.25"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</row>
    <row r="223" spans="2:104" x14ac:dyDescent="0.25"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</row>
    <row r="224" spans="2:104" x14ac:dyDescent="0.25"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</row>
    <row r="225" spans="2:104" x14ac:dyDescent="0.25"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</row>
    <row r="226" spans="2:104" x14ac:dyDescent="0.25"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</row>
    <row r="227" spans="2:104" x14ac:dyDescent="0.25"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</row>
    <row r="228" spans="2:104" x14ac:dyDescent="0.25"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</row>
    <row r="229" spans="2:104" x14ac:dyDescent="0.25"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</row>
    <row r="230" spans="2:104" x14ac:dyDescent="0.25"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</row>
    <row r="231" spans="2:104" x14ac:dyDescent="0.25"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</row>
    <row r="232" spans="2:104" x14ac:dyDescent="0.25"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</row>
    <row r="233" spans="2:104" x14ac:dyDescent="0.25"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</row>
    <row r="234" spans="2:104" x14ac:dyDescent="0.25"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</row>
    <row r="235" spans="2:104" x14ac:dyDescent="0.25"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</row>
    <row r="236" spans="2:104" x14ac:dyDescent="0.25"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</row>
    <row r="237" spans="2:104" x14ac:dyDescent="0.25"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</row>
    <row r="238" spans="2:104" x14ac:dyDescent="0.25"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</row>
    <row r="239" spans="2:104" x14ac:dyDescent="0.25"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</row>
    <row r="240" spans="2:104" x14ac:dyDescent="0.25"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</row>
    <row r="241" spans="2:104" x14ac:dyDescent="0.25"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</row>
    <row r="242" spans="2:104" x14ac:dyDescent="0.25"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</row>
    <row r="243" spans="2:104" x14ac:dyDescent="0.25"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</row>
    <row r="244" spans="2:104" x14ac:dyDescent="0.25"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</row>
    <row r="245" spans="2:104" x14ac:dyDescent="0.25"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</row>
    <row r="246" spans="2:104" x14ac:dyDescent="0.25"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</row>
    <row r="247" spans="2:104" x14ac:dyDescent="0.25"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</row>
    <row r="248" spans="2:104" x14ac:dyDescent="0.25"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</row>
    <row r="249" spans="2:104" x14ac:dyDescent="0.25"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</row>
    <row r="250" spans="2:104" x14ac:dyDescent="0.25"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</row>
    <row r="251" spans="2:104" x14ac:dyDescent="0.25"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</row>
    <row r="252" spans="2:104" x14ac:dyDescent="0.25"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</row>
    <row r="253" spans="2:104" x14ac:dyDescent="0.25"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</row>
    <row r="254" spans="2:104" x14ac:dyDescent="0.25"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</row>
    <row r="255" spans="2:104" x14ac:dyDescent="0.25"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</row>
    <row r="256" spans="2:104" x14ac:dyDescent="0.25"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</row>
    <row r="257" spans="2:104" x14ac:dyDescent="0.25"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</row>
    <row r="258" spans="2:104" x14ac:dyDescent="0.25"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</row>
    <row r="259" spans="2:104" x14ac:dyDescent="0.25"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</row>
    <row r="260" spans="2:104" x14ac:dyDescent="0.25"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</row>
    <row r="261" spans="2:104" x14ac:dyDescent="0.25"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</row>
    <row r="262" spans="2:104" x14ac:dyDescent="0.25"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</row>
    <row r="263" spans="2:104" x14ac:dyDescent="0.25"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</row>
    <row r="264" spans="2:104" x14ac:dyDescent="0.25"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</row>
    <row r="265" spans="2:104" x14ac:dyDescent="0.25"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</row>
    <row r="266" spans="2:104" x14ac:dyDescent="0.25"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</row>
    <row r="267" spans="2:104" x14ac:dyDescent="0.25"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</row>
    <row r="268" spans="2:104" x14ac:dyDescent="0.25"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</row>
    <row r="269" spans="2:104" x14ac:dyDescent="0.25"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</row>
    <row r="270" spans="2:104" x14ac:dyDescent="0.25"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</row>
    <row r="271" spans="2:104" x14ac:dyDescent="0.25"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</row>
    <row r="272" spans="2:104" x14ac:dyDescent="0.25"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</row>
    <row r="273" spans="2:104" x14ac:dyDescent="0.25"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</row>
    <row r="274" spans="2:104" x14ac:dyDescent="0.25"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</row>
    <row r="275" spans="2:104" x14ac:dyDescent="0.25"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</row>
    <row r="276" spans="2:104" x14ac:dyDescent="0.25"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</row>
    <row r="277" spans="2:104" x14ac:dyDescent="0.25"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</row>
    <row r="278" spans="2:104" x14ac:dyDescent="0.25"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</row>
    <row r="279" spans="2:104" x14ac:dyDescent="0.25"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</row>
    <row r="280" spans="2:104" x14ac:dyDescent="0.25"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</row>
    <row r="281" spans="2:104" x14ac:dyDescent="0.25"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</row>
    <row r="282" spans="2:104" x14ac:dyDescent="0.25"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</row>
    <row r="283" spans="2:104" x14ac:dyDescent="0.25"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</row>
    <row r="284" spans="2:104" x14ac:dyDescent="0.25"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</row>
    <row r="285" spans="2:104" x14ac:dyDescent="0.25"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</row>
    <row r="286" spans="2:104" x14ac:dyDescent="0.25"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</row>
    <row r="287" spans="2:104" x14ac:dyDescent="0.25"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</row>
    <row r="288" spans="2:104" x14ac:dyDescent="0.25"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</row>
    <row r="289" spans="2:104" x14ac:dyDescent="0.25"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</row>
    <row r="290" spans="2:104" x14ac:dyDescent="0.25"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</row>
    <row r="291" spans="2:104" x14ac:dyDescent="0.25"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</row>
    <row r="292" spans="2:104" x14ac:dyDescent="0.25"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</row>
    <row r="293" spans="2:104" x14ac:dyDescent="0.25"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</row>
    <row r="294" spans="2:104" x14ac:dyDescent="0.25"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</row>
    <row r="295" spans="2:104" x14ac:dyDescent="0.25"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</row>
    <row r="296" spans="2:104" x14ac:dyDescent="0.25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</row>
    <row r="297" spans="2:104" x14ac:dyDescent="0.25"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</row>
    <row r="298" spans="2:104" x14ac:dyDescent="0.25"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</row>
    <row r="299" spans="2:104" x14ac:dyDescent="0.25"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</row>
    <row r="300" spans="2:104" x14ac:dyDescent="0.25"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</row>
  </sheetData>
  <mergeCells count="12">
    <mergeCell ref="CE3:CK3"/>
    <mergeCell ref="C3:J3"/>
    <mergeCell ref="K3:Q3"/>
    <mergeCell ref="R3:X3"/>
    <mergeCell ref="Y3:AE3"/>
    <mergeCell ref="AF3:AM3"/>
    <mergeCell ref="AN3:AT3"/>
    <mergeCell ref="AU3:BA3"/>
    <mergeCell ref="BB3:BH3"/>
    <mergeCell ref="BI3:BO3"/>
    <mergeCell ref="BP3:BW3"/>
    <mergeCell ref="BX3:C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TOMBOL</vt:lpstr>
      <vt:lpstr>CASH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Muhamad Abi Fahzsa</cp:lastModifiedBy>
  <dcterms:created xsi:type="dcterms:W3CDTF">2022-02-24T07:44:52Z</dcterms:created>
  <dcterms:modified xsi:type="dcterms:W3CDTF">2023-12-18T09:30:10Z</dcterms:modified>
</cp:coreProperties>
</file>