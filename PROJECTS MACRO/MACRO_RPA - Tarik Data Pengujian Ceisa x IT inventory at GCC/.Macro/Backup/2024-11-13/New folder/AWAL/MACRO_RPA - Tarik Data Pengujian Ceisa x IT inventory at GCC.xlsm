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"/>
    </mc:Choice>
  </mc:AlternateContent>
  <xr:revisionPtr revIDLastSave="0" documentId="8_{EAE101EC-7198-4943-9FDE-3A46F38480E9}" xr6:coauthVersionLast="47" xr6:coauthVersionMax="47" xr10:uidLastSave="{00000000-0000-0000-0000-000000000000}"/>
  <bookViews>
    <workbookView xWindow="-110" yWindow="-110" windowWidth="19420" windowHeight="10300" tabRatio="691" xr2:uid="{00000000-000D-0000-FFFF-FFFF00000000}"/>
  </bookViews>
  <sheets>
    <sheet name="Ref_WA" sheetId="219" r:id="rId1"/>
    <sheet name="HOME" sheetId="79" r:id="rId2"/>
    <sheet name="RPA1" sheetId="208" r:id="rId3"/>
    <sheet name="DM" sheetId="222" r:id="rId4"/>
    <sheet name="RPA2" sheetId="218" r:id="rId5"/>
    <sheet name="RPA_WA1" sheetId="220" r:id="rId6"/>
    <sheet name="RPA_WA2" sheetId="221" r:id="rId7"/>
  </sheets>
  <functionGroups builtInGroupCount="19"/>
  <externalReferences>
    <externalReference r:id="rId8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18" l="1"/>
  <c r="B2" i="218"/>
  <c r="B2" i="208"/>
  <c r="C2" i="219"/>
  <c r="D2" i="219" s="1"/>
  <c r="G5" i="79" l="1"/>
  <c r="C13" i="208" l="1"/>
  <c r="C15" i="208"/>
  <c r="C11" i="208"/>
  <c r="C12" i="208"/>
  <c r="C14" i="208"/>
  <c r="C16" i="208"/>
  <c r="C17" i="208"/>
  <c r="F18" i="208" s="1"/>
  <c r="C2" i="208"/>
  <c r="D2" i="208" s="1"/>
  <c r="C3" i="208"/>
  <c r="C4" i="208"/>
  <c r="C5" i="208"/>
  <c r="C6" i="208"/>
  <c r="C8" i="208"/>
  <c r="C9" i="208"/>
  <c r="F10" i="208" s="1"/>
  <c r="C7" i="208"/>
  <c r="C3" i="218"/>
  <c r="C5" i="218"/>
  <c r="C2" i="218"/>
  <c r="D2" i="218" s="1"/>
  <c r="F6" i="218" l="1"/>
  <c r="F4" i="218"/>
  <c r="B10" i="208"/>
  <c r="B4" i="218"/>
  <c r="C10" i="208" l="1"/>
  <c r="C4" i="218"/>
</calcChain>
</file>

<file path=xl/sharedStrings.xml><?xml version="1.0" encoding="utf-8"?>
<sst xmlns="http://schemas.openxmlformats.org/spreadsheetml/2006/main" count="97" uniqueCount="47">
  <si>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</si>
  <si>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</si>
  <si>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</si>
  <si>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</si>
  <si>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</si>
  <si>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</si>
  <si>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</si>
  <si>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</si>
  <si>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</si>
  <si>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</si>
  <si>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</si>
  <si>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</si>
  <si>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</si>
  <si>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</si>
  <si>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</si>
  <si>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</si>
  <si>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</si>
  <si>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</si>
  <si>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</si>
  <si>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</si>
  <si>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</si>
  <si>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</si>
  <si>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</si>
  <si>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</si>
  <si>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</si>
  <si>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</si>
  <si>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</si>
  <si>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</si>
  <si>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</si>
  <si>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</si>
  <si>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</si>
  <si>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</si>
  <si>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</si>
  <si>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</si>
  <si>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</si>
  <si>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</si>
  <si>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</si>
  <si>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</si>
  <si>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</si>
  <si>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</si>
  <si>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</si>
  <si>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</si>
  <si>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</si>
  <si>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ASDASD</t>
  </si>
  <si>
    <t>DM</t>
  </si>
  <si>
    <t xml:space="preserve">DONE: </t>
  </si>
  <si>
    <t>DONE: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</si>
</sst>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20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9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7" fillId="0" borderId="0" xfId="0" applyFont="1"/>
    <xf numFmtId="0" fontId="12" fillId="0" borderId="0" xfId="1" applyFont="1" applyFill="1" applyBorder="1" applyAlignment="1">
      <alignment horizontal="left"/>
    </xf>
    <xf numFmtId="165" fontId="12" fillId="0" borderId="0" xfId="1" applyNumberFormat="1" applyFont="1" applyFill="1" applyBorder="1" applyAlignment="1">
      <alignment horizontal="left"/>
    </xf>
    <xf numFmtId="15" fontId="0" fillId="0" borderId="0" xfId="0" applyNumberFormat="1"/>
    <xf numFmtId="15" fontId="17" fillId="0" borderId="0" xfId="0" applyNumberFormat="1" applyFont="1"/>
    <xf numFmtId="14" fontId="17" fillId="0" borderId="0" xfId="0" applyNumberFormat="1" applyFont="1"/>
    <xf numFmtId="14" fontId="2" fillId="0" borderId="0" xfId="0" applyNumberFormat="1" applyFont="1"/>
    <xf numFmtId="15" fontId="2" fillId="0" borderId="0" xfId="0" applyNumberFormat="1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/>
    <xf numFmtId="49" fontId="0" fillId="0" borderId="0" xfId="0" quotePrefix="1" applyNumberFormat="1"/>
    <xf numFmtId="0" fontId="0" fillId="6" borderId="0" xfId="0" applyFill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14</xdr:row>
      <xdr:rowOff>82550</xdr:rowOff>
    </xdr:from>
    <xdr:to>
      <xdr:col>7</xdr:col>
      <xdr:colOff>1231900</xdr:colOff>
      <xdr:row>18</xdr:row>
      <xdr:rowOff>19050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80543" y="2527300"/>
          <a:ext cx="1092157" cy="50800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0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080543" y="3111500"/>
          <a:ext cx="1092157" cy="0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0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>
    <tabColor rgb="FF00B0F0"/>
  </sheetPr>
  <dimension ref="A1:L9"/>
  <sheetViews>
    <sheetView tabSelected="1" workbookViewId="0">
      <selection activeCell="C10" sqref="C10"/>
    </sheetView>
  </sheetViews>
  <sheetFormatPr defaultRowHeight="14.5"/>
  <cols>
    <col min="1" max="1" width="12.90625" bestFit="1" customWidth="1"/>
    <col min="2" max="2" width="31.6328125" bestFit="1" customWidth="1"/>
    <col min="3" max="3" width="33.36328125" bestFit="1" customWidth="1"/>
    <col min="4" max="4" width="22" customWidth="1"/>
    <col min="5" max="9" width="0" hidden="1" customWidth="1"/>
    <col min="10" max="10" width="3.453125" customWidth="1"/>
    <col min="11" max="11" width="19.08984375" bestFit="1" customWidth="1"/>
    <col min="12" max="12" width="19.90625" customWidth="1"/>
  </cols>
  <sheetData>
    <row r="1" spans="1:12">
      <c r="A1" s="36" t="s">
        <v>31</v>
      </c>
      <c r="B1" s="36" t="s">
        <v>32</v>
      </c>
      <c r="C1" s="36" t="s">
        <v>33</v>
      </c>
      <c r="D1" s="36" t="s">
        <v>34</v>
      </c>
      <c r="J1" s="38"/>
      <c r="K1" s="36" t="s">
        <v>37</v>
      </c>
      <c r="L1" s="36" t="s">
        <v>38</v>
      </c>
    </row>
    <row r="2" spans="1:12">
      <c r="A2" s="37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38"/>
      <c r="K2" t="s">
        <v>39</v>
      </c>
      <c r="L2" t="s">
        <v>46</v>
      </c>
    </row>
    <row r="3" spans="1:12">
      <c r="J3" s="38"/>
    </row>
    <row r="4" spans="1:12">
      <c r="J4" s="38"/>
    </row>
    <row r="5" spans="1:12">
      <c r="J5" s="38"/>
    </row>
    <row r="6" spans="1:12">
      <c r="J6" s="38"/>
    </row>
    <row r="7" spans="1:12">
      <c r="J7" s="38"/>
    </row>
    <row r="8" spans="1:12">
      <c r="J8" s="38"/>
    </row>
    <row r="9" spans="1:12">
      <c r="J9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workbookViewId="0">
      <selection activeCell="F4" sqref="F4"/>
    </sheetView>
  </sheetViews>
  <sheetFormatPr defaultRowHeight="14.5"/>
  <cols>
    <col min="1" max="1" width="1.81640625" customWidth="1"/>
    <col min="2" max="2" width="0.26953125" customWidth="1"/>
    <col min="3" max="3" width="39.7265625" customWidth="1"/>
    <col min="4" max="4" width="32.81640625" customWidth="1"/>
    <col min="5" max="5" width="3" customWidth="1"/>
    <col min="6" max="6" width="30.54296875" customWidth="1"/>
    <col min="7" max="7" width="19.81640625" customWidth="1"/>
    <col min="8" max="8" width="18.26953125" customWidth="1"/>
    <col min="9" max="9" width="1.1796875" customWidth="1"/>
  </cols>
  <sheetData>
    <row r="1" spans="1:10" ht="18" customHeight="1">
      <c r="A1" s="28"/>
      <c r="B1" s="28"/>
      <c r="C1" s="29" t="s">
        <v>1</v>
      </c>
      <c r="D1" s="29"/>
      <c r="E1" s="29"/>
      <c r="F1" s="29"/>
      <c r="G1" s="29"/>
      <c r="H1" s="29"/>
    </row>
    <row r="2" spans="1:10" ht="18" customHeight="1">
      <c r="A2" s="6"/>
      <c r="B2" s="6"/>
      <c r="C2" s="7"/>
      <c r="D2" s="7"/>
      <c r="E2" s="7"/>
      <c r="F2" s="7"/>
      <c r="G2" s="7"/>
    </row>
    <row r="3" spans="1:10" ht="15.5">
      <c r="A3" s="28"/>
      <c r="B3" s="30"/>
      <c r="C3" s="8" t="s">
        <v>2</v>
      </c>
      <c r="D3" s="9" t="s">
        <v>3</v>
      </c>
      <c r="E3" s="31" t="s">
        <v>4</v>
      </c>
      <c r="F3" s="32"/>
      <c r="G3" s="9" t="s">
        <v>5</v>
      </c>
      <c r="H3" s="10" t="s">
        <v>6</v>
      </c>
    </row>
    <row r="4" spans="1:10" ht="15" customHeight="1">
      <c r="A4" s="28"/>
      <c r="B4" s="30"/>
      <c r="C4" s="33" t="s">
        <v>41</v>
      </c>
      <c r="D4" s="11" t="s">
        <v>27</v>
      </c>
      <c r="E4" s="19" t="s">
        <v>0</v>
      </c>
      <c r="F4" s="21" t="s">
        <v>8</v>
      </c>
      <c r="G4" s="13" t="s">
        <v>0</v>
      </c>
      <c r="H4" s="34" t="s">
        <v>7</v>
      </c>
    </row>
    <row r="5" spans="1:10">
      <c r="A5" s="28"/>
      <c r="B5" s="30"/>
      <c r="C5" s="33"/>
      <c r="D5" s="11" t="s">
        <v>11</v>
      </c>
      <c r="E5" s="19" t="s">
        <v>0</v>
      </c>
      <c r="F5" s="22">
        <v>45200</v>
      </c>
      <c r="G5" s="22">
        <f ca="1">NOW()-2</f>
        <v>45607.401548495371</v>
      </c>
      <c r="H5" s="35"/>
    </row>
    <row r="6" spans="1:10">
      <c r="A6" s="28"/>
      <c r="B6" s="30"/>
      <c r="C6" s="33"/>
      <c r="D6" s="11"/>
      <c r="E6" s="19"/>
      <c r="F6" s="21"/>
      <c r="G6" s="22"/>
      <c r="H6" s="35"/>
      <c r="J6" s="11"/>
    </row>
    <row r="7" spans="1:10">
      <c r="A7" s="28"/>
      <c r="B7" s="30"/>
      <c r="C7" s="33"/>
      <c r="D7" s="11" t="s">
        <v>29</v>
      </c>
      <c r="E7" s="19" t="s">
        <v>0</v>
      </c>
      <c r="F7" s="21" t="s">
        <v>9</v>
      </c>
      <c r="G7" s="22" t="s">
        <v>43</v>
      </c>
      <c r="H7" s="35"/>
    </row>
    <row r="8" spans="1:10">
      <c r="A8" s="28"/>
      <c r="B8" s="30"/>
      <c r="C8" s="33"/>
      <c r="D8" s="11" t="s">
        <v>30</v>
      </c>
      <c r="E8" s="19" t="s">
        <v>0</v>
      </c>
      <c r="F8" s="12" t="s">
        <v>10</v>
      </c>
      <c r="G8" s="13" t="s">
        <v>0</v>
      </c>
      <c r="H8" s="35"/>
    </row>
    <row r="9" spans="1:10">
      <c r="A9" s="28"/>
      <c r="B9" s="30"/>
      <c r="C9" s="33"/>
      <c r="D9" s="11"/>
      <c r="E9" s="19"/>
      <c r="F9" s="21"/>
      <c r="G9" s="22"/>
      <c r="H9" s="35"/>
    </row>
    <row r="10" spans="1:10">
      <c r="A10" s="28"/>
      <c r="B10" s="30"/>
      <c r="C10" s="33"/>
      <c r="D10" s="11" t="s">
        <v>28</v>
      </c>
      <c r="E10" s="19" t="s">
        <v>0</v>
      </c>
      <c r="F10" s="21" t="s">
        <v>9</v>
      </c>
      <c r="G10" s="22" t="s">
        <v>0</v>
      </c>
      <c r="H10" s="35"/>
    </row>
    <row r="11" spans="1:10">
      <c r="A11" s="28"/>
      <c r="B11" s="30"/>
      <c r="C11" s="33"/>
      <c r="D11" s="11"/>
      <c r="E11" s="19"/>
      <c r="F11" s="5"/>
      <c r="G11" s="14"/>
      <c r="H11" s="35"/>
    </row>
    <row r="12" spans="1:10" ht="1.5" customHeight="1">
      <c r="A12" s="28"/>
      <c r="B12" s="30"/>
      <c r="C12" s="16"/>
      <c r="D12" s="16"/>
      <c r="E12" s="16"/>
      <c r="F12" s="16"/>
      <c r="G12" s="16"/>
      <c r="H12" s="16"/>
    </row>
    <row r="13" spans="1:10" ht="7.5" customHeight="1">
      <c r="A13" s="28"/>
      <c r="B13" s="28"/>
      <c r="C13" s="17"/>
      <c r="D13" s="17"/>
      <c r="E13" s="17"/>
      <c r="F13" s="17"/>
      <c r="G13" s="17"/>
      <c r="H13" s="17"/>
    </row>
    <row r="14" spans="1:10" ht="15.5">
      <c r="A14" s="28"/>
      <c r="B14" s="28"/>
      <c r="C14" s="8" t="s">
        <v>2</v>
      </c>
      <c r="D14" s="9" t="s">
        <v>3</v>
      </c>
      <c r="E14" s="31" t="s">
        <v>4</v>
      </c>
      <c r="F14" s="32"/>
      <c r="G14" s="9" t="s">
        <v>5</v>
      </c>
      <c r="H14" s="10" t="s">
        <v>6</v>
      </c>
    </row>
    <row r="15" spans="1:10">
      <c r="A15" s="28"/>
      <c r="B15" s="28"/>
      <c r="C15" s="33"/>
      <c r="D15" s="11" t="s">
        <v>42</v>
      </c>
      <c r="E15" s="4"/>
      <c r="F15" t="s">
        <v>12</v>
      </c>
      <c r="G15" s="14" t="s">
        <v>0</v>
      </c>
      <c r="H15" s="34" t="s">
        <v>7</v>
      </c>
    </row>
    <row r="16" spans="1:10">
      <c r="A16" s="28"/>
      <c r="B16" s="28"/>
      <c r="C16" s="33"/>
      <c r="D16" s="11"/>
      <c r="E16" s="4"/>
      <c r="G16" s="14" t="s">
        <v>0</v>
      </c>
      <c r="H16" s="35"/>
    </row>
    <row r="17" spans="1:8">
      <c r="A17" s="28"/>
      <c r="B17" s="28"/>
      <c r="C17" s="33"/>
      <c r="D17" s="11"/>
      <c r="E17" s="3"/>
      <c r="F17" s="18"/>
      <c r="G17" s="14"/>
      <c r="H17" s="35"/>
    </row>
    <row r="18" spans="1:8" ht="1.5" customHeight="1">
      <c r="A18" s="28"/>
      <c r="B18" s="28"/>
      <c r="C18" s="16"/>
      <c r="D18" s="16"/>
      <c r="E18" s="16"/>
      <c r="F18" s="16"/>
      <c r="G18" s="16"/>
      <c r="H18" s="16"/>
    </row>
    <row r="19" spans="1:8" ht="7.5" customHeight="1">
      <c r="C19" s="17"/>
      <c r="D19" s="17"/>
      <c r="E19" s="17"/>
      <c r="F19" s="17"/>
      <c r="G19" s="17"/>
      <c r="H19" s="17"/>
    </row>
    <row r="20" spans="1:8" ht="15.5" hidden="1">
      <c r="C20" s="8" t="s">
        <v>2</v>
      </c>
      <c r="D20" s="9" t="s">
        <v>3</v>
      </c>
      <c r="E20" s="31" t="s">
        <v>4</v>
      </c>
      <c r="F20" s="32"/>
      <c r="G20" s="9" t="s">
        <v>5</v>
      </c>
      <c r="H20" s="10" t="s">
        <v>6</v>
      </c>
    </row>
    <row r="21" spans="1:8" hidden="1">
      <c r="C21" s="33"/>
      <c r="D21" s="11"/>
      <c r="E21" s="3"/>
      <c r="F21" s="18"/>
      <c r="G21" s="14" t="s">
        <v>0</v>
      </c>
      <c r="H21" s="34" t="s">
        <v>7</v>
      </c>
    </row>
    <row r="22" spans="1:8" hidden="1">
      <c r="C22" s="33"/>
      <c r="D22" s="11"/>
      <c r="E22" s="3"/>
      <c r="F22" s="18"/>
      <c r="G22" s="14" t="s">
        <v>0</v>
      </c>
      <c r="H22" s="35"/>
    </row>
    <row r="23" spans="1:8" hidden="1">
      <c r="C23" s="33"/>
      <c r="D23" s="11"/>
      <c r="E23" s="4"/>
      <c r="F23" s="18"/>
      <c r="G23" s="15"/>
      <c r="H23" s="35"/>
    </row>
    <row r="24" spans="1:8" ht="1.5" hidden="1" customHeight="1">
      <c r="C24" s="16"/>
      <c r="D24" s="16"/>
      <c r="E24" s="16"/>
      <c r="F24" s="16"/>
      <c r="G24" s="16"/>
      <c r="H24" s="16"/>
    </row>
    <row r="25" spans="1:8" ht="7.5" hidden="1" customHeight="1">
      <c r="C25" s="17"/>
      <c r="D25" s="17"/>
      <c r="E25" s="17"/>
      <c r="F25" s="17"/>
      <c r="G25" s="17"/>
      <c r="H25" s="17"/>
    </row>
    <row r="26" spans="1:8" hidden="1"/>
  </sheetData>
  <mergeCells count="15">
    <mergeCell ref="E20:F20"/>
    <mergeCell ref="C21:C23"/>
    <mergeCell ref="H21:H23"/>
    <mergeCell ref="A13:A18"/>
    <mergeCell ref="B13:B18"/>
    <mergeCell ref="E14:F14"/>
    <mergeCell ref="C15:C17"/>
    <mergeCell ref="H15:H17"/>
    <mergeCell ref="A1:B1"/>
    <mergeCell ref="C1:H1"/>
    <mergeCell ref="A3:A12"/>
    <mergeCell ref="B3:B12"/>
    <mergeCell ref="E3:F3"/>
    <mergeCell ref="C4:C11"/>
    <mergeCell ref="H4:H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autoPict="0" r:id="rId5">
            <anchor moveWithCells="1">
              <from>
                <xdr:col>7</xdr:col>
                <xdr:colOff>254000</xdr:colOff>
                <xdr:row>19</xdr:row>
                <xdr:rowOff>0</xdr:rowOff>
              </from>
              <to>
                <xdr:col>7</xdr:col>
                <xdr:colOff>1123950</xdr:colOff>
                <xdr:row>19</xdr:row>
                <xdr:rowOff>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 moveWithCells="1">
              <from>
                <xdr:col>7</xdr:col>
                <xdr:colOff>254000</xdr:colOff>
                <xdr:row>26</xdr:row>
                <xdr:rowOff>0</xdr:rowOff>
              </from>
              <to>
                <xdr:col>7</xdr:col>
                <xdr:colOff>1123950</xdr:colOff>
                <xdr:row>27</xdr:row>
                <xdr:rowOff>127000</xdr:rowOff>
              </to>
            </anchor>
          </controlPr>
        </control>
      </mc:Choice>
      <mc:Fallback>
        <control shapeId="1126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B7290-ABD3-4FA6-BC98-784865D0B594}">
  <sheetPr codeName="Sheet4"/>
  <dimension ref="A1:F18"/>
  <sheetViews>
    <sheetView workbookViewId="0">
      <selection activeCell="C2" sqref="C2"/>
    </sheetView>
  </sheetViews>
  <sheetFormatPr defaultRowHeight="14.5"/>
  <cols>
    <col min="1" max="1" width="17.7265625" bestFit="1" customWidth="1"/>
    <col min="2" max="2" width="14.54296875" bestFit="1" customWidth="1"/>
    <col min="3" max="3" width="14.54296875" customWidth="1"/>
    <col min="4" max="4" width="10" customWidth="1"/>
    <col min="5" max="5" width="28.7265625" bestFit="1" customWidth="1"/>
  </cols>
  <sheetData>
    <row r="1" spans="1:6" s="1" customFormat="1">
      <c r="A1" s="1" t="s">
        <v>16</v>
      </c>
      <c r="B1" s="1" t="s">
        <v>17</v>
      </c>
      <c r="C1" s="1" t="s">
        <v>18</v>
      </c>
      <c r="D1" s="1" t="s">
        <v>21</v>
      </c>
      <c r="E1" s="1" t="s">
        <v>19</v>
      </c>
      <c r="F1" s="1" t="s">
        <v>44</v>
      </c>
    </row>
    <row r="2" spans="1:6">
      <c r="A2" s="2" t="s">
        <v>13</v>
      </c>
      <c r="B2" s="23">
        <f>HOME!F5</f>
        <v>45200</v>
      </c>
      <c r="C2" s="23">
        <f ca="1">IF(EDATE(B2,12)&lt;HOME!$G$5,EDATE(B2,12),HOME!$G$5)</f>
        <v>45566</v>
      </c>
      <c r="D2" s="24" t="str">
        <f ca="1">HOME!$F$15&amp;"\TARIKAN " &amp;A2&amp;" - "&amp;TEXT(B2,"MM-DD-YYYY")&amp;" S.D "&amp;TEXT(C2,"MM-DD-YYYY")&amp;".xlsx"</f>
        <v>\\10.8.0.35\rpa$\RPA Excel Template\Internal Audit\MACRO_RPA - Tarik Data Pengujian Ceisa x IT inventory at GCC\.Result\TARIKAN BC.23 - 10-01-2023 S.D 10-01-2024.xlsx</v>
      </c>
      <c r="E2" s="20"/>
    </row>
    <row r="3" spans="1:6">
      <c r="A3" s="25" t="s">
        <v>14</v>
      </c>
      <c r="B3" s="23">
        <v>45200</v>
      </c>
      <c r="C3" s="23">
        <f ca="1">IF(EDATE(B3,12)&lt;HOME!$G$5,EDATE(B3,12),HOME!$G$5)</f>
        <v>45566</v>
      </c>
      <c r="D3" s="24"/>
      <c r="E3" s="20"/>
    </row>
    <row r="4" spans="1:6">
      <c r="A4" s="25" t="s">
        <v>20</v>
      </c>
      <c r="B4" s="23">
        <v>45200</v>
      </c>
      <c r="C4" s="23">
        <f ca="1">IF(EDATE(B4,12)&lt;HOME!$G$5,EDATE(B4,12),HOME!$G$5)</f>
        <v>45566</v>
      </c>
      <c r="D4" s="24"/>
      <c r="E4" s="20"/>
    </row>
    <row r="5" spans="1:6">
      <c r="A5" s="25" t="s">
        <v>22</v>
      </c>
      <c r="B5" s="23">
        <v>45200</v>
      </c>
      <c r="C5" s="23">
        <f ca="1">IF(EDATE(B5,12)&lt;HOME!$G$5,EDATE(B5,12),HOME!$G$5)</f>
        <v>45566</v>
      </c>
      <c r="D5" s="24"/>
      <c r="E5" s="20"/>
    </row>
    <row r="6" spans="1:6">
      <c r="A6" s="25" t="s">
        <v>23</v>
      </c>
      <c r="B6" s="23">
        <v>45200</v>
      </c>
      <c r="C6" s="23">
        <f ca="1">IF(EDATE(B6,12)&lt;HOME!$G$5,EDATE(B6,12),HOME!$G$5)</f>
        <v>45566</v>
      </c>
      <c r="D6" s="24"/>
      <c r="E6" s="20"/>
    </row>
    <row r="7" spans="1:6">
      <c r="A7" s="25" t="s">
        <v>24</v>
      </c>
      <c r="B7" s="23">
        <v>45200</v>
      </c>
      <c r="C7" s="23">
        <f ca="1">IF(EDATE(B7,12)&lt;HOME!$G$5,EDATE(B7,12),HOME!$G$5)</f>
        <v>45566</v>
      </c>
      <c r="D7" s="24"/>
      <c r="E7" s="20"/>
    </row>
    <row r="8" spans="1:6">
      <c r="A8" s="25" t="s">
        <v>25</v>
      </c>
      <c r="B8" s="23">
        <v>45200</v>
      </c>
      <c r="C8" s="23">
        <f ca="1">IF(EDATE(B8,12)&lt;HOME!$G$5,EDATE(B8,12),HOME!$G$5)</f>
        <v>45566</v>
      </c>
      <c r="D8" s="24"/>
      <c r="E8" s="20"/>
    </row>
    <row r="9" spans="1:6">
      <c r="A9" s="25" t="s">
        <v>26</v>
      </c>
      <c r="B9" s="23">
        <v>45200</v>
      </c>
      <c r="C9" s="23">
        <f ca="1">IF(EDATE(B9,12)&lt;HOME!$G$5,EDATE(B9,12),HOME!$G$5)</f>
        <v>45566</v>
      </c>
      <c r="D9" s="24"/>
    </row>
    <row r="10" spans="1:6">
      <c r="A10" s="26" t="s">
        <v>13</v>
      </c>
      <c r="B10" s="27">
        <f ca="1">IF(C9+1&lt;HOME!$G$5,C9+1,HOME!$G$5)</f>
        <v>45567</v>
      </c>
      <c r="C10" s="27">
        <f ca="1">IF(EDATE(B10,12)&lt;HOME!$G$5,EDATE(B10,12),HOME!$G$5)</f>
        <v>45607.401548495371</v>
      </c>
      <c r="D10" s="24"/>
      <c r="F10" t="str">
        <f ca="1">IF(C9&gt;=HOME!$G$5,"STOP","LANJUT")</f>
        <v>LANJUT</v>
      </c>
    </row>
    <row r="11" spans="1:6">
      <c r="A11" s="25" t="s">
        <v>14</v>
      </c>
      <c r="B11" s="23">
        <v>45567</v>
      </c>
      <c r="C11" s="23">
        <f ca="1">IF(EDATE(B11,12)&lt;HOME!$G$5,EDATE(B11,12),HOME!$G$5)</f>
        <v>45607.401548495371</v>
      </c>
      <c r="D11" s="24"/>
    </row>
    <row r="12" spans="1:6">
      <c r="A12" s="25" t="s">
        <v>20</v>
      </c>
      <c r="B12" s="23">
        <v>45567</v>
      </c>
      <c r="C12" s="23">
        <f ca="1">IF(EDATE(B12,12)&lt;HOME!$G$5,EDATE(B12,12),HOME!$G$5)</f>
        <v>45607.401548495371</v>
      </c>
      <c r="D12" s="24"/>
    </row>
    <row r="13" spans="1:6">
      <c r="A13" s="25" t="s">
        <v>22</v>
      </c>
      <c r="B13" s="23">
        <v>45567</v>
      </c>
      <c r="C13" s="23">
        <f ca="1">IF(EDATE(B13,12)&lt;HOME!$G$5,EDATE(B13,12),HOME!$G$5)</f>
        <v>45607.401548495371</v>
      </c>
      <c r="D13" s="24"/>
    </row>
    <row r="14" spans="1:6">
      <c r="A14" s="25" t="s">
        <v>23</v>
      </c>
      <c r="B14" s="23">
        <v>45567</v>
      </c>
      <c r="C14" s="23">
        <f ca="1">IF(EDATE(B14,12)&lt;HOME!$G$5,EDATE(B14,12),HOME!$G$5)</f>
        <v>45607.401548495371</v>
      </c>
      <c r="D14" s="24"/>
    </row>
    <row r="15" spans="1:6">
      <c r="A15" s="25" t="s">
        <v>24</v>
      </c>
      <c r="B15" s="23">
        <v>45567</v>
      </c>
      <c r="C15" s="23">
        <f ca="1">IF(EDATE(B15,12)&lt;HOME!$G$5,EDATE(B15,12),HOME!$G$5)</f>
        <v>45607.401548495371</v>
      </c>
      <c r="D15" s="24"/>
    </row>
    <row r="16" spans="1:6">
      <c r="A16" s="25" t="s">
        <v>25</v>
      </c>
      <c r="B16" s="23">
        <v>45567</v>
      </c>
      <c r="C16" s="23">
        <f ca="1">IF(EDATE(B16,12)&lt;HOME!$G$5,EDATE(B16,12),HOME!$G$5)</f>
        <v>45607.401548495371</v>
      </c>
      <c r="D16" s="24"/>
    </row>
    <row r="17" spans="1:6">
      <c r="A17" s="25" t="s">
        <v>26</v>
      </c>
      <c r="B17" s="23">
        <v>45567</v>
      </c>
      <c r="C17" s="23">
        <f ca="1">IF(EDATE(B17,12)&lt;HOME!$G$5,EDATE(B17,12),HOME!$G$5)</f>
        <v>45607.401548495371</v>
      </c>
      <c r="D17" s="24"/>
    </row>
    <row r="18" spans="1:6">
      <c r="B18" s="27"/>
      <c r="D18" s="24"/>
      <c r="F18" t="str">
        <f ca="1">IF(C17&gt;=HOME!$G$5,"STOP","LANJUT")</f>
        <v>STOP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E6B9-988F-40A1-962D-DD3012CC1F0A}">
  <dimension ref="A1:C8"/>
  <sheetViews>
    <sheetView workbookViewId="0">
      <selection activeCell="C1" sqref="C1:C8"/>
    </sheetView>
  </sheetViews>
  <sheetFormatPr defaultRowHeight="14.5"/>
  <cols>
    <col min="1" max="1" width="45.90625" bestFit="1" customWidth="1"/>
  </cols>
  <sheetData>
    <row r="1" spans="1:3">
      <c r="A1" t="s">
        <v>10</v>
      </c>
      <c r="C1" t="s">
        <v>13</v>
      </c>
    </row>
    <row r="2" spans="1:3">
      <c r="C2" t="s">
        <v>14</v>
      </c>
    </row>
    <row r="3" spans="1:3">
      <c r="C3" t="s">
        <v>20</v>
      </c>
    </row>
    <row r="4" spans="1:3">
      <c r="C4" t="s">
        <v>22</v>
      </c>
    </row>
    <row r="5" spans="1:3">
      <c r="C5" t="s">
        <v>23</v>
      </c>
    </row>
    <row r="6" spans="1:3">
      <c r="C6" t="s">
        <v>24</v>
      </c>
    </row>
    <row r="7" spans="1:3">
      <c r="C7" t="s">
        <v>25</v>
      </c>
    </row>
    <row r="8" spans="1:3">
      <c r="C8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9BA81-AF22-48D4-A3F5-3048CFC4B8AB}">
  <dimension ref="A1:F6"/>
  <sheetViews>
    <sheetView workbookViewId="0">
      <selection activeCell="D7" sqref="D7"/>
    </sheetView>
  </sheetViews>
  <sheetFormatPr defaultRowHeight="14.5"/>
  <cols>
    <col min="1" max="1" width="14.7265625" bestFit="1" customWidth="1"/>
    <col min="2" max="2" width="13.26953125" customWidth="1"/>
    <col min="3" max="3" width="19.08984375" customWidth="1"/>
    <col min="4" max="4" width="59.453125" customWidth="1"/>
    <col min="5" max="5" width="28.7265625" bestFit="1" customWidth="1"/>
  </cols>
  <sheetData>
    <row r="1" spans="1:6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  <c r="F1" s="1" t="s">
        <v>44</v>
      </c>
    </row>
    <row r="2" spans="1:6">
      <c r="A2">
        <v>1201</v>
      </c>
      <c r="B2" s="23">
        <f>HOME!$F$5</f>
        <v>45200</v>
      </c>
      <c r="C2" s="23">
        <f ca="1">IF(EDATE(B2,12)&lt;HOME!$G$5,EDATE(B2,12),HOME!$G$5)</f>
        <v>45566</v>
      </c>
      <c r="D2" t="str">
        <f ca="1">HOME!$F$15&amp;"\TARIKAN BC.27 " &amp;A2&amp;" - "&amp;TEXT(B2,"MM-DD-YYYY")&amp;" S.D "&amp;TEXT(C2,"MM-DD-YYYY")&amp;".xlsx"</f>
        <v>\\10.8.0.35\rpa$\RPA Excel Template\Internal Audit\MACRO_RPA - Tarik Data Pengujian Ceisa x IT inventory at GCC\.Result\TARIKAN BC.27 1201 - 10-01-2023 S.D 10-01-2024.xlsx</v>
      </c>
    </row>
    <row r="3" spans="1:6">
      <c r="A3">
        <v>1204</v>
      </c>
      <c r="B3" s="23">
        <f>HOME!$F$5</f>
        <v>45200</v>
      </c>
      <c r="C3" s="23">
        <f ca="1">IF(EDATE(B3,12)&lt;HOME!$G$5,EDATE(B3,12),HOME!$G$5)</f>
        <v>45566</v>
      </c>
    </row>
    <row r="4" spans="1:6">
      <c r="A4">
        <v>1201</v>
      </c>
      <c r="B4" s="27">
        <f ca="1">IF(C3+1&lt;HOME!$G$5,C3+1,HOME!$G$5)</f>
        <v>45567</v>
      </c>
      <c r="C4" s="23">
        <f ca="1">IF(EDATE(B4,12)&lt;HOME!$G$5,EDATE(B4,12),HOME!$G$5)</f>
        <v>45607.401548495371</v>
      </c>
      <c r="F4" t="str">
        <f ca="1">IF(C3&gt;=HOME!$G$5,"STOP","LANJUT")</f>
        <v>LANJUT</v>
      </c>
    </row>
    <row r="5" spans="1:6">
      <c r="A5">
        <v>1204</v>
      </c>
      <c r="B5" s="23">
        <v>45567</v>
      </c>
      <c r="C5" s="23">
        <f ca="1">IF(EDATE(B5,12)&lt;HOME!$G$5,EDATE(B5,12),HOME!$G$5)</f>
        <v>45607.401548495371</v>
      </c>
    </row>
    <row r="6" spans="1:6">
      <c r="E6" s="23"/>
      <c r="F6" t="str">
        <f ca="1">IF(C5&gt;=HOME!$G$5,"STOP","LANJUT")</f>
        <v>STOP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B56A1-48F2-4E85-9081-4AA7B323D6C0}">
  <dimension ref="A1:A2"/>
  <sheetViews>
    <sheetView workbookViewId="0">
      <selection activeCell="A2" sqref="A2"/>
    </sheetView>
  </sheetViews>
  <sheetFormatPr defaultRowHeight="14.5"/>
  <cols>
    <col min="1" max="1" width="120.7265625" bestFit="1" customWidth="1"/>
  </cols>
  <sheetData>
    <row r="1" spans="1: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08A5A-EFF6-4002-984E-958F473083D4}">
  <dimension ref="A1:B2"/>
  <sheetViews>
    <sheetView workbookViewId="0">
      <selection activeCell="B2" sqref="B2"/>
    </sheetView>
  </sheetViews>
  <sheetFormatPr defaultRowHeight="14.5"/>
  <cols>
    <col min="1" max="1" width="19.08984375" bestFit="1" customWidth="1"/>
    <col min="2" max="2" width="102" bestFit="1" customWidth="1"/>
  </cols>
  <sheetData>
    <row r="1" spans="1:2">
      <c r="A1" s="1" t="s">
        <v>37</v>
      </c>
      <c r="B1" s="1" t="s">
        <v>38</v>
      </c>
    </row>
    <row r="2" spans="1:2">
      <c r="A2" t="s">
        <v>39</v>
      </c>
      <c r="B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RPA1</vt:lpstr>
      <vt:lpstr>DM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2024-10-22T09:27:08Z</dcterms:created>
  <dcterms:modified xsi:type="dcterms:W3CDTF">2024-11-13T02:38:35Z</dcterms:modified>
</cp:coreProperties>
</file>