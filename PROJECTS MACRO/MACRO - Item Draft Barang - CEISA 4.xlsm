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ROJECTS MACRO\"/>
    </mc:Choice>
  </mc:AlternateContent>
  <xr:revisionPtr revIDLastSave="0" documentId="13_ncr:1_{353D1539-B5F8-4041-8304-BB51543881C2}" xr6:coauthVersionLast="47" xr6:coauthVersionMax="47" xr10:uidLastSave="{00000000-0000-0000-0000-000000000000}"/>
  <bookViews>
    <workbookView xWindow="-120" yWindow="-120" windowWidth="20730" windowHeight="11160" tabRatio="685" xr2:uid="{7E7A7F93-5039-4D12-8102-F8D7E7D5379D}"/>
  </bookViews>
  <sheets>
    <sheet name="(M)" sheetId="12" r:id="rId1"/>
    <sheet name="Summary" sheetId="135" r:id="rId2"/>
    <sheet name="Set_Def" sheetId="128" state="hidden" r:id="rId3"/>
    <sheet name="Set_Cach" sheetId="129" state="hidden" r:id="rId4"/>
    <sheet name="Set_Ref" sheetId="130" state="hidden" r:id="rId5"/>
    <sheet name="Field_Barang" sheetId="145" state="hidden" r:id="rId6"/>
    <sheet name="Field_BahanBaku" sheetId="143" state="hidden" r:id="rId7"/>
    <sheet name="BARANG" sheetId="933" r:id="rId8"/>
    <sheet name="BAHANBAKU" sheetId="934" r:id="rId9"/>
  </sheets>
  <functionGroups builtInGroupCount="19"/>
  <externalReferences>
    <externalReference r:id="rId10"/>
  </externalReferences>
  <definedNames>
    <definedName name="_xlnm._FilterDatabase" localSheetId="5" hidden="1">Field_Barang!#REF!</definedName>
    <definedName name="Excel_BuiltIn__FilterDatabase" localSheetId="5">#REF!</definedName>
    <definedName name="Excel_BuiltIn__FilterDatabase">#REF!</definedName>
    <definedName name="Excel_BuiltIn__FilterDatabase_1" localSheetId="5">#REF!</definedName>
    <definedName name="Excel_BuiltIn__FilterDatabase_1">#REF!</definedName>
    <definedName name="Excel_BuiltIn_Print_Area_1" localSheetId="5">#REF!</definedName>
    <definedName name="Excel_BuiltIn_Print_Area_1">#REF!</definedName>
    <definedName name="Excel_BuiltIn_Print_Area_2" localSheetId="5">#REF!</definedName>
    <definedName name="Excel_BuiltIn_Print_Area_2">#REF!</definedName>
    <definedName name="Excel_BuiltIn_Print_Area_3" localSheetId="5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934"/>
  <c r="AD4" i="934"/>
  <c r="AD5" i="934"/>
  <c r="AD6" i="934"/>
  <c r="AD7" i="934"/>
  <c r="AD8" i="934"/>
  <c r="AD9" i="934"/>
  <c r="AD10" i="934"/>
  <c r="AD11" i="934"/>
  <c r="AD12" i="934"/>
  <c r="AD13" i="934"/>
  <c r="AD14" i="934"/>
  <c r="AD15" i="934"/>
  <c r="AD16" i="934"/>
  <c r="AD17" i="934"/>
  <c r="AD18" i="934"/>
  <c r="AD19" i="934"/>
  <c r="AD20" i="934"/>
  <c r="AD21" i="934"/>
  <c r="AD22" i="934"/>
  <c r="AD23" i="934"/>
  <c r="AD24" i="934"/>
  <c r="AD25" i="934"/>
  <c r="AD26" i="934"/>
  <c r="AD27" i="934"/>
  <c r="AD28" i="934"/>
  <c r="AD29" i="934"/>
  <c r="AD30" i="934"/>
  <c r="AD31" i="934"/>
  <c r="AD32" i="934"/>
  <c r="AD33" i="934"/>
  <c r="AD34" i="934"/>
  <c r="AD35" i="934"/>
  <c r="AD36" i="934"/>
  <c r="AD37" i="934"/>
  <c r="AD38" i="934"/>
  <c r="AD39" i="934"/>
  <c r="AD40" i="934"/>
  <c r="AD41" i="934"/>
  <c r="AD42" i="934"/>
  <c r="AD43" i="934"/>
  <c r="AD44" i="934"/>
  <c r="AD45" i="934"/>
  <c r="AD46" i="934"/>
  <c r="AD47" i="934"/>
  <c r="AD48" i="934"/>
  <c r="AD49" i="934"/>
  <c r="AD50" i="934"/>
  <c r="AD51" i="934"/>
  <c r="AD52" i="934"/>
  <c r="AD53" i="934"/>
  <c r="AD54" i="934"/>
  <c r="AD55" i="934"/>
  <c r="AD56" i="934"/>
  <c r="AD57" i="934"/>
  <c r="AD58" i="934"/>
  <c r="AD59" i="934"/>
  <c r="AD60" i="934"/>
  <c r="AD61" i="934"/>
  <c r="AD62" i="934"/>
  <c r="AD63" i="934"/>
  <c r="AD64" i="934"/>
  <c r="AD65" i="934"/>
  <c r="AD66" i="934"/>
  <c r="AD67" i="934"/>
  <c r="AD68" i="934"/>
  <c r="AD69" i="934"/>
  <c r="AD70" i="934"/>
  <c r="AD71" i="934"/>
  <c r="AD72" i="934"/>
  <c r="AD73" i="934"/>
  <c r="AD74" i="934"/>
  <c r="AD75" i="934"/>
  <c r="AD76" i="934"/>
  <c r="AD77" i="934"/>
  <c r="AD78" i="934"/>
  <c r="AD79" i="934"/>
  <c r="AD80" i="934"/>
  <c r="AD81" i="934"/>
  <c r="AD82" i="934"/>
  <c r="AD83" i="934"/>
  <c r="AD84" i="934"/>
  <c r="AD85" i="934"/>
  <c r="AD86" i="934"/>
  <c r="AD87" i="934"/>
  <c r="AD88" i="934"/>
  <c r="AD89" i="934"/>
  <c r="AD90" i="934"/>
  <c r="AD91" i="934"/>
  <c r="AD92" i="934"/>
  <c r="AD93" i="934"/>
  <c r="AD94" i="934"/>
  <c r="AD95" i="934"/>
  <c r="AD96" i="934"/>
  <c r="AD97" i="934"/>
  <c r="AD98" i="934"/>
  <c r="AC3" i="934"/>
  <c r="AC4" i="934"/>
  <c r="AC5" i="934"/>
  <c r="AC6" i="934"/>
  <c r="AC7" i="934"/>
  <c r="AC8" i="934"/>
  <c r="AC9" i="934"/>
  <c r="AC10" i="934"/>
  <c r="AC11" i="934"/>
  <c r="AC12" i="934"/>
  <c r="AC13" i="934"/>
  <c r="AC14" i="934"/>
  <c r="AC15" i="934"/>
  <c r="AC16" i="934"/>
  <c r="AC17" i="934"/>
  <c r="AC18" i="934"/>
  <c r="AC19" i="934"/>
  <c r="AC20" i="934"/>
  <c r="AC21" i="934"/>
  <c r="AC22" i="934"/>
  <c r="AC23" i="934"/>
  <c r="AC24" i="934"/>
  <c r="AC25" i="934"/>
  <c r="AC26" i="934"/>
  <c r="AC27" i="934"/>
  <c r="AC28" i="934"/>
  <c r="AC29" i="934"/>
  <c r="AC30" i="934"/>
  <c r="AC31" i="934"/>
  <c r="AC32" i="934"/>
  <c r="AC33" i="934"/>
  <c r="AC34" i="934"/>
  <c r="AC35" i="934"/>
  <c r="AC36" i="934"/>
  <c r="AC37" i="934"/>
  <c r="AC38" i="934"/>
  <c r="AC39" i="934"/>
  <c r="AC40" i="934"/>
  <c r="AC41" i="934"/>
  <c r="AC42" i="934"/>
  <c r="AC43" i="934"/>
  <c r="AC44" i="934"/>
  <c r="AC45" i="934"/>
  <c r="AC46" i="934"/>
  <c r="AC47" i="934"/>
  <c r="AC48" i="934"/>
  <c r="AC49" i="934"/>
  <c r="AC50" i="934"/>
  <c r="AC51" i="934"/>
  <c r="AC52" i="934"/>
  <c r="AC53" i="934"/>
  <c r="AC54" i="934"/>
  <c r="AC55" i="934"/>
  <c r="AC56" i="934"/>
  <c r="AC57" i="934"/>
  <c r="AC58" i="934"/>
  <c r="AC59" i="934"/>
  <c r="AC60" i="934"/>
  <c r="AC61" i="934"/>
  <c r="AC62" i="934"/>
  <c r="AC63" i="934"/>
  <c r="AC64" i="934"/>
  <c r="AC65" i="934"/>
  <c r="AC66" i="934"/>
  <c r="AC67" i="934"/>
  <c r="AC68" i="934"/>
  <c r="AC69" i="934"/>
  <c r="AC70" i="934"/>
  <c r="AC71" i="934"/>
  <c r="AC72" i="934"/>
  <c r="AC73" i="934"/>
  <c r="AC74" i="934"/>
  <c r="AC75" i="934"/>
  <c r="AC76" i="934"/>
  <c r="AC77" i="934"/>
  <c r="AC78" i="934"/>
  <c r="AC79" i="934"/>
  <c r="AC80" i="934"/>
  <c r="AC81" i="934"/>
  <c r="AC82" i="934"/>
  <c r="AC83" i="934"/>
  <c r="AC84" i="934"/>
  <c r="AC85" i="934"/>
  <c r="AC86" i="934"/>
  <c r="AC87" i="934"/>
  <c r="AC88" i="934"/>
  <c r="AC89" i="934"/>
  <c r="AC90" i="934"/>
  <c r="AC91" i="934"/>
  <c r="AC92" i="934"/>
  <c r="AC93" i="934"/>
  <c r="AC94" i="934"/>
  <c r="AC95" i="934"/>
  <c r="AC96" i="934"/>
  <c r="AC97" i="934"/>
  <c r="AC98" i="934"/>
  <c r="AB3" i="934"/>
  <c r="AB4" i="934"/>
  <c r="AB5" i="934"/>
  <c r="AB6" i="934"/>
  <c r="AB7" i="934"/>
  <c r="AB8" i="934"/>
  <c r="AB9" i="934"/>
  <c r="AB10" i="934"/>
  <c r="AB11" i="934"/>
  <c r="AB12" i="934"/>
  <c r="AB13" i="934"/>
  <c r="AB14" i="934"/>
  <c r="AB15" i="934"/>
  <c r="AB16" i="934"/>
  <c r="AB17" i="934"/>
  <c r="AB18" i="934"/>
  <c r="AB19" i="934"/>
  <c r="AB20" i="934"/>
  <c r="AB21" i="934"/>
  <c r="AB22" i="934"/>
  <c r="AB23" i="934"/>
  <c r="AB24" i="934"/>
  <c r="AB25" i="934"/>
  <c r="AB26" i="934"/>
  <c r="AB27" i="934"/>
  <c r="AB28" i="934"/>
  <c r="AB29" i="934"/>
  <c r="AB30" i="934"/>
  <c r="AB31" i="934"/>
  <c r="AB32" i="934"/>
  <c r="AB33" i="934"/>
  <c r="AB34" i="934"/>
  <c r="AB35" i="934"/>
  <c r="AB36" i="934"/>
  <c r="AB37" i="934"/>
  <c r="AB38" i="934"/>
  <c r="AB39" i="934"/>
  <c r="AB40" i="934"/>
  <c r="AB41" i="934"/>
  <c r="AB42" i="934"/>
  <c r="AB43" i="934"/>
  <c r="AB44" i="934"/>
  <c r="AB45" i="934"/>
  <c r="AB46" i="934"/>
  <c r="AB47" i="934"/>
  <c r="AB48" i="934"/>
  <c r="AB49" i="934"/>
  <c r="AB50" i="934"/>
  <c r="AB51" i="934"/>
  <c r="AB52" i="934"/>
  <c r="AB53" i="934"/>
  <c r="AB54" i="934"/>
  <c r="AB55" i="934"/>
  <c r="AB56" i="934"/>
  <c r="AB57" i="934"/>
  <c r="AB58" i="934"/>
  <c r="AB59" i="934"/>
  <c r="AB60" i="934"/>
  <c r="AB61" i="934"/>
  <c r="AB62" i="934"/>
  <c r="AB63" i="934"/>
  <c r="AB64" i="934"/>
  <c r="AB65" i="934"/>
  <c r="AB66" i="934"/>
  <c r="AB67" i="934"/>
  <c r="AB68" i="934"/>
  <c r="AB69" i="934"/>
  <c r="AB70" i="934"/>
  <c r="AB71" i="934"/>
  <c r="AB72" i="934"/>
  <c r="AB73" i="934"/>
  <c r="AB74" i="934"/>
  <c r="AB75" i="934"/>
  <c r="AB76" i="934"/>
  <c r="AB77" i="934"/>
  <c r="AB78" i="934"/>
  <c r="AB79" i="934"/>
  <c r="AB80" i="934"/>
  <c r="AB81" i="934"/>
  <c r="AB82" i="934"/>
  <c r="AB83" i="934"/>
  <c r="AB84" i="934"/>
  <c r="AB85" i="934"/>
  <c r="AB86" i="934"/>
  <c r="AB87" i="934"/>
  <c r="AB88" i="934"/>
  <c r="AB89" i="934"/>
  <c r="AB90" i="934"/>
  <c r="AB91" i="934"/>
  <c r="AB92" i="934"/>
  <c r="AB93" i="934"/>
  <c r="AB94" i="934"/>
  <c r="AB95" i="934"/>
  <c r="AB96" i="934"/>
  <c r="AB97" i="934"/>
  <c r="AB98" i="934"/>
  <c r="AA3" i="934"/>
  <c r="AA4" i="934"/>
  <c r="AA5" i="934"/>
  <c r="AA6" i="934"/>
  <c r="AA7" i="934"/>
  <c r="AA8" i="934"/>
  <c r="AA9" i="934"/>
  <c r="AA10" i="934"/>
  <c r="AA11" i="934"/>
  <c r="AA12" i="934"/>
  <c r="AA13" i="934"/>
  <c r="AA14" i="934"/>
  <c r="AA15" i="934"/>
  <c r="AA16" i="934"/>
  <c r="AA17" i="934"/>
  <c r="AA18" i="934"/>
  <c r="AA19" i="934"/>
  <c r="AA20" i="934"/>
  <c r="AA21" i="934"/>
  <c r="AA22" i="934"/>
  <c r="AA23" i="934"/>
  <c r="AA24" i="934"/>
  <c r="AA25" i="934"/>
  <c r="AA26" i="934"/>
  <c r="AA27" i="934"/>
  <c r="AA28" i="934"/>
  <c r="AA29" i="934"/>
  <c r="AA30" i="934"/>
  <c r="AA31" i="934"/>
  <c r="AA32" i="934"/>
  <c r="AA33" i="934"/>
  <c r="AA34" i="934"/>
  <c r="AA35" i="934"/>
  <c r="AA36" i="934"/>
  <c r="AA37" i="934"/>
  <c r="AA38" i="934"/>
  <c r="AA39" i="934"/>
  <c r="AA40" i="934"/>
  <c r="AA41" i="934"/>
  <c r="AA42" i="934"/>
  <c r="AA43" i="934"/>
  <c r="AA44" i="934"/>
  <c r="AA45" i="934"/>
  <c r="AA46" i="934"/>
  <c r="AA47" i="934"/>
  <c r="AA48" i="934"/>
  <c r="AA49" i="934"/>
  <c r="AA50" i="934"/>
  <c r="AA51" i="934"/>
  <c r="AA52" i="934"/>
  <c r="AA53" i="934"/>
  <c r="AA54" i="934"/>
  <c r="AA55" i="934"/>
  <c r="AA56" i="934"/>
  <c r="AA57" i="934"/>
  <c r="AA58" i="934"/>
  <c r="AA59" i="934"/>
  <c r="AA60" i="934"/>
  <c r="AA61" i="934"/>
  <c r="AA62" i="934"/>
  <c r="AA63" i="934"/>
  <c r="AA64" i="934"/>
  <c r="AA65" i="934"/>
  <c r="AA66" i="934"/>
  <c r="AA67" i="934"/>
  <c r="AA68" i="934"/>
  <c r="AA69" i="934"/>
  <c r="AA70" i="934"/>
  <c r="AA71" i="934"/>
  <c r="AA72" i="934"/>
  <c r="AA73" i="934"/>
  <c r="AA74" i="934"/>
  <c r="AA75" i="934"/>
  <c r="AA76" i="934"/>
  <c r="AA77" i="934"/>
  <c r="AA78" i="934"/>
  <c r="AA79" i="934"/>
  <c r="AA80" i="934"/>
  <c r="AA81" i="934"/>
  <c r="AA82" i="934"/>
  <c r="AA83" i="934"/>
  <c r="AA84" i="934"/>
  <c r="AA85" i="934"/>
  <c r="AA86" i="934"/>
  <c r="AA87" i="934"/>
  <c r="AA88" i="934"/>
  <c r="AA89" i="934"/>
  <c r="AA90" i="934"/>
  <c r="AA91" i="934"/>
  <c r="AA92" i="934"/>
  <c r="AA93" i="934"/>
  <c r="AA94" i="934"/>
  <c r="AA95" i="934"/>
  <c r="AA96" i="934"/>
  <c r="AA97" i="934"/>
  <c r="AA98" i="934"/>
  <c r="Z3" i="934"/>
  <c r="Z4" i="934"/>
  <c r="Z5" i="934"/>
  <c r="Z6" i="934"/>
  <c r="Z7" i="934"/>
  <c r="Z8" i="934"/>
  <c r="Z9" i="934"/>
  <c r="Z10" i="934"/>
  <c r="Z11" i="934"/>
  <c r="Z12" i="934"/>
  <c r="Z13" i="934"/>
  <c r="Z14" i="934"/>
  <c r="Z15" i="934"/>
  <c r="Z16" i="934"/>
  <c r="Z17" i="934"/>
  <c r="Z18" i="934"/>
  <c r="Z19" i="934"/>
  <c r="Z20" i="934"/>
  <c r="Z21" i="934"/>
  <c r="Z22" i="934"/>
  <c r="Z23" i="934"/>
  <c r="Z24" i="934"/>
  <c r="Z25" i="934"/>
  <c r="Z26" i="934"/>
  <c r="Z27" i="934"/>
  <c r="Z28" i="934"/>
  <c r="Z29" i="934"/>
  <c r="Z30" i="934"/>
  <c r="Z31" i="934"/>
  <c r="Z32" i="934"/>
  <c r="Z33" i="934"/>
  <c r="Z34" i="934"/>
  <c r="Z35" i="934"/>
  <c r="Z36" i="934"/>
  <c r="Z37" i="934"/>
  <c r="Z38" i="934"/>
  <c r="Z39" i="934"/>
  <c r="Z40" i="934"/>
  <c r="Z41" i="934"/>
  <c r="Z42" i="934"/>
  <c r="Z43" i="934"/>
  <c r="Z44" i="934"/>
  <c r="Z45" i="934"/>
  <c r="Z46" i="934"/>
  <c r="Z47" i="934"/>
  <c r="Z48" i="934"/>
  <c r="Z49" i="934"/>
  <c r="Z50" i="934"/>
  <c r="Z51" i="934"/>
  <c r="Z52" i="934"/>
  <c r="Z53" i="934"/>
  <c r="Z54" i="934"/>
  <c r="Z55" i="934"/>
  <c r="Z56" i="934"/>
  <c r="Z57" i="934"/>
  <c r="Z58" i="934"/>
  <c r="Z59" i="934"/>
  <c r="Z60" i="934"/>
  <c r="Z61" i="934"/>
  <c r="Z62" i="934"/>
  <c r="Z63" i="934"/>
  <c r="Z64" i="934"/>
  <c r="Z65" i="934"/>
  <c r="Z66" i="934"/>
  <c r="Z67" i="934"/>
  <c r="Z68" i="934"/>
  <c r="Z69" i="934"/>
  <c r="Z70" i="934"/>
  <c r="Z71" i="934"/>
  <c r="Z72" i="934"/>
  <c r="Z73" i="934"/>
  <c r="Z74" i="934"/>
  <c r="Z75" i="934"/>
  <c r="Z76" i="934"/>
  <c r="Z77" i="934"/>
  <c r="Z78" i="934"/>
  <c r="Z79" i="934"/>
  <c r="Z80" i="934"/>
  <c r="Z81" i="934"/>
  <c r="Z82" i="934"/>
  <c r="Z83" i="934"/>
  <c r="Z84" i="934"/>
  <c r="Z85" i="934"/>
  <c r="Z86" i="934"/>
  <c r="Z87" i="934"/>
  <c r="Z88" i="934"/>
  <c r="Z89" i="934"/>
  <c r="Z90" i="934"/>
  <c r="Z91" i="934"/>
  <c r="Z92" i="934"/>
  <c r="Z93" i="934"/>
  <c r="Z94" i="934"/>
  <c r="Z95" i="934"/>
  <c r="Z96" i="934"/>
  <c r="Z97" i="934"/>
  <c r="Z98" i="934"/>
  <c r="Y3" i="934"/>
  <c r="Y4" i="934"/>
  <c r="Y5" i="934"/>
  <c r="Y6" i="934"/>
  <c r="Y7" i="934"/>
  <c r="Y8" i="934"/>
  <c r="Y9" i="934"/>
  <c r="Y10" i="934"/>
  <c r="Y11" i="934"/>
  <c r="Y12" i="934"/>
  <c r="Y13" i="934"/>
  <c r="Y14" i="934"/>
  <c r="Y15" i="934"/>
  <c r="Y16" i="934"/>
  <c r="Y17" i="934"/>
  <c r="Y18" i="934"/>
  <c r="Y19" i="934"/>
  <c r="Y20" i="934"/>
  <c r="Y21" i="934"/>
  <c r="Y22" i="934"/>
  <c r="Y23" i="934"/>
  <c r="Y24" i="934"/>
  <c r="Y25" i="934"/>
  <c r="Y26" i="934"/>
  <c r="Y27" i="934"/>
  <c r="Y28" i="934"/>
  <c r="Y29" i="934"/>
  <c r="Y30" i="934"/>
  <c r="Y31" i="934"/>
  <c r="Y32" i="934"/>
  <c r="Y33" i="934"/>
  <c r="Y34" i="934"/>
  <c r="Y35" i="934"/>
  <c r="Y36" i="934"/>
  <c r="Y37" i="934"/>
  <c r="Y38" i="934"/>
  <c r="Y39" i="934"/>
  <c r="Y40" i="934"/>
  <c r="Y41" i="934"/>
  <c r="Y42" i="934"/>
  <c r="Y43" i="934"/>
  <c r="Y44" i="934"/>
  <c r="Y45" i="934"/>
  <c r="Y46" i="934"/>
  <c r="Y47" i="934"/>
  <c r="Y48" i="934"/>
  <c r="Y49" i="934"/>
  <c r="Y50" i="934"/>
  <c r="Y51" i="934"/>
  <c r="Y52" i="934"/>
  <c r="Y53" i="934"/>
  <c r="Y54" i="934"/>
  <c r="Y55" i="934"/>
  <c r="Y56" i="934"/>
  <c r="Y57" i="934"/>
  <c r="Y58" i="934"/>
  <c r="Y59" i="934"/>
  <c r="Y60" i="934"/>
  <c r="Y61" i="934"/>
  <c r="Y62" i="934"/>
  <c r="Y63" i="934"/>
  <c r="Y64" i="934"/>
  <c r="Y65" i="934"/>
  <c r="Y66" i="934"/>
  <c r="Y67" i="934"/>
  <c r="Y68" i="934"/>
  <c r="Y69" i="934"/>
  <c r="Y70" i="934"/>
  <c r="Y71" i="934"/>
  <c r="Y72" i="934"/>
  <c r="Y73" i="934"/>
  <c r="Y74" i="934"/>
  <c r="Y75" i="934"/>
  <c r="Y76" i="934"/>
  <c r="Y77" i="934"/>
  <c r="Y78" i="934"/>
  <c r="Y79" i="934"/>
  <c r="Y80" i="934"/>
  <c r="Y81" i="934"/>
  <c r="Y82" i="934"/>
  <c r="Y83" i="934"/>
  <c r="Y84" i="934"/>
  <c r="Y85" i="934"/>
  <c r="Y86" i="934"/>
  <c r="Y87" i="934"/>
  <c r="Y88" i="934"/>
  <c r="Y89" i="934"/>
  <c r="Y90" i="934"/>
  <c r="Y91" i="934"/>
  <c r="Y92" i="934"/>
  <c r="Y93" i="934"/>
  <c r="Y94" i="934"/>
  <c r="Y95" i="934"/>
  <c r="Y96" i="934"/>
  <c r="Y97" i="934"/>
  <c r="Y98" i="934"/>
  <c r="X3" i="934"/>
  <c r="X4" i="934"/>
  <c r="X5" i="934"/>
  <c r="X6" i="934"/>
  <c r="X7" i="934"/>
  <c r="X8" i="934"/>
  <c r="X9" i="934"/>
  <c r="X10" i="934"/>
  <c r="X11" i="934"/>
  <c r="X12" i="934"/>
  <c r="X13" i="934"/>
  <c r="X14" i="934"/>
  <c r="X15" i="934"/>
  <c r="X16" i="934"/>
  <c r="X17" i="934"/>
  <c r="X18" i="934"/>
  <c r="X19" i="934"/>
  <c r="X20" i="934"/>
  <c r="X21" i="934"/>
  <c r="X22" i="934"/>
  <c r="X23" i="934"/>
  <c r="X24" i="934"/>
  <c r="X25" i="934"/>
  <c r="X26" i="934"/>
  <c r="X27" i="934"/>
  <c r="X28" i="934"/>
  <c r="X29" i="934"/>
  <c r="X30" i="934"/>
  <c r="X31" i="934"/>
  <c r="X32" i="934"/>
  <c r="X33" i="934"/>
  <c r="X34" i="934"/>
  <c r="X35" i="934"/>
  <c r="X36" i="934"/>
  <c r="X37" i="934"/>
  <c r="X38" i="934"/>
  <c r="X39" i="934"/>
  <c r="X40" i="934"/>
  <c r="X41" i="934"/>
  <c r="X42" i="934"/>
  <c r="X43" i="934"/>
  <c r="X44" i="934"/>
  <c r="X45" i="934"/>
  <c r="X46" i="934"/>
  <c r="X47" i="934"/>
  <c r="X48" i="934"/>
  <c r="X49" i="934"/>
  <c r="X50" i="934"/>
  <c r="X51" i="934"/>
  <c r="X52" i="934"/>
  <c r="X53" i="934"/>
  <c r="X54" i="934"/>
  <c r="X55" i="934"/>
  <c r="X56" i="934"/>
  <c r="X57" i="934"/>
  <c r="X58" i="934"/>
  <c r="X59" i="934"/>
  <c r="X60" i="934"/>
  <c r="X61" i="934"/>
  <c r="X62" i="934"/>
  <c r="X63" i="934"/>
  <c r="X64" i="934"/>
  <c r="X65" i="934"/>
  <c r="X66" i="934"/>
  <c r="X67" i="934"/>
  <c r="X68" i="934"/>
  <c r="X69" i="934"/>
  <c r="X70" i="934"/>
  <c r="X71" i="934"/>
  <c r="X72" i="934"/>
  <c r="X73" i="934"/>
  <c r="X74" i="934"/>
  <c r="X75" i="934"/>
  <c r="X76" i="934"/>
  <c r="X77" i="934"/>
  <c r="X78" i="934"/>
  <c r="X79" i="934"/>
  <c r="X80" i="934"/>
  <c r="X81" i="934"/>
  <c r="X82" i="934"/>
  <c r="X83" i="934"/>
  <c r="X84" i="934"/>
  <c r="X85" i="934"/>
  <c r="X86" i="934"/>
  <c r="X87" i="934"/>
  <c r="X88" i="934"/>
  <c r="X89" i="934"/>
  <c r="X90" i="934"/>
  <c r="X91" i="934"/>
  <c r="X92" i="934"/>
  <c r="X93" i="934"/>
  <c r="X94" i="934"/>
  <c r="X95" i="934"/>
  <c r="X96" i="934"/>
  <c r="X97" i="934"/>
  <c r="X98" i="934"/>
  <c r="W3" i="934"/>
  <c r="W4" i="934"/>
  <c r="W5" i="934"/>
  <c r="W6" i="934"/>
  <c r="W7" i="934"/>
  <c r="W8" i="934"/>
  <c r="W9" i="934"/>
  <c r="W10" i="934"/>
  <c r="W11" i="934"/>
  <c r="W12" i="934"/>
  <c r="W13" i="934"/>
  <c r="W14" i="934"/>
  <c r="W15" i="934"/>
  <c r="W16" i="934"/>
  <c r="W17" i="934"/>
  <c r="W18" i="934"/>
  <c r="W19" i="934"/>
  <c r="W20" i="934"/>
  <c r="W21" i="934"/>
  <c r="W22" i="934"/>
  <c r="W23" i="934"/>
  <c r="W24" i="934"/>
  <c r="W25" i="934"/>
  <c r="W26" i="934"/>
  <c r="W27" i="934"/>
  <c r="W28" i="934"/>
  <c r="W29" i="934"/>
  <c r="W30" i="934"/>
  <c r="W31" i="934"/>
  <c r="W32" i="934"/>
  <c r="W33" i="934"/>
  <c r="W34" i="934"/>
  <c r="W35" i="934"/>
  <c r="W36" i="934"/>
  <c r="W37" i="934"/>
  <c r="W38" i="934"/>
  <c r="W39" i="934"/>
  <c r="W40" i="934"/>
  <c r="W41" i="934"/>
  <c r="W42" i="934"/>
  <c r="W43" i="934"/>
  <c r="W44" i="934"/>
  <c r="W45" i="934"/>
  <c r="W46" i="934"/>
  <c r="W47" i="934"/>
  <c r="W48" i="934"/>
  <c r="W49" i="934"/>
  <c r="W50" i="934"/>
  <c r="W51" i="934"/>
  <c r="W52" i="934"/>
  <c r="W53" i="934"/>
  <c r="W54" i="934"/>
  <c r="W55" i="934"/>
  <c r="W56" i="934"/>
  <c r="W57" i="934"/>
  <c r="W58" i="934"/>
  <c r="W59" i="934"/>
  <c r="W60" i="934"/>
  <c r="W61" i="934"/>
  <c r="W62" i="934"/>
  <c r="W63" i="934"/>
  <c r="W64" i="934"/>
  <c r="W65" i="934"/>
  <c r="W66" i="934"/>
  <c r="W67" i="934"/>
  <c r="W68" i="934"/>
  <c r="W69" i="934"/>
  <c r="W70" i="934"/>
  <c r="W71" i="934"/>
  <c r="W72" i="934"/>
  <c r="W73" i="934"/>
  <c r="W74" i="934"/>
  <c r="W75" i="934"/>
  <c r="W76" i="934"/>
  <c r="W77" i="934"/>
  <c r="W78" i="934"/>
  <c r="W79" i="934"/>
  <c r="W80" i="934"/>
  <c r="W81" i="934"/>
  <c r="W82" i="934"/>
  <c r="W83" i="934"/>
  <c r="W84" i="934"/>
  <c r="W85" i="934"/>
  <c r="W86" i="934"/>
  <c r="W87" i="934"/>
  <c r="W88" i="934"/>
  <c r="W89" i="934"/>
  <c r="W90" i="934"/>
  <c r="W91" i="934"/>
  <c r="W92" i="934"/>
  <c r="W93" i="934"/>
  <c r="W94" i="934"/>
  <c r="W95" i="934"/>
  <c r="W96" i="934"/>
  <c r="W97" i="934"/>
  <c r="W98" i="934"/>
  <c r="V3" i="934"/>
  <c r="V4" i="934"/>
  <c r="V5" i="934"/>
  <c r="V6" i="934"/>
  <c r="V7" i="934"/>
  <c r="V8" i="934"/>
  <c r="V9" i="934"/>
  <c r="V10" i="934"/>
  <c r="V11" i="934"/>
  <c r="V12" i="934"/>
  <c r="V13" i="934"/>
  <c r="V14" i="934"/>
  <c r="V15" i="934"/>
  <c r="V16" i="934"/>
  <c r="V17" i="934"/>
  <c r="V18" i="934"/>
  <c r="V19" i="934"/>
  <c r="V20" i="934"/>
  <c r="V21" i="934"/>
  <c r="V22" i="934"/>
  <c r="V23" i="934"/>
  <c r="V24" i="934"/>
  <c r="V25" i="934"/>
  <c r="V26" i="934"/>
  <c r="V27" i="934"/>
  <c r="V28" i="934"/>
  <c r="V29" i="934"/>
  <c r="V30" i="934"/>
  <c r="V31" i="934"/>
  <c r="V32" i="934"/>
  <c r="V33" i="934"/>
  <c r="V34" i="934"/>
  <c r="V35" i="934"/>
  <c r="V36" i="934"/>
  <c r="V37" i="934"/>
  <c r="V38" i="934"/>
  <c r="V39" i="934"/>
  <c r="V40" i="934"/>
  <c r="V41" i="934"/>
  <c r="V42" i="934"/>
  <c r="V43" i="934"/>
  <c r="V44" i="934"/>
  <c r="V45" i="934"/>
  <c r="V46" i="934"/>
  <c r="V47" i="934"/>
  <c r="V48" i="934"/>
  <c r="V49" i="934"/>
  <c r="V50" i="934"/>
  <c r="V51" i="934"/>
  <c r="V52" i="934"/>
  <c r="V53" i="934"/>
  <c r="V54" i="934"/>
  <c r="V55" i="934"/>
  <c r="V56" i="934"/>
  <c r="V57" i="934"/>
  <c r="V58" i="934"/>
  <c r="V59" i="934"/>
  <c r="V60" i="934"/>
  <c r="V61" i="934"/>
  <c r="V62" i="934"/>
  <c r="V63" i="934"/>
  <c r="V64" i="934"/>
  <c r="V65" i="934"/>
  <c r="V66" i="934"/>
  <c r="V67" i="934"/>
  <c r="V68" i="934"/>
  <c r="V69" i="934"/>
  <c r="V70" i="934"/>
  <c r="V71" i="934"/>
  <c r="V72" i="934"/>
  <c r="V73" i="934"/>
  <c r="V74" i="934"/>
  <c r="V75" i="934"/>
  <c r="V76" i="934"/>
  <c r="V77" i="934"/>
  <c r="V78" i="934"/>
  <c r="V79" i="934"/>
  <c r="V80" i="934"/>
  <c r="V81" i="934"/>
  <c r="V82" i="934"/>
  <c r="V83" i="934"/>
  <c r="V84" i="934"/>
  <c r="V85" i="934"/>
  <c r="V86" i="934"/>
  <c r="V87" i="934"/>
  <c r="V88" i="934"/>
  <c r="V89" i="934"/>
  <c r="V90" i="934"/>
  <c r="V91" i="934"/>
  <c r="V92" i="934"/>
  <c r="V93" i="934"/>
  <c r="V94" i="934"/>
  <c r="V95" i="934"/>
  <c r="V96" i="934"/>
  <c r="V97" i="934"/>
  <c r="V98" i="934"/>
  <c r="U3" i="934"/>
  <c r="U4" i="934"/>
  <c r="U5" i="934"/>
  <c r="U6" i="934"/>
  <c r="U7" i="934"/>
  <c r="U8" i="934"/>
  <c r="U9" i="934"/>
  <c r="U10" i="934"/>
  <c r="U11" i="934"/>
  <c r="U12" i="934"/>
  <c r="U13" i="934"/>
  <c r="U14" i="934"/>
  <c r="U15" i="934"/>
  <c r="U16" i="934"/>
  <c r="U17" i="934"/>
  <c r="U18" i="934"/>
  <c r="U19" i="934"/>
  <c r="U20" i="934"/>
  <c r="U21" i="934"/>
  <c r="U22" i="934"/>
  <c r="U23" i="934"/>
  <c r="U24" i="934"/>
  <c r="U25" i="934"/>
  <c r="U26" i="934"/>
  <c r="U27" i="934"/>
  <c r="U28" i="934"/>
  <c r="U29" i="934"/>
  <c r="U30" i="934"/>
  <c r="U31" i="934"/>
  <c r="U32" i="934"/>
  <c r="U33" i="934"/>
  <c r="U34" i="934"/>
  <c r="U35" i="934"/>
  <c r="U36" i="934"/>
  <c r="U37" i="934"/>
  <c r="U38" i="934"/>
  <c r="U39" i="934"/>
  <c r="U40" i="934"/>
  <c r="U41" i="934"/>
  <c r="U42" i="934"/>
  <c r="U43" i="934"/>
  <c r="U44" i="934"/>
  <c r="U45" i="934"/>
  <c r="U46" i="934"/>
  <c r="U47" i="934"/>
  <c r="U48" i="934"/>
  <c r="U49" i="934"/>
  <c r="U50" i="934"/>
  <c r="U51" i="934"/>
  <c r="U52" i="934"/>
  <c r="U53" i="934"/>
  <c r="U54" i="934"/>
  <c r="U55" i="934"/>
  <c r="U56" i="934"/>
  <c r="U57" i="934"/>
  <c r="U58" i="934"/>
  <c r="U59" i="934"/>
  <c r="U60" i="934"/>
  <c r="U61" i="934"/>
  <c r="U62" i="934"/>
  <c r="U63" i="934"/>
  <c r="U64" i="934"/>
  <c r="U65" i="934"/>
  <c r="U66" i="934"/>
  <c r="U67" i="934"/>
  <c r="U68" i="934"/>
  <c r="U69" i="934"/>
  <c r="U70" i="934"/>
  <c r="U71" i="934"/>
  <c r="U72" i="934"/>
  <c r="U73" i="934"/>
  <c r="U74" i="934"/>
  <c r="U75" i="934"/>
  <c r="U76" i="934"/>
  <c r="U77" i="934"/>
  <c r="U78" i="934"/>
  <c r="U79" i="934"/>
  <c r="U80" i="934"/>
  <c r="U81" i="934"/>
  <c r="U82" i="934"/>
  <c r="U83" i="934"/>
  <c r="U84" i="934"/>
  <c r="U85" i="934"/>
  <c r="U86" i="934"/>
  <c r="U87" i="934"/>
  <c r="U88" i="934"/>
  <c r="U89" i="934"/>
  <c r="U90" i="934"/>
  <c r="U91" i="934"/>
  <c r="U92" i="934"/>
  <c r="U93" i="934"/>
  <c r="U94" i="934"/>
  <c r="U95" i="934"/>
  <c r="U96" i="934"/>
  <c r="U97" i="934"/>
  <c r="U98" i="934"/>
  <c r="T3" i="934"/>
  <c r="AE3" i="934" s="1"/>
  <c r="T4" i="934"/>
  <c r="AE4" i="934" s="1"/>
  <c r="T5" i="934"/>
  <c r="AE5" i="934" s="1"/>
  <c r="T6" i="934"/>
  <c r="AE6" i="934" s="1"/>
  <c r="T7" i="934"/>
  <c r="AE7" i="934" s="1"/>
  <c r="T8" i="934"/>
  <c r="AE8" i="934" s="1"/>
  <c r="T9" i="934"/>
  <c r="AE9" i="934" s="1"/>
  <c r="T10" i="934"/>
  <c r="AE10" i="934" s="1"/>
  <c r="T11" i="934"/>
  <c r="AE11" i="934" s="1"/>
  <c r="T12" i="934"/>
  <c r="AE12" i="934" s="1"/>
  <c r="T13" i="934"/>
  <c r="AE13" i="934" s="1"/>
  <c r="T14" i="934"/>
  <c r="AE14" i="934" s="1"/>
  <c r="T15" i="934"/>
  <c r="AE15" i="934" s="1"/>
  <c r="T16" i="934"/>
  <c r="AE16" i="934" s="1"/>
  <c r="T17" i="934"/>
  <c r="AE17" i="934" s="1"/>
  <c r="T18" i="934"/>
  <c r="AE18" i="934" s="1"/>
  <c r="T19" i="934"/>
  <c r="AE19" i="934" s="1"/>
  <c r="T20" i="934"/>
  <c r="AE20" i="934" s="1"/>
  <c r="T21" i="934"/>
  <c r="AE21" i="934" s="1"/>
  <c r="T22" i="934"/>
  <c r="AE22" i="934" s="1"/>
  <c r="T23" i="934"/>
  <c r="AE23" i="934" s="1"/>
  <c r="T24" i="934"/>
  <c r="AE24" i="934" s="1"/>
  <c r="T25" i="934"/>
  <c r="AE25" i="934" s="1"/>
  <c r="T26" i="934"/>
  <c r="AE26" i="934" s="1"/>
  <c r="T27" i="934"/>
  <c r="AE27" i="934" s="1"/>
  <c r="T28" i="934"/>
  <c r="AE28" i="934" s="1"/>
  <c r="T29" i="934"/>
  <c r="AE29" i="934" s="1"/>
  <c r="T30" i="934"/>
  <c r="AE30" i="934" s="1"/>
  <c r="T31" i="934"/>
  <c r="AE31" i="934" s="1"/>
  <c r="T32" i="934"/>
  <c r="AE32" i="934" s="1"/>
  <c r="T33" i="934"/>
  <c r="AE33" i="934" s="1"/>
  <c r="T34" i="934"/>
  <c r="AE34" i="934" s="1"/>
  <c r="T35" i="934"/>
  <c r="AE35" i="934" s="1"/>
  <c r="T36" i="934"/>
  <c r="AE36" i="934" s="1"/>
  <c r="T37" i="934"/>
  <c r="AE37" i="934" s="1"/>
  <c r="T38" i="934"/>
  <c r="AE38" i="934" s="1"/>
  <c r="T39" i="934"/>
  <c r="AE39" i="934" s="1"/>
  <c r="T40" i="934"/>
  <c r="AE40" i="934" s="1"/>
  <c r="T41" i="934"/>
  <c r="T42" i="934"/>
  <c r="AE42" i="934" s="1"/>
  <c r="T43" i="934"/>
  <c r="AE43" i="934" s="1"/>
  <c r="T44" i="934"/>
  <c r="AE44" i="934" s="1"/>
  <c r="T45" i="934"/>
  <c r="AE45" i="934" s="1"/>
  <c r="T46" i="934"/>
  <c r="AE46" i="934" s="1"/>
  <c r="T47" i="934"/>
  <c r="AE47" i="934" s="1"/>
  <c r="T48" i="934"/>
  <c r="AE48" i="934" s="1"/>
  <c r="T49" i="934"/>
  <c r="T50" i="934"/>
  <c r="AE50" i="934" s="1"/>
  <c r="T51" i="934"/>
  <c r="AE51" i="934" s="1"/>
  <c r="T52" i="934"/>
  <c r="AE52" i="934" s="1"/>
  <c r="T53" i="934"/>
  <c r="AE53" i="934" s="1"/>
  <c r="T54" i="934"/>
  <c r="AE54" i="934" s="1"/>
  <c r="T55" i="934"/>
  <c r="AE55" i="934" s="1"/>
  <c r="T56" i="934"/>
  <c r="AE56" i="934" s="1"/>
  <c r="T57" i="934"/>
  <c r="AE57" i="934" s="1"/>
  <c r="T58" i="934"/>
  <c r="AE58" i="934" s="1"/>
  <c r="T59" i="934"/>
  <c r="AE59" i="934" s="1"/>
  <c r="T60" i="934"/>
  <c r="AE60" i="934" s="1"/>
  <c r="T61" i="934"/>
  <c r="AE61" i="934" s="1"/>
  <c r="T62" i="934"/>
  <c r="AE62" i="934" s="1"/>
  <c r="T63" i="934"/>
  <c r="AE63" i="934" s="1"/>
  <c r="T64" i="934"/>
  <c r="AE64" i="934" s="1"/>
  <c r="T65" i="934"/>
  <c r="AE65" i="934" s="1"/>
  <c r="T66" i="934"/>
  <c r="AE66" i="934" s="1"/>
  <c r="T67" i="934"/>
  <c r="AE67" i="934" s="1"/>
  <c r="T68" i="934"/>
  <c r="AE68" i="934" s="1"/>
  <c r="T69" i="934"/>
  <c r="AE69" i="934" s="1"/>
  <c r="T70" i="934"/>
  <c r="AE70" i="934" s="1"/>
  <c r="T71" i="934"/>
  <c r="AE71" i="934" s="1"/>
  <c r="T72" i="934"/>
  <c r="AE72" i="934" s="1"/>
  <c r="T73" i="934"/>
  <c r="AE73" i="934" s="1"/>
  <c r="T74" i="934"/>
  <c r="AE74" i="934" s="1"/>
  <c r="T75" i="934"/>
  <c r="AE75" i="934" s="1"/>
  <c r="T76" i="934"/>
  <c r="AE76" i="934" s="1"/>
  <c r="T77" i="934"/>
  <c r="AE77" i="934" s="1"/>
  <c r="T78" i="934"/>
  <c r="AE78" i="934" s="1"/>
  <c r="T79" i="934"/>
  <c r="AE79" i="934" s="1"/>
  <c r="T80" i="934"/>
  <c r="AE80" i="934" s="1"/>
  <c r="T81" i="934"/>
  <c r="AE81" i="934" s="1"/>
  <c r="T82" i="934"/>
  <c r="AE82" i="934" s="1"/>
  <c r="T83" i="934"/>
  <c r="AE83" i="934" s="1"/>
  <c r="T84" i="934"/>
  <c r="AE84" i="934" s="1"/>
  <c r="T85" i="934"/>
  <c r="AE85" i="934" s="1"/>
  <c r="T86" i="934"/>
  <c r="AE86" i="934" s="1"/>
  <c r="T87" i="934"/>
  <c r="AE87" i="934" s="1"/>
  <c r="T88" i="934"/>
  <c r="AE88" i="934" s="1"/>
  <c r="T89" i="934"/>
  <c r="AE89" i="934" s="1"/>
  <c r="T90" i="934"/>
  <c r="AE90" i="934" s="1"/>
  <c r="T91" i="934"/>
  <c r="AE91" i="934" s="1"/>
  <c r="T92" i="934"/>
  <c r="AE92" i="934" s="1"/>
  <c r="T93" i="934"/>
  <c r="AE93" i="934" s="1"/>
  <c r="T94" i="934"/>
  <c r="AE94" i="934" s="1"/>
  <c r="T95" i="934"/>
  <c r="AE95" i="934" s="1"/>
  <c r="T96" i="934"/>
  <c r="AE96" i="934" s="1"/>
  <c r="T97" i="934"/>
  <c r="AE97" i="934" s="1"/>
  <c r="T98" i="934"/>
  <c r="AE98" i="934" s="1"/>
  <c r="X3" i="933"/>
  <c r="X4" i="933"/>
  <c r="X5" i="933"/>
  <c r="W3" i="933"/>
  <c r="W4" i="933"/>
  <c r="W5" i="933"/>
  <c r="V3" i="933"/>
  <c r="V4" i="933"/>
  <c r="V5" i="933"/>
  <c r="U3" i="933"/>
  <c r="U4" i="933"/>
  <c r="U5" i="933"/>
  <c r="T3" i="933"/>
  <c r="T4" i="933"/>
  <c r="T5" i="933"/>
  <c r="S3" i="933"/>
  <c r="S4" i="933"/>
  <c r="S5" i="933"/>
  <c r="R3" i="933"/>
  <c r="R4" i="933"/>
  <c r="R5" i="933"/>
  <c r="Q3" i="933"/>
  <c r="Q4" i="933"/>
  <c r="Q5" i="933"/>
  <c r="P3" i="933"/>
  <c r="P4" i="933"/>
  <c r="P5" i="933"/>
  <c r="O3" i="933"/>
  <c r="O4" i="933"/>
  <c r="O5" i="933"/>
  <c r="AE49" i="934" l="1"/>
  <c r="AE41" i="934"/>
  <c r="Y3" i="933"/>
  <c r="Y5" i="933"/>
  <c r="Y4" i="933"/>
  <c r="C12" i="135" l="1"/>
  <c r="C2" i="135" s="1"/>
  <c r="C6" i="135"/>
  <c r="C1" i="135" l="1"/>
  <c r="C3" i="135" s="1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34C263E3-D457-47E1-8A5E-EFDF74AC0D7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168D1906-4ED2-4A54-903F-D548A63FEE1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37A94CC-9B92-4138-ADB6-403B18CA37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FD6290A6-5DE0-4383-BB1D-965CAEECA1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481E768F-E8BB-4406-9865-94B36A452116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CCCEAFDB-5AAB-4D88-9372-38A72B486B7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4CB880A7-D5E3-414C-A46E-203140FB1194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CD815A18-B7AC-47DA-A0F3-E46BF91D2B45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293A1CB8-555C-4673-8D75-B07939407E7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1B50EF5E-3431-471A-9165-24ECB66474F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40BF5F49-9B84-4F85-ABE6-730AC6D6FD0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F4327D7E-9EBD-4319-9B51-A9BEE2CAD69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C4505A03-D261-4418-B257-C2B42DBA43C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1DBDCD6A-6EDA-45D5-AAEC-B62395BEED4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464F63DA-63D0-4CF7-9AB4-18C52EF532A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DC0D3958-985B-4B38-9C9E-5328277D10F4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0F9D515D-112F-453D-88BB-430FC0B3B87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7F2CB59C-EFFB-491C-895D-5221008974A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9D52E1D7-0067-4246-A605-DE465ECBD61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8DDC7F0A-0A54-437F-8FE8-7E37345C7C6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C411BCAA-8BBC-4051-9D4A-541B1187D85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4753F76F-BEF1-4FCC-8FC3-A13BA9E2C86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5CAE929F-A82E-49B7-9D37-E394A1C32586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<sst xmlns="http://schemas.openxmlformats.org/spreadsheetml/2006/main" count="1542" uniqueCount="222">
  <si>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</si>
  <si>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</si>
  <si>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</si>
  <si>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</si>
  <si>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</si>
  <si>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</si>
  <si>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</si>
  <si>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</si>
  <si>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</si>
  <si>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</si>
  <si>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</si>
  <si>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</si>
  <si>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</si>
  <si>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</si>
  <si>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</si>
  <si>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</si>
  <si>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</si>
  <si>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</si>
  <si>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</si>
  <si>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</si>
  <si>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</si>
  <si>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</si>
  <si>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</si>
  <si>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</si>
  <si>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</si>
  <si>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</si>
  <si>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</si>
  <si>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</si>
  <si>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</si>
  <si>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</si>
  <si>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</si>
  <si>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</si>
  <si>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</si>
  <si>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</si>
  <si>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</si>
  <si>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</si>
  <si>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</si>
  <si>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</si>
  <si>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</si>
  <si>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</si>
  <si>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</si>
  <si>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</si>
  <si>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</si>
  <si>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</si>
  <si>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</si>
  <si>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</si>
  <si>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</si>
  <si>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</si>
  <si>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</si>
  <si>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</si>
  <si>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</si>
  <si>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</si>
  <si>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</si>
  <si>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</si>
  <si>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</si>
  <si>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</si>
  <si>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</si>
  <si>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</si>
  <si>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</si>
  <si>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</si>
  <si>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</si>
  <si>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</si>
  <si>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</si>
  <si>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</si>
  <si>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</si>
  <si>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</si>
  <si>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</si>
  <si>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</si>
  <si>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</si>
  <si>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</si>
  <si>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</si>
  <si>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</si>
  <si>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</si>
  <si>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</si>
  <si>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</si>
  <si>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</si>
  <si>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</si>
  <si>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</si>
  <si>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</si>
  <si>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</si>
  <si>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</si>
  <si>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</si>
  <si>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</si>
  <si>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</si>
  <si>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</si>
  <si>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</si>
  <si>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</si>
  <si>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</si>
  <si>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</si>
  <si>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</si>
  <si>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</si>
  <si>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</si>
  <si>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</si>
  <si>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</si>
  <si>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</si>
  <si>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</si>
  <si>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</si>
  <si>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</si>
  <si>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</si>
  <si>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</si>
  <si>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</si>
  <si>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</si>
  <si>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</si>
  <si>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</si>
  <si>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</si>
  <si>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</si>
  <si>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</si>
  <si>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</si>
  <si>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</si>
  <si>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</si>
  <si>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</si>
  <si>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</si>
  <si>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</si>
  <si>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</si>
  <si>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</si>
  <si>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</si>
  <si>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</si>
  <si>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</si>
  <si>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</si>
  <si>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</si>
  <si>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</si>
  <si>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</si>
  <si>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</si>
  <si>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</si>
  <si>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</si>
  <si>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</si>
  <si>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</si>
  <si>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</si>
  <si>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</si>
  <si>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</si>
  <si>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</si>
  <si>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</si>
  <si>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</si>
  <si>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</si>
  <si>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</si>
  <si>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</si>
  <si>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</si>
  <si>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</si>
  <si>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</si>
  <si>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</si>
  <si>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</si>
  <si>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</si>
  <si>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</si>
  <si>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</si>
  <si>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</si>
  <si>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</si>
  <si>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</si>
  <si>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</si>
  <si>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</si>
  <si>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</si>
  <si>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</si>
  <si>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</si>
  <si>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</si>
  <si>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</si>
  <si>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</si>
  <si>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</si>
  <si>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</si>
  <si>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</si>
  <si>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</si>
  <si>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</si>
  <si>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</si>
  <si>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</si>
  <si>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</si>
  <si>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</si>
  <si>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</si>
  <si>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</si>
  <si>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</si>
  <si>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</si>
  <si>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KUASA DIREKSI</t>
  </si>
  <si>
    <t>2024-10-22</t>
  </si>
  <si>
    <t>39232990</t>
  </si>
  <si>
    <t>48211090</t>
  </si>
  <si>
    <t>58062090</t>
  </si>
  <si>
    <t>54011090</t>
  </si>
  <si>
    <t>58071000</t>
  </si>
  <si>
    <t>VALIDASI 1</t>
  </si>
  <si>
    <t>T/F</t>
  </si>
  <si>
    <t>DATA YG WAJIB DICARI 2</t>
  </si>
  <si>
    <t>2024-11-08</t>
  </si>
  <si>
    <t>THREAD,COMETA@5000MT</t>
  </si>
  <si>
    <t>KAZEN FOODWEAR POUCH</t>
  </si>
  <si>
    <t>KAZEN FOODWEAR UNIFORM</t>
  </si>
  <si>
    <t>POLY CARE LABEL</t>
  </si>
  <si>
    <t>ELASTIC 1660, 15MM</t>
  </si>
  <si>
    <t>ELASTIC, 6MM</t>
  </si>
  <si>
    <t>ELASTIC 1660, 20MM</t>
  </si>
  <si>
    <t>260862</t>
  </si>
  <si>
    <t>235975</t>
  </si>
  <si>
    <t>235980</t>
  </si>
  <si>
    <t>235965</t>
  </si>
  <si>
    <t>C:\Users\sdewi\Downloads\00026231560820241223001985.xlsx</t>
  </si>
  <si>
    <t>C:\Users\sdewi\Downloads\BC 262 24001096-1201-.xlsx</t>
  </si>
  <si>
    <t>KAZEN FOODWEAR HAT</t>
  </si>
  <si>
    <t>2024-10-25</t>
  </si>
  <si>
    <t>65%POLY 35%CTN</t>
  </si>
  <si>
    <t>S/L, NYLON PRINTED LABEL</t>
  </si>
  <si>
    <t>SAGA1100 UREA BUTTON</t>
  </si>
  <si>
    <t>TAPE #AYA UK. 9MM</t>
  </si>
  <si>
    <t>PLBG POLOS</t>
  </si>
  <si>
    <t>S/L, NYLON PRINTED LABEL, HAT</t>
  </si>
  <si>
    <t>62114390</t>
  </si>
  <si>
    <t>63053990</t>
  </si>
  <si>
    <t>65050090</t>
  </si>
  <si>
    <t>260863</t>
  </si>
  <si>
    <t>260856</t>
  </si>
  <si>
    <t>620447</t>
  </si>
  <si>
    <t>237815</t>
  </si>
  <si>
    <t>620871</t>
  </si>
  <si>
    <t>238929</t>
  </si>
  <si>
    <t>238930</t>
  </si>
  <si>
    <t>260873</t>
  </si>
  <si>
    <t>269903</t>
  </si>
  <si>
    <t>238931</t>
  </si>
  <si>
    <t>622183</t>
  </si>
  <si>
    <t>00026131560820241022002640</t>
  </si>
  <si>
    <t>55131100</t>
  </si>
  <si>
    <t>00026131560820241025002673</t>
  </si>
  <si>
    <t>238922/238925/261179/261180/261181/261182/261183/261184/261185/261186/261177/261178</t>
  </si>
  <si>
    <t>96062900</t>
  </si>
  <si>
    <t>58061090</t>
  </si>
  <si>
    <t>251527/251528/251529/251530/251531/251533/251534/251535/251536/251537</t>
  </si>
  <si>
    <t>00026131560820241108002807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</si>
</sst>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5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rgb="FF000000"/>
      <name val="Helvetica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43" fillId="0" borderId="1" xfId="49" applyBorder="1"/>
    <xf numFmtId="167" fontId="0" fillId="0" borderId="0" xfId="0" applyNumberFormat="1"/>
    <xf numFmtId="0" fontId="0" fillId="51" borderId="0" xfId="0" applyFill="1" applyAlignment="1">
      <alignment horizontal="center"/>
    </xf>
    <xf numFmtId="0" fontId="44" fillId="0" borderId="0" xfId="0" applyFont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Hyperlink" xfId="49" builtinId="8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IT/SEPTIAN/New%20folder%20(2)/MACRO%20-%20Item%20Draft%20Barang%20-%20CEISA%204/BAHAN/BC%20262%2024001043-1201-%20(16)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C18" sqref="C18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91"/>
      <c r="B5" s="91"/>
      <c r="C5" s="91"/>
      <c r="D5" s="91"/>
      <c r="E5" s="91"/>
      <c r="F5" s="91"/>
      <c r="G5" s="91"/>
      <c r="H5" s="38" t="s">
        <v>0</v>
      </c>
      <c r="I5" s="90"/>
      <c r="J5" s="90"/>
      <c r="K5" s="90"/>
      <c r="L5" s="90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9" t="s">
        <v>1</v>
      </c>
      <c r="I8" s="89"/>
      <c r="J8" s="89"/>
      <c r="K8" s="89"/>
      <c r="L8" s="89"/>
      <c r="M8" s="89"/>
    </row>
    <row r="9" spans="1:14" s="41" customFormat="1" ht="76.5" customHeight="1" x14ac:dyDescent="0.25">
      <c r="H9" s="89"/>
      <c r="I9" s="89"/>
      <c r="J9" s="89"/>
      <c r="K9" s="89"/>
      <c r="L9" s="89"/>
      <c r="M9" s="89"/>
    </row>
    <row r="10" spans="1:14" s="41" customFormat="1" x14ac:dyDescent="0.25">
      <c r="H10" s="89"/>
      <c r="I10" s="89"/>
      <c r="J10" s="89"/>
      <c r="K10" s="89"/>
      <c r="L10" s="89"/>
      <c r="M10" s="89"/>
    </row>
    <row r="11" spans="1:14" s="41" customFormat="1" x14ac:dyDescent="0.25">
      <c r="H11" s="89"/>
      <c r="I11" s="89"/>
      <c r="J11" s="89"/>
      <c r="K11" s="89"/>
      <c r="L11" s="89"/>
      <c r="M11" s="89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90"/>
      <c r="I14" s="90"/>
      <c r="J14" s="90"/>
      <c r="K14" s="90"/>
      <c r="L14" s="90"/>
      <c r="M14" s="90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sqref="A1:B1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74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75</v>
      </c>
      <c r="B2" s="93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4" t="s">
        <v>73</v>
      </c>
      <c r="B3" s="94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2" t="s">
        <v>128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3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5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1.1200000000000001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9.75</v>
      </c>
      <c r="E11" s="17"/>
      <c r="F11" s="16"/>
    </row>
    <row r="12" spans="1:7" x14ac:dyDescent="0.25">
      <c r="A12" s="92" t="s">
        <v>129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96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38064.75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topLeftCell="L1" workbookViewId="0">
      <selection activeCell="W15" sqref="W15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166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154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155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156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157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158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151</v>
      </c>
      <c r="C11" s="5" t="s">
        <v>137</v>
      </c>
      <c r="D11" t="s">
        <v>168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159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152</v>
      </c>
      <c r="C12" s="5" t="s">
        <v>153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160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165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161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162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163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164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D16" sqref="D1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190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167</v>
      </c>
      <c r="C7" s="85" t="s">
        <v>191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hyperlinks>
    <hyperlink ref="C7" r:id="rId1" display="\\10.8.0.35\Bersama\IT\SEPTIAN\New folder (2)\MACRO - Item Draft Barang - CEISA 4\BAHAN\BC 262 24001043-1201- (16).xlsx" xr:uid="{89D1049B-313A-47E3-9689-E603C38E541E}"/>
  </hyperlink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zoomScale="85" zoomScaleNormal="85" workbookViewId="0">
      <selection activeCell="F14" sqref="F14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5" t="s">
        <v>36</v>
      </c>
      <c r="B4" s="96"/>
      <c r="C4" s="96"/>
      <c r="D4" s="96"/>
      <c r="E4" s="96"/>
      <c r="F4" s="96"/>
      <c r="G4" s="96"/>
      <c r="H4" s="97"/>
      <c r="I4" s="95" t="s">
        <v>92</v>
      </c>
      <c r="J4" s="96"/>
      <c r="K4" s="96"/>
      <c r="L4" s="96"/>
      <c r="M4" s="97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95" t="s">
        <v>36</v>
      </c>
      <c r="B8" s="96"/>
      <c r="C8" s="96"/>
      <c r="D8" s="96"/>
      <c r="E8" s="96"/>
      <c r="F8" s="96"/>
      <c r="G8" s="96"/>
      <c r="H8" s="97"/>
      <c r="I8" s="95" t="s">
        <v>92</v>
      </c>
      <c r="J8" s="96"/>
      <c r="K8" s="96"/>
      <c r="L8" s="96"/>
      <c r="M8" s="97"/>
      <c r="N8" s="95" t="s">
        <v>93</v>
      </c>
      <c r="O8" s="97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95" t="s">
        <v>36</v>
      </c>
      <c r="B12" s="96"/>
      <c r="C12" s="96"/>
      <c r="D12" s="96"/>
      <c r="E12" s="96"/>
      <c r="F12" s="96"/>
      <c r="G12" s="96"/>
      <c r="H12" s="97"/>
      <c r="I12" s="95" t="s">
        <v>92</v>
      </c>
      <c r="J12" s="96"/>
      <c r="K12" s="96"/>
      <c r="L12" s="96"/>
      <c r="M12" s="97"/>
      <c r="N12" s="95" t="s">
        <v>93</v>
      </c>
      <c r="O12" s="96"/>
      <c r="P12" s="97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5" t="s">
        <v>101</v>
      </c>
      <c r="B4" s="96"/>
      <c r="C4" s="96"/>
      <c r="D4" s="96"/>
      <c r="E4" s="96"/>
      <c r="F4" s="96"/>
      <c r="G4" s="96"/>
      <c r="H4" s="97"/>
      <c r="I4" s="96"/>
      <c r="J4" s="96"/>
      <c r="K4" s="96"/>
      <c r="L4" s="96"/>
      <c r="M4" s="96"/>
      <c r="N4" s="96"/>
      <c r="O4" s="97"/>
      <c r="P4" s="95" t="s">
        <v>92</v>
      </c>
      <c r="Q4" s="96"/>
      <c r="R4" s="96"/>
      <c r="S4" s="97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99B6-28A4-4C54-ADED-1BE47C15D654}">
  <sheetPr codeName="Sheet1"/>
  <dimension ref="A1:Y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27.28515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6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5" t="s">
        <v>36</v>
      </c>
      <c r="B1" s="96"/>
      <c r="C1" s="96"/>
      <c r="D1" s="96"/>
      <c r="E1" s="96"/>
      <c r="F1" s="96"/>
      <c r="G1" s="96"/>
      <c r="H1" s="97"/>
      <c r="I1" s="95" t="s">
        <v>92</v>
      </c>
      <c r="J1" s="96"/>
      <c r="K1" s="96"/>
      <c r="L1" s="96"/>
      <c r="M1" s="97"/>
      <c r="N1" s="58" t="s">
        <v>93</v>
      </c>
      <c r="O1" s="98" t="s">
        <v>175</v>
      </c>
      <c r="P1" s="99"/>
      <c r="Q1" s="99"/>
      <c r="R1" s="99"/>
      <c r="S1" s="99"/>
      <c r="T1" s="99"/>
      <c r="U1" s="99"/>
      <c r="V1" s="99"/>
      <c r="W1" s="99"/>
      <c r="X1" s="99"/>
      <c r="Y1" s="99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7" t="s">
        <v>63</v>
      </c>
      <c r="P2" s="87" t="s">
        <v>64</v>
      </c>
      <c r="Q2" s="87" t="s">
        <v>59</v>
      </c>
      <c r="R2" s="87" t="s">
        <v>65</v>
      </c>
      <c r="S2" s="87" t="s">
        <v>66</v>
      </c>
      <c r="T2" s="87" t="s">
        <v>67</v>
      </c>
      <c r="U2" s="87" t="s">
        <v>68</v>
      </c>
      <c r="V2" s="87" t="s">
        <v>69</v>
      </c>
      <c r="W2" s="87" t="s">
        <v>70</v>
      </c>
      <c r="X2" s="87" t="s">
        <v>14</v>
      </c>
      <c r="Y2" s="87" t="s">
        <v>176</v>
      </c>
    </row>
    <row r="3" spans="1:25" x14ac:dyDescent="0.25">
      <c r="A3">
        <v>1</v>
      </c>
      <c r="B3" s="88" t="s">
        <v>202</v>
      </c>
      <c r="C3" t="s">
        <v>203</v>
      </c>
      <c r="D3" t="s">
        <v>192</v>
      </c>
      <c r="E3" t="s">
        <v>39</v>
      </c>
      <c r="F3" t="s">
        <v>39</v>
      </c>
      <c r="G3" t="s">
        <v>39</v>
      </c>
      <c r="H3" t="s">
        <v>39</v>
      </c>
      <c r="I3" t="s">
        <v>9</v>
      </c>
      <c r="J3">
        <v>1</v>
      </c>
      <c r="K3" t="s">
        <v>13</v>
      </c>
      <c r="L3">
        <v>1</v>
      </c>
      <c r="M3">
        <v>0.224</v>
      </c>
      <c r="N3">
        <v>1.95</v>
      </c>
      <c r="O3" t="str">
        <f t="shared" ref="O3:O5" si="0">IF(OR(A3="",A3&lt;1),FALSE,IF(ISNUMBER(A3), IF(INT(A3) = A3, "-", FALSE), FALSE))</f>
        <v>-</v>
      </c>
      <c r="P3" t="str">
        <f t="shared" ref="P3:P5" si="1">IF(B3="",FALSE,"-")</f>
        <v>-</v>
      </c>
      <c r="Q3" t="str">
        <f t="shared" ref="Q3:Q5" si="2">IF(C3="",FALSE,"-")</f>
        <v>-</v>
      </c>
      <c r="R3" t="str">
        <f t="shared" ref="R3:R5" si="3">IF(D3="",FALSE,"-")</f>
        <v>-</v>
      </c>
      <c r="S3" t="str">
        <f>IF(_xlfn.IFNA(VLOOKUP(I3,Set_Ref!$B$6:$B$1048576,1,FALSE),"")&lt;&gt;"","-",FALSE)</f>
        <v>-</v>
      </c>
      <c r="T3" t="str">
        <f t="shared" ref="T3:T5" si="4">IF(OR(J3="",J3&lt;1),FALSE,IF(ISNUMBER(J3),"-",FALSE))</f>
        <v>-</v>
      </c>
      <c r="U3" t="str">
        <f t="shared" ref="U3:U5" si="5">IF(ISTEXT(K3),  "-",FALSE)</f>
        <v>-</v>
      </c>
      <c r="V3" t="str">
        <f t="shared" ref="V3:V5" si="6">IF(OR(L3="",L3&lt;1),FALSE,IF(ISNUMBER(L3),"-",FALSE))</f>
        <v>-</v>
      </c>
      <c r="W3" t="str">
        <f t="shared" ref="W3:W5" si="7">IF(OR(M3="",M3&lt;0),FALSE,IF(ISNUMBER(M3),"-",FALSE))</f>
        <v>-</v>
      </c>
      <c r="X3" t="str">
        <f t="shared" ref="X3:X5" si="8">IF(OR(N3="",N3&lt;1),FALSE,IF(ISNUMBER(N3),"-",FALSE))</f>
        <v>-</v>
      </c>
      <c r="Y3" t="b">
        <f t="shared" ref="Y3:Y5" si="9">IF(COUNTIF($O$3:$X$3, "FALSE") &gt; 0, FALSE, TRUE)</f>
        <v>1</v>
      </c>
    </row>
    <row r="4" spans="1:25" x14ac:dyDescent="0.25">
      <c r="A4">
        <v>2</v>
      </c>
      <c r="B4" s="11" t="s">
        <v>201</v>
      </c>
      <c r="C4" t="s">
        <v>186</v>
      </c>
      <c r="D4" t="s">
        <v>180</v>
      </c>
      <c r="E4" t="s">
        <v>39</v>
      </c>
      <c r="F4" t="s">
        <v>39</v>
      </c>
      <c r="G4" t="s">
        <v>39</v>
      </c>
      <c r="H4" t="s">
        <v>39</v>
      </c>
      <c r="I4" t="s">
        <v>9</v>
      </c>
      <c r="J4">
        <v>1</v>
      </c>
      <c r="K4" t="s">
        <v>13</v>
      </c>
      <c r="L4">
        <v>0</v>
      </c>
      <c r="M4">
        <v>0.224</v>
      </c>
      <c r="N4">
        <v>1.95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b">
        <f t="shared" si="6"/>
        <v>0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200</v>
      </c>
      <c r="C5" t="s">
        <v>204</v>
      </c>
      <c r="D5" t="s">
        <v>181</v>
      </c>
      <c r="E5" t="s">
        <v>39</v>
      </c>
      <c r="F5" t="s">
        <v>39</v>
      </c>
      <c r="G5" t="s">
        <v>39</v>
      </c>
      <c r="H5" t="s">
        <v>39</v>
      </c>
      <c r="I5" t="s">
        <v>9</v>
      </c>
      <c r="J5">
        <v>3</v>
      </c>
      <c r="K5" t="s">
        <v>13</v>
      </c>
      <c r="L5">
        <v>0</v>
      </c>
      <c r="M5">
        <v>0.67200000000000004</v>
      </c>
      <c r="N5">
        <v>5.85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b">
        <f t="shared" si="6"/>
        <v>0</v>
      </c>
      <c r="W5" t="str">
        <f t="shared" si="7"/>
        <v>-</v>
      </c>
      <c r="X5" t="str">
        <f t="shared" si="8"/>
        <v>-</v>
      </c>
      <c r="Y5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13A11-BFB4-480E-AFA2-9AC31AAC6570}">
  <sheetPr codeName="Sheet2"/>
  <dimension ref="A1:AE98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P3" sqref="P3:S98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29.710937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5" t="s">
        <v>101</v>
      </c>
      <c r="B1" s="96"/>
      <c r="C1" s="96"/>
      <c r="D1" s="96"/>
      <c r="E1" s="96"/>
      <c r="F1" s="96"/>
      <c r="G1" s="96"/>
      <c r="H1" s="97"/>
      <c r="I1" s="100"/>
      <c r="J1" s="100"/>
      <c r="K1" s="100"/>
      <c r="L1" s="100"/>
      <c r="M1" s="100"/>
      <c r="N1" s="100"/>
      <c r="O1" s="101"/>
      <c r="P1" s="95" t="s">
        <v>92</v>
      </c>
      <c r="Q1" s="96"/>
      <c r="R1" s="96"/>
      <c r="S1" s="97"/>
      <c r="T1" s="98" t="s">
        <v>175</v>
      </c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7" t="s">
        <v>63</v>
      </c>
      <c r="U2" s="87" t="s">
        <v>91</v>
      </c>
      <c r="V2" s="87" t="s">
        <v>48</v>
      </c>
      <c r="W2" s="87" t="s">
        <v>100</v>
      </c>
      <c r="X2" s="87" t="s">
        <v>86</v>
      </c>
      <c r="Y2" s="87" t="s">
        <v>87</v>
      </c>
      <c r="Z2" s="87" t="s">
        <v>64</v>
      </c>
      <c r="AA2" s="87" t="s">
        <v>59</v>
      </c>
      <c r="AB2" s="87" t="s">
        <v>66</v>
      </c>
      <c r="AC2" s="87" t="s">
        <v>67</v>
      </c>
      <c r="AD2" s="87" t="s">
        <v>177</v>
      </c>
      <c r="AE2" s="87" t="s">
        <v>176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t="s">
        <v>205</v>
      </c>
      <c r="F3" s="86" t="s">
        <v>169</v>
      </c>
      <c r="G3" s="11" t="s">
        <v>214</v>
      </c>
      <c r="H3">
        <v>1</v>
      </c>
      <c r="I3" s="11" t="s">
        <v>215</v>
      </c>
      <c r="J3" t="s">
        <v>206</v>
      </c>
      <c r="K3" t="s">
        <v>194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10</v>
      </c>
      <c r="Q3">
        <v>2870.25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IF(OR(Q3="",Q3&lt;0),FALSE,IF(ISNUMBER(Q3),"-",FALSE))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149</v>
      </c>
      <c r="E4" t="s">
        <v>207</v>
      </c>
      <c r="F4" t="s">
        <v>193</v>
      </c>
      <c r="G4" s="11" t="s">
        <v>216</v>
      </c>
      <c r="H4">
        <v>1</v>
      </c>
      <c r="I4" s="11" t="s">
        <v>172</v>
      </c>
      <c r="J4" t="s">
        <v>188</v>
      </c>
      <c r="K4" t="s">
        <v>184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10</v>
      </c>
      <c r="Q4">
        <v>493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149</v>
      </c>
      <c r="E5" t="s">
        <v>207</v>
      </c>
      <c r="F5" t="s">
        <v>193</v>
      </c>
      <c r="G5" s="11" t="s">
        <v>216</v>
      </c>
      <c r="H5">
        <v>2</v>
      </c>
      <c r="I5" s="11" t="s">
        <v>171</v>
      </c>
      <c r="J5" t="s">
        <v>217</v>
      </c>
      <c r="K5" t="s">
        <v>195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9</v>
      </c>
      <c r="Q5">
        <v>408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149</v>
      </c>
      <c r="E6" t="s">
        <v>207</v>
      </c>
      <c r="F6" t="s">
        <v>193</v>
      </c>
      <c r="G6" s="11" t="s">
        <v>216</v>
      </c>
      <c r="H6">
        <v>2</v>
      </c>
      <c r="I6" s="11" t="s">
        <v>171</v>
      </c>
      <c r="J6" t="s">
        <v>217</v>
      </c>
      <c r="K6" t="s">
        <v>195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9</v>
      </c>
      <c r="Q6">
        <v>408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149</v>
      </c>
      <c r="E7" t="s">
        <v>207</v>
      </c>
      <c r="F7" t="s">
        <v>193</v>
      </c>
      <c r="G7" s="11" t="s">
        <v>216</v>
      </c>
      <c r="H7">
        <v>3</v>
      </c>
      <c r="I7" s="11" t="s">
        <v>218</v>
      </c>
      <c r="J7" t="s">
        <v>208</v>
      </c>
      <c r="K7" t="s">
        <v>196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9</v>
      </c>
      <c r="Q7">
        <v>4117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11" t="s">
        <v>149</v>
      </c>
      <c r="E8" t="s">
        <v>207</v>
      </c>
      <c r="F8" t="s">
        <v>193</v>
      </c>
      <c r="G8" s="11" t="s">
        <v>216</v>
      </c>
      <c r="H8">
        <v>4</v>
      </c>
      <c r="I8" s="11" t="s">
        <v>219</v>
      </c>
      <c r="J8" t="s">
        <v>209</v>
      </c>
      <c r="K8" t="s">
        <v>197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10</v>
      </c>
      <c r="Q8">
        <v>104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149</v>
      </c>
      <c r="E9" t="s">
        <v>207</v>
      </c>
      <c r="F9" t="s">
        <v>193</v>
      </c>
      <c r="G9" s="11" t="s">
        <v>216</v>
      </c>
      <c r="H9">
        <v>5</v>
      </c>
      <c r="I9" s="11" t="s">
        <v>174</v>
      </c>
      <c r="J9" t="s">
        <v>210</v>
      </c>
      <c r="K9" t="s">
        <v>182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9</v>
      </c>
      <c r="Q9">
        <v>1230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149</v>
      </c>
      <c r="E10" t="s">
        <v>207</v>
      </c>
      <c r="F10" t="s">
        <v>193</v>
      </c>
      <c r="G10" s="11" t="s">
        <v>216</v>
      </c>
      <c r="H10">
        <v>6</v>
      </c>
      <c r="I10" s="11" t="s">
        <v>173</v>
      </c>
      <c r="J10" t="s">
        <v>211</v>
      </c>
      <c r="K10" t="s">
        <v>179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11</v>
      </c>
      <c r="Q10">
        <v>13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11" t="s">
        <v>149</v>
      </c>
      <c r="E11" t="s">
        <v>207</v>
      </c>
      <c r="F11" t="s">
        <v>193</v>
      </c>
      <c r="G11" s="11" t="s">
        <v>216</v>
      </c>
      <c r="H11">
        <v>7</v>
      </c>
      <c r="I11" s="11" t="s">
        <v>170</v>
      </c>
      <c r="J11" t="s">
        <v>212</v>
      </c>
      <c r="K11" t="s">
        <v>198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9</v>
      </c>
      <c r="Q11">
        <v>1231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11" t="s">
        <v>149</v>
      </c>
      <c r="E12" t="s">
        <v>207</v>
      </c>
      <c r="F12" t="s">
        <v>193</v>
      </c>
      <c r="G12" s="11" t="s">
        <v>216</v>
      </c>
      <c r="H12">
        <v>8</v>
      </c>
      <c r="I12" s="11" t="s">
        <v>172</v>
      </c>
      <c r="J12" t="s">
        <v>189</v>
      </c>
      <c r="K12" t="s">
        <v>185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10</v>
      </c>
      <c r="Q12">
        <v>93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11" t="s">
        <v>149</v>
      </c>
      <c r="E13" t="s">
        <v>207</v>
      </c>
      <c r="F13" t="s">
        <v>193</v>
      </c>
      <c r="G13" s="11" t="s">
        <v>216</v>
      </c>
      <c r="H13">
        <v>9</v>
      </c>
      <c r="I13" s="11" t="s">
        <v>174</v>
      </c>
      <c r="J13" t="s">
        <v>220</v>
      </c>
      <c r="K13" t="s">
        <v>199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9</v>
      </c>
      <c r="Q13">
        <v>43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11" t="s">
        <v>149</v>
      </c>
      <c r="E14" t="s">
        <v>207</v>
      </c>
      <c r="F14" t="s">
        <v>193</v>
      </c>
      <c r="G14" s="11" t="s">
        <v>216</v>
      </c>
      <c r="H14">
        <v>9</v>
      </c>
      <c r="I14" s="11" t="s">
        <v>174</v>
      </c>
      <c r="J14" t="s">
        <v>220</v>
      </c>
      <c r="K14" t="s">
        <v>199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9</v>
      </c>
      <c r="Q14">
        <v>65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1</v>
      </c>
      <c r="B15">
        <v>13</v>
      </c>
      <c r="C15">
        <v>261</v>
      </c>
      <c r="D15" s="11" t="s">
        <v>149</v>
      </c>
      <c r="E15" t="s">
        <v>207</v>
      </c>
      <c r="F15" t="s">
        <v>193</v>
      </c>
      <c r="G15" s="11" t="s">
        <v>216</v>
      </c>
      <c r="H15">
        <v>9</v>
      </c>
      <c r="I15" s="11" t="s">
        <v>174</v>
      </c>
      <c r="J15" t="s">
        <v>220</v>
      </c>
      <c r="K15" t="s">
        <v>199</v>
      </c>
      <c r="L15" s="11" t="s">
        <v>39</v>
      </c>
      <c r="M15" s="11" t="s">
        <v>39</v>
      </c>
      <c r="N15" s="11" t="s">
        <v>39</v>
      </c>
      <c r="O15" s="11" t="s">
        <v>39</v>
      </c>
      <c r="P15" t="s">
        <v>9</v>
      </c>
      <c r="Q15">
        <v>25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1</v>
      </c>
      <c r="B16">
        <v>14</v>
      </c>
      <c r="C16">
        <v>261</v>
      </c>
      <c r="D16" s="11" t="s">
        <v>149</v>
      </c>
      <c r="E16" t="s">
        <v>207</v>
      </c>
      <c r="F16" t="s">
        <v>193</v>
      </c>
      <c r="G16" s="11" t="s">
        <v>216</v>
      </c>
      <c r="H16">
        <v>9</v>
      </c>
      <c r="I16" s="11" t="s">
        <v>174</v>
      </c>
      <c r="J16" t="s">
        <v>220</v>
      </c>
      <c r="K16" t="s">
        <v>199</v>
      </c>
      <c r="L16" s="11" t="s">
        <v>39</v>
      </c>
      <c r="M16" s="11" t="s">
        <v>39</v>
      </c>
      <c r="N16" s="11" t="s">
        <v>39</v>
      </c>
      <c r="O16" s="11" t="s">
        <v>39</v>
      </c>
      <c r="P16" t="s">
        <v>9</v>
      </c>
      <c r="Q16">
        <v>34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1</v>
      </c>
      <c r="B17">
        <v>15</v>
      </c>
      <c r="C17">
        <v>261</v>
      </c>
      <c r="D17" s="11" t="s">
        <v>149</v>
      </c>
      <c r="E17" t="s">
        <v>207</v>
      </c>
      <c r="F17" t="s">
        <v>193</v>
      </c>
      <c r="G17" s="11" t="s">
        <v>216</v>
      </c>
      <c r="H17">
        <v>9</v>
      </c>
      <c r="I17" s="11" t="s">
        <v>174</v>
      </c>
      <c r="J17" t="s">
        <v>220</v>
      </c>
      <c r="K17" t="s">
        <v>199</v>
      </c>
      <c r="L17" s="11" t="s">
        <v>39</v>
      </c>
      <c r="M17" s="11" t="s">
        <v>39</v>
      </c>
      <c r="N17" s="11" t="s">
        <v>39</v>
      </c>
      <c r="O17" s="11" t="s">
        <v>39</v>
      </c>
      <c r="P17" t="s">
        <v>9</v>
      </c>
      <c r="Q17">
        <v>55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1</v>
      </c>
      <c r="B18">
        <v>16</v>
      </c>
      <c r="C18">
        <v>261</v>
      </c>
      <c r="D18" s="11" t="s">
        <v>149</v>
      </c>
      <c r="E18" t="s">
        <v>207</v>
      </c>
      <c r="F18" t="s">
        <v>193</v>
      </c>
      <c r="G18" s="11" t="s">
        <v>216</v>
      </c>
      <c r="H18">
        <v>9</v>
      </c>
      <c r="I18" s="11" t="s">
        <v>174</v>
      </c>
      <c r="J18" t="s">
        <v>220</v>
      </c>
      <c r="K18" t="s">
        <v>199</v>
      </c>
      <c r="L18" s="11" t="s">
        <v>39</v>
      </c>
      <c r="M18" s="11" t="s">
        <v>39</v>
      </c>
      <c r="N18" s="11" t="s">
        <v>39</v>
      </c>
      <c r="O18" s="11" t="s">
        <v>39</v>
      </c>
      <c r="P18" t="s">
        <v>9</v>
      </c>
      <c r="Q18">
        <v>492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1</v>
      </c>
      <c r="B19">
        <v>17</v>
      </c>
      <c r="C19">
        <v>261</v>
      </c>
      <c r="D19" s="11" t="s">
        <v>149</v>
      </c>
      <c r="E19" t="s">
        <v>207</v>
      </c>
      <c r="F19" t="s">
        <v>193</v>
      </c>
      <c r="G19" s="11" t="s">
        <v>216</v>
      </c>
      <c r="H19">
        <v>9</v>
      </c>
      <c r="I19" s="11" t="s">
        <v>174</v>
      </c>
      <c r="J19" t="s">
        <v>220</v>
      </c>
      <c r="K19" t="s">
        <v>199</v>
      </c>
      <c r="L19" s="11" t="s">
        <v>39</v>
      </c>
      <c r="M19" s="11" t="s">
        <v>39</v>
      </c>
      <c r="N19" s="11" t="s">
        <v>39</v>
      </c>
      <c r="O19" s="11" t="s">
        <v>39</v>
      </c>
      <c r="P19" t="s">
        <v>9</v>
      </c>
      <c r="Q19">
        <v>48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1</v>
      </c>
      <c r="B20">
        <v>18</v>
      </c>
      <c r="C20">
        <v>261</v>
      </c>
      <c r="D20" s="11" t="s">
        <v>149</v>
      </c>
      <c r="E20" t="s">
        <v>207</v>
      </c>
      <c r="F20" t="s">
        <v>193</v>
      </c>
      <c r="G20" s="11" t="s">
        <v>216</v>
      </c>
      <c r="H20">
        <v>9</v>
      </c>
      <c r="I20" s="11" t="s">
        <v>174</v>
      </c>
      <c r="J20" t="s">
        <v>220</v>
      </c>
      <c r="K20" t="s">
        <v>199</v>
      </c>
      <c r="L20" s="11" t="s">
        <v>39</v>
      </c>
      <c r="M20" s="11" t="s">
        <v>39</v>
      </c>
      <c r="N20" s="11" t="s">
        <v>39</v>
      </c>
      <c r="O20" s="11" t="s">
        <v>39</v>
      </c>
      <c r="P20" t="s">
        <v>9</v>
      </c>
      <c r="Q20">
        <v>43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1</v>
      </c>
      <c r="B21">
        <v>19</v>
      </c>
      <c r="C21">
        <v>261</v>
      </c>
      <c r="D21" s="11" t="s">
        <v>149</v>
      </c>
      <c r="E21" t="s">
        <v>207</v>
      </c>
      <c r="F21" t="s">
        <v>193</v>
      </c>
      <c r="G21" s="11" t="s">
        <v>216</v>
      </c>
      <c r="H21">
        <v>9</v>
      </c>
      <c r="I21" s="11" t="s">
        <v>174</v>
      </c>
      <c r="J21" t="s">
        <v>220</v>
      </c>
      <c r="K21" t="s">
        <v>199</v>
      </c>
      <c r="L21" s="11" t="s">
        <v>39</v>
      </c>
      <c r="M21" s="11" t="s">
        <v>39</v>
      </c>
      <c r="N21" s="11" t="s">
        <v>39</v>
      </c>
      <c r="O21" s="11" t="s">
        <v>39</v>
      </c>
      <c r="P21" t="s">
        <v>9</v>
      </c>
      <c r="Q21">
        <v>419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1</v>
      </c>
      <c r="B22">
        <v>20</v>
      </c>
      <c r="C22">
        <v>261</v>
      </c>
      <c r="D22" s="11" t="s">
        <v>149</v>
      </c>
      <c r="E22" t="s">
        <v>207</v>
      </c>
      <c r="F22" t="s">
        <v>193</v>
      </c>
      <c r="G22" s="11" t="s">
        <v>216</v>
      </c>
      <c r="H22">
        <v>9</v>
      </c>
      <c r="I22" s="11" t="s">
        <v>174</v>
      </c>
      <c r="J22" t="s">
        <v>220</v>
      </c>
      <c r="K22" t="s">
        <v>199</v>
      </c>
      <c r="L22" s="11" t="s">
        <v>39</v>
      </c>
      <c r="M22" s="11" t="s">
        <v>39</v>
      </c>
      <c r="N22" s="11" t="s">
        <v>39</v>
      </c>
      <c r="O22" s="11" t="s">
        <v>39</v>
      </c>
      <c r="P22" t="s">
        <v>9</v>
      </c>
      <c r="Q22">
        <v>10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1</v>
      </c>
      <c r="B23">
        <v>21</v>
      </c>
      <c r="C23">
        <v>261</v>
      </c>
      <c r="D23" s="11" t="s">
        <v>149</v>
      </c>
      <c r="E23" t="s">
        <v>207</v>
      </c>
      <c r="F23" t="s">
        <v>193</v>
      </c>
      <c r="G23" s="11" t="s">
        <v>216</v>
      </c>
      <c r="H23">
        <v>2</v>
      </c>
      <c r="I23" s="11" t="s">
        <v>171</v>
      </c>
      <c r="J23" t="s">
        <v>217</v>
      </c>
      <c r="K23" t="s">
        <v>195</v>
      </c>
      <c r="L23" s="11" t="s">
        <v>39</v>
      </c>
      <c r="M23" s="11" t="s">
        <v>39</v>
      </c>
      <c r="N23" s="11" t="s">
        <v>39</v>
      </c>
      <c r="O23" s="11" t="s">
        <v>39</v>
      </c>
      <c r="P23" t="s">
        <v>9</v>
      </c>
      <c r="Q23">
        <v>26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1</v>
      </c>
      <c r="B24">
        <v>22</v>
      </c>
      <c r="C24">
        <v>261</v>
      </c>
      <c r="D24" s="11" t="s">
        <v>149</v>
      </c>
      <c r="E24" t="s">
        <v>207</v>
      </c>
      <c r="F24" t="s">
        <v>193</v>
      </c>
      <c r="G24" s="11" t="s">
        <v>216</v>
      </c>
      <c r="H24">
        <v>2</v>
      </c>
      <c r="I24" s="11" t="s">
        <v>171</v>
      </c>
      <c r="J24" t="s">
        <v>217</v>
      </c>
      <c r="K24" t="s">
        <v>195</v>
      </c>
      <c r="L24" s="11" t="s">
        <v>39</v>
      </c>
      <c r="M24" s="11" t="s">
        <v>39</v>
      </c>
      <c r="N24" s="11" t="s">
        <v>39</v>
      </c>
      <c r="O24" s="11" t="s">
        <v>39</v>
      </c>
      <c r="P24" t="s">
        <v>9</v>
      </c>
      <c r="Q24">
        <v>35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1</v>
      </c>
      <c r="B25">
        <v>23</v>
      </c>
      <c r="C25">
        <v>261</v>
      </c>
      <c r="D25" s="11" t="s">
        <v>149</v>
      </c>
      <c r="E25" t="s">
        <v>207</v>
      </c>
      <c r="F25" t="s">
        <v>193</v>
      </c>
      <c r="G25" s="11" t="s">
        <v>216</v>
      </c>
      <c r="H25">
        <v>2</v>
      </c>
      <c r="I25" s="11" t="s">
        <v>171</v>
      </c>
      <c r="J25" t="s">
        <v>217</v>
      </c>
      <c r="K25" t="s">
        <v>195</v>
      </c>
      <c r="L25" s="11" t="s">
        <v>39</v>
      </c>
      <c r="M25" s="11" t="s">
        <v>39</v>
      </c>
      <c r="N25" s="11" t="s">
        <v>39</v>
      </c>
      <c r="O25" s="11" t="s">
        <v>39</v>
      </c>
      <c r="P25" t="s">
        <v>9</v>
      </c>
      <c r="Q25">
        <v>55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1</v>
      </c>
      <c r="B26">
        <v>24</v>
      </c>
      <c r="C26">
        <v>261</v>
      </c>
      <c r="D26" s="11" t="s">
        <v>149</v>
      </c>
      <c r="E26" t="s">
        <v>207</v>
      </c>
      <c r="F26" t="s">
        <v>193</v>
      </c>
      <c r="G26" s="11" t="s">
        <v>216</v>
      </c>
      <c r="H26">
        <v>2</v>
      </c>
      <c r="I26" s="11" t="s">
        <v>171</v>
      </c>
      <c r="J26" t="s">
        <v>217</v>
      </c>
      <c r="K26" t="s">
        <v>195</v>
      </c>
      <c r="L26" s="11" t="s">
        <v>39</v>
      </c>
      <c r="M26" s="11" t="s">
        <v>39</v>
      </c>
      <c r="N26" s="11" t="s">
        <v>39</v>
      </c>
      <c r="O26" s="11" t="s">
        <v>39</v>
      </c>
      <c r="P26" t="s">
        <v>9</v>
      </c>
      <c r="Q26">
        <v>84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1</v>
      </c>
      <c r="B27">
        <v>25</v>
      </c>
      <c r="C27">
        <v>261</v>
      </c>
      <c r="D27" s="11" t="s">
        <v>149</v>
      </c>
      <c r="E27" t="s">
        <v>207</v>
      </c>
      <c r="F27" t="s">
        <v>193</v>
      </c>
      <c r="G27" s="11" t="s">
        <v>216</v>
      </c>
      <c r="H27">
        <v>2</v>
      </c>
      <c r="I27" s="11" t="s">
        <v>171</v>
      </c>
      <c r="J27" t="s">
        <v>217</v>
      </c>
      <c r="K27" t="s">
        <v>195</v>
      </c>
      <c r="L27" s="11" t="s">
        <v>39</v>
      </c>
      <c r="M27" s="11" t="s">
        <v>39</v>
      </c>
      <c r="N27" s="11" t="s">
        <v>39</v>
      </c>
      <c r="O27" s="11" t="s">
        <v>39</v>
      </c>
      <c r="P27" t="s">
        <v>9</v>
      </c>
      <c r="Q27">
        <v>48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1</v>
      </c>
      <c r="B28">
        <v>26</v>
      </c>
      <c r="C28">
        <v>261</v>
      </c>
      <c r="D28" s="11" t="s">
        <v>149</v>
      </c>
      <c r="E28" t="s">
        <v>207</v>
      </c>
      <c r="F28" t="s">
        <v>193</v>
      </c>
      <c r="G28" s="11" t="s">
        <v>216</v>
      </c>
      <c r="H28">
        <v>2</v>
      </c>
      <c r="I28" s="11" t="s">
        <v>171</v>
      </c>
      <c r="J28" t="s">
        <v>217</v>
      </c>
      <c r="K28" t="s">
        <v>195</v>
      </c>
      <c r="L28" s="11" t="s">
        <v>39</v>
      </c>
      <c r="M28" s="11" t="s">
        <v>39</v>
      </c>
      <c r="N28" s="11" t="s">
        <v>39</v>
      </c>
      <c r="O28" s="11" t="s">
        <v>39</v>
      </c>
      <c r="P28" t="s">
        <v>9</v>
      </c>
      <c r="Q28">
        <v>43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1</v>
      </c>
      <c r="B29">
        <v>27</v>
      </c>
      <c r="C29">
        <v>261</v>
      </c>
      <c r="D29" s="11" t="s">
        <v>149</v>
      </c>
      <c r="E29" t="s">
        <v>207</v>
      </c>
      <c r="F29" t="s">
        <v>193</v>
      </c>
      <c r="G29" s="11" t="s">
        <v>216</v>
      </c>
      <c r="H29">
        <v>2</v>
      </c>
      <c r="I29" s="11" t="s">
        <v>171</v>
      </c>
      <c r="J29" t="s">
        <v>217</v>
      </c>
      <c r="K29" t="s">
        <v>195</v>
      </c>
      <c r="L29" s="11" t="s">
        <v>39</v>
      </c>
      <c r="M29" s="11" t="s">
        <v>39</v>
      </c>
      <c r="N29" s="11" t="s">
        <v>39</v>
      </c>
      <c r="O29" s="11" t="s">
        <v>39</v>
      </c>
      <c r="P29" t="s">
        <v>9</v>
      </c>
      <c r="Q29">
        <v>11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1</v>
      </c>
      <c r="B30">
        <v>28</v>
      </c>
      <c r="C30">
        <v>261</v>
      </c>
      <c r="D30" s="11" t="s">
        <v>149</v>
      </c>
      <c r="E30" t="s">
        <v>207</v>
      </c>
      <c r="F30" t="s">
        <v>193</v>
      </c>
      <c r="G30" s="11" t="s">
        <v>216</v>
      </c>
      <c r="H30">
        <v>2</v>
      </c>
      <c r="I30" s="11" t="s">
        <v>171</v>
      </c>
      <c r="J30" t="s">
        <v>217</v>
      </c>
      <c r="K30" t="s">
        <v>195</v>
      </c>
      <c r="L30" s="11" t="s">
        <v>39</v>
      </c>
      <c r="M30" s="11" t="s">
        <v>39</v>
      </c>
      <c r="N30" s="11" t="s">
        <v>39</v>
      </c>
      <c r="O30" s="11" t="s">
        <v>39</v>
      </c>
      <c r="P30" t="s">
        <v>9</v>
      </c>
      <c r="Q30">
        <v>10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1</v>
      </c>
      <c r="B31">
        <v>29</v>
      </c>
      <c r="C31">
        <v>261</v>
      </c>
      <c r="D31" s="11" t="s">
        <v>149</v>
      </c>
      <c r="E31" t="s">
        <v>207</v>
      </c>
      <c r="F31" t="s">
        <v>193</v>
      </c>
      <c r="G31" s="11" t="s">
        <v>216</v>
      </c>
      <c r="H31">
        <v>10</v>
      </c>
      <c r="I31" s="11" t="s">
        <v>172</v>
      </c>
      <c r="J31" t="s">
        <v>187</v>
      </c>
      <c r="K31" t="s">
        <v>183</v>
      </c>
      <c r="L31" s="11" t="s">
        <v>39</v>
      </c>
      <c r="M31" s="11" t="s">
        <v>39</v>
      </c>
      <c r="N31" s="11" t="s">
        <v>39</v>
      </c>
      <c r="O31" s="11" t="s">
        <v>39</v>
      </c>
      <c r="P31" t="s">
        <v>10</v>
      </c>
      <c r="Q31">
        <v>60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1</v>
      </c>
      <c r="B32">
        <v>30</v>
      </c>
      <c r="C32">
        <v>261</v>
      </c>
      <c r="D32" s="11" t="s">
        <v>149</v>
      </c>
      <c r="E32" t="s">
        <v>207</v>
      </c>
      <c r="F32" t="s">
        <v>193</v>
      </c>
      <c r="G32" s="11" t="s">
        <v>216</v>
      </c>
      <c r="H32">
        <v>2</v>
      </c>
      <c r="I32" s="11" t="s">
        <v>171</v>
      </c>
      <c r="J32" t="s">
        <v>217</v>
      </c>
      <c r="K32" t="s">
        <v>195</v>
      </c>
      <c r="L32" s="11" t="s">
        <v>39</v>
      </c>
      <c r="M32" s="11" t="s">
        <v>39</v>
      </c>
      <c r="N32" s="11" t="s">
        <v>39</v>
      </c>
      <c r="O32" s="11" t="s">
        <v>39</v>
      </c>
      <c r="P32" t="s">
        <v>9</v>
      </c>
      <c r="Q32">
        <v>43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1</v>
      </c>
      <c r="B33">
        <v>31</v>
      </c>
      <c r="C33">
        <v>261</v>
      </c>
      <c r="D33" s="11" t="s">
        <v>149</v>
      </c>
      <c r="E33" t="s">
        <v>207</v>
      </c>
      <c r="F33" t="s">
        <v>193</v>
      </c>
      <c r="G33" s="11" t="s">
        <v>216</v>
      </c>
      <c r="H33">
        <v>2</v>
      </c>
      <c r="I33" s="11" t="s">
        <v>171</v>
      </c>
      <c r="J33" t="s">
        <v>217</v>
      </c>
      <c r="K33" t="s">
        <v>195</v>
      </c>
      <c r="L33" s="11" t="s">
        <v>39</v>
      </c>
      <c r="M33" s="11" t="s">
        <v>39</v>
      </c>
      <c r="N33" s="11" t="s">
        <v>39</v>
      </c>
      <c r="O33" s="11" t="s">
        <v>39</v>
      </c>
      <c r="P33" t="s">
        <v>9</v>
      </c>
      <c r="Q33">
        <v>65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1</v>
      </c>
      <c r="B34">
        <v>32</v>
      </c>
      <c r="C34">
        <v>261</v>
      </c>
      <c r="D34" s="11" t="s">
        <v>149</v>
      </c>
      <c r="E34" t="s">
        <v>213</v>
      </c>
      <c r="F34" t="s">
        <v>178</v>
      </c>
      <c r="G34" s="11" t="s">
        <v>221</v>
      </c>
      <c r="H34">
        <v>1</v>
      </c>
      <c r="I34" s="11" t="s">
        <v>172</v>
      </c>
      <c r="J34" t="s">
        <v>189</v>
      </c>
      <c r="K34" t="s">
        <v>185</v>
      </c>
      <c r="L34" s="11" t="s">
        <v>39</v>
      </c>
      <c r="M34" s="11" t="s">
        <v>39</v>
      </c>
      <c r="N34" s="11" t="s">
        <v>39</v>
      </c>
      <c r="O34" s="11" t="s">
        <v>39</v>
      </c>
      <c r="P34" t="s">
        <v>10</v>
      </c>
      <c r="Q34">
        <v>7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2</v>
      </c>
      <c r="B35">
        <v>1</v>
      </c>
      <c r="C35">
        <v>261</v>
      </c>
      <c r="D35" s="11" t="s">
        <v>149</v>
      </c>
      <c r="E35" t="s">
        <v>205</v>
      </c>
      <c r="F35" s="86" t="s">
        <v>169</v>
      </c>
      <c r="G35" s="11" t="s">
        <v>214</v>
      </c>
      <c r="H35">
        <v>1</v>
      </c>
      <c r="I35" s="11" t="s">
        <v>215</v>
      </c>
      <c r="J35" t="s">
        <v>206</v>
      </c>
      <c r="K35" t="s">
        <v>194</v>
      </c>
      <c r="L35" s="11" t="s">
        <v>39</v>
      </c>
      <c r="M35" s="11" t="s">
        <v>39</v>
      </c>
      <c r="N35" s="11" t="s">
        <v>39</v>
      </c>
      <c r="O35" s="11" t="s">
        <v>39</v>
      </c>
      <c r="P35" t="s">
        <v>10</v>
      </c>
      <c r="Q35">
        <v>2870.25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IF(OR(Q35="",Q35&lt;0),FALSE,IF(ISNUMBER(Q35),"-",FALSE))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2</v>
      </c>
      <c r="B36">
        <v>2</v>
      </c>
      <c r="C36">
        <v>261</v>
      </c>
      <c r="D36" s="11" t="s">
        <v>149</v>
      </c>
      <c r="E36" t="s">
        <v>207</v>
      </c>
      <c r="F36" t="s">
        <v>193</v>
      </c>
      <c r="G36" s="11" t="s">
        <v>216</v>
      </c>
      <c r="H36">
        <v>1</v>
      </c>
      <c r="I36" s="11" t="s">
        <v>172</v>
      </c>
      <c r="J36" t="s">
        <v>188</v>
      </c>
      <c r="K36" t="s">
        <v>184</v>
      </c>
      <c r="L36" s="11" t="s">
        <v>39</v>
      </c>
      <c r="M36" s="11" t="s">
        <v>39</v>
      </c>
      <c r="N36" s="11" t="s">
        <v>39</v>
      </c>
      <c r="O36" s="11" t="s">
        <v>39</v>
      </c>
      <c r="P36" t="s">
        <v>10</v>
      </c>
      <c r="Q36">
        <v>493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2</v>
      </c>
      <c r="B37">
        <v>3</v>
      </c>
      <c r="C37">
        <v>261</v>
      </c>
      <c r="D37" s="11" t="s">
        <v>149</v>
      </c>
      <c r="E37" t="s">
        <v>207</v>
      </c>
      <c r="F37" t="s">
        <v>193</v>
      </c>
      <c r="G37" s="11" t="s">
        <v>216</v>
      </c>
      <c r="H37">
        <v>2</v>
      </c>
      <c r="I37" s="11" t="s">
        <v>171</v>
      </c>
      <c r="J37" t="s">
        <v>217</v>
      </c>
      <c r="K37" t="s">
        <v>195</v>
      </c>
      <c r="L37" s="11" t="s">
        <v>39</v>
      </c>
      <c r="M37" s="11" t="s">
        <v>39</v>
      </c>
      <c r="N37" s="11" t="s">
        <v>39</v>
      </c>
      <c r="O37" s="11" t="s">
        <v>39</v>
      </c>
      <c r="P37" t="s">
        <v>9</v>
      </c>
      <c r="Q37">
        <v>408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2</v>
      </c>
      <c r="B38">
        <v>4</v>
      </c>
      <c r="C38">
        <v>261</v>
      </c>
      <c r="D38" s="11" t="s">
        <v>149</v>
      </c>
      <c r="E38" t="s">
        <v>207</v>
      </c>
      <c r="F38" t="s">
        <v>193</v>
      </c>
      <c r="G38" s="11" t="s">
        <v>216</v>
      </c>
      <c r="H38">
        <v>2</v>
      </c>
      <c r="I38" s="11" t="s">
        <v>171</v>
      </c>
      <c r="J38" t="s">
        <v>217</v>
      </c>
      <c r="K38" t="s">
        <v>195</v>
      </c>
      <c r="L38" s="11" t="s">
        <v>39</v>
      </c>
      <c r="M38" s="11" t="s">
        <v>39</v>
      </c>
      <c r="N38" s="11" t="s">
        <v>39</v>
      </c>
      <c r="O38" s="11" t="s">
        <v>39</v>
      </c>
      <c r="P38" t="s">
        <v>9</v>
      </c>
      <c r="Q38">
        <v>408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2</v>
      </c>
      <c r="B39">
        <v>5</v>
      </c>
      <c r="C39">
        <v>261</v>
      </c>
      <c r="D39" s="11" t="s">
        <v>149</v>
      </c>
      <c r="E39" t="s">
        <v>207</v>
      </c>
      <c r="F39" t="s">
        <v>193</v>
      </c>
      <c r="G39" s="11" t="s">
        <v>216</v>
      </c>
      <c r="H39">
        <v>3</v>
      </c>
      <c r="I39" s="11" t="s">
        <v>218</v>
      </c>
      <c r="J39" t="s">
        <v>208</v>
      </c>
      <c r="K39" t="s">
        <v>196</v>
      </c>
      <c r="L39" s="11" t="s">
        <v>39</v>
      </c>
      <c r="M39" s="11" t="s">
        <v>39</v>
      </c>
      <c r="N39" s="11" t="s">
        <v>39</v>
      </c>
      <c r="O39" s="11" t="s">
        <v>39</v>
      </c>
      <c r="P39" t="s">
        <v>9</v>
      </c>
      <c r="Q39">
        <v>4117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2</v>
      </c>
      <c r="B40">
        <v>6</v>
      </c>
      <c r="C40">
        <v>261</v>
      </c>
      <c r="D40" s="11" t="s">
        <v>149</v>
      </c>
      <c r="E40" t="s">
        <v>207</v>
      </c>
      <c r="F40" t="s">
        <v>193</v>
      </c>
      <c r="G40" s="11" t="s">
        <v>216</v>
      </c>
      <c r="H40">
        <v>4</v>
      </c>
      <c r="I40" s="11" t="s">
        <v>219</v>
      </c>
      <c r="J40" t="s">
        <v>209</v>
      </c>
      <c r="K40" t="s">
        <v>197</v>
      </c>
      <c r="L40" s="11" t="s">
        <v>39</v>
      </c>
      <c r="M40" s="11" t="s">
        <v>39</v>
      </c>
      <c r="N40" s="11" t="s">
        <v>39</v>
      </c>
      <c r="O40" s="11" t="s">
        <v>39</v>
      </c>
      <c r="P40" t="s">
        <v>10</v>
      </c>
      <c r="Q40">
        <v>104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2</v>
      </c>
      <c r="B41">
        <v>7</v>
      </c>
      <c r="C41">
        <v>261</v>
      </c>
      <c r="D41" s="11" t="s">
        <v>149</v>
      </c>
      <c r="E41" t="s">
        <v>207</v>
      </c>
      <c r="F41" t="s">
        <v>193</v>
      </c>
      <c r="G41" s="11" t="s">
        <v>216</v>
      </c>
      <c r="H41">
        <v>5</v>
      </c>
      <c r="I41" s="11" t="s">
        <v>174</v>
      </c>
      <c r="J41" t="s">
        <v>210</v>
      </c>
      <c r="K41" t="s">
        <v>182</v>
      </c>
      <c r="L41" s="11" t="s">
        <v>39</v>
      </c>
      <c r="M41" s="11" t="s">
        <v>39</v>
      </c>
      <c r="N41" s="11" t="s">
        <v>39</v>
      </c>
      <c r="O41" s="11" t="s">
        <v>39</v>
      </c>
      <c r="P41" t="s">
        <v>9</v>
      </c>
      <c r="Q41">
        <v>1230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2</v>
      </c>
      <c r="B42">
        <v>8</v>
      </c>
      <c r="C42">
        <v>261</v>
      </c>
      <c r="D42" s="11" t="s">
        <v>149</v>
      </c>
      <c r="E42" t="s">
        <v>207</v>
      </c>
      <c r="F42" t="s">
        <v>193</v>
      </c>
      <c r="G42" s="11" t="s">
        <v>216</v>
      </c>
      <c r="H42">
        <v>6</v>
      </c>
      <c r="I42" s="11" t="s">
        <v>173</v>
      </c>
      <c r="J42" t="s">
        <v>211</v>
      </c>
      <c r="K42" t="s">
        <v>179</v>
      </c>
      <c r="L42" s="11" t="s">
        <v>39</v>
      </c>
      <c r="M42" s="11" t="s">
        <v>39</v>
      </c>
      <c r="N42" s="11" t="s">
        <v>39</v>
      </c>
      <c r="O42" s="11" t="s">
        <v>39</v>
      </c>
      <c r="P42" t="s">
        <v>11</v>
      </c>
      <c r="Q42">
        <v>13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2</v>
      </c>
      <c r="B43">
        <v>9</v>
      </c>
      <c r="C43">
        <v>261</v>
      </c>
      <c r="D43" s="11" t="s">
        <v>149</v>
      </c>
      <c r="E43" t="s">
        <v>207</v>
      </c>
      <c r="F43" t="s">
        <v>193</v>
      </c>
      <c r="G43" s="11" t="s">
        <v>216</v>
      </c>
      <c r="H43">
        <v>7</v>
      </c>
      <c r="I43" s="11" t="s">
        <v>170</v>
      </c>
      <c r="J43" t="s">
        <v>212</v>
      </c>
      <c r="K43" t="s">
        <v>198</v>
      </c>
      <c r="L43" s="11" t="s">
        <v>39</v>
      </c>
      <c r="M43" s="11" t="s">
        <v>39</v>
      </c>
      <c r="N43" s="11" t="s">
        <v>39</v>
      </c>
      <c r="O43" s="11" t="s">
        <v>39</v>
      </c>
      <c r="P43" t="s">
        <v>9</v>
      </c>
      <c r="Q43">
        <v>1231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2</v>
      </c>
      <c r="B44">
        <v>10</v>
      </c>
      <c r="C44">
        <v>261</v>
      </c>
      <c r="D44" s="11" t="s">
        <v>149</v>
      </c>
      <c r="E44" t="s">
        <v>207</v>
      </c>
      <c r="F44" t="s">
        <v>193</v>
      </c>
      <c r="G44" s="11" t="s">
        <v>216</v>
      </c>
      <c r="H44">
        <v>8</v>
      </c>
      <c r="I44" s="11" t="s">
        <v>172</v>
      </c>
      <c r="J44" t="s">
        <v>189</v>
      </c>
      <c r="K44" t="s">
        <v>185</v>
      </c>
      <c r="L44" s="11" t="s">
        <v>39</v>
      </c>
      <c r="M44" s="11" t="s">
        <v>39</v>
      </c>
      <c r="N44" s="11" t="s">
        <v>39</v>
      </c>
      <c r="O44" s="11" t="s">
        <v>39</v>
      </c>
      <c r="P44" t="s">
        <v>10</v>
      </c>
      <c r="Q44">
        <v>93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2</v>
      </c>
      <c r="B45">
        <v>11</v>
      </c>
      <c r="C45">
        <v>261</v>
      </c>
      <c r="D45" s="11" t="s">
        <v>149</v>
      </c>
      <c r="E45" t="s">
        <v>207</v>
      </c>
      <c r="F45" t="s">
        <v>193</v>
      </c>
      <c r="G45" s="11" t="s">
        <v>216</v>
      </c>
      <c r="H45">
        <v>9</v>
      </c>
      <c r="I45" s="11" t="s">
        <v>174</v>
      </c>
      <c r="J45" t="s">
        <v>220</v>
      </c>
      <c r="K45" t="s">
        <v>199</v>
      </c>
      <c r="L45" s="11" t="s">
        <v>39</v>
      </c>
      <c r="M45" s="11" t="s">
        <v>39</v>
      </c>
      <c r="N45" s="11" t="s">
        <v>39</v>
      </c>
      <c r="O45" s="11" t="s">
        <v>39</v>
      </c>
      <c r="P45" t="s">
        <v>9</v>
      </c>
      <c r="Q45">
        <v>43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2</v>
      </c>
      <c r="B46">
        <v>12</v>
      </c>
      <c r="C46">
        <v>261</v>
      </c>
      <c r="D46" s="11" t="s">
        <v>149</v>
      </c>
      <c r="E46" t="s">
        <v>207</v>
      </c>
      <c r="F46" t="s">
        <v>193</v>
      </c>
      <c r="G46" s="11" t="s">
        <v>216</v>
      </c>
      <c r="H46">
        <v>9</v>
      </c>
      <c r="I46" s="11" t="s">
        <v>174</v>
      </c>
      <c r="J46" t="s">
        <v>220</v>
      </c>
      <c r="K46" t="s">
        <v>199</v>
      </c>
      <c r="L46" s="11" t="s">
        <v>39</v>
      </c>
      <c r="M46" s="11" t="s">
        <v>39</v>
      </c>
      <c r="N46" s="11" t="s">
        <v>39</v>
      </c>
      <c r="O46" s="11" t="s">
        <v>39</v>
      </c>
      <c r="P46" t="s">
        <v>9</v>
      </c>
      <c r="Q46">
        <v>65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2</v>
      </c>
      <c r="B47">
        <v>13</v>
      </c>
      <c r="C47">
        <v>261</v>
      </c>
      <c r="D47" s="11" t="s">
        <v>149</v>
      </c>
      <c r="E47" t="s">
        <v>207</v>
      </c>
      <c r="F47" t="s">
        <v>193</v>
      </c>
      <c r="G47" s="11" t="s">
        <v>216</v>
      </c>
      <c r="H47">
        <v>9</v>
      </c>
      <c r="I47" s="11" t="s">
        <v>174</v>
      </c>
      <c r="J47" t="s">
        <v>220</v>
      </c>
      <c r="K47" t="s">
        <v>199</v>
      </c>
      <c r="L47" s="11" t="s">
        <v>39</v>
      </c>
      <c r="M47" s="11" t="s">
        <v>39</v>
      </c>
      <c r="N47" s="11" t="s">
        <v>39</v>
      </c>
      <c r="O47" s="11" t="s">
        <v>39</v>
      </c>
      <c r="P47" t="s">
        <v>9</v>
      </c>
      <c r="Q47">
        <v>25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2</v>
      </c>
      <c r="B48">
        <v>14</v>
      </c>
      <c r="C48">
        <v>261</v>
      </c>
      <c r="D48" s="11" t="s">
        <v>149</v>
      </c>
      <c r="E48" t="s">
        <v>207</v>
      </c>
      <c r="F48" t="s">
        <v>193</v>
      </c>
      <c r="G48" s="11" t="s">
        <v>216</v>
      </c>
      <c r="H48">
        <v>9</v>
      </c>
      <c r="I48" s="11" t="s">
        <v>174</v>
      </c>
      <c r="J48" t="s">
        <v>220</v>
      </c>
      <c r="K48" t="s">
        <v>199</v>
      </c>
      <c r="L48" s="11" t="s">
        <v>39</v>
      </c>
      <c r="M48" s="11" t="s">
        <v>39</v>
      </c>
      <c r="N48" s="11" t="s">
        <v>39</v>
      </c>
      <c r="O48" s="11" t="s">
        <v>39</v>
      </c>
      <c r="P48" t="s">
        <v>9</v>
      </c>
      <c r="Q48">
        <v>34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2</v>
      </c>
      <c r="B49">
        <v>15</v>
      </c>
      <c r="C49">
        <v>261</v>
      </c>
      <c r="D49" s="11" t="s">
        <v>149</v>
      </c>
      <c r="E49" t="s">
        <v>207</v>
      </c>
      <c r="F49" t="s">
        <v>193</v>
      </c>
      <c r="G49" s="11" t="s">
        <v>216</v>
      </c>
      <c r="H49">
        <v>9</v>
      </c>
      <c r="I49" s="11" t="s">
        <v>174</v>
      </c>
      <c r="J49" t="s">
        <v>220</v>
      </c>
      <c r="K49" t="s">
        <v>199</v>
      </c>
      <c r="L49" s="11" t="s">
        <v>39</v>
      </c>
      <c r="M49" s="11" t="s">
        <v>39</v>
      </c>
      <c r="N49" s="11" t="s">
        <v>39</v>
      </c>
      <c r="O49" s="11" t="s">
        <v>39</v>
      </c>
      <c r="P49" t="s">
        <v>9</v>
      </c>
      <c r="Q49">
        <v>55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2</v>
      </c>
      <c r="B50">
        <v>16</v>
      </c>
      <c r="C50">
        <v>261</v>
      </c>
      <c r="D50" s="11" t="s">
        <v>149</v>
      </c>
      <c r="E50" t="s">
        <v>207</v>
      </c>
      <c r="F50" t="s">
        <v>193</v>
      </c>
      <c r="G50" s="11" t="s">
        <v>216</v>
      </c>
      <c r="H50">
        <v>9</v>
      </c>
      <c r="I50" s="11" t="s">
        <v>174</v>
      </c>
      <c r="J50" t="s">
        <v>220</v>
      </c>
      <c r="K50" t="s">
        <v>199</v>
      </c>
      <c r="L50" s="11" t="s">
        <v>39</v>
      </c>
      <c r="M50" s="11" t="s">
        <v>39</v>
      </c>
      <c r="N50" s="11" t="s">
        <v>39</v>
      </c>
      <c r="O50" s="11" t="s">
        <v>39</v>
      </c>
      <c r="P50" t="s">
        <v>9</v>
      </c>
      <c r="Q50">
        <v>492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2</v>
      </c>
      <c r="B51">
        <v>17</v>
      </c>
      <c r="C51">
        <v>261</v>
      </c>
      <c r="D51" s="11" t="s">
        <v>149</v>
      </c>
      <c r="E51" t="s">
        <v>207</v>
      </c>
      <c r="F51" t="s">
        <v>193</v>
      </c>
      <c r="G51" s="11" t="s">
        <v>216</v>
      </c>
      <c r="H51">
        <v>9</v>
      </c>
      <c r="I51" s="11" t="s">
        <v>174</v>
      </c>
      <c r="J51" t="s">
        <v>220</v>
      </c>
      <c r="K51" t="s">
        <v>199</v>
      </c>
      <c r="L51" s="11" t="s">
        <v>39</v>
      </c>
      <c r="M51" s="11" t="s">
        <v>39</v>
      </c>
      <c r="N51" s="11" t="s">
        <v>39</v>
      </c>
      <c r="O51" s="11" t="s">
        <v>39</v>
      </c>
      <c r="P51" t="s">
        <v>9</v>
      </c>
      <c r="Q51">
        <v>48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2</v>
      </c>
      <c r="B52">
        <v>18</v>
      </c>
      <c r="C52">
        <v>261</v>
      </c>
      <c r="D52" s="11" t="s">
        <v>149</v>
      </c>
      <c r="E52" t="s">
        <v>207</v>
      </c>
      <c r="F52" t="s">
        <v>193</v>
      </c>
      <c r="G52" s="11" t="s">
        <v>216</v>
      </c>
      <c r="H52">
        <v>9</v>
      </c>
      <c r="I52" s="11" t="s">
        <v>174</v>
      </c>
      <c r="J52" t="s">
        <v>220</v>
      </c>
      <c r="K52" t="s">
        <v>199</v>
      </c>
      <c r="L52" s="11" t="s">
        <v>39</v>
      </c>
      <c r="M52" s="11" t="s">
        <v>39</v>
      </c>
      <c r="N52" s="11" t="s">
        <v>39</v>
      </c>
      <c r="O52" s="11" t="s">
        <v>39</v>
      </c>
      <c r="P52" t="s">
        <v>9</v>
      </c>
      <c r="Q52">
        <v>43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2</v>
      </c>
      <c r="B53">
        <v>19</v>
      </c>
      <c r="C53">
        <v>261</v>
      </c>
      <c r="D53" s="11" t="s">
        <v>149</v>
      </c>
      <c r="E53" t="s">
        <v>207</v>
      </c>
      <c r="F53" t="s">
        <v>193</v>
      </c>
      <c r="G53" s="11" t="s">
        <v>216</v>
      </c>
      <c r="H53">
        <v>9</v>
      </c>
      <c r="I53" s="11" t="s">
        <v>174</v>
      </c>
      <c r="J53" t="s">
        <v>220</v>
      </c>
      <c r="K53" t="s">
        <v>199</v>
      </c>
      <c r="L53" s="11" t="s">
        <v>39</v>
      </c>
      <c r="M53" s="11" t="s">
        <v>39</v>
      </c>
      <c r="N53" s="11" t="s">
        <v>39</v>
      </c>
      <c r="O53" s="11" t="s">
        <v>39</v>
      </c>
      <c r="P53" t="s">
        <v>9</v>
      </c>
      <c r="Q53">
        <v>419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2</v>
      </c>
      <c r="B54">
        <v>20</v>
      </c>
      <c r="C54">
        <v>261</v>
      </c>
      <c r="D54" s="11" t="s">
        <v>149</v>
      </c>
      <c r="E54" t="s">
        <v>207</v>
      </c>
      <c r="F54" t="s">
        <v>193</v>
      </c>
      <c r="G54" s="11" t="s">
        <v>216</v>
      </c>
      <c r="H54">
        <v>9</v>
      </c>
      <c r="I54" s="11" t="s">
        <v>174</v>
      </c>
      <c r="J54" t="s">
        <v>220</v>
      </c>
      <c r="K54" t="s">
        <v>199</v>
      </c>
      <c r="L54" s="11" t="s">
        <v>39</v>
      </c>
      <c r="M54" s="11" t="s">
        <v>39</v>
      </c>
      <c r="N54" s="11" t="s">
        <v>39</v>
      </c>
      <c r="O54" s="11" t="s">
        <v>39</v>
      </c>
      <c r="P54" t="s">
        <v>9</v>
      </c>
      <c r="Q54">
        <v>10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2</v>
      </c>
      <c r="B55">
        <v>21</v>
      </c>
      <c r="C55">
        <v>261</v>
      </c>
      <c r="D55" s="11" t="s">
        <v>149</v>
      </c>
      <c r="E55" t="s">
        <v>207</v>
      </c>
      <c r="F55" t="s">
        <v>193</v>
      </c>
      <c r="G55" s="11" t="s">
        <v>216</v>
      </c>
      <c r="H55">
        <v>2</v>
      </c>
      <c r="I55" s="11" t="s">
        <v>171</v>
      </c>
      <c r="J55" t="s">
        <v>217</v>
      </c>
      <c r="K55" t="s">
        <v>195</v>
      </c>
      <c r="L55" s="11" t="s">
        <v>39</v>
      </c>
      <c r="M55" s="11" t="s">
        <v>39</v>
      </c>
      <c r="N55" s="11" t="s">
        <v>39</v>
      </c>
      <c r="O55" s="11" t="s">
        <v>39</v>
      </c>
      <c r="P55" t="s">
        <v>9</v>
      </c>
      <c r="Q55">
        <v>26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2</v>
      </c>
      <c r="B56">
        <v>22</v>
      </c>
      <c r="C56">
        <v>261</v>
      </c>
      <c r="D56" s="11" t="s">
        <v>149</v>
      </c>
      <c r="E56" t="s">
        <v>207</v>
      </c>
      <c r="F56" t="s">
        <v>193</v>
      </c>
      <c r="G56" s="11" t="s">
        <v>216</v>
      </c>
      <c r="H56">
        <v>2</v>
      </c>
      <c r="I56" s="11" t="s">
        <v>171</v>
      </c>
      <c r="J56" t="s">
        <v>217</v>
      </c>
      <c r="K56" t="s">
        <v>195</v>
      </c>
      <c r="L56" s="11" t="s">
        <v>39</v>
      </c>
      <c r="M56" s="11" t="s">
        <v>39</v>
      </c>
      <c r="N56" s="11" t="s">
        <v>39</v>
      </c>
      <c r="O56" s="11" t="s">
        <v>39</v>
      </c>
      <c r="P56" t="s">
        <v>9</v>
      </c>
      <c r="Q56">
        <v>35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2</v>
      </c>
      <c r="B57">
        <v>23</v>
      </c>
      <c r="C57">
        <v>261</v>
      </c>
      <c r="D57" s="11" t="s">
        <v>149</v>
      </c>
      <c r="E57" t="s">
        <v>207</v>
      </c>
      <c r="F57" t="s">
        <v>193</v>
      </c>
      <c r="G57" s="11" t="s">
        <v>216</v>
      </c>
      <c r="H57">
        <v>2</v>
      </c>
      <c r="I57" s="11" t="s">
        <v>171</v>
      </c>
      <c r="J57" t="s">
        <v>217</v>
      </c>
      <c r="K57" t="s">
        <v>195</v>
      </c>
      <c r="L57" s="11" t="s">
        <v>39</v>
      </c>
      <c r="M57" s="11" t="s">
        <v>39</v>
      </c>
      <c r="N57" s="11" t="s">
        <v>39</v>
      </c>
      <c r="O57" s="11" t="s">
        <v>39</v>
      </c>
      <c r="P57" t="s">
        <v>9</v>
      </c>
      <c r="Q57">
        <v>55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2</v>
      </c>
      <c r="B58">
        <v>24</v>
      </c>
      <c r="C58">
        <v>261</v>
      </c>
      <c r="D58" s="11" t="s">
        <v>149</v>
      </c>
      <c r="E58" t="s">
        <v>207</v>
      </c>
      <c r="F58" t="s">
        <v>193</v>
      </c>
      <c r="G58" s="11" t="s">
        <v>216</v>
      </c>
      <c r="H58">
        <v>2</v>
      </c>
      <c r="I58" s="11" t="s">
        <v>171</v>
      </c>
      <c r="J58" t="s">
        <v>217</v>
      </c>
      <c r="K58" t="s">
        <v>195</v>
      </c>
      <c r="L58" s="11" t="s">
        <v>39</v>
      </c>
      <c r="M58" s="11" t="s">
        <v>39</v>
      </c>
      <c r="N58" s="11" t="s">
        <v>39</v>
      </c>
      <c r="O58" s="11" t="s">
        <v>39</v>
      </c>
      <c r="P58" t="s">
        <v>9</v>
      </c>
      <c r="Q58">
        <v>84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2</v>
      </c>
      <c r="B59">
        <v>25</v>
      </c>
      <c r="C59">
        <v>261</v>
      </c>
      <c r="D59" s="11" t="s">
        <v>149</v>
      </c>
      <c r="E59" t="s">
        <v>207</v>
      </c>
      <c r="F59" t="s">
        <v>193</v>
      </c>
      <c r="G59" s="11" t="s">
        <v>216</v>
      </c>
      <c r="H59">
        <v>2</v>
      </c>
      <c r="I59" s="11" t="s">
        <v>171</v>
      </c>
      <c r="J59" t="s">
        <v>217</v>
      </c>
      <c r="K59" t="s">
        <v>195</v>
      </c>
      <c r="L59" s="11" t="s">
        <v>39</v>
      </c>
      <c r="M59" s="11" t="s">
        <v>39</v>
      </c>
      <c r="N59" s="11" t="s">
        <v>39</v>
      </c>
      <c r="O59" s="11" t="s">
        <v>39</v>
      </c>
      <c r="P59" t="s">
        <v>9</v>
      </c>
      <c r="Q59">
        <v>48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2</v>
      </c>
      <c r="B60">
        <v>26</v>
      </c>
      <c r="C60">
        <v>261</v>
      </c>
      <c r="D60" s="11" t="s">
        <v>149</v>
      </c>
      <c r="E60" t="s">
        <v>207</v>
      </c>
      <c r="F60" t="s">
        <v>193</v>
      </c>
      <c r="G60" s="11" t="s">
        <v>216</v>
      </c>
      <c r="H60">
        <v>2</v>
      </c>
      <c r="I60" s="11" t="s">
        <v>171</v>
      </c>
      <c r="J60" t="s">
        <v>217</v>
      </c>
      <c r="K60" t="s">
        <v>195</v>
      </c>
      <c r="L60" s="11" t="s">
        <v>39</v>
      </c>
      <c r="M60" s="11" t="s">
        <v>39</v>
      </c>
      <c r="N60" s="11" t="s">
        <v>39</v>
      </c>
      <c r="O60" s="11" t="s">
        <v>39</v>
      </c>
      <c r="P60" t="s">
        <v>9</v>
      </c>
      <c r="Q60">
        <v>43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2</v>
      </c>
      <c r="B61">
        <v>27</v>
      </c>
      <c r="C61">
        <v>261</v>
      </c>
      <c r="D61" s="11" t="s">
        <v>149</v>
      </c>
      <c r="E61" t="s">
        <v>207</v>
      </c>
      <c r="F61" t="s">
        <v>193</v>
      </c>
      <c r="G61" s="11" t="s">
        <v>216</v>
      </c>
      <c r="H61">
        <v>2</v>
      </c>
      <c r="I61" s="11" t="s">
        <v>171</v>
      </c>
      <c r="J61" t="s">
        <v>217</v>
      </c>
      <c r="K61" t="s">
        <v>195</v>
      </c>
      <c r="L61" s="11" t="s">
        <v>39</v>
      </c>
      <c r="M61" s="11" t="s">
        <v>39</v>
      </c>
      <c r="N61" s="11" t="s">
        <v>39</v>
      </c>
      <c r="O61" s="11" t="s">
        <v>39</v>
      </c>
      <c r="P61" t="s">
        <v>9</v>
      </c>
      <c r="Q61">
        <v>11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2</v>
      </c>
      <c r="B62">
        <v>28</v>
      </c>
      <c r="C62">
        <v>261</v>
      </c>
      <c r="D62" s="11" t="s">
        <v>149</v>
      </c>
      <c r="E62" t="s">
        <v>207</v>
      </c>
      <c r="F62" t="s">
        <v>193</v>
      </c>
      <c r="G62" s="11" t="s">
        <v>216</v>
      </c>
      <c r="H62">
        <v>2</v>
      </c>
      <c r="I62" s="11" t="s">
        <v>171</v>
      </c>
      <c r="J62" t="s">
        <v>217</v>
      </c>
      <c r="K62" t="s">
        <v>195</v>
      </c>
      <c r="L62" s="11" t="s">
        <v>39</v>
      </c>
      <c r="M62" s="11" t="s">
        <v>39</v>
      </c>
      <c r="N62" s="11" t="s">
        <v>39</v>
      </c>
      <c r="O62" s="11" t="s">
        <v>39</v>
      </c>
      <c r="P62" t="s">
        <v>9</v>
      </c>
      <c r="Q62">
        <v>10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2</v>
      </c>
      <c r="B63">
        <v>29</v>
      </c>
      <c r="C63">
        <v>261</v>
      </c>
      <c r="D63" s="11" t="s">
        <v>149</v>
      </c>
      <c r="E63" t="s">
        <v>207</v>
      </c>
      <c r="F63" t="s">
        <v>193</v>
      </c>
      <c r="G63" s="11" t="s">
        <v>216</v>
      </c>
      <c r="H63">
        <v>10</v>
      </c>
      <c r="I63" s="11" t="s">
        <v>172</v>
      </c>
      <c r="J63" t="s">
        <v>187</v>
      </c>
      <c r="K63" t="s">
        <v>183</v>
      </c>
      <c r="L63" s="11" t="s">
        <v>39</v>
      </c>
      <c r="M63" s="11" t="s">
        <v>39</v>
      </c>
      <c r="N63" s="11" t="s">
        <v>39</v>
      </c>
      <c r="O63" s="11" t="s">
        <v>39</v>
      </c>
      <c r="P63" t="s">
        <v>10</v>
      </c>
      <c r="Q63">
        <v>60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2</v>
      </c>
      <c r="B64">
        <v>30</v>
      </c>
      <c r="C64">
        <v>261</v>
      </c>
      <c r="D64" s="11" t="s">
        <v>149</v>
      </c>
      <c r="E64" t="s">
        <v>207</v>
      </c>
      <c r="F64" t="s">
        <v>193</v>
      </c>
      <c r="G64" s="11" t="s">
        <v>216</v>
      </c>
      <c r="H64">
        <v>2</v>
      </c>
      <c r="I64" s="11" t="s">
        <v>171</v>
      </c>
      <c r="J64" t="s">
        <v>217</v>
      </c>
      <c r="K64" t="s">
        <v>195</v>
      </c>
      <c r="L64" s="11" t="s">
        <v>39</v>
      </c>
      <c r="M64" s="11" t="s">
        <v>39</v>
      </c>
      <c r="N64" s="11" t="s">
        <v>39</v>
      </c>
      <c r="O64" s="11" t="s">
        <v>39</v>
      </c>
      <c r="P64" t="s">
        <v>9</v>
      </c>
      <c r="Q64">
        <v>43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2</v>
      </c>
      <c r="B65">
        <v>31</v>
      </c>
      <c r="C65">
        <v>261</v>
      </c>
      <c r="D65" s="11" t="s">
        <v>149</v>
      </c>
      <c r="E65" t="s">
        <v>207</v>
      </c>
      <c r="F65" t="s">
        <v>193</v>
      </c>
      <c r="G65" s="11" t="s">
        <v>216</v>
      </c>
      <c r="H65">
        <v>2</v>
      </c>
      <c r="I65" s="11" t="s">
        <v>171</v>
      </c>
      <c r="J65" t="s">
        <v>217</v>
      </c>
      <c r="K65" t="s">
        <v>195</v>
      </c>
      <c r="L65" s="11" t="s">
        <v>39</v>
      </c>
      <c r="M65" s="11" t="s">
        <v>39</v>
      </c>
      <c r="N65" s="11" t="s">
        <v>39</v>
      </c>
      <c r="O65" s="11" t="s">
        <v>39</v>
      </c>
      <c r="P65" t="s">
        <v>9</v>
      </c>
      <c r="Q65">
        <v>65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2</v>
      </c>
      <c r="B66">
        <v>32</v>
      </c>
      <c r="C66">
        <v>261</v>
      </c>
      <c r="D66" s="11" t="s">
        <v>149</v>
      </c>
      <c r="E66" t="s">
        <v>213</v>
      </c>
      <c r="F66" t="s">
        <v>178</v>
      </c>
      <c r="G66" s="11" t="s">
        <v>221</v>
      </c>
      <c r="H66">
        <v>1</v>
      </c>
      <c r="I66" s="11" t="s">
        <v>172</v>
      </c>
      <c r="J66" t="s">
        <v>189</v>
      </c>
      <c r="K66" t="s">
        <v>185</v>
      </c>
      <c r="L66" s="11" t="s">
        <v>39</v>
      </c>
      <c r="M66" s="11" t="s">
        <v>39</v>
      </c>
      <c r="N66" s="11" t="s">
        <v>39</v>
      </c>
      <c r="O66" s="11" t="s">
        <v>39</v>
      </c>
      <c r="P66" t="s">
        <v>10</v>
      </c>
      <c r="Q66">
        <v>7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3</v>
      </c>
      <c r="B67">
        <v>1</v>
      </c>
      <c r="C67">
        <v>261</v>
      </c>
      <c r="D67" s="11" t="s">
        <v>149</v>
      </c>
      <c r="E67" t="s">
        <v>205</v>
      </c>
      <c r="F67" s="86" t="s">
        <v>169</v>
      </c>
      <c r="G67" s="11" t="s">
        <v>214</v>
      </c>
      <c r="H67">
        <v>1</v>
      </c>
      <c r="I67" s="11" t="s">
        <v>215</v>
      </c>
      <c r="J67" t="s">
        <v>206</v>
      </c>
      <c r="K67" t="s">
        <v>194</v>
      </c>
      <c r="L67" s="11" t="s">
        <v>39</v>
      </c>
      <c r="M67" s="11" t="s">
        <v>39</v>
      </c>
      <c r="N67" s="11" t="s">
        <v>39</v>
      </c>
      <c r="O67" s="11" t="s">
        <v>39</v>
      </c>
      <c r="P67" t="s">
        <v>10</v>
      </c>
      <c r="Q67">
        <v>2870.25</v>
      </c>
      <c r="R67">
        <v>0</v>
      </c>
      <c r="S67">
        <v>0</v>
      </c>
      <c r="T67" t="str">
        <f t="shared" ref="T67:T98" si="22">IF(OR(A67="",A67&lt;1),FALSE,IF(ISNUMBER(A67), IF(INT(A67) = A67, "-", FALSE), FALSE))</f>
        <v>-</v>
      </c>
      <c r="U67" t="str">
        <f t="shared" ref="U67:U98" si="23">IF(OR(B67="",A67&lt;1),FALSE,IF(ISNUMBER(A67), IF(INT(A67) = A67, "-", FALSE), FALSE))</f>
        <v>-</v>
      </c>
      <c r="V67" t="str">
        <f t="shared" ref="V67:V98" si="24">IF(OR(C67="",C67="PilihSalasatu"),FALSE,"-")</f>
        <v>-</v>
      </c>
      <c r="W67" t="str">
        <f t="shared" ref="W67:W98" si="25">IF(D67="",FALSE,"-")</f>
        <v>-</v>
      </c>
      <c r="X67" t="str">
        <f t="shared" ref="X67:X98" si="26">IF(E67="",FALSE,"-")</f>
        <v>-</v>
      </c>
      <c r="Y67" t="str">
        <f t="shared" ref="Y67:Y98" si="27">IF(F67="",FALSE,"-")</f>
        <v>-</v>
      </c>
      <c r="Z67" t="str">
        <f t="shared" ref="Z67:Z98" si="28">IF(I67="",FALSE,"-")</f>
        <v>-</v>
      </c>
      <c r="AA67" t="str">
        <f t="shared" ref="AA67:AA98" si="29">IF(J67="",FALSE,"-")</f>
        <v>-</v>
      </c>
      <c r="AB67" t="str">
        <f>IF(_xlfn.IFNA(VLOOKUP(P67,Set_Ref!$B$6:$B$1048576,1,FALSE),"")&lt;&gt;"","-",FALSE)</f>
        <v>-</v>
      </c>
      <c r="AC67" t="str">
        <f t="shared" ref="AC67:AC98" si="30">IF(OR(Q67="",Q67&lt;0),FALSE,IF(ISNUMBER(Q67),"-",FALSE))</f>
        <v>-</v>
      </c>
      <c r="AD67" t="str">
        <f t="shared" ref="AD67:AD98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3</v>
      </c>
      <c r="B68">
        <v>2</v>
      </c>
      <c r="C68">
        <v>261</v>
      </c>
      <c r="D68" s="11" t="s">
        <v>149</v>
      </c>
      <c r="E68" t="s">
        <v>207</v>
      </c>
      <c r="F68" t="s">
        <v>193</v>
      </c>
      <c r="G68" s="11" t="s">
        <v>216</v>
      </c>
      <c r="H68">
        <v>1</v>
      </c>
      <c r="I68" s="11" t="s">
        <v>172</v>
      </c>
      <c r="J68" t="s">
        <v>188</v>
      </c>
      <c r="K68" t="s">
        <v>184</v>
      </c>
      <c r="L68" s="11" t="s">
        <v>39</v>
      </c>
      <c r="M68" s="11" t="s">
        <v>39</v>
      </c>
      <c r="N68" s="11" t="s">
        <v>39</v>
      </c>
      <c r="O68" s="11" t="s">
        <v>39</v>
      </c>
      <c r="P68" t="s">
        <v>10</v>
      </c>
      <c r="Q68">
        <v>493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3</v>
      </c>
      <c r="B69">
        <v>3</v>
      </c>
      <c r="C69">
        <v>261</v>
      </c>
      <c r="D69" s="11" t="s">
        <v>149</v>
      </c>
      <c r="E69" t="s">
        <v>207</v>
      </c>
      <c r="F69" t="s">
        <v>193</v>
      </c>
      <c r="G69" s="11" t="s">
        <v>216</v>
      </c>
      <c r="H69">
        <v>2</v>
      </c>
      <c r="I69" s="11" t="s">
        <v>171</v>
      </c>
      <c r="J69" t="s">
        <v>217</v>
      </c>
      <c r="K69" t="s">
        <v>195</v>
      </c>
      <c r="L69" s="11" t="s">
        <v>39</v>
      </c>
      <c r="M69" s="11" t="s">
        <v>39</v>
      </c>
      <c r="N69" s="11" t="s">
        <v>39</v>
      </c>
      <c r="O69" s="11" t="s">
        <v>39</v>
      </c>
      <c r="P69" t="s">
        <v>9</v>
      </c>
      <c r="Q69">
        <v>408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3</v>
      </c>
      <c r="B70">
        <v>4</v>
      </c>
      <c r="C70">
        <v>261</v>
      </c>
      <c r="D70" s="11" t="s">
        <v>149</v>
      </c>
      <c r="E70" t="s">
        <v>207</v>
      </c>
      <c r="F70" t="s">
        <v>193</v>
      </c>
      <c r="G70" s="11" t="s">
        <v>216</v>
      </c>
      <c r="H70">
        <v>2</v>
      </c>
      <c r="I70" s="11" t="s">
        <v>171</v>
      </c>
      <c r="J70" t="s">
        <v>217</v>
      </c>
      <c r="K70" t="s">
        <v>195</v>
      </c>
      <c r="L70" s="11" t="s">
        <v>39</v>
      </c>
      <c r="M70" s="11" t="s">
        <v>39</v>
      </c>
      <c r="N70" s="11" t="s">
        <v>39</v>
      </c>
      <c r="O70" s="11" t="s">
        <v>39</v>
      </c>
      <c r="P70" t="s">
        <v>9</v>
      </c>
      <c r="Q70">
        <v>408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3</v>
      </c>
      <c r="B71">
        <v>5</v>
      </c>
      <c r="C71">
        <v>261</v>
      </c>
      <c r="D71" s="11" t="s">
        <v>149</v>
      </c>
      <c r="E71" t="s">
        <v>207</v>
      </c>
      <c r="F71" t="s">
        <v>193</v>
      </c>
      <c r="G71" s="11" t="s">
        <v>216</v>
      </c>
      <c r="H71">
        <v>3</v>
      </c>
      <c r="I71" s="11" t="s">
        <v>218</v>
      </c>
      <c r="J71" t="s">
        <v>208</v>
      </c>
      <c r="K71" t="s">
        <v>196</v>
      </c>
      <c r="L71" s="11" t="s">
        <v>39</v>
      </c>
      <c r="M71" s="11" t="s">
        <v>39</v>
      </c>
      <c r="N71" s="11" t="s">
        <v>39</v>
      </c>
      <c r="O71" s="11" t="s">
        <v>39</v>
      </c>
      <c r="P71" t="s">
        <v>9</v>
      </c>
      <c r="Q71">
        <v>4117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3</v>
      </c>
      <c r="B72">
        <v>6</v>
      </c>
      <c r="C72">
        <v>261</v>
      </c>
      <c r="D72" s="11" t="s">
        <v>149</v>
      </c>
      <c r="E72" t="s">
        <v>207</v>
      </c>
      <c r="F72" t="s">
        <v>193</v>
      </c>
      <c r="G72" s="11" t="s">
        <v>216</v>
      </c>
      <c r="H72">
        <v>4</v>
      </c>
      <c r="I72" s="11" t="s">
        <v>219</v>
      </c>
      <c r="J72" t="s">
        <v>209</v>
      </c>
      <c r="K72" t="s">
        <v>197</v>
      </c>
      <c r="L72" s="11" t="s">
        <v>39</v>
      </c>
      <c r="M72" s="11" t="s">
        <v>39</v>
      </c>
      <c r="N72" s="11" t="s">
        <v>39</v>
      </c>
      <c r="O72" s="11" t="s">
        <v>39</v>
      </c>
      <c r="P72" t="s">
        <v>10</v>
      </c>
      <c r="Q72">
        <v>104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3</v>
      </c>
      <c r="B73">
        <v>7</v>
      </c>
      <c r="C73">
        <v>261</v>
      </c>
      <c r="D73" s="11" t="s">
        <v>149</v>
      </c>
      <c r="E73" t="s">
        <v>207</v>
      </c>
      <c r="F73" t="s">
        <v>193</v>
      </c>
      <c r="G73" s="11" t="s">
        <v>216</v>
      </c>
      <c r="H73">
        <v>5</v>
      </c>
      <c r="I73" s="11" t="s">
        <v>174</v>
      </c>
      <c r="J73" t="s">
        <v>210</v>
      </c>
      <c r="K73" t="s">
        <v>182</v>
      </c>
      <c r="L73" s="11" t="s">
        <v>39</v>
      </c>
      <c r="M73" s="11" t="s">
        <v>39</v>
      </c>
      <c r="N73" s="11" t="s">
        <v>39</v>
      </c>
      <c r="O73" s="11" t="s">
        <v>39</v>
      </c>
      <c r="P73" t="s">
        <v>9</v>
      </c>
      <c r="Q73">
        <v>1230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3</v>
      </c>
      <c r="B74">
        <v>8</v>
      </c>
      <c r="C74">
        <v>261</v>
      </c>
      <c r="D74" s="11" t="s">
        <v>149</v>
      </c>
      <c r="E74" t="s">
        <v>207</v>
      </c>
      <c r="F74" t="s">
        <v>193</v>
      </c>
      <c r="G74" s="11" t="s">
        <v>216</v>
      </c>
      <c r="H74">
        <v>6</v>
      </c>
      <c r="I74" s="11" t="s">
        <v>173</v>
      </c>
      <c r="J74" t="s">
        <v>211</v>
      </c>
      <c r="K74" t="s">
        <v>179</v>
      </c>
      <c r="L74" s="11" t="s">
        <v>39</v>
      </c>
      <c r="M74" s="11" t="s">
        <v>39</v>
      </c>
      <c r="N74" s="11" t="s">
        <v>39</v>
      </c>
      <c r="O74" s="11" t="s">
        <v>39</v>
      </c>
      <c r="P74" t="s">
        <v>11</v>
      </c>
      <c r="Q74">
        <v>13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3</v>
      </c>
      <c r="B75">
        <v>9</v>
      </c>
      <c r="C75">
        <v>261</v>
      </c>
      <c r="D75" s="11" t="s">
        <v>149</v>
      </c>
      <c r="E75" t="s">
        <v>207</v>
      </c>
      <c r="F75" t="s">
        <v>193</v>
      </c>
      <c r="G75" s="11" t="s">
        <v>216</v>
      </c>
      <c r="H75">
        <v>7</v>
      </c>
      <c r="I75" s="11" t="s">
        <v>170</v>
      </c>
      <c r="J75" t="s">
        <v>212</v>
      </c>
      <c r="K75" t="s">
        <v>198</v>
      </c>
      <c r="L75" s="11" t="s">
        <v>39</v>
      </c>
      <c r="M75" s="11" t="s">
        <v>39</v>
      </c>
      <c r="N75" s="11" t="s">
        <v>39</v>
      </c>
      <c r="O75" s="11" t="s">
        <v>39</v>
      </c>
      <c r="P75" t="s">
        <v>9</v>
      </c>
      <c r="Q75">
        <v>1231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3</v>
      </c>
      <c r="B76">
        <v>10</v>
      </c>
      <c r="C76">
        <v>261</v>
      </c>
      <c r="D76" s="11" t="s">
        <v>149</v>
      </c>
      <c r="E76" t="s">
        <v>207</v>
      </c>
      <c r="F76" t="s">
        <v>193</v>
      </c>
      <c r="G76" s="11" t="s">
        <v>216</v>
      </c>
      <c r="H76">
        <v>8</v>
      </c>
      <c r="I76" s="11" t="s">
        <v>172</v>
      </c>
      <c r="J76" t="s">
        <v>189</v>
      </c>
      <c r="K76" t="s">
        <v>185</v>
      </c>
      <c r="L76" s="11" t="s">
        <v>39</v>
      </c>
      <c r="M76" s="11" t="s">
        <v>39</v>
      </c>
      <c r="N76" s="11" t="s">
        <v>39</v>
      </c>
      <c r="O76" s="11" t="s">
        <v>39</v>
      </c>
      <c r="P76" t="s">
        <v>10</v>
      </c>
      <c r="Q76">
        <v>93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3</v>
      </c>
      <c r="B77">
        <v>11</v>
      </c>
      <c r="C77">
        <v>261</v>
      </c>
      <c r="D77" s="11" t="s">
        <v>149</v>
      </c>
      <c r="E77" t="s">
        <v>207</v>
      </c>
      <c r="F77" t="s">
        <v>193</v>
      </c>
      <c r="G77" s="11" t="s">
        <v>216</v>
      </c>
      <c r="H77">
        <v>9</v>
      </c>
      <c r="I77" s="11" t="s">
        <v>174</v>
      </c>
      <c r="J77" t="s">
        <v>220</v>
      </c>
      <c r="K77" t="s">
        <v>199</v>
      </c>
      <c r="L77" s="11" t="s">
        <v>39</v>
      </c>
      <c r="M77" s="11" t="s">
        <v>39</v>
      </c>
      <c r="N77" s="11" t="s">
        <v>39</v>
      </c>
      <c r="O77" s="11" t="s">
        <v>39</v>
      </c>
      <c r="P77" t="s">
        <v>9</v>
      </c>
      <c r="Q77">
        <v>43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3</v>
      </c>
      <c r="B78">
        <v>12</v>
      </c>
      <c r="C78">
        <v>261</v>
      </c>
      <c r="D78" s="11" t="s">
        <v>149</v>
      </c>
      <c r="E78" t="s">
        <v>207</v>
      </c>
      <c r="F78" t="s">
        <v>193</v>
      </c>
      <c r="G78" s="11" t="s">
        <v>216</v>
      </c>
      <c r="H78">
        <v>9</v>
      </c>
      <c r="I78" s="11" t="s">
        <v>174</v>
      </c>
      <c r="J78" t="s">
        <v>220</v>
      </c>
      <c r="K78" t="s">
        <v>199</v>
      </c>
      <c r="L78" s="11" t="s">
        <v>39</v>
      </c>
      <c r="M78" s="11" t="s">
        <v>39</v>
      </c>
      <c r="N78" s="11" t="s">
        <v>39</v>
      </c>
      <c r="O78" s="11" t="s">
        <v>39</v>
      </c>
      <c r="P78" t="s">
        <v>9</v>
      </c>
      <c r="Q78">
        <v>65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3</v>
      </c>
      <c r="B79">
        <v>13</v>
      </c>
      <c r="C79">
        <v>261</v>
      </c>
      <c r="D79" s="11" t="s">
        <v>149</v>
      </c>
      <c r="E79" t="s">
        <v>207</v>
      </c>
      <c r="F79" t="s">
        <v>193</v>
      </c>
      <c r="G79" s="11" t="s">
        <v>216</v>
      </c>
      <c r="H79">
        <v>9</v>
      </c>
      <c r="I79" s="11" t="s">
        <v>174</v>
      </c>
      <c r="J79" t="s">
        <v>220</v>
      </c>
      <c r="K79" t="s">
        <v>199</v>
      </c>
      <c r="L79" s="11" t="s">
        <v>39</v>
      </c>
      <c r="M79" s="11" t="s">
        <v>39</v>
      </c>
      <c r="N79" s="11" t="s">
        <v>39</v>
      </c>
      <c r="O79" s="11" t="s">
        <v>39</v>
      </c>
      <c r="P79" t="s">
        <v>9</v>
      </c>
      <c r="Q79">
        <v>25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3</v>
      </c>
      <c r="B80">
        <v>14</v>
      </c>
      <c r="C80">
        <v>261</v>
      </c>
      <c r="D80" s="11" t="s">
        <v>149</v>
      </c>
      <c r="E80" t="s">
        <v>207</v>
      </c>
      <c r="F80" t="s">
        <v>193</v>
      </c>
      <c r="G80" s="11" t="s">
        <v>216</v>
      </c>
      <c r="H80">
        <v>9</v>
      </c>
      <c r="I80" s="11" t="s">
        <v>174</v>
      </c>
      <c r="J80" t="s">
        <v>220</v>
      </c>
      <c r="K80" t="s">
        <v>199</v>
      </c>
      <c r="L80" s="11" t="s">
        <v>39</v>
      </c>
      <c r="M80" s="11" t="s">
        <v>39</v>
      </c>
      <c r="N80" s="11" t="s">
        <v>39</v>
      </c>
      <c r="O80" s="11" t="s">
        <v>39</v>
      </c>
      <c r="P80" t="s">
        <v>9</v>
      </c>
      <c r="Q80">
        <v>34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3</v>
      </c>
      <c r="B81">
        <v>15</v>
      </c>
      <c r="C81">
        <v>261</v>
      </c>
      <c r="D81" s="11" t="s">
        <v>149</v>
      </c>
      <c r="E81" t="s">
        <v>207</v>
      </c>
      <c r="F81" t="s">
        <v>193</v>
      </c>
      <c r="G81" s="11" t="s">
        <v>216</v>
      </c>
      <c r="H81">
        <v>9</v>
      </c>
      <c r="I81" s="11" t="s">
        <v>174</v>
      </c>
      <c r="J81" t="s">
        <v>220</v>
      </c>
      <c r="K81" t="s">
        <v>199</v>
      </c>
      <c r="L81" s="11" t="s">
        <v>39</v>
      </c>
      <c r="M81" s="11" t="s">
        <v>39</v>
      </c>
      <c r="N81" s="11" t="s">
        <v>39</v>
      </c>
      <c r="O81" s="11" t="s">
        <v>39</v>
      </c>
      <c r="P81" t="s">
        <v>9</v>
      </c>
      <c r="Q81">
        <v>55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3</v>
      </c>
      <c r="B82">
        <v>16</v>
      </c>
      <c r="C82">
        <v>261</v>
      </c>
      <c r="D82" s="11" t="s">
        <v>149</v>
      </c>
      <c r="E82" t="s">
        <v>207</v>
      </c>
      <c r="F82" t="s">
        <v>193</v>
      </c>
      <c r="G82" s="11" t="s">
        <v>216</v>
      </c>
      <c r="H82">
        <v>9</v>
      </c>
      <c r="I82" s="11" t="s">
        <v>174</v>
      </c>
      <c r="J82" t="s">
        <v>220</v>
      </c>
      <c r="K82" t="s">
        <v>199</v>
      </c>
      <c r="L82" s="11" t="s">
        <v>39</v>
      </c>
      <c r="M82" s="11" t="s">
        <v>39</v>
      </c>
      <c r="N82" s="11" t="s">
        <v>39</v>
      </c>
      <c r="O82" s="11" t="s">
        <v>39</v>
      </c>
      <c r="P82" t="s">
        <v>9</v>
      </c>
      <c r="Q82">
        <v>492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3</v>
      </c>
      <c r="B83">
        <v>17</v>
      </c>
      <c r="C83">
        <v>261</v>
      </c>
      <c r="D83" s="11" t="s">
        <v>149</v>
      </c>
      <c r="E83" t="s">
        <v>207</v>
      </c>
      <c r="F83" t="s">
        <v>193</v>
      </c>
      <c r="G83" s="11" t="s">
        <v>216</v>
      </c>
      <c r="H83">
        <v>9</v>
      </c>
      <c r="I83" s="11" t="s">
        <v>174</v>
      </c>
      <c r="J83" t="s">
        <v>220</v>
      </c>
      <c r="K83" t="s">
        <v>199</v>
      </c>
      <c r="L83" s="11" t="s">
        <v>39</v>
      </c>
      <c r="M83" s="11" t="s">
        <v>39</v>
      </c>
      <c r="N83" s="11" t="s">
        <v>39</v>
      </c>
      <c r="O83" s="11" t="s">
        <v>39</v>
      </c>
      <c r="P83" t="s">
        <v>9</v>
      </c>
      <c r="Q83">
        <v>48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3</v>
      </c>
      <c r="B84">
        <v>18</v>
      </c>
      <c r="C84">
        <v>261</v>
      </c>
      <c r="D84" s="11" t="s">
        <v>149</v>
      </c>
      <c r="E84" t="s">
        <v>207</v>
      </c>
      <c r="F84" t="s">
        <v>193</v>
      </c>
      <c r="G84" s="11" t="s">
        <v>216</v>
      </c>
      <c r="H84">
        <v>9</v>
      </c>
      <c r="I84" s="11" t="s">
        <v>174</v>
      </c>
      <c r="J84" t="s">
        <v>220</v>
      </c>
      <c r="K84" t="s">
        <v>199</v>
      </c>
      <c r="L84" s="11" t="s">
        <v>39</v>
      </c>
      <c r="M84" s="11" t="s">
        <v>39</v>
      </c>
      <c r="N84" s="11" t="s">
        <v>39</v>
      </c>
      <c r="O84" s="11" t="s">
        <v>39</v>
      </c>
      <c r="P84" t="s">
        <v>9</v>
      </c>
      <c r="Q84">
        <v>43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3</v>
      </c>
      <c r="B85">
        <v>19</v>
      </c>
      <c r="C85">
        <v>261</v>
      </c>
      <c r="D85" s="11" t="s">
        <v>149</v>
      </c>
      <c r="E85" t="s">
        <v>207</v>
      </c>
      <c r="F85" t="s">
        <v>193</v>
      </c>
      <c r="G85" s="11" t="s">
        <v>216</v>
      </c>
      <c r="H85">
        <v>9</v>
      </c>
      <c r="I85" s="11" t="s">
        <v>174</v>
      </c>
      <c r="J85" t="s">
        <v>220</v>
      </c>
      <c r="K85" t="s">
        <v>199</v>
      </c>
      <c r="L85" s="11" t="s">
        <v>39</v>
      </c>
      <c r="M85" s="11" t="s">
        <v>39</v>
      </c>
      <c r="N85" s="11" t="s">
        <v>39</v>
      </c>
      <c r="O85" s="11" t="s">
        <v>39</v>
      </c>
      <c r="P85" t="s">
        <v>9</v>
      </c>
      <c r="Q85">
        <v>419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3</v>
      </c>
      <c r="B86">
        <v>20</v>
      </c>
      <c r="C86">
        <v>261</v>
      </c>
      <c r="D86" s="11" t="s">
        <v>149</v>
      </c>
      <c r="E86" t="s">
        <v>207</v>
      </c>
      <c r="F86" t="s">
        <v>193</v>
      </c>
      <c r="G86" s="11" t="s">
        <v>216</v>
      </c>
      <c r="H86">
        <v>9</v>
      </c>
      <c r="I86" s="11" t="s">
        <v>174</v>
      </c>
      <c r="J86" t="s">
        <v>220</v>
      </c>
      <c r="K86" t="s">
        <v>199</v>
      </c>
      <c r="L86" s="11" t="s">
        <v>39</v>
      </c>
      <c r="M86" s="11" t="s">
        <v>39</v>
      </c>
      <c r="N86" s="11" t="s">
        <v>39</v>
      </c>
      <c r="O86" s="11" t="s">
        <v>39</v>
      </c>
      <c r="P86" t="s">
        <v>9</v>
      </c>
      <c r="Q86">
        <v>10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  <row r="87" spans="1:31" x14ac:dyDescent="0.25">
      <c r="A87">
        <v>3</v>
      </c>
      <c r="B87">
        <v>21</v>
      </c>
      <c r="C87">
        <v>261</v>
      </c>
      <c r="D87" s="11" t="s">
        <v>149</v>
      </c>
      <c r="E87" t="s">
        <v>207</v>
      </c>
      <c r="F87" t="s">
        <v>193</v>
      </c>
      <c r="G87" s="11" t="s">
        <v>216</v>
      </c>
      <c r="H87">
        <v>2</v>
      </c>
      <c r="I87" s="11" t="s">
        <v>171</v>
      </c>
      <c r="J87" t="s">
        <v>217</v>
      </c>
      <c r="K87" t="s">
        <v>195</v>
      </c>
      <c r="L87" s="11" t="s">
        <v>39</v>
      </c>
      <c r="M87" s="11" t="s">
        <v>39</v>
      </c>
      <c r="N87" s="11" t="s">
        <v>39</v>
      </c>
      <c r="O87" s="11" t="s">
        <v>39</v>
      </c>
      <c r="P87" t="s">
        <v>9</v>
      </c>
      <c r="Q87">
        <v>26</v>
      </c>
      <c r="R87">
        <v>0</v>
      </c>
      <c r="S87">
        <v>0</v>
      </c>
      <c r="T87" t="str">
        <f t="shared" si="22"/>
        <v>-</v>
      </c>
      <c r="U87" t="str">
        <f t="shared" si="23"/>
        <v>-</v>
      </c>
      <c r="V87" t="str">
        <f t="shared" si="24"/>
        <v>-</v>
      </c>
      <c r="W87" t="str">
        <f t="shared" si="25"/>
        <v>-</v>
      </c>
      <c r="X87" t="str">
        <f t="shared" si="26"/>
        <v>-</v>
      </c>
      <c r="Y87" t="str">
        <f t="shared" si="27"/>
        <v>-</v>
      </c>
      <c r="Z87" t="str">
        <f t="shared" si="28"/>
        <v>-</v>
      </c>
      <c r="AA87" t="str">
        <f t="shared" si="29"/>
        <v>-</v>
      </c>
      <c r="AB87" t="str">
        <f>IF(_xlfn.IFNA(VLOOKUP(P87,Set_Ref!$B$6:$B$1048576,1,FALSE),"")&lt;&gt;"","-",FALSE)</f>
        <v>-</v>
      </c>
      <c r="AC87" t="str">
        <f t="shared" si="30"/>
        <v>-</v>
      </c>
      <c r="AD87" t="str">
        <f t="shared" si="31"/>
        <v>-</v>
      </c>
      <c r="AE87" t="b">
        <f t="shared" si="32"/>
        <v>1</v>
      </c>
    </row>
    <row r="88" spans="1:31" x14ac:dyDescent="0.25">
      <c r="A88">
        <v>3</v>
      </c>
      <c r="B88">
        <v>22</v>
      </c>
      <c r="C88">
        <v>261</v>
      </c>
      <c r="D88" s="11" t="s">
        <v>149</v>
      </c>
      <c r="E88" t="s">
        <v>207</v>
      </c>
      <c r="F88" t="s">
        <v>193</v>
      </c>
      <c r="G88" s="11" t="s">
        <v>216</v>
      </c>
      <c r="H88">
        <v>2</v>
      </c>
      <c r="I88" s="11" t="s">
        <v>171</v>
      </c>
      <c r="J88" t="s">
        <v>217</v>
      </c>
      <c r="K88" t="s">
        <v>195</v>
      </c>
      <c r="L88" s="11" t="s">
        <v>39</v>
      </c>
      <c r="M88" s="11" t="s">
        <v>39</v>
      </c>
      <c r="N88" s="11" t="s">
        <v>39</v>
      </c>
      <c r="O88" s="11" t="s">
        <v>39</v>
      </c>
      <c r="P88" t="s">
        <v>9</v>
      </c>
      <c r="Q88">
        <v>35</v>
      </c>
      <c r="R88">
        <v>0</v>
      </c>
      <c r="S88">
        <v>0</v>
      </c>
      <c r="T88" t="str">
        <f t="shared" si="22"/>
        <v>-</v>
      </c>
      <c r="U88" t="str">
        <f t="shared" si="23"/>
        <v>-</v>
      </c>
      <c r="V88" t="str">
        <f t="shared" si="24"/>
        <v>-</v>
      </c>
      <c r="W88" t="str">
        <f t="shared" si="25"/>
        <v>-</v>
      </c>
      <c r="X88" t="str">
        <f t="shared" si="26"/>
        <v>-</v>
      </c>
      <c r="Y88" t="str">
        <f t="shared" si="27"/>
        <v>-</v>
      </c>
      <c r="Z88" t="str">
        <f t="shared" si="28"/>
        <v>-</v>
      </c>
      <c r="AA88" t="str">
        <f t="shared" si="29"/>
        <v>-</v>
      </c>
      <c r="AB88" t="str">
        <f>IF(_xlfn.IFNA(VLOOKUP(P88,Set_Ref!$B$6:$B$1048576,1,FALSE),"")&lt;&gt;"","-",FALSE)</f>
        <v>-</v>
      </c>
      <c r="AC88" t="str">
        <f t="shared" si="30"/>
        <v>-</v>
      </c>
      <c r="AD88" t="str">
        <f t="shared" si="31"/>
        <v>-</v>
      </c>
      <c r="AE88" t="b">
        <f t="shared" si="32"/>
        <v>1</v>
      </c>
    </row>
    <row r="89" spans="1:31" x14ac:dyDescent="0.25">
      <c r="A89">
        <v>3</v>
      </c>
      <c r="B89">
        <v>23</v>
      </c>
      <c r="C89">
        <v>261</v>
      </c>
      <c r="D89" s="11" t="s">
        <v>149</v>
      </c>
      <c r="E89" t="s">
        <v>207</v>
      </c>
      <c r="F89" t="s">
        <v>193</v>
      </c>
      <c r="G89" s="11" t="s">
        <v>216</v>
      </c>
      <c r="H89">
        <v>2</v>
      </c>
      <c r="I89" s="11" t="s">
        <v>171</v>
      </c>
      <c r="J89" t="s">
        <v>217</v>
      </c>
      <c r="K89" t="s">
        <v>195</v>
      </c>
      <c r="L89" s="11" t="s">
        <v>39</v>
      </c>
      <c r="M89" s="11" t="s">
        <v>39</v>
      </c>
      <c r="N89" s="11" t="s">
        <v>39</v>
      </c>
      <c r="O89" s="11" t="s">
        <v>39</v>
      </c>
      <c r="P89" t="s">
        <v>9</v>
      </c>
      <c r="Q89">
        <v>55</v>
      </c>
      <c r="R89">
        <v>0</v>
      </c>
      <c r="S89">
        <v>0</v>
      </c>
      <c r="T89" t="str">
        <f t="shared" si="22"/>
        <v>-</v>
      </c>
      <c r="U89" t="str">
        <f t="shared" si="23"/>
        <v>-</v>
      </c>
      <c r="V89" t="str">
        <f t="shared" si="24"/>
        <v>-</v>
      </c>
      <c r="W89" t="str">
        <f t="shared" si="25"/>
        <v>-</v>
      </c>
      <c r="X89" t="str">
        <f t="shared" si="26"/>
        <v>-</v>
      </c>
      <c r="Y89" t="str">
        <f t="shared" si="27"/>
        <v>-</v>
      </c>
      <c r="Z89" t="str">
        <f t="shared" si="28"/>
        <v>-</v>
      </c>
      <c r="AA89" t="str">
        <f t="shared" si="29"/>
        <v>-</v>
      </c>
      <c r="AB89" t="str">
        <f>IF(_xlfn.IFNA(VLOOKUP(P89,Set_Ref!$B$6:$B$1048576,1,FALSE),"")&lt;&gt;"","-",FALSE)</f>
        <v>-</v>
      </c>
      <c r="AC89" t="str">
        <f t="shared" si="30"/>
        <v>-</v>
      </c>
      <c r="AD89" t="str">
        <f t="shared" si="31"/>
        <v>-</v>
      </c>
      <c r="AE89" t="b">
        <f t="shared" si="32"/>
        <v>1</v>
      </c>
    </row>
    <row r="90" spans="1:31" x14ac:dyDescent="0.25">
      <c r="A90">
        <v>3</v>
      </c>
      <c r="B90">
        <v>24</v>
      </c>
      <c r="C90">
        <v>261</v>
      </c>
      <c r="D90" s="11" t="s">
        <v>149</v>
      </c>
      <c r="E90" t="s">
        <v>207</v>
      </c>
      <c r="F90" t="s">
        <v>193</v>
      </c>
      <c r="G90" s="11" t="s">
        <v>216</v>
      </c>
      <c r="H90">
        <v>2</v>
      </c>
      <c r="I90" s="11" t="s">
        <v>171</v>
      </c>
      <c r="J90" t="s">
        <v>217</v>
      </c>
      <c r="K90" t="s">
        <v>195</v>
      </c>
      <c r="L90" s="11" t="s">
        <v>39</v>
      </c>
      <c r="M90" s="11" t="s">
        <v>39</v>
      </c>
      <c r="N90" s="11" t="s">
        <v>39</v>
      </c>
      <c r="O90" s="11" t="s">
        <v>39</v>
      </c>
      <c r="P90" t="s">
        <v>9</v>
      </c>
      <c r="Q90">
        <v>84</v>
      </c>
      <c r="R90">
        <v>0</v>
      </c>
      <c r="S90">
        <v>0</v>
      </c>
      <c r="T90" t="str">
        <f t="shared" si="22"/>
        <v>-</v>
      </c>
      <c r="U90" t="str">
        <f t="shared" si="23"/>
        <v>-</v>
      </c>
      <c r="V90" t="str">
        <f t="shared" si="24"/>
        <v>-</v>
      </c>
      <c r="W90" t="str">
        <f t="shared" si="25"/>
        <v>-</v>
      </c>
      <c r="X90" t="str">
        <f t="shared" si="26"/>
        <v>-</v>
      </c>
      <c r="Y90" t="str">
        <f t="shared" si="27"/>
        <v>-</v>
      </c>
      <c r="Z90" t="str">
        <f t="shared" si="28"/>
        <v>-</v>
      </c>
      <c r="AA90" t="str">
        <f t="shared" si="29"/>
        <v>-</v>
      </c>
      <c r="AB90" t="str">
        <f>IF(_xlfn.IFNA(VLOOKUP(P90,Set_Ref!$B$6:$B$1048576,1,FALSE),"")&lt;&gt;"","-",FALSE)</f>
        <v>-</v>
      </c>
      <c r="AC90" t="str">
        <f t="shared" si="30"/>
        <v>-</v>
      </c>
      <c r="AD90" t="str">
        <f t="shared" si="31"/>
        <v>-</v>
      </c>
      <c r="AE90" t="b">
        <f t="shared" si="32"/>
        <v>1</v>
      </c>
    </row>
    <row r="91" spans="1:31" x14ac:dyDescent="0.25">
      <c r="A91">
        <v>3</v>
      </c>
      <c r="B91">
        <v>25</v>
      </c>
      <c r="C91">
        <v>261</v>
      </c>
      <c r="D91" s="11" t="s">
        <v>149</v>
      </c>
      <c r="E91" t="s">
        <v>207</v>
      </c>
      <c r="F91" t="s">
        <v>193</v>
      </c>
      <c r="G91" s="11" t="s">
        <v>216</v>
      </c>
      <c r="H91">
        <v>2</v>
      </c>
      <c r="I91" s="11" t="s">
        <v>171</v>
      </c>
      <c r="J91" t="s">
        <v>217</v>
      </c>
      <c r="K91" t="s">
        <v>195</v>
      </c>
      <c r="L91" s="11" t="s">
        <v>39</v>
      </c>
      <c r="M91" s="11" t="s">
        <v>39</v>
      </c>
      <c r="N91" s="11" t="s">
        <v>39</v>
      </c>
      <c r="O91" s="11" t="s">
        <v>39</v>
      </c>
      <c r="P91" t="s">
        <v>9</v>
      </c>
      <c r="Q91">
        <v>48</v>
      </c>
      <c r="R91">
        <v>0</v>
      </c>
      <c r="S91">
        <v>0</v>
      </c>
      <c r="T91" t="str">
        <f t="shared" si="22"/>
        <v>-</v>
      </c>
      <c r="U91" t="str">
        <f t="shared" si="23"/>
        <v>-</v>
      </c>
      <c r="V91" t="str">
        <f t="shared" si="24"/>
        <v>-</v>
      </c>
      <c r="W91" t="str">
        <f t="shared" si="25"/>
        <v>-</v>
      </c>
      <c r="X91" t="str">
        <f t="shared" si="26"/>
        <v>-</v>
      </c>
      <c r="Y91" t="str">
        <f t="shared" si="27"/>
        <v>-</v>
      </c>
      <c r="Z91" t="str">
        <f t="shared" si="28"/>
        <v>-</v>
      </c>
      <c r="AA91" t="str">
        <f t="shared" si="29"/>
        <v>-</v>
      </c>
      <c r="AB91" t="str">
        <f>IF(_xlfn.IFNA(VLOOKUP(P91,Set_Ref!$B$6:$B$1048576,1,FALSE),"")&lt;&gt;"","-",FALSE)</f>
        <v>-</v>
      </c>
      <c r="AC91" t="str">
        <f t="shared" si="30"/>
        <v>-</v>
      </c>
      <c r="AD91" t="str">
        <f t="shared" si="31"/>
        <v>-</v>
      </c>
      <c r="AE91" t="b">
        <f t="shared" si="32"/>
        <v>1</v>
      </c>
    </row>
    <row r="92" spans="1:31" x14ac:dyDescent="0.25">
      <c r="A92">
        <v>3</v>
      </c>
      <c r="B92">
        <v>26</v>
      </c>
      <c r="C92">
        <v>261</v>
      </c>
      <c r="D92" s="11" t="s">
        <v>149</v>
      </c>
      <c r="E92" t="s">
        <v>207</v>
      </c>
      <c r="F92" t="s">
        <v>193</v>
      </c>
      <c r="G92" s="11" t="s">
        <v>216</v>
      </c>
      <c r="H92">
        <v>2</v>
      </c>
      <c r="I92" s="11" t="s">
        <v>171</v>
      </c>
      <c r="J92" t="s">
        <v>217</v>
      </c>
      <c r="K92" t="s">
        <v>195</v>
      </c>
      <c r="L92" s="11" t="s">
        <v>39</v>
      </c>
      <c r="M92" s="11" t="s">
        <v>39</v>
      </c>
      <c r="N92" s="11" t="s">
        <v>39</v>
      </c>
      <c r="O92" s="11" t="s">
        <v>39</v>
      </c>
      <c r="P92" t="s">
        <v>9</v>
      </c>
      <c r="Q92">
        <v>43</v>
      </c>
      <c r="R92">
        <v>0</v>
      </c>
      <c r="S92">
        <v>0</v>
      </c>
      <c r="T92" t="str">
        <f t="shared" si="22"/>
        <v>-</v>
      </c>
      <c r="U92" t="str">
        <f t="shared" si="23"/>
        <v>-</v>
      </c>
      <c r="V92" t="str">
        <f t="shared" si="24"/>
        <v>-</v>
      </c>
      <c r="W92" t="str">
        <f t="shared" si="25"/>
        <v>-</v>
      </c>
      <c r="X92" t="str">
        <f t="shared" si="26"/>
        <v>-</v>
      </c>
      <c r="Y92" t="str">
        <f t="shared" si="27"/>
        <v>-</v>
      </c>
      <c r="Z92" t="str">
        <f t="shared" si="28"/>
        <v>-</v>
      </c>
      <c r="AA92" t="str">
        <f t="shared" si="29"/>
        <v>-</v>
      </c>
      <c r="AB92" t="str">
        <f>IF(_xlfn.IFNA(VLOOKUP(P92,Set_Ref!$B$6:$B$1048576,1,FALSE),"")&lt;&gt;"","-",FALSE)</f>
        <v>-</v>
      </c>
      <c r="AC92" t="str">
        <f t="shared" si="30"/>
        <v>-</v>
      </c>
      <c r="AD92" t="str">
        <f t="shared" si="31"/>
        <v>-</v>
      </c>
      <c r="AE92" t="b">
        <f t="shared" si="32"/>
        <v>1</v>
      </c>
    </row>
    <row r="93" spans="1:31" x14ac:dyDescent="0.25">
      <c r="A93">
        <v>3</v>
      </c>
      <c r="B93">
        <v>27</v>
      </c>
      <c r="C93">
        <v>261</v>
      </c>
      <c r="D93" s="11" t="s">
        <v>149</v>
      </c>
      <c r="E93" t="s">
        <v>207</v>
      </c>
      <c r="F93" t="s">
        <v>193</v>
      </c>
      <c r="G93" s="11" t="s">
        <v>216</v>
      </c>
      <c r="H93">
        <v>2</v>
      </c>
      <c r="I93" s="11" t="s">
        <v>171</v>
      </c>
      <c r="J93" t="s">
        <v>217</v>
      </c>
      <c r="K93" t="s">
        <v>195</v>
      </c>
      <c r="L93" s="11" t="s">
        <v>39</v>
      </c>
      <c r="M93" s="11" t="s">
        <v>39</v>
      </c>
      <c r="N93" s="11" t="s">
        <v>39</v>
      </c>
      <c r="O93" s="11" t="s">
        <v>39</v>
      </c>
      <c r="P93" t="s">
        <v>9</v>
      </c>
      <c r="Q93">
        <v>11</v>
      </c>
      <c r="R93">
        <v>0</v>
      </c>
      <c r="S93">
        <v>0</v>
      </c>
      <c r="T93" t="str">
        <f t="shared" si="22"/>
        <v>-</v>
      </c>
      <c r="U93" t="str">
        <f t="shared" si="23"/>
        <v>-</v>
      </c>
      <c r="V93" t="str">
        <f t="shared" si="24"/>
        <v>-</v>
      </c>
      <c r="W93" t="str">
        <f t="shared" si="25"/>
        <v>-</v>
      </c>
      <c r="X93" t="str">
        <f t="shared" si="26"/>
        <v>-</v>
      </c>
      <c r="Y93" t="str">
        <f t="shared" si="27"/>
        <v>-</v>
      </c>
      <c r="Z93" t="str">
        <f t="shared" si="28"/>
        <v>-</v>
      </c>
      <c r="AA93" t="str">
        <f t="shared" si="29"/>
        <v>-</v>
      </c>
      <c r="AB93" t="str">
        <f>IF(_xlfn.IFNA(VLOOKUP(P93,Set_Ref!$B$6:$B$1048576,1,FALSE),"")&lt;&gt;"","-",FALSE)</f>
        <v>-</v>
      </c>
      <c r="AC93" t="str">
        <f t="shared" si="30"/>
        <v>-</v>
      </c>
      <c r="AD93" t="str">
        <f t="shared" si="31"/>
        <v>-</v>
      </c>
      <c r="AE93" t="b">
        <f t="shared" si="32"/>
        <v>1</v>
      </c>
    </row>
    <row r="94" spans="1:31" x14ac:dyDescent="0.25">
      <c r="A94">
        <v>3</v>
      </c>
      <c r="B94">
        <v>28</v>
      </c>
      <c r="C94">
        <v>261</v>
      </c>
      <c r="D94" s="11" t="s">
        <v>149</v>
      </c>
      <c r="E94" t="s">
        <v>207</v>
      </c>
      <c r="F94" t="s">
        <v>193</v>
      </c>
      <c r="G94" s="11" t="s">
        <v>216</v>
      </c>
      <c r="H94">
        <v>2</v>
      </c>
      <c r="I94" s="11" t="s">
        <v>171</v>
      </c>
      <c r="J94" t="s">
        <v>217</v>
      </c>
      <c r="K94" t="s">
        <v>195</v>
      </c>
      <c r="L94" s="11" t="s">
        <v>39</v>
      </c>
      <c r="M94" s="11" t="s">
        <v>39</v>
      </c>
      <c r="N94" s="11" t="s">
        <v>39</v>
      </c>
      <c r="O94" s="11" t="s">
        <v>39</v>
      </c>
      <c r="P94" t="s">
        <v>9</v>
      </c>
      <c r="Q94">
        <v>10</v>
      </c>
      <c r="R94">
        <v>0</v>
      </c>
      <c r="S94">
        <v>0</v>
      </c>
      <c r="T94" t="str">
        <f t="shared" si="22"/>
        <v>-</v>
      </c>
      <c r="U94" t="str">
        <f t="shared" si="23"/>
        <v>-</v>
      </c>
      <c r="V94" t="str">
        <f t="shared" si="24"/>
        <v>-</v>
      </c>
      <c r="W94" t="str">
        <f t="shared" si="25"/>
        <v>-</v>
      </c>
      <c r="X94" t="str">
        <f t="shared" si="26"/>
        <v>-</v>
      </c>
      <c r="Y94" t="str">
        <f t="shared" si="27"/>
        <v>-</v>
      </c>
      <c r="Z94" t="str">
        <f t="shared" si="28"/>
        <v>-</v>
      </c>
      <c r="AA94" t="str">
        <f t="shared" si="29"/>
        <v>-</v>
      </c>
      <c r="AB94" t="str">
        <f>IF(_xlfn.IFNA(VLOOKUP(P94,Set_Ref!$B$6:$B$1048576,1,FALSE),"")&lt;&gt;"","-",FALSE)</f>
        <v>-</v>
      </c>
      <c r="AC94" t="str">
        <f t="shared" si="30"/>
        <v>-</v>
      </c>
      <c r="AD94" t="str">
        <f t="shared" si="31"/>
        <v>-</v>
      </c>
      <c r="AE94" t="b">
        <f t="shared" si="32"/>
        <v>1</v>
      </c>
    </row>
    <row r="95" spans="1:31" x14ac:dyDescent="0.25">
      <c r="A95">
        <v>3</v>
      </c>
      <c r="B95">
        <v>29</v>
      </c>
      <c r="C95">
        <v>261</v>
      </c>
      <c r="D95" s="11" t="s">
        <v>149</v>
      </c>
      <c r="E95" t="s">
        <v>207</v>
      </c>
      <c r="F95" t="s">
        <v>193</v>
      </c>
      <c r="G95" s="11" t="s">
        <v>216</v>
      </c>
      <c r="H95">
        <v>10</v>
      </c>
      <c r="I95" s="11" t="s">
        <v>172</v>
      </c>
      <c r="J95" t="s">
        <v>187</v>
      </c>
      <c r="K95" t="s">
        <v>183</v>
      </c>
      <c r="L95" s="11" t="s">
        <v>39</v>
      </c>
      <c r="M95" s="11" t="s">
        <v>39</v>
      </c>
      <c r="N95" s="11" t="s">
        <v>39</v>
      </c>
      <c r="O95" s="11" t="s">
        <v>39</v>
      </c>
      <c r="P95" t="s">
        <v>10</v>
      </c>
      <c r="Q95">
        <v>60</v>
      </c>
      <c r="R95">
        <v>0</v>
      </c>
      <c r="S95">
        <v>0</v>
      </c>
      <c r="T95" t="str">
        <f t="shared" si="22"/>
        <v>-</v>
      </c>
      <c r="U95" t="str">
        <f t="shared" si="23"/>
        <v>-</v>
      </c>
      <c r="V95" t="str">
        <f t="shared" si="24"/>
        <v>-</v>
      </c>
      <c r="W95" t="str">
        <f t="shared" si="25"/>
        <v>-</v>
      </c>
      <c r="X95" t="str">
        <f t="shared" si="26"/>
        <v>-</v>
      </c>
      <c r="Y95" t="str">
        <f t="shared" si="27"/>
        <v>-</v>
      </c>
      <c r="Z95" t="str">
        <f t="shared" si="28"/>
        <v>-</v>
      </c>
      <c r="AA95" t="str">
        <f t="shared" si="29"/>
        <v>-</v>
      </c>
      <c r="AB95" t="str">
        <f>IF(_xlfn.IFNA(VLOOKUP(P95,Set_Ref!$B$6:$B$1048576,1,FALSE),"")&lt;&gt;"","-",FALSE)</f>
        <v>-</v>
      </c>
      <c r="AC95" t="str">
        <f t="shared" si="30"/>
        <v>-</v>
      </c>
      <c r="AD95" t="str">
        <f t="shared" si="31"/>
        <v>-</v>
      </c>
      <c r="AE95" t="b">
        <f t="shared" si="32"/>
        <v>1</v>
      </c>
    </row>
    <row r="96" spans="1:31" x14ac:dyDescent="0.25">
      <c r="A96">
        <v>3</v>
      </c>
      <c r="B96">
        <v>30</v>
      </c>
      <c r="C96">
        <v>261</v>
      </c>
      <c r="D96" s="11" t="s">
        <v>149</v>
      </c>
      <c r="E96" t="s">
        <v>207</v>
      </c>
      <c r="F96" t="s">
        <v>193</v>
      </c>
      <c r="G96" s="11" t="s">
        <v>216</v>
      </c>
      <c r="H96">
        <v>2</v>
      </c>
      <c r="I96" s="11" t="s">
        <v>171</v>
      </c>
      <c r="J96" t="s">
        <v>217</v>
      </c>
      <c r="K96" t="s">
        <v>195</v>
      </c>
      <c r="L96" s="11" t="s">
        <v>39</v>
      </c>
      <c r="M96" s="11" t="s">
        <v>39</v>
      </c>
      <c r="N96" s="11" t="s">
        <v>39</v>
      </c>
      <c r="O96" s="11" t="s">
        <v>39</v>
      </c>
      <c r="P96" t="s">
        <v>9</v>
      </c>
      <c r="Q96">
        <v>43</v>
      </c>
      <c r="R96">
        <v>0</v>
      </c>
      <c r="S96">
        <v>0</v>
      </c>
      <c r="T96" t="str">
        <f t="shared" si="22"/>
        <v>-</v>
      </c>
      <c r="U96" t="str">
        <f t="shared" si="23"/>
        <v>-</v>
      </c>
      <c r="V96" t="str">
        <f t="shared" si="24"/>
        <v>-</v>
      </c>
      <c r="W96" t="str">
        <f t="shared" si="25"/>
        <v>-</v>
      </c>
      <c r="X96" t="str">
        <f t="shared" si="26"/>
        <v>-</v>
      </c>
      <c r="Y96" t="str">
        <f t="shared" si="27"/>
        <v>-</v>
      </c>
      <c r="Z96" t="str">
        <f t="shared" si="28"/>
        <v>-</v>
      </c>
      <c r="AA96" t="str">
        <f t="shared" si="29"/>
        <v>-</v>
      </c>
      <c r="AB96" t="str">
        <f>IF(_xlfn.IFNA(VLOOKUP(P96,Set_Ref!$B$6:$B$1048576,1,FALSE),"")&lt;&gt;"","-",FALSE)</f>
        <v>-</v>
      </c>
      <c r="AC96" t="str">
        <f t="shared" si="30"/>
        <v>-</v>
      </c>
      <c r="AD96" t="str">
        <f t="shared" si="31"/>
        <v>-</v>
      </c>
      <c r="AE96" t="b">
        <f t="shared" si="32"/>
        <v>1</v>
      </c>
    </row>
    <row r="97" spans="1:31" x14ac:dyDescent="0.25">
      <c r="A97">
        <v>3</v>
      </c>
      <c r="B97">
        <v>31</v>
      </c>
      <c r="C97">
        <v>261</v>
      </c>
      <c r="D97" s="11" t="s">
        <v>149</v>
      </c>
      <c r="E97" t="s">
        <v>207</v>
      </c>
      <c r="F97" t="s">
        <v>193</v>
      </c>
      <c r="G97" s="11" t="s">
        <v>216</v>
      </c>
      <c r="H97">
        <v>2</v>
      </c>
      <c r="I97" s="11" t="s">
        <v>171</v>
      </c>
      <c r="J97" t="s">
        <v>217</v>
      </c>
      <c r="K97" t="s">
        <v>195</v>
      </c>
      <c r="L97" s="11" t="s">
        <v>39</v>
      </c>
      <c r="M97" s="11" t="s">
        <v>39</v>
      </c>
      <c r="N97" s="11" t="s">
        <v>39</v>
      </c>
      <c r="O97" s="11" t="s">
        <v>39</v>
      </c>
      <c r="P97" t="s">
        <v>9</v>
      </c>
      <c r="Q97">
        <v>65</v>
      </c>
      <c r="R97">
        <v>0</v>
      </c>
      <c r="S97">
        <v>0</v>
      </c>
      <c r="T97" t="str">
        <f t="shared" si="22"/>
        <v>-</v>
      </c>
      <c r="U97" t="str">
        <f t="shared" si="23"/>
        <v>-</v>
      </c>
      <c r="V97" t="str">
        <f t="shared" si="24"/>
        <v>-</v>
      </c>
      <c r="W97" t="str">
        <f t="shared" si="25"/>
        <v>-</v>
      </c>
      <c r="X97" t="str">
        <f t="shared" si="26"/>
        <v>-</v>
      </c>
      <c r="Y97" t="str">
        <f t="shared" si="27"/>
        <v>-</v>
      </c>
      <c r="Z97" t="str">
        <f t="shared" si="28"/>
        <v>-</v>
      </c>
      <c r="AA97" t="str">
        <f t="shared" si="29"/>
        <v>-</v>
      </c>
      <c r="AB97" t="str">
        <f>IF(_xlfn.IFNA(VLOOKUP(P97,Set_Ref!$B$6:$B$1048576,1,FALSE),"")&lt;&gt;"","-",FALSE)</f>
        <v>-</v>
      </c>
      <c r="AC97" t="str">
        <f t="shared" si="30"/>
        <v>-</v>
      </c>
      <c r="AD97" t="str">
        <f t="shared" si="31"/>
        <v>-</v>
      </c>
      <c r="AE97" t="b">
        <f t="shared" si="32"/>
        <v>1</v>
      </c>
    </row>
    <row r="98" spans="1:31" x14ac:dyDescent="0.25">
      <c r="A98">
        <v>3</v>
      </c>
      <c r="B98">
        <v>32</v>
      </c>
      <c r="C98">
        <v>261</v>
      </c>
      <c r="D98" s="11" t="s">
        <v>149</v>
      </c>
      <c r="E98" t="s">
        <v>213</v>
      </c>
      <c r="F98" t="s">
        <v>178</v>
      </c>
      <c r="G98" s="11" t="s">
        <v>221</v>
      </c>
      <c r="H98">
        <v>1</v>
      </c>
      <c r="I98" s="11" t="s">
        <v>172</v>
      </c>
      <c r="J98" t="s">
        <v>189</v>
      </c>
      <c r="K98" t="s">
        <v>185</v>
      </c>
      <c r="L98" s="11" t="s">
        <v>39</v>
      </c>
      <c r="M98" s="11" t="s">
        <v>39</v>
      </c>
      <c r="N98" s="11" t="s">
        <v>39</v>
      </c>
      <c r="O98" s="11" t="s">
        <v>39</v>
      </c>
      <c r="P98" t="s">
        <v>10</v>
      </c>
      <c r="Q98">
        <v>7</v>
      </c>
      <c r="R98">
        <v>0</v>
      </c>
      <c r="S98">
        <v>0</v>
      </c>
      <c r="T98" t="str">
        <f t="shared" si="22"/>
        <v>-</v>
      </c>
      <c r="U98" t="str">
        <f t="shared" si="23"/>
        <v>-</v>
      </c>
      <c r="V98" t="str">
        <f t="shared" si="24"/>
        <v>-</v>
      </c>
      <c r="W98" t="str">
        <f t="shared" si="25"/>
        <v>-</v>
      </c>
      <c r="X98" t="str">
        <f t="shared" si="26"/>
        <v>-</v>
      </c>
      <c r="Y98" t="str">
        <f t="shared" si="27"/>
        <v>-</v>
      </c>
      <c r="Z98" t="str">
        <f t="shared" si="28"/>
        <v>-</v>
      </c>
      <c r="AA98" t="str">
        <f t="shared" si="29"/>
        <v>-</v>
      </c>
      <c r="AB98" t="str">
        <f>IF(_xlfn.IFNA(VLOOKUP(P98,Set_Ref!$B$6:$B$1048576,1,FALSE),"")&lt;&gt;"","-",FALSE)</f>
        <v>-</v>
      </c>
      <c r="AC98" t="str">
        <f t="shared" si="30"/>
        <v>-</v>
      </c>
      <c r="AD98" t="str">
        <f t="shared" si="31"/>
        <v>-</v>
      </c>
      <c r="AE98" t="b">
        <f t="shared" si="32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F03C7707-5C78-4637-95AF-30B5FF113896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Summary</vt:lpstr>
      <vt:lpstr>Set_Def</vt:lpstr>
      <vt:lpstr>Set_Cach</vt:lpstr>
      <vt:lpstr>Set_Ref</vt:lpstr>
      <vt:lpstr>Field_Barang</vt:lpstr>
      <vt:lpstr>Field_BahanBaku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2025-01-14T08:35:30Z</dcterms:modified>
</cp:coreProperties>
</file>