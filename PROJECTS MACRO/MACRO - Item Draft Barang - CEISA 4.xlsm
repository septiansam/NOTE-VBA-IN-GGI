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MACRO - Item Draft Barang - CEISA 4.0\backup macro lama\2025-02-22\UPDATED\"/>
    </mc:Choice>
  </mc:AlternateContent>
  <xr:revisionPtr revIDLastSave="0" documentId="13_ncr:1_{735332F3-3490-4AC1-B56C-4C2487CB2920}" xr6:coauthVersionLast="47" xr6:coauthVersionMax="47" xr10:uidLastSave="{00000000-0000-0000-0000-000000000000}"/>
  <bookViews>
    <workbookView xWindow="-120" yWindow="-120" windowWidth="20730" windowHeight="11160" tabRatio="685" activeTab="1" xr2:uid="{7E7A7F93-5039-4D12-8102-F8D7E7D5379D}"/>
  </bookViews>
  <sheets>
    <sheet name="(M)" sheetId="12" r:id="rId1"/>
    <sheet name="Summary" sheetId="135" r:id="rId2"/>
    <sheet name="Set_Def" sheetId="128" state="hidden" r:id="rId3"/>
    <sheet name="Set_Cach" sheetId="129" state="hidden" r:id="rId4"/>
    <sheet name="Set_Ref" sheetId="130" state="hidden" r:id="rId5"/>
    <sheet name="Field_Barang" sheetId="145" state="hidden" r:id="rId6"/>
    <sheet name="Field_BahanBaku" sheetId="143" state="hidden" r:id="rId7"/>
    <sheet name="BARANG" sheetId="945" r:id="rId8"/>
    <sheet name="BAHANBAKU" sheetId="946" r:id="rId9"/>
  </sheets>
  <functionGroups builtInGroupCount="19"/>
  <externalReferences>
    <externalReference r:id="rId10"/>
  </externalReferences>
  <definedNames>
    <definedName name="_xlnm._FilterDatabase" localSheetId="5" hidden="1">Field_Barang!#REF!</definedName>
    <definedName name="Excel_BuiltIn__FilterDatabase" localSheetId="5">#REF!</definedName>
    <definedName name="Excel_BuiltIn__FilterDatabase">#REF!</definedName>
    <definedName name="Excel_BuiltIn__FilterDatabase_1" localSheetId="5">#REF!</definedName>
    <definedName name="Excel_BuiltIn__FilterDatabase_1">#REF!</definedName>
    <definedName name="Excel_BuiltIn_Print_Area_1" localSheetId="5">#REF!</definedName>
    <definedName name="Excel_BuiltIn_Print_Area_1">#REF!</definedName>
    <definedName name="Excel_BuiltIn_Print_Area_2" localSheetId="5">#REF!</definedName>
    <definedName name="Excel_BuiltIn_Print_Area_2">#REF!</definedName>
    <definedName name="Excel_BuiltIn_Print_Area_3" localSheetId="5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946"/>
  <c r="AC3" i="946"/>
  <c r="AB3" i="946"/>
  <c r="AA3" i="946"/>
  <c r="Z3" i="946"/>
  <c r="Y3" i="946"/>
  <c r="X3" i="946"/>
  <c r="W3" i="946"/>
  <c r="V3" i="946"/>
  <c r="U3" i="946"/>
  <c r="T3" i="946"/>
  <c r="X3" i="945"/>
  <c r="W3" i="945"/>
  <c r="V3" i="945"/>
  <c r="U3" i="945"/>
  <c r="T3" i="945"/>
  <c r="S3" i="945"/>
  <c r="R3" i="945"/>
  <c r="Q3" i="945"/>
  <c r="P3" i="945"/>
  <c r="O3" i="945"/>
  <c r="AE3" i="946" l="1"/>
  <c r="C12" i="135" s="1"/>
  <c r="Y3" i="945"/>
  <c r="C6" i="135" s="1"/>
  <c r="D12" i="128"/>
  <c r="C2" i="135" l="1"/>
  <c r="D8" i="128"/>
  <c r="C8" i="128"/>
  <c r="D6" i="128"/>
  <c r="C1" i="135" l="1"/>
  <c r="C3" i="135" s="1"/>
  <c r="C9" i="128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7380F650-971B-48EA-B1D7-371460330958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752BCF3D-FAB0-4F9A-9B0E-6EA6320D41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922A955D-ECBC-4FBD-9620-B36C7D7543A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CF922A3D-8B15-4CBE-86C0-066AE028B7C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0990B278-8001-4C64-96CA-8321850237D7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A0F617F3-2F08-4A10-A140-018552316AA8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607D552D-5204-4751-A771-56D70B630659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2" authorId="0" shapeId="0" xr:uid="{CD341851-32CC-45A9-B51E-479BFA8D78B7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2" authorId="0" shapeId="0" xr:uid="{7CECF7C3-EFE2-4381-B2DF-9B60949CB337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2227E4A4-0487-4A2A-8C95-9FD44AEB8D6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CC52EC26-6AFD-4A9F-B100-3F45BF5641B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A3535C18-BA8A-4213-A252-ABC9A7E80AA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85AFEC1A-50B1-4ED7-B130-7F5E058D472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4A9BFD82-946B-4A67-88DB-C6B0807C966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654F40F2-241A-4B0C-A116-E4535D94052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6DCE4EC5-8BE4-4BCC-BFAE-BA42783AF689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0A5910F6-632E-42E7-8D75-9FBE6F6C9AD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888F8E42-27EB-4B89-929C-6D039C3E18C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129C9944-07D0-433D-881C-64C51B175C1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2337271E-7DBE-4979-83EA-B147581850E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02201387-E9DF-4633-9A91-11F84CC89A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5184E123-9CB0-40D6-810C-6A47A55E94F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319AAB9E-EA39-42E7-AA57-05BF0F13479A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<sst xmlns="http://schemas.openxmlformats.org/spreadsheetml/2006/main" count="384" uniqueCount="183">
  <si>
    <t>░</t>
  </si>
  <si>
    <t>☻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</si>
  <si>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</si>
  <si>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</si>
  <si>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</si>
  <si>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</si>
  <si>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</si>
  <si>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</si>
  <si>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</si>
  <si>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</si>
  <si>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</si>
  <si>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</si>
  <si>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</si>
  <si>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</si>
  <si>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</si>
  <si>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</si>
  <si>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</si>
  <si>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</si>
  <si>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</si>
  <si>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</si>
  <si>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</si>
  <si>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</si>
  <si>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</si>
  <si>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</si>
  <si>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</si>
  <si>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</si>
  <si>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</si>
  <si>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</si>
  <si>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</si>
  <si>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</si>
  <si>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</si>
  <si>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</si>
  <si>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</si>
  <si>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</si>
  <si>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</si>
  <si>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</si>
  <si>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</si>
  <si>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</si>
  <si>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</si>
  <si>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</si>
  <si>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</si>
  <si>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</si>
  <si>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</si>
  <si>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</si>
  <si>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</si>
  <si>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</si>
  <si>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</si>
  <si>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</si>
  <si>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</si>
  <si>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</si>
  <si>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</si>
  <si>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</si>
  <si>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</si>
  <si>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</si>
  <si>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</si>
  <si>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</si>
  <si>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</si>
  <si>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</si>
  <si>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</si>
  <si>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</si>
  <si>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</si>
  <si>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</si>
  <si>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</si>
  <si>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</si>
  <si>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</si>
  <si>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</si>
  <si>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</si>
  <si>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</si>
  <si>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</si>
  <si>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</si>
  <si>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</si>
  <si>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</si>
  <si>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</si>
  <si>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</si>
  <si>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</si>
  <si>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</si>
  <si>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</si>
  <si>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</si>
  <si>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</si>
  <si>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</si>
  <si>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</si>
  <si>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</si>
  <si>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</si>
  <si>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</si>
  <si>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</si>
  <si>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</si>
  <si>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</si>
  <si>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</si>
  <si>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</si>
  <si>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</si>
  <si>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</si>
  <si>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</si>
  <si>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</si>
  <si>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</si>
  <si>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</si>
  <si>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</si>
  <si>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</si>
  <si>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</si>
  <si>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</si>
  <si>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</si>
  <si>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</si>
  <si>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</si>
  <si>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05052600520520230829002070</t>
  </si>
  <si>
    <t>55159990</t>
  </si>
  <si>
    <t>100% COTTON INTERLOCK,180-190G</t>
  </si>
  <si>
    <t>291361</t>
  </si>
  <si>
    <t>269207</t>
  </si>
  <si>
    <t>POLY65% 35%CTN TC JRSY,180G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</si>
  <si>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</si>
  <si>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</si>
  <si>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</si>
  <si>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</si>
  <si>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</si>
  <si>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</si>
  <si>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</si>
  <si>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</si>
  <si>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</si>
  <si>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</si>
  <si>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</si>
  <si>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</si>
  <si>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</si>
  <si>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</si>
  <si>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</si>
  <si>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</si>
  <si>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</si>
  <si>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</si>
  <si>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</si>
  <si>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</si>
  <si>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</si>
  <si>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</si>
  <si>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</si>
  <si>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</si>
  <si>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</si>
  <si>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</si>
  <si>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</si>
  <si>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</si>
  <si>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</si>
  <si>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</si>
  <si>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</si>
  <si>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</si>
  <si>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</si>
  <si>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</si>
  <si>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</si>
  <si>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</si>
  <si>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</si>
  <si>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</si>
  <si>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</si>
  <si>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</si>
  <si>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</si>
  <si>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</si>
  <si>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</si>
  <si>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</si>
  <si>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</si>
  <si>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</si>
  <si>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</si>
  <si>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</si>
  <si>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</si>
  <si>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</si>
  <si>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</si>
  <si>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</si>
  <si>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</si>
  <si>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</si>
  <si>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</si>
  <si>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</si>
  <si>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</si>
  <si>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</si>
  <si>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</si>
  <si>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</si>
  <si>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KUASA DIREKSI</t>
  </si>
  <si>
    <t>VALIDASI 1</t>
  </si>
  <si>
    <t>T/F</t>
  </si>
  <si>
    <t>DATA YG WAJIB DICARI 2</t>
  </si>
  <si>
    <t>F:\Tambah field jaminan\00026231560820250221000167.xlsx</t>
  </si>
  <si>
    <t>F:\Tambah field jaminan\BC 262 24001109-1201- (26).xlsx</t>
  </si>
  <si>
    <t>NISHIMATSUYA SHIRT</t>
  </si>
  <si>
    <t>2025-01-20</t>
  </si>
  <si>
    <t>SIZE STICKER NISHIMATSUYA</t>
  </si>
  <si>
    <t>273778</t>
  </si>
  <si>
    <t>1622</t>
  </si>
  <si>
    <t>260292</t>
  </si>
  <si>
    <t>00026131560820250120000010</t>
  </si>
  <si>
    <t>48211090</t>
  </si>
  <si>
    <t>1233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</si>
</sst>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43" fillId="0" borderId="1" xfId="49" applyBorder="1"/>
    <xf numFmtId="0" fontId="0" fillId="51" borderId="0" xfId="0" applyFill="1" applyAlignment="1">
      <alignment horizontal="center"/>
    </xf>
    <xf numFmtId="167" fontId="0" fillId="0" borderId="0" xfId="0" applyNumberFormat="1"/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Hyperlink" xfId="49" builtinId="8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IT/SEPTIAN/New%20folder%20(2)/MACRO%20-%20Item%20Draft%20Barang%20-%20CEISA%204/BAHAN/BC%20262%2024001043-1201-%20(16)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J3" sqref="J3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90"/>
      <c r="B5" s="90"/>
      <c r="C5" s="90"/>
      <c r="D5" s="90"/>
      <c r="E5" s="90"/>
      <c r="F5" s="90"/>
      <c r="G5" s="90"/>
      <c r="H5" s="38" t="s">
        <v>0</v>
      </c>
      <c r="I5" s="89"/>
      <c r="J5" s="89"/>
      <c r="K5" s="89"/>
      <c r="L5" s="89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8" t="s">
        <v>1</v>
      </c>
      <c r="I8" s="88"/>
      <c r="J8" s="88"/>
      <c r="K8" s="88"/>
      <c r="L8" s="88"/>
      <c r="M8" s="88"/>
    </row>
    <row r="9" spans="1:14" s="41" customFormat="1" ht="76.5" customHeight="1" x14ac:dyDescent="0.25">
      <c r="H9" s="88"/>
      <c r="I9" s="88"/>
      <c r="J9" s="88"/>
      <c r="K9" s="88"/>
      <c r="L9" s="88"/>
      <c r="M9" s="88"/>
    </row>
    <row r="10" spans="1:14" s="41" customFormat="1" x14ac:dyDescent="0.25">
      <c r="H10" s="88"/>
      <c r="I10" s="88"/>
      <c r="J10" s="88"/>
      <c r="K10" s="88"/>
      <c r="L10" s="88"/>
      <c r="M10" s="88"/>
    </row>
    <row r="11" spans="1:14" s="41" customFormat="1" x14ac:dyDescent="0.25">
      <c r="H11" s="88"/>
      <c r="I11" s="88"/>
      <c r="J11" s="88"/>
      <c r="K11" s="88"/>
      <c r="L11" s="88"/>
      <c r="M11" s="88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9"/>
      <c r="I14" s="89"/>
      <c r="J14" s="89"/>
      <c r="K14" s="89"/>
      <c r="L14" s="89"/>
      <c r="M14" s="89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tabSelected="1"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J6" sqref="J6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2" t="s">
        <v>74</v>
      </c>
      <c r="B1" s="92"/>
      <c r="C1" s="26">
        <f>COUNTIF(C6:C16,TRUE)</f>
        <v>2</v>
      </c>
      <c r="D1" s="21"/>
      <c r="E1" s="22"/>
      <c r="F1" s="35"/>
    </row>
    <row r="2" spans="1:7" ht="15" customHeight="1" x14ac:dyDescent="0.25">
      <c r="A2" s="92" t="s">
        <v>75</v>
      </c>
      <c r="B2" s="92"/>
      <c r="C2" s="26">
        <f>COUNTIF(C7:C16,FALSE)</f>
        <v>0</v>
      </c>
      <c r="D2" s="21"/>
      <c r="E2" s="23"/>
      <c r="F2" s="35"/>
      <c r="G2" s="13" t="s">
        <v>60</v>
      </c>
    </row>
    <row r="3" spans="1:7" ht="28.5" customHeight="1" x14ac:dyDescent="0.25">
      <c r="A3" s="93" t="s">
        <v>73</v>
      </c>
      <c r="B3" s="93"/>
      <c r="C3" s="24" t="b">
        <f>IF(C1=2,TRUE,FALSE)</f>
        <v>1</v>
      </c>
      <c r="D3" s="25"/>
      <c r="E3" s="23"/>
      <c r="F3" s="35"/>
      <c r="G3" s="13" t="s">
        <v>61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72</v>
      </c>
      <c r="B5" s="30" t="s">
        <v>76</v>
      </c>
      <c r="C5" s="30" t="s">
        <v>62</v>
      </c>
      <c r="D5" s="31" t="s">
        <v>41</v>
      </c>
      <c r="E5" s="31" t="s">
        <v>135</v>
      </c>
      <c r="F5" s="35"/>
    </row>
    <row r="6" spans="1:7" x14ac:dyDescent="0.25">
      <c r="A6" s="91" t="s">
        <v>128</v>
      </c>
      <c r="B6" s="91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130</v>
      </c>
      <c r="C7" s="77"/>
      <c r="D7" s="67">
        <f>COUNTA(BARANG!$A$3:$A$1048576)</f>
        <v>1</v>
      </c>
      <c r="E7" s="17"/>
      <c r="F7" s="16"/>
    </row>
    <row r="8" spans="1:7" x14ac:dyDescent="0.25">
      <c r="A8" s="14">
        <v>2</v>
      </c>
      <c r="B8" s="5" t="s">
        <v>131</v>
      </c>
      <c r="D8" s="67">
        <f>SUM(BARANG!$J$3:$J$1048576)</f>
        <v>1480</v>
      </c>
      <c r="E8" s="17"/>
      <c r="F8" s="16"/>
    </row>
    <row r="9" spans="1:7" x14ac:dyDescent="0.25">
      <c r="A9" s="14">
        <v>3</v>
      </c>
      <c r="B9" s="5" t="s">
        <v>132</v>
      </c>
      <c r="D9" s="67">
        <f>SUM(BARANG!$L$3:$L$1048576)</f>
        <v>1</v>
      </c>
      <c r="E9" s="17"/>
      <c r="F9" s="16"/>
    </row>
    <row r="10" spans="1:7" x14ac:dyDescent="0.25">
      <c r="A10" s="14">
        <v>4</v>
      </c>
      <c r="B10" s="5" t="s">
        <v>134</v>
      </c>
      <c r="D10" s="67">
        <f>SUM(BARANG!$M$3:$M$1048576)</f>
        <v>85.54</v>
      </c>
      <c r="E10" s="17"/>
      <c r="F10" s="16"/>
    </row>
    <row r="11" spans="1:7" x14ac:dyDescent="0.25">
      <c r="A11" s="14">
        <v>5</v>
      </c>
      <c r="B11" s="5" t="s">
        <v>133</v>
      </c>
      <c r="D11" s="67">
        <f>SUM(BARANG!$N$3:$N$1048576)</f>
        <v>1166.05</v>
      </c>
      <c r="E11" s="17"/>
      <c r="F11" s="16"/>
    </row>
    <row r="12" spans="1:7" x14ac:dyDescent="0.25">
      <c r="A12" s="91" t="s">
        <v>129</v>
      </c>
      <c r="B12" s="91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130</v>
      </c>
      <c r="C13" s="67"/>
      <c r="D13" s="19">
        <f>COUNTA(BAHANBAKU!$B$3:$B$1048576)</f>
        <v>1</v>
      </c>
      <c r="E13" s="17"/>
      <c r="F13" s="16"/>
    </row>
    <row r="14" spans="1:7" x14ac:dyDescent="0.25">
      <c r="A14" s="14">
        <v>2</v>
      </c>
      <c r="B14" s="5" t="s">
        <v>131</v>
      </c>
      <c r="C14" s="67"/>
      <c r="D14" s="19">
        <f>SUM(BAHANBAKU!$Q$3:$Q$1048576)</f>
        <v>2000</v>
      </c>
      <c r="E14" s="17"/>
      <c r="F14" s="16"/>
    </row>
    <row r="15" spans="1:7" x14ac:dyDescent="0.25">
      <c r="A15" s="14">
        <v>3</v>
      </c>
      <c r="B15" s="5" t="s">
        <v>134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133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topLeftCell="L1" workbookViewId="0">
      <selection activeCell="W16" sqref="W16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125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147</v>
      </c>
      <c r="B4" s="73"/>
      <c r="C4" s="72"/>
      <c r="D4" s="73"/>
      <c r="E4" s="10"/>
      <c r="F4" s="74" t="s">
        <v>49</v>
      </c>
      <c r="G4" s="74"/>
      <c r="H4" s="74"/>
      <c r="I4" s="10"/>
      <c r="J4" s="74" t="s">
        <v>145</v>
      </c>
      <c r="K4" s="76"/>
      <c r="L4" s="76"/>
      <c r="M4" s="76"/>
      <c r="N4" s="10"/>
      <c r="O4" s="74" t="s">
        <v>129</v>
      </c>
      <c r="P4" s="74"/>
      <c r="Q4" s="74"/>
      <c r="R4" s="74"/>
      <c r="S4" s="74"/>
      <c r="T4" s="10"/>
      <c r="U4" s="78" t="s">
        <v>166</v>
      </c>
      <c r="V4" s="78"/>
      <c r="W4" s="3"/>
      <c r="X4" s="3"/>
    </row>
    <row r="5" spans="1:24" x14ac:dyDescent="0.25">
      <c r="A5" s="64" t="s">
        <v>94</v>
      </c>
      <c r="B5" s="53" t="s">
        <v>40</v>
      </c>
      <c r="C5" s="54" t="s">
        <v>41</v>
      </c>
      <c r="D5" s="54" t="s">
        <v>42</v>
      </c>
      <c r="E5" s="10"/>
      <c r="F5" s="64" t="s">
        <v>94</v>
      </c>
      <c r="G5" s="63" t="s">
        <v>56</v>
      </c>
      <c r="H5" s="62" t="s">
        <v>51</v>
      </c>
      <c r="I5" s="10"/>
      <c r="J5" s="71" t="s">
        <v>146</v>
      </c>
      <c r="K5" s="71" t="s">
        <v>141</v>
      </c>
      <c r="L5" s="71" t="s">
        <v>140</v>
      </c>
      <c r="M5" s="71" t="s">
        <v>144</v>
      </c>
      <c r="N5" s="10"/>
      <c r="O5" s="71" t="s">
        <v>39</v>
      </c>
      <c r="P5" s="63" t="s">
        <v>37</v>
      </c>
      <c r="Q5" s="62" t="s">
        <v>52</v>
      </c>
      <c r="R5" s="62" t="s">
        <v>55</v>
      </c>
      <c r="S5" s="62" t="s">
        <v>48</v>
      </c>
      <c r="T5" s="10"/>
      <c r="U5" s="79" t="s">
        <v>80</v>
      </c>
      <c r="V5" s="79" t="s">
        <v>2</v>
      </c>
      <c r="W5" s="79" t="s">
        <v>47</v>
      </c>
      <c r="X5" s="79" t="s">
        <v>81</v>
      </c>
    </row>
    <row r="6" spans="1:24" x14ac:dyDescent="0.25">
      <c r="A6" t="b">
        <v>1</v>
      </c>
      <c r="B6" t="s">
        <v>4</v>
      </c>
      <c r="C6" s="55" t="s">
        <v>149</v>
      </c>
      <c r="D6" s="69" t="str">
        <f>IF(C6="050500","1201",IF(C6="050700","1204",FALSE))</f>
        <v>1201</v>
      </c>
      <c r="F6" t="b">
        <v>1</v>
      </c>
      <c r="G6" s="9" t="s">
        <v>50</v>
      </c>
      <c r="H6" t="s">
        <v>111</v>
      </c>
      <c r="I6" t="s">
        <v>39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53</v>
      </c>
      <c r="R6">
        <v>2</v>
      </c>
      <c r="S6">
        <v>1</v>
      </c>
      <c r="U6" s="2" t="b">
        <v>1</v>
      </c>
      <c r="V6" s="2" t="s">
        <v>154</v>
      </c>
      <c r="W6" s="2" t="b">
        <v>1</v>
      </c>
      <c r="X6" s="2" t="s">
        <v>39</v>
      </c>
    </row>
    <row r="7" spans="1:24" x14ac:dyDescent="0.25">
      <c r="A7" t="b">
        <v>1</v>
      </c>
      <c r="B7" t="s">
        <v>5</v>
      </c>
      <c r="C7" s="5">
        <v>262</v>
      </c>
      <c r="D7" t="s">
        <v>39</v>
      </c>
      <c r="F7" t="b">
        <v>1</v>
      </c>
      <c r="G7" s="9" t="s">
        <v>97</v>
      </c>
      <c r="H7" t="s">
        <v>112</v>
      </c>
      <c r="I7" t="s">
        <v>39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54</v>
      </c>
      <c r="R7">
        <v>1</v>
      </c>
      <c r="S7">
        <v>0</v>
      </c>
      <c r="U7" s="2" t="b">
        <v>1</v>
      </c>
      <c r="V7" s="2" t="s">
        <v>155</v>
      </c>
      <c r="W7" s="2" t="b">
        <v>1</v>
      </c>
      <c r="X7" s="2" t="s">
        <v>39</v>
      </c>
    </row>
    <row r="8" spans="1:24" x14ac:dyDescent="0.25">
      <c r="A8" t="b">
        <v>1</v>
      </c>
      <c r="B8" t="s">
        <v>6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98</v>
      </c>
      <c r="H8" t="s">
        <v>113</v>
      </c>
      <c r="I8" t="s">
        <v>39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54</v>
      </c>
      <c r="R8">
        <v>1</v>
      </c>
      <c r="S8">
        <v>0</v>
      </c>
      <c r="U8" s="2" t="b">
        <v>1</v>
      </c>
      <c r="V8" s="2" t="s">
        <v>156</v>
      </c>
      <c r="W8" s="2" t="b">
        <v>1</v>
      </c>
      <c r="X8" s="8" t="s">
        <v>39</v>
      </c>
    </row>
    <row r="9" spans="1:24" x14ac:dyDescent="0.25">
      <c r="A9" t="b">
        <v>0</v>
      </c>
      <c r="B9" t="s">
        <v>150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39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157</v>
      </c>
      <c r="W9" s="2" t="b">
        <v>1</v>
      </c>
      <c r="X9" s="2" t="s">
        <v>39</v>
      </c>
    </row>
    <row r="10" spans="1:24" x14ac:dyDescent="0.25">
      <c r="A10" t="b">
        <v>1</v>
      </c>
      <c r="B10" t="s">
        <v>136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158</v>
      </c>
      <c r="W10" s="2" t="b">
        <v>1</v>
      </c>
      <c r="X10" s="2" t="s">
        <v>39</v>
      </c>
    </row>
    <row r="11" spans="1:24" x14ac:dyDescent="0.25">
      <c r="A11" t="b">
        <v>1</v>
      </c>
      <c r="B11" t="s">
        <v>151</v>
      </c>
      <c r="C11" s="5" t="s">
        <v>137</v>
      </c>
      <c r="D11" t="s">
        <v>168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159</v>
      </c>
      <c r="W11" s="2" t="b">
        <v>1</v>
      </c>
      <c r="X11" s="2" t="s">
        <v>39</v>
      </c>
    </row>
    <row r="12" spans="1:24" x14ac:dyDescent="0.25">
      <c r="A12" t="b">
        <v>1</v>
      </c>
      <c r="B12" t="s">
        <v>152</v>
      </c>
      <c r="C12" s="5" t="s">
        <v>153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160</v>
      </c>
      <c r="W12" s="2" t="b">
        <v>1</v>
      </c>
      <c r="X12" s="2" t="s">
        <v>39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165</v>
      </c>
      <c r="W13" s="2" t="b">
        <v>1</v>
      </c>
      <c r="X13" s="2" t="s">
        <v>39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161</v>
      </c>
      <c r="W14" s="2" t="b">
        <v>1</v>
      </c>
      <c r="X14" s="2" t="s">
        <v>39</v>
      </c>
    </row>
    <row r="15" spans="1:24" x14ac:dyDescent="0.25">
      <c r="U15" s="2" t="b">
        <v>1</v>
      </c>
      <c r="V15" s="2" t="s">
        <v>162</v>
      </c>
      <c r="W15" s="2" t="b">
        <v>1</v>
      </c>
      <c r="X15" s="2" t="s">
        <v>39</v>
      </c>
    </row>
    <row r="16" spans="1:24" x14ac:dyDescent="0.25">
      <c r="U16" s="2" t="b">
        <v>1</v>
      </c>
      <c r="V16" s="2" t="s">
        <v>163</v>
      </c>
      <c r="W16" s="2" t="b">
        <v>1</v>
      </c>
      <c r="X16" s="2" t="s">
        <v>39</v>
      </c>
    </row>
    <row r="17" spans="21:24" x14ac:dyDescent="0.25">
      <c r="U17" s="2" t="b">
        <v>1</v>
      </c>
      <c r="V17" s="2" t="s">
        <v>164</v>
      </c>
      <c r="W17" s="2" t="b">
        <v>1</v>
      </c>
      <c r="X17" s="2" t="s">
        <v>39</v>
      </c>
    </row>
    <row r="18" spans="21:24" x14ac:dyDescent="0.25">
      <c r="U18" s="2" t="b">
        <v>0</v>
      </c>
      <c r="V18" s="2"/>
      <c r="W18" s="2"/>
      <c r="X18" s="2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W16" sqref="W16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102</v>
      </c>
      <c r="DAU2">
        <v>2</v>
      </c>
      <c r="DAV2" t="s">
        <v>103</v>
      </c>
      <c r="DAW2" t="s">
        <v>106</v>
      </c>
      <c r="DAX2" t="s">
        <v>107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103</v>
      </c>
      <c r="J3" t="s">
        <v>105</v>
      </c>
      <c r="K3" t="s">
        <v>104</v>
      </c>
    </row>
    <row r="4" spans="1:14 2750:2782" x14ac:dyDescent="0.25">
      <c r="A4" s="44" t="s">
        <v>78</v>
      </c>
      <c r="B4" s="44"/>
      <c r="C4" s="45"/>
      <c r="D4" s="45"/>
      <c r="F4" s="44" t="s">
        <v>79</v>
      </c>
      <c r="G4" s="45"/>
      <c r="H4" s="45"/>
      <c r="I4" s="45"/>
      <c r="K4" s="44" t="s">
        <v>95</v>
      </c>
      <c r="L4" s="44"/>
      <c r="M4" s="45"/>
      <c r="N4" s="45"/>
    </row>
    <row r="5" spans="1:14 2750:2782" x14ac:dyDescent="0.25">
      <c r="A5" s="1" t="s">
        <v>80</v>
      </c>
      <c r="B5" s="1" t="s">
        <v>2</v>
      </c>
      <c r="C5" s="1" t="s">
        <v>47</v>
      </c>
      <c r="D5" s="1" t="s">
        <v>81</v>
      </c>
      <c r="F5" s="1" t="s">
        <v>80</v>
      </c>
      <c r="G5" s="1" t="s">
        <v>2</v>
      </c>
      <c r="H5" s="1" t="s">
        <v>47</v>
      </c>
      <c r="I5" s="1" t="s">
        <v>81</v>
      </c>
      <c r="K5" s="1" t="s">
        <v>80</v>
      </c>
      <c r="L5" s="1" t="s">
        <v>2</v>
      </c>
      <c r="M5" s="1" t="s">
        <v>47</v>
      </c>
      <c r="N5" s="1" t="s">
        <v>81</v>
      </c>
    </row>
    <row r="6" spans="1:14 2750:2782" x14ac:dyDescent="0.25">
      <c r="A6" s="2" t="b">
        <v>1</v>
      </c>
      <c r="B6" s="2" t="s">
        <v>108</v>
      </c>
      <c r="C6" s="2" t="s">
        <v>172</v>
      </c>
      <c r="D6" s="2" t="s">
        <v>39</v>
      </c>
      <c r="F6" s="2" t="b">
        <v>0</v>
      </c>
      <c r="G6" s="2" t="s">
        <v>109</v>
      </c>
      <c r="H6" s="2">
        <v>1</v>
      </c>
      <c r="I6" s="2" t="s">
        <v>39</v>
      </c>
      <c r="K6" s="2" t="b">
        <v>1</v>
      </c>
      <c r="L6" s="2" t="s">
        <v>96</v>
      </c>
      <c r="M6" s="2" t="b">
        <v>1</v>
      </c>
      <c r="N6" s="2" t="s">
        <v>39</v>
      </c>
    </row>
    <row r="7" spans="1:14 2750:2782" x14ac:dyDescent="0.25">
      <c r="A7" s="2" t="b">
        <v>1</v>
      </c>
      <c r="B7" s="2" t="s">
        <v>167</v>
      </c>
      <c r="C7" s="85" t="s">
        <v>173</v>
      </c>
      <c r="D7" s="2" t="s">
        <v>39</v>
      </c>
      <c r="F7" s="2" t="b">
        <v>0</v>
      </c>
      <c r="G7" s="2" t="s">
        <v>110</v>
      </c>
      <c r="H7" s="2">
        <v>1</v>
      </c>
      <c r="I7" s="2" t="s">
        <v>39</v>
      </c>
      <c r="K7" s="2" t="b">
        <v>1</v>
      </c>
      <c r="L7" s="2" t="s">
        <v>126</v>
      </c>
      <c r="M7" s="2" t="b">
        <v>1</v>
      </c>
      <c r="N7" s="2" t="s">
        <v>39</v>
      </c>
    </row>
    <row r="8" spans="1:14 2750:2782" x14ac:dyDescent="0.25">
      <c r="A8" s="2" t="b">
        <v>0</v>
      </c>
      <c r="B8" s="2"/>
      <c r="C8" s="8"/>
      <c r="D8" s="8" t="s">
        <v>39</v>
      </c>
      <c r="F8" s="2" t="b">
        <v>0</v>
      </c>
      <c r="G8" s="2" t="s">
        <v>99</v>
      </c>
      <c r="H8" s="2">
        <v>1</v>
      </c>
      <c r="I8" s="8" t="s">
        <v>39</v>
      </c>
      <c r="K8" s="2" t="b">
        <v>0</v>
      </c>
      <c r="L8" s="2"/>
      <c r="M8" s="8"/>
      <c r="N8" s="8" t="s">
        <v>39</v>
      </c>
    </row>
    <row r="9" spans="1:14 2750:2782" x14ac:dyDescent="0.25">
      <c r="A9" s="2" t="b">
        <v>0</v>
      </c>
      <c r="B9" s="2"/>
      <c r="C9" s="2"/>
      <c r="D9" s="2" t="s">
        <v>39</v>
      </c>
      <c r="F9" s="2" t="b">
        <v>0</v>
      </c>
      <c r="G9" s="2" t="s">
        <v>77</v>
      </c>
      <c r="H9" s="2"/>
      <c r="I9" s="2" t="s">
        <v>39</v>
      </c>
      <c r="K9" s="2" t="b">
        <v>0</v>
      </c>
      <c r="L9" s="2"/>
      <c r="M9" s="2"/>
      <c r="N9" s="2" t="s">
        <v>39</v>
      </c>
    </row>
    <row r="10" spans="1:14 2750:2782" x14ac:dyDescent="0.25">
      <c r="A10" s="2" t="b">
        <v>0</v>
      </c>
      <c r="B10" s="2"/>
      <c r="C10" s="2"/>
      <c r="D10" s="2" t="s">
        <v>39</v>
      </c>
      <c r="F10" s="2" t="b">
        <v>0</v>
      </c>
      <c r="G10" s="2"/>
      <c r="H10" s="2"/>
      <c r="I10" s="2" t="s">
        <v>39</v>
      </c>
      <c r="K10" s="2" t="b">
        <v>0</v>
      </c>
      <c r="L10" s="2"/>
      <c r="M10" s="2"/>
      <c r="N10" s="2" t="s">
        <v>39</v>
      </c>
    </row>
    <row r="11" spans="1:14 2750:2782" x14ac:dyDescent="0.25">
      <c r="A11" s="2" t="s">
        <v>39</v>
      </c>
      <c r="B11" s="2"/>
      <c r="C11" s="2"/>
      <c r="D11" s="2" t="s">
        <v>39</v>
      </c>
      <c r="F11" s="2" t="b">
        <v>0</v>
      </c>
      <c r="G11" s="2"/>
      <c r="H11" s="2"/>
      <c r="I11" s="2" t="s">
        <v>39</v>
      </c>
      <c r="K11" s="2" t="b">
        <v>0</v>
      </c>
      <c r="L11" s="2"/>
      <c r="M11" s="2"/>
      <c r="N11" s="2" t="s">
        <v>39</v>
      </c>
    </row>
    <row r="12" spans="1:14 2750:2782" x14ac:dyDescent="0.25">
      <c r="A12" s="2" t="s">
        <v>39</v>
      </c>
      <c r="B12" s="2"/>
      <c r="C12" s="2"/>
      <c r="D12" s="2" t="s">
        <v>39</v>
      </c>
      <c r="K12" s="2" t="b">
        <v>0</v>
      </c>
      <c r="L12" s="2"/>
      <c r="M12" s="2"/>
      <c r="N12" s="2" t="s">
        <v>39</v>
      </c>
    </row>
    <row r="13" spans="1:14 2750:2782" x14ac:dyDescent="0.25">
      <c r="A13" s="2" t="s">
        <v>39</v>
      </c>
      <c r="B13" s="12"/>
      <c r="C13" s="2"/>
      <c r="D13" s="2" t="s">
        <v>39</v>
      </c>
      <c r="K13" s="2" t="b">
        <v>0</v>
      </c>
      <c r="L13" s="2"/>
      <c r="M13" s="2"/>
      <c r="N13" s="2" t="s">
        <v>39</v>
      </c>
    </row>
    <row r="14" spans="1:14 2750:2782" x14ac:dyDescent="0.25">
      <c r="A14" s="2" t="s">
        <v>39</v>
      </c>
      <c r="B14" s="2"/>
      <c r="C14" s="2"/>
      <c r="D14" s="2" t="s">
        <v>39</v>
      </c>
      <c r="K14" s="2" t="b">
        <v>0</v>
      </c>
      <c r="L14" s="2"/>
      <c r="M14" s="2"/>
      <c r="N14" s="2" t="s">
        <v>39</v>
      </c>
    </row>
    <row r="15" spans="1:14 2750:2782" x14ac:dyDescent="0.25">
      <c r="C15" s="11"/>
      <c r="D15" s="11"/>
    </row>
  </sheetData>
  <hyperlinks>
    <hyperlink ref="C7" r:id="rId1" display="\\10.8.0.35\Bersama\IT\SEPTIAN\New folder (2)\MACRO - Item Draft Barang - CEISA 4\BAHAN\BC 262 24001043-1201- (16).xlsx" xr:uid="{89D1049B-313A-47E3-9689-E603C38E541E}"/>
  </hyperlinks>
  <pageMargins left="0.7" right="0.7" top="0.75" bottom="0.75" header="0.3" footer="0.3"/>
  <pageSetup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zoomScale="85" zoomScaleNormal="85" workbookViewId="0">
      <selection activeCell="W15" sqref="W15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124</v>
      </c>
      <c r="D4" s="66" t="s">
        <v>138</v>
      </c>
    </row>
    <row r="5" spans="1:5" x14ac:dyDescent="0.25">
      <c r="A5" s="65" t="s">
        <v>33</v>
      </c>
      <c r="B5" s="65" t="s">
        <v>34</v>
      </c>
      <c r="D5" s="65" t="s">
        <v>139</v>
      </c>
      <c r="E5" s="65" t="s">
        <v>65</v>
      </c>
    </row>
    <row r="6" spans="1:5" x14ac:dyDescent="0.25">
      <c r="A6" t="s">
        <v>15</v>
      </c>
      <c r="B6" t="s">
        <v>10</v>
      </c>
      <c r="D6">
        <v>3</v>
      </c>
      <c r="E6" t="s">
        <v>141</v>
      </c>
    </row>
    <row r="7" spans="1:5" x14ac:dyDescent="0.25">
      <c r="A7" t="s">
        <v>43</v>
      </c>
      <c r="B7" t="s">
        <v>38</v>
      </c>
      <c r="D7">
        <v>7</v>
      </c>
      <c r="E7" t="s">
        <v>140</v>
      </c>
    </row>
    <row r="8" spans="1:5" x14ac:dyDescent="0.25">
      <c r="A8" t="s">
        <v>3</v>
      </c>
      <c r="B8" t="s">
        <v>9</v>
      </c>
      <c r="D8">
        <v>8</v>
      </c>
      <c r="E8" t="s">
        <v>142</v>
      </c>
    </row>
    <row r="9" spans="1:5" x14ac:dyDescent="0.25">
      <c r="A9" t="s">
        <v>17</v>
      </c>
      <c r="B9" t="s">
        <v>13</v>
      </c>
      <c r="D9">
        <v>9</v>
      </c>
      <c r="E9" t="s">
        <v>143</v>
      </c>
    </row>
    <row r="10" spans="1:5" x14ac:dyDescent="0.25">
      <c r="A10" t="s">
        <v>18</v>
      </c>
      <c r="B10" t="s">
        <v>7</v>
      </c>
    </row>
    <row r="11" spans="1:5" x14ac:dyDescent="0.25">
      <c r="A11" t="s">
        <v>19</v>
      </c>
      <c r="B11" t="s">
        <v>20</v>
      </c>
    </row>
    <row r="12" spans="1:5" x14ac:dyDescent="0.25">
      <c r="A12" t="s">
        <v>21</v>
      </c>
      <c r="B12" t="s">
        <v>22</v>
      </c>
    </row>
    <row r="13" spans="1:5" x14ac:dyDescent="0.25">
      <c r="A13" t="s">
        <v>23</v>
      </c>
      <c r="B13" t="s">
        <v>23</v>
      </c>
    </row>
    <row r="14" spans="1:5" x14ac:dyDescent="0.25">
      <c r="A14" t="s">
        <v>24</v>
      </c>
      <c r="B14" t="s">
        <v>12</v>
      </c>
    </row>
    <row r="15" spans="1:5" x14ac:dyDescent="0.25">
      <c r="A15" t="s">
        <v>25</v>
      </c>
      <c r="B15" t="s">
        <v>26</v>
      </c>
    </row>
    <row r="16" spans="1:5" x14ac:dyDescent="0.25">
      <c r="A16" t="s">
        <v>27</v>
      </c>
      <c r="B16" t="s">
        <v>28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31</v>
      </c>
      <c r="B18" t="s">
        <v>32</v>
      </c>
    </row>
    <row r="19" spans="1:2" x14ac:dyDescent="0.25">
      <c r="A19" t="s">
        <v>35</v>
      </c>
      <c r="B19" t="s">
        <v>11</v>
      </c>
    </row>
    <row r="20" spans="1:2" x14ac:dyDescent="0.25">
      <c r="A20" t="s">
        <v>16</v>
      </c>
      <c r="B20" t="s">
        <v>8</v>
      </c>
    </row>
    <row r="21" spans="1:2" x14ac:dyDescent="0.25">
      <c r="A21" t="s">
        <v>44</v>
      </c>
      <c r="B21" t="s">
        <v>32</v>
      </c>
    </row>
    <row r="22" spans="1:2" x14ac:dyDescent="0.25">
      <c r="A22" t="s">
        <v>45</v>
      </c>
      <c r="B22" t="s">
        <v>17</v>
      </c>
    </row>
    <row r="23" spans="1:2" x14ac:dyDescent="0.25">
      <c r="A23" t="s">
        <v>46</v>
      </c>
      <c r="B23" t="s">
        <v>38</v>
      </c>
    </row>
    <row r="24" spans="1:2" x14ac:dyDescent="0.25">
      <c r="A24" t="s">
        <v>57</v>
      </c>
      <c r="B24" t="s">
        <v>58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31</v>
      </c>
    </row>
    <row r="29" spans="1:2" x14ac:dyDescent="0.25">
      <c r="A29" t="s">
        <v>121</v>
      </c>
      <c r="B29" t="s">
        <v>122</v>
      </c>
    </row>
    <row r="30" spans="1:2" x14ac:dyDescent="0.25">
      <c r="A30" t="s">
        <v>32</v>
      </c>
      <c r="B30" t="s">
        <v>32</v>
      </c>
    </row>
    <row r="31" spans="1:2" x14ac:dyDescent="0.25">
      <c r="A31" t="s">
        <v>123</v>
      </c>
      <c r="B31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94" t="s">
        <v>36</v>
      </c>
      <c r="B4" s="95"/>
      <c r="C4" s="95"/>
      <c r="D4" s="95"/>
      <c r="E4" s="95"/>
      <c r="F4" s="95"/>
      <c r="G4" s="95"/>
      <c r="H4" s="96"/>
      <c r="I4" s="94" t="s">
        <v>92</v>
      </c>
      <c r="J4" s="95"/>
      <c r="K4" s="95"/>
      <c r="L4" s="95"/>
      <c r="M4" s="96"/>
      <c r="N4" s="58" t="s">
        <v>93</v>
      </c>
    </row>
    <row r="5" spans="1:16" x14ac:dyDescent="0.25">
      <c r="A5" s="56" t="s">
        <v>63</v>
      </c>
      <c r="B5" s="56" t="s">
        <v>64</v>
      </c>
      <c r="C5" s="56" t="s">
        <v>59</v>
      </c>
      <c r="D5" s="56" t="s">
        <v>65</v>
      </c>
      <c r="E5" t="s">
        <v>82</v>
      </c>
      <c r="F5" t="s">
        <v>83</v>
      </c>
      <c r="G5" t="s">
        <v>84</v>
      </c>
      <c r="H5" t="s">
        <v>85</v>
      </c>
      <c r="I5" s="56" t="s">
        <v>66</v>
      </c>
      <c r="J5" s="56" t="s">
        <v>67</v>
      </c>
      <c r="K5" s="56" t="s">
        <v>68</v>
      </c>
      <c r="L5" s="56" t="s">
        <v>69</v>
      </c>
      <c r="M5" s="56" t="s">
        <v>70</v>
      </c>
      <c r="N5" s="56" t="s">
        <v>14</v>
      </c>
    </row>
    <row r="7" spans="1:16" x14ac:dyDescent="0.25">
      <c r="A7" s="51">
        <v>27</v>
      </c>
    </row>
    <row r="8" spans="1:16" x14ac:dyDescent="0.25">
      <c r="A8" s="94" t="s">
        <v>36</v>
      </c>
      <c r="B8" s="95"/>
      <c r="C8" s="95"/>
      <c r="D8" s="95"/>
      <c r="E8" s="95"/>
      <c r="F8" s="95"/>
      <c r="G8" s="95"/>
      <c r="H8" s="96"/>
      <c r="I8" s="94" t="s">
        <v>92</v>
      </c>
      <c r="J8" s="95"/>
      <c r="K8" s="95"/>
      <c r="L8" s="95"/>
      <c r="M8" s="96"/>
      <c r="N8" s="94" t="s">
        <v>93</v>
      </c>
      <c r="O8" s="96"/>
    </row>
    <row r="9" spans="1:16" x14ac:dyDescent="0.25">
      <c r="A9" s="56" t="s">
        <v>63</v>
      </c>
      <c r="B9" s="56" t="s">
        <v>64</v>
      </c>
      <c r="C9" s="56" t="s">
        <v>59</v>
      </c>
      <c r="D9" s="56" t="s">
        <v>65</v>
      </c>
      <c r="E9" t="s">
        <v>82</v>
      </c>
      <c r="F9" t="s">
        <v>83</v>
      </c>
      <c r="G9" t="s">
        <v>84</v>
      </c>
      <c r="H9" t="s">
        <v>85</v>
      </c>
      <c r="I9" s="56" t="s">
        <v>66</v>
      </c>
      <c r="J9" s="56" t="s">
        <v>67</v>
      </c>
      <c r="K9" s="56" t="s">
        <v>68</v>
      </c>
      <c r="L9" s="56" t="s">
        <v>69</v>
      </c>
      <c r="M9" s="56" t="s">
        <v>70</v>
      </c>
      <c r="N9" s="56" t="s">
        <v>14</v>
      </c>
      <c r="O9" t="s">
        <v>71</v>
      </c>
    </row>
    <row r="11" spans="1:16" x14ac:dyDescent="0.25">
      <c r="A11" s="51">
        <v>41</v>
      </c>
    </row>
    <row r="12" spans="1:16" x14ac:dyDescent="0.25">
      <c r="A12" s="94" t="s">
        <v>36</v>
      </c>
      <c r="B12" s="95"/>
      <c r="C12" s="95"/>
      <c r="D12" s="95"/>
      <c r="E12" s="95"/>
      <c r="F12" s="95"/>
      <c r="G12" s="95"/>
      <c r="H12" s="96"/>
      <c r="I12" s="94" t="s">
        <v>92</v>
      </c>
      <c r="J12" s="95"/>
      <c r="K12" s="95"/>
      <c r="L12" s="95"/>
      <c r="M12" s="96"/>
      <c r="N12" s="94" t="s">
        <v>93</v>
      </c>
      <c r="O12" s="95"/>
      <c r="P12" s="96"/>
    </row>
    <row r="13" spans="1:16" x14ac:dyDescent="0.25">
      <c r="A13" s="56" t="s">
        <v>63</v>
      </c>
      <c r="B13" s="56" t="s">
        <v>64</v>
      </c>
      <c r="C13" s="56" t="s">
        <v>59</v>
      </c>
      <c r="D13" s="56" t="s">
        <v>65</v>
      </c>
      <c r="E13" t="s">
        <v>82</v>
      </c>
      <c r="F13" t="s">
        <v>83</v>
      </c>
      <c r="G13" t="s">
        <v>84</v>
      </c>
      <c r="H13" t="s">
        <v>85</v>
      </c>
      <c r="I13" s="56" t="s">
        <v>66</v>
      </c>
      <c r="J13" s="56" t="s">
        <v>67</v>
      </c>
      <c r="K13" s="56" t="s">
        <v>68</v>
      </c>
      <c r="L13" s="56" t="s">
        <v>69</v>
      </c>
      <c r="M13" s="56" t="s">
        <v>70</v>
      </c>
      <c r="N13" s="56" t="s">
        <v>14</v>
      </c>
      <c r="O13" t="s">
        <v>71</v>
      </c>
      <c r="P13" t="s">
        <v>90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94" t="s">
        <v>101</v>
      </c>
      <c r="B4" s="95"/>
      <c r="C4" s="95"/>
      <c r="D4" s="95"/>
      <c r="E4" s="95"/>
      <c r="F4" s="95"/>
      <c r="G4" s="95"/>
      <c r="H4" s="96"/>
      <c r="I4" s="95"/>
      <c r="J4" s="95"/>
      <c r="K4" s="95"/>
      <c r="L4" s="95"/>
      <c r="M4" s="95"/>
      <c r="N4" s="95"/>
      <c r="O4" s="96"/>
      <c r="P4" s="94" t="s">
        <v>92</v>
      </c>
      <c r="Q4" s="95"/>
      <c r="R4" s="95"/>
      <c r="S4" s="96"/>
    </row>
    <row r="5" spans="1:19" ht="15.75" x14ac:dyDescent="0.25">
      <c r="A5" s="56" t="s">
        <v>63</v>
      </c>
      <c r="B5" s="59" t="s">
        <v>91</v>
      </c>
      <c r="C5" s="60" t="s">
        <v>148</v>
      </c>
      <c r="D5" s="60" t="s">
        <v>100</v>
      </c>
      <c r="E5" s="60" t="s">
        <v>86</v>
      </c>
      <c r="F5" s="60" t="s">
        <v>87</v>
      </c>
      <c r="G5" s="57" t="s">
        <v>88</v>
      </c>
      <c r="H5" s="57" t="s">
        <v>89</v>
      </c>
      <c r="I5" s="61" t="s">
        <v>64</v>
      </c>
      <c r="J5" s="60" t="s">
        <v>59</v>
      </c>
      <c r="K5" s="57" t="s">
        <v>65</v>
      </c>
      <c r="L5" s="57" t="s">
        <v>82</v>
      </c>
      <c r="M5" s="57" t="s">
        <v>83</v>
      </c>
      <c r="N5" s="57" t="s">
        <v>84</v>
      </c>
      <c r="O5" s="57" t="s">
        <v>85</v>
      </c>
      <c r="P5" s="60" t="s">
        <v>66</v>
      </c>
      <c r="Q5" s="60" t="s">
        <v>67</v>
      </c>
      <c r="R5" s="47" t="s">
        <v>70</v>
      </c>
      <c r="S5" s="47" t="s">
        <v>14</v>
      </c>
    </row>
    <row r="6" spans="1:19" x14ac:dyDescent="0.25">
      <c r="A6"/>
      <c r="B6"/>
      <c r="C6" t="s">
        <v>127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61513-EDF3-493E-B91A-36D395422CE1}">
  <sheetPr codeName="Sheet1"/>
  <dimension ref="A1:Y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5" style="11" bestFit="1" customWidth="1"/>
    <col min="3" max="3" width="14" style="11" bestFit="1" customWidth="1"/>
    <col min="4" max="4" width="20.14062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6.85546875" bestFit="1" customWidth="1"/>
    <col min="14" max="14" width="8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94" t="s">
        <v>36</v>
      </c>
      <c r="B1" s="95"/>
      <c r="C1" s="95"/>
      <c r="D1" s="95"/>
      <c r="E1" s="95"/>
      <c r="F1" s="95"/>
      <c r="G1" s="95"/>
      <c r="H1" s="96"/>
      <c r="I1" s="94" t="s">
        <v>92</v>
      </c>
      <c r="J1" s="95"/>
      <c r="K1" s="95"/>
      <c r="L1" s="95"/>
      <c r="M1" s="96"/>
      <c r="N1" s="58" t="s">
        <v>93</v>
      </c>
      <c r="O1" s="97" t="s">
        <v>169</v>
      </c>
      <c r="P1" s="98"/>
      <c r="Q1" s="98"/>
      <c r="R1" s="98"/>
      <c r="S1" s="98"/>
      <c r="T1" s="98"/>
      <c r="U1" s="98"/>
      <c r="V1" s="98"/>
      <c r="W1" s="98"/>
      <c r="X1" s="98"/>
      <c r="Y1" s="98"/>
    </row>
    <row r="2" spans="1:25" x14ac:dyDescent="0.25">
      <c r="A2" s="56" t="s">
        <v>63</v>
      </c>
      <c r="B2" s="81" t="s">
        <v>64</v>
      </c>
      <c r="C2" s="81" t="s">
        <v>59</v>
      </c>
      <c r="D2" s="81" t="s">
        <v>65</v>
      </c>
      <c r="E2" s="11" t="s">
        <v>82</v>
      </c>
      <c r="F2" s="11" t="s">
        <v>83</v>
      </c>
      <c r="G2" s="11" t="s">
        <v>84</v>
      </c>
      <c r="H2" s="11" t="s">
        <v>85</v>
      </c>
      <c r="I2" s="81" t="s">
        <v>66</v>
      </c>
      <c r="J2" s="56" t="s">
        <v>67</v>
      </c>
      <c r="K2" s="81" t="s">
        <v>68</v>
      </c>
      <c r="L2" s="56" t="s">
        <v>69</v>
      </c>
      <c r="M2" s="56" t="s">
        <v>70</v>
      </c>
      <c r="N2" s="56" t="s">
        <v>14</v>
      </c>
      <c r="O2" s="86" t="s">
        <v>63</v>
      </c>
      <c r="P2" s="86" t="s">
        <v>64</v>
      </c>
      <c r="Q2" s="86" t="s">
        <v>59</v>
      </c>
      <c r="R2" s="86" t="s">
        <v>65</v>
      </c>
      <c r="S2" s="86" t="s">
        <v>66</v>
      </c>
      <c r="T2" s="86" t="s">
        <v>67</v>
      </c>
      <c r="U2" s="86" t="s">
        <v>68</v>
      </c>
      <c r="V2" s="86" t="s">
        <v>69</v>
      </c>
      <c r="W2" s="86" t="s">
        <v>70</v>
      </c>
      <c r="X2" s="86" t="s">
        <v>14</v>
      </c>
      <c r="Y2" s="86" t="s">
        <v>170</v>
      </c>
    </row>
    <row r="3" spans="1:25" x14ac:dyDescent="0.25">
      <c r="A3">
        <v>1</v>
      </c>
      <c r="B3" s="11" t="s">
        <v>182</v>
      </c>
      <c r="C3" t="s">
        <v>177</v>
      </c>
      <c r="D3" t="s">
        <v>174</v>
      </c>
      <c r="E3" t="s">
        <v>39</v>
      </c>
      <c r="F3" t="s">
        <v>39</v>
      </c>
      <c r="G3" t="s">
        <v>39</v>
      </c>
      <c r="H3" t="s">
        <v>39</v>
      </c>
      <c r="I3" t="s">
        <v>9</v>
      </c>
      <c r="J3">
        <v>1480</v>
      </c>
      <c r="K3" t="s">
        <v>13</v>
      </c>
      <c r="L3">
        <v>1</v>
      </c>
      <c r="M3">
        <v>85.54</v>
      </c>
      <c r="N3">
        <v>1166.05</v>
      </c>
      <c r="O3" t="str">
        <f>IF(OR(A3="",A3&lt;1),FALSE,IF(ISNUMBER(A3), IF(INT(A3) = A3, "-", FALSE), FALSE))</f>
        <v>-</v>
      </c>
      <c r="P3" t="str">
        <f>IF(B3="",FALSE,"-")</f>
        <v>-</v>
      </c>
      <c r="Q3" t="str">
        <f>IF(C3="",FALSE,"-")</f>
        <v>-</v>
      </c>
      <c r="R3" t="str">
        <f>IF(D3="",FALSE,"-")</f>
        <v>-</v>
      </c>
      <c r="S3" t="str">
        <f>IF(_xlfn.IFNA(VLOOKUP(I3,Set_Ref!$B$6:$B$1048576,1,FALSE),"")&lt;&gt;"","-",FALSE)</f>
        <v>-</v>
      </c>
      <c r="T3" t="str">
        <f>IF(OR(J3="",J3&lt;1),FALSE,IF(ISNUMBER(J3),"-",FALSE))</f>
        <v>-</v>
      </c>
      <c r="U3" t="str">
        <f>IF(ISTEXT(K3),  "-",FALSE)</f>
        <v>-</v>
      </c>
      <c r="V3" t="str">
        <f>IF(OR(L3="",L3&lt;1),FALSE,IF(ISNUMBER(L3),"-",FALSE))</f>
        <v>-</v>
      </c>
      <c r="W3" t="str">
        <f>IF(OR(M3="",M3&lt;0),FALSE,IF(ISNUMBER(M3),"-",FALSE))</f>
        <v>-</v>
      </c>
      <c r="X3" t="str">
        <f>IF(OR(N3="",N3&lt;1),FALSE,IF(ISNUMBER(N3),"-",FALSE))</f>
        <v>-</v>
      </c>
      <c r="Y3" t="b">
        <f>IF(COUNTIF($O$3:$X$3, "FALSE") &gt; 0, FALSE, TRUE)</f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E18C-7741-4CB2-8AD7-D0B256E8F50B}">
  <sheetPr codeName="Sheet2"/>
  <dimension ref="A1:AE112"/>
  <sheetViews>
    <sheetView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P3" sqref="P3:S3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33.140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94" t="s">
        <v>101</v>
      </c>
      <c r="B1" s="95"/>
      <c r="C1" s="95"/>
      <c r="D1" s="95"/>
      <c r="E1" s="95"/>
      <c r="F1" s="95"/>
      <c r="G1" s="95"/>
      <c r="H1" s="96"/>
      <c r="I1" s="99"/>
      <c r="J1" s="99"/>
      <c r="K1" s="99"/>
      <c r="L1" s="99"/>
      <c r="M1" s="99"/>
      <c r="N1" s="99"/>
      <c r="O1" s="100"/>
      <c r="P1" s="94" t="s">
        <v>92</v>
      </c>
      <c r="Q1" s="95"/>
      <c r="R1" s="95"/>
      <c r="S1" s="96"/>
      <c r="T1" s="97" t="s">
        <v>169</v>
      </c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</row>
    <row r="2" spans="1:31" ht="15.75" x14ac:dyDescent="0.25">
      <c r="A2" s="56" t="s">
        <v>63</v>
      </c>
      <c r="B2" s="59" t="s">
        <v>91</v>
      </c>
      <c r="C2" s="82" t="s">
        <v>148</v>
      </c>
      <c r="D2" s="82" t="s">
        <v>100</v>
      </c>
      <c r="E2" s="82" t="s">
        <v>86</v>
      </c>
      <c r="F2" s="82" t="s">
        <v>87</v>
      </c>
      <c r="G2" s="83" t="s">
        <v>88</v>
      </c>
      <c r="H2" s="83" t="s">
        <v>89</v>
      </c>
      <c r="I2" s="84" t="s">
        <v>64</v>
      </c>
      <c r="J2" s="82" t="s">
        <v>59</v>
      </c>
      <c r="K2" s="83" t="s">
        <v>65</v>
      </c>
      <c r="L2" s="83" t="s">
        <v>82</v>
      </c>
      <c r="M2" s="83" t="s">
        <v>83</v>
      </c>
      <c r="N2" s="83" t="s">
        <v>84</v>
      </c>
      <c r="O2" s="83" t="s">
        <v>85</v>
      </c>
      <c r="P2" s="82" t="s">
        <v>66</v>
      </c>
      <c r="Q2" s="60" t="s">
        <v>67</v>
      </c>
      <c r="R2" s="47" t="s">
        <v>70</v>
      </c>
      <c r="S2" s="47" t="s">
        <v>14</v>
      </c>
      <c r="T2" s="86" t="s">
        <v>63</v>
      </c>
      <c r="U2" s="86" t="s">
        <v>91</v>
      </c>
      <c r="V2" s="86" t="s">
        <v>48</v>
      </c>
      <c r="W2" s="86" t="s">
        <v>100</v>
      </c>
      <c r="X2" s="86" t="s">
        <v>86</v>
      </c>
      <c r="Y2" s="86" t="s">
        <v>87</v>
      </c>
      <c r="Z2" s="86" t="s">
        <v>64</v>
      </c>
      <c r="AA2" s="86" t="s">
        <v>59</v>
      </c>
      <c r="AB2" s="86" t="s">
        <v>66</v>
      </c>
      <c r="AC2" s="86" t="s">
        <v>67</v>
      </c>
      <c r="AD2" s="86" t="s">
        <v>171</v>
      </c>
      <c r="AE2" s="86" t="s">
        <v>170</v>
      </c>
    </row>
    <row r="3" spans="1:31" x14ac:dyDescent="0.25">
      <c r="A3">
        <v>1</v>
      </c>
      <c r="B3">
        <v>1</v>
      </c>
      <c r="C3">
        <v>261</v>
      </c>
      <c r="D3" s="55" t="s">
        <v>149</v>
      </c>
      <c r="E3" t="s">
        <v>178</v>
      </c>
      <c r="F3" s="87" t="s">
        <v>175</v>
      </c>
      <c r="G3" s="11" t="s">
        <v>180</v>
      </c>
      <c r="H3">
        <v>1</v>
      </c>
      <c r="I3" s="11" t="s">
        <v>181</v>
      </c>
      <c r="J3" t="s">
        <v>179</v>
      </c>
      <c r="K3" t="s">
        <v>176</v>
      </c>
      <c r="L3" s="11" t="s">
        <v>39</v>
      </c>
      <c r="M3" s="11" t="s">
        <v>39</v>
      </c>
      <c r="N3" s="11" t="s">
        <v>39</v>
      </c>
      <c r="O3" s="11" t="s">
        <v>39</v>
      </c>
      <c r="P3" t="s">
        <v>9</v>
      </c>
      <c r="Q3">
        <v>2000</v>
      </c>
      <c r="R3">
        <v>0</v>
      </c>
      <c r="S3">
        <v>0</v>
      </c>
      <c r="T3" t="str">
        <f>IF(OR(A3="",A3&lt;1),FALSE,IF(ISNUMBER(A3), IF(INT(A3) = A3, "-", FALSE), FALSE))</f>
        <v>-</v>
      </c>
      <c r="U3" t="str">
        <f>IF(OR(B3="",A3&lt;1),FALSE,IF(ISNUMBER(A3), IF(INT(A3) = A3, "-", FALSE), FALSE))</f>
        <v>-</v>
      </c>
      <c r="V3" t="str">
        <f>IF(OR(C3="",C3="PilihSalasatu"),FALSE,"-")</f>
        <v>-</v>
      </c>
      <c r="W3" t="str">
        <f>IF(D3="",FALSE,"-")</f>
        <v>-</v>
      </c>
      <c r="X3" t="str">
        <f>IF(E3="",FALSE,"-")</f>
        <v>-</v>
      </c>
      <c r="Y3" t="str">
        <f>IF(F3="",FALSE,"-")</f>
        <v>-</v>
      </c>
      <c r="Z3" t="str">
        <f>IF(I3="",FALSE,"-")</f>
        <v>-</v>
      </c>
      <c r="AA3" t="str">
        <f>IF(J3="",FALSE,"-")</f>
        <v>-</v>
      </c>
      <c r="AB3" t="str">
        <f>IF(_xlfn.IFNA(VLOOKUP(P3,Set_Ref!$B$6:$B$1048576,1,FALSE),"")&lt;&gt;"","-",FALSE)</f>
        <v>-</v>
      </c>
      <c r="AC3" t="str">
        <f>IF(OR(Q3="",Q3&lt;0),FALSE,IF(ISNUMBER(Q3),"-",FALSE))</f>
        <v>-</v>
      </c>
      <c r="AD3" t="str">
        <f>IF(OR(G3="",H3="",I3="",K3=""),FALSE,"-")</f>
        <v>-</v>
      </c>
      <c r="AE3" t="b">
        <f>IF(COUNTIF(T3:AD3, "FALSE") &gt; 0, FALSE, TRUE)</f>
        <v>1</v>
      </c>
    </row>
    <row r="4" spans="1:31" x14ac:dyDescent="0.25">
      <c r="E4"/>
      <c r="F4"/>
      <c r="J4"/>
      <c r="K4"/>
      <c r="P4"/>
    </row>
    <row r="5" spans="1:31" x14ac:dyDescent="0.25">
      <c r="E5"/>
      <c r="F5"/>
      <c r="J5"/>
      <c r="K5"/>
      <c r="P5"/>
    </row>
    <row r="6" spans="1:31" x14ac:dyDescent="0.25">
      <c r="E6"/>
      <c r="F6"/>
      <c r="J6"/>
      <c r="K6"/>
      <c r="P6"/>
    </row>
    <row r="7" spans="1:31" x14ac:dyDescent="0.25">
      <c r="E7"/>
      <c r="F7"/>
      <c r="J7"/>
      <c r="K7"/>
      <c r="P7"/>
    </row>
    <row r="8" spans="1:31" x14ac:dyDescent="0.25">
      <c r="E8"/>
      <c r="F8"/>
      <c r="J8"/>
      <c r="K8"/>
      <c r="P8"/>
    </row>
    <row r="9" spans="1:31" x14ac:dyDescent="0.25">
      <c r="E9"/>
      <c r="F9"/>
      <c r="J9"/>
      <c r="K9"/>
      <c r="P9"/>
    </row>
    <row r="10" spans="1:31" x14ac:dyDescent="0.25">
      <c r="E10"/>
      <c r="F10"/>
      <c r="J10"/>
      <c r="K10"/>
      <c r="P10"/>
    </row>
    <row r="11" spans="1:31" x14ac:dyDescent="0.25">
      <c r="E11"/>
      <c r="F11"/>
      <c r="J11"/>
      <c r="K11"/>
      <c r="P11"/>
    </row>
    <row r="12" spans="1:31" x14ac:dyDescent="0.25">
      <c r="E12"/>
      <c r="F12"/>
      <c r="J12"/>
      <c r="K12"/>
      <c r="P12"/>
    </row>
    <row r="13" spans="1:31" x14ac:dyDescent="0.25">
      <c r="E13"/>
      <c r="F13"/>
      <c r="J13"/>
      <c r="K13"/>
      <c r="P13"/>
    </row>
    <row r="14" spans="1:31" x14ac:dyDescent="0.25">
      <c r="E14"/>
      <c r="F14"/>
      <c r="J14"/>
      <c r="K14"/>
      <c r="P14"/>
    </row>
    <row r="15" spans="1:31" x14ac:dyDescent="0.25">
      <c r="E15"/>
      <c r="F15"/>
      <c r="J15"/>
      <c r="K15"/>
      <c r="P15"/>
    </row>
    <row r="16" spans="1:31" x14ac:dyDescent="0.25">
      <c r="E16"/>
      <c r="F16"/>
      <c r="J16"/>
      <c r="K16"/>
      <c r="P16"/>
    </row>
    <row r="17" spans="5:16" x14ac:dyDescent="0.25">
      <c r="E17"/>
      <c r="F17"/>
      <c r="J17"/>
      <c r="K17"/>
      <c r="P17"/>
    </row>
    <row r="18" spans="5:16" x14ac:dyDescent="0.25">
      <c r="E18"/>
      <c r="F18"/>
      <c r="J18"/>
      <c r="K18"/>
      <c r="P18"/>
    </row>
    <row r="19" spans="5:16" x14ac:dyDescent="0.25">
      <c r="E19"/>
      <c r="F19"/>
      <c r="J19"/>
      <c r="K19"/>
      <c r="P19"/>
    </row>
    <row r="20" spans="5:16" x14ac:dyDescent="0.25">
      <c r="E20"/>
      <c r="F20"/>
      <c r="J20"/>
      <c r="K20"/>
      <c r="P20"/>
    </row>
    <row r="21" spans="5:16" x14ac:dyDescent="0.25">
      <c r="E21"/>
      <c r="F21"/>
      <c r="J21"/>
      <c r="K21"/>
      <c r="P21"/>
    </row>
    <row r="22" spans="5:16" x14ac:dyDescent="0.25">
      <c r="E22"/>
      <c r="F22"/>
      <c r="J22"/>
      <c r="K22"/>
      <c r="P22"/>
    </row>
    <row r="23" spans="5:16" x14ac:dyDescent="0.25">
      <c r="E23"/>
      <c r="F23"/>
      <c r="J23"/>
      <c r="K23"/>
      <c r="P23"/>
    </row>
    <row r="24" spans="5:16" x14ac:dyDescent="0.25">
      <c r="E24"/>
      <c r="F24"/>
      <c r="J24"/>
      <c r="K24"/>
      <c r="P24"/>
    </row>
    <row r="25" spans="5:16" x14ac:dyDescent="0.25">
      <c r="E25"/>
      <c r="F25"/>
      <c r="J25"/>
      <c r="K25"/>
      <c r="P25"/>
    </row>
    <row r="26" spans="5:16" x14ac:dyDescent="0.25">
      <c r="E26"/>
      <c r="F26"/>
      <c r="J26"/>
      <c r="K26"/>
      <c r="P26"/>
    </row>
    <row r="27" spans="5:16" x14ac:dyDescent="0.25">
      <c r="E27"/>
      <c r="F27"/>
      <c r="J27"/>
      <c r="K27"/>
      <c r="P27"/>
    </row>
    <row r="28" spans="5:16" x14ac:dyDescent="0.25">
      <c r="E28"/>
      <c r="F28"/>
      <c r="J28"/>
      <c r="K28"/>
      <c r="P28"/>
    </row>
    <row r="29" spans="5:16" x14ac:dyDescent="0.25">
      <c r="E29"/>
      <c r="F29"/>
      <c r="J29"/>
      <c r="K29"/>
      <c r="P29"/>
    </row>
    <row r="30" spans="5:16" x14ac:dyDescent="0.25">
      <c r="E30"/>
      <c r="F30"/>
      <c r="J30"/>
      <c r="K30"/>
      <c r="P30"/>
    </row>
    <row r="31" spans="5:16" x14ac:dyDescent="0.25">
      <c r="E31"/>
      <c r="F31"/>
      <c r="J31"/>
      <c r="K31"/>
      <c r="P31"/>
    </row>
    <row r="32" spans="5:16" x14ac:dyDescent="0.25">
      <c r="E32"/>
      <c r="F32"/>
      <c r="J32"/>
      <c r="K32"/>
      <c r="P32"/>
    </row>
    <row r="33" spans="5:16" x14ac:dyDescent="0.25">
      <c r="E33"/>
      <c r="F33"/>
      <c r="J33"/>
      <c r="K33"/>
      <c r="P33"/>
    </row>
    <row r="34" spans="5:16" x14ac:dyDescent="0.25">
      <c r="E34"/>
      <c r="F34"/>
      <c r="J34"/>
      <c r="K34"/>
      <c r="P34"/>
    </row>
    <row r="35" spans="5:16" x14ac:dyDescent="0.25">
      <c r="E35"/>
      <c r="F35"/>
      <c r="J35"/>
      <c r="K35"/>
      <c r="P35"/>
    </row>
    <row r="36" spans="5:16" x14ac:dyDescent="0.25">
      <c r="E36"/>
      <c r="F36"/>
      <c r="J36"/>
      <c r="K36"/>
      <c r="P36"/>
    </row>
    <row r="37" spans="5:16" x14ac:dyDescent="0.25">
      <c r="E37"/>
      <c r="F37"/>
      <c r="J37"/>
      <c r="K37"/>
      <c r="P37"/>
    </row>
    <row r="38" spans="5:16" x14ac:dyDescent="0.25">
      <c r="E38"/>
      <c r="F38"/>
      <c r="J38"/>
      <c r="K38"/>
      <c r="P38"/>
    </row>
    <row r="39" spans="5:16" x14ac:dyDescent="0.25">
      <c r="E39"/>
      <c r="F39"/>
      <c r="J39"/>
      <c r="K39"/>
      <c r="P39"/>
    </row>
    <row r="40" spans="5:16" x14ac:dyDescent="0.25">
      <c r="E40"/>
      <c r="F40"/>
      <c r="J40"/>
      <c r="K40"/>
      <c r="P40"/>
    </row>
    <row r="41" spans="5:16" x14ac:dyDescent="0.25">
      <c r="E41"/>
      <c r="F41"/>
      <c r="J41"/>
      <c r="K41"/>
      <c r="P41"/>
    </row>
    <row r="42" spans="5:16" x14ac:dyDescent="0.25">
      <c r="E42"/>
      <c r="F42"/>
      <c r="J42"/>
      <c r="K42"/>
      <c r="P42"/>
    </row>
    <row r="43" spans="5:16" x14ac:dyDescent="0.25">
      <c r="E43"/>
      <c r="F43"/>
      <c r="J43"/>
      <c r="K43"/>
      <c r="P43"/>
    </row>
    <row r="44" spans="5:16" x14ac:dyDescent="0.25">
      <c r="E44"/>
      <c r="F44"/>
      <c r="J44"/>
      <c r="K44"/>
      <c r="P44"/>
    </row>
    <row r="45" spans="5:16" x14ac:dyDescent="0.25">
      <c r="E45"/>
      <c r="F45"/>
      <c r="J45"/>
      <c r="K45"/>
      <c r="P45"/>
    </row>
    <row r="46" spans="5:16" x14ac:dyDescent="0.25">
      <c r="E46"/>
      <c r="F46"/>
      <c r="J46"/>
      <c r="K46"/>
      <c r="P46"/>
    </row>
    <row r="47" spans="5:16" x14ac:dyDescent="0.25">
      <c r="E47"/>
      <c r="F47"/>
      <c r="J47"/>
      <c r="K47"/>
      <c r="P47"/>
    </row>
    <row r="48" spans="5:16" x14ac:dyDescent="0.25">
      <c r="E48"/>
      <c r="F48"/>
      <c r="J48"/>
      <c r="K48"/>
      <c r="P48"/>
    </row>
    <row r="49" spans="5:16" x14ac:dyDescent="0.25">
      <c r="E49"/>
      <c r="F49"/>
      <c r="J49"/>
      <c r="K49"/>
      <c r="P49"/>
    </row>
    <row r="50" spans="5:16" x14ac:dyDescent="0.25">
      <c r="E50"/>
      <c r="F50"/>
      <c r="J50"/>
      <c r="K50"/>
      <c r="P50"/>
    </row>
    <row r="51" spans="5:16" x14ac:dyDescent="0.25">
      <c r="E51"/>
      <c r="F51"/>
      <c r="J51"/>
      <c r="K51"/>
      <c r="P51"/>
    </row>
    <row r="52" spans="5:16" x14ac:dyDescent="0.25">
      <c r="E52"/>
      <c r="F52"/>
      <c r="J52"/>
      <c r="K52"/>
      <c r="P52"/>
    </row>
    <row r="53" spans="5:16" x14ac:dyDescent="0.25">
      <c r="E53"/>
      <c r="F53"/>
      <c r="J53"/>
      <c r="K53"/>
      <c r="P53"/>
    </row>
    <row r="54" spans="5:16" x14ac:dyDescent="0.25">
      <c r="E54"/>
      <c r="F54"/>
      <c r="J54"/>
      <c r="K54"/>
      <c r="P54"/>
    </row>
    <row r="55" spans="5:16" x14ac:dyDescent="0.25">
      <c r="E55"/>
      <c r="F55"/>
      <c r="J55"/>
      <c r="K55"/>
      <c r="P55"/>
    </row>
    <row r="56" spans="5:16" x14ac:dyDescent="0.25">
      <c r="E56"/>
      <c r="F56"/>
      <c r="J56"/>
      <c r="K56"/>
      <c r="P56"/>
    </row>
    <row r="57" spans="5:16" x14ac:dyDescent="0.25">
      <c r="E57"/>
      <c r="F57"/>
      <c r="J57"/>
      <c r="K57"/>
      <c r="P57"/>
    </row>
    <row r="58" spans="5:16" x14ac:dyDescent="0.25">
      <c r="E58"/>
      <c r="F58"/>
      <c r="J58"/>
      <c r="K58"/>
      <c r="P58"/>
    </row>
    <row r="59" spans="5:16" x14ac:dyDescent="0.25">
      <c r="E59"/>
      <c r="F59"/>
      <c r="J59"/>
      <c r="K59"/>
      <c r="P59"/>
    </row>
    <row r="60" spans="5:16" x14ac:dyDescent="0.25">
      <c r="E60"/>
      <c r="F60"/>
      <c r="J60"/>
      <c r="K60"/>
      <c r="P60"/>
    </row>
    <row r="61" spans="5:16" x14ac:dyDescent="0.25">
      <c r="E61"/>
      <c r="F61"/>
      <c r="J61"/>
      <c r="K61"/>
      <c r="P61"/>
    </row>
    <row r="62" spans="5:16" x14ac:dyDescent="0.25">
      <c r="E62"/>
      <c r="F62"/>
      <c r="J62"/>
      <c r="K62"/>
      <c r="P62"/>
    </row>
    <row r="63" spans="5:16" x14ac:dyDescent="0.25">
      <c r="E63"/>
      <c r="F63"/>
      <c r="J63"/>
      <c r="K63"/>
      <c r="P63"/>
    </row>
    <row r="64" spans="5:16" x14ac:dyDescent="0.25">
      <c r="E64"/>
      <c r="F64"/>
      <c r="J64"/>
      <c r="K64"/>
      <c r="P64"/>
    </row>
    <row r="65" spans="5:16" x14ac:dyDescent="0.25">
      <c r="E65"/>
      <c r="F65"/>
      <c r="J65"/>
      <c r="K65"/>
      <c r="P65"/>
    </row>
    <row r="66" spans="5:16" x14ac:dyDescent="0.25">
      <c r="E66"/>
      <c r="F66"/>
      <c r="J66"/>
      <c r="K66"/>
      <c r="P66"/>
    </row>
    <row r="67" spans="5:16" x14ac:dyDescent="0.25">
      <c r="E67"/>
      <c r="F67"/>
      <c r="J67"/>
      <c r="K67"/>
      <c r="P67"/>
    </row>
    <row r="68" spans="5:16" x14ac:dyDescent="0.25">
      <c r="E68"/>
      <c r="F68"/>
      <c r="J68"/>
      <c r="K68"/>
      <c r="P68"/>
    </row>
    <row r="69" spans="5:16" x14ac:dyDescent="0.25">
      <c r="E69"/>
      <c r="F69"/>
      <c r="J69"/>
      <c r="K69"/>
      <c r="P69"/>
    </row>
    <row r="70" spans="5:16" x14ac:dyDescent="0.25">
      <c r="E70"/>
      <c r="F70"/>
      <c r="J70"/>
      <c r="K70"/>
      <c r="P70"/>
    </row>
    <row r="71" spans="5:16" x14ac:dyDescent="0.25">
      <c r="E71"/>
      <c r="F71"/>
      <c r="J71"/>
      <c r="K71"/>
      <c r="P71"/>
    </row>
    <row r="72" spans="5:16" x14ac:dyDescent="0.25">
      <c r="E72"/>
      <c r="F72"/>
      <c r="J72"/>
      <c r="K72"/>
      <c r="P72"/>
    </row>
    <row r="73" spans="5:16" x14ac:dyDescent="0.25">
      <c r="E73"/>
      <c r="F73"/>
      <c r="J73"/>
      <c r="K73"/>
      <c r="P73"/>
    </row>
    <row r="74" spans="5:16" x14ac:dyDescent="0.25">
      <c r="E74"/>
      <c r="F74"/>
      <c r="J74"/>
      <c r="K74"/>
      <c r="P74"/>
    </row>
    <row r="75" spans="5:16" x14ac:dyDescent="0.25">
      <c r="E75"/>
      <c r="F75"/>
      <c r="J75"/>
      <c r="K75"/>
      <c r="P75"/>
    </row>
    <row r="76" spans="5:16" x14ac:dyDescent="0.25">
      <c r="E76"/>
      <c r="F76"/>
      <c r="J76"/>
      <c r="K76"/>
      <c r="P76"/>
    </row>
    <row r="77" spans="5:16" x14ac:dyDescent="0.25">
      <c r="E77"/>
      <c r="F77"/>
      <c r="J77"/>
      <c r="K77"/>
      <c r="P77"/>
    </row>
    <row r="78" spans="5:16" x14ac:dyDescent="0.25">
      <c r="E78"/>
      <c r="F78"/>
      <c r="J78"/>
      <c r="K78"/>
      <c r="P78"/>
    </row>
    <row r="79" spans="5:16" x14ac:dyDescent="0.25">
      <c r="E79"/>
      <c r="F79"/>
      <c r="J79"/>
      <c r="K79"/>
      <c r="P79"/>
    </row>
    <row r="80" spans="5:16" x14ac:dyDescent="0.25">
      <c r="E80"/>
      <c r="F80"/>
      <c r="J80"/>
      <c r="K80"/>
      <c r="P80"/>
    </row>
    <row r="81" spans="5:16" x14ac:dyDescent="0.25">
      <c r="E81"/>
      <c r="F81"/>
      <c r="J81"/>
      <c r="K81"/>
      <c r="P81"/>
    </row>
    <row r="82" spans="5:16" x14ac:dyDescent="0.25">
      <c r="E82"/>
      <c r="F82"/>
      <c r="J82"/>
      <c r="K82"/>
      <c r="P82"/>
    </row>
    <row r="83" spans="5:16" x14ac:dyDescent="0.25">
      <c r="E83"/>
      <c r="F83"/>
      <c r="J83"/>
      <c r="K83"/>
      <c r="P83"/>
    </row>
    <row r="84" spans="5:16" x14ac:dyDescent="0.25">
      <c r="E84"/>
      <c r="F84"/>
      <c r="J84"/>
      <c r="K84"/>
      <c r="P84"/>
    </row>
    <row r="85" spans="5:16" x14ac:dyDescent="0.25">
      <c r="E85"/>
      <c r="F85"/>
      <c r="J85"/>
      <c r="K85"/>
      <c r="P85"/>
    </row>
    <row r="86" spans="5:16" x14ac:dyDescent="0.25">
      <c r="E86"/>
      <c r="F86"/>
      <c r="J86"/>
      <c r="K86"/>
      <c r="P86"/>
    </row>
    <row r="87" spans="5:16" x14ac:dyDescent="0.25">
      <c r="E87"/>
      <c r="F87"/>
      <c r="J87"/>
      <c r="K87"/>
      <c r="P87"/>
    </row>
    <row r="88" spans="5:16" x14ac:dyDescent="0.25">
      <c r="E88"/>
      <c r="F88"/>
      <c r="J88"/>
      <c r="K88"/>
      <c r="P88"/>
    </row>
    <row r="89" spans="5:16" x14ac:dyDescent="0.25">
      <c r="E89"/>
      <c r="F89"/>
      <c r="J89"/>
      <c r="K89"/>
      <c r="P89"/>
    </row>
    <row r="90" spans="5:16" x14ac:dyDescent="0.25">
      <c r="E90"/>
      <c r="F90"/>
      <c r="J90"/>
      <c r="K90"/>
      <c r="P90"/>
    </row>
    <row r="91" spans="5:16" x14ac:dyDescent="0.25">
      <c r="E91"/>
      <c r="F91"/>
      <c r="J91"/>
      <c r="K91"/>
      <c r="P91"/>
    </row>
    <row r="92" spans="5:16" x14ac:dyDescent="0.25">
      <c r="E92"/>
      <c r="F92"/>
      <c r="J92"/>
      <c r="K92"/>
      <c r="P92"/>
    </row>
    <row r="93" spans="5:16" x14ac:dyDescent="0.25">
      <c r="E93"/>
      <c r="F93"/>
      <c r="J93"/>
      <c r="K93"/>
      <c r="P93"/>
    </row>
    <row r="94" spans="5:16" x14ac:dyDescent="0.25">
      <c r="E94"/>
      <c r="F94"/>
      <c r="J94"/>
      <c r="K94"/>
      <c r="P94"/>
    </row>
    <row r="95" spans="5:16" x14ac:dyDescent="0.25">
      <c r="E95"/>
      <c r="F95"/>
      <c r="J95"/>
      <c r="K95"/>
      <c r="P95"/>
    </row>
    <row r="96" spans="5:16" x14ac:dyDescent="0.25">
      <c r="E96"/>
      <c r="F96"/>
      <c r="J96"/>
      <c r="K96"/>
      <c r="P96"/>
    </row>
    <row r="97" spans="5:16" x14ac:dyDescent="0.25">
      <c r="E97"/>
      <c r="F97"/>
      <c r="J97"/>
      <c r="K97"/>
      <c r="P97"/>
    </row>
    <row r="98" spans="5:16" x14ac:dyDescent="0.25">
      <c r="E98"/>
      <c r="F98"/>
      <c r="J98"/>
      <c r="K98"/>
      <c r="P98"/>
    </row>
    <row r="99" spans="5:16" x14ac:dyDescent="0.25">
      <c r="E99"/>
      <c r="F99"/>
      <c r="J99"/>
      <c r="K99"/>
      <c r="P99"/>
    </row>
    <row r="100" spans="5:16" x14ac:dyDescent="0.25">
      <c r="E100"/>
      <c r="F100"/>
      <c r="J100"/>
      <c r="K100"/>
      <c r="P100"/>
    </row>
    <row r="101" spans="5:16" x14ac:dyDescent="0.25">
      <c r="E101"/>
      <c r="F101"/>
      <c r="J101"/>
      <c r="K101"/>
      <c r="P101"/>
    </row>
    <row r="102" spans="5:16" x14ac:dyDescent="0.25">
      <c r="E102"/>
      <c r="F102"/>
      <c r="J102"/>
      <c r="K102"/>
      <c r="P102"/>
    </row>
    <row r="103" spans="5:16" x14ac:dyDescent="0.25">
      <c r="E103"/>
      <c r="F103"/>
      <c r="J103"/>
      <c r="K103"/>
      <c r="P103"/>
    </row>
    <row r="104" spans="5:16" x14ac:dyDescent="0.25">
      <c r="E104"/>
      <c r="F104"/>
      <c r="J104"/>
      <c r="K104"/>
      <c r="P104"/>
    </row>
    <row r="105" spans="5:16" x14ac:dyDescent="0.25">
      <c r="E105"/>
      <c r="F105"/>
      <c r="J105"/>
      <c r="K105"/>
      <c r="P105"/>
    </row>
    <row r="106" spans="5:16" x14ac:dyDescent="0.25">
      <c r="E106"/>
      <c r="F106"/>
      <c r="J106"/>
      <c r="K106"/>
      <c r="P106"/>
    </row>
    <row r="107" spans="5:16" x14ac:dyDescent="0.25">
      <c r="E107"/>
      <c r="F107"/>
      <c r="J107"/>
      <c r="K107"/>
      <c r="P107"/>
    </row>
    <row r="108" spans="5:16" x14ac:dyDescent="0.25">
      <c r="E108"/>
      <c r="F108"/>
      <c r="J108"/>
      <c r="K108"/>
      <c r="P108"/>
    </row>
    <row r="109" spans="5:16" x14ac:dyDescent="0.25">
      <c r="E109"/>
      <c r="F109"/>
      <c r="J109"/>
      <c r="K109"/>
      <c r="P109"/>
    </row>
    <row r="110" spans="5:16" x14ac:dyDescent="0.25">
      <c r="E110"/>
      <c r="F110"/>
      <c r="J110"/>
      <c r="K110"/>
      <c r="P110"/>
    </row>
    <row r="111" spans="5:16" x14ac:dyDescent="0.25">
      <c r="E111"/>
      <c r="F111"/>
      <c r="J111"/>
      <c r="K111"/>
      <c r="P111"/>
    </row>
    <row r="112" spans="5:16" x14ac:dyDescent="0.25">
      <c r="E112"/>
      <c r="F112"/>
      <c r="J112"/>
      <c r="K112"/>
      <c r="P112"/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62E74F29-13AD-47C1-9695-2ABAC6CB3556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Summary</vt:lpstr>
      <vt:lpstr>Set_Def</vt:lpstr>
      <vt:lpstr>Set_Cach</vt:lpstr>
      <vt:lpstr>Set_Ref</vt:lpstr>
      <vt:lpstr>Field_Barang</vt:lpstr>
      <vt:lpstr>Field_BahanBaku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suci ratna dewi</cp:lastModifiedBy>
  <cp:lastPrinted>2023-07-14T03:21:57Z</cp:lastPrinted>
  <dcterms:created xsi:type="dcterms:W3CDTF">2023-04-11T02:47:24Z</dcterms:created>
  <dcterms:modified xsi:type="dcterms:W3CDTF">2025-02-25T02:21:43Z</dcterms:modified>
</cp:coreProperties>
</file>