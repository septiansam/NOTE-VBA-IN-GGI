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MAKRO BOM\DEVELOP\NEW\"/>
    </mc:Choice>
  </mc:AlternateContent>
  <xr:revisionPtr revIDLastSave="0" documentId="13_ncr:1_{BD4F3532-917A-4EC8-B1B1-731F58297EE1}" xr6:coauthVersionLast="47" xr6:coauthVersionMax="47" xr10:uidLastSave="{00000000-0000-0000-0000-000000000000}"/>
  <bookViews>
    <workbookView xWindow="-4890" yWindow="1725" windowWidth="10335" windowHeight="10230" firstSheet="2" activeTab="2" xr2:uid="{00000000-000D-0000-FFFF-FFFF00000000}"/>
  </bookViews>
  <sheets>
    <sheet name="MASTER" sheetId="3" state="hidden" r:id="rId1"/>
    <sheet name="TOMBOL" sheetId="4" r:id="rId2"/>
    <sheet name="RPA" sheetId="1" r:id="rId3"/>
    <sheet name="25Oct23" sheetId="11" r:id="rId4"/>
    <sheet name="30Oct23" sheetId="13" r:id="rId5"/>
    <sheet name="22Jan24" sheetId="14" r:id="rId6"/>
    <sheet name="23Jan24" sheetId="15" r:id="rId7"/>
    <sheet name="24Jan24" sheetId="16" r:id="rId8"/>
    <sheet name="25Jan241" sheetId="17" r:id="rId9"/>
    <sheet name="25Jan24" sheetId="18" r:id="rId10"/>
    <sheet name="26Jan24" sheetId="19" r:id="rId11"/>
    <sheet name="29Jan24" sheetId="20" r:id="rId12"/>
    <sheet name="30Jan24" sheetId="21" r:id="rId13"/>
    <sheet name="31Jan24" sheetId="22" r:id="rId14"/>
    <sheet name="01Feb24" sheetId="23" r:id="rId15"/>
    <sheet name="02Feb24" sheetId="24" r:id="rId16"/>
    <sheet name="06Feb24" sheetId="25" r:id="rId17"/>
    <sheet name="07Feb24" sheetId="26" r:id="rId18"/>
    <sheet name="12Feb24" sheetId="27" r:id="rId19"/>
    <sheet name="15Feb24" sheetId="28" r:id="rId20"/>
    <sheet name="16Feb24" sheetId="29" r:id="rId21"/>
    <sheet name="20Feb24" sheetId="30" r:id="rId22"/>
    <sheet name="21Feb24" sheetId="31" r:id="rId23"/>
    <sheet name="26Feb24" sheetId="32" r:id="rId24"/>
    <sheet name="28Feb24" sheetId="33" r:id="rId25"/>
    <sheet name="01Mar24" sheetId="34" r:id="rId26"/>
    <sheet name="04Mar24" sheetId="35" r:id="rId27"/>
    <sheet name="06Mar24" sheetId="36" r:id="rId28"/>
    <sheet name="13Mar24" sheetId="37" r:id="rId29"/>
    <sheet name="14Mar24" sheetId="38" r:id="rId30"/>
    <sheet name="18Mar24" sheetId="39" r:id="rId31"/>
    <sheet name="20Mar24" sheetId="40" r:id="rId32"/>
    <sheet name="02May24" sheetId="41" r:id="rId33"/>
    <sheet name="07May24" sheetId="42" r:id="rId34"/>
    <sheet name="08May24" sheetId="43" r:id="rId35"/>
  </sheets>
  <externalReferences>
    <externalReference r:id="rId36"/>
    <externalReference r:id="rId3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" i="43" l="1"/>
  <c r="L2" i="42"/>
  <c r="L2" i="41"/>
  <c r="L2" i="40"/>
  <c r="L2" i="39"/>
  <c r="L2" i="38"/>
  <c r="L3" i="38"/>
  <c r="L4" i="38"/>
  <c r="L2" i="37"/>
  <c r="L3" i="37"/>
  <c r="L2" i="36"/>
  <c r="L2" i="35"/>
  <c r="L3" i="35"/>
  <c r="L2" i="33"/>
  <c r="L2" i="32"/>
  <c r="L2" i="31"/>
  <c r="L2" i="30"/>
  <c r="L2" i="29"/>
  <c r="L2" i="28"/>
  <c r="L2" i="27"/>
  <c r="L2" i="26"/>
  <c r="L2" i="25"/>
  <c r="L2" i="24"/>
  <c r="L2" i="23"/>
  <c r="L2" i="22"/>
  <c r="L2" i="21"/>
  <c r="L2" i="20"/>
  <c r="L2" i="19"/>
  <c r="L2" i="18"/>
  <c r="L2" i="17"/>
  <c r="L2" i="16"/>
  <c r="L3" i="16"/>
  <c r="L2" i="15"/>
  <c r="L2" i="14"/>
  <c r="K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3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4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5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8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9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A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B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C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D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E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0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1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5AF1BB85-F7D5-4F35-BE62-4145034D748A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<sst xmlns="http://schemas.openxmlformats.org/spreadsheetml/2006/main" count="2606" uniqueCount="326">
  <si>
    <t>Explanation</t>
  </si>
  <si>
    <t>G/L Date</t>
  </si>
  <si>
    <t>Item Number</t>
  </si>
  <si>
    <t>QTY</t>
  </si>
  <si>
    <t>UOM</t>
  </si>
  <si>
    <t>Location</t>
  </si>
  <si>
    <t>Lot serial</t>
  </si>
  <si>
    <t>Address Number</t>
  </si>
  <si>
    <t>No Kontrak</t>
  </si>
  <si>
    <t>Branch</t>
  </si>
  <si>
    <t>Supplier</t>
  </si>
  <si>
    <t>Pemasukan CV ANUGRAH</t>
  </si>
  <si>
    <t>LEG  MFLLEGGING   /M</t>
  </si>
  <si>
    <t>PC</t>
  </si>
  <si>
    <t>E</t>
  </si>
  <si>
    <t>Order Number</t>
  </si>
  <si>
    <t>Or Ty</t>
  </si>
  <si>
    <t>Order Co</t>
  </si>
  <si>
    <t>Supplier Description</t>
  </si>
  <si>
    <t>Order Date</t>
  </si>
  <si>
    <t>Ship To</t>
  </si>
  <si>
    <t>Buyer</t>
  </si>
  <si>
    <t>Reference</t>
  </si>
  <si>
    <t>Hd CD</t>
  </si>
  <si>
    <t>Amount</t>
  </si>
  <si>
    <t>Base Curr</t>
  </si>
  <si>
    <t>Foreign Amount</t>
  </si>
  <si>
    <t>Curr</t>
  </si>
  <si>
    <t>Branch/ Plant</t>
  </si>
  <si>
    <t>Shipment Number</t>
  </si>
  <si>
    <t>Ordered By</t>
  </si>
  <si>
    <t>RMA Number</t>
  </si>
  <si>
    <t>RMA Ty</t>
  </si>
  <si>
    <t>O4</t>
  </si>
  <si>
    <t>KANEBO EMBROIDERY</t>
  </si>
  <si>
    <t xml:space="preserve"> </t>
  </si>
  <si>
    <t>USD</t>
  </si>
  <si>
    <t>IDR</t>
  </si>
  <si>
    <t>NINA</t>
  </si>
  <si>
    <t>CV.PERINTIS PUTRA BANGSA</t>
  </si>
  <si>
    <t>YUSTINA</t>
  </si>
  <si>
    <t>ENDANG WARDANI PLEAT</t>
  </si>
  <si>
    <t xml:space="preserve"> (USD) PT. VICTORY PAN MULTITEX</t>
  </si>
  <si>
    <t>ROHYANI</t>
  </si>
  <si>
    <t>KATAREN</t>
  </si>
  <si>
    <t>DAYA BUDAYA, CV.</t>
  </si>
  <si>
    <t>PT.AMEYA LIVING STYLE</t>
  </si>
  <si>
    <t>DEWI SAMUDRA KUSUMA, PT.</t>
  </si>
  <si>
    <t>NITYA NANDA</t>
  </si>
  <si>
    <t>VIOLENT</t>
  </si>
  <si>
    <t>GLORY APARELINDO, PT.</t>
  </si>
  <si>
    <t>PT. MONDRIAN</t>
  </si>
  <si>
    <t>EVERGREEN,CV</t>
  </si>
  <si>
    <t>PT. NITYA NANDHA</t>
  </si>
  <si>
    <t>JAYA PLEAT</t>
  </si>
  <si>
    <t>RISA PLEAT</t>
  </si>
  <si>
    <t>GOLDEN EMBROIDERY</t>
  </si>
  <si>
    <t>V - TEX EMBOIDERY</t>
  </si>
  <si>
    <t>TAIYO EMBRO</t>
  </si>
  <si>
    <t>PT. ARINDO GARMENTAMA</t>
  </si>
  <si>
    <t>CITRA CEMERLANG GARMENT</t>
  </si>
  <si>
    <t>MORICH INDO FASHION</t>
  </si>
  <si>
    <t>MULTI PAYET</t>
  </si>
  <si>
    <t>MELS</t>
  </si>
  <si>
    <t>RIZAL</t>
  </si>
  <si>
    <t>GISTEX POPULAR</t>
  </si>
  <si>
    <t>TINA</t>
  </si>
  <si>
    <t>AYOE TAI HO TEXTILE, PT.</t>
  </si>
  <si>
    <t>PANCA PLAZA, PT.</t>
  </si>
  <si>
    <t>MERCYS</t>
  </si>
  <si>
    <t>ZION COMPUTER</t>
  </si>
  <si>
    <t>THEODORE ,PT.</t>
  </si>
  <si>
    <t>KARYA BORDIR</t>
  </si>
  <si>
    <t>PT BOBIN ABADI</t>
  </si>
  <si>
    <t>MAREL SUKSES PRATAMA</t>
  </si>
  <si>
    <t>ANUGRAH BORDIR</t>
  </si>
  <si>
    <t>PT. ANUGERAH KEMENANGAN</t>
  </si>
  <si>
    <t>GUCITEX</t>
  </si>
  <si>
    <t>SINGLONG BROTHER</t>
  </si>
  <si>
    <t>CV PRIMA MANDIRI</t>
  </si>
  <si>
    <t>NINGRUM</t>
  </si>
  <si>
    <t>TOP PRINT</t>
  </si>
  <si>
    <t>MONDRIAN</t>
  </si>
  <si>
    <t>PT. SG WICUS SEMARANG</t>
  </si>
  <si>
    <t>DAEHAN GLOBAL II, PT</t>
  </si>
  <si>
    <t>HANJUANG</t>
  </si>
  <si>
    <t>SANSAN SAUDARATEX JAYA</t>
  </si>
  <si>
    <t>CD PRINT</t>
  </si>
  <si>
    <t>PT. SAINATH INDUSTRIES</t>
  </si>
  <si>
    <t>TAIWAN SPREADING CENTER ENTERPRISES</t>
  </si>
  <si>
    <t>AIWA</t>
  </si>
  <si>
    <t>YI HWA TEXTILE, PT.</t>
  </si>
  <si>
    <t>LYDIA_A</t>
  </si>
  <si>
    <t>LUCKY PRINT ABADI (USD)</t>
  </si>
  <si>
    <t>SAN SAN SAUDARATEX</t>
  </si>
  <si>
    <t>MENARA SINAR BUSANA</t>
  </si>
  <si>
    <t>ASIETEX SINAR INDOPRATAMA (IDR)</t>
  </si>
  <si>
    <t>SINERGA INDONESIA, CV.</t>
  </si>
  <si>
    <t>MEKAR JAYA CUTTING</t>
  </si>
  <si>
    <t>PT DAYA MEKAR</t>
  </si>
  <si>
    <t>PRIMA DWI TAMA, PT</t>
  </si>
  <si>
    <t>SINAR MAJALAYA LESTARI, PT</t>
  </si>
  <si>
    <t>PT. TABAH TEGAR PERKASA GARMENT</t>
  </si>
  <si>
    <t>WIWIN.W</t>
  </si>
  <si>
    <t>RONI MUTAKIN</t>
  </si>
  <si>
    <t>PT. SINAR BARU GITA GEMILANG</t>
  </si>
  <si>
    <t>ANUGRAH MUSTIKA PRINT</t>
  </si>
  <si>
    <t>VIKA CITRA PERSADA</t>
  </si>
  <si>
    <t>RESTORASI PRINT</t>
  </si>
  <si>
    <t>SANSO PRINT</t>
  </si>
  <si>
    <t>DEDEH  (PAYET)</t>
  </si>
  <si>
    <t>FARITAMA</t>
  </si>
  <si>
    <t>SRI  NARTI  HARDANI</t>
  </si>
  <si>
    <t>NARIPAN BORDIR</t>
  </si>
  <si>
    <t>MITRA USAHA ABADI,CV</t>
  </si>
  <si>
    <t>WESTAPUSAKA KUSUMA, PT</t>
  </si>
  <si>
    <t>CV. TERATAI VARIASI BUSANA</t>
  </si>
  <si>
    <t>NANIK</t>
  </si>
  <si>
    <t>HUAFU HK COMPANY LTD.</t>
  </si>
  <si>
    <t>NINGBO BROS TEXTILE CO, LTD</t>
  </si>
  <si>
    <t>HTP</t>
  </si>
  <si>
    <t>DAYA MEKAR TEKSTINDO</t>
  </si>
  <si>
    <t>TOPIE HEADWEAR</t>
  </si>
  <si>
    <t>ANUGRAH CV</t>
  </si>
  <si>
    <t>TRISNA BATARI</t>
  </si>
  <si>
    <t>HERNIATY</t>
  </si>
  <si>
    <t>CR PRINT</t>
  </si>
  <si>
    <t>SURYA MANDIRI SELARAS, PT</t>
  </si>
  <si>
    <t>MUTIARA CEMERLANG, CV</t>
  </si>
  <si>
    <t>POPULAR DAENONG INDONESIA, PT</t>
  </si>
  <si>
    <t>WIDI@GTX</t>
  </si>
  <si>
    <t>DEWHIRST, PT.</t>
  </si>
  <si>
    <t>MUTIARA PLEAT</t>
  </si>
  <si>
    <t>GISTEX LAGADAR (USD)</t>
  </si>
  <si>
    <t>PUTERA PILIHAN PERKASA,PT.</t>
  </si>
  <si>
    <t>CV. AKMAL PUTRA</t>
  </si>
  <si>
    <t>HARVEST PAINT</t>
  </si>
  <si>
    <t>PT. PELITA NIAGA</t>
  </si>
  <si>
    <t>TOP LINE TEXTILE CO., LTD</t>
  </si>
  <si>
    <t>PT. MAJU JAYA ABADI SEJATI</t>
  </si>
  <si>
    <t>TOKAI TEXPRINT IND.,PT (IDR)</t>
  </si>
  <si>
    <t>SARINA_N</t>
  </si>
  <si>
    <t>TONNY TEJA</t>
  </si>
  <si>
    <t>TOKAI THAILAND</t>
  </si>
  <si>
    <t>TOKAI TEXPRINT INDONESIA, PT.</t>
  </si>
  <si>
    <t>CV.WIJAYA ACCESSORIES GARMENT</t>
  </si>
  <si>
    <t>INTAN LESTARI</t>
  </si>
  <si>
    <t>LIA.S</t>
  </si>
  <si>
    <t>SWEET PRINT</t>
  </si>
  <si>
    <t>PT GAJAH PUTIH</t>
  </si>
  <si>
    <t>PERNIK MANIK</t>
  </si>
  <si>
    <t>SUMBER JAYA EMBRO</t>
  </si>
  <si>
    <t>SRIWIJAYA EMBROIDERY</t>
  </si>
  <si>
    <t>CV. PUSEUR BUYUT</t>
  </si>
  <si>
    <t>MAMORU, PT</t>
  </si>
  <si>
    <t>SHABILLA MANDIRI, CV</t>
  </si>
  <si>
    <t>CV. INTI SARANA ABADI</t>
  </si>
  <si>
    <t>PANCA KARYA UTAMA, CV</t>
  </si>
  <si>
    <t>PT. TIRTHA RIA</t>
  </si>
  <si>
    <t>LARIS, PD</t>
  </si>
  <si>
    <t>DODI PAYET</t>
  </si>
  <si>
    <t>JUJUK</t>
  </si>
  <si>
    <t>SITI ISMANIK</t>
  </si>
  <si>
    <t>HETY KURNIAWATI</t>
  </si>
  <si>
    <t>SETIA PLASTIK</t>
  </si>
  <si>
    <t>TIRTA RIA</t>
  </si>
  <si>
    <t>SRI YULIANI - RUMAH MODE</t>
  </si>
  <si>
    <t>MANDIRI JAYA, CV.</t>
  </si>
  <si>
    <t>MS PLEATING</t>
  </si>
  <si>
    <t>CV. PARIKESIT</t>
  </si>
  <si>
    <t>INTAN HAKIKI, CV.</t>
  </si>
  <si>
    <t>TIKA</t>
  </si>
  <si>
    <t>INTAN MULIA,CV</t>
  </si>
  <si>
    <t>FAJAR SAUDARA,CV.</t>
  </si>
  <si>
    <t>CV. CAHYO NUGROHO JATI (NOT USE)</t>
  </si>
  <si>
    <t>JOKO</t>
  </si>
  <si>
    <t>GISTEX MAJALENGKA, PT.</t>
  </si>
  <si>
    <t>DENNY</t>
  </si>
  <si>
    <t>CV. CAHYO NUGROHO JATI (CNJ)</t>
  </si>
  <si>
    <t>PT. DWI BINTANG GLOBAL GARMENT</t>
  </si>
  <si>
    <t>BINA DUTA PERKASA</t>
  </si>
  <si>
    <t>CV. MITRA USAHA ABADI</t>
  </si>
  <si>
    <t>BINTANG FAMILY</t>
  </si>
  <si>
    <t>FARIDA</t>
  </si>
  <si>
    <t>ROSALINDA</t>
  </si>
  <si>
    <t>RANI</t>
  </si>
  <si>
    <t>IQBAL</t>
  </si>
  <si>
    <t>IAN</t>
  </si>
  <si>
    <t>PLANATEX</t>
  </si>
  <si>
    <t>JAYA MANDIRI</t>
  </si>
  <si>
    <t>PLISKET JAGO</t>
  </si>
  <si>
    <t>CV. RAS GARMENT</t>
  </si>
  <si>
    <t>SARTIKA.D</t>
  </si>
  <si>
    <t>HUMAZA DENTAS, CV.</t>
  </si>
  <si>
    <t>EDY KONVEKSI</t>
  </si>
  <si>
    <t>CV. TANJUNG KENCANA JAYA</t>
  </si>
  <si>
    <t>PT.GREENLINE  MEDIA COMMUNITY (GMC)</t>
  </si>
  <si>
    <t>EMAS JUNG WOO. INDO, PT.</t>
  </si>
  <si>
    <t>ALINDA</t>
  </si>
  <si>
    <t>INDOREKA BUSANA MAKMUR</t>
  </si>
  <si>
    <t>SUHARTATI</t>
  </si>
  <si>
    <t>PT JIN MYOUNG INDUSTRIAL</t>
  </si>
  <si>
    <t>CV.OEMRY OEMAR</t>
  </si>
  <si>
    <t>(NOT USE) KEMILAU SURYA MANDIRI</t>
  </si>
  <si>
    <t>PT LE &amp; EN INDOCHACON UTAMA</t>
  </si>
  <si>
    <t>YANI.M@CLN</t>
  </si>
  <si>
    <t>PT. HARMONY TUNAS PERSADA</t>
  </si>
  <si>
    <t>CV RESTU ABADI</t>
  </si>
  <si>
    <t>PT CORNEL MANAGILE</t>
  </si>
  <si>
    <t>CV. KIRIN</t>
  </si>
  <si>
    <t>PT. NECES CITRA SELARAS</t>
  </si>
  <si>
    <t>NEWTIMES LIMITED - JAKARTA</t>
  </si>
  <si>
    <t>CV.CAHYO NUGROHO JATI (WONOGIRI)</t>
  </si>
  <si>
    <t>PT. PERMATA KREASI GEMILANG</t>
  </si>
  <si>
    <t>FARIDA.N</t>
  </si>
  <si>
    <t>PT ERA MURNI BUSANA</t>
  </si>
  <si>
    <t>ANISA@GTX</t>
  </si>
  <si>
    <t>QUEEN BEE</t>
  </si>
  <si>
    <t>TRESNA PRINTING</t>
  </si>
  <si>
    <t>ASIS.N</t>
  </si>
  <si>
    <t>CV ASHTA ASITI</t>
  </si>
  <si>
    <t>ENDANG</t>
  </si>
  <si>
    <t>PT.TIARA UTAMA</t>
  </si>
  <si>
    <t>SULI.R@CLN</t>
  </si>
  <si>
    <t>CV. NAZRIEL PUTERA</t>
  </si>
  <si>
    <t>CV. CANDRA PRODUCTION</t>
  </si>
  <si>
    <t>CV. BINTANG MULIA PRIMA</t>
  </si>
  <si>
    <t>CV. ASIA PRINT</t>
  </si>
  <si>
    <t>SRI.B</t>
  </si>
  <si>
    <t>CV. KARUNIA UTAMA</t>
  </si>
  <si>
    <t>UMAKUKA</t>
  </si>
  <si>
    <t>TOKAI TEXPRINT IND.,PT (USD)</t>
  </si>
  <si>
    <t>NUNING</t>
  </si>
  <si>
    <t>GISTEX GARMEN INDONESIA, PT.</t>
  </si>
  <si>
    <t>CV. KURNIA CIPTA MANDIRI</t>
  </si>
  <si>
    <t>PT. GLOBAL FASHION GARMENT</t>
  </si>
  <si>
    <t>KNK SURYA ANUGRAH</t>
  </si>
  <si>
    <t>PT. KOKEN INDONESIA</t>
  </si>
  <si>
    <t>HARAPAN MANDIRI PAINTING</t>
  </si>
  <si>
    <t>CV.LUMBUNG KREASINDO</t>
  </si>
  <si>
    <t>RINA.N</t>
  </si>
  <si>
    <t>PT.SEMAR MAS GARMENT</t>
  </si>
  <si>
    <t>CV.MEKAR ABADI GARMENT</t>
  </si>
  <si>
    <t>PT.TUPAI ADYMAS INDONESIA</t>
  </si>
  <si>
    <t>PT. 888 WEST SEHATI</t>
  </si>
  <si>
    <t>PANCA MANDIRI</t>
  </si>
  <si>
    <t>PT. ANUGERAH KANNON ABADI</t>
  </si>
  <si>
    <t>NOVENA JAYA UTAMA</t>
  </si>
  <si>
    <t>CV. KARIB RAYA</t>
  </si>
  <si>
    <t>GUNA MITRA PRIMA, PT</t>
  </si>
  <si>
    <t>LIA.YL</t>
  </si>
  <si>
    <t>INDORAMA (USD)</t>
  </si>
  <si>
    <t>EXOTICA GARMENT</t>
  </si>
  <si>
    <t>PT. BANGUN USAHA MAJU</t>
  </si>
  <si>
    <t>CV.CHAWAN GARMEN ABADI</t>
  </si>
  <si>
    <t>PT POP STAR</t>
  </si>
  <si>
    <t>PT. TRISCO TAILORED APPAREL</t>
  </si>
  <si>
    <t>PT.KRISSON INDONESIA</t>
  </si>
  <si>
    <t>PT. GELINDO GARMENTAMA</t>
  </si>
  <si>
    <t>PT. GISTEX KALIBENDA</t>
  </si>
  <si>
    <t>CV. ANUGRAH</t>
  </si>
  <si>
    <t>GISTEX KALIBENDA</t>
  </si>
  <si>
    <t>PT. RAPI TEXPRO PRATAMA</t>
  </si>
  <si>
    <t>PT. RAPI SARANA TEXPRO</t>
  </si>
  <si>
    <t>DEDE NATHANAEL</t>
  </si>
  <si>
    <t>HN PRINT</t>
  </si>
  <si>
    <t>CHAWAN BANJAR NEGARA</t>
  </si>
  <si>
    <t>PT HANDAL JAYA SERVICE</t>
  </si>
  <si>
    <t>KRAPYAK</t>
  </si>
  <si>
    <t>PT. GLOBAL TERMINAL MARUNDA</t>
  </si>
  <si>
    <t>TERMINAL PETIKEMAS KOJA TPK.</t>
  </si>
  <si>
    <t>PT INDOMARSAN UTAMA INTERNATIONAL</t>
  </si>
  <si>
    <t>CV. ASIA PRINT MAKLOON</t>
  </si>
  <si>
    <t>PT. PANDAN RINGIN INDONESIA</t>
  </si>
  <si>
    <t>PT.CITRA DEKOR PRINTAMA</t>
  </si>
  <si>
    <t>PT. MATARAM SUKSES ABADI</t>
  </si>
  <si>
    <t>SILVIA@CLN</t>
  </si>
  <si>
    <t>PT. GEMILANG PUTERA 500</t>
  </si>
  <si>
    <t>PT NJI ( PT NEW JAYA INTERNASIONAL)</t>
  </si>
  <si>
    <t>PT. DAFINA CITRA MANDIRI</t>
  </si>
  <si>
    <t>PT. HARMET SETIA CEMERLANG</t>
  </si>
  <si>
    <t>PT. YEONGNAM SMD INDUSTRY</t>
  </si>
  <si>
    <t>GISTEX , PT.</t>
  </si>
  <si>
    <t>PT. RAPI TEXPRO ARKA</t>
  </si>
  <si>
    <t>CV AGUNG PERKASA GARMENT</t>
  </si>
  <si>
    <t>PT NOTOS</t>
  </si>
  <si>
    <t>CV. BEBE TREND</t>
  </si>
  <si>
    <t>CV ANUGERAH CIPTA GARMINDO</t>
  </si>
  <si>
    <t>PT. PUTRATEJA SEMPURNA</t>
  </si>
  <si>
    <t>KEMILAU SURYA MANDIRI</t>
  </si>
  <si>
    <t>PT. BUANA SANDANG INDONESIA</t>
  </si>
  <si>
    <t>KEMILAU UNGARAN SUKSES</t>
  </si>
  <si>
    <t>RPA_PURCH</t>
  </si>
  <si>
    <t>LOKASI FILE</t>
  </si>
  <si>
    <t>NAMA FILE</t>
  </si>
  <si>
    <t>ADDRESS</t>
  </si>
  <si>
    <t>Makro Create BPB IN</t>
  </si>
  <si>
    <t>\\10.8.0.35\Bersama\IT\RPA Gudang</t>
  </si>
  <si>
    <t>FORMAT</t>
  </si>
  <si>
    <t>.xlsm</t>
  </si>
  <si>
    <t>Pengeluaran CV ANUGRAH</t>
  </si>
  <si>
    <t>NO BPB</t>
  </si>
  <si>
    <t>PENGELUARAN HANCA KE CV PRINTIS</t>
  </si>
  <si>
    <t>23-01-2024</t>
  </si>
  <si>
    <t>CV PRINTIS</t>
  </si>
  <si>
    <t>24-01-2024</t>
  </si>
  <si>
    <t>PENGELUARAN HANCA KE DEDE NATHANAEL</t>
  </si>
  <si>
    <t>PENGELUARAN BARANG KE CV PERINTIS</t>
  </si>
  <si>
    <t>PANTSPNIPANTS     /M</t>
  </si>
  <si>
    <t>pc</t>
  </si>
  <si>
    <t>PENGELUARAN KE CV PERINTIS</t>
  </si>
  <si>
    <t>PENGELUARAN KE DEDE NATHANAEL</t>
  </si>
  <si>
    <t>PENGELUARAN GARMEN KE GM 1</t>
  </si>
  <si>
    <t>GM1</t>
  </si>
  <si>
    <t>PENGELUARAN GARMENT KE CV PRINTIS</t>
  </si>
  <si>
    <t>PENGELUARAN SAMPLE KE CNJ 2</t>
  </si>
  <si>
    <t>CNJ2</t>
  </si>
  <si>
    <t>PENGELUARAN SAMPLE KE CNJ</t>
  </si>
  <si>
    <t>CNJ</t>
  </si>
  <si>
    <t>PENGIRIMAN SAMPLE KE CNJ 2</t>
  </si>
  <si>
    <t>PENGIRIMAN SAMPLE KE CNJ</t>
  </si>
  <si>
    <t>CV ASIA PRINT</t>
  </si>
  <si>
    <t>pcs</t>
  </si>
  <si>
    <t>PENGELUARAN SAMPLE KE CNJ2</t>
  </si>
  <si>
    <t>PCS</t>
  </si>
  <si>
    <t>pengeluaran hanca ke DEDE NATHANAEL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</si>
</sst>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454545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14" fontId="0" fillId="0" borderId="0" xfId="0" applyNumberFormat="1"/>
    <xf numFmtId="4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3" borderId="0" xfId="0" applyFill="1"/>
    <xf numFmtId="0" fontId="3" fillId="5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5" borderId="6" xfId="0" applyFill="1" applyBorder="1" applyAlignment="1">
      <alignment horizontal="center" vertical="center"/>
    </xf>
    <xf numFmtId="0" fontId="4" fillId="5" borderId="7" xfId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0" borderId="1" xfId="0" applyBorder="1"/>
    <xf numFmtId="0" fontId="2" fillId="0" borderId="9" xfId="0" applyFont="1" applyBorder="1" applyAlignment="1">
      <alignment horizontal="center" vertical="center"/>
    </xf>
    <xf numFmtId="14" fontId="2" fillId="0" borderId="9" xfId="0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0" fillId="0" borderId="9" xfId="0" applyBorder="1"/>
    <xf numFmtId="0" fontId="1" fillId="0" borderId="9" xfId="0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14" fontId="2" fillId="0" borderId="11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D4181"/>
      <color rgb="FF1043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552346</xdr:colOff>
      <xdr:row>2</xdr:row>
      <xdr:rowOff>26918</xdr:rowOff>
    </xdr:from>
    <xdr:to>
      <xdr:col>1</xdr:col>
      <xdr:colOff>951206</xdr:colOff>
      <xdr:row>4</xdr:row>
      <xdr:rowOff>116215</xdr:rowOff>
    </xdr:to>
    <xdr:sp macro="[0]!Main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CD4679A1-583F-C7C4-6771-4E43D910EBCC}"/>
            </a:ext>
          </a:extLst>
        </xdr:cNvPr>
        <xdr:cNvSpPr/>
      </xdr:nvSpPr>
      <xdr:spPr>
        <a:xfrm>
          <a:off x="552346" y="407918"/>
          <a:ext cx="970360" cy="470297"/>
        </a:xfrm>
        <a:prstGeom prst="roundRect">
          <a:avLst/>
        </a:prstGeom>
        <a:solidFill>
          <a:schemeClr val="accent4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Comic Sans MS" panose="030F0702030302020204" pitchFamily="66" charset="0"/>
            </a:rPr>
            <a:t>PROSES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IT\RPA%20Gudang\BACKUP\REQUEST\Makro%20Create%20BPB%20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IT\RPA%20Gudang\Makro%20Create%20BPB%20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MBOL"/>
      <sheetName val="INPUT USER"/>
    </sheetNames>
    <sheetDataSet>
      <sheetData sheetId="0"/>
      <sheetData sheetId="1">
        <row r="1">
          <cell r="H1" t="str">
            <v>No Kontrak</v>
          </cell>
          <cell r="I1" t="str">
            <v>Branch</v>
          </cell>
          <cell r="J1" t="str">
            <v>Supplier</v>
          </cell>
          <cell r="K1" t="str">
            <v>Address Number</v>
          </cell>
          <cell r="L1" t="str">
            <v>Prev Doc</v>
          </cell>
          <cell r="M1" t="str">
            <v>Status</v>
          </cell>
          <cell r="N1" t="str">
            <v>No BPB</v>
          </cell>
        </row>
        <row r="2">
          <cell r="H2">
            <v>23001125</v>
          </cell>
          <cell r="I2">
            <v>1201</v>
          </cell>
          <cell r="J2" t="str">
            <v>KANEBO EMBROIDERY</v>
          </cell>
          <cell r="K2">
            <v>54000600</v>
          </cell>
          <cell r="L2">
            <v>23001004</v>
          </cell>
          <cell r="M2" t="str">
            <v>DONE</v>
          </cell>
          <cell r="N2">
            <v>133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MBOL"/>
      <sheetName val="INPUT USER"/>
    </sheetNames>
    <sheetDataSet>
      <sheetData sheetId="0"/>
      <sheetData sheetId="1">
        <row r="1">
          <cell r="H1" t="str">
            <v>No Kontrak</v>
          </cell>
          <cell r="I1" t="str">
            <v>Branch</v>
          </cell>
          <cell r="J1" t="str">
            <v>Supplier</v>
          </cell>
          <cell r="K1" t="str">
            <v>Address Number</v>
          </cell>
          <cell r="L1" t="str">
            <v>Prev Doc</v>
          </cell>
          <cell r="M1" t="str">
            <v>Status</v>
          </cell>
          <cell r="N1" t="str">
            <v>No BPB</v>
          </cell>
        </row>
        <row r="2">
          <cell r="H2">
            <v>24001044</v>
          </cell>
          <cell r="I2">
            <v>1201</v>
          </cell>
          <cell r="J2" t="str">
            <v>DEDE NATHANAEL</v>
          </cell>
          <cell r="K2">
            <v>57300910</v>
          </cell>
          <cell r="L2">
            <v>24001682</v>
          </cell>
          <cell r="M2" t="str">
            <v>Reverse Done</v>
          </cell>
          <cell r="N2">
            <v>64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RPA%20Gudang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29"/>
  <sheetViews>
    <sheetView workbookViewId="0">
      <selection activeCell="E8" sqref="E8"/>
    </sheetView>
  </sheetViews>
  <sheetFormatPr defaultRowHeight="15" x14ac:dyDescent="0.25"/>
  <cols>
    <col min="1" max="1" width="14" bestFit="1" customWidth="1"/>
    <col min="5" max="5" width="39" bestFit="1" customWidth="1"/>
  </cols>
  <sheetData>
    <row r="1" spans="1:20" x14ac:dyDescent="0.25">
      <c r="A1" t="s">
        <v>15</v>
      </c>
      <c r="B1" t="s">
        <v>16</v>
      </c>
      <c r="C1" t="s">
        <v>17</v>
      </c>
      <c r="D1" t="s">
        <v>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</row>
    <row r="2" spans="1:20" x14ac:dyDescent="0.25">
      <c r="A2">
        <v>7001060</v>
      </c>
      <c r="B2" t="s">
        <v>33</v>
      </c>
      <c r="C2">
        <v>1201</v>
      </c>
      <c r="D2">
        <v>54000600</v>
      </c>
      <c r="E2" t="s">
        <v>34</v>
      </c>
      <c r="F2" s="1">
        <v>39157</v>
      </c>
      <c r="I2" t="s">
        <v>35</v>
      </c>
      <c r="J2" t="s">
        <v>35</v>
      </c>
      <c r="K2" t="s">
        <v>35</v>
      </c>
      <c r="L2" s="2">
        <v>5275.76</v>
      </c>
      <c r="M2" t="s">
        <v>36</v>
      </c>
      <c r="N2" s="2">
        <v>48484800</v>
      </c>
      <c r="O2" t="s">
        <v>37</v>
      </c>
      <c r="P2">
        <v>1201</v>
      </c>
      <c r="R2" t="s">
        <v>38</v>
      </c>
      <c r="T2" t="s">
        <v>35</v>
      </c>
    </row>
    <row r="3" spans="1:20" x14ac:dyDescent="0.25">
      <c r="A3">
        <v>7001121</v>
      </c>
      <c r="B3" t="s">
        <v>33</v>
      </c>
      <c r="C3">
        <v>1201</v>
      </c>
      <c r="D3">
        <v>54000879</v>
      </c>
      <c r="E3" t="s">
        <v>39</v>
      </c>
      <c r="F3" s="1">
        <v>39238</v>
      </c>
      <c r="G3">
        <v>1201</v>
      </c>
      <c r="I3" t="s">
        <v>35</v>
      </c>
      <c r="J3" t="s">
        <v>35</v>
      </c>
      <c r="K3" t="s">
        <v>35</v>
      </c>
      <c r="L3" s="2">
        <v>1527.93</v>
      </c>
      <c r="M3" t="s">
        <v>36</v>
      </c>
      <c r="N3" s="2">
        <v>13416100</v>
      </c>
      <c r="O3" t="s">
        <v>37</v>
      </c>
      <c r="P3">
        <v>1201</v>
      </c>
      <c r="R3" t="s">
        <v>40</v>
      </c>
      <c r="T3" t="s">
        <v>35</v>
      </c>
    </row>
    <row r="4" spans="1:20" x14ac:dyDescent="0.25">
      <c r="A4">
        <v>7001180</v>
      </c>
      <c r="B4" t="s">
        <v>33</v>
      </c>
      <c r="C4">
        <v>1201</v>
      </c>
      <c r="D4">
        <v>55048925</v>
      </c>
      <c r="E4" t="s">
        <v>41</v>
      </c>
      <c r="F4" s="1">
        <v>39337</v>
      </c>
      <c r="G4">
        <v>1201</v>
      </c>
      <c r="I4" t="s">
        <v>35</v>
      </c>
      <c r="J4" t="s">
        <v>35</v>
      </c>
      <c r="K4" t="s">
        <v>35</v>
      </c>
      <c r="L4" s="2">
        <v>5229.2700000000004</v>
      </c>
      <c r="M4" t="s">
        <v>36</v>
      </c>
      <c r="N4" s="2">
        <v>49356000</v>
      </c>
      <c r="O4" t="s">
        <v>37</v>
      </c>
      <c r="P4">
        <v>1201</v>
      </c>
      <c r="R4" t="s">
        <v>40</v>
      </c>
      <c r="T4" t="s">
        <v>35</v>
      </c>
    </row>
    <row r="5" spans="1:20" x14ac:dyDescent="0.25">
      <c r="A5">
        <v>7001183</v>
      </c>
      <c r="B5" t="s">
        <v>33</v>
      </c>
      <c r="C5">
        <v>1201</v>
      </c>
      <c r="D5">
        <v>55112392</v>
      </c>
      <c r="E5" t="s">
        <v>42</v>
      </c>
      <c r="F5" s="1">
        <v>39342</v>
      </c>
      <c r="G5">
        <v>1201</v>
      </c>
      <c r="I5" t="s">
        <v>35</v>
      </c>
      <c r="J5" t="s">
        <v>35</v>
      </c>
      <c r="K5" t="s">
        <v>35</v>
      </c>
      <c r="L5" s="2">
        <v>2108.4</v>
      </c>
      <c r="M5" t="s">
        <v>36</v>
      </c>
      <c r="O5" t="s">
        <v>36</v>
      </c>
      <c r="P5">
        <v>1201</v>
      </c>
      <c r="R5" t="s">
        <v>40</v>
      </c>
      <c r="T5" t="s">
        <v>35</v>
      </c>
    </row>
    <row r="6" spans="1:20" x14ac:dyDescent="0.25">
      <c r="A6">
        <v>7001185</v>
      </c>
      <c r="B6" t="s">
        <v>33</v>
      </c>
      <c r="C6">
        <v>1201</v>
      </c>
      <c r="D6">
        <v>55091165</v>
      </c>
      <c r="E6" t="s">
        <v>43</v>
      </c>
      <c r="F6" s="1">
        <v>39342</v>
      </c>
      <c r="G6">
        <v>1201</v>
      </c>
      <c r="I6" t="s">
        <v>35</v>
      </c>
      <c r="J6" t="s">
        <v>35</v>
      </c>
      <c r="K6" t="s">
        <v>35</v>
      </c>
      <c r="L6">
        <v>50.6</v>
      </c>
      <c r="M6" t="s">
        <v>36</v>
      </c>
      <c r="N6" s="2">
        <v>476580</v>
      </c>
      <c r="O6" t="s">
        <v>37</v>
      </c>
      <c r="P6">
        <v>1201</v>
      </c>
      <c r="R6" t="s">
        <v>38</v>
      </c>
      <c r="T6" t="s">
        <v>35</v>
      </c>
    </row>
    <row r="7" spans="1:20" x14ac:dyDescent="0.25">
      <c r="A7">
        <v>7001187</v>
      </c>
      <c r="B7" t="s">
        <v>33</v>
      </c>
      <c r="C7">
        <v>1201</v>
      </c>
      <c r="D7">
        <v>55091181</v>
      </c>
      <c r="E7" t="s">
        <v>44</v>
      </c>
      <c r="F7" s="1">
        <v>39344</v>
      </c>
      <c r="G7">
        <v>1201</v>
      </c>
      <c r="I7" t="s">
        <v>35</v>
      </c>
      <c r="J7" t="s">
        <v>35</v>
      </c>
      <c r="K7" t="s">
        <v>35</v>
      </c>
      <c r="M7" t="s">
        <v>36</v>
      </c>
      <c r="O7" t="s">
        <v>36</v>
      </c>
      <c r="P7">
        <v>1201</v>
      </c>
      <c r="R7" t="s">
        <v>40</v>
      </c>
      <c r="T7" t="s">
        <v>35</v>
      </c>
    </row>
    <row r="8" spans="1:20" x14ac:dyDescent="0.25">
      <c r="A8">
        <v>7001194</v>
      </c>
      <c r="B8" t="s">
        <v>33</v>
      </c>
      <c r="C8">
        <v>1201</v>
      </c>
      <c r="D8">
        <v>55100041</v>
      </c>
      <c r="E8" t="s">
        <v>45</v>
      </c>
      <c r="F8" s="1">
        <v>39351</v>
      </c>
      <c r="G8">
        <v>1201</v>
      </c>
      <c r="I8" t="s">
        <v>35</v>
      </c>
      <c r="J8" t="s">
        <v>35</v>
      </c>
      <c r="K8" t="s">
        <v>35</v>
      </c>
      <c r="L8" s="2">
        <v>5114.3999999999996</v>
      </c>
      <c r="M8" t="s">
        <v>36</v>
      </c>
      <c r="O8" t="s">
        <v>36</v>
      </c>
      <c r="P8">
        <v>1201</v>
      </c>
      <c r="R8" t="s">
        <v>40</v>
      </c>
      <c r="T8" t="s">
        <v>35</v>
      </c>
    </row>
    <row r="9" spans="1:20" x14ac:dyDescent="0.25">
      <c r="A9">
        <v>7001195</v>
      </c>
      <c r="B9" t="s">
        <v>33</v>
      </c>
      <c r="C9">
        <v>1201</v>
      </c>
      <c r="D9">
        <v>55100412</v>
      </c>
      <c r="E9" t="s">
        <v>46</v>
      </c>
      <c r="F9" s="1">
        <v>39351</v>
      </c>
      <c r="G9">
        <v>1201</v>
      </c>
      <c r="I9" t="s">
        <v>35</v>
      </c>
      <c r="J9" t="s">
        <v>35</v>
      </c>
      <c r="K9" t="s">
        <v>35</v>
      </c>
      <c r="L9" s="2">
        <v>18523.8</v>
      </c>
      <c r="M9" t="s">
        <v>36</v>
      </c>
      <c r="O9" t="s">
        <v>36</v>
      </c>
      <c r="P9">
        <v>1201</v>
      </c>
      <c r="R9" t="s">
        <v>40</v>
      </c>
      <c r="T9" t="s">
        <v>35</v>
      </c>
    </row>
    <row r="10" spans="1:20" x14ac:dyDescent="0.25">
      <c r="A10">
        <v>7001196</v>
      </c>
      <c r="B10" t="s">
        <v>33</v>
      </c>
      <c r="C10">
        <v>1201</v>
      </c>
      <c r="D10">
        <v>54000291</v>
      </c>
      <c r="E10" t="s">
        <v>47</v>
      </c>
      <c r="F10" s="1">
        <v>39351</v>
      </c>
      <c r="G10">
        <v>1201</v>
      </c>
      <c r="I10" t="s">
        <v>35</v>
      </c>
      <c r="J10" t="s">
        <v>35</v>
      </c>
      <c r="K10" t="s">
        <v>35</v>
      </c>
      <c r="L10" s="2">
        <v>5693.4</v>
      </c>
      <c r="M10" t="s">
        <v>36</v>
      </c>
      <c r="O10" t="s">
        <v>36</v>
      </c>
      <c r="P10">
        <v>1201</v>
      </c>
      <c r="R10" t="s">
        <v>40</v>
      </c>
      <c r="T10" t="s">
        <v>35</v>
      </c>
    </row>
    <row r="11" spans="1:20" x14ac:dyDescent="0.25">
      <c r="A11">
        <v>7001197</v>
      </c>
      <c r="B11" t="s">
        <v>33</v>
      </c>
      <c r="C11">
        <v>1201</v>
      </c>
      <c r="D11">
        <v>55100391</v>
      </c>
      <c r="E11" t="s">
        <v>48</v>
      </c>
      <c r="F11" s="1">
        <v>39351</v>
      </c>
      <c r="G11">
        <v>1201</v>
      </c>
      <c r="I11" t="s">
        <v>35</v>
      </c>
      <c r="J11" t="s">
        <v>35</v>
      </c>
      <c r="K11" t="s">
        <v>35</v>
      </c>
      <c r="M11" t="s">
        <v>36</v>
      </c>
      <c r="O11" t="s">
        <v>36</v>
      </c>
      <c r="P11">
        <v>1201</v>
      </c>
      <c r="R11" t="s">
        <v>49</v>
      </c>
      <c r="T11" t="s">
        <v>35</v>
      </c>
    </row>
    <row r="12" spans="1:20" x14ac:dyDescent="0.25">
      <c r="A12">
        <v>7001198</v>
      </c>
      <c r="B12" t="s">
        <v>33</v>
      </c>
      <c r="C12">
        <v>1201</v>
      </c>
      <c r="D12">
        <v>55115198</v>
      </c>
      <c r="E12" t="s">
        <v>50</v>
      </c>
      <c r="F12" s="1">
        <v>39351</v>
      </c>
      <c r="G12">
        <v>1201</v>
      </c>
      <c r="I12" t="s">
        <v>35</v>
      </c>
      <c r="J12" t="s">
        <v>35</v>
      </c>
      <c r="K12" t="s">
        <v>35</v>
      </c>
      <c r="L12" s="2">
        <v>13665.62</v>
      </c>
      <c r="M12" t="s">
        <v>36</v>
      </c>
      <c r="O12" t="s">
        <v>36</v>
      </c>
      <c r="P12">
        <v>1201</v>
      </c>
      <c r="R12" t="s">
        <v>49</v>
      </c>
      <c r="T12" t="s">
        <v>35</v>
      </c>
    </row>
    <row r="13" spans="1:20" x14ac:dyDescent="0.25">
      <c r="A13">
        <v>7001199</v>
      </c>
      <c r="B13" t="s">
        <v>33</v>
      </c>
      <c r="C13">
        <v>1201</v>
      </c>
      <c r="D13">
        <v>55043024</v>
      </c>
      <c r="E13" t="s">
        <v>51</v>
      </c>
      <c r="F13" s="1">
        <v>39351</v>
      </c>
      <c r="G13">
        <v>1201</v>
      </c>
      <c r="I13" t="s">
        <v>35</v>
      </c>
      <c r="J13" t="s">
        <v>35</v>
      </c>
      <c r="K13" t="s">
        <v>35</v>
      </c>
      <c r="L13" s="2">
        <v>7219.35</v>
      </c>
      <c r="M13" t="s">
        <v>36</v>
      </c>
      <c r="N13" s="2">
        <v>66165660</v>
      </c>
      <c r="O13" t="s">
        <v>37</v>
      </c>
      <c r="P13">
        <v>1201</v>
      </c>
      <c r="R13" t="s">
        <v>38</v>
      </c>
      <c r="T13" t="s">
        <v>35</v>
      </c>
    </row>
    <row r="14" spans="1:20" x14ac:dyDescent="0.25">
      <c r="A14">
        <v>7001201</v>
      </c>
      <c r="B14" t="s">
        <v>33</v>
      </c>
      <c r="C14">
        <v>1201</v>
      </c>
      <c r="D14">
        <v>55042689</v>
      </c>
      <c r="E14" t="s">
        <v>52</v>
      </c>
      <c r="F14" s="1">
        <v>39351</v>
      </c>
      <c r="G14">
        <v>1201</v>
      </c>
      <c r="I14" t="s">
        <v>35</v>
      </c>
      <c r="J14" t="s">
        <v>35</v>
      </c>
      <c r="K14" t="s">
        <v>35</v>
      </c>
      <c r="L14" s="2">
        <v>4968.29</v>
      </c>
      <c r="M14" t="s">
        <v>36</v>
      </c>
      <c r="N14" s="2">
        <v>45532746</v>
      </c>
      <c r="O14" t="s">
        <v>37</v>
      </c>
      <c r="P14">
        <v>1201</v>
      </c>
      <c r="R14" t="s">
        <v>49</v>
      </c>
      <c r="T14" t="s">
        <v>35</v>
      </c>
    </row>
    <row r="15" spans="1:20" x14ac:dyDescent="0.25">
      <c r="A15">
        <v>7001203</v>
      </c>
      <c r="B15" t="s">
        <v>33</v>
      </c>
      <c r="C15">
        <v>1201</v>
      </c>
      <c r="D15">
        <v>55098156</v>
      </c>
      <c r="E15" t="s">
        <v>53</v>
      </c>
      <c r="F15" s="1">
        <v>39381</v>
      </c>
      <c r="G15">
        <v>1201</v>
      </c>
      <c r="I15" t="s">
        <v>35</v>
      </c>
      <c r="J15" t="s">
        <v>35</v>
      </c>
      <c r="K15" t="s">
        <v>35</v>
      </c>
      <c r="L15" s="2">
        <v>10084.44</v>
      </c>
      <c r="M15" t="s">
        <v>36</v>
      </c>
      <c r="O15" t="s">
        <v>36</v>
      </c>
      <c r="P15">
        <v>1201</v>
      </c>
      <c r="R15" t="s">
        <v>49</v>
      </c>
      <c r="T15" t="s">
        <v>35</v>
      </c>
    </row>
    <row r="16" spans="1:20" x14ac:dyDescent="0.25">
      <c r="A16">
        <v>7001204</v>
      </c>
      <c r="B16" t="s">
        <v>33</v>
      </c>
      <c r="C16">
        <v>1201</v>
      </c>
      <c r="D16">
        <v>55048933</v>
      </c>
      <c r="E16" t="s">
        <v>54</v>
      </c>
      <c r="F16" s="1">
        <v>39381</v>
      </c>
      <c r="H16">
        <v>53000115</v>
      </c>
      <c r="I16" t="s">
        <v>35</v>
      </c>
      <c r="J16" t="s">
        <v>35</v>
      </c>
      <c r="K16" t="s">
        <v>35</v>
      </c>
      <c r="L16" s="2">
        <v>5353.9</v>
      </c>
      <c r="M16" t="s">
        <v>36</v>
      </c>
      <c r="N16" s="2">
        <v>49097500</v>
      </c>
      <c r="O16" t="s">
        <v>37</v>
      </c>
      <c r="P16">
        <v>1201</v>
      </c>
      <c r="R16" t="s">
        <v>38</v>
      </c>
      <c r="T16" t="s">
        <v>35</v>
      </c>
    </row>
    <row r="17" spans="1:20" x14ac:dyDescent="0.25">
      <c r="A17">
        <v>7001207</v>
      </c>
      <c r="B17" t="s">
        <v>33</v>
      </c>
      <c r="C17">
        <v>1201</v>
      </c>
      <c r="D17">
        <v>55108705</v>
      </c>
      <c r="E17" t="s">
        <v>55</v>
      </c>
      <c r="F17" s="1">
        <v>39391</v>
      </c>
      <c r="G17">
        <v>55000121</v>
      </c>
      <c r="H17">
        <v>53000115</v>
      </c>
      <c r="I17" t="s">
        <v>35</v>
      </c>
      <c r="J17" t="s">
        <v>35</v>
      </c>
      <c r="K17" t="s">
        <v>35</v>
      </c>
      <c r="L17">
        <v>594.37</v>
      </c>
      <c r="M17" t="s">
        <v>36</v>
      </c>
      <c r="N17" s="2">
        <v>5430000</v>
      </c>
      <c r="O17" t="s">
        <v>37</v>
      </c>
      <c r="P17">
        <v>1201</v>
      </c>
      <c r="R17" t="s">
        <v>49</v>
      </c>
      <c r="T17" t="s">
        <v>35</v>
      </c>
    </row>
    <row r="18" spans="1:20" x14ac:dyDescent="0.25">
      <c r="A18">
        <v>7001212</v>
      </c>
      <c r="B18" t="s">
        <v>33</v>
      </c>
      <c r="C18">
        <v>1201</v>
      </c>
      <c r="D18">
        <v>54000431</v>
      </c>
      <c r="E18" t="s">
        <v>56</v>
      </c>
      <c r="F18" s="1">
        <v>39393</v>
      </c>
      <c r="H18">
        <v>53000001</v>
      </c>
      <c r="I18" t="s">
        <v>35</v>
      </c>
      <c r="J18" t="s">
        <v>35</v>
      </c>
      <c r="K18" t="s">
        <v>35</v>
      </c>
      <c r="L18" s="2">
        <v>4355.8599999999997</v>
      </c>
      <c r="M18" t="s">
        <v>36</v>
      </c>
      <c r="N18" s="2">
        <v>39962000</v>
      </c>
      <c r="O18" t="s">
        <v>37</v>
      </c>
      <c r="P18">
        <v>1201</v>
      </c>
      <c r="R18" t="s">
        <v>38</v>
      </c>
      <c r="T18" t="s">
        <v>35</v>
      </c>
    </row>
    <row r="19" spans="1:20" x14ac:dyDescent="0.25">
      <c r="A19">
        <v>7001213</v>
      </c>
      <c r="B19" t="s">
        <v>33</v>
      </c>
      <c r="C19">
        <v>1201</v>
      </c>
      <c r="D19">
        <v>55125556</v>
      </c>
      <c r="E19" t="s">
        <v>57</v>
      </c>
      <c r="F19" s="1">
        <v>39393</v>
      </c>
      <c r="I19" t="s">
        <v>35</v>
      </c>
      <c r="J19" t="s">
        <v>35</v>
      </c>
      <c r="K19" t="s">
        <v>35</v>
      </c>
      <c r="M19" t="s">
        <v>36</v>
      </c>
      <c r="O19" t="s">
        <v>37</v>
      </c>
      <c r="P19">
        <v>1201</v>
      </c>
      <c r="R19" t="s">
        <v>49</v>
      </c>
      <c r="T19" t="s">
        <v>35</v>
      </c>
    </row>
    <row r="20" spans="1:20" x14ac:dyDescent="0.25">
      <c r="A20">
        <v>7001218</v>
      </c>
      <c r="B20" t="s">
        <v>33</v>
      </c>
      <c r="C20">
        <v>1201</v>
      </c>
      <c r="D20">
        <v>54001148</v>
      </c>
      <c r="E20" t="s">
        <v>58</v>
      </c>
      <c r="F20" s="1">
        <v>39395</v>
      </c>
      <c r="H20">
        <v>55120341</v>
      </c>
      <c r="I20" t="s">
        <v>35</v>
      </c>
      <c r="J20" t="s">
        <v>35</v>
      </c>
      <c r="K20" t="s">
        <v>35</v>
      </c>
      <c r="M20" t="s">
        <v>36</v>
      </c>
      <c r="O20" t="s">
        <v>37</v>
      </c>
      <c r="P20">
        <v>1201</v>
      </c>
      <c r="R20" t="s">
        <v>49</v>
      </c>
      <c r="T20" t="s">
        <v>35</v>
      </c>
    </row>
    <row r="21" spans="1:20" x14ac:dyDescent="0.25">
      <c r="A21">
        <v>7001221</v>
      </c>
      <c r="B21" t="s">
        <v>33</v>
      </c>
      <c r="C21">
        <v>1201</v>
      </c>
      <c r="D21">
        <v>55127084</v>
      </c>
      <c r="E21" t="s">
        <v>59</v>
      </c>
      <c r="F21" s="1">
        <v>39398</v>
      </c>
      <c r="H21">
        <v>53000001</v>
      </c>
      <c r="I21" t="s">
        <v>35</v>
      </c>
      <c r="J21" t="s">
        <v>35</v>
      </c>
      <c r="K21" t="s">
        <v>35</v>
      </c>
      <c r="L21" s="2">
        <v>4406.67</v>
      </c>
      <c r="M21" t="s">
        <v>36</v>
      </c>
      <c r="O21" t="s">
        <v>36</v>
      </c>
      <c r="P21">
        <v>1201</v>
      </c>
      <c r="R21" t="s">
        <v>49</v>
      </c>
      <c r="T21" t="s">
        <v>35</v>
      </c>
    </row>
    <row r="22" spans="1:20" x14ac:dyDescent="0.25">
      <c r="A22">
        <v>7001226</v>
      </c>
      <c r="B22" t="s">
        <v>33</v>
      </c>
      <c r="C22">
        <v>1201</v>
      </c>
      <c r="D22">
        <v>54000243</v>
      </c>
      <c r="E22" t="s">
        <v>60</v>
      </c>
      <c r="F22" s="1">
        <v>39409</v>
      </c>
      <c r="H22">
        <v>53000001</v>
      </c>
      <c r="I22" t="s">
        <v>35</v>
      </c>
      <c r="J22" t="s">
        <v>35</v>
      </c>
      <c r="K22" t="s">
        <v>35</v>
      </c>
      <c r="M22" t="s">
        <v>36</v>
      </c>
      <c r="O22" t="s">
        <v>36</v>
      </c>
      <c r="P22">
        <v>1201</v>
      </c>
      <c r="R22" t="s">
        <v>49</v>
      </c>
      <c r="T22" t="s">
        <v>35</v>
      </c>
    </row>
    <row r="23" spans="1:20" x14ac:dyDescent="0.25">
      <c r="A23">
        <v>7001229</v>
      </c>
      <c r="B23" t="s">
        <v>33</v>
      </c>
      <c r="C23">
        <v>1201</v>
      </c>
      <c r="D23">
        <v>54000779</v>
      </c>
      <c r="E23" t="s">
        <v>61</v>
      </c>
      <c r="F23" s="1">
        <v>39412</v>
      </c>
      <c r="H23">
        <v>53000001</v>
      </c>
      <c r="I23" t="s">
        <v>35</v>
      </c>
      <c r="J23" t="s">
        <v>35</v>
      </c>
      <c r="K23" t="s">
        <v>35</v>
      </c>
      <c r="L23" s="2">
        <v>1236</v>
      </c>
      <c r="M23" t="s">
        <v>36</v>
      </c>
      <c r="O23" t="s">
        <v>36</v>
      </c>
      <c r="P23">
        <v>1201</v>
      </c>
      <c r="R23" t="s">
        <v>49</v>
      </c>
      <c r="T23" t="s">
        <v>35</v>
      </c>
    </row>
    <row r="24" spans="1:20" x14ac:dyDescent="0.25">
      <c r="A24">
        <v>7001230</v>
      </c>
      <c r="B24" t="s">
        <v>33</v>
      </c>
      <c r="C24">
        <v>1201</v>
      </c>
      <c r="D24">
        <v>55094104</v>
      </c>
      <c r="E24" t="s">
        <v>62</v>
      </c>
      <c r="F24" s="1">
        <v>39412</v>
      </c>
      <c r="H24">
        <v>53000001</v>
      </c>
      <c r="I24" t="s">
        <v>35</v>
      </c>
      <c r="J24" t="s">
        <v>35</v>
      </c>
      <c r="K24" t="s">
        <v>35</v>
      </c>
      <c r="L24">
        <v>610.36</v>
      </c>
      <c r="M24" t="s">
        <v>36</v>
      </c>
      <c r="N24" s="2">
        <v>5723375</v>
      </c>
      <c r="O24" t="s">
        <v>37</v>
      </c>
      <c r="P24">
        <v>1201</v>
      </c>
      <c r="R24" t="s">
        <v>38</v>
      </c>
      <c r="T24" t="s">
        <v>35</v>
      </c>
    </row>
    <row r="25" spans="1:20" x14ac:dyDescent="0.25">
      <c r="A25">
        <v>7001231</v>
      </c>
      <c r="B25" t="s">
        <v>33</v>
      </c>
      <c r="C25">
        <v>1201</v>
      </c>
      <c r="D25">
        <v>55091173</v>
      </c>
      <c r="E25" t="s">
        <v>63</v>
      </c>
      <c r="F25" s="1">
        <v>39412</v>
      </c>
      <c r="H25">
        <v>53000001</v>
      </c>
      <c r="I25" t="s">
        <v>35</v>
      </c>
      <c r="J25" t="s">
        <v>35</v>
      </c>
      <c r="K25" t="s">
        <v>35</v>
      </c>
      <c r="L25">
        <v>368.8</v>
      </c>
      <c r="M25" t="s">
        <v>36</v>
      </c>
      <c r="N25" s="2">
        <v>3457825</v>
      </c>
      <c r="O25" t="s">
        <v>37</v>
      </c>
      <c r="P25">
        <v>1201</v>
      </c>
      <c r="R25" t="s">
        <v>49</v>
      </c>
      <c r="T25" t="s">
        <v>35</v>
      </c>
    </row>
    <row r="26" spans="1:20" x14ac:dyDescent="0.25">
      <c r="A26">
        <v>7001232</v>
      </c>
      <c r="B26" t="s">
        <v>33</v>
      </c>
      <c r="C26">
        <v>1201</v>
      </c>
      <c r="D26">
        <v>54000943</v>
      </c>
      <c r="E26" t="s">
        <v>64</v>
      </c>
      <c r="F26" s="1">
        <v>39412</v>
      </c>
      <c r="H26">
        <v>53000001</v>
      </c>
      <c r="I26" t="s">
        <v>35</v>
      </c>
      <c r="J26" t="s">
        <v>35</v>
      </c>
      <c r="K26" t="s">
        <v>35</v>
      </c>
      <c r="L26">
        <v>953.04</v>
      </c>
      <c r="M26" t="s">
        <v>36</v>
      </c>
      <c r="N26" s="2">
        <v>8923500</v>
      </c>
      <c r="O26" t="s">
        <v>37</v>
      </c>
      <c r="P26">
        <v>1201</v>
      </c>
      <c r="R26" t="s">
        <v>49</v>
      </c>
      <c r="T26" t="s">
        <v>35</v>
      </c>
    </row>
    <row r="27" spans="1:20" x14ac:dyDescent="0.25">
      <c r="A27">
        <v>7001238</v>
      </c>
      <c r="B27" t="s">
        <v>33</v>
      </c>
      <c r="C27">
        <v>1201</v>
      </c>
      <c r="D27">
        <v>55081581</v>
      </c>
      <c r="E27" t="s">
        <v>65</v>
      </c>
      <c r="F27" s="1">
        <v>39416</v>
      </c>
      <c r="I27" t="s">
        <v>35</v>
      </c>
      <c r="J27" t="s">
        <v>35</v>
      </c>
      <c r="K27" t="s">
        <v>35</v>
      </c>
      <c r="L27" s="2">
        <v>2561.0700000000002</v>
      </c>
      <c r="M27" t="s">
        <v>36</v>
      </c>
      <c r="O27" t="s">
        <v>36</v>
      </c>
      <c r="P27">
        <v>1201</v>
      </c>
      <c r="R27" t="s">
        <v>66</v>
      </c>
      <c r="T27" t="s">
        <v>35</v>
      </c>
    </row>
    <row r="28" spans="1:20" x14ac:dyDescent="0.25">
      <c r="A28">
        <v>7001241</v>
      </c>
      <c r="B28" t="s">
        <v>33</v>
      </c>
      <c r="C28">
        <v>1201</v>
      </c>
      <c r="D28">
        <v>54000109</v>
      </c>
      <c r="E28" t="s">
        <v>67</v>
      </c>
      <c r="F28" s="1">
        <v>39419</v>
      </c>
      <c r="I28" t="s">
        <v>35</v>
      </c>
      <c r="J28" t="s">
        <v>35</v>
      </c>
      <c r="K28" t="s">
        <v>35</v>
      </c>
      <c r="L28" s="2">
        <v>2306.34</v>
      </c>
      <c r="M28" t="s">
        <v>36</v>
      </c>
      <c r="O28" t="s">
        <v>36</v>
      </c>
      <c r="P28">
        <v>1201</v>
      </c>
      <c r="R28" t="s">
        <v>38</v>
      </c>
      <c r="T28" t="s">
        <v>35</v>
      </c>
    </row>
    <row r="29" spans="1:20" x14ac:dyDescent="0.25">
      <c r="A29">
        <v>7001250</v>
      </c>
      <c r="B29" t="s">
        <v>33</v>
      </c>
      <c r="C29">
        <v>1201</v>
      </c>
      <c r="D29">
        <v>54000863</v>
      </c>
      <c r="E29" t="s">
        <v>68</v>
      </c>
      <c r="F29" s="1">
        <v>39427</v>
      </c>
      <c r="I29" t="s">
        <v>35</v>
      </c>
      <c r="J29" t="s">
        <v>35</v>
      </c>
      <c r="K29" t="s">
        <v>35</v>
      </c>
      <c r="M29" t="s">
        <v>36</v>
      </c>
      <c r="O29" t="s">
        <v>36</v>
      </c>
      <c r="P29">
        <v>1201</v>
      </c>
      <c r="R29" t="s">
        <v>69</v>
      </c>
      <c r="T29" t="s">
        <v>35</v>
      </c>
    </row>
    <row r="30" spans="1:20" x14ac:dyDescent="0.25">
      <c r="A30">
        <v>7001263</v>
      </c>
      <c r="B30" t="s">
        <v>33</v>
      </c>
      <c r="C30">
        <v>1201</v>
      </c>
      <c r="D30">
        <v>55040085</v>
      </c>
      <c r="E30" t="s">
        <v>70</v>
      </c>
      <c r="F30" s="1">
        <v>39447</v>
      </c>
      <c r="G30">
        <v>1201</v>
      </c>
      <c r="I30" t="s">
        <v>35</v>
      </c>
      <c r="J30" t="s">
        <v>35</v>
      </c>
      <c r="K30" t="s">
        <v>35</v>
      </c>
      <c r="M30" t="s">
        <v>36</v>
      </c>
      <c r="O30" t="s">
        <v>37</v>
      </c>
      <c r="P30">
        <v>1201</v>
      </c>
      <c r="R30" t="s">
        <v>49</v>
      </c>
      <c r="T30" t="s">
        <v>35</v>
      </c>
    </row>
    <row r="31" spans="1:20" x14ac:dyDescent="0.25">
      <c r="A31">
        <v>8001004</v>
      </c>
      <c r="B31" t="s">
        <v>33</v>
      </c>
      <c r="C31">
        <v>1201</v>
      </c>
      <c r="D31">
        <v>54001179</v>
      </c>
      <c r="E31" t="s">
        <v>71</v>
      </c>
      <c r="F31" s="1">
        <v>39455</v>
      </c>
      <c r="I31" t="s">
        <v>35</v>
      </c>
      <c r="J31" t="s">
        <v>35</v>
      </c>
      <c r="K31" t="s">
        <v>35</v>
      </c>
      <c r="L31" s="2">
        <v>13078.24</v>
      </c>
      <c r="M31" t="s">
        <v>36</v>
      </c>
      <c r="O31" t="s">
        <v>36</v>
      </c>
      <c r="P31">
        <v>1201</v>
      </c>
      <c r="R31" t="s">
        <v>49</v>
      </c>
      <c r="T31" t="s">
        <v>35</v>
      </c>
    </row>
    <row r="32" spans="1:20" x14ac:dyDescent="0.25">
      <c r="A32">
        <v>8001007</v>
      </c>
      <c r="B32" t="s">
        <v>33</v>
      </c>
      <c r="C32">
        <v>1201</v>
      </c>
      <c r="D32">
        <v>55143543</v>
      </c>
      <c r="E32" t="s">
        <v>72</v>
      </c>
      <c r="F32" s="1">
        <v>39458</v>
      </c>
      <c r="H32">
        <v>53000107</v>
      </c>
      <c r="I32" t="s">
        <v>35</v>
      </c>
      <c r="J32" t="s">
        <v>35</v>
      </c>
      <c r="K32" t="s">
        <v>35</v>
      </c>
      <c r="L32" s="2">
        <v>12997.1</v>
      </c>
      <c r="M32" t="s">
        <v>36</v>
      </c>
      <c r="N32" s="2">
        <v>123005175</v>
      </c>
      <c r="O32" t="s">
        <v>37</v>
      </c>
      <c r="P32">
        <v>1201</v>
      </c>
      <c r="R32" t="s">
        <v>38</v>
      </c>
      <c r="T32" t="s">
        <v>35</v>
      </c>
    </row>
    <row r="33" spans="1:20" x14ac:dyDescent="0.25">
      <c r="A33">
        <v>8001008</v>
      </c>
      <c r="B33" t="s">
        <v>33</v>
      </c>
      <c r="C33">
        <v>1201</v>
      </c>
      <c r="D33">
        <v>55143551</v>
      </c>
      <c r="E33" t="s">
        <v>73</v>
      </c>
      <c r="F33" s="1">
        <v>39458</v>
      </c>
      <c r="H33">
        <v>53000107</v>
      </c>
      <c r="I33" t="s">
        <v>35</v>
      </c>
      <c r="J33" t="s">
        <v>35</v>
      </c>
      <c r="K33" t="s">
        <v>35</v>
      </c>
      <c r="L33" s="2">
        <v>3668.81</v>
      </c>
      <c r="M33" t="s">
        <v>36</v>
      </c>
      <c r="N33" s="2">
        <v>34724700</v>
      </c>
      <c r="O33" t="s">
        <v>37</v>
      </c>
      <c r="P33">
        <v>1201</v>
      </c>
      <c r="R33" t="s">
        <v>49</v>
      </c>
      <c r="T33" t="s">
        <v>35</v>
      </c>
    </row>
    <row r="34" spans="1:20" x14ac:dyDescent="0.25">
      <c r="A34">
        <v>8001009</v>
      </c>
      <c r="B34" t="s">
        <v>33</v>
      </c>
      <c r="C34">
        <v>1201</v>
      </c>
      <c r="D34">
        <v>55143578</v>
      </c>
      <c r="E34" t="s">
        <v>74</v>
      </c>
      <c r="F34" s="1">
        <v>39458</v>
      </c>
      <c r="H34">
        <v>53000107</v>
      </c>
      <c r="I34" t="s">
        <v>35</v>
      </c>
      <c r="J34" t="s">
        <v>35</v>
      </c>
      <c r="K34" t="s">
        <v>35</v>
      </c>
      <c r="M34" t="s">
        <v>36</v>
      </c>
      <c r="O34" t="s">
        <v>37</v>
      </c>
      <c r="P34">
        <v>1201</v>
      </c>
      <c r="R34" t="s">
        <v>49</v>
      </c>
      <c r="T34" t="s">
        <v>35</v>
      </c>
    </row>
    <row r="35" spans="1:20" x14ac:dyDescent="0.25">
      <c r="A35">
        <v>8001011</v>
      </c>
      <c r="B35" t="s">
        <v>33</v>
      </c>
      <c r="C35">
        <v>1201</v>
      </c>
      <c r="D35">
        <v>55143711</v>
      </c>
      <c r="E35" t="s">
        <v>75</v>
      </c>
      <c r="F35" s="1">
        <v>39461</v>
      </c>
      <c r="H35">
        <v>53000107</v>
      </c>
      <c r="I35" t="s">
        <v>35</v>
      </c>
      <c r="J35" t="s">
        <v>35</v>
      </c>
      <c r="K35" t="s">
        <v>35</v>
      </c>
      <c r="L35" s="2">
        <v>3297.25</v>
      </c>
      <c r="M35" t="s">
        <v>36</v>
      </c>
      <c r="N35" s="2">
        <v>31210312.5</v>
      </c>
      <c r="O35" t="s">
        <v>37</v>
      </c>
      <c r="P35">
        <v>1201</v>
      </c>
      <c r="R35" t="s">
        <v>38</v>
      </c>
      <c r="T35" t="s">
        <v>35</v>
      </c>
    </row>
    <row r="36" spans="1:20" x14ac:dyDescent="0.25">
      <c r="A36">
        <v>8001012</v>
      </c>
      <c r="B36" t="s">
        <v>33</v>
      </c>
      <c r="C36">
        <v>1201</v>
      </c>
      <c r="D36">
        <v>55146541</v>
      </c>
      <c r="E36" t="s">
        <v>76</v>
      </c>
      <c r="F36" s="1">
        <v>39465</v>
      </c>
      <c r="I36" t="s">
        <v>35</v>
      </c>
      <c r="J36" t="s">
        <v>35</v>
      </c>
      <c r="K36" t="s">
        <v>35</v>
      </c>
      <c r="L36" s="2">
        <v>14838.88</v>
      </c>
      <c r="M36" t="s">
        <v>36</v>
      </c>
      <c r="O36" t="s">
        <v>36</v>
      </c>
      <c r="P36">
        <v>1201</v>
      </c>
      <c r="R36" t="s">
        <v>49</v>
      </c>
      <c r="T36" t="s">
        <v>35</v>
      </c>
    </row>
    <row r="37" spans="1:20" x14ac:dyDescent="0.25">
      <c r="A37">
        <v>8001015</v>
      </c>
      <c r="B37" t="s">
        <v>33</v>
      </c>
      <c r="C37">
        <v>1201</v>
      </c>
      <c r="D37">
        <v>54000449</v>
      </c>
      <c r="E37" t="s">
        <v>77</v>
      </c>
      <c r="F37" s="1">
        <v>39468</v>
      </c>
      <c r="G37">
        <v>1201</v>
      </c>
      <c r="I37" t="s">
        <v>35</v>
      </c>
      <c r="J37" t="s">
        <v>35</v>
      </c>
      <c r="K37" t="s">
        <v>35</v>
      </c>
      <c r="L37">
        <v>709</v>
      </c>
      <c r="M37" t="s">
        <v>36</v>
      </c>
      <c r="O37" t="s">
        <v>36</v>
      </c>
      <c r="P37">
        <v>1201</v>
      </c>
      <c r="R37" t="s">
        <v>66</v>
      </c>
      <c r="T37" t="s">
        <v>35</v>
      </c>
    </row>
    <row r="38" spans="1:20" x14ac:dyDescent="0.25">
      <c r="A38">
        <v>8001043</v>
      </c>
      <c r="B38" t="s">
        <v>33</v>
      </c>
      <c r="C38">
        <v>1201</v>
      </c>
      <c r="D38">
        <v>54001049</v>
      </c>
      <c r="E38" t="s">
        <v>78</v>
      </c>
      <c r="F38" s="1">
        <v>39520</v>
      </c>
      <c r="H38">
        <v>53000107</v>
      </c>
      <c r="I38" t="s">
        <v>35</v>
      </c>
      <c r="J38" t="s">
        <v>35</v>
      </c>
      <c r="K38" t="s">
        <v>35</v>
      </c>
      <c r="M38" t="s">
        <v>36</v>
      </c>
      <c r="O38" t="s">
        <v>37</v>
      </c>
      <c r="P38">
        <v>1201</v>
      </c>
      <c r="R38" t="s">
        <v>49</v>
      </c>
      <c r="T38" t="s">
        <v>35</v>
      </c>
    </row>
    <row r="39" spans="1:20" x14ac:dyDescent="0.25">
      <c r="A39">
        <v>8001058</v>
      </c>
      <c r="B39" t="s">
        <v>33</v>
      </c>
      <c r="C39">
        <v>1201</v>
      </c>
      <c r="D39">
        <v>55052051</v>
      </c>
      <c r="E39" t="s">
        <v>79</v>
      </c>
      <c r="F39" s="1">
        <v>39560</v>
      </c>
      <c r="I39" t="s">
        <v>35</v>
      </c>
      <c r="J39" t="s">
        <v>35</v>
      </c>
      <c r="K39" t="s">
        <v>35</v>
      </c>
      <c r="L39">
        <v>234.72</v>
      </c>
      <c r="M39" t="s">
        <v>36</v>
      </c>
      <c r="N39" s="2">
        <v>2160000</v>
      </c>
      <c r="O39" t="s">
        <v>37</v>
      </c>
      <c r="P39">
        <v>1201</v>
      </c>
      <c r="R39" t="s">
        <v>80</v>
      </c>
      <c r="T39" t="s">
        <v>35</v>
      </c>
    </row>
    <row r="40" spans="1:20" x14ac:dyDescent="0.25">
      <c r="A40">
        <v>8001059</v>
      </c>
      <c r="B40" t="s">
        <v>33</v>
      </c>
      <c r="C40">
        <v>1201</v>
      </c>
      <c r="D40">
        <v>54001198</v>
      </c>
      <c r="E40" t="s">
        <v>81</v>
      </c>
      <c r="F40" s="1">
        <v>39561</v>
      </c>
      <c r="I40" t="s">
        <v>35</v>
      </c>
      <c r="J40" t="s">
        <v>35</v>
      </c>
      <c r="K40" t="s">
        <v>35</v>
      </c>
      <c r="L40" s="2">
        <v>36881.449999999997</v>
      </c>
      <c r="M40" t="s">
        <v>36</v>
      </c>
      <c r="N40" s="2">
        <v>338984250</v>
      </c>
      <c r="O40" t="s">
        <v>37</v>
      </c>
      <c r="P40">
        <v>1201</v>
      </c>
      <c r="R40" t="s">
        <v>80</v>
      </c>
      <c r="T40" t="s">
        <v>35</v>
      </c>
    </row>
    <row r="41" spans="1:20" x14ac:dyDescent="0.25">
      <c r="A41">
        <v>8001070</v>
      </c>
      <c r="B41" t="s">
        <v>33</v>
      </c>
      <c r="C41">
        <v>1201</v>
      </c>
      <c r="D41">
        <v>55044406</v>
      </c>
      <c r="E41" t="s">
        <v>82</v>
      </c>
      <c r="F41" s="1">
        <v>39580</v>
      </c>
      <c r="I41" t="s">
        <v>35</v>
      </c>
      <c r="J41" t="s">
        <v>35</v>
      </c>
      <c r="K41" t="s">
        <v>35</v>
      </c>
      <c r="M41" t="s">
        <v>36</v>
      </c>
      <c r="O41" t="s">
        <v>37</v>
      </c>
      <c r="P41">
        <v>1201</v>
      </c>
      <c r="R41" t="s">
        <v>49</v>
      </c>
      <c r="T41" t="s">
        <v>35</v>
      </c>
    </row>
    <row r="42" spans="1:20" x14ac:dyDescent="0.25">
      <c r="A42">
        <v>8001073</v>
      </c>
      <c r="B42" t="s">
        <v>33</v>
      </c>
      <c r="C42">
        <v>1201</v>
      </c>
      <c r="D42">
        <v>55177292</v>
      </c>
      <c r="E42" t="s">
        <v>83</v>
      </c>
      <c r="F42" s="1">
        <v>39590</v>
      </c>
      <c r="H42">
        <v>53000075</v>
      </c>
      <c r="I42" t="s">
        <v>35</v>
      </c>
      <c r="J42" t="s">
        <v>35</v>
      </c>
      <c r="K42" t="s">
        <v>35</v>
      </c>
      <c r="M42" t="s">
        <v>36</v>
      </c>
      <c r="O42" t="s">
        <v>36</v>
      </c>
      <c r="P42">
        <v>1201</v>
      </c>
      <c r="R42" t="s">
        <v>49</v>
      </c>
      <c r="T42" t="s">
        <v>35</v>
      </c>
    </row>
    <row r="43" spans="1:20" x14ac:dyDescent="0.25">
      <c r="A43">
        <v>8001080</v>
      </c>
      <c r="B43" t="s">
        <v>33</v>
      </c>
      <c r="C43">
        <v>1201</v>
      </c>
      <c r="D43">
        <v>55178261</v>
      </c>
      <c r="E43" t="s">
        <v>84</v>
      </c>
      <c r="F43" s="1">
        <v>39596</v>
      </c>
      <c r="H43">
        <v>53000129</v>
      </c>
      <c r="I43" t="s">
        <v>35</v>
      </c>
      <c r="J43" t="s">
        <v>35</v>
      </c>
      <c r="K43" t="s">
        <v>35</v>
      </c>
      <c r="L43" s="2">
        <v>19659.09</v>
      </c>
      <c r="M43" t="s">
        <v>36</v>
      </c>
      <c r="O43" t="s">
        <v>36</v>
      </c>
      <c r="P43">
        <v>1201</v>
      </c>
      <c r="R43" t="s">
        <v>38</v>
      </c>
      <c r="T43" t="s">
        <v>35</v>
      </c>
    </row>
    <row r="44" spans="1:20" x14ac:dyDescent="0.25">
      <c r="A44">
        <v>8001085</v>
      </c>
      <c r="B44" t="s">
        <v>33</v>
      </c>
      <c r="C44">
        <v>1201</v>
      </c>
      <c r="D44">
        <v>54000462</v>
      </c>
      <c r="E44" t="s">
        <v>85</v>
      </c>
      <c r="F44" s="1">
        <v>39605</v>
      </c>
      <c r="H44">
        <v>53000129</v>
      </c>
      <c r="I44" t="s">
        <v>35</v>
      </c>
      <c r="J44" t="s">
        <v>35</v>
      </c>
      <c r="K44" t="s">
        <v>35</v>
      </c>
      <c r="L44">
        <v>896.04</v>
      </c>
      <c r="M44" t="s">
        <v>36</v>
      </c>
      <c r="N44" s="2">
        <v>8350160</v>
      </c>
      <c r="O44" t="s">
        <v>37</v>
      </c>
      <c r="P44">
        <v>1201</v>
      </c>
      <c r="R44" t="s">
        <v>38</v>
      </c>
      <c r="T44" t="s">
        <v>35</v>
      </c>
    </row>
    <row r="45" spans="1:20" x14ac:dyDescent="0.25">
      <c r="A45">
        <v>8001091</v>
      </c>
      <c r="B45" t="s">
        <v>33</v>
      </c>
      <c r="C45">
        <v>1201</v>
      </c>
      <c r="D45">
        <v>55044692</v>
      </c>
      <c r="E45" t="s">
        <v>86</v>
      </c>
      <c r="F45" s="1">
        <v>39647</v>
      </c>
      <c r="I45" t="s">
        <v>35</v>
      </c>
      <c r="J45" t="s">
        <v>35</v>
      </c>
      <c r="K45" t="s">
        <v>35</v>
      </c>
      <c r="L45" s="2">
        <v>42276</v>
      </c>
      <c r="M45" t="s">
        <v>36</v>
      </c>
      <c r="O45" t="s">
        <v>36</v>
      </c>
      <c r="P45">
        <v>1201</v>
      </c>
      <c r="R45" t="s">
        <v>38</v>
      </c>
      <c r="T45" t="s">
        <v>35</v>
      </c>
    </row>
    <row r="46" spans="1:20" x14ac:dyDescent="0.25">
      <c r="A46">
        <v>8001094</v>
      </c>
      <c r="B46" t="s">
        <v>33</v>
      </c>
      <c r="C46">
        <v>1201</v>
      </c>
      <c r="D46">
        <v>55111007</v>
      </c>
      <c r="E46" t="s">
        <v>87</v>
      </c>
      <c r="F46" s="1">
        <v>39653</v>
      </c>
      <c r="I46" t="s">
        <v>35</v>
      </c>
      <c r="J46" t="s">
        <v>35</v>
      </c>
      <c r="K46" t="s">
        <v>35</v>
      </c>
      <c r="L46" s="2">
        <v>7373.75</v>
      </c>
      <c r="M46" t="s">
        <v>36</v>
      </c>
      <c r="N46" s="2">
        <v>67356425</v>
      </c>
      <c r="O46" t="s">
        <v>37</v>
      </c>
      <c r="P46">
        <v>1201</v>
      </c>
      <c r="R46" t="s">
        <v>38</v>
      </c>
      <c r="T46" t="s">
        <v>35</v>
      </c>
    </row>
    <row r="47" spans="1:20" x14ac:dyDescent="0.25">
      <c r="A47">
        <v>8001109</v>
      </c>
      <c r="B47" t="s">
        <v>33</v>
      </c>
      <c r="C47">
        <v>1201</v>
      </c>
      <c r="D47">
        <v>55201897</v>
      </c>
      <c r="E47" t="s">
        <v>88</v>
      </c>
      <c r="F47" s="1">
        <v>39679</v>
      </c>
      <c r="I47" t="s">
        <v>35</v>
      </c>
      <c r="J47" t="s">
        <v>35</v>
      </c>
      <c r="K47" t="s">
        <v>35</v>
      </c>
      <c r="L47" s="2">
        <v>5455.8</v>
      </c>
      <c r="M47" t="s">
        <v>36</v>
      </c>
      <c r="N47" s="2">
        <v>50053200</v>
      </c>
      <c r="O47" t="s">
        <v>37</v>
      </c>
      <c r="P47">
        <v>1201</v>
      </c>
      <c r="R47" t="s">
        <v>38</v>
      </c>
      <c r="T47" t="s">
        <v>35</v>
      </c>
    </row>
    <row r="48" spans="1:20" x14ac:dyDescent="0.25">
      <c r="A48">
        <v>8001112</v>
      </c>
      <c r="B48" t="s">
        <v>33</v>
      </c>
      <c r="C48">
        <v>1201</v>
      </c>
      <c r="D48">
        <v>55177807</v>
      </c>
      <c r="E48" t="s">
        <v>89</v>
      </c>
      <c r="F48" s="1">
        <v>39686</v>
      </c>
      <c r="G48">
        <v>1201</v>
      </c>
      <c r="I48" t="s">
        <v>35</v>
      </c>
      <c r="J48" t="s">
        <v>35</v>
      </c>
      <c r="K48" t="s">
        <v>35</v>
      </c>
      <c r="M48" t="s">
        <v>36</v>
      </c>
      <c r="O48" t="s">
        <v>37</v>
      </c>
      <c r="P48">
        <v>1201</v>
      </c>
      <c r="R48" t="s">
        <v>90</v>
      </c>
      <c r="T48" t="s">
        <v>35</v>
      </c>
    </row>
    <row r="49" spans="1:20" x14ac:dyDescent="0.25">
      <c r="A49">
        <v>8001118</v>
      </c>
      <c r="B49" t="s">
        <v>33</v>
      </c>
      <c r="C49">
        <v>1201</v>
      </c>
      <c r="D49">
        <v>54001311</v>
      </c>
      <c r="E49" t="s">
        <v>91</v>
      </c>
      <c r="F49" s="1">
        <v>39694</v>
      </c>
      <c r="I49" t="s">
        <v>35</v>
      </c>
      <c r="J49" t="s">
        <v>35</v>
      </c>
      <c r="K49" t="s">
        <v>35</v>
      </c>
      <c r="M49" t="s">
        <v>36</v>
      </c>
      <c r="O49" t="s">
        <v>36</v>
      </c>
      <c r="P49">
        <v>1201</v>
      </c>
      <c r="R49" t="s">
        <v>92</v>
      </c>
      <c r="T49" t="s">
        <v>35</v>
      </c>
    </row>
    <row r="50" spans="1:20" x14ac:dyDescent="0.25">
      <c r="A50">
        <v>8001119</v>
      </c>
      <c r="B50" t="s">
        <v>33</v>
      </c>
      <c r="C50">
        <v>1201</v>
      </c>
      <c r="D50">
        <v>55063455</v>
      </c>
      <c r="E50" t="s">
        <v>93</v>
      </c>
      <c r="F50" s="1">
        <v>39695</v>
      </c>
      <c r="I50" t="s">
        <v>35</v>
      </c>
      <c r="J50" t="s">
        <v>35</v>
      </c>
      <c r="K50" t="s">
        <v>35</v>
      </c>
      <c r="L50" s="2">
        <v>1083.8499999999999</v>
      </c>
      <c r="M50" t="s">
        <v>36</v>
      </c>
      <c r="O50" t="s">
        <v>36</v>
      </c>
      <c r="P50">
        <v>1201</v>
      </c>
      <c r="R50" t="s">
        <v>38</v>
      </c>
      <c r="T50" t="s">
        <v>35</v>
      </c>
    </row>
    <row r="51" spans="1:20" x14ac:dyDescent="0.25">
      <c r="A51">
        <v>8001122</v>
      </c>
      <c r="B51" t="s">
        <v>33</v>
      </c>
      <c r="C51">
        <v>1201</v>
      </c>
      <c r="D51">
        <v>54000981</v>
      </c>
      <c r="E51" t="s">
        <v>94</v>
      </c>
      <c r="F51" s="1">
        <v>39695</v>
      </c>
      <c r="I51" t="s">
        <v>35</v>
      </c>
      <c r="J51" t="s">
        <v>35</v>
      </c>
      <c r="K51" t="s">
        <v>35</v>
      </c>
      <c r="M51" t="s">
        <v>36</v>
      </c>
      <c r="O51" t="s">
        <v>37</v>
      </c>
      <c r="P51">
        <v>1201</v>
      </c>
      <c r="R51" t="s">
        <v>49</v>
      </c>
      <c r="T51" t="s">
        <v>35</v>
      </c>
    </row>
    <row r="52" spans="1:20" x14ac:dyDescent="0.25">
      <c r="A52">
        <v>8001131</v>
      </c>
      <c r="B52" t="s">
        <v>33</v>
      </c>
      <c r="C52">
        <v>1201</v>
      </c>
      <c r="D52">
        <v>55201846</v>
      </c>
      <c r="E52" t="s">
        <v>95</v>
      </c>
      <c r="F52" s="1">
        <v>39706</v>
      </c>
      <c r="I52" t="s">
        <v>35</v>
      </c>
      <c r="J52" t="s">
        <v>35</v>
      </c>
      <c r="K52" t="s">
        <v>35</v>
      </c>
      <c r="M52" t="s">
        <v>36</v>
      </c>
      <c r="O52" t="s">
        <v>36</v>
      </c>
      <c r="P52">
        <v>1201</v>
      </c>
      <c r="R52" t="s">
        <v>38</v>
      </c>
      <c r="T52" t="s">
        <v>35</v>
      </c>
    </row>
    <row r="53" spans="1:20" x14ac:dyDescent="0.25">
      <c r="A53">
        <v>8001132</v>
      </c>
      <c r="B53" t="s">
        <v>33</v>
      </c>
      <c r="C53">
        <v>1201</v>
      </c>
      <c r="D53">
        <v>55202110</v>
      </c>
      <c r="E53" t="s">
        <v>96</v>
      </c>
      <c r="F53" s="1">
        <v>39707</v>
      </c>
      <c r="I53" t="s">
        <v>35</v>
      </c>
      <c r="J53" t="s">
        <v>35</v>
      </c>
      <c r="K53" t="s">
        <v>35</v>
      </c>
      <c r="L53" s="2">
        <v>5774.4</v>
      </c>
      <c r="M53" t="s">
        <v>36</v>
      </c>
      <c r="O53" t="s">
        <v>36</v>
      </c>
      <c r="P53">
        <v>1201</v>
      </c>
      <c r="R53" t="s">
        <v>38</v>
      </c>
      <c r="T53" t="s">
        <v>35</v>
      </c>
    </row>
    <row r="54" spans="1:20" x14ac:dyDescent="0.25">
      <c r="A54">
        <v>8001133</v>
      </c>
      <c r="B54" t="s">
        <v>33</v>
      </c>
      <c r="C54">
        <v>1201</v>
      </c>
      <c r="D54">
        <v>55181427</v>
      </c>
      <c r="E54" t="s">
        <v>97</v>
      </c>
      <c r="F54" s="1">
        <v>39708</v>
      </c>
      <c r="I54" t="s">
        <v>35</v>
      </c>
      <c r="J54" t="s">
        <v>35</v>
      </c>
      <c r="K54" t="s">
        <v>35</v>
      </c>
      <c r="L54" s="2">
        <v>1024.71</v>
      </c>
      <c r="M54" t="s">
        <v>36</v>
      </c>
      <c r="N54" s="2">
        <v>9697500</v>
      </c>
      <c r="O54" t="s">
        <v>37</v>
      </c>
      <c r="P54">
        <v>1201</v>
      </c>
      <c r="R54" t="s">
        <v>38</v>
      </c>
      <c r="T54" t="s">
        <v>35</v>
      </c>
    </row>
    <row r="55" spans="1:20" x14ac:dyDescent="0.25">
      <c r="A55">
        <v>8001139</v>
      </c>
      <c r="B55" t="s">
        <v>33</v>
      </c>
      <c r="C55">
        <v>1201</v>
      </c>
      <c r="D55">
        <v>55205572</v>
      </c>
      <c r="E55" t="s">
        <v>98</v>
      </c>
      <c r="F55" s="1">
        <v>39710</v>
      </c>
      <c r="I55" t="s">
        <v>35</v>
      </c>
      <c r="J55" t="s">
        <v>35</v>
      </c>
      <c r="K55" t="s">
        <v>35</v>
      </c>
      <c r="M55" t="s">
        <v>36</v>
      </c>
      <c r="O55" t="s">
        <v>37</v>
      </c>
      <c r="P55">
        <v>1201</v>
      </c>
      <c r="R55" t="s">
        <v>49</v>
      </c>
      <c r="T55" t="s">
        <v>35</v>
      </c>
    </row>
    <row r="56" spans="1:20" x14ac:dyDescent="0.25">
      <c r="A56">
        <v>8001149</v>
      </c>
      <c r="B56" t="s">
        <v>33</v>
      </c>
      <c r="C56">
        <v>1201</v>
      </c>
      <c r="D56">
        <v>55208116</v>
      </c>
      <c r="E56" t="s">
        <v>99</v>
      </c>
      <c r="F56" s="1">
        <v>39750</v>
      </c>
      <c r="I56" t="s">
        <v>35</v>
      </c>
      <c r="J56" t="s">
        <v>35</v>
      </c>
      <c r="K56" t="s">
        <v>35</v>
      </c>
      <c r="M56" t="s">
        <v>36</v>
      </c>
      <c r="O56" t="s">
        <v>37</v>
      </c>
      <c r="P56">
        <v>1201</v>
      </c>
      <c r="R56" t="s">
        <v>49</v>
      </c>
      <c r="T56" t="s">
        <v>35</v>
      </c>
    </row>
    <row r="57" spans="1:20" x14ac:dyDescent="0.25">
      <c r="A57">
        <v>8001159</v>
      </c>
      <c r="B57" t="s">
        <v>33</v>
      </c>
      <c r="C57">
        <v>1201</v>
      </c>
      <c r="D57">
        <v>55210267</v>
      </c>
      <c r="E57" t="s">
        <v>100</v>
      </c>
      <c r="F57" s="1">
        <v>39759</v>
      </c>
      <c r="I57" t="s">
        <v>35</v>
      </c>
      <c r="J57" t="s">
        <v>35</v>
      </c>
      <c r="K57" t="s">
        <v>35</v>
      </c>
      <c r="L57" s="2">
        <v>18766.439999999999</v>
      </c>
      <c r="M57" t="s">
        <v>36</v>
      </c>
      <c r="N57" s="2">
        <v>208269650</v>
      </c>
      <c r="O57" t="s">
        <v>37</v>
      </c>
      <c r="P57">
        <v>1201</v>
      </c>
      <c r="R57" t="s">
        <v>38</v>
      </c>
      <c r="T57" t="s">
        <v>35</v>
      </c>
    </row>
    <row r="58" spans="1:20" x14ac:dyDescent="0.25">
      <c r="A58">
        <v>8001191</v>
      </c>
      <c r="B58" t="s">
        <v>33</v>
      </c>
      <c r="C58">
        <v>1201</v>
      </c>
      <c r="D58">
        <v>55226234</v>
      </c>
      <c r="E58" t="s">
        <v>101</v>
      </c>
      <c r="F58" s="1">
        <v>39778</v>
      </c>
      <c r="I58" t="s">
        <v>35</v>
      </c>
      <c r="J58" t="s">
        <v>35</v>
      </c>
      <c r="K58" t="s">
        <v>35</v>
      </c>
      <c r="M58" t="s">
        <v>36</v>
      </c>
      <c r="O58" t="s">
        <v>36</v>
      </c>
      <c r="P58">
        <v>1201</v>
      </c>
      <c r="R58" t="s">
        <v>38</v>
      </c>
      <c r="T58" t="s">
        <v>35</v>
      </c>
    </row>
    <row r="59" spans="1:20" x14ac:dyDescent="0.25">
      <c r="A59">
        <v>9001004</v>
      </c>
      <c r="B59" t="s">
        <v>33</v>
      </c>
      <c r="C59">
        <v>1201</v>
      </c>
      <c r="D59">
        <v>55221530</v>
      </c>
      <c r="E59" t="s">
        <v>102</v>
      </c>
      <c r="F59" s="1">
        <v>39822</v>
      </c>
      <c r="I59" t="s">
        <v>35</v>
      </c>
      <c r="J59" t="s">
        <v>35</v>
      </c>
      <c r="K59" t="s">
        <v>35</v>
      </c>
      <c r="L59" s="2">
        <v>13862.46</v>
      </c>
      <c r="M59" t="s">
        <v>36</v>
      </c>
      <c r="N59" s="2">
        <v>151668000</v>
      </c>
      <c r="O59" t="s">
        <v>37</v>
      </c>
      <c r="P59">
        <v>1201</v>
      </c>
      <c r="R59" t="s">
        <v>103</v>
      </c>
      <c r="T59" t="s">
        <v>35</v>
      </c>
    </row>
    <row r="60" spans="1:20" x14ac:dyDescent="0.25">
      <c r="A60">
        <v>9001014</v>
      </c>
      <c r="B60" t="s">
        <v>33</v>
      </c>
      <c r="C60">
        <v>1201</v>
      </c>
      <c r="D60">
        <v>54000944</v>
      </c>
      <c r="E60" t="s">
        <v>104</v>
      </c>
      <c r="F60" s="1">
        <v>39835</v>
      </c>
      <c r="I60" t="s">
        <v>35</v>
      </c>
      <c r="J60" t="s">
        <v>35</v>
      </c>
      <c r="K60" t="s">
        <v>35</v>
      </c>
      <c r="L60" s="2">
        <v>1328.07</v>
      </c>
      <c r="M60" t="s">
        <v>36</v>
      </c>
      <c r="N60" s="2">
        <v>14922000</v>
      </c>
      <c r="O60" t="s">
        <v>37</v>
      </c>
      <c r="P60">
        <v>1201</v>
      </c>
      <c r="R60" t="s">
        <v>103</v>
      </c>
      <c r="T60" t="s">
        <v>35</v>
      </c>
    </row>
    <row r="61" spans="1:20" x14ac:dyDescent="0.25">
      <c r="A61">
        <v>9001021</v>
      </c>
      <c r="B61" t="s">
        <v>33</v>
      </c>
      <c r="C61">
        <v>1201</v>
      </c>
      <c r="D61">
        <v>55226242</v>
      </c>
      <c r="E61" t="s">
        <v>105</v>
      </c>
      <c r="F61" s="1">
        <v>39847</v>
      </c>
      <c r="I61" t="s">
        <v>35</v>
      </c>
      <c r="J61" t="s">
        <v>35</v>
      </c>
      <c r="K61" t="s">
        <v>35</v>
      </c>
      <c r="L61" s="2">
        <v>11095.76</v>
      </c>
      <c r="M61" t="s">
        <v>36</v>
      </c>
      <c r="N61" s="2">
        <v>129837500</v>
      </c>
      <c r="O61" t="s">
        <v>37</v>
      </c>
      <c r="P61">
        <v>1201</v>
      </c>
      <c r="R61" t="s">
        <v>103</v>
      </c>
      <c r="T61" t="s">
        <v>35</v>
      </c>
    </row>
    <row r="62" spans="1:20" x14ac:dyDescent="0.25">
      <c r="A62">
        <v>9001026</v>
      </c>
      <c r="B62" t="s">
        <v>33</v>
      </c>
      <c r="C62">
        <v>1201</v>
      </c>
      <c r="D62">
        <v>55228029</v>
      </c>
      <c r="E62" t="s">
        <v>106</v>
      </c>
      <c r="F62" s="1">
        <v>39849</v>
      </c>
      <c r="I62" t="s">
        <v>35</v>
      </c>
      <c r="J62" t="s">
        <v>35</v>
      </c>
      <c r="K62" t="s">
        <v>35</v>
      </c>
      <c r="L62" s="2">
        <v>14279.95</v>
      </c>
      <c r="M62" t="s">
        <v>36</v>
      </c>
      <c r="N62" s="2">
        <v>166849000</v>
      </c>
      <c r="O62" t="s">
        <v>37</v>
      </c>
      <c r="P62">
        <v>1201</v>
      </c>
      <c r="R62" t="s">
        <v>103</v>
      </c>
      <c r="T62" t="s">
        <v>35</v>
      </c>
    </row>
    <row r="63" spans="1:20" x14ac:dyDescent="0.25">
      <c r="A63">
        <v>9001030</v>
      </c>
      <c r="B63" t="s">
        <v>33</v>
      </c>
      <c r="C63">
        <v>1201</v>
      </c>
      <c r="D63">
        <v>55228897</v>
      </c>
      <c r="E63" t="s">
        <v>107</v>
      </c>
      <c r="F63" s="1">
        <v>39853</v>
      </c>
      <c r="I63" t="s">
        <v>35</v>
      </c>
      <c r="J63" t="s">
        <v>35</v>
      </c>
      <c r="K63" t="s">
        <v>35</v>
      </c>
      <c r="L63" s="2">
        <v>6962.69</v>
      </c>
      <c r="M63" t="s">
        <v>36</v>
      </c>
      <c r="N63" s="2">
        <v>81804950</v>
      </c>
      <c r="O63" t="s">
        <v>37</v>
      </c>
      <c r="P63">
        <v>1201</v>
      </c>
      <c r="R63" t="s">
        <v>103</v>
      </c>
      <c r="T63" t="s">
        <v>35</v>
      </c>
    </row>
    <row r="64" spans="1:20" x14ac:dyDescent="0.25">
      <c r="A64">
        <v>9001031</v>
      </c>
      <c r="B64" t="s">
        <v>33</v>
      </c>
      <c r="C64">
        <v>1201</v>
      </c>
      <c r="D64">
        <v>55229048</v>
      </c>
      <c r="E64" t="s">
        <v>108</v>
      </c>
      <c r="F64" s="1">
        <v>39855</v>
      </c>
      <c r="I64" t="s">
        <v>35</v>
      </c>
      <c r="J64" t="s">
        <v>35</v>
      </c>
      <c r="K64" t="s">
        <v>35</v>
      </c>
      <c r="L64" s="2">
        <v>1798.28</v>
      </c>
      <c r="M64" t="s">
        <v>36</v>
      </c>
      <c r="N64" s="2">
        <v>21166250</v>
      </c>
      <c r="O64" t="s">
        <v>37</v>
      </c>
      <c r="P64">
        <v>1201</v>
      </c>
      <c r="R64" t="s">
        <v>80</v>
      </c>
      <c r="T64" t="s">
        <v>35</v>
      </c>
    </row>
    <row r="65" spans="1:20" x14ac:dyDescent="0.25">
      <c r="A65">
        <v>9001040</v>
      </c>
      <c r="B65" t="s">
        <v>33</v>
      </c>
      <c r="C65">
        <v>1201</v>
      </c>
      <c r="D65">
        <v>55229638</v>
      </c>
      <c r="E65" t="s">
        <v>109</v>
      </c>
      <c r="F65" s="1">
        <v>39862</v>
      </c>
      <c r="I65" t="s">
        <v>35</v>
      </c>
      <c r="J65" t="s">
        <v>35</v>
      </c>
      <c r="K65" t="s">
        <v>35</v>
      </c>
      <c r="L65" s="2">
        <v>1815.45</v>
      </c>
      <c r="M65" t="s">
        <v>36</v>
      </c>
      <c r="N65" s="2">
        <v>21612500</v>
      </c>
      <c r="O65" t="s">
        <v>37</v>
      </c>
      <c r="P65">
        <v>1201</v>
      </c>
      <c r="R65" t="s">
        <v>103</v>
      </c>
      <c r="T65" t="s">
        <v>35</v>
      </c>
    </row>
    <row r="66" spans="1:20" x14ac:dyDescent="0.25">
      <c r="A66">
        <v>9001047</v>
      </c>
      <c r="B66" t="s">
        <v>33</v>
      </c>
      <c r="C66">
        <v>1201</v>
      </c>
      <c r="D66">
        <v>55235544</v>
      </c>
      <c r="E66" t="s">
        <v>110</v>
      </c>
      <c r="F66" s="1">
        <v>39882</v>
      </c>
      <c r="I66" t="s">
        <v>35</v>
      </c>
      <c r="J66" t="s">
        <v>35</v>
      </c>
      <c r="K66" t="s">
        <v>35</v>
      </c>
      <c r="L66">
        <v>589.47</v>
      </c>
      <c r="M66" t="s">
        <v>36</v>
      </c>
      <c r="N66" s="2">
        <v>7111425</v>
      </c>
      <c r="O66" t="s">
        <v>37</v>
      </c>
      <c r="P66">
        <v>1201</v>
      </c>
      <c r="R66" t="s">
        <v>103</v>
      </c>
      <c r="T66" t="s">
        <v>35</v>
      </c>
    </row>
    <row r="67" spans="1:20" x14ac:dyDescent="0.25">
      <c r="A67">
        <v>9001049</v>
      </c>
      <c r="B67" t="s">
        <v>33</v>
      </c>
      <c r="C67">
        <v>1201</v>
      </c>
      <c r="D67">
        <v>54000371</v>
      </c>
      <c r="E67" t="s">
        <v>111</v>
      </c>
      <c r="F67" s="1">
        <v>39882</v>
      </c>
      <c r="I67" t="s">
        <v>35</v>
      </c>
      <c r="J67" t="s">
        <v>35</v>
      </c>
      <c r="K67" t="s">
        <v>35</v>
      </c>
      <c r="L67" s="2">
        <v>1244.21</v>
      </c>
      <c r="M67" t="s">
        <v>36</v>
      </c>
      <c r="N67" s="2">
        <v>15010475</v>
      </c>
      <c r="O67" t="s">
        <v>37</v>
      </c>
      <c r="P67">
        <v>1201</v>
      </c>
      <c r="R67" t="s">
        <v>103</v>
      </c>
      <c r="T67" t="s">
        <v>35</v>
      </c>
    </row>
    <row r="68" spans="1:20" x14ac:dyDescent="0.25">
      <c r="A68">
        <v>9001054</v>
      </c>
      <c r="B68" t="s">
        <v>33</v>
      </c>
      <c r="C68">
        <v>1201</v>
      </c>
      <c r="D68">
        <v>55047738</v>
      </c>
      <c r="E68" t="s">
        <v>112</v>
      </c>
      <c r="F68" s="1">
        <v>39892</v>
      </c>
      <c r="I68" t="s">
        <v>35</v>
      </c>
      <c r="J68" t="s">
        <v>35</v>
      </c>
      <c r="K68" t="s">
        <v>35</v>
      </c>
      <c r="L68">
        <v>197.26</v>
      </c>
      <c r="M68" t="s">
        <v>36</v>
      </c>
      <c r="N68" s="2">
        <v>2347500</v>
      </c>
      <c r="O68" t="s">
        <v>37</v>
      </c>
      <c r="P68">
        <v>1201</v>
      </c>
      <c r="R68" t="s">
        <v>103</v>
      </c>
      <c r="T68" t="s">
        <v>35</v>
      </c>
    </row>
    <row r="69" spans="1:20" x14ac:dyDescent="0.25">
      <c r="A69">
        <v>9001077</v>
      </c>
      <c r="B69" t="s">
        <v>33</v>
      </c>
      <c r="C69">
        <v>1201</v>
      </c>
      <c r="D69">
        <v>55205652</v>
      </c>
      <c r="E69" t="s">
        <v>113</v>
      </c>
      <c r="F69" s="1">
        <v>39917</v>
      </c>
      <c r="I69" t="s">
        <v>35</v>
      </c>
      <c r="J69" t="s">
        <v>35</v>
      </c>
      <c r="K69" t="s">
        <v>35</v>
      </c>
      <c r="L69" s="2">
        <v>1454.35</v>
      </c>
      <c r="M69" t="s">
        <v>36</v>
      </c>
      <c r="N69" s="2">
        <v>16187600</v>
      </c>
      <c r="O69" t="s">
        <v>37</v>
      </c>
      <c r="P69">
        <v>1201</v>
      </c>
      <c r="R69" t="s">
        <v>103</v>
      </c>
      <c r="T69" t="s">
        <v>35</v>
      </c>
    </row>
    <row r="70" spans="1:20" x14ac:dyDescent="0.25">
      <c r="A70">
        <v>9001084</v>
      </c>
      <c r="B70" t="s">
        <v>33</v>
      </c>
      <c r="C70">
        <v>1201</v>
      </c>
      <c r="D70">
        <v>54000775</v>
      </c>
      <c r="E70" t="s">
        <v>114</v>
      </c>
      <c r="F70" s="1">
        <v>39919</v>
      </c>
      <c r="I70" t="s">
        <v>35</v>
      </c>
      <c r="J70" t="s">
        <v>35</v>
      </c>
      <c r="K70" t="s">
        <v>35</v>
      </c>
      <c r="L70" s="2">
        <v>1303.78</v>
      </c>
      <c r="M70" t="s">
        <v>36</v>
      </c>
      <c r="N70" s="2">
        <v>14187000</v>
      </c>
      <c r="O70" t="s">
        <v>37</v>
      </c>
      <c r="P70">
        <v>1201</v>
      </c>
      <c r="R70" t="s">
        <v>103</v>
      </c>
      <c r="T70" t="s">
        <v>35</v>
      </c>
    </row>
    <row r="71" spans="1:20" x14ac:dyDescent="0.25">
      <c r="A71">
        <v>9001097</v>
      </c>
      <c r="B71" t="s">
        <v>33</v>
      </c>
      <c r="C71">
        <v>1201</v>
      </c>
      <c r="D71">
        <v>55243991</v>
      </c>
      <c r="E71" t="s">
        <v>115</v>
      </c>
      <c r="F71" s="1">
        <v>39930</v>
      </c>
      <c r="I71" t="s">
        <v>35</v>
      </c>
      <c r="J71" t="s">
        <v>35</v>
      </c>
      <c r="K71" t="s">
        <v>35</v>
      </c>
      <c r="L71" s="2">
        <v>19688.45</v>
      </c>
      <c r="M71" t="s">
        <v>36</v>
      </c>
      <c r="O71" t="s">
        <v>36</v>
      </c>
      <c r="P71">
        <v>1201</v>
      </c>
      <c r="R71" t="s">
        <v>103</v>
      </c>
      <c r="T71" t="s">
        <v>35</v>
      </c>
    </row>
    <row r="72" spans="1:20" x14ac:dyDescent="0.25">
      <c r="A72">
        <v>9001116</v>
      </c>
      <c r="B72" t="s">
        <v>33</v>
      </c>
      <c r="C72">
        <v>1201</v>
      </c>
      <c r="D72">
        <v>55254260</v>
      </c>
      <c r="E72" t="s">
        <v>116</v>
      </c>
      <c r="F72" s="1">
        <v>39966</v>
      </c>
      <c r="I72" t="s">
        <v>35</v>
      </c>
      <c r="J72" t="s">
        <v>35</v>
      </c>
      <c r="K72" t="s">
        <v>35</v>
      </c>
      <c r="L72" s="2">
        <v>2055.46</v>
      </c>
      <c r="M72" t="s">
        <v>36</v>
      </c>
      <c r="N72" s="2">
        <v>21096000</v>
      </c>
      <c r="O72" t="s">
        <v>37</v>
      </c>
      <c r="P72">
        <v>1201</v>
      </c>
      <c r="R72" t="s">
        <v>103</v>
      </c>
      <c r="T72" t="s">
        <v>35</v>
      </c>
    </row>
    <row r="73" spans="1:20" x14ac:dyDescent="0.25">
      <c r="A73">
        <v>9001117</v>
      </c>
      <c r="B73" t="s">
        <v>33</v>
      </c>
      <c r="C73">
        <v>1201</v>
      </c>
      <c r="D73">
        <v>55254761</v>
      </c>
      <c r="E73" t="s">
        <v>117</v>
      </c>
      <c r="F73" s="1">
        <v>39972</v>
      </c>
      <c r="I73" t="s">
        <v>35</v>
      </c>
      <c r="J73" t="s">
        <v>35</v>
      </c>
      <c r="K73" t="s">
        <v>35</v>
      </c>
      <c r="L73" s="2">
        <v>1294.3499999999999</v>
      </c>
      <c r="M73" t="s">
        <v>36</v>
      </c>
      <c r="N73" s="2">
        <v>13438700</v>
      </c>
      <c r="O73" t="s">
        <v>37</v>
      </c>
      <c r="P73">
        <v>1201</v>
      </c>
      <c r="R73" t="s">
        <v>49</v>
      </c>
      <c r="T73" t="s">
        <v>35</v>
      </c>
    </row>
    <row r="74" spans="1:20" x14ac:dyDescent="0.25">
      <c r="A74">
        <v>9001121</v>
      </c>
      <c r="B74" t="s">
        <v>33</v>
      </c>
      <c r="C74">
        <v>1201</v>
      </c>
      <c r="D74">
        <v>55254833</v>
      </c>
      <c r="E74" t="s">
        <v>118</v>
      </c>
      <c r="F74" s="1">
        <v>39973</v>
      </c>
      <c r="I74" t="s">
        <v>35</v>
      </c>
      <c r="J74" t="s">
        <v>35</v>
      </c>
      <c r="K74" t="s">
        <v>35</v>
      </c>
      <c r="M74" t="s">
        <v>36</v>
      </c>
      <c r="O74" t="s">
        <v>36</v>
      </c>
      <c r="P74">
        <v>1201</v>
      </c>
      <c r="R74" t="s">
        <v>69</v>
      </c>
      <c r="T74" t="s">
        <v>35</v>
      </c>
    </row>
    <row r="75" spans="1:20" x14ac:dyDescent="0.25">
      <c r="A75">
        <v>9001125</v>
      </c>
      <c r="B75" t="s">
        <v>33</v>
      </c>
      <c r="C75">
        <v>1201</v>
      </c>
      <c r="D75">
        <v>55099722</v>
      </c>
      <c r="E75" t="s">
        <v>119</v>
      </c>
      <c r="F75" s="1">
        <v>39974</v>
      </c>
      <c r="I75" t="s">
        <v>35</v>
      </c>
      <c r="J75" t="s">
        <v>35</v>
      </c>
      <c r="K75" t="s">
        <v>35</v>
      </c>
      <c r="M75" t="s">
        <v>36</v>
      </c>
      <c r="O75" t="s">
        <v>36</v>
      </c>
      <c r="P75">
        <v>1201</v>
      </c>
      <c r="R75" t="s">
        <v>69</v>
      </c>
      <c r="T75" t="s">
        <v>35</v>
      </c>
    </row>
    <row r="76" spans="1:20" x14ac:dyDescent="0.25">
      <c r="A76">
        <v>9001146</v>
      </c>
      <c r="B76" t="s">
        <v>33</v>
      </c>
      <c r="C76">
        <v>1201</v>
      </c>
      <c r="D76">
        <v>55264628</v>
      </c>
      <c r="E76" t="s">
        <v>120</v>
      </c>
      <c r="F76" s="1">
        <v>40017</v>
      </c>
      <c r="I76" t="s">
        <v>35</v>
      </c>
      <c r="J76" t="s">
        <v>35</v>
      </c>
      <c r="K76" t="s">
        <v>35</v>
      </c>
      <c r="M76" t="s">
        <v>36</v>
      </c>
      <c r="O76" t="s">
        <v>37</v>
      </c>
      <c r="P76">
        <v>1201</v>
      </c>
      <c r="R76" t="s">
        <v>80</v>
      </c>
      <c r="T76" t="s">
        <v>35</v>
      </c>
    </row>
    <row r="77" spans="1:20" x14ac:dyDescent="0.25">
      <c r="A77">
        <v>9001216</v>
      </c>
      <c r="B77" t="s">
        <v>33</v>
      </c>
      <c r="C77">
        <v>1201</v>
      </c>
      <c r="D77">
        <v>55274640</v>
      </c>
      <c r="E77" t="s">
        <v>121</v>
      </c>
      <c r="F77" s="1">
        <v>40106</v>
      </c>
      <c r="I77" t="s">
        <v>35</v>
      </c>
      <c r="J77" t="s">
        <v>35</v>
      </c>
      <c r="K77" t="s">
        <v>35</v>
      </c>
      <c r="L77" s="2">
        <v>46527.79</v>
      </c>
      <c r="M77" t="s">
        <v>36</v>
      </c>
      <c r="N77" s="2">
        <v>440953112.5</v>
      </c>
      <c r="O77" t="s">
        <v>37</v>
      </c>
      <c r="P77">
        <v>1201</v>
      </c>
      <c r="R77" t="s">
        <v>103</v>
      </c>
      <c r="T77" t="s">
        <v>35</v>
      </c>
    </row>
    <row r="78" spans="1:20" x14ac:dyDescent="0.25">
      <c r="A78">
        <v>9001228</v>
      </c>
      <c r="B78" t="s">
        <v>33</v>
      </c>
      <c r="C78">
        <v>1201</v>
      </c>
      <c r="D78">
        <v>55277939</v>
      </c>
      <c r="E78" t="s">
        <v>122</v>
      </c>
      <c r="F78" s="1">
        <v>40120</v>
      </c>
      <c r="I78" t="s">
        <v>35</v>
      </c>
      <c r="J78" t="s">
        <v>35</v>
      </c>
      <c r="K78" t="s">
        <v>35</v>
      </c>
      <c r="L78" s="2">
        <v>6912.36</v>
      </c>
      <c r="M78" t="s">
        <v>36</v>
      </c>
      <c r="N78" s="2">
        <v>65977800</v>
      </c>
      <c r="O78" t="s">
        <v>37</v>
      </c>
      <c r="P78">
        <v>1201</v>
      </c>
      <c r="R78" t="s">
        <v>103</v>
      </c>
      <c r="T78" t="s">
        <v>35</v>
      </c>
    </row>
    <row r="79" spans="1:20" x14ac:dyDescent="0.25">
      <c r="A79">
        <v>10001010</v>
      </c>
      <c r="B79" t="s">
        <v>33</v>
      </c>
      <c r="C79">
        <v>1201</v>
      </c>
      <c r="D79">
        <v>55284987</v>
      </c>
      <c r="E79" t="s">
        <v>123</v>
      </c>
      <c r="F79" s="1">
        <v>40189</v>
      </c>
      <c r="I79" t="s">
        <v>35</v>
      </c>
      <c r="J79" t="s">
        <v>35</v>
      </c>
      <c r="K79" t="s">
        <v>35</v>
      </c>
      <c r="L79" s="2">
        <v>6344.16</v>
      </c>
      <c r="M79" t="s">
        <v>36</v>
      </c>
      <c r="N79" s="2">
        <v>58620000</v>
      </c>
      <c r="O79" t="s">
        <v>37</v>
      </c>
      <c r="P79">
        <v>1201</v>
      </c>
      <c r="R79" t="s">
        <v>49</v>
      </c>
      <c r="T79" t="s">
        <v>35</v>
      </c>
    </row>
    <row r="80" spans="1:20" x14ac:dyDescent="0.25">
      <c r="A80">
        <v>10001034</v>
      </c>
      <c r="B80" t="s">
        <v>33</v>
      </c>
      <c r="C80">
        <v>1201</v>
      </c>
      <c r="D80">
        <v>55286350</v>
      </c>
      <c r="E80" t="s">
        <v>124</v>
      </c>
      <c r="F80" s="1">
        <v>40211</v>
      </c>
      <c r="G80">
        <v>1201</v>
      </c>
      <c r="I80" t="s">
        <v>35</v>
      </c>
      <c r="J80" t="s">
        <v>35</v>
      </c>
      <c r="K80" t="s">
        <v>35</v>
      </c>
      <c r="L80" s="2">
        <v>1442</v>
      </c>
      <c r="M80" t="s">
        <v>36</v>
      </c>
      <c r="O80" t="s">
        <v>36</v>
      </c>
      <c r="P80">
        <v>1201</v>
      </c>
      <c r="R80" t="s">
        <v>125</v>
      </c>
      <c r="T80" t="s">
        <v>35</v>
      </c>
    </row>
    <row r="81" spans="1:20" x14ac:dyDescent="0.25">
      <c r="A81">
        <v>10001037</v>
      </c>
      <c r="B81" t="s">
        <v>33</v>
      </c>
      <c r="C81">
        <v>1201</v>
      </c>
      <c r="D81">
        <v>55286376</v>
      </c>
      <c r="E81" t="s">
        <v>126</v>
      </c>
      <c r="F81" s="1">
        <v>40211</v>
      </c>
      <c r="G81">
        <v>1201</v>
      </c>
      <c r="I81" t="s">
        <v>35</v>
      </c>
      <c r="J81" t="s">
        <v>35</v>
      </c>
      <c r="K81" t="s">
        <v>35</v>
      </c>
      <c r="L81">
        <v>907.44</v>
      </c>
      <c r="M81" t="s">
        <v>36</v>
      </c>
      <c r="N81" s="2">
        <v>8525160</v>
      </c>
      <c r="O81" t="s">
        <v>37</v>
      </c>
      <c r="P81">
        <v>1201</v>
      </c>
      <c r="R81" t="s">
        <v>38</v>
      </c>
      <c r="T81" t="s">
        <v>35</v>
      </c>
    </row>
    <row r="82" spans="1:20" x14ac:dyDescent="0.25">
      <c r="A82">
        <v>10001103</v>
      </c>
      <c r="B82" t="s">
        <v>33</v>
      </c>
      <c r="C82">
        <v>1201</v>
      </c>
      <c r="D82">
        <v>55044861</v>
      </c>
      <c r="E82" t="s">
        <v>127</v>
      </c>
      <c r="F82" s="1">
        <v>40274</v>
      </c>
      <c r="G82">
        <v>1201</v>
      </c>
      <c r="I82" t="s">
        <v>35</v>
      </c>
      <c r="J82" t="s">
        <v>35</v>
      </c>
      <c r="K82" t="s">
        <v>35</v>
      </c>
      <c r="L82">
        <v>494.73</v>
      </c>
      <c r="M82" t="s">
        <v>36</v>
      </c>
      <c r="N82" s="2">
        <v>4452570</v>
      </c>
      <c r="O82" t="s">
        <v>37</v>
      </c>
      <c r="P82">
        <v>1201</v>
      </c>
      <c r="R82" t="s">
        <v>125</v>
      </c>
      <c r="T82" t="s">
        <v>35</v>
      </c>
    </row>
    <row r="83" spans="1:20" x14ac:dyDescent="0.25">
      <c r="A83">
        <v>10001109</v>
      </c>
      <c r="B83" t="s">
        <v>33</v>
      </c>
      <c r="C83">
        <v>1201</v>
      </c>
      <c r="D83">
        <v>55281655</v>
      </c>
      <c r="E83" t="s">
        <v>128</v>
      </c>
      <c r="F83" s="1">
        <v>40280</v>
      </c>
      <c r="G83">
        <v>1201</v>
      </c>
      <c r="I83" t="s">
        <v>35</v>
      </c>
      <c r="J83" t="s">
        <v>35</v>
      </c>
      <c r="K83" t="s">
        <v>35</v>
      </c>
      <c r="L83">
        <v>221.02</v>
      </c>
      <c r="M83" t="s">
        <v>36</v>
      </c>
      <c r="N83" s="2">
        <v>2000000</v>
      </c>
      <c r="O83" t="s">
        <v>37</v>
      </c>
      <c r="P83">
        <v>1201</v>
      </c>
      <c r="R83" t="s">
        <v>125</v>
      </c>
      <c r="T83" t="s">
        <v>35</v>
      </c>
    </row>
    <row r="84" spans="1:20" x14ac:dyDescent="0.25">
      <c r="A84">
        <v>10001142</v>
      </c>
      <c r="B84" t="s">
        <v>33</v>
      </c>
      <c r="C84">
        <v>1201</v>
      </c>
      <c r="D84">
        <v>55290480</v>
      </c>
      <c r="E84" t="s">
        <v>129</v>
      </c>
      <c r="F84" s="1">
        <v>40340</v>
      </c>
      <c r="G84">
        <v>1201</v>
      </c>
      <c r="I84" t="s">
        <v>35</v>
      </c>
      <c r="J84" t="s">
        <v>35</v>
      </c>
      <c r="K84" t="s">
        <v>35</v>
      </c>
      <c r="L84" s="2">
        <v>1951.2</v>
      </c>
      <c r="M84" t="s">
        <v>36</v>
      </c>
      <c r="O84" t="s">
        <v>36</v>
      </c>
      <c r="P84">
        <v>1201</v>
      </c>
      <c r="R84" t="s">
        <v>69</v>
      </c>
      <c r="T84" t="s">
        <v>35</v>
      </c>
    </row>
    <row r="85" spans="1:20" x14ac:dyDescent="0.25">
      <c r="A85">
        <v>10001191</v>
      </c>
      <c r="B85" t="s">
        <v>33</v>
      </c>
      <c r="C85">
        <v>1201</v>
      </c>
      <c r="D85">
        <v>55293058</v>
      </c>
      <c r="E85" t="s">
        <v>126</v>
      </c>
      <c r="F85" s="1">
        <v>40457</v>
      </c>
      <c r="G85">
        <v>1201</v>
      </c>
      <c r="I85" t="s">
        <v>35</v>
      </c>
      <c r="J85" t="s">
        <v>35</v>
      </c>
      <c r="K85" t="s">
        <v>35</v>
      </c>
      <c r="L85">
        <v>411.02</v>
      </c>
      <c r="M85" t="s">
        <v>36</v>
      </c>
      <c r="N85" s="2">
        <v>3677250</v>
      </c>
      <c r="O85" t="s">
        <v>37</v>
      </c>
      <c r="P85">
        <v>1201</v>
      </c>
      <c r="R85" t="s">
        <v>130</v>
      </c>
      <c r="T85" t="s">
        <v>35</v>
      </c>
    </row>
    <row r="86" spans="1:20" x14ac:dyDescent="0.25">
      <c r="A86">
        <v>10001203</v>
      </c>
      <c r="B86" t="s">
        <v>33</v>
      </c>
      <c r="C86">
        <v>1201</v>
      </c>
      <c r="D86">
        <v>54000288</v>
      </c>
      <c r="E86" t="s">
        <v>131</v>
      </c>
      <c r="F86" s="1">
        <v>40479</v>
      </c>
      <c r="G86">
        <v>1201</v>
      </c>
      <c r="I86" t="s">
        <v>35</v>
      </c>
      <c r="J86" t="s">
        <v>35</v>
      </c>
      <c r="K86" t="s">
        <v>35</v>
      </c>
      <c r="M86" t="s">
        <v>36</v>
      </c>
      <c r="O86" t="s">
        <v>37</v>
      </c>
      <c r="P86">
        <v>1201</v>
      </c>
      <c r="R86" t="s">
        <v>130</v>
      </c>
      <c r="T86" t="s">
        <v>35</v>
      </c>
    </row>
    <row r="87" spans="1:20" x14ac:dyDescent="0.25">
      <c r="A87">
        <v>10001230</v>
      </c>
      <c r="B87" t="s">
        <v>33</v>
      </c>
      <c r="C87">
        <v>1201</v>
      </c>
      <c r="D87">
        <v>55048917</v>
      </c>
      <c r="E87" t="s">
        <v>132</v>
      </c>
      <c r="F87" s="1">
        <v>40514</v>
      </c>
      <c r="G87">
        <v>1201</v>
      </c>
      <c r="I87" t="s">
        <v>35</v>
      </c>
      <c r="J87" t="s">
        <v>35</v>
      </c>
      <c r="K87" t="s">
        <v>35</v>
      </c>
      <c r="L87" s="2">
        <v>9807.31</v>
      </c>
      <c r="M87" t="s">
        <v>36</v>
      </c>
      <c r="N87" s="2">
        <v>88578000</v>
      </c>
      <c r="O87" t="s">
        <v>37</v>
      </c>
      <c r="P87">
        <v>1201</v>
      </c>
      <c r="R87" t="s">
        <v>49</v>
      </c>
      <c r="T87" t="s">
        <v>35</v>
      </c>
    </row>
    <row r="88" spans="1:20" x14ac:dyDescent="0.25">
      <c r="A88">
        <v>10001233</v>
      </c>
      <c r="B88" t="s">
        <v>33</v>
      </c>
      <c r="C88">
        <v>1201</v>
      </c>
      <c r="D88">
        <v>54000417</v>
      </c>
      <c r="E88" t="s">
        <v>133</v>
      </c>
      <c r="F88" s="1">
        <v>40525</v>
      </c>
      <c r="G88">
        <v>1201</v>
      </c>
      <c r="I88" t="s">
        <v>35</v>
      </c>
      <c r="J88" t="s">
        <v>35</v>
      </c>
      <c r="K88" t="s">
        <v>35</v>
      </c>
      <c r="L88" s="2">
        <v>2075.1999999999998</v>
      </c>
      <c r="M88" t="s">
        <v>36</v>
      </c>
      <c r="O88" t="s">
        <v>36</v>
      </c>
      <c r="P88">
        <v>1201</v>
      </c>
      <c r="R88" t="s">
        <v>69</v>
      </c>
      <c r="T88" t="s">
        <v>35</v>
      </c>
    </row>
    <row r="89" spans="1:20" x14ac:dyDescent="0.25">
      <c r="A89">
        <v>10001244</v>
      </c>
      <c r="B89" t="s">
        <v>33</v>
      </c>
      <c r="C89">
        <v>1201</v>
      </c>
      <c r="D89">
        <v>54000911</v>
      </c>
      <c r="E89" t="s">
        <v>134</v>
      </c>
      <c r="F89" s="1">
        <v>40541</v>
      </c>
      <c r="G89">
        <v>1201</v>
      </c>
      <c r="I89" t="s">
        <v>35</v>
      </c>
      <c r="J89" t="s">
        <v>35</v>
      </c>
      <c r="K89" t="s">
        <v>35</v>
      </c>
      <c r="L89" s="2">
        <v>4944</v>
      </c>
      <c r="M89" t="s">
        <v>36</v>
      </c>
      <c r="O89" t="s">
        <v>36</v>
      </c>
      <c r="P89">
        <v>1201</v>
      </c>
      <c r="R89" t="s">
        <v>49</v>
      </c>
      <c r="T89" t="s">
        <v>35</v>
      </c>
    </row>
    <row r="90" spans="1:20" x14ac:dyDescent="0.25">
      <c r="A90">
        <v>11001002</v>
      </c>
      <c r="B90" t="s">
        <v>33</v>
      </c>
      <c r="C90">
        <v>1201</v>
      </c>
      <c r="D90">
        <v>55309785</v>
      </c>
      <c r="E90" t="s">
        <v>135</v>
      </c>
      <c r="F90" s="1">
        <v>40548</v>
      </c>
      <c r="G90">
        <v>1201</v>
      </c>
      <c r="I90" t="s">
        <v>35</v>
      </c>
      <c r="J90" t="s">
        <v>35</v>
      </c>
      <c r="K90" t="s">
        <v>35</v>
      </c>
      <c r="L90">
        <v>369.85</v>
      </c>
      <c r="M90" t="s">
        <v>36</v>
      </c>
      <c r="N90" s="2">
        <v>3320000</v>
      </c>
      <c r="O90" t="s">
        <v>37</v>
      </c>
      <c r="P90">
        <v>1201</v>
      </c>
      <c r="R90" t="s">
        <v>49</v>
      </c>
      <c r="T90" t="s">
        <v>35</v>
      </c>
    </row>
    <row r="91" spans="1:20" x14ac:dyDescent="0.25">
      <c r="A91">
        <v>11001017</v>
      </c>
      <c r="B91" t="s">
        <v>33</v>
      </c>
      <c r="C91">
        <v>1201</v>
      </c>
      <c r="D91">
        <v>55311711</v>
      </c>
      <c r="E91" t="s">
        <v>136</v>
      </c>
      <c r="F91" s="1">
        <v>40568</v>
      </c>
      <c r="I91" t="s">
        <v>35</v>
      </c>
      <c r="J91" t="s">
        <v>35</v>
      </c>
      <c r="K91" t="s">
        <v>35</v>
      </c>
      <c r="L91">
        <v>165.58</v>
      </c>
      <c r="M91" t="s">
        <v>36</v>
      </c>
      <c r="N91" s="2">
        <v>1500000.06</v>
      </c>
      <c r="O91" t="s">
        <v>37</v>
      </c>
      <c r="P91">
        <v>1201</v>
      </c>
      <c r="R91" t="s">
        <v>69</v>
      </c>
      <c r="T91" t="s">
        <v>35</v>
      </c>
    </row>
    <row r="92" spans="1:20" x14ac:dyDescent="0.25">
      <c r="A92">
        <v>11001087</v>
      </c>
      <c r="B92" t="s">
        <v>33</v>
      </c>
      <c r="C92">
        <v>1201</v>
      </c>
      <c r="D92">
        <v>55290121</v>
      </c>
      <c r="E92" t="s">
        <v>137</v>
      </c>
      <c r="F92" s="1">
        <v>40651</v>
      </c>
      <c r="I92" t="s">
        <v>35</v>
      </c>
      <c r="J92" t="s">
        <v>35</v>
      </c>
      <c r="K92" t="s">
        <v>35</v>
      </c>
      <c r="L92">
        <v>204.29</v>
      </c>
      <c r="M92" t="s">
        <v>36</v>
      </c>
      <c r="O92" t="s">
        <v>36</v>
      </c>
      <c r="P92">
        <v>1201</v>
      </c>
      <c r="R92" t="s">
        <v>69</v>
      </c>
      <c r="T92" t="s">
        <v>35</v>
      </c>
    </row>
    <row r="93" spans="1:20" x14ac:dyDescent="0.25">
      <c r="A93">
        <v>11001094</v>
      </c>
      <c r="B93" t="s">
        <v>33</v>
      </c>
      <c r="C93">
        <v>1201</v>
      </c>
      <c r="D93">
        <v>55309195</v>
      </c>
      <c r="E93" t="s">
        <v>138</v>
      </c>
      <c r="F93" s="1">
        <v>40662</v>
      </c>
      <c r="I93" t="s">
        <v>35</v>
      </c>
      <c r="J93" t="s">
        <v>35</v>
      </c>
      <c r="K93" t="s">
        <v>35</v>
      </c>
      <c r="L93" s="2">
        <v>1950</v>
      </c>
      <c r="M93" t="s">
        <v>36</v>
      </c>
      <c r="O93" t="s">
        <v>36</v>
      </c>
      <c r="P93">
        <v>1201</v>
      </c>
      <c r="R93" t="s">
        <v>69</v>
      </c>
      <c r="T93" t="s">
        <v>35</v>
      </c>
    </row>
    <row r="94" spans="1:20" x14ac:dyDescent="0.25">
      <c r="A94">
        <v>11001096</v>
      </c>
      <c r="B94" t="s">
        <v>33</v>
      </c>
      <c r="C94">
        <v>1201</v>
      </c>
      <c r="D94">
        <v>55318294</v>
      </c>
      <c r="E94" t="s">
        <v>139</v>
      </c>
      <c r="F94" s="1">
        <v>40667</v>
      </c>
      <c r="G94">
        <v>1201</v>
      </c>
      <c r="I94" t="s">
        <v>35</v>
      </c>
      <c r="J94" t="s">
        <v>35</v>
      </c>
      <c r="K94" t="s">
        <v>35</v>
      </c>
      <c r="L94">
        <v>157.47</v>
      </c>
      <c r="M94" t="s">
        <v>36</v>
      </c>
      <c r="N94" s="2">
        <v>1347000.95</v>
      </c>
      <c r="O94" t="s">
        <v>37</v>
      </c>
      <c r="P94">
        <v>1201</v>
      </c>
      <c r="R94" t="s">
        <v>130</v>
      </c>
      <c r="T94" t="s">
        <v>35</v>
      </c>
    </row>
    <row r="95" spans="1:20" x14ac:dyDescent="0.25">
      <c r="A95">
        <v>11001105</v>
      </c>
      <c r="B95" t="s">
        <v>33</v>
      </c>
      <c r="C95">
        <v>1201</v>
      </c>
      <c r="D95">
        <v>55044271</v>
      </c>
      <c r="E95" t="s">
        <v>140</v>
      </c>
      <c r="F95" s="1">
        <v>40681</v>
      </c>
      <c r="G95">
        <v>1201</v>
      </c>
      <c r="I95" t="s">
        <v>35</v>
      </c>
      <c r="J95" t="s">
        <v>35</v>
      </c>
      <c r="K95" t="s">
        <v>35</v>
      </c>
      <c r="M95" t="s">
        <v>36</v>
      </c>
      <c r="O95" t="s">
        <v>36</v>
      </c>
      <c r="P95">
        <v>1201</v>
      </c>
      <c r="R95" t="s">
        <v>141</v>
      </c>
      <c r="T95" t="s">
        <v>35</v>
      </c>
    </row>
    <row r="96" spans="1:20" x14ac:dyDescent="0.25">
      <c r="A96">
        <v>11001121</v>
      </c>
      <c r="B96" t="s">
        <v>33</v>
      </c>
      <c r="C96">
        <v>1201</v>
      </c>
      <c r="D96">
        <v>55108650</v>
      </c>
      <c r="E96" t="s">
        <v>142</v>
      </c>
      <c r="F96" s="1">
        <v>40701</v>
      </c>
      <c r="I96" t="s">
        <v>35</v>
      </c>
      <c r="J96" t="s">
        <v>35</v>
      </c>
      <c r="K96" t="s">
        <v>35</v>
      </c>
      <c r="M96" t="s">
        <v>36</v>
      </c>
      <c r="O96" t="s">
        <v>36</v>
      </c>
      <c r="P96">
        <v>1201</v>
      </c>
      <c r="R96" t="s">
        <v>38</v>
      </c>
      <c r="T96" t="s">
        <v>35</v>
      </c>
    </row>
    <row r="97" spans="1:20" x14ac:dyDescent="0.25">
      <c r="A97">
        <v>11001133</v>
      </c>
      <c r="B97" t="s">
        <v>33</v>
      </c>
      <c r="C97">
        <v>1201</v>
      </c>
      <c r="D97">
        <v>54001191</v>
      </c>
      <c r="E97" t="s">
        <v>143</v>
      </c>
      <c r="F97" s="1">
        <v>40708</v>
      </c>
      <c r="G97">
        <v>1201</v>
      </c>
      <c r="I97" t="s">
        <v>35</v>
      </c>
      <c r="J97" t="s">
        <v>35</v>
      </c>
      <c r="K97" t="s">
        <v>35</v>
      </c>
      <c r="M97" t="s">
        <v>36</v>
      </c>
      <c r="O97" t="s">
        <v>36</v>
      </c>
      <c r="P97">
        <v>1201</v>
      </c>
      <c r="R97" t="s">
        <v>141</v>
      </c>
      <c r="T97" t="s">
        <v>35</v>
      </c>
    </row>
    <row r="98" spans="1:20" x14ac:dyDescent="0.25">
      <c r="A98">
        <v>11001137</v>
      </c>
      <c r="B98" t="s">
        <v>33</v>
      </c>
      <c r="C98">
        <v>1201</v>
      </c>
      <c r="D98">
        <v>52000759</v>
      </c>
      <c r="E98" t="s">
        <v>144</v>
      </c>
      <c r="F98" s="1">
        <v>40711</v>
      </c>
      <c r="I98" t="s">
        <v>35</v>
      </c>
      <c r="J98" t="s">
        <v>35</v>
      </c>
      <c r="K98" t="s">
        <v>35</v>
      </c>
      <c r="M98" t="s">
        <v>36</v>
      </c>
      <c r="O98" t="s">
        <v>36</v>
      </c>
      <c r="P98">
        <v>1201</v>
      </c>
      <c r="R98" t="s">
        <v>38</v>
      </c>
      <c r="T98" t="s">
        <v>35</v>
      </c>
    </row>
    <row r="99" spans="1:20" x14ac:dyDescent="0.25">
      <c r="A99">
        <v>11001163</v>
      </c>
      <c r="B99" t="s">
        <v>33</v>
      </c>
      <c r="C99">
        <v>1201</v>
      </c>
      <c r="D99">
        <v>55032149</v>
      </c>
      <c r="E99" t="s">
        <v>145</v>
      </c>
      <c r="F99" s="1">
        <v>40735</v>
      </c>
      <c r="I99" t="s">
        <v>35</v>
      </c>
      <c r="J99" t="s">
        <v>35</v>
      </c>
      <c r="K99" t="s">
        <v>35</v>
      </c>
      <c r="L99">
        <v>7.02</v>
      </c>
      <c r="M99" t="s">
        <v>36</v>
      </c>
      <c r="N99" s="2">
        <v>60500</v>
      </c>
      <c r="O99" t="s">
        <v>37</v>
      </c>
      <c r="P99">
        <v>1201</v>
      </c>
      <c r="R99" t="s">
        <v>38</v>
      </c>
      <c r="T99" t="s">
        <v>35</v>
      </c>
    </row>
    <row r="100" spans="1:20" x14ac:dyDescent="0.25">
      <c r="A100">
        <v>11001347</v>
      </c>
      <c r="B100" t="s">
        <v>33</v>
      </c>
      <c r="C100">
        <v>1201</v>
      </c>
      <c r="D100">
        <v>55324432</v>
      </c>
      <c r="E100" t="s">
        <v>146</v>
      </c>
      <c r="F100" s="1">
        <v>40868</v>
      </c>
      <c r="G100">
        <v>1201</v>
      </c>
      <c r="I100" t="s">
        <v>35</v>
      </c>
      <c r="J100" t="s">
        <v>35</v>
      </c>
      <c r="K100" t="s">
        <v>35</v>
      </c>
      <c r="L100">
        <v>282.51</v>
      </c>
      <c r="M100" t="s">
        <v>36</v>
      </c>
      <c r="N100" s="2">
        <v>2555000</v>
      </c>
      <c r="O100" t="s">
        <v>37</v>
      </c>
      <c r="P100">
        <v>1201</v>
      </c>
      <c r="R100" t="s">
        <v>147</v>
      </c>
      <c r="T100" t="s">
        <v>35</v>
      </c>
    </row>
    <row r="101" spans="1:20" x14ac:dyDescent="0.25">
      <c r="A101">
        <v>11001359</v>
      </c>
      <c r="B101" t="s">
        <v>33</v>
      </c>
      <c r="C101">
        <v>1201</v>
      </c>
      <c r="D101">
        <v>55333726</v>
      </c>
      <c r="E101" t="s">
        <v>148</v>
      </c>
      <c r="F101" s="1">
        <v>40876</v>
      </c>
      <c r="G101">
        <v>1201</v>
      </c>
      <c r="I101" t="s">
        <v>35</v>
      </c>
      <c r="J101" t="s">
        <v>35</v>
      </c>
      <c r="K101" t="s">
        <v>35</v>
      </c>
      <c r="L101">
        <v>722.83</v>
      </c>
      <c r="M101" t="s">
        <v>36</v>
      </c>
      <c r="N101" s="2">
        <v>6577500</v>
      </c>
      <c r="O101" t="s">
        <v>37</v>
      </c>
      <c r="P101">
        <v>1201</v>
      </c>
      <c r="R101" t="s">
        <v>130</v>
      </c>
      <c r="T101" t="s">
        <v>35</v>
      </c>
    </row>
    <row r="102" spans="1:20" x14ac:dyDescent="0.25">
      <c r="A102">
        <v>11001373</v>
      </c>
      <c r="B102" t="s">
        <v>33</v>
      </c>
      <c r="C102">
        <v>1201</v>
      </c>
      <c r="D102">
        <v>55254841</v>
      </c>
      <c r="E102" t="s">
        <v>149</v>
      </c>
      <c r="F102" s="1">
        <v>40883</v>
      </c>
      <c r="I102" t="s">
        <v>35</v>
      </c>
      <c r="J102" t="s">
        <v>35</v>
      </c>
      <c r="K102" t="s">
        <v>35</v>
      </c>
      <c r="M102" t="s">
        <v>36</v>
      </c>
      <c r="O102" t="s">
        <v>36</v>
      </c>
      <c r="P102">
        <v>1201</v>
      </c>
      <c r="R102" t="s">
        <v>38</v>
      </c>
      <c r="T102" t="s">
        <v>35</v>
      </c>
    </row>
    <row r="103" spans="1:20" x14ac:dyDescent="0.25">
      <c r="A103">
        <v>11001379</v>
      </c>
      <c r="B103" t="s">
        <v>33</v>
      </c>
      <c r="C103">
        <v>1201</v>
      </c>
      <c r="D103">
        <v>55335262</v>
      </c>
      <c r="E103" t="s">
        <v>150</v>
      </c>
      <c r="F103" s="1">
        <v>40883</v>
      </c>
      <c r="I103" t="s">
        <v>35</v>
      </c>
      <c r="J103" t="s">
        <v>35</v>
      </c>
      <c r="K103" t="s">
        <v>35</v>
      </c>
      <c r="L103" s="2">
        <v>1875000</v>
      </c>
      <c r="M103" t="s">
        <v>36</v>
      </c>
      <c r="O103" t="s">
        <v>36</v>
      </c>
      <c r="P103">
        <v>1201</v>
      </c>
      <c r="R103" t="s">
        <v>130</v>
      </c>
      <c r="T103" t="s">
        <v>35</v>
      </c>
    </row>
    <row r="104" spans="1:20" x14ac:dyDescent="0.25">
      <c r="A104">
        <v>11001382</v>
      </c>
      <c r="B104" t="s">
        <v>33</v>
      </c>
      <c r="C104">
        <v>1201</v>
      </c>
      <c r="D104">
        <v>54001101</v>
      </c>
      <c r="E104" t="s">
        <v>151</v>
      </c>
      <c r="F104" s="1">
        <v>40883</v>
      </c>
      <c r="G104">
        <v>1201</v>
      </c>
      <c r="I104" t="s">
        <v>35</v>
      </c>
      <c r="J104" t="s">
        <v>35</v>
      </c>
      <c r="K104" t="s">
        <v>35</v>
      </c>
      <c r="L104" s="2">
        <v>1389.78</v>
      </c>
      <c r="M104" t="s">
        <v>36</v>
      </c>
      <c r="N104" s="2">
        <v>12600000</v>
      </c>
      <c r="O104" t="s">
        <v>37</v>
      </c>
      <c r="P104">
        <v>1201</v>
      </c>
      <c r="R104" t="s">
        <v>49</v>
      </c>
      <c r="T104" t="s">
        <v>35</v>
      </c>
    </row>
    <row r="105" spans="1:20" x14ac:dyDescent="0.25">
      <c r="A105">
        <v>11001385</v>
      </c>
      <c r="B105" t="s">
        <v>33</v>
      </c>
      <c r="C105">
        <v>1201</v>
      </c>
      <c r="D105">
        <v>54001078</v>
      </c>
      <c r="E105" t="s">
        <v>152</v>
      </c>
      <c r="F105" s="1">
        <v>40884</v>
      </c>
      <c r="G105">
        <v>1201</v>
      </c>
      <c r="I105" t="s">
        <v>35</v>
      </c>
      <c r="J105" t="s">
        <v>35</v>
      </c>
      <c r="K105" t="s">
        <v>35</v>
      </c>
      <c r="L105">
        <v>578.44000000000005</v>
      </c>
      <c r="M105" t="s">
        <v>36</v>
      </c>
      <c r="N105" s="2">
        <v>5253000</v>
      </c>
      <c r="O105" t="s">
        <v>37</v>
      </c>
      <c r="P105">
        <v>1201</v>
      </c>
      <c r="R105" t="s">
        <v>49</v>
      </c>
      <c r="T105" t="s">
        <v>35</v>
      </c>
    </row>
    <row r="106" spans="1:20" x14ac:dyDescent="0.25">
      <c r="A106">
        <v>11001397</v>
      </c>
      <c r="B106" t="s">
        <v>33</v>
      </c>
      <c r="C106">
        <v>1201</v>
      </c>
      <c r="D106">
        <v>55335772</v>
      </c>
      <c r="E106" t="s">
        <v>153</v>
      </c>
      <c r="F106" s="1">
        <v>40892</v>
      </c>
      <c r="I106" t="s">
        <v>35</v>
      </c>
      <c r="J106" t="s">
        <v>35</v>
      </c>
      <c r="K106" t="s">
        <v>35</v>
      </c>
      <c r="L106" s="2">
        <v>1321920</v>
      </c>
      <c r="M106" t="s">
        <v>36</v>
      </c>
      <c r="O106" t="s">
        <v>36</v>
      </c>
      <c r="P106">
        <v>1201</v>
      </c>
      <c r="R106" t="s">
        <v>125</v>
      </c>
      <c r="T106" t="s">
        <v>35</v>
      </c>
    </row>
    <row r="107" spans="1:20" x14ac:dyDescent="0.25">
      <c r="A107">
        <v>11001402</v>
      </c>
      <c r="B107" t="s">
        <v>33</v>
      </c>
      <c r="C107">
        <v>1201</v>
      </c>
      <c r="D107">
        <v>55335924</v>
      </c>
      <c r="E107" t="s">
        <v>154</v>
      </c>
      <c r="F107" s="1">
        <v>40893</v>
      </c>
      <c r="G107">
        <v>1201</v>
      </c>
      <c r="I107" t="s">
        <v>35</v>
      </c>
      <c r="J107" t="s">
        <v>35</v>
      </c>
      <c r="K107" t="s">
        <v>35</v>
      </c>
      <c r="L107" s="2">
        <v>4972.6400000000003</v>
      </c>
      <c r="M107" t="s">
        <v>36</v>
      </c>
      <c r="N107" s="2">
        <v>45430000</v>
      </c>
      <c r="O107" t="s">
        <v>37</v>
      </c>
      <c r="P107">
        <v>1201</v>
      </c>
      <c r="R107" t="s">
        <v>49</v>
      </c>
      <c r="T107" t="s">
        <v>35</v>
      </c>
    </row>
    <row r="108" spans="1:20" x14ac:dyDescent="0.25">
      <c r="A108">
        <v>11001406</v>
      </c>
      <c r="B108" t="s">
        <v>33</v>
      </c>
      <c r="C108">
        <v>1201</v>
      </c>
      <c r="D108">
        <v>55335941</v>
      </c>
      <c r="E108" t="s">
        <v>155</v>
      </c>
      <c r="F108" s="1">
        <v>40893</v>
      </c>
      <c r="G108">
        <v>1201</v>
      </c>
      <c r="I108" t="s">
        <v>35</v>
      </c>
      <c r="J108" t="s">
        <v>35</v>
      </c>
      <c r="K108" t="s">
        <v>35</v>
      </c>
      <c r="L108" s="2">
        <v>5570.76</v>
      </c>
      <c r="M108" t="s">
        <v>36</v>
      </c>
      <c r="N108" s="2">
        <v>50886750</v>
      </c>
      <c r="O108" t="s">
        <v>37</v>
      </c>
      <c r="P108">
        <v>1201</v>
      </c>
      <c r="R108" t="s">
        <v>49</v>
      </c>
      <c r="T108" t="s">
        <v>35</v>
      </c>
    </row>
    <row r="109" spans="1:20" x14ac:dyDescent="0.25">
      <c r="A109">
        <v>11001431</v>
      </c>
      <c r="B109" t="s">
        <v>33</v>
      </c>
      <c r="C109">
        <v>1201</v>
      </c>
      <c r="D109">
        <v>55337559</v>
      </c>
      <c r="E109" t="s">
        <v>156</v>
      </c>
      <c r="F109" s="1">
        <v>40907</v>
      </c>
      <c r="G109">
        <v>1201</v>
      </c>
      <c r="I109" t="s">
        <v>35</v>
      </c>
      <c r="J109" t="s">
        <v>35</v>
      </c>
      <c r="K109" t="s">
        <v>35</v>
      </c>
      <c r="L109" s="2">
        <v>8175.95</v>
      </c>
      <c r="M109" t="s">
        <v>36</v>
      </c>
      <c r="N109" s="2">
        <v>74871250</v>
      </c>
      <c r="O109" t="s">
        <v>37</v>
      </c>
      <c r="P109">
        <v>1201</v>
      </c>
      <c r="R109" t="s">
        <v>80</v>
      </c>
      <c r="T109" t="s">
        <v>35</v>
      </c>
    </row>
    <row r="110" spans="1:20" x14ac:dyDescent="0.25">
      <c r="A110">
        <v>12001034</v>
      </c>
      <c r="B110" t="s">
        <v>33</v>
      </c>
      <c r="C110">
        <v>1201</v>
      </c>
      <c r="D110">
        <v>55338851</v>
      </c>
      <c r="E110" t="s">
        <v>157</v>
      </c>
      <c r="F110" s="1">
        <v>40921</v>
      </c>
      <c r="G110">
        <v>1201</v>
      </c>
      <c r="I110" t="s">
        <v>35</v>
      </c>
      <c r="J110" t="s">
        <v>35</v>
      </c>
      <c r="K110" t="s">
        <v>35</v>
      </c>
      <c r="L110" s="2">
        <v>7192.61</v>
      </c>
      <c r="M110" t="s">
        <v>36</v>
      </c>
      <c r="N110" s="2">
        <v>66240930</v>
      </c>
      <c r="O110" t="s">
        <v>37</v>
      </c>
      <c r="P110">
        <v>1201</v>
      </c>
      <c r="R110" t="s">
        <v>49</v>
      </c>
      <c r="T110" t="s">
        <v>35</v>
      </c>
    </row>
    <row r="111" spans="1:20" x14ac:dyDescent="0.25">
      <c r="A111">
        <v>12001051</v>
      </c>
      <c r="B111" t="s">
        <v>33</v>
      </c>
      <c r="C111">
        <v>1201</v>
      </c>
      <c r="D111">
        <v>55340969</v>
      </c>
      <c r="E111" t="s">
        <v>158</v>
      </c>
      <c r="F111" s="1">
        <v>40945</v>
      </c>
      <c r="I111" t="s">
        <v>35</v>
      </c>
      <c r="J111" t="s">
        <v>35</v>
      </c>
      <c r="K111" t="s">
        <v>35</v>
      </c>
      <c r="L111">
        <v>869.5</v>
      </c>
      <c r="M111" t="s">
        <v>36</v>
      </c>
      <c r="O111" t="s">
        <v>36</v>
      </c>
      <c r="P111">
        <v>1201</v>
      </c>
      <c r="R111" t="s">
        <v>69</v>
      </c>
      <c r="T111" t="s">
        <v>35</v>
      </c>
    </row>
    <row r="112" spans="1:20" x14ac:dyDescent="0.25">
      <c r="A112">
        <v>12001081</v>
      </c>
      <c r="B112" t="s">
        <v>33</v>
      </c>
      <c r="C112">
        <v>1201</v>
      </c>
      <c r="D112">
        <v>54000666</v>
      </c>
      <c r="E112" t="s">
        <v>159</v>
      </c>
      <c r="F112" s="1">
        <v>40969</v>
      </c>
      <c r="G112">
        <v>1201</v>
      </c>
      <c r="I112" t="s">
        <v>35</v>
      </c>
      <c r="J112" t="s">
        <v>35</v>
      </c>
      <c r="K112" t="s">
        <v>35</v>
      </c>
      <c r="L112">
        <v>3.85</v>
      </c>
      <c r="M112" t="s">
        <v>36</v>
      </c>
      <c r="N112" s="2">
        <v>35000</v>
      </c>
      <c r="O112" t="s">
        <v>37</v>
      </c>
      <c r="P112">
        <v>1201</v>
      </c>
      <c r="R112" t="s">
        <v>49</v>
      </c>
      <c r="T112" t="s">
        <v>35</v>
      </c>
    </row>
    <row r="113" spans="1:20" x14ac:dyDescent="0.25">
      <c r="A113">
        <v>12001110</v>
      </c>
      <c r="B113" t="s">
        <v>33</v>
      </c>
      <c r="C113">
        <v>1201</v>
      </c>
      <c r="D113">
        <v>55349787</v>
      </c>
      <c r="E113" t="s">
        <v>160</v>
      </c>
      <c r="F113" s="1">
        <v>40990</v>
      </c>
      <c r="G113">
        <v>1201</v>
      </c>
      <c r="I113" t="s">
        <v>35</v>
      </c>
      <c r="J113" t="s">
        <v>35</v>
      </c>
      <c r="K113" t="s">
        <v>35</v>
      </c>
      <c r="L113">
        <v>196.1</v>
      </c>
      <c r="M113" t="s">
        <v>36</v>
      </c>
      <c r="N113" s="2">
        <v>1800000</v>
      </c>
      <c r="O113" t="s">
        <v>37</v>
      </c>
      <c r="P113">
        <v>1201</v>
      </c>
      <c r="R113" t="s">
        <v>49</v>
      </c>
      <c r="T113" t="s">
        <v>35</v>
      </c>
    </row>
    <row r="114" spans="1:20" x14ac:dyDescent="0.25">
      <c r="A114">
        <v>12001125</v>
      </c>
      <c r="B114" t="s">
        <v>33</v>
      </c>
      <c r="C114">
        <v>1201</v>
      </c>
      <c r="D114">
        <v>55352476</v>
      </c>
      <c r="E114" t="s">
        <v>161</v>
      </c>
      <c r="F114" s="1">
        <v>41004</v>
      </c>
      <c r="G114">
        <v>1201</v>
      </c>
      <c r="I114" t="s">
        <v>35</v>
      </c>
      <c r="J114" t="s">
        <v>35</v>
      </c>
      <c r="K114" t="s">
        <v>35</v>
      </c>
      <c r="M114" t="s">
        <v>36</v>
      </c>
      <c r="O114" t="s">
        <v>37</v>
      </c>
      <c r="P114">
        <v>1201</v>
      </c>
      <c r="R114" t="s">
        <v>49</v>
      </c>
      <c r="T114" t="s">
        <v>35</v>
      </c>
    </row>
    <row r="115" spans="1:20" x14ac:dyDescent="0.25">
      <c r="A115">
        <v>12001129</v>
      </c>
      <c r="B115" t="s">
        <v>33</v>
      </c>
      <c r="C115">
        <v>1201</v>
      </c>
      <c r="D115">
        <v>55352548</v>
      </c>
      <c r="E115" t="s">
        <v>162</v>
      </c>
      <c r="F115" s="1">
        <v>41008</v>
      </c>
      <c r="G115">
        <v>1201</v>
      </c>
      <c r="I115" t="s">
        <v>35</v>
      </c>
      <c r="J115" t="s">
        <v>35</v>
      </c>
      <c r="K115" t="s">
        <v>35</v>
      </c>
      <c r="L115">
        <v>868.97</v>
      </c>
      <c r="M115" t="s">
        <v>36</v>
      </c>
      <c r="N115" s="2">
        <v>7957500</v>
      </c>
      <c r="O115" t="s">
        <v>37</v>
      </c>
      <c r="P115">
        <v>1201</v>
      </c>
      <c r="R115" t="s">
        <v>49</v>
      </c>
      <c r="T115" t="s">
        <v>35</v>
      </c>
    </row>
    <row r="116" spans="1:20" x14ac:dyDescent="0.25">
      <c r="A116">
        <v>12001226</v>
      </c>
      <c r="B116" t="s">
        <v>33</v>
      </c>
      <c r="C116">
        <v>1201</v>
      </c>
      <c r="D116">
        <v>55367328</v>
      </c>
      <c r="E116" t="s">
        <v>163</v>
      </c>
      <c r="F116" s="1">
        <v>41085</v>
      </c>
      <c r="G116">
        <v>1201</v>
      </c>
      <c r="I116" t="s">
        <v>35</v>
      </c>
      <c r="J116" t="s">
        <v>35</v>
      </c>
      <c r="K116" t="s">
        <v>35</v>
      </c>
      <c r="L116" s="2">
        <v>1222.47</v>
      </c>
      <c r="M116" t="s">
        <v>36</v>
      </c>
      <c r="N116" s="2">
        <v>11580000</v>
      </c>
      <c r="O116" t="s">
        <v>37</v>
      </c>
      <c r="P116">
        <v>1201</v>
      </c>
      <c r="R116" t="s">
        <v>49</v>
      </c>
      <c r="T116" t="s">
        <v>35</v>
      </c>
    </row>
    <row r="117" spans="1:20" x14ac:dyDescent="0.25">
      <c r="A117">
        <v>12001230</v>
      </c>
      <c r="B117" t="s">
        <v>33</v>
      </c>
      <c r="C117">
        <v>1201</v>
      </c>
      <c r="D117">
        <v>54001007</v>
      </c>
      <c r="E117" t="s">
        <v>164</v>
      </c>
      <c r="F117" s="1">
        <v>41086</v>
      </c>
      <c r="I117" t="s">
        <v>35</v>
      </c>
      <c r="J117" t="s">
        <v>35</v>
      </c>
      <c r="K117" t="s">
        <v>35</v>
      </c>
      <c r="L117">
        <v>46.1</v>
      </c>
      <c r="M117" t="s">
        <v>36</v>
      </c>
      <c r="N117" s="2">
        <v>439000</v>
      </c>
      <c r="O117" t="s">
        <v>37</v>
      </c>
      <c r="P117">
        <v>1201</v>
      </c>
      <c r="R117" t="s">
        <v>147</v>
      </c>
      <c r="T117" t="s">
        <v>35</v>
      </c>
    </row>
    <row r="118" spans="1:20" x14ac:dyDescent="0.25">
      <c r="A118">
        <v>12001232</v>
      </c>
      <c r="B118" t="s">
        <v>33</v>
      </c>
      <c r="C118">
        <v>1201</v>
      </c>
      <c r="D118">
        <v>55044262</v>
      </c>
      <c r="E118" t="s">
        <v>165</v>
      </c>
      <c r="F118" s="1">
        <v>41088</v>
      </c>
      <c r="I118" t="s">
        <v>35</v>
      </c>
      <c r="J118" t="s">
        <v>35</v>
      </c>
      <c r="K118" t="s">
        <v>35</v>
      </c>
      <c r="L118">
        <v>15.51</v>
      </c>
      <c r="M118" t="s">
        <v>36</v>
      </c>
      <c r="O118" t="s">
        <v>36</v>
      </c>
      <c r="P118">
        <v>1201</v>
      </c>
      <c r="R118" t="s">
        <v>69</v>
      </c>
      <c r="T118" t="s">
        <v>35</v>
      </c>
    </row>
    <row r="119" spans="1:20" x14ac:dyDescent="0.25">
      <c r="A119">
        <v>12001239</v>
      </c>
      <c r="B119" t="s">
        <v>33</v>
      </c>
      <c r="C119">
        <v>1201</v>
      </c>
      <c r="D119">
        <v>55271035</v>
      </c>
      <c r="E119" t="s">
        <v>166</v>
      </c>
      <c r="F119" s="1">
        <v>41088</v>
      </c>
      <c r="G119">
        <v>1201</v>
      </c>
      <c r="I119" t="s">
        <v>35</v>
      </c>
      <c r="J119" t="s">
        <v>35</v>
      </c>
      <c r="K119" t="s">
        <v>35</v>
      </c>
      <c r="L119" s="2">
        <v>12500</v>
      </c>
      <c r="M119" t="s">
        <v>36</v>
      </c>
      <c r="O119" t="s">
        <v>36</v>
      </c>
      <c r="P119">
        <v>1201</v>
      </c>
      <c r="R119" t="s">
        <v>147</v>
      </c>
      <c r="T119" t="s">
        <v>35</v>
      </c>
    </row>
    <row r="120" spans="1:20" x14ac:dyDescent="0.25">
      <c r="A120">
        <v>12001245</v>
      </c>
      <c r="B120" t="s">
        <v>33</v>
      </c>
      <c r="C120">
        <v>1201</v>
      </c>
      <c r="D120">
        <v>55369972</v>
      </c>
      <c r="E120" t="s">
        <v>167</v>
      </c>
      <c r="F120" s="1">
        <v>41094</v>
      </c>
      <c r="G120">
        <v>1201</v>
      </c>
      <c r="I120" t="s">
        <v>35</v>
      </c>
      <c r="J120" t="s">
        <v>35</v>
      </c>
      <c r="K120" t="s">
        <v>35</v>
      </c>
      <c r="L120" s="2">
        <v>2916.77</v>
      </c>
      <c r="M120" t="s">
        <v>36</v>
      </c>
      <c r="N120" s="2">
        <v>27497500</v>
      </c>
      <c r="O120" t="s">
        <v>37</v>
      </c>
      <c r="P120">
        <v>1201</v>
      </c>
      <c r="R120" t="s">
        <v>49</v>
      </c>
      <c r="T120" t="s">
        <v>35</v>
      </c>
    </row>
    <row r="121" spans="1:20" x14ac:dyDescent="0.25">
      <c r="A121">
        <v>12001246</v>
      </c>
      <c r="B121" t="s">
        <v>33</v>
      </c>
      <c r="C121">
        <v>1201</v>
      </c>
      <c r="D121">
        <v>55370295</v>
      </c>
      <c r="E121" t="s">
        <v>168</v>
      </c>
      <c r="F121" s="1">
        <v>41095</v>
      </c>
      <c r="G121">
        <v>1201</v>
      </c>
      <c r="I121" t="s">
        <v>35</v>
      </c>
      <c r="J121" t="s">
        <v>35</v>
      </c>
      <c r="K121" t="s">
        <v>35</v>
      </c>
      <c r="M121" t="s">
        <v>36</v>
      </c>
      <c r="O121" t="s">
        <v>37</v>
      </c>
      <c r="P121">
        <v>1201</v>
      </c>
      <c r="R121" t="s">
        <v>49</v>
      </c>
      <c r="T121" t="s">
        <v>35</v>
      </c>
    </row>
    <row r="122" spans="1:20" x14ac:dyDescent="0.25">
      <c r="A122">
        <v>12001248</v>
      </c>
      <c r="B122" t="s">
        <v>33</v>
      </c>
      <c r="C122">
        <v>1201</v>
      </c>
      <c r="D122">
        <v>55370560</v>
      </c>
      <c r="E122" t="s">
        <v>169</v>
      </c>
      <c r="F122" s="1">
        <v>41099</v>
      </c>
      <c r="G122">
        <v>1201</v>
      </c>
      <c r="I122" t="s">
        <v>35</v>
      </c>
      <c r="J122" t="s">
        <v>35</v>
      </c>
      <c r="K122" t="s">
        <v>35</v>
      </c>
      <c r="L122">
        <v>921.24</v>
      </c>
      <c r="M122" t="s">
        <v>36</v>
      </c>
      <c r="N122" s="2">
        <v>8644000</v>
      </c>
      <c r="O122" t="s">
        <v>37</v>
      </c>
      <c r="P122">
        <v>1201</v>
      </c>
      <c r="R122" t="s">
        <v>49</v>
      </c>
      <c r="T122" t="s">
        <v>35</v>
      </c>
    </row>
    <row r="123" spans="1:20" x14ac:dyDescent="0.25">
      <c r="A123">
        <v>12001257</v>
      </c>
      <c r="B123" t="s">
        <v>33</v>
      </c>
      <c r="C123">
        <v>1201</v>
      </c>
      <c r="D123">
        <v>55371976</v>
      </c>
      <c r="E123" t="s">
        <v>170</v>
      </c>
      <c r="F123" s="1">
        <v>41107</v>
      </c>
      <c r="G123">
        <v>1201</v>
      </c>
      <c r="I123" t="s">
        <v>35</v>
      </c>
      <c r="J123" t="s">
        <v>35</v>
      </c>
      <c r="K123" t="s">
        <v>35</v>
      </c>
      <c r="L123">
        <v>443.84</v>
      </c>
      <c r="M123" t="s">
        <v>36</v>
      </c>
      <c r="N123" s="2">
        <v>4205800</v>
      </c>
      <c r="O123" t="s">
        <v>37</v>
      </c>
      <c r="P123">
        <v>1201</v>
      </c>
      <c r="R123" t="s">
        <v>49</v>
      </c>
      <c r="T123" t="s">
        <v>35</v>
      </c>
    </row>
    <row r="124" spans="1:20" x14ac:dyDescent="0.25">
      <c r="A124">
        <v>12001260</v>
      </c>
      <c r="B124" t="s">
        <v>33</v>
      </c>
      <c r="C124">
        <v>1201</v>
      </c>
      <c r="D124">
        <v>55372231</v>
      </c>
      <c r="E124" t="s">
        <v>171</v>
      </c>
      <c r="F124" s="1">
        <v>41109</v>
      </c>
      <c r="G124">
        <v>1201</v>
      </c>
      <c r="I124" t="s">
        <v>35</v>
      </c>
      <c r="J124" t="s">
        <v>35</v>
      </c>
      <c r="K124" t="s">
        <v>35</v>
      </c>
      <c r="L124">
        <v>599.13</v>
      </c>
      <c r="M124" t="s">
        <v>36</v>
      </c>
      <c r="N124" s="2">
        <v>5670000</v>
      </c>
      <c r="O124" t="s">
        <v>37</v>
      </c>
      <c r="P124">
        <v>1201</v>
      </c>
      <c r="R124" t="s">
        <v>49</v>
      </c>
      <c r="T124" t="s">
        <v>35</v>
      </c>
    </row>
    <row r="125" spans="1:20" x14ac:dyDescent="0.25">
      <c r="A125">
        <v>12001263</v>
      </c>
      <c r="B125" t="s">
        <v>33</v>
      </c>
      <c r="C125">
        <v>1201</v>
      </c>
      <c r="D125">
        <v>55372477</v>
      </c>
      <c r="E125" t="s">
        <v>172</v>
      </c>
      <c r="F125" s="1">
        <v>41110</v>
      </c>
      <c r="G125">
        <v>1201</v>
      </c>
      <c r="I125" t="s">
        <v>35</v>
      </c>
      <c r="J125" t="s">
        <v>35</v>
      </c>
      <c r="K125" t="s">
        <v>35</v>
      </c>
      <c r="L125">
        <v>263.8</v>
      </c>
      <c r="M125" t="s">
        <v>36</v>
      </c>
      <c r="N125" s="2">
        <v>2500000</v>
      </c>
      <c r="O125" t="s">
        <v>37</v>
      </c>
      <c r="P125">
        <v>1201</v>
      </c>
      <c r="R125" t="s">
        <v>49</v>
      </c>
      <c r="T125" t="s">
        <v>35</v>
      </c>
    </row>
    <row r="126" spans="1:20" x14ac:dyDescent="0.25">
      <c r="A126">
        <v>12001264</v>
      </c>
      <c r="B126" t="s">
        <v>33</v>
      </c>
      <c r="C126">
        <v>1201</v>
      </c>
      <c r="D126">
        <v>55372848</v>
      </c>
      <c r="E126" t="s">
        <v>173</v>
      </c>
      <c r="F126" s="1">
        <v>41114</v>
      </c>
      <c r="G126">
        <v>1201</v>
      </c>
      <c r="I126" t="s">
        <v>35</v>
      </c>
      <c r="J126" t="s">
        <v>35</v>
      </c>
      <c r="K126" t="s">
        <v>35</v>
      </c>
      <c r="L126">
        <v>263.8</v>
      </c>
      <c r="M126" t="s">
        <v>36</v>
      </c>
      <c r="N126" s="2">
        <v>2500000</v>
      </c>
      <c r="O126" t="s">
        <v>37</v>
      </c>
      <c r="P126">
        <v>1201</v>
      </c>
      <c r="R126" t="s">
        <v>49</v>
      </c>
      <c r="T126" t="s">
        <v>35</v>
      </c>
    </row>
    <row r="127" spans="1:20" x14ac:dyDescent="0.25">
      <c r="A127">
        <v>12001277</v>
      </c>
      <c r="B127" t="s">
        <v>33</v>
      </c>
      <c r="C127">
        <v>1201</v>
      </c>
      <c r="D127">
        <v>55376531</v>
      </c>
      <c r="E127" t="s">
        <v>174</v>
      </c>
      <c r="F127" s="1">
        <v>41155</v>
      </c>
      <c r="G127">
        <v>1201</v>
      </c>
      <c r="I127" t="s">
        <v>35</v>
      </c>
      <c r="J127" t="s">
        <v>35</v>
      </c>
      <c r="K127" t="s">
        <v>35</v>
      </c>
      <c r="L127" s="2">
        <v>3313</v>
      </c>
      <c r="M127" t="s">
        <v>36</v>
      </c>
      <c r="O127" t="s">
        <v>36</v>
      </c>
      <c r="P127">
        <v>1201</v>
      </c>
      <c r="R127" t="s">
        <v>49</v>
      </c>
      <c r="T127" t="s">
        <v>35</v>
      </c>
    </row>
    <row r="128" spans="1:20" x14ac:dyDescent="0.25">
      <c r="A128">
        <v>12001279</v>
      </c>
      <c r="B128" t="s">
        <v>33</v>
      </c>
      <c r="C128">
        <v>1201</v>
      </c>
      <c r="D128">
        <v>55377340</v>
      </c>
      <c r="E128" t="s">
        <v>175</v>
      </c>
      <c r="F128" s="1">
        <v>41157</v>
      </c>
      <c r="G128">
        <v>1201</v>
      </c>
      <c r="I128" t="s">
        <v>35</v>
      </c>
      <c r="J128" t="s">
        <v>35</v>
      </c>
      <c r="K128" t="s">
        <v>35</v>
      </c>
      <c r="L128">
        <v>139.47999999999999</v>
      </c>
      <c r="M128" t="s">
        <v>36</v>
      </c>
      <c r="N128" s="2">
        <v>1335700</v>
      </c>
      <c r="O128" t="s">
        <v>37</v>
      </c>
      <c r="P128">
        <v>1201</v>
      </c>
      <c r="R128" t="s">
        <v>49</v>
      </c>
      <c r="T128" t="s">
        <v>35</v>
      </c>
    </row>
    <row r="129" spans="1:20" x14ac:dyDescent="0.25">
      <c r="A129">
        <v>12001284</v>
      </c>
      <c r="B129" t="s">
        <v>33</v>
      </c>
      <c r="C129">
        <v>1201</v>
      </c>
      <c r="D129">
        <v>55377446</v>
      </c>
      <c r="E129" t="s">
        <v>176</v>
      </c>
      <c r="F129" s="1">
        <v>41159</v>
      </c>
      <c r="G129">
        <v>1201</v>
      </c>
      <c r="I129" t="s">
        <v>35</v>
      </c>
      <c r="J129" t="s">
        <v>35</v>
      </c>
      <c r="K129" t="s">
        <v>35</v>
      </c>
      <c r="M129" t="s">
        <v>36</v>
      </c>
      <c r="O129" t="s">
        <v>36</v>
      </c>
      <c r="P129">
        <v>1201</v>
      </c>
      <c r="R129" t="s">
        <v>49</v>
      </c>
      <c r="T129" t="s">
        <v>35</v>
      </c>
    </row>
    <row r="130" spans="1:20" x14ac:dyDescent="0.25">
      <c r="A130">
        <v>12001327</v>
      </c>
      <c r="B130" t="s">
        <v>33</v>
      </c>
      <c r="C130">
        <v>1201</v>
      </c>
      <c r="D130">
        <v>55381904</v>
      </c>
      <c r="E130" t="s">
        <v>177</v>
      </c>
      <c r="F130" s="1">
        <v>41192</v>
      </c>
      <c r="G130">
        <v>1201</v>
      </c>
      <c r="I130" t="s">
        <v>35</v>
      </c>
      <c r="J130" t="s">
        <v>35</v>
      </c>
      <c r="K130" t="s">
        <v>35</v>
      </c>
      <c r="L130">
        <v>167.76</v>
      </c>
      <c r="M130" t="s">
        <v>36</v>
      </c>
      <c r="N130" s="2">
        <v>1609000</v>
      </c>
      <c r="O130" t="s">
        <v>37</v>
      </c>
      <c r="P130">
        <v>1201</v>
      </c>
      <c r="R130" t="s">
        <v>49</v>
      </c>
      <c r="T130" t="s">
        <v>35</v>
      </c>
    </row>
    <row r="131" spans="1:20" x14ac:dyDescent="0.25">
      <c r="A131">
        <v>12001340</v>
      </c>
      <c r="B131" t="s">
        <v>33</v>
      </c>
      <c r="C131">
        <v>1201</v>
      </c>
      <c r="D131">
        <v>55372611</v>
      </c>
      <c r="E131" t="s">
        <v>178</v>
      </c>
      <c r="F131" s="1">
        <v>41213</v>
      </c>
      <c r="G131">
        <v>1201</v>
      </c>
      <c r="I131" t="s">
        <v>35</v>
      </c>
      <c r="J131" t="s">
        <v>35</v>
      </c>
      <c r="K131" t="s">
        <v>35</v>
      </c>
      <c r="L131" s="2">
        <v>5496.75</v>
      </c>
      <c r="M131" t="s">
        <v>36</v>
      </c>
      <c r="O131" t="s">
        <v>36</v>
      </c>
      <c r="P131">
        <v>1201</v>
      </c>
      <c r="R131" t="s">
        <v>49</v>
      </c>
      <c r="T131" t="s">
        <v>35</v>
      </c>
    </row>
    <row r="132" spans="1:20" x14ac:dyDescent="0.25">
      <c r="A132">
        <v>12001360</v>
      </c>
      <c r="B132" t="s">
        <v>33</v>
      </c>
      <c r="C132">
        <v>1201</v>
      </c>
      <c r="D132">
        <v>55387290</v>
      </c>
      <c r="E132" t="s">
        <v>179</v>
      </c>
      <c r="F132" s="1">
        <v>41232</v>
      </c>
      <c r="G132">
        <v>1201</v>
      </c>
      <c r="I132" t="s">
        <v>35</v>
      </c>
      <c r="J132" t="s">
        <v>35</v>
      </c>
      <c r="K132" t="s">
        <v>35</v>
      </c>
      <c r="L132" s="2">
        <v>12579</v>
      </c>
      <c r="M132" t="s">
        <v>36</v>
      </c>
      <c r="O132" t="s">
        <v>36</v>
      </c>
      <c r="P132">
        <v>1201</v>
      </c>
      <c r="R132" t="s">
        <v>49</v>
      </c>
      <c r="T132" t="s">
        <v>35</v>
      </c>
    </row>
    <row r="133" spans="1:20" x14ac:dyDescent="0.25">
      <c r="A133">
        <v>12001374</v>
      </c>
      <c r="B133" t="s">
        <v>33</v>
      </c>
      <c r="C133">
        <v>1201</v>
      </c>
      <c r="D133">
        <v>55388962</v>
      </c>
      <c r="E133" t="s">
        <v>180</v>
      </c>
      <c r="F133" s="1">
        <v>41243</v>
      </c>
      <c r="G133">
        <v>1201</v>
      </c>
      <c r="I133" t="s">
        <v>35</v>
      </c>
      <c r="J133" t="s">
        <v>35</v>
      </c>
      <c r="K133" t="s">
        <v>35</v>
      </c>
      <c r="L133">
        <v>423.5</v>
      </c>
      <c r="M133" t="s">
        <v>36</v>
      </c>
      <c r="O133" t="s">
        <v>36</v>
      </c>
      <c r="P133">
        <v>1201</v>
      </c>
      <c r="R133" t="s">
        <v>125</v>
      </c>
      <c r="T133" t="s">
        <v>35</v>
      </c>
    </row>
    <row r="134" spans="1:20" x14ac:dyDescent="0.25">
      <c r="A134">
        <v>12001381</v>
      </c>
      <c r="B134" t="s">
        <v>33</v>
      </c>
      <c r="C134">
        <v>1201</v>
      </c>
      <c r="D134">
        <v>55042241</v>
      </c>
      <c r="E134" t="s">
        <v>181</v>
      </c>
      <c r="F134" s="1">
        <v>41250</v>
      </c>
      <c r="G134">
        <v>1201</v>
      </c>
      <c r="I134" t="s">
        <v>35</v>
      </c>
      <c r="J134" t="s">
        <v>35</v>
      </c>
      <c r="K134" t="s">
        <v>35</v>
      </c>
      <c r="L134" s="2">
        <v>6930</v>
      </c>
      <c r="M134" t="s">
        <v>36</v>
      </c>
      <c r="O134" t="s">
        <v>36</v>
      </c>
      <c r="P134">
        <v>1201</v>
      </c>
      <c r="R134" t="s">
        <v>49</v>
      </c>
      <c r="T134" t="s">
        <v>35</v>
      </c>
    </row>
    <row r="135" spans="1:20" x14ac:dyDescent="0.25">
      <c r="A135">
        <v>12001396</v>
      </c>
      <c r="B135" t="s">
        <v>33</v>
      </c>
      <c r="C135">
        <v>1201</v>
      </c>
      <c r="D135">
        <v>55066488</v>
      </c>
      <c r="E135" t="s">
        <v>182</v>
      </c>
      <c r="F135" s="1">
        <v>41256</v>
      </c>
      <c r="I135" t="s">
        <v>35</v>
      </c>
      <c r="J135" t="s">
        <v>35</v>
      </c>
      <c r="K135" t="s">
        <v>35</v>
      </c>
      <c r="M135" t="s">
        <v>36</v>
      </c>
      <c r="O135" t="s">
        <v>36</v>
      </c>
      <c r="P135">
        <v>1201</v>
      </c>
      <c r="R135" t="s">
        <v>103</v>
      </c>
      <c r="T135" t="s">
        <v>35</v>
      </c>
    </row>
    <row r="136" spans="1:20" x14ac:dyDescent="0.25">
      <c r="A136">
        <v>13001027</v>
      </c>
      <c r="B136" t="s">
        <v>33</v>
      </c>
      <c r="C136">
        <v>1201</v>
      </c>
      <c r="D136">
        <v>55397594</v>
      </c>
      <c r="E136" t="s">
        <v>183</v>
      </c>
      <c r="F136" s="1">
        <v>41303</v>
      </c>
      <c r="G136">
        <v>1201</v>
      </c>
      <c r="I136" t="s">
        <v>35</v>
      </c>
      <c r="J136" t="s">
        <v>35</v>
      </c>
      <c r="K136" t="s">
        <v>35</v>
      </c>
      <c r="L136">
        <v>1.55</v>
      </c>
      <c r="M136" t="s">
        <v>36</v>
      </c>
      <c r="N136" s="2">
        <v>15000</v>
      </c>
      <c r="O136" t="s">
        <v>37</v>
      </c>
      <c r="P136">
        <v>1201</v>
      </c>
      <c r="R136" t="s">
        <v>184</v>
      </c>
      <c r="T136" t="s">
        <v>35</v>
      </c>
    </row>
    <row r="137" spans="1:20" x14ac:dyDescent="0.25">
      <c r="A137">
        <v>13001039</v>
      </c>
      <c r="B137" t="s">
        <v>33</v>
      </c>
      <c r="C137">
        <v>1201</v>
      </c>
      <c r="D137">
        <v>55398204</v>
      </c>
      <c r="E137" t="s">
        <v>185</v>
      </c>
      <c r="F137" s="1">
        <v>41310</v>
      </c>
      <c r="G137">
        <v>1201</v>
      </c>
      <c r="I137" t="s">
        <v>35</v>
      </c>
      <c r="J137" t="s">
        <v>35</v>
      </c>
      <c r="K137" t="s">
        <v>35</v>
      </c>
      <c r="L137">
        <v>601.71</v>
      </c>
      <c r="M137" t="s">
        <v>36</v>
      </c>
      <c r="N137" s="2">
        <v>5836500</v>
      </c>
      <c r="O137" t="s">
        <v>37</v>
      </c>
      <c r="P137">
        <v>1201</v>
      </c>
      <c r="R137" t="s">
        <v>184</v>
      </c>
      <c r="T137" t="s">
        <v>35</v>
      </c>
    </row>
    <row r="138" spans="1:20" x14ac:dyDescent="0.25">
      <c r="A138">
        <v>13001041</v>
      </c>
      <c r="B138" t="s">
        <v>33</v>
      </c>
      <c r="C138">
        <v>1201</v>
      </c>
      <c r="D138">
        <v>55398212</v>
      </c>
      <c r="E138" t="s">
        <v>186</v>
      </c>
      <c r="F138" s="1">
        <v>41310</v>
      </c>
      <c r="G138">
        <v>1201</v>
      </c>
      <c r="I138" t="s">
        <v>35</v>
      </c>
      <c r="J138" t="s">
        <v>35</v>
      </c>
      <c r="K138" t="s">
        <v>35</v>
      </c>
      <c r="L138">
        <v>430.07</v>
      </c>
      <c r="M138" t="s">
        <v>36</v>
      </c>
      <c r="N138" s="2">
        <v>4171500</v>
      </c>
      <c r="O138" t="s">
        <v>37</v>
      </c>
      <c r="P138">
        <v>1201</v>
      </c>
      <c r="R138" t="s">
        <v>184</v>
      </c>
      <c r="T138" t="s">
        <v>35</v>
      </c>
    </row>
    <row r="139" spans="1:20" x14ac:dyDescent="0.25">
      <c r="A139">
        <v>13001043</v>
      </c>
      <c r="B139" t="s">
        <v>33</v>
      </c>
      <c r="C139">
        <v>1201</v>
      </c>
      <c r="D139">
        <v>55398221</v>
      </c>
      <c r="E139" t="s">
        <v>187</v>
      </c>
      <c r="F139" s="1">
        <v>41310</v>
      </c>
      <c r="G139">
        <v>1201</v>
      </c>
      <c r="I139" t="s">
        <v>35</v>
      </c>
      <c r="J139" t="s">
        <v>35</v>
      </c>
      <c r="K139" t="s">
        <v>35</v>
      </c>
      <c r="L139">
        <v>287.95</v>
      </c>
      <c r="M139" t="s">
        <v>36</v>
      </c>
      <c r="N139" s="2">
        <v>2793000</v>
      </c>
      <c r="O139" t="s">
        <v>37</v>
      </c>
      <c r="P139">
        <v>1201</v>
      </c>
      <c r="R139" t="s">
        <v>184</v>
      </c>
      <c r="T139" t="s">
        <v>35</v>
      </c>
    </row>
    <row r="140" spans="1:20" x14ac:dyDescent="0.25">
      <c r="A140">
        <v>13001044</v>
      </c>
      <c r="B140" t="s">
        <v>33</v>
      </c>
      <c r="C140">
        <v>1201</v>
      </c>
      <c r="D140">
        <v>55397834</v>
      </c>
      <c r="E140" t="s">
        <v>188</v>
      </c>
      <c r="F140" s="1">
        <v>41310</v>
      </c>
      <c r="I140" t="s">
        <v>35</v>
      </c>
      <c r="J140" t="s">
        <v>35</v>
      </c>
      <c r="K140" t="s">
        <v>35</v>
      </c>
      <c r="M140" t="s">
        <v>36</v>
      </c>
      <c r="O140" t="s">
        <v>37</v>
      </c>
      <c r="P140">
        <v>1201</v>
      </c>
      <c r="R140" t="s">
        <v>103</v>
      </c>
      <c r="T140" t="s">
        <v>35</v>
      </c>
    </row>
    <row r="141" spans="1:20" x14ac:dyDescent="0.25">
      <c r="A141">
        <v>13001049</v>
      </c>
      <c r="B141" t="s">
        <v>33</v>
      </c>
      <c r="C141">
        <v>1201</v>
      </c>
      <c r="D141">
        <v>55398343</v>
      </c>
      <c r="E141" t="s">
        <v>189</v>
      </c>
      <c r="F141" s="1">
        <v>41311</v>
      </c>
      <c r="G141">
        <v>1201</v>
      </c>
      <c r="I141" t="s">
        <v>35</v>
      </c>
      <c r="J141" t="s">
        <v>35</v>
      </c>
      <c r="K141" t="s">
        <v>35</v>
      </c>
      <c r="L141">
        <v>744.88</v>
      </c>
      <c r="M141" t="s">
        <v>36</v>
      </c>
      <c r="N141" s="2">
        <v>7222500</v>
      </c>
      <c r="O141" t="s">
        <v>37</v>
      </c>
      <c r="P141">
        <v>1201</v>
      </c>
      <c r="R141" t="s">
        <v>184</v>
      </c>
      <c r="T141" t="s">
        <v>35</v>
      </c>
    </row>
    <row r="142" spans="1:20" x14ac:dyDescent="0.25">
      <c r="A142">
        <v>13001123</v>
      </c>
      <c r="B142" t="s">
        <v>33</v>
      </c>
      <c r="C142">
        <v>1201</v>
      </c>
      <c r="D142">
        <v>55403481</v>
      </c>
      <c r="E142" t="s">
        <v>190</v>
      </c>
      <c r="F142" s="1">
        <v>41346</v>
      </c>
      <c r="G142">
        <v>1201</v>
      </c>
      <c r="I142" t="s">
        <v>35</v>
      </c>
      <c r="J142" t="s">
        <v>35</v>
      </c>
      <c r="K142" t="s">
        <v>35</v>
      </c>
      <c r="L142" s="2">
        <v>3219.87</v>
      </c>
      <c r="M142" t="s">
        <v>36</v>
      </c>
      <c r="N142" s="2">
        <v>31195000</v>
      </c>
      <c r="O142" t="s">
        <v>37</v>
      </c>
      <c r="P142">
        <v>1201</v>
      </c>
      <c r="R142" t="s">
        <v>184</v>
      </c>
      <c r="T142" t="s">
        <v>35</v>
      </c>
    </row>
    <row r="143" spans="1:20" x14ac:dyDescent="0.25">
      <c r="A143">
        <v>13001319</v>
      </c>
      <c r="B143" t="s">
        <v>33</v>
      </c>
      <c r="C143">
        <v>1201</v>
      </c>
      <c r="D143">
        <v>55437365</v>
      </c>
      <c r="E143" t="s">
        <v>191</v>
      </c>
      <c r="F143" s="1">
        <v>41599</v>
      </c>
      <c r="G143">
        <v>1201</v>
      </c>
      <c r="I143" t="s">
        <v>35</v>
      </c>
      <c r="J143" t="s">
        <v>35</v>
      </c>
      <c r="K143" t="s">
        <v>35</v>
      </c>
      <c r="L143" s="2">
        <v>10140</v>
      </c>
      <c r="M143" t="s">
        <v>36</v>
      </c>
      <c r="O143" t="s">
        <v>36</v>
      </c>
      <c r="P143">
        <v>1201</v>
      </c>
      <c r="R143" t="s">
        <v>192</v>
      </c>
      <c r="T143" t="s">
        <v>35</v>
      </c>
    </row>
    <row r="144" spans="1:20" x14ac:dyDescent="0.25">
      <c r="A144">
        <v>13001326</v>
      </c>
      <c r="B144" t="s">
        <v>33</v>
      </c>
      <c r="C144">
        <v>1201</v>
      </c>
      <c r="D144">
        <v>55438229</v>
      </c>
      <c r="E144" t="s">
        <v>193</v>
      </c>
      <c r="F144" s="1">
        <v>41606</v>
      </c>
      <c r="G144">
        <v>1201</v>
      </c>
      <c r="I144" t="s">
        <v>35</v>
      </c>
      <c r="J144" t="s">
        <v>35</v>
      </c>
      <c r="K144" t="s">
        <v>35</v>
      </c>
      <c r="L144" s="2">
        <v>2130.21</v>
      </c>
      <c r="M144" t="s">
        <v>36</v>
      </c>
      <c r="N144" s="2">
        <v>25150000</v>
      </c>
      <c r="O144" t="s">
        <v>37</v>
      </c>
      <c r="P144">
        <v>1201</v>
      </c>
      <c r="R144" t="s">
        <v>184</v>
      </c>
      <c r="T144" t="s">
        <v>35</v>
      </c>
    </row>
    <row r="145" spans="1:20" x14ac:dyDescent="0.25">
      <c r="A145">
        <v>14001054</v>
      </c>
      <c r="B145" t="s">
        <v>33</v>
      </c>
      <c r="C145">
        <v>1201</v>
      </c>
      <c r="D145">
        <v>55448347</v>
      </c>
      <c r="E145" t="s">
        <v>194</v>
      </c>
      <c r="F145" s="1">
        <v>41687</v>
      </c>
      <c r="G145">
        <v>1201</v>
      </c>
      <c r="I145" t="s">
        <v>35</v>
      </c>
      <c r="J145" t="s">
        <v>35</v>
      </c>
      <c r="K145" t="s">
        <v>35</v>
      </c>
      <c r="L145">
        <v>888.2</v>
      </c>
      <c r="M145" t="s">
        <v>36</v>
      </c>
      <c r="N145" s="2">
        <v>10560000</v>
      </c>
      <c r="O145" t="s">
        <v>37</v>
      </c>
      <c r="P145">
        <v>1201</v>
      </c>
      <c r="R145" t="s">
        <v>184</v>
      </c>
      <c r="T145" t="s">
        <v>35</v>
      </c>
    </row>
    <row r="146" spans="1:20" x14ac:dyDescent="0.25">
      <c r="A146">
        <v>14001056</v>
      </c>
      <c r="B146" t="s">
        <v>33</v>
      </c>
      <c r="C146">
        <v>1201</v>
      </c>
      <c r="D146">
        <v>55448355</v>
      </c>
      <c r="E146" t="s">
        <v>195</v>
      </c>
      <c r="F146" s="1">
        <v>41687</v>
      </c>
      <c r="G146">
        <v>1201</v>
      </c>
      <c r="I146" t="s">
        <v>35</v>
      </c>
      <c r="J146" t="s">
        <v>35</v>
      </c>
      <c r="K146" t="s">
        <v>35</v>
      </c>
      <c r="L146">
        <v>888.2</v>
      </c>
      <c r="M146" t="s">
        <v>36</v>
      </c>
      <c r="N146" s="2">
        <v>10560000</v>
      </c>
      <c r="O146" t="s">
        <v>37</v>
      </c>
      <c r="P146">
        <v>1201</v>
      </c>
      <c r="R146" t="s">
        <v>184</v>
      </c>
      <c r="T146" t="s">
        <v>35</v>
      </c>
    </row>
    <row r="147" spans="1:20" x14ac:dyDescent="0.25">
      <c r="A147">
        <v>14001145</v>
      </c>
      <c r="B147" t="s">
        <v>33</v>
      </c>
      <c r="C147">
        <v>1201</v>
      </c>
      <c r="D147">
        <v>55465981</v>
      </c>
      <c r="E147" t="s">
        <v>196</v>
      </c>
      <c r="F147" s="1">
        <v>41823</v>
      </c>
      <c r="G147">
        <v>1201</v>
      </c>
      <c r="I147" t="s">
        <v>35</v>
      </c>
      <c r="J147" t="s">
        <v>35</v>
      </c>
      <c r="K147" t="s">
        <v>35</v>
      </c>
      <c r="L147">
        <v>404.8</v>
      </c>
      <c r="M147" t="s">
        <v>36</v>
      </c>
      <c r="N147" s="2">
        <v>4800000</v>
      </c>
      <c r="O147" t="s">
        <v>37</v>
      </c>
      <c r="P147">
        <v>1201</v>
      </c>
      <c r="R147" t="s">
        <v>184</v>
      </c>
      <c r="T147" t="s">
        <v>35</v>
      </c>
    </row>
    <row r="148" spans="1:20" x14ac:dyDescent="0.25">
      <c r="A148">
        <v>15001010</v>
      </c>
      <c r="B148" t="s">
        <v>33</v>
      </c>
      <c r="C148">
        <v>1201</v>
      </c>
      <c r="D148">
        <v>54000339</v>
      </c>
      <c r="E148" t="s">
        <v>197</v>
      </c>
      <c r="F148" s="1">
        <v>42018</v>
      </c>
      <c r="I148" t="s">
        <v>35</v>
      </c>
      <c r="J148" t="s">
        <v>35</v>
      </c>
      <c r="K148" t="s">
        <v>35</v>
      </c>
      <c r="L148">
        <v>3.44</v>
      </c>
      <c r="M148" t="s">
        <v>36</v>
      </c>
      <c r="N148" s="2">
        <v>43200</v>
      </c>
      <c r="O148" t="s">
        <v>37</v>
      </c>
      <c r="P148">
        <v>1201</v>
      </c>
      <c r="R148" t="s">
        <v>198</v>
      </c>
      <c r="T148" t="s">
        <v>35</v>
      </c>
    </row>
    <row r="149" spans="1:20" x14ac:dyDescent="0.25">
      <c r="A149">
        <v>15001051</v>
      </c>
      <c r="B149" t="s">
        <v>33</v>
      </c>
      <c r="C149">
        <v>1201</v>
      </c>
      <c r="D149">
        <v>55499451</v>
      </c>
      <c r="E149" t="s">
        <v>199</v>
      </c>
      <c r="F149" s="1">
        <v>42055</v>
      </c>
      <c r="G149">
        <v>1201</v>
      </c>
      <c r="I149" t="s">
        <v>35</v>
      </c>
      <c r="J149" t="s">
        <v>35</v>
      </c>
      <c r="K149" t="s">
        <v>35</v>
      </c>
      <c r="L149" s="2">
        <v>2329.88</v>
      </c>
      <c r="M149" t="s">
        <v>36</v>
      </c>
      <c r="N149" s="2">
        <v>29832000</v>
      </c>
      <c r="O149" t="s">
        <v>37</v>
      </c>
      <c r="P149">
        <v>1201</v>
      </c>
      <c r="R149" t="s">
        <v>200</v>
      </c>
      <c r="T149" t="s">
        <v>35</v>
      </c>
    </row>
    <row r="150" spans="1:20" x14ac:dyDescent="0.25">
      <c r="A150">
        <v>15001077</v>
      </c>
      <c r="B150" t="s">
        <v>33</v>
      </c>
      <c r="C150">
        <v>1201</v>
      </c>
      <c r="D150">
        <v>55526641</v>
      </c>
      <c r="E150" t="s">
        <v>201</v>
      </c>
      <c r="F150" s="1">
        <v>42079</v>
      </c>
      <c r="G150">
        <v>1201</v>
      </c>
      <c r="I150" t="s">
        <v>35</v>
      </c>
      <c r="J150" t="s">
        <v>35</v>
      </c>
      <c r="K150" t="s">
        <v>35</v>
      </c>
      <c r="M150" t="s">
        <v>36</v>
      </c>
      <c r="O150" t="s">
        <v>36</v>
      </c>
      <c r="P150">
        <v>1201</v>
      </c>
      <c r="R150" t="s">
        <v>184</v>
      </c>
      <c r="T150" t="s">
        <v>35</v>
      </c>
    </row>
    <row r="151" spans="1:20" x14ac:dyDescent="0.25">
      <c r="A151">
        <v>15001078</v>
      </c>
      <c r="B151" t="s">
        <v>33</v>
      </c>
      <c r="C151">
        <v>1201</v>
      </c>
      <c r="D151">
        <v>55526755</v>
      </c>
      <c r="E151" t="s">
        <v>202</v>
      </c>
      <c r="F151" s="1">
        <v>42080</v>
      </c>
      <c r="G151">
        <v>1201</v>
      </c>
      <c r="I151" t="s">
        <v>35</v>
      </c>
      <c r="J151" t="s">
        <v>35</v>
      </c>
      <c r="K151" t="s">
        <v>35</v>
      </c>
      <c r="L151">
        <v>204.2</v>
      </c>
      <c r="M151" t="s">
        <v>36</v>
      </c>
      <c r="N151" s="2">
        <v>2703000</v>
      </c>
      <c r="O151" t="s">
        <v>37</v>
      </c>
      <c r="P151">
        <v>1201</v>
      </c>
      <c r="R151" t="s">
        <v>200</v>
      </c>
      <c r="T151" t="s">
        <v>35</v>
      </c>
    </row>
    <row r="152" spans="1:20" x14ac:dyDescent="0.25">
      <c r="A152">
        <v>15001084</v>
      </c>
      <c r="B152" t="s">
        <v>33</v>
      </c>
      <c r="C152">
        <v>1201</v>
      </c>
      <c r="D152">
        <v>55413988</v>
      </c>
      <c r="E152" t="s">
        <v>203</v>
      </c>
      <c r="F152" s="1">
        <v>42087</v>
      </c>
      <c r="G152">
        <v>1201</v>
      </c>
      <c r="I152" t="s">
        <v>35</v>
      </c>
      <c r="J152" t="s">
        <v>35</v>
      </c>
      <c r="K152" t="s">
        <v>35</v>
      </c>
      <c r="L152" s="2">
        <v>12946.64</v>
      </c>
      <c r="M152" t="s">
        <v>36</v>
      </c>
      <c r="O152" t="s">
        <v>36</v>
      </c>
      <c r="P152">
        <v>1201</v>
      </c>
      <c r="R152" t="s">
        <v>200</v>
      </c>
      <c r="T152" t="s">
        <v>35</v>
      </c>
    </row>
    <row r="153" spans="1:20" x14ac:dyDescent="0.25">
      <c r="A153">
        <v>15001088</v>
      </c>
      <c r="B153" t="s">
        <v>33</v>
      </c>
      <c r="C153">
        <v>1201</v>
      </c>
      <c r="D153">
        <v>55528873</v>
      </c>
      <c r="E153" t="s">
        <v>204</v>
      </c>
      <c r="F153" s="1">
        <v>42088</v>
      </c>
      <c r="G153">
        <v>1201</v>
      </c>
      <c r="I153" t="s">
        <v>35</v>
      </c>
      <c r="J153" t="s">
        <v>35</v>
      </c>
      <c r="K153" t="s">
        <v>35</v>
      </c>
      <c r="L153" s="2">
        <v>10797.15</v>
      </c>
      <c r="M153" t="s">
        <v>36</v>
      </c>
      <c r="O153" t="s">
        <v>36</v>
      </c>
      <c r="P153">
        <v>1201</v>
      </c>
      <c r="R153" t="s">
        <v>205</v>
      </c>
      <c r="T153" t="s">
        <v>35</v>
      </c>
    </row>
    <row r="154" spans="1:20" x14ac:dyDescent="0.25">
      <c r="A154">
        <v>15001095</v>
      </c>
      <c r="B154" t="s">
        <v>33</v>
      </c>
      <c r="C154">
        <v>1201</v>
      </c>
      <c r="D154">
        <v>55530412</v>
      </c>
      <c r="E154" t="s">
        <v>206</v>
      </c>
      <c r="F154" s="1">
        <v>42095</v>
      </c>
      <c r="G154">
        <v>1201</v>
      </c>
      <c r="I154" t="s">
        <v>35</v>
      </c>
      <c r="J154" t="s">
        <v>35</v>
      </c>
      <c r="K154" t="s">
        <v>35</v>
      </c>
      <c r="M154" t="s">
        <v>36</v>
      </c>
      <c r="O154" t="s">
        <v>37</v>
      </c>
      <c r="P154">
        <v>1201</v>
      </c>
      <c r="R154" t="s">
        <v>200</v>
      </c>
      <c r="T154" t="s">
        <v>35</v>
      </c>
    </row>
    <row r="155" spans="1:20" x14ac:dyDescent="0.25">
      <c r="A155">
        <v>15001107</v>
      </c>
      <c r="B155" t="s">
        <v>33</v>
      </c>
      <c r="C155">
        <v>1201</v>
      </c>
      <c r="D155">
        <v>55397092</v>
      </c>
      <c r="E155" t="s">
        <v>207</v>
      </c>
      <c r="F155" s="1">
        <v>42101</v>
      </c>
      <c r="G155">
        <v>1201</v>
      </c>
      <c r="I155" t="s">
        <v>35</v>
      </c>
      <c r="J155" t="s">
        <v>35</v>
      </c>
      <c r="K155" t="s">
        <v>35</v>
      </c>
      <c r="L155">
        <v>346.05</v>
      </c>
      <c r="M155" t="s">
        <v>36</v>
      </c>
      <c r="N155" s="2">
        <v>4500000</v>
      </c>
      <c r="O155" t="s">
        <v>37</v>
      </c>
      <c r="P155">
        <v>1201</v>
      </c>
      <c r="R155" t="s">
        <v>184</v>
      </c>
      <c r="T155" t="s">
        <v>35</v>
      </c>
    </row>
    <row r="156" spans="1:20" x14ac:dyDescent="0.25">
      <c r="A156">
        <v>15001128</v>
      </c>
      <c r="B156" t="s">
        <v>33</v>
      </c>
      <c r="C156">
        <v>1201</v>
      </c>
      <c r="D156">
        <v>55534472</v>
      </c>
      <c r="E156" t="s">
        <v>208</v>
      </c>
      <c r="F156" s="1">
        <v>42110</v>
      </c>
      <c r="G156">
        <v>1201</v>
      </c>
      <c r="I156" t="s">
        <v>35</v>
      </c>
      <c r="J156" t="s">
        <v>35</v>
      </c>
      <c r="K156" t="s">
        <v>35</v>
      </c>
      <c r="L156" s="2">
        <v>20531.599999999999</v>
      </c>
      <c r="M156" t="s">
        <v>36</v>
      </c>
      <c r="O156" t="s">
        <v>36</v>
      </c>
      <c r="P156">
        <v>1201</v>
      </c>
      <c r="R156" t="s">
        <v>200</v>
      </c>
      <c r="T156" t="s">
        <v>35</v>
      </c>
    </row>
    <row r="157" spans="1:20" x14ac:dyDescent="0.25">
      <c r="A157">
        <v>15001148</v>
      </c>
      <c r="B157" t="s">
        <v>33</v>
      </c>
      <c r="C157">
        <v>1201</v>
      </c>
      <c r="D157">
        <v>55537180</v>
      </c>
      <c r="E157" t="s">
        <v>209</v>
      </c>
      <c r="F157" s="1">
        <v>42123</v>
      </c>
      <c r="G157">
        <v>1201</v>
      </c>
      <c r="I157" t="s">
        <v>35</v>
      </c>
      <c r="J157" t="s">
        <v>35</v>
      </c>
      <c r="K157" t="s">
        <v>35</v>
      </c>
      <c r="L157" s="2">
        <v>3978.61</v>
      </c>
      <c r="M157" t="s">
        <v>36</v>
      </c>
      <c r="N157" s="2">
        <v>51632000</v>
      </c>
      <c r="O157" t="s">
        <v>37</v>
      </c>
      <c r="P157">
        <v>1201</v>
      </c>
      <c r="R157" t="s">
        <v>200</v>
      </c>
      <c r="T157" t="s">
        <v>35</v>
      </c>
    </row>
    <row r="158" spans="1:20" x14ac:dyDescent="0.25">
      <c r="A158">
        <v>15001151</v>
      </c>
      <c r="B158" t="s">
        <v>33</v>
      </c>
      <c r="C158">
        <v>1201</v>
      </c>
      <c r="D158">
        <v>55537868</v>
      </c>
      <c r="E158" t="s">
        <v>210</v>
      </c>
      <c r="F158" s="1">
        <v>42124</v>
      </c>
      <c r="G158">
        <v>1201</v>
      </c>
      <c r="I158" t="s">
        <v>35</v>
      </c>
      <c r="J158" t="s">
        <v>35</v>
      </c>
      <c r="K158" t="s">
        <v>35</v>
      </c>
      <c r="L158" s="2">
        <v>22050</v>
      </c>
      <c r="M158" t="s">
        <v>36</v>
      </c>
      <c r="O158" t="s">
        <v>36</v>
      </c>
      <c r="P158">
        <v>1201</v>
      </c>
      <c r="R158" t="s">
        <v>200</v>
      </c>
      <c r="T158" t="s">
        <v>35</v>
      </c>
    </row>
    <row r="159" spans="1:20" x14ac:dyDescent="0.25">
      <c r="A159">
        <v>15001183</v>
      </c>
      <c r="B159" t="s">
        <v>33</v>
      </c>
      <c r="C159">
        <v>1201</v>
      </c>
      <c r="D159">
        <v>53000126</v>
      </c>
      <c r="E159" t="s">
        <v>211</v>
      </c>
      <c r="F159" s="1">
        <v>42160</v>
      </c>
      <c r="G159">
        <v>1201</v>
      </c>
      <c r="I159" t="s">
        <v>35</v>
      </c>
      <c r="J159" t="s">
        <v>35</v>
      </c>
      <c r="K159" t="s">
        <v>35</v>
      </c>
      <c r="M159" t="s">
        <v>36</v>
      </c>
      <c r="O159" t="s">
        <v>36</v>
      </c>
      <c r="P159">
        <v>1201</v>
      </c>
      <c r="R159" t="s">
        <v>103</v>
      </c>
      <c r="T159" t="s">
        <v>35</v>
      </c>
    </row>
    <row r="160" spans="1:20" x14ac:dyDescent="0.25">
      <c r="A160">
        <v>15001217</v>
      </c>
      <c r="B160" t="s">
        <v>33</v>
      </c>
      <c r="C160">
        <v>1201</v>
      </c>
      <c r="D160">
        <v>55466078</v>
      </c>
      <c r="E160" t="s">
        <v>212</v>
      </c>
      <c r="F160" s="1">
        <v>42187</v>
      </c>
      <c r="G160">
        <v>1201</v>
      </c>
      <c r="I160" t="s">
        <v>35</v>
      </c>
      <c r="J160" t="s">
        <v>35</v>
      </c>
      <c r="K160" t="s">
        <v>35</v>
      </c>
      <c r="L160" s="2">
        <v>45994.28</v>
      </c>
      <c r="M160" t="s">
        <v>36</v>
      </c>
      <c r="N160" s="2">
        <v>613126458</v>
      </c>
      <c r="O160" t="s">
        <v>37</v>
      </c>
      <c r="P160">
        <v>1201</v>
      </c>
      <c r="R160" t="s">
        <v>147</v>
      </c>
      <c r="T160" t="s">
        <v>35</v>
      </c>
    </row>
    <row r="161" spans="1:20" x14ac:dyDescent="0.25">
      <c r="A161">
        <v>15001264</v>
      </c>
      <c r="B161" t="s">
        <v>33</v>
      </c>
      <c r="C161">
        <v>1201</v>
      </c>
      <c r="D161">
        <v>55563281</v>
      </c>
      <c r="E161" t="s">
        <v>213</v>
      </c>
      <c r="F161" s="1">
        <v>42235</v>
      </c>
      <c r="G161">
        <v>1201</v>
      </c>
      <c r="I161" t="s">
        <v>35</v>
      </c>
      <c r="J161" t="s">
        <v>35</v>
      </c>
      <c r="K161" t="s">
        <v>35</v>
      </c>
      <c r="M161" t="s">
        <v>36</v>
      </c>
      <c r="O161" t="s">
        <v>37</v>
      </c>
      <c r="P161">
        <v>1201</v>
      </c>
      <c r="R161" t="s">
        <v>214</v>
      </c>
      <c r="T161" t="s">
        <v>35</v>
      </c>
    </row>
    <row r="162" spans="1:20" x14ac:dyDescent="0.25">
      <c r="A162">
        <v>15001319</v>
      </c>
      <c r="B162" t="s">
        <v>33</v>
      </c>
      <c r="C162">
        <v>1201</v>
      </c>
      <c r="D162">
        <v>55575071</v>
      </c>
      <c r="E162" t="s">
        <v>215</v>
      </c>
      <c r="F162" s="1">
        <v>42269</v>
      </c>
      <c r="I162" t="s">
        <v>35</v>
      </c>
      <c r="J162" t="s">
        <v>35</v>
      </c>
      <c r="K162" t="s">
        <v>35</v>
      </c>
      <c r="M162" t="s">
        <v>36</v>
      </c>
      <c r="O162" t="s">
        <v>37</v>
      </c>
      <c r="P162">
        <v>1201</v>
      </c>
      <c r="R162" t="s">
        <v>216</v>
      </c>
      <c r="T162" t="s">
        <v>35</v>
      </c>
    </row>
    <row r="163" spans="1:20" x14ac:dyDescent="0.25">
      <c r="A163">
        <v>15001328</v>
      </c>
      <c r="B163" t="s">
        <v>33</v>
      </c>
      <c r="C163">
        <v>1201</v>
      </c>
      <c r="D163">
        <v>55578352</v>
      </c>
      <c r="E163" t="s">
        <v>217</v>
      </c>
      <c r="F163" s="1">
        <v>42277</v>
      </c>
      <c r="I163" t="s">
        <v>35</v>
      </c>
      <c r="J163" t="s">
        <v>35</v>
      </c>
      <c r="K163" t="s">
        <v>35</v>
      </c>
      <c r="L163">
        <v>326.33999999999997</v>
      </c>
      <c r="M163" t="s">
        <v>36</v>
      </c>
      <c r="N163" s="2">
        <v>4806900</v>
      </c>
      <c r="O163" t="s">
        <v>37</v>
      </c>
      <c r="P163">
        <v>1201</v>
      </c>
      <c r="R163" t="s">
        <v>200</v>
      </c>
      <c r="T163" t="s">
        <v>35</v>
      </c>
    </row>
    <row r="164" spans="1:20" x14ac:dyDescent="0.25">
      <c r="A164">
        <v>15001394</v>
      </c>
      <c r="B164" t="s">
        <v>33</v>
      </c>
      <c r="C164">
        <v>1201</v>
      </c>
      <c r="D164">
        <v>55259423</v>
      </c>
      <c r="E164" t="s">
        <v>218</v>
      </c>
      <c r="F164" s="1">
        <v>42327</v>
      </c>
      <c r="G164">
        <v>1201</v>
      </c>
      <c r="I164" t="s">
        <v>35</v>
      </c>
      <c r="J164" t="s">
        <v>35</v>
      </c>
      <c r="K164" t="s">
        <v>35</v>
      </c>
      <c r="L164">
        <v>45.41</v>
      </c>
      <c r="M164" t="s">
        <v>36</v>
      </c>
      <c r="N164" s="2">
        <v>625000</v>
      </c>
      <c r="O164" t="s">
        <v>37</v>
      </c>
      <c r="P164">
        <v>1201</v>
      </c>
      <c r="R164" t="s">
        <v>219</v>
      </c>
      <c r="T164" t="s">
        <v>35</v>
      </c>
    </row>
    <row r="165" spans="1:20" x14ac:dyDescent="0.25">
      <c r="A165">
        <v>15001400</v>
      </c>
      <c r="B165" t="s">
        <v>33</v>
      </c>
      <c r="C165">
        <v>1201</v>
      </c>
      <c r="D165">
        <v>55602623</v>
      </c>
      <c r="E165" t="s">
        <v>220</v>
      </c>
      <c r="F165" s="1">
        <v>42332</v>
      </c>
      <c r="G165">
        <v>1201</v>
      </c>
      <c r="I165" t="s">
        <v>35</v>
      </c>
      <c r="J165" t="s">
        <v>35</v>
      </c>
      <c r="K165" t="s">
        <v>35</v>
      </c>
      <c r="L165">
        <v>887.27</v>
      </c>
      <c r="M165" t="s">
        <v>36</v>
      </c>
      <c r="N165" s="2">
        <v>12152025</v>
      </c>
      <c r="O165" t="s">
        <v>37</v>
      </c>
      <c r="P165">
        <v>1201</v>
      </c>
      <c r="R165" t="s">
        <v>221</v>
      </c>
      <c r="T165" t="s">
        <v>35</v>
      </c>
    </row>
    <row r="166" spans="1:20" x14ac:dyDescent="0.25">
      <c r="A166">
        <v>15001404</v>
      </c>
      <c r="B166" t="s">
        <v>33</v>
      </c>
      <c r="C166">
        <v>1201</v>
      </c>
      <c r="D166">
        <v>55604240</v>
      </c>
      <c r="E166" t="s">
        <v>222</v>
      </c>
      <c r="F166" s="1">
        <v>42333</v>
      </c>
      <c r="G166">
        <v>1201</v>
      </c>
      <c r="I166" t="s">
        <v>35</v>
      </c>
      <c r="J166" t="s">
        <v>35</v>
      </c>
      <c r="K166" t="s">
        <v>35</v>
      </c>
      <c r="L166">
        <v>512.5</v>
      </c>
      <c r="M166" t="s">
        <v>36</v>
      </c>
      <c r="N166" s="2">
        <v>7039187.5</v>
      </c>
      <c r="O166" t="s">
        <v>37</v>
      </c>
      <c r="P166">
        <v>1201</v>
      </c>
      <c r="R166" t="s">
        <v>223</v>
      </c>
      <c r="T166" t="s">
        <v>35</v>
      </c>
    </row>
    <row r="167" spans="1:20" x14ac:dyDescent="0.25">
      <c r="A167">
        <v>16001074</v>
      </c>
      <c r="B167" t="s">
        <v>33</v>
      </c>
      <c r="C167">
        <v>1201</v>
      </c>
      <c r="D167">
        <v>55642351</v>
      </c>
      <c r="E167" t="s">
        <v>224</v>
      </c>
      <c r="F167" s="1">
        <v>42411</v>
      </c>
      <c r="G167">
        <v>1201</v>
      </c>
      <c r="I167" t="s">
        <v>35</v>
      </c>
      <c r="J167" t="s">
        <v>35</v>
      </c>
      <c r="K167" t="s">
        <v>35</v>
      </c>
      <c r="L167">
        <v>295.64999999999998</v>
      </c>
      <c r="M167" t="s">
        <v>36</v>
      </c>
      <c r="N167" s="2">
        <v>4050000</v>
      </c>
      <c r="O167" t="s">
        <v>37</v>
      </c>
      <c r="P167">
        <v>1201</v>
      </c>
      <c r="R167" t="s">
        <v>184</v>
      </c>
      <c r="T167" t="s">
        <v>35</v>
      </c>
    </row>
    <row r="168" spans="1:20" x14ac:dyDescent="0.25">
      <c r="A168">
        <v>16001139</v>
      </c>
      <c r="B168" t="s">
        <v>33</v>
      </c>
      <c r="C168">
        <v>1201</v>
      </c>
      <c r="D168">
        <v>55663741</v>
      </c>
      <c r="E168" t="s">
        <v>225</v>
      </c>
      <c r="F168" s="1">
        <v>42461</v>
      </c>
      <c r="G168">
        <v>1201</v>
      </c>
      <c r="I168" t="s">
        <v>35</v>
      </c>
      <c r="J168" t="s">
        <v>35</v>
      </c>
      <c r="K168" t="s">
        <v>35</v>
      </c>
      <c r="L168">
        <v>387.52</v>
      </c>
      <c r="M168" t="s">
        <v>36</v>
      </c>
      <c r="N168" s="2">
        <v>5180000</v>
      </c>
      <c r="O168" t="s">
        <v>37</v>
      </c>
      <c r="P168">
        <v>1201</v>
      </c>
      <c r="R168" t="s">
        <v>147</v>
      </c>
      <c r="T168" t="s">
        <v>35</v>
      </c>
    </row>
    <row r="169" spans="1:20" x14ac:dyDescent="0.25">
      <c r="A169">
        <v>16001178</v>
      </c>
      <c r="B169" t="s">
        <v>33</v>
      </c>
      <c r="C169">
        <v>1201</v>
      </c>
      <c r="D169">
        <v>54000156</v>
      </c>
      <c r="E169" t="s">
        <v>226</v>
      </c>
      <c r="F169" s="1">
        <v>42494</v>
      </c>
      <c r="G169">
        <v>1201</v>
      </c>
      <c r="I169" t="s">
        <v>35</v>
      </c>
      <c r="J169" t="s">
        <v>35</v>
      </c>
      <c r="K169" t="s">
        <v>35</v>
      </c>
      <c r="L169" s="2">
        <v>1268.7</v>
      </c>
      <c r="M169" t="s">
        <v>36</v>
      </c>
      <c r="N169" s="2">
        <v>16736000</v>
      </c>
      <c r="O169" t="s">
        <v>37</v>
      </c>
      <c r="P169">
        <v>1201</v>
      </c>
      <c r="R169" t="s">
        <v>214</v>
      </c>
      <c r="T169" t="s">
        <v>35</v>
      </c>
    </row>
    <row r="170" spans="1:20" x14ac:dyDescent="0.25">
      <c r="A170">
        <v>16001288</v>
      </c>
      <c r="B170" t="s">
        <v>33</v>
      </c>
      <c r="C170">
        <v>1201</v>
      </c>
      <c r="D170">
        <v>55702763</v>
      </c>
      <c r="E170" t="s">
        <v>227</v>
      </c>
      <c r="F170" s="1">
        <v>42593</v>
      </c>
      <c r="G170">
        <v>1201</v>
      </c>
      <c r="I170" t="s">
        <v>35</v>
      </c>
      <c r="J170" t="s">
        <v>35</v>
      </c>
      <c r="K170" t="s">
        <v>35</v>
      </c>
      <c r="L170" s="2">
        <v>5005.03</v>
      </c>
      <c r="M170" t="s">
        <v>36</v>
      </c>
      <c r="N170" s="2">
        <v>65467500</v>
      </c>
      <c r="O170" t="s">
        <v>37</v>
      </c>
      <c r="P170">
        <v>1201</v>
      </c>
      <c r="R170" t="s">
        <v>228</v>
      </c>
      <c r="T170" t="s">
        <v>35</v>
      </c>
    </row>
    <row r="171" spans="1:20" x14ac:dyDescent="0.25">
      <c r="A171">
        <v>16001380</v>
      </c>
      <c r="B171" t="s">
        <v>33</v>
      </c>
      <c r="C171">
        <v>1201</v>
      </c>
      <c r="D171">
        <v>55724903</v>
      </c>
      <c r="E171" t="s">
        <v>229</v>
      </c>
      <c r="F171" s="1">
        <v>42678</v>
      </c>
      <c r="G171">
        <v>1201</v>
      </c>
      <c r="I171" t="s">
        <v>35</v>
      </c>
      <c r="J171" t="s">
        <v>35</v>
      </c>
      <c r="K171" t="s">
        <v>35</v>
      </c>
      <c r="L171">
        <v>701.75</v>
      </c>
      <c r="M171" t="s">
        <v>36</v>
      </c>
      <c r="N171" s="2">
        <v>9150000</v>
      </c>
      <c r="O171" t="s">
        <v>37</v>
      </c>
      <c r="P171">
        <v>1201</v>
      </c>
      <c r="R171" t="s">
        <v>184</v>
      </c>
      <c r="T171" t="s">
        <v>35</v>
      </c>
    </row>
    <row r="172" spans="1:20" x14ac:dyDescent="0.25">
      <c r="A172">
        <v>16001409</v>
      </c>
      <c r="B172" t="s">
        <v>33</v>
      </c>
      <c r="C172">
        <v>1201</v>
      </c>
      <c r="D172">
        <v>55730326</v>
      </c>
      <c r="E172" t="s">
        <v>230</v>
      </c>
      <c r="F172" s="1">
        <v>42697</v>
      </c>
      <c r="G172">
        <v>1201</v>
      </c>
      <c r="I172" t="s">
        <v>35</v>
      </c>
      <c r="J172" t="s">
        <v>35</v>
      </c>
      <c r="K172" t="s">
        <v>35</v>
      </c>
      <c r="L172">
        <v>352.1</v>
      </c>
      <c r="M172" t="s">
        <v>36</v>
      </c>
      <c r="N172" s="2">
        <v>4590000</v>
      </c>
      <c r="O172" t="s">
        <v>37</v>
      </c>
      <c r="P172">
        <v>1201</v>
      </c>
      <c r="R172" t="s">
        <v>184</v>
      </c>
      <c r="T172" t="s">
        <v>35</v>
      </c>
    </row>
    <row r="173" spans="1:20" x14ac:dyDescent="0.25">
      <c r="A173">
        <v>17001150</v>
      </c>
      <c r="B173" t="s">
        <v>33</v>
      </c>
      <c r="C173">
        <v>1201</v>
      </c>
      <c r="D173">
        <v>55729317</v>
      </c>
      <c r="E173" t="s">
        <v>231</v>
      </c>
      <c r="F173" s="1">
        <v>42927</v>
      </c>
      <c r="G173">
        <v>1201</v>
      </c>
      <c r="I173" t="s">
        <v>35</v>
      </c>
      <c r="J173" t="s">
        <v>35</v>
      </c>
      <c r="K173" t="s">
        <v>35</v>
      </c>
      <c r="L173" s="2">
        <v>45043.11</v>
      </c>
      <c r="M173" t="s">
        <v>36</v>
      </c>
      <c r="O173" t="s">
        <v>36</v>
      </c>
      <c r="P173">
        <v>1201</v>
      </c>
      <c r="R173" t="s">
        <v>232</v>
      </c>
      <c r="T173" t="s">
        <v>35</v>
      </c>
    </row>
    <row r="174" spans="1:20" x14ac:dyDescent="0.25">
      <c r="A174">
        <v>17001167</v>
      </c>
      <c r="B174" t="s">
        <v>33</v>
      </c>
      <c r="C174">
        <v>1201</v>
      </c>
      <c r="D174">
        <v>55425217</v>
      </c>
      <c r="E174" t="s">
        <v>233</v>
      </c>
      <c r="F174" s="1">
        <v>42958</v>
      </c>
      <c r="G174">
        <v>1201</v>
      </c>
      <c r="I174" t="s">
        <v>35</v>
      </c>
      <c r="J174" t="s">
        <v>35</v>
      </c>
      <c r="K174" t="s">
        <v>35</v>
      </c>
      <c r="M174" t="s">
        <v>36</v>
      </c>
      <c r="O174" t="s">
        <v>37</v>
      </c>
      <c r="P174">
        <v>1201</v>
      </c>
      <c r="R174" t="s">
        <v>223</v>
      </c>
      <c r="T174" t="s">
        <v>35</v>
      </c>
    </row>
    <row r="175" spans="1:20" x14ac:dyDescent="0.25">
      <c r="A175">
        <v>17001247</v>
      </c>
      <c r="B175" t="s">
        <v>33</v>
      </c>
      <c r="C175">
        <v>1201</v>
      </c>
      <c r="D175">
        <v>55806538</v>
      </c>
      <c r="E175" t="s">
        <v>234</v>
      </c>
      <c r="F175" s="1">
        <v>43090</v>
      </c>
      <c r="G175">
        <v>1201</v>
      </c>
      <c r="I175" t="s">
        <v>35</v>
      </c>
      <c r="J175" t="s">
        <v>35</v>
      </c>
      <c r="K175" t="s">
        <v>35</v>
      </c>
      <c r="L175">
        <v>671.55</v>
      </c>
      <c r="M175" t="s">
        <v>36</v>
      </c>
      <c r="N175" s="2">
        <v>9084000</v>
      </c>
      <c r="O175" t="s">
        <v>37</v>
      </c>
      <c r="P175">
        <v>1201</v>
      </c>
      <c r="R175" t="s">
        <v>232</v>
      </c>
      <c r="T175" t="s">
        <v>35</v>
      </c>
    </row>
    <row r="176" spans="1:20" x14ac:dyDescent="0.25">
      <c r="A176">
        <v>18001086</v>
      </c>
      <c r="B176" t="s">
        <v>33</v>
      </c>
      <c r="C176">
        <v>1201</v>
      </c>
      <c r="D176">
        <v>55738483</v>
      </c>
      <c r="E176" t="s">
        <v>235</v>
      </c>
      <c r="F176" s="1">
        <v>43224</v>
      </c>
      <c r="G176">
        <v>1201</v>
      </c>
      <c r="I176" t="s">
        <v>35</v>
      </c>
      <c r="J176" t="s">
        <v>35</v>
      </c>
      <c r="K176" t="s">
        <v>35</v>
      </c>
      <c r="L176" s="2">
        <v>13130.76</v>
      </c>
      <c r="M176" t="s">
        <v>36</v>
      </c>
      <c r="N176" s="2">
        <v>182993750</v>
      </c>
      <c r="O176" t="s">
        <v>37</v>
      </c>
      <c r="P176">
        <v>1201</v>
      </c>
      <c r="R176" t="s">
        <v>232</v>
      </c>
      <c r="T176" t="s">
        <v>35</v>
      </c>
    </row>
    <row r="177" spans="1:20" x14ac:dyDescent="0.25">
      <c r="A177">
        <v>18001096</v>
      </c>
      <c r="B177" t="s">
        <v>33</v>
      </c>
      <c r="C177">
        <v>1201</v>
      </c>
      <c r="D177">
        <v>54000634</v>
      </c>
      <c r="E177" t="s">
        <v>236</v>
      </c>
      <c r="F177" s="1">
        <v>43244</v>
      </c>
      <c r="G177">
        <v>1201</v>
      </c>
      <c r="I177" t="s">
        <v>35</v>
      </c>
      <c r="J177" t="s">
        <v>35</v>
      </c>
      <c r="K177" t="s">
        <v>35</v>
      </c>
      <c r="L177" s="2">
        <v>4436.26</v>
      </c>
      <c r="M177" t="s">
        <v>36</v>
      </c>
      <c r="N177" s="2">
        <v>61824000</v>
      </c>
      <c r="O177" t="s">
        <v>37</v>
      </c>
      <c r="P177">
        <v>1201</v>
      </c>
      <c r="R177" t="s">
        <v>200</v>
      </c>
      <c r="T177" t="s">
        <v>35</v>
      </c>
    </row>
    <row r="178" spans="1:20" x14ac:dyDescent="0.25">
      <c r="A178">
        <v>18001113</v>
      </c>
      <c r="B178" t="s">
        <v>33</v>
      </c>
      <c r="C178">
        <v>1201</v>
      </c>
      <c r="D178">
        <v>55745878</v>
      </c>
      <c r="E178" t="s">
        <v>237</v>
      </c>
      <c r="F178" s="1">
        <v>43285</v>
      </c>
      <c r="G178">
        <v>1201</v>
      </c>
      <c r="I178" t="s">
        <v>35</v>
      </c>
      <c r="J178" t="s">
        <v>35</v>
      </c>
      <c r="K178" t="s">
        <v>35</v>
      </c>
      <c r="M178" t="s">
        <v>36</v>
      </c>
      <c r="O178" t="s">
        <v>37</v>
      </c>
      <c r="P178">
        <v>1201</v>
      </c>
      <c r="R178" t="s">
        <v>232</v>
      </c>
      <c r="T178" t="s">
        <v>35</v>
      </c>
    </row>
    <row r="179" spans="1:20" x14ac:dyDescent="0.25">
      <c r="A179">
        <v>18001163</v>
      </c>
      <c r="B179" t="s">
        <v>33</v>
      </c>
      <c r="C179">
        <v>1201</v>
      </c>
      <c r="D179">
        <v>56174341</v>
      </c>
      <c r="E179" t="s">
        <v>238</v>
      </c>
      <c r="F179" s="1">
        <v>43341</v>
      </c>
      <c r="G179">
        <v>1201</v>
      </c>
      <c r="I179" t="s">
        <v>35</v>
      </c>
      <c r="J179" t="s">
        <v>35</v>
      </c>
      <c r="K179" t="s">
        <v>35</v>
      </c>
      <c r="L179">
        <v>133.5</v>
      </c>
      <c r="M179" t="s">
        <v>36</v>
      </c>
      <c r="N179" s="2">
        <v>1928000</v>
      </c>
      <c r="O179" t="s">
        <v>37</v>
      </c>
      <c r="P179">
        <v>1201</v>
      </c>
      <c r="R179" t="s">
        <v>69</v>
      </c>
      <c r="T179" t="s">
        <v>35</v>
      </c>
    </row>
    <row r="180" spans="1:20" x14ac:dyDescent="0.25">
      <c r="A180">
        <v>18001208</v>
      </c>
      <c r="B180" t="s">
        <v>33</v>
      </c>
      <c r="C180">
        <v>1201</v>
      </c>
      <c r="D180">
        <v>56260590</v>
      </c>
      <c r="E180" t="s">
        <v>239</v>
      </c>
      <c r="F180" s="1">
        <v>43391</v>
      </c>
      <c r="G180">
        <v>1201</v>
      </c>
      <c r="I180" t="s">
        <v>35</v>
      </c>
      <c r="J180" t="s">
        <v>35</v>
      </c>
      <c r="K180" t="s">
        <v>35</v>
      </c>
      <c r="L180" s="2">
        <v>1243.9100000000001</v>
      </c>
      <c r="M180" t="s">
        <v>36</v>
      </c>
      <c r="N180" s="2">
        <v>18540000</v>
      </c>
      <c r="O180" t="s">
        <v>37</v>
      </c>
      <c r="P180">
        <v>1201</v>
      </c>
      <c r="R180" t="s">
        <v>240</v>
      </c>
      <c r="T180" t="s">
        <v>35</v>
      </c>
    </row>
    <row r="181" spans="1:20" x14ac:dyDescent="0.25">
      <c r="A181">
        <v>18001234</v>
      </c>
      <c r="B181" t="s">
        <v>33</v>
      </c>
      <c r="C181">
        <v>1201</v>
      </c>
      <c r="D181">
        <v>55732727</v>
      </c>
      <c r="E181" t="s">
        <v>241</v>
      </c>
      <c r="F181" s="1">
        <v>43413</v>
      </c>
      <c r="G181">
        <v>1201</v>
      </c>
      <c r="I181" t="s">
        <v>35</v>
      </c>
      <c r="J181" t="s">
        <v>35</v>
      </c>
      <c r="K181" t="s">
        <v>35</v>
      </c>
      <c r="L181" s="2">
        <v>5264.8</v>
      </c>
      <c r="M181" t="s">
        <v>36</v>
      </c>
      <c r="N181" s="2">
        <v>80000000</v>
      </c>
      <c r="O181" t="s">
        <v>37</v>
      </c>
      <c r="P181">
        <v>1201</v>
      </c>
      <c r="R181" t="s">
        <v>232</v>
      </c>
      <c r="T181" t="s">
        <v>35</v>
      </c>
    </row>
    <row r="182" spans="1:20" x14ac:dyDescent="0.25">
      <c r="A182">
        <v>19001022</v>
      </c>
      <c r="B182" t="s">
        <v>33</v>
      </c>
      <c r="C182">
        <v>1201</v>
      </c>
      <c r="D182">
        <v>56404514</v>
      </c>
      <c r="E182" t="s">
        <v>242</v>
      </c>
      <c r="F182" s="1">
        <v>43488</v>
      </c>
      <c r="G182">
        <v>1201</v>
      </c>
      <c r="I182" t="s">
        <v>35</v>
      </c>
      <c r="J182" t="s">
        <v>35</v>
      </c>
      <c r="K182" t="s">
        <v>35</v>
      </c>
      <c r="L182" s="2">
        <v>52043.28</v>
      </c>
      <c r="M182" t="s">
        <v>36</v>
      </c>
      <c r="N182" s="2">
        <v>752817000</v>
      </c>
      <c r="O182" t="s">
        <v>37</v>
      </c>
      <c r="P182">
        <v>1201</v>
      </c>
      <c r="R182" t="s">
        <v>232</v>
      </c>
      <c r="T182" t="s">
        <v>35</v>
      </c>
    </row>
    <row r="183" spans="1:20" x14ac:dyDescent="0.25">
      <c r="A183">
        <v>19001041</v>
      </c>
      <c r="B183" t="s">
        <v>33</v>
      </c>
      <c r="C183">
        <v>1201</v>
      </c>
      <c r="D183">
        <v>56447792</v>
      </c>
      <c r="E183" t="s">
        <v>243</v>
      </c>
      <c r="F183" s="1">
        <v>43514</v>
      </c>
      <c r="G183">
        <v>1201</v>
      </c>
      <c r="I183" t="s">
        <v>35</v>
      </c>
      <c r="J183" t="s">
        <v>35</v>
      </c>
      <c r="K183" t="s">
        <v>35</v>
      </c>
      <c r="L183" s="2">
        <v>21714.91</v>
      </c>
      <c r="M183" t="s">
        <v>36</v>
      </c>
      <c r="N183" s="2">
        <v>303534000</v>
      </c>
      <c r="O183" t="s">
        <v>37</v>
      </c>
      <c r="P183">
        <v>1201</v>
      </c>
      <c r="R183" t="s">
        <v>232</v>
      </c>
      <c r="T183" t="s">
        <v>35</v>
      </c>
    </row>
    <row r="184" spans="1:20" x14ac:dyDescent="0.25">
      <c r="A184">
        <v>19001064</v>
      </c>
      <c r="B184" t="s">
        <v>33</v>
      </c>
      <c r="C184">
        <v>1201</v>
      </c>
      <c r="D184">
        <v>56526280</v>
      </c>
      <c r="E184" t="s">
        <v>244</v>
      </c>
      <c r="F184" s="1">
        <v>43546</v>
      </c>
      <c r="G184">
        <v>1201</v>
      </c>
      <c r="I184" t="s">
        <v>35</v>
      </c>
      <c r="J184" t="s">
        <v>35</v>
      </c>
      <c r="K184" t="s">
        <v>35</v>
      </c>
      <c r="L184" s="2">
        <v>5504.39</v>
      </c>
      <c r="M184" t="s">
        <v>36</v>
      </c>
      <c r="N184" s="2">
        <v>77672000</v>
      </c>
      <c r="O184" t="s">
        <v>37</v>
      </c>
      <c r="P184">
        <v>1201</v>
      </c>
      <c r="R184" t="s">
        <v>232</v>
      </c>
      <c r="T184" t="s">
        <v>35</v>
      </c>
    </row>
    <row r="185" spans="1:20" x14ac:dyDescent="0.25">
      <c r="A185">
        <v>19001068</v>
      </c>
      <c r="B185" t="s">
        <v>33</v>
      </c>
      <c r="C185">
        <v>1201</v>
      </c>
      <c r="D185">
        <v>54000862</v>
      </c>
      <c r="E185" t="s">
        <v>245</v>
      </c>
      <c r="F185" s="1">
        <v>43553</v>
      </c>
      <c r="G185">
        <v>1201</v>
      </c>
      <c r="I185" t="s">
        <v>35</v>
      </c>
      <c r="J185" t="s">
        <v>35</v>
      </c>
      <c r="K185" t="s">
        <v>35</v>
      </c>
      <c r="L185">
        <v>466.58</v>
      </c>
      <c r="M185" t="s">
        <v>36</v>
      </c>
      <c r="N185" s="2">
        <v>-173535000</v>
      </c>
      <c r="O185" t="s">
        <v>36</v>
      </c>
      <c r="P185">
        <v>1201</v>
      </c>
      <c r="R185" t="s">
        <v>200</v>
      </c>
      <c r="T185" t="s">
        <v>35</v>
      </c>
    </row>
    <row r="186" spans="1:20" x14ac:dyDescent="0.25">
      <c r="A186">
        <v>19001071</v>
      </c>
      <c r="B186" t="s">
        <v>33</v>
      </c>
      <c r="C186">
        <v>1201</v>
      </c>
      <c r="D186">
        <v>56540989</v>
      </c>
      <c r="E186" t="s">
        <v>246</v>
      </c>
      <c r="F186" s="1">
        <v>43556</v>
      </c>
      <c r="G186">
        <v>1201</v>
      </c>
      <c r="I186" t="s">
        <v>35</v>
      </c>
      <c r="J186" t="s">
        <v>35</v>
      </c>
      <c r="K186" t="s">
        <v>35</v>
      </c>
      <c r="L186" s="2">
        <v>6149.41</v>
      </c>
      <c r="M186" t="s">
        <v>36</v>
      </c>
      <c r="N186" s="2">
        <v>86767500</v>
      </c>
      <c r="O186" t="s">
        <v>37</v>
      </c>
      <c r="P186">
        <v>1201</v>
      </c>
      <c r="R186" t="s">
        <v>200</v>
      </c>
      <c r="T186" t="s">
        <v>35</v>
      </c>
    </row>
    <row r="187" spans="1:20" x14ac:dyDescent="0.25">
      <c r="A187">
        <v>19001110</v>
      </c>
      <c r="B187" t="s">
        <v>33</v>
      </c>
      <c r="C187">
        <v>1201</v>
      </c>
      <c r="D187">
        <v>56613308</v>
      </c>
      <c r="E187" t="s">
        <v>247</v>
      </c>
      <c r="F187" s="1">
        <v>43595</v>
      </c>
      <c r="G187">
        <v>1201</v>
      </c>
      <c r="I187" t="s">
        <v>35</v>
      </c>
      <c r="J187" t="s">
        <v>35</v>
      </c>
      <c r="K187" t="s">
        <v>35</v>
      </c>
      <c r="L187">
        <v>232.1</v>
      </c>
      <c r="M187" t="s">
        <v>36</v>
      </c>
      <c r="N187" s="2">
        <v>3300000</v>
      </c>
      <c r="O187" t="s">
        <v>37</v>
      </c>
      <c r="P187">
        <v>1201</v>
      </c>
      <c r="R187" t="s">
        <v>200</v>
      </c>
      <c r="T187" t="s">
        <v>35</v>
      </c>
    </row>
    <row r="188" spans="1:20" x14ac:dyDescent="0.25">
      <c r="A188">
        <v>19001187</v>
      </c>
      <c r="B188" t="s">
        <v>33</v>
      </c>
      <c r="C188">
        <v>1201</v>
      </c>
      <c r="D188">
        <v>56798200</v>
      </c>
      <c r="E188" t="s">
        <v>248</v>
      </c>
      <c r="F188" s="1">
        <v>43712</v>
      </c>
      <c r="G188">
        <v>1201</v>
      </c>
      <c r="I188" t="s">
        <v>35</v>
      </c>
      <c r="J188" t="s">
        <v>35</v>
      </c>
      <c r="K188" t="s">
        <v>35</v>
      </c>
      <c r="L188" s="2">
        <v>1116.5899999999999</v>
      </c>
      <c r="M188" t="s">
        <v>36</v>
      </c>
      <c r="N188" s="2">
        <v>16665400</v>
      </c>
      <c r="O188" t="s">
        <v>37</v>
      </c>
      <c r="P188">
        <v>1201</v>
      </c>
      <c r="R188" t="s">
        <v>200</v>
      </c>
      <c r="T188" t="s">
        <v>35</v>
      </c>
    </row>
    <row r="189" spans="1:20" x14ac:dyDescent="0.25">
      <c r="A189">
        <v>19001200</v>
      </c>
      <c r="B189" t="s">
        <v>33</v>
      </c>
      <c r="C189">
        <v>1201</v>
      </c>
      <c r="D189">
        <v>55751012</v>
      </c>
      <c r="E189" t="s">
        <v>249</v>
      </c>
      <c r="F189" s="1">
        <v>43727</v>
      </c>
      <c r="G189">
        <v>1205</v>
      </c>
      <c r="I189" t="s">
        <v>35</v>
      </c>
      <c r="J189" t="s">
        <v>35</v>
      </c>
      <c r="K189" t="s">
        <v>35</v>
      </c>
      <c r="M189" t="s">
        <v>36</v>
      </c>
      <c r="O189" t="s">
        <v>37</v>
      </c>
      <c r="P189">
        <v>1201</v>
      </c>
      <c r="R189" t="s">
        <v>250</v>
      </c>
      <c r="T189" t="s">
        <v>35</v>
      </c>
    </row>
    <row r="190" spans="1:20" x14ac:dyDescent="0.25">
      <c r="A190">
        <v>19001235</v>
      </c>
      <c r="B190" t="s">
        <v>33</v>
      </c>
      <c r="C190">
        <v>1201</v>
      </c>
      <c r="D190">
        <v>54000530</v>
      </c>
      <c r="E190" t="s">
        <v>251</v>
      </c>
      <c r="F190" s="1">
        <v>43770</v>
      </c>
      <c r="G190">
        <v>1201</v>
      </c>
      <c r="I190" t="s">
        <v>35</v>
      </c>
      <c r="J190" t="s">
        <v>35</v>
      </c>
      <c r="K190" t="s">
        <v>35</v>
      </c>
      <c r="M190" t="s">
        <v>36</v>
      </c>
      <c r="O190" t="s">
        <v>36</v>
      </c>
      <c r="P190">
        <v>1201</v>
      </c>
      <c r="R190" t="s">
        <v>250</v>
      </c>
      <c r="T190" t="s">
        <v>35</v>
      </c>
    </row>
    <row r="191" spans="1:20" x14ac:dyDescent="0.25">
      <c r="A191">
        <v>19001265</v>
      </c>
      <c r="B191" t="s">
        <v>33</v>
      </c>
      <c r="C191">
        <v>1201</v>
      </c>
      <c r="D191">
        <v>54000636</v>
      </c>
      <c r="E191" t="s">
        <v>252</v>
      </c>
      <c r="F191" s="1">
        <v>43802</v>
      </c>
      <c r="G191">
        <v>1201</v>
      </c>
      <c r="I191" t="s">
        <v>35</v>
      </c>
      <c r="J191" t="s">
        <v>35</v>
      </c>
      <c r="K191" t="s">
        <v>35</v>
      </c>
      <c r="L191">
        <v>48.15</v>
      </c>
      <c r="M191" t="s">
        <v>36</v>
      </c>
      <c r="N191" s="2">
        <v>680000</v>
      </c>
      <c r="O191" t="s">
        <v>37</v>
      </c>
      <c r="P191">
        <v>1201</v>
      </c>
      <c r="R191" t="s">
        <v>200</v>
      </c>
      <c r="T191" t="s">
        <v>35</v>
      </c>
    </row>
    <row r="192" spans="1:20" x14ac:dyDescent="0.25">
      <c r="A192">
        <v>20001064</v>
      </c>
      <c r="B192" t="s">
        <v>33</v>
      </c>
      <c r="C192">
        <v>1201</v>
      </c>
      <c r="D192">
        <v>57100758</v>
      </c>
      <c r="E192" t="s">
        <v>253</v>
      </c>
      <c r="F192" s="1">
        <v>43923</v>
      </c>
      <c r="G192">
        <v>1201</v>
      </c>
      <c r="I192" t="s">
        <v>35</v>
      </c>
      <c r="J192" t="s">
        <v>35</v>
      </c>
      <c r="K192" t="s">
        <v>35</v>
      </c>
      <c r="L192" s="2">
        <v>2911.21</v>
      </c>
      <c r="M192" t="s">
        <v>36</v>
      </c>
      <c r="N192" s="2">
        <v>47785400</v>
      </c>
      <c r="O192" t="s">
        <v>37</v>
      </c>
      <c r="P192">
        <v>1201</v>
      </c>
      <c r="R192" t="s">
        <v>240</v>
      </c>
      <c r="T192" t="s">
        <v>35</v>
      </c>
    </row>
    <row r="193" spans="1:20" x14ac:dyDescent="0.25">
      <c r="A193">
        <v>20001082</v>
      </c>
      <c r="B193" t="s">
        <v>33</v>
      </c>
      <c r="C193">
        <v>1201</v>
      </c>
      <c r="D193">
        <v>56804163</v>
      </c>
      <c r="E193" t="s">
        <v>254</v>
      </c>
      <c r="F193" s="1">
        <v>43930</v>
      </c>
      <c r="G193">
        <v>1201</v>
      </c>
      <c r="I193" t="s">
        <v>35</v>
      </c>
      <c r="J193" t="s">
        <v>35</v>
      </c>
      <c r="K193" t="s">
        <v>35</v>
      </c>
      <c r="L193" s="2">
        <v>3194.43</v>
      </c>
      <c r="M193" t="s">
        <v>36</v>
      </c>
      <c r="N193" s="2">
        <v>52425000</v>
      </c>
      <c r="O193" t="s">
        <v>37</v>
      </c>
      <c r="P193">
        <v>1201</v>
      </c>
      <c r="R193" t="s">
        <v>240</v>
      </c>
      <c r="T193" t="s">
        <v>35</v>
      </c>
    </row>
    <row r="194" spans="1:20" x14ac:dyDescent="0.25">
      <c r="A194">
        <v>20001098</v>
      </c>
      <c r="B194" t="s">
        <v>33</v>
      </c>
      <c r="C194">
        <v>1201</v>
      </c>
      <c r="D194">
        <v>57143002</v>
      </c>
      <c r="E194" t="s">
        <v>255</v>
      </c>
      <c r="F194" s="1">
        <v>43957</v>
      </c>
      <c r="G194">
        <v>1201</v>
      </c>
      <c r="I194" t="s">
        <v>35</v>
      </c>
      <c r="J194" t="s">
        <v>35</v>
      </c>
      <c r="K194" t="s">
        <v>35</v>
      </c>
      <c r="M194" t="s">
        <v>36</v>
      </c>
      <c r="O194" t="s">
        <v>37</v>
      </c>
      <c r="P194">
        <v>1201</v>
      </c>
      <c r="R194" t="s">
        <v>240</v>
      </c>
      <c r="T194" t="s">
        <v>35</v>
      </c>
    </row>
    <row r="195" spans="1:20" x14ac:dyDescent="0.25">
      <c r="A195">
        <v>20001099</v>
      </c>
      <c r="B195" t="s">
        <v>33</v>
      </c>
      <c r="C195">
        <v>1201</v>
      </c>
      <c r="D195">
        <v>57140688</v>
      </c>
      <c r="E195" t="s">
        <v>256</v>
      </c>
      <c r="F195" s="1">
        <v>43957</v>
      </c>
      <c r="G195">
        <v>1201</v>
      </c>
      <c r="I195" t="s">
        <v>35</v>
      </c>
      <c r="J195" t="s">
        <v>35</v>
      </c>
      <c r="K195" t="s">
        <v>35</v>
      </c>
      <c r="L195" s="2">
        <v>57348.6</v>
      </c>
      <c r="M195" t="s">
        <v>36</v>
      </c>
      <c r="N195" s="2">
        <v>864414100</v>
      </c>
      <c r="O195" t="s">
        <v>37</v>
      </c>
      <c r="P195">
        <v>1201</v>
      </c>
      <c r="R195" t="s">
        <v>240</v>
      </c>
      <c r="T195" t="s">
        <v>35</v>
      </c>
    </row>
    <row r="196" spans="1:20" x14ac:dyDescent="0.25">
      <c r="A196">
        <v>20001100</v>
      </c>
      <c r="B196" t="s">
        <v>33</v>
      </c>
      <c r="C196">
        <v>1201</v>
      </c>
      <c r="D196">
        <v>57140717</v>
      </c>
      <c r="E196" t="s">
        <v>257</v>
      </c>
      <c r="F196" s="1">
        <v>43957</v>
      </c>
      <c r="G196">
        <v>1201</v>
      </c>
      <c r="I196" t="s">
        <v>35</v>
      </c>
      <c r="J196" t="s">
        <v>35</v>
      </c>
      <c r="K196" t="s">
        <v>35</v>
      </c>
      <c r="M196" t="s">
        <v>36</v>
      </c>
      <c r="O196" t="s">
        <v>37</v>
      </c>
      <c r="P196">
        <v>1201</v>
      </c>
      <c r="R196" t="s">
        <v>240</v>
      </c>
      <c r="T196" t="s">
        <v>35</v>
      </c>
    </row>
    <row r="197" spans="1:20" x14ac:dyDescent="0.25">
      <c r="A197">
        <v>20001131</v>
      </c>
      <c r="B197" t="s">
        <v>33</v>
      </c>
      <c r="C197">
        <v>1201</v>
      </c>
      <c r="D197">
        <v>57167274</v>
      </c>
      <c r="E197" t="s">
        <v>258</v>
      </c>
      <c r="F197" s="1">
        <v>43985</v>
      </c>
      <c r="G197">
        <v>1201</v>
      </c>
      <c r="I197" t="s">
        <v>35</v>
      </c>
      <c r="J197" t="s">
        <v>35</v>
      </c>
      <c r="K197" t="s">
        <v>35</v>
      </c>
      <c r="M197" t="s">
        <v>36</v>
      </c>
      <c r="O197" t="s">
        <v>37</v>
      </c>
      <c r="P197">
        <v>1201</v>
      </c>
      <c r="R197" t="s">
        <v>232</v>
      </c>
      <c r="T197" t="s">
        <v>35</v>
      </c>
    </row>
    <row r="198" spans="1:20" x14ac:dyDescent="0.25">
      <c r="A198">
        <v>20001154</v>
      </c>
      <c r="B198" t="s">
        <v>33</v>
      </c>
      <c r="C198">
        <v>1201</v>
      </c>
      <c r="D198">
        <v>57110104</v>
      </c>
      <c r="E198" t="s">
        <v>259</v>
      </c>
      <c r="F198" s="1">
        <v>44001</v>
      </c>
      <c r="G198">
        <v>1201</v>
      </c>
      <c r="I198" t="s">
        <v>35</v>
      </c>
      <c r="J198" t="s">
        <v>35</v>
      </c>
      <c r="K198" t="s">
        <v>35</v>
      </c>
      <c r="M198" t="s">
        <v>36</v>
      </c>
      <c r="O198" t="s">
        <v>37</v>
      </c>
      <c r="P198">
        <v>1201</v>
      </c>
      <c r="R198" t="s">
        <v>223</v>
      </c>
      <c r="T198" t="s">
        <v>35</v>
      </c>
    </row>
    <row r="199" spans="1:20" x14ac:dyDescent="0.25">
      <c r="A199">
        <v>20001203</v>
      </c>
      <c r="B199" t="s">
        <v>33</v>
      </c>
      <c r="C199">
        <v>1201</v>
      </c>
      <c r="D199">
        <v>57235572</v>
      </c>
      <c r="E199" t="s">
        <v>260</v>
      </c>
      <c r="F199" s="1">
        <v>44040</v>
      </c>
      <c r="G199">
        <v>1201</v>
      </c>
      <c r="I199" t="s">
        <v>35</v>
      </c>
      <c r="J199" t="s">
        <v>35</v>
      </c>
      <c r="K199" t="s">
        <v>35</v>
      </c>
      <c r="L199" s="2">
        <v>16682.580000000002</v>
      </c>
      <c r="M199" t="s">
        <v>36</v>
      </c>
      <c r="N199" s="2">
        <v>239238211</v>
      </c>
      <c r="O199" t="s">
        <v>37</v>
      </c>
      <c r="P199">
        <v>1201</v>
      </c>
      <c r="R199" t="s">
        <v>200</v>
      </c>
      <c r="T199" t="s">
        <v>35</v>
      </c>
    </row>
    <row r="200" spans="1:20" x14ac:dyDescent="0.25">
      <c r="A200">
        <v>20001211</v>
      </c>
      <c r="B200" t="s">
        <v>33</v>
      </c>
      <c r="C200">
        <v>1201</v>
      </c>
      <c r="D200">
        <v>56886445</v>
      </c>
      <c r="E200" t="s">
        <v>261</v>
      </c>
      <c r="F200" s="1">
        <v>44047</v>
      </c>
      <c r="G200">
        <v>1201</v>
      </c>
      <c r="I200" t="s">
        <v>35</v>
      </c>
      <c r="J200" t="s">
        <v>35</v>
      </c>
      <c r="K200" t="s">
        <v>35</v>
      </c>
      <c r="M200" t="s">
        <v>36</v>
      </c>
      <c r="O200" t="s">
        <v>37</v>
      </c>
      <c r="P200">
        <v>1201</v>
      </c>
      <c r="R200" t="s">
        <v>223</v>
      </c>
      <c r="T200" t="s">
        <v>35</v>
      </c>
    </row>
    <row r="201" spans="1:20" x14ac:dyDescent="0.25">
      <c r="A201">
        <v>20001242</v>
      </c>
      <c r="B201" t="s">
        <v>33</v>
      </c>
      <c r="C201">
        <v>1201</v>
      </c>
      <c r="D201">
        <v>57267726</v>
      </c>
      <c r="E201" t="s">
        <v>262</v>
      </c>
      <c r="F201" s="1">
        <v>44069</v>
      </c>
      <c r="G201">
        <v>1201</v>
      </c>
      <c r="I201" t="s">
        <v>35</v>
      </c>
      <c r="J201" t="s">
        <v>35</v>
      </c>
      <c r="K201" t="s">
        <v>35</v>
      </c>
      <c r="L201" s="2">
        <v>2496.1</v>
      </c>
      <c r="M201" t="s">
        <v>36</v>
      </c>
      <c r="N201" s="2">
        <v>36729234</v>
      </c>
      <c r="O201" t="s">
        <v>37</v>
      </c>
      <c r="P201">
        <v>1201</v>
      </c>
      <c r="R201" t="s">
        <v>232</v>
      </c>
      <c r="T201" t="s">
        <v>35</v>
      </c>
    </row>
    <row r="202" spans="1:20" x14ac:dyDescent="0.25">
      <c r="A202">
        <v>20001245</v>
      </c>
      <c r="B202" t="s">
        <v>33</v>
      </c>
      <c r="C202">
        <v>1201</v>
      </c>
      <c r="D202">
        <v>57268577</v>
      </c>
      <c r="E202" t="s">
        <v>263</v>
      </c>
      <c r="F202" s="1">
        <v>44069</v>
      </c>
      <c r="G202">
        <v>1201</v>
      </c>
      <c r="I202" t="s">
        <v>35</v>
      </c>
      <c r="J202" t="s">
        <v>35</v>
      </c>
      <c r="K202" t="s">
        <v>35</v>
      </c>
      <c r="L202">
        <v>732.53</v>
      </c>
      <c r="M202" t="s">
        <v>36</v>
      </c>
      <c r="O202" t="s">
        <v>37</v>
      </c>
      <c r="P202">
        <v>1201</v>
      </c>
      <c r="R202" t="s">
        <v>232</v>
      </c>
      <c r="T202" t="s">
        <v>35</v>
      </c>
    </row>
    <row r="203" spans="1:20" x14ac:dyDescent="0.25">
      <c r="A203">
        <v>20001272</v>
      </c>
      <c r="B203" t="s">
        <v>33</v>
      </c>
      <c r="C203">
        <v>1201</v>
      </c>
      <c r="D203">
        <v>57300910</v>
      </c>
      <c r="E203" t="s">
        <v>264</v>
      </c>
      <c r="F203" s="1">
        <v>44091</v>
      </c>
      <c r="G203">
        <v>1201</v>
      </c>
      <c r="I203" t="s">
        <v>35</v>
      </c>
      <c r="J203" t="s">
        <v>35</v>
      </c>
      <c r="K203" t="s">
        <v>35</v>
      </c>
      <c r="L203" s="2">
        <v>1197.3599999999999</v>
      </c>
      <c r="M203" t="s">
        <v>36</v>
      </c>
      <c r="N203" s="2">
        <v>-4041850</v>
      </c>
      <c r="O203" t="s">
        <v>37</v>
      </c>
      <c r="P203">
        <v>1201</v>
      </c>
      <c r="R203" t="s">
        <v>200</v>
      </c>
      <c r="T203" t="s">
        <v>35</v>
      </c>
    </row>
    <row r="204" spans="1:20" x14ac:dyDescent="0.25">
      <c r="A204">
        <v>20001278</v>
      </c>
      <c r="B204" t="s">
        <v>33</v>
      </c>
      <c r="C204">
        <v>1201</v>
      </c>
      <c r="D204">
        <v>57301939</v>
      </c>
      <c r="E204" t="s">
        <v>265</v>
      </c>
      <c r="F204" s="1">
        <v>44096</v>
      </c>
      <c r="G204">
        <v>1201</v>
      </c>
      <c r="I204" t="s">
        <v>35</v>
      </c>
      <c r="J204" t="s">
        <v>35</v>
      </c>
      <c r="K204" t="s">
        <v>35</v>
      </c>
      <c r="M204" t="s">
        <v>36</v>
      </c>
      <c r="O204" t="s">
        <v>37</v>
      </c>
      <c r="P204">
        <v>1201</v>
      </c>
      <c r="R204" t="s">
        <v>240</v>
      </c>
      <c r="T204" t="s">
        <v>35</v>
      </c>
    </row>
    <row r="205" spans="1:20" x14ac:dyDescent="0.25">
      <c r="A205">
        <v>20001326</v>
      </c>
      <c r="B205" t="s">
        <v>33</v>
      </c>
      <c r="C205">
        <v>1201</v>
      </c>
      <c r="D205">
        <v>57069367</v>
      </c>
      <c r="E205" t="s">
        <v>266</v>
      </c>
      <c r="F205" s="1">
        <v>44145</v>
      </c>
      <c r="G205">
        <v>1201</v>
      </c>
      <c r="I205" t="s">
        <v>35</v>
      </c>
      <c r="J205" t="s">
        <v>35</v>
      </c>
      <c r="K205" t="s">
        <v>35</v>
      </c>
      <c r="M205" t="s">
        <v>36</v>
      </c>
      <c r="O205" t="s">
        <v>36</v>
      </c>
      <c r="P205">
        <v>1201</v>
      </c>
      <c r="R205" t="s">
        <v>200</v>
      </c>
      <c r="T205" t="s">
        <v>35</v>
      </c>
    </row>
    <row r="206" spans="1:20" x14ac:dyDescent="0.25">
      <c r="A206">
        <v>20001367</v>
      </c>
      <c r="B206" t="s">
        <v>33</v>
      </c>
      <c r="C206">
        <v>1201</v>
      </c>
      <c r="D206">
        <v>57309391</v>
      </c>
      <c r="E206" t="s">
        <v>267</v>
      </c>
      <c r="F206" s="1">
        <v>44179</v>
      </c>
      <c r="G206">
        <v>1201</v>
      </c>
      <c r="I206" t="s">
        <v>35</v>
      </c>
      <c r="J206" t="s">
        <v>35</v>
      </c>
      <c r="K206" t="s">
        <v>35</v>
      </c>
      <c r="M206" t="s">
        <v>36</v>
      </c>
      <c r="O206" t="s">
        <v>37</v>
      </c>
      <c r="P206">
        <v>1201</v>
      </c>
      <c r="R206" t="s">
        <v>232</v>
      </c>
      <c r="T206" t="s">
        <v>35</v>
      </c>
    </row>
    <row r="207" spans="1:20" x14ac:dyDescent="0.25">
      <c r="A207">
        <v>21001143</v>
      </c>
      <c r="B207" t="s">
        <v>33</v>
      </c>
      <c r="C207">
        <v>1201</v>
      </c>
      <c r="D207">
        <v>55574079</v>
      </c>
      <c r="E207" t="s">
        <v>268</v>
      </c>
      <c r="F207" s="1">
        <v>44299</v>
      </c>
      <c r="G207">
        <v>1201</v>
      </c>
      <c r="I207" t="s">
        <v>35</v>
      </c>
      <c r="J207" t="s">
        <v>35</v>
      </c>
      <c r="K207" t="s">
        <v>35</v>
      </c>
      <c r="L207" s="2">
        <v>9922.99</v>
      </c>
      <c r="M207" t="s">
        <v>36</v>
      </c>
      <c r="N207" s="2">
        <v>144644640</v>
      </c>
      <c r="O207" t="s">
        <v>37</v>
      </c>
      <c r="P207">
        <v>1201</v>
      </c>
      <c r="R207" t="s">
        <v>200</v>
      </c>
      <c r="T207" t="s">
        <v>35</v>
      </c>
    </row>
    <row r="208" spans="1:20" x14ac:dyDescent="0.25">
      <c r="A208">
        <v>21001145</v>
      </c>
      <c r="B208" t="s">
        <v>33</v>
      </c>
      <c r="C208">
        <v>1201</v>
      </c>
      <c r="D208">
        <v>56013767</v>
      </c>
      <c r="E208" t="s">
        <v>269</v>
      </c>
      <c r="F208" s="1">
        <v>44299</v>
      </c>
      <c r="G208">
        <v>1201</v>
      </c>
      <c r="I208" t="s">
        <v>35</v>
      </c>
      <c r="J208" t="s">
        <v>35</v>
      </c>
      <c r="K208" t="s">
        <v>35</v>
      </c>
      <c r="M208" t="s">
        <v>36</v>
      </c>
      <c r="O208" t="s">
        <v>37</v>
      </c>
      <c r="P208">
        <v>1201</v>
      </c>
      <c r="R208" t="s">
        <v>223</v>
      </c>
      <c r="T208" t="s">
        <v>35</v>
      </c>
    </row>
    <row r="209" spans="1:20" x14ac:dyDescent="0.25">
      <c r="A209">
        <v>21001146</v>
      </c>
      <c r="B209" t="s">
        <v>33</v>
      </c>
      <c r="C209">
        <v>1201</v>
      </c>
      <c r="D209">
        <v>55101941</v>
      </c>
      <c r="E209" t="s">
        <v>270</v>
      </c>
      <c r="F209" s="1">
        <v>44299</v>
      </c>
      <c r="G209">
        <v>1201</v>
      </c>
      <c r="I209" t="s">
        <v>35</v>
      </c>
      <c r="J209" t="s">
        <v>35</v>
      </c>
      <c r="K209" t="s">
        <v>35</v>
      </c>
      <c r="M209" t="s">
        <v>36</v>
      </c>
      <c r="O209" t="s">
        <v>37</v>
      </c>
      <c r="P209">
        <v>1201</v>
      </c>
      <c r="R209" t="s">
        <v>223</v>
      </c>
      <c r="T209" t="s">
        <v>35</v>
      </c>
    </row>
    <row r="210" spans="1:20" x14ac:dyDescent="0.25">
      <c r="A210">
        <v>21001147</v>
      </c>
      <c r="B210" t="s">
        <v>33</v>
      </c>
      <c r="C210">
        <v>1201</v>
      </c>
      <c r="D210">
        <v>55527766</v>
      </c>
      <c r="E210" t="s">
        <v>271</v>
      </c>
      <c r="F210" s="1">
        <v>44299</v>
      </c>
      <c r="G210">
        <v>1201</v>
      </c>
      <c r="I210" t="s">
        <v>35</v>
      </c>
      <c r="J210" t="s">
        <v>35</v>
      </c>
      <c r="K210" t="s">
        <v>35</v>
      </c>
      <c r="M210" t="s">
        <v>36</v>
      </c>
      <c r="O210" t="s">
        <v>37</v>
      </c>
      <c r="P210">
        <v>1201</v>
      </c>
      <c r="R210" t="s">
        <v>223</v>
      </c>
      <c r="T210" t="s">
        <v>35</v>
      </c>
    </row>
    <row r="211" spans="1:20" x14ac:dyDescent="0.25">
      <c r="A211">
        <v>21001396</v>
      </c>
      <c r="B211" t="s">
        <v>33</v>
      </c>
      <c r="C211">
        <v>1201</v>
      </c>
      <c r="D211">
        <v>57326773</v>
      </c>
      <c r="E211" t="s">
        <v>272</v>
      </c>
      <c r="F211" s="1">
        <v>44536</v>
      </c>
      <c r="G211">
        <v>1201</v>
      </c>
      <c r="I211" t="s">
        <v>35</v>
      </c>
      <c r="J211" t="s">
        <v>35</v>
      </c>
      <c r="K211" t="s">
        <v>35</v>
      </c>
      <c r="L211">
        <v>828.36</v>
      </c>
      <c r="M211" t="s">
        <v>36</v>
      </c>
      <c r="N211" s="2">
        <v>11862000</v>
      </c>
      <c r="O211" t="s">
        <v>37</v>
      </c>
      <c r="P211">
        <v>1201</v>
      </c>
      <c r="R211" t="s">
        <v>240</v>
      </c>
      <c r="T211" t="s">
        <v>35</v>
      </c>
    </row>
    <row r="212" spans="1:20" x14ac:dyDescent="0.25">
      <c r="A212">
        <v>22001042</v>
      </c>
      <c r="B212" t="s">
        <v>33</v>
      </c>
      <c r="C212">
        <v>1201</v>
      </c>
      <c r="D212">
        <v>57341818</v>
      </c>
      <c r="E212" t="s">
        <v>273</v>
      </c>
      <c r="F212" s="1">
        <v>44601</v>
      </c>
      <c r="G212">
        <v>1201</v>
      </c>
      <c r="I212" t="s">
        <v>35</v>
      </c>
      <c r="J212" t="s">
        <v>35</v>
      </c>
      <c r="K212" t="s">
        <v>35</v>
      </c>
      <c r="L212" s="2">
        <v>21341.200000000001</v>
      </c>
      <c r="M212" t="s">
        <v>36</v>
      </c>
      <c r="N212" s="2">
        <v>307160000</v>
      </c>
      <c r="O212" t="s">
        <v>37</v>
      </c>
      <c r="P212">
        <v>1201</v>
      </c>
      <c r="R212" t="s">
        <v>232</v>
      </c>
      <c r="T212" t="s">
        <v>35</v>
      </c>
    </row>
    <row r="213" spans="1:20" x14ac:dyDescent="0.25">
      <c r="A213">
        <v>22001044</v>
      </c>
      <c r="B213" t="s">
        <v>33</v>
      </c>
      <c r="C213">
        <v>1201</v>
      </c>
      <c r="D213">
        <v>57330810</v>
      </c>
      <c r="E213" t="s">
        <v>274</v>
      </c>
      <c r="F213" s="1">
        <v>44601</v>
      </c>
      <c r="G213">
        <v>1201</v>
      </c>
      <c r="I213" t="s">
        <v>35</v>
      </c>
      <c r="J213" t="s">
        <v>35</v>
      </c>
      <c r="K213" t="s">
        <v>35</v>
      </c>
      <c r="L213" s="2">
        <v>1422.54</v>
      </c>
      <c r="M213" t="s">
        <v>36</v>
      </c>
      <c r="N213" s="2">
        <v>20475000</v>
      </c>
      <c r="O213" t="s">
        <v>37</v>
      </c>
      <c r="P213">
        <v>1201</v>
      </c>
      <c r="R213" t="s">
        <v>232</v>
      </c>
      <c r="T213" t="s">
        <v>35</v>
      </c>
    </row>
    <row r="214" spans="1:20" x14ac:dyDescent="0.25">
      <c r="A214">
        <v>22001052</v>
      </c>
      <c r="B214" t="s">
        <v>33</v>
      </c>
      <c r="C214">
        <v>1201</v>
      </c>
      <c r="D214">
        <v>57342061</v>
      </c>
      <c r="E214" t="s">
        <v>275</v>
      </c>
      <c r="F214" s="1">
        <v>44606</v>
      </c>
      <c r="G214">
        <v>1201</v>
      </c>
      <c r="I214" t="s">
        <v>35</v>
      </c>
      <c r="J214" t="s">
        <v>35</v>
      </c>
      <c r="K214" t="s">
        <v>35</v>
      </c>
      <c r="L214" s="2">
        <v>4243.05</v>
      </c>
      <c r="M214" t="s">
        <v>36</v>
      </c>
      <c r="N214" s="2">
        <v>61065900</v>
      </c>
      <c r="O214" t="s">
        <v>37</v>
      </c>
      <c r="P214">
        <v>1201</v>
      </c>
      <c r="R214" t="s">
        <v>276</v>
      </c>
      <c r="T214" t="s">
        <v>35</v>
      </c>
    </row>
    <row r="215" spans="1:20" x14ac:dyDescent="0.25">
      <c r="A215">
        <v>22001081</v>
      </c>
      <c r="B215" t="s">
        <v>33</v>
      </c>
      <c r="C215">
        <v>1201</v>
      </c>
      <c r="D215">
        <v>57345931</v>
      </c>
      <c r="E215" t="s">
        <v>277</v>
      </c>
      <c r="F215" s="1">
        <v>44629</v>
      </c>
      <c r="G215">
        <v>1201</v>
      </c>
      <c r="I215" t="s">
        <v>35</v>
      </c>
      <c r="J215" t="s">
        <v>35</v>
      </c>
      <c r="K215" t="s">
        <v>35</v>
      </c>
      <c r="L215" s="2">
        <v>3291.21</v>
      </c>
      <c r="M215" t="s">
        <v>36</v>
      </c>
      <c r="N215" s="2">
        <v>47295000</v>
      </c>
      <c r="O215" t="s">
        <v>37</v>
      </c>
      <c r="P215">
        <v>1201</v>
      </c>
      <c r="R215" t="s">
        <v>276</v>
      </c>
      <c r="T215" t="s">
        <v>35</v>
      </c>
    </row>
    <row r="216" spans="1:20" x14ac:dyDescent="0.25">
      <c r="A216">
        <v>22001104</v>
      </c>
      <c r="B216" t="s">
        <v>33</v>
      </c>
      <c r="C216">
        <v>1201</v>
      </c>
      <c r="D216">
        <v>57349756</v>
      </c>
      <c r="E216" t="s">
        <v>278</v>
      </c>
      <c r="F216" s="1">
        <v>44644</v>
      </c>
      <c r="G216">
        <v>1201</v>
      </c>
      <c r="I216" t="s">
        <v>35</v>
      </c>
      <c r="J216" t="s">
        <v>35</v>
      </c>
      <c r="K216" t="s">
        <v>35</v>
      </c>
      <c r="L216" s="2">
        <v>12261.85</v>
      </c>
      <c r="M216" t="s">
        <v>36</v>
      </c>
      <c r="N216" s="2">
        <v>176176000</v>
      </c>
      <c r="O216" t="s">
        <v>37</v>
      </c>
      <c r="P216">
        <v>1201</v>
      </c>
      <c r="R216" t="s">
        <v>200</v>
      </c>
      <c r="T216" t="s">
        <v>35</v>
      </c>
    </row>
    <row r="217" spans="1:20" x14ac:dyDescent="0.25">
      <c r="A217">
        <v>22001116</v>
      </c>
      <c r="B217" t="s">
        <v>33</v>
      </c>
      <c r="C217">
        <v>1201</v>
      </c>
      <c r="D217">
        <v>57350052</v>
      </c>
      <c r="E217" t="s">
        <v>279</v>
      </c>
      <c r="F217" s="1">
        <v>44657</v>
      </c>
      <c r="G217">
        <v>1201</v>
      </c>
      <c r="I217" t="s">
        <v>35</v>
      </c>
      <c r="J217" t="s">
        <v>35</v>
      </c>
      <c r="K217" t="s">
        <v>35</v>
      </c>
      <c r="L217" s="2">
        <v>44177.75</v>
      </c>
      <c r="M217" t="s">
        <v>36</v>
      </c>
      <c r="N217" s="2">
        <v>634259050</v>
      </c>
      <c r="O217" t="s">
        <v>37</v>
      </c>
      <c r="P217">
        <v>1201</v>
      </c>
      <c r="R217" t="s">
        <v>200</v>
      </c>
      <c r="T217" t="s">
        <v>35</v>
      </c>
    </row>
    <row r="218" spans="1:20" x14ac:dyDescent="0.25">
      <c r="A218">
        <v>22001186</v>
      </c>
      <c r="B218" t="s">
        <v>33</v>
      </c>
      <c r="C218">
        <v>1201</v>
      </c>
      <c r="D218">
        <v>57353341</v>
      </c>
      <c r="E218" t="s">
        <v>280</v>
      </c>
      <c r="F218" s="1">
        <v>44721</v>
      </c>
      <c r="G218">
        <v>1201</v>
      </c>
      <c r="I218" t="s">
        <v>35</v>
      </c>
      <c r="J218" t="s">
        <v>35</v>
      </c>
      <c r="K218" t="s">
        <v>35</v>
      </c>
      <c r="L218">
        <v>891.93</v>
      </c>
      <c r="M218" t="s">
        <v>36</v>
      </c>
      <c r="N218" s="2">
        <v>13015000</v>
      </c>
      <c r="O218" t="s">
        <v>37</v>
      </c>
      <c r="P218">
        <v>1201</v>
      </c>
      <c r="R218" t="s">
        <v>232</v>
      </c>
      <c r="T218" t="s">
        <v>35</v>
      </c>
    </row>
    <row r="219" spans="1:20" x14ac:dyDescent="0.25">
      <c r="A219">
        <v>22001249</v>
      </c>
      <c r="B219" t="s">
        <v>33</v>
      </c>
      <c r="C219">
        <v>1201</v>
      </c>
      <c r="D219">
        <v>57361376</v>
      </c>
      <c r="E219" t="s">
        <v>281</v>
      </c>
      <c r="F219" s="1">
        <v>44784</v>
      </c>
      <c r="G219">
        <v>1201</v>
      </c>
      <c r="I219" t="s">
        <v>35</v>
      </c>
      <c r="J219" t="s">
        <v>35</v>
      </c>
      <c r="K219" t="s">
        <v>35</v>
      </c>
      <c r="L219">
        <v>635.99</v>
      </c>
      <c r="M219" t="s">
        <v>36</v>
      </c>
      <c r="N219" s="2">
        <v>9450000</v>
      </c>
      <c r="O219" t="s">
        <v>37</v>
      </c>
      <c r="P219">
        <v>1201</v>
      </c>
      <c r="R219" t="s">
        <v>232</v>
      </c>
      <c r="T219" t="s">
        <v>35</v>
      </c>
    </row>
    <row r="220" spans="1:20" x14ac:dyDescent="0.25">
      <c r="A220">
        <v>22001295</v>
      </c>
      <c r="B220" t="s">
        <v>33</v>
      </c>
      <c r="C220">
        <v>1201</v>
      </c>
      <c r="D220">
        <v>55754361</v>
      </c>
      <c r="E220" t="s">
        <v>282</v>
      </c>
      <c r="F220" s="1">
        <v>44820</v>
      </c>
      <c r="G220">
        <v>1201</v>
      </c>
      <c r="I220" t="s">
        <v>35</v>
      </c>
      <c r="J220" t="s">
        <v>35</v>
      </c>
      <c r="K220" t="s">
        <v>35</v>
      </c>
      <c r="M220" t="s">
        <v>36</v>
      </c>
      <c r="O220" t="s">
        <v>36</v>
      </c>
      <c r="P220">
        <v>1201</v>
      </c>
      <c r="R220" t="s">
        <v>200</v>
      </c>
      <c r="T220" t="s">
        <v>35</v>
      </c>
    </row>
    <row r="221" spans="1:20" x14ac:dyDescent="0.25">
      <c r="A221">
        <v>22001320</v>
      </c>
      <c r="B221" t="s">
        <v>33</v>
      </c>
      <c r="C221">
        <v>1201</v>
      </c>
      <c r="D221">
        <v>57372657</v>
      </c>
      <c r="E221" t="s">
        <v>283</v>
      </c>
      <c r="F221" s="1">
        <v>44846</v>
      </c>
      <c r="G221">
        <v>1201</v>
      </c>
      <c r="I221" t="s">
        <v>35</v>
      </c>
      <c r="J221" t="s">
        <v>35</v>
      </c>
      <c r="K221" t="s">
        <v>35</v>
      </c>
      <c r="L221" s="2">
        <v>4278.5200000000004</v>
      </c>
      <c r="M221" t="s">
        <v>36</v>
      </c>
      <c r="N221" s="2">
        <v>65175000</v>
      </c>
      <c r="O221" t="s">
        <v>37</v>
      </c>
      <c r="P221">
        <v>1201</v>
      </c>
      <c r="R221" t="s">
        <v>276</v>
      </c>
      <c r="T221" t="s">
        <v>35</v>
      </c>
    </row>
    <row r="222" spans="1:20" x14ac:dyDescent="0.25">
      <c r="A222">
        <v>22001336</v>
      </c>
      <c r="B222" t="s">
        <v>33</v>
      </c>
      <c r="C222">
        <v>1201</v>
      </c>
      <c r="D222">
        <v>57369298</v>
      </c>
      <c r="E222" t="s">
        <v>284</v>
      </c>
      <c r="F222" s="1">
        <v>44862</v>
      </c>
      <c r="G222">
        <v>1201</v>
      </c>
      <c r="I222" t="s">
        <v>35</v>
      </c>
      <c r="J222" t="s">
        <v>35</v>
      </c>
      <c r="K222" t="s">
        <v>35</v>
      </c>
      <c r="L222" s="2">
        <v>3642.95</v>
      </c>
      <c r="M222" t="s">
        <v>36</v>
      </c>
      <c r="N222" s="2">
        <v>55488000</v>
      </c>
      <c r="O222" t="s">
        <v>37</v>
      </c>
      <c r="P222">
        <v>1201</v>
      </c>
      <c r="R222" t="s">
        <v>276</v>
      </c>
      <c r="T222" t="s">
        <v>35</v>
      </c>
    </row>
    <row r="223" spans="1:20" x14ac:dyDescent="0.25">
      <c r="A223">
        <v>22001368</v>
      </c>
      <c r="B223" t="s">
        <v>33</v>
      </c>
      <c r="C223">
        <v>1201</v>
      </c>
      <c r="D223">
        <v>57376981</v>
      </c>
      <c r="E223" t="s">
        <v>285</v>
      </c>
      <c r="F223" s="1">
        <v>44889</v>
      </c>
      <c r="G223">
        <v>1201</v>
      </c>
      <c r="I223" t="s">
        <v>35</v>
      </c>
      <c r="J223" t="s">
        <v>35</v>
      </c>
      <c r="K223" t="s">
        <v>35</v>
      </c>
      <c r="L223" s="2">
        <v>50558.55</v>
      </c>
      <c r="M223" t="s">
        <v>36</v>
      </c>
      <c r="N223" s="2">
        <v>788508000</v>
      </c>
      <c r="O223" t="s">
        <v>37</v>
      </c>
      <c r="P223">
        <v>1201</v>
      </c>
      <c r="R223" t="s">
        <v>276</v>
      </c>
      <c r="T223" t="s">
        <v>35</v>
      </c>
    </row>
    <row r="224" spans="1:20" x14ac:dyDescent="0.25">
      <c r="A224">
        <v>22001398</v>
      </c>
      <c r="B224" t="s">
        <v>33</v>
      </c>
      <c r="C224">
        <v>1201</v>
      </c>
      <c r="D224">
        <v>57353368</v>
      </c>
      <c r="E224" t="s">
        <v>286</v>
      </c>
      <c r="F224" s="1">
        <v>44918</v>
      </c>
      <c r="G224">
        <v>1201</v>
      </c>
      <c r="I224" t="s">
        <v>35</v>
      </c>
      <c r="J224" t="s">
        <v>35</v>
      </c>
      <c r="K224" t="s">
        <v>35</v>
      </c>
      <c r="M224" t="s">
        <v>36</v>
      </c>
      <c r="O224" t="s">
        <v>37</v>
      </c>
      <c r="P224">
        <v>1201</v>
      </c>
      <c r="R224" t="s">
        <v>232</v>
      </c>
      <c r="T224" t="s">
        <v>35</v>
      </c>
    </row>
    <row r="225" spans="1:20" x14ac:dyDescent="0.25">
      <c r="A225">
        <v>23001013</v>
      </c>
      <c r="B225" t="s">
        <v>33</v>
      </c>
      <c r="C225">
        <v>1201</v>
      </c>
      <c r="D225">
        <v>57382409</v>
      </c>
      <c r="E225" t="s">
        <v>287</v>
      </c>
      <c r="F225" s="1">
        <v>44949</v>
      </c>
      <c r="G225">
        <v>1201</v>
      </c>
      <c r="I225" t="s">
        <v>35</v>
      </c>
      <c r="J225" t="s">
        <v>35</v>
      </c>
      <c r="K225" t="s">
        <v>35</v>
      </c>
      <c r="L225">
        <v>705.54</v>
      </c>
      <c r="M225" t="s">
        <v>36</v>
      </c>
      <c r="N225" s="2">
        <v>11000000</v>
      </c>
      <c r="O225" t="s">
        <v>37</v>
      </c>
      <c r="P225">
        <v>1201</v>
      </c>
      <c r="R225" t="s">
        <v>232</v>
      </c>
      <c r="T225" t="s">
        <v>35</v>
      </c>
    </row>
    <row r="226" spans="1:20" x14ac:dyDescent="0.25">
      <c r="A226">
        <v>23001031</v>
      </c>
      <c r="B226" t="s">
        <v>33</v>
      </c>
      <c r="C226">
        <v>1201</v>
      </c>
      <c r="D226">
        <v>57389766</v>
      </c>
      <c r="E226" t="s">
        <v>288</v>
      </c>
      <c r="F226" s="1">
        <v>44972</v>
      </c>
      <c r="G226">
        <v>1201</v>
      </c>
      <c r="I226" t="s">
        <v>35</v>
      </c>
      <c r="J226" t="s">
        <v>35</v>
      </c>
      <c r="K226" t="s">
        <v>35</v>
      </c>
      <c r="L226" s="2">
        <v>27239.3</v>
      </c>
      <c r="M226" t="s">
        <v>36</v>
      </c>
      <c r="N226" s="2">
        <v>408375000</v>
      </c>
      <c r="O226" t="s">
        <v>37</v>
      </c>
      <c r="P226">
        <v>1201</v>
      </c>
      <c r="R226" t="s">
        <v>276</v>
      </c>
      <c r="T226" t="s">
        <v>35</v>
      </c>
    </row>
    <row r="227" spans="1:20" x14ac:dyDescent="0.25">
      <c r="A227">
        <v>23001052</v>
      </c>
      <c r="B227" t="s">
        <v>33</v>
      </c>
      <c r="C227">
        <v>1201</v>
      </c>
      <c r="D227">
        <v>57361501</v>
      </c>
      <c r="E227" t="s">
        <v>289</v>
      </c>
      <c r="F227" s="1">
        <v>45014</v>
      </c>
      <c r="G227">
        <v>1201</v>
      </c>
      <c r="I227" t="s">
        <v>35</v>
      </c>
      <c r="J227" t="s">
        <v>35</v>
      </c>
      <c r="K227" t="s">
        <v>35</v>
      </c>
      <c r="M227" t="s">
        <v>36</v>
      </c>
      <c r="O227" t="s">
        <v>37</v>
      </c>
      <c r="P227">
        <v>1201</v>
      </c>
      <c r="R227" t="s">
        <v>200</v>
      </c>
      <c r="T227" t="s">
        <v>35</v>
      </c>
    </row>
    <row r="228" spans="1:20" x14ac:dyDescent="0.25">
      <c r="A228">
        <v>23001056</v>
      </c>
      <c r="B228" t="s">
        <v>33</v>
      </c>
      <c r="C228">
        <v>1201</v>
      </c>
      <c r="D228">
        <v>57399067</v>
      </c>
      <c r="E228" t="s">
        <v>290</v>
      </c>
      <c r="F228" s="1">
        <v>45027</v>
      </c>
      <c r="G228">
        <v>1201</v>
      </c>
      <c r="I228" t="s">
        <v>35</v>
      </c>
      <c r="J228" t="s">
        <v>35</v>
      </c>
      <c r="K228" t="s">
        <v>35</v>
      </c>
      <c r="L228" s="2">
        <v>19039.330000000002</v>
      </c>
      <c r="M228" t="s">
        <v>36</v>
      </c>
      <c r="N228" s="2">
        <v>285158000</v>
      </c>
      <c r="O228" t="s">
        <v>37</v>
      </c>
      <c r="P228">
        <v>1201</v>
      </c>
      <c r="R228" t="s">
        <v>276</v>
      </c>
      <c r="T228" t="s">
        <v>35</v>
      </c>
    </row>
    <row r="229" spans="1:20" x14ac:dyDescent="0.25">
      <c r="A229">
        <v>23001104</v>
      </c>
      <c r="B229" t="s">
        <v>33</v>
      </c>
      <c r="C229">
        <v>1201</v>
      </c>
      <c r="D229">
        <v>57409026</v>
      </c>
      <c r="E229" t="s">
        <v>291</v>
      </c>
      <c r="F229" s="1">
        <v>45112</v>
      </c>
      <c r="G229">
        <v>1201</v>
      </c>
      <c r="I229" t="s">
        <v>35</v>
      </c>
      <c r="J229" t="s">
        <v>35</v>
      </c>
      <c r="K229" t="s">
        <v>35</v>
      </c>
      <c r="L229" s="2">
        <v>4500000</v>
      </c>
      <c r="M229" t="s">
        <v>36</v>
      </c>
      <c r="O229" t="s">
        <v>36</v>
      </c>
      <c r="P229">
        <v>1201</v>
      </c>
      <c r="R229" t="s">
        <v>292</v>
      </c>
      <c r="T229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D4181"/>
  </sheetPr>
  <dimension ref="B6:D12"/>
  <sheetViews>
    <sheetView zoomScale="115" zoomScaleNormal="115" workbookViewId="0"/>
  </sheetViews>
  <sheetFormatPr defaultRowHeight="15" x14ac:dyDescent="0.25"/>
  <cols>
    <col min="1" max="1" width="8.5703125" style="13" bestFit="1" customWidth="1"/>
    <col min="2" max="2" width="19.42578125" style="13" bestFit="1" customWidth="1"/>
    <col min="3" max="3" width="33.5703125" style="13" bestFit="1" customWidth="1"/>
    <col min="4" max="4" width="8.5703125" style="13" bestFit="1" customWidth="1"/>
    <col min="5" max="16384" width="9.140625" style="13"/>
  </cols>
  <sheetData>
    <row r="6" spans="2:4" hidden="1" x14ac:dyDescent="0.25"/>
    <row r="7" spans="2:4" hidden="1" x14ac:dyDescent="0.25"/>
    <row r="8" spans="2:4" hidden="1" x14ac:dyDescent="0.25"/>
    <row r="9" spans="2:4" ht="15.75" thickBot="1" x14ac:dyDescent="0.3"/>
    <row r="10" spans="2:4" ht="16.5" thickBot="1" x14ac:dyDescent="0.3">
      <c r="B10" s="33" t="s">
        <v>293</v>
      </c>
      <c r="C10" s="34"/>
      <c r="D10" s="35"/>
    </row>
    <row r="11" spans="2:4" ht="15.75" thickBot="1" x14ac:dyDescent="0.3">
      <c r="B11" s="14" t="s">
        <v>294</v>
      </c>
      <c r="C11" s="15" t="s">
        <v>295</v>
      </c>
      <c r="D11" s="16" t="s">
        <v>298</v>
      </c>
    </row>
    <row r="12" spans="2:4" ht="15.75" thickBot="1" x14ac:dyDescent="0.3">
      <c r="B12" s="17" t="s">
        <v>296</v>
      </c>
      <c r="C12" s="18" t="s">
        <v>297</v>
      </c>
      <c r="D12" s="19" t="s">
        <v>299</v>
      </c>
    </row>
  </sheetData>
  <mergeCells count="1">
    <mergeCell ref="B10:D10"/>
  </mergeCells>
  <hyperlinks>
    <hyperlink ref="C12" r:id="rId1" xr:uid="{00000000-0004-0000-0100-000000000000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K2"/>
  <sheetViews>
    <sheetView tabSelected="1"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40.85546875" style="4" bestFit="1" customWidth="1"/>
    <col min="2" max="2" width="10.7109375" style="5" bestFit="1" customWidth="1"/>
    <col min="3" max="3" width="20.42578125" style="4" bestFit="1" customWidth="1"/>
    <col min="4" max="4" width="9" style="4" bestFit="1" customWidth="1"/>
    <col min="5" max="5" width="6" style="4" bestFit="1" customWidth="1"/>
    <col min="6" max="6" width="9.42578125" style="4" bestFit="1" customWidth="1"/>
    <col min="7" max="7" width="12.85546875" style="4" bestFit="1" customWidth="1"/>
    <col min="8" max="8" width="12.28515625" style="4" bestFit="1" customWidth="1"/>
    <col min="9" max="9" width="7.85546875" style="4" bestFit="1" customWidth="1"/>
    <col min="10" max="10" width="17" style="4" bestFit="1" customWidth="1"/>
    <col min="11" max="11" width="17.5703125" style="4" bestFit="1" customWidth="1"/>
    <col min="12" max="12" width="9.5703125" style="3" customWidth="1"/>
    <col min="13" max="13" width="11.28515625" style="3" customWidth="1"/>
    <col min="14" max="16384" width="9.140625" style="3"/>
  </cols>
  <sheetData>
    <row r="1" spans="1:11" ht="23.25" customHeight="1" x14ac:dyDescent="0.25">
      <c r="A1" s="26" t="s">
        <v>0</v>
      </c>
      <c r="B1" s="27" t="s">
        <v>1</v>
      </c>
      <c r="C1" s="28" t="s">
        <v>2</v>
      </c>
      <c r="D1" s="28" t="s">
        <v>3</v>
      </c>
      <c r="E1" s="28" t="s">
        <v>4</v>
      </c>
      <c r="F1" s="28" t="s">
        <v>5</v>
      </c>
      <c r="G1" s="29" t="s">
        <v>6</v>
      </c>
      <c r="H1" s="29" t="s">
        <v>8</v>
      </c>
      <c r="I1" s="28" t="s">
        <v>9</v>
      </c>
      <c r="J1" s="29" t="s">
        <v>10</v>
      </c>
      <c r="K1" s="29" t="s">
        <v>7</v>
      </c>
    </row>
    <row r="2" spans="1:11" customFormat="1" x14ac:dyDescent="0.25">
      <c r="A2" s="4"/>
      <c r="B2" s="5"/>
      <c r="C2" s="32"/>
      <c r="D2" s="4"/>
      <c r="E2" s="4"/>
      <c r="F2" s="4"/>
      <c r="G2" s="4"/>
      <c r="H2" s="4"/>
      <c r="I2" s="4"/>
      <c r="J2" s="4"/>
      <c r="K2" s="4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2"/>
  <sheetViews>
    <sheetView workbookViewId="0">
      <selection activeCell="K2" sqref="A2:K2"/>
    </sheetView>
  </sheetViews>
  <sheetFormatPr defaultRowHeight="15" x14ac:dyDescent="0.25"/>
  <cols>
    <col min="1" max="1" width="23.85546875" bestFit="1" customWidth="1"/>
    <col min="2" max="2" width="10.7109375" bestFit="1" customWidth="1"/>
    <col min="3" max="3" width="20.42578125" bestFit="1" customWidth="1"/>
    <col min="4" max="4" width="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31.5703125" bestFit="1" customWidth="1"/>
    <col min="11" max="11" width="17.5703125" bestFit="1" customWidth="1"/>
  </cols>
  <sheetData>
    <row r="1" spans="1:11" ht="16.5" thickBot="1" x14ac:dyDescent="0.3">
      <c r="A1" s="8" t="s">
        <v>0</v>
      </c>
      <c r="B1" s="9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8</v>
      </c>
      <c r="I1" s="10" t="s">
        <v>9</v>
      </c>
      <c r="J1" s="11" t="s">
        <v>10</v>
      </c>
      <c r="K1" s="12" t="s">
        <v>7</v>
      </c>
    </row>
    <row r="2" spans="1:11" x14ac:dyDescent="0.25">
      <c r="A2" s="6" t="s">
        <v>11</v>
      </c>
      <c r="B2" s="7">
        <v>45224</v>
      </c>
      <c r="C2" s="6" t="s">
        <v>12</v>
      </c>
      <c r="D2" s="6">
        <v>3456</v>
      </c>
      <c r="E2" s="6" t="s">
        <v>13</v>
      </c>
      <c r="F2" s="6" t="s">
        <v>14</v>
      </c>
      <c r="G2" s="6">
        <v>23001125</v>
      </c>
      <c r="H2" s="6">
        <v>23001125</v>
      </c>
      <c r="I2" s="6">
        <v>1201</v>
      </c>
      <c r="J2" s="6" t="s">
        <v>42</v>
      </c>
      <c r="K2" s="6">
        <f>IFERROR(INDEX(MASTER!D:D,MATCH($J$2,MASTER!E:E,0)),"")</f>
        <v>55112392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K2"/>
  <sheetViews>
    <sheetView workbookViewId="0">
      <selection activeCell="C19" sqref="C19"/>
    </sheetView>
  </sheetViews>
  <sheetFormatPr defaultRowHeight="15" x14ac:dyDescent="0.25"/>
  <cols>
    <col min="1" max="1" width="23.85546875" bestFit="1" customWidth="1"/>
    <col min="2" max="2" width="10.7109375" bestFit="1" customWidth="1"/>
    <col min="3" max="3" width="20.42578125" bestFit="1" customWidth="1"/>
    <col min="4" max="4" width="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31.5703125" bestFit="1" customWidth="1"/>
    <col min="11" max="11" width="17.5703125" bestFit="1" customWidth="1"/>
  </cols>
  <sheetData>
    <row r="1" spans="1:11" ht="16.5" thickBot="1" x14ac:dyDescent="0.3">
      <c r="A1" s="8" t="s">
        <v>0</v>
      </c>
      <c r="B1" s="9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8</v>
      </c>
      <c r="I1" s="10" t="s">
        <v>9</v>
      </c>
      <c r="J1" s="11" t="s">
        <v>10</v>
      </c>
      <c r="K1" s="12" t="s">
        <v>7</v>
      </c>
    </row>
    <row r="2" spans="1:11" x14ac:dyDescent="0.25">
      <c r="A2" s="6" t="s">
        <v>11</v>
      </c>
      <c r="B2" s="7">
        <v>45224</v>
      </c>
      <c r="C2" s="6" t="s">
        <v>12</v>
      </c>
      <c r="D2" s="6">
        <v>3456</v>
      </c>
      <c r="E2" s="6" t="s">
        <v>13</v>
      </c>
      <c r="F2" s="6" t="s">
        <v>14</v>
      </c>
      <c r="G2" s="6">
        <v>23001125</v>
      </c>
      <c r="H2" s="6">
        <v>23001125</v>
      </c>
      <c r="I2" s="6">
        <v>1201</v>
      </c>
      <c r="J2" s="6" t="s">
        <v>42</v>
      </c>
      <c r="K2" s="6">
        <v>55112392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2"/>
  <sheetViews>
    <sheetView workbookViewId="0"/>
  </sheetViews>
  <sheetFormatPr defaultRowHeight="15" x14ac:dyDescent="0.25"/>
  <cols>
    <col min="1" max="1" width="24.85546875" bestFit="1" customWidth="1"/>
    <col min="2" max="2" width="10.7109375" bestFit="1" customWidth="1"/>
    <col min="3" max="3" width="20.42578125" bestFit="1" customWidth="1"/>
    <col min="4" max="4" width="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0.5703125" bestFit="1" customWidth="1"/>
    <col min="11" max="11" width="17.5703125" bestFit="1" customWidth="1"/>
  </cols>
  <sheetData>
    <row r="1" spans="1:12" ht="16.5" thickBot="1" x14ac:dyDescent="0.3">
      <c r="A1" s="21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3" t="s">
        <v>301</v>
      </c>
    </row>
    <row r="2" spans="1:12" x14ac:dyDescent="0.25">
      <c r="A2" s="4" t="s">
        <v>300</v>
      </c>
      <c r="B2" s="5">
        <v>45224</v>
      </c>
      <c r="C2" s="4" t="s">
        <v>12</v>
      </c>
      <c r="D2" s="4">
        <v>3456</v>
      </c>
      <c r="E2" s="4" t="s">
        <v>13</v>
      </c>
      <c r="F2" s="4" t="s">
        <v>14</v>
      </c>
      <c r="G2" s="4">
        <v>23001125</v>
      </c>
      <c r="H2" s="4">
        <v>23001125</v>
      </c>
      <c r="I2" s="4">
        <v>1201</v>
      </c>
      <c r="J2" s="4" t="s">
        <v>34</v>
      </c>
      <c r="K2" s="4">
        <v>54000600</v>
      </c>
      <c r="L2" s="20">
        <f>IFERROR(VLOOKUP(H2,'[1]INPUT USER'!$H:$N,7,0),"")</f>
        <v>133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2"/>
  <sheetViews>
    <sheetView workbookViewId="0">
      <selection activeCell="A2" sqref="A2:K2"/>
    </sheetView>
  </sheetViews>
  <sheetFormatPr defaultRowHeight="15" x14ac:dyDescent="0.25"/>
  <cols>
    <col min="1" max="1" width="34.5703125" bestFit="1" customWidth="1"/>
    <col min="2" max="2" width="10.4257812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0.7109375" bestFit="1" customWidth="1"/>
    <col min="11" max="11" width="17.5703125" bestFit="1" customWidth="1"/>
  </cols>
  <sheetData>
    <row r="1" spans="1:12" ht="16.5" thickBot="1" x14ac:dyDescent="0.3">
      <c r="A1" s="21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302</v>
      </c>
      <c r="B2" s="5" t="s">
        <v>303</v>
      </c>
      <c r="C2" s="4">
        <v>295980</v>
      </c>
      <c r="D2" s="4">
        <v>121</v>
      </c>
      <c r="E2" s="4" t="s">
        <v>13</v>
      </c>
      <c r="F2" s="4" t="s">
        <v>14</v>
      </c>
      <c r="G2" s="4">
        <v>23001188</v>
      </c>
      <c r="H2" s="4">
        <v>23001188</v>
      </c>
      <c r="I2" s="4">
        <v>1201</v>
      </c>
      <c r="J2" s="4" t="s">
        <v>304</v>
      </c>
      <c r="K2" s="4">
        <v>54000879</v>
      </c>
      <c r="L2" s="20" t="str">
        <f>IFERROR(VLOOKUP(H2,'[2]INPUT USER'!$H:$N,7,0),"")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3"/>
  <sheetViews>
    <sheetView workbookViewId="0">
      <selection activeCell="A3" sqref="A3:L3"/>
    </sheetView>
  </sheetViews>
  <sheetFormatPr defaultRowHeight="15" x14ac:dyDescent="0.25"/>
  <cols>
    <col min="1" max="1" width="40.85546875" bestFit="1" customWidth="1"/>
    <col min="2" max="2" width="10.42578125" bestFit="1" customWidth="1"/>
    <col min="3" max="3" width="20.8554687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6.5703125" bestFit="1" customWidth="1"/>
    <col min="11" max="11" width="17.5703125" bestFit="1" customWidth="1"/>
  </cols>
  <sheetData>
    <row r="1" spans="1:12" ht="16.5" thickBot="1" x14ac:dyDescent="0.3">
      <c r="A1" s="21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 t="s">
        <v>305</v>
      </c>
      <c r="C2" s="4">
        <v>215934</v>
      </c>
      <c r="D2" s="4">
        <v>24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  <row r="3" spans="1:12" x14ac:dyDescent="0.25">
      <c r="A3" s="4" t="s">
        <v>307</v>
      </c>
      <c r="B3" s="5" t="s">
        <v>305</v>
      </c>
      <c r="C3" s="4" t="s">
        <v>308</v>
      </c>
      <c r="D3" s="4">
        <v>110</v>
      </c>
      <c r="E3" s="4" t="s">
        <v>309</v>
      </c>
      <c r="F3" s="4" t="s">
        <v>14</v>
      </c>
      <c r="G3" s="4">
        <v>23001188</v>
      </c>
      <c r="H3" s="4">
        <v>23001188</v>
      </c>
      <c r="I3" s="4">
        <v>1201</v>
      </c>
      <c r="J3" s="4" t="s">
        <v>39</v>
      </c>
      <c r="K3" s="4">
        <v>54000879</v>
      </c>
      <c r="L3" s="20" t="str">
        <f>IFERROR(VLOOKUP(H3,'[2]INPUT USER'!$H:$N,7,0),"")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2"/>
  <sheetViews>
    <sheetView workbookViewId="0">
      <selection activeCell="A19" sqref="A19"/>
    </sheetView>
  </sheetViews>
  <sheetFormatPr defaultRowHeight="15" x14ac:dyDescent="0.25"/>
  <cols>
    <col min="1" max="1" width="40.85546875" bestFit="1" customWidth="1"/>
    <col min="2" max="2" width="10.42578125" bestFit="1" customWidth="1"/>
    <col min="3" max="3" width="20.8554687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6.5703125" bestFit="1" customWidth="1"/>
    <col min="11" max="11" width="17.5703125" bestFit="1" customWidth="1"/>
  </cols>
  <sheetData>
    <row r="1" spans="1:12" ht="16.5" thickBot="1" x14ac:dyDescent="0.3">
      <c r="A1" s="21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45316</v>
      </c>
      <c r="C2" s="4">
        <v>215934</v>
      </c>
      <c r="D2" s="4">
        <v>27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3"/>
  <sheetViews>
    <sheetView workbookViewId="0">
      <selection activeCell="H11" sqref="H11"/>
    </sheetView>
  </sheetViews>
  <sheetFormatPr defaultRowHeight="15" x14ac:dyDescent="0.25"/>
  <cols>
    <col min="1" max="1" width="28.42578125" bestFit="1" customWidth="1"/>
    <col min="2" max="2" width="10.7109375" bestFit="1" customWidth="1"/>
    <col min="3" max="3" width="20.8554687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6.5703125" bestFit="1" customWidth="1"/>
    <col min="11" max="11" width="17.5703125" bestFit="1" customWidth="1"/>
  </cols>
  <sheetData>
    <row r="1" spans="1:12" ht="16.5" thickBot="1" x14ac:dyDescent="0.3">
      <c r="A1" s="21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5"/>
    </row>
    <row r="2" spans="1:12" x14ac:dyDescent="0.25">
      <c r="A2" s="4" t="s">
        <v>310</v>
      </c>
      <c r="B2" s="5">
        <v>45316</v>
      </c>
      <c r="C2" s="4" t="s">
        <v>308</v>
      </c>
      <c r="D2" s="4">
        <v>98</v>
      </c>
      <c r="E2" s="4" t="s">
        <v>309</v>
      </c>
      <c r="F2" s="4" t="s">
        <v>14</v>
      </c>
      <c r="G2" s="4">
        <v>23001188</v>
      </c>
      <c r="H2" s="4">
        <v>23001188</v>
      </c>
      <c r="I2" s="4">
        <v>1201</v>
      </c>
      <c r="J2" s="4" t="s">
        <v>39</v>
      </c>
      <c r="K2" s="4">
        <v>54000879</v>
      </c>
      <c r="L2" s="20" t="str">
        <f>IFERROR(VLOOKUP(H2,'[2]INPUT USER'!$H:$N,7,0),"")</f>
        <v/>
      </c>
    </row>
    <row r="3" spans="1:12" x14ac:dyDescent="0.25">
      <c r="A3" s="6"/>
      <c r="B3" s="7"/>
      <c r="C3" s="4"/>
      <c r="D3" s="4"/>
      <c r="E3" s="4"/>
      <c r="F3" s="4"/>
      <c r="G3" s="4"/>
      <c r="H3" s="4"/>
      <c r="I3" s="4"/>
      <c r="J3" s="4"/>
      <c r="K3" s="4"/>
      <c r="L3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3"/>
  <sheetViews>
    <sheetView workbookViewId="0">
      <selection activeCell="A2" sqref="A2:L4"/>
    </sheetView>
  </sheetViews>
  <sheetFormatPr defaultRowHeight="15" x14ac:dyDescent="0.25"/>
  <cols>
    <col min="1" max="1" width="40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1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5"/>
    </row>
    <row r="2" spans="1:12" x14ac:dyDescent="0.25">
      <c r="A2" s="4" t="s">
        <v>306</v>
      </c>
      <c r="B2" s="5">
        <v>45317</v>
      </c>
      <c r="C2" s="4">
        <v>215934</v>
      </c>
      <c r="D2" s="4">
        <v>28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  <row r="3" spans="1:12" x14ac:dyDescent="0.25">
      <c r="A3" s="6"/>
      <c r="B3" s="7"/>
      <c r="C3" s="4"/>
      <c r="D3" s="4"/>
      <c r="E3" s="4"/>
      <c r="F3" s="4"/>
      <c r="G3" s="4"/>
      <c r="H3" s="4"/>
      <c r="I3" s="4"/>
      <c r="J3" s="4"/>
      <c r="K3" s="4"/>
      <c r="L3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L3"/>
  <sheetViews>
    <sheetView workbookViewId="0">
      <selection activeCell="F10" sqref="F10"/>
    </sheetView>
  </sheetViews>
  <sheetFormatPr defaultRowHeight="15" x14ac:dyDescent="0.25"/>
  <cols>
    <col min="1" max="1" width="33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1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5"/>
    </row>
    <row r="2" spans="1:12" x14ac:dyDescent="0.25">
      <c r="A2" s="4" t="s">
        <v>311</v>
      </c>
      <c r="B2" s="5">
        <v>45320</v>
      </c>
      <c r="C2" s="4">
        <v>215934</v>
      </c>
      <c r="D2" s="4">
        <v>27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  <row r="3" spans="1:12" x14ac:dyDescent="0.25">
      <c r="A3" s="6"/>
      <c r="B3" s="7"/>
      <c r="C3" s="4"/>
      <c r="D3" s="4"/>
      <c r="E3" s="4"/>
      <c r="F3" s="4"/>
      <c r="G3" s="4"/>
      <c r="H3" s="4"/>
      <c r="I3" s="4"/>
      <c r="J3" s="4"/>
      <c r="K3" s="4"/>
      <c r="L3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L3"/>
  <sheetViews>
    <sheetView workbookViewId="0">
      <selection activeCell="H13" sqref="H13"/>
    </sheetView>
  </sheetViews>
  <sheetFormatPr defaultRowHeight="15" x14ac:dyDescent="0.25"/>
  <cols>
    <col min="1" max="1" width="40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1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5"/>
    </row>
    <row r="2" spans="1:12" x14ac:dyDescent="0.25">
      <c r="A2" s="4" t="s">
        <v>306</v>
      </c>
      <c r="B2" s="5">
        <v>45321</v>
      </c>
      <c r="C2" s="4">
        <v>215934</v>
      </c>
      <c r="D2" s="4">
        <v>8</v>
      </c>
      <c r="E2" s="4" t="s">
        <v>13</v>
      </c>
      <c r="F2" s="4" t="s">
        <v>14</v>
      </c>
      <c r="G2" s="4">
        <v>23001180</v>
      </c>
      <c r="H2" s="4">
        <v>23001180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  <row r="3" spans="1:12" x14ac:dyDescent="0.25">
      <c r="A3" s="6"/>
      <c r="B3" s="7"/>
      <c r="C3" s="4"/>
      <c r="D3" s="4"/>
      <c r="E3" s="4"/>
      <c r="F3" s="4"/>
      <c r="G3" s="4"/>
      <c r="H3" s="4"/>
      <c r="I3" s="4"/>
      <c r="J3" s="4"/>
      <c r="K3" s="4"/>
      <c r="L3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2"/>
  <sheetViews>
    <sheetView workbookViewId="0">
      <selection activeCell="A2" sqref="A2"/>
    </sheetView>
  </sheetViews>
  <sheetFormatPr defaultRowHeight="15" x14ac:dyDescent="0.25"/>
  <cols>
    <col min="1" max="1" width="40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45322</v>
      </c>
      <c r="C2" s="4">
        <v>215934</v>
      </c>
      <c r="D2" s="4">
        <v>250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L2"/>
  <sheetViews>
    <sheetView workbookViewId="0"/>
  </sheetViews>
  <sheetFormatPr defaultRowHeight="15" x14ac:dyDescent="0.25"/>
  <cols>
    <col min="1" max="1" width="40.85546875" bestFit="1" customWidth="1"/>
    <col min="2" max="2" width="9.570312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45323</v>
      </c>
      <c r="C2" s="4">
        <v>215934</v>
      </c>
      <c r="D2" s="4">
        <v>243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L2"/>
  <sheetViews>
    <sheetView workbookViewId="0"/>
  </sheetViews>
  <sheetFormatPr defaultRowHeight="15" x14ac:dyDescent="0.25"/>
  <cols>
    <col min="1" max="1" width="40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45324</v>
      </c>
      <c r="C2" s="4">
        <v>215934</v>
      </c>
      <c r="D2" s="4">
        <v>129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L2"/>
  <sheetViews>
    <sheetView workbookViewId="0"/>
  </sheetViews>
  <sheetFormatPr defaultRowHeight="15" x14ac:dyDescent="0.25"/>
  <cols>
    <col min="1" max="1" width="40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45445</v>
      </c>
      <c r="C2" s="4">
        <v>215934</v>
      </c>
      <c r="D2" s="4">
        <v>86</v>
      </c>
      <c r="E2" s="4" t="s">
        <v>13</v>
      </c>
      <c r="F2" s="4" t="s">
        <v>14</v>
      </c>
      <c r="G2" s="4">
        <v>23001170</v>
      </c>
      <c r="H2" s="4">
        <v>23001170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L2"/>
  <sheetViews>
    <sheetView workbookViewId="0"/>
  </sheetViews>
  <sheetFormatPr defaultRowHeight="15" x14ac:dyDescent="0.25"/>
  <cols>
    <col min="1" max="1" width="30.5703125" bestFit="1" customWidth="1"/>
    <col min="2" max="2" width="9.5703125" bestFit="1" customWidth="1"/>
    <col min="3" max="3" width="20.8554687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312</v>
      </c>
      <c r="B2" s="5">
        <v>45329</v>
      </c>
      <c r="C2" s="4" t="s">
        <v>308</v>
      </c>
      <c r="D2" s="4">
        <v>439</v>
      </c>
      <c r="E2" s="4" t="s">
        <v>13</v>
      </c>
      <c r="F2" s="4" t="s">
        <v>14</v>
      </c>
      <c r="G2" s="4">
        <v>23001138</v>
      </c>
      <c r="H2" s="4">
        <v>23001138</v>
      </c>
      <c r="I2" s="4">
        <v>1201</v>
      </c>
      <c r="J2" s="4" t="s">
        <v>313</v>
      </c>
      <c r="K2" s="4">
        <v>55754361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L2"/>
  <sheetViews>
    <sheetView topLeftCell="A10" workbookViewId="0"/>
  </sheetViews>
  <sheetFormatPr defaultRowHeight="15" x14ac:dyDescent="0.25"/>
  <cols>
    <col min="1" max="1" width="40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45334</v>
      </c>
      <c r="C2" s="4">
        <v>296188</v>
      </c>
      <c r="D2" s="4">
        <v>52</v>
      </c>
      <c r="E2" s="4" t="s">
        <v>13</v>
      </c>
      <c r="F2" s="4" t="s">
        <v>14</v>
      </c>
      <c r="G2" s="4">
        <v>23001187</v>
      </c>
      <c r="H2" s="4">
        <v>23001187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L2"/>
  <sheetViews>
    <sheetView workbookViewId="0"/>
  </sheetViews>
  <sheetFormatPr defaultRowHeight="15" x14ac:dyDescent="0.25"/>
  <cols>
    <col min="1" max="1" width="40.8554687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45337</v>
      </c>
      <c r="C2" s="4">
        <v>215934</v>
      </c>
      <c r="D2" s="4">
        <v>103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L2"/>
  <sheetViews>
    <sheetView workbookViewId="0"/>
  </sheetViews>
  <sheetFormatPr defaultRowHeight="15" x14ac:dyDescent="0.25"/>
  <cols>
    <col min="1" max="1" width="40.8554687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45338</v>
      </c>
      <c r="C2" s="4">
        <v>215934</v>
      </c>
      <c r="D2" s="4">
        <v>350</v>
      </c>
      <c r="E2" s="4" t="s">
        <v>309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L2"/>
  <sheetViews>
    <sheetView workbookViewId="0">
      <selection activeCell="C7" sqref="C7"/>
    </sheetView>
  </sheetViews>
  <sheetFormatPr defaultRowHeight="15" x14ac:dyDescent="0.25"/>
  <cols>
    <col min="1" max="1" width="40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45342</v>
      </c>
      <c r="C2" s="4">
        <v>215934</v>
      </c>
      <c r="D2" s="4">
        <v>15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L2"/>
  <sheetViews>
    <sheetView workbookViewId="0">
      <selection activeCell="A2" sqref="A2:L2"/>
    </sheetView>
  </sheetViews>
  <sheetFormatPr defaultRowHeight="15" x14ac:dyDescent="0.25"/>
  <cols>
    <col min="1" max="1" width="37" bestFit="1" customWidth="1"/>
    <col min="2" max="2" width="10.7109375" bestFit="1" customWidth="1"/>
    <col min="3" max="3" width="20.8554687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6.57031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314</v>
      </c>
      <c r="B2" s="5">
        <v>45343</v>
      </c>
      <c r="C2" s="4" t="s">
        <v>308</v>
      </c>
      <c r="D2" s="4">
        <v>63</v>
      </c>
      <c r="E2" s="4" t="s">
        <v>13</v>
      </c>
      <c r="F2" s="4" t="s">
        <v>14</v>
      </c>
      <c r="G2" s="4">
        <v>23001188</v>
      </c>
      <c r="H2" s="4">
        <v>23001188</v>
      </c>
      <c r="I2" s="4">
        <v>1201</v>
      </c>
      <c r="J2" s="4" t="s">
        <v>39</v>
      </c>
      <c r="K2" s="4">
        <v>54000879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L2"/>
  <sheetViews>
    <sheetView workbookViewId="0"/>
  </sheetViews>
  <sheetFormatPr defaultRowHeight="15" x14ac:dyDescent="0.25"/>
  <cols>
    <col min="1" max="1" width="30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315</v>
      </c>
      <c r="B2" s="5">
        <v>45348</v>
      </c>
      <c r="C2" s="4">
        <v>256103</v>
      </c>
      <c r="D2" s="4">
        <v>3</v>
      </c>
      <c r="E2" s="4" t="s">
        <v>13</v>
      </c>
      <c r="F2" s="4" t="s">
        <v>14</v>
      </c>
      <c r="G2" s="4">
        <v>23001186</v>
      </c>
      <c r="H2" s="4">
        <v>23001186</v>
      </c>
      <c r="I2" s="4">
        <v>1201</v>
      </c>
      <c r="J2" s="4" t="s">
        <v>316</v>
      </c>
      <c r="K2" s="4">
        <v>57313948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L2"/>
  <sheetViews>
    <sheetView workbookViewId="0"/>
  </sheetViews>
  <sheetFormatPr defaultRowHeight="15" x14ac:dyDescent="0.25"/>
  <cols>
    <col min="1" max="1" width="28.4257812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317</v>
      </c>
      <c r="B2" s="5">
        <v>45350</v>
      </c>
      <c r="C2" s="30">
        <v>256103</v>
      </c>
      <c r="D2" s="4">
        <v>3</v>
      </c>
      <c r="E2" s="4" t="s">
        <v>13</v>
      </c>
      <c r="F2" s="4" t="s">
        <v>14</v>
      </c>
      <c r="G2" s="30">
        <v>23001186</v>
      </c>
      <c r="H2" s="30">
        <v>23001186</v>
      </c>
      <c r="I2" s="4">
        <v>1201</v>
      </c>
      <c r="J2" s="4" t="s">
        <v>318</v>
      </c>
      <c r="K2" s="4">
        <v>57313948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L3"/>
  <sheetViews>
    <sheetView workbookViewId="0"/>
  </sheetViews>
  <sheetFormatPr defaultRowHeight="15" x14ac:dyDescent="0.25"/>
  <cols>
    <col min="1" max="1" width="24.42578125" bestFit="1" customWidth="1"/>
    <col min="2" max="2" width="9.570312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4.42578125" bestFit="1" customWidth="1"/>
    <col min="11" max="11" width="17.5703125" bestFit="1" customWidth="1"/>
    <col min="12" max="12" width="2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264</v>
      </c>
      <c r="B2" s="5">
        <v>45352</v>
      </c>
      <c r="C2" s="30">
        <v>291686</v>
      </c>
      <c r="D2" s="4">
        <v>128</v>
      </c>
      <c r="E2" s="4" t="s">
        <v>13</v>
      </c>
      <c r="F2" s="4" t="s">
        <v>14</v>
      </c>
      <c r="G2" s="30">
        <v>24001008</v>
      </c>
      <c r="H2" s="30">
        <v>24001008</v>
      </c>
      <c r="I2" s="4">
        <v>1201</v>
      </c>
      <c r="J2" s="4" t="s">
        <v>264</v>
      </c>
      <c r="K2" s="4">
        <v>57300910</v>
      </c>
      <c r="L2" s="20">
        <v>2</v>
      </c>
    </row>
    <row r="3" spans="1:12" x14ac:dyDescent="0.25">
      <c r="A3" s="4" t="s">
        <v>272</v>
      </c>
      <c r="B3" s="5">
        <v>45352</v>
      </c>
      <c r="C3" s="30">
        <v>292577</v>
      </c>
      <c r="D3" s="4">
        <v>77</v>
      </c>
      <c r="E3" s="4" t="s">
        <v>309</v>
      </c>
      <c r="F3" s="4" t="s">
        <v>14</v>
      </c>
      <c r="G3" s="30">
        <v>24001017</v>
      </c>
      <c r="H3" s="30">
        <v>24001017</v>
      </c>
      <c r="I3" s="4">
        <v>1201</v>
      </c>
      <c r="J3" s="4" t="s">
        <v>272</v>
      </c>
      <c r="K3" s="4">
        <v>57326773</v>
      </c>
    </row>
  </sheetData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L3"/>
  <sheetViews>
    <sheetView workbookViewId="0"/>
  </sheetViews>
  <sheetFormatPr defaultRowHeight="15" x14ac:dyDescent="0.25"/>
  <cols>
    <col min="1" max="1" width="28.2851562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30.140625" bestFit="1" customWidth="1"/>
    <col min="11" max="11" width="17.5703125" bestFit="1" customWidth="1"/>
    <col min="12" max="12" width="3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319</v>
      </c>
      <c r="B2" s="5">
        <v>44989</v>
      </c>
      <c r="C2" s="31">
        <v>256103</v>
      </c>
      <c r="D2" s="4">
        <v>3</v>
      </c>
      <c r="E2" s="4" t="s">
        <v>13</v>
      </c>
      <c r="F2" s="4" t="s">
        <v>14</v>
      </c>
      <c r="G2" s="30">
        <v>23001186</v>
      </c>
      <c r="H2" s="30">
        <v>23001186</v>
      </c>
      <c r="I2" s="4">
        <v>1201</v>
      </c>
      <c r="J2" s="4" t="s">
        <v>178</v>
      </c>
      <c r="K2" s="4">
        <v>55372611</v>
      </c>
      <c r="L2" s="20" t="str">
        <f>IFERROR(VLOOKUP(H2,'[2]INPUT USER'!$H:$N,7,0),"")</f>
        <v/>
      </c>
    </row>
    <row r="3" spans="1:12" x14ac:dyDescent="0.25">
      <c r="A3" s="4" t="s">
        <v>264</v>
      </c>
      <c r="B3" s="5">
        <v>45385</v>
      </c>
      <c r="C3" s="31">
        <v>296188</v>
      </c>
      <c r="D3" s="4">
        <v>62</v>
      </c>
      <c r="E3" s="4" t="s">
        <v>13</v>
      </c>
      <c r="F3" s="4" t="s">
        <v>14</v>
      </c>
      <c r="G3" s="30">
        <v>24001010</v>
      </c>
      <c r="H3" s="30">
        <v>24001010</v>
      </c>
      <c r="I3" s="4">
        <v>1201</v>
      </c>
      <c r="J3" s="4" t="s">
        <v>264</v>
      </c>
      <c r="K3" s="4">
        <v>55372611</v>
      </c>
      <c r="L3" s="20" t="str">
        <f>IFERROR(VLOOKUP(H3,'[2]INPUT USER'!$H:$N,7,0),"")</f>
        <v/>
      </c>
    </row>
  </sheetData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L2"/>
  <sheetViews>
    <sheetView workbookViewId="0"/>
  </sheetViews>
  <sheetFormatPr defaultRowHeight="15" x14ac:dyDescent="0.25"/>
  <cols>
    <col min="1" max="1" width="26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30.1406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320</v>
      </c>
      <c r="B2" s="5">
        <v>45357</v>
      </c>
      <c r="C2" s="31">
        <v>258264</v>
      </c>
      <c r="D2" s="4">
        <v>1</v>
      </c>
      <c r="E2" s="4" t="s">
        <v>13</v>
      </c>
      <c r="F2" s="4" t="s">
        <v>14</v>
      </c>
      <c r="G2" s="30">
        <v>23001167</v>
      </c>
      <c r="H2" s="30">
        <v>23001167</v>
      </c>
      <c r="I2" s="4">
        <v>1201</v>
      </c>
      <c r="J2" s="4" t="s">
        <v>178</v>
      </c>
      <c r="K2" s="4">
        <v>55372611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L3"/>
  <sheetViews>
    <sheetView workbookViewId="0">
      <selection activeCell="C3" sqref="C3"/>
    </sheetView>
  </sheetViews>
  <sheetFormatPr defaultRowHeight="15" x14ac:dyDescent="0.25"/>
  <cols>
    <col min="1" max="1" width="37" bestFit="1" customWidth="1"/>
    <col min="2" max="2" width="10.7109375" bestFit="1" customWidth="1"/>
    <col min="3" max="3" width="20.8554687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6.57031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321</v>
      </c>
      <c r="B2" s="5">
        <v>45364</v>
      </c>
      <c r="C2" s="31">
        <v>292577</v>
      </c>
      <c r="D2" s="4">
        <v>37</v>
      </c>
      <c r="E2" s="4" t="s">
        <v>13</v>
      </c>
      <c r="F2" s="4" t="s">
        <v>14</v>
      </c>
      <c r="G2" s="30">
        <v>24001017</v>
      </c>
      <c r="H2" s="30">
        <v>24001017</v>
      </c>
      <c r="I2" s="4">
        <v>1201</v>
      </c>
      <c r="J2" s="4" t="s">
        <v>227</v>
      </c>
      <c r="K2" s="4">
        <v>55702763</v>
      </c>
      <c r="L2" s="20" t="str">
        <f>IFERROR(VLOOKUP(H2,'[2]INPUT USER'!$H:$N,7,0),"")</f>
        <v/>
      </c>
    </row>
    <row r="3" spans="1:12" x14ac:dyDescent="0.25">
      <c r="A3" s="4" t="s">
        <v>314</v>
      </c>
      <c r="B3" s="5">
        <v>45364</v>
      </c>
      <c r="C3" s="4" t="s">
        <v>308</v>
      </c>
      <c r="D3" s="4">
        <v>50</v>
      </c>
      <c r="E3" s="4" t="s">
        <v>13</v>
      </c>
      <c r="F3" s="4" t="s">
        <v>14</v>
      </c>
      <c r="G3" s="4">
        <v>24001011</v>
      </c>
      <c r="H3" s="4">
        <v>24001011</v>
      </c>
      <c r="I3" s="4">
        <v>1201</v>
      </c>
      <c r="J3" s="4" t="s">
        <v>39</v>
      </c>
      <c r="K3" s="4">
        <v>55702763</v>
      </c>
      <c r="L3" s="20" t="str">
        <f>IFERROR(VLOOKUP(H3,'[2]INPUT USER'!$H:$N,7,0),"")</f>
        <v/>
      </c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L4"/>
  <sheetViews>
    <sheetView workbookViewId="0">
      <selection sqref="A1:K2"/>
    </sheetView>
  </sheetViews>
  <sheetFormatPr defaultRowHeight="15" x14ac:dyDescent="0.25"/>
  <cols>
    <col min="1" max="1" width="37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6.5703125" bestFit="1" customWidth="1"/>
    <col min="11" max="11" width="17.5703125" bestFit="1" customWidth="1"/>
    <col min="12" max="12" width="3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314</v>
      </c>
      <c r="B2" s="5">
        <v>45365</v>
      </c>
      <c r="C2" s="4">
        <v>295679</v>
      </c>
      <c r="D2" s="4">
        <v>11</v>
      </c>
      <c r="E2" s="4" t="s">
        <v>13</v>
      </c>
      <c r="F2" s="4" t="s">
        <v>14</v>
      </c>
      <c r="G2" s="4">
        <v>24001011</v>
      </c>
      <c r="H2" s="4">
        <v>24001011</v>
      </c>
      <c r="I2" s="4">
        <v>1201</v>
      </c>
      <c r="J2" s="4" t="s">
        <v>39</v>
      </c>
      <c r="K2" s="4">
        <v>54000879</v>
      </c>
      <c r="L2" s="20" t="str">
        <f>IFERROR(VLOOKUP(H2,'[2]INPUT USER'!$H:$N,7,0),"")</f>
        <v/>
      </c>
    </row>
    <row r="3" spans="1:12" x14ac:dyDescent="0.25">
      <c r="A3" s="4" t="s">
        <v>321</v>
      </c>
      <c r="B3" s="5">
        <v>45365</v>
      </c>
      <c r="C3" s="4">
        <v>292577</v>
      </c>
      <c r="D3" s="4">
        <v>39</v>
      </c>
      <c r="E3" s="4" t="s">
        <v>13</v>
      </c>
      <c r="F3" s="4" t="s">
        <v>14</v>
      </c>
      <c r="G3" s="4">
        <v>24001017</v>
      </c>
      <c r="H3" s="4">
        <v>24001017</v>
      </c>
      <c r="I3" s="4">
        <v>1201</v>
      </c>
      <c r="J3" s="4" t="s">
        <v>227</v>
      </c>
      <c r="K3" s="4">
        <v>54000879</v>
      </c>
      <c r="L3" s="20" t="str">
        <f>IFERROR(VLOOKUP(H3,'[2]INPUT USER'!$H:$N,7,0),"")</f>
        <v/>
      </c>
    </row>
    <row r="4" spans="1:12" x14ac:dyDescent="0.25">
      <c r="A4" s="4" t="s">
        <v>264</v>
      </c>
      <c r="B4" s="5">
        <v>45365</v>
      </c>
      <c r="C4" s="4">
        <v>296188</v>
      </c>
      <c r="D4" s="4">
        <v>9</v>
      </c>
      <c r="E4" s="4" t="s">
        <v>13</v>
      </c>
      <c r="F4" s="4" t="s">
        <v>14</v>
      </c>
      <c r="G4" s="4">
        <v>24001010</v>
      </c>
      <c r="H4" s="4">
        <v>24001010</v>
      </c>
      <c r="I4" s="4">
        <v>1201</v>
      </c>
      <c r="J4" s="4" t="s">
        <v>264</v>
      </c>
      <c r="K4" s="4">
        <v>55702763</v>
      </c>
      <c r="L4" s="20" t="str">
        <f>IFERROR(VLOOKUP(H4,'[2]INPUT USER'!$H:$N,7,0),"")</f>
        <v/>
      </c>
    </row>
  </sheetData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L2"/>
  <sheetViews>
    <sheetView workbookViewId="0">
      <selection activeCell="I15" sqref="I15"/>
    </sheetView>
  </sheetViews>
  <sheetFormatPr defaultRowHeight="15" x14ac:dyDescent="0.25"/>
  <cols>
    <col min="1" max="1" width="17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264</v>
      </c>
      <c r="B2" s="5">
        <v>45369</v>
      </c>
      <c r="C2" s="4">
        <v>215934</v>
      </c>
      <c r="D2" s="4">
        <v>51</v>
      </c>
      <c r="E2" s="4" t="s">
        <v>322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L2"/>
  <sheetViews>
    <sheetView workbookViewId="0">
      <selection activeCell="A20" sqref="A20"/>
    </sheetView>
  </sheetViews>
  <sheetFormatPr defaultRowHeight="15" x14ac:dyDescent="0.25"/>
  <cols>
    <col min="1" max="1" width="37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6.57031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314</v>
      </c>
      <c r="B2" s="5">
        <v>45371</v>
      </c>
      <c r="C2" s="4">
        <v>295679</v>
      </c>
      <c r="D2" s="4">
        <v>5</v>
      </c>
      <c r="E2" s="4" t="s">
        <v>13</v>
      </c>
      <c r="F2" s="4" t="s">
        <v>14</v>
      </c>
      <c r="G2" s="4">
        <v>24001011</v>
      </c>
      <c r="H2" s="4">
        <v>24001011</v>
      </c>
      <c r="I2" s="4">
        <v>1201</v>
      </c>
      <c r="J2" s="4" t="s">
        <v>39</v>
      </c>
      <c r="K2" s="4">
        <v>54000879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L2"/>
  <sheetViews>
    <sheetView workbookViewId="0"/>
  </sheetViews>
  <sheetFormatPr defaultRowHeight="15" x14ac:dyDescent="0.25"/>
  <cols>
    <col min="1" max="1" width="29.4257812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30.1406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323</v>
      </c>
      <c r="B2" s="5">
        <v>45327</v>
      </c>
      <c r="C2" s="30">
        <v>258264</v>
      </c>
      <c r="D2" s="4">
        <v>1</v>
      </c>
      <c r="E2" s="4" t="s">
        <v>13</v>
      </c>
      <c r="F2" s="4" t="s">
        <v>14</v>
      </c>
      <c r="G2" s="4">
        <v>23001186</v>
      </c>
      <c r="H2" s="30">
        <v>23001186</v>
      </c>
      <c r="I2" s="4">
        <v>1201</v>
      </c>
      <c r="J2" s="4" t="s">
        <v>178</v>
      </c>
      <c r="K2" s="4">
        <v>55372611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L2"/>
  <sheetViews>
    <sheetView workbookViewId="0"/>
  </sheetViews>
  <sheetFormatPr defaultRowHeight="15" x14ac:dyDescent="0.25"/>
  <cols>
    <col min="1" max="1" width="33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311</v>
      </c>
      <c r="B2" s="5">
        <v>45419</v>
      </c>
      <c r="C2" s="30">
        <v>215934</v>
      </c>
      <c r="D2" s="4">
        <v>512</v>
      </c>
      <c r="E2" s="4" t="s">
        <v>324</v>
      </c>
      <c r="F2" s="4" t="s">
        <v>14</v>
      </c>
      <c r="G2" s="4">
        <v>24001044</v>
      </c>
      <c r="H2" s="4">
        <v>24001044</v>
      </c>
      <c r="I2" s="4">
        <v>1201</v>
      </c>
      <c r="J2" s="4" t="s">
        <v>264</v>
      </c>
      <c r="K2" s="4">
        <v>57300910</v>
      </c>
      <c r="L2" s="20">
        <f>IFERROR(VLOOKUP(H2,'[2]INPUT USER'!$H:$N,7,0),"")</f>
        <v>64</v>
      </c>
    </row>
  </sheetData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880C-8E56-408E-BF54-91E3570DF0C9}">
  <sheetPr codeName="Sheet35"/>
  <dimension ref="A1:L2"/>
  <sheetViews>
    <sheetView workbookViewId="0">
      <selection activeCell="B6" sqref="B6"/>
    </sheetView>
  </sheetViews>
  <sheetFormatPr defaultRowHeight="15" x14ac:dyDescent="0.25"/>
  <cols>
    <col min="1" max="1" width="37.42578125" bestFit="1" customWidth="1"/>
    <col min="2" max="2" width="9.570312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325</v>
      </c>
      <c r="B2" s="5">
        <v>45420</v>
      </c>
      <c r="C2" s="30">
        <v>215934</v>
      </c>
      <c r="D2" s="4">
        <v>125</v>
      </c>
      <c r="E2" s="4" t="s">
        <v>324</v>
      </c>
      <c r="F2" s="4" t="s">
        <v>14</v>
      </c>
      <c r="G2" s="4">
        <v>24001044</v>
      </c>
      <c r="H2" s="4">
        <v>24001044</v>
      </c>
      <c r="I2" s="4">
        <v>1201</v>
      </c>
      <c r="J2" s="4" t="s">
        <v>264</v>
      </c>
      <c r="K2" s="4">
        <v>57300910</v>
      </c>
      <c r="L2" s="20">
        <f>IFERROR(VLOOKUP(H2,'[2]INPUT USER'!$H:$N,7,0),"")</f>
        <v>64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MASTER</vt:lpstr>
      <vt:lpstr>TOMBOL</vt:lpstr>
      <vt:lpstr>RPA</vt:lpstr>
      <vt:lpstr>25Oct23</vt:lpstr>
      <vt:lpstr>30Oct23</vt:lpstr>
      <vt:lpstr>22Jan24</vt:lpstr>
      <vt:lpstr>23Jan24</vt:lpstr>
      <vt:lpstr>24Jan24</vt:lpstr>
      <vt:lpstr>25Jan241</vt:lpstr>
      <vt:lpstr>25Jan24</vt:lpstr>
      <vt:lpstr>26Jan24</vt:lpstr>
      <vt:lpstr>29Jan24</vt:lpstr>
      <vt:lpstr>30Jan24</vt:lpstr>
      <vt:lpstr>31Jan24</vt:lpstr>
      <vt:lpstr>01Feb24</vt:lpstr>
      <vt:lpstr>02Feb24</vt:lpstr>
      <vt:lpstr>06Feb24</vt:lpstr>
      <vt:lpstr>07Feb24</vt:lpstr>
      <vt:lpstr>12Feb24</vt:lpstr>
      <vt:lpstr>15Feb24</vt:lpstr>
      <vt:lpstr>16Feb24</vt:lpstr>
      <vt:lpstr>20Feb24</vt:lpstr>
      <vt:lpstr>21Feb24</vt:lpstr>
      <vt:lpstr>26Feb24</vt:lpstr>
      <vt:lpstr>28Feb24</vt:lpstr>
      <vt:lpstr>01Mar24</vt:lpstr>
      <vt:lpstr>04Mar24</vt:lpstr>
      <vt:lpstr>06Mar24</vt:lpstr>
      <vt:lpstr>13Mar24</vt:lpstr>
      <vt:lpstr>14Mar24</vt:lpstr>
      <vt:lpstr>18Mar24</vt:lpstr>
      <vt:lpstr>20Mar24</vt:lpstr>
      <vt:lpstr>02May24</vt:lpstr>
      <vt:lpstr>07May24</vt:lpstr>
      <vt:lpstr>08May24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2023-10-25T07:17:55Z</dcterms:created>
  <dcterms:modified xsi:type="dcterms:W3CDTF">2024-05-15T03:43:29Z</dcterms:modified>
</cp:coreProperties>
</file>